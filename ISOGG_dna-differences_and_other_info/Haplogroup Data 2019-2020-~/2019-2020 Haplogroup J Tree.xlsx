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Sheet1!$K$1288:$AA$7801</definedName>
  </definedNames>
  <calcPr/>
</workbook>
</file>

<file path=xl/sharedStrings.xml><?xml version="1.0" encoding="utf-8"?>
<sst xmlns="http://schemas.openxmlformats.org/spreadsheetml/2006/main" count="24042" uniqueCount="12983">
  <si>
    <t>Y-DNA Haplogroup J and its Subclades - 2019-2020</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</si>
  <si>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</si>
  <si>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</si>
  <si>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</si>
  <si>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</si>
  <si>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</si>
  <si>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10 January 2020</t>
  </si>
  <si>
    <t>Because of continuing research, structure of the Y-DNA Haplogroup Tree changes and will be updated when possible</t>
  </si>
  <si>
    <t>LINKS:</t>
  </si>
  <si>
    <t>Papers/Presentations Cited</t>
  </si>
  <si>
    <t>Glossary</t>
  </si>
  <si>
    <t>SNP Index</t>
  </si>
  <si>
    <t>Copyright 2020 International Society of Genetic Genealogy.</t>
  </si>
  <si>
    <t xml:space="preserve"> </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</si>
  <si>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</si>
  <si>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</si>
  <si>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</si>
  <si>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</si>
  <si>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</si>
  <si>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</si>
  <si>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</si>
  <si>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</si>
  <si>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</si>
  <si>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</si>
  <si>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</si>
  <si>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J</t>
  </si>
  <si>
    <r>
      <rPr>
        <rFont val="Arial"/>
        <b/>
      </rPr>
      <t xml:space="preserve">M304/Page16/PF4609, </t>
    </r>
    <r>
      <rPr>
        <rFont val="Arial"/>
      </rPr>
      <t xml:space="preserve">12f2.1, </t>
    </r>
    <r>
      <rPr>
        <rFont val="Arial"/>
        <i/>
      </rPr>
      <t>CTS26/PF4489, CTS687/PF4503, CTS852/PF4504, CTS1068/PF4508, CTS1250/PF4510/YSC0001255, CTS2042/PF4536, CTS2769/PF4538, CTS3543/PF4540/YSC0001268, CTS3732/PF4541, CTS3872/PF4542, CTS3936/PF4543/YSC0001275, CTS4204/PF4545/YSC0001278, CTS4349/PF4547, CTS4356/PF4548, CTS4937/PF4549, CTS5280/PF4550, CTS5426/PF4552, CTS5545.1/M3163.1/PF4554.1/YSC0001284.1, CTS5628/PF4555, CTS5678/PF4556, CTS5691/PF4557, CTS5934, CTS6958/PF4561, CTS7028/PF4562, CTS7229/PF4563/YSC0001286, CTS7483/PF4565, CTS7565/M5960/PF4566, CTS7738/PF4568, CTS7832/PF4569, CTS8078/PF4570, CTS8160/PF4571, CTS8938/PF4577, CTS8974/PF4578, CTS9533/PF4582, CTS9877/PF4583, CTS10446/PF4586, CTS10858/PF4612, CTS11211/PF4614, CTS11291/PF4615, CTS11571/PF4617, CTS11750/PF4618/YSC0001250, CTS11765/PF4620, CTS11787/PF4621/YSC0001251, CTS12047/YSC0001253, CTS12887/PF4624, F1167/PF4516/YSC0001296, F1168/PF4517, F1181/PF4518/S35, F1381/PF4520, F1744/S4968/YSC0001303, F1826, F1973/PF4546/YSC0001304, F2114/PF4551, F2116/PF4553/YSC0000785, F2174/PF4558/YSC0001305, F2390/PF4560, F2502/PF4564, F2707/PF4573, F2746/YSC0001309, F2769/PF4576, F2817/PF4579, F2839/PF4580, F2973/PF4585/YSC0001312, F3074/PF4587/YSC0001313, F3119/PF4588, F3138/PF4590, F3176/PF4592/YSC0001314, F3347/PF4608/YSC0001315, F3358/PF4611/YSC0001316, F4072/PF4509/S34, FGC1599/S23720/Z7822, FGC1604/Z7814, FGC1607/Z7803, FGC3271/S13155/Z7815, FGC7618/Z7811</t>
    </r>
    <r>
      <rPr>
        <rFont val="Arial"/>
      </rPr>
      <t xml:space="preserve">, L60/PF4537/S6, L134/PF4539, L778/PF4616/YSC0000236, P209/PF4584, </t>
    </r>
    <r>
      <rPr>
        <rFont val="Arial"/>
        <i/>
      </rPr>
      <t>PF4505/YSC0000064, PF4506/YSC0000066, PF4511/YSC0001321, PF4513, PF4515, PF4519, PF4521, PF4524, PF4530, PF4535/YSC0000165, PF4567/YSC0000197, PF4572, PF4575, PF4591, PF4593, PF4594, PF4595, PF4596/Z2442, PF4598, YSC0000228</t>
    </r>
  </si>
  <si>
    <t>J1</t>
  </si>
  <si>
    <r>
      <rPr>
        <b/>
      </rPr>
      <t>L255</t>
    </r>
    <r>
      <rPr/>
      <t xml:space="preserve">, </t>
    </r>
    <r>
      <rPr>
        <i/>
      </rPr>
      <t xml:space="preserve">AM01317/PF4729/S5006/YSC0001328, CTS426/PF4641/YSC0000307, CTS437/PF4642, CTS1038^/PF4645^, CTS1138/PF4648, CTS1153, CTS1332, CTS1547/PF4687, CTS1666/PF4688, CTS1860/PF4690, CTS1983/PF4691/YSC0001326, CTS2067/PF4692, CTS2539/YSC0001260, CTS2596/PF4696, CTS2649/PF4697, CTS2667/YSC0001262, CTS3210/PF4702, CTS3401/PF4705/YSC0001267, CTS3492/PF4707, CTS3770/PF4709/YSC0001274, CTS3953/PF4711, CTS3967/PF4712, CTS4025/PF4713/YSC0001276, CTS4133/PF4715/YSC0001277, CTS4294/PF4719/YSC0001280, CTS5285/PF4725/YSC0001282, CTS5394/PF4728/YSC0001283, CTS5574/PF4731, CTS5672^/PF4732^, CTS6982/PF4735, CTS7176/PF4737, CTS7337/PF4741, CTS7412/PF4742, CTS7598/PF4743/YSC0001287, CTS8079/PF4746, CTS8183/PF4747/YSC0001290, CTS8340, CTS8441, CTS8521/PF4750, CTS10519, CTS10540, CTS10640, CTS10664/PF4781, CTS10759, CTS11188/PF4784, CTS11636^/PF4785^, CTS11649^/PF4786^, CTS12578/PF4791, CTS12727, CTS12948, CTS12950/PF4794, F1825/PF4701, F2058/PF4721, F4287, F4289/PF4755/YSC0001013, </t>
    </r>
    <r>
      <rPr/>
      <t>F4320/M267/PF4782</t>
    </r>
    <r>
      <rPr>
        <i/>
      </rPr>
      <t xml:space="preserve">, FGC1615/S23326/Y2345, FGC1617/Y2313, FGC1618/Y2327, FGC1619/Y2918, FGC1661, FGC3685/S13025, FGC32310/Y2325, </t>
    </r>
    <r>
      <rPr/>
      <t>L321/PF4646</t>
    </r>
    <r>
      <rPr>
        <i/>
      </rPr>
      <t>, L765/PF4765, L828/PF4771/YSC0000226, L1252, M497/PF4740, M1468, PF4640/YSC0000060, PF4643/YSC0000063, PF4649/YSC0000069, PF4650, PF4651, PF4653, PF4655/YSC0000074, PF4656, PF4658, PF4659, PF4660, PF4661/YSC0001324, PF4662/YSC0001325, PF4664, PF4665^, PF4666/YSC0000078, PF4667/YSC0000079, PF4668, PF4669, PF4671, PF4672, PF4675, PF4676, PF4677, PF4681, PF4686, PF4694/YSC0000170, PF4695, PF4704/YSC0000172, PF4710^/YSC0000175^, PF4716/YSC0001327, PF4724/YSC0000185, PF4727/YSC0000187, PF4733/YSC0000190, PF4738/YSC0001329, PF4744/YSC0000198, PF4748/YSC0000199, PF4753^/S4033^/YSC0000209^, PF4757, PF4759, PF4760, PF4761, PF4762, PF4764, PF4768, PF4769, PF4770, PF4773, PF4774/YSC0001330, PF4780, PF4788</t>
    </r>
  </si>
  <si>
    <t>J1a</t>
  </si>
  <si>
    <r>
      <rPr>
        <b/>
        <i/>
      </rPr>
      <t>CTS5368/Z2215,</t>
    </r>
    <r>
      <rPr>
        <i/>
      </rPr>
      <t xml:space="preserve"> CTS3068/PF4700/YSC0001264/Z2213, CTS4274/PF4717/Z2214, CTS7116/PF4736/Z2392, CTS8948/PF4751/YSC0001294, FGC1635/Z2218, FGC7625/Z2210, PF4644/YSC0000065, PF4772</t>
    </r>
  </si>
  <si>
    <t>J1a1~</t>
  </si>
  <si>
    <t>M365.1, FGC6031, FGC6051, FGC6103, FGC6167</t>
  </si>
  <si>
    <t>J1a2~</t>
  </si>
  <si>
    <t>CTS1958/Z2391, CTS11731/PF4864/Z2217</t>
  </si>
  <si>
    <t>J1a2a~</t>
  </si>
  <si>
    <t>AM01306/CTS1797/PF4689/Z2356, AM01307/PF4693/Z2357/YSC0000168, AM01309/PF4809/YSC0000171, AM01310/PF4708/YSC0000173/Z2359, AM01316/PF4720/S5004/YSC0000184/Z2361, AM01322/CTS6954/PF4734/Z1868, AM01331/CTS9275/PF4820/Z2368, AM01334/CTS9728/Z2371, AM01336/PF4758/Z2373, AM01338/L825/PF4824/YSC0000214, AM01344/PF4779/YSC0000229/Z2378. AM01345/FGC1634/S24620/Y2358, AM01346/CTS10947/PF4829, CTS10230/PF4823/Z2372, CTS10563/PF4756/Z1872, FGC1642/Z2353, FGC1643/Y2291, FGC1649/S4953/Y2337, L826/YSC0000073, M8990/S3846, PF4657/Z2345, PF4670, PF4805/Z2358, Y2271</t>
  </si>
  <si>
    <t>J1a2a1~</t>
  </si>
  <si>
    <t>AM01311/PF4714/Z2360, AM01312/CTS4376/Z1861, AM01324/CTS7260/PF4739, AM01325/PF4816/YSC0000196, PF4831/Z2379</t>
  </si>
  <si>
    <t>J1a2a1a</t>
  </si>
  <si>
    <t>FGC14316/L136/L572</t>
  </si>
  <si>
    <t>J1a2a1a~</t>
  </si>
  <si>
    <t>AM01320/PF4813/S4981/YSC0000189/Z2363, AM01328/CTS8844/PF4819, AM01332/PF4821/Z2369, AM01340/FGC7627/Z2374, AM01341/PF4767/Z1876, AM01353/CTS712/PF4797, AM01308/CTS3101, AM01314/CTS4798/PF4810/Z1862, AM01318/CTS5559/PF4730/Z1866, AM01326/CTS7997/PF4745/Z2366, AM01335/CTS9759/PF4822/Z1870, PF4652, PF4685/Z2354, PF4801</t>
  </si>
  <si>
    <t>J1a2a1a1~</t>
  </si>
  <si>
    <t>PF7264, ZS4393</t>
  </si>
  <si>
    <t>J1a2a1a1a</t>
  </si>
  <si>
    <t>P56</t>
  </si>
  <si>
    <t>J1a2a1a1a~</t>
  </si>
  <si>
    <t>L276.3, L1064/ZS11104A, Y20336, Y20338, Y20543, Y20544, Y20545, Y20546, Y31517, Z39572, ZS9831, ZS9832, ZS9833, ZS9834, ZS9835, ZS9836, ZS9837, ZS9838, ZS9840, ZS9841, ZS9842, ZS9842, ZS9847, ZS9851, ZS9852, ZS9853, ZS9855, ZS9856, ZS9857, ZS9858, ZS9859, ZS9860, ZS9861, ZS9862, ZS9863, ZS9864, ZS9865, ZS9866, ZS9868, ZS9869, ZS9870, ZS9871, ZS9872, ZS9873, ZS9874, ZS9875, ZS9876, ZS9877, ZS9878, ZS9879, ZS9880, ZS9881, ZS9882, ZS9884, ZS9892.2, ZS9893, ZS9894, ZS9895, ZS9896, ZS9897, ZS9898, ZS9899, ZS9900, ZS9901, ZS9902, ZS9973</t>
  </si>
  <si>
    <t>J1a2a1a1a1~</t>
  </si>
  <si>
    <t>Y20337, ZS4476, ZS9828, ZS9829, ZS9830, ZS9839, ZS9854, ZS9867, ZS9883, ZS9974</t>
  </si>
  <si>
    <t>J1a2a1a1b~</t>
  </si>
  <si>
    <t>FGC20566/ZS4416, FGC60330/Y27555, PF7263, Z28137, Z28141, ZS4376, ZS4378, ZS4379, ZS4380, ZS4381, ZS4402, ZS4403, ZS4404, ZS4407, ZS4409, ZS4405, ZS4406, ZS4408, ZS4409, ZS4410, ZS4412, ZS4413, ZS4414, ZS4415, ZS4417, ZS4418, ZS4419, ZS4422, ZS4424, ZS4425, ZS4428, ZS4429, ZS4431, ZS4442, ZS4445, ZS7736, ZS7743, ZS7752, ZS7754, ZS7760, ZS7766, ZS12128</t>
  </si>
  <si>
    <t>J1a2a1a2</t>
  </si>
  <si>
    <t>P58/Page8/PF4698</t>
  </si>
  <si>
    <t>J1a2a1a2~</t>
  </si>
  <si>
    <t>AM01305/PF4839/YSC0000164, AM01313/PF4840/YSC0000181, AM01315/CTS4823/PF4841, AM01319/PF4812/YSC0000188/Z2362, AM01321/CTS6704/M8145, AM01323/CTS7168/PF4814, AM01327/CTS8437/PF4818, AM01329/CTS9070/PF4752/Z2367, AM01330/CTS9154, AM01333/CTS9721/PF4842, AM01337/PF4844, AM01339/PF4826/Z1874, AM01343/FGC1650/Z2375, AM01347/CTS11501/PF4846, AM01348/PF4830/S4931, AM01350/CTS12961/Z2385, AM01351/PF4796/YSC0000062, FGC1631/S20940/Y2339, PF4654, PF4663/Z2346, PF4763/Z1873, PF4800/Z2347, PF4815/Z2365, PF4833/Z2382, PF4835, Y2336</t>
  </si>
  <si>
    <t>J1a2a1a2a</t>
  </si>
  <si>
    <t>L92.1</t>
  </si>
  <si>
    <t>J1a2a1a2b</t>
  </si>
  <si>
    <t>L147.1^^/PF4883.1^^</t>
  </si>
  <si>
    <t>J1a2a1a2b~</t>
  </si>
  <si>
    <t>YSC0000081.1</t>
  </si>
  <si>
    <t>J1a2a1a2c~</t>
  </si>
  <si>
    <t>S4924, S4927, Y4067/Z18323, Y4079/Z18314, Y4080/Z18311, Y4082/Z18315, Y4083/Z18319, Y4098/Z18339, Y27528, Z5011, Z18345, ZS2706, ZS2707, ZS2720, ZS2732</t>
  </si>
  <si>
    <t>J1a2a1a2c1</t>
  </si>
  <si>
    <t>L817</t>
  </si>
  <si>
    <t>J1a2a1a2c1~</t>
  </si>
  <si>
    <t>S4923, S4950, S5014, Y4065/Z18317, Y4078/Z18313, Y4089/Z18338, Y4096/Z18336, Z18346, Z18348, ZS2718</t>
  </si>
  <si>
    <t>J1a2a1a2c1a</t>
  </si>
  <si>
    <t>L818/S4972</t>
  </si>
  <si>
    <t>J1a2a1a2c1a~</t>
  </si>
  <si>
    <t>S4925, S4926, S4932, S4935, S4940, S4941, S4951, S4956, S4960, S4966, S4985, S4998, Y4064, Y4066/Z18299, Y4068/Z18304, Y4069/Z18305, Y4070/Z18306, Y4071/Z18307, Y4073/ZS2724, Y4074/Z18309, Y4075/ZS251, Y4076/ZS262, Y4077/ZS261, Y4084/Z18320, Y4085/Z18321, Y4086/Z18322, Y4090/Z18300, Y4091/Z18301, Y4092/Z18302, Y4093/ZS259, Y4094/ZS2751, Z18349, Z18351, Z18352, Z18353, Z18354, Z39518, ZS2723</t>
  </si>
  <si>
    <t>J1a2a1a2c1a1</t>
  </si>
  <si>
    <t>L816</t>
  </si>
  <si>
    <t>J1a2a1a2c1a1a~</t>
  </si>
  <si>
    <t>ZS2728</t>
  </si>
  <si>
    <t>J1a2a1a2c1a1a1~</t>
  </si>
  <si>
    <t>S4944, Z30436</t>
  </si>
  <si>
    <t>J1a2a1a2c1a1a2~</t>
  </si>
  <si>
    <t>ZS2736</t>
  </si>
  <si>
    <t>J1a2a1a2c1a1a2a~</t>
  </si>
  <si>
    <t>ZS12015, ZS12018, ZS12019</t>
  </si>
  <si>
    <t>J1a2a1a2c1a1a2b~</t>
  </si>
  <si>
    <t xml:space="preserve">BY80/Z18356 </t>
  </si>
  <si>
    <t>J1a2a1a2c1a1a2b1~</t>
  </si>
  <si>
    <t>ZS2740</t>
  </si>
  <si>
    <t>J1a2a1a2c1a1a2bs~</t>
  </si>
  <si>
    <t>ZS2754, ZS2756</t>
  </si>
  <si>
    <t>J1a2a1a2c2~</t>
  </si>
  <si>
    <t xml:space="preserve">PF3202.2, Y14784.2/ZS5394.2, Y28929, ZS5379, ZS5383, ZS5385, ZS5389, ZS5391, ZS5392, ZS5398, ZS5401, ZS5404, ZS5405, ZS5408, ZS5410, ZS5414, ZS5415, ZS5416, ZS5418, ZS5419, ZS5422, ZS5429, ZS5432, ZS8624, ZS8625, ZS8630, ZS8633, ZS8634, ZS8636, ZS8637, ZS8640, ZS8641, ZS8642, ZS8643, ZS8649 </t>
  </si>
  <si>
    <t>J1a2a1a2d~</t>
  </si>
  <si>
    <t>CTS6020/PF4856, CTS7920/PF4817, CTS10394/Z2325, CTS10704, CTS10882/Z1885, CTS11234/Z2330, FGC1667/Z2315, FGC1687/Z1889, PF4678/Z2316, PF4802/Z1857, PF4827, Z1852</t>
  </si>
  <si>
    <t>J1a2a1a2d1~</t>
  </si>
  <si>
    <t xml:space="preserve">L93, Y16648, Y19909/Z18101, ZS1280, ZS1281, ZS1282, ZS1284, ZS1285, ZS1286, ZS1288, ZS1294, ZS1297, ZS1298, ZS1299, ZS1300, ZS1302, ZS1305, ZS1307, ZS1308, ZS1311, ZS1312, ZS1318, ZS1319, ZS1321, ZS1322, ZS8355, ZS8371 </t>
  </si>
  <si>
    <t>J1a2a1a2d2~</t>
  </si>
  <si>
    <t>CTS2453/PF4806/Z2319, FGC1677/Z2326, FGC7631/Y2330, PF4854/YSC0000183/Z2320</t>
  </si>
  <si>
    <t>J1a2a1a2d2a~</t>
  </si>
  <si>
    <t>FGC30701, L860, ZS7431, ZS7436, ZS7439, ZS7449, ZS7464, ZS7471</t>
  </si>
  <si>
    <t>J1a2a1a2d2b~</t>
  </si>
  <si>
    <t xml:space="preserve">CTS5266/PF4870/Z2321, CTS5269/PF4855/Z2322, CTS11050/FGC1679/PF4783/S2769/Z1886, FGC7633/Y2292, PF4834/Z1854, PF4850/Z1856, PF4858/YSC0000200/Z2323, PF4862/Z1887, Z1853   </t>
  </si>
  <si>
    <t>J1a2a1a2d2b1~</t>
  </si>
  <si>
    <t>ZS3668, ZS3683, ZS3684, ZS3685, ZS3690, ZS3698, ZS3704, ZS3707, ZS3712, ZS372</t>
  </si>
  <si>
    <t>J1a2a1a2d2b2~</t>
  </si>
  <si>
    <t>CTS463, CTS2966/PF4699/Z1860, CTS6161/PF4857/Z1867, CTS9998/PF4859/Z1871, CTS11719/PF4863/Z1888, FGC1669/Z2331, L862/PF4853/YSC0000169, PF4799, PF4838, PF4848/YSC0000071/Z2314, PF4849/Z1855, PF4860/Z1875</t>
  </si>
  <si>
    <t>J1a2a1a2d2b2a~</t>
  </si>
  <si>
    <t>FGC20877/ZS2613, FGC20898/Y15152/Z18297, Z28163</t>
  </si>
  <si>
    <t>J1a2a1a2d2b2a1~</t>
  </si>
  <si>
    <t>FGC20865/Z18293, FGC20875/Z18294, FGC20878/Z18295, Y23563</t>
  </si>
  <si>
    <t>J1a2a1a2d2b2a1a~</t>
  </si>
  <si>
    <t xml:space="preserve">FGC20874/ZS2572, FGC20879, FGC20882/ZS2575, FGC20884/ZS2578, FGC20888/ZS2582, FGC20890/ZS2584, FGC20894/ZS2591, FGC20899/ZS2593, FGC20900/ZS2595, Y23173 </t>
  </si>
  <si>
    <t>J1a2a1a2d2b2a1a1~</t>
  </si>
  <si>
    <t>PH4242, Y31147/ZS12589, Y31152/ZS12596, Y31155/ZS12600, ZS3984</t>
  </si>
  <si>
    <t>J1a2a1a2d2b2a1b~</t>
  </si>
  <si>
    <t>FGC20913/ZS3745, ZS3736</t>
  </si>
  <si>
    <t>J1a2a1a2d2b2a1c~</t>
  </si>
  <si>
    <t>CTS4459, ZS2601, ZS2603, ZS2604, ZS2605</t>
  </si>
  <si>
    <t>J1a2a1a2d2b2a1c1~</t>
  </si>
  <si>
    <t>M4320, ZS2600, ZS2606, ZS2610</t>
  </si>
  <si>
    <t>J1a2a1a2d2b2a2~</t>
  </si>
  <si>
    <t>CTS6558, Y17403, Y18954/ZS7839, ZS4302, ZS4312, ZS4336</t>
  </si>
  <si>
    <t>J1a2a1a2d2b2a2a~</t>
  </si>
  <si>
    <t>Z28164, Z28165, Z28166, Z28168, Z28169, Z28172, Z28173, Z28174, Z28175, Z28176, Z28177, Z28177, Z28185, Z28186, Z28188, Z28189, Z28190</t>
  </si>
  <si>
    <t>J1a2a1a2d2b2a2a1~</t>
  </si>
  <si>
    <t>Z28195, Z28196, Z28197, ZS4278</t>
  </si>
  <si>
    <t>J1a2a1a2d2b2a2a1a~</t>
  </si>
  <si>
    <t>Z28199</t>
  </si>
  <si>
    <t>J1a2a1a2d2b2a2a1b~</t>
  </si>
  <si>
    <t>Z28201</t>
  </si>
  <si>
    <t>J1a2a1a2d2b2a2b~</t>
  </si>
  <si>
    <t>AM00200.2/AMM109.2/CTS4554.2/Z2510.2, FGC15489.2/ZS4300.2, Y6384/ZS4295, Y17786, ZS4292, ZS4293, ZS4294, ZS4296, ZS4297, ZS4298, ZS4299, ZS4303, ZS4304, ZS4305, ZS4306, ZS4307, ZS4309, ZS4311, ZS4313, ZS4314, ZS4315, ZS4317, ZS4319, ZS4320, ZS4323, ZS4324, ZS4325, ZS4334, ZS4339, ZS8611</t>
  </si>
  <si>
    <t>J1a2a1a2d2b2a2b1~</t>
  </si>
  <si>
    <t>ZS4301, ZS4326, ZS4327, ZS4328, ZS4333</t>
  </si>
  <si>
    <t>J1a2a1a2d2b2a2b2~</t>
  </si>
  <si>
    <t>ZS8615</t>
  </si>
  <si>
    <t>J1a2a1a2d2b2a2c~</t>
  </si>
  <si>
    <t>Z28202, Z28203, Z28204, Z28205, Z28206, Z28207, Z28208, Z28209, Z28210, Z28211</t>
  </si>
  <si>
    <t>J1a2a1a2d2b2a2c1~</t>
  </si>
  <si>
    <t>Z28215, Z28216</t>
  </si>
  <si>
    <t>J1a2a1a2d2b2b~</t>
  </si>
  <si>
    <t>PF4843/Z2324</t>
  </si>
  <si>
    <t>J1a2a1a2d2b2b1~</t>
  </si>
  <si>
    <t>YP4763/ZS2524, Z37109, Z37110, ZS2518</t>
  </si>
  <si>
    <t>J1a2a1a2d2b2b1a~</t>
  </si>
  <si>
    <t xml:space="preserve">S7953/SK1297, SK1298, Z28217, Z28220, Z28221, Z28222, Z28223, Z28225, Z28226, Z28228, Z28229, Z28232, Z28233, Z28234, Z28235, Z28238, Z28239, Z28240, Z28242, Z28243, Z28244, Z28245, Z28246, Z28247, Z28248, Z28250, Z28251, Z28253, Z28277   </t>
  </si>
  <si>
    <t>J1a2a1a2d2b2b1a1~</t>
  </si>
  <si>
    <t>Z28254, Z28255</t>
  </si>
  <si>
    <t>J1a2a1a2d2b2b1a2~</t>
  </si>
  <si>
    <t>Z28256</t>
  </si>
  <si>
    <t>J1a2a1a2d2b2b1a3~</t>
  </si>
  <si>
    <t>Z28257, Z28258</t>
  </si>
  <si>
    <t>J1a2a1a2d2b2b1a4~</t>
  </si>
  <si>
    <t xml:space="preserve">Z28259 </t>
  </si>
  <si>
    <t>J1a2a1a2d2b2b1a5~</t>
  </si>
  <si>
    <t>Z28260, Z28261</t>
  </si>
  <si>
    <t>J1a2a1a2d2b2b1a6~</t>
  </si>
  <si>
    <t xml:space="preserve">Z28262 </t>
  </si>
  <si>
    <t>J1a2a1a2d2b2b1a7~</t>
  </si>
  <si>
    <t>Z28263, Z28264, Z28265, Z28266, Z28267</t>
  </si>
  <si>
    <t>J1a2a1a2d2b2b2~</t>
  </si>
  <si>
    <t>CTS11741/PF4847, PF4881/YSC0000235, Z2317</t>
  </si>
  <si>
    <t>J1a2a1a2d2b2b2a~</t>
  </si>
  <si>
    <t>Z44805, Z44806, Z44807</t>
  </si>
  <si>
    <t>J1a2a1a2d2b2b2b~</t>
  </si>
  <si>
    <t>Z44808, Z44809, Z44810, Z44811, Z44812</t>
  </si>
  <si>
    <t>J1a2a1a2d2b2b2c~</t>
  </si>
  <si>
    <t>PF4845/YSC0000234/Z2329</t>
  </si>
  <si>
    <t>J1a2a1a2d2b2b2c1~</t>
  </si>
  <si>
    <t>ZS6169, ZS6182, ZS6191, ZS6192, ZS6194</t>
  </si>
  <si>
    <t>TREE MOVES FAR TO YOUR RIGHT.  WIDEN WINDOW !!</t>
  </si>
  <si>
    <t>J1a2a1a2d2b2b2c2~</t>
  </si>
  <si>
    <t>FGC13863/Y3089/Z18262, FGC13865/Y3085/ZS242, FGC13868/Y3087/Z18261, FGC13869/Y3086/ZS241, FGC13870/Y3094/Z18264, FGC13871/Y3081/Z18259, FGC13875/Y3468, S16807, S21060, S21116</t>
  </si>
  <si>
    <t>J1a2a1a2d2b2b2c2a~</t>
  </si>
  <si>
    <t>FGC13862/Y3083, FGC13864/Y3091/Z18284, FGC13867/Y3093/Z18265, FGC13872/Y3092/Z18271, FGC13874/Y3088/Z18270, FGC13876/Y3467/Z18269, FGC13877/Y14232/Z18267, FGC17475/Y7290/ZS2438, S8223/ZS222, S10608, S18003, S19350, S20075/ZS227, S24930, S25313/ZS228, Y3084/ZS231, Y3090/ZS238, Y13966/ZS2401, ZS225, ZS2405</t>
  </si>
  <si>
    <t>J1a2a1a2d2b2b2c2a1~</t>
  </si>
  <si>
    <t xml:space="preserve">Z18291/ZS2406, ZS235, ZS237, ZS2395, ZS2400 </t>
  </si>
  <si>
    <t>J1a2a1a2d2b2b2c2a1a~</t>
  </si>
  <si>
    <t>ZS2415, ZS2417, ZS2420, ZS2426, ZS2429</t>
  </si>
  <si>
    <t>J1a2a1a2d2b2b2c2b~</t>
  </si>
  <si>
    <t xml:space="preserve">FGC13878/Y5400/Z18274, S12192, S17446/Z30824, S18537, S18764, S20001, S22932, S22972, Y5404/ZS4100, Y31793 </t>
  </si>
  <si>
    <t>J1a2a1a2d2b2b2c2b1~</t>
  </si>
  <si>
    <t xml:space="preserve">ZS2375, ZS2376 </t>
  </si>
  <si>
    <t>J1a2a1a2d2b2b2c2b1a~</t>
  </si>
  <si>
    <t>ZS2374</t>
  </si>
  <si>
    <t>J1a2a1a2d2b2b2c2b1a1~</t>
  </si>
  <si>
    <t>BY75/ZS2372, ZS2373</t>
  </si>
  <si>
    <t>J1a2a1a2d2b2b2c2b1a2~</t>
  </si>
  <si>
    <t>ZS10317, ZS10319</t>
  </si>
  <si>
    <t>J1a2a1a2d2b2b2c2b1a2a~</t>
  </si>
  <si>
    <t>S15852</t>
  </si>
  <si>
    <t>J1a2a1a2d2b2b2c2b1a2a1~</t>
  </si>
  <si>
    <t>ZS10316</t>
  </si>
  <si>
    <t>J1a2a1a2d2b2b2c2b2~</t>
  </si>
  <si>
    <t xml:space="preserve">BY68/FGC13880/Y5399/Z18279, FGC13881/Y5401, FGC13882/Y5405/Z18280, FGC13883/Y5403/Z18281, FGC13885/Y5406/Z18282 </t>
  </si>
  <si>
    <t>J1a2a1a2d2b2b2c2b2a~</t>
  </si>
  <si>
    <t>FGC9941/Y5409, FGC13889/Y5402/Z18283</t>
  </si>
  <si>
    <t>J1a2a1a2d2b2b2c2b2a1~</t>
  </si>
  <si>
    <t>FGC13892/Y13968/ZS2361</t>
  </si>
  <si>
    <t>J1a2a1a2d2b2b2c2b2a1a~</t>
  </si>
  <si>
    <t>FGC13884/ZS2357, FGC13887/ZS2358, FGC13888/ZS2359, FGC13891/ZS2360</t>
  </si>
  <si>
    <t>J1a2a1a2d2b2b2c2b2a1b~</t>
  </si>
  <si>
    <t>ZS5274, ZS5275, ZS5276</t>
  </si>
  <si>
    <t>J1a2a1a2d2b2b2c2b2a2~</t>
  </si>
  <si>
    <t>ZS9495</t>
  </si>
  <si>
    <t>J1a2a1a2d2b2b2c2b2a2a~</t>
  </si>
  <si>
    <t>FGC42066/ZS10006, ZS11008, ZS11010</t>
  </si>
  <si>
    <t>J1a2a1a2d2b2b2c2b2a2b~</t>
  </si>
  <si>
    <t>ZS9492, ZS9496</t>
  </si>
  <si>
    <t>J1a2a1a2d2b2b2c2b2a2b1~</t>
  </si>
  <si>
    <t>ZS9486, ZS9488, ZS9489, ZS9490, ZS9493, ZS9494</t>
  </si>
  <si>
    <t>J1a2a1a2d2b2b2c2b2a3~</t>
  </si>
  <si>
    <t>BY77/ZS2362, ZS2364, ZS2365</t>
  </si>
  <si>
    <t>J1a2a1a2d2b2b2c2b2a4~</t>
  </si>
  <si>
    <t>ZS10441</t>
  </si>
  <si>
    <t>J1a2a1a2d2b2b2c2b2a4a~</t>
  </si>
  <si>
    <t>ZS10440, ZS10442, ZS10444, ZS10445</t>
  </si>
  <si>
    <t>J1a2a1a2d2b2b2c2b2b~</t>
  </si>
  <si>
    <t>ZS2366, ZS2369</t>
  </si>
  <si>
    <t>J1a2a1a2d2b2b2c2b2b1~</t>
  </si>
  <si>
    <t>ZS2371</t>
  </si>
  <si>
    <t>J1a2a1a2d2b2b2c2b2b1a~</t>
  </si>
  <si>
    <t>ZS2367</t>
  </si>
  <si>
    <t>J1a2a1a2d2b2b2c2c~</t>
  </si>
  <si>
    <t xml:space="preserve">FGC17491/Z18290 </t>
  </si>
  <si>
    <t>J1a2a1a2d2b2b2c2c1~</t>
  </si>
  <si>
    <t>BY67/FGC17476/Z18285, FGC17477/Z18286</t>
  </si>
  <si>
    <t>J1a2a1a2d2b2b2c2c1a~</t>
  </si>
  <si>
    <t>FGC17484/Z18288, FGC17486, ZS2379, ZS2387</t>
  </si>
  <si>
    <t>J1a2a1a2d2b2b2c2c1a1~</t>
  </si>
  <si>
    <t xml:space="preserve">BY79/FGC17478/ZS2381, FGC17480/ZS2382, FGC17483/ZS2385, FGC17485/ZS2386, FGC17490/ZS2388   </t>
  </si>
  <si>
    <t>J1a2a1a2d2b2b2c2c1a2~</t>
  </si>
  <si>
    <t>ZS2380, ZS3664, ZS3665</t>
  </si>
  <si>
    <t>J1a2a1a2d2b2b2c2c1a3~</t>
  </si>
  <si>
    <t>ZS4340, ZS4341, ZS4342, ZS4343, ZS4344</t>
  </si>
  <si>
    <t>J1a2a1a2d2b2b2c3~</t>
  </si>
  <si>
    <t>FGC4745/Y12510, FGC4766/Y10745</t>
  </si>
  <si>
    <t>J1a2a1a2d2b2b2c3a~</t>
  </si>
  <si>
    <t>FGC48084, Y5148/ZS9422, Y20025, ZS9414, ZS9415, ZS9416, ZS9418, ZS9424, ZS9425, ZS9426, ZS9428, ZS9429, ZS9431, ZS9432, ZS9433, ZS9434, ZS9435, ZS9436, ZS9440, ZS9441, ZS9442</t>
  </si>
  <si>
    <t>J1a2a1a2d2b2b2c3a1~</t>
  </si>
  <si>
    <t>ZS10111, ZS10112, ZS10113, ZS10114, ZS10117</t>
  </si>
  <si>
    <t>J1a2a1a2d2b2b2c3b~</t>
  </si>
  <si>
    <t>FGC4736/Y12501, FGC4737/Y12508, FGC4738/Y10736, FGC4739/Y10737, FGC4741/Y12509, FGC4742/Y12498, FGC4754/Y10738, FGC4756/Y11295, FGC4757/Y10739, FGC4758/Y10740, FGC4759/Y10741, FGC4760/Y12345, FGC4762/Y12504, FGC4763/Y10742, FGC4765/Y12514, FGC4767/Y10746, FGC4768/Y12515, FGC4769/Y10747, FGC4770/Y12511, FGC4772/Y10748, FGC4774/Y10750, FGC4777/Y12513, FGC4778/Y12346, FGC4779/Y10751, FGC4780/Y10752, FGC4781/Y11297, FGC4784/Y10753, FGC4785/Y11298, FGC4786/Y10754, Y10743, Y10744</t>
  </si>
  <si>
    <t>J1a2a1a2d2b2b2c3b1~</t>
  </si>
  <si>
    <t>FGC21559/Y12347/ZS4655, FGC21561/Y12348/ZS4657, FGC21562/Y12350/ZS4658, FGC21565/Y12351/ZS4661, FGC21566/Y12352/ZS4663, FGC21567/Y12657, FGC21568/Y12353/ZS4664, FGC22397, FGC22395, Y10744</t>
  </si>
  <si>
    <t>J1a2a1a2d2b2b2c3b1a~</t>
  </si>
  <si>
    <t>FGC21560/ZS4656, FGC21564/ZS4660, Y20901, Y21779, Y21780</t>
  </si>
  <si>
    <t>J1a2a1a2d2b2b2c3b2~</t>
  </si>
  <si>
    <t>FGC4812/Y12655, FGC4814/Y12349, FGC4816/Y13516, FGC4817/Y12656</t>
  </si>
  <si>
    <t>J1a2a1a2d2b2b2c3b3~</t>
  </si>
  <si>
    <t>FGC4725/Y11777, FGC4726/Y12506, FGC4740/Y11776, FGC4744/Y12516, FGC4776/Y11778, FGC4783/Y12503, FGC4787/Y11779</t>
  </si>
  <si>
    <t>J1a2a1a2d2b2b2c3b3a~</t>
  </si>
  <si>
    <t>FGC51709/ZS11875</t>
  </si>
  <si>
    <t>J1a2a1a2d2b2b2c3b3a1~</t>
  </si>
  <si>
    <t>FGC51710/ZS11876, FGC51712</t>
  </si>
  <si>
    <t>J1a2a1a2d2b2b2c3b3b~</t>
  </si>
  <si>
    <t>FGC4799/Y12505, FGC4800/Y12507, L423/L1449</t>
  </si>
  <si>
    <t>J1a2a1a2d2b2b2c3c~</t>
  </si>
  <si>
    <t>ZS6272, ZS6274, ZS6280, ZS6283, ZS6285</t>
  </si>
  <si>
    <t>J1a2a1a2d2b2b2c4~</t>
  </si>
  <si>
    <t>CTS10835/PF4828/Z1884, PF4851/L858, YSC0000080</t>
  </si>
  <si>
    <t>J1a2a1a2d2b2b2c4a~</t>
  </si>
  <si>
    <t>PF4869, PF4872, PF4874, PF4876, PF4877, PF4879</t>
  </si>
  <si>
    <t>J1a2a1a2d2b2b2c4a1~</t>
  </si>
  <si>
    <t>CTS2572, L829/PF4875, PF4867, PF4878</t>
  </si>
  <si>
    <t>J1a2a1a2d2b2b2c4a1a~</t>
  </si>
  <si>
    <t>CTS2263/M7148/PF4852, PF4866</t>
  </si>
  <si>
    <t>J1a2a1a2d2b2b2c4a1a1~</t>
  </si>
  <si>
    <t>FGC12836, FGC1285/Y3800</t>
  </si>
  <si>
    <t>J1a2a1a2d2b2b2c4a1a1a~</t>
  </si>
  <si>
    <t>FGC12832</t>
  </si>
  <si>
    <t>J1a2a1a2d2b2b2c4a1a1b~</t>
  </si>
  <si>
    <t>CTS7699/YSC0001288, Z28288, Z28289, Z28290, Z28291, Z28292, Z28293</t>
  </si>
  <si>
    <t>J1a2a1a2d2b2b2c4a1a1c~</t>
  </si>
  <si>
    <t>Z28294, Z28295, Z28296</t>
  </si>
  <si>
    <t>J1a2a1a2d2b2b2c4b~</t>
  </si>
  <si>
    <t>FGC8182/Y2920, FGC8185/Y5761/ZS219, YSC0000076</t>
  </si>
  <si>
    <t>J1a2a1a2d2b2b2c4b1~</t>
  </si>
  <si>
    <t>FGC8223/Y3441</t>
  </si>
  <si>
    <t>J1a2a1a2d2b2b2c4b1a~</t>
  </si>
  <si>
    <t>ZS1515, ZS1517, ZS1527, ZS1530, ZS1534</t>
  </si>
  <si>
    <t>J1a2a1a2d2b2b2c4b1b~</t>
  </si>
  <si>
    <t>FGC8183, FGC8214, FGC8216, FGC8226</t>
  </si>
  <si>
    <t>J1a2a1a2d2b2b2c4b1b1~</t>
  </si>
  <si>
    <t xml:space="preserve">CTS5332/PF7472 </t>
  </si>
  <si>
    <t>J1a2a1a2d2b2b2c4b1b1a~</t>
  </si>
  <si>
    <t>ZS4360, ZS4365</t>
  </si>
  <si>
    <t>J1a2a1a2d2b2b2c4b1b2~</t>
  </si>
  <si>
    <t>FGC8195, FGC8196, FGC8204, FGC8213, FGC8217, FGC8220, FGC8227, FGC8231</t>
  </si>
  <si>
    <t>J1a2a1a2d2b2b2c4b1b3~</t>
  </si>
  <si>
    <t>ZS9039, ZS9040, ZS9041, ZS9043</t>
  </si>
  <si>
    <t>J1a2a1a2d2b2b2c4b1c~</t>
  </si>
  <si>
    <t>FGC8224/Y3442</t>
  </si>
  <si>
    <t>J1a2a1a2d2b2b2c4b1c1~</t>
  </si>
  <si>
    <t>FGC17145/Z18206, FGC17146/Z18209, FGC17159/Z18215, FGC22728, FGC22734, Z18207</t>
  </si>
  <si>
    <t>J1a2a1a2d2b2b2c4b1c2~</t>
  </si>
  <si>
    <t>ZS1581</t>
  </si>
  <si>
    <t>J1a2a1a2d2b2b2c4b1c3~</t>
  </si>
  <si>
    <t>FGC35123, SK1303/ZS1585, ZS1576, ZS1581</t>
  </si>
  <si>
    <t>J1a2a1a2d2b2b2c4b1c3a~</t>
  </si>
  <si>
    <t>FGC35108/ZS5598</t>
  </si>
  <si>
    <t>J1a2a1a2d2b2b2c4b1c3a1~</t>
  </si>
  <si>
    <t>SK1304/ZS1579, ZS1574, ZS1576, ZS1582</t>
  </si>
  <si>
    <t>J1a2a1a2d2b2b2c4b1c3a1a~</t>
  </si>
  <si>
    <t>ZS5597, ZS5602, ZS5604, ZS5606</t>
  </si>
  <si>
    <t>J1a2a1a2d2b2b2c4b1c3a1a1~</t>
  </si>
  <si>
    <t>ZS5599, ZS5601, ZS5603</t>
  </si>
  <si>
    <t>J1a2a1a2d2b2b2c4b1c3a1b~</t>
  </si>
  <si>
    <t>V1763/ZS6814, ZS6801, ZS6806, ZS6810</t>
  </si>
  <si>
    <t>J1a2a1a2d2b2b2c4b1c3a1b1~</t>
  </si>
  <si>
    <t>FGC35119</t>
  </si>
  <si>
    <t>J1a2a1a2d2b2b2c4b1c4~</t>
  </si>
  <si>
    <t>FGC22720</t>
  </si>
  <si>
    <t>J1a2a1a2d2b2b2c4b1c5~</t>
  </si>
  <si>
    <t>FGC17140/ZS1602, FGC17148/ZS1608, FGC17155/ZS4020, FGC31306, FGC31308, FGC31309, ZS6155, ZS6157</t>
  </si>
  <si>
    <t>J1a2a1a2d2b2b2c4b1c5a~</t>
  </si>
  <si>
    <t>FGC17141/ZS1603, FGC17150/ZS1610, YSC0000787</t>
  </si>
  <si>
    <t>J1a2a1a2d2b2b2c4b1c5a1~</t>
  </si>
  <si>
    <t>FGC17156^^/ZS1616^^</t>
  </si>
  <si>
    <t>J1a2a1a2d2b2b2c4b1c5a1a~</t>
  </si>
  <si>
    <t>ZS1607</t>
  </si>
  <si>
    <t>J1a2a1a2d2b2b2c4b1c5a1a1~</t>
  </si>
  <si>
    <t>ZS4008, ZS4009</t>
  </si>
  <si>
    <t>J1a2a1a2d2b2b2c4b1c5a1a2~</t>
  </si>
  <si>
    <t>ZS6319, ZS6572</t>
  </si>
  <si>
    <t>J1a2a1a2d2b2b2c4b1c5a1a2a~</t>
  </si>
  <si>
    <t>ZS6324</t>
  </si>
  <si>
    <t>J1a2a1a2d2b2b2c4b1c5a1a2a1~</t>
  </si>
  <si>
    <t>ZS7413</t>
  </si>
  <si>
    <t>J1a2a1a2d2b2b2c4b1c5a1a2a1a~</t>
  </si>
  <si>
    <t>ZS7406. ZS7409, ZS7411, ZS7412</t>
  </si>
  <si>
    <t>J1a2a1a2d2b2b2c4b1c5a1a2a1b~</t>
  </si>
  <si>
    <t xml:space="preserve">FGC17136/ZS1601, FGC17139/ZS1600, FGC17142/ZS1605, FGC17149/ZS1609, L1279  </t>
  </si>
  <si>
    <t>J1a2a1a2d2b2b2c4b1c5a1a3~</t>
  </si>
  <si>
    <t>FGC30108/ZS4870, FGC30112/ZS4875, FGC30114/ZS4878, FGC43934</t>
  </si>
  <si>
    <t>J1a2a1a2d2b2b2c4b1c5a1a3a~</t>
  </si>
  <si>
    <t>FGC43931</t>
  </si>
  <si>
    <t>J1a2a1a2d2b2b2c4b1c5a1a4~</t>
  </si>
  <si>
    <t>FGC17144/ZS1606</t>
  </si>
  <si>
    <t>J1a2a1a2d2b2b2c4b1c5a1a4a~</t>
  </si>
  <si>
    <t>FGC30149</t>
  </si>
  <si>
    <t>J1a2a1a2d2b2b2c4b1c5a1a4a1~</t>
  </si>
  <si>
    <t>FGC37869</t>
  </si>
  <si>
    <t>J1a2a1a2d2b2b2c4b1c5a1a4a1a~</t>
  </si>
  <si>
    <t>FGC30148/ZS4615</t>
  </si>
  <si>
    <t>J1a2a1a2d2b2b2c4b1c5a1a4b~</t>
  </si>
  <si>
    <t>FGC31310</t>
  </si>
  <si>
    <t>J1a2a1a2d2b2b2c4b1d~</t>
  </si>
  <si>
    <t>ZS1559</t>
  </si>
  <si>
    <t>J1a2a1a2d2b2b2c4b1d1~</t>
  </si>
  <si>
    <t>ZS1548, ZS1549, ZS1552, ZS5155</t>
  </si>
  <si>
    <t>J1a2a1a2d2b2b2c4b1d2~</t>
  </si>
  <si>
    <t xml:space="preserve">FGC32785/ZS6820, FGC32786/ZS6821, ZS6829, ZS6834 </t>
  </si>
  <si>
    <t>J1a2a1a2d2b2b2c4b1e~</t>
  </si>
  <si>
    <t>Z18186, Z18187, Z18188, Z18190</t>
  </si>
  <si>
    <t>J1a2a1a2d2b2b2c4b1e1~</t>
  </si>
  <si>
    <t>L1253, Z18182, Z18183, Z18185, Z18189</t>
  </si>
  <si>
    <t>J1a2a1a2d2b2b2c4b1f~</t>
  </si>
  <si>
    <t>ZS1542</t>
  </si>
  <si>
    <t>J1a2a1a2d2b2b2c4b2~</t>
  </si>
  <si>
    <t xml:space="preserve">FGC15940/Y6094 </t>
  </si>
  <si>
    <t>J1a2a1a2d2b2b2c4b2a~</t>
  </si>
  <si>
    <t>ZS1711</t>
  </si>
  <si>
    <t>J1a2a1a2d2b2b2c4b2a1~</t>
  </si>
  <si>
    <t>Y16813.1/Z18216.1</t>
  </si>
  <si>
    <t>J1a2a1a2d2b2b2c4b2a1a~</t>
  </si>
  <si>
    <t>ZS1706</t>
  </si>
  <si>
    <t>J1a2a1a2d2b2b2c4b2a1a1~</t>
  </si>
  <si>
    <t>L823/YSC0000212, ZS1708, ZS1712, ZS1713. ZS1714, ZS1715, ZS1719, ZS1720, ZS1722, ZS1726, ZS1727</t>
  </si>
  <si>
    <t>J1a2a1a2d2b2b2c4b2a1a1a~</t>
  </si>
  <si>
    <t xml:space="preserve">BY101/ZS1703, ZS1705, ZS1707, ZS1710, ZS1716, ZS1717, ZS1718, ZS1721, ZS1725 </t>
  </si>
  <si>
    <t>J1a2a1a2d2b2b2c4b2a1a1b~</t>
  </si>
  <si>
    <t>ZS4763, ZS4764, ZS4765, ZS4769, ZS4772</t>
  </si>
  <si>
    <t>J1a2a1a2d2b2b2c4b2a1a1b1~</t>
  </si>
  <si>
    <t>ZS4768</t>
  </si>
  <si>
    <t>J1a2a1a2d2b2b2c4b2a1a1b1a~</t>
  </si>
  <si>
    <t xml:space="preserve">BY1795/ZS11216, ZS4767 </t>
  </si>
  <si>
    <t>J1a2a1a2d2b2b2c4b2a1a2~</t>
  </si>
  <si>
    <t>FGC25832/YP2753/ZS4838, ZS4837, ZS4839, ZS4842, ZS4846, ZS4847, ZS4850, ZS4851, ZS4853, ZS4854, ZS4855, ZS4858, ZS4860, ZS4862, ZS4866, ZS4867</t>
  </si>
  <si>
    <t>J1a2a1a2d2b2b2c4b2a1b~</t>
  </si>
  <si>
    <t>ZS5891, ZS5892.1, ZS5895, ZS5898</t>
  </si>
  <si>
    <t>J1a2a1a2d2b2b2c4b2a1b1~</t>
  </si>
  <si>
    <t>FGC12309, ZS5884, ZS5886, ZS5888</t>
  </si>
  <si>
    <t>J1a2a1a2d2b2b2c4b2a1c~</t>
  </si>
  <si>
    <t>ZS1766, ZS1767, ZS1775, ZS1778</t>
  </si>
  <si>
    <t>J1a2a1a2d2b2b2c4b2b~</t>
  </si>
  <si>
    <t>FGC15938/Y6095, FGC15996/Y6096</t>
  </si>
  <si>
    <t>J1a2a1a2d2b2b2c4b2b1~</t>
  </si>
  <si>
    <t>PF7267</t>
  </si>
  <si>
    <t>J1a2a1a2d2b2b2c4b2b1a~</t>
  </si>
  <si>
    <t>BY102/ZS1659, Z28268, Z28286, Z28279, Z28285, ZS1661, ZS1674, ZS1679, ZS1680, ZS1684, ZS1690, ZS1697, ZS1699, Z1700</t>
  </si>
  <si>
    <t>J1a2a1a2d2b2b2c4b2b1a1~</t>
  </si>
  <si>
    <t>F450/M1667</t>
  </si>
  <si>
    <t>J1a2a1a2d2b2b2c4b2b1a1a~</t>
  </si>
  <si>
    <t>ZS1662, ZS1665, ZS1670, ZS1671, ZS1672, ZS1681, ZS1682, ZS1683, ZS1685, ZS1688, ZS1691, ZS6210, ZS6214, ZS6968</t>
  </si>
  <si>
    <t>J1a2a1a2d2b2b2c4b2b1a1a1~</t>
  </si>
  <si>
    <t>ZS1682</t>
  </si>
  <si>
    <t>J1a2a1a2d2b2b2c4b2b1a1a1a~</t>
  </si>
  <si>
    <t>ZS6955, ZS6958, ZS6963</t>
  </si>
  <si>
    <t>J1a2a1a2d2b2b2c4b2b1a1b~</t>
  </si>
  <si>
    <t>ZS1686</t>
  </si>
  <si>
    <t>J1a2a1a2d2b2b2c4b2b1a2~</t>
  </si>
  <si>
    <t>PF7266, PF7268, Z28270, Z28277, Z28283</t>
  </si>
  <si>
    <t>J1a2a1a2d2b2b2c4b2b2~</t>
  </si>
  <si>
    <t xml:space="preserve">CTS1746, CTS4369, CTS5857/ZS215, CTS8195/ZS213, CTS8222 </t>
  </si>
  <si>
    <t>J1a2a1a2d2b2b2c4b2b3~</t>
  </si>
  <si>
    <t>ZS1644</t>
  </si>
  <si>
    <t>J1a2a1a2d2b2b2c4c~</t>
  </si>
  <si>
    <t>CTS6152/Z2297, FGC5205/Y2334, FGC7981/Y2347/ZS157, Z640, Z641</t>
  </si>
  <si>
    <t>J1a2a1a2d2b2b2c4c1~</t>
  </si>
  <si>
    <t>FGC52766/Y23728, L174, ZS1325, ZS1326, ZS1332, ZS1335, ZS1342, ZS1343, ZS7611</t>
  </si>
  <si>
    <t>J1a2a1a2d2b2b2c4c2~</t>
  </si>
  <si>
    <t>BY74/Z18180</t>
  </si>
  <si>
    <t>J1a2a1a2d2b2b2c4c2a~</t>
  </si>
  <si>
    <t>Y22688, ZS1482</t>
  </si>
  <si>
    <t>J1a2a1a2d2b2b2c4c2a1~</t>
  </si>
  <si>
    <t>ZS1479</t>
  </si>
  <si>
    <t>J1a2a1a2d2b2b2c4c2a1a~</t>
  </si>
  <si>
    <t>ZS6362, ZS6381</t>
  </si>
  <si>
    <t>J1a2a1a2d2b2b2c4c2a1a1~</t>
  </si>
  <si>
    <t>ZS1468, ZS1469, ZS1470, ZS1471, ZS1473</t>
  </si>
  <si>
    <t>J1a2a1a2d2b2b2c4c3~</t>
  </si>
  <si>
    <t>FGC5213, FGC5230, FGC5232, FGC5239</t>
  </si>
  <si>
    <t>J1a2a1a2d2b2b2c4c3a~</t>
  </si>
  <si>
    <t>FGC5206, FGC5211, FGC5214, FGC5215, FGC5216, FGC5217, FGC5218, FGC5219, FGC5220, FGC5221, FGC5225, FGC5226, FGC5227, FGC5228, FGC5235, FGC5237, FGC5241, FGC7982</t>
  </si>
  <si>
    <t>J1a2a1a2d2b2b2c4c4~</t>
  </si>
  <si>
    <t>CTS1922/Z2295, CTS5799/Z2296, CTS11754, Z642</t>
  </si>
  <si>
    <t>J1a2a1a2d2b2b2c4c4a~</t>
  </si>
  <si>
    <t>Z2293</t>
  </si>
  <si>
    <t>J1a2a1a2d2b2b2c4c4a1~</t>
  </si>
  <si>
    <t>CTS4514/Z2274, CTS7034/Z2278, Z2270</t>
  </si>
  <si>
    <t>J1a2a1a2d2b2b2c4c4a1a~</t>
  </si>
  <si>
    <t>CTS757, CTS4510/Z2273, CTS4515/Z2275, CTS6792, CTS7278/M721/PF7524, CTS9836/Z2282. CTS11495/Z2288, Z2276, Z2280, Z2290, Z27746, ZS1370, ZS1376</t>
  </si>
  <si>
    <t>J1a2a1a2d2b2b2c4c4a1a1~</t>
  </si>
  <si>
    <t>Z2289</t>
  </si>
  <si>
    <t>J1a2a1a2d2b2b2c4c4a1a1a~</t>
  </si>
  <si>
    <t>Z18554, ZS1371, ZS1373, ZS1374, ZS1375</t>
  </si>
  <si>
    <t>J1a2a1a2d2b2b2c4c4a1a1b~</t>
  </si>
  <si>
    <t>ZS156, ZS1348, ZS1349, ZS1350, ZS1351</t>
  </si>
  <si>
    <t>J1a2a1a2d2b2b2c4c4a2~</t>
  </si>
  <si>
    <t>FGC30542/ZS5746</t>
  </si>
  <si>
    <t>J1a2a1a2d2b2b2c4c4a2a~</t>
  </si>
  <si>
    <t>FGC30544/ZS5769, FGC30545/ZS5770</t>
  </si>
  <si>
    <t>J1a2a1a2d2b2b2c4c4a2a1~</t>
  </si>
  <si>
    <t>CTS130, M3807, Z27728</t>
  </si>
  <si>
    <t>J1a2a1a2d2b2b2c4c4a2a1a~</t>
  </si>
  <si>
    <t>Z44869, ZS1365, ZS1366, ZS1367, ZS1369</t>
  </si>
  <si>
    <t>J1a2a1a2d2b2b2c4c5~</t>
  </si>
  <si>
    <t>ZS1409, ZS1411, ZS1413, ZS1414, ZS1420</t>
  </si>
  <si>
    <t>J1a2a1a2d2b2b2c4d~</t>
  </si>
  <si>
    <t>FGC11/Y3015</t>
  </si>
  <si>
    <t>J1a2a1a2d2b2b2c4d1~</t>
  </si>
  <si>
    <t>FGC3716/Y15057, FGC3723/Y6370, FGC3744</t>
  </si>
  <si>
    <t>J1a2a1a2d2b2b2c4d1a~</t>
  </si>
  <si>
    <t>CTS10177, FGC3708/Y6371</t>
  </si>
  <si>
    <t>J1a2a1a2d2b2b2c4d1a1~</t>
  </si>
  <si>
    <t>FGC3718/Y6369</t>
  </si>
  <si>
    <t>J1a2a1a2d2b2b2c4d1a1a~</t>
  </si>
  <si>
    <t>Z18258</t>
  </si>
  <si>
    <t>J1a2a1a2d2b2b2c4d1a1a1~</t>
  </si>
  <si>
    <t>Z18256, Z18257</t>
  </si>
  <si>
    <t>J1a2a1a2d2b2b2c4d1a1a1a~</t>
  </si>
  <si>
    <t>ZS2260, ZS2272</t>
  </si>
  <si>
    <t>J1a2a1a2d2b2b2c4d1a1b~</t>
  </si>
  <si>
    <t>FGC3729</t>
  </si>
  <si>
    <t>J1a2a1a2d2b2b2c4d1a1b1~</t>
  </si>
  <si>
    <t>FGC3706, FGC3707, FGC3722, FGC3728</t>
  </si>
  <si>
    <t>J1a2a1a2d2b2b2c4d2~</t>
  </si>
  <si>
    <t>FGC1722/S21237, FGC1701/Y8768, FGC1710/Y4352</t>
  </si>
  <si>
    <t>J1a2a1a2d2b2b2c4d2a~</t>
  </si>
  <si>
    <t>FGC1720/Y4348</t>
  </si>
  <si>
    <t>J1a2a1a2d2b2b2c4d2a1~</t>
  </si>
  <si>
    <t>FGC54321, Z18243</t>
  </si>
  <si>
    <t>J1a2a1a2d2b2b2c4d2a1a~</t>
  </si>
  <si>
    <t>FGC54316, Y25838, ZS2156, ZS2167, ZS2168, ZS2170, ZS2175, ZS2176</t>
  </si>
  <si>
    <t>J1a2a1a2d2b2b2c4d2a2~</t>
  </si>
  <si>
    <t>FGC12/Y8770</t>
  </si>
  <si>
    <t>J1a2a1a2d2b2b2c4d2a2a~</t>
  </si>
  <si>
    <t>FGC1723/Y4349, FGC1731/Y4350</t>
  </si>
  <si>
    <t>J1a2a1a2d2b2b2c4d2a2a1~</t>
  </si>
  <si>
    <t>FGC8712/Y6074</t>
  </si>
  <si>
    <t>J1a2a1a2d2b2b2c4d2a2a1a~</t>
  </si>
  <si>
    <t>FGC8704/Y12357, FGC8711/Y12868, FGC8713/Y12358, FGC8714/Y12359, FGC8719/Y12886, FGC8720/Y12867,  FGC8726/Y12360, FGC8731/Y12362, L859</t>
  </si>
  <si>
    <t>J1a2a1a2d2b2b2c4d2a2a1a1~</t>
  </si>
  <si>
    <t>FGC8705/Y12864/ZS4258, FGC8721/Y12870</t>
  </si>
  <si>
    <t>J1a2a1a2d2b2b2c4d2a2a1a1a~</t>
  </si>
  <si>
    <t>FGC8703/Y12869</t>
  </si>
  <si>
    <t>J1a2a1a2d2b2b2c4d2a2a1a1a1~</t>
  </si>
  <si>
    <t>FGC10500/Y12361</t>
  </si>
  <si>
    <t>J1a2a1a2d2b2b2c4d2a2a1a1a1a~</t>
  </si>
  <si>
    <t>FGC9581</t>
  </si>
  <si>
    <t>J1a2a1a2d2b2b2c4d2a2a1a1a1a1~</t>
  </si>
  <si>
    <t>FGC9583, FGC9585, FGC9587, FGC30566/ZS5823</t>
  </si>
  <si>
    <t>J1a2a1a2d2b2b2c4d2a2a1a1a1a1a~</t>
  </si>
  <si>
    <t>FGC30569/ZS5819, FGC30570/ZS5820, FGC30571/ZS5821</t>
  </si>
  <si>
    <t>J1a2a1a2d2b2b2c4d2a2a1a1a1a1a1~</t>
  </si>
  <si>
    <t>Z34140.2/ZS5822.2</t>
  </si>
  <si>
    <t>J1a2a1a2d2b2b2c4d2a2a1a1a1b~</t>
  </si>
  <si>
    <t>CTS8308/S4392, FGC10492, FGC10493/Y12870</t>
  </si>
  <si>
    <t>J1a2a1a2d2b2b2c4d2a2a1a1a1c~</t>
  </si>
  <si>
    <t>ZS2094, ZS2095, ZS2096, ZS2099</t>
  </si>
  <si>
    <t>J1a2a1a2d2b2b2c4d2a2a1a1a1d~</t>
  </si>
  <si>
    <t>FGC30416/ZS5871</t>
  </si>
  <si>
    <t>J1a2a1a2d2b2b2c4d2a2a1b~</t>
  </si>
  <si>
    <t>L615</t>
  </si>
  <si>
    <t>J1a2a1a2d2b2b2c4d2a2a1c~</t>
  </si>
  <si>
    <t xml:space="preserve">ZS2102, ZS2104, ZS2108, ZS2109, ZS2111, ZS2113, ZS2114, ZS2115, ZS2117, ZS2118, ZS2119, ZS2120, ZS2124, ZS2125, ZS2126, ZS2127  </t>
  </si>
  <si>
    <t>J1a2a1a2d2b2b2c4d2a2a1c1~</t>
  </si>
  <si>
    <t>BY3722</t>
  </si>
  <si>
    <t>J1a2a1a2d2b2b2c4d2a2a2~</t>
  </si>
  <si>
    <t>SK1293, SK1294, Y7708/Z29414, ZS11641, ZS11645, ZS11979, ZS11980, ZS11983, ZS11984, ZS11985, ZS11986, ZS11988, ZS11989, ZS11993, ZS11994, ZS11995, ZS11997, BY5, BY6, BY7</t>
  </si>
  <si>
    <t>J1a2a1a2d2b2b2c4d2a2a2a~</t>
  </si>
  <si>
    <t>SK1236/ZS2066, ZS2068, ZS2072, ZS2074</t>
  </si>
  <si>
    <t>J1a2a1a2d2b2b2c4d2a2a2a1~</t>
  </si>
  <si>
    <t xml:space="preserve">FGC39460, Y17402/ZS6992, Y17664/ZS6993, ZS2076, ZS4083, ZS4086, ZS4087, ZS4088 </t>
  </si>
  <si>
    <t>J1a2a1a2d2b2b2c4d2a2a2a1a~</t>
  </si>
  <si>
    <t xml:space="preserve">ZS4082 </t>
  </si>
  <si>
    <t>J1a2a1a2d2b2b2c4d2a2a2a1a1~</t>
  </si>
  <si>
    <t>ZS4085</t>
  </si>
  <si>
    <t>J1a2a1a2d2b2b2c4d2a2a2a1a1a~</t>
  </si>
  <si>
    <t>FGC39458, FGC39461.1</t>
  </si>
  <si>
    <t>J1a2a1a2d2b2b2c4d2a2a3~</t>
  </si>
  <si>
    <t>BY8/FGC14295/Y10723</t>
  </si>
  <si>
    <t>J1a2a1a2d2b2b2c4d2a2a3a~</t>
  </si>
  <si>
    <t>Y21750, Y21751, Y21752, Y21753, ZS4062</t>
  </si>
  <si>
    <t>J1a2a1a2d2b2b2c4d2a2a3a1~</t>
  </si>
  <si>
    <t xml:space="preserve">BY4060/Y21756, BY4062/Y21757, Y21749, ZS9173, ZS9174, ZS9175, ZS9176, ZS9177, ZS9178, ZS9179, ZS9180, ZS9181, ZS9188 </t>
  </si>
  <si>
    <t>J1a2a1a2d2b2b2c4d2a2a3a1a~</t>
  </si>
  <si>
    <t>Y22084, Y22085, Y22086, Y22087, Y22088</t>
  </si>
  <si>
    <t>J1a2a1a2d2b2b2c4d2a2a3b~</t>
  </si>
  <si>
    <t>BY9/FGC14303/Y11545</t>
  </si>
  <si>
    <t>J1a2a1a2d2b2b2c4d2a2a3b1~</t>
  </si>
  <si>
    <t xml:space="preserve">Y14417/ZS6040, Y14418/ZS1951, Y14429/ZS6051, Y14523/ZS1955, Y14524/ZS1957, Y14527/ZS1963, Y14528/ZS6054  </t>
  </si>
  <si>
    <t>J1a2a1a2d2b2b2c4d2a2a3b1a~</t>
  </si>
  <si>
    <t>Y14419, Y14427/ZS6048, Y14431/ZS1964, Y14525/ZS1958, Y14526/ZS6049</t>
  </si>
  <si>
    <t>J1a2a1a2d2b2b2c4d2a2a3b1a1~</t>
  </si>
  <si>
    <t>ZS8265</t>
  </si>
  <si>
    <t>J1a2a1a2d2b2b2c4d2a2a3b1b~</t>
  </si>
  <si>
    <t>ZS10260, ZS10261, ZS10263, ZS10265, ZS10270</t>
  </si>
  <si>
    <t>J1a2a1a2d2b2b2c4d2a2a3b1b1~</t>
  </si>
  <si>
    <t>ZS10262, ZS10266, ZS10267, ZS10268</t>
  </si>
  <si>
    <t>J1a2a1a2d2b2b2c4d2a2a3b2~</t>
  </si>
  <si>
    <t>FGC29864</t>
  </si>
  <si>
    <t>J1a2a1a2d2b2b2c4d2a2a3b2a~</t>
  </si>
  <si>
    <t xml:space="preserve">FGC14294/Y14281/ZS1970, FGC14297/Y14280/ZS1966, FGC31455/Y13964, Y14279   </t>
  </si>
  <si>
    <t>J1a2a1a2d2b2b2c4d2a2a3b2a1~</t>
  </si>
  <si>
    <t>ZS6861, ZS6862</t>
  </si>
  <si>
    <t>J1a2a1a2d2b2b2c4d2a2a3b2a2~</t>
  </si>
  <si>
    <t>FGC14302</t>
  </si>
  <si>
    <t>J1a2a1a2d2b2b2c4d2a2a3b2a2a~</t>
  </si>
  <si>
    <t xml:space="preserve">FGC14304/ZS1973, FGC31463 </t>
  </si>
  <si>
    <t>J1a2a1a2d2b2b2c4d2a2a3b2b~</t>
  </si>
  <si>
    <t xml:space="preserve">BY136/FGC19909/Y11883/Z18229, BY137/FGC19911/Y11884/Z18230 </t>
  </si>
  <si>
    <t>J1a2a1a2d2b2b2c4d2a2a3b2b1~</t>
  </si>
  <si>
    <t xml:space="preserve">Y13353/ZS6446, Y13354/ZS6460, Y13896/ZS6453, Y13897/ZS6448, Y13898/ZS6449, Y13899/ZS6458, Y22489, ZS6445 </t>
  </si>
  <si>
    <t>J1a2a1a2d2b2b2c4d2a2a3b2b1a~</t>
  </si>
  <si>
    <t>ZS6454</t>
  </si>
  <si>
    <t>J1a2a1a2d2b2b2c4d2a2a3b2b1b~</t>
  </si>
  <si>
    <t>ZS6706, ZS6707, ZS6711, ZS6712, ZS6715</t>
  </si>
  <si>
    <t>J1a2a1a2d2b2b2c4d2a2a3b2b2~</t>
  </si>
  <si>
    <t>FGC19899/ZS9514, ZS2003, ZS2017</t>
  </si>
  <si>
    <t>J1a2a1a2d2b2b2c4d2a2a3b2b2a~</t>
  </si>
  <si>
    <t>FGC19901/ZS2006, FGC19907/ZS2014, FGC19910/ZS2019</t>
  </si>
  <si>
    <t>J1a2a1a2d2b2b2c4d2a2a3b2b2a1~</t>
  </si>
  <si>
    <t>ZS10047</t>
  </si>
  <si>
    <t>J1a2a1a2d2b2b2c4d2a2a3b2b2a1a~</t>
  </si>
  <si>
    <t>ZS10044</t>
  </si>
  <si>
    <t>J1a2a1a2d2b2b2c4d2a2a3b2b2a1a1~</t>
  </si>
  <si>
    <t>Z39629.2/ZS10046.2</t>
  </si>
  <si>
    <t>J1a2a1a2d2b2b2c4d2a2a3b2b2a2~</t>
  </si>
  <si>
    <t>ZS2010</t>
  </si>
  <si>
    <t>J1a2a1a2d2b2b2c4d2a2a3b2b2a2a~</t>
  </si>
  <si>
    <t>ZS2007</t>
  </si>
  <si>
    <t>J1a2a1a2d2b2b2c4d2a2a3b2b2a2a1~</t>
  </si>
  <si>
    <t>ZS2013</t>
  </si>
  <si>
    <t>J1a2a1a2d2b2b2c4d2a2a3b2b3~</t>
  </si>
  <si>
    <t>CTS1165, FGC58484, Y13099/Z18236, Y13100/ZS1997, Y13101/Z18237, Y31822, Y13392/Z18231, Y13393/Z18232, Y13394/ZS1985, Y13395/Z18233, Y13396/Z18234, Y13397/ZS1995, Y13398/Z18235, Y13399/Z18238, Y13400/Z18240, Y13401/Z18241, Y21759, Y21760</t>
  </si>
  <si>
    <t>J1a2a1a2d2b2b2c4d2a2a3b2b3a~</t>
  </si>
  <si>
    <t>ZS5487</t>
  </si>
  <si>
    <t>J1a2a1a2d2b2b2c4d2a2a3b2b4~</t>
  </si>
  <si>
    <t xml:space="preserve">FGC29863, ZS2021, ZS2022, ZS2023, ZS2027, ZS2028, ZS2035, ZS2042, ZS2043 </t>
  </si>
  <si>
    <t>J1a2a1a2d2b2b2c4d2a2a3b2b4a~</t>
  </si>
  <si>
    <t>FGC31329</t>
  </si>
  <si>
    <t>J1a2a1a2d2b2b2c4d2a2a3b2b4a1~</t>
  </si>
  <si>
    <t>FGC31331</t>
  </si>
  <si>
    <t>J1a2a1a2d2b2b2c4d2a2a3b2b4b~</t>
  </si>
  <si>
    <t xml:space="preserve">FGC29860 </t>
  </si>
  <si>
    <t>J1a2a1a2d2b2b2c4d2a2a3b2b5~</t>
  </si>
  <si>
    <t>ZS4227, ZS4242</t>
  </si>
  <si>
    <t>J1a2a1a2d2b2b2c4d2a2a4~</t>
  </si>
  <si>
    <t>FGC4415</t>
  </si>
  <si>
    <t>J1a2a1a2d2b2b2c4d2a2a4a~</t>
  </si>
  <si>
    <t>FGC4422/Y13481</t>
  </si>
  <si>
    <t>J1a2a1a2d2b2b2c4d2a2a4a1~</t>
  </si>
  <si>
    <t>FGC10375, FGC10378, FGC10379, FGC10380, FGC10384, FGC10387, FGC10388, FGC10393, FGC10395, FGC10397, FGC10398, FGC10400, FGC10401, L89</t>
  </si>
  <si>
    <t>J1a2a1a2d2b2b2c4d2a2a4a1a~</t>
  </si>
  <si>
    <t>ZS10091, ZS10098, ZS10100</t>
  </si>
  <si>
    <t>J1a2a1a2d2b2b2c4d2a2a4a1b~</t>
  </si>
  <si>
    <t>FGC10377, FGC10381, FGC10382, FGC10391, FGC10394, FGC10402, ZS10060, ZS10061</t>
  </si>
  <si>
    <t>J1a2a1a2d2b2b2c4d2a2a4a1c~</t>
  </si>
  <si>
    <t>FGC10376, FGC10390</t>
  </si>
  <si>
    <t>J1a2a1a2d2b2b2c4d2a2a4a1c1~</t>
  </si>
  <si>
    <t>FGC10389</t>
  </si>
  <si>
    <t>J1a2a1a2d2b2b2c4d2a2a4a2~</t>
  </si>
  <si>
    <t>FGC42781</t>
  </si>
  <si>
    <t>J1a2a1a2d2b2b2c4d2a2a4a2a~</t>
  </si>
  <si>
    <t>FGC42788, ZS4201, ZS4207, ZS4208, ZS4215, ZS4216, ZS4221</t>
  </si>
  <si>
    <t>J1a2a1a2d2b2b2c4d2a2a4a2a1~</t>
  </si>
  <si>
    <t>Y21743, Y21745</t>
  </si>
  <si>
    <t>J1a2a1a2d2b2b2c4d2a2a4a2a1a~</t>
  </si>
  <si>
    <t>ZS5217</t>
  </si>
  <si>
    <t>J1a2a1a2d2b2b2c4d2a2a4a2a1a1~</t>
  </si>
  <si>
    <t>ZS5215, ZS5217, ZS4221</t>
  </si>
  <si>
    <t>J1a2a1a2d2b2b2c4d2a2a4a2a2~</t>
  </si>
  <si>
    <t xml:space="preserve">FGC42796, FGC42797, Y21741/Z24250, ZS4200, ZS4201, ZS4203, ZS4204, ZS4204   </t>
  </si>
  <si>
    <t>J1a2a1a2d2b2b2c4d2a2a4a3~</t>
  </si>
  <si>
    <t>FGC4421/Y14652</t>
  </si>
  <si>
    <t>J1a2a1a2d2b2b2c4d2a2a4a3a~</t>
  </si>
  <si>
    <t>FGC4402, FGC4416/Y14649, FGC4417, FGC4420/Y14650, FGC4427, FGC4433/Y14648, FGC4708/Y14643, FGC4720/Y14646/ZS10545</t>
  </si>
  <si>
    <t>J1a2a1a2d2b2b2c4d2a2a4a3a1~</t>
  </si>
  <si>
    <t>ZS10294, ZS10295, ZS10299, ZS10324</t>
  </si>
  <si>
    <t>J1a2a1a2d2b2b2c4d2a2a4a3a1a~</t>
  </si>
  <si>
    <t>FGC46263, FGC47082, FGC47090, FGC47094, ZS10297</t>
  </si>
  <si>
    <t>J1a2a1a2d2b2b2c4d2a2a4a3a1a1~</t>
  </si>
  <si>
    <t>FGC47087, ZS10740</t>
  </si>
  <si>
    <t>J1a2a1a2d2b2b2c4d2a2a4a3a1a1a~</t>
  </si>
  <si>
    <t>FGC47085, FGC47088, FGC47089</t>
  </si>
  <si>
    <t>J1a2a1a2d2b2b2c4d2a2a4a3a1a1b~</t>
  </si>
  <si>
    <t>BZ624/ZS12151, ZS12149, ZS12150, ZS12152, ZS12155, ZS12156, ZS12157</t>
  </si>
  <si>
    <t>J1a2a1a2d2b2b2c4d2a2a4a3a1a2~</t>
  </si>
  <si>
    <t>ZS10325</t>
  </si>
  <si>
    <t>J1a2a1a2d2b2b2c4d2a2a4a3a1b~</t>
  </si>
  <si>
    <t>FGC4411/Y14642</t>
  </si>
  <si>
    <t>J1a2a1a2d2b2b2c4d2a2a4a3a1b1~</t>
  </si>
  <si>
    <t>FGC4423</t>
  </si>
  <si>
    <t>J1a2a1a2d2b2b2c4d2a2a4a3a1b1a~</t>
  </si>
  <si>
    <t>FGC4429</t>
  </si>
  <si>
    <t>J1a2a1a2d2b2b2c4d2a2a4a3a1b1a1~</t>
  </si>
  <si>
    <t>FGC4425, FGC4428, FGC4430</t>
  </si>
  <si>
    <t>J1a2a1a2d2b2b2c4d2a2a4a3a1b1a2~</t>
  </si>
  <si>
    <t>ZS8307</t>
  </si>
  <si>
    <t>J1a2a1a2d2b2b2c4d2a2a4a3a1b1a2a~</t>
  </si>
  <si>
    <t>ZS8308</t>
  </si>
  <si>
    <t>J1a2a1a2d2b2b2c4d2a2a4a3a1b1b~</t>
  </si>
  <si>
    <t>FGC4708/Y14643</t>
  </si>
  <si>
    <t>J1a2a1a2d2b2b2c4d2a2a4a3a1b1b1~</t>
  </si>
  <si>
    <t xml:space="preserve">FGC4705/Y14641, FGC4710, FGC7962/Y14647, FGC7963, M6661/V3134 </t>
  </si>
  <si>
    <t>J1a2a1a2d2b2b2c4d2a2a4a3a1b1b1a~</t>
  </si>
  <si>
    <t>FGC4712/Y14651, FGC4713/Y14653, FGC4716, FGC4717/Y14644, FGC4719/Y14645</t>
  </si>
  <si>
    <t>J1a2a1a2d2b2b2c4d2a2a4a3a1b1b1a1~</t>
  </si>
  <si>
    <t>FGC4702</t>
  </si>
  <si>
    <t>J1a2a1a2d2b2b2c4d2a2a4a3a1b1b1a1a~</t>
  </si>
  <si>
    <t>FGC4711</t>
  </si>
  <si>
    <t>J1a2a1a2d2b2b2c4d2a2a4a3a1b1b1a1a1~</t>
  </si>
  <si>
    <t>FGC29798</t>
  </si>
  <si>
    <t>J1a2a1a2d2b2b2c4d2a2a4a3a1b1b1a2~</t>
  </si>
  <si>
    <t>ZS9471</t>
  </si>
  <si>
    <t>J1a2a1a2d2b2b2c4d2a2a4a3a1b1b2~</t>
  </si>
  <si>
    <t>ZS10625</t>
  </si>
  <si>
    <t>J1a2a1a2d2b2b2c4d2a2a4a4~</t>
  </si>
  <si>
    <t>BY527/ZS5227</t>
  </si>
  <si>
    <t>J1a2a1a2d2b2b2c4d2a2a4a4a~</t>
  </si>
  <si>
    <t>ZS5860</t>
  </si>
  <si>
    <t>J1a2a1a2d2b2b2c4d2a2a4a4a1~</t>
  </si>
  <si>
    <t>FGC12532/ZS9155, ZS5833, ZS5835, ZS5836</t>
  </si>
  <si>
    <t>J1a2a1a2d2b2b2c4d2a2a4a4b~</t>
  </si>
  <si>
    <t xml:space="preserve">FGC4414 </t>
  </si>
  <si>
    <t>J1a2a1a2d2b2b2c4d2a2a4a5~</t>
  </si>
  <si>
    <t>FGC19828/ZS1948</t>
  </si>
  <si>
    <t>J1a2a1a2d2b2b2c4d2a2a4a5a~</t>
  </si>
  <si>
    <t>FGC19188, FGC19190,FGC19199, FGC19202, FGC19209</t>
  </si>
  <si>
    <t>J1a2a1a2d2b2b2c4d2a2a5</t>
  </si>
  <si>
    <t>L222.2/S350.2</t>
  </si>
  <si>
    <t>J1a2a1a2d2b2b2c4d2a2a5~</t>
  </si>
  <si>
    <t>AD0000006/FGC6, AD0000010/FGC3, BY241, BY252/ZS3998, BY253/ZS4000, BY254/ZS3999, BY255/ZS4002, BY256/ZS4006, BY257/ZS4007, BY258/ZS4001, BY259, BY260/ZS4005, Page52.2</t>
  </si>
  <si>
    <t>J1a2a1a2d2b2b2c4d2a2a5a~</t>
  </si>
  <si>
    <t>AD0000002/FGC1714/Y5326, FGC1705/Y5324, FGC1707/Y5321, FGC1724/Y5325, Y7684</t>
  </si>
  <si>
    <t>J1a2a1a2d2b2b2c4d2a2a5a1~</t>
  </si>
  <si>
    <t>FGC1721/Y5322</t>
  </si>
  <si>
    <t>J1a2a1a2d2b2b2c4d2a2a5a1a~</t>
  </si>
  <si>
    <t>Y27529</t>
  </si>
  <si>
    <t>J1a2a1a2d2b2b2c4d2a2a5a1b~</t>
  </si>
  <si>
    <t>FGC4450, FGC4453, FGC4464</t>
  </si>
  <si>
    <t>J1a2a1a2d2b2b2c4d2a2a5a1b1~</t>
  </si>
  <si>
    <t>FGC4451, L65.2/S159.2</t>
  </si>
  <si>
    <t>J1a2a1a2d2b2b2c4d2a2a5a1b1a~</t>
  </si>
  <si>
    <t>FGC4465</t>
  </si>
  <si>
    <t>J1a2a1a2d2b2b2c4d2a2a5a1b1a1~</t>
  </si>
  <si>
    <t>FGC4441</t>
  </si>
  <si>
    <t>J1a2a1a2d2b2b2c4d2a2a5a1b1a1a~</t>
  </si>
  <si>
    <t>FGC15195, FGC15199, FGC15200, FGC15202</t>
  </si>
  <si>
    <t>J1a2a1a2d2b2b2c4d2a2a5a1b1a1a1~</t>
  </si>
  <si>
    <t>ZS4995</t>
  </si>
  <si>
    <t>J1a2a1a2d2b2b2c4d2a2a5a1b1a1a1a~</t>
  </si>
  <si>
    <t>Y8144/Z10872, ZS4993</t>
  </si>
  <si>
    <t>J1a2a1a2d2b2b2c4d2a2a5a1b1a1a1a1~</t>
  </si>
  <si>
    <t>ZS4997, ZS10276</t>
  </si>
  <si>
    <t>J1a2a1a2d2b2b2c4d2a2a5a1b1a1a1a1a~</t>
  </si>
  <si>
    <t xml:space="preserve">SK881.2/ZS4994.2, ZS4996 </t>
  </si>
  <si>
    <t>J1a2a1a2d2b2b2c4d2a2a5a1b1a1a1a2~</t>
  </si>
  <si>
    <t>FGC42297, FGC42299, FGC46407</t>
  </si>
  <si>
    <t>J1a2a1a2d2b2b2c4d2a2a5a1b1a1a1b~</t>
  </si>
  <si>
    <t>BY9037, FGC31345, FGC31346, FGC31347, FGC31350</t>
  </si>
  <si>
    <t>J1a2a1a2d2b2b2c4d2a2a5a1b1a1a1b1~</t>
  </si>
  <si>
    <t>BY9039/FGC57132</t>
  </si>
  <si>
    <t>J1a2a1a2d2b2b2c4d2a2a5a1b1a1a1b1a~</t>
  </si>
  <si>
    <t>BY9040/FGC49897</t>
  </si>
  <si>
    <t>J1a2a1a2d2b2b2c4d2a2a5a1b1a1a1b1b~</t>
  </si>
  <si>
    <t>BY11310/FGC56921</t>
  </si>
  <si>
    <t>J1a2a1a2d2b2b2c4d2a2a5a1b1a1a1b2~</t>
  </si>
  <si>
    <t>BY9051/FGC39890</t>
  </si>
  <si>
    <t>J1a2a1a2d2b2b2c4d2a2a5a1b1a1a1b2a~</t>
  </si>
  <si>
    <t>BY12269/FGC60692, BY12270/FGC60693, BY12271/FGC60690, BY12272/FGC60691</t>
  </si>
  <si>
    <t>J1a2a1a2d2b2b2c4d2a2a5a1b1a1a1c~</t>
  </si>
  <si>
    <t>FGC36700</t>
  </si>
  <si>
    <t>J1a2a1a2d2b2b2c4d2a2a5a1b1a1a1c1~</t>
  </si>
  <si>
    <t>FGC36699</t>
  </si>
  <si>
    <t>J1a2a1a2d2b2b2c4d2a2a5a1b1a1a1c1a~</t>
  </si>
  <si>
    <t>FGC36698, FGC36701</t>
  </si>
  <si>
    <t>J1a2a1a2d2b2b2c4d2a2a5a1b1a1a2~</t>
  </si>
  <si>
    <t>BY9075/FGC15196, FGC43300, FGC43302, FGC43303</t>
  </si>
  <si>
    <t>J1a2a1a2d2b2b2c4d2a2a5a1b1a1a2a~</t>
  </si>
  <si>
    <t>FGC43301, FGC43305</t>
  </si>
  <si>
    <t>J1a2a1a2d2b2b2c4d2a2a5a1b1a1b~</t>
  </si>
  <si>
    <t>BY9084/FGC52749/ZS12168, BY9085/FGC51694/ZS12180, BY9086/FGC51691/ZS12176</t>
  </si>
  <si>
    <t>J1a2a1a2d2b2b2c4d2a2a5a1b1a1c~</t>
  </si>
  <si>
    <t xml:space="preserve">BY9101/FGC40069, FGC40061, FGC40063, FGC40064, FGC40065, FGC40073 </t>
  </si>
  <si>
    <t>J1a2a1a2d2b2b2c4d2a2a5a1b1a1d~</t>
  </si>
  <si>
    <t>FGC36473</t>
  </si>
  <si>
    <t>J1a2a1a2d2b2b2c4d2a2a5a1b1a1d1~</t>
  </si>
  <si>
    <t>FGC36468, FGC36472</t>
  </si>
  <si>
    <t>J1a2a1a2d2b2b2c4d2a2a5a1b1a1d1a~</t>
  </si>
  <si>
    <t>BY9196/FGC51886, FGC36472, FGC36368.2/Z36162.2</t>
  </si>
  <si>
    <t>J1a2a1a2d2b2b2c4d2a2a5a1b1a1e~</t>
  </si>
  <si>
    <t>FGC40057, FGC40058, FGC43360</t>
  </si>
  <si>
    <t>J1a2a1a2d2b2b2c4d2a2a5a1b1a1e1~</t>
  </si>
  <si>
    <t>FGC40056</t>
  </si>
  <si>
    <t>J1a2a1a2d2b2b2c4d2a2a5a1b1a1e1a~</t>
  </si>
  <si>
    <t>BY9087, FGC46425</t>
  </si>
  <si>
    <t>J1a2a1a2d2b2b2c4d2a2a5a1b1a1f~</t>
  </si>
  <si>
    <t>FGC43393, FGC46317, Z14303</t>
  </si>
  <si>
    <t>J1a2a1a2d2b2b2c4d2a2a5a1b1a1f1~</t>
  </si>
  <si>
    <t>BY9105/FGC46318, Z23953</t>
  </si>
  <si>
    <t>J1a2a1a2d2b2b2c4d2a2a5a1b1a1f2~</t>
  </si>
  <si>
    <t>FGC43388, FGC43390, FGC43391, FGC43392, FGC43394, FGC43396, FGC43397, FGC43398</t>
  </si>
  <si>
    <t>J1a2a1a2d2b2b2c4d2a2a5a1b1a1g~</t>
  </si>
  <si>
    <t>ZS4695</t>
  </si>
  <si>
    <t>J1a2a1a2d2b2b2c4d2a2a5a1b1a1g1~</t>
  </si>
  <si>
    <t>FGC49919/ZS11367</t>
  </si>
  <si>
    <t>J1a2a1a2d2b2b2c4d2a2a5a1b1a1g2~</t>
  </si>
  <si>
    <t>FGC41945, FGC41947</t>
  </si>
  <si>
    <t>J1a2a1a2d2b2b2c4d2a2a5a1b1a1h~</t>
  </si>
  <si>
    <t>FGC4459, FGC4461</t>
  </si>
  <si>
    <t>J1a2a1a2d2b2b2c4d2a2a5a1b1a1h1~</t>
  </si>
  <si>
    <t>FGC4455</t>
  </si>
  <si>
    <t>J1a2a1a2d2b2b2c4d2a2a5a1b1a1h1a~</t>
  </si>
  <si>
    <t>FGC43316</t>
  </si>
  <si>
    <t>J1a2a1a2d2b2b2c4d2a2a5a1b1a1h1a1~</t>
  </si>
  <si>
    <t>FGC43009, FGC43312, FGC50005</t>
  </si>
  <si>
    <t>J1a2a1a2d2b2b2c4d2a2a5a1b1a1h1a1a~</t>
  </si>
  <si>
    <t>FGC43311</t>
  </si>
  <si>
    <t>J1a2a1a2d2b2b2c4d2a2a5a1b1a1h1a1a1~</t>
  </si>
  <si>
    <t>FGC43310, FGC43314, FGC43315, FGC43317</t>
  </si>
  <si>
    <t>J1a2a1a2d2b2b2c4d2a2a5a1b1a2~</t>
  </si>
  <si>
    <t xml:space="preserve">BY9311, BY9332/FGC46521, FGC43286, FGC43287, FGC43289, FGC43290, FGC43291, FGC43292, FGC43293 </t>
  </si>
  <si>
    <t>J1a2a1a2d2b2b2c4d2a2a5a1b1a3~</t>
  </si>
  <si>
    <t xml:space="preserve">BY9310/FGC52082, ZS11527, ZS11528, ZS11529, ZS11530, ZS11531, ZS11532, ZS11533, ZS11536, ZS11537 </t>
  </si>
  <si>
    <t>J1a2a1a2d2b2b2c4d2a2a5a1b1a4~</t>
  </si>
  <si>
    <t>FGC46298, FGC46299, FGC46301, FGC46304, FGC46305</t>
  </si>
  <si>
    <t>J1a2a1a2d2b2b2c4d2a2a5a1b1a4a~</t>
  </si>
  <si>
    <t xml:space="preserve">BY9351/FGC46512 </t>
  </si>
  <si>
    <t>J1a2a1a2d2b2b2c4d2a2a5a1b1a5~</t>
  </si>
  <si>
    <t>FGC13092, FGC13094, FGC13097</t>
  </si>
  <si>
    <t>J1a2a1a2d2b2b2c4d2a2a5a1b1a5a~</t>
  </si>
  <si>
    <t>FGC13075, FGC13081, FGC13082, FGC13084, FGC13092</t>
  </si>
  <si>
    <t>J1a2a1a2d2b2b2c4d2a2a5a1b1a5b~</t>
  </si>
  <si>
    <t>FGC37124, FGC37126, FGC39939</t>
  </si>
  <si>
    <t>J1a2a1a2d2b2b2c4d2a2a5a1b1a5b1~</t>
  </si>
  <si>
    <t>FGC37122</t>
  </si>
  <si>
    <t>J1a2a1a2d2b2b2c4d2a2a5a1b1a5b1a~</t>
  </si>
  <si>
    <t xml:space="preserve">BY9369/FGC46490, BY9370/FGC46491, BY9375/FGC46487, BY9371/FGC46493, BY9372/FGC46489, BY9373/FGC46492    </t>
  </si>
  <si>
    <t>J1a2a1a2d2b2b2c4d2a2a5a1b1a5b1a1~</t>
  </si>
  <si>
    <t>BY11309/FGC57145</t>
  </si>
  <si>
    <t>J1a2a1a2d2b2b2c4d2a2a5a1b1a5b1b~</t>
  </si>
  <si>
    <t>FGC37120</t>
  </si>
  <si>
    <t>J1a2a1a2d2b2b2c4d2a2a5a1b1a5b1b1~</t>
  </si>
  <si>
    <t xml:space="preserve">BY9382/FGC43271, FGC43272, FGC43273 </t>
  </si>
  <si>
    <t>J1a2a1a2d2b2b2c4d2a2a5a1b1a5b1b2~</t>
  </si>
  <si>
    <t>FGC37127</t>
  </si>
  <si>
    <t>J1a2a1a2d2b2b2c4d2a2a5a1b1a5b1b2a~</t>
  </si>
  <si>
    <t>FGC43372, FGC43373, FGC43375</t>
  </si>
  <si>
    <t>J1a2a1a2d2b2b2c4d2a2a5a1b1a6~</t>
  </si>
  <si>
    <t>ZS3867</t>
  </si>
  <si>
    <t>J1a2a1a2d2b2b2c4d2a2a5a1b1a6a~</t>
  </si>
  <si>
    <t>ZS3863, ZS3868</t>
  </si>
  <si>
    <t>J1a2a1a2d2b2b2c4d2a2a5a1b1b~</t>
  </si>
  <si>
    <t>FGC13105, FGC13107</t>
  </si>
  <si>
    <t>J1a2a1a2d2b2b2c4d2a2a5a1b1b1~</t>
  </si>
  <si>
    <t>BY9426/FGC42306, FGC42308</t>
  </si>
  <si>
    <t>J1a2a1a2d2b2b2c4d2a2a5a1b1b2~</t>
  </si>
  <si>
    <t xml:space="preserve">FGC41767, FGC41768 </t>
  </si>
  <si>
    <t>J1a2a1a2d2b2b2c4d2a2a5a1b1b3~</t>
  </si>
  <si>
    <t>FGC36924</t>
  </si>
  <si>
    <t>J1a2a1a2d2b2b2c4d2a2a5a1b2~</t>
  </si>
  <si>
    <t>Z10558</t>
  </si>
  <si>
    <t>J1a2a1a2d2b2b2c4d2a2a5a1b3~</t>
  </si>
  <si>
    <t>FGC36738/ZS11349</t>
  </si>
  <si>
    <t>J1a2a1a2d2b2b2c4d2a2a5a1b4~</t>
  </si>
  <si>
    <t xml:space="preserve">BY9552/FGC46232, FGC46322, FGC46230, ZS1920, ZS1922, ZS1923, ZS1924, ZS1925, ZS1929, ZS1930, ZS1932 </t>
  </si>
  <si>
    <t>J1a2a1a2d2b2b2c4d2a2a5a1b5~</t>
  </si>
  <si>
    <t>BY9544/FGC42288</t>
  </si>
  <si>
    <t>J1a2a1a2d2b2b2c4d2a2a5a1c~</t>
  </si>
  <si>
    <t>FGC10591, FGC10592, FGC10608</t>
  </si>
  <si>
    <t>J1a2a1a2d2b2b2c4d2a2a5a1c1~</t>
  </si>
  <si>
    <t>FGC10589, FGC10599, FGC10605, FGC10612</t>
  </si>
  <si>
    <t>J1a2a1a2d2b2b2c4d2a2a5a1d~</t>
  </si>
  <si>
    <t>FGC8812</t>
  </si>
  <si>
    <t>J1a2a1a2d2b2b2c4d2a2a5a1d1~</t>
  </si>
  <si>
    <t>FGC8806</t>
  </si>
  <si>
    <t>J1a2a1a2d2b2b2c4d2a2a5a1d1a~</t>
  </si>
  <si>
    <t>FGC8810</t>
  </si>
  <si>
    <t>J1a2a1a2d2b2b2c4d2a2a5a1d1a1~</t>
  </si>
  <si>
    <t>ZS8332, ZS3860, ZS3861, ZS3862</t>
  </si>
  <si>
    <t>J1a2a1a2d2b2b2c4d2a2a5a1d1a1a~</t>
  </si>
  <si>
    <t>ZS8485</t>
  </si>
  <si>
    <t>J1a2a1a2d2b2b2c4d2a2a5a1d1a1a1~</t>
  </si>
  <si>
    <t>Y32108, ZS10670, ZS10671</t>
  </si>
  <si>
    <t>J1a2a1a2d2b2b2c4d2a2a5a1d1a1a1a~</t>
  </si>
  <si>
    <t>ZS10673, ZS10674, ZS10675, ZS10676</t>
  </si>
  <si>
    <t>J1a2a1a2d2b2b2c4d2a2a5a1d1a1b~</t>
  </si>
  <si>
    <t>ZS3856</t>
  </si>
  <si>
    <t>J1a2a1a2d2b2b2c4d2a2a5a1d1a1b1~</t>
  </si>
  <si>
    <t>ZS3857</t>
  </si>
  <si>
    <t>J1a2a1a2d2b2b2c4d2a2a5a1d1a1b2~</t>
  </si>
  <si>
    <t>FGC40443, FGC40447, FGC40451</t>
  </si>
  <si>
    <t>J1a2a1a2d2b2b2c4d2a2a5a1d1a1b2a~</t>
  </si>
  <si>
    <t>Y21043/ZS10836</t>
  </si>
  <si>
    <t>J1a2a1a2d2b2b2c4d2a2a5a1d1a1b2a1~</t>
  </si>
  <si>
    <t>FGC40449, FGC40453</t>
  </si>
  <si>
    <t>J1a2a1a2d2b2b2c4d2a2a5a1d1a1b2a1a~</t>
  </si>
  <si>
    <t>FGC40454</t>
  </si>
  <si>
    <t>J1a2a1a2d2b2b2c4d2a2a5a1d1a1b2a1a1~</t>
  </si>
  <si>
    <t>FGC40452</t>
  </si>
  <si>
    <t>J1a2a1a2d2b2b2c4d2a2a5a1e~</t>
  </si>
  <si>
    <t>FGC23310</t>
  </si>
  <si>
    <t>J1a2a1a2d2b2b2c4d2a2a5a1e1~</t>
  </si>
  <si>
    <t>FGC7944/Y10957</t>
  </si>
  <si>
    <t>J1a2a1a2d2b2b2c4d2a2a5a1e1a~</t>
  </si>
  <si>
    <t>FGC4371/Y8961, FGC4385/Y10953</t>
  </si>
  <si>
    <t>J1a2a1a2d2b2b2c4d2a2a5a1e1a1~</t>
  </si>
  <si>
    <t xml:space="preserve">F2526, FGC19118, FGC19121, FGC19122, FGC19125, FGC19128, FGC19129, FGC19130, FGC19131 </t>
  </si>
  <si>
    <t>J1a2a1a2d2b2b2c4d2a2a5a1e1a2~</t>
  </si>
  <si>
    <t>FGC4358/Y8967, FGC4359/Y8958, FGC4372/Y10947, FGC4373/Y10952, FGC4378/Y8963, FGC4379/Y10732, FGC4384/Y10949, FGC4387/Y8971, FGC4388/Y8972, FGC4390/Y10945, FGC4393/Y8983, FGC5476/Y10956, FGC5484/Y8976/ZS4958, FGC5486/Y8979, FGC5489/Y10733, FGC7943/Y10955/ZS4957</t>
  </si>
  <si>
    <t>J1a2a1a2d2b2b2c4d2a2a5a1e1a2a~</t>
  </si>
  <si>
    <t>FGC5481/Y10948, FGC5488/Y8981/ZS4955</t>
  </si>
  <si>
    <t>J1a2a1a2d2b2b2c4d2a2a5a1e1a2b~</t>
  </si>
  <si>
    <t xml:space="preserve">FGC16633, FGC16638 </t>
  </si>
  <si>
    <t>J1a2a1a2d2b2b2c4d2a2a5a1e1a2b1~</t>
  </si>
  <si>
    <t>FGC16640</t>
  </si>
  <si>
    <t>J1a2a1a2d2b2b2c4d2a2a5a1e1b~</t>
  </si>
  <si>
    <t>L861</t>
  </si>
  <si>
    <t>J1a2a1a2d2b2b2c4d2a2a5a1e2~</t>
  </si>
  <si>
    <t>AD0000005/FGC7/Y9272, FGC8/Y9273</t>
  </si>
  <si>
    <t>J1a2a1a2d2b2b2c4d2a2a5a1e2a~</t>
  </si>
  <si>
    <t xml:space="preserve">FGC16651/Y10935, FGC16652/Y8967, FGC16659/Y10939, FGC16660/Y8973, FGC16661/Y8977 </t>
  </si>
  <si>
    <t>J1a2a1a2d2b2b2c4d2a2a5a1e2a1~</t>
  </si>
  <si>
    <t>FGC16656/Y10938, FGC16658/Y10940</t>
  </si>
  <si>
    <t>J1a2a1a2d2b2b2c4d2a2a5a1e2a1a~</t>
  </si>
  <si>
    <t>FGC16654/Y10942</t>
  </si>
  <si>
    <t>J1a2a1a2d2b2b2c4d2a2a5a1e2a1a1~</t>
  </si>
  <si>
    <t>FGC18828, FGC18831, FGC18832, FGC18834</t>
  </si>
  <si>
    <t>J1a2a1a2d2b2b2c4d2a2a5a1e2b~</t>
  </si>
  <si>
    <t>Z20775</t>
  </si>
  <si>
    <t>J1a2a1a2d2b2b2c4d2a2a5a1e2b1~</t>
  </si>
  <si>
    <t>S9517/Z20773</t>
  </si>
  <si>
    <t>J1a2a1a2d2b2b2c4d2a2a5a1e2b1a~</t>
  </si>
  <si>
    <t>Z20774</t>
  </si>
  <si>
    <t>J1a2a1a2d2b2b2c4d2a2a5a1e2b1a1~</t>
  </si>
  <si>
    <t>Z20777</t>
  </si>
  <si>
    <t>J1a2a1a2d2b2b2c4d2a2a5a1e2b1a1a~</t>
  </si>
  <si>
    <t>Y18408/ZS9939, ZS4623</t>
  </si>
  <si>
    <t>J1a2a1a2d2b2b2c4d2a2a5a1e2b1a1a1~</t>
  </si>
  <si>
    <t xml:space="preserve">FGC49212, ZS10342, ZS10343, ZS10344, ZS10348, ZS10349  </t>
  </si>
  <si>
    <t>J1a2a1a2d2b2b2c4d2a2a5a1e2b1a1a2~</t>
  </si>
  <si>
    <t>ZS4618, ZS4621</t>
  </si>
  <si>
    <t>J1a2a1a2d2b2b2c4d2a2a5a1e2c~</t>
  </si>
  <si>
    <t>FGC7936/Y9274</t>
  </si>
  <si>
    <t>J1a2a1a2d2b2b2c4d2a2a5a1e2c1~</t>
  </si>
  <si>
    <t>ZS7230</t>
  </si>
  <si>
    <t>J1a2a1a2d2b2b2c4d2a2a5a1e2c1a~</t>
  </si>
  <si>
    <t>ZS7229, ZS7234, ZS7236</t>
  </si>
  <si>
    <t>J1a2a1a2d2b2b2c4d2a2a5a1e2c2~</t>
  </si>
  <si>
    <t>FGC4340/Y8960, FGC4350</t>
  </si>
  <si>
    <t>J1a2a1a2d2b2b2c4d2a2a5a1e2c2a~</t>
  </si>
  <si>
    <t>FGC4352/Y8974</t>
  </si>
  <si>
    <t>J1a2a1a2d2b2b2c4d2a2a5a1e2c2a1~</t>
  </si>
  <si>
    <t>FGC4355/Y8980</t>
  </si>
  <si>
    <t>J1a2a1a2d2b2b2c4d2a2a5a1e2c2a1a~</t>
  </si>
  <si>
    <t>FGC19504, FGC19505</t>
  </si>
  <si>
    <t>J1a2a1a2d2b2b2c4d2a2a5a1e2c3~</t>
  </si>
  <si>
    <t>FGC4234/Y9445, FGC4239/Y9442, FGC4240/Y8966,FGC4241/Y9439, FGC4243/Y9440, FGC4244/Y9441, FGC4248/Y9444, FGC4249/Y8982, FGC4250/Y9446</t>
  </si>
  <si>
    <t>J1a2a1a2d2b2b2c4d2a2a5a1e2c4~</t>
  </si>
  <si>
    <t>FGC4316/Y8975/ZS1851</t>
  </si>
  <si>
    <t>J1a2a1a2d2b2b2c4d2a2a5a1e2c4a~</t>
  </si>
  <si>
    <t>FGC4314/Y10966/ZS1850</t>
  </si>
  <si>
    <t>J1a2a1a2d2b2b2c4d2a2a5a1e2c4a1~</t>
  </si>
  <si>
    <t>FGC10095/Y8959</t>
  </si>
  <si>
    <t>J1a2a1a2d2b2b2c4d2a2a5a1e2c4a1a~</t>
  </si>
  <si>
    <t>FGC11759/Y10964</t>
  </si>
  <si>
    <t>J1a2a1a2d2b2b2c4d2a2a5a1e2c4a2~</t>
  </si>
  <si>
    <t>FGC4309, FGC4315</t>
  </si>
  <si>
    <t>J1a2a1a2d2b2b2c4d2a2a5a1e2c4a2a~</t>
  </si>
  <si>
    <t>FGC4310/ZS1848, FGC4320/ZS1854</t>
  </si>
  <si>
    <t>J1a2a1a2d2b2b2c4d2a2a5a1e2c4a2a1~</t>
  </si>
  <si>
    <t>Y28959</t>
  </si>
  <si>
    <t xml:space="preserve">                                                                                                                                                                                                                                                                                                                                                                                                                                                                                                                                                                                                                                                                                                                                                                                                                                                                                                                                                                                                                                                                                                                                                                                                                                                                                                                                                                                                                                                                                                                                                                                                                                                                                                                                                                                                                                                                                                                                                                                                                                                  </t>
  </si>
  <si>
    <t>J1a2a1a2d2b2b2c4d2a2a5a1e2c4a2a2~</t>
  </si>
  <si>
    <t>FGC4322/ZS1855, FGC4324/ZS1857</t>
  </si>
  <si>
    <t>J1a2a1a2d2b2b2c4d2a2a5a1e2c4a2a2a~</t>
  </si>
  <si>
    <t>FGC4317/ZS1857</t>
  </si>
  <si>
    <t>J1a2a1a2d2b2b2c4d2a2a5a1e2c4a2a2a1~</t>
  </si>
  <si>
    <t>FGC4321</t>
  </si>
  <si>
    <t>J1a2a1a2d2b2b2c4d2a2a5a1e2c4a2a2a1a~</t>
  </si>
  <si>
    <t>FGC4318, FGC4325, FGC7939</t>
  </si>
  <si>
    <t>J1a2a1a2d2b2b2c4d2a2a5a1e2c4a2b~</t>
  </si>
  <si>
    <t>BY261/ZS4004</t>
  </si>
  <si>
    <t>J1a2a1a2d2b2b2c4d2a2a5a1e2c4a2c~</t>
  </si>
  <si>
    <t>ZS4284</t>
  </si>
  <si>
    <t>J1a2a1a2d2b2b2c4d2a2a5a1e2c4a2d~</t>
  </si>
  <si>
    <t>BY262/ZS4003</t>
  </si>
  <si>
    <t>J1a2a1a2d2b2b2c4d2a2a5a1e2c4a3~</t>
  </si>
  <si>
    <t>ZS4753</t>
  </si>
  <si>
    <t>J1a2a1a2d2b2b2c4d2a2a5a1e2c4a3a~</t>
  </si>
  <si>
    <t>ZS4756</t>
  </si>
  <si>
    <t>J1a2a1a2d2b2b2c4d2a2a5a1e2c4a3a1~</t>
  </si>
  <si>
    <t>ZS4757</t>
  </si>
  <si>
    <t>J1a2a1a2d2b2b2c4d2a2a5a1e2c4a3a1a~</t>
  </si>
  <si>
    <t xml:space="preserve">BY2889, ZS4754, ZS4758, ZS4759, ZS4760, ZS4762       </t>
  </si>
  <si>
    <t>J1a2a1a2d2b2b2c4d2a2a5a1e2c4a3b~</t>
  </si>
  <si>
    <t xml:space="preserve">ZS4754 </t>
  </si>
  <si>
    <t>J1a2a1a2d2b2b2c4d2a2a5a1e2c4a3c~</t>
  </si>
  <si>
    <t xml:space="preserve">FGC38800, FGC38802, FGC38803, FGC38804, FGC38809   </t>
  </si>
  <si>
    <t>J1a2a1a2d2b2b2c4d2a2a5a1e2d~</t>
  </si>
  <si>
    <t>ZS4682</t>
  </si>
  <si>
    <t>J1a2a1a2d2b2b2c4d2a2a5a1e2e~</t>
  </si>
  <si>
    <t>FGC28699</t>
  </si>
  <si>
    <t>J1a2a1a2d2b2b2c4d2a2a5a1e3~</t>
  </si>
  <si>
    <t>AD0000004/FGC1713/Y9272</t>
  </si>
  <si>
    <t>same mutations as subgroup above - not resolved</t>
  </si>
  <si>
    <t>J1a2a1a2d2b2b2c4d2a2a5a1e3a~</t>
  </si>
  <si>
    <t>Y19094, Y19096/ZS7286, Y19261/ZS7296, Y19262/ZS7298, Y19263/ZS7295, Y19264/ZS7281, Y19265/ZS7282, Y19266/ZS7284, Y19267/ZS7274, Y19269, ZS9585</t>
  </si>
  <si>
    <t>J1a2a1a2d2b2b2c4d2a2a5a1e3b~</t>
  </si>
  <si>
    <t xml:space="preserve">Y16181/ZS7213, Y16182/ZS7214, Y16184/ZS7220, Y16185/ZS7227, Y16399/ZS7218, Y16400/ZS7226, Y16401/ZS7215 </t>
  </si>
  <si>
    <t>J1a2a1a2d2b2b2c4d2a2a5a1e3b1~</t>
  </si>
  <si>
    <t>ZS8172, ZS8175</t>
  </si>
  <si>
    <t>J1a2a1a2d2b2b2c4d2a2a5a1e3c~</t>
  </si>
  <si>
    <t>FGC45011/Y20496, ZS8311</t>
  </si>
  <si>
    <t>J1a2a1a2d2b2b2c4d2a2a5a1e3c1~</t>
  </si>
  <si>
    <t>FGC44998/Y20494/ZS10657, FGC45005/Y20495</t>
  </si>
  <si>
    <t>J1a2a1a2d2b2b2c4d2a2a5a1e3c1a~</t>
  </si>
  <si>
    <t>FGC60163, FGC60166, FGC60167</t>
  </si>
  <si>
    <t>J1a2a1a2d2b2b2c4d2a2a5a1e3d~</t>
  </si>
  <si>
    <t>FGC1715/Y8968, FGC1725</t>
  </si>
  <si>
    <t>J1a2a1a2d2b2b2c4d2a2a5a1e3d1~</t>
  </si>
  <si>
    <t xml:space="preserve">FGC1703/Y10959, FGC1704/Y10960, FGC1712/Y8964, FGC1716/Y10961, FGC1717/Y10962, FGC1719/Y8970, FGC1733   </t>
  </si>
  <si>
    <t>J1a2a1a2d2b2b2c4d2a2a5a1e3d1a~</t>
  </si>
  <si>
    <t>FGC38706, FGC38708</t>
  </si>
  <si>
    <t>J1a2a1a2d2b2b2c4d2a2a5a1e3d1b~</t>
  </si>
  <si>
    <t>FGC1729</t>
  </si>
  <si>
    <t>J1a2a1a2d2b2b2c4d2a2a5a1e3d1b1~</t>
  </si>
  <si>
    <t>FGC1694, FGC1700, FGC1706, FGC1711</t>
  </si>
  <si>
    <t>J1a2a1a2d2b2b2c4d2a2a5a1e3d1c~</t>
  </si>
  <si>
    <t>FGC22238/ZS4717</t>
  </si>
  <si>
    <t>J1a2a1a2d2b2b2c4d2a2a5a1e3d1c1~</t>
  </si>
  <si>
    <t xml:space="preserve">ZS4710, ZS4713, ZS4715, ZS4716, ZS4718 </t>
  </si>
  <si>
    <t>J1a2a1a2d2b2b2c4d2a2a5a1e3d1c2~</t>
  </si>
  <si>
    <t>ZS9251</t>
  </si>
  <si>
    <t>J1a2a1a2d2b2b2c4d2a2a5a1e3d1d~</t>
  </si>
  <si>
    <t>ZS6419</t>
  </si>
  <si>
    <t>J1a2a1a2d2b2b2c4d2a2a5a1e3e~</t>
  </si>
  <si>
    <t xml:space="preserve">Y23538, ZS5809 </t>
  </si>
  <si>
    <t>J1a2a1a2d2b2b2c4d2a2a5a1e3e1~</t>
  </si>
  <si>
    <t>FGC34531</t>
  </si>
  <si>
    <t>J1a2a1a2d2b2b2c4d2a2a5a1e3e2~</t>
  </si>
  <si>
    <t>A13642, Y19869</t>
  </si>
  <si>
    <t>J1a2a1a2d2b2b2c4d2a2a5a1e3e3~</t>
  </si>
  <si>
    <t>FGC23911/ZS5801, Z5355</t>
  </si>
  <si>
    <t>J1a2a1a2d2b2b2c4d2a2a5a1e3e3a~</t>
  </si>
  <si>
    <t>FGC23912/ZS5802, FGC23919/ZS5811, FGC23920/ZS5812</t>
  </si>
  <si>
    <t>J1a2a1a2d2b2b2c4d2a2a5a1e3e3a1~</t>
  </si>
  <si>
    <t>ZS5806</t>
  </si>
  <si>
    <t>J1a2a1a2d2b2b2c4d2a2a5a1e3e3a1a~</t>
  </si>
  <si>
    <t>FGC23922/ZS5814</t>
  </si>
  <si>
    <t>J1a2a1a2d2b2b2c4d2a2a5a1e3e3a1a1~</t>
  </si>
  <si>
    <t>FGC23915/ZS5805, FGC23917/ZS5807, FGC23918/ZS5810</t>
  </si>
  <si>
    <t>J1a2a1a2d2b2b2c4d2a2a5a1e3e3a1a1a~</t>
  </si>
  <si>
    <t>FGC23913/ZS5803</t>
  </si>
  <si>
    <t>J1a2a1a2d2b2b2c4d2a2a5a1e3e3a1a1a1~</t>
  </si>
  <si>
    <t>FGC23921/ZS5813</t>
  </si>
  <si>
    <t>J1a2a1a2d2b2b2c4d2a2a5a1e3e3a1b~</t>
  </si>
  <si>
    <t>ZS8569</t>
  </si>
  <si>
    <t>J1a2a1a2d2b2b2c4d2a2a5a1e3e3a2~</t>
  </si>
  <si>
    <t>ZS8557, ZS8560</t>
  </si>
  <si>
    <t>J1a2a1a2d2b2b2c4d2a2a5a1e3f~</t>
  </si>
  <si>
    <t>ZS8379</t>
  </si>
  <si>
    <t>J1a2a1a2d2b2b2c4d2a2a5a1e4~</t>
  </si>
  <si>
    <t xml:space="preserve">AD0000007/FGC5/Y5323 </t>
  </si>
  <si>
    <t>J1a2a1a2d2b2b2c4d2a2a5a1e4a~</t>
  </si>
  <si>
    <t>AD0000008/FGC1/Y5320</t>
  </si>
  <si>
    <t>J1a2a1a2d2b2b2c4d2a2a5a1e4a1~</t>
  </si>
  <si>
    <t>ZS5010, ZS5011</t>
  </si>
  <si>
    <t>J1a2a1a2d2b2b2c4d2a2a5a1e4a1a~</t>
  </si>
  <si>
    <t>ZS5000, ZS5004, ZS5005</t>
  </si>
  <si>
    <t>J1a2a1a2d2b2b2c4d2a2a5a1e4a2~</t>
  </si>
  <si>
    <t>FGC43122, FGC43124, FGC43125, FGC43126</t>
  </si>
  <si>
    <t>J1a2a1a2d2b2b2c4d2a2a5a1e4a2a~</t>
  </si>
  <si>
    <t xml:space="preserve">FGC43127, ZS10287 </t>
  </si>
  <si>
    <t>J1a2a1a2d2b2b2c4d2a2a5a1e4a3~</t>
  </si>
  <si>
    <t>FGC49889, ZS10629, ZS10635</t>
  </si>
  <si>
    <t>J1a2a1a2d2b2b2c4d2a2a5a1e4a3a~</t>
  </si>
  <si>
    <t>ZS10630, ZS10632, ZS10636, ZS10637</t>
  </si>
  <si>
    <t>J1a2a1a2d2b2b2c4d2a2a5a1e4a4~</t>
  </si>
  <si>
    <t>FGC44943/Y20903</t>
  </si>
  <si>
    <t>J1a2a1a2d2b2b2c4d2a2a5a1e4a4a~</t>
  </si>
  <si>
    <t>FGC44917/Y20902, FGC44923/Y21324</t>
  </si>
  <si>
    <t>J1a2a1a2d2b2b2c4d2a2a5a1e4a4a1~</t>
  </si>
  <si>
    <t>FGC60185, ZS11515, ZS11516, ZS11517, ZS11519</t>
  </si>
  <si>
    <t>J1a2a1a2d2b2b2c4d2a2a5a1e4a5~</t>
  </si>
  <si>
    <t>FGC7393</t>
  </si>
  <si>
    <t>J1a2a1a2d2b2b2c4d2a2a5a1e4a5a~</t>
  </si>
  <si>
    <t>FGC14704/ZS1820</t>
  </si>
  <si>
    <t>J1a2a1a2d2b2b2c4d2a2a5a1e4a5b~</t>
  </si>
  <si>
    <t>ZS7299</t>
  </si>
  <si>
    <t>J1a2a1a2d2b2b2c4d2a2a5a1e4a5b1~</t>
  </si>
  <si>
    <t xml:space="preserve">AMM394/CTS9501, FGC14703, FGC14704, FGC22745, FGC22746, FGC22747  </t>
  </si>
  <si>
    <t>J1a2a1a2d2b2b2c4d2a2a5a1e4a5b1a~</t>
  </si>
  <si>
    <t>FGC41885/ZS9614</t>
  </si>
  <si>
    <t>J1a2a1a2d2b2b2c4d2a2a5a1e4a5b1a1~</t>
  </si>
  <si>
    <t>FGC41884/ZS9613, FGC41886/ZS9615</t>
  </si>
  <si>
    <t>J1a2a1a2d2b2b2c4d2a2a5a1e4a5b1a1a~</t>
  </si>
  <si>
    <t>FGC41888/ZS9616</t>
  </si>
  <si>
    <t>J1a2a1a2d2b2b2c4d2a2a5a1e4a6~</t>
  </si>
  <si>
    <t xml:space="preserve">AD0000009/FGC2/Y8538, AD0000011/FGC4/Y8537
</t>
  </si>
  <si>
    <t>J1a2a1a2d2b2b2c4d2a2a5a1e4a6a~</t>
  </si>
  <si>
    <t>FGC29807, FGC29811, FGC29813, FGC29815, SK2161</t>
  </si>
  <si>
    <t>J1a2a1a2d2b2b2c4d2a2a5a1e4a6b~</t>
  </si>
  <si>
    <t>FGC6770, FGC6774, FGC6776, FGC6781, FGC8089</t>
  </si>
  <si>
    <t>J1a2a1a2d2b2b2c4d2a2a5a1e4a6b1~</t>
  </si>
  <si>
    <t>FGC6778</t>
  </si>
  <si>
    <t>J1a2a1a2d2b2b2c4d2a2a5a1e4a6c~</t>
  </si>
  <si>
    <t xml:space="preserve">Y30516/ZS7094 </t>
  </si>
  <si>
    <t>J1a2a1a2d2b2b2c4d2a2a5a1e4a6c1~</t>
  </si>
  <si>
    <t>ZS7528, ZS7530, ZS7531, ZS7532, ZS7533</t>
  </si>
  <si>
    <t>J1a2a1a2d2b2b2c4d2a2a5a1e4a6c2~</t>
  </si>
  <si>
    <t>ZS8254,ZS8255, ZS8257, ZS8260</t>
  </si>
  <si>
    <t>J1a2a1a2d2b2b2c4d2a2a5a1e4a6d~</t>
  </si>
  <si>
    <t xml:space="preserve">ZS5612, ZS5613, ZS5614, ZS5616, ZS11881, ZS11882, ZS11883 </t>
  </si>
  <si>
    <t>J1a2a1a2d2b2b2c4d2a2a5a1e4a6e~</t>
  </si>
  <si>
    <t>Y28954, Y28955, ZS12069, ZS12072, ZS12074, ZS12077</t>
  </si>
  <si>
    <t>J1a2a1a2d2b2b2c4d2a2a5a1e4a6f~</t>
  </si>
  <si>
    <t>ZS8321</t>
  </si>
  <si>
    <t>J1a2a1a2d2b2b2c4d2a2a5a1e4a6g~</t>
  </si>
  <si>
    <t>ZS4274, ZS4276</t>
  </si>
  <si>
    <t>J1a2a1a2d2b2b2c4d2a2a5a1e4a6g1~</t>
  </si>
  <si>
    <t xml:space="preserve">ZS4275 </t>
  </si>
  <si>
    <t>J1a2a1a2d2b2b2c4d2a2a5a1e4a6h~</t>
  </si>
  <si>
    <t>FGC4493/Y10728, FGC4494, FGC4495/Y10729</t>
  </si>
  <si>
    <t>J1a2a1a2d2b2b2c4d2a2a5a1e4a6h1~</t>
  </si>
  <si>
    <t>Y31139, Y31140, ZS5529, ZS5530</t>
  </si>
  <si>
    <t>J1a2a1a2d2b2b2c4d2a2a5a1e4a6i~</t>
  </si>
  <si>
    <t>BY145/Y14193/Z18223</t>
  </si>
  <si>
    <t>J1a2a1a2d2b2b2c4d2a2a5a1e4a6i1~</t>
  </si>
  <si>
    <t>FGC11161.2/ZP56.2, ZS10273</t>
  </si>
  <si>
    <t>J1a2a1a2d2b2b2c4d2a2a5a1e4a6i1a~</t>
  </si>
  <si>
    <t>ZS10708</t>
  </si>
  <si>
    <t>J1a2a1a2d2b2b2c4d2a2a5a1e4a6i1a1~</t>
  </si>
  <si>
    <t>ZS10707, ZS10709</t>
  </si>
  <si>
    <t>J1a2a1a2d2b2b2c4d2a2a5a1e4a6i1b~</t>
  </si>
  <si>
    <t>ZS10271, ZS10272, ZS10274</t>
  </si>
  <si>
    <t>J1a2a1a2d2b2b2c4d2a2a5a1e4a6i2~</t>
  </si>
  <si>
    <t>M10605, ZS9365, ZS9366, ZS9369, ZS937</t>
  </si>
  <si>
    <t>J1a2a1a2d2b2b2c4d2a2a5a1e4a6i2a~</t>
  </si>
  <si>
    <t>ZS9660</t>
  </si>
  <si>
    <t>J1a2a1a2d2b2b2c4d2a2a5a1e4a6i2b~</t>
  </si>
  <si>
    <t>ZS9364</t>
  </si>
  <si>
    <t>J1a2a1a2d2b2b2c4d2a2a5a1e4a6i3~</t>
  </si>
  <si>
    <t>ZS5620</t>
  </si>
  <si>
    <t>J1a2a1a2d2b2b2c4d2a2a5a1e4a6i3a~</t>
  </si>
  <si>
    <t>ZS7048, ZS7049, ZS7050</t>
  </si>
  <si>
    <t>J1a2a1a2d2b2b2c4d2a2a5a1e4a6i3b~</t>
  </si>
  <si>
    <t>ZS5618, ZS5619, ZS5621, ZS5622, ZS5623, ZS5624, ZS5625</t>
  </si>
  <si>
    <t>J1a2a1a2d2b2b2c4d2a2a5a1e4a6i3c~</t>
  </si>
  <si>
    <t xml:space="preserve">ZS9634, ZS9635, ZS9636, ZS9637, ZS9639, ZS9640, ZS9641, ZS9642, ZS9643, ZS9644 </t>
  </si>
  <si>
    <t>J1a2a1a2d2b2b2c4d2a2a5a1e4a6i4~</t>
  </si>
  <si>
    <t>FGC29883</t>
  </si>
  <si>
    <t>J1a2a1a2d2b2b2c4d2a2a5a1e4a6i4a~</t>
  </si>
  <si>
    <t>CTS311, Y23156, ZS8216, ZS8217, ZS8219</t>
  </si>
  <si>
    <t>J1a2a1a2d2b2b2c4d2a2a5a1e4a6i4b~</t>
  </si>
  <si>
    <t>Y28697</t>
  </si>
  <si>
    <t>J1a2a1a2d2b2b2c4d2a2a5a1e4a6i4c~</t>
  </si>
  <si>
    <t>ZS4745</t>
  </si>
  <si>
    <t>J1a2a1a2d2b2b2c4d2a2a5a1e4a6i4c1~</t>
  </si>
  <si>
    <t>ZS4747, ZS4752</t>
  </si>
  <si>
    <t>J1a2a1a2d2b2b2c4d2a2a5a1e4a6i4c1a~</t>
  </si>
  <si>
    <t>ZS4751, ZS8492</t>
  </si>
  <si>
    <t>J1a2a1a2d2b2b2c4d2a2a5a1e4a6i4c1a1~</t>
  </si>
  <si>
    <t>YP4002.3/Z34932.3/ZS8491.</t>
  </si>
  <si>
    <t>J1a2a1a2d2b2b2c4d2a2a5a1e4a6i4c1a2~</t>
  </si>
  <si>
    <t>ZS4746, ZS4748, ZS4750</t>
  </si>
  <si>
    <t>J1a2a1a2d2b2b2c4d2a2a5a1e4a6i5~</t>
  </si>
  <si>
    <t>FGC42457</t>
  </si>
  <si>
    <t>J1a2a1a2d2b2b2c4d2a2a5a1e4a6i5a~</t>
  </si>
  <si>
    <t xml:space="preserve">FGC51866/ZS12056, FGC51867/Y24793, FGC51868/Y24974, FGC51869/Y24490, FGC51870/Y24491, ZS12058   </t>
  </si>
  <si>
    <t>J1a2a1a2d2b2b2c4d2a2a5a1e4a6i5b~</t>
  </si>
  <si>
    <t>FGC42456</t>
  </si>
  <si>
    <t>J1a2a1a2d2b2b2c4d2a2a5a1e4a6i5b1~</t>
  </si>
  <si>
    <t>Y23652, ZS9687, ZS9689</t>
  </si>
  <si>
    <t>J1a2a1a2d2b2b2c4d2a2a5a1e4a6i5b1a~</t>
  </si>
  <si>
    <t>ZS9688, ZS9690, ZS9692</t>
  </si>
  <si>
    <t>J1a2a1a2d2b2b2c4d2a2a5a1e4a6i5b2~</t>
  </si>
  <si>
    <t>Y16898, Y16900, Y16901, Y16902, Y16903, Y20114</t>
  </si>
  <si>
    <t>J1a2a1a2d2b2b2c4d2a2a5a1e4a6i6~</t>
  </si>
  <si>
    <t>Y16899/ZS7063</t>
  </si>
  <si>
    <t>J1a2a1a2d2b2b2c4d2a2a5a1e4a6i7~</t>
  </si>
  <si>
    <t>Z26762</t>
  </si>
  <si>
    <t>J1a2a1a2d2b2b2c4d2a2a5a1e4a6i8~</t>
  </si>
  <si>
    <t>ZS8667, ZS8668, ZS8669, ZS8670, ZS8671, ZS8672</t>
  </si>
  <si>
    <t>J1a2a1a2d2b2b2c4d2a2a5a1e4a6i9~</t>
  </si>
  <si>
    <t xml:space="preserve">ZS10459, ZS10460, ZS10461, ZS10462, ZS10465 </t>
  </si>
  <si>
    <t>J1a2a1a2d2b2b2c4d2a2a5a1e4a6i10~</t>
  </si>
  <si>
    <t xml:space="preserve">ZS5220 </t>
  </si>
  <si>
    <t>J1a2a1a2d2b2b2c4d2a2a5a1e4a6i11~</t>
  </si>
  <si>
    <t>ZS1801, ZS1802, ZS1803, ZS1804, ZS1805</t>
  </si>
  <si>
    <t>J1a2a1a2d2b2b2c4d2a2a5a1e4a6i12~</t>
  </si>
  <si>
    <t>F10313/ZS10840, ZS10841, ZS10842, ZS10843, ZS10845</t>
  </si>
  <si>
    <t>J1a2a1a2d2b2b2c4d2a2a5a1e4a6i13~</t>
  </si>
  <si>
    <t>ZS3992, ZS3993, ZS3994, ZS3995, ZS3997</t>
  </si>
  <si>
    <t>J1a2a1a2d2b2b2c4d2a2a5a1e4a6i14~</t>
  </si>
  <si>
    <t>ZS10592, ZS10593, ZS10594, ZS10596</t>
  </si>
  <si>
    <t>J1a2a1a2d2b2b2c4d2a2a5a1e4a6i14a~</t>
  </si>
  <si>
    <t>ZS10595</t>
  </si>
  <si>
    <t>J1a2a1a2d2b2b2c4d2a2a5a1e4a6j~</t>
  </si>
  <si>
    <t>FGC5427, FGC5428</t>
  </si>
  <si>
    <t>J1a2a1a2d2b2b2c4d2a2a5a1e4a6j1~</t>
  </si>
  <si>
    <t>FGC14435/Z18218, FGC14439/Z18219, FGC14442/Z18222</t>
  </si>
  <si>
    <t>J1a2a1a2d2b2b2c4d2a2a5a1e4a6j1a~</t>
  </si>
  <si>
    <t>DC436/Y22553, FGC23317, FGC23319</t>
  </si>
  <si>
    <t>J1a2a1a2d2b2b2c4d2a2a5a1e4a6j1a1~</t>
  </si>
  <si>
    <t>FGC23316</t>
  </si>
  <si>
    <t>J1a2a1a2d2b2b2c4d2a2a5a1e4a6j1b~</t>
  </si>
  <si>
    <t>FGC14441/Z18221, Z18220</t>
  </si>
  <si>
    <t>J1a2a1a2d2b2b2c4d2a2a5a1e4a6j1b1~</t>
  </si>
  <si>
    <t xml:space="preserve">FGC14436/ZS1795 </t>
  </si>
  <si>
    <t>J1a2a1a2d2b2b2c4d2a2a5a1e4a6j1c~</t>
  </si>
  <si>
    <t>ZS6416, ZS6418</t>
  </si>
  <si>
    <t>J1a2a1a2d2b2b2c4d2a2a5a1e4a6j1c1~</t>
  </si>
  <si>
    <t>ZS6413</t>
  </si>
  <si>
    <t>J1a2a1a2d2b2b2c4d2a2a5a1e4a6j1c1a~</t>
  </si>
  <si>
    <t>ZS6417</t>
  </si>
  <si>
    <t>J1a2a1a2d2b2b2c4d2a2a5a1e4a6j1c1a1~</t>
  </si>
  <si>
    <t>ZS6729</t>
  </si>
  <si>
    <t>J1a2a1a2d2b2b2c4d2a2a5a1e4a6j1c1a2~</t>
  </si>
  <si>
    <t>ZS6415</t>
  </si>
  <si>
    <t>J1a2a1a2d2b2b2c4d2a2a5a1e4a6j2~</t>
  </si>
  <si>
    <t>FGC5419, FGC5424, FGC5426/ZS1792</t>
  </si>
  <si>
    <t>J1a2a1a2d2b2b2c4d2a2a5a1e4a6j2a~</t>
  </si>
  <si>
    <t>FGC5420</t>
  </si>
  <si>
    <t>J1a2a1a2d2b2b2c4d2a2a5a1e4a6j2b~</t>
  </si>
  <si>
    <t>FGC22249/ZS5198, FGC22250/ZS5199, FGC22251/ZS5201, FGC22252/ZS5202, FGC22255/ZS5203, FGC22256/ZS5204, FGC22261</t>
  </si>
  <si>
    <t>J1a2a1a2d2b2b2c4d2a2a5a1e4a6j2b1~</t>
  </si>
  <si>
    <t>ZS5205</t>
  </si>
  <si>
    <t>J1a2a1a2d2b2b2c4d2a2a5a1e4a6j2b1a~</t>
  </si>
  <si>
    <t>ZS8924</t>
  </si>
  <si>
    <t>J1a2a1a2d2b2b2c4d2a2a5a1e4a6j2b1b~</t>
  </si>
  <si>
    <t>ZS5200</t>
  </si>
  <si>
    <t>J1a2a1a2d2b2b2c4d2a2a5a1e4a6j2b2~</t>
  </si>
  <si>
    <t>FGC22257</t>
  </si>
  <si>
    <t>J1a2a1a2d2b2b2c4d2a2a5a1e4a6j2b2a~</t>
  </si>
  <si>
    <t>FGC22259, FGC22260</t>
  </si>
  <si>
    <t>J1a2a1a2d2b2b2c4d2a2a5a1e4a6j2b2a1~</t>
  </si>
  <si>
    <t>FGC49354, ZS6395</t>
  </si>
  <si>
    <t>J1a2a1a2d2b2b2c4d2a2a5a1e4a6j2b2a2~</t>
  </si>
  <si>
    <t>ZS8536</t>
  </si>
  <si>
    <t>J1a2a1a2d2b2b2c4d2a2a5a1e4a6j2b2a3~</t>
  </si>
  <si>
    <t>ZS7716</t>
  </si>
  <si>
    <t>J1a2a1a2d2b2b2c4d2a2a5a1e4a6j2b2a3a~</t>
  </si>
  <si>
    <t>ZS7710</t>
  </si>
  <si>
    <t>J1a2a1a2d2b2b2c4d2a2a5a1e4a6j2c~</t>
  </si>
  <si>
    <t>FGC5425, FGC5432</t>
  </si>
  <si>
    <t>J1a2a1a2d2b2b2c4d2a2a5a1e4a6k~</t>
  </si>
  <si>
    <t>FGC4474</t>
  </si>
  <si>
    <t>J1a2a1a2d2b2b2c4d2a2a5a1e4a6k1~</t>
  </si>
  <si>
    <t>Y12363/ZS3903, Y12883/ZS3912</t>
  </si>
  <si>
    <t>J1a2a1a2d2b2b2c4d2a2a5a1e4a6k2~</t>
  </si>
  <si>
    <t xml:space="preserve">FGC4472, FGC4480/Y12364, FGC4481/Y12851, FGC4484/Y12852, FGC4485/Y12849, FGC4486/Y12850, FGC4487, FGC5462   </t>
  </si>
  <si>
    <t>J1a2a1a2d2b2b2c4d2a2a5a1e4a6k2a~</t>
  </si>
  <si>
    <t>ZS9168, ZS9169, ZS9171</t>
  </si>
  <si>
    <t>J1a2a1a2d2b2b2c4d2a2a5a1e4a6k2b~</t>
  </si>
  <si>
    <t xml:space="preserve">FGC5468 </t>
  </si>
  <si>
    <t>J1a2a1a2d2b2b2c4d2a2a5a1e4a6k2b1~</t>
  </si>
  <si>
    <t>FGC5464, FGC5465, FGC5467</t>
  </si>
  <si>
    <t>J1a2a1a2d2b2b2c4d2a2a5a1e4a6k2c~</t>
  </si>
  <si>
    <t>ZS5816</t>
  </si>
  <si>
    <t>J1a2a1a2d2b2b2c4d2a2a5a1e4a6k2d~</t>
  </si>
  <si>
    <t>ZS8662</t>
  </si>
  <si>
    <t>J1a2a1a2d2b2b2c4d2a2a5a1e4a6k2d1~</t>
  </si>
  <si>
    <t>ZS8666</t>
  </si>
  <si>
    <t>J1a2a1a2d2b2b2c4d2a2a5a1e4a6k2e~</t>
  </si>
  <si>
    <t>ZS6589</t>
  </si>
  <si>
    <t>J1a2a1a2d2b2b2c4d2a2a5a1e4a6k2f~</t>
  </si>
  <si>
    <t>Y15953</t>
  </si>
  <si>
    <t>J1a2a1a2d2b2b2c4d2a2a5a1e4a6k2g~</t>
  </si>
  <si>
    <t xml:space="preserve">Y12904/ZS3873, Y16466 </t>
  </si>
  <si>
    <t>J1a2a1a2d2b2b2c4d2a2a5a1e4a6k2g1~</t>
  </si>
  <si>
    <t>ZS8414</t>
  </si>
  <si>
    <t>J1a2a1a2d2b2b2c4d2a2a5a1e4a6k2h~</t>
  </si>
  <si>
    <t>FGC17804/ZS3960, FGC17805/Y12891/ZS3961</t>
  </si>
  <si>
    <t>J1a2a1a2d2b2b2c4d2a2a5a1e4a6k2h1~</t>
  </si>
  <si>
    <t>Y13963/ZS6427</t>
  </si>
  <si>
    <t>J1a2a1a2d2b2b2c4d2a2a5a1e4a6k2h2~</t>
  </si>
  <si>
    <t>FGC17806/ZS3962, FGC17808/ZS3964, FGC17809/ZS3966</t>
  </si>
  <si>
    <t>J1a2a1a2d2b2b2c4d2a2a5a1e4a6k2h2a~</t>
  </si>
  <si>
    <t>FGC17803/ZS3959</t>
  </si>
  <si>
    <t>J1a2a1a2d2b2b2c4d2a2a5a1e4a6k2i~</t>
  </si>
  <si>
    <t>ZS6400</t>
  </si>
  <si>
    <t>J1a2a1a2d2b2b2c4d2a2a5a1e4a6l~</t>
  </si>
  <si>
    <t>FGC5441, FGC5456</t>
  </si>
  <si>
    <t>J1a2a1a2d2b2b2c4d2a2a5a1e4b~</t>
  </si>
  <si>
    <t>FGC4290</t>
  </si>
  <si>
    <t>J1a2a1a2d2b2b2c4d2a2a5a1e5~</t>
  </si>
  <si>
    <t>BY2/FGC15178, BY3/FGC15184</t>
  </si>
  <si>
    <t>J1a2a1a2d2b2b2c4d2a2a5a2~</t>
  </si>
  <si>
    <t>FGC5388</t>
  </si>
  <si>
    <t>J1a2a1a2d2b2b2c4d2a2a6~</t>
  </si>
  <si>
    <t>ZS4721, ZS4722, ZS4723, ZS4725</t>
  </si>
  <si>
    <t>J1a2a1a2d2b2b2c4d2a2a7~</t>
  </si>
  <si>
    <t>FGC496.3/Z6749.3/ZS4949.3, ZS4944, ZS4945, ZS4946, ZS4950</t>
  </si>
  <si>
    <t>J1a2a1a2d2b2b2c4d2a2a8~</t>
  </si>
  <si>
    <t>CTS8120.2, ZS9302, ZS9305, ZS9306, ZS9318</t>
  </si>
  <si>
    <t>J1a2a1a2d2b2b2c4d2a2b~</t>
  </si>
  <si>
    <t>S20171</t>
  </si>
  <si>
    <t>J1a2a1a2d2b2b2c4d2a2c~</t>
  </si>
  <si>
    <t>Z18243</t>
  </si>
  <si>
    <t>J1a2a1a2d2b2b2c4d2a2c1~</t>
  </si>
  <si>
    <t>BY72/Z18244, Z18245, Z18247</t>
  </si>
  <si>
    <t>J1a2a1a2d2b2b2c4d2a2c2~</t>
  </si>
  <si>
    <t>ZS2153, ZS2156, ZS2166</t>
  </si>
  <si>
    <t>J1a2a1a2d2b2b2c4d2a2c2a~</t>
  </si>
  <si>
    <t>ZS9681, ZS9682</t>
  </si>
  <si>
    <t>J1a2a1a2d2b2b2c4d2a3~</t>
  </si>
  <si>
    <t>FGC14337/Z18718</t>
  </si>
  <si>
    <t>J1a2a1a2d2b2b2c4d2a3a~</t>
  </si>
  <si>
    <t>L1405</t>
  </si>
  <si>
    <t>J1a2a1a2d2b2b2c4e~</t>
  </si>
  <si>
    <t>PF4865, PF4807, PF4871, PF4873, PF4880, Z28297</t>
  </si>
  <si>
    <t>J1a2a1a2d2b2b2c4e1~</t>
  </si>
  <si>
    <t>Z28298, Z28299, Z28300</t>
  </si>
  <si>
    <t>J1a2a1a2d2b2b2c4e1a~</t>
  </si>
  <si>
    <t>FGC12821, Z28301, Z28303</t>
  </si>
  <si>
    <t>J1a2a1a2d2b2b2c5~</t>
  </si>
  <si>
    <t>FGC6244/Y12558, M11522, ZS6165, ZS6166, ZS6167</t>
  </si>
  <si>
    <t>J1a2a1b~</t>
  </si>
  <si>
    <t>ZS6599, ZS6601, ZS6614, ZS6622, ZS6625, ZS6653</t>
  </si>
  <si>
    <t>J1a2a1b1~</t>
  </si>
  <si>
    <t>ZS6602, ZS6607, ZS6609, ZS6616, ZS6633, ZS6638, ZS6642, ZS6643, ZS6652, ZS6663, ZS6664, ZS6681, ZS6685, ZS6692, ZS6701</t>
  </si>
  <si>
    <t>J1a2a1b1a~</t>
  </si>
  <si>
    <t>ZS6592, ZS6594, ZS6595, ZS6603, ZS6612, ZS6619, ZS6621, ZS6627, ZS6628, ZS6632, ZS6634, ZS6637, ZS6647, ZS6651, ZS6654, ZS6659, ZS6661, ZS6682, ZS6684, ZS6687, ZS6688, ZS6691, ZS6698, ZS6703</t>
  </si>
  <si>
    <t>J1a2a1b1a1~</t>
  </si>
  <si>
    <t xml:space="preserve">ZS6593, ZS6596, ZS6597, ZS6598, ZS6600, ZS6606. ZS6608, ZS6610, ZS6615, ZS6617, ZS6618, ZS6620, ZS6623, ZS6624, ZS6626, ZS6629, ZS6630, ZS6631, ZS6635, ZS6636, ZS6639, ZS6640, ZS6641, ZS6646, ZS6648, ZS6650, ZS6655, ZS6656, ZS6657, ZS6658, ZS6660, ZS6662, ZS6683, ZS6686, ZS6689, ZS6690, ZS6693, ZS6694, ZS6697, ZS6700 </t>
  </si>
  <si>
    <t>J1a2a2~</t>
  </si>
  <si>
    <t xml:space="preserve">FGC6064 </t>
  </si>
  <si>
    <t>J1a2a2a~</t>
  </si>
  <si>
    <t xml:space="preserve">FGC5989, FGC6018, FGC6019, FGC6020, FGC6027, FGC6028, FGC6029, FGC6030, FGC6031, FGC6033, FGC6034, FGC6036, FGC6037, FGC6038, FGC6044, FGC6045, FGC6048, FGC6057, FGC6060, FGC6068, FGC6069, FGC6067, FGC6071, FGC6073, FGC6074, FGC6076, FGC6080, FGC6081, FGC6084, FGC6088, FGC6096, FGC6098, FGC6099, FGC6101, FGC6103, FGC6104, FGC6112, FGC6113, FGC6115, FGC6117, FGC6118, FGC6119, FGC6120, FGC6123, FGC6124, FGC6125, FGC6126, FGC6127, FGC6130, FGC6133, FGC6136, FGC6137, FGC6141, FGC6142, FGC6143, FGC6144, FGC6145, FGC6146, FGC6150, FGC6151, FGC6153, FGC6156, FGC6158, FGC6159, FGC6165, FGC6169, FGC6174, FGC8030, FGC8032/ZS4152, ZS4129, ZS4130, ZS4148 </t>
  </si>
  <si>
    <t>J1a2a2a1~</t>
  </si>
  <si>
    <t>AMM00043/FGC5988, FGC5990, FGC5992, FGC6024, FGC6025, FGC6026, FGC6032, FGC6035, FGC6039, FGC6040, FGC6047, FGC6066, FGC6075, FGC6077, FGC6083, FGC6085, FGC6094, FGC6095, FGC6097, FGC6107, FGC6109, FGC6111, FGC6128, FGC6132, FGC6134, FGC6139, FGC6147, FGC6157, FGC6166, FGC6168, FGC8031, Y19467</t>
  </si>
  <si>
    <t>J1a2b</t>
  </si>
  <si>
    <t>CTS15/Z1828</t>
  </si>
  <si>
    <t>J1a2b~</t>
  </si>
  <si>
    <t>CTS1141, CTS1267, CTS1318/YSC0001256, CTS3569/YSC0001269, CTS5034, CTS6379, CTS6412/Z1836, CTS7022/Z1839, CTS7094/Z1840, CTS9446, CTS10180, CTS10424, CTS10957/Z1844, CTS12012/YSC0001252, FGC13966/Y3479/Z18367, FGC13967/Y4415, FGC13969/Y4416/Z18400, FGC13971/Y3514/Z18420, FGC13973/Y4420/Z18371, FGC13974/Y3501/Z18401, FGC13976/Y3484/Z18375, FGC13980/Y3506/ZS2846, FGC13981/Y3478/Z18365, FGC13982/Y4414/Z18389, FGC13983/Y3492/Z18494, FGC13984/Y3489/ZS2822, FGC13985/Y3483/Z18374, FGC13986/Y3480/Z18369, FGC13987/Y4787/Z18405, FGC13988/Y3510/Z18376, FGC13989/SK1280/Y3511/Z18379, FGC13990, FGC13991/Y3471/Z18380, FGC13992/Y3488/Z18387, FGC13993/Y3502/Z18402, FGC13994/Y3497/Z18396, FGC13995/Y3487/Z18383, FGC13996/SK1279/Y3491/Z18394, FGC13997/Y3482/Z18373, FGC13998/Y3513/Z18149, FGC13999/Y3507/Z18432, FGC14000/Y3503/Z18403, FGC14001/Y3505/Z18407, FGC14002/Y3504/Z18406, FGC14003/Y3500/Z18431, FGC14004/Y5974/Z18408, FGC14005/Y3472/Z18381, FGC14006/Y4419/Z18391, FGC14007/Y4409/Z18421, FGC14010/Y4412/Z18392, FGC14012/Y3508, FGC14013/Y4396/Z18393, FGC14014.1/Y5973.1/Z18363.1, FGC14015/Y4408/Z18418, FGC14016/Y3485/Z18362, FGC14017/Y4399/Z18366, FGC14018/Y3499/Z18398, FGC14020/Y4397/Z18395, FGC14023/Y4400/Z18372, FGC14024/Y4404/Z18399, FGC14025/Y3490/Z18390, FGC14028/Y4403/Z18397, FGC14029/Y3477/Z18364, FGC31533, FGC31534/Y4784, FGC31540/Y4783, FGC31542, FGC31552, FGC37459, L1188, Y3481/Z18370, Y4402, Y4421/Z18368, YSC0000590, YSC0001001, YSC0001019, YSC0001071, YSC0001246, YSC0001374, Z1832, Z1833, Z1834, Z1841, Z1843, ZS2850, ZS2854</t>
  </si>
  <si>
    <t>J1a2b1</t>
  </si>
  <si>
    <t>Z1842</t>
  </si>
  <si>
    <t>J1a2b1~</t>
  </si>
  <si>
    <t>CTS11479, FGC13968/Y4786/Z18435, FGC13970/Y3495/Z18429, FGC13977/Y3476/Z18425, FGC13979/Y4788/Z18433, FGC14009/Y4417/Z18434, FGC14022/Y3493/Z18441, FGC14026/Y4406/ZS10520, FGC14027/Y4401/Z18426, Y3494/Z38457, Y3498, YSC0000416, YSC0000499, ZS2856</t>
  </si>
  <si>
    <t>J1a2b1a~</t>
  </si>
  <si>
    <t>Y11643/ZS3114, Y11645/ZS3089</t>
  </si>
  <si>
    <t>J1a2b1a1~</t>
  </si>
  <si>
    <t xml:space="preserve">B234, Y11831/ZS5648, Y22052/ZS12649, ZS5647, ZS5649, ZS5658, ZS5659, ZS5668, ZS5673, ZS5681, ZS5683, ZS11459 </t>
  </si>
  <si>
    <t>J1a2b1a1a~</t>
  </si>
  <si>
    <t>Y25791/ZS12656, ZS5645, ZS5653, ZS5655,ZS5656, ZS5675, ZS5680</t>
  </si>
  <si>
    <t>J1a2b1b~</t>
  </si>
  <si>
    <t>FGC14051/Y4405/Z18436, FGC14062/Y4423</t>
  </si>
  <si>
    <t>J1a2b1b1~</t>
  </si>
  <si>
    <t>Y7683/ZS3042</t>
  </si>
  <si>
    <t>J1a2b1b2~</t>
  </si>
  <si>
    <t xml:space="preserve">CTS1460, FGC14044/Y3496/ZS2971 </t>
  </si>
  <si>
    <t>J1a2b1b2a~</t>
  </si>
  <si>
    <t>CTS7835, FGC37480, FGC37491, FGC37500, FGC37501, FGC37507, FGC37508, Y22035, Y22036, Y22664/ZS7037, YSC0001133, YSC0000414, ZS7008, ZS7012, ZS7013, ZS7014, ZS7015, ZS7019, ZS7023, ZS7027, ZS7028, ZS7032, ZS8722</t>
  </si>
  <si>
    <t>J1a2b1b2a1~</t>
  </si>
  <si>
    <t>ZS7002</t>
  </si>
  <si>
    <t>J1a2b1b2b~</t>
  </si>
  <si>
    <t>Y5345, Y5346/Z18448, Y5347/Z18449, Y5348/Z18450, Y5349/Z18451, Y5351, Y5352/Z18453, Y5353/Z18454, Y5354/Z18456, Y5355/Z18457, Y5356/Z18459, Y5357/Z18460, Y5358/Z18455</t>
  </si>
  <si>
    <t>J1a2b1b2b1~</t>
  </si>
  <si>
    <t>ZS3006, ZS3009</t>
  </si>
  <si>
    <t>J1a2b1b2b2~</t>
  </si>
  <si>
    <t>Y21396/ZS10935</t>
  </si>
  <si>
    <t>J1a2b1b2b2a~</t>
  </si>
  <si>
    <t xml:space="preserve">Y29717, Y30432, Y30433, ZS10920, ZS10921, ZS10928, ZS10929, ZS10933, ZS10937, ZS10940, ZS10941, ZS10947, ZS10948, ZS10950 </t>
  </si>
  <si>
    <t>J1a2b1b2c~</t>
  </si>
  <si>
    <t xml:space="preserve">CTS7188, FGC14021/Y6916/Z18440, FGC14045/Y6918/Z18444 </t>
  </si>
  <si>
    <t>J1a2b1b2c1~</t>
  </si>
  <si>
    <t>BY100/FGC14030/Y6915/ZS2926, FGC14043/Y6917/Z18443, FGC14059/Y6919/Z18445</t>
  </si>
  <si>
    <t>J1a2b1b2c1a~</t>
  </si>
  <si>
    <t>ZS2872, ZS2923</t>
  </si>
  <si>
    <t>J1a2b1b2c1a1~</t>
  </si>
  <si>
    <t>ZS11710</t>
  </si>
  <si>
    <t>J1a2b1b2c1a1a~</t>
  </si>
  <si>
    <t>SK1695.1, Y29726, Y29727, Y29728, Y29729, Y30102, Y30103, Y30104, Y30105, Y30106, Y30649, Y30650</t>
  </si>
  <si>
    <t>J1a2b1b2c1a2~</t>
  </si>
  <si>
    <t>ZS2910</t>
  </si>
  <si>
    <t>J1a2b1b2c1a2a~</t>
  </si>
  <si>
    <t>ZS8678, ZS8683, ZS8686, ZS8689, ZS8697, ZS8708</t>
  </si>
  <si>
    <t>J1a2b1b2c1a2b~</t>
  </si>
  <si>
    <t>Y20906, Y21704, ZS7626, ZS7627, ZS7628, ZS7630, ZS7631, ZS7632, ZS7634, ZS7635, ZS7640, ZS7641, ZS7642, ZS7643, ZS7645, ZS7646, ZS7647, ZS7649, ZS7650, ZS7651, ZS7652, ZS7653, ZS7654, ZS7655, ZS7661, ZS7662, ZS7663, ZS10517</t>
  </si>
  <si>
    <t>J1a2b2~</t>
  </si>
  <si>
    <t>BY69/Z18462, FGC31592, Z18463, Z18464</t>
  </si>
  <si>
    <t>J1a2b2a~</t>
  </si>
  <si>
    <t>FGC2577/ZS3214, FGC36523, FGC36524, FGC36525, FGC36526, Y31163, Y31164, ZS3200, ZS3202, ZS3203, ZS3204, ZS3205, ZS3206, ZS3207, ZS3208, ZS3209, ZS3213, ZS3215, ZS3217, ZS3218, ZS3221, ZS3222, ZS3223, ZS3224, ZS3225, ZS3226, ZS3228, ZS3229, ZS3230, ZS3240, ZS3241, ZS3242, ZS3243, ZS3245, ZS3246, ZS3247, ZS5490, ZS7253</t>
  </si>
  <si>
    <t>J1a2b2a1~</t>
  </si>
  <si>
    <t>BY96/ZS3199, ZS3216, ZS3219, ZS7252</t>
  </si>
  <si>
    <t>J1a2b2a2~</t>
  </si>
  <si>
    <t>ZS5488, ZS5489, ZS5490, ZS5491, ZS5493</t>
  </si>
  <si>
    <t>J1a2b2b~</t>
  </si>
  <si>
    <t>FGC29938, FGC29940, FGC31575, FGC31577, FGC31584, FGC31612, L1189, Z18465, Z18466, Z18467, Z18468, Z18469, Z18470, Z18471, Z18472, Z18473, Z18474, Z18475, Z18476, Z18477, Z18478, Z18479, Z18480, Z18482, Z18483, Z18485, ZS3122, ZS3135, ZS3189</t>
  </si>
  <si>
    <t>J1a2b2b1~</t>
  </si>
  <si>
    <t>Z31382, ZS3128</t>
  </si>
  <si>
    <t>J1a2b2b2~</t>
  </si>
  <si>
    <t>Y26747, Y26748, ZS10764, ZS10765, ZS10766, ZS10767, ZS10769, ZS10770, ZS10771, ZS10773, ZS10774, ZS10775, ZS10778, ZS10779, ZS10780, ZS10782, ZS10783</t>
  </si>
  <si>
    <t>J1a2b2b2a~</t>
  </si>
  <si>
    <t>ZS3178</t>
  </si>
  <si>
    <t>J1a2b2b2b~</t>
  </si>
  <si>
    <t>ZS5318, ZS5326</t>
  </si>
  <si>
    <t>J1a3~</t>
  </si>
  <si>
    <t>BY11761, F999.2, PF7259, PF7261, PH7, PH77, PH351, PH1443, PH2375, PH3132, PH3641, PH3965, PH4156, PH4391, PH5003, PH5266, Y29696, Y29697, Y30278, Y30282, Y30282, Y30289, Y30294, YP5856, Z31032.2, ZS3249, ZS3316, ZS3317, ZS3349, ZS3363, ZS3365, ZS3336, ZS3367, ZS3369, ZS3397, ZS3399, ZS3413, ZS3421, ZS3429, ZS3457, ZS3480, ZS3482, ZS3486, ZS3487, ZS3504, ZS11758, ZS11762, ZS11768, ZS11772, ZS11776, ZS11791, ZS11811</t>
  </si>
  <si>
    <t>J1a3a~</t>
  </si>
  <si>
    <t xml:space="preserve">CTS2251.2/M3289.2/PF2941.2, F2594.2, M7649, PF4772, Z10535.2 </t>
  </si>
  <si>
    <t>J1a3b~</t>
  </si>
  <si>
    <t>FGC35403, PF7257, PH128, PH152, PH1284, PH1549, PH1651, PH1689, PH1828, PH2095, PH2107, PH2267, PH2321/YP1485, PH2478, PH2601, PH3112, PH3147, PH3532, PH3547, PH3948, PH4422. PH4603, PH4961, Y29685, Y29686, Y29688, Y29689, Y29690, Y29691, Y29692, Y29693, Y29694, Y29695, Y29698, Y29699, Y29700, Y30057, Y30276, Y30277, Y30279, Y30280, Y30281, Y30283, Y30284, Y30285, Y30286, Y30287, Y30290, Y30291, Y30292, Y30293, Y31138, Y33341, YP5853,  ZS5391</t>
  </si>
  <si>
    <t>J1a3b1~</t>
  </si>
  <si>
    <t xml:space="preserve">S695.2, Y33339, Y33340, YP5852, YP5855 </t>
  </si>
  <si>
    <t>J1b</t>
  </si>
  <si>
    <r>
      <rPr>
        <b/>
        <i/>
      </rPr>
      <t>F1614</t>
    </r>
    <r>
      <rPr>
        <i/>
      </rPr>
      <t>, BY247^/FGC28386^/Y6586^/ZS5067^, CTS3219/ZS80, F2168/ZS90, F3249/ZS120, F4256, F4306, FGC20296/Y6310/ZS3534, FGC20297, FGC20298/Y6330/ZS3576, FGC20299/Y6324/ZS3542, FGC20300/Y6309/ZS3513, FGC20301/Y6337/ZS3624, FGC20302/Y6328/ZS3568, FGC20303^/Y6336^/ZS3620^, FGC20306/ZS3578, FGC20309^/Y6329^/ZS3569^, FGC20310/Y6311/ZS3539, FGC20312/Y6308/ZS3512, FGC20313^/Y6322^/ZS3516^, FGC20404^, M10096/ZS106, Y2909.2/ZS143.2, Y6305/ZS91, Y6313/ZS81, Y6317/ZS121, Y6318^/ZS3592^, Y6320/ZS142, Y6323, Y6327/ZS95, Y6332/ZS115, Y6334/ZS119, Z27594, Z27595, Z27596, Z27599^, Z27606, Z27608^, Z27609^, Z27615, Z27617, Z27618, Z27620^, Z27621, Z27624^, Z27625, Z27626^, Z27628, Z27630, Z27631, Z27632^, Z27633, Z27634^, Z27635^, Z27636^, Z27637, Z27638, Z27640^, Z27641^, Z27642, Z27643, Z27646, Z27650, Z27654, Z27657^, Z27659^, ZS32^, ZS33, ZS34^, ZS55^, ZS58, ZS61, ZS65, ZS70, ZS76, ZS82, ZS83^, ZS85^, ZS86, ZS92, ZS93, ZS94, ZS98, ZS101, ZS103, ZS104, ZS105^, ZS109, ZS111, ZS112, ZS116, ZS118, ZS122, ZS135, ZS139, ZS140, ZS141, ZS5057, ZS5063, ZS5070, ZS5071, ZS5075.2, ZS5082, ZS5086^, ZS5092, ZS5098, ZS5109, ZS5139</t>
    </r>
  </si>
  <si>
    <t>J1b1~</t>
  </si>
  <si>
    <t>FGC20304/Y6326, FGC20305/Y6338/ZS3626, FGC20308/Y6307/ZS3524, FGC20311/Y6312/ZS3543, FGC20317/Y6306/ZS3523, M2747/Z4189, Y6316/ZS107, Y6333/ZS117, Z27645</t>
  </si>
  <si>
    <t>J1b1a~</t>
  </si>
  <si>
    <t>M9869/ZS87, Z2223, Z22650, Z33651, Z22652, Z22653, Z22654, Z22655, ZS72, ZS77, ZS79, ZS84, ZS88, ZS89, ZS96, ZS97, ZS138</t>
  </si>
  <si>
    <t>J1b1a1~</t>
  </si>
  <si>
    <t>F1369, F1389, M10453/ZS64, M11065/ZS606</t>
  </si>
  <si>
    <t>J1b1a1a~</t>
  </si>
  <si>
    <t>Z22652, ZS5033, ZS5040, ZS5047</t>
  </si>
  <si>
    <t>J1b1a1b~</t>
  </si>
  <si>
    <t>ZS3627, ZS3628, ZS3636, ZS3637, ZS3638</t>
  </si>
  <si>
    <t>J1b1b~</t>
  </si>
  <si>
    <t xml:space="preserve"> FGC20321/ZS3509, FGC20341/ZS3540, FGC20352/ZS3554, FGC20356/ZS3557, FGC20396/ZS3618</t>
  </si>
  <si>
    <t>J2</t>
  </si>
  <si>
    <r>
      <rPr>
        <b/>
        <i/>
      </rPr>
      <t>M172/Page28/PF4908</t>
    </r>
    <r>
      <rPr>
        <i/>
      </rPr>
      <t xml:space="preserve">, CTS886/PF4893, CTS3056, CTS3202/PF4907, CTS5728/PF4912, CTS5904/PF4913, CTS12828, CTS12984/PF4937/S3234, F4087/L228/PF4895/S321, F2113/PF4910, F3343/PF4933, F4272/PF4920, F4283/PF4922, FGC2790/Y29592, PF4597, PF4898, PF4905, PF4925, PF4926, PF4935 </t>
    </r>
  </si>
  <si>
    <t>J2a</t>
  </si>
  <si>
    <r>
      <rPr>
        <b/>
        <i/>
        <color rgb="FF000000"/>
      </rPr>
      <t>M410</t>
    </r>
    <r>
      <rPr>
        <b/>
        <i/>
        <color rgb="FFCC0000"/>
      </rPr>
      <t>/</t>
    </r>
    <r>
      <rPr>
        <b/>
        <i/>
        <color rgb="FF000000"/>
      </rPr>
      <t>PF4941</t>
    </r>
    <r>
      <rPr>
        <i/>
        <color rgb="FF000000"/>
      </rPr>
      <t xml:space="preserve">, AM01355/CTS9245/PF4977, CTS113/PF4884, CTS128/PF4940, CTS161/L927/PF4885, CTS585, CTS1030/PF4949, CTS1085/PF4950, CTS2537/PF4961, CTS2618, CTS3816/PF4963, CTS4195/PF4964, CTS4360/PF4965, CTS4540/PF4966, CTS4699/PF4909, CTS5066. CTS5461/PF4911, CTS5482/PF4968, CTS5867/PF4969, CTS6660/PF4971, CTS6586/PF4970, CTS8265/PF4974, CTS9538/PF4919, CTS9781/PF4978, CTS10036, CTS10134/PF4980, CTS10551/PF4981, CTS11094, CTS12014, CTS12015, F841/PF4948, F2078/PF4967, F2418/PF4972, F2672/PF4975, F4095/PF4897, F4100/PF4956, F4106/PF4958, F4221, F4259/PF4976, F4266/PF4918, F4334/PF4990, FGC2793/Z7759, L152, L212/PF4988, L505/PF4987, L532, L559/PF4986, PF4896, PF4927, PF4929, PF4952, PF4953, PF4955, PF4982, PF4983, PF4985 </t>
    </r>
  </si>
  <si>
    <t>J2a~</t>
  </si>
  <si>
    <t xml:space="preserve">CTS1328/PF4951/Z2134, CTS8547/PF4917, CTS9856/PF4921, CTS9980/PF4923, F1183/PF4957, F1810/PF4962, FGC2795/Z7760, PF4899, PF4928, PF4979 </t>
  </si>
  <si>
    <t>J2a1</t>
  </si>
  <si>
    <r>
      <rPr>
        <rFont val="Arial"/>
        <b/>
        <color rgb="FF000000"/>
      </rPr>
      <t xml:space="preserve">PF4610, </t>
    </r>
    <r>
      <rPr>
        <rFont val="Arial"/>
        <b val="0"/>
        <color rgb="FF000000"/>
      </rPr>
      <t>CTS758/PF5085, CTS4403/PF5096, CTS7683/PF5100, CTS10265/PF5103, CTS11251/PF5112, F1227, PF5091, PF5104, PF5105, PF5107</t>
    </r>
  </si>
  <si>
    <t>J2a1a</t>
  </si>
  <si>
    <r>
      <rPr>
        <b/>
      </rPr>
      <t xml:space="preserve">F4326/L27/PF5111/S396, </t>
    </r>
    <r>
      <rPr>
        <b val="0"/>
      </rPr>
      <t xml:space="preserve">CTS2192/PF5094, </t>
    </r>
    <r>
      <rPr>
        <b val="0"/>
        <i/>
      </rPr>
      <t xml:space="preserve">CTS3547, CTS7490/PF5099, </t>
    </r>
    <r>
      <rPr>
        <b val="0"/>
      </rPr>
      <t xml:space="preserve">CTS9718/PF5102, CTS10711/PF5109, CTS11983/PF5114, </t>
    </r>
    <r>
      <rPr>
        <b val="0"/>
        <i/>
      </rPr>
      <t>FGC2794/S1081/Z7728,</t>
    </r>
    <r>
      <rPr>
        <b val="0"/>
      </rPr>
      <t xml:space="preserve"> L26/Page55/PF5110/S57, PF4901, PF5089/Z1849, PF5106</t>
    </r>
  </si>
  <si>
    <t>J2a1a~</t>
  </si>
  <si>
    <t>CTS1063/PF5086, CTS3546, CTS4186/PF5095, CTS5575/PF5098, CTS11639/PF5113, FGC2798/Z7729, PF4984, PF5090, PF5115</t>
  </si>
  <si>
    <t>J2a1a1</t>
  </si>
  <si>
    <r>
      <rPr>
        <b/>
        <color rgb="FF000000"/>
      </rPr>
      <t xml:space="preserve">PF5088, </t>
    </r>
    <r>
      <rPr>
        <b val="0"/>
        <color rgb="FF000000"/>
      </rPr>
      <t>CTS1230/PF5087</t>
    </r>
  </si>
  <si>
    <t>J2a1a1a</t>
  </si>
  <si>
    <r>
      <rPr>
        <b/>
        <color rgb="FF000000"/>
      </rPr>
      <t xml:space="preserve">PF5125, </t>
    </r>
    <r>
      <rPr>
        <b val="0"/>
        <color rgb="FF000000"/>
      </rPr>
      <t>PF5116^^</t>
    </r>
  </si>
  <si>
    <t>J2a1a1a1~</t>
  </si>
  <si>
    <t>Z34668</t>
  </si>
  <si>
    <t>J2a1a1a2</t>
  </si>
  <si>
    <r>
      <rPr>
        <b/>
        <color rgb="FF000000"/>
      </rPr>
      <t xml:space="preserve">Z2229, </t>
    </r>
    <r>
      <rPr>
        <b val="0"/>
        <color rgb="FF000000"/>
      </rPr>
      <t xml:space="preserve">PF5119, </t>
    </r>
    <r>
      <rPr>
        <b val="0"/>
        <i/>
        <color rgb="FF000000"/>
      </rPr>
      <t>PF5122</t>
    </r>
    <r>
      <rPr>
        <b val="0"/>
        <color rgb="FF000000"/>
      </rPr>
      <t>, PF5123, PF5124. PF5127, PF5134, PF5138, Z2227,</t>
    </r>
    <r>
      <rPr>
        <b val="0"/>
        <i/>
        <color rgb="FF000000"/>
      </rPr>
      <t xml:space="preserve"> Z2228</t>
    </r>
  </si>
  <si>
    <t>J2a1a1a2a</t>
  </si>
  <si>
    <t>Z6065</t>
  </si>
  <si>
    <t>J2a1a1a2a1~</t>
  </si>
  <si>
    <t>FGC15779/Y13341/Z27937</t>
  </si>
  <si>
    <t>J2a1a1a2a1a~</t>
  </si>
  <si>
    <t>Z7516</t>
  </si>
  <si>
    <t>J2a1a1a2a1a1~</t>
  </si>
  <si>
    <t>Z7545</t>
  </si>
  <si>
    <t>J2a1a1a2a1a1a~</t>
  </si>
  <si>
    <t>Z7551</t>
  </si>
  <si>
    <t>J2a1a1a2a1a1b~</t>
  </si>
  <si>
    <t>Y32023</t>
  </si>
  <si>
    <t>J2a1a1a2a1a2~</t>
  </si>
  <si>
    <t>FGC15895</t>
  </si>
  <si>
    <t>J2a1a1a2a1a2a~</t>
  </si>
  <si>
    <t>FGC15855</t>
  </si>
  <si>
    <t>J2a1a1a2a1a2a1~</t>
  </si>
  <si>
    <t>Y68973</t>
  </si>
  <si>
    <t>J2a1a1a2a1a2a2~</t>
  </si>
  <si>
    <t>FGC15830</t>
  </si>
  <si>
    <t>J2a1a1a2a1a2a2a~</t>
  </si>
  <si>
    <t>PH1038</t>
  </si>
  <si>
    <t>J2a1a1a2a1a2a2b~</t>
  </si>
  <si>
    <t>Y31162</t>
  </si>
  <si>
    <t>J2a1a1a2a1a2a2b1~</t>
  </si>
  <si>
    <t>Y36619</t>
  </si>
  <si>
    <t>J2a1a1a2a1a2a2b1a~</t>
  </si>
  <si>
    <t>Y36613</t>
  </si>
  <si>
    <t>J2a1a1a2a2</t>
  </si>
  <si>
    <r>
      <rPr>
        <b/>
        <i/>
        <color rgb="FF000000"/>
      </rPr>
      <t xml:space="preserve">Y8522, </t>
    </r>
    <r>
      <rPr>
        <b val="0"/>
        <i/>
        <color rgb="FF000000"/>
      </rPr>
      <t>BY32930, Y7708.2/Z29414.2</t>
    </r>
  </si>
  <si>
    <t>J2a1a1a2a2a</t>
  </si>
  <si>
    <r>
      <rPr>
        <b/>
        <i/>
        <color rgb="FF000000"/>
      </rPr>
      <t>Z39478</t>
    </r>
    <r>
      <rPr>
        <i/>
        <color rgb="FF000000"/>
      </rPr>
      <t>, Z39474</t>
    </r>
  </si>
  <si>
    <t>J2a1a1a2a2a~</t>
  </si>
  <si>
    <t>Y9268</t>
  </si>
  <si>
    <t>J2a1a1a2a2a1~</t>
  </si>
  <si>
    <t>Z43661</t>
  </si>
  <si>
    <t>J2a1a1a2a2a1a~</t>
  </si>
  <si>
    <t>Y37496</t>
  </si>
  <si>
    <t>J2a1a1a2a2a1a1~</t>
  </si>
  <si>
    <t>Y104740</t>
  </si>
  <si>
    <t>J2a1a1a2a2a1a2~</t>
  </si>
  <si>
    <t>A19196</t>
  </si>
  <si>
    <t>J2a1a1a2a2a1a2a~</t>
  </si>
  <si>
    <t>A19200</t>
  </si>
  <si>
    <t>J2a1a1a2a2a2</t>
  </si>
  <si>
    <t>P81/PF4275</t>
  </si>
  <si>
    <t>J2a1a1a2a2b</t>
  </si>
  <si>
    <r>
      <rPr>
        <b/>
      </rPr>
      <t>M47</t>
    </r>
    <r>
      <rPr/>
      <t>, L290, M322</t>
    </r>
  </si>
  <si>
    <t>J2a1a1a2a2b1~</t>
  </si>
  <si>
    <t>Y37637</t>
  </si>
  <si>
    <t>J2a1a1a2a2b2~</t>
  </si>
  <si>
    <t>Y7715</t>
  </si>
  <si>
    <t>J2a1a1a2a2b2a~</t>
  </si>
  <si>
    <t>Y8531</t>
  </si>
  <si>
    <t>J2a1a1a2a2b2a1~</t>
  </si>
  <si>
    <t>Y28232</t>
  </si>
  <si>
    <t>J2a1a1a2a2b2b~</t>
  </si>
  <si>
    <t>Y14678</t>
  </si>
  <si>
    <t>J2a1a1a2a2b2c~</t>
  </si>
  <si>
    <t>Y28887</t>
  </si>
  <si>
    <t>J2a1a1a2a2b2d~</t>
  </si>
  <si>
    <t>Y28883</t>
  </si>
  <si>
    <t>J2a1a1a2a2b2d1~</t>
  </si>
  <si>
    <t>Y28882</t>
  </si>
  <si>
    <t>J2a1a1a2a2b2d1a~</t>
  </si>
  <si>
    <t>Y159139</t>
  </si>
  <si>
    <t>J2a1a1a2b</t>
  </si>
  <si>
    <r>
      <rPr>
        <b/>
        <color rgb="FF000000"/>
      </rPr>
      <t>CTS4800</t>
    </r>
    <r>
      <rPr>
        <color rgb="FF000000"/>
      </rPr>
      <t xml:space="preserve">, CTS1382/PF5117/Z1846, L558/PF7408, </t>
    </r>
    <r>
      <rPr>
        <i/>
        <color rgb="FF000000"/>
      </rPr>
      <t>Z2231, Z8091</t>
    </r>
  </si>
  <si>
    <t>J2a1a1a2b1</t>
  </si>
  <si>
    <r>
      <rPr>
        <b/>
        <color rgb="FF000000"/>
      </rPr>
      <t>S23154/Z17196</t>
    </r>
    <r>
      <rPr>
        <color rgb="FF000000"/>
      </rPr>
      <t xml:space="preserve">, </t>
    </r>
    <r>
      <rPr>
        <i/>
        <color rgb="FF000000"/>
      </rPr>
      <t>FGC17664/Y5035/Z171787, FGC17667/Y5014/Z17199, S7629/V4576/Z17179, S11868/V4938/Z17181</t>
    </r>
  </si>
  <si>
    <t>J2a1a1a2b1a~</t>
  </si>
  <si>
    <t>Y125771</t>
  </si>
  <si>
    <t>J2a1a1a2b1a1~</t>
  </si>
  <si>
    <t>Y130825</t>
  </si>
  <si>
    <t>J2a1a1a2b1a2~</t>
  </si>
  <si>
    <t>FGC17772/Y8371</t>
  </si>
  <si>
    <t>J2a1a1a2b1a2a~</t>
  </si>
  <si>
    <t>Y32691</t>
  </si>
  <si>
    <t>J2a1a1a2b1a2b~</t>
  </si>
  <si>
    <t>FGC35099</t>
  </si>
  <si>
    <t>J2a1a1a2b1a2b1~</t>
  </si>
  <si>
    <t>FGC17750</t>
  </si>
  <si>
    <t>J2a1a1a2b1a2b2~</t>
  </si>
  <si>
    <t>FGC30603</t>
  </si>
  <si>
    <t>J2a1a1a2b1b</t>
  </si>
  <si>
    <r>
      <rPr>
        <b/>
      </rPr>
      <t>M319</t>
    </r>
    <r>
      <rPr>
        <b val="0"/>
      </rPr>
      <t xml:space="preserve">, </t>
    </r>
    <r>
      <rPr>
        <b val="0"/>
        <i/>
      </rPr>
      <t>FGC17665/Y5011/Z17189, S15367/Z17186, S17661/V5821/Z17188, S18224/V6070/Z17190, V4801/Z2253, V4844/Z2254, V5710/Z2256, V7820/Z2258, Z2259</t>
    </r>
  </si>
  <si>
    <t>J2a1a1a2b1b1~</t>
  </si>
  <si>
    <t>S7586</t>
  </si>
  <si>
    <t>J2a1a1a2b1b1a~</t>
  </si>
  <si>
    <t>Y16942</t>
  </si>
  <si>
    <t>J2a1a1a2b1b2~</t>
  </si>
  <si>
    <t>S17259</t>
  </si>
  <si>
    <t>J2a1a1a2b1b2a~</t>
  </si>
  <si>
    <t>Y92203</t>
  </si>
  <si>
    <t>J2a1a1a2b1b2a1~</t>
  </si>
  <si>
    <t>Y85300</t>
  </si>
  <si>
    <t>J2a1a1a2b1b3~</t>
  </si>
  <si>
    <t>Y9415</t>
  </si>
  <si>
    <t>J2a1a1a2b1b3a~</t>
  </si>
  <si>
    <t>FGC17679/Y5009/Z17214</t>
  </si>
  <si>
    <t>J2a1a1a2b1b3a1~</t>
  </si>
  <si>
    <t>Y33167</t>
  </si>
  <si>
    <t>J2a1a1a2b1b3a2~</t>
  </si>
  <si>
    <t>Y5176</t>
  </si>
  <si>
    <t>J2a1a1a2b1b3a2a~</t>
  </si>
  <si>
    <t>FGC17716/Y5177</t>
  </si>
  <si>
    <t>J2a1a1a2b1b3a2a1~</t>
  </si>
  <si>
    <t>FGC17726/Y5178</t>
  </si>
  <si>
    <t>J2a1a1a2b1b3a2a1a~</t>
  </si>
  <si>
    <t>V4870/Z39482</t>
  </si>
  <si>
    <t>J2a1a1a2b1b3a2a1a1~</t>
  </si>
  <si>
    <t>Y23725</t>
  </si>
  <si>
    <t>J2a1a1a2b1b3a2a1a2~</t>
  </si>
  <si>
    <t>V4600/Y23998</t>
  </si>
  <si>
    <t>J2a1a1a2b1b3a2a1a2a~</t>
  </si>
  <si>
    <t>Y36208</t>
  </si>
  <si>
    <t>J2a1a1a2b1b3a2a1b~</t>
  </si>
  <si>
    <t>Y5502</t>
  </si>
  <si>
    <t>J2a1a1a2b1b4~</t>
  </si>
  <si>
    <t>Y21862</t>
  </si>
  <si>
    <t>J2a1a1a2b1b4a~</t>
  </si>
  <si>
    <t>Y20889</t>
  </si>
  <si>
    <t>J2a1a1a2b1b4a1~</t>
  </si>
  <si>
    <t>Z39632</t>
  </si>
  <si>
    <t>J2a1a1a2b1b4a1a~</t>
  </si>
  <si>
    <t>Y23500</t>
  </si>
  <si>
    <t>J2a1a1a2b1b4a1a1~</t>
  </si>
  <si>
    <t>Y70710</t>
  </si>
  <si>
    <t>J2a1a1a2b1b4a1a2~</t>
  </si>
  <si>
    <t>Y77791</t>
  </si>
  <si>
    <t>J2a1a1a2b2</t>
  </si>
  <si>
    <r>
      <rPr>
        <b/>
      </rPr>
      <t xml:space="preserve">M67/PF5137/S51, </t>
    </r>
    <r>
      <rPr>
        <b val="0"/>
        <i/>
      </rPr>
      <t xml:space="preserve">CTS5535/PF5129/Z2241, </t>
    </r>
    <r>
      <rPr>
        <b val="0"/>
      </rPr>
      <t>CTS6372/PF5130</t>
    </r>
    <r>
      <rPr>
        <b val="0"/>
        <i/>
      </rPr>
      <t xml:space="preserve">, FGC3285/S23034/Z7562, </t>
    </r>
    <r>
      <rPr>
        <b val="0"/>
      </rPr>
      <t>PF5120/Z2240</t>
    </r>
  </si>
  <si>
    <t>J2a1a1a2b2a</t>
  </si>
  <si>
    <t>PF5126/Z1847</t>
  </si>
  <si>
    <t>J2a1a1a2b2a1</t>
  </si>
  <si>
    <r>
      <rPr>
        <b/>
        <i/>
        <color rgb="FF000000"/>
      </rPr>
      <t>PF5132</t>
    </r>
    <r>
      <rPr>
        <i/>
        <color rgb="FF000000"/>
      </rPr>
      <t xml:space="preserve">, PF7407, </t>
    </r>
    <r>
      <rPr>
        <color rgb="FF000000"/>
      </rPr>
      <t>PF5121/Z500</t>
    </r>
    <r>
      <rPr>
        <i/>
        <color rgb="FF000000"/>
      </rPr>
      <t>, Z7635</t>
    </r>
  </si>
  <si>
    <t>J2a1a1a2b2a1a</t>
  </si>
  <si>
    <r>
      <rPr>
        <b/>
      </rPr>
      <t>M92</t>
    </r>
    <r>
      <rPr/>
      <t xml:space="preserve">, CTS4230/PF5151, M260/Page14, PF5153/Z503, PF5158, </t>
    </r>
    <r>
      <rPr>
        <i/>
      </rPr>
      <t>Z7636</t>
    </r>
  </si>
  <si>
    <t>J2a1a1a2b2a1a1~</t>
  </si>
  <si>
    <t>Z504</t>
  </si>
  <si>
    <t>J2a1a1a2b2a1a1a</t>
  </si>
  <si>
    <r>
      <rPr>
        <b/>
        <i/>
        <color rgb="FF000000"/>
      </rPr>
      <t>S16400/Z28610</t>
    </r>
    <r>
      <rPr>
        <color rgb="FF000000"/>
      </rPr>
      <t xml:space="preserve">, CTS2906/PF7397, CTS4132/PF7402/Z28604, </t>
    </r>
    <r>
      <rPr>
        <i/>
        <color rgb="FF000000"/>
      </rPr>
      <t>FGC20250/Y7536/Z28608</t>
    </r>
    <r>
      <rPr>
        <color rgb="FF000000"/>
      </rPr>
      <t>, PF7404</t>
    </r>
  </si>
  <si>
    <t>J2a1a1a2b2a1a1a~</t>
  </si>
  <si>
    <t>Z8096</t>
  </si>
  <si>
    <t>J2a1a1a2b2a1a1a1~</t>
  </si>
  <si>
    <t>FGC63044</t>
  </si>
  <si>
    <t>J2a1a1a2b2a1a1a2~</t>
  </si>
  <si>
    <t>Z38467</t>
  </si>
  <si>
    <t>J2a1a1a2b2a1a1a2a~</t>
  </si>
  <si>
    <t>PH2651</t>
  </si>
  <si>
    <t>J2a1a1a2b2a1a1a2a1~</t>
  </si>
  <si>
    <t>SK1354</t>
  </si>
  <si>
    <t>J2a1a1a2b2a1a1a2a1a~</t>
  </si>
  <si>
    <t>PH3479</t>
  </si>
  <si>
    <t>J2a1a1a2b2a1a1a3</t>
  </si>
  <si>
    <r>
      <rPr>
        <b/>
        <i/>
        <color rgb="FF000000"/>
      </rPr>
      <t>Y20051</t>
    </r>
    <r>
      <rPr>
        <i/>
        <color rgb="FF000000"/>
      </rPr>
      <t>, FC45440/Y20492</t>
    </r>
  </si>
  <si>
    <t>J2a1a1a2b2a1a1a3a~</t>
  </si>
  <si>
    <t>FGC20272</t>
  </si>
  <si>
    <t>J2a1a1a2b2a1a1a3a1~</t>
  </si>
  <si>
    <t>FGC57485</t>
  </si>
  <si>
    <t>J2a1a1a2b2a1a1a3a1a~</t>
  </si>
  <si>
    <t>Y71594</t>
  </si>
  <si>
    <t>J2a1a1a2b2a1a1a3a2~</t>
  </si>
  <si>
    <t>FGC20262</t>
  </si>
  <si>
    <t>J2a1a1a2b2a1a1a3a2a~</t>
  </si>
  <si>
    <t>BY166063</t>
  </si>
  <si>
    <t>J2a1a1a2b2a1a1a3a2b~</t>
  </si>
  <si>
    <t>FGC53046</t>
  </si>
  <si>
    <t>J2a1a1a2b2a1a1a3a2b1~</t>
  </si>
  <si>
    <t>FGC20270</t>
  </si>
  <si>
    <t>J2a1a1a2b2a1a1a3b</t>
  </si>
  <si>
    <r>
      <rPr>
        <b/>
        <color rgb="FF000000"/>
      </rPr>
      <t>L560^^</t>
    </r>
    <r>
      <rPr>
        <color rgb="FF000000"/>
      </rPr>
      <t>, L556</t>
    </r>
  </si>
  <si>
    <t>J2a1a1a2b2a1a1a3b~</t>
  </si>
  <si>
    <t xml:space="preserve">Y16176 </t>
  </si>
  <si>
    <t>J2a1a1a2b2a1a1a3b1~</t>
  </si>
  <si>
    <t>FGC45445/Z40268</t>
  </si>
  <si>
    <t>J2a1a1a2b2a1a1a3b1a~</t>
  </si>
  <si>
    <t>Y106982</t>
  </si>
  <si>
    <t>J2a1a1a2b2a1a1a3b1b~</t>
  </si>
  <si>
    <t>Y13511</t>
  </si>
  <si>
    <t>J2a1a1a2b2a1a1a3b1b1~</t>
  </si>
  <si>
    <t>FGC45411/Y20339</t>
  </si>
  <si>
    <t>J2a1a1a2b2a1a1a3b1b2~</t>
  </si>
  <si>
    <t>Y36182</t>
  </si>
  <si>
    <t>J2a1a1a2b2a1a1a3b2~</t>
  </si>
  <si>
    <t>FGC20423/Y11782</t>
  </si>
  <si>
    <t>J2a1a1a2b2a1a1a3b2a~</t>
  </si>
  <si>
    <t>Y93416</t>
  </si>
  <si>
    <t>J2a1a1a2b2a1a1a3b2b~</t>
  </si>
  <si>
    <t>Y20053</t>
  </si>
  <si>
    <t>J2a1a1a2b2a1a1a3b2b1~</t>
  </si>
  <si>
    <t>FGC36571/Y7573</t>
  </si>
  <si>
    <t>J2a1a1a2b2a1a1a3b2c~</t>
  </si>
  <si>
    <t>FGC20419/Y13373</t>
  </si>
  <si>
    <t>J2a1a1a2b2a1a1a3b2c1~</t>
  </si>
  <si>
    <t>FGC22233</t>
  </si>
  <si>
    <t>J2a1a1a2b2a1a1a3b2c2~</t>
  </si>
  <si>
    <t>FGC20425/Y13098</t>
  </si>
  <si>
    <t>J2a1a1a2b2a1a1a3b2c3~</t>
  </si>
  <si>
    <t>A15512</t>
  </si>
  <si>
    <t>J2a1a1a2b2a1a1a3b2c4~</t>
  </si>
  <si>
    <t>A11793</t>
  </si>
  <si>
    <t>J2a1a1a2b2a1a1b~</t>
  </si>
  <si>
    <t>Y7147</t>
  </si>
  <si>
    <t>J2a1a1a2b2a1a1c~</t>
  </si>
  <si>
    <t>PF7412</t>
  </si>
  <si>
    <t>J2a1a1a2b2a1a1c1~</t>
  </si>
  <si>
    <t>Z36891</t>
  </si>
  <si>
    <t>J2a1a1a2b2a1a1c1a~</t>
  </si>
  <si>
    <t>Z36894</t>
  </si>
  <si>
    <t>J2a1a1a2b2a1a1c1a1~</t>
  </si>
  <si>
    <t>BY22486</t>
  </si>
  <si>
    <t>J2a1a1a2b2a1a1c1a1a~</t>
  </si>
  <si>
    <t>BY22510</t>
  </si>
  <si>
    <t>J2a1a1a2b2a1a1c1a2~</t>
  </si>
  <si>
    <t>Y143134</t>
  </si>
  <si>
    <t>J2a1a1a2b2a1a1c2~</t>
  </si>
  <si>
    <t>Z515</t>
  </si>
  <si>
    <t>J2a1a1a2b2a1a1c2a~</t>
  </si>
  <si>
    <t>PH4755</t>
  </si>
  <si>
    <t>J2a1a1a2b2a1a1c2b~</t>
  </si>
  <si>
    <t>Z6255</t>
  </si>
  <si>
    <t>J2a1a1a2b2a1a1c2b1~</t>
  </si>
  <si>
    <t>Z28030</t>
  </si>
  <si>
    <t>J2a1a1a2b2a1a1c2b1a~</t>
  </si>
  <si>
    <t>CTS5570</t>
  </si>
  <si>
    <t>J2a1a1a2b2a1a1c2b1b~</t>
  </si>
  <si>
    <t>A10707</t>
  </si>
  <si>
    <t>J2a1a1a2b2a1a1c2b1b1~</t>
  </si>
  <si>
    <t>Y21182</t>
  </si>
  <si>
    <t>J2a1a1a2b2a1a1c2b1b2~</t>
  </si>
  <si>
    <t>FGC75714/Y108061</t>
  </si>
  <si>
    <t>J2a1a1a2b2a1a1c2b1b2a~</t>
  </si>
  <si>
    <t>BY32795/Y101496</t>
  </si>
  <si>
    <t>J2a1a1a2b2a1a1c2b1b2a1~</t>
  </si>
  <si>
    <t>Y92204</t>
  </si>
  <si>
    <t>J2a1a1a2b2a1a1c2b1b2a1a~</t>
  </si>
  <si>
    <t>BY32798/Y104685</t>
  </si>
  <si>
    <t>J2a1a1a2b2a1b~</t>
  </si>
  <si>
    <t>Y23354</t>
  </si>
  <si>
    <t>J2a1a1a2b2a1b1~</t>
  </si>
  <si>
    <t>PF7394</t>
  </si>
  <si>
    <t>J2a1a1a2b2a1b1a~</t>
  </si>
  <si>
    <t>Y36181</t>
  </si>
  <si>
    <t>J2a1a1a2b2a1b1b~</t>
  </si>
  <si>
    <t>Z6264</t>
  </si>
  <si>
    <t>J2a1a1a2b2a1b1b1~</t>
  </si>
  <si>
    <t>Y89275</t>
  </si>
  <si>
    <t>J2a1a1a2b2a1b1b1a~</t>
  </si>
  <si>
    <t>Z28580</t>
  </si>
  <si>
    <t>J2a1a1a2b2a2</t>
  </si>
  <si>
    <t>FGC7860/Y4036</t>
  </si>
  <si>
    <t>J2a1a1a2b2a2a~</t>
  </si>
  <si>
    <t>Y17045</t>
  </si>
  <si>
    <t>J2a1a1a2b2a2a1~</t>
  </si>
  <si>
    <t>Y17074</t>
  </si>
  <si>
    <t>J2a1a1a2b2a2a1a~</t>
  </si>
  <si>
    <t>Y17020</t>
  </si>
  <si>
    <t>J2a1a1a2b2a2b</t>
  </si>
  <si>
    <t>FGC7861/Z467</t>
  </si>
  <si>
    <t>J2a1a1a2b2a2b~</t>
  </si>
  <si>
    <t>FGC3318/Z7585</t>
  </si>
  <si>
    <t>J2a1a1a2b2a2b1</t>
  </si>
  <si>
    <t>FGC45722</t>
  </si>
  <si>
    <t>J2a1a1a2b2a2b1a~</t>
  </si>
  <si>
    <t>FGC45726</t>
  </si>
  <si>
    <t>J2a1a1a2b2a2b1b~</t>
  </si>
  <si>
    <t>F25609</t>
  </si>
  <si>
    <t>J2a1a1a2b2a2b1b1~</t>
  </si>
  <si>
    <t>Y85978</t>
  </si>
  <si>
    <t>J2a1a1a2b2a2b1b1a~</t>
  </si>
  <si>
    <t>BY174215/Y154938</t>
  </si>
  <si>
    <t>J2a1a1a2b2a2b1b2</t>
  </si>
  <si>
    <t>M166</t>
  </si>
  <si>
    <t>J2a1a1a2b2a2b2~</t>
  </si>
  <si>
    <t>S11842</t>
  </si>
  <si>
    <t>J2a1a1a2b2a2b2a~</t>
  </si>
  <si>
    <t>SK1335</t>
  </si>
  <si>
    <t>J2a1a1a2b2a2b2a1~</t>
  </si>
  <si>
    <t>Y16354</t>
  </si>
  <si>
    <t>J2a1a1a2b2a2b2a2~</t>
  </si>
  <si>
    <t>SK1337</t>
  </si>
  <si>
    <t>J2a1a1a2b2a2b2a2a~</t>
  </si>
  <si>
    <t>FGC21415</t>
  </si>
  <si>
    <t>J2a1a1a2b2a2b2b~</t>
  </si>
  <si>
    <t>Z6271</t>
  </si>
  <si>
    <t>J2a1a1a2b2a2b2b1~</t>
  </si>
  <si>
    <t>Y23522</t>
  </si>
  <si>
    <t>J2a1a1a2b2a2b2b1a~</t>
  </si>
  <si>
    <t>Y44916</t>
  </si>
  <si>
    <t>J2a1a1a2b2a2b2b2~</t>
  </si>
  <si>
    <t>Z6274</t>
  </si>
  <si>
    <t>J2a1a1a2b2a2b2b2a~</t>
  </si>
  <si>
    <t>PH5235</t>
  </si>
  <si>
    <t>J2a1a1a2b2a2b2b2a1~</t>
  </si>
  <si>
    <t>BY37800</t>
  </si>
  <si>
    <t>J2a1a1a2b2a2b3</t>
  </si>
  <si>
    <r>
      <rPr>
        <rFont val="Arial"/>
        <b/>
        <color rgb="FF000000"/>
      </rPr>
      <t xml:space="preserve">FGC3291/Z447, </t>
    </r>
    <r>
      <rPr>
        <rFont val="Arial"/>
        <b val="0"/>
        <color rgb="FF000000"/>
      </rPr>
      <t>CTS9425, FGC3311/Z455, Z458</t>
    </r>
  </si>
  <si>
    <t>J2a1a1a2b2a2b3a</t>
  </si>
  <si>
    <r>
      <rPr>
        <b/>
      </rPr>
      <t>L210</t>
    </r>
    <r>
      <rPr>
        <b val="0"/>
      </rPr>
      <t>, L227</t>
    </r>
  </si>
  <si>
    <t>J2a1a1a2b2a2b3a1~</t>
  </si>
  <si>
    <t>Y32699</t>
  </si>
  <si>
    <t>J2a1a1a2b2a2b3a2~</t>
  </si>
  <si>
    <t>Z489</t>
  </si>
  <si>
    <t>J2a1a1a2b2a2b3a2a~</t>
  </si>
  <si>
    <t>CTS2282</t>
  </si>
  <si>
    <t>J2a1a1a2b2a2b3a2a1~</t>
  </si>
  <si>
    <t>CTS9748</t>
  </si>
  <si>
    <t>J2a1a1a2b2a2b3a2a1a~</t>
  </si>
  <si>
    <t>Z487</t>
  </si>
  <si>
    <t>J2a1a1a2b2a2b3a2a1b~</t>
  </si>
  <si>
    <t>Y15224/Z30376</t>
  </si>
  <si>
    <t>J2a1a1a2b2a2b3a2a1b1~</t>
  </si>
  <si>
    <t>Y15235</t>
  </si>
  <si>
    <t>J2a1a1a2b2a2b3a2a1b1a~</t>
  </si>
  <si>
    <t>Y16261</t>
  </si>
  <si>
    <t>J2a1a1a2b2a2b3a2a1b1a1~</t>
  </si>
  <si>
    <t>Y23161</t>
  </si>
  <si>
    <t>J2a1a1a2b2a2b3a2a1b1a1a~</t>
  </si>
  <si>
    <t>Y23457</t>
  </si>
  <si>
    <t>J2a1a1a2b2a2b3a2a1b1a2~</t>
  </si>
  <si>
    <t>Y16180/Z36098</t>
  </si>
  <si>
    <t>J2a1a1a2b2a2b3a2a1b1a2a~</t>
  </si>
  <si>
    <t>Y28960</t>
  </si>
  <si>
    <t>J2a1a1a2b2a2b3a2a1b1b~</t>
  </si>
  <si>
    <t>Y24492</t>
  </si>
  <si>
    <t>J2a1a1a2b2a2b3a2a1b1b1~</t>
  </si>
  <si>
    <t>Y31770</t>
  </si>
  <si>
    <t>J2a1a1a2b2a2b3a2a1b1b1a~</t>
  </si>
  <si>
    <t>Y31769</t>
  </si>
  <si>
    <t>J2a1a1a2b2a2b3a2a1b1b1a1~</t>
  </si>
  <si>
    <t>Y31160</t>
  </si>
  <si>
    <t>J2a1a1a2b2a2b3a2a1b1b1b~</t>
  </si>
  <si>
    <t>Y33872</t>
  </si>
  <si>
    <t>J2a1a1a2b2a2b3a2a1b1b1b1~</t>
  </si>
  <si>
    <t>Y81522</t>
  </si>
  <si>
    <t>J2a1a1a2b2a3~</t>
  </si>
  <si>
    <t>Z7671</t>
  </si>
  <si>
    <t>J2a1a1a2b2a3a~</t>
  </si>
  <si>
    <t>Y13614</t>
  </si>
  <si>
    <t>J2a1a1a2b2a3a1~</t>
  </si>
  <si>
    <t>Y25813</t>
  </si>
  <si>
    <t>J2a1a1a2b2a3a1a~</t>
  </si>
  <si>
    <t>Y59625</t>
  </si>
  <si>
    <t>J2a1a1a2b2a3a2~</t>
  </si>
  <si>
    <t>Y13668</t>
  </si>
  <si>
    <t>J2a1a1a2b2a3a2a~</t>
  </si>
  <si>
    <t>Y55046</t>
  </si>
  <si>
    <t>J2a1a1a2b2a3a2b~</t>
  </si>
  <si>
    <t>Y22054</t>
  </si>
  <si>
    <t>J2a1a1a2b2a3a2b1~</t>
  </si>
  <si>
    <t>Y41516</t>
  </si>
  <si>
    <t>J2a1a1a2b2a3b~</t>
  </si>
  <si>
    <t>CTS900</t>
  </si>
  <si>
    <t>J2a1a1a2b2a3b1~</t>
  </si>
  <si>
    <t>Z7675</t>
  </si>
  <si>
    <t>J2a1a1a2b2a3b1a~</t>
  </si>
  <si>
    <t>Y11200</t>
  </si>
  <si>
    <t>J2a1a1a2b2a3b1a1~</t>
  </si>
  <si>
    <t>Z30677</t>
  </si>
  <si>
    <t>J2a1a1a2b2a3b1a1a~</t>
  </si>
  <si>
    <t>FGC45021/Y20512</t>
  </si>
  <si>
    <t>J2a1a1a2b2a3b1a1a1~</t>
  </si>
  <si>
    <t>FGC45085/Y20532</t>
  </si>
  <si>
    <t>J2a1a1a2b2a3b1a1a1a~</t>
  </si>
  <si>
    <t>FGC45075/Y20537</t>
  </si>
  <si>
    <t>J2a1a1a2b2a3b1a1a2~</t>
  </si>
  <si>
    <t>Y30811</t>
  </si>
  <si>
    <t>J2a1a1a2b2a3b1a1a2a~</t>
  </si>
  <si>
    <t>Y32688</t>
  </si>
  <si>
    <t>J2a1a1a2b2a3b1a1a2a1~</t>
  </si>
  <si>
    <t>Y92113</t>
  </si>
  <si>
    <t>J2a1a1a2b2a3b1a1a2a1a~</t>
  </si>
  <si>
    <t>Y101265</t>
  </si>
  <si>
    <t>J2a1a1a2b2a3b1a1a2a1b~</t>
  </si>
  <si>
    <t>Y95195</t>
  </si>
  <si>
    <t>J2a1a1a2b2a3b1a1b~</t>
  </si>
  <si>
    <t>Y17946</t>
  </si>
  <si>
    <t>J2a1a1a2b2a3b1a1b1~</t>
  </si>
  <si>
    <t>Y150765</t>
  </si>
  <si>
    <t>J2a1a1a2b2a3b1a1b1a~</t>
  </si>
  <si>
    <t>Y27520</t>
  </si>
  <si>
    <t>J2a1a1a2b2a3b1a1b1a1~</t>
  </si>
  <si>
    <t>BY178308/Y158946</t>
  </si>
  <si>
    <t>J2a1a1a2b2a3b1a1b1a2~</t>
  </si>
  <si>
    <t>Y23162</t>
  </si>
  <si>
    <t>J2a1a1a2b2a3b1a1b1a2a~</t>
  </si>
  <si>
    <t>Y27539</t>
  </si>
  <si>
    <t>J2a1a1a2b2a3b1a1b1a2b~</t>
  </si>
  <si>
    <t>Y142864</t>
  </si>
  <si>
    <t>J2a1a1a2b2a3b1b~</t>
  </si>
  <si>
    <t>CTS6804</t>
  </si>
  <si>
    <t>J2a1a1a2b2a3b1b1~</t>
  </si>
  <si>
    <t>CTS5965</t>
  </si>
  <si>
    <t>J2a1a1a2b2a3b1b2~</t>
  </si>
  <si>
    <t>FGC43940/Y20305</t>
  </si>
  <si>
    <t>J2a1a1a2b2a3b1b2a~</t>
  </si>
  <si>
    <t>Y24650</t>
  </si>
  <si>
    <t>J2a1a1a2b2a3b1b2a1~</t>
  </si>
  <si>
    <t>Y33329</t>
  </si>
  <si>
    <t>J2a1a1a2b2a3b1b2a1a~</t>
  </si>
  <si>
    <t>Y33328</t>
  </si>
  <si>
    <t>J2a1a1a2b2a3b1b3~</t>
  </si>
  <si>
    <t>Y3619</t>
  </si>
  <si>
    <t>J2a1a1a2b2a3b1b3a~</t>
  </si>
  <si>
    <t>Y18824</t>
  </si>
  <si>
    <t>J2a1a1a2b2a3b1b3a1~</t>
  </si>
  <si>
    <t>BY124838</t>
  </si>
  <si>
    <t>J2a1a1a2b2a3b1b3a2~</t>
  </si>
  <si>
    <t>Y18402</t>
  </si>
  <si>
    <t>J2a1a1a2b2a3b1b3a2a~</t>
  </si>
  <si>
    <t>A1540</t>
  </si>
  <si>
    <t>J2a1a1a2b2a3b1b3a2a1~</t>
  </si>
  <si>
    <t>Y18828</t>
  </si>
  <si>
    <t>J2a1a1a2b2a3b1b3a2a1a~</t>
  </si>
  <si>
    <t>Y48326</t>
  </si>
  <si>
    <t>J2a1a1a2b2a3b1b3b~</t>
  </si>
  <si>
    <t>Y3640</t>
  </si>
  <si>
    <t>J2a1a1a2b2a3b1b3b1~</t>
  </si>
  <si>
    <t>Y17600</t>
  </si>
  <si>
    <t>J2a1a1a2b2a3b1b3b1a~</t>
  </si>
  <si>
    <t>Y17604</t>
  </si>
  <si>
    <t>J2a1a1a2b2a3b1b3b1a1~</t>
  </si>
  <si>
    <t>Y17596</t>
  </si>
  <si>
    <t>J2a1a1a2b2a3b1b3b1a1a~</t>
  </si>
  <si>
    <t>Y32671</t>
  </si>
  <si>
    <t>J2a1a1a2b2a3b1b3b1a1a1~</t>
  </si>
  <si>
    <t>Y32672</t>
  </si>
  <si>
    <t>J2a1a1a2b2a3b1b3b1a1b~</t>
  </si>
  <si>
    <t>Y36184</t>
  </si>
  <si>
    <t>J2a1a1a2b2a3b1b3b1a1b1~</t>
  </si>
  <si>
    <t>Y56284</t>
  </si>
  <si>
    <t>J2a1a1a2b2a3b1b3b2~</t>
  </si>
  <si>
    <t>Y3620</t>
  </si>
  <si>
    <t>J2a1a1a2b2a3b1b3b2a~</t>
  </si>
  <si>
    <t>Y10725</t>
  </si>
  <si>
    <t>J2a1a1a2b2a3b1b3b2a1~</t>
  </si>
  <si>
    <t>Y6958</t>
  </si>
  <si>
    <t>J2a1a1a2b2a3b1b3b2a1a~</t>
  </si>
  <si>
    <t>Y10727</t>
  </si>
  <si>
    <t>J2a1a1a2b2a3b1b3b2a1b~</t>
  </si>
  <si>
    <t>Y11147</t>
  </si>
  <si>
    <t>J2a1a1a2b2a3b1b3b2a1b1~</t>
  </si>
  <si>
    <t>Y151382</t>
  </si>
  <si>
    <t>J2a1a1a2b2a3b1b3b2a1b1a~</t>
  </si>
  <si>
    <t>BY160281/Y152378</t>
  </si>
  <si>
    <t>J2a1a1a2b2a3b1b3b2a1b2~</t>
  </si>
  <si>
    <t>Y143672</t>
  </si>
  <si>
    <t>J2a1a1a2b2a3b1b3b2a1b2a~</t>
  </si>
  <si>
    <t>Y22465</t>
  </si>
  <si>
    <t>J2a1a1a2b2a3b1b3b2a1b2b~</t>
  </si>
  <si>
    <t>Y42163</t>
  </si>
  <si>
    <t>J2a1a1a2b2a3b1b3b2b~</t>
  </si>
  <si>
    <t>Y7291</t>
  </si>
  <si>
    <t>J2a1a1a2b2a3b1b3b2b1~</t>
  </si>
  <si>
    <t>Y89437</t>
  </si>
  <si>
    <t>J2a1a1a2b2a3b1b3b2b2~</t>
  </si>
  <si>
    <t>Y30092</t>
  </si>
  <si>
    <t>J2a1a1a2b2a3b1b3b2b2a~</t>
  </si>
  <si>
    <t>Y36220</t>
  </si>
  <si>
    <t>J2a1a1a2b2a3b1b3b2b2a1~</t>
  </si>
  <si>
    <t>BY179212/Y157260</t>
  </si>
  <si>
    <t>J2a1a1a2b2a3b1b3b2b2a2~</t>
  </si>
  <si>
    <t>Y145382</t>
  </si>
  <si>
    <t>J2a1a1a2b2a3b1b3b2b3~</t>
  </si>
  <si>
    <t>Y7800</t>
  </si>
  <si>
    <t>J2a1a1a2b2a3b1b3b2b3a~</t>
  </si>
  <si>
    <t>V2261.2</t>
  </si>
  <si>
    <t>J2a1a1a2b2a3b1b3b2b3a1~</t>
  </si>
  <si>
    <t>Y20905</t>
  </si>
  <si>
    <t>J2a1a1a2b2a3b1b3b2b3a1a~</t>
  </si>
  <si>
    <t>BY18372</t>
  </si>
  <si>
    <t>J2a1a1a2b2a3b1b3b2b3a2~</t>
  </si>
  <si>
    <t>Y78769</t>
  </si>
  <si>
    <t>J2a1a1a2b2a3b1b3b2b3b~</t>
  </si>
  <si>
    <t>Y7799</t>
  </si>
  <si>
    <t>J2a1a1a2b2a3b1b3b2b3b1~</t>
  </si>
  <si>
    <t>BY178813/Y157762</t>
  </si>
  <si>
    <t>J2a1a1a2b2a3b1b3b2b3b2~</t>
  </si>
  <si>
    <t>Y7686</t>
  </si>
  <si>
    <t>J2a1a1a2b2a3b1b3b2b3b2a~</t>
  </si>
  <si>
    <t>Y87013</t>
  </si>
  <si>
    <t>J2a1a1a2b2a3b1b3b2b3b2b~</t>
  </si>
  <si>
    <t>Y7797</t>
  </si>
  <si>
    <t>J2a1a1a2b2a3b1b3b2b3b2b1~</t>
  </si>
  <si>
    <t>Y78453</t>
  </si>
  <si>
    <t>J2a1a1a2b2a3b1b3b2b3b2b2~</t>
  </si>
  <si>
    <t>Y7798</t>
  </si>
  <si>
    <t>J2a1a1a2b2a3b1b3b2b3b2b2a~</t>
  </si>
  <si>
    <t>Y43693</t>
  </si>
  <si>
    <t>J2a1a1a2b2a3b1b3b2b3b2b2b~</t>
  </si>
  <si>
    <t>Y66503</t>
  </si>
  <si>
    <t>J2a1a1b</t>
  </si>
  <si>
    <r>
      <rPr>
        <b/>
        <color rgb="FF000000"/>
      </rPr>
      <t>AM01359/CTS47/PF5159/Z2220</t>
    </r>
    <r>
      <rPr>
        <color rgb="FF000000"/>
      </rPr>
      <t>, PF5160/Z2221, AM01358/AMM342/PF5163/Z2222</t>
    </r>
  </si>
  <si>
    <t>J2a1a1b1</t>
  </si>
  <si>
    <t>PF5197/Z2397</t>
  </si>
  <si>
    <t>J2a1a1b1~</t>
  </si>
  <si>
    <t>Z2396</t>
  </si>
  <si>
    <t>J2a1a1b1a</t>
  </si>
  <si>
    <r>
      <rPr>
        <b/>
        <color rgb="FF000000"/>
      </rPr>
      <t>PF5172</t>
    </r>
    <r>
      <rPr>
        <color rgb="FF000000"/>
      </rPr>
      <t>, PF5190</t>
    </r>
  </si>
  <si>
    <t xml:space="preserve">J2a1a1b1a1 </t>
  </si>
  <si>
    <t>Z7314^^</t>
  </si>
  <si>
    <t>J2a1a1b1a1a</t>
  </si>
  <si>
    <r>
      <rPr>
        <b/>
        <i/>
        <color rgb="FF000000"/>
      </rPr>
      <t>S21554/Z7328</t>
    </r>
    <r>
      <rPr>
        <color rgb="FF000000"/>
      </rPr>
      <t xml:space="preserve">, PF5169, </t>
    </r>
    <r>
      <rPr>
        <i/>
        <color rgb="FF000000"/>
      </rPr>
      <t>PF5171</t>
    </r>
    <r>
      <rPr>
        <color rgb="FF000000"/>
      </rPr>
      <t xml:space="preserve">, PF5176, PF5191, </t>
    </r>
    <r>
      <rPr>
        <i/>
        <color rgb="FF000000"/>
      </rPr>
      <t>S8965/Z7305, S13732/Z7313</t>
    </r>
  </si>
  <si>
    <t>J2a1a1b1a1a1</t>
  </si>
  <si>
    <r>
      <rPr>
        <b/>
        <color rgb="FF000000"/>
      </rPr>
      <t>FGC16141</t>
    </r>
    <r>
      <rPr>
        <color rgb="FF000000"/>
      </rPr>
      <t>, FGC16096, FGC16152</t>
    </r>
  </si>
  <si>
    <t xml:space="preserve">J2a1a1b1a1a1a </t>
  </si>
  <si>
    <r>
      <rPr>
        <b/>
        <color rgb="FF000000"/>
      </rPr>
      <t xml:space="preserve">S15439, </t>
    </r>
    <r>
      <rPr>
        <b val="0"/>
        <color rgb="FF000000"/>
      </rPr>
      <t>S17366, Z32172, Z32176</t>
    </r>
  </si>
  <si>
    <t>J2a1a1b1a1a1a~</t>
  </si>
  <si>
    <t>L88.2, L198</t>
  </si>
  <si>
    <t>J2a1a1b1a1a1a1</t>
  </si>
  <si>
    <r>
      <rPr>
        <b/>
        <i/>
        <color rgb="FF000000"/>
      </rPr>
      <t xml:space="preserve">S24735, </t>
    </r>
    <r>
      <rPr>
        <b val="0"/>
        <i/>
        <color rgb="FF000000"/>
      </rPr>
      <t>S19372, Y35050, Y68336, Y78884</t>
    </r>
  </si>
  <si>
    <t>J2a1a1b1a1a1a1~</t>
  </si>
  <si>
    <t>M419</t>
  </si>
  <si>
    <t xml:space="preserve">J2a1a1b1a1a1b </t>
  </si>
  <si>
    <r>
      <rPr>
        <b/>
        <i/>
        <color rgb="FF000000"/>
      </rPr>
      <t>FGC16143/Y14400</t>
    </r>
    <r>
      <rPr>
        <b/>
        <color rgb="FF000000"/>
      </rPr>
      <t>,</t>
    </r>
    <r>
      <rPr>
        <color rgb="FF000000"/>
      </rPr>
      <t xml:space="preserve"> FGC16080/Y14375, </t>
    </r>
    <r>
      <rPr>
        <i/>
        <color rgb="FF000000"/>
      </rPr>
      <t>FGC16129/Y14395, FGC16140/Y14581, PH4968/Y14398/Z32180, PH4970/Y14399/Z32181</t>
    </r>
  </si>
  <si>
    <t>J2a1a1b2</t>
  </si>
  <si>
    <r>
      <rPr>
        <b/>
      </rPr>
      <t>F4168/L24/S286,</t>
    </r>
    <r>
      <rPr/>
      <t xml:space="preserve"> AM00104/PF5287/Z401, </t>
    </r>
    <r>
      <rPr>
        <i/>
      </rPr>
      <t>AM00106/F1723/PF5289</t>
    </r>
    <r>
      <rPr/>
      <t xml:space="preserve">, AM00109/PF5291/Z404, AM00118/F1900/PF5296, AM00136/PF5311, AM00137/PF5312/Z422, AM00138/PF5313/Z424, AM00141/PF5314/Z426, </t>
    </r>
    <r>
      <rPr>
        <i/>
      </rPr>
      <t>AM00168/PF5330</t>
    </r>
    <r>
      <rPr/>
      <t xml:space="preserve">, </t>
    </r>
    <r>
      <rPr>
        <i/>
      </rPr>
      <t>AM00181/PF5339/Z441</t>
    </r>
    <r>
      <rPr/>
      <t xml:space="preserve">, AM00182/PF5340/Z442, </t>
    </r>
    <r>
      <rPr>
        <i/>
      </rPr>
      <t>AM00189/F892/PF5275/Z390</t>
    </r>
    <r>
      <rPr/>
      <t xml:space="preserve">, AM001978/PF5317/Z427, </t>
    </r>
    <r>
      <rPr>
        <i/>
      </rPr>
      <t>CTS10588/PF5324</t>
    </r>
    <r>
      <rPr/>
      <t xml:space="preserve">, L207.1, </t>
    </r>
    <r>
      <rPr>
        <i/>
      </rPr>
      <t>PF5334</t>
    </r>
    <r>
      <rPr/>
      <t>, Z396</t>
    </r>
  </si>
  <si>
    <t>J2a1a1b2a</t>
  </si>
  <si>
    <r>
      <rPr>
        <b/>
      </rPr>
      <t>AM00103/F1683/Z400</t>
    </r>
    <r>
      <rPr/>
      <t xml:space="preserve">, AM00120/F4186/PF5298/Z407, AM00123/CTS4928/PF5300, AM00151/F2933/PF5321, AM00172/PF5332, AM00180/CTS11298/PF5337, F1021/PF5279/Z393, PF5282, </t>
    </r>
    <r>
      <rPr>
        <i/>
      </rPr>
      <t>PF5329</t>
    </r>
  </si>
  <si>
    <t>J2a1a1b2a1</t>
  </si>
  <si>
    <r>
      <rPr>
        <rFont val="Arial"/>
        <b/>
        <color rgb="FF000000"/>
        <sz val="10.0"/>
      </rPr>
      <t xml:space="preserve">L25/PF5345/S399, </t>
    </r>
    <r>
      <rPr>
        <rFont val="Arial"/>
        <b val="0"/>
        <color rgb="FF000000"/>
        <sz val="10.0"/>
      </rPr>
      <t xml:space="preserve">AM00124/PF5301, </t>
    </r>
    <r>
      <rPr>
        <rFont val="Arial"/>
        <b val="0"/>
        <i/>
        <color rgb="FF000000"/>
        <sz val="10.0"/>
      </rPr>
      <t>AM00130/CTS6007/PF5306</t>
    </r>
    <r>
      <rPr>
        <rFont val="Arial"/>
        <b val="0"/>
        <color rgb="FF000000"/>
        <sz val="10.0"/>
      </rPr>
      <t>, AM00160/PF5328/Z436, AM00176/PF5333, AM00188/F848/PF5274/Z388, F2355/PF5309, PF5283, PF5336, PF5341</t>
    </r>
  </si>
  <si>
    <t>J2a1a1b2a1a</t>
  </si>
  <si>
    <r>
      <rPr>
        <b/>
        <color rgb="FF000000"/>
      </rPr>
      <t xml:space="preserve">F3133.1, </t>
    </r>
    <r>
      <rPr>
        <b val="0"/>
        <color rgb="FF000000"/>
      </rPr>
      <t xml:space="preserve">Z7700, </t>
    </r>
    <r>
      <rPr>
        <b val="0"/>
        <i/>
        <color rgb="FF000000"/>
      </rPr>
      <t>Z7701, Z7702</t>
    </r>
  </si>
  <si>
    <t>J2a1a1b2a1a1</t>
  </si>
  <si>
    <r>
      <rPr>
        <b/>
        <color rgb="FF000000"/>
      </rPr>
      <t>A5360/FGC35362/Z32166</t>
    </r>
    <r>
      <rPr>
        <color rgb="FF000000"/>
      </rPr>
      <t xml:space="preserve">, </t>
    </r>
    <r>
      <rPr>
        <i/>
        <color rgb="FF000000"/>
      </rPr>
      <t>FGC35344/Y15604/Z32167, FGC82203, Y15611/Z32169, Z32168</t>
    </r>
  </si>
  <si>
    <t>J2a1a1b2a1a1a</t>
  </si>
  <si>
    <t>M158.2</t>
  </si>
  <si>
    <t>J2a1a1b2a1a2</t>
  </si>
  <si>
    <r>
      <rPr>
        <b/>
        <i/>
        <color rgb="FF000000"/>
      </rPr>
      <t xml:space="preserve">FGC9878/Y13535, </t>
    </r>
    <r>
      <rPr>
        <b val="0"/>
        <i/>
        <color rgb="FF000000"/>
      </rPr>
      <t>FGC9882/Y14310, Z7706</t>
    </r>
  </si>
  <si>
    <t>J2a1a1b2a1a2a</t>
  </si>
  <si>
    <r>
      <rPr>
        <b/>
        <color rgb="FF000000"/>
      </rPr>
      <t xml:space="preserve">SK1382/Y14314, </t>
    </r>
    <r>
      <rPr>
        <b val="0"/>
        <i/>
        <color rgb="FF000000"/>
      </rPr>
      <t>FGC30642/Y13969, FGC30654/Y14312</t>
    </r>
  </si>
  <si>
    <t>J2a1a1b2a1a2a1</t>
  </si>
  <si>
    <t>FGC30637.2/Y14313.2, FGC30644/Y14315, FGC30670/Y14448, FGC30675/Y14316, FGC32583/Y13971, Z33962</t>
  </si>
  <si>
    <t>J2a1a1b2a1a2a1~</t>
  </si>
  <si>
    <t>L192.2</t>
  </si>
  <si>
    <t>J2a1a1b2a1a2a1a</t>
  </si>
  <si>
    <t>L271</t>
  </si>
  <si>
    <t>J2a1a1b2a1b</t>
  </si>
  <si>
    <r>
      <rPr>
        <b/>
        <color rgb="FF000000"/>
      </rPr>
      <t xml:space="preserve">FGC2837/Z440, </t>
    </r>
    <r>
      <rPr>
        <b val="0"/>
        <i/>
        <color rgb="FF000000"/>
      </rPr>
      <t>CTS1192/PF5413/Z2165, CTS4326/Z2154</t>
    </r>
    <r>
      <rPr>
        <b val="0"/>
        <color rgb="FF000000"/>
      </rPr>
      <t xml:space="preserve">, </t>
    </r>
    <r>
      <rPr>
        <b val="0"/>
        <i/>
        <color rgb="FF000000"/>
      </rPr>
      <t>FGC2835/Z2160</t>
    </r>
    <r>
      <rPr>
        <b val="0"/>
        <color rgb="FF000000"/>
      </rPr>
      <t xml:space="preserve">, PF5411/Z387, PF5412/Z391, PF5415/Z2151, PF5420/Z402, PF5422/Z405, PF5427/Z420, PF5428/Z2170, PF5429/Z421, PF5436/Z2163, PF5437/Z432, </t>
    </r>
    <r>
      <rPr>
        <b val="0"/>
        <i/>
        <color rgb="FF000000"/>
      </rPr>
      <t>S8712</t>
    </r>
  </si>
  <si>
    <t>J2a1a1b2a1b1</t>
  </si>
  <si>
    <r>
      <rPr>
        <b/>
      </rPr>
      <t>L70/PF5434/S287</t>
    </r>
    <r>
      <t>, L397/PF5446, L398/PF5449/S320</t>
    </r>
  </si>
  <si>
    <t>J2a1a1b2a1b1a~</t>
  </si>
  <si>
    <t>M137</t>
  </si>
  <si>
    <t>J2a1a1b2a1b1b~</t>
  </si>
  <si>
    <t>PF5430/Z423</t>
  </si>
  <si>
    <t>J2a1a1b2a1b1b1~</t>
  </si>
  <si>
    <t>PH2725</t>
  </si>
  <si>
    <t>J2a1a1b2a1b1b1a~</t>
  </si>
  <si>
    <t>F801</t>
  </si>
  <si>
    <t>J2a1a1b2a1b1b2~</t>
  </si>
  <si>
    <t>Z2177</t>
  </si>
  <si>
    <t>J2a1a1b2a1b1b2a~</t>
  </si>
  <si>
    <t>FGC52116</t>
  </si>
  <si>
    <t>J2a1a1b2a1b1b2b~</t>
  </si>
  <si>
    <t>S11093/Z39272</t>
  </si>
  <si>
    <t>J2a1a1b2a1b1b2b1</t>
  </si>
  <si>
    <t>M318</t>
  </si>
  <si>
    <t>J2a1a1b2a1b1b2b1a~</t>
  </si>
  <si>
    <t>Y125596</t>
  </si>
  <si>
    <t>J2a1a1b2a1b1b2c~</t>
  </si>
  <si>
    <t>PH185</t>
  </si>
  <si>
    <t>J2a1a1b2a1b1b2c1~</t>
  </si>
  <si>
    <t>FGC32148</t>
  </si>
  <si>
    <t>J2a1a1b2a1b1b3~</t>
  </si>
  <si>
    <t>CTS3601/Z2173</t>
  </si>
  <si>
    <t>J2a1a1b2a1b1b3a~</t>
  </si>
  <si>
    <t>PF5456</t>
  </si>
  <si>
    <t>J2a1a1b2a1b1b3a1~</t>
  </si>
  <si>
    <t>FGC6750/S23155</t>
  </si>
  <si>
    <t>J2a1a1b2a1b1b3a2~</t>
  </si>
  <si>
    <t>FGC54172/Y24651</t>
  </si>
  <si>
    <t>J2a1a1b2a1b1b3a2a~</t>
  </si>
  <si>
    <t>FGC21083</t>
  </si>
  <si>
    <t>J2a1a1b2a1b1b3a2a1~</t>
  </si>
  <si>
    <t>Z39494</t>
  </si>
  <si>
    <t>J2a1a1b2a1b1b3a2b~</t>
  </si>
  <si>
    <t>Z40772</t>
  </si>
  <si>
    <t>J2a1a1b2a1b1b3a2b1~</t>
  </si>
  <si>
    <t>FGC58748/Z43008</t>
  </si>
  <si>
    <t>J2a1a1b2a1b1b3a2b1a~</t>
  </si>
  <si>
    <t>FGC58760</t>
  </si>
  <si>
    <t>J2a1a1b2a1b1b3a2b1a1~</t>
  </si>
  <si>
    <t>Y130791</t>
  </si>
  <si>
    <t>J2a1a1b2a1b2~</t>
  </si>
  <si>
    <t>FGC35478</t>
  </si>
  <si>
    <t>J2a1a1b2a1b2a~</t>
  </si>
  <si>
    <t>Z40006</t>
  </si>
  <si>
    <t>J2a1a1b2a1b2a1~</t>
  </si>
  <si>
    <t>Z39995</t>
  </si>
  <si>
    <t>J2a1a1b2a1b2b~</t>
  </si>
  <si>
    <t>FGC35461</t>
  </si>
  <si>
    <t>J2a1a1b2a1b2b1~</t>
  </si>
  <si>
    <t>FGC35489</t>
  </si>
  <si>
    <t>J2a1a1b2a1b2b1a~</t>
  </si>
  <si>
    <t>FGC35465</t>
  </si>
  <si>
    <t>J2a1a1b2a1b2b1b~</t>
  </si>
  <si>
    <t>FGC63246</t>
  </si>
  <si>
    <t>J2a1a1b2a1b2b1c~</t>
  </si>
  <si>
    <t>Z39975</t>
  </si>
  <si>
    <t>J2a1a1b2a1b2b1c1~</t>
  </si>
  <si>
    <t>Z39979</t>
  </si>
  <si>
    <t>J2a1a1b2a1b2b1c2~</t>
  </si>
  <si>
    <t>Z43064</t>
  </si>
  <si>
    <t>J2a1a1b2a1b2b1c2a~</t>
  </si>
  <si>
    <t>Y136645</t>
  </si>
  <si>
    <t>J2a1a1b2a1b2b1c2b~</t>
  </si>
  <si>
    <t>Y101841</t>
  </si>
  <si>
    <t>J2a1a1b2a1b2b1c2c~</t>
  </si>
  <si>
    <t>Z43044</t>
  </si>
  <si>
    <t>J2a1a1b2a1b2b1c2c1~</t>
  </si>
  <si>
    <t>Z43063</t>
  </si>
  <si>
    <t>J2a1a1b2a1b2b1c2c2~</t>
  </si>
  <si>
    <t>Y36704</t>
  </si>
  <si>
    <t>J2a1a1b2a1c~</t>
  </si>
  <si>
    <t>AM00133/PF5294</t>
  </si>
  <si>
    <t>J2a1a1b2a1c1</t>
  </si>
  <si>
    <t>L243</t>
  </si>
  <si>
    <t>J2a1a1b2a1c1a~</t>
  </si>
  <si>
    <t>FGC30343/Z28711</t>
  </si>
  <si>
    <t>J2a1a1b2a1c1a1~</t>
  </si>
  <si>
    <t>L590</t>
  </si>
  <si>
    <t>J2a1a1b2a1c1a1a~</t>
  </si>
  <si>
    <t>L589</t>
  </si>
  <si>
    <t>J2a1a1b2a1c2~</t>
  </si>
  <si>
    <t>PF5366</t>
  </si>
  <si>
    <t>J2a1a1b2a1c2a</t>
  </si>
  <si>
    <t>L254</t>
  </si>
  <si>
    <t>J2a1a1b2a1c2b~</t>
  </si>
  <si>
    <t>PF5380</t>
  </si>
  <si>
    <t>J2a1a1b2a1c2c~</t>
  </si>
  <si>
    <t>FGC4964</t>
  </si>
  <si>
    <t>J2a1a1b2a1c2d~</t>
  </si>
  <si>
    <t>FGC5925</t>
  </si>
  <si>
    <t>J2a1a1b2a1c2d1~</t>
  </si>
  <si>
    <t>FGC5909</t>
  </si>
  <si>
    <t>J2a1a2~</t>
  </si>
  <si>
    <t>Y18968, Y153648, Z6064, Z27753, Z27774^^, Z27794, Z27852, Z27893, Z28528</t>
  </si>
  <si>
    <t>J2a1a2a~</t>
  </si>
  <si>
    <t>PH1409, PH1542, PH2509, PH3081, PH3260, PH3464, PH3644, PH4095, PH4744, PH4856, PH4959, PH5392, Y23518, Y23519, Y23520, Y23521, Z39758, Z39759, Z39760, Z39761, Z39762, Z39763, Z39764, Z39765, Z39766, Z39767, Z39768, Z39769, Z39770, Z39771, Z39772, Z39773, Z39774, Z39775, Z39776, Z39777, Z39778, Z39779, Z39780, Z40060</t>
  </si>
  <si>
    <t>J2a1a2a1~</t>
  </si>
  <si>
    <t>Y32693, Y32694, Y32695, Y32696, Y32697, Y32698, Y32699, Y32700, Y32701, Y32702, Y32703, Y32704, Y32705, Y32706, Y32707, Y32708, Y32709, Y32712, Y32713, Y32714, Y32715, Y32716, Y33270, Y33271, Y33272, Y33273, Y33274, Y33275, Y33276, Y33277, Y33278, Y33279</t>
  </si>
  <si>
    <t>J2a1a2b~</t>
  </si>
  <si>
    <t>F312, SK1362/Y6761, Y6753^^/Z27782^^, Y6754/Z27801, Y6755/Z27807, Y6756, Y6757/Z27827, Y6758/Z27829, Y6759/Z27834, Y6760/Z27840, Y6762/Z27853, Y6763, Y6764/Z27864, Y6765/Z27873, Y6766/Z27875, Y6767/Z27876, Y6768/Z27882, Y6769/Z27884, Y6770/Z27895, Y6854/Z27804, Y6855, Y6856/Z27832, Y6857/Z27848, Y6858/Z27854, Y6859/Z27865, Y6860/Z27868, Y6861/Z27869, Y6862, Y6863/Z27874, Y6864/Z27905, Y6865/Z27908, Y6867/Z27799, Y6868/Z27795, Y7009/Z27825, Y7012/Z27894, Y7016/Z27899, Z6055, Z6058, Z6059, Z6060, Z6061, Z6062, Z6063</t>
  </si>
  <si>
    <t>J2a1a2b1~</t>
  </si>
  <si>
    <t>A6103^^, S16874/Z7851, Y21500, Y25840, Y25841, Y25842, Y25843, Y25844. Y25845. Y25846, Y25847^^, Y25848, Y25849, Y25850, Y25851, Y25852, Y25853, Y25854, Y25856, Y25857, Y25858, Y25859, Y25860, Y25861, Y25862, Y25863, Y25864, Y25865, Y25866, Y27533, Y27534^^, Y27535, Y27536, Y27537, Y27538, Y27539, Y27540, Y27541, Y27542, Y27543, Y27544, Y27545, Y27546, Y27547, Y27548, Y27549, Y27550, Y27551, Y27552, Y27554</t>
  </si>
  <si>
    <t>J2a1a2b2~</t>
  </si>
  <si>
    <t xml:space="preserve">FGC8506, Y7015/Z27917, Z6056, Z6057, Z27769 </t>
  </si>
  <si>
    <t>J2a1a2b2a~</t>
  </si>
  <si>
    <t xml:space="preserve">Y7011, Y7013^^/Z27912^^, Y35055^^ </t>
  </si>
  <si>
    <t>J2a1a2b2a1~</t>
  </si>
  <si>
    <t>A10141.2, FGC57069, L826/YSC0000073, PF4882, Y28259, Y28260, Y28262, Y28263, Y28264, Y28265, Y28266, Y28267, Y28268, Y28269, Y28270, Y28271, Y28272. Y28273, Y28274, Y28275, Y28276, Y28277^^, Y28278, Y28279, Y28721, Y28723, Y28724, Y28725, Y28726, Y28727, Y28728, Y28729, Y28730, Y28732, Y28733, Y28736^^, Y28737, Y28738, Y28740, Y28741, Y28743, Y28744, Y28745, Y28746, Y28747, Y28748, Y28749, Y28751, Y28752, Y28753, Y28754, Y28755, Y28756^^, Y28757</t>
  </si>
  <si>
    <t>J2a1a2b2a1a~</t>
  </si>
  <si>
    <t>BY27576^^, Y33849, Y34515, Y34517</t>
  </si>
  <si>
    <t>J2a1a2b2a1a1~</t>
  </si>
  <si>
    <t>Y112338</t>
  </si>
  <si>
    <t>J2a1a2b2a1b~</t>
  </si>
  <si>
    <t>Y29722, Y30428</t>
  </si>
  <si>
    <t>J2a1a2b2a2~</t>
  </si>
  <si>
    <t>SK1359/Y7010/Z27851, Y7008/Z27797, Y14449/Z27844</t>
  </si>
  <si>
    <t>J2a1a2b2a2a~</t>
  </si>
  <si>
    <t>FGC30323/Z27824, Y33844, Y35056^^, Y35057, Z27752, Z27766^^, Z27787^^, Z27792, Z27798, Z27802, Z27803, Z27806^^, Z27817, Z27818, Z27819, Z27826^^, Z27828, Z27830, Z27837, Z27838, Z27845, Z27855, Z27857, Z27862, Z27867, Z27870, Z27871, Z27877, Z27879, Z27880, Z27881, Z27883, Z27886, Z27888, Z27889, Z27890, Z27891, Z27892, Z27896, Z27900, Z27901, Z27903, Z27904, Z27907, Z27910, Z27913^^, Z27915^^</t>
  </si>
  <si>
    <t>J2a1a2b2a2a1~</t>
  </si>
  <si>
    <t>BY149135</t>
  </si>
  <si>
    <t>J2a1a2b2a2a2</t>
  </si>
  <si>
    <t>M68</t>
  </si>
  <si>
    <t>J2a1a2b2a2a2a~</t>
  </si>
  <si>
    <t>Y33845</t>
  </si>
  <si>
    <t>J2a1a2b2a2b~</t>
  </si>
  <si>
    <t>Y21178</t>
  </si>
  <si>
    <t>J2a1a2b2a2b1~</t>
  </si>
  <si>
    <t>Z36800</t>
  </si>
  <si>
    <t>J2a1a2b2a2b1a~</t>
  </si>
  <si>
    <t>Y45928</t>
  </si>
  <si>
    <t>J2a1a2b2a2b2~</t>
  </si>
  <si>
    <t>Y14434</t>
  </si>
  <si>
    <t>J2a1a2b2a2b2a~</t>
  </si>
  <si>
    <t>PF7413</t>
  </si>
  <si>
    <t>J2a1a2b2a2b2a1~</t>
  </si>
  <si>
    <t>Z28521</t>
  </si>
  <si>
    <t>J2a1a2b2a2b2a2~</t>
  </si>
  <si>
    <t>Z35789</t>
  </si>
  <si>
    <t>J2a1a2b2a2b2a2a~</t>
  </si>
  <si>
    <t>Z35790</t>
  </si>
  <si>
    <t>J2a1a2b2a2b2a2a1~</t>
  </si>
  <si>
    <t>Y29724</t>
  </si>
  <si>
    <t>J2a1a2b2a2b2a2b~</t>
  </si>
  <si>
    <t>Y22056</t>
  </si>
  <si>
    <t>J2a1a2b2a2b2a2b1~</t>
  </si>
  <si>
    <t>BY48036</t>
  </si>
  <si>
    <t>J2a1a2b2a2b2a2b2~</t>
  </si>
  <si>
    <t>Y22057</t>
  </si>
  <si>
    <t>J2a1a2b2a2b2a2b2a~</t>
  </si>
  <si>
    <t>Z40263</t>
  </si>
  <si>
    <t>J2a1a2b2a2b2a2b2a1~</t>
  </si>
  <si>
    <t>Y22382</t>
  </si>
  <si>
    <t>J2a1a2b2a2b2a2b2a1a~</t>
  </si>
  <si>
    <t>FGC80314</t>
  </si>
  <si>
    <t>J2a2~</t>
  </si>
  <si>
    <t>FGC34244, PF5008, PF5012, PF5022, PF5025, PF5039, PF5044, PF5050, PF5051^^, PF5053, Y3126, Y21765, Y21766, Y27479^^, Z28351^^, Z35772, Z35774, Z35775, Z35776^^, Z38487, Z38490^^</t>
  </si>
  <si>
    <t>J2a2a</t>
  </si>
  <si>
    <t xml:space="preserve"> L581/PF5026/S398</t>
  </si>
  <si>
    <t>J2a2a~</t>
  </si>
  <si>
    <t>PF4996^^, PF5007, PF5030, PF5034, PF5035, PF5041, PF5058, PF5073, PF7381, PF7382^^, PH1932, PH1988^^, PH2868, Y27475, Y27477^^, Y151372^^, YP5667, Z28386, Z28387^^, Z35889, Z38496</t>
  </si>
  <si>
    <t>J2a2a1~</t>
  </si>
  <si>
    <t>Z37823</t>
  </si>
  <si>
    <t>J2a2a1a~</t>
  </si>
  <si>
    <t>PF5000</t>
  </si>
  <si>
    <t>J2a2a1a1~</t>
  </si>
  <si>
    <t>Z28381</t>
  </si>
  <si>
    <t>J2a2a1a1a~</t>
  </si>
  <si>
    <t>PH1795</t>
  </si>
  <si>
    <t>J2a2a1a1a1~</t>
  </si>
  <si>
    <t>Z28406</t>
  </si>
  <si>
    <t>J2a2a1a1a1a~</t>
  </si>
  <si>
    <t>PF5048</t>
  </si>
  <si>
    <t>J2a2a1a1a1a1~</t>
  </si>
  <si>
    <t>Z28425</t>
  </si>
  <si>
    <t>J2a2a1a1a2</t>
  </si>
  <si>
    <t>P279/PF5065</t>
  </si>
  <si>
    <t>J2a2a1a1a2a~</t>
  </si>
  <si>
    <t>Y25795</t>
  </si>
  <si>
    <t>J2a2a1a1a2a1~</t>
  </si>
  <si>
    <t>Y25793</t>
  </si>
  <si>
    <t>J2a2a1a1a2a1a~</t>
  </si>
  <si>
    <t>Y37125</t>
  </si>
  <si>
    <t>J2a2a1a1a2b~</t>
  </si>
  <si>
    <t>Y36579</t>
  </si>
  <si>
    <t>J2a2a1a1a2b1</t>
  </si>
  <si>
    <t>M340</t>
  </si>
  <si>
    <t>J2a2a1a1a2b1a~</t>
  </si>
  <si>
    <t>L582</t>
  </si>
  <si>
    <t>J2a2a1a1a2b2~</t>
  </si>
  <si>
    <t>Y36973</t>
  </si>
  <si>
    <t>J2b</t>
  </si>
  <si>
    <r>
      <rPr>
        <b/>
        <i/>
      </rPr>
      <t>M12</t>
    </r>
    <r>
      <rPr>
        <i/>
      </rPr>
      <t>, CTS488/PF7363/Z2480, CTS801/Z2481, CTS1196, CTS1464/Z2407, CTS2582/Z2486, CTS2623/Z2487, CTS3917/PF7372, CTS4359/PF7293/Z2417, CTS4407/PF7311/Z2418, CTS5962/Z2488, CTS6484/PF7302/Z2489, CTS7427, CTS7576, CTS8314/PF7287/Z2491, CTS8999/Z2493, CTS9229/Z2494, CTS10010/Z2428, CTS10660/Z2500, CTS11322, CTS11672, FGC3945.1/Z526.1, FGC7651/Z8229, L282, L729.3/M2087.3/Z15.3/Z548.3, M102, M221, M314/PF4939, PF7289/Z2411, PF7290/Z546, PF7291/Z518, PF7292/Z2410, PF7295, PF7297/Z529, PF7303/Z570, PF7304/Z2431, PF7307/Z545, PF7313, PF7317/Z2409, PF7326/Z522, PF7339/Z556, PF7340/Z550, PF7341/Z558, PF7355/Z562, PF7358/Z564, PF7362/Z528, PF7374/Z552, S10469/Z2408, S11333/Z2421, S11560/Z2412, S20479/Z2492, S22697/Z2495, Y1422.1/Z8214.1, Z519, Z523, Z524, Z525, Z532, Z534, Z536, Z537, Z538, Z542/Z8227, Z543, Z547, Z549, Z551, Z553.3, Z554, Z555, Z560, Z561, Z563, Z569, Z571, Z572, Z1826, Z2414, Z2416, Z2420, Z2422/Z28130, Z2426, Z2427, Z2430, Z2452, Z2483, Z2484, Z2496, Z2497, Z2498, Z2499, Z2501, Z8212, Z8221, Z8224, Z8225, Z8231, Z8233, Z8243, Z8251</t>
    </r>
  </si>
  <si>
    <t>J2b~</t>
  </si>
  <si>
    <t>CTS922/PF7349/Z2482, CTS1353/PF7333/Z2406, CTS7299/Z541, CTS6362/PF7286, CTS7806, CTS7856/Z2490, CTS8096, CTS10849, CTS11935, PF7296/Z2413, PF7336/Z540, PF7359/Z2419, PF7373, Z535, Z539, Z567, Z2425, Z8232</t>
  </si>
  <si>
    <t>J2b1</t>
  </si>
  <si>
    <r>
      <rPr>
        <b/>
        <i/>
      </rPr>
      <t>M205,</t>
    </r>
    <r>
      <rPr>
        <i/>
      </rPr>
      <t xml:space="preserve"> CTS494, CTS560, CTS1282, CTS3310, CTS3722, CTS3810, CTS3833, CTS4915, CTS7112, CTS8056, CTS10731/PF7319, CTS11307, PF7294, PF7298, PF7301, PF7306, PF7316, PF7321, PF7324, PF7325, PF7329, PF7331, PF7334, PF7344, PF7347, PF7352, PF7353, PF7354, PF7356, PF7364, PF7368, PF7376, PF7377, Y3160, Y3161, Y3163, Y3164, Y3167, Y3168, Y3171, Y3172, Y3173, Y3174, Y3176, Y3177, Y3178, Y3179, Y3180, Y12196, Y12197.2/Z31425.2, Y12198, Y21782, Y21784, YP8, YP28, YP31, YP34, YP35, YP37, YP46, YP58, YP84, YP85, YP90, YP101, YP104, YP105, YP110, YP111, YP134, YP140, YP144, YP149, YP159, YP163, YP166, YP172, YP175, YP183, YP184, YSC0000302, Z38486 </t>
    </r>
  </si>
  <si>
    <t>J2b1~</t>
  </si>
  <si>
    <t>CTS9100, CTS9875, CTS10673, PF7330, PF7337, PF7308, Y3169, Y3170, Y3175, YP59, YP87</t>
  </si>
  <si>
    <t>J2b1a~</t>
  </si>
  <si>
    <t>A11525, PH4306, Y22059, Y22060, Y22061, Y22062, Y22063, Y22064, Y22065, Y22066, Y22067, Y22068, Y22070, Y22071, Y22072, Y22073, Y22074, Y22075, Y22077, Y22078, Y22079, Y22081, Y22083, Y24804, Y24805, Y24806, Y24807, Y24809, Y24810, Y24811</t>
  </si>
  <si>
    <t>J2b1a1~</t>
  </si>
  <si>
    <t>Y22069, Y22076, Y22082</t>
  </si>
  <si>
    <t>J2b1a2~</t>
  </si>
  <si>
    <t>PH1089. PH2514, PH2734</t>
  </si>
  <si>
    <t>J2b1b~</t>
  </si>
  <si>
    <t>CTS1969</t>
  </si>
  <si>
    <t>J2b1b1~</t>
  </si>
  <si>
    <t xml:space="preserve">CTS5338, CTS6823, CTS10179, CTS10990, Y22037, Y22520, Y22521, Y22523, Y22524, Y22525, Y22526, Y22527, Y22528, Y22529, Y22530 </t>
  </si>
  <si>
    <t>J2b1b2~</t>
  </si>
  <si>
    <t>YP13, YP51, YP60, YP108, YP137</t>
  </si>
  <si>
    <t>J2b1b2a~</t>
  </si>
  <si>
    <t>PF7288, PF7300, PF7305, PF7310, PF7318, PF7320, PF7327, PF7332, PF7338, PF7348, PF7351, PF7365, PF7366, PF7370, PF7378, YP5, YP11, YP12, YP16, YP17.2/Z8764.2, YP18, YP45, YP48, YP53, YP62, YP70, YP77, YP79, YP80, YP95, YP96, YP112, YP119, YP126, YP147, YP148, YP167, YP170, YP171, Z28762</t>
  </si>
  <si>
    <t>J2b2~</t>
  </si>
  <si>
    <t>CTS2622/Z1827, CTS11335/Z2440, Z575</t>
  </si>
  <si>
    <t>J2b2a</t>
  </si>
  <si>
    <t>M241</t>
  </si>
  <si>
    <t>J2b2a~</t>
  </si>
  <si>
    <t>AM00208/AMM117/CTS6496/Z2445, AM00236/Z613, AM00237/CTS8907/Z2402, AM01361/Z598/Z2446, AM01362/CTS4412/Z2390. AM01363/M8769/Z599, AM01364/CTS5787/Z2399, AM01366/Z604, AM01367/Z605, AM01368/Z608, AM01369/Z610, AM01370/Z611, AM01372/CTS9389/Z2527, AM01373/Z618, AM01374/Z2528, AM01375/Z619, AM01376/Z620, AM01377/S23466/Z2441, AM01378/Z625, AM01379/Z581, AM01380/Z583, CTS8251/Z2526, S13645/Z2524, SK1406/Z591, SK1407/Z629, Z586, Z593, Z601, Z614, Z2525, Z8257, Z8263</t>
  </si>
  <si>
    <t>J2b2a1</t>
  </si>
  <si>
    <r>
      <rPr>
        <b/>
        <color rgb="FF000000"/>
      </rPr>
      <t>L283,</t>
    </r>
    <r>
      <rPr>
        <color rgb="FFCC0000"/>
      </rPr>
      <t xml:space="preserve"> </t>
    </r>
    <r>
      <rPr>
        <i/>
        <color rgb="FF000000"/>
      </rPr>
      <t xml:space="preserve">A16862.2/AM00223.2/AMM132.2/Z621.2, AM00197/AMM106/Z596, AM00200/AMM109/CTS4554/Z2510, AM00202/AMM111/CTS5382/Z2512, AM00203/AMM112/CTS5649, AM00204/AMM113/CTS5683/Z2514, AM00206/AMM115/M5195/PF2523/Z602, AM00207.1/AMM116.1/Z603.1, AM00210/AMM119/Z609, AM00211/AMM120/CTS7378/Z2398, AM00212/AMM121/Z612, AM00214/AMM123/S21185/Z2517, AM00215/AMM124/CTS9313/Z2518, AM00218/AMM127/CTS10153, AM00219/AMM128/Z616, AM00220/AMM129/Z617, AM00221/AMM130/Z2520, AM00222/AMM131/Z8409, AM00224/AMM133/S23613/Z2521, AM00225/AMM134/S23664/Z2675, AM00226/AMM135/Z622, AM00227/AMM136/Z626, AM00229/AMM138/CTS11773/Z2401, AM00232a/AMM141/CTS174/Z2405, AM00232b/AMM142/Z582, CTS10105/Z2519, Z587, Z588, Z589, Z592, Z594, Z595, Z2383, Z2506, Z2513, Z2522 </t>
    </r>
  </si>
  <si>
    <t>J2b2a1~</t>
  </si>
  <si>
    <t>Y6299</t>
  </si>
  <si>
    <t>J2b2a1a~</t>
  </si>
  <si>
    <t>AM00205/AMM114/Z600, AM00228/AMM137/Z627, Z590</t>
  </si>
  <si>
    <t>J2b2a1a1~</t>
  </si>
  <si>
    <t>Z2505</t>
  </si>
  <si>
    <t>J2b2a1a1a~</t>
  </si>
  <si>
    <t>AM00199/AMM108/Z597, AM00213/AMM122/CTS7705/Z2400, AM00216/AMM125/Z615, AM00217/AMM126/Z8417, AM00230/AMM139/Z628, AM00233/AMM143/Z584, Y27530, Z2516</t>
  </si>
  <si>
    <t>J2b2a1a1a1~</t>
  </si>
  <si>
    <t>Z2507</t>
  </si>
  <si>
    <t>J2b2a1a1a1a~</t>
  </si>
  <si>
    <t>AMM448/Z638, AMM451/CTS12554</t>
  </si>
  <si>
    <t>J2b2a1a1a1a1</t>
  </si>
  <si>
    <r>
      <rPr>
        <b/>
        <color rgb="FF000000"/>
      </rPr>
      <t>AMM450/CTS8995</t>
    </r>
    <r>
      <rPr>
        <b/>
        <color rgb="FF000000"/>
      </rPr>
      <t>/Z1296</t>
    </r>
  </si>
  <si>
    <t>J2b2a1a1a1a1a</t>
  </si>
  <si>
    <r>
      <rPr>
        <b/>
      </rPr>
      <t>Z1297,</t>
    </r>
    <r>
      <t xml:space="preserve"> Z1298</t>
    </r>
  </si>
  <si>
    <t>J2b2a1a1a1a1a1~</t>
  </si>
  <si>
    <t>CTS1317/Z1295</t>
  </si>
  <si>
    <t>J2b2a1a1a1a1a1a</t>
  </si>
  <si>
    <r>
      <rPr>
        <b/>
      </rPr>
      <t>Z631</t>
    </r>
    <r>
      <t>, Z639</t>
    </r>
  </si>
  <si>
    <t>J2b2a1a1a1a1a1a~</t>
  </si>
  <si>
    <t>CTS2105/Z2531, CTS10800, Z636, Z2532</t>
  </si>
  <si>
    <t>J2b2a1a1a1a1a1a1~</t>
  </si>
  <si>
    <t xml:space="preserve">CTS9036/Z1043, CTS9038/Z1048, CTS10587 </t>
  </si>
  <si>
    <t>J2b2a1a1a1a1a1a1a~</t>
  </si>
  <si>
    <t>PH1553, PH1656, PH1864, PH2264, PH2579, PH3746</t>
  </si>
  <si>
    <t>J2b2a1a1a1a1a1a1b~</t>
  </si>
  <si>
    <t>Y26712</t>
  </si>
  <si>
    <t>J2b2a1a1a1a1a1a1b1~</t>
  </si>
  <si>
    <t>A15071, A15072, A15073, A15074, A15075, Y32998, Y32999</t>
  </si>
  <si>
    <t>J2b2a1a1a1a1a1a1b2~</t>
  </si>
  <si>
    <t>CTS9945, Y29718, Y29719, Y29721, Y30083, Y30086, Y30087, Y30088, Y30089, Y30090, Y30671, Y30673, Y30674, Y30675, Y30676, Y30677, Y30678, Y33850, ZS1307.2</t>
  </si>
  <si>
    <t>J2b2a1a1a1a1a1a1b2a~</t>
  </si>
  <si>
    <t>Y29270, Y30084, Y30085, Y30091, Y30672</t>
  </si>
  <si>
    <t>J2b2a1a1a1a1a1a1c~</t>
  </si>
  <si>
    <t>PH1080</t>
  </si>
  <si>
    <t>J2b2a1a1a1a1a1a1d~</t>
  </si>
  <si>
    <t>Y36972</t>
  </si>
  <si>
    <t>J2b2a1a1a1a1a1a1e~</t>
  </si>
  <si>
    <t>CTS11760</t>
  </si>
  <si>
    <t>J2b2a1a1a1a1a1a1f~</t>
  </si>
  <si>
    <t>Y12007</t>
  </si>
  <si>
    <t>J2b2a1a1a1a1a1a1f1~</t>
  </si>
  <si>
    <t>Y12000, Y12002, Y12003, Y12004, Y12005, Y12006, Y12413</t>
  </si>
  <si>
    <t>J2b2a1a1a1a1a1a1f1a~</t>
  </si>
  <si>
    <t>Y33541, Y33542, Y36242, Y36243</t>
  </si>
  <si>
    <t>J2b2a1a1a1a1a1a1f1b~</t>
  </si>
  <si>
    <t>Y12936</t>
  </si>
  <si>
    <t>J2b2a1a1a1a1a1a1f1b1~</t>
  </si>
  <si>
    <t>Y12400, Y12937, Y21466</t>
  </si>
  <si>
    <t>J2b2a1a1a1a1a1a1f1b1a~</t>
  </si>
  <si>
    <t>Y21460</t>
  </si>
  <si>
    <t>J2b2a1a1a1a1a1a1f1b1a1~</t>
  </si>
  <si>
    <t>Y23720</t>
  </si>
  <si>
    <t>J2b2a1a1a1a1a1b~</t>
  </si>
  <si>
    <t xml:space="preserve">CTS1317/Z1295, Y21878 </t>
  </si>
  <si>
    <t>J2b2a1a1a1a1a1b1~</t>
  </si>
  <si>
    <t xml:space="preserve">CTS11100 </t>
  </si>
  <si>
    <t>J2b2a1a1a1a1a1b1a~</t>
  </si>
  <si>
    <t>Y37121</t>
  </si>
  <si>
    <t>J2b2a1a1a1a1a1c~</t>
  </si>
  <si>
    <t>Z39660, Z39661</t>
  </si>
  <si>
    <t>J2b2a1a1a1a1a2~</t>
  </si>
  <si>
    <t>B440, Y27522</t>
  </si>
  <si>
    <t>J2b2a1a1a1a1a2a~</t>
  </si>
  <si>
    <t>Y23094, Y23095, Y23096, Y23097, Y23098, Y25837, Y27523, Y27524, Y27525</t>
  </si>
  <si>
    <t>J2b2a1a1a1a1a2a1~</t>
  </si>
  <si>
    <t>CTS8746/M1763, Y36192, Y36193, Y36194, Y36195, Y36196, Y36197, Y36198, Y36199, Y36200, Y36201, Y36203, Y36204, Y36205, Y36306, Y36779, Y36780, Y36782</t>
  </si>
  <si>
    <t>J2b2a1a1a1a1a2a2~</t>
  </si>
  <si>
    <t>Y36202</t>
  </si>
  <si>
    <t>J2b2a1a1a1a1b~</t>
  </si>
  <si>
    <t xml:space="preserve">PF3664.2/V2273.2/Z2638.2, PH2202, PH2618, PH2967, PH3120, PH3168, PH4581, PH4679, PH4861, Y21045, Z38294, Z38295, Z38296, Z38297, Z38300, Z39481         </t>
  </si>
  <si>
    <t>J2b2a1a1a1a1b1~</t>
  </si>
  <si>
    <t>PH1084, PH1751, Y20900, Z38298, Z38299</t>
  </si>
  <si>
    <t>J2b2a1a1a1b~</t>
  </si>
  <si>
    <t xml:space="preserve">CTS3617, CTS9215, Y15058/Z34462 </t>
  </si>
  <si>
    <t>J2b2a1a1a1b1~</t>
  </si>
  <si>
    <t>Z40052, Z40053</t>
  </si>
  <si>
    <t>J2b2a1a1a1b1a~</t>
  </si>
  <si>
    <t>Z40054</t>
  </si>
  <si>
    <t>J2b2a1a1a1b2~</t>
  </si>
  <si>
    <t>PH1601, PH1602, PH2350, Y936</t>
  </si>
  <si>
    <t>J2b2a1a1a1b3~</t>
  </si>
  <si>
    <t>CTS6190, Y16504, Z34473, Z34474</t>
  </si>
  <si>
    <t>J2b2a1a1a1b3a~</t>
  </si>
  <si>
    <t xml:space="preserve">CTS473, CTS2552, CTS5400, Y22038, Y22040, Y22878, Y22879, Y22881, Y22882 </t>
  </si>
  <si>
    <t>J2b2a1a1a1b3b~</t>
  </si>
  <si>
    <t>Y33795, Y33796, Y33797, Y33798, Y33799, Y33800, Y33801, Y33802, Y33803, Y34370, Y34371, Y34372, Y38002</t>
  </si>
  <si>
    <t>J2b2a1a1a1b3c~</t>
  </si>
  <si>
    <t>Y36163, Y36164, Y36164, Y36165, Y36166, Y36167, Y36168, Y36168, Y36169, Y36170, Y36171, Y36172, Y36173, Y36174, Y36175, Y36176, Y36177, Y36862, Y36863, Y36864, Y36865, Y36866</t>
  </si>
  <si>
    <t>J2b2a1a1a2~</t>
  </si>
  <si>
    <t>FGC64027, FGC64029, FGC64036, FGC64037, FGC64043</t>
  </si>
  <si>
    <t>J2b2a1a1b~</t>
  </si>
  <si>
    <t>S19177, Y18963, Y18966, YP6/Z28755, YP14, YP15, YP25, YP43, YP57, YP63, YP73, YP74, YP75, YP83/Z28750, YP88, YP89, YP92, YP113, YP114, YP117, YP122/Z28756, YP123, YP125, YP128, YP131, YP139/Z28754, YP156/Z28751, YP160, YP177/Z28752, YP178/Z28753, YP179, YP4764</t>
  </si>
  <si>
    <t>J2b2a1a1b1~</t>
  </si>
  <si>
    <t>S18473, YP50, YP162</t>
  </si>
  <si>
    <t>J2b2a1a1b1a~</t>
  </si>
  <si>
    <t>M7773, Y24698, YP49</t>
  </si>
  <si>
    <t>J2b2a1a2~</t>
  </si>
  <si>
    <t>CTS6883, YP1, YP142, YP157</t>
  </si>
  <si>
    <t>J2b2a1b~</t>
  </si>
  <si>
    <t>S17101/YP64, YP29, YP38, YP40, YP61, YP65, YP67, YP91, YP94, YP102, YP124, YP133, YP135, YP152, YP153, YP155, YP181, YP182</t>
  </si>
  <si>
    <t>J2b2a2~</t>
  </si>
  <si>
    <t>Y949, Y966, Y977, Y12366/ZS308, Z2432, Z2434, Z2435, Z2436, Z2444, Z2447, Z8270, Z8271, Z8272, Z8274</t>
  </si>
  <si>
    <t>J2b2a2a~</t>
  </si>
  <si>
    <t>FGC61903, FGC61905, FGC61921, FGC61928, Y28235, Y28236, Y28238, Y28243, Y28246, Y28247, Y28248, Y28249, Y28250, Y28253, Y28254, Y28256, Y29539, Y29542, Y29545, Y29546, Y29547, Y29548, Y29549, Y29550 , Y29551, Y33846, Y35060</t>
  </si>
  <si>
    <t>J2b2a2a1~</t>
  </si>
  <si>
    <t xml:space="preserve">Y28237, Y28239, Y28240, Y28242, Y28244, Y28245, Y28251, Y28255, Y28257, Y28258, Y29540, Y29541, Y29543, Y29544, Y33847 </t>
  </si>
  <si>
    <t>J2b2a2b~</t>
  </si>
  <si>
    <t>FGC31634/Y12367, Y956, Y961, Y1010, Z2433, Z2438, Z2439, Z2449, Z8282, Z8283</t>
  </si>
  <si>
    <t>J2b2a2b1~</t>
  </si>
  <si>
    <t>FGC31635/Y12365, Y978, Y988,Y1011, Z8315.1/M11814.1, Z8330, Z8331, Z8332, Z8335</t>
  </si>
  <si>
    <t>J2b2a2b1a~</t>
  </si>
  <si>
    <t>Y958, Z8292, Z8297, Z8299, Z8300, Z8313, Z8321, Z8322, Z8323, Z8324</t>
  </si>
  <si>
    <t>J2b2a2b1a1~</t>
  </si>
  <si>
    <t>Z8316</t>
  </si>
  <si>
    <t>J2b2a2b1a1a~</t>
  </si>
  <si>
    <t>S13646, Y29928, Y33893, Y33895, Y33896, Y33897, Y33898, Y33899, Y33900, Y33901, Y33902, Y33903, Y33904, Y33906, Y33908, Y33909, Y33910, Y33911, Y33912, Y33913, Y33914, Y33915, Y33916, Y33917, Y33918, Y33919, Y33920, Y33921, Y33922, Y33923, Y33924, Y33925, Y33926, Y33927, Y33928, Y33929, Y33930, Y33932, Y33933, Y33934, Y33935, Y33937, Y33938, Y33942, Y33943, Y33944, Y33945, Y33946, Y33948, Y33949, Y33950, Y35063, Y35067, Y35068</t>
  </si>
  <si>
    <t>J2b2a2b1a1b~</t>
  </si>
  <si>
    <t>S21603, Y33941, Y33947</t>
  </si>
  <si>
    <t>J2b2a2b1a1c~</t>
  </si>
  <si>
    <t xml:space="preserve">S20796/Z8319, Y960, Y973, Y982, Y987, Y993, Y994, Y996, Y997, Z8284, Z8298, Z8301, Z8305, Z8310, Z8311, Z8312, Z8314, Z8317, Z8318, Z8320, Z8325, Z8333, Z8334, Z8336  </t>
  </si>
  <si>
    <t>J2b2a2b2</t>
  </si>
  <si>
    <t xml:space="preserve">Z2437 </t>
  </si>
  <si>
    <t>J2b2a2b2a</t>
  </si>
  <si>
    <r>
      <rPr>
        <b/>
        <i/>
        <color rgb="FF000000"/>
      </rPr>
      <t>Y965</t>
    </r>
    <r>
      <rPr>
        <i/>
        <color rgb="FF000000"/>
      </rPr>
      <t>, Y1009, Z8339, Z8340</t>
    </r>
  </si>
  <si>
    <t>J2b2a2b2a1</t>
  </si>
  <si>
    <t>Z8347</t>
  </si>
  <si>
    <t>J2b2a2b2a1a~</t>
  </si>
  <si>
    <t>M8158, Y947, Y948, Y962/ZS309, Y970, Y972, Y979, Y984, Y986, Y989.1/ZS332.1, Y990, Y995, Y2152, Y2156, Y2161/ZS314, Y2162/ZS326, Z8348, Z8349, Z8351, Z8352, Z8353, Z8354, Z8356, Z8357, Z8359, Z8362, Z8364, Z8384, Z8389, Z8391, Z8394, Z8395</t>
  </si>
  <si>
    <t>J2b2a2b2b</t>
  </si>
  <si>
    <t xml:space="preserve">Z2443 </t>
  </si>
  <si>
    <t>J2b2a2b2b1</t>
  </si>
  <si>
    <r>
      <rPr>
        <b/>
        <i/>
        <color rgb="FF000000"/>
      </rPr>
      <t>Z2448</t>
    </r>
    <r>
      <rPr>
        <i/>
        <color rgb="FF000000"/>
      </rPr>
      <t xml:space="preserve">, Z8370  </t>
    </r>
  </si>
  <si>
    <t>J2b2a2b2b1a~</t>
  </si>
  <si>
    <t xml:space="preserve">Y963/ZS310, Y969/ZS319, Y980/ZS328, Y991/ZS333, Y998/ZS336, Y2163/ZS329, Y2165/ZS340, Z8377, Z8379, Z8385, Z8386, Z8387, Z8388, Z8390, Z8392    </t>
  </si>
  <si>
    <t>J2b2a2b2b1b~</t>
  </si>
  <si>
    <t xml:space="preserve">ZS280, ZS292  </t>
  </si>
  <si>
    <t>J2b2a2b2b1b1~</t>
  </si>
  <si>
    <t>M9942, SK1409, Y28281, Y28282, Y28283, Y28284, Y28285, Y28286, Y28287, Y28288, Y28289, Y28290, Y28281, Y28292, Y28294, Y28295, Y28296, Y28297, Y29527, Y29528, Y29530, Y29531, Y29532, Y29533, Y29534, Y30746, Y30747, ZS266, ZS267, ZS268, ZS269, ZS270, ZS272, ZS273, ZS276, ZS277, ZS278, ZS284, ZS287, ZS288, ZS289, ZS290, ZS291, ZS297</t>
  </si>
  <si>
    <t>J2b2b~</t>
  </si>
  <si>
    <t>CTS6812/Z2454, CTS9267/Z2455, PH1648, Y18042, Y21761,Y21762, Y21763, Z2453, Z2456, Z2457, Z2458</t>
  </si>
  <si>
    <t>J2b2b1~</t>
  </si>
  <si>
    <t>CTS8204, Y18039, Y18044, Y31665</t>
  </si>
  <si>
    <t>J2b2b1a~</t>
  </si>
  <si>
    <t>Y31144, Y31145, Y31146, Y31663, Y31664, Y31666, Y31667</t>
  </si>
  <si>
    <t>J2b2b2~</t>
  </si>
  <si>
    <t xml:space="preserve">CTS10357/PF2169/V4101, M9467, Y19283, Z42941, Z42942, Z42943, Z42944, Z42945, Z42946, Z42948, Z42949, Z42950, Z42951, Z42952, Z42953, Z42954, Z42955, Z42956, Z42957, Z42958, Z42959, Z42960, Z42961, Z42962, Z42963, Z42964, Z42965, Z42966, Z42967, Z42968, Z42969, Z42970, Z42971, Z42972, Z42973, Z42974, Z42975, Z42976, Z42977, Z42978, Z42979, Z42980, Z42981, Z43608, Z43609, Z43613, Z43617, Z43618, Z43622, Z43626, Z43627, Z43629, Z43633, Z43640, Z43643, Z43644, Z43646 </t>
  </si>
  <si>
    <t>J2b2b2a~</t>
  </si>
  <si>
    <t>BY22607, Y37143, Y37144, Y37145, Z42983, Z42984, Z42985, Z42986, Z42987, Z42988, Z42989, Z42990, Z42991, Z42992, Z42993, Z42994, Z42995, Z42996, Z42997, Z42998, Z42999, Z43000, Z43001, Z43002, Z43003, Z43004, Z43005, Z43006</t>
  </si>
  <si>
    <r>
      <rPr>
        <rFont val="Times New Roman"/>
        <b/>
        <color rgb="FF000000"/>
        <sz val="12.0"/>
      </rPr>
      <t xml:space="preserve">Caveats </t>
    </r>
    <r>
      <rPr>
        <rFont val="Times New Roman"/>
        <b/>
        <color rgb="FF000000"/>
        <sz val="12.0"/>
      </rPr>
      <t>for the information from Karafet et al (2008)</t>
    </r>
    <r>
      <rPr>
        <rFont val="Times New Roman"/>
        <b/>
        <color rgb="FF000000"/>
        <sz val="12.0"/>
      </rPr>
      <t>:</t>
    </r>
  </si>
  <si>
    <t>The M419 mutation was not tested on P81 and P279 chromosomes because of the absence of positive control DNAs.</t>
  </si>
  <si>
    <t>NOTES:</t>
  </si>
  <si>
    <t>King et al (2008) uses the notation of DYS445-6 rather than this tree's DYS445≤7.</t>
  </si>
  <si>
    <t>Identical SNPs that were discovered separately are listed in alphabetical order, not necessarily in the order of discovery, a</t>
  </si>
  <si>
    <t>nd separated by "/". Example: M67/S51.</t>
  </si>
  <si>
    <t>DYS413≤18 is in the same subclade as L26/Page55/PF5110/S57.</t>
  </si>
  <si>
    <t>The indel 12f2.1 reported in Ewis et al. in 2001 in haplogroup J is too long at 88 base pairs to include here.</t>
  </si>
  <si>
    <t>Mutations previously on tree but found so far only in one man or in closely related men:</t>
  </si>
  <si>
    <t>L396 is located under J-L70. Listed 8 Mar 2011.</t>
  </si>
  <si>
    <t>M99, M280, M321, and P84 are downstream of J-M241. Listed 26 April 2012.</t>
  </si>
  <si>
    <t>M327 is downstream of M92, M260/Page14. Listed 27 April 2012.</t>
  </si>
  <si>
    <t>L229, L230, L231, L264 and L270.1 are located downstream from L25. Listed 6 August 2012.</t>
  </si>
  <si>
    <t>L174.1 is downstream of L147.1. Listed 6 August 2012.</t>
  </si>
  <si>
    <t>M62 is downstream from M267. Listed 7 August 2012.</t>
  </si>
  <si>
    <t>M390 is downstream from L136. Listed 7 August 2012.</t>
  </si>
  <si>
    <t>M367.1 and M368.1 are downstream from P58. Listed 7 August 2012.</t>
  </si>
  <si>
    <t>M369 is downstream from P58 and parallel to M367.1. Listed 7 August 2012.</t>
  </si>
  <si>
    <t>M163 is downstream of M67. Listed 7 August 2012.</t>
  </si>
  <si>
    <t>M289 is downstream of L24 and possibly parallel to M137. Listed 7 August 2012.</t>
  </si>
  <si>
    <t>CTS7683/P354/PF5100 is downstream of M410 and upstream from L27. Listed 7 January 2017.</t>
  </si>
  <si>
    <t>Temporarily moved A186.2/ZS2136.2 here pending correct tree placement,</t>
  </si>
  <si>
    <t>Moved DYS455≤9 to notes because less volatile alternatives available now on tree on 28 January 2018.</t>
  </si>
  <si>
    <t>Moved DYS445≤7 to notes because less volatile alternatives available now on tree on 19 December 2018.</t>
  </si>
  <si>
    <t>Moved M339 to private on 19 December 2018.</t>
  </si>
  <si>
    <t>It has been used by several sources, but is now found restricted approximately to the Y33795 subgroup.</t>
  </si>
  <si>
    <t xml:space="preserve">Y-DNA haplogroup J evolved in the ancient Near East and was carried into North Africa, Europe, Central Asia, Pakistan and India. J2 lineages originated in the area known as the Fertile Crescent. The main spread of J2 into the Mediterranean area is thought to have coincided with the expansion of agricultural peoples during the Neolithic period. The timing of the demographic events that brought J2 to Central Asia, Pakistan, and India is not yet known. J1 lineages may have a more southern origin, as they are more often found in the Levant region, other parts of the Near East, and North Africa, with a sparse distribution in the southern Mediterranean flank of Europe, and in Ethiopia.
</t>
  </si>
  <si>
    <t>There is a descending gradient in the frequency of occurrence of haplogroup J from the Middle East toward the northwest of Europe, reaching about 3% of the population on the northwest Atlantic coast. The occurrence of J in Europe is undoubtedly due both to the Neolithic expansion and to episodic migrations, though the relative proportion of those two sources is controversial and may not be the same in different locations.
A significant fraction of Jews belong to haplogroup J, but Jews represent a small minority of the European members of the haplogroup. The "Cohen Modal Haplotype" is a specific set of six Y-STR marker values that occurs in both J1 and J2, though at a much higher frequency in J1.</t>
  </si>
  <si>
    <t>Geographic distribution so far of ancestry of modern-day haplogroup J subgroup men (not complete):</t>
  </si>
  <si>
    <t xml:space="preserve">J1 </t>
  </si>
  <si>
    <t xml:space="preserve">     PF7264             Italy, Italian Sardinia, Saudi Arabia, Ethiopia
     PF3202             Saudi Arabia
     L817                 Italy, Czech Republic, Belarus, Poland, Finland
     CTS5266          Norway, India
     FGC20877        Palestine, Iraq, Lebanon, Italy, Italian Sardinia
     CTS6558          Italy, Hungary
     PF4843             Netherlands, Italy, Italian Sardinia, Turkey, Iran,  Israel, Jordan, Yemen, Saudi Arabia, U.A. Emirates, 
                                     Bahrain, Qatar, Oman, Kuwait, Iraq, Poland, Belarus, Ukraine, Russia, Kyrgyzstan, 
                                      Morocco, Algeria, Libya, Egypt, Sudan
     FGC6064          UK, Portugal, Poland, Russia
     Z1842               Turkey, Georgia, Russia, Kazakhstan, Ireland, Germany
     BY69                Malta, Slovakia, Albania, Finland, Germany, Ukraine
     BY11761          Russia, Armenia, Azerbaijan
     F1614               Finland, Spain</t>
  </si>
  <si>
    <t xml:space="preserve">        M205             Yemen, Qatar, Oman, Palestine, UK, Spain, Italy, Serbia, Bosnia &amp; Herzegovina
        CTS2622       Syria, Lebanon, Portugal, Spain, Italy, France, UK, Sweden, Norway, Czech Rep., Germany, Poland, 
                                     Bulgaria, Bosnia &amp; Herzegovina, Albania, Ukraine, Russia, India, Sri Lanka, Bangladesh, Pakistan          
         CTS6812      Russia, Qatar, Palestine, Italy</t>
  </si>
  <si>
    <t>References:</t>
  </si>
  <si>
    <t>Adamov et al, Defining a New Rate Constant for Y-Chromosome SNPs basedon Full Sequencing Data, (pdf) The Russian Journal of Genetic Genealogy (Русская версия), 7(1): 68-89, 2015.</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</si>
  <si>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</si>
  <si>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</si>
  <si>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Athey T W, Schrack B E, A New Subclade of Y Haplogroup J2b. (pdf) Journal of Genetic Genealogy, 4(1):27-34, 2008.</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</si>
  <si>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</si>
  <si>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</si>
  <si>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</si>
  <si>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Bertoncini et al, The Dual Origin of Tati-speakers from Dagestan as Written in the Genealogy of Uniparental Variants. (abstract) American Journal of Human Biology, Volume 24, Issue 4, pages 391-399, July/August 2012.</t>
  </si>
  <si>
    <t>Biro et al, A Y-Chromosomal Comparison of the Madjars (Kazakhstan) and the Magyars (Hungary), American Journal of Physical Anthropology, 139(3): 305-10, 2009. (abstract)</t>
  </si>
  <si>
    <t>Bosch et al, Paternal and Maternal Lineages in the Balkans Show a Homogeneous Landscape over Linguistis Barriers except for the Isolated Aromuns. Annals of Human Genetics, 70:459-87, (2006).</t>
  </si>
  <si>
    <t>Capelli et al, Population Structure in the Mediterranean Basin: A Y Chromosome Perspective. (pdf) Annals of Human Genetics, 2005.</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</si>
  <si>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</si>
  <si>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</si>
  <si>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Tracing Past Human Male Movements in Northern/Eastern Africa and Western Eurasia: New Clues from Y-Chromosomal Haplogroups E-M78 and J-M12. (pdf) Molecular Biology and Evolution 24(6):1300-1311, 2007.</t>
  </si>
  <si>
    <t>Di Giacomo et al, Y Chromosomal Haplogroup J as a Signature of the Post-Neolithic Colonization of Europe. (pdf) Human Genetics, 115:357-371, 2004.</t>
  </si>
  <si>
    <t>El Sibai et al, Geographical Structure of the Y-Chromosomal Genetic Landscape of the Levant: A Coastal Inland Contrast, Annals of Human Genetics, 73:568-81, 2009. (abstract)</t>
  </si>
  <si>
    <t>Ewis et al, Two Y-chromosome-specific polymorphisms 12f2 and DFFRY in the Japanese population and their relations to other Y-polymorphisms, The Journal of Medical Investigation, 49(1-2):44-50, 2001.</t>
  </si>
  <si>
    <t>Flores et al, Reduced Genetic Structure of the Iberian Peninsula Revealed by Y-chromosome Analysis: Implications for Population Demography. (available by subscription) European Journal of Human Genetics, 12:855-863, 2004.</t>
  </si>
  <si>
    <t>Francalacci et al, Low-Pass DNA Sequencing of 1200 Sardinians Reconstructs European Y-Chromosome Phylogeny. Science: 341(6145):565-569, DOI: 10.1126/science.1237947, 2 August 2013.</t>
  </si>
  <si>
    <t>Francalacci et al, Detection of Phylogenetically Informative Polymorphisms in the Entire Euchromatic Portion of Human Y Chromosome from a Sardinian Sample. BMC Research Notes: 8(174):unpaginated, DOI: 10.1186/s13104-015-1130-z, 30 April 2015.</t>
  </si>
  <si>
    <t>Hallast et al, The Y-chromosome Tree Bursts into Leaf: 13,000 High-confidence SNPs Covering the Majority of Known Clades, Molecular Biology and Evolution, doi: 10.1093/molbev/msu327, 2014.</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</si>
  <si>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</si>
  <si>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</si>
  <si>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Karafet et al, Paternal Population History of East Asia: Sources, Patterns, and Microevolutionary Processes. (pdf) American Journal of Human Genetics, 69:615-628, 2001.</t>
  </si>
  <si>
    <t>Karmin et al, A Recent Bottleneck of Y chromosome Diversity Coincides with a Global Change in Culture. Genome Research, doi: 10.1101/gr.186684.114, published online March 13, 2015.</t>
  </si>
  <si>
    <t>King et al, The Coming of the Greeks to Provence and Corsica: Y-Chromosome Models of Archaic Greek Colonization of the Western Mediterranean. BMC Evolutionary Biology, 11:69, 2011.</t>
  </si>
  <si>
    <t>King et al, Differential Y-chromosome Anatolian Influences on the Greek and Cretan Neolithic. Annals of Human Genetics, 2008.</t>
  </si>
  <si>
    <t>Kivisild et al, The Genetic Heritage of the Earliest Settlers Persists in Both Indian Tribal and Caste Populations. (pdf) American Journal of Human Genetics, 72:313-332, 2003.</t>
  </si>
  <si>
    <t>Lippold et al, Human Paternal and Maternal Demographic Histories: Insights from High-Resolution Y Chromosome and mtDNA Sequences. Investigative Genetics, 5(13):unpaginated, September 24, 2014.</t>
  </si>
  <si>
    <t>Magoon et al, Generation of High-resolution a priori Y-chromosome Phylogenies Using "Next-generation" Sequencing Data bioRxiv, doi: 10.1101/000802, December 13, 2013.</t>
  </si>
  <si>
    <t>Morley, An Experimental Computer-Generated Y-Chromosomal Phylogeny, Leveraging Public Geno 2.0 Results and the Current ISOGG Tree (Internet site) version: February 7, 2014.</t>
  </si>
  <si>
    <t>Myres et al, (2007), Y-chromosome Short Tandem Repeat DYS458.2 Non-concensus Alleles Occur Independently in Both Binary Haplogroups J1-M267 and R1b3-M405. Croatian Medical Journal, 48, 2007.</t>
  </si>
  <si>
    <t>Nasidze et al, MtDNA and Y-chromosome Variation in Kurdish Groups. (abstract) Annals of Human Genetics, 69:401-412, 2005.</t>
  </si>
  <si>
    <t>Nasidze et al, Testing Hypotheses of Language Replacement in the Caucasus: Evidence from the Y-chromosome, Human Genetics 112 (3): 255-61, 2003.</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</si>
  <si>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</si>
  <si>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</si>
  <si>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Semino et al, Origin, Diffusion, and Differentiation of Y-Chromosome Haplogroups E and J: Inferences on the Neolithization of Europe and Later Migratory Events in the Mediterranean Area. (pdf) American Journal of Human Genetics, 74:1023-1034, 2004.</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</si>
  <si>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</si>
  <si>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</si>
  <si>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Shou et al, Y-Chromosome Distributions among Populations in Northwest China Identify Significant Contribution from Central Asian Pastoralists and Lesser Influence of Western Eurasians. (abstract) Journal of Human Genetics, 55: 314-22, 2010.</t>
  </si>
  <si>
    <t>Van Oven et al, Seeing the Wood for the Trees: A Minimal Reference Phylogeny for the Human Y Chromosome. (abstract) Human Mutation, 35(2): 187-91, 2013. DOI: 10.1002/humu.22468.</t>
  </si>
  <si>
    <t>Zalloua et al, Y Chromosome Diversity in Lebanon is Structured by Recent Historical Events. (abstract) The American Journal of Human Genetics, 82(4): 873-882, 28 March 2008.</t>
  </si>
  <si>
    <t>Zhao et al, Presence of Three Different Paternal Lineages among North Indians: A Study of 560 Y Chromosomes. (abstract) Annals of Human Biology, 36(1):46-59, 2009.</t>
  </si>
  <si>
    <t>source of some investigational items are YFull and Family Tree DNA</t>
  </si>
  <si>
    <t>Additional Resources:</t>
  </si>
  <si>
    <t>Links to Experimental Trees:</t>
  </si>
  <si>
    <t>J1-M267 (Mas)</t>
  </si>
  <si>
    <t>J2-M172 (Rottensteiner)</t>
  </si>
  <si>
    <t>YFull YTree J.</t>
  </si>
  <si>
    <t>ISOGG Wiki</t>
  </si>
  <si>
    <t>What you need to know about Genetic Genealogy.</t>
  </si>
  <si>
    <t>J Project</t>
  </si>
  <si>
    <t>(Bridge Project), Bonnie Schrack, Tim Janzen, Victar Mas, Marco Ricci, Chris Rottensteiner</t>
  </si>
  <si>
    <t>J1 Y-DNA Project</t>
  </si>
  <si>
    <t>Victar Mas, Jaber Al Haddad, Marco Ricci, Peter Hrechdakian, Vitaly Goldberg</t>
  </si>
  <si>
    <t>J1* Z2223+ Z1828+ Project</t>
  </si>
  <si>
    <t>Peter Hrechdakian, Paul Givargidze</t>
  </si>
  <si>
    <t>J1c3 (J-L147) Project,</t>
  </si>
  <si>
    <t>Jaber Al Haddad, Victar Mas</t>
  </si>
  <si>
    <t>J-YSC0000076 Project,</t>
  </si>
  <si>
    <t>Bennett Greenspan, Judy Simon, Roberto Raciti, Victar Mas</t>
  </si>
  <si>
    <t>J-L817</t>
  </si>
  <si>
    <t>(formerly Bnei Yahya), Vitaly Goldberg, Janet Akaha</t>
  </si>
  <si>
    <t>J2-M172 Haplogroup Research (FTDNA Project)</t>
  </si>
  <si>
    <t>Chris Rottensteiner, Angela Cone, Bonnie Schrack, Tim Janzen, Kamal Al-Gazzah, Nader Daou, Robert H. A. Sanders</t>
  </si>
  <si>
    <t>J-L24 Project,</t>
  </si>
  <si>
    <t>Ared Aburto, Kamal Al-Gazzah, Tim Janzen, Debra Katz</t>
  </si>
  <si>
    <t>J2a-PF5197 Project,</t>
  </si>
  <si>
    <t>Chris Rottensteiner, Mikhail Arzamanov, Bonnie Schrack</t>
  </si>
  <si>
    <t>J-M67 Project,</t>
  </si>
  <si>
    <t>Angela Cone, Chris Rottensteiner</t>
  </si>
  <si>
    <t>J-M319 Project</t>
  </si>
  <si>
    <t>David Langton, Joe Langton, John Walden, Nader Daou, Hamid Haronian</t>
  </si>
  <si>
    <t>J2b (M102) Project,</t>
  </si>
  <si>
    <t>Roman Sychev</t>
  </si>
  <si>
    <t>Corrections/Additions made since 1 January 2019:</t>
  </si>
  <si>
    <t>Added Waas et al. to bibliography on 10 January 2020.</t>
  </si>
  <si>
    <t>None</t>
  </si>
  <si>
    <t>Back to</t>
  </si>
  <si>
    <t>Main Page</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</si>
  <si>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</si>
  <si>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</si>
  <si>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</si>
  <si>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</si>
  <si>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</si>
  <si>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</si>
  <si>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</si>
  <si>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</si>
  <si>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</si>
  <si>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YBrowse hg19 Position</t>
  </si>
  <si>
    <t>Other Names in YBrowse</t>
  </si>
  <si>
    <t>M304</t>
  </si>
  <si>
    <t>Page16; PF4609</t>
  </si>
  <si>
    <t>rs13447352</t>
  </si>
  <si>
    <t>A-&gt;C</t>
  </si>
  <si>
    <t>Page16</t>
  </si>
  <si>
    <t>M304; PF4609</t>
  </si>
  <si>
    <t>PF4609</t>
  </si>
  <si>
    <t>M304; Page16</t>
  </si>
  <si>
    <t>12f2.1</t>
  </si>
  <si>
    <t>CTS26</t>
  </si>
  <si>
    <t>PF4489</t>
  </si>
  <si>
    <t>rs370507216</t>
  </si>
  <si>
    <t>A-&gt;T</t>
  </si>
  <si>
    <t>CTS687</t>
  </si>
  <si>
    <t>PF4503</t>
  </si>
  <si>
    <t>rs371497729</t>
  </si>
  <si>
    <t>CTS852</t>
  </si>
  <si>
    <t>PF4504</t>
  </si>
  <si>
    <t>rs372536048</t>
  </si>
  <si>
    <t>G-&gt;A</t>
  </si>
  <si>
    <t>CTS1068</t>
  </si>
  <si>
    <t>PF4508</t>
  </si>
  <si>
    <t>rs368969850</t>
  </si>
  <si>
    <t>CTS1250</t>
  </si>
  <si>
    <t>PF4510; YSC0001255</t>
  </si>
  <si>
    <t>rs377751428</t>
  </si>
  <si>
    <t>G-&gt;T</t>
  </si>
  <si>
    <t>PF4510</t>
  </si>
  <si>
    <t>CTS1250; YSC0001255</t>
  </si>
  <si>
    <t>YSC0001255</t>
  </si>
  <si>
    <t>CTS1250; PF4510</t>
  </si>
  <si>
    <t>CTS2042</t>
  </si>
  <si>
    <t>PF4536</t>
  </si>
  <si>
    <t>rs375180205</t>
  </si>
  <si>
    <t>T-&gt;A</t>
  </si>
  <si>
    <t>CTS2769</t>
  </si>
  <si>
    <t>PF4538</t>
  </si>
  <si>
    <t>rs375928568</t>
  </si>
  <si>
    <t>CTS3543</t>
  </si>
  <si>
    <t>PF4540; YSC0001268</t>
  </si>
  <si>
    <t>rs373283770</t>
  </si>
  <si>
    <t>PF4540</t>
  </si>
  <si>
    <t>CTS3543; YSC0001268</t>
  </si>
  <si>
    <t>YSC0001268</t>
  </si>
  <si>
    <t>CTS3543; PF4540</t>
  </si>
  <si>
    <t>CTS3732</t>
  </si>
  <si>
    <t>PF4541</t>
  </si>
  <si>
    <t>rs370911838</t>
  </si>
  <si>
    <t>A-&gt;G</t>
  </si>
  <si>
    <t>CTS3872</t>
  </si>
  <si>
    <t>PF4542</t>
  </si>
  <si>
    <t>rs373131725</t>
  </si>
  <si>
    <t>CTS3936</t>
  </si>
  <si>
    <t>PF4543; YSC0001275</t>
  </si>
  <si>
    <t>rs17306965</t>
  </si>
  <si>
    <t>PF4543</t>
  </si>
  <si>
    <t>CTS3936; YSC0001275</t>
  </si>
  <si>
    <t>YSC0001275</t>
  </si>
  <si>
    <t>CTS3936; PF4543</t>
  </si>
  <si>
    <t>CTS4204</t>
  </si>
  <si>
    <t>PF4545; YSC0001278</t>
  </si>
  <si>
    <t>rs368993980</t>
  </si>
  <si>
    <t>PF4545</t>
  </si>
  <si>
    <t>CTS4204; YSC0001278</t>
  </si>
  <si>
    <t>YSC0001278</t>
  </si>
  <si>
    <t>CTS4204; PF4545</t>
  </si>
  <si>
    <t>CTS4349</t>
  </si>
  <si>
    <t>PF4547</t>
  </si>
  <si>
    <t>rs373857973</t>
  </si>
  <si>
    <t>CTS4356</t>
  </si>
  <si>
    <t>PF4548</t>
  </si>
  <si>
    <t>rs370450410</t>
  </si>
  <si>
    <t>CTS4937</t>
  </si>
  <si>
    <t>PF4549</t>
  </si>
  <si>
    <t>rs377687394</t>
  </si>
  <si>
    <t>CTS5280</t>
  </si>
  <si>
    <t>PF4550</t>
  </si>
  <si>
    <t>rs17307175</t>
  </si>
  <si>
    <t>CTS5426</t>
  </si>
  <si>
    <t>PF4552</t>
  </si>
  <si>
    <t>rs373532282</t>
  </si>
  <si>
    <t>C-&gt;T</t>
  </si>
  <si>
    <t>CTS5545.1</t>
  </si>
  <si>
    <t>M3163.1; PF4554.1; YSC0001284.1</t>
  </si>
  <si>
    <t>rs375478863</t>
  </si>
  <si>
    <t>M3163.1</t>
  </si>
  <si>
    <t>CTS5545.1; PF4554.1; YSC0001284.1</t>
  </si>
  <si>
    <t>PF4554.1</t>
  </si>
  <si>
    <t>CTS5545.1; M3163.1; YSC0001284.1</t>
  </si>
  <si>
    <t>YSC0001284.1</t>
  </si>
  <si>
    <t>CTS5545.1; M3163.1; PF4554.1</t>
  </si>
  <si>
    <t>CTS5628</t>
  </si>
  <si>
    <t>PF4555</t>
  </si>
  <si>
    <t>rs17307231</t>
  </si>
  <si>
    <t>C-&gt;G</t>
  </si>
  <si>
    <t>CTS5678</t>
  </si>
  <si>
    <t>PF4556</t>
  </si>
  <si>
    <t>rs372543511</t>
  </si>
  <si>
    <t>CTS5691</t>
  </si>
  <si>
    <t>PF4557</t>
  </si>
  <si>
    <t>rs376700510</t>
  </si>
  <si>
    <t>CTS5934</t>
  </si>
  <si>
    <t>rs371205249</t>
  </si>
  <si>
    <t>CTS6958</t>
  </si>
  <si>
    <t>PF4561</t>
  </si>
  <si>
    <t>rs370072746</t>
  </si>
  <si>
    <t>CTS7028</t>
  </si>
  <si>
    <t>PF4562</t>
  </si>
  <si>
    <t>rs370925457</t>
  </si>
  <si>
    <t>T-&gt;C</t>
  </si>
  <si>
    <t>CTS7229</t>
  </si>
  <si>
    <t>PF4563; YSC0001286</t>
  </si>
  <si>
    <t>rs370106485</t>
  </si>
  <si>
    <t>C-&gt;A</t>
  </si>
  <si>
    <t>PF4563</t>
  </si>
  <si>
    <t>CTS7229; YSC0001286</t>
  </si>
  <si>
    <t>YSC0001286</t>
  </si>
  <si>
    <t>CTS7229; PF4563</t>
  </si>
  <si>
    <t>CTS7483</t>
  </si>
  <si>
    <t>PF4565</t>
  </si>
  <si>
    <t>rs372378369</t>
  </si>
  <si>
    <t>CTS7565</t>
  </si>
  <si>
    <t>M5960; PF4566</t>
  </si>
  <si>
    <t>rs373024022</t>
  </si>
  <si>
    <t>M5960</t>
  </si>
  <si>
    <t>CTS7565; PF4566</t>
  </si>
  <si>
    <t>PF4566</t>
  </si>
  <si>
    <t>CTS7565; M5960</t>
  </si>
  <si>
    <t>CTS7738</t>
  </si>
  <si>
    <t>PF4568</t>
  </si>
  <si>
    <t>rs368294293</t>
  </si>
  <si>
    <t>CTS7832</t>
  </si>
  <si>
    <t>PF4569</t>
  </si>
  <si>
    <t>rs370129372</t>
  </si>
  <si>
    <t>CTS8078</t>
  </si>
  <si>
    <t>PF4570</t>
  </si>
  <si>
    <t>rs369362210</t>
  </si>
  <si>
    <t>CTS8160</t>
  </si>
  <si>
    <t>PF4571</t>
  </si>
  <si>
    <t>rs370192111</t>
  </si>
  <si>
    <t>CTS8938</t>
  </si>
  <si>
    <t>PF4577</t>
  </si>
  <si>
    <t>rs369060471</t>
  </si>
  <si>
    <t>T-&gt;G</t>
  </si>
  <si>
    <t>CTS8974</t>
  </si>
  <si>
    <t>PF4578</t>
  </si>
  <si>
    <t>rs372336171</t>
  </si>
  <si>
    <t>CTS9533</t>
  </si>
  <si>
    <t>PF4582</t>
  </si>
  <si>
    <t>rs369116408</t>
  </si>
  <si>
    <t>CTS9877</t>
  </si>
  <si>
    <t>PF4583</t>
  </si>
  <si>
    <t>rs371047486</t>
  </si>
  <si>
    <t>CTS10446</t>
  </si>
  <si>
    <t>PF4586</t>
  </si>
  <si>
    <t>rs374895223</t>
  </si>
  <si>
    <t>G-&gt;C</t>
  </si>
  <si>
    <t>CTS10858</t>
  </si>
  <si>
    <t>PF4612</t>
  </si>
  <si>
    <t>rs367554608</t>
  </si>
  <si>
    <t>CTS11211</t>
  </si>
  <si>
    <t>PF4614</t>
  </si>
  <si>
    <t>rs369907276</t>
  </si>
  <si>
    <t>CTS11291</t>
  </si>
  <si>
    <t>PF4615</t>
  </si>
  <si>
    <t>rs367557522</t>
  </si>
  <si>
    <t>CTS11571</t>
  </si>
  <si>
    <t>PF4617</t>
  </si>
  <si>
    <t>rs377196741</t>
  </si>
  <si>
    <t>CTS11750</t>
  </si>
  <si>
    <t>PF4618; YSC0001250</t>
  </si>
  <si>
    <t>rs372321394</t>
  </si>
  <si>
    <t>PF4618</t>
  </si>
  <si>
    <t>CTS11750; YSC0001250</t>
  </si>
  <si>
    <t>YSC0001250</t>
  </si>
  <si>
    <t>CTS11750; PF4618</t>
  </si>
  <si>
    <t>CTS11765</t>
  </si>
  <si>
    <t>PF4620</t>
  </si>
  <si>
    <t>rs369864195</t>
  </si>
  <si>
    <t>CTS11787</t>
  </si>
  <si>
    <t>PF4621; YSC0001251</t>
  </si>
  <si>
    <t>rs370236417</t>
  </si>
  <si>
    <t>PF4621</t>
  </si>
  <si>
    <t>CTS11787; YSC0001251</t>
  </si>
  <si>
    <t>YSC0001251</t>
  </si>
  <si>
    <t>CTS11787; PF4621</t>
  </si>
  <si>
    <t>CTS12047</t>
  </si>
  <si>
    <t>YSC0001253</t>
  </si>
  <si>
    <t>rs373132026</t>
  </si>
  <si>
    <t>CTS12887</t>
  </si>
  <si>
    <t>PF4624</t>
  </si>
  <si>
    <t>rs373336615</t>
  </si>
  <si>
    <t>F1167</t>
  </si>
  <si>
    <t>PF4516; YSC0001296</t>
  </si>
  <si>
    <t>rs370143854</t>
  </si>
  <si>
    <t>PF4516</t>
  </si>
  <si>
    <t>F1167; YSC0001296</t>
  </si>
  <si>
    <t>YSC0001296</t>
  </si>
  <si>
    <t>F1167; PF4516</t>
  </si>
  <si>
    <t>F1168</t>
  </si>
  <si>
    <t>PF4517</t>
  </si>
  <si>
    <t>rs374627386</t>
  </si>
  <si>
    <t>F1181</t>
  </si>
  <si>
    <t>PF4518; S35</t>
  </si>
  <si>
    <t>rs17250845</t>
  </si>
  <si>
    <t>PF4518</t>
  </si>
  <si>
    <t>F1181; S35</t>
  </si>
  <si>
    <t>S35</t>
  </si>
  <si>
    <t>F1181; PF4518</t>
  </si>
  <si>
    <t>F1381</t>
  </si>
  <si>
    <t>PF4520</t>
  </si>
  <si>
    <t>rs369569253</t>
  </si>
  <si>
    <t>F1744</t>
  </si>
  <si>
    <t>S4968; YSC0001303</t>
  </si>
  <si>
    <t>rs571609405</t>
  </si>
  <si>
    <t>S4968</t>
  </si>
  <si>
    <t>F1744; YSC0001303</t>
  </si>
  <si>
    <t>YSC0001303</t>
  </si>
  <si>
    <t>F1744; S4968</t>
  </si>
  <si>
    <t>F1826</t>
  </si>
  <si>
    <t>rs374482266</t>
  </si>
  <si>
    <t>F1973</t>
  </si>
  <si>
    <t>PF4546; YSC0001304</t>
  </si>
  <si>
    <t>rs375957462</t>
  </si>
  <si>
    <t>PF4546</t>
  </si>
  <si>
    <t>F1973; YSC0001304</t>
  </si>
  <si>
    <t>YSC0001304</t>
  </si>
  <si>
    <t>F1973; PF4546</t>
  </si>
  <si>
    <t>F2114</t>
  </si>
  <si>
    <t>PF4551</t>
  </si>
  <si>
    <t>rs376890515</t>
  </si>
  <si>
    <t>F2116</t>
  </si>
  <si>
    <t>PF4553; YSC0000785</t>
  </si>
  <si>
    <t>rs370214135</t>
  </si>
  <si>
    <t>PF4553</t>
  </si>
  <si>
    <t>F2116; YSC0000785</t>
  </si>
  <si>
    <t>YSC0000785</t>
  </si>
  <si>
    <t>F2116; PF4553</t>
  </si>
  <si>
    <t>F2174</t>
  </si>
  <si>
    <t>PF4558; YSC0001305</t>
  </si>
  <si>
    <t>rs371825885</t>
  </si>
  <si>
    <t>PF4558</t>
  </si>
  <si>
    <t>F2174; YSC0001305</t>
  </si>
  <si>
    <t>YSC0001305</t>
  </si>
  <si>
    <t>F2174; PF4558</t>
  </si>
  <si>
    <t>F2390</t>
  </si>
  <si>
    <t>PF4560</t>
  </si>
  <si>
    <t>rs375059718</t>
  </si>
  <si>
    <t>F2502</t>
  </si>
  <si>
    <t>PF4564</t>
  </si>
  <si>
    <t>rs17222412</t>
  </si>
  <si>
    <t>F2707</t>
  </si>
  <si>
    <t>PF4573</t>
  </si>
  <si>
    <t>rs368295928</t>
  </si>
  <si>
    <t>F2746</t>
  </si>
  <si>
    <t>YSC0001309</t>
  </si>
  <si>
    <t>rs373767330</t>
  </si>
  <si>
    <t>F2769</t>
  </si>
  <si>
    <t>PF4576</t>
  </si>
  <si>
    <t>rs371653029</t>
  </si>
  <si>
    <t>F2817</t>
  </si>
  <si>
    <t>PF4579</t>
  </si>
  <si>
    <t>rs370468624</t>
  </si>
  <si>
    <t>F2839</t>
  </si>
  <si>
    <t>PF4580</t>
  </si>
  <si>
    <t>rs369715205</t>
  </si>
  <si>
    <t>F2973</t>
  </si>
  <si>
    <t>PF4585; YSC0001312</t>
  </si>
  <si>
    <t>rs376553300</t>
  </si>
  <si>
    <t>PF4585</t>
  </si>
  <si>
    <t>F2973; YSC0001312</t>
  </si>
  <si>
    <t>YSC0001312</t>
  </si>
  <si>
    <t>F2973; PF4585</t>
  </si>
  <si>
    <t>F3074</t>
  </si>
  <si>
    <t>PF4587; YSC0001313</t>
  </si>
  <si>
    <t>rs372922141</t>
  </si>
  <si>
    <t>PF4587</t>
  </si>
  <si>
    <t>F3074; YSC0001313</t>
  </si>
  <si>
    <t>YSC0001313</t>
  </si>
  <si>
    <t>F3074; PF4587</t>
  </si>
  <si>
    <t>F3119</t>
  </si>
  <si>
    <t>PF4588</t>
  </si>
  <si>
    <t>rs377441954</t>
  </si>
  <si>
    <t>F3138</t>
  </si>
  <si>
    <t>PF4590</t>
  </si>
  <si>
    <t>rs374482427</t>
  </si>
  <si>
    <t>F3176</t>
  </si>
  <si>
    <t>PF4592; YSC0001314</t>
  </si>
  <si>
    <t>rs370617389</t>
  </si>
  <si>
    <t>PF4592</t>
  </si>
  <si>
    <t>F3176; YSC0001314</t>
  </si>
  <si>
    <t>YSC0001314</t>
  </si>
  <si>
    <t>F3176; PF4592</t>
  </si>
  <si>
    <t>F3347</t>
  </si>
  <si>
    <t>PF4608; YSC0001315</t>
  </si>
  <si>
    <t>rs34987551</t>
  </si>
  <si>
    <t>PF4608</t>
  </si>
  <si>
    <t>F3347; YSC0001315</t>
  </si>
  <si>
    <t>YSC0001315</t>
  </si>
  <si>
    <t>F3347; PF4608</t>
  </si>
  <si>
    <t>F3358</t>
  </si>
  <si>
    <t>PF4611; YSC0001316</t>
  </si>
  <si>
    <t>rs369061477</t>
  </si>
  <si>
    <t>PF4611</t>
  </si>
  <si>
    <t>F3358; YSC0001316</t>
  </si>
  <si>
    <t>YSC0001316</t>
  </si>
  <si>
    <t>F3358; PF4611</t>
  </si>
  <si>
    <t>F4072</t>
  </si>
  <si>
    <t>PF4509; S34</t>
  </si>
  <si>
    <t>rs17316547</t>
  </si>
  <si>
    <t>PF4509</t>
  </si>
  <si>
    <t>F4072; S34</t>
  </si>
  <si>
    <t>S34</t>
  </si>
  <si>
    <t>F4072; PF4509</t>
  </si>
  <si>
    <t>FGC1599</t>
  </si>
  <si>
    <t>S23720; Z7822</t>
  </si>
  <si>
    <t>rs374379897</t>
  </si>
  <si>
    <t>S23720</t>
  </si>
  <si>
    <t>FGC1599; Z7822</t>
  </si>
  <si>
    <t>Z7822</t>
  </si>
  <si>
    <t>FGC1599; S23720</t>
  </si>
  <si>
    <t>FGC1604</t>
  </si>
  <si>
    <t>Z7814</t>
  </si>
  <si>
    <t>rs377111822</t>
  </si>
  <si>
    <t>FGC1607</t>
  </si>
  <si>
    <t>Z7803</t>
  </si>
  <si>
    <t>rs377262847</t>
  </si>
  <si>
    <t>FGC3271</t>
  </si>
  <si>
    <t>S13155; Z7815</t>
  </si>
  <si>
    <t>rs80334627</t>
  </si>
  <si>
    <t>S13155</t>
  </si>
  <si>
    <t>FGC3271; Z7815</t>
  </si>
  <si>
    <t>Z7815</t>
  </si>
  <si>
    <t>FGC3271; S13155</t>
  </si>
  <si>
    <t>FGC7618</t>
  </si>
  <si>
    <t>Z7811</t>
  </si>
  <si>
    <t>rs368535004</t>
  </si>
  <si>
    <t>L60</t>
  </si>
  <si>
    <t>PF4537; S6</t>
  </si>
  <si>
    <t>rs2008924</t>
  </si>
  <si>
    <t>PF4537</t>
  </si>
  <si>
    <t>L60; S6</t>
  </si>
  <si>
    <t>S6</t>
  </si>
  <si>
    <t>L60; PF4537</t>
  </si>
  <si>
    <t>L134</t>
  </si>
  <si>
    <t>PF4539</t>
  </si>
  <si>
    <t>rs376372518</t>
  </si>
  <si>
    <t>L778</t>
  </si>
  <si>
    <t>PF4616; YSC0000236</t>
  </si>
  <si>
    <t>rs370646613</t>
  </si>
  <si>
    <t>PF4616</t>
  </si>
  <si>
    <t>L778; YSC0000236</t>
  </si>
  <si>
    <t>YSC0000236</t>
  </si>
  <si>
    <t>L778; PF4616</t>
  </si>
  <si>
    <t>P209</t>
  </si>
  <si>
    <t>PF4584</t>
  </si>
  <si>
    <t>rs17315835</t>
  </si>
  <si>
    <t>PF4505</t>
  </si>
  <si>
    <t>YSC0000064</t>
  </si>
  <si>
    <t>rs373806452</t>
  </si>
  <si>
    <t>PF4506</t>
  </si>
  <si>
    <t>YSC0000066</t>
  </si>
  <si>
    <t>rs369450493</t>
  </si>
  <si>
    <t>PF4511</t>
  </si>
  <si>
    <t>YSC0001321</t>
  </si>
  <si>
    <t>rs372593094</t>
  </si>
  <si>
    <t>PF4513</t>
  </si>
  <si>
    <t>rs372625055</t>
  </si>
  <si>
    <t>PF4515</t>
  </si>
  <si>
    <t>rs376675448</t>
  </si>
  <si>
    <t>PF4519</t>
  </si>
  <si>
    <t>rs375166209</t>
  </si>
  <si>
    <t>PF4521</t>
  </si>
  <si>
    <t>rs368797174</t>
  </si>
  <si>
    <t>PF4524</t>
  </si>
  <si>
    <t>rs372398325</t>
  </si>
  <si>
    <t>PF4530</t>
  </si>
  <si>
    <t>rs375520112</t>
  </si>
  <si>
    <t>PF4535</t>
  </si>
  <si>
    <t>YSC0000165</t>
  </si>
  <si>
    <t>rs368920696</t>
  </si>
  <si>
    <t>PF4567</t>
  </si>
  <si>
    <t>YSC0000197</t>
  </si>
  <si>
    <t>rs372371776</t>
  </si>
  <si>
    <t>PF4572</t>
  </si>
  <si>
    <t>rs377665332</t>
  </si>
  <si>
    <t>PF4575</t>
  </si>
  <si>
    <t>rs372131086</t>
  </si>
  <si>
    <t>PF4591</t>
  </si>
  <si>
    <t>rs371601899</t>
  </si>
  <si>
    <t>PF4593</t>
  </si>
  <si>
    <t>rs573538970</t>
  </si>
  <si>
    <t>PF4594</t>
  </si>
  <si>
    <t>rs376410274</t>
  </si>
  <si>
    <t>PF4595</t>
  </si>
  <si>
    <t>rs375331235</t>
  </si>
  <si>
    <t>PF4596</t>
  </si>
  <si>
    <t>Z2442</t>
  </si>
  <si>
    <t>rs376358451</t>
  </si>
  <si>
    <t>PF4598</t>
  </si>
  <si>
    <t>rs375771242</t>
  </si>
  <si>
    <t>YSC0000228</t>
  </si>
  <si>
    <t>rs367721990</t>
  </si>
  <si>
    <t>L255</t>
  </si>
  <si>
    <t>rs760613324</t>
  </si>
  <si>
    <t>AM01317</t>
  </si>
  <si>
    <t>PF4729; S5006; YSC0001328</t>
  </si>
  <si>
    <t>rs375710425</t>
  </si>
  <si>
    <t>PF4729</t>
  </si>
  <si>
    <t>AM01317; S5006; YSC0001328</t>
  </si>
  <si>
    <t>S5006</t>
  </si>
  <si>
    <t>AM01317; PF4729; YSC0001328</t>
  </si>
  <si>
    <t>YSC0001328</t>
  </si>
  <si>
    <t>AM01317; PF4729; S5006</t>
  </si>
  <si>
    <t>CTS426</t>
  </si>
  <si>
    <t>PF4641; YSC0000307</t>
  </si>
  <si>
    <t>rs368026888</t>
  </si>
  <si>
    <t>PF4641</t>
  </si>
  <si>
    <t>CTS426; YSC0000307</t>
  </si>
  <si>
    <t>YSC0000307</t>
  </si>
  <si>
    <t>CTS426; PF4641</t>
  </si>
  <si>
    <t>CTS437</t>
  </si>
  <si>
    <t>PF4642</t>
  </si>
  <si>
    <t>rs371459110</t>
  </si>
  <si>
    <t>CTS1038^</t>
  </si>
  <si>
    <t>PF4645^</t>
  </si>
  <si>
    <t>rs377718933</t>
  </si>
  <si>
    <t>CTS1138</t>
  </si>
  <si>
    <t>PF4648</t>
  </si>
  <si>
    <t>rs367735301</t>
  </si>
  <si>
    <t>CTS1153</t>
  </si>
  <si>
    <t>rs375205858</t>
  </si>
  <si>
    <t>CTS1332</t>
  </si>
  <si>
    <t>rs367850672</t>
  </si>
  <si>
    <t>CTS1547</t>
  </si>
  <si>
    <t>PF4687</t>
  </si>
  <si>
    <t>rs376573457</t>
  </si>
  <si>
    <t>CTS1666</t>
  </si>
  <si>
    <t>PF4688</t>
  </si>
  <si>
    <t>rs369622135</t>
  </si>
  <si>
    <t>CTS1860</t>
  </si>
  <si>
    <t>PF4690</t>
  </si>
  <si>
    <t>rs375409490</t>
  </si>
  <si>
    <t>CTS1983</t>
  </si>
  <si>
    <t>PF4691; YSC0001326</t>
  </si>
  <si>
    <t>rs370336466</t>
  </si>
  <si>
    <t>PF4691</t>
  </si>
  <si>
    <t>CTS1983; YSC0001326</t>
  </si>
  <si>
    <t>YSC0001326</t>
  </si>
  <si>
    <t>CTS1983; PF4691</t>
  </si>
  <si>
    <t>CTS2067</t>
  </si>
  <si>
    <t>PF4692</t>
  </si>
  <si>
    <t>rs370090146</t>
  </si>
  <si>
    <t>CTS2539</t>
  </si>
  <si>
    <t>YSC0001260</t>
  </si>
  <si>
    <t>rs368252342</t>
  </si>
  <si>
    <t>CTS2596</t>
  </si>
  <si>
    <t>PF4696</t>
  </si>
  <si>
    <t>rs369894920</t>
  </si>
  <si>
    <t>CTS2649</t>
  </si>
  <si>
    <t>PF4697</t>
  </si>
  <si>
    <t>rs376861282</t>
  </si>
  <si>
    <t>CTS2667</t>
  </si>
  <si>
    <t>YSC0001262</t>
  </si>
  <si>
    <t>rs367580672</t>
  </si>
  <si>
    <t>CTS3210</t>
  </si>
  <si>
    <t>PF4702</t>
  </si>
  <si>
    <t>rs373529171</t>
  </si>
  <si>
    <t>CTS3401</t>
  </si>
  <si>
    <t>PF4705; YSC0001267</t>
  </si>
  <si>
    <t>rs372856441</t>
  </si>
  <si>
    <t>PF4705</t>
  </si>
  <si>
    <t>CTS3401; YSC0001267</t>
  </si>
  <si>
    <t>YSC0001267</t>
  </si>
  <si>
    <t>CTS3401; PF4705</t>
  </si>
  <si>
    <t>CTS3492</t>
  </si>
  <si>
    <t>PF4707</t>
  </si>
  <si>
    <t>rs375420427</t>
  </si>
  <si>
    <t>CTS3770</t>
  </si>
  <si>
    <t>PF4709; YSC0001274</t>
  </si>
  <si>
    <t>rs373375406</t>
  </si>
  <si>
    <t>PF4709</t>
  </si>
  <si>
    <t>CTS3770; YSC0001274</t>
  </si>
  <si>
    <t>YSC0001274</t>
  </si>
  <si>
    <t>CTS3770; PF4709</t>
  </si>
  <si>
    <t>CTS3953</t>
  </si>
  <si>
    <t>PF4711</t>
  </si>
  <si>
    <t>rs368102662</t>
  </si>
  <si>
    <t>CTS3967</t>
  </si>
  <si>
    <t>PF4712</t>
  </si>
  <si>
    <t>rs369240867</t>
  </si>
  <si>
    <t>CTS4025</t>
  </si>
  <si>
    <t>PF4713; YSC0001276</t>
  </si>
  <si>
    <t>rs373207019</t>
  </si>
  <si>
    <t>PF4713</t>
  </si>
  <si>
    <t>CTS4025; YSC0001276</t>
  </si>
  <si>
    <t>YSC0001276</t>
  </si>
  <si>
    <t>CTS4025; PF4713</t>
  </si>
  <si>
    <t>CTS4133</t>
  </si>
  <si>
    <t>PF4715; YSC0001277</t>
  </si>
  <si>
    <t>rs377592232</t>
  </si>
  <si>
    <t>PF4715</t>
  </si>
  <si>
    <t>CTS4133; YSC0001277</t>
  </si>
  <si>
    <t>YSC0001277</t>
  </si>
  <si>
    <t>CTS4133; PF4715</t>
  </si>
  <si>
    <t>CTS4294</t>
  </si>
  <si>
    <t>PF4719; YSC0001280</t>
  </si>
  <si>
    <t>rs372473197</t>
  </si>
  <si>
    <t>PF4719</t>
  </si>
  <si>
    <t>CTS4294; YSC0001280</t>
  </si>
  <si>
    <t>YSC0001280</t>
  </si>
  <si>
    <t>CTS4294; PF4719</t>
  </si>
  <si>
    <t>CTS5285</t>
  </si>
  <si>
    <t>PF4725; YSC0001282</t>
  </si>
  <si>
    <t>rs369881023</t>
  </si>
  <si>
    <t>PF4725</t>
  </si>
  <si>
    <t>CTS5285; YSC0001282</t>
  </si>
  <si>
    <t>YSC0001282</t>
  </si>
  <si>
    <t>CTS5285; PF4725</t>
  </si>
  <si>
    <t>CTS5394</t>
  </si>
  <si>
    <t>PF4728; YSC0001283</t>
  </si>
  <si>
    <t>rs370710342</t>
  </si>
  <si>
    <t>PF4728</t>
  </si>
  <si>
    <t>CTS5394; YSC0001283</t>
  </si>
  <si>
    <t>YSC0001283</t>
  </si>
  <si>
    <t>CTS5394; PF4728</t>
  </si>
  <si>
    <t>CTS5574</t>
  </si>
  <si>
    <t>PF4731</t>
  </si>
  <si>
    <t>rs374071739</t>
  </si>
  <si>
    <t>CTS5672^</t>
  </si>
  <si>
    <t>PF4732^</t>
  </si>
  <si>
    <t>rs377042139</t>
  </si>
  <si>
    <t>CTS6982</t>
  </si>
  <si>
    <t>PF4735</t>
  </si>
  <si>
    <t>rs370551962</t>
  </si>
  <si>
    <t>CTS7176</t>
  </si>
  <si>
    <t>PF4737</t>
  </si>
  <si>
    <t>rs368209730</t>
  </si>
  <si>
    <t>CTS7337</t>
  </si>
  <si>
    <t>PF4741</t>
  </si>
  <si>
    <t>rs370177641</t>
  </si>
  <si>
    <t>CTS7412</t>
  </si>
  <si>
    <t>PF4742</t>
  </si>
  <si>
    <t>rs374447120</t>
  </si>
  <si>
    <t>CTS7598</t>
  </si>
  <si>
    <t>PF4743; YSC0001287</t>
  </si>
  <si>
    <t>rs372368744</t>
  </si>
  <si>
    <t>PF4743</t>
  </si>
  <si>
    <t>CTS7598; YSC0001287</t>
  </si>
  <si>
    <t>YSC0001287</t>
  </si>
  <si>
    <t>CTS7598; PF4743</t>
  </si>
  <si>
    <t>CTS8079</t>
  </si>
  <si>
    <t>PF4746</t>
  </si>
  <si>
    <t>rs372872518</t>
  </si>
  <si>
    <t>CTS8183</t>
  </si>
  <si>
    <t>PF4747; YSC0001290</t>
  </si>
  <si>
    <t>rs375549679</t>
  </si>
  <si>
    <t>PF4747</t>
  </si>
  <si>
    <t>CTS8183; YSC0001290</t>
  </si>
  <si>
    <t>YSC0001290</t>
  </si>
  <si>
    <t>CTS8183; PF4747</t>
  </si>
  <si>
    <t>CTS8340</t>
  </si>
  <si>
    <t>rs374709277</t>
  </si>
  <si>
    <t>CTS8441</t>
  </si>
  <si>
    <t>rs373826790</t>
  </si>
  <si>
    <t>CTS8521</t>
  </si>
  <si>
    <t>PF4750</t>
  </si>
  <si>
    <t>rs373044419</t>
  </si>
  <si>
    <t>CTS10519</t>
  </si>
  <si>
    <t>rs370793500</t>
  </si>
  <si>
    <t>CTS10540</t>
  </si>
  <si>
    <t>rs376933685</t>
  </si>
  <si>
    <t>CTS10640</t>
  </si>
  <si>
    <t>rs375992623</t>
  </si>
  <si>
    <t>CTS10664</t>
  </si>
  <si>
    <t>PF4781</t>
  </si>
  <si>
    <t>rs372660131</t>
  </si>
  <si>
    <t>CTS10759</t>
  </si>
  <si>
    <t>rs374937283</t>
  </si>
  <si>
    <t>CTS11188</t>
  </si>
  <si>
    <t>PF4784</t>
  </si>
  <si>
    <t>rs370651134</t>
  </si>
  <si>
    <t>CTS11636^</t>
  </si>
  <si>
    <t>PF4785^</t>
  </si>
  <si>
    <t>rs367804570</t>
  </si>
  <si>
    <t>CTS11649^</t>
  </si>
  <si>
    <t>PF4786^</t>
  </si>
  <si>
    <t>rs375775880</t>
  </si>
  <si>
    <t>CTS12578</t>
  </si>
  <si>
    <t>PF4791</t>
  </si>
  <si>
    <t>rs370053810</t>
  </si>
  <si>
    <t>CTS12727</t>
  </si>
  <si>
    <t>rs370660073</t>
  </si>
  <si>
    <t>CTS12948</t>
  </si>
  <si>
    <t>rs368468614</t>
  </si>
  <si>
    <t>CTS12950</t>
  </si>
  <si>
    <t>PF4794</t>
  </si>
  <si>
    <t>rs372722017</t>
  </si>
  <si>
    <t>F1825</t>
  </si>
  <si>
    <t>PF4701</t>
  </si>
  <si>
    <t>rs371071506</t>
  </si>
  <si>
    <t>F2058</t>
  </si>
  <si>
    <t>PF4721</t>
  </si>
  <si>
    <t>rs371733144</t>
  </si>
  <si>
    <t>F4287</t>
  </si>
  <si>
    <t>rs376037006</t>
  </si>
  <si>
    <t>F4289</t>
  </si>
  <si>
    <t>PF4755; YSC0001013</t>
  </si>
  <si>
    <t>rs371863875</t>
  </si>
  <si>
    <t>PF4755</t>
  </si>
  <si>
    <t>F4289; YSC0001013</t>
  </si>
  <si>
    <t>YSC0001013</t>
  </si>
  <si>
    <t>F4289; PF4755</t>
  </si>
  <si>
    <t>F4320</t>
  </si>
  <si>
    <t>M267; PF4782</t>
  </si>
  <si>
    <t>rs9341313</t>
  </si>
  <si>
    <t>M267</t>
  </si>
  <si>
    <t>F4320; PF4782</t>
  </si>
  <si>
    <t>PF4782</t>
  </si>
  <si>
    <t>F4320; M267</t>
  </si>
  <si>
    <t>FGC1615</t>
  </si>
  <si>
    <t>S23326; Y2345</t>
  </si>
  <si>
    <t>rs369220368</t>
  </si>
  <si>
    <t>S23326</t>
  </si>
  <si>
    <t>FGC1615; Y2345</t>
  </si>
  <si>
    <t>Y2345</t>
  </si>
  <si>
    <t>FGC1615; S23326</t>
  </si>
  <si>
    <t>FGC1617</t>
  </si>
  <si>
    <t>Y2313</t>
  </si>
  <si>
    <t>rs368817752</t>
  </si>
  <si>
    <t>FGC1618</t>
  </si>
  <si>
    <t>Y2327</t>
  </si>
  <si>
    <t>rs373057710</t>
  </si>
  <si>
    <t>FGC1619</t>
  </si>
  <si>
    <t>Y2918</t>
  </si>
  <si>
    <t>rs371485661</t>
  </si>
  <si>
    <t>FGC1661</t>
  </si>
  <si>
    <t>rs372482823</t>
  </si>
  <si>
    <t>FGC3685</t>
  </si>
  <si>
    <t>S13025</t>
  </si>
  <si>
    <t>rs376732727</t>
  </si>
  <si>
    <t>FGC32310</t>
  </si>
  <si>
    <t>Y2325</t>
  </si>
  <si>
    <t>rs375666267</t>
  </si>
  <si>
    <t>L321</t>
  </si>
  <si>
    <t>PF4646</t>
  </si>
  <si>
    <t>rs370799651</t>
  </si>
  <si>
    <t>L765</t>
  </si>
  <si>
    <t>PF4765</t>
  </si>
  <si>
    <t>rs376326749</t>
  </si>
  <si>
    <t>L828</t>
  </si>
  <si>
    <t>PF4771; YSC0000226</t>
  </si>
  <si>
    <t>rs369329891</t>
  </si>
  <si>
    <t>PF4771</t>
  </si>
  <si>
    <t>L828; YSC0000226</t>
  </si>
  <si>
    <t>YSC0000226</t>
  </si>
  <si>
    <t>L828; PF4771</t>
  </si>
  <si>
    <t>L1252</t>
  </si>
  <si>
    <t>rs376630315</t>
  </si>
  <si>
    <t>M497</t>
  </si>
  <si>
    <t>PF4740</t>
  </si>
  <si>
    <t>rs371666197</t>
  </si>
  <si>
    <t>M1468</t>
  </si>
  <si>
    <t>rs554487348</t>
  </si>
  <si>
    <t>PF4640</t>
  </si>
  <si>
    <t>YSC0000060</t>
  </si>
  <si>
    <t>rs371186497</t>
  </si>
  <si>
    <t>PF4643</t>
  </si>
  <si>
    <t>YSC0000063</t>
  </si>
  <si>
    <t>rs373219695</t>
  </si>
  <si>
    <t>PF4649</t>
  </si>
  <si>
    <t>YSC0000069</t>
  </si>
  <si>
    <t>rs367974265</t>
  </si>
  <si>
    <t>PF4650</t>
  </si>
  <si>
    <t>rs370272853</t>
  </si>
  <si>
    <t>PF4651</t>
  </si>
  <si>
    <t>rs369429251</t>
  </si>
  <si>
    <t>PF4653</t>
  </si>
  <si>
    <t>rs374461847</t>
  </si>
  <si>
    <t>PF4655</t>
  </si>
  <si>
    <t>YSC0000074</t>
  </si>
  <si>
    <t>rs372229937</t>
  </si>
  <si>
    <t>PF4656</t>
  </si>
  <si>
    <t>rs377264263</t>
  </si>
  <si>
    <t>PF4658</t>
  </si>
  <si>
    <t>rs368236580</t>
  </si>
  <si>
    <t>PF4659</t>
  </si>
  <si>
    <t>rs374629111</t>
  </si>
  <si>
    <t>PF4660</t>
  </si>
  <si>
    <t>rs369053530</t>
  </si>
  <si>
    <t>PF4661</t>
  </si>
  <si>
    <t>YSC0001324</t>
  </si>
  <si>
    <t>rs370365426</t>
  </si>
  <si>
    <t>PF4662</t>
  </si>
  <si>
    <t>YSC0001325</t>
  </si>
  <si>
    <t>rs753464704</t>
  </si>
  <si>
    <t>PF4664</t>
  </si>
  <si>
    <t>rs367648638</t>
  </si>
  <si>
    <t>PF4665^</t>
  </si>
  <si>
    <t>rs374117271</t>
  </si>
  <si>
    <t>PF4666</t>
  </si>
  <si>
    <t>YSC0000078</t>
  </si>
  <si>
    <t>rs369077561</t>
  </si>
  <si>
    <t>PF4667</t>
  </si>
  <si>
    <t>YSC0000079</t>
  </si>
  <si>
    <t>rs373554257</t>
  </si>
  <si>
    <t>PF4668</t>
  </si>
  <si>
    <t>rs377309150</t>
  </si>
  <si>
    <t>PF4669</t>
  </si>
  <si>
    <t>rs377212328</t>
  </si>
  <si>
    <t>PF4671</t>
  </si>
  <si>
    <t>rs368875193</t>
  </si>
  <si>
    <t>PF4672</t>
  </si>
  <si>
    <t>rs372241197</t>
  </si>
  <si>
    <t>PF4675</t>
  </si>
  <si>
    <t>rs376733933</t>
  </si>
  <si>
    <t>PF4676</t>
  </si>
  <si>
    <t>rs377026477</t>
  </si>
  <si>
    <t>PF4677</t>
  </si>
  <si>
    <t>rs371052055</t>
  </si>
  <si>
    <t>PF4681</t>
  </si>
  <si>
    <t>rs371429448</t>
  </si>
  <si>
    <t>PF4686</t>
  </si>
  <si>
    <t>rs751514796</t>
  </si>
  <si>
    <t>PF4694</t>
  </si>
  <si>
    <t>YSC0000170</t>
  </si>
  <si>
    <t>rs375040839</t>
  </si>
  <si>
    <t>PF4695</t>
  </si>
  <si>
    <t>rs373303599</t>
  </si>
  <si>
    <t>PF4704</t>
  </si>
  <si>
    <t>YSC0000172</t>
  </si>
  <si>
    <t>rs371907201</t>
  </si>
  <si>
    <t>PF4710^</t>
  </si>
  <si>
    <t>YSC0000175^</t>
  </si>
  <si>
    <t>rs375861072</t>
  </si>
  <si>
    <t>PF4716</t>
  </si>
  <si>
    <t>YSC0001327</t>
  </si>
  <si>
    <t>rs372029495</t>
  </si>
  <si>
    <t>PF4724</t>
  </si>
  <si>
    <t>YSC0000185</t>
  </si>
  <si>
    <t>rs367805154</t>
  </si>
  <si>
    <t>PF4727</t>
  </si>
  <si>
    <t>YSC0000187</t>
  </si>
  <si>
    <t>rs377686782</t>
  </si>
  <si>
    <t>PF4733</t>
  </si>
  <si>
    <t>YSC0000190</t>
  </si>
  <si>
    <t>rs375090277</t>
  </si>
  <si>
    <t>PF4738</t>
  </si>
  <si>
    <t>YSC0001329</t>
  </si>
  <si>
    <t>rs373596375</t>
  </si>
  <si>
    <t>PF4744</t>
  </si>
  <si>
    <t>YSC0000198</t>
  </si>
  <si>
    <t>rs371500500</t>
  </si>
  <si>
    <t>PF4748</t>
  </si>
  <si>
    <t>YSC0000199</t>
  </si>
  <si>
    <t>rs369801578</t>
  </si>
  <si>
    <t>PF4753^</t>
  </si>
  <si>
    <t>S4033^; YSC0000209^</t>
  </si>
  <si>
    <t>rs372159650</t>
  </si>
  <si>
    <t>S5033</t>
  </si>
  <si>
    <t>S4033^</t>
  </si>
  <si>
    <t>PF4753^; YSC0000209^</t>
  </si>
  <si>
    <t>YSC0000209^</t>
  </si>
  <si>
    <t>PF4753^; S4033^</t>
  </si>
  <si>
    <t>PF4757</t>
  </si>
  <si>
    <t>rs377080042</t>
  </si>
  <si>
    <t>PF4759</t>
  </si>
  <si>
    <t>rs377437757</t>
  </si>
  <si>
    <t>PF4760</t>
  </si>
  <si>
    <t>rs374650108</t>
  </si>
  <si>
    <t>PF4761</t>
  </si>
  <si>
    <t>rs374309671</t>
  </si>
  <si>
    <t>PF4762</t>
  </si>
  <si>
    <t>rs377052350</t>
  </si>
  <si>
    <t>PF4764</t>
  </si>
  <si>
    <t>rs371670781</t>
  </si>
  <si>
    <t>PF4768</t>
  </si>
  <si>
    <t>rs369230377</t>
  </si>
  <si>
    <t>PF4769</t>
  </si>
  <si>
    <t>rs369896478</t>
  </si>
  <si>
    <t>PF4770</t>
  </si>
  <si>
    <t>rs371188186</t>
  </si>
  <si>
    <t>PF4773</t>
  </si>
  <si>
    <t>rs370036011</t>
  </si>
  <si>
    <t>PF4774</t>
  </si>
  <si>
    <t>YSC0001330</t>
  </si>
  <si>
    <t>rs754889487</t>
  </si>
  <si>
    <t>PF4780</t>
  </si>
  <si>
    <t>rs372049302</t>
  </si>
  <si>
    <t>PF4788</t>
  </si>
  <si>
    <t>rs373001753</t>
  </si>
  <si>
    <t>CTS5368</t>
  </si>
  <si>
    <t>Z2215</t>
  </si>
  <si>
    <t>rs376267849</t>
  </si>
  <si>
    <t>CTS3068</t>
  </si>
  <si>
    <t>PF4700; YSC0001264; Z2213</t>
  </si>
  <si>
    <t>rs376870691</t>
  </si>
  <si>
    <t>PF4700</t>
  </si>
  <si>
    <t>CTS3068; YSC0001264; Z2213</t>
  </si>
  <si>
    <t>YSC0001264</t>
  </si>
  <si>
    <t>CTS3068; PF4700; Z2213</t>
  </si>
  <si>
    <t>Z2213</t>
  </si>
  <si>
    <t>CTS3068; PF4700; YSC0001264</t>
  </si>
  <si>
    <t>CTS4274</t>
  </si>
  <si>
    <t>PF4717; Z2214</t>
  </si>
  <si>
    <t>rs374374084</t>
  </si>
  <si>
    <t>PF4717</t>
  </si>
  <si>
    <t>CTS4274; Z2214</t>
  </si>
  <si>
    <t>Z2214</t>
  </si>
  <si>
    <t>CTS4274; PF4717</t>
  </si>
  <si>
    <t>CTS7116</t>
  </si>
  <si>
    <t>PF4736; Z2392</t>
  </si>
  <si>
    <t>rs375539978</t>
  </si>
  <si>
    <t>PF4736</t>
  </si>
  <si>
    <t>CTS7116; Z2392</t>
  </si>
  <si>
    <t>Z2392</t>
  </si>
  <si>
    <t>CTS7116; PF4736</t>
  </si>
  <si>
    <t>CTS8948</t>
  </si>
  <si>
    <t>PF4751; YSC0001294</t>
  </si>
  <si>
    <t>rs372408589</t>
  </si>
  <si>
    <t>PF4751</t>
  </si>
  <si>
    <t>CTS8948; YSC0001294</t>
  </si>
  <si>
    <t>YSC0001294</t>
  </si>
  <si>
    <t>CTS8948; PF4751</t>
  </si>
  <si>
    <t>FGC1635</t>
  </si>
  <si>
    <t>Z2218</t>
  </si>
  <si>
    <t>rs375645728</t>
  </si>
  <si>
    <t>FGC7625</t>
  </si>
  <si>
    <t>Z2210</t>
  </si>
  <si>
    <t>rs373842536</t>
  </si>
  <si>
    <t>PF4644</t>
  </si>
  <si>
    <t>YSC0000065</t>
  </si>
  <si>
    <t>rs372350026</t>
  </si>
  <si>
    <t>PF4772</t>
  </si>
  <si>
    <t>rs377267998</t>
  </si>
  <si>
    <t>M365.1</t>
  </si>
  <si>
    <t>rs768523781</t>
  </si>
  <si>
    <t>M365.3; M365; M365.2; M365.4</t>
  </si>
  <si>
    <t>FGC6031</t>
  </si>
  <si>
    <t>FGC6051</t>
  </si>
  <si>
    <t>FGC6103</t>
  </si>
  <si>
    <t>FGC6167</t>
  </si>
  <si>
    <t>CTS1958</t>
  </si>
  <si>
    <t>Z2391</t>
  </si>
  <si>
    <t>rs372914714</t>
  </si>
  <si>
    <t>CTS11731</t>
  </si>
  <si>
    <t>PF4864; Z2217</t>
  </si>
  <si>
    <t>rs373134428</t>
  </si>
  <si>
    <t>PF4864</t>
  </si>
  <si>
    <t>CTS11731; Z2217</t>
  </si>
  <si>
    <t>Z2217</t>
  </si>
  <si>
    <t>CTS11731; PF4864</t>
  </si>
  <si>
    <t>AM01306</t>
  </si>
  <si>
    <t>CTS1797; PF4689; Z2356</t>
  </si>
  <si>
    <t>rs377254128</t>
  </si>
  <si>
    <t>CTS1797</t>
  </si>
  <si>
    <t>AM01306; PF4689; Z2356</t>
  </si>
  <si>
    <t>PF4689</t>
  </si>
  <si>
    <t>AM01306; CTS1797; Z2356</t>
  </si>
  <si>
    <t>Z2356</t>
  </si>
  <si>
    <t>AM01306; CTS1797; PF4689</t>
  </si>
  <si>
    <t>AM01307</t>
  </si>
  <si>
    <t>PF4693; Z2357; YSC0000168</t>
  </si>
  <si>
    <t>rs371340532</t>
  </si>
  <si>
    <t>PF4693</t>
  </si>
  <si>
    <t>AM01307; Z2357; YSC0000168</t>
  </si>
  <si>
    <t>Z2357</t>
  </si>
  <si>
    <t>AM01307; PF4693; YSC0000168</t>
  </si>
  <si>
    <t>YSC0000168</t>
  </si>
  <si>
    <t>AM01307; PF4693; Z2357</t>
  </si>
  <si>
    <t>AM01309</t>
  </si>
  <si>
    <t>PF4809; YSC0000171</t>
  </si>
  <si>
    <t>rs370724536</t>
  </si>
  <si>
    <t>PF4809</t>
  </si>
  <si>
    <t>AM01309; YSC0000171</t>
  </si>
  <si>
    <t>YSC0000171</t>
  </si>
  <si>
    <t>AM01309; PF4809</t>
  </si>
  <si>
    <t>AM01310</t>
  </si>
  <si>
    <t>PF4708; YSC0000173; Z2359</t>
  </si>
  <si>
    <t>rs370913515</t>
  </si>
  <si>
    <t>PF4708</t>
  </si>
  <si>
    <t>AM01310; YSC0000173; Z2359</t>
  </si>
  <si>
    <t>YSC0000173</t>
  </si>
  <si>
    <t>AM01310; PF4708; Z2359</t>
  </si>
  <si>
    <t>Z2359</t>
  </si>
  <si>
    <t>AM01310; PF4708; YSC0000173</t>
  </si>
  <si>
    <t>AM01316</t>
  </si>
  <si>
    <t>PF4720; S5004; YSC0000184; Z2361</t>
  </si>
  <si>
    <t>rs369695993</t>
  </si>
  <si>
    <t>PF4720</t>
  </si>
  <si>
    <t>AM01316; S5004; YSC0000184; Z2361</t>
  </si>
  <si>
    <t>S5004</t>
  </si>
  <si>
    <t>AM01316; PF4720; YSC0000184; Z2361</t>
  </si>
  <si>
    <t>YSC0000184</t>
  </si>
  <si>
    <t>AM01316; PF4720; S5004; Z2361</t>
  </si>
  <si>
    <t>Z2361</t>
  </si>
  <si>
    <t>AM01316; PF4720; S5004; YSC0000184</t>
  </si>
  <si>
    <t>AM01322</t>
  </si>
  <si>
    <t>CTS6954; PF4734; Z1868</t>
  </si>
  <si>
    <t>rs373776955</t>
  </si>
  <si>
    <t>CTS6954</t>
  </si>
  <si>
    <t>AM01322; PF4734; Z1868</t>
  </si>
  <si>
    <t>PF4734</t>
  </si>
  <si>
    <t>AM01322; CTS6954; Z1868</t>
  </si>
  <si>
    <t>Z1868</t>
  </si>
  <si>
    <t>AM01322; CTS6954; PF4734</t>
  </si>
  <si>
    <t>AM01331</t>
  </si>
  <si>
    <t>CTS9275; PF4820; Z2368</t>
  </si>
  <si>
    <t>rs375737291</t>
  </si>
  <si>
    <t>CTS9275</t>
  </si>
  <si>
    <t>AM01331; PF4820; Z2368</t>
  </si>
  <si>
    <t>PF4820</t>
  </si>
  <si>
    <t>AM01331; CTS9275; Z2368</t>
  </si>
  <si>
    <t>Z2368</t>
  </si>
  <si>
    <t>AM01331; CTS9275; PF4820</t>
  </si>
  <si>
    <t>AM01334</t>
  </si>
  <si>
    <t>CTS9728; Z2371</t>
  </si>
  <si>
    <t>rs376919046</t>
  </si>
  <si>
    <t>CTS9728</t>
  </si>
  <si>
    <t>AM01334; Z2371</t>
  </si>
  <si>
    <t>Z2371</t>
  </si>
  <si>
    <t>AM01334; CTS9728</t>
  </si>
  <si>
    <t>AM01336</t>
  </si>
  <si>
    <t>PF4758; Z2373</t>
  </si>
  <si>
    <t>rs370169807</t>
  </si>
  <si>
    <t>PF4758</t>
  </si>
  <si>
    <t>AM01336; Z2373</t>
  </si>
  <si>
    <t>Z2373</t>
  </si>
  <si>
    <t>AM01336; PF4758</t>
  </si>
  <si>
    <t>AM01338</t>
  </si>
  <si>
    <t>L825; PF4824; YSC0000214</t>
  </si>
  <si>
    <t>rs367560276</t>
  </si>
  <si>
    <t>L825</t>
  </si>
  <si>
    <t>AM01338; PF4824; YSC0000214</t>
  </si>
  <si>
    <t>PF4824</t>
  </si>
  <si>
    <t>AM01338; L825; YSC0000214</t>
  </si>
  <si>
    <t>YSC0000214</t>
  </si>
  <si>
    <t>AM01338; L825; PF4824</t>
  </si>
  <si>
    <t>AM01344</t>
  </si>
  <si>
    <t>PF4779; YSC0000229; Z2378</t>
  </si>
  <si>
    <t>rs375761603</t>
  </si>
  <si>
    <t>PF4779</t>
  </si>
  <si>
    <t>AM01344; YSC0000229; Z2378</t>
  </si>
  <si>
    <t>YSC0000229</t>
  </si>
  <si>
    <t>AM01344; PF4779; Z2378</t>
  </si>
  <si>
    <t>Z2378</t>
  </si>
  <si>
    <t>AM01344; PF4779; YSC0000229</t>
  </si>
  <si>
    <t>AM01345</t>
  </si>
  <si>
    <t>FGC1634; S24620; Y2358</t>
  </si>
  <si>
    <t>rs374013133</t>
  </si>
  <si>
    <t>FGC1634</t>
  </si>
  <si>
    <t>AM01345; S24620; Y2358</t>
  </si>
  <si>
    <t>S24620</t>
  </si>
  <si>
    <t>AM01345; FGC1634; Y2358</t>
  </si>
  <si>
    <t>Y2358</t>
  </si>
  <si>
    <t>AM01345; FGC1634; S24620</t>
  </si>
  <si>
    <t>AM01346</t>
  </si>
  <si>
    <t>CTS10947; PF4829</t>
  </si>
  <si>
    <t>rs370149949</t>
  </si>
  <si>
    <t>CTS10947</t>
  </si>
  <si>
    <t>AM01346; PF4829</t>
  </si>
  <si>
    <t>PF4829</t>
  </si>
  <si>
    <t>AM01346; CTS10947</t>
  </si>
  <si>
    <t>CTS10230</t>
  </si>
  <si>
    <t>PF4823; Z2372</t>
  </si>
  <si>
    <t>rs752135242</t>
  </si>
  <si>
    <t>PF4823</t>
  </si>
  <si>
    <t>CTS10230; Z2372</t>
  </si>
  <si>
    <t>Z2372</t>
  </si>
  <si>
    <t>CTS10230; PF4823</t>
  </si>
  <si>
    <t>CTS10563</t>
  </si>
  <si>
    <t>PF4756; Z1872</t>
  </si>
  <si>
    <t>rs370051126</t>
  </si>
  <si>
    <t>PF4756</t>
  </si>
  <si>
    <t>CTS10563; Z1872</t>
  </si>
  <si>
    <t>Z1872</t>
  </si>
  <si>
    <t>CTS10563; PF4756</t>
  </si>
  <si>
    <t>FGC1642</t>
  </si>
  <si>
    <t>Z2353</t>
  </si>
  <si>
    <t>rs369454008</t>
  </si>
  <si>
    <t>FGC1643</t>
  </si>
  <si>
    <t>Y2291</t>
  </si>
  <si>
    <t>FGC1649</t>
  </si>
  <si>
    <t>S4953; Y2337</t>
  </si>
  <si>
    <t>rs781497050</t>
  </si>
  <si>
    <t>S4953</t>
  </si>
  <si>
    <t>FGC1649; Y2337</t>
  </si>
  <si>
    <t>Y2337</t>
  </si>
  <si>
    <t>FGC1649; S4953</t>
  </si>
  <si>
    <t>L826</t>
  </si>
  <si>
    <t>YSC0000073</t>
  </si>
  <si>
    <t>rs762146436</t>
  </si>
  <si>
    <t>M8990</t>
  </si>
  <si>
    <t>S3846</t>
  </si>
  <si>
    <t>rs76080664</t>
  </si>
  <si>
    <t>PF4657</t>
  </si>
  <si>
    <t>Z2345</t>
  </si>
  <si>
    <t>rs367595946</t>
  </si>
  <si>
    <t>PF4670</t>
  </si>
  <si>
    <t>rs372410846</t>
  </si>
  <si>
    <t>PF4805</t>
  </si>
  <si>
    <t>Z2358</t>
  </si>
  <si>
    <t>rs369238460</t>
  </si>
  <si>
    <t>Y2271</t>
  </si>
  <si>
    <t>rs770277794</t>
  </si>
  <si>
    <t>AM01311</t>
  </si>
  <si>
    <t>PF4714; Z2360</t>
  </si>
  <si>
    <t>rs372311331</t>
  </si>
  <si>
    <t>PF4714</t>
  </si>
  <si>
    <t>AM01311; Z2360</t>
  </si>
  <si>
    <t>Z2360</t>
  </si>
  <si>
    <t>AM01311; PF4714</t>
  </si>
  <si>
    <t>AM01312</t>
  </si>
  <si>
    <t>CTS4376; Z1861</t>
  </si>
  <si>
    <t>rs368993901</t>
  </si>
  <si>
    <t>CTS4376</t>
  </si>
  <si>
    <t>AM01312; Z1861</t>
  </si>
  <si>
    <t>Z1861</t>
  </si>
  <si>
    <t>AM01312; CTS4376</t>
  </si>
  <si>
    <t>AM01324</t>
  </si>
  <si>
    <t>CTS7260; PF4739</t>
  </si>
  <si>
    <t>rs370594285</t>
  </si>
  <si>
    <t>CTS7260</t>
  </si>
  <si>
    <t>AM01324; PF4739</t>
  </si>
  <si>
    <t>PF4739</t>
  </si>
  <si>
    <t>AM01324; CTS7260</t>
  </si>
  <si>
    <t>AM01325</t>
  </si>
  <si>
    <t>PF4816; YSC0000196</t>
  </si>
  <si>
    <t>rs368129749</t>
  </si>
  <si>
    <t>PF4816</t>
  </si>
  <si>
    <t>AM01325; YSC0000196</t>
  </si>
  <si>
    <t>YSC0000196</t>
  </si>
  <si>
    <t>AM01325; PF4816</t>
  </si>
  <si>
    <t>PF4831</t>
  </si>
  <si>
    <t>Z2379</t>
  </si>
  <si>
    <t>rs368196038</t>
  </si>
  <si>
    <t>FGC14316</t>
  </si>
  <si>
    <t>L136; L572</t>
  </si>
  <si>
    <t>T-&gt;del</t>
  </si>
  <si>
    <t>7570823..7570827</t>
  </si>
  <si>
    <t>L136</t>
  </si>
  <si>
    <t>FGC14316; L572</t>
  </si>
  <si>
    <t>L572</t>
  </si>
  <si>
    <t>FGC14316; L136</t>
  </si>
  <si>
    <t>AM01320</t>
  </si>
  <si>
    <t>PF4813; S4981; YSC0000189; Z2363</t>
  </si>
  <si>
    <t>rs370846392</t>
  </si>
  <si>
    <t>PF4813</t>
  </si>
  <si>
    <t>AM01320; S4981; YSC0000189; Z2363</t>
  </si>
  <si>
    <t>S4981</t>
  </si>
  <si>
    <t>AM01320; PF4813; YSC0000189; Z2363</t>
  </si>
  <si>
    <t>YSC0000189</t>
  </si>
  <si>
    <t>AM01320; PF4813; S4981; Z2363</t>
  </si>
  <si>
    <t>Z2363</t>
  </si>
  <si>
    <t>AM01320; PF4813; S4981; YSC0000189</t>
  </si>
  <si>
    <t>AM01328</t>
  </si>
  <si>
    <t>CTS8844; PF4819</t>
  </si>
  <si>
    <t>rs373943896</t>
  </si>
  <si>
    <t>CTS8844</t>
  </si>
  <si>
    <t>AM01328; PF4819</t>
  </si>
  <si>
    <t>PF4819</t>
  </si>
  <si>
    <t>AM01328; CTS8844</t>
  </si>
  <si>
    <t>AM01332</t>
  </si>
  <si>
    <t>PF4821; Z2369</t>
  </si>
  <si>
    <t>rs377641611</t>
  </si>
  <si>
    <t>PF4821</t>
  </si>
  <si>
    <t>AM01332; Z2369</t>
  </si>
  <si>
    <t>Z2369</t>
  </si>
  <si>
    <t>AM01332; PF4821</t>
  </si>
  <si>
    <t>AM01340</t>
  </si>
  <si>
    <t>FGC7627; Z2374</t>
  </si>
  <si>
    <t>rs367876492</t>
  </si>
  <si>
    <t>FGC7627</t>
  </si>
  <si>
    <t>AM01340; Z2374</t>
  </si>
  <si>
    <t>Z2374</t>
  </si>
  <si>
    <t>AM01340; FGC7627</t>
  </si>
  <si>
    <t>AM01341</t>
  </si>
  <si>
    <t>PF4767; Z1876</t>
  </si>
  <si>
    <t>rs374802928</t>
  </si>
  <si>
    <t>PF4767</t>
  </si>
  <si>
    <t>AM01341; Z1876</t>
  </si>
  <si>
    <t>Z1876</t>
  </si>
  <si>
    <t>AM01341; PF4767</t>
  </si>
  <si>
    <t>AM01353</t>
  </si>
  <si>
    <t>CTS712; PF4797</t>
  </si>
  <si>
    <t>rs371108021</t>
  </si>
  <si>
    <t>PF4798</t>
  </si>
  <si>
    <t>CTS712</t>
  </si>
  <si>
    <t>AM01353; PF4797</t>
  </si>
  <si>
    <t>PF4797</t>
  </si>
  <si>
    <t>AM01353; CTS712</t>
  </si>
  <si>
    <t>AM01308</t>
  </si>
  <si>
    <t>CTS3101</t>
  </si>
  <si>
    <t>rs369731561</t>
  </si>
  <si>
    <t>AM01314</t>
  </si>
  <si>
    <t>CTS4798; PF4810; Z1862</t>
  </si>
  <si>
    <t>rs368286149</t>
  </si>
  <si>
    <t>CTS4798</t>
  </si>
  <si>
    <t>AM01314; PF4810; Z1862</t>
  </si>
  <si>
    <t>PF4810</t>
  </si>
  <si>
    <t>AM01314; CTS4798; Z1862</t>
  </si>
  <si>
    <t>Z1862</t>
  </si>
  <si>
    <t>AM01314; CTS4798; PF4810</t>
  </si>
  <si>
    <t>AM01318</t>
  </si>
  <si>
    <t>CTS5559; PF4730; Z1866</t>
  </si>
  <si>
    <t>rs377048218</t>
  </si>
  <si>
    <t>CTS5559</t>
  </si>
  <si>
    <t>AM01318; PF4730; Z1866</t>
  </si>
  <si>
    <t>PF4730</t>
  </si>
  <si>
    <t>AM01318; CTS5559; Z1866</t>
  </si>
  <si>
    <t>Z1866</t>
  </si>
  <si>
    <t>AM01318; CTS5559; PF4730</t>
  </si>
  <si>
    <t>AM01326</t>
  </si>
  <si>
    <t>CTS7997; PF4745; Z2366</t>
  </si>
  <si>
    <t>rs368122234</t>
  </si>
  <si>
    <t>CTS7997</t>
  </si>
  <si>
    <t>AM01326; PF4745; Z2366</t>
  </si>
  <si>
    <t>PF4745</t>
  </si>
  <si>
    <t>AM01326; CTS7997; Z2366</t>
  </si>
  <si>
    <t>Z2366</t>
  </si>
  <si>
    <t>AM01326; CTS7997; PF4745</t>
  </si>
  <si>
    <t>AM01335</t>
  </si>
  <si>
    <t>CTS9759; PF4822; Z1870</t>
  </si>
  <si>
    <t>rs375602157</t>
  </si>
  <si>
    <t>CTS9759</t>
  </si>
  <si>
    <t>AM01335; PF4822; Z1870</t>
  </si>
  <si>
    <t>PF4822</t>
  </si>
  <si>
    <t>AM01335; CTS9759; Z1870</t>
  </si>
  <si>
    <t>Z1870</t>
  </si>
  <si>
    <t>AM01335; CTS9759; PF4822</t>
  </si>
  <si>
    <t>PF4652</t>
  </si>
  <si>
    <t>rs367614778</t>
  </si>
  <si>
    <t>PF4685</t>
  </si>
  <si>
    <t>Z2354</t>
  </si>
  <si>
    <t>rs373155395</t>
  </si>
  <si>
    <t>PF4801</t>
  </si>
  <si>
    <t>rs376212750</t>
  </si>
  <si>
    <t>PF7264</t>
  </si>
  <si>
    <t>rs962853538</t>
  </si>
  <si>
    <t>ZS4393</t>
  </si>
  <si>
    <t>L276.3</t>
  </si>
  <si>
    <t>rs367566516</t>
  </si>
  <si>
    <t>L1064</t>
  </si>
  <si>
    <t>ZS11104A</t>
  </si>
  <si>
    <t>rs372107679</t>
  </si>
  <si>
    <t>Y20336</t>
  </si>
  <si>
    <t>Y20338</t>
  </si>
  <si>
    <t>Y20543</t>
  </si>
  <si>
    <t>Y20544</t>
  </si>
  <si>
    <t>Y20545</t>
  </si>
  <si>
    <t>rs1367776628</t>
  </si>
  <si>
    <t>Y20546</t>
  </si>
  <si>
    <t>Y31517</t>
  </si>
  <si>
    <t>Z39572</t>
  </si>
  <si>
    <t>rs76591356</t>
  </si>
  <si>
    <t>ZS9831</t>
  </si>
  <si>
    <t>ZS9832</t>
  </si>
  <si>
    <t>rs756619773</t>
  </si>
  <si>
    <t>ZS9833</t>
  </si>
  <si>
    <t>rs1212032889</t>
  </si>
  <si>
    <t>ZS9834</t>
  </si>
  <si>
    <t>rs1370381050</t>
  </si>
  <si>
    <t>ZS9835</t>
  </si>
  <si>
    <t>ZS9836</t>
  </si>
  <si>
    <t>rs1172228386</t>
  </si>
  <si>
    <t>ZS9837</t>
  </si>
  <si>
    <t>ZS9838</t>
  </si>
  <si>
    <t>rs772806846</t>
  </si>
  <si>
    <t>ZS9840</t>
  </si>
  <si>
    <t>rs1303481378</t>
  </si>
  <si>
    <t>ZS9841</t>
  </si>
  <si>
    <t>ZS9842</t>
  </si>
  <si>
    <t>ZS9847</t>
  </si>
  <si>
    <t>ZS9851</t>
  </si>
  <si>
    <t>rs774932984</t>
  </si>
  <si>
    <t>ZS9852</t>
  </si>
  <si>
    <t>rs1260993848</t>
  </si>
  <si>
    <t>ZS9853</t>
  </si>
  <si>
    <t>ZS9855</t>
  </si>
  <si>
    <t>rs1486924995</t>
  </si>
  <si>
    <t>ZS9856</t>
  </si>
  <si>
    <t>ZS9857</t>
  </si>
  <si>
    <t>ZS9858</t>
  </si>
  <si>
    <t>ZS9859</t>
  </si>
  <si>
    <t>ZS9860</t>
  </si>
  <si>
    <t>rs1307867252</t>
  </si>
  <si>
    <t>ZS9861</t>
  </si>
  <si>
    <t>ZS9862</t>
  </si>
  <si>
    <t>rs1387372673</t>
  </si>
  <si>
    <t>ZS9863</t>
  </si>
  <si>
    <t>rs1217681660</t>
  </si>
  <si>
    <t>ZS9864</t>
  </si>
  <si>
    <t>ZS9865</t>
  </si>
  <si>
    <t>rs1395302455</t>
  </si>
  <si>
    <t>ZS9866</t>
  </si>
  <si>
    <t>ZS9868</t>
  </si>
  <si>
    <t>rs1440316116</t>
  </si>
  <si>
    <t>ZS9869</t>
  </si>
  <si>
    <t>rs1424673262</t>
  </si>
  <si>
    <t>ZS9870</t>
  </si>
  <si>
    <t>ZS9871</t>
  </si>
  <si>
    <t>ZS9872</t>
  </si>
  <si>
    <t>rs1203329464</t>
  </si>
  <si>
    <t>ZS9873</t>
  </si>
  <si>
    <t>ZS9874</t>
  </si>
  <si>
    <t>ZS9875</t>
  </si>
  <si>
    <t>ZS9876</t>
  </si>
  <si>
    <t>ZS9877</t>
  </si>
  <si>
    <t>ZS9878</t>
  </si>
  <si>
    <t>ZS9879</t>
  </si>
  <si>
    <t>ZS9880</t>
  </si>
  <si>
    <t>ZS9881</t>
  </si>
  <si>
    <t>ZS9882</t>
  </si>
  <si>
    <t>ZS9884</t>
  </si>
  <si>
    <t>ZS9892.2</t>
  </si>
  <si>
    <t>ZS9893</t>
  </si>
  <si>
    <t>ZS9894</t>
  </si>
  <si>
    <t>rs1171558369</t>
  </si>
  <si>
    <t>ZS9895</t>
  </si>
  <si>
    <t>ZS9896</t>
  </si>
  <si>
    <t>ZS9897</t>
  </si>
  <si>
    <t>ZS9898</t>
  </si>
  <si>
    <t>ZS9899</t>
  </si>
  <si>
    <t>ZS9900</t>
  </si>
  <si>
    <t>ZS9901</t>
  </si>
  <si>
    <t>ZS9902</t>
  </si>
  <si>
    <t>rs758058189</t>
  </si>
  <si>
    <t>ZS9973</t>
  </si>
  <si>
    <t>Y20337</t>
  </si>
  <si>
    <t>ZS4476</t>
  </si>
  <si>
    <t>rs777763848</t>
  </si>
  <si>
    <t>ZS9828</t>
  </si>
  <si>
    <t>ZS9829</t>
  </si>
  <si>
    <t>ZS9830</t>
  </si>
  <si>
    <t>ZS9839</t>
  </si>
  <si>
    <t>ZS9854</t>
  </si>
  <si>
    <t>ZS9867</t>
  </si>
  <si>
    <t>ZS9883</t>
  </si>
  <si>
    <t>ZS9974</t>
  </si>
  <si>
    <t>FGC20566</t>
  </si>
  <si>
    <t>ZS4416</t>
  </si>
  <si>
    <t>rs1009760198</t>
  </si>
  <si>
    <t>FGC60330</t>
  </si>
  <si>
    <t>Y27555</t>
  </si>
  <si>
    <t>PF7263</t>
  </si>
  <si>
    <t>rs947634939</t>
  </si>
  <si>
    <t>Z28137</t>
  </si>
  <si>
    <t>rs998949743</t>
  </si>
  <si>
    <t>Z28141</t>
  </si>
  <si>
    <t>rs927814556</t>
  </si>
  <si>
    <t>ZS4376</t>
  </si>
  <si>
    <t>rs199659121</t>
  </si>
  <si>
    <t>ZS4378</t>
  </si>
  <si>
    <t>rs901038093</t>
  </si>
  <si>
    <t>ZS4379</t>
  </si>
  <si>
    <t>ZS4380</t>
  </si>
  <si>
    <t>ZS4381</t>
  </si>
  <si>
    <t>ZS4402</t>
  </si>
  <si>
    <t>ZS4403</t>
  </si>
  <si>
    <t>ZS4404</t>
  </si>
  <si>
    <t>ZS4407</t>
  </si>
  <si>
    <t>rs953596874</t>
  </si>
  <si>
    <t>ZS4409</t>
  </si>
  <si>
    <t>rs938339024</t>
  </si>
  <si>
    <t>ZS4405</t>
  </si>
  <si>
    <t>rs964327971</t>
  </si>
  <si>
    <t>ZS4406</t>
  </si>
  <si>
    <t>rs899520603</t>
  </si>
  <si>
    <t>ZS4408</t>
  </si>
  <si>
    <t>rs1055914070</t>
  </si>
  <si>
    <t>ZS4410</t>
  </si>
  <si>
    <t>rs1042741908</t>
  </si>
  <si>
    <t>ZS4412</t>
  </si>
  <si>
    <t>rs1018837289</t>
  </si>
  <si>
    <t>ZS4413</t>
  </si>
  <si>
    <t>ZS4414</t>
  </si>
  <si>
    <t>rs910932818</t>
  </si>
  <si>
    <t>ZS4415</t>
  </si>
  <si>
    <t>rs1012350234</t>
  </si>
  <si>
    <t>ZS4417</t>
  </si>
  <si>
    <t>rs889399352</t>
  </si>
  <si>
    <t>ZS4418</t>
  </si>
  <si>
    <t>rs992735660</t>
  </si>
  <si>
    <t>ZS4419</t>
  </si>
  <si>
    <t>rs924452012</t>
  </si>
  <si>
    <t>ZS4422</t>
  </si>
  <si>
    <t>rs956433212</t>
  </si>
  <si>
    <t>ZS4424</t>
  </si>
  <si>
    <t>rs956876789</t>
  </si>
  <si>
    <t>ZS4425</t>
  </si>
  <si>
    <t>rs1012575421</t>
  </si>
  <si>
    <t>ZS4428</t>
  </si>
  <si>
    <t>rs1009111889</t>
  </si>
  <si>
    <t>ZS4429</t>
  </si>
  <si>
    <t>rs942709650</t>
  </si>
  <si>
    <t>ZS4431</t>
  </si>
  <si>
    <t>ZS4442</t>
  </si>
  <si>
    <t>rs948252497</t>
  </si>
  <si>
    <t>ZS4445</t>
  </si>
  <si>
    <t>rs958609210</t>
  </si>
  <si>
    <t>ZS7736</t>
  </si>
  <si>
    <t>rs1039782611</t>
  </si>
  <si>
    <t>ZS7743</t>
  </si>
  <si>
    <t>ZS7752</t>
  </si>
  <si>
    <t>ZS7754</t>
  </si>
  <si>
    <t>rs971460319</t>
  </si>
  <si>
    <t>ZS7760</t>
  </si>
  <si>
    <t>rs966553302</t>
  </si>
  <si>
    <t>ZS7766</t>
  </si>
  <si>
    <t>rs910540432</t>
  </si>
  <si>
    <t>ZS12128</t>
  </si>
  <si>
    <t>P58</t>
  </si>
  <si>
    <t>Page8; PF4698</t>
  </si>
  <si>
    <t>rs34043621</t>
  </si>
  <si>
    <t>Page8</t>
  </si>
  <si>
    <t>P58; PF4698</t>
  </si>
  <si>
    <t>PF4698</t>
  </si>
  <si>
    <t>P58; Page8</t>
  </si>
  <si>
    <t>AM01305</t>
  </si>
  <si>
    <t>PF4839; YSC0000164</t>
  </si>
  <si>
    <t>rs377758757</t>
  </si>
  <si>
    <t>PF4839</t>
  </si>
  <si>
    <t>AM01305; YSC0000164</t>
  </si>
  <si>
    <t>YSC0000164</t>
  </si>
  <si>
    <t>AM01305; PF4839</t>
  </si>
  <si>
    <t>AM01313</t>
  </si>
  <si>
    <t>PF4840; YSC0000181</t>
  </si>
  <si>
    <t>rs372992029</t>
  </si>
  <si>
    <t>PF4840</t>
  </si>
  <si>
    <t>AM01313; YSC0000181</t>
  </si>
  <si>
    <t>YSC0000181</t>
  </si>
  <si>
    <t>AM01313; PF4840</t>
  </si>
  <si>
    <t>AM01315</t>
  </si>
  <si>
    <t>CTS4823; PF4841</t>
  </si>
  <si>
    <t>rs375667352</t>
  </si>
  <si>
    <t>CTS4823</t>
  </si>
  <si>
    <t>AM01315; PF4841</t>
  </si>
  <si>
    <t>PF4841</t>
  </si>
  <si>
    <t>AM01315; CTS4823</t>
  </si>
  <si>
    <t>AM01319</t>
  </si>
  <si>
    <t>PF4812; YSC0000188; Z2362</t>
  </si>
  <si>
    <t>rs377733362</t>
  </si>
  <si>
    <t>PF4812</t>
  </si>
  <si>
    <t>AM01319; YSC0000188; Z2362</t>
  </si>
  <si>
    <t>YSC0000188</t>
  </si>
  <si>
    <t>AM01319; PF4812; Z2362</t>
  </si>
  <si>
    <t>Z2362</t>
  </si>
  <si>
    <t>AM01319; PF4812; YSC0000188</t>
  </si>
  <si>
    <t>AM01321</t>
  </si>
  <si>
    <t>CTS6704; M8145</t>
  </si>
  <si>
    <t>rs371313562</t>
  </si>
  <si>
    <t>CTS6704</t>
  </si>
  <si>
    <t>AM01321; M8145</t>
  </si>
  <si>
    <t>M8145</t>
  </si>
  <si>
    <t>AM01321; CTS6704</t>
  </si>
  <si>
    <t>AM01323</t>
  </si>
  <si>
    <t>CTS7168; PF4814</t>
  </si>
  <si>
    <t>rs372311641</t>
  </si>
  <si>
    <t>CTS7168</t>
  </si>
  <si>
    <t>AM01323; PF4814</t>
  </si>
  <si>
    <t>PF4814</t>
  </si>
  <si>
    <t>AM01323; CTS7168</t>
  </si>
  <si>
    <t>AM01327</t>
  </si>
  <si>
    <t>CTS8437; PF4818</t>
  </si>
  <si>
    <t>rs369258302</t>
  </si>
  <si>
    <t>CTS8437</t>
  </si>
  <si>
    <t>AM01327; PF4818</t>
  </si>
  <si>
    <t>PF4818</t>
  </si>
  <si>
    <t>AM01327; CTS8437</t>
  </si>
  <si>
    <t>AM01329</t>
  </si>
  <si>
    <t>CTS9070; PF4752; Z2367</t>
  </si>
  <si>
    <t>rs375658890</t>
  </si>
  <si>
    <t>CTS9070</t>
  </si>
  <si>
    <t>AM01329; PF4752; Z2367</t>
  </si>
  <si>
    <t>PF4752</t>
  </si>
  <si>
    <t>AM01329; CTS9070; Z2367</t>
  </si>
  <si>
    <t>Z2367</t>
  </si>
  <si>
    <t>AM01329; CTS9070; PF4752</t>
  </si>
  <si>
    <t>AM01330</t>
  </si>
  <si>
    <t>CTS9154</t>
  </si>
  <si>
    <t>rs371507743</t>
  </si>
  <si>
    <t>AM01333</t>
  </si>
  <si>
    <t>CTS9721; PF4842</t>
  </si>
  <si>
    <t>rs369296457</t>
  </si>
  <si>
    <t>CTS9721</t>
  </si>
  <si>
    <t>AM01333; PF4842</t>
  </si>
  <si>
    <t>PF4842</t>
  </si>
  <si>
    <t>AM01333; CTS9721</t>
  </si>
  <si>
    <t>AM01337</t>
  </si>
  <si>
    <t>PF4844</t>
  </si>
  <si>
    <t>rs369290323</t>
  </si>
  <si>
    <t>AM01339</t>
  </si>
  <si>
    <t>PF4826; Z1874</t>
  </si>
  <si>
    <t>rs371185957</t>
  </si>
  <si>
    <t>PF4826</t>
  </si>
  <si>
    <t>AM01339; Z1874</t>
  </si>
  <si>
    <t>Z1874</t>
  </si>
  <si>
    <t>AM01339; PF4826</t>
  </si>
  <si>
    <t>AM01343</t>
  </si>
  <si>
    <t>FGC1650; Z2375</t>
  </si>
  <si>
    <t>rs368213501</t>
  </si>
  <si>
    <t>FGC1650</t>
  </si>
  <si>
    <t>AM01343; Z2375</t>
  </si>
  <si>
    <t>Z2375</t>
  </si>
  <si>
    <t>AM01343; FGC1650</t>
  </si>
  <si>
    <t>AM01347</t>
  </si>
  <si>
    <t>CTS11501; PF4846</t>
  </si>
  <si>
    <t>rs373349315</t>
  </si>
  <si>
    <t>CTS11501</t>
  </si>
  <si>
    <t>AM01347; PF4846</t>
  </si>
  <si>
    <t>PF4846</t>
  </si>
  <si>
    <t>AM01347; CTS11501</t>
  </si>
  <si>
    <t>AM01348</t>
  </si>
  <si>
    <t>PF4830; S4931</t>
  </si>
  <si>
    <t>rs367820075</t>
  </si>
  <si>
    <t>PF4830</t>
  </si>
  <si>
    <t>AM01348; S4931</t>
  </si>
  <si>
    <t>S4931</t>
  </si>
  <si>
    <t>AM01348; PF4830</t>
  </si>
  <si>
    <t>AM01350</t>
  </si>
  <si>
    <t>CTS12961; Z2385</t>
  </si>
  <si>
    <t>rs369177603</t>
  </si>
  <si>
    <t>CTS12961</t>
  </si>
  <si>
    <t>AM01350; Z2385</t>
  </si>
  <si>
    <t>Z2385</t>
  </si>
  <si>
    <t>AM01350; CTS12961</t>
  </si>
  <si>
    <t>AM01351</t>
  </si>
  <si>
    <t>PF4796; YSC0000062</t>
  </si>
  <si>
    <t>rs370318904</t>
  </si>
  <si>
    <t>PF4796</t>
  </si>
  <si>
    <t>AM01351; YSC0000062</t>
  </si>
  <si>
    <t>YSC0000062</t>
  </si>
  <si>
    <t>AM01351; PF4796</t>
  </si>
  <si>
    <t>FGC1631</t>
  </si>
  <si>
    <t>S20940; Y2339</t>
  </si>
  <si>
    <t>rs373057668</t>
  </si>
  <si>
    <t>S20940</t>
  </si>
  <si>
    <t>FGC1631; Y2339</t>
  </si>
  <si>
    <t>Y2339</t>
  </si>
  <si>
    <t>FGC1631; S20940</t>
  </si>
  <si>
    <t>PF4654</t>
  </si>
  <si>
    <t>rs369245635</t>
  </si>
  <si>
    <t>PF4663</t>
  </si>
  <si>
    <t>Z2346</t>
  </si>
  <si>
    <t>rs375628497</t>
  </si>
  <si>
    <t>PF4763</t>
  </si>
  <si>
    <t>Z1873</t>
  </si>
  <si>
    <t>rs374473848</t>
  </si>
  <si>
    <t>PF4800</t>
  </si>
  <si>
    <t>Z2347</t>
  </si>
  <si>
    <t>rs376377354</t>
  </si>
  <si>
    <t>PF4815</t>
  </si>
  <si>
    <t>Z2365</t>
  </si>
  <si>
    <t>rs374174920</t>
  </si>
  <si>
    <t>PF4833</t>
  </si>
  <si>
    <t>Z2382</t>
  </si>
  <si>
    <t>rs373808607</t>
  </si>
  <si>
    <t>PF4835</t>
  </si>
  <si>
    <t>rs377608980</t>
  </si>
  <si>
    <t>Y2336</t>
  </si>
  <si>
    <t>rs867337306</t>
  </si>
  <si>
    <t>rs867841930</t>
  </si>
  <si>
    <t>L147.1^^</t>
  </si>
  <si>
    <t>PF4883.1^^</t>
  </si>
  <si>
    <t>rs72617687</t>
  </si>
  <si>
    <t>L147.4; L147.5; PF4883; L147; L147.3; L147.2</t>
  </si>
  <si>
    <t>rs28726135</t>
  </si>
  <si>
    <t>S4924</t>
  </si>
  <si>
    <t>rs778046445</t>
  </si>
  <si>
    <t>S4927</t>
  </si>
  <si>
    <t>rs779961925</t>
  </si>
  <si>
    <t>Y4067</t>
  </si>
  <si>
    <t>Z18323</t>
  </si>
  <si>
    <t>rs749915476</t>
  </si>
  <si>
    <t>rs751156509</t>
  </si>
  <si>
    <t>Y4079</t>
  </si>
  <si>
    <t>Z18314</t>
  </si>
  <si>
    <t>rs909539394</t>
  </si>
  <si>
    <t>Y4080</t>
  </si>
  <si>
    <t>Z18311</t>
  </si>
  <si>
    <t>rs748318835</t>
  </si>
  <si>
    <t>Y4082</t>
  </si>
  <si>
    <t>Z18315</t>
  </si>
  <si>
    <t>rs968913402</t>
  </si>
  <si>
    <t>Y4083</t>
  </si>
  <si>
    <t>Z18319</t>
  </si>
  <si>
    <t>rs779331614</t>
  </si>
  <si>
    <t>Y4098</t>
  </si>
  <si>
    <t>Z18339</t>
  </si>
  <si>
    <t>Y27528</t>
  </si>
  <si>
    <t>rs776980493</t>
  </si>
  <si>
    <t>Z5011</t>
  </si>
  <si>
    <t>rs759938361</t>
  </si>
  <si>
    <t>Z18345</t>
  </si>
  <si>
    <t>J-&gt;A</t>
  </si>
  <si>
    <t>ZS2706</t>
  </si>
  <si>
    <t>rs1014222913</t>
  </si>
  <si>
    <t>ZS2707</t>
  </si>
  <si>
    <t>rs755658934</t>
  </si>
  <si>
    <t>ZS2720</t>
  </si>
  <si>
    <t>ZS2732</t>
  </si>
  <si>
    <t>rs199525748</t>
  </si>
  <si>
    <t>S4923</t>
  </si>
  <si>
    <t>rs780798443</t>
  </si>
  <si>
    <t>S4950</t>
  </si>
  <si>
    <t>rs752174099</t>
  </si>
  <si>
    <t>S5014</t>
  </si>
  <si>
    <t>rs980746326</t>
  </si>
  <si>
    <t>Y4065</t>
  </si>
  <si>
    <t>Z18317</t>
  </si>
  <si>
    <t>rs776377040</t>
  </si>
  <si>
    <t>Y4078</t>
  </si>
  <si>
    <t>Z18313</t>
  </si>
  <si>
    <t>rs1025083218</t>
  </si>
  <si>
    <t>Y4089</t>
  </si>
  <si>
    <t>Z18338</t>
  </si>
  <si>
    <t>rs932612843</t>
  </si>
  <si>
    <t>Y4096</t>
  </si>
  <si>
    <t>Z18336</t>
  </si>
  <si>
    <t>rs1031331188</t>
  </si>
  <si>
    <t>Z18346</t>
  </si>
  <si>
    <t>rs770625340</t>
  </si>
  <si>
    <t>Z18348</t>
  </si>
  <si>
    <t>rs763938986</t>
  </si>
  <si>
    <t>ZS2718</t>
  </si>
  <si>
    <t>rs776633465</t>
  </si>
  <si>
    <t>L818</t>
  </si>
  <si>
    <t>S4972</t>
  </si>
  <si>
    <t>rs776291331</t>
  </si>
  <si>
    <t>S4925</t>
  </si>
  <si>
    <t>rs757766067</t>
  </si>
  <si>
    <t>S4926</t>
  </si>
  <si>
    <t>rs757153488</t>
  </si>
  <si>
    <t>S4932</t>
  </si>
  <si>
    <t>rs767685921</t>
  </si>
  <si>
    <t>S4935</t>
  </si>
  <si>
    <t>rs757048466</t>
  </si>
  <si>
    <t>S4940</t>
  </si>
  <si>
    <t>rs765683961</t>
  </si>
  <si>
    <t>S4941</t>
  </si>
  <si>
    <t>rs761705925</t>
  </si>
  <si>
    <t>S4951</t>
  </si>
  <si>
    <t>S4956</t>
  </si>
  <si>
    <t>rs750320987</t>
  </si>
  <si>
    <t>S4960</t>
  </si>
  <si>
    <t>rs748001296</t>
  </si>
  <si>
    <t>S4966</t>
  </si>
  <si>
    <t>rs778853639</t>
  </si>
  <si>
    <t>S4985</t>
  </si>
  <si>
    <t>rs781450268</t>
  </si>
  <si>
    <t>S4998</t>
  </si>
  <si>
    <t>rs748454967</t>
  </si>
  <si>
    <t>Y4064</t>
  </si>
  <si>
    <t>Y4066</t>
  </si>
  <si>
    <t>Z18299</t>
  </si>
  <si>
    <t>rs770064487</t>
  </si>
  <si>
    <t>Y4068</t>
  </si>
  <si>
    <t>Z18304</t>
  </si>
  <si>
    <t>rs753184946</t>
  </si>
  <si>
    <t>Y4069</t>
  </si>
  <si>
    <t>Z18305</t>
  </si>
  <si>
    <t>rs768752555</t>
  </si>
  <si>
    <t>Y4070</t>
  </si>
  <si>
    <t>Z18306</t>
  </si>
  <si>
    <t>rs909039632</t>
  </si>
  <si>
    <t>Y4071</t>
  </si>
  <si>
    <t>Z18307</t>
  </si>
  <si>
    <t>rs996942473</t>
  </si>
  <si>
    <t>Y4073</t>
  </si>
  <si>
    <t>ZS2724</t>
  </si>
  <si>
    <t>rs988403429</t>
  </si>
  <si>
    <t>Y4074</t>
  </si>
  <si>
    <t>Z18309</t>
  </si>
  <si>
    <t>rs756101508</t>
  </si>
  <si>
    <t>Y4075</t>
  </si>
  <si>
    <t>ZS251</t>
  </si>
  <si>
    <t>rs745951004</t>
  </si>
  <si>
    <t>Y4076</t>
  </si>
  <si>
    <t>ZS262</t>
  </si>
  <si>
    <t>rs777702534</t>
  </si>
  <si>
    <t>Y4077</t>
  </si>
  <si>
    <t>ZS261</t>
  </si>
  <si>
    <t>rs747294408</t>
  </si>
  <si>
    <t>Y4084</t>
  </si>
  <si>
    <t>Z18320</t>
  </si>
  <si>
    <t>rs758190697</t>
  </si>
  <si>
    <t>Y4085</t>
  </si>
  <si>
    <t>Z18321</t>
  </si>
  <si>
    <t>rs747181163</t>
  </si>
  <si>
    <t>Y4086</t>
  </si>
  <si>
    <t>Z18322</t>
  </si>
  <si>
    <t>rs771402147</t>
  </si>
  <si>
    <t>Y4090</t>
  </si>
  <si>
    <t>Z18300</t>
  </si>
  <si>
    <t>rs775041251</t>
  </si>
  <si>
    <t>Y4091</t>
  </si>
  <si>
    <t>Z18301</t>
  </si>
  <si>
    <t>rs780752890</t>
  </si>
  <si>
    <t>Y4092</t>
  </si>
  <si>
    <t>Z18302</t>
  </si>
  <si>
    <t>rs764317424</t>
  </si>
  <si>
    <t>Y4093</t>
  </si>
  <si>
    <t>ZS259</t>
  </si>
  <si>
    <t>rs779309553</t>
  </si>
  <si>
    <t>Y4094</t>
  </si>
  <si>
    <t>ZS2751</t>
  </si>
  <si>
    <t>rs993424823</t>
  </si>
  <si>
    <t>Z18349</t>
  </si>
  <si>
    <t>rs752462809</t>
  </si>
  <si>
    <t>Z18351</t>
  </si>
  <si>
    <t>rs748723253</t>
  </si>
  <si>
    <t>Z18352</t>
  </si>
  <si>
    <t>rs774901045</t>
  </si>
  <si>
    <t>Z18353</t>
  </si>
  <si>
    <t>rs922643889</t>
  </si>
  <si>
    <t>Z18354</t>
  </si>
  <si>
    <t>rs776594190</t>
  </si>
  <si>
    <t>Z39518</t>
  </si>
  <si>
    <t>rs752811408</t>
  </si>
  <si>
    <t>ZS2723</t>
  </si>
  <si>
    <t>rs201301961</t>
  </si>
  <si>
    <t>S4944</t>
  </si>
  <si>
    <t>rs778837363</t>
  </si>
  <si>
    <t>Z30436</t>
  </si>
  <si>
    <t>rs938319137</t>
  </si>
  <si>
    <t>rs1008579632</t>
  </si>
  <si>
    <t>ZS12015</t>
  </si>
  <si>
    <t>ZS12018</t>
  </si>
  <si>
    <t>ZS12019</t>
  </si>
  <si>
    <t>BY80</t>
  </si>
  <si>
    <t>Z18356</t>
  </si>
  <si>
    <t>rs1008801128</t>
  </si>
  <si>
    <t>ZS2754</t>
  </si>
  <si>
    <t>rs907669604</t>
  </si>
  <si>
    <t>ZS2756</t>
  </si>
  <si>
    <t>rs977030844</t>
  </si>
  <si>
    <t>PF3202.2</t>
  </si>
  <si>
    <t>Y14784.2</t>
  </si>
  <si>
    <t>ZS5394.2</t>
  </si>
  <si>
    <t>Y28929</t>
  </si>
  <si>
    <t>ZS5379</t>
  </si>
  <si>
    <t>ZS5383</t>
  </si>
  <si>
    <t>ZS5385</t>
  </si>
  <si>
    <t>ZS5389</t>
  </si>
  <si>
    <t>ZS5391</t>
  </si>
  <si>
    <t>ZS5392</t>
  </si>
  <si>
    <t>ZS5398</t>
  </si>
  <si>
    <t>ZS5401</t>
  </si>
  <si>
    <t>ZS5404</t>
  </si>
  <si>
    <t>ZS5405</t>
  </si>
  <si>
    <t>ZS5408</t>
  </si>
  <si>
    <t>ZS5410</t>
  </si>
  <si>
    <t>rs749992534</t>
  </si>
  <si>
    <t>ZS5414</t>
  </si>
  <si>
    <t>ZS5415</t>
  </si>
  <si>
    <t>ZS5416</t>
  </si>
  <si>
    <t>rs928629612</t>
  </si>
  <si>
    <t>ZS5418</t>
  </si>
  <si>
    <t>ZS5419</t>
  </si>
  <si>
    <t>ZS5422</t>
  </si>
  <si>
    <t>ZS5429</t>
  </si>
  <si>
    <t>ZS5432</t>
  </si>
  <si>
    <t>ZS8624</t>
  </si>
  <si>
    <t>ZS8625</t>
  </si>
  <si>
    <t>ZS8630</t>
  </si>
  <si>
    <t>ZS8633</t>
  </si>
  <si>
    <t>ZS8634</t>
  </si>
  <si>
    <t>ZS8636</t>
  </si>
  <si>
    <t>ZS8637</t>
  </si>
  <si>
    <t>ZS8640</t>
  </si>
  <si>
    <t>ZS8641</t>
  </si>
  <si>
    <t>ZS8642</t>
  </si>
  <si>
    <t>ZS8643</t>
  </si>
  <si>
    <t>ZS8649</t>
  </si>
  <si>
    <t>rs372689115</t>
  </si>
  <si>
    <t>CTS6020</t>
  </si>
  <si>
    <t>PF4856</t>
  </si>
  <si>
    <t>rs369194299</t>
  </si>
  <si>
    <t>CTS7920</t>
  </si>
  <si>
    <t>PF4817</t>
  </si>
  <si>
    <t>rs371527784</t>
  </si>
  <si>
    <t>CTS10394</t>
  </si>
  <si>
    <t>Z2325</t>
  </si>
  <si>
    <t>rs376244948</t>
  </si>
  <si>
    <t>CTS10704</t>
  </si>
  <si>
    <t>rs371696223</t>
  </si>
  <si>
    <t>CTS10882</t>
  </si>
  <si>
    <t>Z1885</t>
  </si>
  <si>
    <t>rs369727469</t>
  </si>
  <si>
    <t>CTS11234</t>
  </si>
  <si>
    <t>Z2330</t>
  </si>
  <si>
    <t>rs371353246</t>
  </si>
  <si>
    <t>FGC1667</t>
  </si>
  <si>
    <t>Z2315</t>
  </si>
  <si>
    <t>rs375192953</t>
  </si>
  <si>
    <t>FGC1687</t>
  </si>
  <si>
    <t>Z1889</t>
  </si>
  <si>
    <t>rs374024296</t>
  </si>
  <si>
    <t>PF4678</t>
  </si>
  <si>
    <t>Z2316</t>
  </si>
  <si>
    <t>rs778138815</t>
  </si>
  <si>
    <t>PF4802</t>
  </si>
  <si>
    <t>Z1857</t>
  </si>
  <si>
    <t>rs368119178</t>
  </si>
  <si>
    <t>PF4827</t>
  </si>
  <si>
    <t>rs370915450</t>
  </si>
  <si>
    <t>Z1852</t>
  </si>
  <si>
    <t>rs368932708</t>
  </si>
  <si>
    <t>L93</t>
  </si>
  <si>
    <t>rs778046767</t>
  </si>
  <si>
    <t>Y16648</t>
  </si>
  <si>
    <t>Y11909</t>
  </si>
  <si>
    <t>Z18101</t>
  </si>
  <si>
    <t>c</t>
  </si>
  <si>
    <t>ZS1280</t>
  </si>
  <si>
    <t>ZS1281</t>
  </si>
  <si>
    <t>ZS1282</t>
  </si>
  <si>
    <t>ZS1284</t>
  </si>
  <si>
    <t>ZS1285</t>
  </si>
  <si>
    <t>ZS1286</t>
  </si>
  <si>
    <t>ZS1288</t>
  </si>
  <si>
    <t>ZS1294</t>
  </si>
  <si>
    <t>ZS1297</t>
  </si>
  <si>
    <t>ZS1298</t>
  </si>
  <si>
    <t>ZS1299</t>
  </si>
  <si>
    <t>ZS1300</t>
  </si>
  <si>
    <t>ZS1302</t>
  </si>
  <si>
    <t>ZS1305</t>
  </si>
  <si>
    <t>ZS1307</t>
  </si>
  <si>
    <t>rs994716189</t>
  </si>
  <si>
    <t>ZS1308</t>
  </si>
  <si>
    <t>rs1002374116</t>
  </si>
  <si>
    <t>ZS1311</t>
  </si>
  <si>
    <t>ZS1312</t>
  </si>
  <si>
    <t>ZS1318</t>
  </si>
  <si>
    <t>ZS1319</t>
  </si>
  <si>
    <t>ZS1321</t>
  </si>
  <si>
    <t>rs1032526876</t>
  </si>
  <si>
    <t>ZS1322</t>
  </si>
  <si>
    <t>ZS8355</t>
  </si>
  <si>
    <t>ZS8371</t>
  </si>
  <si>
    <t>CTS2453</t>
  </si>
  <si>
    <t>PF4806; Z2319</t>
  </si>
  <si>
    <t>rs369418398</t>
  </si>
  <si>
    <t>PF4806</t>
  </si>
  <si>
    <t>CTS2453; Z2319</t>
  </si>
  <si>
    <t>Z2319</t>
  </si>
  <si>
    <t>CTS2453; PF4806</t>
  </si>
  <si>
    <t>FGC1677</t>
  </si>
  <si>
    <t>Z2326</t>
  </si>
  <si>
    <t>rs369605639</t>
  </si>
  <si>
    <t>FGC7631</t>
  </si>
  <si>
    <t>Y2330</t>
  </si>
  <si>
    <t>rs374598053</t>
  </si>
  <si>
    <t>PF4854</t>
  </si>
  <si>
    <t>YSC0000183; Z2320</t>
  </si>
  <si>
    <t>rs372755974</t>
  </si>
  <si>
    <t>YSC0000183</t>
  </si>
  <si>
    <t>PF4854; Z2320</t>
  </si>
  <si>
    <t>Z2320</t>
  </si>
  <si>
    <t>PF4854; YSC0000183</t>
  </si>
  <si>
    <t>FGC30701</t>
  </si>
  <si>
    <t>rs899659196</t>
  </si>
  <si>
    <t>L860</t>
  </si>
  <si>
    <t>ZS7431</t>
  </si>
  <si>
    <t>ZS7436</t>
  </si>
  <si>
    <t>ZS7439</t>
  </si>
  <si>
    <t>ZS7449</t>
  </si>
  <si>
    <t>ZS7464</t>
  </si>
  <si>
    <t>ZS7471</t>
  </si>
  <si>
    <t>CTS5266</t>
  </si>
  <si>
    <t>PF4870; Z2321</t>
  </si>
  <si>
    <t>rs368675929</t>
  </si>
  <si>
    <t>PF4870</t>
  </si>
  <si>
    <t>CTS5266; Z2321</t>
  </si>
  <si>
    <t>Z2321</t>
  </si>
  <si>
    <t>CTS5266; PF4870</t>
  </si>
  <si>
    <t>CTS5269</t>
  </si>
  <si>
    <t>PF4855; Z2322</t>
  </si>
  <si>
    <t>rs375612202</t>
  </si>
  <si>
    <t>PF4855</t>
  </si>
  <si>
    <t>CTS5269; Z2322</t>
  </si>
  <si>
    <t>Z2322</t>
  </si>
  <si>
    <t>CTS5269; PF4855</t>
  </si>
  <si>
    <t>CTS11050</t>
  </si>
  <si>
    <t>FGC1679; PF4783; S2769; Z1886</t>
  </si>
  <si>
    <t>rs376648980</t>
  </si>
  <si>
    <t>FGC1679</t>
  </si>
  <si>
    <t>CTS11050; PF4783; S2769; Z1886</t>
  </si>
  <si>
    <t>PF4783</t>
  </si>
  <si>
    <t>CTS11050; FGC1679; S2769; Z1886</t>
  </si>
  <si>
    <t>S2769</t>
  </si>
  <si>
    <t>CTS11050; FGC1679; PF4783; Z1886</t>
  </si>
  <si>
    <t>Z1886</t>
  </si>
  <si>
    <t>CTS11050; FGC1679; PF4783; S2769</t>
  </si>
  <si>
    <t>FGC7633</t>
  </si>
  <si>
    <t>Y2292</t>
  </si>
  <si>
    <t>rs372600269</t>
  </si>
  <si>
    <t>PF4834</t>
  </si>
  <si>
    <t>Z1854</t>
  </si>
  <si>
    <t>rs368241375</t>
  </si>
  <si>
    <t>PF4850</t>
  </si>
  <si>
    <t>Z1856</t>
  </si>
  <si>
    <t>rs374046273</t>
  </si>
  <si>
    <t>PF4858</t>
  </si>
  <si>
    <t>YSC0000200; Z2323</t>
  </si>
  <si>
    <t>rs377122154</t>
  </si>
  <si>
    <t>YSC0000200</t>
  </si>
  <si>
    <t>PF4858; Z2323</t>
  </si>
  <si>
    <t>Z2323</t>
  </si>
  <si>
    <t>PF4858; YSC0000200</t>
  </si>
  <si>
    <t>PF4862</t>
  </si>
  <si>
    <t>Z1887</t>
  </si>
  <si>
    <t>rs377729688</t>
  </si>
  <si>
    <t>Z1853</t>
  </si>
  <si>
    <t>rs370836300</t>
  </si>
  <si>
    <t>ZS3668</t>
  </si>
  <si>
    <t>ZS3683</t>
  </si>
  <si>
    <t>rs934083927</t>
  </si>
  <si>
    <t>ZS3684</t>
  </si>
  <si>
    <t>ZS3685</t>
  </si>
  <si>
    <t>ZS3690</t>
  </si>
  <si>
    <t>rs993783610</t>
  </si>
  <si>
    <t>ZS3698</t>
  </si>
  <si>
    <t>ZS3704</t>
  </si>
  <si>
    <t>rs974758169</t>
  </si>
  <si>
    <t>ZS3707</t>
  </si>
  <si>
    <t>rs959138389</t>
  </si>
  <si>
    <t>ZS3712</t>
  </si>
  <si>
    <t>ZS372</t>
  </si>
  <si>
    <t>rs773265267</t>
  </si>
  <si>
    <t>CTS463</t>
  </si>
  <si>
    <t>rs373920933</t>
  </si>
  <si>
    <t>CTS2966</t>
  </si>
  <si>
    <t>PF4699; Z1860</t>
  </si>
  <si>
    <t>rs369934259</t>
  </si>
  <si>
    <t>PF4699</t>
  </si>
  <si>
    <t>CTS2966; Z1860</t>
  </si>
  <si>
    <t>Z1860</t>
  </si>
  <si>
    <t>CTS2966; PF4699</t>
  </si>
  <si>
    <t>CTS6161</t>
  </si>
  <si>
    <t>PF4857; Z1867</t>
  </si>
  <si>
    <t>rs377355671</t>
  </si>
  <si>
    <t>PF4857</t>
  </si>
  <si>
    <t>CTS6161; Z1867</t>
  </si>
  <si>
    <t>Z1867</t>
  </si>
  <si>
    <t>CTS6161; PF4857</t>
  </si>
  <si>
    <t>CTS9998</t>
  </si>
  <si>
    <t>PF4859; Z1871</t>
  </si>
  <si>
    <t>rs371230456</t>
  </si>
  <si>
    <t>PF4859</t>
  </si>
  <si>
    <t>CTS9998; Z1871</t>
  </si>
  <si>
    <t>Z1871</t>
  </si>
  <si>
    <t>CTS9998; PF4859</t>
  </si>
  <si>
    <t>CTS11719</t>
  </si>
  <si>
    <t>PF4863; Z1888</t>
  </si>
  <si>
    <t>rs371807787</t>
  </si>
  <si>
    <t>PF4863</t>
  </si>
  <si>
    <t>CTS11719; Z1888</t>
  </si>
  <si>
    <t>Z1888</t>
  </si>
  <si>
    <t>CTS11719; PF4863</t>
  </si>
  <si>
    <t>FGC1669</t>
  </si>
  <si>
    <t>Z2331</t>
  </si>
  <si>
    <t>rs375839608</t>
  </si>
  <si>
    <t>L862</t>
  </si>
  <si>
    <t>PF4853; YSC0000169</t>
  </si>
  <si>
    <t>rs374601148</t>
  </si>
  <si>
    <t>PF4853</t>
  </si>
  <si>
    <t>L862; YSC0000169</t>
  </si>
  <si>
    <t>YSC0000169</t>
  </si>
  <si>
    <t>L862; PF4853</t>
  </si>
  <si>
    <t>PF4799</t>
  </si>
  <si>
    <t>rs377384336</t>
  </si>
  <si>
    <t>PF4838</t>
  </si>
  <si>
    <t>rs746595297</t>
  </si>
  <si>
    <t>PF4848</t>
  </si>
  <si>
    <t>YSC0000071; Z2314</t>
  </si>
  <si>
    <t>rs373757466</t>
  </si>
  <si>
    <t>YSC0000071</t>
  </si>
  <si>
    <t>PF4848; Z2314</t>
  </si>
  <si>
    <t>Z2314</t>
  </si>
  <si>
    <t>PF4848; YSC0000071</t>
  </si>
  <si>
    <t>PF4849</t>
  </si>
  <si>
    <t>Z1855</t>
  </si>
  <si>
    <t>rs374938670</t>
  </si>
  <si>
    <t>PF4860</t>
  </si>
  <si>
    <t>Z1875</t>
  </si>
  <si>
    <t>rs369605977</t>
  </si>
  <si>
    <t>FGC20877</t>
  </si>
  <si>
    <t>ZS2613</t>
  </si>
  <si>
    <t>rs888229221</t>
  </si>
  <si>
    <t>FGC20898</t>
  </si>
  <si>
    <t>Y15152; Z18297</t>
  </si>
  <si>
    <t>rs910477460</t>
  </si>
  <si>
    <t>Y15152</t>
  </si>
  <si>
    <t>FGC20898; Z18297</t>
  </si>
  <si>
    <t>Z18297</t>
  </si>
  <si>
    <t>FGC20898; Y15152</t>
  </si>
  <si>
    <t>Z28163</t>
  </si>
  <si>
    <t>rs1052259769</t>
  </si>
  <si>
    <t>FGC20865</t>
  </si>
  <si>
    <t>Z18293</t>
  </si>
  <si>
    <t>FGC20875</t>
  </si>
  <si>
    <t>Z18294</t>
  </si>
  <si>
    <t>rs991819354</t>
  </si>
  <si>
    <t>FGC20878</t>
  </si>
  <si>
    <t>Z18295</t>
  </si>
  <si>
    <t>rs764072247</t>
  </si>
  <si>
    <t>Y23563</t>
  </si>
  <si>
    <t>rs989579192</t>
  </si>
  <si>
    <t>FGC20874</t>
  </si>
  <si>
    <t>ZS2572</t>
  </si>
  <si>
    <t>rs898706123</t>
  </si>
  <si>
    <t>FGC20879</t>
  </si>
  <si>
    <t>FGC20882</t>
  </si>
  <si>
    <t>ZS2575</t>
  </si>
  <si>
    <t>rs765021638</t>
  </si>
  <si>
    <t>FGC20884</t>
  </si>
  <si>
    <t>ZS2578</t>
  </si>
  <si>
    <t>rs751591942</t>
  </si>
  <si>
    <t>FGC20888</t>
  </si>
  <si>
    <t>ZS2582</t>
  </si>
  <si>
    <t>rs770198119</t>
  </si>
  <si>
    <t>FGC20890</t>
  </si>
  <si>
    <t>ZS2584</t>
  </si>
  <si>
    <t>rs772474414</t>
  </si>
  <si>
    <t>FGC20894</t>
  </si>
  <si>
    <t>ZS2591</t>
  </si>
  <si>
    <t>rs890401027</t>
  </si>
  <si>
    <t>FGC20899</t>
  </si>
  <si>
    <t>ZS2593</t>
  </si>
  <si>
    <t>FGC20900</t>
  </si>
  <si>
    <t>ZS2595</t>
  </si>
  <si>
    <t>rs925858868</t>
  </si>
  <si>
    <t>Y23173</t>
  </si>
  <si>
    <t>rs1006952677</t>
  </si>
  <si>
    <t>PH4242</t>
  </si>
  <si>
    <t>rs750474676</t>
  </si>
  <si>
    <t>Y31147</t>
  </si>
  <si>
    <t>ZS12589</t>
  </si>
  <si>
    <t>Y31152</t>
  </si>
  <si>
    <t>ZS12596</t>
  </si>
  <si>
    <t>rs899882910</t>
  </si>
  <si>
    <t>Y31155</t>
  </si>
  <si>
    <t>ZS12600</t>
  </si>
  <si>
    <t>ZS3984</t>
  </si>
  <si>
    <t>rs898081850</t>
  </si>
  <si>
    <t>FGC20913</t>
  </si>
  <si>
    <t>ZS3745</t>
  </si>
  <si>
    <t>ZS3736</t>
  </si>
  <si>
    <t>CTS4459</t>
  </si>
  <si>
    <t>rs753369711</t>
  </si>
  <si>
    <t>ZS2601</t>
  </si>
  <si>
    <t>ZS2603</t>
  </si>
  <si>
    <t>rs1032449834</t>
  </si>
  <si>
    <t>ZS2604</t>
  </si>
  <si>
    <t>rs979072747</t>
  </si>
  <si>
    <t>ZS2605</t>
  </si>
  <si>
    <t>rs973889256</t>
  </si>
  <si>
    <t>M4320</t>
  </si>
  <si>
    <t>rs570587262</t>
  </si>
  <si>
    <t>ZS2600</t>
  </si>
  <si>
    <t>ZS2606</t>
  </si>
  <si>
    <t>rs1037950119</t>
  </si>
  <si>
    <t>ZS2610</t>
  </si>
  <si>
    <t>CTS6558</t>
  </si>
  <si>
    <t>Y17403</t>
  </si>
  <si>
    <t>Y18954</t>
  </si>
  <si>
    <t>ZS7839</t>
  </si>
  <si>
    <t>ZS4302</t>
  </si>
  <si>
    <t>rs919171515</t>
  </si>
  <si>
    <t>ZS4312</t>
  </si>
  <si>
    <t>rs1033254187</t>
  </si>
  <si>
    <t>ZS4336</t>
  </si>
  <si>
    <t>rs972123397</t>
  </si>
  <si>
    <t>Z28164</t>
  </si>
  <si>
    <t>Z28165</t>
  </si>
  <si>
    <t>Z28166</t>
  </si>
  <si>
    <t>Z28168</t>
  </si>
  <si>
    <t>Z28169</t>
  </si>
  <si>
    <t>Z28172</t>
  </si>
  <si>
    <t>Z28173</t>
  </si>
  <si>
    <t>Z28174</t>
  </si>
  <si>
    <t>Z28175</t>
  </si>
  <si>
    <t>Z28176</t>
  </si>
  <si>
    <t>Z28177</t>
  </si>
  <si>
    <t>Z28185</t>
  </si>
  <si>
    <t>Z28186</t>
  </si>
  <si>
    <t>Z28188</t>
  </si>
  <si>
    <t>Z28189</t>
  </si>
  <si>
    <t>Z28190</t>
  </si>
  <si>
    <t>Z28195</t>
  </si>
  <si>
    <t>Z28196</t>
  </si>
  <si>
    <t>Z28197</t>
  </si>
  <si>
    <t>ZS4278</t>
  </si>
  <si>
    <t>AM00200.2</t>
  </si>
  <si>
    <t>AMM109.2; CTS4554.2; Z2510.2</t>
  </si>
  <si>
    <t>rs749420821</t>
  </si>
  <si>
    <t>AMM109.2</t>
  </si>
  <si>
    <t>AM00200.2; CTS4554.2; Z2510.2</t>
  </si>
  <si>
    <t>CTS4554.2</t>
  </si>
  <si>
    <t>AM00200.2; AMM109.2; Z2510.2</t>
  </si>
  <si>
    <t>Z2510.2</t>
  </si>
  <si>
    <t>AM00200.2; AMM109.2; CTS4554.2</t>
  </si>
  <si>
    <t>FGC15489.2</t>
  </si>
  <si>
    <t>ZS4300.2</t>
  </si>
  <si>
    <t>rs902534848</t>
  </si>
  <si>
    <t>ZS430</t>
  </si>
  <si>
    <t>Y6384</t>
  </si>
  <si>
    <t>ZS4295</t>
  </si>
  <si>
    <t>Y17786</t>
  </si>
  <si>
    <t>ZS4292</t>
  </si>
  <si>
    <t>rs946850462</t>
  </si>
  <si>
    <t>ZS4293</t>
  </si>
  <si>
    <t>ZS4294</t>
  </si>
  <si>
    <t>ZS4296</t>
  </si>
  <si>
    <t>rs1020930533</t>
  </si>
  <si>
    <t>ZS4297</t>
  </si>
  <si>
    <t>rs933917390</t>
  </si>
  <si>
    <t>ZS4298</t>
  </si>
  <si>
    <t>rs948940202</t>
  </si>
  <si>
    <t>ZS4299</t>
  </si>
  <si>
    <t>rs1015073410</t>
  </si>
  <si>
    <t>ZS4303</t>
  </si>
  <si>
    <t>rs1023713476</t>
  </si>
  <si>
    <t>ZS4304</t>
  </si>
  <si>
    <t>rs983717645</t>
  </si>
  <si>
    <t>ZS4305</t>
  </si>
  <si>
    <t>ZS4306</t>
  </si>
  <si>
    <t>ZS4307</t>
  </si>
  <si>
    <t>ZS4309</t>
  </si>
  <si>
    <t>rs1031780213</t>
  </si>
  <si>
    <t>ZS4311</t>
  </si>
  <si>
    <t>rs977953100</t>
  </si>
  <si>
    <t>ZS4313</t>
  </si>
  <si>
    <t>rs918946194</t>
  </si>
  <si>
    <t>ZS4314</t>
  </si>
  <si>
    <t>ZS4315</t>
  </si>
  <si>
    <t>rs896983699</t>
  </si>
  <si>
    <t>ZS4317</t>
  </si>
  <si>
    <t>rs963449508</t>
  </si>
  <si>
    <t>ZS4319</t>
  </si>
  <si>
    <t>rs975428897</t>
  </si>
  <si>
    <t>ZS4320</t>
  </si>
  <si>
    <t>rs1042977068</t>
  </si>
  <si>
    <t>ZS4323</t>
  </si>
  <si>
    <t>rs985522399</t>
  </si>
  <si>
    <t>ZS4324</t>
  </si>
  <si>
    <t>rs952518083</t>
  </si>
  <si>
    <t>ZS4325</t>
  </si>
  <si>
    <t>rs201240926</t>
  </si>
  <si>
    <t>ZS4334</t>
  </si>
  <si>
    <t>rs995529483</t>
  </si>
  <si>
    <t>ZS4339</t>
  </si>
  <si>
    <t>ZS8611</t>
  </si>
  <si>
    <t>ZS4301</t>
  </si>
  <si>
    <t>rs911329431</t>
  </si>
  <si>
    <t>ZS4326</t>
  </si>
  <si>
    <t>rs927350427</t>
  </si>
  <si>
    <t>ZS4327</t>
  </si>
  <si>
    <t>rs1020021909</t>
  </si>
  <si>
    <t>ZS4328</t>
  </si>
  <si>
    <t>rs978597448</t>
  </si>
  <si>
    <t>ZS4333</t>
  </si>
  <si>
    <t>rs1054618070</t>
  </si>
  <si>
    <t>Z28202</t>
  </si>
  <si>
    <t>Z28203</t>
  </si>
  <si>
    <t>Z28204</t>
  </si>
  <si>
    <t>Z28205</t>
  </si>
  <si>
    <t>Z28206</t>
  </si>
  <si>
    <t>Z28207</t>
  </si>
  <si>
    <t>Z28208</t>
  </si>
  <si>
    <t>Z28209</t>
  </si>
  <si>
    <t>Z28210</t>
  </si>
  <si>
    <t>Z28211</t>
  </si>
  <si>
    <t>Z28215</t>
  </si>
  <si>
    <t>Z28216</t>
  </si>
  <si>
    <t>PF4843</t>
  </si>
  <si>
    <t>Z2324</t>
  </si>
  <si>
    <t>rs370120280</t>
  </si>
  <si>
    <t>YP4763</t>
  </si>
  <si>
    <t>ZS2524</t>
  </si>
  <si>
    <t>rs920730816</t>
  </si>
  <si>
    <t>Z37109</t>
  </si>
  <si>
    <t>Z37110</t>
  </si>
  <si>
    <t>ZS2518</t>
  </si>
  <si>
    <t>rs1003170921</t>
  </si>
  <si>
    <t>S7953</t>
  </si>
  <si>
    <t>SK1297</t>
  </si>
  <si>
    <t>SK1298</t>
  </si>
  <si>
    <t>rs980097042</t>
  </si>
  <si>
    <t>Z28217</t>
  </si>
  <si>
    <t>rs975280596</t>
  </si>
  <si>
    <t>Z28220</t>
  </si>
  <si>
    <t>rs973665118</t>
  </si>
  <si>
    <t>Z28221</t>
  </si>
  <si>
    <t>Z28222</t>
  </si>
  <si>
    <t>Z28223</t>
  </si>
  <si>
    <t>rs968757613</t>
  </si>
  <si>
    <t>Z28225</t>
  </si>
  <si>
    <t>Z28226</t>
  </si>
  <si>
    <t>Z28228</t>
  </si>
  <si>
    <t>Z28229</t>
  </si>
  <si>
    <t>Z28232</t>
  </si>
  <si>
    <t>rs991960994</t>
  </si>
  <si>
    <t>Z28233</t>
  </si>
  <si>
    <t>rs978178957</t>
  </si>
  <si>
    <t>Z28234</t>
  </si>
  <si>
    <t>Z28235</t>
  </si>
  <si>
    <t>rs930776831</t>
  </si>
  <si>
    <t>Z28238</t>
  </si>
  <si>
    <t>Z28239</t>
  </si>
  <si>
    <t>rs896399872</t>
  </si>
  <si>
    <t>Z28240</t>
  </si>
  <si>
    <t>rs916003029</t>
  </si>
  <si>
    <t>Z28242</t>
  </si>
  <si>
    <t>rs994033014</t>
  </si>
  <si>
    <t>Z28243</t>
  </si>
  <si>
    <t>rs1041692918</t>
  </si>
  <si>
    <t>Z28244</t>
  </si>
  <si>
    <t>Z28245</t>
  </si>
  <si>
    <t>Z28246</t>
  </si>
  <si>
    <t>Z28247</t>
  </si>
  <si>
    <t>rs1020134222</t>
  </si>
  <si>
    <t>Z28248</t>
  </si>
  <si>
    <t>Z28250</t>
  </si>
  <si>
    <t>rs1034967165</t>
  </si>
  <si>
    <t>Z28251</t>
  </si>
  <si>
    <t>rs943888279</t>
  </si>
  <si>
    <t>Z28253</t>
  </si>
  <si>
    <t>Z28277</t>
  </si>
  <si>
    <t>Z28254</t>
  </si>
  <si>
    <t>Z28255</t>
  </si>
  <si>
    <t>Z28257</t>
  </si>
  <si>
    <t>Z28258</t>
  </si>
  <si>
    <t>Z28259</t>
  </si>
  <si>
    <t>Z28260</t>
  </si>
  <si>
    <t>Z28261</t>
  </si>
  <si>
    <t>Z28262</t>
  </si>
  <si>
    <t>Z28263</t>
  </si>
  <si>
    <t>Z28264</t>
  </si>
  <si>
    <t>Z28265</t>
  </si>
  <si>
    <t>Z28266</t>
  </si>
  <si>
    <t>Z28267</t>
  </si>
  <si>
    <t>CTS11741</t>
  </si>
  <si>
    <t>PF4847</t>
  </si>
  <si>
    <t>rs374114169</t>
  </si>
  <si>
    <t>PF4881</t>
  </si>
  <si>
    <t>YSC0000235</t>
  </si>
  <si>
    <t>rs372668819</t>
  </si>
  <si>
    <t>Z2317</t>
  </si>
  <si>
    <t>rs373170076</t>
  </si>
  <si>
    <t>Z44805</t>
  </si>
  <si>
    <t>rs754505603</t>
  </si>
  <si>
    <t>Z44806</t>
  </si>
  <si>
    <t>Z44807</t>
  </si>
  <si>
    <t>rs781468200</t>
  </si>
  <si>
    <t>Z44808</t>
  </si>
  <si>
    <t>Z44809</t>
  </si>
  <si>
    <t>Z44810</t>
  </si>
  <si>
    <t>Z44811</t>
  </si>
  <si>
    <t>rs773245795</t>
  </si>
  <si>
    <t>Z44812</t>
  </si>
  <si>
    <t>rs772897583</t>
  </si>
  <si>
    <t>PF4845</t>
  </si>
  <si>
    <t>YSC0000234; Z2329</t>
  </si>
  <si>
    <t>rs375566953</t>
  </si>
  <si>
    <t>YSC0000234</t>
  </si>
  <si>
    <t>PF4845; Z2329</t>
  </si>
  <si>
    <t>Z2329</t>
  </si>
  <si>
    <t>PF4845; YSC0000234</t>
  </si>
  <si>
    <t>ZS6169</t>
  </si>
  <si>
    <t>ZS6182</t>
  </si>
  <si>
    <t>ZS6191</t>
  </si>
  <si>
    <t>ZS6192</t>
  </si>
  <si>
    <t>ZS6194</t>
  </si>
  <si>
    <t>FGC13863</t>
  </si>
  <si>
    <t>Y3089; Z18262</t>
  </si>
  <si>
    <t>rs969573731</t>
  </si>
  <si>
    <t>Y3089</t>
  </si>
  <si>
    <t>FGC13863; Z18262</t>
  </si>
  <si>
    <t>Z18262</t>
  </si>
  <si>
    <t>FGC13863; Y3089</t>
  </si>
  <si>
    <t>FGC13865</t>
  </si>
  <si>
    <t>Y3085; ZS242</t>
  </si>
  <si>
    <t>rs760191898</t>
  </si>
  <si>
    <t>Y3085</t>
  </si>
  <si>
    <t>FGC13865; ZS242</t>
  </si>
  <si>
    <t>ZS242</t>
  </si>
  <si>
    <t>FGC13865; Y3085</t>
  </si>
  <si>
    <t>FGC13868</t>
  </si>
  <si>
    <t>Y3087; Z18261</t>
  </si>
  <si>
    <t>rs936027136</t>
  </si>
  <si>
    <t>Y3087</t>
  </si>
  <si>
    <t>FGC13868; Z18261</t>
  </si>
  <si>
    <t>Z18261</t>
  </si>
  <si>
    <t>FGC13868; Y3087</t>
  </si>
  <si>
    <t>FGC13869</t>
  </si>
  <si>
    <t>Y3086; ZS241</t>
  </si>
  <si>
    <t>rs764148694</t>
  </si>
  <si>
    <t>Y3086</t>
  </si>
  <si>
    <t>FGC13869; ZS241</t>
  </si>
  <si>
    <t>ZS241</t>
  </si>
  <si>
    <t>FGC13869; Y3086</t>
  </si>
  <si>
    <t>FGC13870</t>
  </si>
  <si>
    <t>Y3094; Z18264</t>
  </si>
  <si>
    <t>Y3094</t>
  </si>
  <si>
    <t>FGC13870; Z18264</t>
  </si>
  <si>
    <t>Z18264</t>
  </si>
  <si>
    <t>FGC13870; Y3094</t>
  </si>
  <si>
    <t>FGC13871</t>
  </si>
  <si>
    <t>Y3081; Z18259</t>
  </si>
  <si>
    <t>Y3081</t>
  </si>
  <si>
    <t>FGC13871; Z18259</t>
  </si>
  <si>
    <t>Z18259</t>
  </si>
  <si>
    <t>FGC13871; Y3081</t>
  </si>
  <si>
    <t>FGC13875</t>
  </si>
  <si>
    <t>Y3468</t>
  </si>
  <si>
    <t>rs986299480</t>
  </si>
  <si>
    <t>S16807</t>
  </si>
  <si>
    <t>rs977413084</t>
  </si>
  <si>
    <t>S21060</t>
  </si>
  <si>
    <t>rs928136964</t>
  </si>
  <si>
    <t>S21116</t>
  </si>
  <si>
    <t>rs1050158719</t>
  </si>
  <si>
    <t>FGC13862</t>
  </si>
  <si>
    <t>Y3083</t>
  </si>
  <si>
    <t>rs749166568</t>
  </si>
  <si>
    <t>FGC13864</t>
  </si>
  <si>
    <t>Y3091; Z18284</t>
  </si>
  <si>
    <t>rs1025824733</t>
  </si>
  <si>
    <t>Y5435</t>
  </si>
  <si>
    <t>Y3091</t>
  </si>
  <si>
    <t>FGC13864; Z18284</t>
  </si>
  <si>
    <t>Z18284</t>
  </si>
  <si>
    <t>FGC13864; Y3091</t>
  </si>
  <si>
    <t>FGC13867</t>
  </si>
  <si>
    <t>Y3093; Z18265</t>
  </si>
  <si>
    <t>Y3093</t>
  </si>
  <si>
    <t>FGC13867; Z18265</t>
  </si>
  <si>
    <t>Z18265</t>
  </si>
  <si>
    <t>FGC13867; Y3093</t>
  </si>
  <si>
    <t>FGC13872</t>
  </si>
  <si>
    <t>Y3092; Z18271</t>
  </si>
  <si>
    <t>rs767506365</t>
  </si>
  <si>
    <t>Y3092</t>
  </si>
  <si>
    <t>FGC13872; Z18271</t>
  </si>
  <si>
    <t>Z18271</t>
  </si>
  <si>
    <t>FGC13872; Y3092</t>
  </si>
  <si>
    <t>FGC14350</t>
  </si>
  <si>
    <t>FGC13874</t>
  </si>
  <si>
    <t>Y3088; Z18270</t>
  </si>
  <si>
    <t>rs755178356</t>
  </si>
  <si>
    <t>Y3088</t>
  </si>
  <si>
    <t>FGC13874; Z18270</t>
  </si>
  <si>
    <t>Z18270</t>
  </si>
  <si>
    <t>FGC13874; Y3088</t>
  </si>
  <si>
    <t>FGC14341</t>
  </si>
  <si>
    <t>FGC13876</t>
  </si>
  <si>
    <t>Y3467; Z18269</t>
  </si>
  <si>
    <t>rs1009198876</t>
  </si>
  <si>
    <t>Y3467</t>
  </si>
  <si>
    <t>FGC13876; Z18269</t>
  </si>
  <si>
    <t>Z18269</t>
  </si>
  <si>
    <t>FGC13876; Y3467</t>
  </si>
  <si>
    <t>FGC13877</t>
  </si>
  <si>
    <t>Y14232; Z18267</t>
  </si>
  <si>
    <t>Y14232</t>
  </si>
  <si>
    <t>FGC13877; Z18267</t>
  </si>
  <si>
    <t>Z18267</t>
  </si>
  <si>
    <t>FGC13877; Y14232</t>
  </si>
  <si>
    <t>FGC17475</t>
  </si>
  <si>
    <t>Y7290; ZS2438</t>
  </si>
  <si>
    <t>Y7290</t>
  </si>
  <si>
    <t>FGC17475; ZS2438</t>
  </si>
  <si>
    <t>ZS2438</t>
  </si>
  <si>
    <t>FGC17475; Y7290</t>
  </si>
  <si>
    <t>S8223</t>
  </si>
  <si>
    <t>ZS222</t>
  </si>
  <si>
    <t>rs763823718</t>
  </si>
  <si>
    <t>S10608</t>
  </si>
  <si>
    <t>rs1055101928</t>
  </si>
  <si>
    <t>S18003</t>
  </si>
  <si>
    <t>rs906686627</t>
  </si>
  <si>
    <t>S19350</t>
  </si>
  <si>
    <t>rs778972122</t>
  </si>
  <si>
    <t>S20075</t>
  </si>
  <si>
    <t>ZS227</t>
  </si>
  <si>
    <t>rs757716725</t>
  </si>
  <si>
    <t>S24930</t>
  </si>
  <si>
    <t>rs894985471</t>
  </si>
  <si>
    <t>S25313</t>
  </si>
  <si>
    <t>ZS228</t>
  </si>
  <si>
    <t>rs964978475</t>
  </si>
  <si>
    <t>Y3084</t>
  </si>
  <si>
    <t>ZS231</t>
  </si>
  <si>
    <t>rs933038968</t>
  </si>
  <si>
    <t>Y3090</t>
  </si>
  <si>
    <t>ZS238</t>
  </si>
  <si>
    <t>rs758493657</t>
  </si>
  <si>
    <t>Y13966</t>
  </si>
  <si>
    <t>ZS2401</t>
  </si>
  <si>
    <t>rs773815308</t>
  </si>
  <si>
    <t>ZS225</t>
  </si>
  <si>
    <t>rs751889360</t>
  </si>
  <si>
    <t>ZS2405</t>
  </si>
  <si>
    <t>rs766604982</t>
  </si>
  <si>
    <t>Z18291</t>
  </si>
  <si>
    <t>ZS2406</t>
  </si>
  <si>
    <t>rs765714168</t>
  </si>
  <si>
    <t>ZS235</t>
  </si>
  <si>
    <t>rs777554744</t>
  </si>
  <si>
    <t>ZS237</t>
  </si>
  <si>
    <t>rs770778059</t>
  </si>
  <si>
    <t>ZS2395</t>
  </si>
  <si>
    <t>rs765082119</t>
  </si>
  <si>
    <t>ZS2400</t>
  </si>
  <si>
    <t>rs762624243</t>
  </si>
  <si>
    <t>ZS2415</t>
  </si>
  <si>
    <t>ZS2417</t>
  </si>
  <si>
    <t>ZS2420</t>
  </si>
  <si>
    <t>ZS2426</t>
  </si>
  <si>
    <t>ZS2429</t>
  </si>
  <si>
    <t>FGC13878</t>
  </si>
  <si>
    <t>Y5400; Z18274</t>
  </si>
  <si>
    <t>Y5400</t>
  </si>
  <si>
    <t>FGC13878; Z18274</t>
  </si>
  <si>
    <t>Z18274</t>
  </si>
  <si>
    <t>FGC13878; Y5400</t>
  </si>
  <si>
    <t>S12192</t>
  </si>
  <si>
    <t>S17446</t>
  </si>
  <si>
    <t>Z30824</t>
  </si>
  <si>
    <t>rs938336104</t>
  </si>
  <si>
    <t>S18537</t>
  </si>
  <si>
    <t>rs969492574</t>
  </si>
  <si>
    <t>S18764</t>
  </si>
  <si>
    <t>S20001</t>
  </si>
  <si>
    <t>rs947018062</t>
  </si>
  <si>
    <t>S22932</t>
  </si>
  <si>
    <t>rs962651657</t>
  </si>
  <si>
    <t>S22972</t>
  </si>
  <si>
    <t>rs981962333</t>
  </si>
  <si>
    <t>Y5404</t>
  </si>
  <si>
    <t>ZS4100</t>
  </si>
  <si>
    <t>rs935359427</t>
  </si>
  <si>
    <t>Y31793</t>
  </si>
  <si>
    <t>rs891122501</t>
  </si>
  <si>
    <t>ZS2375</t>
  </si>
  <si>
    <t>rs959222768</t>
  </si>
  <si>
    <t>ZS2376</t>
  </si>
  <si>
    <t>rs1003592899</t>
  </si>
  <si>
    <t>rs936334979</t>
  </si>
  <si>
    <t>BY75</t>
  </si>
  <si>
    <t>ZS2372</t>
  </si>
  <si>
    <t>ZS2373</t>
  </si>
  <si>
    <t>ZS10317</t>
  </si>
  <si>
    <t>rs1003872469</t>
  </si>
  <si>
    <t>ZS10319</t>
  </si>
  <si>
    <t>BY68</t>
  </si>
  <si>
    <t>FGC13880; Y5399; Z18279</t>
  </si>
  <si>
    <t>rs868123887</t>
  </si>
  <si>
    <t>FGC13880</t>
  </si>
  <si>
    <t>BY68; Y5399; Z18279</t>
  </si>
  <si>
    <t>Y5399</t>
  </si>
  <si>
    <t>BY68; FGC13880; Z18279</t>
  </si>
  <si>
    <t>Z18279</t>
  </si>
  <si>
    <t>BY68; FGC13880; Y5399</t>
  </si>
  <si>
    <t>FGC13881</t>
  </si>
  <si>
    <t>Y5401</t>
  </si>
  <si>
    <t>rs993100416</t>
  </si>
  <si>
    <t>FGC13882</t>
  </si>
  <si>
    <t>Y5405; Z18280</t>
  </si>
  <si>
    <t>rs954910353</t>
  </si>
  <si>
    <t>Y5405</t>
  </si>
  <si>
    <t>FGC13882; Z18280</t>
  </si>
  <si>
    <t>Z18280</t>
  </si>
  <si>
    <t>FGC13882; Y5405</t>
  </si>
  <si>
    <t>FGC13883</t>
  </si>
  <si>
    <t>Y5403; Z18281</t>
  </si>
  <si>
    <t>Y5403</t>
  </si>
  <si>
    <t>FGC13883; Z18281</t>
  </si>
  <si>
    <t>Z18281</t>
  </si>
  <si>
    <t>FGC13883; Y5403</t>
  </si>
  <si>
    <t>FGC13885</t>
  </si>
  <si>
    <t>Y5406; Z18282</t>
  </si>
  <si>
    <t>rs935109700</t>
  </si>
  <si>
    <t>Y5406</t>
  </si>
  <si>
    <t>FGC13885; Z18282</t>
  </si>
  <si>
    <t>Z18282</t>
  </si>
  <si>
    <t>FGC13885; Y5406</t>
  </si>
  <si>
    <t>FGC9941</t>
  </si>
  <si>
    <t>Y5409</t>
  </si>
  <si>
    <t>rs1047125546</t>
  </si>
  <si>
    <t>FGC13889</t>
  </si>
  <si>
    <t>Y5402; Z18283</t>
  </si>
  <si>
    <t>rs972961758</t>
  </si>
  <si>
    <t>Y5402</t>
  </si>
  <si>
    <t>FGC13889; Z18283</t>
  </si>
  <si>
    <t>Z18283</t>
  </si>
  <si>
    <t>FGC13889; Y5402</t>
  </si>
  <si>
    <t>FGC13892</t>
  </si>
  <si>
    <t>Y13968; ZS2361</t>
  </si>
  <si>
    <t>Y13968</t>
  </si>
  <si>
    <t>FGC13892; ZS2361</t>
  </si>
  <si>
    <t>ZS2361</t>
  </si>
  <si>
    <t>FGC13892; Y13968</t>
  </si>
  <si>
    <t>FGC13884</t>
  </si>
  <si>
    <t>ZS2357</t>
  </si>
  <si>
    <t>FGC13887</t>
  </si>
  <si>
    <t>ZS2358</t>
  </si>
  <si>
    <t>FGC13888</t>
  </si>
  <si>
    <t>ZS2359</t>
  </si>
  <si>
    <t>FGC13891</t>
  </si>
  <si>
    <t>ZS2360</t>
  </si>
  <si>
    <t>ZS5274</t>
  </si>
  <si>
    <t>ZS5275</t>
  </si>
  <si>
    <t>ZS5276</t>
  </si>
  <si>
    <t>FGC42066</t>
  </si>
  <si>
    <t>ZS10006</t>
  </si>
  <si>
    <t>ZS11008</t>
  </si>
  <si>
    <t>ZS11010</t>
  </si>
  <si>
    <t>ZS9492</t>
  </si>
  <si>
    <t>ZS9496</t>
  </si>
  <si>
    <t>ZS9486</t>
  </si>
  <si>
    <t>ZS9488</t>
  </si>
  <si>
    <t>ZS9489</t>
  </si>
  <si>
    <t>ZS9490</t>
  </si>
  <si>
    <t>ZS9493</t>
  </si>
  <si>
    <t>ZS9494</t>
  </si>
  <si>
    <t>BY77</t>
  </si>
  <si>
    <t>ZS2362</t>
  </si>
  <si>
    <t>ZS2364</t>
  </si>
  <si>
    <t>ZS2365</t>
  </si>
  <si>
    <t>ZS10440</t>
  </si>
  <si>
    <t>ZS10442</t>
  </si>
  <si>
    <t>rs200021490</t>
  </si>
  <si>
    <t>ZS10444</t>
  </si>
  <si>
    <t>ZS10445</t>
  </si>
  <si>
    <t>ZS2366</t>
  </si>
  <si>
    <t>ZS2369</t>
  </si>
  <si>
    <t>FGC17491</t>
  </si>
  <si>
    <t>Z18290</t>
  </si>
  <si>
    <t>rs1032992103</t>
  </si>
  <si>
    <t>BY67</t>
  </si>
  <si>
    <t>FGC17476; Z18285</t>
  </si>
  <si>
    <t>rs965610933</t>
  </si>
  <si>
    <t>FGC17476</t>
  </si>
  <si>
    <t>BY67; Z18285</t>
  </si>
  <si>
    <t>Z18285</t>
  </si>
  <si>
    <t>BY67; FGC17476</t>
  </si>
  <si>
    <t>FGC17477</t>
  </si>
  <si>
    <t>Z18286</t>
  </si>
  <si>
    <t>rs932844431</t>
  </si>
  <si>
    <t>FGC17484</t>
  </si>
  <si>
    <t>Z18288</t>
  </si>
  <si>
    <t>FGC17486</t>
  </si>
  <si>
    <t>ZS2379</t>
  </si>
  <si>
    <t>rs985647659</t>
  </si>
  <si>
    <t>ZS2387</t>
  </si>
  <si>
    <t>BY79</t>
  </si>
  <si>
    <t>FGC17478; ZS2381</t>
  </si>
  <si>
    <t>rs1015188813</t>
  </si>
  <si>
    <t>FGC17478</t>
  </si>
  <si>
    <t>BY79; ZS2381</t>
  </si>
  <si>
    <t>ZS2381</t>
  </si>
  <si>
    <t>BY79; FGC17478</t>
  </si>
  <si>
    <t>FGC17480</t>
  </si>
  <si>
    <t>ZS2382</t>
  </si>
  <si>
    <t>FGC17483</t>
  </si>
  <si>
    <t>ZS2385</t>
  </si>
  <si>
    <t>FGC17485</t>
  </si>
  <si>
    <t>ZS2386</t>
  </si>
  <si>
    <t>FGC17490</t>
  </si>
  <si>
    <t>ZS2388</t>
  </si>
  <si>
    <t>3720806..3720810</t>
  </si>
  <si>
    <t>ZS2380</t>
  </si>
  <si>
    <t>ZS3664</t>
  </si>
  <si>
    <t>ZS3665</t>
  </si>
  <si>
    <t>ZS4340</t>
  </si>
  <si>
    <t>rs954340001</t>
  </si>
  <si>
    <t>ZS4341</t>
  </si>
  <si>
    <t>ZS4342</t>
  </si>
  <si>
    <t>ZS4343</t>
  </si>
  <si>
    <t>ZS4344</t>
  </si>
  <si>
    <t>FGC4745</t>
  </si>
  <si>
    <t>Y12510</t>
  </si>
  <si>
    <t>rs865848119</t>
  </si>
  <si>
    <t>FGC4766</t>
  </si>
  <si>
    <t>Y10745</t>
  </si>
  <si>
    <t>rs866240943</t>
  </si>
  <si>
    <t>FGC48084</t>
  </si>
  <si>
    <t>Y5148</t>
  </si>
  <si>
    <t>ZS9422</t>
  </si>
  <si>
    <t>Y20025</t>
  </si>
  <si>
    <t>ZS9414</t>
  </si>
  <si>
    <t>ZS9415</t>
  </si>
  <si>
    <t>ZS9416</t>
  </si>
  <si>
    <t>ZS9418</t>
  </si>
  <si>
    <t>ZS9424</t>
  </si>
  <si>
    <t>ZS9425</t>
  </si>
  <si>
    <t>ZS9426</t>
  </si>
  <si>
    <t>ZS9428</t>
  </si>
  <si>
    <t>ZS9429</t>
  </si>
  <si>
    <t>ZS9431</t>
  </si>
  <si>
    <t>ZS9432</t>
  </si>
  <si>
    <t>ZS9433</t>
  </si>
  <si>
    <t>ZS9434</t>
  </si>
  <si>
    <t>ZS9435</t>
  </si>
  <si>
    <t>ZS9436</t>
  </si>
  <si>
    <t>rs914922648</t>
  </si>
  <si>
    <t>ZS9440</t>
  </si>
  <si>
    <t>ZS9441</t>
  </si>
  <si>
    <t>ZS9442</t>
  </si>
  <si>
    <t>ZS10111</t>
  </si>
  <si>
    <t>ZS10112</t>
  </si>
  <si>
    <t>ZS10113</t>
  </si>
  <si>
    <t>ZS10114</t>
  </si>
  <si>
    <t>ZS10117</t>
  </si>
  <si>
    <t>FGC4736</t>
  </si>
  <si>
    <t>Y12501</t>
  </si>
  <si>
    <t>rs867477946</t>
  </si>
  <si>
    <t>FGC4737</t>
  </si>
  <si>
    <t>Y12508</t>
  </si>
  <si>
    <t>rs866301294</t>
  </si>
  <si>
    <t>FGC4738</t>
  </si>
  <si>
    <t>Y10736</t>
  </si>
  <si>
    <t>rs866425574</t>
  </si>
  <si>
    <t>FGC4739</t>
  </si>
  <si>
    <t>Y10737</t>
  </si>
  <si>
    <t>rs868860208</t>
  </si>
  <si>
    <t>FGC4741</t>
  </si>
  <si>
    <t>Y12509</t>
  </si>
  <si>
    <t>rs868153667</t>
  </si>
  <si>
    <t>FGC4742</t>
  </si>
  <si>
    <t>Y12498</t>
  </si>
  <si>
    <t>rs867070388</t>
  </si>
  <si>
    <t>FGC4754</t>
  </si>
  <si>
    <t>Y10738</t>
  </si>
  <si>
    <t>rs867436421</t>
  </si>
  <si>
    <t>FGC4756</t>
  </si>
  <si>
    <t>Y11295</t>
  </si>
  <si>
    <t>rs867106050</t>
  </si>
  <si>
    <t>FGC4757</t>
  </si>
  <si>
    <t>Y10739</t>
  </si>
  <si>
    <t>rs866184009</t>
  </si>
  <si>
    <t>FGC4758</t>
  </si>
  <si>
    <t>Y10740</t>
  </si>
  <si>
    <t>rs868570515</t>
  </si>
  <si>
    <t>FGC4759</t>
  </si>
  <si>
    <t>Y10741</t>
  </si>
  <si>
    <t>rs865884504</t>
  </si>
  <si>
    <t>FGC4760</t>
  </si>
  <si>
    <t>Y12345</t>
  </si>
  <si>
    <t>rs868460331</t>
  </si>
  <si>
    <t>FGC4762</t>
  </si>
  <si>
    <t>Y12504</t>
  </si>
  <si>
    <t>rs866934801</t>
  </si>
  <si>
    <t>FGC4763</t>
  </si>
  <si>
    <t>Y10742</t>
  </si>
  <si>
    <t>rs866083329</t>
  </si>
  <si>
    <t>FGC4765</t>
  </si>
  <si>
    <t>Y12514</t>
  </si>
  <si>
    <t>FGC4767</t>
  </si>
  <si>
    <t>Y10746</t>
  </si>
  <si>
    <t>rs867944491</t>
  </si>
  <si>
    <t>FGC4768</t>
  </si>
  <si>
    <t>Y12515</t>
  </si>
  <si>
    <t>rs868506762</t>
  </si>
  <si>
    <t>FGC4769</t>
  </si>
  <si>
    <t>Y10747</t>
  </si>
  <si>
    <t>rs866780255</t>
  </si>
  <si>
    <t>FGC4770</t>
  </si>
  <si>
    <t>Y12511</t>
  </si>
  <si>
    <t>rs865944974</t>
  </si>
  <si>
    <t>FGC4772</t>
  </si>
  <si>
    <t>Y10748</t>
  </si>
  <si>
    <t>rs866155435</t>
  </si>
  <si>
    <t>FGC4774</t>
  </si>
  <si>
    <t>Y10750</t>
  </si>
  <si>
    <t>rs868196548</t>
  </si>
  <si>
    <t>FGC4777</t>
  </si>
  <si>
    <t>Y12513</t>
  </si>
  <si>
    <t>rs866689093</t>
  </si>
  <si>
    <t>FGC4778</t>
  </si>
  <si>
    <t>Y12346</t>
  </si>
  <si>
    <t>rs868725247</t>
  </si>
  <si>
    <t>FGC4779</t>
  </si>
  <si>
    <t>Y10751</t>
  </si>
  <si>
    <t>FGC4780</t>
  </si>
  <si>
    <t>Y10752</t>
  </si>
  <si>
    <t>rs866482506</t>
  </si>
  <si>
    <t>FGC4781</t>
  </si>
  <si>
    <t>Y11297</t>
  </si>
  <si>
    <t>rs867428399</t>
  </si>
  <si>
    <t>FGC4784</t>
  </si>
  <si>
    <t>Y10753</t>
  </si>
  <si>
    <t>rs866068687</t>
  </si>
  <si>
    <t>FGC4785</t>
  </si>
  <si>
    <t>Y11298</t>
  </si>
  <si>
    <t>rs866936669</t>
  </si>
  <si>
    <t>FGC4786</t>
  </si>
  <si>
    <t>Y10754</t>
  </si>
  <si>
    <t>Y10743</t>
  </si>
  <si>
    <t>rs867660496</t>
  </si>
  <si>
    <t>Y10744</t>
  </si>
  <si>
    <t>rs868525221</t>
  </si>
  <si>
    <t>FGC21559</t>
  </si>
  <si>
    <t>Y12347; ZS4655</t>
  </si>
  <si>
    <t>rs866643245</t>
  </si>
  <si>
    <t>Y12347</t>
  </si>
  <si>
    <t>FGC21559; ZS4655</t>
  </si>
  <si>
    <t>ZS4655</t>
  </si>
  <si>
    <t>FGC21559; Y12347</t>
  </si>
  <si>
    <t>FGC21561</t>
  </si>
  <si>
    <t>Y12348; ZS4657</t>
  </si>
  <si>
    <t>rs866274178</t>
  </si>
  <si>
    <t>Y12348</t>
  </si>
  <si>
    <t>FGC21561; ZS4657</t>
  </si>
  <si>
    <t>ZS4657</t>
  </si>
  <si>
    <t>FGC21561; Y12348</t>
  </si>
  <si>
    <t>FGC21562</t>
  </si>
  <si>
    <t>Y12350; ZS4658</t>
  </si>
  <si>
    <t>rs867844210</t>
  </si>
  <si>
    <t>Y12350</t>
  </si>
  <si>
    <t>FGC21562; ZS4658</t>
  </si>
  <si>
    <t>ZS4658</t>
  </si>
  <si>
    <t>FGC21562; Y12350</t>
  </si>
  <si>
    <t>FGC21565</t>
  </si>
  <si>
    <t>Y12351; ZS4661</t>
  </si>
  <si>
    <t>rs867376630</t>
  </si>
  <si>
    <t>Y12351</t>
  </si>
  <si>
    <t>FGC21565; ZS4661</t>
  </si>
  <si>
    <t>ZS4661</t>
  </si>
  <si>
    <t>FGC21565; Y12351</t>
  </si>
  <si>
    <t>FGC21566</t>
  </si>
  <si>
    <t>Y12352; ZS4663</t>
  </si>
  <si>
    <t>Y12352</t>
  </si>
  <si>
    <t>FGC21566; ZS4663</t>
  </si>
  <si>
    <t>ZS4663</t>
  </si>
  <si>
    <t>FGC21566; Y12352</t>
  </si>
  <si>
    <t>FGC21567</t>
  </si>
  <si>
    <t>Y12657</t>
  </si>
  <si>
    <t>FGC21568</t>
  </si>
  <si>
    <t>Y12353; ZS4664</t>
  </si>
  <si>
    <t>rs866605838</t>
  </si>
  <si>
    <t>Y12353</t>
  </si>
  <si>
    <t>FGC21568; ZS4664</t>
  </si>
  <si>
    <t>ZS4664</t>
  </si>
  <si>
    <t>FGC21568; Y12353</t>
  </si>
  <si>
    <t>FGC22397</t>
  </si>
  <si>
    <t>FGC22395</t>
  </si>
  <si>
    <t>rs865799749</t>
  </si>
  <si>
    <t>FGC21560</t>
  </si>
  <si>
    <t>ZS4656</t>
  </si>
  <si>
    <t>rs868773410</t>
  </si>
  <si>
    <t>FGC21564</t>
  </si>
  <si>
    <t>ZS4660</t>
  </si>
  <si>
    <t>rs762851039</t>
  </si>
  <si>
    <t>Y20901</t>
  </si>
  <si>
    <t>rs866453095</t>
  </si>
  <si>
    <t>Y21779</t>
  </si>
  <si>
    <t>Y21780</t>
  </si>
  <si>
    <t>rs867531592</t>
  </si>
  <si>
    <t>FGC4812</t>
  </si>
  <si>
    <t>Y12655</t>
  </si>
  <si>
    <t>FGC4814</t>
  </si>
  <si>
    <t>Y12349</t>
  </si>
  <si>
    <t>FGC4816</t>
  </si>
  <si>
    <t>Y13516</t>
  </si>
  <si>
    <t>FGC4817</t>
  </si>
  <si>
    <t>Y12656</t>
  </si>
  <si>
    <t>FGC4725</t>
  </si>
  <si>
    <t>Y11777</t>
  </si>
  <si>
    <t>FGC4726</t>
  </si>
  <si>
    <t>Y12506</t>
  </si>
  <si>
    <t>FGC4740</t>
  </si>
  <si>
    <t>Y11776</t>
  </si>
  <si>
    <t>FGC4744</t>
  </si>
  <si>
    <t>Y12516</t>
  </si>
  <si>
    <t>FGC4776</t>
  </si>
  <si>
    <t>Y11778</t>
  </si>
  <si>
    <t>FGC4783</t>
  </si>
  <si>
    <t>Y12503</t>
  </si>
  <si>
    <t>FGC4787</t>
  </si>
  <si>
    <t>Y11779</t>
  </si>
  <si>
    <t>FGC51709</t>
  </si>
  <si>
    <t>ZS11875</t>
  </si>
  <si>
    <t>FGC51710</t>
  </si>
  <si>
    <t>ZS11876</t>
  </si>
  <si>
    <t>FGC51712</t>
  </si>
  <si>
    <t>FGC4799</t>
  </si>
  <si>
    <t>Y12505</t>
  </si>
  <si>
    <t>FGC4800</t>
  </si>
  <si>
    <t>Y12507</t>
  </si>
  <si>
    <t>L423</t>
  </si>
  <si>
    <t>L1449</t>
  </si>
  <si>
    <t>ZS6272</t>
  </si>
  <si>
    <t>rs367929920</t>
  </si>
  <si>
    <t>ZS6274</t>
  </si>
  <si>
    <t>ZS6280</t>
  </si>
  <si>
    <t>ZS6283</t>
  </si>
  <si>
    <t>ZS6285</t>
  </si>
  <si>
    <t>CTS10835</t>
  </si>
  <si>
    <t>PF4828; Z1884</t>
  </si>
  <si>
    <t>rs373832646</t>
  </si>
  <si>
    <t>PF4828</t>
  </si>
  <si>
    <t>CTS10835; Z1884</t>
  </si>
  <si>
    <t>Z1884</t>
  </si>
  <si>
    <t>CTS10835; PF4828</t>
  </si>
  <si>
    <t>PF4851</t>
  </si>
  <si>
    <t>L858</t>
  </si>
  <si>
    <t>rs369778229</t>
  </si>
  <si>
    <t>YSC0000080</t>
  </si>
  <si>
    <t>rs372669299</t>
  </si>
  <si>
    <t>PF4869</t>
  </si>
  <si>
    <t>rs764478664</t>
  </si>
  <si>
    <t>PF4872</t>
  </si>
  <si>
    <t>rs941996933</t>
  </si>
  <si>
    <t>PF4874</t>
  </si>
  <si>
    <t>rs1353896166</t>
  </si>
  <si>
    <t>PF4876</t>
  </si>
  <si>
    <t>rs1051605678</t>
  </si>
  <si>
    <t>PF4877</t>
  </si>
  <si>
    <t>rs938611422</t>
  </si>
  <si>
    <t>PF4879</t>
  </si>
  <si>
    <t>rs1343836710</t>
  </si>
  <si>
    <t>CTS2572</t>
  </si>
  <si>
    <t>rs766499183</t>
  </si>
  <si>
    <t>L829</t>
  </si>
  <si>
    <t>PF4875</t>
  </si>
  <si>
    <t>rs775473850</t>
  </si>
  <si>
    <t>PF4867</t>
  </si>
  <si>
    <t>PF4878</t>
  </si>
  <si>
    <t>CTS2263</t>
  </si>
  <si>
    <t>M7148; PF4852</t>
  </si>
  <si>
    <t>rs551706237</t>
  </si>
  <si>
    <t>M7148</t>
  </si>
  <si>
    <t>CTS2263; PF4852</t>
  </si>
  <si>
    <t>PF4852</t>
  </si>
  <si>
    <t>CTS2263; M7148</t>
  </si>
  <si>
    <t>PF4866</t>
  </si>
  <si>
    <t>FGC12836</t>
  </si>
  <si>
    <t>rs1032351817</t>
  </si>
  <si>
    <t>FGC1285</t>
  </si>
  <si>
    <t>Y3800</t>
  </si>
  <si>
    <t>rs1044214169</t>
  </si>
  <si>
    <t>CTS7699</t>
  </si>
  <si>
    <t>YSC0001288</t>
  </si>
  <si>
    <t>rs754383795</t>
  </si>
  <si>
    <t>Z28288</t>
  </si>
  <si>
    <t>Z28289</t>
  </si>
  <si>
    <t>Z28290</t>
  </si>
  <si>
    <t>Z28291</t>
  </si>
  <si>
    <t>rs1227675051</t>
  </si>
  <si>
    <t>Z28292</t>
  </si>
  <si>
    <t>Z28293</t>
  </si>
  <si>
    <t>rs768238529</t>
  </si>
  <si>
    <t>Z28294</t>
  </si>
  <si>
    <t>Z28295</t>
  </si>
  <si>
    <t>Z28296</t>
  </si>
  <si>
    <t>FGC8182</t>
  </si>
  <si>
    <t>Y2920</t>
  </si>
  <si>
    <t>rs751613702</t>
  </si>
  <si>
    <t>FGC8185</t>
  </si>
  <si>
    <t>Y5761; ZS219</t>
  </si>
  <si>
    <t>rs755092830</t>
  </si>
  <si>
    <t>Y5761</t>
  </si>
  <si>
    <t>FGC8185; ZS219</t>
  </si>
  <si>
    <t>ZS219</t>
  </si>
  <si>
    <t>FGC8185; Y5761</t>
  </si>
  <si>
    <t>YSC0000076</t>
  </si>
  <si>
    <t>rs866482906</t>
  </si>
  <si>
    <t>FGC8223</t>
  </si>
  <si>
    <t>Y3441</t>
  </si>
  <si>
    <t>rs868093956</t>
  </si>
  <si>
    <t>ZS1515</t>
  </si>
  <si>
    <t>ZS1517</t>
  </si>
  <si>
    <t>ZS1527</t>
  </si>
  <si>
    <t>ZS1530</t>
  </si>
  <si>
    <t>ZS1534</t>
  </si>
  <si>
    <t>FGC8183</t>
  </si>
  <si>
    <t>FGC8214</t>
  </si>
  <si>
    <t>rs1049408377</t>
  </si>
  <si>
    <t>FGC8216</t>
  </si>
  <si>
    <t>rs892621697</t>
  </si>
  <si>
    <t>FGC8226</t>
  </si>
  <si>
    <t>CTS5332</t>
  </si>
  <si>
    <t>PF7472</t>
  </si>
  <si>
    <t>rs769562543</t>
  </si>
  <si>
    <t>ZS4360</t>
  </si>
  <si>
    <t>rs941900625</t>
  </si>
  <si>
    <t>ZS4365</t>
  </si>
  <si>
    <t>rs912119447</t>
  </si>
  <si>
    <t>FGC8195</t>
  </si>
  <si>
    <t>FGC8196</t>
  </si>
  <si>
    <t>FGC8204</t>
  </si>
  <si>
    <t>FGC8213</t>
  </si>
  <si>
    <t>FGC8217</t>
  </si>
  <si>
    <t>FGC8220</t>
  </si>
  <si>
    <t>FGC8227</t>
  </si>
  <si>
    <t>FGC8231</t>
  </si>
  <si>
    <t>ZS9039</t>
  </si>
  <si>
    <t>ZS9040</t>
  </si>
  <si>
    <t>ZS9041</t>
  </si>
  <si>
    <t>ZS9043</t>
  </si>
  <si>
    <t>FGC8224</t>
  </si>
  <si>
    <t>Y3442</t>
  </si>
  <si>
    <t>rs868863646</t>
  </si>
  <si>
    <t>FGC17145</t>
  </si>
  <si>
    <t>Z18206</t>
  </si>
  <si>
    <t>rs865893322</t>
  </si>
  <si>
    <t>FGC17146</t>
  </si>
  <si>
    <t>Z18209</t>
  </si>
  <si>
    <t>rs867196447</t>
  </si>
  <si>
    <t>FGC17159</t>
  </si>
  <si>
    <t>Z18215</t>
  </si>
  <si>
    <t>rs868136900</t>
  </si>
  <si>
    <t>FGC22728</t>
  </si>
  <si>
    <t>rs986724107</t>
  </si>
  <si>
    <t>FGC22734</t>
  </si>
  <si>
    <t>Z18207</t>
  </si>
  <si>
    <t>rs865874701</t>
  </si>
  <si>
    <t>rs979958545</t>
  </si>
  <si>
    <t>FGC35123</t>
  </si>
  <si>
    <t>rs913359363</t>
  </si>
  <si>
    <t>SK1303</t>
  </si>
  <si>
    <t>ZS1585</t>
  </si>
  <si>
    <t>rs996050614</t>
  </si>
  <si>
    <t>ZS1576</t>
  </si>
  <si>
    <t>FGC35108</t>
  </si>
  <si>
    <t>ZS5598</t>
  </si>
  <si>
    <t>rs28396219</t>
  </si>
  <si>
    <t>SK1304</t>
  </si>
  <si>
    <t>ZS1579</t>
  </si>
  <si>
    <t>rs947704859</t>
  </si>
  <si>
    <t>ZS1574</t>
  </si>
  <si>
    <t>rs1056553139</t>
  </si>
  <si>
    <t>ZS1582</t>
  </si>
  <si>
    <t>rs959270898</t>
  </si>
  <si>
    <t>ZS5597</t>
  </si>
  <si>
    <t>rs1029517080</t>
  </si>
  <si>
    <t>ZS5602</t>
  </si>
  <si>
    <t>rs1045998695</t>
  </si>
  <si>
    <t>ZS5604</t>
  </si>
  <si>
    <t>rs907934341</t>
  </si>
  <si>
    <t>ZS5606</t>
  </si>
  <si>
    <t>rs891577087</t>
  </si>
  <si>
    <t>ZS5599</t>
  </si>
  <si>
    <t>ZS5601</t>
  </si>
  <si>
    <t>ZS5603</t>
  </si>
  <si>
    <t>V1763</t>
  </si>
  <si>
    <t>ZS6814</t>
  </si>
  <si>
    <t>rs984952398</t>
  </si>
  <si>
    <t>ZS6801</t>
  </si>
  <si>
    <t>ZS6806</t>
  </si>
  <si>
    <t>ZS6810</t>
  </si>
  <si>
    <t>FGC17140</t>
  </si>
  <si>
    <t>ZS1602</t>
  </si>
  <si>
    <t>rs868261889</t>
  </si>
  <si>
    <t>FGC17148</t>
  </si>
  <si>
    <t>ZS1608</t>
  </si>
  <si>
    <t>rs867154606</t>
  </si>
  <si>
    <t>FGC17155</t>
  </si>
  <si>
    <t>ZS4020</t>
  </si>
  <si>
    <t>rs866332495</t>
  </si>
  <si>
    <t>FGC31306</t>
  </si>
  <si>
    <t>rs867308944</t>
  </si>
  <si>
    <t>FGC31308</t>
  </si>
  <si>
    <t>rs868282431</t>
  </si>
  <si>
    <t>FGC31309</t>
  </si>
  <si>
    <t>rs865817659</t>
  </si>
  <si>
    <t>ZS6155</t>
  </si>
  <si>
    <t>rs867378899</t>
  </si>
  <si>
    <t>ZS6157</t>
  </si>
  <si>
    <t>rs865806667</t>
  </si>
  <si>
    <t>FGC17141</t>
  </si>
  <si>
    <t>ZS1603</t>
  </si>
  <si>
    <t>FGC17150</t>
  </si>
  <si>
    <t>ZS1610</t>
  </si>
  <si>
    <t>rs867984723</t>
  </si>
  <si>
    <t>YSC0000787</t>
  </si>
  <si>
    <t>rs868419912</t>
  </si>
  <si>
    <t>ZS1616^^</t>
  </si>
  <si>
    <t>FGC17156^^</t>
  </si>
  <si>
    <t>ZS1612; FGC17152</t>
  </si>
  <si>
    <t>rs868622558</t>
  </si>
  <si>
    <t>ZS4008</t>
  </si>
  <si>
    <t>rs866379592</t>
  </si>
  <si>
    <t>ZS4009</t>
  </si>
  <si>
    <t>rs866647315</t>
  </si>
  <si>
    <t>ZS6319</t>
  </si>
  <si>
    <t>ZS6572</t>
  </si>
  <si>
    <t>rs931477264</t>
  </si>
  <si>
    <t>A8099</t>
  </si>
  <si>
    <t>ZS7406</t>
  </si>
  <si>
    <t>ZS7409</t>
  </si>
  <si>
    <t>ZS7411</t>
  </si>
  <si>
    <t>ZS7412</t>
  </si>
  <si>
    <t>FGC17136</t>
  </si>
  <si>
    <t>ZS1601</t>
  </si>
  <si>
    <t>rs767960848</t>
  </si>
  <si>
    <t>FGC17139</t>
  </si>
  <si>
    <t>ZS1600</t>
  </si>
  <si>
    <t>rs867687941</t>
  </si>
  <si>
    <t>FGC17142</t>
  </si>
  <si>
    <t>ZS1605</t>
  </si>
  <si>
    <t>FGC17149</t>
  </si>
  <si>
    <t>ZS1609</t>
  </si>
  <si>
    <t>rs866205040</t>
  </si>
  <si>
    <t>L1279</t>
  </si>
  <si>
    <t>rs867217516</t>
  </si>
  <si>
    <t>FGC30108</t>
  </si>
  <si>
    <t>ZS4870</t>
  </si>
  <si>
    <t>rs868322512</t>
  </si>
  <si>
    <t>FGC30112</t>
  </si>
  <si>
    <t>ZS4875</t>
  </si>
  <si>
    <t>FGC30114</t>
  </si>
  <si>
    <t>ZS4878</t>
  </si>
  <si>
    <t>rs867749274</t>
  </si>
  <si>
    <t>FGC43934</t>
  </si>
  <si>
    <t>rs868027256</t>
  </si>
  <si>
    <t>FGC17144</t>
  </si>
  <si>
    <t>ZS1606</t>
  </si>
  <si>
    <t>FGC30148</t>
  </si>
  <si>
    <t>ZS4615</t>
  </si>
  <si>
    <t>rs1040114287</t>
  </si>
  <si>
    <t>ZS1548</t>
  </si>
  <si>
    <t>rs908269088</t>
  </si>
  <si>
    <t>ZS1549</t>
  </si>
  <si>
    <t>rs951804013</t>
  </si>
  <si>
    <t>ZS1552</t>
  </si>
  <si>
    <t>ZS5155</t>
  </si>
  <si>
    <t>rs1004041067</t>
  </si>
  <si>
    <t>FGC32785</t>
  </si>
  <si>
    <t>ZS6820</t>
  </si>
  <si>
    <t>FGC32786</t>
  </si>
  <si>
    <t>ZS6821</t>
  </si>
  <si>
    <t>rs759247089</t>
  </si>
  <si>
    <t>ZS6829</t>
  </si>
  <si>
    <t>ZS6834</t>
  </si>
  <si>
    <t>rs370633213</t>
  </si>
  <si>
    <t>Z18186</t>
  </si>
  <si>
    <t>rs936485360</t>
  </si>
  <si>
    <t>Z18187</t>
  </si>
  <si>
    <t>rs1054573466</t>
  </si>
  <si>
    <t>Z18188</t>
  </si>
  <si>
    <t>rs966415251</t>
  </si>
  <si>
    <t>Z18190</t>
  </si>
  <si>
    <t>rs956406354</t>
  </si>
  <si>
    <t>L1253</t>
  </si>
  <si>
    <t>rs898841539</t>
  </si>
  <si>
    <t>Z18182</t>
  </si>
  <si>
    <t>rs923361298</t>
  </si>
  <si>
    <t>Z18183</t>
  </si>
  <si>
    <t>rs1033162544</t>
  </si>
  <si>
    <t>Z18185</t>
  </si>
  <si>
    <t>Z18189</t>
  </si>
  <si>
    <t>rs1050347462</t>
  </si>
  <si>
    <t>FGC15940</t>
  </si>
  <si>
    <t>Y6094</t>
  </si>
  <si>
    <t>rs760148062</t>
  </si>
  <si>
    <t>rs868193779</t>
  </si>
  <si>
    <t>Y16813.1</t>
  </si>
  <si>
    <t>Z18216.1</t>
  </si>
  <si>
    <t>rs866973927</t>
  </si>
  <si>
    <t>rs868300285</t>
  </si>
  <si>
    <t>L823</t>
  </si>
  <si>
    <t>YSC0000212</t>
  </si>
  <si>
    <t>rs901404634</t>
  </si>
  <si>
    <t>ZS1708</t>
  </si>
  <si>
    <t>rs1017165961</t>
  </si>
  <si>
    <t>ZS1712</t>
  </si>
  <si>
    <t>rs901905568</t>
  </si>
  <si>
    <t>ZS1713</t>
  </si>
  <si>
    <t>rs929373551</t>
  </si>
  <si>
    <t>ZS1714</t>
  </si>
  <si>
    <t>rs1027735105</t>
  </si>
  <si>
    <t>ZS1715</t>
  </si>
  <si>
    <t>rs916748397</t>
  </si>
  <si>
    <t>ZS1719</t>
  </si>
  <si>
    <t>rs1043084820</t>
  </si>
  <si>
    <t>ZS1720</t>
  </si>
  <si>
    <t>rs943017225</t>
  </si>
  <si>
    <t>ZS1722</t>
  </si>
  <si>
    <t>rs1050230858</t>
  </si>
  <si>
    <t>ZS1726</t>
  </si>
  <si>
    <t>rs986716485</t>
  </si>
  <si>
    <t>ZS1727</t>
  </si>
  <si>
    <t>BY101</t>
  </si>
  <si>
    <t>ZS1703</t>
  </si>
  <si>
    <t>rs774001193</t>
  </si>
  <si>
    <t>ZS1705</t>
  </si>
  <si>
    <t>ZS1707</t>
  </si>
  <si>
    <t>ZS1710</t>
  </si>
  <si>
    <t>ZS1716</t>
  </si>
  <si>
    <t>ZS1717</t>
  </si>
  <si>
    <t>rs960600219</t>
  </si>
  <si>
    <t>ZS1718</t>
  </si>
  <si>
    <t>ZS1721</t>
  </si>
  <si>
    <t>rs1046611258</t>
  </si>
  <si>
    <t>ZS1725</t>
  </si>
  <si>
    <t>ZS4763</t>
  </si>
  <si>
    <t>rs982398322</t>
  </si>
  <si>
    <t>ZS4764</t>
  </si>
  <si>
    <t>rs1042907778</t>
  </si>
  <si>
    <t>ZS4765</t>
  </si>
  <si>
    <t>rs895591279</t>
  </si>
  <si>
    <t>ZS4769</t>
  </si>
  <si>
    <t>FGC28328</t>
  </si>
  <si>
    <t>ZS4772</t>
  </si>
  <si>
    <t>BY1795</t>
  </si>
  <si>
    <t>ZS11216</t>
  </si>
  <si>
    <t>ZS4767</t>
  </si>
  <si>
    <t>FGC25832</t>
  </si>
  <si>
    <t>YP2753; ZS4838</t>
  </si>
  <si>
    <t>YP2753</t>
  </si>
  <si>
    <t>FGC25832; ZS4838</t>
  </si>
  <si>
    <t>ZS4838</t>
  </si>
  <si>
    <t>FGC25832; YP2753</t>
  </si>
  <si>
    <t>ZS4837</t>
  </si>
  <si>
    <t>ZS4839</t>
  </si>
  <si>
    <t>ZS4842</t>
  </si>
  <si>
    <t>ZS4846</t>
  </si>
  <si>
    <t>ZS4847</t>
  </si>
  <si>
    <t>ZS4850</t>
  </si>
  <si>
    <t>ZS4851</t>
  </si>
  <si>
    <t>ZS4853</t>
  </si>
  <si>
    <t>ZS4854</t>
  </si>
  <si>
    <t>ZS4855</t>
  </si>
  <si>
    <t>ZS4858</t>
  </si>
  <si>
    <t>ZS4860</t>
  </si>
  <si>
    <t>ZS4862</t>
  </si>
  <si>
    <t>ZS4866</t>
  </si>
  <si>
    <t>ZS4867</t>
  </si>
  <si>
    <t>ZS5891</t>
  </si>
  <si>
    <t>rs974237686</t>
  </si>
  <si>
    <t>ZS5892.1</t>
  </si>
  <si>
    <t>rs761965205</t>
  </si>
  <si>
    <t>ZS5895</t>
  </si>
  <si>
    <t>rs1017176708</t>
  </si>
  <si>
    <t>ZS5898</t>
  </si>
  <si>
    <t>rs910096700</t>
  </si>
  <si>
    <t>FGC12309</t>
  </si>
  <si>
    <t>rs1054667173</t>
  </si>
  <si>
    <t>ZS5884</t>
  </si>
  <si>
    <t>rs909584680</t>
  </si>
  <si>
    <t>ZS5886</t>
  </si>
  <si>
    <t>ZS5888</t>
  </si>
  <si>
    <t>rs1001745395</t>
  </si>
  <si>
    <t>ZS1766</t>
  </si>
  <si>
    <t>ZS1767</t>
  </si>
  <si>
    <t>ZS1775</t>
  </si>
  <si>
    <t>ZS1778</t>
  </si>
  <si>
    <t>FGC15938</t>
  </si>
  <si>
    <t>Y6095</t>
  </si>
  <si>
    <t>rs767163356</t>
  </si>
  <si>
    <t>FGC15996</t>
  </si>
  <si>
    <t>Y6096</t>
  </si>
  <si>
    <t>rs1046671911</t>
  </si>
  <si>
    <t>rs1042715832</t>
  </si>
  <si>
    <t>BY102</t>
  </si>
  <si>
    <t>ZS1659</t>
  </si>
  <si>
    <t>rs1292637617</t>
  </si>
  <si>
    <t>Z28268</t>
  </si>
  <si>
    <t>Z28286</t>
  </si>
  <si>
    <t>Z28279</t>
  </si>
  <si>
    <t>Z28285</t>
  </si>
  <si>
    <t>ZS1661</t>
  </si>
  <si>
    <t>rs1338402096</t>
  </si>
  <si>
    <t>ZS1674</t>
  </si>
  <si>
    <t>rs984520922</t>
  </si>
  <si>
    <t>ZS1679</t>
  </si>
  <si>
    <t>rs898512951</t>
  </si>
  <si>
    <t>ZS1680</t>
  </si>
  <si>
    <t>rs1022663420</t>
  </si>
  <si>
    <t>ZS1684</t>
  </si>
  <si>
    <t>rs912116158</t>
  </si>
  <si>
    <t>ZS1690</t>
  </si>
  <si>
    <t>rs920731425</t>
  </si>
  <si>
    <t>ZS1697</t>
  </si>
  <si>
    <t>rs1013214649</t>
  </si>
  <si>
    <t>ZS1699</t>
  </si>
  <si>
    <t>Z1700</t>
  </si>
  <si>
    <t>F450</t>
  </si>
  <si>
    <t>M1667</t>
  </si>
  <si>
    <t>rs201468599</t>
  </si>
  <si>
    <t>ZS1662</t>
  </si>
  <si>
    <t>rs905549696</t>
  </si>
  <si>
    <t>ZS1665</t>
  </si>
  <si>
    <t>rs901993850</t>
  </si>
  <si>
    <t>ZS1670</t>
  </si>
  <si>
    <t>rs959344152</t>
  </si>
  <si>
    <t>ZS1671</t>
  </si>
  <si>
    <t>ZS1672</t>
  </si>
  <si>
    <t>rs1005826753</t>
  </si>
  <si>
    <t>ZS1681</t>
  </si>
  <si>
    <t>rs975779653</t>
  </si>
  <si>
    <t>rs914309285</t>
  </si>
  <si>
    <t>ZS1683</t>
  </si>
  <si>
    <t>rs1053941384</t>
  </si>
  <si>
    <t>ZS1685</t>
  </si>
  <si>
    <t>rs941777979</t>
  </si>
  <si>
    <t>ZS1688</t>
  </si>
  <si>
    <t>ZS1691</t>
  </si>
  <si>
    <t>rs975782039</t>
  </si>
  <si>
    <t>ZS6210</t>
  </si>
  <si>
    <t>rs932993329</t>
  </si>
  <si>
    <t>ZS6214</t>
  </si>
  <si>
    <t>ZS6968</t>
  </si>
  <si>
    <t>ZS6955</t>
  </si>
  <si>
    <t>ZS6958</t>
  </si>
  <si>
    <t>ZS6963</t>
  </si>
  <si>
    <t>rs962167929</t>
  </si>
  <si>
    <t>PF7266</t>
  </si>
  <si>
    <t>PF7268</t>
  </si>
  <si>
    <t>Z28270</t>
  </si>
  <si>
    <t>Z28283</t>
  </si>
  <si>
    <t>CTS1746</t>
  </si>
  <si>
    <t>rs773446392</t>
  </si>
  <si>
    <t>CTS4369</t>
  </si>
  <si>
    <t>rs774687812</t>
  </si>
  <si>
    <t>CTS5857</t>
  </si>
  <si>
    <t>ZS215</t>
  </si>
  <si>
    <t>CTS8195</t>
  </si>
  <si>
    <t>ZS213</t>
  </si>
  <si>
    <t>rs745812649</t>
  </si>
  <si>
    <t>CTS8222</t>
  </si>
  <si>
    <t>rs777112104</t>
  </si>
  <si>
    <t>rs764077447</t>
  </si>
  <si>
    <t>CTS6152</t>
  </si>
  <si>
    <t>Z2297</t>
  </si>
  <si>
    <t>rs754150887</t>
  </si>
  <si>
    <t>FGC5205</t>
  </si>
  <si>
    <t>Y2334</t>
  </si>
  <si>
    <t>rs780495551</t>
  </si>
  <si>
    <t>FGC7981</t>
  </si>
  <si>
    <t>Y2347; ZS157</t>
  </si>
  <si>
    <t>rs754840903</t>
  </si>
  <si>
    <t>Y2347</t>
  </si>
  <si>
    <t>FGC7981; ZS157</t>
  </si>
  <si>
    <t>ZS157</t>
  </si>
  <si>
    <t>FGC7981; Y2347</t>
  </si>
  <si>
    <t>Z640</t>
  </si>
  <si>
    <t>rs781050735</t>
  </si>
  <si>
    <t>Z641</t>
  </si>
  <si>
    <t>rs756330939</t>
  </si>
  <si>
    <t>FGC52766</t>
  </si>
  <si>
    <t>Y23728</t>
  </si>
  <si>
    <t>L174</t>
  </si>
  <si>
    <t>ZS1325</t>
  </si>
  <si>
    <t>ZS1326</t>
  </si>
  <si>
    <t>ZS1332</t>
  </si>
  <si>
    <t>ZS1335</t>
  </si>
  <si>
    <t>ZS1342</t>
  </si>
  <si>
    <t>ZS1343</t>
  </si>
  <si>
    <t>ZS7611</t>
  </si>
  <si>
    <t>BY74</t>
  </si>
  <si>
    <t>Z18180</t>
  </si>
  <si>
    <t>rs866503702</t>
  </si>
  <si>
    <t>Y22688</t>
  </si>
  <si>
    <t>ZS1482</t>
  </si>
  <si>
    <t>ZS6362</t>
  </si>
  <si>
    <t>ZS6381</t>
  </si>
  <si>
    <t>ZS1468</t>
  </si>
  <si>
    <t>ZS1469</t>
  </si>
  <si>
    <t>ZS1470</t>
  </si>
  <si>
    <t>ZS1471</t>
  </si>
  <si>
    <t>ZS1473</t>
  </si>
  <si>
    <t>FGC5213</t>
  </si>
  <si>
    <t>FGC5230</t>
  </si>
  <si>
    <t>rs950192634</t>
  </si>
  <si>
    <t>FGC5232</t>
  </si>
  <si>
    <t>rs892273350</t>
  </si>
  <si>
    <t>FGC5239</t>
  </si>
  <si>
    <t>rs946186673</t>
  </si>
  <si>
    <t>FGC5206</t>
  </si>
  <si>
    <t>rs566753336</t>
  </si>
  <si>
    <t>FGC5211</t>
  </si>
  <si>
    <t>rs1015242393</t>
  </si>
  <si>
    <t>FGC5214</t>
  </si>
  <si>
    <t>FGC5215</t>
  </si>
  <si>
    <t>FGC5216</t>
  </si>
  <si>
    <t>rs915092741</t>
  </si>
  <si>
    <t>FGC5217</t>
  </si>
  <si>
    <t>rs998079618</t>
  </si>
  <si>
    <t>FGC5218</t>
  </si>
  <si>
    <t>rs1039632325</t>
  </si>
  <si>
    <t>FGC5219</t>
  </si>
  <si>
    <t>rs972390636</t>
  </si>
  <si>
    <t>FGC5220</t>
  </si>
  <si>
    <t>rs1029489015</t>
  </si>
  <si>
    <t>FGC5221</t>
  </si>
  <si>
    <t>FGC5225</t>
  </si>
  <si>
    <t>FGC5226</t>
  </si>
  <si>
    <t>FGC5227</t>
  </si>
  <si>
    <t>FGC5228</t>
  </si>
  <si>
    <t>FGC5235</t>
  </si>
  <si>
    <t>rs942863244</t>
  </si>
  <si>
    <t>FGC5237</t>
  </si>
  <si>
    <t>rs941541070</t>
  </si>
  <si>
    <t>FGC5241</t>
  </si>
  <si>
    <t>rs946750850</t>
  </si>
  <si>
    <t>FGC7982</t>
  </si>
  <si>
    <t>CTS1922</t>
  </si>
  <si>
    <t>Z2295</t>
  </si>
  <si>
    <t>rs762901122</t>
  </si>
  <si>
    <t>CTS5799</t>
  </si>
  <si>
    <t>Z2296</t>
  </si>
  <si>
    <t>rs777991967</t>
  </si>
  <si>
    <t>CTS11754</t>
  </si>
  <si>
    <t>rs760230054</t>
  </si>
  <si>
    <t>Z642</t>
  </si>
  <si>
    <t>CTS4514</t>
  </si>
  <si>
    <t>Z2274</t>
  </si>
  <si>
    <t>rs771847164</t>
  </si>
  <si>
    <t>CTS7034</t>
  </si>
  <si>
    <t>Z2278</t>
  </si>
  <si>
    <t>rs780991545</t>
  </si>
  <si>
    <t>Z2270</t>
  </si>
  <si>
    <t>rs770178342</t>
  </si>
  <si>
    <t>CTS757</t>
  </si>
  <si>
    <t>rs778610783</t>
  </si>
  <si>
    <t>CTS4510</t>
  </si>
  <si>
    <t>Z2273</t>
  </si>
  <si>
    <t>rs759684682</t>
  </si>
  <si>
    <t>CTS4515</t>
  </si>
  <si>
    <t>Z2275</t>
  </si>
  <si>
    <t>rs776311306</t>
  </si>
  <si>
    <t>CTS6792</t>
  </si>
  <si>
    <t>rs770952049</t>
  </si>
  <si>
    <t>CTS7278</t>
  </si>
  <si>
    <t>M721; PF7524</t>
  </si>
  <si>
    <t>rs530124846</t>
  </si>
  <si>
    <t>M721</t>
  </si>
  <si>
    <t>CTS7278; PF7524</t>
  </si>
  <si>
    <t>PF7524</t>
  </si>
  <si>
    <t>CTS7278; M721</t>
  </si>
  <si>
    <t>CTS9836</t>
  </si>
  <si>
    <t>Z2282</t>
  </si>
  <si>
    <t>rs746522762</t>
  </si>
  <si>
    <t>CTS11495</t>
  </si>
  <si>
    <t>Z2288</t>
  </si>
  <si>
    <t>rs776856640</t>
  </si>
  <si>
    <t>Z2276</t>
  </si>
  <si>
    <t>rs772570766</t>
  </si>
  <si>
    <t>Z2280</t>
  </si>
  <si>
    <t>rs777165881</t>
  </si>
  <si>
    <t>Z2290</t>
  </si>
  <si>
    <t>rs749737114</t>
  </si>
  <si>
    <t>Z27746</t>
  </si>
  <si>
    <t>rs760669567</t>
  </si>
  <si>
    <t>ZS1370</t>
  </si>
  <si>
    <t>rs772358879</t>
  </si>
  <si>
    <t>ZS1376</t>
  </si>
  <si>
    <t>rs760006041</t>
  </si>
  <si>
    <t>rs759785360</t>
  </si>
  <si>
    <t>Z18554</t>
  </si>
  <si>
    <t>rs761059391</t>
  </si>
  <si>
    <t>ZS1371</t>
  </si>
  <si>
    <t>rs752532636</t>
  </si>
  <si>
    <t>ZS1373</t>
  </si>
  <si>
    <t>ZS1374</t>
  </si>
  <si>
    <t>rs758751240</t>
  </si>
  <si>
    <t>ZS1375</t>
  </si>
  <si>
    <t>ZS156</t>
  </si>
  <si>
    <t>rs749616934</t>
  </si>
  <si>
    <t>ZS1348</t>
  </si>
  <si>
    <t>rs75413555</t>
  </si>
  <si>
    <t>ZS1349</t>
  </si>
  <si>
    <t>ZS1350</t>
  </si>
  <si>
    <t>ZS1351</t>
  </si>
  <si>
    <t>FGC30542</t>
  </si>
  <si>
    <t>ZS5746</t>
  </si>
  <si>
    <t>rs766104708</t>
  </si>
  <si>
    <t>FGC30544</t>
  </si>
  <si>
    <t>ZS5769</t>
  </si>
  <si>
    <t>rs767415381</t>
  </si>
  <si>
    <t>FGC30545</t>
  </si>
  <si>
    <t>ZS5770</t>
  </si>
  <si>
    <t>rs772803727</t>
  </si>
  <si>
    <t>CTS130</t>
  </si>
  <si>
    <t>rs747578643</t>
  </si>
  <si>
    <t>M3807</t>
  </si>
  <si>
    <t>rs541785175</t>
  </si>
  <si>
    <t>Z27728</t>
  </si>
  <si>
    <t>rs773027353</t>
  </si>
  <si>
    <t>Z44869</t>
  </si>
  <si>
    <t>ZS1365</t>
  </si>
  <si>
    <t>ZS1366</t>
  </si>
  <si>
    <t>ZS1367</t>
  </si>
  <si>
    <t>ZS1369</t>
  </si>
  <si>
    <t>ZS1409</t>
  </si>
  <si>
    <t>rs868369750</t>
  </si>
  <si>
    <t>ZS1411</t>
  </si>
  <si>
    <t>rs866908101</t>
  </si>
  <si>
    <t>ZS1413</t>
  </si>
  <si>
    <t>rs867780162</t>
  </si>
  <si>
    <t>ZS1414</t>
  </si>
  <si>
    <t>rs868211970</t>
  </si>
  <si>
    <t>ZS1420</t>
  </si>
  <si>
    <t>rs868331906</t>
  </si>
  <si>
    <t>FGC11</t>
  </si>
  <si>
    <t>Y3015</t>
  </si>
  <si>
    <t>rs374330394</t>
  </si>
  <si>
    <t>FGC3716</t>
  </si>
  <si>
    <t>Y15057</t>
  </si>
  <si>
    <t>rs998612150</t>
  </si>
  <si>
    <t>FGC3723</t>
  </si>
  <si>
    <t>Y6370</t>
  </si>
  <si>
    <t>rs988033219</t>
  </si>
  <si>
    <t>FGC3744</t>
  </si>
  <si>
    <t>CTS10177</t>
  </si>
  <si>
    <t>rs750570351</t>
  </si>
  <si>
    <t>FGC3708</t>
  </si>
  <si>
    <t>Y6371</t>
  </si>
  <si>
    <t>rs1017029338</t>
  </si>
  <si>
    <t>FGC3718</t>
  </si>
  <si>
    <t>Y6369</t>
  </si>
  <si>
    <t>rs926286416</t>
  </si>
  <si>
    <t>rs890609428</t>
  </si>
  <si>
    <t>Z18256</t>
  </si>
  <si>
    <t>rs905210338</t>
  </si>
  <si>
    <t>Z18257</t>
  </si>
  <si>
    <t>rs1043223706</t>
  </si>
  <si>
    <t>ZS2260</t>
  </si>
  <si>
    <t>ZS2272</t>
  </si>
  <si>
    <t>FGC3706</t>
  </si>
  <si>
    <t>FGC3707</t>
  </si>
  <si>
    <t>FGC3722</t>
  </si>
  <si>
    <t>FGC3728</t>
  </si>
  <si>
    <t>FGC1722</t>
  </si>
  <si>
    <t>S21237</t>
  </si>
  <si>
    <t>rs371782343</t>
  </si>
  <si>
    <t>FGC1701</t>
  </si>
  <si>
    <t>Y8768</t>
  </si>
  <si>
    <t>rs376737696</t>
  </si>
  <si>
    <t>FGC1710</t>
  </si>
  <si>
    <t>Y4352</t>
  </si>
  <si>
    <t>rs371302833</t>
  </si>
  <si>
    <t>FGC1720</t>
  </si>
  <si>
    <t>Y4348</t>
  </si>
  <si>
    <t>rs377152261</t>
  </si>
  <si>
    <t>FGC54321</t>
  </si>
  <si>
    <t>rs1393215989</t>
  </si>
  <si>
    <t>rs1411619085</t>
  </si>
  <si>
    <t>FGC54316</t>
  </si>
  <si>
    <t>Y25838</t>
  </si>
  <si>
    <t>ZS2156</t>
  </si>
  <si>
    <t>ZS2167</t>
  </si>
  <si>
    <t>rs1476474307</t>
  </si>
  <si>
    <t>ZS2168</t>
  </si>
  <si>
    <t>ZS2170</t>
  </si>
  <si>
    <t>ZS2175</t>
  </si>
  <si>
    <t>ZS2176</t>
  </si>
  <si>
    <t>FGC12</t>
  </si>
  <si>
    <t>Y8770</t>
  </si>
  <si>
    <t>rs745427859</t>
  </si>
  <si>
    <t>FGC1723</t>
  </si>
  <si>
    <t>Y4349</t>
  </si>
  <si>
    <t>rs371526717</t>
  </si>
  <si>
    <t>FGC1731</t>
  </si>
  <si>
    <t>Y4350</t>
  </si>
  <si>
    <t>rs368291154</t>
  </si>
  <si>
    <t>FGC8712</t>
  </si>
  <si>
    <t>Y6074</t>
  </si>
  <si>
    <t>rs372382730</t>
  </si>
  <si>
    <t>FGC8704</t>
  </si>
  <si>
    <t>Y12357</t>
  </si>
  <si>
    <t>rs375212743</t>
  </si>
  <si>
    <t>FGC8711</t>
  </si>
  <si>
    <t>Y12868</t>
  </si>
  <si>
    <t>rs371963848</t>
  </si>
  <si>
    <t>FGC8713</t>
  </si>
  <si>
    <t>Y12358</t>
  </si>
  <si>
    <t>rs368557711</t>
  </si>
  <si>
    <t>FGC8714</t>
  </si>
  <si>
    <t>Y12359</t>
  </si>
  <si>
    <t>rs370700744</t>
  </si>
  <si>
    <t>FGC8719</t>
  </si>
  <si>
    <t>Y12886</t>
  </si>
  <si>
    <t>rs372909571</t>
  </si>
  <si>
    <t>FGC8720</t>
  </si>
  <si>
    <t>Y12867</t>
  </si>
  <si>
    <t>rs370055254</t>
  </si>
  <si>
    <t>FGC8726</t>
  </si>
  <si>
    <t>Y12360</t>
  </si>
  <si>
    <t>rs377182502</t>
  </si>
  <si>
    <t>FGC8731</t>
  </si>
  <si>
    <t>Y12362</t>
  </si>
  <si>
    <t>rs377469689</t>
  </si>
  <si>
    <t>L859</t>
  </si>
  <si>
    <t>rs374075107</t>
  </si>
  <si>
    <t>FGC8705</t>
  </si>
  <si>
    <t>Y12864; ZS4258</t>
  </si>
  <si>
    <t>rs369942860</t>
  </si>
  <si>
    <t>Y12864</t>
  </si>
  <si>
    <t>FGC8705; ZS4258</t>
  </si>
  <si>
    <t>ZS4258</t>
  </si>
  <si>
    <t>FGC8705; Y12864</t>
  </si>
  <si>
    <t>FGC8721</t>
  </si>
  <si>
    <t>Y12870</t>
  </si>
  <si>
    <t>rs373502730</t>
  </si>
  <si>
    <t>FGC8703</t>
  </si>
  <si>
    <t>Y12869</t>
  </si>
  <si>
    <t>rs372168999</t>
  </si>
  <si>
    <t>FGC10500</t>
  </si>
  <si>
    <t>Y12361</t>
  </si>
  <si>
    <t>rs376807050</t>
  </si>
  <si>
    <t>FGC9583</t>
  </si>
  <si>
    <t>FGC9585</t>
  </si>
  <si>
    <t>FGC9587</t>
  </si>
  <si>
    <t>FGC30566</t>
  </si>
  <si>
    <t>ZS5823</t>
  </si>
  <si>
    <t>FGC30569</t>
  </si>
  <si>
    <t>ZS5819</t>
  </si>
  <si>
    <t>FGC30570</t>
  </si>
  <si>
    <t>ZS5820</t>
  </si>
  <si>
    <t>FGC30571</t>
  </si>
  <si>
    <t>ZS5821</t>
  </si>
  <si>
    <t>Z34140.2</t>
  </si>
  <si>
    <t>ZS5822.2</t>
  </si>
  <si>
    <t>CTS8308</t>
  </si>
  <si>
    <t>S4392</t>
  </si>
  <si>
    <t>rs1036315190</t>
  </si>
  <si>
    <t>FGC10492</t>
  </si>
  <si>
    <t>FGC10493</t>
  </si>
  <si>
    <t>ZS2094</t>
  </si>
  <si>
    <t>ZS2095</t>
  </si>
  <si>
    <t>ZS2096</t>
  </si>
  <si>
    <t>ZS2099</t>
  </si>
  <si>
    <t>FGC30416</t>
  </si>
  <si>
    <t>ZS5871</t>
  </si>
  <si>
    <t>ZS2102</t>
  </si>
  <si>
    <t>ZS2104</t>
  </si>
  <si>
    <t>ZS2108</t>
  </si>
  <si>
    <t>ZS2109</t>
  </si>
  <si>
    <t>ZS2111</t>
  </si>
  <si>
    <t>ZS2113</t>
  </si>
  <si>
    <t>ZS2114</t>
  </si>
  <si>
    <t>ZS2115</t>
  </si>
  <si>
    <t>ZS2117</t>
  </si>
  <si>
    <t>ZS2118</t>
  </si>
  <si>
    <t>ZS2119</t>
  </si>
  <si>
    <t>ZS2120</t>
  </si>
  <si>
    <t>rs766121207</t>
  </si>
  <si>
    <t>ZS2124</t>
  </si>
  <si>
    <t>ZS2125</t>
  </si>
  <si>
    <t>ZS2126</t>
  </si>
  <si>
    <t>ZS2127</t>
  </si>
  <si>
    <t>rs77218094</t>
  </si>
  <si>
    <t>SK1293</t>
  </si>
  <si>
    <t>SK1294</t>
  </si>
  <si>
    <t>Y7708</t>
  </si>
  <si>
    <t>Z29414</t>
  </si>
  <si>
    <t>rs769808136</t>
  </si>
  <si>
    <t>ZS11641</t>
  </si>
  <si>
    <t>ZS11645</t>
  </si>
  <si>
    <t>ZS11979</t>
  </si>
  <si>
    <t>ZS11980</t>
  </si>
  <si>
    <t>ZS11983</t>
  </si>
  <si>
    <t>ZS11984</t>
  </si>
  <si>
    <t>ZS11985</t>
  </si>
  <si>
    <t>ZS11986</t>
  </si>
  <si>
    <t>ZS11988</t>
  </si>
  <si>
    <t>ZS11989</t>
  </si>
  <si>
    <t>ZS11993</t>
  </si>
  <si>
    <t>ZS11994</t>
  </si>
  <si>
    <t>ZS11995</t>
  </si>
  <si>
    <t>ZS11997</t>
  </si>
  <si>
    <t>BY5</t>
  </si>
  <si>
    <t>rs866698129</t>
  </si>
  <si>
    <t>BY6</t>
  </si>
  <si>
    <t>rs866926842</t>
  </si>
  <si>
    <t>BY7</t>
  </si>
  <si>
    <t>rs867141122</t>
  </si>
  <si>
    <t>SK1236</t>
  </si>
  <si>
    <t>ZS2066</t>
  </si>
  <si>
    <t>rs989068026</t>
  </si>
  <si>
    <t>ZS2068</t>
  </si>
  <si>
    <t>ZS2072</t>
  </si>
  <si>
    <t>rs868447610</t>
  </si>
  <si>
    <t>ZS2074</t>
  </si>
  <si>
    <t>rs1016015454</t>
  </si>
  <si>
    <t>FGC39460</t>
  </si>
  <si>
    <t>Y17402</t>
  </si>
  <si>
    <t>ZS6992</t>
  </si>
  <si>
    <t>rs1051983775</t>
  </si>
  <si>
    <t>Y17664</t>
  </si>
  <si>
    <t>ZS6993</t>
  </si>
  <si>
    <t>rs1013019263</t>
  </si>
  <si>
    <t>ZS2076</t>
  </si>
  <si>
    <t>rs946077975</t>
  </si>
  <si>
    <t>ZS4083</t>
  </si>
  <si>
    <t>rs1057398005</t>
  </si>
  <si>
    <t>ZS4086</t>
  </si>
  <si>
    <t>rs1010056822</t>
  </si>
  <si>
    <t>ZS4087</t>
  </si>
  <si>
    <t>rs1011964513</t>
  </si>
  <si>
    <t>ZS4088</t>
  </si>
  <si>
    <t>ZS4082</t>
  </si>
  <si>
    <t>rs928262306</t>
  </si>
  <si>
    <t>FGC39458</t>
  </si>
  <si>
    <t>FGC39461.1</t>
  </si>
  <si>
    <t>rs868578763</t>
  </si>
  <si>
    <t>BY8</t>
  </si>
  <si>
    <t>FGC14295; Y10723</t>
  </si>
  <si>
    <t>rs867944986</t>
  </si>
  <si>
    <t>FGC14295</t>
  </si>
  <si>
    <t>BY8; Y10723</t>
  </si>
  <si>
    <t>Y10723</t>
  </si>
  <si>
    <t>BY8; FGC14295</t>
  </si>
  <si>
    <t>Y21750</t>
  </si>
  <si>
    <t>Y21751</t>
  </si>
  <si>
    <t>rs868641908</t>
  </si>
  <si>
    <t>Y21752</t>
  </si>
  <si>
    <t>rs868148748</t>
  </si>
  <si>
    <t>Y21753</t>
  </si>
  <si>
    <t>rs867718411</t>
  </si>
  <si>
    <t>ZS4062</t>
  </si>
  <si>
    <t>rs867167086</t>
  </si>
  <si>
    <t>BY4060</t>
  </si>
  <si>
    <t>Y21756</t>
  </si>
  <si>
    <t>rs867318282</t>
  </si>
  <si>
    <t>BY4062</t>
  </si>
  <si>
    <t>Y21757</t>
  </si>
  <si>
    <t>rs867410206</t>
  </si>
  <si>
    <t>Y21749</t>
  </si>
  <si>
    <t>ZS9173</t>
  </si>
  <si>
    <t>rs866085158</t>
  </si>
  <si>
    <t>ZS9174</t>
  </si>
  <si>
    <t>rs868678831</t>
  </si>
  <si>
    <t>ZS9175</t>
  </si>
  <si>
    <t>rs868025931</t>
  </si>
  <si>
    <t>ZS9176</t>
  </si>
  <si>
    <t>rs866234822</t>
  </si>
  <si>
    <t>ZS9177</t>
  </si>
  <si>
    <t>rs868641256</t>
  </si>
  <si>
    <t>ZS9178</t>
  </si>
  <si>
    <t>rs866664678</t>
  </si>
  <si>
    <t>ZS9179</t>
  </si>
  <si>
    <t>rs866825690</t>
  </si>
  <si>
    <t>ZS9180</t>
  </si>
  <si>
    <t>rs866995661</t>
  </si>
  <si>
    <t>ZS9181</t>
  </si>
  <si>
    <t>rs867480775</t>
  </si>
  <si>
    <t>ZS9188</t>
  </si>
  <si>
    <t>rs865936712</t>
  </si>
  <si>
    <t>Y22084</t>
  </si>
  <si>
    <t>rs866772713</t>
  </si>
  <si>
    <t>Y22085</t>
  </si>
  <si>
    <t>rs868749190</t>
  </si>
  <si>
    <t>Y22086</t>
  </si>
  <si>
    <t>rs867182541</t>
  </si>
  <si>
    <t>Y22087</t>
  </si>
  <si>
    <t>rs867439329</t>
  </si>
  <si>
    <t>Y22088</t>
  </si>
  <si>
    <t>rs866630752</t>
  </si>
  <si>
    <t>BY9</t>
  </si>
  <si>
    <t>FGC14303; Y11545</t>
  </si>
  <si>
    <t>rs1021628563</t>
  </si>
  <si>
    <t>FGC14303</t>
  </si>
  <si>
    <t>BY9; Y11545</t>
  </si>
  <si>
    <t>Y11545</t>
  </si>
  <si>
    <t>BY9; FGC14303</t>
  </si>
  <si>
    <t>Y14417</t>
  </si>
  <si>
    <t>ZS6040</t>
  </si>
  <si>
    <t>Y14418</t>
  </si>
  <si>
    <t>ZS1951</t>
  </si>
  <si>
    <t>Y14429</t>
  </si>
  <si>
    <t>ZS6051</t>
  </si>
  <si>
    <t>Y14523</t>
  </si>
  <si>
    <t>ZS1955</t>
  </si>
  <si>
    <t>Y14524</t>
  </si>
  <si>
    <t>ZS1957</t>
  </si>
  <si>
    <t>Y14527</t>
  </si>
  <si>
    <t>ZS1963</t>
  </si>
  <si>
    <t>Y14528</t>
  </si>
  <si>
    <t>ZS6054</t>
  </si>
  <si>
    <t>Y14419</t>
  </si>
  <si>
    <t>Y14427</t>
  </si>
  <si>
    <t>ZS6048</t>
  </si>
  <si>
    <t>Y14431</t>
  </si>
  <si>
    <t>ZS1964</t>
  </si>
  <si>
    <t>Y14525</t>
  </si>
  <si>
    <t>ZS1958</t>
  </si>
  <si>
    <t>Y14526</t>
  </si>
  <si>
    <t>ZS6049</t>
  </si>
  <si>
    <t>ZS10260</t>
  </si>
  <si>
    <t>ZS10261</t>
  </si>
  <si>
    <t>ZS10263</t>
  </si>
  <si>
    <t>ZS10265</t>
  </si>
  <si>
    <t>ZS10270</t>
  </si>
  <si>
    <t>ZS10262</t>
  </si>
  <si>
    <t>ZS10266</t>
  </si>
  <si>
    <t>ZS10267</t>
  </si>
  <si>
    <t>ZS10268</t>
  </si>
  <si>
    <t>rs867536101</t>
  </si>
  <si>
    <t>FGC14294</t>
  </si>
  <si>
    <t>Y14281; ZS1970</t>
  </si>
  <si>
    <t>Y14281</t>
  </si>
  <si>
    <t>FGC14294; ZS1970</t>
  </si>
  <si>
    <t>ZS1970</t>
  </si>
  <si>
    <t>FGC14294; Y14281</t>
  </si>
  <si>
    <t>FGC14297</t>
  </si>
  <si>
    <t>Y14280; ZS1966</t>
  </si>
  <si>
    <t>Y14280</t>
  </si>
  <si>
    <t>FGC14297; ZS1966</t>
  </si>
  <si>
    <t>ZS1966</t>
  </si>
  <si>
    <t>FGC14297; Y14280</t>
  </si>
  <si>
    <t>FGC31455</t>
  </si>
  <si>
    <t>Y13964</t>
  </si>
  <si>
    <t>Y14279</t>
  </si>
  <si>
    <t>ZS6861</t>
  </si>
  <si>
    <t>ZS6862</t>
  </si>
  <si>
    <t>rs1025444704</t>
  </si>
  <si>
    <t>FGC14304</t>
  </si>
  <si>
    <t>ZS1973</t>
  </si>
  <si>
    <t>FGC31463</t>
  </si>
  <si>
    <t>BY136</t>
  </si>
  <si>
    <t>FGC19909; Y11883; Z18229</t>
  </si>
  <si>
    <t>rs866466901</t>
  </si>
  <si>
    <t>FGC19909</t>
  </si>
  <si>
    <t>BY136; Y11883; Z18229</t>
  </si>
  <si>
    <t>Y11883</t>
  </si>
  <si>
    <t>BY136; FGC19909; Z18229</t>
  </si>
  <si>
    <t>Z18229</t>
  </si>
  <si>
    <t>BY136; FGC19909; Y11883</t>
  </si>
  <si>
    <t>BY137</t>
  </si>
  <si>
    <t>FGC19911; Y11884; Z18230</t>
  </si>
  <si>
    <t>rs867835001</t>
  </si>
  <si>
    <t>FGC19911</t>
  </si>
  <si>
    <t>BY137; Y11884; Z18230</t>
  </si>
  <si>
    <t>Y11884</t>
  </si>
  <si>
    <t>BY137; FGC19911; Z18230</t>
  </si>
  <si>
    <t>Z18230</t>
  </si>
  <si>
    <t>BY137; FGC19911; Y11884</t>
  </si>
  <si>
    <t>Y13353</t>
  </si>
  <si>
    <t>ZS6446</t>
  </si>
  <si>
    <t>Y13354</t>
  </si>
  <si>
    <t>ZS6460</t>
  </si>
  <si>
    <t>Y13896</t>
  </si>
  <si>
    <t>ZS6453</t>
  </si>
  <si>
    <t>rs904734597</t>
  </si>
  <si>
    <t>Y13897</t>
  </si>
  <si>
    <t>ZS6448</t>
  </si>
  <si>
    <t>Y13898</t>
  </si>
  <si>
    <t>ZS6449</t>
  </si>
  <si>
    <t>Y13899</t>
  </si>
  <si>
    <t>ZS6458</t>
  </si>
  <si>
    <t>Y22489</t>
  </si>
  <si>
    <t>ZS6445</t>
  </si>
  <si>
    <t>ZS6706</t>
  </si>
  <si>
    <t>ZS6707</t>
  </si>
  <si>
    <t>ZS6711</t>
  </si>
  <si>
    <t>ZS6712</t>
  </si>
  <si>
    <t>ZS6715</t>
  </si>
  <si>
    <t>FGC19899</t>
  </si>
  <si>
    <t>ZS9514</t>
  </si>
  <si>
    <t>ZS2003</t>
  </si>
  <si>
    <t>rs1408670465</t>
  </si>
  <si>
    <t>ZS2017</t>
  </si>
  <si>
    <t>rs1027823504</t>
  </si>
  <si>
    <t>FGC19901</t>
  </si>
  <si>
    <t>ZS2006</t>
  </si>
  <si>
    <t>rs1015028309</t>
  </si>
  <si>
    <t>FGC19907</t>
  </si>
  <si>
    <t>ZS2014</t>
  </si>
  <si>
    <t>FGC19910</t>
  </si>
  <si>
    <t>ZS2019</t>
  </si>
  <si>
    <t>rs892610938</t>
  </si>
  <si>
    <t>rs1009400939</t>
  </si>
  <si>
    <t>Z39629.2</t>
  </si>
  <si>
    <t>ZS10046.2</t>
  </si>
  <si>
    <t>rs745442571</t>
  </si>
  <si>
    <t>Z39639</t>
  </si>
  <si>
    <t>rs1455280647</t>
  </si>
  <si>
    <t>CTS1165</t>
  </si>
  <si>
    <t>rs756379852</t>
  </si>
  <si>
    <t>FGC58484</t>
  </si>
  <si>
    <t>rs865809484</t>
  </si>
  <si>
    <t>Y13099</t>
  </si>
  <si>
    <t>Z18236</t>
  </si>
  <si>
    <t>rs867246694</t>
  </si>
  <si>
    <t>Y13100</t>
  </si>
  <si>
    <t>ZS1997</t>
  </si>
  <si>
    <t>rs866530565</t>
  </si>
  <si>
    <t>Y13101</t>
  </si>
  <si>
    <t>Z18237</t>
  </si>
  <si>
    <t>rs866356752</t>
  </si>
  <si>
    <t>Y31822</t>
  </si>
  <si>
    <t>rs866631415</t>
  </si>
  <si>
    <t>Y13392</t>
  </si>
  <si>
    <t>Z18231</t>
  </si>
  <si>
    <t>rs866313479</t>
  </si>
  <si>
    <t>Y13393</t>
  </si>
  <si>
    <t>Z18232</t>
  </si>
  <si>
    <t>rs867045434</t>
  </si>
  <si>
    <t>Y13394</t>
  </si>
  <si>
    <t>ZS1985</t>
  </si>
  <si>
    <t>rs867872036</t>
  </si>
  <si>
    <t>Y13395</t>
  </si>
  <si>
    <t>Z18233</t>
  </si>
  <si>
    <t>rs866116863</t>
  </si>
  <si>
    <t>Y13396</t>
  </si>
  <si>
    <t>Z18234</t>
  </si>
  <si>
    <t>rs866525668</t>
  </si>
  <si>
    <t>Y13397</t>
  </si>
  <si>
    <t>ZS1995</t>
  </si>
  <si>
    <t>rs867342301</t>
  </si>
  <si>
    <t>Y13398</t>
  </si>
  <si>
    <t>Z18235</t>
  </si>
  <si>
    <t>rs868150632</t>
  </si>
  <si>
    <t>Y13399</t>
  </si>
  <si>
    <t>Z18238</t>
  </si>
  <si>
    <t>rs867474760</t>
  </si>
  <si>
    <t>Y13400</t>
  </si>
  <si>
    <t>Z18240</t>
  </si>
  <si>
    <t>rs868361068</t>
  </si>
  <si>
    <t>Y13401</t>
  </si>
  <si>
    <t>Z18241</t>
  </si>
  <si>
    <t>rs868578956</t>
  </si>
  <si>
    <t>Y21759</t>
  </si>
  <si>
    <t>rs868399538</t>
  </si>
  <si>
    <t>Y21760</t>
  </si>
  <si>
    <t>rs867271484</t>
  </si>
  <si>
    <t>FGC29863</t>
  </si>
  <si>
    <t>ZS2021</t>
  </si>
  <si>
    <t>ZS2022</t>
  </si>
  <si>
    <t>ZS2023</t>
  </si>
  <si>
    <t>ZS2027</t>
  </si>
  <si>
    <t>ZS2028</t>
  </si>
  <si>
    <t>ZS2035</t>
  </si>
  <si>
    <t>ZS2042</t>
  </si>
  <si>
    <t>ZS2043</t>
  </si>
  <si>
    <t>rs948106430</t>
  </si>
  <si>
    <t>FGC29860</t>
  </si>
  <si>
    <t>ZS4227</t>
  </si>
  <si>
    <t>ZS4242</t>
  </si>
  <si>
    <t>rs867384348</t>
  </si>
  <si>
    <t>FGC4422</t>
  </si>
  <si>
    <t>Y13481</t>
  </si>
  <si>
    <t>rs868499219</t>
  </si>
  <si>
    <t>FGC10375</t>
  </si>
  <si>
    <t>rs377720759</t>
  </si>
  <si>
    <t>FGC10378</t>
  </si>
  <si>
    <t>FGC10379</t>
  </si>
  <si>
    <t>FGC10380</t>
  </si>
  <si>
    <t>FGC10384</t>
  </si>
  <si>
    <t>FGC10387</t>
  </si>
  <si>
    <t>FGC10388</t>
  </si>
  <si>
    <t>FGC10393</t>
  </si>
  <si>
    <t>FGC10395</t>
  </si>
  <si>
    <t>FGC10397</t>
  </si>
  <si>
    <t>FGC10398</t>
  </si>
  <si>
    <t>rs1016414674</t>
  </si>
  <si>
    <t>FGC10400</t>
  </si>
  <si>
    <t>FGC10401</t>
  </si>
  <si>
    <t>L89</t>
  </si>
  <si>
    <t>rs35160044</t>
  </si>
  <si>
    <t>ZS10091</t>
  </si>
  <si>
    <t>ZS10098</t>
  </si>
  <si>
    <t>ZS10100</t>
  </si>
  <si>
    <t>FGC10377</t>
  </si>
  <si>
    <t>FGC10381</t>
  </si>
  <si>
    <t>FGC10382</t>
  </si>
  <si>
    <t>FGC10391</t>
  </si>
  <si>
    <t>FGC10394</t>
  </si>
  <si>
    <t>FGC10402</t>
  </si>
  <si>
    <t>ZS10060</t>
  </si>
  <si>
    <t>ZS10061</t>
  </si>
  <si>
    <t>FGC10376</t>
  </si>
  <si>
    <t>FGC10390</t>
  </si>
  <si>
    <t>rs868356583</t>
  </si>
  <si>
    <t>FGC42788</t>
  </si>
  <si>
    <t>rs867515733</t>
  </si>
  <si>
    <t>ZS4201</t>
  </si>
  <si>
    <t>rs867711620</t>
  </si>
  <si>
    <t>ZS4207</t>
  </si>
  <si>
    <t>rs866801341</t>
  </si>
  <si>
    <t>ZS4208</t>
  </si>
  <si>
    <t>rs867081130</t>
  </si>
  <si>
    <t>ZS4215</t>
  </si>
  <si>
    <t>rs867277381</t>
  </si>
  <si>
    <t>ZS4216</t>
  </si>
  <si>
    <t>rs866083374</t>
  </si>
  <si>
    <t>ZS4221</t>
  </si>
  <si>
    <t>rs868398447</t>
  </si>
  <si>
    <t>Y21743</t>
  </si>
  <si>
    <t>rs868738545</t>
  </si>
  <si>
    <t>Y21745</t>
  </si>
  <si>
    <t>rs868307377</t>
  </si>
  <si>
    <t>rs868503966</t>
  </si>
  <si>
    <t>ZS5215</t>
  </si>
  <si>
    <t>rs867037965</t>
  </si>
  <si>
    <t>FGC42796</t>
  </si>
  <si>
    <t>rs867729825</t>
  </si>
  <si>
    <t>FGC42797</t>
  </si>
  <si>
    <t>rs866025641</t>
  </si>
  <si>
    <t>Y21741</t>
  </si>
  <si>
    <t>Z24250</t>
  </si>
  <si>
    <t>ZS4200</t>
  </si>
  <si>
    <t>rs866377941</t>
  </si>
  <si>
    <t>ZS4203</t>
  </si>
  <si>
    <t>rs868031516</t>
  </si>
  <si>
    <t>ZS4204</t>
  </si>
  <si>
    <t>rs866092677</t>
  </si>
  <si>
    <t>FGC4421</t>
  </si>
  <si>
    <t>Y14652</t>
  </si>
  <si>
    <t>rs866505601</t>
  </si>
  <si>
    <t>FGC4402</t>
  </si>
  <si>
    <t>rs865877751</t>
  </si>
  <si>
    <t>FGC4416</t>
  </si>
  <si>
    <t>Y14649</t>
  </si>
  <si>
    <t>rs866170235</t>
  </si>
  <si>
    <t>FGC4417</t>
  </si>
  <si>
    <t>rs868691002</t>
  </si>
  <si>
    <t>FGC4420</t>
  </si>
  <si>
    <t>Y14650</t>
  </si>
  <si>
    <t>rs868379198</t>
  </si>
  <si>
    <t>FGC4427</t>
  </si>
  <si>
    <t>rs867071092</t>
  </si>
  <si>
    <t>FGC4433</t>
  </si>
  <si>
    <t>Y14648</t>
  </si>
  <si>
    <t>rs923997341</t>
  </si>
  <si>
    <t>FGC4708</t>
  </si>
  <si>
    <t>Y14643</t>
  </si>
  <si>
    <t>rs1043323748</t>
  </si>
  <si>
    <t>FGC4720</t>
  </si>
  <si>
    <t>Y14646; ZS10545</t>
  </si>
  <si>
    <t>rs868444145</t>
  </si>
  <si>
    <t>Y14646</t>
  </si>
  <si>
    <t>FGC4720; ZS10545</t>
  </si>
  <si>
    <t>ZS10545</t>
  </si>
  <si>
    <t>FGC4720; Y14646</t>
  </si>
  <si>
    <t>ZS10294</t>
  </si>
  <si>
    <t>ZS10295</t>
  </si>
  <si>
    <t>ZS10299</t>
  </si>
  <si>
    <t>ZS10324</t>
  </si>
  <si>
    <t>FGC46263</t>
  </si>
  <si>
    <t>FGC47082</t>
  </si>
  <si>
    <t>FGC47090</t>
  </si>
  <si>
    <t>FGC47094</t>
  </si>
  <si>
    <t>ZS10297</t>
  </si>
  <si>
    <t>FGC47087</t>
  </si>
  <si>
    <t>ZS10740</t>
  </si>
  <si>
    <t>FGC47085</t>
  </si>
  <si>
    <t>FGC47088</t>
  </si>
  <si>
    <t>FGC47089</t>
  </si>
  <si>
    <t>BZ624</t>
  </si>
  <si>
    <t>ZS12151</t>
  </si>
  <si>
    <t>ZS12149</t>
  </si>
  <si>
    <t>ZS12150</t>
  </si>
  <si>
    <t>ZS12152</t>
  </si>
  <si>
    <t>ZS12155</t>
  </si>
  <si>
    <t>ZS12156</t>
  </si>
  <si>
    <t>ZS12157</t>
  </si>
  <si>
    <t>FGC4411</t>
  </si>
  <si>
    <t>Y14642</t>
  </si>
  <si>
    <t>rs866228777</t>
  </si>
  <si>
    <t>rs868391980</t>
  </si>
  <si>
    <t>rs927074155</t>
  </si>
  <si>
    <t>FGC4425</t>
  </si>
  <si>
    <t>rs747172110</t>
  </si>
  <si>
    <t>FGC4428</t>
  </si>
  <si>
    <t>rs867067833</t>
  </si>
  <si>
    <t>FGC4430</t>
  </si>
  <si>
    <t>FGC4705</t>
  </si>
  <si>
    <t>Y14641</t>
  </si>
  <si>
    <t>FGC4710</t>
  </si>
  <si>
    <t>FGC7962</t>
  </si>
  <si>
    <t>Y14647</t>
  </si>
  <si>
    <t>FGC7963</t>
  </si>
  <si>
    <t>M6661</t>
  </si>
  <si>
    <t>V3134</t>
  </si>
  <si>
    <t>rs113697262</t>
  </si>
  <si>
    <t>FGC4712</t>
  </si>
  <si>
    <t>Y14651</t>
  </si>
  <si>
    <t>FGC4713</t>
  </si>
  <si>
    <t>Y14653</t>
  </si>
  <si>
    <t>FGC4716</t>
  </si>
  <si>
    <t>FGC4717</t>
  </si>
  <si>
    <t>Y14644</t>
  </si>
  <si>
    <t>FGC4719</t>
  </si>
  <si>
    <t>Y14645</t>
  </si>
  <si>
    <t>BY527</t>
  </si>
  <si>
    <t>ZS5227</t>
  </si>
  <si>
    <t>FGC12532</t>
  </si>
  <si>
    <t>ZS9155</t>
  </si>
  <si>
    <t>ZS5833</t>
  </si>
  <si>
    <t>ZS5835</t>
  </si>
  <si>
    <t>ZS5836</t>
  </si>
  <si>
    <t>FGC4414</t>
  </si>
  <si>
    <t>rs904691618</t>
  </si>
  <si>
    <t>FGC19828</t>
  </si>
  <si>
    <t>ZS1948</t>
  </si>
  <si>
    <t>FGC19188</t>
  </si>
  <si>
    <t>FGC19190</t>
  </si>
  <si>
    <t>FGC19199</t>
  </si>
  <si>
    <t>FGC19202</t>
  </si>
  <si>
    <t>FGC19209</t>
  </si>
  <si>
    <t>L222.2</t>
  </si>
  <si>
    <t>S350.2</t>
  </si>
  <si>
    <t>16809478..16809479</t>
  </si>
  <si>
    <t>14697598..14697599</t>
  </si>
  <si>
    <t>del-&gt;GAGA</t>
  </si>
  <si>
    <t>L222; S350</t>
  </si>
  <si>
    <t>S350.1</t>
  </si>
  <si>
    <t>AD0000006</t>
  </si>
  <si>
    <t>FGC6</t>
  </si>
  <si>
    <t>AD0000010</t>
  </si>
  <si>
    <t>FGC3</t>
  </si>
  <si>
    <t>rs370432397</t>
  </si>
  <si>
    <t>BY241</t>
  </si>
  <si>
    <t>BY252</t>
  </si>
  <si>
    <t>ZS3998</t>
  </si>
  <si>
    <t>BY253</t>
  </si>
  <si>
    <t>ZS4000</t>
  </si>
  <si>
    <t>BY254</t>
  </si>
  <si>
    <t>ZS3999</t>
  </si>
  <si>
    <t>BY255</t>
  </si>
  <si>
    <t>ZS4002</t>
  </si>
  <si>
    <t>BY256</t>
  </si>
  <si>
    <t>ZS4006</t>
  </si>
  <si>
    <t>BY257</t>
  </si>
  <si>
    <t>ZS4007</t>
  </si>
  <si>
    <t>BY258</t>
  </si>
  <si>
    <t>ZS4001</t>
  </si>
  <si>
    <t>BY259</t>
  </si>
  <si>
    <t>BY260</t>
  </si>
  <si>
    <t>ZS4005</t>
  </si>
  <si>
    <t>Page52.2</t>
  </si>
  <si>
    <t>rs34402762</t>
  </si>
  <si>
    <t>AD0000002</t>
  </si>
  <si>
    <t>FGC1714; Y5326</t>
  </si>
  <si>
    <t>rs745474179</t>
  </si>
  <si>
    <t>FGC1714</t>
  </si>
  <si>
    <t>AD0000002; Y5326</t>
  </si>
  <si>
    <t>Y5326</t>
  </si>
  <si>
    <t>AD0000002; FGC1714</t>
  </si>
  <si>
    <t>FGC1705</t>
  </si>
  <si>
    <t>Y5324</t>
  </si>
  <si>
    <t>rs749676260</t>
  </si>
  <si>
    <t>FGC1707</t>
  </si>
  <si>
    <t>Y5321</t>
  </si>
  <si>
    <t>rs752041411</t>
  </si>
  <si>
    <t>FGC1724</t>
  </si>
  <si>
    <t>Y5325</t>
  </si>
  <si>
    <t>rs776626584</t>
  </si>
  <si>
    <t>Y7684</t>
  </si>
  <si>
    <t>rs760541927</t>
  </si>
  <si>
    <t>FGC1721</t>
  </si>
  <si>
    <t>Y5322</t>
  </si>
  <si>
    <t>rs745740864</t>
  </si>
  <si>
    <t>FGC4450</t>
  </si>
  <si>
    <t>rs867261020</t>
  </si>
  <si>
    <t>FGC4453</t>
  </si>
  <si>
    <t>FGC4464</t>
  </si>
  <si>
    <t>rs867494600</t>
  </si>
  <si>
    <t>FGC4451</t>
  </si>
  <si>
    <t>rs867897495</t>
  </si>
  <si>
    <t>L65.2</t>
  </si>
  <si>
    <t>S159.2</t>
  </si>
  <si>
    <t>rs7893015</t>
  </si>
  <si>
    <t>rs868634908</t>
  </si>
  <si>
    <t>rs868337341</t>
  </si>
  <si>
    <t>FGC15195</t>
  </si>
  <si>
    <t>FGC15199</t>
  </si>
  <si>
    <t>FGC15200</t>
  </si>
  <si>
    <t>FGC15202</t>
  </si>
  <si>
    <t>Y8144</t>
  </si>
  <si>
    <t>Z10872</t>
  </si>
  <si>
    <t>rs745391778</t>
  </si>
  <si>
    <t>ZS4993</t>
  </si>
  <si>
    <t>ZS4997</t>
  </si>
  <si>
    <t>ZS10276</t>
  </si>
  <si>
    <t>SK881.2</t>
  </si>
  <si>
    <t>ZS4994.2</t>
  </si>
  <si>
    <t>ZS4996</t>
  </si>
  <si>
    <t>FGC42297</t>
  </si>
  <si>
    <t>FGC42299</t>
  </si>
  <si>
    <t>FGC46407</t>
  </si>
  <si>
    <t>BY9037</t>
  </si>
  <si>
    <t>FGC31345</t>
  </si>
  <si>
    <t>FGC31346</t>
  </si>
  <si>
    <t>FGC31347</t>
  </si>
  <si>
    <t>FGC31350</t>
  </si>
  <si>
    <t>BY9039</t>
  </si>
  <si>
    <t>FGC57132</t>
  </si>
  <si>
    <t>BY9040</t>
  </si>
  <si>
    <t>FGC49897</t>
  </si>
  <si>
    <t>BY11310</t>
  </si>
  <si>
    <t>FGC56921</t>
  </si>
  <si>
    <t>BY9051</t>
  </si>
  <si>
    <t>FGC39890</t>
  </si>
  <si>
    <t>BY12269</t>
  </si>
  <si>
    <t>FGC60692</t>
  </si>
  <si>
    <t>BY12270</t>
  </si>
  <si>
    <t>FGC60693</t>
  </si>
  <si>
    <t>BY12271</t>
  </si>
  <si>
    <t>FGC60690</t>
  </si>
  <si>
    <t>BY12272</t>
  </si>
  <si>
    <t>FGC60691</t>
  </si>
  <si>
    <t>FGC36698</t>
  </si>
  <si>
    <t>FGC36701</t>
  </si>
  <si>
    <t>BY9075</t>
  </si>
  <si>
    <t>FGC15196</t>
  </si>
  <si>
    <t>FGC43300</t>
  </si>
  <si>
    <t>rs993281999</t>
  </si>
  <si>
    <t>FGC43302</t>
  </si>
  <si>
    <t>FGC43303</t>
  </si>
  <si>
    <t>FGC43301</t>
  </si>
  <si>
    <t>FGC43305</t>
  </si>
  <si>
    <t>BY9084</t>
  </si>
  <si>
    <t>FGC52749; ZS12168</t>
  </si>
  <si>
    <t>FGC52749</t>
  </si>
  <si>
    <t>BY9084; ZS12168</t>
  </si>
  <si>
    <t>ZS12168</t>
  </si>
  <si>
    <t>BY9084; FGC52749</t>
  </si>
  <si>
    <t>BY9085</t>
  </si>
  <si>
    <t>FGC51694; ZS12180</t>
  </si>
  <si>
    <t>FGC51694</t>
  </si>
  <si>
    <t>BY9085; ZS12180</t>
  </si>
  <si>
    <t>ZS12180</t>
  </si>
  <si>
    <t>BY9085; FGC51694</t>
  </si>
  <si>
    <t>BY9086</t>
  </si>
  <si>
    <t>FGC51691; ZS12176</t>
  </si>
  <si>
    <t>FGC51691</t>
  </si>
  <si>
    <t>BY9086; ZS12176</t>
  </si>
  <si>
    <t>ZS12176</t>
  </si>
  <si>
    <t>BY9086; FGC51691</t>
  </si>
  <si>
    <t>BY9101</t>
  </si>
  <si>
    <t>FGC40069</t>
  </si>
  <si>
    <t>FGC40061</t>
  </si>
  <si>
    <t>rs754427462</t>
  </si>
  <si>
    <t>FGC40063</t>
  </si>
  <si>
    <t>FGC40064</t>
  </si>
  <si>
    <t>FGC40065</t>
  </si>
  <si>
    <t>FGC40073</t>
  </si>
  <si>
    <t>FGC36468</t>
  </si>
  <si>
    <t>FGC36472</t>
  </si>
  <si>
    <t>BY9196</t>
  </si>
  <si>
    <t>FGC51886</t>
  </si>
  <si>
    <t>FGC36368.2</t>
  </si>
  <si>
    <t>Z36162.2</t>
  </si>
  <si>
    <t>FGC40057</t>
  </si>
  <si>
    <t>FGC40058</t>
  </si>
  <si>
    <t>FGC43360</t>
  </si>
  <si>
    <t>BY9087</t>
  </si>
  <si>
    <t>FGC46425</t>
  </si>
  <si>
    <t>FGC43393</t>
  </si>
  <si>
    <t>FGC46317</t>
  </si>
  <si>
    <t>Z14303</t>
  </si>
  <si>
    <t>BY9105</t>
  </si>
  <si>
    <t>FGC46318</t>
  </si>
  <si>
    <t>Z23953</t>
  </si>
  <si>
    <t>rs774936718</t>
  </si>
  <si>
    <t>FGC43388</t>
  </si>
  <si>
    <t>FGC43390</t>
  </si>
  <si>
    <t>FGC43391</t>
  </si>
  <si>
    <t>FGC43392</t>
  </si>
  <si>
    <t>FGC43394</t>
  </si>
  <si>
    <t>FGC43396</t>
  </si>
  <si>
    <t>FGC43397</t>
  </si>
  <si>
    <t>FGC43398</t>
  </si>
  <si>
    <t>FGC49919</t>
  </si>
  <si>
    <t>ZS11367</t>
  </si>
  <si>
    <t>FGC41945</t>
  </si>
  <si>
    <t>FGC41947</t>
  </si>
  <si>
    <t>FGC4459</t>
  </si>
  <si>
    <t>rs866529129</t>
  </si>
  <si>
    <t>FGC4461</t>
  </si>
  <si>
    <t>rs868158791</t>
  </si>
  <si>
    <t>FGC43009</t>
  </si>
  <si>
    <t>FGC43312</t>
  </si>
  <si>
    <t>FGC50005</t>
  </si>
  <si>
    <t>FGC43310</t>
  </si>
  <si>
    <t>FGC43314</t>
  </si>
  <si>
    <t>FGC43315</t>
  </si>
  <si>
    <t>FGC43317</t>
  </si>
  <si>
    <t>BY9311</t>
  </si>
  <si>
    <t>BY9332</t>
  </si>
  <si>
    <t>FGC46521</t>
  </si>
  <si>
    <t>FGC43286</t>
  </si>
  <si>
    <t>FGC43287</t>
  </si>
  <si>
    <t>FGC43289</t>
  </si>
  <si>
    <t>FGC43290</t>
  </si>
  <si>
    <t>FGC43291</t>
  </si>
  <si>
    <t>FGC43292</t>
  </si>
  <si>
    <t>FGC43293</t>
  </si>
  <si>
    <t>BY9310</t>
  </si>
  <si>
    <t>FGC52082</t>
  </si>
  <si>
    <t>ZS11527</t>
  </si>
  <si>
    <t>ZS11528</t>
  </si>
  <si>
    <t>ZS11529</t>
  </si>
  <si>
    <t>ZS11530</t>
  </si>
  <si>
    <t>ZS11531</t>
  </si>
  <si>
    <t>ZS11532</t>
  </si>
  <si>
    <t>ZS11533</t>
  </si>
  <si>
    <t>ZS11536</t>
  </si>
  <si>
    <t>ZS11537</t>
  </si>
  <si>
    <t>FGC46298</t>
  </si>
  <si>
    <t>FGC46299</t>
  </si>
  <si>
    <t>FGC46301</t>
  </si>
  <si>
    <t>FGC46304</t>
  </si>
  <si>
    <t>FGC46305</t>
  </si>
  <si>
    <t>BY9351</t>
  </si>
  <si>
    <t>FGC46512</t>
  </si>
  <si>
    <t>FGC13092</t>
  </si>
  <si>
    <t>FGC13094</t>
  </si>
  <si>
    <t>FGC13097</t>
  </si>
  <si>
    <t>FGC13075</t>
  </si>
  <si>
    <t>FGC13081</t>
  </si>
  <si>
    <t>FGC13082</t>
  </si>
  <si>
    <t>FGC13084</t>
  </si>
  <si>
    <t>FGC37124</t>
  </si>
  <si>
    <t>FGC37126</t>
  </si>
  <si>
    <t>FGC39939</t>
  </si>
  <si>
    <t>BY9369</t>
  </si>
  <si>
    <t>FGC46490</t>
  </si>
  <si>
    <t>BY9370</t>
  </si>
  <si>
    <t>FGC46491</t>
  </si>
  <si>
    <t>BY9375</t>
  </si>
  <si>
    <t>FGC46487</t>
  </si>
  <si>
    <t>BY9371</t>
  </si>
  <si>
    <t>FGC46493</t>
  </si>
  <si>
    <t>BY9372</t>
  </si>
  <si>
    <t>FGC46489</t>
  </si>
  <si>
    <t>BY9373</t>
  </si>
  <si>
    <t>FGC46492</t>
  </si>
  <si>
    <t>BY11309</t>
  </si>
  <si>
    <t>FGC57145</t>
  </si>
  <si>
    <t>BY9382</t>
  </si>
  <si>
    <t>FGC43271</t>
  </si>
  <si>
    <t>FGC43272</t>
  </si>
  <si>
    <t>FGC43273</t>
  </si>
  <si>
    <t>FGC43372</t>
  </si>
  <si>
    <t>FGC43373</t>
  </si>
  <si>
    <t>FGC43375</t>
  </si>
  <si>
    <t>ZS3863</t>
  </si>
  <si>
    <t>ZS3868</t>
  </si>
  <si>
    <t>rs979005688</t>
  </si>
  <si>
    <t>FGC13105</t>
  </si>
  <si>
    <t>FGC13107</t>
  </si>
  <si>
    <t>BY9426</t>
  </si>
  <si>
    <t>FGC42306</t>
  </si>
  <si>
    <t>FGC42308</t>
  </si>
  <si>
    <t>FGC41767</t>
  </si>
  <si>
    <t>FGC41768</t>
  </si>
  <si>
    <t>rs756587183</t>
  </si>
  <si>
    <t>FGC36738</t>
  </si>
  <si>
    <t>ZS11349</t>
  </si>
  <si>
    <t>Z36166</t>
  </si>
  <si>
    <t>BY9552</t>
  </si>
  <si>
    <t>FGC46232</t>
  </si>
  <si>
    <t>FGC46322</t>
  </si>
  <si>
    <t>FGC46230</t>
  </si>
  <si>
    <t>ZS1920</t>
  </si>
  <si>
    <t>ZS1922</t>
  </si>
  <si>
    <t>ZS1923</t>
  </si>
  <si>
    <t>ZS1924</t>
  </si>
  <si>
    <t>rs751041625</t>
  </si>
  <si>
    <t>ZS1925</t>
  </si>
  <si>
    <t>ZS1929</t>
  </si>
  <si>
    <t>ZS1930</t>
  </si>
  <si>
    <t>ZS1932</t>
  </si>
  <si>
    <t>BY9544</t>
  </si>
  <si>
    <t>FGC42288</t>
  </si>
  <si>
    <t>FGC10591</t>
  </si>
  <si>
    <t>FGC10592</t>
  </si>
  <si>
    <t>FGC10608</t>
  </si>
  <si>
    <t>FGC10589</t>
  </si>
  <si>
    <t>FGC10599</t>
  </si>
  <si>
    <t>FGC10605</t>
  </si>
  <si>
    <t>FGC10612</t>
  </si>
  <si>
    <t>rs779499876</t>
  </si>
  <si>
    <t>rs750532850</t>
  </si>
  <si>
    <t>rs769073998</t>
  </si>
  <si>
    <t>ZS8332</t>
  </si>
  <si>
    <t>rs758016065</t>
  </si>
  <si>
    <t>ZS3860</t>
  </si>
  <si>
    <t>rs745553405</t>
  </si>
  <si>
    <t>ZS3861</t>
  </si>
  <si>
    <t>rs751553034</t>
  </si>
  <si>
    <t>ZS3862</t>
  </si>
  <si>
    <t>rs779033244</t>
  </si>
  <si>
    <t>rs1052894491</t>
  </si>
  <si>
    <t>Y32108</t>
  </si>
  <si>
    <t>ZS10670</t>
  </si>
  <si>
    <t>ZS10671</t>
  </si>
  <si>
    <t>ZS10673</t>
  </si>
  <si>
    <t>ZS10674</t>
  </si>
  <si>
    <t>ZS10675</t>
  </si>
  <si>
    <t>ZS10676</t>
  </si>
  <si>
    <t>rs776574770</t>
  </si>
  <si>
    <t>FGC40443</t>
  </si>
  <si>
    <t>rs751076062</t>
  </si>
  <si>
    <t>FGC40447</t>
  </si>
  <si>
    <t>rs773005411</t>
  </si>
  <si>
    <t>FGC40451</t>
  </si>
  <si>
    <t>rs745913999</t>
  </si>
  <si>
    <t>Y21043</t>
  </si>
  <si>
    <t>ZS10836</t>
  </si>
  <si>
    <t>FGC40449</t>
  </si>
  <si>
    <t>FGC40453</t>
  </si>
  <si>
    <t>rs751796785</t>
  </si>
  <si>
    <t>FGC7944</t>
  </si>
  <si>
    <t>Y10957</t>
  </si>
  <si>
    <t>FGC4371</t>
  </si>
  <si>
    <t>Y8961</t>
  </si>
  <si>
    <t>FGC4385</t>
  </si>
  <si>
    <t>Y10953</t>
  </si>
  <si>
    <t>F2526</t>
  </si>
  <si>
    <t>FGC19118</t>
  </si>
  <si>
    <t>FGC19121</t>
  </si>
  <si>
    <t>rs927555725</t>
  </si>
  <si>
    <t>FGC19122</t>
  </si>
  <si>
    <t>FGC19125</t>
  </si>
  <si>
    <t>FGC19128</t>
  </si>
  <si>
    <t>FGC19129</t>
  </si>
  <si>
    <t>FGC19130</t>
  </si>
  <si>
    <t>rs377092542</t>
  </si>
  <si>
    <t>FGC19131</t>
  </si>
  <si>
    <t>FGC4358</t>
  </si>
  <si>
    <t>Y8967</t>
  </si>
  <si>
    <t>rs866830873</t>
  </si>
  <si>
    <t>FGC4359</t>
  </si>
  <si>
    <t>Y8958</t>
  </si>
  <si>
    <t>FGC4372</t>
  </si>
  <si>
    <t>Y10947</t>
  </si>
  <si>
    <t>FGC4373</t>
  </si>
  <si>
    <t>Y10952</t>
  </si>
  <si>
    <t>rs953562353</t>
  </si>
  <si>
    <t>FGC4378</t>
  </si>
  <si>
    <t>Y8963</t>
  </si>
  <si>
    <t>FGC4379</t>
  </si>
  <si>
    <t>Y10732</t>
  </si>
  <si>
    <t>FGC4384</t>
  </si>
  <si>
    <t>Y10949</t>
  </si>
  <si>
    <t>FGC4387</t>
  </si>
  <si>
    <t>Y8971</t>
  </si>
  <si>
    <t>FGC4388</t>
  </si>
  <si>
    <t>Y8972</t>
  </si>
  <si>
    <t>FGC4390</t>
  </si>
  <si>
    <t>Y10945</t>
  </si>
  <si>
    <t>FGC4393</t>
  </si>
  <si>
    <t>Y8983</t>
  </si>
  <si>
    <t>FGC5476</t>
  </si>
  <si>
    <t>Y10956</t>
  </si>
  <si>
    <t>FGC5484</t>
  </si>
  <si>
    <t>Y8976; ZS4958</t>
  </si>
  <si>
    <t>Y8976</t>
  </si>
  <si>
    <t>FGC5484; ZS4958</t>
  </si>
  <si>
    <t>ZS4958</t>
  </si>
  <si>
    <t>FGC5484; Y8976</t>
  </si>
  <si>
    <t>FGC5486</t>
  </si>
  <si>
    <t>Y8979</t>
  </si>
  <si>
    <t>FGC5489</t>
  </si>
  <si>
    <t>Y10733</t>
  </si>
  <si>
    <t>FGC7943</t>
  </si>
  <si>
    <t>Y10955; ZS4957</t>
  </si>
  <si>
    <t>rs767209335</t>
  </si>
  <si>
    <t>Y10955</t>
  </si>
  <si>
    <t>FGC7943; ZS4957</t>
  </si>
  <si>
    <t>ZS4957</t>
  </si>
  <si>
    <t>FGC7943; Y10955</t>
  </si>
  <si>
    <t>FGC5481</t>
  </si>
  <si>
    <t>Y10948</t>
  </si>
  <si>
    <t>FGC5488</t>
  </si>
  <si>
    <t>Y8981; ZS4955</t>
  </si>
  <si>
    <t>rs887499287</t>
  </si>
  <si>
    <t>Y8981</t>
  </si>
  <si>
    <t>FGC5488; ZS4955</t>
  </si>
  <si>
    <t>ZS4955</t>
  </si>
  <si>
    <t>FGC5488; Y8981</t>
  </si>
  <si>
    <t>FGC16633</t>
  </si>
  <si>
    <t>FGC16638</t>
  </si>
  <si>
    <t>rs766761296</t>
  </si>
  <si>
    <t>AD0000005</t>
  </si>
  <si>
    <t>FGC7; Y9272</t>
  </si>
  <si>
    <t>rs867360823</t>
  </si>
  <si>
    <t>FGC7</t>
  </si>
  <si>
    <t>AD0000005; Y9272</t>
  </si>
  <si>
    <t>Y9272</t>
  </si>
  <si>
    <t>AD0000005; FGC7</t>
  </si>
  <si>
    <t>FGC8</t>
  </si>
  <si>
    <t>Y9273</t>
  </si>
  <si>
    <t>rs867388692</t>
  </si>
  <si>
    <t>FGC16651</t>
  </si>
  <si>
    <t>Y10935</t>
  </si>
  <si>
    <t>rs868594529</t>
  </si>
  <si>
    <t>FGC16652</t>
  </si>
  <si>
    <t>FGC16659</t>
  </si>
  <si>
    <t>Y10939</t>
  </si>
  <si>
    <t>rs867126296</t>
  </si>
  <si>
    <t>FGC16660</t>
  </si>
  <si>
    <t>Y8973</t>
  </si>
  <si>
    <t>FGC16661</t>
  </si>
  <si>
    <t>Y8977</t>
  </si>
  <si>
    <t>rs867808959</t>
  </si>
  <si>
    <t>FGC16656</t>
  </si>
  <si>
    <t>Y10938</t>
  </si>
  <si>
    <t>rs868707933</t>
  </si>
  <si>
    <t>FGC16658</t>
  </si>
  <si>
    <t>Y10940</t>
  </si>
  <si>
    <t>rs865817962</t>
  </si>
  <si>
    <t>FGC16654</t>
  </si>
  <si>
    <t>Y10942</t>
  </si>
  <si>
    <t>rs866844439</t>
  </si>
  <si>
    <t>FGC18828</t>
  </si>
  <si>
    <t>rs868796811</t>
  </si>
  <si>
    <t>FGC18831</t>
  </si>
  <si>
    <t>rs865904219</t>
  </si>
  <si>
    <t>FGC18832</t>
  </si>
  <si>
    <t>rs867003043</t>
  </si>
  <si>
    <t>FGC18834</t>
  </si>
  <si>
    <t>rs868337453</t>
  </si>
  <si>
    <t>rs868335827</t>
  </si>
  <si>
    <t>S9517</t>
  </si>
  <si>
    <t>Z20773</t>
  </si>
  <si>
    <t>rs866438865</t>
  </si>
  <si>
    <t>rs866804082</t>
  </si>
  <si>
    <t>rs868268705</t>
  </si>
  <si>
    <t>Y18408</t>
  </si>
  <si>
    <t>ZS9939</t>
  </si>
  <si>
    <t>ZS4623</t>
  </si>
  <si>
    <t>FGC49212</t>
  </si>
  <si>
    <t>ZS10342</t>
  </si>
  <si>
    <t>ZS10343</t>
  </si>
  <si>
    <t>Y8027</t>
  </si>
  <si>
    <t>ZS10344</t>
  </si>
  <si>
    <t>ZS10348</t>
  </si>
  <si>
    <t>ZS10349</t>
  </si>
  <si>
    <t>ZS4618</t>
  </si>
  <si>
    <t>ZS4621</t>
  </si>
  <si>
    <t>FGC7936</t>
  </si>
  <si>
    <t>Y9274</t>
  </si>
  <si>
    <t>rs372721938</t>
  </si>
  <si>
    <t>Z9066</t>
  </si>
  <si>
    <t>ZS7229</t>
  </si>
  <si>
    <t>ZS7234</t>
  </si>
  <si>
    <t>ZS7236</t>
  </si>
  <si>
    <t>FGC4340</t>
  </si>
  <si>
    <t>Y8960</t>
  </si>
  <si>
    <t>FGC4350</t>
  </si>
  <si>
    <t>FGC4352</t>
  </si>
  <si>
    <t>Y8974</t>
  </si>
  <si>
    <t>FGC4355</t>
  </si>
  <si>
    <t>Y8980</t>
  </si>
  <si>
    <t>FGC19504</t>
  </si>
  <si>
    <t>FGC19505</t>
  </si>
  <si>
    <t>FGC4234</t>
  </si>
  <si>
    <t>Y9445</t>
  </si>
  <si>
    <t>FGC4239</t>
  </si>
  <si>
    <t>Y9442</t>
  </si>
  <si>
    <t>FGC4240</t>
  </si>
  <si>
    <t>Y8966</t>
  </si>
  <si>
    <t>FGC4241</t>
  </si>
  <si>
    <t>Y9439</t>
  </si>
  <si>
    <t>FGC4243</t>
  </si>
  <si>
    <t>Y9440</t>
  </si>
  <si>
    <t>FGC4244</t>
  </si>
  <si>
    <t>Y9441</t>
  </si>
  <si>
    <t>FGC4248</t>
  </si>
  <si>
    <t>Y9444</t>
  </si>
  <si>
    <t>FGC4249</t>
  </si>
  <si>
    <t>Y8982</t>
  </si>
  <si>
    <t>FGC4250</t>
  </si>
  <si>
    <t>Y9446</t>
  </si>
  <si>
    <t>rs976371369</t>
  </si>
  <si>
    <t>FGC4316</t>
  </si>
  <si>
    <t>Y8975; ZS1851</t>
  </si>
  <si>
    <t>rs1215189631</t>
  </si>
  <si>
    <t>Y8975</t>
  </si>
  <si>
    <t>FGC4316; ZS1851</t>
  </si>
  <si>
    <t>ZS1851</t>
  </si>
  <si>
    <t>FGC4316; Y8975</t>
  </si>
  <si>
    <t>FGC4314</t>
  </si>
  <si>
    <t>Y10966; ZS1850</t>
  </si>
  <si>
    <t>rs1220835728</t>
  </si>
  <si>
    <t>Y10966</t>
  </si>
  <si>
    <t>FGC4314; ZS1850</t>
  </si>
  <si>
    <t>ZS1850</t>
  </si>
  <si>
    <t>FGC4314; Y10966</t>
  </si>
  <si>
    <t>FGC10095</t>
  </si>
  <si>
    <t>Y8959</t>
  </si>
  <si>
    <t>FGC11759</t>
  </si>
  <si>
    <t>Y10964</t>
  </si>
  <si>
    <t>FGC4309</t>
  </si>
  <si>
    <t>FGC4315</t>
  </si>
  <si>
    <t>FGC4310</t>
  </si>
  <si>
    <t>ZS1848</t>
  </si>
  <si>
    <t>FGC4320</t>
  </si>
  <si>
    <t>ZS1854</t>
  </si>
  <si>
    <t>FGC4322</t>
  </si>
  <si>
    <t>ZS1855</t>
  </si>
  <si>
    <t>FGC4324</t>
  </si>
  <si>
    <t>ZS1857</t>
  </si>
  <si>
    <t>FGC4317</t>
  </si>
  <si>
    <t>FGC4318</t>
  </si>
  <si>
    <t>FGC4325</t>
  </si>
  <si>
    <t>FGC7939</t>
  </si>
  <si>
    <t>BY261</t>
  </si>
  <si>
    <t>ZS4004</t>
  </si>
  <si>
    <t>BY262</t>
  </si>
  <si>
    <t>ZS4003</t>
  </si>
  <si>
    <t>BY2889</t>
  </si>
  <si>
    <t>ZS4754</t>
  </si>
  <si>
    <t>ZS4758</t>
  </si>
  <si>
    <t>ZS4759</t>
  </si>
  <si>
    <t>ZS4760</t>
  </si>
  <si>
    <t>ZS4762</t>
  </si>
  <si>
    <t>FGC38800</t>
  </si>
  <si>
    <t>FGC38802</t>
  </si>
  <si>
    <t>FGC38803</t>
  </si>
  <si>
    <t>FGC38804</t>
  </si>
  <si>
    <t>FGC38809</t>
  </si>
  <si>
    <t>rs959138599</t>
  </si>
  <si>
    <t>rs767461806</t>
  </si>
  <si>
    <t>AD0000004</t>
  </si>
  <si>
    <t>FGC1713; Y9272</t>
  </si>
  <si>
    <t>rs762042293</t>
  </si>
  <si>
    <t>FGC1713</t>
  </si>
  <si>
    <t>AD0000004; Y9272</t>
  </si>
  <si>
    <t>AD0000004; FGC1713</t>
  </si>
  <si>
    <t>Y19094</t>
  </si>
  <si>
    <t>Y19096</t>
  </si>
  <si>
    <t>ZS7286</t>
  </si>
  <si>
    <t>Y19261</t>
  </si>
  <si>
    <t>ZS7296</t>
  </si>
  <si>
    <t>Y19262</t>
  </si>
  <si>
    <t>ZS7298</t>
  </si>
  <si>
    <t>Y19263</t>
  </si>
  <si>
    <t>ZS7295</t>
  </si>
  <si>
    <t>rs935327273</t>
  </si>
  <si>
    <t>Y19264</t>
  </si>
  <si>
    <t>ZS7281</t>
  </si>
  <si>
    <t>Y19265</t>
  </si>
  <si>
    <t>ZS7282</t>
  </si>
  <si>
    <t>Y19266</t>
  </si>
  <si>
    <t>ZS7284</t>
  </si>
  <si>
    <t>Y19267</t>
  </si>
  <si>
    <t>ZS7274</t>
  </si>
  <si>
    <t>Y19269</t>
  </si>
  <si>
    <t>ZS9585</t>
  </si>
  <si>
    <t>Y16181</t>
  </si>
  <si>
    <t>ZS7213</t>
  </si>
  <si>
    <t>Y16182</t>
  </si>
  <si>
    <t>ZS7214</t>
  </si>
  <si>
    <t>Y16184</t>
  </si>
  <si>
    <t>ZS7220</t>
  </si>
  <si>
    <t>Y16185</t>
  </si>
  <si>
    <t>ZS7227</t>
  </si>
  <si>
    <t>Y16399</t>
  </si>
  <si>
    <t>ZS7218</t>
  </si>
  <si>
    <t>Y16400</t>
  </si>
  <si>
    <t>ZS7226</t>
  </si>
  <si>
    <t>Y16401</t>
  </si>
  <si>
    <t>ZS7215</t>
  </si>
  <si>
    <t>ZS8172</t>
  </si>
  <si>
    <t>ZS8175</t>
  </si>
  <si>
    <t>FGC45011</t>
  </si>
  <si>
    <t>Y20496</t>
  </si>
  <si>
    <t>rs983298869</t>
  </si>
  <si>
    <t>ZS8311</t>
  </si>
  <si>
    <t>rs948077721</t>
  </si>
  <si>
    <t>FGC44998</t>
  </si>
  <si>
    <t>Y20494; ZS10657</t>
  </si>
  <si>
    <t>Y20494</t>
  </si>
  <si>
    <t>FGC44998; ZS10657</t>
  </si>
  <si>
    <t>ZS10657</t>
  </si>
  <si>
    <t>FGC44998; Y20494</t>
  </si>
  <si>
    <t>FGC45005</t>
  </si>
  <si>
    <t>Y20495</t>
  </si>
  <si>
    <t>rs1048924154</t>
  </si>
  <si>
    <t>FGC60163</t>
  </si>
  <si>
    <t>FGC60166</t>
  </si>
  <si>
    <t>FGC60167</t>
  </si>
  <si>
    <t>FGC1715</t>
  </si>
  <si>
    <t>Y8968</t>
  </si>
  <si>
    <t>rs757554438</t>
  </si>
  <si>
    <t>FGC1725</t>
  </si>
  <si>
    <t>rs777803124</t>
  </si>
  <si>
    <t>FGC1703</t>
  </si>
  <si>
    <t>Y10959</t>
  </si>
  <si>
    <t>rs760917717</t>
  </si>
  <si>
    <t>FGC1704</t>
  </si>
  <si>
    <t>Y10960</t>
  </si>
  <si>
    <t>rs768352561</t>
  </si>
  <si>
    <t>FGC1712</t>
  </si>
  <si>
    <t>Y8964</t>
  </si>
  <si>
    <t>rs777657835</t>
  </si>
  <si>
    <t>FGC1716</t>
  </si>
  <si>
    <t>Y10961</t>
  </si>
  <si>
    <t>rs752228428</t>
  </si>
  <si>
    <t>FGC1717</t>
  </si>
  <si>
    <t>Y10962</t>
  </si>
  <si>
    <t>rs772032540</t>
  </si>
  <si>
    <t>FGC1719</t>
  </si>
  <si>
    <t>Y8970</t>
  </si>
  <si>
    <t>rs749270056</t>
  </si>
  <si>
    <t>FGC1733</t>
  </si>
  <si>
    <t>FGC38706</t>
  </si>
  <si>
    <t>FGC38708</t>
  </si>
  <si>
    <t>rs781249240</t>
  </si>
  <si>
    <t>FGC1694</t>
  </si>
  <si>
    <t>rs773997622</t>
  </si>
  <si>
    <t>FGC1700</t>
  </si>
  <si>
    <t>rs759681771</t>
  </si>
  <si>
    <t>FGC1706</t>
  </si>
  <si>
    <t>rs766121251</t>
  </si>
  <si>
    <t>FGC1711</t>
  </si>
  <si>
    <t>rs753450559</t>
  </si>
  <si>
    <t>FGC22238</t>
  </si>
  <si>
    <t>ZS4717</t>
  </si>
  <si>
    <t>rs781179102</t>
  </si>
  <si>
    <t>ZS4710</t>
  </si>
  <si>
    <t>ZS4713</t>
  </si>
  <si>
    <t>ZS4715</t>
  </si>
  <si>
    <t>ZS4716</t>
  </si>
  <si>
    <t>ZS4718</t>
  </si>
  <si>
    <t>Y23538</t>
  </si>
  <si>
    <t>ZS5809</t>
  </si>
  <si>
    <t>A13642</t>
  </si>
  <si>
    <t>Y19869</t>
  </si>
  <si>
    <t>rs965549601</t>
  </si>
  <si>
    <t>FGC23911</t>
  </si>
  <si>
    <t>ZS5801</t>
  </si>
  <si>
    <t>Z5355</t>
  </si>
  <si>
    <t>FGC23912</t>
  </si>
  <si>
    <t>ZS5802</t>
  </si>
  <si>
    <t>rs866354965</t>
  </si>
  <si>
    <t>FGC23919</t>
  </si>
  <si>
    <t>ZS5811</t>
  </si>
  <si>
    <t>FGC23920</t>
  </si>
  <si>
    <t>ZS5812</t>
  </si>
  <si>
    <t>FGC23922</t>
  </si>
  <si>
    <t>ZS5814</t>
  </si>
  <si>
    <t>FGC23915</t>
  </si>
  <si>
    <t>ZS5805</t>
  </si>
  <si>
    <t>FGC23917</t>
  </si>
  <si>
    <t>ZS5807</t>
  </si>
  <si>
    <t>FGC23918</t>
  </si>
  <si>
    <t>ZS5810</t>
  </si>
  <si>
    <t>FGC23913</t>
  </si>
  <si>
    <t>ZS5803</t>
  </si>
  <si>
    <t>FGC23921</t>
  </si>
  <si>
    <t>ZS5813</t>
  </si>
  <si>
    <t>ZS8557</t>
  </si>
  <si>
    <t>ZS8560</t>
  </si>
  <si>
    <t>rs944899133</t>
  </si>
  <si>
    <t>AD0000007</t>
  </si>
  <si>
    <t>FGC5; Y5323</t>
  </si>
  <si>
    <t>rs867592041</t>
  </si>
  <si>
    <t>FGC5</t>
  </si>
  <si>
    <t>AD0000007; Y5323</t>
  </si>
  <si>
    <t>Y5323</t>
  </si>
  <si>
    <t>AD0000007; FGC5</t>
  </si>
  <si>
    <t>AD0000008</t>
  </si>
  <si>
    <t>FGC1; Y5320</t>
  </si>
  <si>
    <t>rs973138668</t>
  </si>
  <si>
    <t>FGC1</t>
  </si>
  <si>
    <t>AD0000008; Y5320</t>
  </si>
  <si>
    <t>Y5320</t>
  </si>
  <si>
    <t>AD0000008; FGC1</t>
  </si>
  <si>
    <t>ZS5010</t>
  </si>
  <si>
    <t>rs894582536</t>
  </si>
  <si>
    <t>ZS5011</t>
  </si>
  <si>
    <t>ZS5000</t>
  </si>
  <si>
    <t>ZS5004</t>
  </si>
  <si>
    <t>ZS5005</t>
  </si>
  <si>
    <t>FGC43122</t>
  </si>
  <si>
    <t>rs966581543</t>
  </si>
  <si>
    <t>FGC43124</t>
  </si>
  <si>
    <t>rs996163022</t>
  </si>
  <si>
    <t>FGC43125</t>
  </si>
  <si>
    <t>rs970529737</t>
  </si>
  <si>
    <t>FGC43126</t>
  </si>
  <si>
    <t>FGC43127</t>
  </si>
  <si>
    <t>rs937669358</t>
  </si>
  <si>
    <t>ZS10287</t>
  </si>
  <si>
    <t>FGC49889</t>
  </si>
  <si>
    <t>ZS10629</t>
  </si>
  <si>
    <t>ZS10635</t>
  </si>
  <si>
    <t>ZS10630</t>
  </si>
  <si>
    <t>ZS10632</t>
  </si>
  <si>
    <t>ZS10636</t>
  </si>
  <si>
    <t>ZS10637</t>
  </si>
  <si>
    <t>FGC44943</t>
  </si>
  <si>
    <t>Y20903</t>
  </si>
  <si>
    <t>rs1025531190</t>
  </si>
  <si>
    <t>FGC44917</t>
  </si>
  <si>
    <t>Y20902</t>
  </si>
  <si>
    <t>FGC44923</t>
  </si>
  <si>
    <t>Y21324</t>
  </si>
  <si>
    <t>FGC60185</t>
  </si>
  <si>
    <t>ZS11515</t>
  </si>
  <si>
    <t>ZS11516</t>
  </si>
  <si>
    <t>ZS11517</t>
  </si>
  <si>
    <t>ZS11519</t>
  </si>
  <si>
    <t>FGC14704</t>
  </si>
  <si>
    <t>ZS1820</t>
  </si>
  <si>
    <t>rs1016180302</t>
  </si>
  <si>
    <t>AMM394</t>
  </si>
  <si>
    <t>CTS9501</t>
  </si>
  <si>
    <t>rs72611670</t>
  </si>
  <si>
    <t>FGC14703</t>
  </si>
  <si>
    <t>rs774042299</t>
  </si>
  <si>
    <t>FGC22745</t>
  </si>
  <si>
    <t>rs1042070305</t>
  </si>
  <si>
    <t>FGC22746</t>
  </si>
  <si>
    <t>rs1009567592</t>
  </si>
  <si>
    <t>FGC22747</t>
  </si>
  <si>
    <t>FGC41885</t>
  </si>
  <si>
    <t>ZS9614</t>
  </si>
  <si>
    <t>FGC41884</t>
  </si>
  <si>
    <t>ZS9613</t>
  </si>
  <si>
    <t>FGC41886</t>
  </si>
  <si>
    <t>ZS9615</t>
  </si>
  <si>
    <t>FGC41888</t>
  </si>
  <si>
    <t>ZS9616</t>
  </si>
  <si>
    <t>AD0000009</t>
  </si>
  <si>
    <t>FGC2; Y8538</t>
  </si>
  <si>
    <t>rs868076839</t>
  </si>
  <si>
    <t>FGC2</t>
  </si>
  <si>
    <t>AD0000009; Y8538</t>
  </si>
  <si>
    <t>Y8538</t>
  </si>
  <si>
    <t>AD0000009; FGC2</t>
  </si>
  <si>
    <t>AD0000011</t>
  </si>
  <si>
    <t>FGC4; Y8537</t>
  </si>
  <si>
    <t>rs867584448</t>
  </si>
  <si>
    <t>FGC4</t>
  </si>
  <si>
    <t>AD0000011; Y8537</t>
  </si>
  <si>
    <t>Y8537</t>
  </si>
  <si>
    <t>AD0000011; FGC4</t>
  </si>
  <si>
    <t>FGC29807</t>
  </si>
  <si>
    <t>FGC29811</t>
  </si>
  <si>
    <t>FGC29813</t>
  </si>
  <si>
    <t>FGC29815</t>
  </si>
  <si>
    <t>SK2161</t>
  </si>
  <si>
    <t>FGC6770</t>
  </si>
  <si>
    <t>rs866170909</t>
  </si>
  <si>
    <t>FGC6774</t>
  </si>
  <si>
    <t>rs868415093</t>
  </si>
  <si>
    <t>FGC6776</t>
  </si>
  <si>
    <t>rs866458517</t>
  </si>
  <si>
    <t>FGC6781</t>
  </si>
  <si>
    <t>rs867356514</t>
  </si>
  <si>
    <t>FGC8089</t>
  </si>
  <si>
    <t>rs868269595</t>
  </si>
  <si>
    <t>rs866261579</t>
  </si>
  <si>
    <t>Y30516</t>
  </si>
  <si>
    <t>ZS7094</t>
  </si>
  <si>
    <t>ZS7528</t>
  </si>
  <si>
    <t>ZS7530</t>
  </si>
  <si>
    <t>ZS7531</t>
  </si>
  <si>
    <t>ZS7532</t>
  </si>
  <si>
    <t>ZS7533</t>
  </si>
  <si>
    <t>ZS8254</t>
  </si>
  <si>
    <t>rs764310289</t>
  </si>
  <si>
    <t>ZS8255</t>
  </si>
  <si>
    <t>ZS8257</t>
  </si>
  <si>
    <t>ZS8260</t>
  </si>
  <si>
    <t>ZS5612</t>
  </si>
  <si>
    <t>ZS5613</t>
  </si>
  <si>
    <t>ZS5614</t>
  </si>
  <si>
    <t>ZS5616</t>
  </si>
  <si>
    <t>ZS11881</t>
  </si>
  <si>
    <t>ZS11882</t>
  </si>
  <si>
    <t>ZS11883</t>
  </si>
  <si>
    <t>Y28954</t>
  </si>
  <si>
    <t>Y28955</t>
  </si>
  <si>
    <t>ZS12069</t>
  </si>
  <si>
    <t>ZS12072</t>
  </si>
  <si>
    <t>ZS12074</t>
  </si>
  <si>
    <t>ZS12077</t>
  </si>
  <si>
    <t>ZS4274</t>
  </si>
  <si>
    <t>ZS4276</t>
  </si>
  <si>
    <t>ZS4275</t>
  </si>
  <si>
    <t>FGC4493</t>
  </si>
  <si>
    <t>Y10728</t>
  </si>
  <si>
    <t>FGC4494</t>
  </si>
  <si>
    <t>FGC4495</t>
  </si>
  <si>
    <t>Y10729</t>
  </si>
  <si>
    <t>Y31139</t>
  </si>
  <si>
    <t>Y31140</t>
  </si>
  <si>
    <t>ZS5529</t>
  </si>
  <si>
    <t>ZS5530</t>
  </si>
  <si>
    <t>BY145</t>
  </si>
  <si>
    <t>Y14193; Z18223</t>
  </si>
  <si>
    <t>Y14193</t>
  </si>
  <si>
    <t>BY145; Z18223</t>
  </si>
  <si>
    <t>Z18223</t>
  </si>
  <si>
    <t>BY145; Y14193</t>
  </si>
  <si>
    <t>FGC11161.2</t>
  </si>
  <si>
    <t>ZP56.2</t>
  </si>
  <si>
    <t>rs771340752</t>
  </si>
  <si>
    <t>ZS10273</t>
  </si>
  <si>
    <t>ZS10707</t>
  </si>
  <si>
    <t>ZS10709</t>
  </si>
  <si>
    <t>ZS10271</t>
  </si>
  <si>
    <t>ZS10272</t>
  </si>
  <si>
    <t>ZS10274</t>
  </si>
  <si>
    <t>M10605</t>
  </si>
  <si>
    <t>rs577492497</t>
  </si>
  <si>
    <t>ZS9365</t>
  </si>
  <si>
    <t>ZS9366</t>
  </si>
  <si>
    <t>ZS9369</t>
  </si>
  <si>
    <t>rs996777890</t>
  </si>
  <si>
    <t>ZS9372</t>
  </si>
  <si>
    <t>ZS7048</t>
  </si>
  <si>
    <t>ZS7049</t>
  </si>
  <si>
    <t>ZS7050</t>
  </si>
  <si>
    <t>ZS5618</t>
  </si>
  <si>
    <t>ZS5619</t>
  </si>
  <si>
    <t>ZS5621</t>
  </si>
  <si>
    <t>ZS5622</t>
  </si>
  <si>
    <t>ZS5623</t>
  </si>
  <si>
    <t>ZS5624</t>
  </si>
  <si>
    <t>ZS5625</t>
  </si>
  <si>
    <t>ZS9634</t>
  </si>
  <si>
    <t>ZS9635</t>
  </si>
  <si>
    <t>ZS9636</t>
  </si>
  <si>
    <t>ZS9637</t>
  </si>
  <si>
    <t>ZS9639</t>
  </si>
  <si>
    <t>ZS9640</t>
  </si>
  <si>
    <t>ZS9641</t>
  </si>
  <si>
    <t>ZS9642</t>
  </si>
  <si>
    <t>ZS9643</t>
  </si>
  <si>
    <t>ZS9644</t>
  </si>
  <si>
    <t>CTS311</t>
  </si>
  <si>
    <t>rs772896940</t>
  </si>
  <si>
    <t>Y23156</t>
  </si>
  <si>
    <t>ZS8216</t>
  </si>
  <si>
    <t>ZS8217</t>
  </si>
  <si>
    <t>rs916830167</t>
  </si>
  <si>
    <t>ZS8219</t>
  </si>
  <si>
    <t>ZS4747</t>
  </si>
  <si>
    <t>ZS4752</t>
  </si>
  <si>
    <t>ZS4751</t>
  </si>
  <si>
    <t>ZS8492</t>
  </si>
  <si>
    <t>YP4002.3</t>
  </si>
  <si>
    <t>Z34932.3; ZS8491.</t>
  </si>
  <si>
    <t>rs750216580</t>
  </si>
  <si>
    <t>Z34932.3</t>
  </si>
  <si>
    <t>YP4002.3; ZS8491.</t>
  </si>
  <si>
    <t>Z23932</t>
  </si>
  <si>
    <t>ZS8491.</t>
  </si>
  <si>
    <t>YP4002.3; Z34932.3</t>
  </si>
  <si>
    <t>Z34932; YP4002; ZS8491</t>
  </si>
  <si>
    <t>ZS4746</t>
  </si>
  <si>
    <t>ZS4748</t>
  </si>
  <si>
    <t>ZS4750</t>
  </si>
  <si>
    <t>FGC51866</t>
  </si>
  <si>
    <t>ZS12056</t>
  </si>
  <si>
    <t>FGC51867</t>
  </si>
  <si>
    <t>Y24793</t>
  </si>
  <si>
    <t>rs917336770</t>
  </si>
  <si>
    <t>FGC51868</t>
  </si>
  <si>
    <t>Y24974</t>
  </si>
  <si>
    <t>FGC51869</t>
  </si>
  <si>
    <t>Y24490</t>
  </si>
  <si>
    <t>rs1042059173</t>
  </si>
  <si>
    <t>FGC51870</t>
  </si>
  <si>
    <t>Y24491</t>
  </si>
  <si>
    <t>ZS12058</t>
  </si>
  <si>
    <t>Y23652</t>
  </si>
  <si>
    <t>ZS9687</t>
  </si>
  <si>
    <t>ZS9689</t>
  </si>
  <si>
    <t>ZS9688</t>
  </si>
  <si>
    <t>ZS9690</t>
  </si>
  <si>
    <t>ZS9692</t>
  </si>
  <si>
    <t>Y16898</t>
  </si>
  <si>
    <t>Y16900</t>
  </si>
  <si>
    <t>Y16901</t>
  </si>
  <si>
    <t>Y16902</t>
  </si>
  <si>
    <t>Y16903</t>
  </si>
  <si>
    <t>Y20114</t>
  </si>
  <si>
    <t>Y16899</t>
  </si>
  <si>
    <t>ZS7063</t>
  </si>
  <si>
    <t>rs766312372</t>
  </si>
  <si>
    <t>ZS8667</t>
  </si>
  <si>
    <t>ZS8668</t>
  </si>
  <si>
    <t>ZS8669</t>
  </si>
  <si>
    <t>ZS8670</t>
  </si>
  <si>
    <t>ZS8671</t>
  </si>
  <si>
    <t>ZS8672</t>
  </si>
  <si>
    <t>ZS10459</t>
  </si>
  <si>
    <t>ZS10460</t>
  </si>
  <si>
    <t>ZS10461</t>
  </si>
  <si>
    <t>ZS10462</t>
  </si>
  <si>
    <t>ZS10465</t>
  </si>
  <si>
    <t>ZS5220</t>
  </si>
  <si>
    <t>ZS1801</t>
  </si>
  <si>
    <t>ZS1802</t>
  </si>
  <si>
    <t>ZS1803</t>
  </si>
  <si>
    <t>ZS1804</t>
  </si>
  <si>
    <t>ZS1805</t>
  </si>
  <si>
    <t>F10313</t>
  </si>
  <si>
    <t>ZS10840</t>
  </si>
  <si>
    <t>rs367818936</t>
  </si>
  <si>
    <t>ZS10841</t>
  </si>
  <si>
    <t>ZS10842</t>
  </si>
  <si>
    <t>ZS10843</t>
  </si>
  <si>
    <t>rs961389330</t>
  </si>
  <si>
    <t>ZS10845</t>
  </si>
  <si>
    <t>ZS3992</t>
  </si>
  <si>
    <t>ZS3993</t>
  </si>
  <si>
    <t>ZS3994</t>
  </si>
  <si>
    <t>ZS3995</t>
  </si>
  <si>
    <t>ZS3997</t>
  </si>
  <si>
    <t>ZS10592</t>
  </si>
  <si>
    <t>ZS10593</t>
  </si>
  <si>
    <t>ZS10594</t>
  </si>
  <si>
    <t>ZS10596</t>
  </si>
  <si>
    <t>FGC5427</t>
  </si>
  <si>
    <t>rs935805459</t>
  </si>
  <si>
    <t>FGC5428</t>
  </si>
  <si>
    <t>rs1018444154</t>
  </si>
  <si>
    <t>FGC14435</t>
  </si>
  <si>
    <t>Z18218</t>
  </si>
  <si>
    <t>FGC14439</t>
  </si>
  <si>
    <t>Z18219</t>
  </si>
  <si>
    <t>FGC14442</t>
  </si>
  <si>
    <t>Z18222</t>
  </si>
  <si>
    <t>DC436</t>
  </si>
  <si>
    <t>Y22553</t>
  </si>
  <si>
    <t>rs903219990</t>
  </si>
  <si>
    <t>FGC23317</t>
  </si>
  <si>
    <t>FGC23319</t>
  </si>
  <si>
    <t>FGC14441</t>
  </si>
  <si>
    <t>Z18221</t>
  </si>
  <si>
    <t>Z18220</t>
  </si>
  <si>
    <t>FGC14436</t>
  </si>
  <si>
    <t>ZS1795</t>
  </si>
  <si>
    <t>rs897626754</t>
  </si>
  <si>
    <t>ZS6416</t>
  </si>
  <si>
    <t>rs760997617</t>
  </si>
  <si>
    <t>ZS6418</t>
  </si>
  <si>
    <t>FGC5419</t>
  </si>
  <si>
    <t>FGC5424</t>
  </si>
  <si>
    <t>FGC5426</t>
  </si>
  <si>
    <t>ZS1792</t>
  </si>
  <si>
    <t>rs897941241</t>
  </si>
  <si>
    <t>FGC22249</t>
  </si>
  <si>
    <t>ZS5198</t>
  </si>
  <si>
    <t>rs1002481339</t>
  </si>
  <si>
    <t>FGC22250</t>
  </si>
  <si>
    <t>ZS5199</t>
  </si>
  <si>
    <t>FGC22251</t>
  </si>
  <si>
    <t>ZS5201</t>
  </si>
  <si>
    <t>FGC22252</t>
  </si>
  <si>
    <t>ZS5202</t>
  </si>
  <si>
    <t>FGC22255</t>
  </si>
  <si>
    <t>ZS5203</t>
  </si>
  <si>
    <t>rs1033700024</t>
  </si>
  <si>
    <t>FGC22256</t>
  </si>
  <si>
    <t>ZS5204</t>
  </si>
  <si>
    <t>rs1020298695</t>
  </si>
  <si>
    <t>FGC22261</t>
  </si>
  <si>
    <t>rs930965418</t>
  </si>
  <si>
    <t>FGC22259</t>
  </si>
  <si>
    <t>rs895767913</t>
  </si>
  <si>
    <t>FGC22260</t>
  </si>
  <si>
    <t>rs977342340</t>
  </si>
  <si>
    <t>FGC49354</t>
  </si>
  <si>
    <t>ZS6395</t>
  </si>
  <si>
    <t>rs1022637660</t>
  </si>
  <si>
    <t>FGC5425</t>
  </si>
  <si>
    <t>FGC5432</t>
  </si>
  <si>
    <t>rs866758711</t>
  </si>
  <si>
    <t>Y12363</t>
  </si>
  <si>
    <t>ZS3903</t>
  </si>
  <si>
    <t>Y12883</t>
  </si>
  <si>
    <t>ZS3912</t>
  </si>
  <si>
    <t>FGC4472</t>
  </si>
  <si>
    <t>FGC4480</t>
  </si>
  <si>
    <t>Y12364</t>
  </si>
  <si>
    <t>FGC4481</t>
  </si>
  <si>
    <t>Y12851</t>
  </si>
  <si>
    <t>FGC4484</t>
  </si>
  <si>
    <t>Y12852</t>
  </si>
  <si>
    <t>FGC4485</t>
  </si>
  <si>
    <t>Y12849</t>
  </si>
  <si>
    <t>FGC4486</t>
  </si>
  <si>
    <t>Y12850</t>
  </si>
  <si>
    <t>FGC4487</t>
  </si>
  <si>
    <t>FGC5462</t>
  </si>
  <si>
    <t>ZS9168</t>
  </si>
  <si>
    <t>ZS9169</t>
  </si>
  <si>
    <t>ZS9171</t>
  </si>
  <si>
    <t>FGC5468</t>
  </si>
  <si>
    <t>FGC5464</t>
  </si>
  <si>
    <t>FGC5465</t>
  </si>
  <si>
    <t>FGC5467</t>
  </si>
  <si>
    <t>rs1365826657</t>
  </si>
  <si>
    <t>Y12904</t>
  </si>
  <si>
    <t>ZS3873</t>
  </si>
  <si>
    <t>Y16466</t>
  </si>
  <si>
    <t>FGC17804</t>
  </si>
  <si>
    <t>ZS3960</t>
  </si>
  <si>
    <t>FGC17805</t>
  </si>
  <si>
    <t>Y12891; ZS3961</t>
  </si>
  <si>
    <t>Y12891</t>
  </si>
  <si>
    <t>FGC17805; ZS3961</t>
  </si>
  <si>
    <t>ZS3961</t>
  </si>
  <si>
    <t>FGC17805; Y12891</t>
  </si>
  <si>
    <t>Y13963</t>
  </si>
  <si>
    <t>ZS6427</t>
  </si>
  <si>
    <t>FGC17806</t>
  </si>
  <si>
    <t>ZS3962</t>
  </si>
  <si>
    <t>FGC17808</t>
  </si>
  <si>
    <t>ZS3964</t>
  </si>
  <si>
    <t>FGC17809</t>
  </si>
  <si>
    <t>ZS3966</t>
  </si>
  <si>
    <t>FGC17803</t>
  </si>
  <si>
    <t>ZS3959</t>
  </si>
  <si>
    <t>rs1394971878</t>
  </si>
  <si>
    <t>FGC5441</t>
  </si>
  <si>
    <t>FGC5456</t>
  </si>
  <si>
    <t>rs954313160</t>
  </si>
  <si>
    <t>BY2</t>
  </si>
  <si>
    <t>FGC15178</t>
  </si>
  <si>
    <t>rs971492729</t>
  </si>
  <si>
    <t>BY3</t>
  </si>
  <si>
    <t>FGC15184</t>
  </si>
  <si>
    <t>rs1044114475</t>
  </si>
  <si>
    <t>ZS4721</t>
  </si>
  <si>
    <t>ZS4722</t>
  </si>
  <si>
    <t>ZS4723</t>
  </si>
  <si>
    <t>ZS4725</t>
  </si>
  <si>
    <t>FGC496.3</t>
  </si>
  <si>
    <t>Z6749.3; ZS4949.3</t>
  </si>
  <si>
    <t>Z6749.3</t>
  </si>
  <si>
    <t>FGC496.3; ZS4949.3</t>
  </si>
  <si>
    <t>ZS4949.3</t>
  </si>
  <si>
    <t>FGC496.3; Z6749.3</t>
  </si>
  <si>
    <t>ZS4944</t>
  </si>
  <si>
    <t>ZS4945</t>
  </si>
  <si>
    <t>ZS4946</t>
  </si>
  <si>
    <t>ZS4950</t>
  </si>
  <si>
    <t>CTS8120.2</t>
  </si>
  <si>
    <t>rs774826701</t>
  </si>
  <si>
    <t>ZS9302</t>
  </si>
  <si>
    <t>ZS9305</t>
  </si>
  <si>
    <t>ZS9306</t>
  </si>
  <si>
    <t>ZS9318</t>
  </si>
  <si>
    <t>rs936768015</t>
  </si>
  <si>
    <t>BY72</t>
  </si>
  <si>
    <t>Z18244</t>
  </si>
  <si>
    <t>Z18245</t>
  </si>
  <si>
    <t>Z18247</t>
  </si>
  <si>
    <t>ZS2153</t>
  </si>
  <si>
    <t>ZS2166</t>
  </si>
  <si>
    <t>ZS9681</t>
  </si>
  <si>
    <t>ZS9682</t>
  </si>
  <si>
    <t>FGC14337</t>
  </si>
  <si>
    <t>Z18718</t>
  </si>
  <si>
    <t>PF4865</t>
  </si>
  <si>
    <t>PF4807</t>
  </si>
  <si>
    <t>PF4871</t>
  </si>
  <si>
    <t>PF4873</t>
  </si>
  <si>
    <t>PF4880</t>
  </si>
  <si>
    <t>Z28297</t>
  </si>
  <si>
    <t>Z28298</t>
  </si>
  <si>
    <t>Z28299</t>
  </si>
  <si>
    <t>Z28300</t>
  </si>
  <si>
    <t>FGC12821</t>
  </si>
  <si>
    <t>Z28301</t>
  </si>
  <si>
    <t>Z28303</t>
  </si>
  <si>
    <t>FGC6244</t>
  </si>
  <si>
    <t>Y12558</t>
  </si>
  <si>
    <t>rs200596139</t>
  </si>
  <si>
    <t>M11522</t>
  </si>
  <si>
    <t>rs575662297</t>
  </si>
  <si>
    <t>ZS6165</t>
  </si>
  <si>
    <t>ZS6166</t>
  </si>
  <si>
    <t>ZS6167</t>
  </si>
  <si>
    <t>ZS6599</t>
  </si>
  <si>
    <t>rs1034283385</t>
  </si>
  <si>
    <t>ZS6601</t>
  </si>
  <si>
    <t>rs761957169</t>
  </si>
  <si>
    <t>ZS6614</t>
  </si>
  <si>
    <t>ZS6622</t>
  </si>
  <si>
    <t>rs969534650</t>
  </si>
  <si>
    <t>ZS6625</t>
  </si>
  <si>
    <t>rs921220736</t>
  </si>
  <si>
    <t>ZS6653</t>
  </si>
  <si>
    <t>rs892624851</t>
  </si>
  <si>
    <t>ZS6602</t>
  </si>
  <si>
    <t>rs979193719</t>
  </si>
  <si>
    <t>ZS6607</t>
  </si>
  <si>
    <t>ZS6609</t>
  </si>
  <si>
    <t>rs932528178</t>
  </si>
  <si>
    <t>ZS6616</t>
  </si>
  <si>
    <t>rs944605959</t>
  </si>
  <si>
    <t>ZS6633</t>
  </si>
  <si>
    <t>rs895085987</t>
  </si>
  <si>
    <t>ZS6638</t>
  </si>
  <si>
    <t>rs1002885690</t>
  </si>
  <si>
    <t>ZS6642</t>
  </si>
  <si>
    <t>rs929886989</t>
  </si>
  <si>
    <t>ZS6643</t>
  </si>
  <si>
    <t>rs891047438</t>
  </si>
  <si>
    <t>ZS6652</t>
  </si>
  <si>
    <t>rs1345304905</t>
  </si>
  <si>
    <t>ZS6663</t>
  </si>
  <si>
    <t>rs999176105</t>
  </si>
  <si>
    <t>ZS6664</t>
  </si>
  <si>
    <t>rs886620512</t>
  </si>
  <si>
    <t>ZS6681</t>
  </si>
  <si>
    <t>rs1019730900</t>
  </si>
  <si>
    <t>ZS6685</t>
  </si>
  <si>
    <t>rs1032521806</t>
  </si>
  <si>
    <t>ZS6692</t>
  </si>
  <si>
    <t>rs994707289</t>
  </si>
  <si>
    <t>ZS6701</t>
  </si>
  <si>
    <t>ZS6592</t>
  </si>
  <si>
    <t>rs998423571</t>
  </si>
  <si>
    <t>ZS6594</t>
  </si>
  <si>
    <t>ZS6595</t>
  </si>
  <si>
    <t>ZS6603</t>
  </si>
  <si>
    <t>ZS6612</t>
  </si>
  <si>
    <t>ZS6619</t>
  </si>
  <si>
    <t>rs961567793</t>
  </si>
  <si>
    <t>ZS6621</t>
  </si>
  <si>
    <t>ZS6627</t>
  </si>
  <si>
    <t>ZS6628</t>
  </si>
  <si>
    <t>ZS6632</t>
  </si>
  <si>
    <t>rs903121729</t>
  </si>
  <si>
    <t>ZS6634</t>
  </si>
  <si>
    <t>rs889278825</t>
  </si>
  <si>
    <t>ZS6637</t>
  </si>
  <si>
    <t>ZS6647</t>
  </si>
  <si>
    <t>rs947606695</t>
  </si>
  <si>
    <t>ZS6651</t>
  </si>
  <si>
    <t>rs1013992118</t>
  </si>
  <si>
    <t>ZS6654</t>
  </si>
  <si>
    <t>ZS6659</t>
  </si>
  <si>
    <t>rs747627452</t>
  </si>
  <si>
    <t>ZS6661</t>
  </si>
  <si>
    <t>ZS6682</t>
  </si>
  <si>
    <t>ZS6684</t>
  </si>
  <si>
    <t>rs1382850801</t>
  </si>
  <si>
    <t>ZS6687</t>
  </si>
  <si>
    <t>rs959971163</t>
  </si>
  <si>
    <t>ZS6688</t>
  </si>
  <si>
    <t>rs918233338</t>
  </si>
  <si>
    <t>ZS6691</t>
  </si>
  <si>
    <t>ZS6698</t>
  </si>
  <si>
    <t>ZS6703</t>
  </si>
  <si>
    <t>rs1032266691</t>
  </si>
  <si>
    <t>ZS6593</t>
  </si>
  <si>
    <t>rs1012702591</t>
  </si>
  <si>
    <t>ZS6596</t>
  </si>
  <si>
    <t>ZS6597</t>
  </si>
  <si>
    <t>ZS6598</t>
  </si>
  <si>
    <t>ZS6600</t>
  </si>
  <si>
    <t>ZS6606</t>
  </si>
  <si>
    <t>ZS6608</t>
  </si>
  <si>
    <t>ZS6610</t>
  </si>
  <si>
    <t>rs375116351</t>
  </si>
  <si>
    <t>ZS6615</t>
  </si>
  <si>
    <t>ZS6617</t>
  </si>
  <si>
    <t>ZS6618</t>
  </si>
  <si>
    <t>ZS6620</t>
  </si>
  <si>
    <t>ZS6623</t>
  </si>
  <si>
    <t>ZS6624</t>
  </si>
  <si>
    <t>ZS6626</t>
  </si>
  <si>
    <t>ZS6629</t>
  </si>
  <si>
    <t>ZS6630</t>
  </si>
  <si>
    <t>ZS6631</t>
  </si>
  <si>
    <t>ZS6635</t>
  </si>
  <si>
    <t>ZS6636</t>
  </si>
  <si>
    <t>ZS6639</t>
  </si>
  <si>
    <t>ZS6640</t>
  </si>
  <si>
    <t>ZS6641</t>
  </si>
  <si>
    <t>ZS6646</t>
  </si>
  <si>
    <t>ZS6648</t>
  </si>
  <si>
    <t>ZS6650</t>
  </si>
  <si>
    <t>ZS6655</t>
  </si>
  <si>
    <t>ZS6656</t>
  </si>
  <si>
    <t>ZS6657</t>
  </si>
  <si>
    <t>ZS6658</t>
  </si>
  <si>
    <t>ZS6660</t>
  </si>
  <si>
    <t>ZS6662</t>
  </si>
  <si>
    <t>ZS6683</t>
  </si>
  <si>
    <t>ZS6686</t>
  </si>
  <si>
    <t>ZS6689</t>
  </si>
  <si>
    <t>ZS6690</t>
  </si>
  <si>
    <t>ZS6693</t>
  </si>
  <si>
    <t>ZS6694</t>
  </si>
  <si>
    <t>ZS6697</t>
  </si>
  <si>
    <t>ZS6700</t>
  </si>
  <si>
    <t>FGC6064</t>
  </si>
  <si>
    <t>FGC5989</t>
  </si>
  <si>
    <t>FGC6018</t>
  </si>
  <si>
    <t>FGC6019</t>
  </si>
  <si>
    <t>FGC6020</t>
  </si>
  <si>
    <t>FGC6027</t>
  </si>
  <si>
    <t>FGC6028</t>
  </si>
  <si>
    <t>FGC6029</t>
  </si>
  <si>
    <t>FGC6030</t>
  </si>
  <si>
    <t>FGC6033</t>
  </si>
  <si>
    <t>FGC6034</t>
  </si>
  <si>
    <t>FGC6036</t>
  </si>
  <si>
    <t>FGC6037</t>
  </si>
  <si>
    <t>FGC6038</t>
  </si>
  <si>
    <t>FGC6044</t>
  </si>
  <si>
    <t>FGC6045</t>
  </si>
  <si>
    <t>FGC6048</t>
  </si>
  <si>
    <t>FGC6057</t>
  </si>
  <si>
    <t>FGC6060</t>
  </si>
  <si>
    <t>FGC6068</t>
  </si>
  <si>
    <t>FGC6069</t>
  </si>
  <si>
    <t>FGC6067</t>
  </si>
  <si>
    <t>FGC6071</t>
  </si>
  <si>
    <t>FGC6073</t>
  </si>
  <si>
    <t>FGC6074</t>
  </si>
  <si>
    <t>FGC6076</t>
  </si>
  <si>
    <t>FGC6080</t>
  </si>
  <si>
    <t>FGC6081</t>
  </si>
  <si>
    <t>FGC6084</t>
  </si>
  <si>
    <t>FGC6088</t>
  </si>
  <si>
    <t>FGC6096</t>
  </si>
  <si>
    <t>FGC6098</t>
  </si>
  <si>
    <t>FGC6099</t>
  </si>
  <si>
    <t>FGC6101</t>
  </si>
  <si>
    <t>FGC6104</t>
  </si>
  <si>
    <t>FGC6112</t>
  </si>
  <si>
    <t>FGC6113</t>
  </si>
  <si>
    <t>rs1004095142</t>
  </si>
  <si>
    <t>FGC6115</t>
  </si>
  <si>
    <t>FGC6117</t>
  </si>
  <si>
    <t>FGC6118</t>
  </si>
  <si>
    <t>FGC6119</t>
  </si>
  <si>
    <t>FGC6120</t>
  </si>
  <si>
    <t>FGC6123</t>
  </si>
  <si>
    <t>FGC6124</t>
  </si>
  <si>
    <t>FGC6125</t>
  </si>
  <si>
    <t>FGC6126</t>
  </si>
  <si>
    <t>FGC6127</t>
  </si>
  <si>
    <t>FGC6130</t>
  </si>
  <si>
    <t>FGC6133</t>
  </si>
  <si>
    <t>FGC6136</t>
  </si>
  <si>
    <t>FGC6137</t>
  </si>
  <si>
    <t>FGC6141</t>
  </si>
  <si>
    <t>FGC6142</t>
  </si>
  <si>
    <t>FGC6143</t>
  </si>
  <si>
    <t>FGC6144</t>
  </si>
  <si>
    <t>FGC6145</t>
  </si>
  <si>
    <t>FGC6146</t>
  </si>
  <si>
    <t>FGC6150</t>
  </si>
  <si>
    <t>FGC6151</t>
  </si>
  <si>
    <t>FGC6153</t>
  </si>
  <si>
    <t>FGC6156</t>
  </si>
  <si>
    <t>FGC6158</t>
  </si>
  <si>
    <t>FGC6159</t>
  </si>
  <si>
    <t>FGC6165</t>
  </si>
  <si>
    <t>FGC6169</t>
  </si>
  <si>
    <t>FGC6174</t>
  </si>
  <si>
    <t>FGC8030</t>
  </si>
  <si>
    <t>rs1329429147</t>
  </si>
  <si>
    <t>FGC8032</t>
  </si>
  <si>
    <t>ZS4152</t>
  </si>
  <si>
    <t>ZS4129</t>
  </si>
  <si>
    <t>ZS4130</t>
  </si>
  <si>
    <t>ZS4148</t>
  </si>
  <si>
    <t>AMM00043</t>
  </si>
  <si>
    <t>FGC5988</t>
  </si>
  <si>
    <t>rs892007778</t>
  </si>
  <si>
    <t>FGC5990</t>
  </si>
  <si>
    <t>FGC5992</t>
  </si>
  <si>
    <t>FGC6024</t>
  </si>
  <si>
    <t>FGC6025</t>
  </si>
  <si>
    <t>rs947016845</t>
  </si>
  <si>
    <t>FGC6026</t>
  </si>
  <si>
    <t>FGC6032</t>
  </si>
  <si>
    <t>FGC6035</t>
  </si>
  <si>
    <t>FGC6039</t>
  </si>
  <si>
    <t>FGC6040</t>
  </si>
  <si>
    <t>FGC6047</t>
  </si>
  <si>
    <t>FGC6066</t>
  </si>
  <si>
    <t>FGC6075</t>
  </si>
  <si>
    <t>FGC6077</t>
  </si>
  <si>
    <t>FGC6083</t>
  </si>
  <si>
    <t>FGC6085</t>
  </si>
  <si>
    <t>FGC6094</t>
  </si>
  <si>
    <t>FGC6095</t>
  </si>
  <si>
    <t>FGC6097</t>
  </si>
  <si>
    <t>FGC6107</t>
  </si>
  <si>
    <t>FGC6109</t>
  </si>
  <si>
    <t>FGC6111</t>
  </si>
  <si>
    <t>FGC6128</t>
  </si>
  <si>
    <t>FGC6132</t>
  </si>
  <si>
    <t>FGC6134</t>
  </si>
  <si>
    <t>FGC6139</t>
  </si>
  <si>
    <t>FGC6147</t>
  </si>
  <si>
    <t>FGC6157</t>
  </si>
  <si>
    <t>FGC6166</t>
  </si>
  <si>
    <t>FGC6168</t>
  </si>
  <si>
    <t>FGC8031</t>
  </si>
  <si>
    <t>Y19467</t>
  </si>
  <si>
    <t>CTS15</t>
  </si>
  <si>
    <t>Z1828</t>
  </si>
  <si>
    <t>rs746714434</t>
  </si>
  <si>
    <t>CTS1141</t>
  </si>
  <si>
    <t>rs771259894</t>
  </si>
  <si>
    <t>CTS1267</t>
  </si>
  <si>
    <t>rs750688667</t>
  </si>
  <si>
    <t>CTS1318</t>
  </si>
  <si>
    <t>YSC0001256</t>
  </si>
  <si>
    <t>rs758411297</t>
  </si>
  <si>
    <t>CTS3569</t>
  </si>
  <si>
    <t>YSC0001269</t>
  </si>
  <si>
    <t>rs979195773</t>
  </si>
  <si>
    <t>CTS5034</t>
  </si>
  <si>
    <t>rs751990572</t>
  </si>
  <si>
    <t>CTS6379</t>
  </si>
  <si>
    <t>rs772429127</t>
  </si>
  <si>
    <t>CTS6412</t>
  </si>
  <si>
    <t>Z1836</t>
  </si>
  <si>
    <t>rs774475575</t>
  </si>
  <si>
    <t>CTS7022</t>
  </si>
  <si>
    <t>Z1839</t>
  </si>
  <si>
    <t>rs763055834</t>
  </si>
  <si>
    <t>CTS7094</t>
  </si>
  <si>
    <t>Z1840</t>
  </si>
  <si>
    <t>rs778325910</t>
  </si>
  <si>
    <t>CTS9446</t>
  </si>
  <si>
    <t>rs771682686</t>
  </si>
  <si>
    <t>CTS10180</t>
  </si>
  <si>
    <t>rs745577915</t>
  </si>
  <si>
    <t>CTS10424</t>
  </si>
  <si>
    <t>rs780628960</t>
  </si>
  <si>
    <t>CTS10957</t>
  </si>
  <si>
    <t>Z1844</t>
  </si>
  <si>
    <t>rs763761722</t>
  </si>
  <si>
    <t>CTS12012</t>
  </si>
  <si>
    <t>YSC0001252</t>
  </si>
  <si>
    <t>rs777261369</t>
  </si>
  <si>
    <t>FGC13966</t>
  </si>
  <si>
    <t>Y3479; Z18367</t>
  </si>
  <si>
    <t>rs962981085</t>
  </si>
  <si>
    <t>Y3479</t>
  </si>
  <si>
    <t>FGC13966; Z18367</t>
  </si>
  <si>
    <t>Z18367</t>
  </si>
  <si>
    <t>FGC13966; Y3479</t>
  </si>
  <si>
    <t>FGC13967</t>
  </si>
  <si>
    <t>Y4415</t>
  </si>
  <si>
    <t>rs779420349</t>
  </si>
  <si>
    <t>FGC13969</t>
  </si>
  <si>
    <t>Y4416; Z18400</t>
  </si>
  <si>
    <t>rs996410913</t>
  </si>
  <si>
    <t>Y4416</t>
  </si>
  <si>
    <t>FGC13969; Z18400</t>
  </si>
  <si>
    <t>Z18400</t>
  </si>
  <si>
    <t>FGC13969; Y4416</t>
  </si>
  <si>
    <t>FGC13971</t>
  </si>
  <si>
    <t>Y3514; Z18420</t>
  </si>
  <si>
    <t>rs771080287</t>
  </si>
  <si>
    <t>Y3514</t>
  </si>
  <si>
    <t>FGC13971; Z18420</t>
  </si>
  <si>
    <t>Z18420</t>
  </si>
  <si>
    <t>FGC13971; Y3514</t>
  </si>
  <si>
    <t>FGC13973</t>
  </si>
  <si>
    <t>Y4420; Z18371</t>
  </si>
  <si>
    <t>rs1050612232</t>
  </si>
  <si>
    <t>Y4420</t>
  </si>
  <si>
    <t>FGC13973; Z18371</t>
  </si>
  <si>
    <t>Z18371</t>
  </si>
  <si>
    <t>FGC13973; Y4420</t>
  </si>
  <si>
    <t>FGC13974</t>
  </si>
  <si>
    <t>Y3501; Z18401</t>
  </si>
  <si>
    <t>rs897705781</t>
  </si>
  <si>
    <t>Y3501</t>
  </si>
  <si>
    <t>FGC13974; Z18401</t>
  </si>
  <si>
    <t>Z18401</t>
  </si>
  <si>
    <t>FGC13974; Y3501</t>
  </si>
  <si>
    <t>FGC13976</t>
  </si>
  <si>
    <t>Y3484; Z18375</t>
  </si>
  <si>
    <t>rs749175226</t>
  </si>
  <si>
    <t>Y3484</t>
  </si>
  <si>
    <t>FGC13976; Z18375</t>
  </si>
  <si>
    <t>Z18375</t>
  </si>
  <si>
    <t>FGC13976; Y3484</t>
  </si>
  <si>
    <t>FGC13980</t>
  </si>
  <si>
    <t>Y3506; ZS2846</t>
  </si>
  <si>
    <t>rs768760457</t>
  </si>
  <si>
    <t>Y3506</t>
  </si>
  <si>
    <t>FGC13980; ZS2846</t>
  </si>
  <si>
    <t>ZS2846</t>
  </si>
  <si>
    <t>FGC13980; Y3506</t>
  </si>
  <si>
    <t>FGC13981</t>
  </si>
  <si>
    <t>Y3478; Z18365</t>
  </si>
  <si>
    <t>rs954598809</t>
  </si>
  <si>
    <t>Y3478</t>
  </si>
  <si>
    <t>FGC13981; Z18365</t>
  </si>
  <si>
    <t>Z18365</t>
  </si>
  <si>
    <t>FGC13981; Y3478</t>
  </si>
  <si>
    <t>FGC13982</t>
  </si>
  <si>
    <t>Y4414; Z18389</t>
  </si>
  <si>
    <t>rs760975235</t>
  </si>
  <si>
    <t>Y4414</t>
  </si>
  <si>
    <t>FGC13982; Z18389</t>
  </si>
  <si>
    <t>Z18389</t>
  </si>
  <si>
    <t>FGC13982; Y4414</t>
  </si>
  <si>
    <t>FGC13983</t>
  </si>
  <si>
    <t>Y3492; Z18494</t>
  </si>
  <si>
    <t>rs953866653</t>
  </si>
  <si>
    <t>Y3492</t>
  </si>
  <si>
    <t>FGC13983; Z18494</t>
  </si>
  <si>
    <t>Z18494</t>
  </si>
  <si>
    <t>FGC13983; Y3492</t>
  </si>
  <si>
    <t>FGC13984</t>
  </si>
  <si>
    <t>Y3489; ZS2822</t>
  </si>
  <si>
    <t>rs747000463</t>
  </si>
  <si>
    <t>Y3489</t>
  </si>
  <si>
    <t>FGC13984; ZS2822</t>
  </si>
  <si>
    <t>ZS2822</t>
  </si>
  <si>
    <t>FGC13984; Y3489</t>
  </si>
  <si>
    <t>FGC13985</t>
  </si>
  <si>
    <t>Y3483; Z18374</t>
  </si>
  <si>
    <t>rs770540555</t>
  </si>
  <si>
    <t>Y3483</t>
  </si>
  <si>
    <t>FGC13985; Z18374</t>
  </si>
  <si>
    <t>Z18374</t>
  </si>
  <si>
    <t>FGC13985; Y3483</t>
  </si>
  <si>
    <t>FGC13986</t>
  </si>
  <si>
    <t>Y3480; Z18369</t>
  </si>
  <si>
    <t>rs763450704</t>
  </si>
  <si>
    <t>Y3480</t>
  </si>
  <si>
    <t>FGC13986; Z18369</t>
  </si>
  <si>
    <t>Z18369</t>
  </si>
  <si>
    <t>FGC13986; Y3480</t>
  </si>
  <si>
    <t>FGC13987</t>
  </si>
  <si>
    <t>Y4787; Z18405</t>
  </si>
  <si>
    <t>rs1008062524</t>
  </si>
  <si>
    <t>Y4787</t>
  </si>
  <si>
    <t>FGC13987; Z18405</t>
  </si>
  <si>
    <t>Z18405</t>
  </si>
  <si>
    <t>FGC13987; Y4787</t>
  </si>
  <si>
    <t>FGC13988</t>
  </si>
  <si>
    <t>Y3510; Z18376</t>
  </si>
  <si>
    <t>rs777223303</t>
  </si>
  <si>
    <t>Y3510</t>
  </si>
  <si>
    <t>FGC13988; Z18376</t>
  </si>
  <si>
    <t>Z18376</t>
  </si>
  <si>
    <t>FGC13988; Y3510</t>
  </si>
  <si>
    <t>FGC13989</t>
  </si>
  <si>
    <t>SK1280; Y3511; Z18379</t>
  </si>
  <si>
    <t>rs763942739</t>
  </si>
  <si>
    <t>SK1280</t>
  </si>
  <si>
    <t>FGC13989; Y3511; Z18379</t>
  </si>
  <si>
    <t>Y3511</t>
  </si>
  <si>
    <t>FGC13989; SK1280; Z18379</t>
  </si>
  <si>
    <t>Z18379</t>
  </si>
  <si>
    <t>FGC13989; SK1280; Y3511</t>
  </si>
  <si>
    <t>FGC13990</t>
  </si>
  <si>
    <t>rs759394403</t>
  </si>
  <si>
    <t>FGC13991</t>
  </si>
  <si>
    <t>Y3471; Z18380</t>
  </si>
  <si>
    <t>rs1044434208</t>
  </si>
  <si>
    <t>Y3471</t>
  </si>
  <si>
    <t>FGC13991; Z18380</t>
  </si>
  <si>
    <t>Z18380</t>
  </si>
  <si>
    <t>FGC13991; Y3471</t>
  </si>
  <si>
    <t>FGC13992</t>
  </si>
  <si>
    <t>Y3488; Z18387</t>
  </si>
  <si>
    <t>rs751395327</t>
  </si>
  <si>
    <t>Y3488</t>
  </si>
  <si>
    <t>FGC13992; Z18387</t>
  </si>
  <si>
    <t>Z18387</t>
  </si>
  <si>
    <t>FGC13992; Y3488</t>
  </si>
  <si>
    <t>FGC13993</t>
  </si>
  <si>
    <t>Y3502; Z18402</t>
  </si>
  <si>
    <t>rs768286882</t>
  </si>
  <si>
    <t>Y3502</t>
  </si>
  <si>
    <t>FGC13993; Z18402</t>
  </si>
  <si>
    <t>Z18402</t>
  </si>
  <si>
    <t>FGC13993; Y3502</t>
  </si>
  <si>
    <t>FGC13994</t>
  </si>
  <si>
    <t>Y3497; Z18396</t>
  </si>
  <si>
    <t>rs748585324</t>
  </si>
  <si>
    <t>Y3497</t>
  </si>
  <si>
    <t>FGC13994; Z18396</t>
  </si>
  <si>
    <t>Z18396</t>
  </si>
  <si>
    <t>FGC13994; Y3497</t>
  </si>
  <si>
    <t>FGC13995</t>
  </si>
  <si>
    <t>Y3487; Z18383</t>
  </si>
  <si>
    <t>rs1162154436</t>
  </si>
  <si>
    <t>Y3487</t>
  </si>
  <si>
    <t>FGC13995; Z18383</t>
  </si>
  <si>
    <t>Z18383</t>
  </si>
  <si>
    <t>FGC13995; Y3487</t>
  </si>
  <si>
    <t>FGC13996</t>
  </si>
  <si>
    <t>SK1279; Y3491; Z18394</t>
  </si>
  <si>
    <t>rs1026915398</t>
  </si>
  <si>
    <t>SK1279</t>
  </si>
  <si>
    <t>FGC13996; Y3491; Z18394</t>
  </si>
  <si>
    <t>Y3491</t>
  </si>
  <si>
    <t>FGC13996; SK1279; Z18394</t>
  </si>
  <si>
    <t>Z18394</t>
  </si>
  <si>
    <t>FGC13996; SK1279; Y3491</t>
  </si>
  <si>
    <t>FGC13997</t>
  </si>
  <si>
    <t>Y3482; Z18373</t>
  </si>
  <si>
    <t>rs779811940</t>
  </si>
  <si>
    <t>Y3482</t>
  </si>
  <si>
    <t>FGC13997; Z18373</t>
  </si>
  <si>
    <t>Z18373</t>
  </si>
  <si>
    <t>FGC13997; Y3482</t>
  </si>
  <si>
    <t>FGC13998</t>
  </si>
  <si>
    <t>Y3513; Z18149</t>
  </si>
  <si>
    <t>rs775534142</t>
  </si>
  <si>
    <t>Y3513</t>
  </si>
  <si>
    <t>FGC13998; Z18149</t>
  </si>
  <si>
    <t>Z18419</t>
  </si>
  <si>
    <t>Z18149</t>
  </si>
  <si>
    <t>FGC13998; Y3513</t>
  </si>
  <si>
    <t>FGC13999</t>
  </si>
  <si>
    <t>Y3507; Z18432</t>
  </si>
  <si>
    <t>rs769775267</t>
  </si>
  <si>
    <t>Y3507</t>
  </si>
  <si>
    <t>FGC13999; Z18432</t>
  </si>
  <si>
    <t>Z18432</t>
  </si>
  <si>
    <t>FGC13999; Y3507</t>
  </si>
  <si>
    <t>FGC14000</t>
  </si>
  <si>
    <t>Y3503; Z18403</t>
  </si>
  <si>
    <t>rs760090052</t>
  </si>
  <si>
    <t>Y3503</t>
  </si>
  <si>
    <t>FGC14000; Z18403</t>
  </si>
  <si>
    <t>Z18403</t>
  </si>
  <si>
    <t>FGC14000; Y3503</t>
  </si>
  <si>
    <t>FGC14001</t>
  </si>
  <si>
    <t>Y3505; Z18407</t>
  </si>
  <si>
    <t>rs762938815</t>
  </si>
  <si>
    <t>Y3505</t>
  </si>
  <si>
    <t>FGC14001; Z18407</t>
  </si>
  <si>
    <t>Z18407</t>
  </si>
  <si>
    <t>FGC14001; Y3505</t>
  </si>
  <si>
    <t>FGC14002</t>
  </si>
  <si>
    <t>Y3504; Z18406</t>
  </si>
  <si>
    <t>rs1046834061</t>
  </si>
  <si>
    <t>Y3504</t>
  </si>
  <si>
    <t>FGC14002; Z18406</t>
  </si>
  <si>
    <t>Z18406</t>
  </si>
  <si>
    <t>FGC14002; Y3504</t>
  </si>
  <si>
    <t>FGC14003</t>
  </si>
  <si>
    <t>Y3500; Z18431</t>
  </si>
  <si>
    <t>rs1056124116</t>
  </si>
  <si>
    <t>Y3500</t>
  </si>
  <si>
    <t>FGC14003; Z18431</t>
  </si>
  <si>
    <t>Z18431</t>
  </si>
  <si>
    <t>FGC14003; Y3500</t>
  </si>
  <si>
    <t>FGC14004</t>
  </si>
  <si>
    <t>Y5974; Z18408</t>
  </si>
  <si>
    <t>rs1039203554</t>
  </si>
  <si>
    <t>Y5974</t>
  </si>
  <si>
    <t>FGC14004; Z18408</t>
  </si>
  <si>
    <t>Z18408</t>
  </si>
  <si>
    <t>FGC14004; Y5974</t>
  </si>
  <si>
    <t>FGC14005</t>
  </si>
  <si>
    <t>Y3472; Z18381</t>
  </si>
  <si>
    <t>rs760426256</t>
  </si>
  <si>
    <t>Y3472</t>
  </si>
  <si>
    <t>FGC14005; Z18381</t>
  </si>
  <si>
    <t>Z18381</t>
  </si>
  <si>
    <t>FGC14005; Y3472</t>
  </si>
  <si>
    <t>FGC14006</t>
  </si>
  <si>
    <t>Y4419; Z18391</t>
  </si>
  <si>
    <t>rs943172874</t>
  </si>
  <si>
    <t>Y4419</t>
  </si>
  <si>
    <t>FGC14006; Z18391</t>
  </si>
  <si>
    <t>Z18391</t>
  </si>
  <si>
    <t>FGC14006; Y4419</t>
  </si>
  <si>
    <t>FGC14007</t>
  </si>
  <si>
    <t>Y4409; Z18421</t>
  </si>
  <si>
    <t>Y4409</t>
  </si>
  <si>
    <t>FGC14007; Z18421</t>
  </si>
  <si>
    <t>Z18421</t>
  </si>
  <si>
    <t>FGC14007; Y4409</t>
  </si>
  <si>
    <t>FGC14010</t>
  </si>
  <si>
    <t>Y4412; Z18392</t>
  </si>
  <si>
    <t>rs960859992</t>
  </si>
  <si>
    <t>Y4412</t>
  </si>
  <si>
    <t>FGC14010; Z18392</t>
  </si>
  <si>
    <t>Z18392</t>
  </si>
  <si>
    <t>FGC14010; Y4412</t>
  </si>
  <si>
    <t>FGC14012</t>
  </si>
  <si>
    <t>Y3508</t>
  </si>
  <si>
    <t>rs933011618</t>
  </si>
  <si>
    <t>FGC14013</t>
  </si>
  <si>
    <t>Y4396; Z18393</t>
  </si>
  <si>
    <t>Y4396</t>
  </si>
  <si>
    <t>FGC14013; Z18393</t>
  </si>
  <si>
    <t>Z18393</t>
  </si>
  <si>
    <t>FGC14013; Y4396</t>
  </si>
  <si>
    <t>FGC14014.1</t>
  </si>
  <si>
    <t>Y5973.1; Z18363.1</t>
  </si>
  <si>
    <t>rs1050589483</t>
  </si>
  <si>
    <t>Y5973.1</t>
  </si>
  <si>
    <t>FGC14014.1; Z18363.1</t>
  </si>
  <si>
    <t>Z18363.1</t>
  </si>
  <si>
    <t>FGC14014.1; Y5973.1</t>
  </si>
  <si>
    <t>FGC14015</t>
  </si>
  <si>
    <t>Y4408; Z18418</t>
  </si>
  <si>
    <t>Y4408</t>
  </si>
  <si>
    <t>FGC14015; Z18418</t>
  </si>
  <si>
    <t>Z18418</t>
  </si>
  <si>
    <t>FGC14015; Y4408</t>
  </si>
  <si>
    <t>FGC14016</t>
  </si>
  <si>
    <t>Y3485; Z18362</t>
  </si>
  <si>
    <t>Y3485</t>
  </si>
  <si>
    <t>FGC14016; Z18362</t>
  </si>
  <si>
    <t>Z18362</t>
  </si>
  <si>
    <t>FGC14016; Y3485</t>
  </si>
  <si>
    <t>FGC14017</t>
  </si>
  <si>
    <t>Y4399; Z18366</t>
  </si>
  <si>
    <t>rs967366033</t>
  </si>
  <si>
    <t>Y4399</t>
  </si>
  <si>
    <t>FGC14017; Z18366</t>
  </si>
  <si>
    <t>Z18366</t>
  </si>
  <si>
    <t>FGC14017; Y4399</t>
  </si>
  <si>
    <t>FGC14018</t>
  </si>
  <si>
    <t>Y3499; Z18398</t>
  </si>
  <si>
    <t>rs967572136</t>
  </si>
  <si>
    <t>Y3499</t>
  </si>
  <si>
    <t>FGC14018; Z18398</t>
  </si>
  <si>
    <t>Z18398</t>
  </si>
  <si>
    <t>FGC14018; Y3499</t>
  </si>
  <si>
    <t>FGC14020</t>
  </si>
  <si>
    <t>Y4397; Z18395</t>
  </si>
  <si>
    <t>rs909945567</t>
  </si>
  <si>
    <t>Y4397</t>
  </si>
  <si>
    <t>FGC14020; Z18395</t>
  </si>
  <si>
    <t>Z18395</t>
  </si>
  <si>
    <t>FGC14020; Y4397</t>
  </si>
  <si>
    <t>FGC14023</t>
  </si>
  <si>
    <t>Y4400; Z18372</t>
  </si>
  <si>
    <t>rs941136141</t>
  </si>
  <si>
    <t>Y4400</t>
  </si>
  <si>
    <t>FGC14023; Z18372</t>
  </si>
  <si>
    <t>Z18372</t>
  </si>
  <si>
    <t>FGC14023; Y4400</t>
  </si>
  <si>
    <t>FGC14024</t>
  </si>
  <si>
    <t>Y4404; Z18399</t>
  </si>
  <si>
    <t>rs1018943425</t>
  </si>
  <si>
    <t>Y4404</t>
  </si>
  <si>
    <t>FGC14024; Z18399</t>
  </si>
  <si>
    <t>Z18399</t>
  </si>
  <si>
    <t>FGC14024; Y4404</t>
  </si>
  <si>
    <t>FGC14025</t>
  </si>
  <si>
    <t>Y3490; Z18390</t>
  </si>
  <si>
    <t>rs962149046</t>
  </si>
  <si>
    <t>Y3490</t>
  </si>
  <si>
    <t>FGC14025; Z18390</t>
  </si>
  <si>
    <t>Z18390</t>
  </si>
  <si>
    <t>FGC14025; Y3490</t>
  </si>
  <si>
    <t>FGC14028</t>
  </si>
  <si>
    <t>Y4403; Z18397</t>
  </si>
  <si>
    <t>rs990093425</t>
  </si>
  <si>
    <t>Y4403</t>
  </si>
  <si>
    <t>FGC14028; Z18397</t>
  </si>
  <si>
    <t>Z18397</t>
  </si>
  <si>
    <t>FGC14028; Y4403</t>
  </si>
  <si>
    <t>FGC14029</t>
  </si>
  <si>
    <t>Y3477; Z18364</t>
  </si>
  <si>
    <t>rs1026053074</t>
  </si>
  <si>
    <t>Y3477</t>
  </si>
  <si>
    <t>FGC14029; Z18364</t>
  </si>
  <si>
    <t>Z18364</t>
  </si>
  <si>
    <t>FGC14029; Y3477</t>
  </si>
  <si>
    <t>FGC31533</t>
  </si>
  <si>
    <t>rs746309701</t>
  </si>
  <si>
    <t>FGC31534</t>
  </si>
  <si>
    <t>Y4784</t>
  </si>
  <si>
    <t>FGC31540</t>
  </si>
  <si>
    <t>Y4783</t>
  </si>
  <si>
    <t>rs754402159</t>
  </si>
  <si>
    <t>FGC31542</t>
  </si>
  <si>
    <t>rs1024232380</t>
  </si>
  <si>
    <t>FGC31552</t>
  </si>
  <si>
    <t>rs1012247497</t>
  </si>
  <si>
    <t>FGC37459</t>
  </si>
  <si>
    <t>rs978223591</t>
  </si>
  <si>
    <t>L1188</t>
  </si>
  <si>
    <t>rs1030622076</t>
  </si>
  <si>
    <t>Y3481</t>
  </si>
  <si>
    <t>Z18370</t>
  </si>
  <si>
    <t>rs760571972</t>
  </si>
  <si>
    <t>Y4402</t>
  </si>
  <si>
    <t>rs977980247</t>
  </si>
  <si>
    <t>Y4421</t>
  </si>
  <si>
    <t>Z18368</t>
  </si>
  <si>
    <t>rs759600024</t>
  </si>
  <si>
    <t>YSC0000590</t>
  </si>
  <si>
    <t>YSC0001001</t>
  </si>
  <si>
    <t>rs764644561</t>
  </si>
  <si>
    <t>YSC0001019</t>
  </si>
  <si>
    <t>rs1049714830</t>
  </si>
  <si>
    <t>YSC0001071</t>
  </si>
  <si>
    <t>rs745360229</t>
  </si>
  <si>
    <t>YSC0001246</t>
  </si>
  <si>
    <t>rs1001368503</t>
  </si>
  <si>
    <t>YSC0001374</t>
  </si>
  <si>
    <t>rs1035347541</t>
  </si>
  <si>
    <t>Z1832</t>
  </si>
  <si>
    <t>rs777600791</t>
  </si>
  <si>
    <t>Z1833</t>
  </si>
  <si>
    <t>rs747196298</t>
  </si>
  <si>
    <t>Z1834</t>
  </si>
  <si>
    <t>rs777853288</t>
  </si>
  <si>
    <t>Z1841</t>
  </si>
  <si>
    <t>rs756019137</t>
  </si>
  <si>
    <t>Z1843</t>
  </si>
  <si>
    <t>rs937729863</t>
  </si>
  <si>
    <t>ZS2850</t>
  </si>
  <si>
    <t>rs997147308</t>
  </si>
  <si>
    <t>ZS2854</t>
  </si>
  <si>
    <t>rs894371382</t>
  </si>
  <si>
    <t>rs745885033</t>
  </si>
  <si>
    <t>CTS11479</t>
  </si>
  <si>
    <t>rs759728009</t>
  </si>
  <si>
    <t>FGC13968</t>
  </si>
  <si>
    <t>Y4786; Z18435</t>
  </si>
  <si>
    <t>rs974343906</t>
  </si>
  <si>
    <t>Y4786</t>
  </si>
  <si>
    <t>FGC13968; Z18435</t>
  </si>
  <si>
    <t>Z18435</t>
  </si>
  <si>
    <t>FGC13968; Y4786</t>
  </si>
  <si>
    <t>FGC13970</t>
  </si>
  <si>
    <t>Y3495; Z18429</t>
  </si>
  <si>
    <t>rs922631814</t>
  </si>
  <si>
    <t>Y3495</t>
  </si>
  <si>
    <t>FGC13970; Z18429</t>
  </si>
  <si>
    <t>Z18429</t>
  </si>
  <si>
    <t>FGC13970; Y3495</t>
  </si>
  <si>
    <t>FGC13977</t>
  </si>
  <si>
    <t>Y3476; Z18425</t>
  </si>
  <si>
    <t>rs775209443</t>
  </si>
  <si>
    <t>Y3476</t>
  </si>
  <si>
    <t>FGC13977; Z18425</t>
  </si>
  <si>
    <t>Z18425</t>
  </si>
  <si>
    <t>FGC13977; Y3476</t>
  </si>
  <si>
    <t>FGC13979</t>
  </si>
  <si>
    <t>Y4788; Z18433</t>
  </si>
  <si>
    <t>rs776487889</t>
  </si>
  <si>
    <t>Y4788</t>
  </si>
  <si>
    <t>FGC13979; Z18433</t>
  </si>
  <si>
    <t>Z18433</t>
  </si>
  <si>
    <t>FGC13979; Y4788</t>
  </si>
  <si>
    <t>FGC14009</t>
  </si>
  <si>
    <t>Y4417; Z18434</t>
  </si>
  <si>
    <t>rs929840603</t>
  </si>
  <si>
    <t>Y4417</t>
  </si>
  <si>
    <t>FGC14009; Z18434</t>
  </si>
  <si>
    <t>Z18434</t>
  </si>
  <si>
    <t>FGC14009; Y4417</t>
  </si>
  <si>
    <t>FGC14022</t>
  </si>
  <si>
    <t>Y3493; Z18441</t>
  </si>
  <si>
    <t>rs1208415496</t>
  </si>
  <si>
    <t>Y3493</t>
  </si>
  <si>
    <t>FGC14022; Z18441</t>
  </si>
  <si>
    <t>Z18441</t>
  </si>
  <si>
    <t>FGC14022; Y3493</t>
  </si>
  <si>
    <t>FGC14026</t>
  </si>
  <si>
    <t>Y4406; ZS10520</t>
  </si>
  <si>
    <t>rs952101179</t>
  </si>
  <si>
    <t>Y4406</t>
  </si>
  <si>
    <t>FGC14026; ZS10520</t>
  </si>
  <si>
    <t>ZS10520</t>
  </si>
  <si>
    <t>FGC14026; Y4406</t>
  </si>
  <si>
    <t>FGC14027</t>
  </si>
  <si>
    <t>Y4401; Z18426</t>
  </si>
  <si>
    <t>rs930287124</t>
  </si>
  <si>
    <t>Y4401</t>
  </si>
  <si>
    <t>FGC14027; Z18426</t>
  </si>
  <si>
    <t>Z18426</t>
  </si>
  <si>
    <t>FGC14027; Y4401</t>
  </si>
  <si>
    <t>Y3494</t>
  </si>
  <si>
    <t>Z38457</t>
  </si>
  <si>
    <t>rs955433877</t>
  </si>
  <si>
    <t>Y3498</t>
  </si>
  <si>
    <t>YSC0000416</t>
  </si>
  <si>
    <t>rs975520093</t>
  </si>
  <si>
    <t>YSC0000499</t>
  </si>
  <si>
    <t>rs778110393</t>
  </si>
  <si>
    <t>ZS2856</t>
  </si>
  <si>
    <t>rs762628147</t>
  </si>
  <si>
    <t>Y11643</t>
  </si>
  <si>
    <t>ZS3114</t>
  </si>
  <si>
    <t>rs1024208251</t>
  </si>
  <si>
    <t>Y11645</t>
  </si>
  <si>
    <t>ZS3089</t>
  </si>
  <si>
    <t>rs889209176</t>
  </si>
  <si>
    <t>B234</t>
  </si>
  <si>
    <t>Y11831</t>
  </si>
  <si>
    <t>ZS5648</t>
  </si>
  <si>
    <t>Y22052</t>
  </si>
  <si>
    <t>ZS12649</t>
  </si>
  <si>
    <t>ZS5647</t>
  </si>
  <si>
    <t>rs1239640088</t>
  </si>
  <si>
    <t>ZS5649</t>
  </si>
  <si>
    <t>rs1389186019</t>
  </si>
  <si>
    <t>ZS5658</t>
  </si>
  <si>
    <t>ZS5659</t>
  </si>
  <si>
    <t>ZS5668</t>
  </si>
  <si>
    <t>ZS5673</t>
  </si>
  <si>
    <t>ZS5681</t>
  </si>
  <si>
    <t>rs1010158023</t>
  </si>
  <si>
    <t>ZS5683</t>
  </si>
  <si>
    <t>ZS11459</t>
  </si>
  <si>
    <t>Y25791</t>
  </si>
  <si>
    <t>ZS12656</t>
  </si>
  <si>
    <t>ZS5645</t>
  </si>
  <si>
    <t>ZS5653</t>
  </si>
  <si>
    <t>ZS5655</t>
  </si>
  <si>
    <t>ZS5656</t>
  </si>
  <si>
    <t>ZS5675</t>
  </si>
  <si>
    <t>ZS5680</t>
  </si>
  <si>
    <t>FGC14051</t>
  </si>
  <si>
    <t>Y4405; Z18436</t>
  </si>
  <si>
    <t>rs952660932</t>
  </si>
  <si>
    <t>Y4405</t>
  </si>
  <si>
    <t>FGC14051; Z18436</t>
  </si>
  <si>
    <t>Z18436</t>
  </si>
  <si>
    <t>FGC14051; Y4405</t>
  </si>
  <si>
    <t>FGC14062</t>
  </si>
  <si>
    <t>Y4423</t>
  </si>
  <si>
    <t>rs747348287</t>
  </si>
  <si>
    <t>Y7683</t>
  </si>
  <si>
    <t>ZS3042</t>
  </si>
  <si>
    <t>rs1241785257</t>
  </si>
  <si>
    <t>CTS1460</t>
  </si>
  <si>
    <t>rs754172322</t>
  </si>
  <si>
    <t>FGC14044</t>
  </si>
  <si>
    <t>Y3496; ZS2971</t>
  </si>
  <si>
    <t>rs928583638</t>
  </si>
  <si>
    <t>Y3496</t>
  </si>
  <si>
    <t>FGC14044; ZS2971</t>
  </si>
  <si>
    <t>ZS2971</t>
  </si>
  <si>
    <t>FGC14044; Y3496</t>
  </si>
  <si>
    <t>CTS7835</t>
  </si>
  <si>
    <t>FGC37480</t>
  </si>
  <si>
    <t>FGC37491</t>
  </si>
  <si>
    <t>FGC37500</t>
  </si>
  <si>
    <t>rs930518429</t>
  </si>
  <si>
    <t>FGC37501</t>
  </si>
  <si>
    <t>FGC37507</t>
  </si>
  <si>
    <t>rs1040407660</t>
  </si>
  <si>
    <t>FGC37508</t>
  </si>
  <si>
    <t>Y22035</t>
  </si>
  <si>
    <t>Y22036</t>
  </si>
  <si>
    <t>Y22664</t>
  </si>
  <si>
    <t>ZS7037</t>
  </si>
  <si>
    <t>YSC0001133</t>
  </si>
  <si>
    <t>rs1042604756</t>
  </si>
  <si>
    <t>YSC0000414</t>
  </si>
  <si>
    <t>rs1040556881</t>
  </si>
  <si>
    <t>ZS7008</t>
  </si>
  <si>
    <t>rs921647658</t>
  </si>
  <si>
    <t>ZS7012</t>
  </si>
  <si>
    <t>rs995697668</t>
  </si>
  <si>
    <t>ZS7013</t>
  </si>
  <si>
    <t>ZS7014</t>
  </si>
  <si>
    <t>ZS7015</t>
  </si>
  <si>
    <t>ZS7019</t>
  </si>
  <si>
    <t>rs947428315</t>
  </si>
  <si>
    <t>ZS7023</t>
  </si>
  <si>
    <t>rs955555126</t>
  </si>
  <si>
    <t>ZS7027</t>
  </si>
  <si>
    <t>rs1036257986</t>
  </si>
  <si>
    <t>ZS7028</t>
  </si>
  <si>
    <t>rs938926509</t>
  </si>
  <si>
    <t>ZS7032</t>
  </si>
  <si>
    <t>rs960258855</t>
  </si>
  <si>
    <t>ZS8722</t>
  </si>
  <si>
    <t>Y5345</t>
  </si>
  <si>
    <t>Y5346</t>
  </si>
  <si>
    <t>Z18448</t>
  </si>
  <si>
    <t>BY94</t>
  </si>
  <si>
    <t>Y5347</t>
  </si>
  <si>
    <t>Z18449</t>
  </si>
  <si>
    <t>Y5348</t>
  </si>
  <si>
    <t>Z18450</t>
  </si>
  <si>
    <t>Y5349</t>
  </si>
  <si>
    <t>Z18451</t>
  </si>
  <si>
    <t>Y5351</t>
  </si>
  <si>
    <t>Y5352</t>
  </si>
  <si>
    <t>Z18453</t>
  </si>
  <si>
    <t>Y5353</t>
  </si>
  <si>
    <t>Z18454</t>
  </si>
  <si>
    <t>Y5354</t>
  </si>
  <si>
    <t>Z18456</t>
  </si>
  <si>
    <t>Y5355</t>
  </si>
  <si>
    <t>Z18457</t>
  </si>
  <si>
    <t>Y5356</t>
  </si>
  <si>
    <t>Z18459</t>
  </si>
  <si>
    <t>Y5357</t>
  </si>
  <si>
    <t>Z18460</t>
  </si>
  <si>
    <t>Y5358</t>
  </si>
  <si>
    <t>Z18455</t>
  </si>
  <si>
    <t>ZS3006</t>
  </si>
  <si>
    <t>ZS3009</t>
  </si>
  <si>
    <t>Y21396</t>
  </si>
  <si>
    <t>ZS10935</t>
  </si>
  <si>
    <t>Y29717</t>
  </si>
  <si>
    <t>Y30432</t>
  </si>
  <si>
    <t>Y30433</t>
  </si>
  <si>
    <t>ZS10920</t>
  </si>
  <si>
    <t>ZS10921</t>
  </si>
  <si>
    <t>ZS10928</t>
  </si>
  <si>
    <t>ZS10929</t>
  </si>
  <si>
    <t>ZS10933</t>
  </si>
  <si>
    <t>ZS10937</t>
  </si>
  <si>
    <t>ZS10940</t>
  </si>
  <si>
    <t>ZS10941</t>
  </si>
  <si>
    <t>ZS10947</t>
  </si>
  <si>
    <t>ZS10948</t>
  </si>
  <si>
    <t>ZS10950</t>
  </si>
  <si>
    <t>rs951029883</t>
  </si>
  <si>
    <t>CTS7188</t>
  </si>
  <si>
    <t>rs755272805</t>
  </si>
  <si>
    <t>FGC14021</t>
  </si>
  <si>
    <t>Y6916; Z18440</t>
  </si>
  <si>
    <t>Y6916</t>
  </si>
  <si>
    <t>FGC14021; Z18440</t>
  </si>
  <si>
    <t>Z18440</t>
  </si>
  <si>
    <t>FGC14021; Y6916</t>
  </si>
  <si>
    <t>FGC14045</t>
  </si>
  <si>
    <t>Y6918; Z18444</t>
  </si>
  <si>
    <t>Y6918</t>
  </si>
  <si>
    <t>FGC14045; Z18444</t>
  </si>
  <si>
    <t>Z18444</t>
  </si>
  <si>
    <t>FGC14045; Y6918</t>
  </si>
  <si>
    <t>BY100</t>
  </si>
  <si>
    <t>FGC14030; Y6915; ZS2926</t>
  </si>
  <si>
    <t>FGC14030</t>
  </si>
  <si>
    <t>BY100; Y6915; ZS2926</t>
  </si>
  <si>
    <t>Y6915</t>
  </si>
  <si>
    <t>BY100; FGC14030; ZS2926</t>
  </si>
  <si>
    <t>ZS2926</t>
  </si>
  <si>
    <t>BY100; FGC14030; Y6915</t>
  </si>
  <si>
    <t>FGC14043</t>
  </si>
  <si>
    <t>Y6917; Z18443</t>
  </si>
  <si>
    <t>Y6917</t>
  </si>
  <si>
    <t>FGC14043; Z18443</t>
  </si>
  <si>
    <t>Z18443</t>
  </si>
  <si>
    <t>FGC14043; Y6917</t>
  </si>
  <si>
    <t>FGC14059</t>
  </si>
  <si>
    <t>Y6919; Z18445</t>
  </si>
  <si>
    <t>Y6919</t>
  </si>
  <si>
    <t>FGC14059; Z18445</t>
  </si>
  <si>
    <t>Z18445</t>
  </si>
  <si>
    <t>FGC14059; Y6919</t>
  </si>
  <si>
    <t>ZS2872</t>
  </si>
  <si>
    <t>ZS2923</t>
  </si>
  <si>
    <t>SK1695.1</t>
  </si>
  <si>
    <t>Y29726</t>
  </si>
  <si>
    <t>Y29727</t>
  </si>
  <si>
    <t>Y29728</t>
  </si>
  <si>
    <t>Y29729</t>
  </si>
  <si>
    <t>Y30102</t>
  </si>
  <si>
    <t>Y30103</t>
  </si>
  <si>
    <t>Y30104</t>
  </si>
  <si>
    <t>Y30105</t>
  </si>
  <si>
    <t>Y30106</t>
  </si>
  <si>
    <t>Y30649</t>
  </si>
  <si>
    <t>Y30650</t>
  </si>
  <si>
    <t>ZS8678</t>
  </si>
  <si>
    <t>ZS8683</t>
  </si>
  <si>
    <t>ZS8686</t>
  </si>
  <si>
    <t>ZS8689</t>
  </si>
  <si>
    <t>ZS8697</t>
  </si>
  <si>
    <t>ZS8708</t>
  </si>
  <si>
    <t>Y20906</t>
  </si>
  <si>
    <t>Y21704</t>
  </si>
  <si>
    <t>ZS7626</t>
  </si>
  <si>
    <t>ZS7627</t>
  </si>
  <si>
    <t>ZS7628</t>
  </si>
  <si>
    <t>rs756295500</t>
  </si>
  <si>
    <t>ZS7630</t>
  </si>
  <si>
    <t>ZS7631</t>
  </si>
  <si>
    <t>ZS7632</t>
  </si>
  <si>
    <t>ZS7634</t>
  </si>
  <si>
    <t>ZS7635</t>
  </si>
  <si>
    <t>ZS7640</t>
  </si>
  <si>
    <t>ZS7641</t>
  </si>
  <si>
    <t>ZS7642</t>
  </si>
  <si>
    <t>ZS7643</t>
  </si>
  <si>
    <t>ZS7645</t>
  </si>
  <si>
    <t>ZS7646</t>
  </si>
  <si>
    <t>ZS7647</t>
  </si>
  <si>
    <t>ZS7649</t>
  </si>
  <si>
    <t>ZS7650</t>
  </si>
  <si>
    <t>ZS7651</t>
  </si>
  <si>
    <t>ZS7652</t>
  </si>
  <si>
    <t>ZS7653</t>
  </si>
  <si>
    <t>ZS7654</t>
  </si>
  <si>
    <t>ZS7655</t>
  </si>
  <si>
    <t>ZS7661</t>
  </si>
  <si>
    <t>ZS7662</t>
  </si>
  <si>
    <t>ZS7663</t>
  </si>
  <si>
    <t>ZS10517</t>
  </si>
  <si>
    <t>BY69</t>
  </si>
  <si>
    <t>Z18462</t>
  </si>
  <si>
    <t>FGC31592</t>
  </si>
  <si>
    <t>rs922334259</t>
  </si>
  <si>
    <t>Z18463</t>
  </si>
  <si>
    <t>rs1054344720</t>
  </si>
  <si>
    <t>Z18464</t>
  </si>
  <si>
    <t>rs887555707</t>
  </si>
  <si>
    <t>FGC2577</t>
  </si>
  <si>
    <t>ZS3214</t>
  </si>
  <si>
    <t>FGC36523</t>
  </si>
  <si>
    <t>FGC36524</t>
  </si>
  <si>
    <t>FGC36525</t>
  </si>
  <si>
    <t>FGC36526</t>
  </si>
  <si>
    <t>Y31163</t>
  </si>
  <si>
    <t>Y31164</t>
  </si>
  <si>
    <t>ZS3200</t>
  </si>
  <si>
    <t>ZS3202</t>
  </si>
  <si>
    <t>ZS3203</t>
  </si>
  <si>
    <t>ZS3204</t>
  </si>
  <si>
    <t>ZS3205</t>
  </si>
  <si>
    <t>ZS3206</t>
  </si>
  <si>
    <t>ZS3207</t>
  </si>
  <si>
    <t>ZS3208</t>
  </si>
  <si>
    <t>ZS3209</t>
  </si>
  <si>
    <t>ZS3213</t>
  </si>
  <si>
    <t>ZS3215</t>
  </si>
  <si>
    <t>ZS3217</t>
  </si>
  <si>
    <t>ZS3218</t>
  </si>
  <si>
    <t>ZS3221</t>
  </si>
  <si>
    <t>ZS3222</t>
  </si>
  <si>
    <t>ZS3223</t>
  </si>
  <si>
    <t>ZS3224</t>
  </si>
  <si>
    <t>ZS3225</t>
  </si>
  <si>
    <t>ZS3226</t>
  </si>
  <si>
    <t>ZS3228</t>
  </si>
  <si>
    <t>ZS3229</t>
  </si>
  <si>
    <t>ZS3230</t>
  </si>
  <si>
    <t>ZS3240</t>
  </si>
  <si>
    <t>ZS3241</t>
  </si>
  <si>
    <t>ZS3242</t>
  </si>
  <si>
    <t>rs756057857</t>
  </si>
  <si>
    <t>ZS3243</t>
  </si>
  <si>
    <t>ZS3245</t>
  </si>
  <si>
    <t>ZS3246</t>
  </si>
  <si>
    <t>ZS3247</t>
  </si>
  <si>
    <t>ZS5490</t>
  </si>
  <si>
    <t>ZS7253</t>
  </si>
  <si>
    <t>BY96</t>
  </si>
  <si>
    <t>ZS3199</t>
  </si>
  <si>
    <t>ZS3216</t>
  </si>
  <si>
    <t>ZS3219</t>
  </si>
  <si>
    <t>ZS7252</t>
  </si>
  <si>
    <t>ZS5488</t>
  </si>
  <si>
    <t>ZS5489</t>
  </si>
  <si>
    <t>ZS5491</t>
  </si>
  <si>
    <t>ZS5493</t>
  </si>
  <si>
    <t>FGC29938</t>
  </si>
  <si>
    <t>rs1456657299</t>
  </si>
  <si>
    <t>FGC29940</t>
  </si>
  <si>
    <t>rs975048553</t>
  </si>
  <si>
    <t>FGC31575</t>
  </si>
  <si>
    <t>rs968917327</t>
  </si>
  <si>
    <t>FGC31577</t>
  </si>
  <si>
    <t>rs953583498</t>
  </si>
  <si>
    <t>FGC31584</t>
  </si>
  <si>
    <t>rs932318553</t>
  </si>
  <si>
    <t>FGC31612</t>
  </si>
  <si>
    <t>rs954813973</t>
  </si>
  <si>
    <t>L1189</t>
  </si>
  <si>
    <t>rs928908211</t>
  </si>
  <si>
    <t>Z18465</t>
  </si>
  <si>
    <t>rs1030337206</t>
  </si>
  <si>
    <t>Z18466</t>
  </si>
  <si>
    <t>rs888001082</t>
  </si>
  <si>
    <t>Z18467</t>
  </si>
  <si>
    <t>rs1014016910</t>
  </si>
  <si>
    <t>Z18468</t>
  </si>
  <si>
    <t>rs1043934544</t>
  </si>
  <si>
    <t>Z18469</t>
  </si>
  <si>
    <t>Z18470</t>
  </si>
  <si>
    <t>Z18471</t>
  </si>
  <si>
    <t>rs988969666</t>
  </si>
  <si>
    <t>Z18472</t>
  </si>
  <si>
    <t>rs942709026</t>
  </si>
  <si>
    <t>Z18473</t>
  </si>
  <si>
    <t>rs993344732</t>
  </si>
  <si>
    <t>Z18474</t>
  </si>
  <si>
    <t>rs906147572</t>
  </si>
  <si>
    <t>Z18475</t>
  </si>
  <si>
    <t>rs953450193</t>
  </si>
  <si>
    <t>Z18476</t>
  </si>
  <si>
    <t>rs1002078476</t>
  </si>
  <si>
    <t>Z18477</t>
  </si>
  <si>
    <t>rs1051299634</t>
  </si>
  <si>
    <t>Z18478</t>
  </si>
  <si>
    <t>rs965761789</t>
  </si>
  <si>
    <t>Z18479</t>
  </si>
  <si>
    <t>rs1052506442</t>
  </si>
  <si>
    <t>Z18480</t>
  </si>
  <si>
    <t>rs980858421</t>
  </si>
  <si>
    <t>Z18482</t>
  </si>
  <si>
    <t>rs929282649</t>
  </si>
  <si>
    <t>Z18483</t>
  </si>
  <si>
    <t>rs902913984</t>
  </si>
  <si>
    <t>Z18485</t>
  </si>
  <si>
    <t>ZS3122</t>
  </si>
  <si>
    <t>rs1038577578</t>
  </si>
  <si>
    <t>ZS3135</t>
  </si>
  <si>
    <t>rs920203233</t>
  </si>
  <si>
    <t>ZS3189</t>
  </si>
  <si>
    <t>rs965507162</t>
  </si>
  <si>
    <t>Z31382</t>
  </si>
  <si>
    <t>rs900720426</t>
  </si>
  <si>
    <t>ZS3128</t>
  </si>
  <si>
    <t>rs937200126</t>
  </si>
  <si>
    <t>Y26747</t>
  </si>
  <si>
    <t>rs757821806</t>
  </si>
  <si>
    <t>Y26748</t>
  </si>
  <si>
    <t>ZS10764</t>
  </si>
  <si>
    <t>ZS10765</t>
  </si>
  <si>
    <t>ZS10766</t>
  </si>
  <si>
    <t>ZS10767</t>
  </si>
  <si>
    <t>ZS10769</t>
  </si>
  <si>
    <t>ZS10770</t>
  </si>
  <si>
    <t>ZS10771</t>
  </si>
  <si>
    <t>ZS10773</t>
  </si>
  <si>
    <t>rs1008253760</t>
  </si>
  <si>
    <t>ZS10774</t>
  </si>
  <si>
    <t>ZS10775</t>
  </si>
  <si>
    <t>ZS10778</t>
  </si>
  <si>
    <t>ZS10779</t>
  </si>
  <si>
    <t>ZS10780</t>
  </si>
  <si>
    <t>ZS10782</t>
  </si>
  <si>
    <t>rs956183767</t>
  </si>
  <si>
    <t>ZS10783</t>
  </si>
  <si>
    <t>ZS5318</t>
  </si>
  <si>
    <t>ZS5326</t>
  </si>
  <si>
    <t>BY11761</t>
  </si>
  <si>
    <t>rs373438982</t>
  </si>
  <si>
    <t>F999.2</t>
  </si>
  <si>
    <t>rs76284314</t>
  </si>
  <si>
    <t>PF7259</t>
  </si>
  <si>
    <t>rs779997398</t>
  </si>
  <si>
    <t>PF7261</t>
  </si>
  <si>
    <t>rs750914392</t>
  </si>
  <si>
    <t>PH7</t>
  </si>
  <si>
    <t>rs748665974</t>
  </si>
  <si>
    <t>PH77</t>
  </si>
  <si>
    <t>rs769271839</t>
  </si>
  <si>
    <t>PH351</t>
  </si>
  <si>
    <t>rs768636468</t>
  </si>
  <si>
    <t>PH1443</t>
  </si>
  <si>
    <t>rs780831638</t>
  </si>
  <si>
    <t>PH2375</t>
  </si>
  <si>
    <t>rs761326628</t>
  </si>
  <si>
    <t>PH3132</t>
  </si>
  <si>
    <t>rs746995995</t>
  </si>
  <si>
    <t>PH3641</t>
  </si>
  <si>
    <t>rs763336191</t>
  </si>
  <si>
    <t>PH3965</t>
  </si>
  <si>
    <t>rs765649715</t>
  </si>
  <si>
    <t>PH4156</t>
  </si>
  <si>
    <t>rs745414217</t>
  </si>
  <si>
    <t>PH4391</t>
  </si>
  <si>
    <t>rs769812435</t>
  </si>
  <si>
    <t>PH5003</t>
  </si>
  <si>
    <t>rs746158046</t>
  </si>
  <si>
    <t>PH5266</t>
  </si>
  <si>
    <t>rs764978527</t>
  </si>
  <si>
    <t>Y29696</t>
  </si>
  <si>
    <t>rs892380296</t>
  </si>
  <si>
    <t>Y29697</t>
  </si>
  <si>
    <t>Y30278</t>
  </si>
  <si>
    <t>Y30282</t>
  </si>
  <si>
    <t>Y30289</t>
  </si>
  <si>
    <t>Y30294</t>
  </si>
  <si>
    <t>YP5856</t>
  </si>
  <si>
    <t>rs982313233</t>
  </si>
  <si>
    <t>Z31032.2</t>
  </si>
  <si>
    <t>rs985809826</t>
  </si>
  <si>
    <t>ZS3249</t>
  </si>
  <si>
    <t>rs755892078</t>
  </si>
  <si>
    <t>ZS3316</t>
  </si>
  <si>
    <t>rs751845904</t>
  </si>
  <si>
    <t>ZS3317</t>
  </si>
  <si>
    <t>rs772259064</t>
  </si>
  <si>
    <t>ZS3349</t>
  </si>
  <si>
    <t>rs767882048</t>
  </si>
  <si>
    <t>ZS3363</t>
  </si>
  <si>
    <t>rs751507409</t>
  </si>
  <si>
    <t>ZS3365</t>
  </si>
  <si>
    <t>rs750997055</t>
  </si>
  <si>
    <t>ZS3336</t>
  </si>
  <si>
    <t>rs934516721</t>
  </si>
  <si>
    <t>ZS3367</t>
  </si>
  <si>
    <t>rs748890995</t>
  </si>
  <si>
    <t>ZS3369</t>
  </si>
  <si>
    <t>rs757261455</t>
  </si>
  <si>
    <t>ZS3397</t>
  </si>
  <si>
    <t>rs772804020</t>
  </si>
  <si>
    <t>ZS3399</t>
  </si>
  <si>
    <t>rs764169210</t>
  </si>
  <si>
    <t>ZS3413</t>
  </si>
  <si>
    <t>rs1029110473</t>
  </si>
  <si>
    <t>ZS3421</t>
  </si>
  <si>
    <t>rs769147612</t>
  </si>
  <si>
    <t>ZS3429</t>
  </si>
  <si>
    <t>rs753513202</t>
  </si>
  <si>
    <t>ZS3457</t>
  </si>
  <si>
    <t>rs759611393</t>
  </si>
  <si>
    <t>ZS3480</t>
  </si>
  <si>
    <t>rs905924620</t>
  </si>
  <si>
    <t>ZS3482</t>
  </si>
  <si>
    <t>rs764558892</t>
  </si>
  <si>
    <t>ZS3486</t>
  </si>
  <si>
    <t>rs775203093</t>
  </si>
  <si>
    <t>ZS3487</t>
  </si>
  <si>
    <t>rs760412693</t>
  </si>
  <si>
    <t>ZS3504</t>
  </si>
  <si>
    <t>rs758948385</t>
  </si>
  <si>
    <t>ZS11758</t>
  </si>
  <si>
    <t>rs766297841</t>
  </si>
  <si>
    <t>ZS11762</t>
  </si>
  <si>
    <t>rs936265985</t>
  </si>
  <si>
    <t>ZS11768</t>
  </si>
  <si>
    <t>rs1392280550</t>
  </si>
  <si>
    <t>ZS11772</t>
  </si>
  <si>
    <t>rs36189622</t>
  </si>
  <si>
    <t>ZS11776</t>
  </si>
  <si>
    <t>ZS11791</t>
  </si>
  <si>
    <t>rs943374997</t>
  </si>
  <si>
    <t>ZS11811</t>
  </si>
  <si>
    <t>rs759281433</t>
  </si>
  <si>
    <t>CTS2251.2</t>
  </si>
  <si>
    <t>M3289.2; PF2941.2</t>
  </si>
  <si>
    <t>rs553062166</t>
  </si>
  <si>
    <t>M3289.2</t>
  </si>
  <si>
    <t>CTS2251.2; PF2941.2</t>
  </si>
  <si>
    <t>PF2941.2</t>
  </si>
  <si>
    <t>CTS2251.2; M3289.2</t>
  </si>
  <si>
    <t>F2594.2</t>
  </si>
  <si>
    <t>F2594</t>
  </si>
  <si>
    <t>M7649</t>
  </si>
  <si>
    <t>rs375066304</t>
  </si>
  <si>
    <t>Z10535.2</t>
  </si>
  <si>
    <t>rs749398887</t>
  </si>
  <si>
    <t>FGC35403</t>
  </si>
  <si>
    <t>rs1018714066</t>
  </si>
  <si>
    <t>PF7257</t>
  </si>
  <si>
    <t>rs972029149</t>
  </si>
  <si>
    <t>PH128</t>
  </si>
  <si>
    <t>rs757339098</t>
  </si>
  <si>
    <t>PH152</t>
  </si>
  <si>
    <t>rs771955689</t>
  </si>
  <si>
    <t>PH1284</t>
  </si>
  <si>
    <t>rs776881288</t>
  </si>
  <si>
    <t>PH1549</t>
  </si>
  <si>
    <t>rs773638543</t>
  </si>
  <si>
    <t>PH1651</t>
  </si>
  <si>
    <t>rs747381741</t>
  </si>
  <si>
    <t>PH1689</t>
  </si>
  <si>
    <t>rs775514676</t>
  </si>
  <si>
    <t>PH1828</t>
  </si>
  <si>
    <t>rs751196110</t>
  </si>
  <si>
    <t>PH2095</t>
  </si>
  <si>
    <t>rs766209540</t>
  </si>
  <si>
    <t>PH2107</t>
  </si>
  <si>
    <t>rs753846269</t>
  </si>
  <si>
    <t>PH2267</t>
  </si>
  <si>
    <t>rs767345523</t>
  </si>
  <si>
    <t>PH2321</t>
  </si>
  <si>
    <t>YP1485</t>
  </si>
  <si>
    <t>rs769334068</t>
  </si>
  <si>
    <t>PH2478</t>
  </si>
  <si>
    <t>rs201640492</t>
  </si>
  <si>
    <t>PH2601</t>
  </si>
  <si>
    <t>rs747154396</t>
  </si>
  <si>
    <t>PH3112</t>
  </si>
  <si>
    <t>rs768312608</t>
  </si>
  <si>
    <t>PH3147</t>
  </si>
  <si>
    <t>rs755984965</t>
  </si>
  <si>
    <t>PH3532</t>
  </si>
  <si>
    <t>rs779207413</t>
  </si>
  <si>
    <t>PH3547</t>
  </si>
  <si>
    <t>rs766407483</t>
  </si>
  <si>
    <t>PH3948</t>
  </si>
  <si>
    <t>rs774413088</t>
  </si>
  <si>
    <t>PH4422</t>
  </si>
  <si>
    <t>rs751322465</t>
  </si>
  <si>
    <t>PH4603</t>
  </si>
  <si>
    <t>rs754726598</t>
  </si>
  <si>
    <t>PH4961</t>
  </si>
  <si>
    <t>rs750066794</t>
  </si>
  <si>
    <t>Y29685</t>
  </si>
  <si>
    <t>Y29686</t>
  </si>
  <si>
    <t>rs934057088</t>
  </si>
  <si>
    <t>Y29688</t>
  </si>
  <si>
    <t>rs1053088823</t>
  </si>
  <si>
    <t>Y29689</t>
  </si>
  <si>
    <t>Y29690</t>
  </si>
  <si>
    <t>rs1044240689</t>
  </si>
  <si>
    <t>Y29691</t>
  </si>
  <si>
    <t>Y29692</t>
  </si>
  <si>
    <t>rs1031789132</t>
  </si>
  <si>
    <t>Y29693</t>
  </si>
  <si>
    <t>rs1056683700</t>
  </si>
  <si>
    <t>Y29694</t>
  </si>
  <si>
    <t>Y29695</t>
  </si>
  <si>
    <t>Y29698</t>
  </si>
  <si>
    <t>Y29699</t>
  </si>
  <si>
    <t>Y29700</t>
  </si>
  <si>
    <t>Y30057</t>
  </si>
  <si>
    <t>Y30276</t>
  </si>
  <si>
    <t>Y30277</t>
  </si>
  <si>
    <t>rs927096188</t>
  </si>
  <si>
    <t>Y30279</t>
  </si>
  <si>
    <t>Y30280</t>
  </si>
  <si>
    <t>Y30281</t>
  </si>
  <si>
    <t>rs966537019</t>
  </si>
  <si>
    <t>Y30283</t>
  </si>
  <si>
    <t>rs990562280</t>
  </si>
  <si>
    <t>Y30284</t>
  </si>
  <si>
    <t>rs112449403</t>
  </si>
  <si>
    <t>Y30285</t>
  </si>
  <si>
    <t>rs954080782</t>
  </si>
  <si>
    <t>Y30286</t>
  </si>
  <si>
    <t>Y30287</t>
  </si>
  <si>
    <t>rs1470175536</t>
  </si>
  <si>
    <t>Y30290</t>
  </si>
  <si>
    <t>rs1049985857</t>
  </si>
  <si>
    <t>Y30291</t>
  </si>
  <si>
    <t>Y30292</t>
  </si>
  <si>
    <t>rs971354365</t>
  </si>
  <si>
    <t>Y30293</t>
  </si>
  <si>
    <t>Y31138</t>
  </si>
  <si>
    <t>Y33341</t>
  </si>
  <si>
    <t>YP5853</t>
  </si>
  <si>
    <t>S695.2</t>
  </si>
  <si>
    <t>rs976758039</t>
  </si>
  <si>
    <t>Y33339</t>
  </si>
  <si>
    <t>Y33340</t>
  </si>
  <si>
    <t>YP5852</t>
  </si>
  <si>
    <t>rs1236035329</t>
  </si>
  <si>
    <t>YP5855</t>
  </si>
  <si>
    <t>rs778874034</t>
  </si>
  <si>
    <t>F1614</t>
  </si>
  <si>
    <t>rs752309253</t>
  </si>
  <si>
    <t>BY247^</t>
  </si>
  <si>
    <t>FGC28386^; Y6586^; ZS5067^</t>
  </si>
  <si>
    <t>rs753566080</t>
  </si>
  <si>
    <t>FGC28386^</t>
  </si>
  <si>
    <t>BY247^; Y6586^; ZS5067^</t>
  </si>
  <si>
    <t>Y6586^</t>
  </si>
  <si>
    <t>BY247^; FGC28386^; ZS5067^</t>
  </si>
  <si>
    <t>ZS5067^</t>
  </si>
  <si>
    <t>BY247^; FGC28386^; Y6586^</t>
  </si>
  <si>
    <t>CTS3219</t>
  </si>
  <si>
    <t>ZS80</t>
  </si>
  <si>
    <t>rs775274558</t>
  </si>
  <si>
    <t>F2168</t>
  </si>
  <si>
    <t>ZS90</t>
  </si>
  <si>
    <t>rs773044434</t>
  </si>
  <si>
    <t>F3249</t>
  </si>
  <si>
    <t>ZS120</t>
  </si>
  <si>
    <t>rs747571761</t>
  </si>
  <si>
    <t>F4256</t>
  </si>
  <si>
    <t>F4306</t>
  </si>
  <si>
    <t>rs769360740</t>
  </si>
  <si>
    <t>FGC20296</t>
  </si>
  <si>
    <t>Y6310; ZS3534</t>
  </si>
  <si>
    <t>rs765730702</t>
  </si>
  <si>
    <t>Y6310</t>
  </si>
  <si>
    <t>FGC20296; ZS3534</t>
  </si>
  <si>
    <t>ZS3534</t>
  </si>
  <si>
    <t>FGC20296; Y6310</t>
  </si>
  <si>
    <t>FGC20297</t>
  </si>
  <si>
    <t>FGC20298</t>
  </si>
  <si>
    <t>Y6330; ZS3576</t>
  </si>
  <si>
    <t>rs748861057</t>
  </si>
  <si>
    <t>Y6330</t>
  </si>
  <si>
    <t>FGC20298; ZS3576</t>
  </si>
  <si>
    <t>ZS3576</t>
  </si>
  <si>
    <t>FGC20298; Y6330</t>
  </si>
  <si>
    <t>FGC20299</t>
  </si>
  <si>
    <t>Y6324; ZS3542</t>
  </si>
  <si>
    <t>rs752200618</t>
  </si>
  <si>
    <t>Y6324</t>
  </si>
  <si>
    <t>FGC20299; ZS3542</t>
  </si>
  <si>
    <t>ZS3542</t>
  </si>
  <si>
    <t>FGC20299; Y6324</t>
  </si>
  <si>
    <t>FGC20300</t>
  </si>
  <si>
    <t>Y6309; ZS3513</t>
  </si>
  <si>
    <t>rs749029843</t>
  </si>
  <si>
    <t>Y6309</t>
  </si>
  <si>
    <t>FGC20300; ZS3513</t>
  </si>
  <si>
    <t>ZS3513</t>
  </si>
  <si>
    <t>FGC20300; Y6309</t>
  </si>
  <si>
    <t>FGC20301</t>
  </si>
  <si>
    <t>Y6337; ZS3624</t>
  </si>
  <si>
    <t>rs764756792</t>
  </si>
  <si>
    <t>Y6337</t>
  </si>
  <si>
    <t>FGC20301; ZS3624</t>
  </si>
  <si>
    <t>ZS3624</t>
  </si>
  <si>
    <t>FGC20301; Y6337</t>
  </si>
  <si>
    <t>FGC20302</t>
  </si>
  <si>
    <t>Y6328; ZS3568</t>
  </si>
  <si>
    <t>rs773815173</t>
  </si>
  <si>
    <t>Y6328</t>
  </si>
  <si>
    <t>FGC20302; ZS3568</t>
  </si>
  <si>
    <t>ZS3568</t>
  </si>
  <si>
    <t>FGC20302; Y6328</t>
  </si>
  <si>
    <t>FGC20303^</t>
  </si>
  <si>
    <t>Y6336^; ZS3620^</t>
  </si>
  <si>
    <t>Y6336^</t>
  </si>
  <si>
    <t>FGC20303^; ZS3620^</t>
  </si>
  <si>
    <t>ZS3620^</t>
  </si>
  <si>
    <t>FGC20303^; Y6336^</t>
  </si>
  <si>
    <t>FGC20306</t>
  </si>
  <si>
    <t>ZS3578</t>
  </si>
  <si>
    <t>rs766469934</t>
  </si>
  <si>
    <t>FGC20309^</t>
  </si>
  <si>
    <t>Y6329^; ZS3569^</t>
  </si>
  <si>
    <t>rs759275917</t>
  </si>
  <si>
    <t>Y6329^</t>
  </si>
  <si>
    <t>FGC20309^; ZS3569^</t>
  </si>
  <si>
    <t>ZS3569^</t>
  </si>
  <si>
    <t>FGC20309^; Y6329^</t>
  </si>
  <si>
    <t>FGC20310</t>
  </si>
  <si>
    <t>Y6311; ZS3539</t>
  </si>
  <si>
    <t>rs763556016</t>
  </si>
  <si>
    <t>Y6311</t>
  </si>
  <si>
    <t>FGC20310; ZS3539</t>
  </si>
  <si>
    <t>ZS3539</t>
  </si>
  <si>
    <t>FGC20310; Y6311</t>
  </si>
  <si>
    <t>FGC20312</t>
  </si>
  <si>
    <t>Y6308; ZS3512</t>
  </si>
  <si>
    <t>rs771007508</t>
  </si>
  <si>
    <t>Y6308</t>
  </si>
  <si>
    <t>FGC20312; ZS3512</t>
  </si>
  <si>
    <t>ZS3512</t>
  </si>
  <si>
    <t>FGC20312; Y6308</t>
  </si>
  <si>
    <t>FGC20313^</t>
  </si>
  <si>
    <t>Y6322^; ZS3516^</t>
  </si>
  <si>
    <t>Y6322^</t>
  </si>
  <si>
    <t>FGC20313^; ZS3516^</t>
  </si>
  <si>
    <t>ZS3516^</t>
  </si>
  <si>
    <t>FGC20313^; Y6322^</t>
  </si>
  <si>
    <t>FGC20404^</t>
  </si>
  <si>
    <t>rs772483988</t>
  </si>
  <si>
    <t>M10096</t>
  </si>
  <si>
    <t>ZS106</t>
  </si>
  <si>
    <t>rs565474393</t>
  </si>
  <si>
    <t>Y2909.2</t>
  </si>
  <si>
    <t>ZS143.2</t>
  </si>
  <si>
    <t>rs771041553</t>
  </si>
  <si>
    <t>FGC10191; Y2902</t>
  </si>
  <si>
    <t>Y6305</t>
  </si>
  <si>
    <t>ZS91</t>
  </si>
  <si>
    <t>rs773164282</t>
  </si>
  <si>
    <t>Y6313</t>
  </si>
  <si>
    <t>ZS81</t>
  </si>
  <si>
    <t>rs780567997</t>
  </si>
  <si>
    <t>Y6317</t>
  </si>
  <si>
    <t>ZS121</t>
  </si>
  <si>
    <t>rs755654164</t>
  </si>
  <si>
    <t>Y6318^</t>
  </si>
  <si>
    <t>ZS3592^</t>
  </si>
  <si>
    <t>Y6320</t>
  </si>
  <si>
    <t>ZS142</t>
  </si>
  <si>
    <t>rs777929367</t>
  </si>
  <si>
    <t>Y6323</t>
  </si>
  <si>
    <t>rs749899270</t>
  </si>
  <si>
    <t>Y6327</t>
  </si>
  <si>
    <t>ZS95</t>
  </si>
  <si>
    <t>rs745539700</t>
  </si>
  <si>
    <t>Y6332</t>
  </si>
  <si>
    <t>ZS115</t>
  </si>
  <si>
    <t>rs770406516</t>
  </si>
  <si>
    <t>Y6334</t>
  </si>
  <si>
    <t>ZS119</t>
  </si>
  <si>
    <t>rs778111789</t>
  </si>
  <si>
    <t>Z27594</t>
  </si>
  <si>
    <t>rs769740375</t>
  </si>
  <si>
    <t>Z27595</t>
  </si>
  <si>
    <t>rs758577303</t>
  </si>
  <si>
    <t>Z27596</t>
  </si>
  <si>
    <t>rs748786609</t>
  </si>
  <si>
    <t>Z27599^</t>
  </si>
  <si>
    <t>rs745428881</t>
  </si>
  <si>
    <t>Z27606</t>
  </si>
  <si>
    <t>Z27608^</t>
  </si>
  <si>
    <t>Z27609^</t>
  </si>
  <si>
    <t>Z27615</t>
  </si>
  <si>
    <t>rs767599782</t>
  </si>
  <si>
    <t>Z27617</t>
  </si>
  <si>
    <t>rs765145662</t>
  </si>
  <si>
    <t>Z27618</t>
  </si>
  <si>
    <t>rs764659332</t>
  </si>
  <si>
    <t>Z27620^</t>
  </si>
  <si>
    <t>Z27621</t>
  </si>
  <si>
    <t>rs762075798</t>
  </si>
  <si>
    <t>Z27624^</t>
  </si>
  <si>
    <t>rs780005737</t>
  </si>
  <si>
    <t>Z27625</t>
  </si>
  <si>
    <t>rs746950314</t>
  </si>
  <si>
    <t>Z27626^</t>
  </si>
  <si>
    <t>Z27628</t>
  </si>
  <si>
    <t>rs753721749</t>
  </si>
  <si>
    <t>Z27630</t>
  </si>
  <si>
    <t>Z27631</t>
  </si>
  <si>
    <t>rs767659763</t>
  </si>
  <si>
    <t>Z27632^</t>
  </si>
  <si>
    <t>Z27633</t>
  </si>
  <si>
    <t>rs746990232</t>
  </si>
  <si>
    <t>Z27634^</t>
  </si>
  <si>
    <t>Z27635^</t>
  </si>
  <si>
    <t>Z27636^</t>
  </si>
  <si>
    <t>rs776419178</t>
  </si>
  <si>
    <t>Z27637</t>
  </si>
  <si>
    <t>rs772550885</t>
  </si>
  <si>
    <t>Z27638</t>
  </si>
  <si>
    <t>rs765642318</t>
  </si>
  <si>
    <t>Z27640^</t>
  </si>
  <si>
    <t>rs776063775</t>
  </si>
  <si>
    <t>Z27641^</t>
  </si>
  <si>
    <t>Z27642</t>
  </si>
  <si>
    <t>rs757333747</t>
  </si>
  <si>
    <t>Z27643</t>
  </si>
  <si>
    <t>rs762520272</t>
  </si>
  <si>
    <t>Z27646</t>
  </si>
  <si>
    <t>rs752843457</t>
  </si>
  <si>
    <t>Z27650</t>
  </si>
  <si>
    <t>rs766039467</t>
  </si>
  <si>
    <t>Z27654</t>
  </si>
  <si>
    <t>rs778397520</t>
  </si>
  <si>
    <t>Z27657^</t>
  </si>
  <si>
    <t>Z27659^</t>
  </si>
  <si>
    <t>ZS32^</t>
  </si>
  <si>
    <t>rs747477477</t>
  </si>
  <si>
    <t>ZS33</t>
  </si>
  <si>
    <t>rs751158720</t>
  </si>
  <si>
    <t>ZS34^</t>
  </si>
  <si>
    <t>rs755717977</t>
  </si>
  <si>
    <t>ZS55^</t>
  </si>
  <si>
    <t>rs781453336</t>
  </si>
  <si>
    <t>ZS5059</t>
  </si>
  <si>
    <t>ZS58</t>
  </si>
  <si>
    <t>rs767765988</t>
  </si>
  <si>
    <t>ZS61</t>
  </si>
  <si>
    <t>rs774512587</t>
  </si>
  <si>
    <t>ZS65</t>
  </si>
  <si>
    <t>rs749619714</t>
  </si>
  <si>
    <t>ZS70</t>
  </si>
  <si>
    <t>rs981038085</t>
  </si>
  <si>
    <t>ZS76</t>
  </si>
  <si>
    <t>rs780241261</t>
  </si>
  <si>
    <t>ZS82</t>
  </si>
  <si>
    <t>rs753856009</t>
  </si>
  <si>
    <t>ZS83^</t>
  </si>
  <si>
    <t>rs746066189</t>
  </si>
  <si>
    <t>ZS85^</t>
  </si>
  <si>
    <t>rs758297514</t>
  </si>
  <si>
    <t>ZS86</t>
  </si>
  <si>
    <t>rs758418475</t>
  </si>
  <si>
    <t>ZS92</t>
  </si>
  <si>
    <t>rs774799425</t>
  </si>
  <si>
    <t>ZS93</t>
  </si>
  <si>
    <t>rs764322500</t>
  </si>
  <si>
    <t>ZS94</t>
  </si>
  <si>
    <t>rs754388704</t>
  </si>
  <si>
    <t>ZS98</t>
  </si>
  <si>
    <t>rs773068264</t>
  </si>
  <si>
    <t>ZS101</t>
  </si>
  <si>
    <t>rs776015010</t>
  </si>
  <si>
    <t>ZS103</t>
  </si>
  <si>
    <t>rs767810125</t>
  </si>
  <si>
    <t>ZS104</t>
  </si>
  <si>
    <t>rs778076620</t>
  </si>
  <si>
    <t>ZS105^</t>
  </si>
  <si>
    <t>rs757184183</t>
  </si>
  <si>
    <t>ZS109</t>
  </si>
  <si>
    <t>rs772160729</t>
  </si>
  <si>
    <t>ZS111</t>
  </si>
  <si>
    <t>rs757651072</t>
  </si>
  <si>
    <t>ZS112</t>
  </si>
  <si>
    <t>rs771099742</t>
  </si>
  <si>
    <t>ZS116</t>
  </si>
  <si>
    <t>rs746989819</t>
  </si>
  <si>
    <t>ZS118</t>
  </si>
  <si>
    <t>rs745570447</t>
  </si>
  <si>
    <t>ZS122</t>
  </si>
  <si>
    <t>rs770520805</t>
  </si>
  <si>
    <t>ZS135</t>
  </si>
  <si>
    <t>rs746984556</t>
  </si>
  <si>
    <t>ZS139</t>
  </si>
  <si>
    <t>rs756240987</t>
  </si>
  <si>
    <t>ZS140</t>
  </si>
  <si>
    <t>rs766452379</t>
  </si>
  <si>
    <t>ZS141</t>
  </si>
  <si>
    <t>rs761470582</t>
  </si>
  <si>
    <t>ZS5057</t>
  </si>
  <si>
    <t>rs778229953</t>
  </si>
  <si>
    <t>ZS5063</t>
  </si>
  <si>
    <t>rs751962189</t>
  </si>
  <si>
    <t>ZS5070</t>
  </si>
  <si>
    <t>rs749358230</t>
  </si>
  <si>
    <t>ZS5071</t>
  </si>
  <si>
    <t>rs776576993</t>
  </si>
  <si>
    <t>ZS5075.2</t>
  </si>
  <si>
    <t>rs776209318</t>
  </si>
  <si>
    <t>ZS5082</t>
  </si>
  <si>
    <t>rs773871234</t>
  </si>
  <si>
    <t>ZS5086^</t>
  </si>
  <si>
    <t>ZS5092</t>
  </si>
  <si>
    <t>rs749123809</t>
  </si>
  <si>
    <t>ZS5098</t>
  </si>
  <si>
    <t>rs777267860</t>
  </si>
  <si>
    <t>ZS5109</t>
  </si>
  <si>
    <t>rs755795182</t>
  </si>
  <si>
    <t>ZS5139</t>
  </si>
  <si>
    <t>rs752833561</t>
  </si>
  <si>
    <t>FGC20304</t>
  </si>
  <si>
    <t>Y6326</t>
  </si>
  <si>
    <t>FGC20305</t>
  </si>
  <si>
    <t>Y6338; ZS3626</t>
  </si>
  <si>
    <t>Y6338</t>
  </si>
  <si>
    <t>FGC20305; ZS3626</t>
  </si>
  <si>
    <t>ZS3626</t>
  </si>
  <si>
    <t>FGC20305; Y6338</t>
  </si>
  <si>
    <t>FGC20308</t>
  </si>
  <si>
    <t>Y6307; ZS3524</t>
  </si>
  <si>
    <t>rs747710084</t>
  </si>
  <si>
    <t>Y6307</t>
  </si>
  <si>
    <t>FGC20308; ZS3524</t>
  </si>
  <si>
    <t>ZS3524</t>
  </si>
  <si>
    <t>FGC20308; Y6307</t>
  </si>
  <si>
    <t>FGC20311</t>
  </si>
  <si>
    <t>Y6312; ZS3543</t>
  </si>
  <si>
    <t>rs754112193</t>
  </si>
  <si>
    <t>Y6312</t>
  </si>
  <si>
    <t>FGC20311; ZS3543</t>
  </si>
  <si>
    <t>ZS3543</t>
  </si>
  <si>
    <t>FGC20311; Y6312</t>
  </si>
  <si>
    <t>FGC20317</t>
  </si>
  <si>
    <t>Y6306; ZS3523</t>
  </si>
  <si>
    <t>Y6306</t>
  </si>
  <si>
    <t>FGC20317; ZS3523</t>
  </si>
  <si>
    <t>ZS3523</t>
  </si>
  <si>
    <t>FGC20317; Y6306</t>
  </si>
  <si>
    <t>M2747</t>
  </si>
  <si>
    <t>Z4189</t>
  </si>
  <si>
    <t>rs567858685</t>
  </si>
  <si>
    <t>Y6316</t>
  </si>
  <si>
    <t>ZS107</t>
  </si>
  <si>
    <t>Y6333</t>
  </si>
  <si>
    <t>ZS117</t>
  </si>
  <si>
    <t>rs767581593</t>
  </si>
  <si>
    <t>Z27645</t>
  </si>
  <si>
    <t>M9869</t>
  </si>
  <si>
    <t>ZS87</t>
  </si>
  <si>
    <t>V3209</t>
  </si>
  <si>
    <t>Z2223</t>
  </si>
  <si>
    <t>rs781702350</t>
  </si>
  <si>
    <t>Z22650</t>
  </si>
  <si>
    <t>rs761425624</t>
  </si>
  <si>
    <t>Z33651</t>
  </si>
  <si>
    <t>Z22652</t>
  </si>
  <si>
    <t>rs778181002</t>
  </si>
  <si>
    <t>Z22653</t>
  </si>
  <si>
    <t>Z22654</t>
  </si>
  <si>
    <t>rs763168246</t>
  </si>
  <si>
    <t>Z22655</t>
  </si>
  <si>
    <t>rs777441091</t>
  </si>
  <si>
    <t>ZS72</t>
  </si>
  <si>
    <t>ZS77</t>
  </si>
  <si>
    <t>rs765017437</t>
  </si>
  <si>
    <t>ZS79</t>
  </si>
  <si>
    <t>rs779548926</t>
  </si>
  <si>
    <t>ZS84</t>
  </si>
  <si>
    <t>ZS88</t>
  </si>
  <si>
    <t>ZS89</t>
  </si>
  <si>
    <t>ZS96</t>
  </si>
  <si>
    <t>rs769170642</t>
  </si>
  <si>
    <t>ZS97</t>
  </si>
  <si>
    <t>rs749947602</t>
  </si>
  <si>
    <t>ZS138</t>
  </si>
  <si>
    <t>rs779752412</t>
  </si>
  <si>
    <t>F1369</t>
  </si>
  <si>
    <t>rs951888151</t>
  </si>
  <si>
    <t>F1389</t>
  </si>
  <si>
    <t>rs758039086</t>
  </si>
  <si>
    <t>M10453</t>
  </si>
  <si>
    <t>ZS64</t>
  </si>
  <si>
    <t>rs564728577</t>
  </si>
  <si>
    <t>M11065</t>
  </si>
  <si>
    <t>ZS606</t>
  </si>
  <si>
    <t>rs564122749</t>
  </si>
  <si>
    <t>ZS5033</t>
  </si>
  <si>
    <t>ZS5040</t>
  </si>
  <si>
    <t>rs746237931</t>
  </si>
  <si>
    <t>ZS5047</t>
  </si>
  <si>
    <t>ZS3627</t>
  </si>
  <si>
    <t>ZS3628</t>
  </si>
  <si>
    <t>ZS3636</t>
  </si>
  <si>
    <t>ZS3637</t>
  </si>
  <si>
    <t>ZS3638</t>
  </si>
  <si>
    <t>rs767863210</t>
  </si>
  <si>
    <t>FGC20321</t>
  </si>
  <si>
    <t>ZS3509</t>
  </si>
  <si>
    <t>FGC20341</t>
  </si>
  <si>
    <t>ZS3540</t>
  </si>
  <si>
    <t>FGC20352</t>
  </si>
  <si>
    <t>ZS3554</t>
  </si>
  <si>
    <t>FGC20356</t>
  </si>
  <si>
    <t>ZS3557</t>
  </si>
  <si>
    <t>FGC20396</t>
  </si>
  <si>
    <t>ZS3618</t>
  </si>
  <si>
    <t>M172</t>
  </si>
  <si>
    <t>Page28; PF4908</t>
  </si>
  <si>
    <t>rs2032604</t>
  </si>
  <si>
    <t>Page28</t>
  </si>
  <si>
    <t>M172; PF4908</t>
  </si>
  <si>
    <t>PF4908</t>
  </si>
  <si>
    <t>M172; Page28</t>
  </si>
  <si>
    <t>CTS886</t>
  </si>
  <si>
    <t>PF4893</t>
  </si>
  <si>
    <t>rs370602308</t>
  </si>
  <si>
    <t>CTS3056</t>
  </si>
  <si>
    <t>rs375689230</t>
  </si>
  <si>
    <t>CTS3202</t>
  </si>
  <si>
    <t>PF4907</t>
  </si>
  <si>
    <t>rs369724033</t>
  </si>
  <si>
    <t>CTS5728</t>
  </si>
  <si>
    <t>PF4912</t>
  </si>
  <si>
    <t>rs369472958</t>
  </si>
  <si>
    <t>CTS5904</t>
  </si>
  <si>
    <t>PF4913</t>
  </si>
  <si>
    <t>rs367812612</t>
  </si>
  <si>
    <t>CTS12828</t>
  </si>
  <si>
    <t>rs376331160</t>
  </si>
  <si>
    <t>CTS12984</t>
  </si>
  <si>
    <t>PF4937; S3234</t>
  </si>
  <si>
    <t>rs375799670</t>
  </si>
  <si>
    <t>PF4937</t>
  </si>
  <si>
    <t>CTS12984; S3234</t>
  </si>
  <si>
    <t>S3234</t>
  </si>
  <si>
    <t>CTS12984; PF4937</t>
  </si>
  <si>
    <t>F4087</t>
  </si>
  <si>
    <t>L228; PF4895; S321</t>
  </si>
  <si>
    <t>rs371968167</t>
  </si>
  <si>
    <t>L228</t>
  </si>
  <si>
    <t>F4087; PF4895; S321</t>
  </si>
  <si>
    <t>PF4895</t>
  </si>
  <si>
    <t>F4087; L228; S321</t>
  </si>
  <si>
    <t>S321</t>
  </si>
  <si>
    <t>F4087; L228; PF4895</t>
  </si>
  <si>
    <t>F2113</t>
  </si>
  <si>
    <t>PF4910</t>
  </si>
  <si>
    <t>rs367850648</t>
  </si>
  <si>
    <t>F3343</t>
  </si>
  <si>
    <t>PF4933</t>
  </si>
  <si>
    <t>rs376972661</t>
  </si>
  <si>
    <t>F4272</t>
  </si>
  <si>
    <t>PF4920</t>
  </si>
  <si>
    <t>rs370480778</t>
  </si>
  <si>
    <t>F4283</t>
  </si>
  <si>
    <t>PF4922</t>
  </si>
  <si>
    <t>rs369732308</t>
  </si>
  <si>
    <t>FGC2790</t>
  </si>
  <si>
    <t>Y29592</t>
  </si>
  <si>
    <t>rs370230887</t>
  </si>
  <si>
    <t>PF4597</t>
  </si>
  <si>
    <t>rs372881371</t>
  </si>
  <si>
    <t>PF4898</t>
  </si>
  <si>
    <t>rs368405291</t>
  </si>
  <si>
    <t>PF4905</t>
  </si>
  <si>
    <t>rs376988610</t>
  </si>
  <si>
    <t>PF4925</t>
  </si>
  <si>
    <t>rs377140670</t>
  </si>
  <si>
    <t>PF4926</t>
  </si>
  <si>
    <t>rs371388571</t>
  </si>
  <si>
    <t>PF4935</t>
  </si>
  <si>
    <t>rs372448009</t>
  </si>
  <si>
    <t>M410</t>
  </si>
  <si>
    <t>PF4941</t>
  </si>
  <si>
    <t>rs371079691</t>
  </si>
  <si>
    <t>AM01355</t>
  </si>
  <si>
    <t>CTS9245; PF4977</t>
  </si>
  <si>
    <t>rs745577431</t>
  </si>
  <si>
    <t>CTS9245</t>
  </si>
  <si>
    <t>AM01355; PF4977</t>
  </si>
  <si>
    <t>PF4977</t>
  </si>
  <si>
    <t>AM01355; CTS9245</t>
  </si>
  <si>
    <t>CTS113</t>
  </si>
  <si>
    <t>PF4884</t>
  </si>
  <si>
    <t>rs375277329</t>
  </si>
  <si>
    <t>CTS128</t>
  </si>
  <si>
    <t>PF4940</t>
  </si>
  <si>
    <t>rs376204614</t>
  </si>
  <si>
    <t>CTS161</t>
  </si>
  <si>
    <t>L927; PF4885</t>
  </si>
  <si>
    <t>rs375593104</t>
  </si>
  <si>
    <t>L927</t>
  </si>
  <si>
    <t>CTS161; PF4885</t>
  </si>
  <si>
    <t>PF4885</t>
  </si>
  <si>
    <t>CTS161; L927</t>
  </si>
  <si>
    <t>CTS585</t>
  </si>
  <si>
    <t>rs369679751</t>
  </si>
  <si>
    <t>CTS1030</t>
  </si>
  <si>
    <t>PF4949</t>
  </si>
  <si>
    <t>rs369398424</t>
  </si>
  <si>
    <t>CTS1085</t>
  </si>
  <si>
    <t>PF4950</t>
  </si>
  <si>
    <t>rs375950406</t>
  </si>
  <si>
    <t>CTS2537</t>
  </si>
  <si>
    <t>PF4961</t>
  </si>
  <si>
    <t>rs375183085</t>
  </si>
  <si>
    <t>CTS2618</t>
  </si>
  <si>
    <t>rs1011954</t>
  </si>
  <si>
    <t>CTS3816</t>
  </si>
  <si>
    <t>PF4963</t>
  </si>
  <si>
    <t>rs376262024</t>
  </si>
  <si>
    <t>CTS4195</t>
  </si>
  <si>
    <t>PF4964</t>
  </si>
  <si>
    <t>rs374124003</t>
  </si>
  <si>
    <t>CTS4360</t>
  </si>
  <si>
    <t>PF4965</t>
  </si>
  <si>
    <t>rs368711690</t>
  </si>
  <si>
    <t>CTS4540</t>
  </si>
  <si>
    <t>PF4966</t>
  </si>
  <si>
    <t>rs371808398</t>
  </si>
  <si>
    <t>CTS4699</t>
  </si>
  <si>
    <t>PF4909</t>
  </si>
  <si>
    <t>rs371170183</t>
  </si>
  <si>
    <t>CTS5066</t>
  </si>
  <si>
    <t>rs372974522</t>
  </si>
  <si>
    <t>CTS5461</t>
  </si>
  <si>
    <t>PF4911</t>
  </si>
  <si>
    <t>rs375809974</t>
  </si>
  <si>
    <t>CTS5482</t>
  </si>
  <si>
    <t>PF4968</t>
  </si>
  <si>
    <t>rs367824569</t>
  </si>
  <si>
    <t>CTS5867</t>
  </si>
  <si>
    <t>PF4969</t>
  </si>
  <si>
    <t>rs375045639</t>
  </si>
  <si>
    <t>CTS6660</t>
  </si>
  <si>
    <t>PF4971</t>
  </si>
  <si>
    <t>rs372719202</t>
  </si>
  <si>
    <t>CTS6586</t>
  </si>
  <si>
    <t>PF4970</t>
  </si>
  <si>
    <t>rs373216610</t>
  </si>
  <si>
    <t>CTS8265</t>
  </si>
  <si>
    <t>PF4974</t>
  </si>
  <si>
    <t>rs778639472</t>
  </si>
  <si>
    <t>rs371450221</t>
  </si>
  <si>
    <t>CTS9538</t>
  </si>
  <si>
    <t>PF4919</t>
  </si>
  <si>
    <t>rs369529929</t>
  </si>
  <si>
    <t>CTS9781</t>
  </si>
  <si>
    <t>PF4978</t>
  </si>
  <si>
    <t>rs375841448</t>
  </si>
  <si>
    <t>CTS10036</t>
  </si>
  <si>
    <t>rs372666642</t>
  </si>
  <si>
    <t>CTS10134</t>
  </si>
  <si>
    <t>PF4980</t>
  </si>
  <si>
    <t>rs377067113</t>
  </si>
  <si>
    <t>CTS10551</t>
  </si>
  <si>
    <t>PF4981</t>
  </si>
  <si>
    <t>rs368171670</t>
  </si>
  <si>
    <t>CTS11094</t>
  </si>
  <si>
    <t>rs374219496</t>
  </si>
  <si>
    <t>CTS12014</t>
  </si>
  <si>
    <t>rs377201553</t>
  </si>
  <si>
    <t>CTS12015</t>
  </si>
  <si>
    <t>rs370717694</t>
  </si>
  <si>
    <t>F841</t>
  </si>
  <si>
    <t>PF4948</t>
  </si>
  <si>
    <t>rs371754067</t>
  </si>
  <si>
    <t>F2078</t>
  </si>
  <si>
    <t>PF4967</t>
  </si>
  <si>
    <t>rs371276227</t>
  </si>
  <si>
    <t>F2418</t>
  </si>
  <si>
    <t>PF4972</t>
  </si>
  <si>
    <t>rs370769180</t>
  </si>
  <si>
    <t>F2672</t>
  </si>
  <si>
    <t>PF4975</t>
  </si>
  <si>
    <t>rs369958268</t>
  </si>
  <si>
    <t>F4095</t>
  </si>
  <si>
    <t>PF4897</t>
  </si>
  <si>
    <t>rs368302892</t>
  </si>
  <si>
    <t>F4100</t>
  </si>
  <si>
    <t>PF4956</t>
  </si>
  <si>
    <t>rs373378951</t>
  </si>
  <si>
    <t>F4106</t>
  </si>
  <si>
    <t>PF4958</t>
  </si>
  <si>
    <t>rs377172844</t>
  </si>
  <si>
    <t>F4221</t>
  </si>
  <si>
    <t>rs373657023</t>
  </si>
  <si>
    <t>F4259</t>
  </si>
  <si>
    <t>PF4976</t>
  </si>
  <si>
    <t>rs372561206</t>
  </si>
  <si>
    <t>F4266</t>
  </si>
  <si>
    <t>PF4918</t>
  </si>
  <si>
    <t>rs372058403</t>
  </si>
  <si>
    <t>F4334</t>
  </si>
  <si>
    <t>PF4990</t>
  </si>
  <si>
    <t>rs376369250</t>
  </si>
  <si>
    <t>FGC2793</t>
  </si>
  <si>
    <t>Z7759</t>
  </si>
  <si>
    <t>rs369002164</t>
  </si>
  <si>
    <t>L152</t>
  </si>
  <si>
    <t>rs2690775</t>
  </si>
  <si>
    <t>L212</t>
  </si>
  <si>
    <t>PF4988</t>
  </si>
  <si>
    <t>rs374438258</t>
  </si>
  <si>
    <t>L505</t>
  </si>
  <si>
    <t>PF4987</t>
  </si>
  <si>
    <t>rs3958589</t>
  </si>
  <si>
    <t>L532</t>
  </si>
  <si>
    <t>rs374466289</t>
  </si>
  <si>
    <t>L559</t>
  </si>
  <si>
    <t>PF4986</t>
  </si>
  <si>
    <t>rs373707621</t>
  </si>
  <si>
    <t>PF4896</t>
  </si>
  <si>
    <t>rs368085878</t>
  </si>
  <si>
    <t>PF4927</t>
  </si>
  <si>
    <t>rs372309642</t>
  </si>
  <si>
    <t>PF4929</t>
  </si>
  <si>
    <t>rs371841426</t>
  </si>
  <si>
    <t>PF4952</t>
  </si>
  <si>
    <t>rs377032027</t>
  </si>
  <si>
    <t>PF4953</t>
  </si>
  <si>
    <t>rs377707836</t>
  </si>
  <si>
    <t>PF4955</t>
  </si>
  <si>
    <t>rs369929152</t>
  </si>
  <si>
    <t>PF4982</t>
  </si>
  <si>
    <t>rs376014000</t>
  </si>
  <si>
    <t>PF4983</t>
  </si>
  <si>
    <t>rs374808645</t>
  </si>
  <si>
    <t>PF4985</t>
  </si>
  <si>
    <t>rs367725944</t>
  </si>
  <si>
    <t>CTS1328</t>
  </si>
  <si>
    <t>PF4951; Z2134</t>
  </si>
  <si>
    <t>rs376759881</t>
  </si>
  <si>
    <t>PF4951</t>
  </si>
  <si>
    <t>CTS1328; Z2134</t>
  </si>
  <si>
    <t>Z2134</t>
  </si>
  <si>
    <t>CTS1328; PF4951</t>
  </si>
  <si>
    <t>CTS8547</t>
  </si>
  <si>
    <t>PF4917</t>
  </si>
  <si>
    <t>rs374150221</t>
  </si>
  <si>
    <t>CTS9856</t>
  </si>
  <si>
    <t>PF4921</t>
  </si>
  <si>
    <t>rs761942135</t>
  </si>
  <si>
    <t>CTS9980</t>
  </si>
  <si>
    <t>PF4923</t>
  </si>
  <si>
    <t>rs369862607</t>
  </si>
  <si>
    <t>F1183</t>
  </si>
  <si>
    <t>PF4957</t>
  </si>
  <si>
    <t>rs374913010</t>
  </si>
  <si>
    <t>F1810</t>
  </si>
  <si>
    <t>PF4962</t>
  </si>
  <si>
    <t>rs371356712</t>
  </si>
  <si>
    <t>FGC2795</t>
  </si>
  <si>
    <t>Z7760</t>
  </si>
  <si>
    <t>rs369033355</t>
  </si>
  <si>
    <t>PF4899</t>
  </si>
  <si>
    <t>rs377558440</t>
  </si>
  <si>
    <t>PF4928</t>
  </si>
  <si>
    <t>rs370918554</t>
  </si>
  <si>
    <t>PF4979</t>
  </si>
  <si>
    <t>rs371850059</t>
  </si>
  <si>
    <t>PF4610</t>
  </si>
  <si>
    <t>rs749849910</t>
  </si>
  <si>
    <t>CTS758</t>
  </si>
  <si>
    <t>PF5085</t>
  </si>
  <si>
    <t>rs373355349</t>
  </si>
  <si>
    <t>CTS4403</t>
  </si>
  <si>
    <t>PF5096</t>
  </si>
  <si>
    <t>rs377435535</t>
  </si>
  <si>
    <t>CTS7683</t>
  </si>
  <si>
    <t>PF5100</t>
  </si>
  <si>
    <t>rs35874196</t>
  </si>
  <si>
    <t>CTS10265</t>
  </si>
  <si>
    <t>PF5103</t>
  </si>
  <si>
    <t>rs370735923</t>
  </si>
  <si>
    <t>CTS11251</t>
  </si>
  <si>
    <t>PF5112</t>
  </si>
  <si>
    <t>rs375749910</t>
  </si>
  <si>
    <t>F1227</t>
  </si>
  <si>
    <t>rs369565503</t>
  </si>
  <si>
    <t>PF5091</t>
  </si>
  <si>
    <t>PF5104</t>
  </si>
  <si>
    <t>rs369852836</t>
  </si>
  <si>
    <t>PF5105</t>
  </si>
  <si>
    <t>rs369725348</t>
  </si>
  <si>
    <t>PF5107</t>
  </si>
  <si>
    <t>rs367993700</t>
  </si>
  <si>
    <t>F4326</t>
  </si>
  <si>
    <t>L27; PF5111; S396</t>
  </si>
  <si>
    <t>rs34126399</t>
  </si>
  <si>
    <t>L27</t>
  </si>
  <si>
    <t>F4326; PF5111; S396</t>
  </si>
  <si>
    <t>PF5111</t>
  </si>
  <si>
    <t>F4326; L27; S396</t>
  </si>
  <si>
    <t>S396</t>
  </si>
  <si>
    <t>F4326; L27; PF5111</t>
  </si>
  <si>
    <t>CTS2192</t>
  </si>
  <si>
    <t>PF5094</t>
  </si>
  <si>
    <t>rs376813761</t>
  </si>
  <si>
    <t>CTS3547</t>
  </si>
  <si>
    <t>rs374750806</t>
  </si>
  <si>
    <t>CTS7490</t>
  </si>
  <si>
    <t>PF5099</t>
  </si>
  <si>
    <t>rs374839480</t>
  </si>
  <si>
    <t>CTS9718</t>
  </si>
  <si>
    <t>PF5102</t>
  </si>
  <si>
    <t>rs371663676</t>
  </si>
  <si>
    <t>CTS10711</t>
  </si>
  <si>
    <t>PF5109</t>
  </si>
  <si>
    <t>rs372024990</t>
  </si>
  <si>
    <t>CTS11983</t>
  </si>
  <si>
    <t>PF5114</t>
  </si>
  <si>
    <t>rs371233930</t>
  </si>
  <si>
    <t>FGC2794</t>
  </si>
  <si>
    <t>Z7728; S10814</t>
  </si>
  <si>
    <t>rs369614672</t>
  </si>
  <si>
    <t>S10814</t>
  </si>
  <si>
    <t>FGC2794; Z7728</t>
  </si>
  <si>
    <t>Z7728</t>
  </si>
  <si>
    <t>FGC2794; S10814</t>
  </si>
  <si>
    <t>L26</t>
  </si>
  <si>
    <t>Page55; PF5110; S57</t>
  </si>
  <si>
    <t>rs34459399</t>
  </si>
  <si>
    <t>Page55</t>
  </si>
  <si>
    <t>L26; PF5110; S57</t>
  </si>
  <si>
    <t>PF5110</t>
  </si>
  <si>
    <t>L26; Page55; S57</t>
  </si>
  <si>
    <t>S57</t>
  </si>
  <si>
    <t>L26; Page55; PF5110</t>
  </si>
  <si>
    <t>PF4901</t>
  </si>
  <si>
    <t>rs369805174</t>
  </si>
  <si>
    <t>PF5089</t>
  </si>
  <si>
    <t>Z1849</t>
  </si>
  <si>
    <t>rs374148875</t>
  </si>
  <si>
    <t>PF5106</t>
  </si>
  <si>
    <t>rs373381596</t>
  </si>
  <si>
    <t>CTS1063</t>
  </si>
  <si>
    <t>PF5086</t>
  </si>
  <si>
    <t>rs369502359</t>
  </si>
  <si>
    <t>CTS3546</t>
  </si>
  <si>
    <t>rs370362676</t>
  </si>
  <si>
    <t>CTS4186</t>
  </si>
  <si>
    <t>PF5095</t>
  </si>
  <si>
    <t>rs377540965</t>
  </si>
  <si>
    <t>CTS5575</t>
  </si>
  <si>
    <t>PF5098</t>
  </si>
  <si>
    <t>rs370786313</t>
  </si>
  <si>
    <t>CTS11639</t>
  </si>
  <si>
    <t>PF5113</t>
  </si>
  <si>
    <t>rs370621489</t>
  </si>
  <si>
    <t>FGC2798</t>
  </si>
  <si>
    <t>Z7729</t>
  </si>
  <si>
    <t>rs1439725277</t>
  </si>
  <si>
    <t>PF4984</t>
  </si>
  <si>
    <t>rs372961291</t>
  </si>
  <si>
    <t>PF5090</t>
  </si>
  <si>
    <t>rs374924283</t>
  </si>
  <si>
    <t>PF5115</t>
  </si>
  <si>
    <t>rs371396592</t>
  </si>
  <si>
    <t>PF5088</t>
  </si>
  <si>
    <t>rs376644064</t>
  </si>
  <si>
    <t>CTS1230</t>
  </si>
  <si>
    <t>PF5087</t>
  </si>
  <si>
    <t>rs371285248</t>
  </si>
  <si>
    <t>PF5125</t>
  </si>
  <si>
    <t>rs374844983</t>
  </si>
  <si>
    <t>PF5116^^</t>
  </si>
  <si>
    <t>rs374310420</t>
  </si>
  <si>
    <t>rs758720424</t>
  </si>
  <si>
    <t>Z2229</t>
  </si>
  <si>
    <t>rs376384057</t>
  </si>
  <si>
    <t>PF5119</t>
  </si>
  <si>
    <t>rs368603415</t>
  </si>
  <si>
    <t>PF5122</t>
  </si>
  <si>
    <t>rs371946929</t>
  </si>
  <si>
    <t>PF5123</t>
  </si>
  <si>
    <t>rs374160235</t>
  </si>
  <si>
    <t>PF5124</t>
  </si>
  <si>
    <t>rs868351886</t>
  </si>
  <si>
    <t>PF5127</t>
  </si>
  <si>
    <t>rs374193632</t>
  </si>
  <si>
    <t>PF5134</t>
  </si>
  <si>
    <t>rs368713949</t>
  </si>
  <si>
    <t>PF5138</t>
  </si>
  <si>
    <t>rs375312876</t>
  </si>
  <si>
    <t>Z2227</t>
  </si>
  <si>
    <t>rs367734743</t>
  </si>
  <si>
    <t>Z2228</t>
  </si>
  <si>
    <t>rs377466108</t>
  </si>
  <si>
    <t>rs757895408</t>
  </si>
  <si>
    <t>FGC15779</t>
  </si>
  <si>
    <t>Y13341, Z27937</t>
  </si>
  <si>
    <t>Y13341</t>
  </si>
  <si>
    <t>FGC15779; Z27937</t>
  </si>
  <si>
    <t>Z27937</t>
  </si>
  <si>
    <t>FGC15779; Y13341</t>
  </si>
  <si>
    <t>rs780410624</t>
  </si>
  <si>
    <t>rs772688216</t>
  </si>
  <si>
    <t>rs540813037</t>
  </si>
  <si>
    <t>rs990839872</t>
  </si>
  <si>
    <t>rs1024207204</t>
  </si>
  <si>
    <t>rs761106951</t>
  </si>
  <si>
    <t>Y8522</t>
  </si>
  <si>
    <t>rs867266919</t>
  </si>
  <si>
    <t>BY32930</t>
  </si>
  <si>
    <t>Y7708.2</t>
  </si>
  <si>
    <t>Z29414.2</t>
  </si>
  <si>
    <t>Z39478</t>
  </si>
  <si>
    <t>rs994825534</t>
  </si>
  <si>
    <t>Z39474</t>
  </si>
  <si>
    <t>rs966085800</t>
  </si>
  <si>
    <t>Z21257</t>
  </si>
  <si>
    <t>rs891192378</t>
  </si>
  <si>
    <t>rs979091221</t>
  </si>
  <si>
    <t>rs978850867</t>
  </si>
  <si>
    <t>P81</t>
  </si>
  <si>
    <t>PF4275</t>
  </si>
  <si>
    <t>rs796958915</t>
  </si>
  <si>
    <t>M47</t>
  </si>
  <si>
    <t>rs370646424</t>
  </si>
  <si>
    <t>L290</t>
  </si>
  <si>
    <t>rs776529568</t>
  </si>
  <si>
    <t>M322</t>
  </si>
  <si>
    <t>rs13447376</t>
  </si>
  <si>
    <t>rs765951361</t>
  </si>
  <si>
    <t>rs754694523</t>
  </si>
  <si>
    <t>rs868805280</t>
  </si>
  <si>
    <t>rs764473316</t>
  </si>
  <si>
    <t>rs779516722</t>
  </si>
  <si>
    <t>rs781714949</t>
  </si>
  <si>
    <t>CTS4800</t>
  </si>
  <si>
    <t>rs375425280</t>
  </si>
  <si>
    <t>CTS1382</t>
  </si>
  <si>
    <t>PF5117; Z1846</t>
  </si>
  <si>
    <t>rs368006030</t>
  </si>
  <si>
    <t>PF5117</t>
  </si>
  <si>
    <t>CTS1382; Z1846</t>
  </si>
  <si>
    <t>Z1846</t>
  </si>
  <si>
    <t>CTS1382; PF5117</t>
  </si>
  <si>
    <t>L558</t>
  </si>
  <si>
    <t>PF7408</t>
  </si>
  <si>
    <t>Z2231</t>
  </si>
  <si>
    <t>rs373700707</t>
  </si>
  <si>
    <t>Z8091</t>
  </si>
  <si>
    <t>rs866986785</t>
  </si>
  <si>
    <t>S23154</t>
  </si>
  <si>
    <t>Z17196</t>
  </si>
  <si>
    <t>rs778104764</t>
  </si>
  <si>
    <t>FGC17664</t>
  </si>
  <si>
    <t>Y5035; Z17187</t>
  </si>
  <si>
    <t>rs768199980</t>
  </si>
  <si>
    <t>Y5035</t>
  </si>
  <si>
    <t>FGC17664; Z17187</t>
  </si>
  <si>
    <t>Z17187</t>
  </si>
  <si>
    <t>FGC17664; Y5035</t>
  </si>
  <si>
    <t>FGC17667</t>
  </si>
  <si>
    <t>Y5014; Z17199</t>
  </si>
  <si>
    <t>Y5014</t>
  </si>
  <si>
    <t>FGC17667; Z17199</t>
  </si>
  <si>
    <t>Z17199</t>
  </si>
  <si>
    <t>FGC17667; Y5014</t>
  </si>
  <si>
    <t>S7629</t>
  </si>
  <si>
    <t>V4576; Z17179</t>
  </si>
  <si>
    <t>rs753965222</t>
  </si>
  <si>
    <t>V4576</t>
  </si>
  <si>
    <t>S7629; Z17179</t>
  </si>
  <si>
    <t>Z17179</t>
  </si>
  <si>
    <t>Z17179; V4576</t>
  </si>
  <si>
    <t>S11868</t>
  </si>
  <si>
    <t>V4938; Z17181</t>
  </si>
  <si>
    <t>rs748242839</t>
  </si>
  <si>
    <t>V4938</t>
  </si>
  <si>
    <t>S11868; Z17181</t>
  </si>
  <si>
    <t>Z17181</t>
  </si>
  <si>
    <t>S11868; V4938</t>
  </si>
  <si>
    <t>FGC17772</t>
  </si>
  <si>
    <t>Y8371</t>
  </si>
  <si>
    <t>FGC30599</t>
  </si>
  <si>
    <t>M319</t>
  </si>
  <si>
    <t>rs13447373</t>
  </si>
  <si>
    <t>FGC17665</t>
  </si>
  <si>
    <t>Y5011; Z17189</t>
  </si>
  <si>
    <t>rs753782420</t>
  </si>
  <si>
    <t>Y5011</t>
  </si>
  <si>
    <t>FGC17665; Z17189</t>
  </si>
  <si>
    <t>Z17189</t>
  </si>
  <si>
    <t>FGC17655; Y5011</t>
  </si>
  <si>
    <t>S15367</t>
  </si>
  <si>
    <t>Z17186</t>
  </si>
  <si>
    <t>rs781623645</t>
  </si>
  <si>
    <t>S17661</t>
  </si>
  <si>
    <t>V5821; Z17188</t>
  </si>
  <si>
    <t>rs755407425</t>
  </si>
  <si>
    <t>V5821</t>
  </si>
  <si>
    <t>S17661; Z17188</t>
  </si>
  <si>
    <t>Z17188</t>
  </si>
  <si>
    <t>S17661; V5821</t>
  </si>
  <si>
    <t>S18224</t>
  </si>
  <si>
    <t>V6070; Z17190</t>
  </si>
  <si>
    <t>rs773976026</t>
  </si>
  <si>
    <t>V6070</t>
  </si>
  <si>
    <t>S18224; Z17190</t>
  </si>
  <si>
    <t>Z17190</t>
  </si>
  <si>
    <t>S18224; V6070</t>
  </si>
  <si>
    <t>V4801</t>
  </si>
  <si>
    <t>Z2253</t>
  </si>
  <si>
    <t>rs751836413</t>
  </si>
  <si>
    <t>V4844</t>
  </si>
  <si>
    <t>Z2254</t>
  </si>
  <si>
    <t>rs747400912</t>
  </si>
  <si>
    <t>V5710</t>
  </si>
  <si>
    <t>Z2256</t>
  </si>
  <si>
    <t>rs752450217</t>
  </si>
  <si>
    <t>V7820</t>
  </si>
  <si>
    <t>Z2258</t>
  </si>
  <si>
    <t>rs766444567</t>
  </si>
  <si>
    <t>Z2259</t>
  </si>
  <si>
    <t>rs771578128</t>
  </si>
  <si>
    <t>rs1050874599</t>
  </si>
  <si>
    <t>rs1044330940</t>
  </si>
  <si>
    <t>rs925176450</t>
  </si>
  <si>
    <t>rs773974194</t>
  </si>
  <si>
    <t>FGC17679</t>
  </si>
  <si>
    <t>Y5009; Z17214</t>
  </si>
  <si>
    <t>rs762129236</t>
  </si>
  <si>
    <t>Y5009</t>
  </si>
  <si>
    <t>FGC17679; Z17214</t>
  </si>
  <si>
    <t>Z17214</t>
  </si>
  <si>
    <t>FGC17679; Y5009</t>
  </si>
  <si>
    <t>rs758573353</t>
  </si>
  <si>
    <t>FGC17716</t>
  </si>
  <si>
    <t>Y5177</t>
  </si>
  <si>
    <t>rs1017772958</t>
  </si>
  <si>
    <t>FGC17726</t>
  </si>
  <si>
    <t>Y5178</t>
  </si>
  <si>
    <t>rs931580148</t>
  </si>
  <si>
    <t>V4870</t>
  </si>
  <si>
    <t>Z39482</t>
  </si>
  <si>
    <t>rs1264473747</t>
  </si>
  <si>
    <t>V4600</t>
  </si>
  <si>
    <t>Y23998</t>
  </si>
  <si>
    <t>rs1312198410</t>
  </si>
  <si>
    <t>rs749629372</t>
  </si>
  <si>
    <t>rs769911202</t>
  </si>
  <si>
    <t>rs775731340</t>
  </si>
  <si>
    <t>M67</t>
  </si>
  <si>
    <t>PF5137; S51</t>
  </si>
  <si>
    <t>rs2032628</t>
  </si>
  <si>
    <t>PF5137</t>
  </si>
  <si>
    <t>M67; S51</t>
  </si>
  <si>
    <t>S51</t>
  </si>
  <si>
    <t>M67; PF5137</t>
  </si>
  <si>
    <t>CTS5535</t>
  </si>
  <si>
    <t>PF5129; Z2241</t>
  </si>
  <si>
    <t>rs370918097</t>
  </si>
  <si>
    <t>PF5129</t>
  </si>
  <si>
    <t>CTS5535; Z2241</t>
  </si>
  <si>
    <t>Z2241</t>
  </si>
  <si>
    <t>CTS5535; PF5129</t>
  </si>
  <si>
    <t>CTS6372</t>
  </si>
  <si>
    <t>PF5130</t>
  </si>
  <si>
    <t>rs376160892</t>
  </si>
  <si>
    <t>FGC3285</t>
  </si>
  <si>
    <t>S23034; Z7562</t>
  </si>
  <si>
    <t>rs369420276</t>
  </si>
  <si>
    <t>S23034</t>
  </si>
  <si>
    <t>FGC3285; Z7562</t>
  </si>
  <si>
    <t>Z7562</t>
  </si>
  <si>
    <t>FGC3285; S23034</t>
  </si>
  <si>
    <t>PF5120</t>
  </si>
  <si>
    <t>Z2240</t>
  </si>
  <si>
    <t>rs374638681</t>
  </si>
  <si>
    <t>PF5126</t>
  </si>
  <si>
    <t>Z1847</t>
  </si>
  <si>
    <t>rs375287618</t>
  </si>
  <si>
    <t>PF5132</t>
  </si>
  <si>
    <t>rs770716658</t>
  </si>
  <si>
    <t>PF7407</t>
  </si>
  <si>
    <t>PF5121</t>
  </si>
  <si>
    <t>Z500</t>
  </si>
  <si>
    <t>rs761652185</t>
  </si>
  <si>
    <t>Z7635</t>
  </si>
  <si>
    <t>rs761059386</t>
  </si>
  <si>
    <t>M92</t>
  </si>
  <si>
    <t>rs2032648</t>
  </si>
  <si>
    <t>CTS4230</t>
  </si>
  <si>
    <t>PF5151</t>
  </si>
  <si>
    <t>rs748148220</t>
  </si>
  <si>
    <t>M260</t>
  </si>
  <si>
    <t>Page14</t>
  </si>
  <si>
    <t>rs9341303</t>
  </si>
  <si>
    <t>PF5153</t>
  </si>
  <si>
    <t>Z503</t>
  </si>
  <si>
    <t>rs753977103</t>
  </si>
  <si>
    <t>PF5158</t>
  </si>
  <si>
    <t>rs771454491</t>
  </si>
  <si>
    <t>Z7636</t>
  </si>
  <si>
    <t>rs777344700</t>
  </si>
  <si>
    <t>rs749297971</t>
  </si>
  <si>
    <t>S16400</t>
  </si>
  <si>
    <t>Z28610</t>
  </si>
  <si>
    <t>rs888203364</t>
  </si>
  <si>
    <t>CTS2906</t>
  </si>
  <si>
    <t>PF7397</t>
  </si>
  <si>
    <t>rs780485040</t>
  </si>
  <si>
    <t>CTS4132</t>
  </si>
  <si>
    <t>PF7402; Z28604</t>
  </si>
  <si>
    <t>rs200431840</t>
  </si>
  <si>
    <t>PF7402</t>
  </si>
  <si>
    <t>CTS4132; Z28604</t>
  </si>
  <si>
    <t>Z28604</t>
  </si>
  <si>
    <t>CTS4132; PF7402</t>
  </si>
  <si>
    <t>FGC20250</t>
  </si>
  <si>
    <t>Y7536; Z28608</t>
  </si>
  <si>
    <t>rs973767206</t>
  </si>
  <si>
    <t>Y7536</t>
  </si>
  <si>
    <t>FGC20250; Z28608</t>
  </si>
  <si>
    <t>Z28608</t>
  </si>
  <si>
    <t>FGC20250; Y7536</t>
  </si>
  <si>
    <t>PF7404</t>
  </si>
  <si>
    <t>rs760582891</t>
  </si>
  <si>
    <t>rs757479348</t>
  </si>
  <si>
    <t>rs941921891</t>
  </si>
  <si>
    <t>rs755860734</t>
  </si>
  <si>
    <t>rs772917324</t>
  </si>
  <si>
    <t>rs778527564</t>
  </si>
  <si>
    <t>Y20051</t>
  </si>
  <si>
    <t>rs1026581326</t>
  </si>
  <si>
    <t>FGC45440</t>
  </si>
  <si>
    <t>Y20492</t>
  </si>
  <si>
    <t>rs993839769</t>
  </si>
  <si>
    <t>L560^^</t>
  </si>
  <si>
    <t>rs886500884</t>
  </si>
  <si>
    <t>L556</t>
  </si>
  <si>
    <t>Y16176</t>
  </si>
  <si>
    <t>FGC45445</t>
  </si>
  <si>
    <t>Z40268</t>
  </si>
  <si>
    <t>rs953995112</t>
  </si>
  <si>
    <t>rs939950475</t>
  </si>
  <si>
    <t>FGC45441</t>
  </si>
  <si>
    <t>Y20339</t>
  </si>
  <si>
    <t>FGC20423</t>
  </si>
  <si>
    <t>Y11782</t>
  </si>
  <si>
    <t>rs1039788926</t>
  </si>
  <si>
    <t>FGC36571</t>
  </si>
  <si>
    <t>Y7573</t>
  </si>
  <si>
    <t>rs964222836</t>
  </si>
  <si>
    <t>FGC20419</t>
  </si>
  <si>
    <t>Y13373</t>
  </si>
  <si>
    <t>rs1004314364</t>
  </si>
  <si>
    <t>FGC20425</t>
  </si>
  <si>
    <t>Y13098</t>
  </si>
  <si>
    <t>rs899158681</t>
  </si>
  <si>
    <t>rs992692581</t>
  </si>
  <si>
    <t>rs1027199535</t>
  </si>
  <si>
    <t>rs922277728</t>
  </si>
  <si>
    <t>rs780799066</t>
  </si>
  <si>
    <t>rs770106909</t>
  </si>
  <si>
    <t>rs761435485</t>
  </si>
  <si>
    <t>rs779130646</t>
  </si>
  <si>
    <t>rs748446647</t>
  </si>
  <si>
    <t>rs868175575</t>
  </si>
  <si>
    <t>FGC75714</t>
  </si>
  <si>
    <t>Y108061</t>
  </si>
  <si>
    <t>rs968845806</t>
  </si>
  <si>
    <t>BY32795</t>
  </si>
  <si>
    <t>Y101496</t>
  </si>
  <si>
    <t>BY32798</t>
  </si>
  <si>
    <t>Y104685</t>
  </si>
  <si>
    <t>rs936821150</t>
  </si>
  <si>
    <t>rs962026989</t>
  </si>
  <si>
    <t>rs964535920</t>
  </si>
  <si>
    <t>rs897917025</t>
  </si>
  <si>
    <t>FGC7860</t>
  </si>
  <si>
    <t>Y4036</t>
  </si>
  <si>
    <t>rs375567352</t>
  </si>
  <si>
    <t>FGC7861</t>
  </si>
  <si>
    <t>Z467</t>
  </si>
  <si>
    <t>rs369454960</t>
  </si>
  <si>
    <t>FGC3318</t>
  </si>
  <si>
    <t>Z7585</t>
  </si>
  <si>
    <t>rs377535927</t>
  </si>
  <si>
    <t>rs369394068</t>
  </si>
  <si>
    <t>rs999880960</t>
  </si>
  <si>
    <t>rs372839714</t>
  </si>
  <si>
    <t>BY174215</t>
  </si>
  <si>
    <t>Y154938</t>
  </si>
  <si>
    <t>rs374311591</t>
  </si>
  <si>
    <t>rs1051553516</t>
  </si>
  <si>
    <t>rs1054895412</t>
  </si>
  <si>
    <t>rs1022535179</t>
  </si>
  <si>
    <t>rs763210398</t>
  </si>
  <si>
    <t>rs747960724</t>
  </si>
  <si>
    <t>rs1384322930</t>
  </si>
  <si>
    <t>FGC3291</t>
  </si>
  <si>
    <t>Z447</t>
  </si>
  <si>
    <t>rs757647020</t>
  </si>
  <si>
    <t>CTS9425</t>
  </si>
  <si>
    <t>rs771070542</t>
  </si>
  <si>
    <t>FGC3311</t>
  </si>
  <si>
    <t>Z455</t>
  </si>
  <si>
    <t>rs752655862</t>
  </si>
  <si>
    <t>Z458</t>
  </si>
  <si>
    <t>rs773574717</t>
  </si>
  <si>
    <t>L210</t>
  </si>
  <si>
    <t>rs769435973</t>
  </si>
  <si>
    <t>L227</t>
  </si>
  <si>
    <t>rs761635883</t>
  </si>
  <si>
    <t>rs918828315</t>
  </si>
  <si>
    <t>rs766314482</t>
  </si>
  <si>
    <t>rs757663038</t>
  </si>
  <si>
    <t>Y15224</t>
  </si>
  <si>
    <t>Z30376</t>
  </si>
  <si>
    <t>rs1008582174</t>
  </si>
  <si>
    <t>rs1045922500</t>
  </si>
  <si>
    <t>rs926331479</t>
  </si>
  <si>
    <t>Y16180</t>
  </si>
  <si>
    <t>Z36098</t>
  </si>
  <si>
    <t>rs898745245</t>
  </si>
  <si>
    <t>rs976492019</t>
  </si>
  <si>
    <t>rs974331155</t>
  </si>
  <si>
    <t>rs938690107</t>
  </si>
  <si>
    <t>rs774144264</t>
  </si>
  <si>
    <t>rs754793389</t>
  </si>
  <si>
    <t>rs761154881</t>
  </si>
  <si>
    <t>rs752348192</t>
  </si>
  <si>
    <t>rs778734571</t>
  </si>
  <si>
    <t>FGC45021</t>
  </si>
  <si>
    <t>Y20512</t>
  </si>
  <si>
    <t>rs1011965038</t>
  </si>
  <si>
    <t>FGC45085</t>
  </si>
  <si>
    <t>Y20532</t>
  </si>
  <si>
    <t>FGC45075</t>
  </si>
  <si>
    <t>Y20537</t>
  </si>
  <si>
    <t>rs76752740</t>
  </si>
  <si>
    <t>rs921212117</t>
  </si>
  <si>
    <t>rs1489243979</t>
  </si>
  <si>
    <t>rs1024887871</t>
  </si>
  <si>
    <t>BY178308</t>
  </si>
  <si>
    <t>Y158946</t>
  </si>
  <si>
    <t>rs113650789</t>
  </si>
  <si>
    <t>rs758341119</t>
  </si>
  <si>
    <t>rs765622982</t>
  </si>
  <si>
    <t>FGC43940</t>
  </si>
  <si>
    <t>Y20305</t>
  </si>
  <si>
    <t>rs779682420</t>
  </si>
  <si>
    <t>rs757350776</t>
  </si>
  <si>
    <t>rs1020074548</t>
  </si>
  <si>
    <t>rs1018581640</t>
  </si>
  <si>
    <t>rs1001587986</t>
  </si>
  <si>
    <t>rs1009497031</t>
  </si>
  <si>
    <t>BY160281</t>
  </si>
  <si>
    <t>Y152378</t>
  </si>
  <si>
    <t>rs1017920307</t>
  </si>
  <si>
    <t>BY179212</t>
  </si>
  <si>
    <t>Y157260</t>
  </si>
  <si>
    <t>rs536540556</t>
  </si>
  <si>
    <t>BY178813</t>
  </si>
  <si>
    <t>Y157762</t>
  </si>
  <si>
    <t>AM01359</t>
  </si>
  <si>
    <t>CTS47; PF5159; Z2220</t>
  </si>
  <si>
    <t>rs766562747</t>
  </si>
  <si>
    <t>CTS47</t>
  </si>
  <si>
    <t>AM01359; PF5159; Z2220</t>
  </si>
  <si>
    <t>PF5159</t>
  </si>
  <si>
    <t>AM01359; CTS47; Z2220</t>
  </si>
  <si>
    <t>Z2220</t>
  </si>
  <si>
    <t>AM01359; CTS47; PF5159</t>
  </si>
  <si>
    <t>PF5160</t>
  </si>
  <si>
    <t>Z2221</t>
  </si>
  <si>
    <t>rs750809566</t>
  </si>
  <si>
    <t>AM01358</t>
  </si>
  <si>
    <t>AMM342; PF5163; Z2222</t>
  </si>
  <si>
    <t>rs748435117</t>
  </si>
  <si>
    <t>AMM342</t>
  </si>
  <si>
    <t>AM01358; PF5163; Z2222</t>
  </si>
  <si>
    <t>PF5163</t>
  </si>
  <si>
    <t>AM01358; AMM342; Z2222</t>
  </si>
  <si>
    <t>Z2222</t>
  </si>
  <si>
    <t>AM01358; AMM342; PF5163</t>
  </si>
  <si>
    <t>PF5197</t>
  </si>
  <si>
    <t>Z2397</t>
  </si>
  <si>
    <t>rs773467981</t>
  </si>
  <si>
    <t>rs369845972</t>
  </si>
  <si>
    <t>PF5172</t>
  </si>
  <si>
    <t>rs754937953</t>
  </si>
  <si>
    <t>PF5190</t>
  </si>
  <si>
    <t>rs780746836</t>
  </si>
  <si>
    <t>PF5253</t>
  </si>
  <si>
    <t>rs778620205</t>
  </si>
  <si>
    <t>S21554</t>
  </si>
  <si>
    <t>Z7328</t>
  </si>
  <si>
    <t>rs764351332</t>
  </si>
  <si>
    <t>S21544</t>
  </si>
  <si>
    <t>PF5169</t>
  </si>
  <si>
    <t>rs779481976</t>
  </si>
  <si>
    <t>PF5171</t>
  </si>
  <si>
    <t>rs771561645</t>
  </si>
  <si>
    <t>PF5176</t>
  </si>
  <si>
    <t>rs776572417</t>
  </si>
  <si>
    <t>PF5191</t>
  </si>
  <si>
    <t>rs756420374</t>
  </si>
  <si>
    <t>S8965</t>
  </si>
  <si>
    <t>Z7305</t>
  </si>
  <si>
    <t>S13732</t>
  </si>
  <si>
    <t>Z7313</t>
  </si>
  <si>
    <t>FGC16141</t>
  </si>
  <si>
    <t>rs750218413</t>
  </si>
  <si>
    <t>FGC16096</t>
  </si>
  <si>
    <t>rs1019226608</t>
  </si>
  <si>
    <t>FGC16152</t>
  </si>
  <si>
    <t>S15439</t>
  </si>
  <si>
    <t>S17366</t>
  </si>
  <si>
    <t>rs1048970041</t>
  </si>
  <si>
    <t>Z32172</t>
  </si>
  <si>
    <t>rs932633834</t>
  </si>
  <si>
    <t>Z32176</t>
  </si>
  <si>
    <t>rs934781152</t>
  </si>
  <si>
    <t>L88.2</t>
  </si>
  <si>
    <t>rs3966071</t>
  </si>
  <si>
    <t>L198</t>
  </si>
  <si>
    <t>rs552845224</t>
  </si>
  <si>
    <t>S24735</t>
  </si>
  <si>
    <t>S19372</t>
  </si>
  <si>
    <t>Y35050</t>
  </si>
  <si>
    <t>Y68336</t>
  </si>
  <si>
    <t>Y78884</t>
  </si>
  <si>
    <t>15467906..15467910</t>
  </si>
  <si>
    <t>13356026..13356030</t>
  </si>
  <si>
    <t>AAAAG-&gt;del</t>
  </si>
  <si>
    <t>FGC16143</t>
  </si>
  <si>
    <t>Y14400</t>
  </si>
  <si>
    <t>rs1008803429</t>
  </si>
  <si>
    <t>FGC16080</t>
  </si>
  <si>
    <t>Y14375</t>
  </si>
  <si>
    <t>rs754415248</t>
  </si>
  <si>
    <t>FGC16129</t>
  </si>
  <si>
    <t>Y14395</t>
  </si>
  <si>
    <t>rs954571009</t>
  </si>
  <si>
    <t>FGC16140</t>
  </si>
  <si>
    <t>Y14581</t>
  </si>
  <si>
    <t>rs762748887</t>
  </si>
  <si>
    <t>PH4968</t>
  </si>
  <si>
    <t>Y14398; Z32180</t>
  </si>
  <si>
    <t>rs778902624</t>
  </si>
  <si>
    <t>Y14398</t>
  </si>
  <si>
    <t>PH4968; Z32180</t>
  </si>
  <si>
    <t>Z32180</t>
  </si>
  <si>
    <t>PH4968; Y14398</t>
  </si>
  <si>
    <t>PH4970</t>
  </si>
  <si>
    <t>Y14399; Z32181</t>
  </si>
  <si>
    <t>rs772205989</t>
  </si>
  <si>
    <t>Y14399</t>
  </si>
  <si>
    <t>PH4970; Z32181</t>
  </si>
  <si>
    <t>Z32181</t>
  </si>
  <si>
    <t>PH4970; Y14399</t>
  </si>
  <si>
    <t>F4168</t>
  </si>
  <si>
    <t>L24; S286</t>
  </si>
  <si>
    <t>rs35248080</t>
  </si>
  <si>
    <t>L24</t>
  </si>
  <si>
    <t>F4168; S286</t>
  </si>
  <si>
    <t>S286</t>
  </si>
  <si>
    <t>F4168; L24</t>
  </si>
  <si>
    <t>AM00104</t>
  </si>
  <si>
    <t>PF5287; Z401</t>
  </si>
  <si>
    <t>rs756396353</t>
  </si>
  <si>
    <t>PF5287</t>
  </si>
  <si>
    <t>AM00104; Z401</t>
  </si>
  <si>
    <t>Z401</t>
  </si>
  <si>
    <t>AM00104; PF5287</t>
  </si>
  <si>
    <t>AM00106</t>
  </si>
  <si>
    <t>F1723; PF5289</t>
  </si>
  <si>
    <t>rs780007868</t>
  </si>
  <si>
    <t>F1723</t>
  </si>
  <si>
    <t>AM00106; PF5289</t>
  </si>
  <si>
    <t>PF5289</t>
  </si>
  <si>
    <t>AM00106; F1723</t>
  </si>
  <si>
    <t>AM00109</t>
  </si>
  <si>
    <t>PF5291; Z404</t>
  </si>
  <si>
    <t>rs780397726</t>
  </si>
  <si>
    <t>PF5291</t>
  </si>
  <si>
    <t>AM00109; Z404</t>
  </si>
  <si>
    <t>Z404</t>
  </si>
  <si>
    <t>AM00109; PF5291</t>
  </si>
  <si>
    <t>AM00118</t>
  </si>
  <si>
    <t>F1900; PF5296</t>
  </si>
  <si>
    <t>rs755408360</t>
  </si>
  <si>
    <t>F1900</t>
  </si>
  <si>
    <t>AM00118; PF5296</t>
  </si>
  <si>
    <t>PF5296</t>
  </si>
  <si>
    <t>AM00118; F1900</t>
  </si>
  <si>
    <t>AM00136</t>
  </si>
  <si>
    <t>PF5311</t>
  </si>
  <si>
    <t>rs747942914</t>
  </si>
  <si>
    <t>AM00137</t>
  </si>
  <si>
    <t>PF5312; Z422</t>
  </si>
  <si>
    <t>rs760968854</t>
  </si>
  <si>
    <t>PF5312</t>
  </si>
  <si>
    <t>AM00137; Z422</t>
  </si>
  <si>
    <t>Z422</t>
  </si>
  <si>
    <t>AM00137; PF5312</t>
  </si>
  <si>
    <t>AM00138</t>
  </si>
  <si>
    <t>PF5313; Z424</t>
  </si>
  <si>
    <t>rs760472422</t>
  </si>
  <si>
    <t>PF5313</t>
  </si>
  <si>
    <t>AM00138; Z424</t>
  </si>
  <si>
    <t>Z424</t>
  </si>
  <si>
    <t>AM00138; PF5313</t>
  </si>
  <si>
    <t>AM00141</t>
  </si>
  <si>
    <t>PF5314; Z426</t>
  </si>
  <si>
    <t xml:space="preserve">	rs763378363</t>
  </si>
  <si>
    <t>PF5314</t>
  </si>
  <si>
    <t>AM00141, Z426</t>
  </si>
  <si>
    <t>Z426</t>
  </si>
  <si>
    <t>AM00141; PF5314</t>
  </si>
  <si>
    <t>AM00168</t>
  </si>
  <si>
    <t>PF5330</t>
  </si>
  <si>
    <t>rs774746172</t>
  </si>
  <si>
    <t>AM00181</t>
  </si>
  <si>
    <t>PF5339; Z441</t>
  </si>
  <si>
    <t>rs766671346</t>
  </si>
  <si>
    <t>PF5339</t>
  </si>
  <si>
    <t>AM00181; Z441</t>
  </si>
  <si>
    <t>Z441</t>
  </si>
  <si>
    <t>AM00181; PF5339</t>
  </si>
  <si>
    <t>AM00182</t>
  </si>
  <si>
    <t>PF5340; Z442</t>
  </si>
  <si>
    <t>rs953548396</t>
  </si>
  <si>
    <t>PF5340</t>
  </si>
  <si>
    <t>AM00182; Z442</t>
  </si>
  <si>
    <t>Z442</t>
  </si>
  <si>
    <t>AM00182; PF5340</t>
  </si>
  <si>
    <t>AM00189</t>
  </si>
  <si>
    <t>F892; PF5275; Z390</t>
  </si>
  <si>
    <t>rs773754591</t>
  </si>
  <si>
    <t>F892</t>
  </si>
  <si>
    <t>AM00189; PF5275; Z390</t>
  </si>
  <si>
    <t>PF5275</t>
  </si>
  <si>
    <t>AM00189; F892; Z390</t>
  </si>
  <si>
    <t>Z390</t>
  </si>
  <si>
    <t>AM00189; F892; PF5275</t>
  </si>
  <si>
    <t>AM01978</t>
  </si>
  <si>
    <t>PF5317; Z427</t>
  </si>
  <si>
    <t>rs777207733</t>
  </si>
  <si>
    <t>PF5317</t>
  </si>
  <si>
    <t>AM01978; Z427</t>
  </si>
  <si>
    <t>Z427</t>
  </si>
  <si>
    <t>AM01978; PF5317</t>
  </si>
  <si>
    <t>L207.1</t>
  </si>
  <si>
    <t>rs775547676</t>
  </si>
  <si>
    <t>CTS10588</t>
  </si>
  <si>
    <t>PF5324</t>
  </si>
  <si>
    <t>rs1025317127</t>
  </si>
  <si>
    <t>PF5334</t>
  </si>
  <si>
    <t>rs868689477</t>
  </si>
  <si>
    <t>Z396</t>
  </si>
  <si>
    <t>rs775380259</t>
  </si>
  <si>
    <t>AM00103</t>
  </si>
  <si>
    <t>F1683; Z400</t>
  </si>
  <si>
    <t>rs759007544</t>
  </si>
  <si>
    <t>F1683</t>
  </si>
  <si>
    <t>AM00103; Z400</t>
  </si>
  <si>
    <t>Z400</t>
  </si>
  <si>
    <t>AM00103; F1683</t>
  </si>
  <si>
    <t>AM00120</t>
  </si>
  <si>
    <t>F4186; PF5298; Z407</t>
  </si>
  <si>
    <t xml:space="preserve">	rs770921445</t>
  </si>
  <si>
    <t>F4186</t>
  </si>
  <si>
    <t>AM00120; PF5298; Z407</t>
  </si>
  <si>
    <t>PF5298</t>
  </si>
  <si>
    <t>AM00120; F4186; Z407</t>
  </si>
  <si>
    <t>Z407</t>
  </si>
  <si>
    <t>AM00120; F4186; PF5298</t>
  </si>
  <si>
    <t>AM00123</t>
  </si>
  <si>
    <t>CTS4298; PF5300</t>
  </si>
  <si>
    <t>rs754487315</t>
  </si>
  <si>
    <t>CTS4928</t>
  </si>
  <si>
    <t>AM00123; PF5300</t>
  </si>
  <si>
    <t>PF5300</t>
  </si>
  <si>
    <t>AM00123; CTS4298</t>
  </si>
  <si>
    <t>AM00151</t>
  </si>
  <si>
    <t>F2933; PF5321</t>
  </si>
  <si>
    <t>rs777662410</t>
  </si>
  <si>
    <t>F2933</t>
  </si>
  <si>
    <t>AM00151; PF5321</t>
  </si>
  <si>
    <t>PF5321</t>
  </si>
  <si>
    <t>AM00151; F2933</t>
  </si>
  <si>
    <t>AM00172</t>
  </si>
  <si>
    <t>PF5332</t>
  </si>
  <si>
    <t>rs768245210</t>
  </si>
  <si>
    <t>AM00180</t>
  </si>
  <si>
    <t>CTS11298' PF5337</t>
  </si>
  <si>
    <t>rs751269125</t>
  </si>
  <si>
    <t>CTS11298</t>
  </si>
  <si>
    <t>AM00180; PF5337</t>
  </si>
  <si>
    <t>PF5337</t>
  </si>
  <si>
    <t>AM00180; CTS11298</t>
  </si>
  <si>
    <t>F1021</t>
  </si>
  <si>
    <t>PF5279; Z393</t>
  </si>
  <si>
    <t>rs764097979</t>
  </si>
  <si>
    <t>PF5279</t>
  </si>
  <si>
    <t>F1021; Z393</t>
  </si>
  <si>
    <t>Z393</t>
  </si>
  <si>
    <t>F1021; PF5279</t>
  </si>
  <si>
    <t>PF5282</t>
  </si>
  <si>
    <t>rs768260217</t>
  </si>
  <si>
    <t>PF5329</t>
  </si>
  <si>
    <t>rs761988471</t>
  </si>
  <si>
    <t>L25</t>
  </si>
  <si>
    <t>PF5345; S399</t>
  </si>
  <si>
    <t>rs34534058</t>
  </si>
  <si>
    <t>PF5345</t>
  </si>
  <si>
    <t>L25; S399</t>
  </si>
  <si>
    <t>S399</t>
  </si>
  <si>
    <t>L25; PF5345</t>
  </si>
  <si>
    <t>AM00124</t>
  </si>
  <si>
    <t>PF5301</t>
  </si>
  <si>
    <t>rs769702982</t>
  </si>
  <si>
    <t>AM00130</t>
  </si>
  <si>
    <t>CTS6007; PF5306</t>
  </si>
  <si>
    <t xml:space="preserve">	rs765134114</t>
  </si>
  <si>
    <t>CTS6007</t>
  </si>
  <si>
    <t>AM00130; PF5306</t>
  </si>
  <si>
    <t>PF5306</t>
  </si>
  <si>
    <t>AM00130; CTS6007</t>
  </si>
  <si>
    <t>AM00160</t>
  </si>
  <si>
    <t>PF5328; Z436</t>
  </si>
  <si>
    <t xml:space="preserve">	rs781422220</t>
  </si>
  <si>
    <t>PF5328</t>
  </si>
  <si>
    <t>AM00160; Z436</t>
  </si>
  <si>
    <t>Z436</t>
  </si>
  <si>
    <t>AM00160; PF5328</t>
  </si>
  <si>
    <t>AM00176</t>
  </si>
  <si>
    <t>PF5333</t>
  </si>
  <si>
    <t>rs771112923</t>
  </si>
  <si>
    <t>AM00188</t>
  </si>
  <si>
    <t>F848; PF5274; Z388</t>
  </si>
  <si>
    <t>rs753210324</t>
  </si>
  <si>
    <t>F848</t>
  </si>
  <si>
    <t>AM00188; PF5274; Z388</t>
  </si>
  <si>
    <t>PF5274</t>
  </si>
  <si>
    <t>AM00188; F848; Z388</t>
  </si>
  <si>
    <t>Z388</t>
  </si>
  <si>
    <t>AM00188; F848; PF5274</t>
  </si>
  <si>
    <t>F2355</t>
  </si>
  <si>
    <t>PF5309</t>
  </si>
  <si>
    <t>rs770035862</t>
  </si>
  <si>
    <t>PF5283</t>
  </si>
  <si>
    <t>rs775406634</t>
  </si>
  <si>
    <t>PF5336</t>
  </si>
  <si>
    <t>rs763171800</t>
  </si>
  <si>
    <t>PF5341</t>
  </si>
  <si>
    <t>rs778636812</t>
  </si>
  <si>
    <t>F3133.1</t>
  </si>
  <si>
    <t>rs753726026</t>
  </si>
  <si>
    <t>Z7700</t>
  </si>
  <si>
    <t>rs758883033</t>
  </si>
  <si>
    <t>Z7701</t>
  </si>
  <si>
    <t>rs771668193</t>
  </si>
  <si>
    <t>Z7702</t>
  </si>
  <si>
    <t>rs762238023</t>
  </si>
  <si>
    <t>A5360</t>
  </si>
  <si>
    <t>FGC35362; Z32166</t>
  </si>
  <si>
    <t>rs750777059</t>
  </si>
  <si>
    <t>FGC35362</t>
  </si>
  <si>
    <t>A5360; Z32166</t>
  </si>
  <si>
    <t>Z32166</t>
  </si>
  <si>
    <t>A5360; FGC35362</t>
  </si>
  <si>
    <t>FGC35344</t>
  </si>
  <si>
    <t>Y15604; Z32167</t>
  </si>
  <si>
    <t>rs765019406</t>
  </si>
  <si>
    <t>Y15604</t>
  </si>
  <si>
    <t>FGC35344; Z32167</t>
  </si>
  <si>
    <t>Z32167</t>
  </si>
  <si>
    <t>FGC35344; Y15604</t>
  </si>
  <si>
    <t>FGC82203</t>
  </si>
  <si>
    <t>Y15611</t>
  </si>
  <si>
    <t>Z32169</t>
  </si>
  <si>
    <t>rs763274746</t>
  </si>
  <si>
    <t>Z32168</t>
  </si>
  <si>
    <t>rs919771776</t>
  </si>
  <si>
    <t>rs796519662</t>
  </si>
  <si>
    <t>FGC9878</t>
  </si>
  <si>
    <t>Y13535</t>
  </si>
  <si>
    <t>rs779438108</t>
  </si>
  <si>
    <t>FGC9882</t>
  </si>
  <si>
    <t>Y14310</t>
  </si>
  <si>
    <t>rs866445735</t>
  </si>
  <si>
    <t>Z7706</t>
  </si>
  <si>
    <t>SK1382</t>
  </si>
  <si>
    <t>Y14314</t>
  </si>
  <si>
    <t>rs758040260</t>
  </si>
  <si>
    <t>FGC30642</t>
  </si>
  <si>
    <t>Y13969</t>
  </si>
  <si>
    <t>rs777761206</t>
  </si>
  <si>
    <t>FGC30654</t>
  </si>
  <si>
    <t>Y14312</t>
  </si>
  <si>
    <t>rs759234596</t>
  </si>
  <si>
    <t>FGC30637</t>
  </si>
  <si>
    <t>Y14313</t>
  </si>
  <si>
    <t>rs750868878</t>
  </si>
  <si>
    <t>FGC30644</t>
  </si>
  <si>
    <t>Y14315</t>
  </si>
  <si>
    <t>rs774618557</t>
  </si>
  <si>
    <t>FGC30647</t>
  </si>
  <si>
    <t>Y14311</t>
  </si>
  <si>
    <t>rs773325952</t>
  </si>
  <si>
    <t>FGC30670</t>
  </si>
  <si>
    <t>Y14448</t>
  </si>
  <si>
    <t>rs964980242</t>
  </si>
  <si>
    <t>FGC30675</t>
  </si>
  <si>
    <t>Y14316</t>
  </si>
  <si>
    <t>rs1025758595</t>
  </si>
  <si>
    <t>FGC32583</t>
  </si>
  <si>
    <t>Y13971</t>
  </si>
  <si>
    <t>rs994895423</t>
  </si>
  <si>
    <t>Z33962</t>
  </si>
  <si>
    <t>rs747588776</t>
  </si>
  <si>
    <t>rs113781025</t>
  </si>
  <si>
    <t>Z440</t>
  </si>
  <si>
    <t>FGC2837</t>
  </si>
  <si>
    <t>rs775766567</t>
  </si>
  <si>
    <t>CTS1192</t>
  </si>
  <si>
    <t>PF5413; Z2165</t>
  </si>
  <si>
    <t>rs759668616</t>
  </si>
  <si>
    <t>PF5413</t>
  </si>
  <si>
    <t>CTS1192; Z2165</t>
  </si>
  <si>
    <t>Z2165</t>
  </si>
  <si>
    <t>CTS1192; PF5413</t>
  </si>
  <si>
    <t>CTS4326</t>
  </si>
  <si>
    <t>Z2154</t>
  </si>
  <si>
    <t>rs775939569</t>
  </si>
  <si>
    <t>FGC2835</t>
  </si>
  <si>
    <t>Z2160</t>
  </si>
  <si>
    <t>rs774696538</t>
  </si>
  <si>
    <t>PF5411</t>
  </si>
  <si>
    <t>Z387</t>
  </si>
  <si>
    <t>rs753472860</t>
  </si>
  <si>
    <t>PF5412</t>
  </si>
  <si>
    <t>Z391</t>
  </si>
  <si>
    <t>rs760340209</t>
  </si>
  <si>
    <t>PF5415</t>
  </si>
  <si>
    <t>Z2151</t>
  </si>
  <si>
    <t>rs777544604</t>
  </si>
  <si>
    <t>PF5420</t>
  </si>
  <si>
    <t>Z402</t>
  </si>
  <si>
    <t>rs747954504</t>
  </si>
  <si>
    <t>PF5422</t>
  </si>
  <si>
    <t>Z405</t>
  </si>
  <si>
    <t>rs765468217</t>
  </si>
  <si>
    <t>PF5427</t>
  </si>
  <si>
    <t>Z420</t>
  </si>
  <si>
    <t>rs767160829</t>
  </si>
  <si>
    <t>PF5428</t>
  </si>
  <si>
    <t>Z2170</t>
  </si>
  <si>
    <t>rs770938513</t>
  </si>
  <si>
    <t>PF5429</t>
  </si>
  <si>
    <t>Z421</t>
  </si>
  <si>
    <t>rs745753172</t>
  </si>
  <si>
    <t>PF5436</t>
  </si>
  <si>
    <t>Z2163</t>
  </si>
  <si>
    <t>rs751337436</t>
  </si>
  <si>
    <t>PF5437</t>
  </si>
  <si>
    <t>Z432</t>
  </si>
  <si>
    <t>rs771291619</t>
  </si>
  <si>
    <t>S8712</t>
  </si>
  <si>
    <t>rs1272454036</t>
  </si>
  <si>
    <t>L70</t>
  </si>
  <si>
    <t>PF5434; S287</t>
  </si>
  <si>
    <t>rs34986875</t>
  </si>
  <si>
    <t>PF5434</t>
  </si>
  <si>
    <t>L70; S287</t>
  </si>
  <si>
    <t>S287</t>
  </si>
  <si>
    <t>L70; PF5434</t>
  </si>
  <si>
    <t>L397</t>
  </si>
  <si>
    <t>PF5446</t>
  </si>
  <si>
    <t>rs35182651</t>
  </si>
  <si>
    <t>L398</t>
  </si>
  <si>
    <t>PF5449; S320</t>
  </si>
  <si>
    <t>rs755963777</t>
  </si>
  <si>
    <t>PF5449</t>
  </si>
  <si>
    <t>L398; S320</t>
  </si>
  <si>
    <t>S320</t>
  </si>
  <si>
    <t>L398; PF5449</t>
  </si>
  <si>
    <t>rs796260123</t>
  </si>
  <si>
    <t>PF5430</t>
  </si>
  <si>
    <t>Z423</t>
  </si>
  <si>
    <t>rs768053437</t>
  </si>
  <si>
    <t>rs752917236</t>
  </si>
  <si>
    <t>rs777859510</t>
  </si>
  <si>
    <t>rs773856887</t>
  </si>
  <si>
    <t>rs900174639</t>
  </si>
  <si>
    <t>S11093</t>
  </si>
  <si>
    <t>Z39272</t>
  </si>
  <si>
    <t>rs902849224</t>
  </si>
  <si>
    <t>rs13447372</t>
  </si>
  <si>
    <t>rs762639220</t>
  </si>
  <si>
    <t>rs1041510550</t>
  </si>
  <si>
    <t>CTS3601</t>
  </si>
  <si>
    <t>Z2173</t>
  </si>
  <si>
    <t>rs779027958</t>
  </si>
  <si>
    <t>rs753688796</t>
  </si>
  <si>
    <t>FGC6750</t>
  </si>
  <si>
    <t>S23155</t>
  </si>
  <si>
    <t>rs1042432238</t>
  </si>
  <si>
    <t>FGC54172</t>
  </si>
  <si>
    <t>Y24651</t>
  </si>
  <si>
    <t>rs771934241</t>
  </si>
  <si>
    <t>rs933125784</t>
  </si>
  <si>
    <t>rs929466818</t>
  </si>
  <si>
    <t>rs754105359</t>
  </si>
  <si>
    <t>FGC58748</t>
  </si>
  <si>
    <t>Z43008</t>
  </si>
  <si>
    <t>rs921635427</t>
  </si>
  <si>
    <t>rs1434260463</t>
  </si>
  <si>
    <t>rs955226667</t>
  </si>
  <si>
    <t>rs985010478</t>
  </si>
  <si>
    <t>rs1338735899</t>
  </si>
  <si>
    <t>rs1193164068</t>
  </si>
  <si>
    <t>rs943522231</t>
  </si>
  <si>
    <t>AM00113</t>
  </si>
  <si>
    <t>PF5294</t>
  </si>
  <si>
    <t>rs1050448731</t>
  </si>
  <si>
    <t>rs1014772924</t>
  </si>
  <si>
    <t>FGC30343</t>
  </si>
  <si>
    <t>Z28711</t>
  </si>
  <si>
    <t>rs979862311</t>
  </si>
  <si>
    <t>rs935610856</t>
  </si>
  <si>
    <t>rs1033931575</t>
  </si>
  <si>
    <t>Y18968</t>
  </si>
  <si>
    <t>rs779531853</t>
  </si>
  <si>
    <t>Y153648</t>
  </si>
  <si>
    <t>Z6064</t>
  </si>
  <si>
    <t>rs771964744</t>
  </si>
  <si>
    <t>Z27753</t>
  </si>
  <si>
    <t>rs976074414</t>
  </si>
  <si>
    <t>Z27774^^</t>
  </si>
  <si>
    <t>Z27794</t>
  </si>
  <si>
    <t>rs779167200</t>
  </si>
  <si>
    <t>Z27852</t>
  </si>
  <si>
    <t>rs747762179</t>
  </si>
  <si>
    <t>Z27893</t>
  </si>
  <si>
    <t>rs766987625</t>
  </si>
  <si>
    <t>Z28528</t>
  </si>
  <si>
    <t>rs768363028</t>
  </si>
  <si>
    <t>PH1409</t>
  </si>
  <si>
    <t>rs768352592</t>
  </si>
  <si>
    <t>PH1542</t>
  </si>
  <si>
    <t>rs764187076</t>
  </si>
  <si>
    <t>PH2509</t>
  </si>
  <si>
    <t>rs766760747</t>
  </si>
  <si>
    <t>PH3081</t>
  </si>
  <si>
    <t>rs775269932</t>
  </si>
  <si>
    <t>PH3260</t>
  </si>
  <si>
    <t>rs755279184</t>
  </si>
  <si>
    <t>PH3464</t>
  </si>
  <si>
    <t>rs754011710</t>
  </si>
  <si>
    <t>PH3644</t>
  </si>
  <si>
    <t>rs765315015</t>
  </si>
  <si>
    <t>PH4095</t>
  </si>
  <si>
    <t>rs748149257</t>
  </si>
  <si>
    <t>PH4744</t>
  </si>
  <si>
    <t>rs773889089</t>
  </si>
  <si>
    <t>PH4856</t>
  </si>
  <si>
    <t>rs768774093</t>
  </si>
  <si>
    <t>PH4959</t>
  </si>
  <si>
    <t>rs760557647</t>
  </si>
  <si>
    <t>PH5392</t>
  </si>
  <si>
    <t>Y23518</t>
  </si>
  <si>
    <t>Y23519</t>
  </si>
  <si>
    <t>rs997973477</t>
  </si>
  <si>
    <t>Y23520</t>
  </si>
  <si>
    <t>rs989155999</t>
  </si>
  <si>
    <t>Y23521</t>
  </si>
  <si>
    <t>Z39758</t>
  </si>
  <si>
    <t>Z39759</t>
  </si>
  <si>
    <t>rs967290753</t>
  </si>
  <si>
    <t>Z39760</t>
  </si>
  <si>
    <t>rs1010424083</t>
  </si>
  <si>
    <t>Z39761</t>
  </si>
  <si>
    <t>rs940144374</t>
  </si>
  <si>
    <t>Z39762</t>
  </si>
  <si>
    <t>rs957714533</t>
  </si>
  <si>
    <t>Z39763</t>
  </si>
  <si>
    <t>rs959818636</t>
  </si>
  <si>
    <t>Z39764</t>
  </si>
  <si>
    <t>rs947188907</t>
  </si>
  <si>
    <t>Z39765</t>
  </si>
  <si>
    <t>rs1038133893</t>
  </si>
  <si>
    <t>Z39766</t>
  </si>
  <si>
    <t>rs1052970273</t>
  </si>
  <si>
    <t>Z39767</t>
  </si>
  <si>
    <t>Z39768</t>
  </si>
  <si>
    <t>Z39769</t>
  </si>
  <si>
    <t>Z39770</t>
  </si>
  <si>
    <t>Z39771</t>
  </si>
  <si>
    <t>Z39772</t>
  </si>
  <si>
    <t>rs955000278</t>
  </si>
  <si>
    <t>Z39773</t>
  </si>
  <si>
    <t>rs1002949134</t>
  </si>
  <si>
    <t>Z39774</t>
  </si>
  <si>
    <t>rs932664106</t>
  </si>
  <si>
    <t>Z39775</t>
  </si>
  <si>
    <t>rs1031029715</t>
  </si>
  <si>
    <t>Z39776</t>
  </si>
  <si>
    <t>rs896094660</t>
  </si>
  <si>
    <t>Z39777</t>
  </si>
  <si>
    <t>rs894341982</t>
  </si>
  <si>
    <t>Z39778</t>
  </si>
  <si>
    <t>rs943880188</t>
  </si>
  <si>
    <t>Z39779</t>
  </si>
  <si>
    <t>rs920769364</t>
  </si>
  <si>
    <t>Z39780</t>
  </si>
  <si>
    <t>Z40060</t>
  </si>
  <si>
    <t>rs1053733715</t>
  </si>
  <si>
    <t>Y32693</t>
  </si>
  <si>
    <t>Y32694</t>
  </si>
  <si>
    <t>Y32695</t>
  </si>
  <si>
    <t>rs960359118</t>
  </si>
  <si>
    <t>Y32696</t>
  </si>
  <si>
    <t>rs926233729</t>
  </si>
  <si>
    <t>Y32697</t>
  </si>
  <si>
    <t>rs1036966031</t>
  </si>
  <si>
    <t>Y32698</t>
  </si>
  <si>
    <t>Y32700</t>
  </si>
  <si>
    <t>Y32701</t>
  </si>
  <si>
    <t>Y32702</t>
  </si>
  <si>
    <t>rs920986405</t>
  </si>
  <si>
    <t>Y32703</t>
  </si>
  <si>
    <t>rs1028849795</t>
  </si>
  <si>
    <t>Y32704</t>
  </si>
  <si>
    <t>rs962709104</t>
  </si>
  <si>
    <t>Y32705</t>
  </si>
  <si>
    <t>rs914906074</t>
  </si>
  <si>
    <t>Y32706</t>
  </si>
  <si>
    <t>rs922394412</t>
  </si>
  <si>
    <t>Y32707</t>
  </si>
  <si>
    <t>Y32708</t>
  </si>
  <si>
    <t>rs1038104954</t>
  </si>
  <si>
    <t>Y32709</t>
  </si>
  <si>
    <t>rs960647968</t>
  </si>
  <si>
    <t>Y32712</t>
  </si>
  <si>
    <t>rs983406534</t>
  </si>
  <si>
    <t>Y32713</t>
  </si>
  <si>
    <t>rs947097111</t>
  </si>
  <si>
    <t>Y32714</t>
  </si>
  <si>
    <t>Y32715</t>
  </si>
  <si>
    <t>rs900741316</t>
  </si>
  <si>
    <t>Y32716</t>
  </si>
  <si>
    <t>rs939078641</t>
  </si>
  <si>
    <t>Y33270</t>
  </si>
  <si>
    <t>rs917001907</t>
  </si>
  <si>
    <t>Y33271</t>
  </si>
  <si>
    <t>rs1038729195</t>
  </si>
  <si>
    <t>Y33272</t>
  </si>
  <si>
    <t>rs924620789</t>
  </si>
  <si>
    <t>Y33273</t>
  </si>
  <si>
    <t>rs979654744</t>
  </si>
  <si>
    <t>Y33274</t>
  </si>
  <si>
    <t>Y33275</t>
  </si>
  <si>
    <t>rs988398805</t>
  </si>
  <si>
    <t>Y33276</t>
  </si>
  <si>
    <t>rs1027416122</t>
  </si>
  <si>
    <t>Y33277</t>
  </si>
  <si>
    <t>rs937247408</t>
  </si>
  <si>
    <t>Y33278</t>
  </si>
  <si>
    <t>rs969901760</t>
  </si>
  <si>
    <t>Y33279</t>
  </si>
  <si>
    <t>rs767644301</t>
  </si>
  <si>
    <t>F312</t>
  </si>
  <si>
    <t>rs373085604</t>
  </si>
  <si>
    <t>SK1362</t>
  </si>
  <si>
    <t>Y6761</t>
  </si>
  <si>
    <t>rs758391445</t>
  </si>
  <si>
    <t>Y6753^^</t>
  </si>
  <si>
    <t>Z27782^^</t>
  </si>
  <si>
    <t>Y6754</t>
  </si>
  <si>
    <t>Z27801</t>
  </si>
  <si>
    <t>rs766300040</t>
  </si>
  <si>
    <t>Y6755</t>
  </si>
  <si>
    <t>Z27807</t>
  </si>
  <si>
    <t>rs761645162</t>
  </si>
  <si>
    <t>Y6756</t>
  </si>
  <si>
    <t>rs770887590</t>
  </si>
  <si>
    <t>Y6757</t>
  </si>
  <si>
    <t>Z27827</t>
  </si>
  <si>
    <t>rs749159767</t>
  </si>
  <si>
    <t>Y6758</t>
  </si>
  <si>
    <t>Z27829</t>
  </si>
  <si>
    <t>rs772770242</t>
  </si>
  <si>
    <t>Y6759</t>
  </si>
  <si>
    <t>Z27834</t>
  </si>
  <si>
    <t>rs750217999</t>
  </si>
  <si>
    <t>Y6760</t>
  </si>
  <si>
    <t>Z27840</t>
  </si>
  <si>
    <t>rs769655896</t>
  </si>
  <si>
    <t>Y6762</t>
  </si>
  <si>
    <t>Z27853</t>
  </si>
  <si>
    <t>rs781375331</t>
  </si>
  <si>
    <t>Y6763</t>
  </si>
  <si>
    <t>rs777342833</t>
  </si>
  <si>
    <t>Y6764</t>
  </si>
  <si>
    <t>Z27864</t>
  </si>
  <si>
    <t>rs746859302</t>
  </si>
  <si>
    <t>Y6765</t>
  </si>
  <si>
    <t>Z27873</t>
  </si>
  <si>
    <t>rs779450780</t>
  </si>
  <si>
    <t>Y6766</t>
  </si>
  <si>
    <t>Z27875</t>
  </si>
  <si>
    <t>rs781526108</t>
  </si>
  <si>
    <t>Y6767</t>
  </si>
  <si>
    <t>Z27876</t>
  </si>
  <si>
    <t>rs776982769</t>
  </si>
  <si>
    <t>Y6768</t>
  </si>
  <si>
    <t>Z27882</t>
  </si>
  <si>
    <t>rs745442007</t>
  </si>
  <si>
    <t>Y6769</t>
  </si>
  <si>
    <t>Z27884</t>
  </si>
  <si>
    <t>rs756471698</t>
  </si>
  <si>
    <t>Y6770</t>
  </si>
  <si>
    <t>Z27895</t>
  </si>
  <si>
    <t>rs767813624</t>
  </si>
  <si>
    <t>Y6854</t>
  </si>
  <si>
    <t>Z27804</t>
  </si>
  <si>
    <t>Y6855</t>
  </si>
  <si>
    <t>rs1005125548</t>
  </si>
  <si>
    <t>Y6856</t>
  </si>
  <si>
    <t>Z27832</t>
  </si>
  <si>
    <t>rs756162030</t>
  </si>
  <si>
    <t>Y6857</t>
  </si>
  <si>
    <t>Z27848</t>
  </si>
  <si>
    <t>rs774162471</t>
  </si>
  <si>
    <t>Y6858</t>
  </si>
  <si>
    <t>Z27854</t>
  </si>
  <si>
    <t>rs777405392</t>
  </si>
  <si>
    <t>Y6859</t>
  </si>
  <si>
    <t>Z27865</t>
  </si>
  <si>
    <t>rs758326984</t>
  </si>
  <si>
    <t>Y6860</t>
  </si>
  <si>
    <t>Z27868</t>
  </si>
  <si>
    <t>rs751909143</t>
  </si>
  <si>
    <t>Y6861</t>
  </si>
  <si>
    <t>Z27869</t>
  </si>
  <si>
    <t>rs755106432</t>
  </si>
  <si>
    <t>Y6862</t>
  </si>
  <si>
    <t>rs747337237</t>
  </si>
  <si>
    <t>Y6863</t>
  </si>
  <si>
    <t>Z27874</t>
  </si>
  <si>
    <t>rs765031858</t>
  </si>
  <si>
    <t>Y6864</t>
  </si>
  <si>
    <t>Z27905</t>
  </si>
  <si>
    <t>rs755046591</t>
  </si>
  <si>
    <t>Y6865</t>
  </si>
  <si>
    <t>Z27908</t>
  </si>
  <si>
    <t>Y6867</t>
  </si>
  <si>
    <t>Z27799</t>
  </si>
  <si>
    <t>rs748487347</t>
  </si>
  <si>
    <t>Y6868</t>
  </si>
  <si>
    <t>Z27795</t>
  </si>
  <si>
    <t>rs749265588</t>
  </si>
  <si>
    <t>Y7009</t>
  </si>
  <si>
    <t>Z27825</t>
  </si>
  <si>
    <t>rs752152916</t>
  </si>
  <si>
    <t>Y7012</t>
  </si>
  <si>
    <t>Z27894</t>
  </si>
  <si>
    <t>rs776861812</t>
  </si>
  <si>
    <t>Y7016</t>
  </si>
  <si>
    <t>Z27899</t>
  </si>
  <si>
    <t>rs567530001</t>
  </si>
  <si>
    <t>Z6055</t>
  </si>
  <si>
    <t>rs113920610</t>
  </si>
  <si>
    <t>Z6058</t>
  </si>
  <si>
    <t>rs763273021</t>
  </si>
  <si>
    <t>Z6059</t>
  </si>
  <si>
    <t>rs766179695</t>
  </si>
  <si>
    <t>Z6060</t>
  </si>
  <si>
    <t>rs760139800</t>
  </si>
  <si>
    <t>Z6061</t>
  </si>
  <si>
    <t>rs764581560</t>
  </si>
  <si>
    <t>Z6062</t>
  </si>
  <si>
    <t>rs763046458</t>
  </si>
  <si>
    <t>Z6063</t>
  </si>
  <si>
    <t>rs768210588</t>
  </si>
  <si>
    <t>A6103^^</t>
  </si>
  <si>
    <t>S16874</t>
  </si>
  <si>
    <t>Z7851</t>
  </si>
  <si>
    <t>rs762038346</t>
  </si>
  <si>
    <t>Y21500</t>
  </si>
  <si>
    <t>Y25840</t>
  </si>
  <si>
    <t>Y25841</t>
  </si>
  <si>
    <t>Y25842</t>
  </si>
  <si>
    <t>Y25843</t>
  </si>
  <si>
    <t>Y25844</t>
  </si>
  <si>
    <t>Y25845</t>
  </si>
  <si>
    <t>Y25846</t>
  </si>
  <si>
    <t>Y25847^^</t>
  </si>
  <si>
    <t>Y25848</t>
  </si>
  <si>
    <t>Y25849</t>
  </si>
  <si>
    <t>Y25850</t>
  </si>
  <si>
    <t>Y25851</t>
  </si>
  <si>
    <t>Y25852</t>
  </si>
  <si>
    <t>Y25853</t>
  </si>
  <si>
    <t>Y25854</t>
  </si>
  <si>
    <t>Y25855</t>
  </si>
  <si>
    <t>Y25856</t>
  </si>
  <si>
    <t>Y25857</t>
  </si>
  <si>
    <t>Y25858</t>
  </si>
  <si>
    <t>Y25859</t>
  </si>
  <si>
    <t>Y25860</t>
  </si>
  <si>
    <t>Y25861</t>
  </si>
  <si>
    <t>Y25862</t>
  </si>
  <si>
    <t>Y25863</t>
  </si>
  <si>
    <t>Y25864</t>
  </si>
  <si>
    <t>Y25865</t>
  </si>
  <si>
    <t>Y25866</t>
  </si>
  <si>
    <t>Y27533</t>
  </si>
  <si>
    <t>Y27534^^</t>
  </si>
  <si>
    <t>Y27535</t>
  </si>
  <si>
    <t>Y27536</t>
  </si>
  <si>
    <t>Y27537</t>
  </si>
  <si>
    <t>Y27538</t>
  </si>
  <si>
    <t>Y27540</t>
  </si>
  <si>
    <t>Y27541</t>
  </si>
  <si>
    <t>Y27542</t>
  </si>
  <si>
    <t>Y27543</t>
  </si>
  <si>
    <t>Y27544</t>
  </si>
  <si>
    <t>rs779203199</t>
  </si>
  <si>
    <t>Y27545</t>
  </si>
  <si>
    <t>Y27546</t>
  </si>
  <si>
    <t>Y27547</t>
  </si>
  <si>
    <t>Y27548</t>
  </si>
  <si>
    <t>Y27549</t>
  </si>
  <si>
    <t>Y27550</t>
  </si>
  <si>
    <t>Y27551</t>
  </si>
  <si>
    <t>Y27552</t>
  </si>
  <si>
    <t>Y27554</t>
  </si>
  <si>
    <t>FGC8506</t>
  </si>
  <si>
    <t>rs894775343</t>
  </si>
  <si>
    <t>Y7015</t>
  </si>
  <si>
    <t>Z27917</t>
  </si>
  <si>
    <t>rs937776867</t>
  </si>
  <si>
    <t>Z6056</t>
  </si>
  <si>
    <t>rs757778924</t>
  </si>
  <si>
    <t>Z6057</t>
  </si>
  <si>
    <t>rs763833694</t>
  </si>
  <si>
    <t>Z27769</t>
  </si>
  <si>
    <t>Y7011</t>
  </si>
  <si>
    <t>rs770404219</t>
  </si>
  <si>
    <t>Y7013^^</t>
  </si>
  <si>
    <t>Z27912^^</t>
  </si>
  <si>
    <t>rs755960483</t>
  </si>
  <si>
    <t>Y35055^^</t>
  </si>
  <si>
    <t>A10141.2</t>
  </si>
  <si>
    <t>rs893055984</t>
  </si>
  <si>
    <t>FGC57069</t>
  </si>
  <si>
    <t>rs945785612</t>
  </si>
  <si>
    <t>PF4882</t>
  </si>
  <si>
    <t>rs893441761</t>
  </si>
  <si>
    <t>Y28259</t>
  </si>
  <si>
    <t>rs915098682</t>
  </si>
  <si>
    <t>Y28260</t>
  </si>
  <si>
    <t>Y28262</t>
  </si>
  <si>
    <t>rs930602170</t>
  </si>
  <si>
    <t>Y28263</t>
  </si>
  <si>
    <t>rs969524600</t>
  </si>
  <si>
    <t>Y28264</t>
  </si>
  <si>
    <t>Y28265</t>
  </si>
  <si>
    <t>rs1023205769</t>
  </si>
  <si>
    <t>Y28266</t>
  </si>
  <si>
    <t>rs910416097</t>
  </si>
  <si>
    <t>Y28267</t>
  </si>
  <si>
    <t>Y28268</t>
  </si>
  <si>
    <t>rs900630930</t>
  </si>
  <si>
    <t>Y28269</t>
  </si>
  <si>
    <t>rs924115939</t>
  </si>
  <si>
    <t>Z28764</t>
  </si>
  <si>
    <t>Y28270</t>
  </si>
  <si>
    <t>rs969260263</t>
  </si>
  <si>
    <t>Y28271</t>
  </si>
  <si>
    <t>rs1028765770</t>
  </si>
  <si>
    <t>Y28272</t>
  </si>
  <si>
    <t>rs997274221</t>
  </si>
  <si>
    <t>Y28273</t>
  </si>
  <si>
    <t>rs969022903</t>
  </si>
  <si>
    <t>Y28274</t>
  </si>
  <si>
    <t>rs942560023</t>
  </si>
  <si>
    <t>Y28275</t>
  </si>
  <si>
    <t>rs920796515</t>
  </si>
  <si>
    <t>Y28276</t>
  </si>
  <si>
    <t>rs974464372</t>
  </si>
  <si>
    <t>Y28277^^</t>
  </si>
  <si>
    <t>Y28278</t>
  </si>
  <si>
    <t>Y28279</t>
  </si>
  <si>
    <t>Y28721</t>
  </si>
  <si>
    <t>rs902303450</t>
  </si>
  <si>
    <t>Y28723</t>
  </si>
  <si>
    <t>rs911862594</t>
  </si>
  <si>
    <t>Y28724</t>
  </si>
  <si>
    <t>Y28725</t>
  </si>
  <si>
    <t>Y28726</t>
  </si>
  <si>
    <t>rs1020922130</t>
  </si>
  <si>
    <t>Y28727</t>
  </si>
  <si>
    <t>Y28728</t>
  </si>
  <si>
    <t>rs910215266</t>
  </si>
  <si>
    <t>Y28729</t>
  </si>
  <si>
    <t>rs985975706</t>
  </si>
  <si>
    <t>Y28730</t>
  </si>
  <si>
    <t>rs1056827774</t>
  </si>
  <si>
    <t>Y28732</t>
  </si>
  <si>
    <t>rs1019298029</t>
  </si>
  <si>
    <t>Y28733</t>
  </si>
  <si>
    <t>rs971175106</t>
  </si>
  <si>
    <t>Y28734</t>
  </si>
  <si>
    <t>rs1052248088</t>
  </si>
  <si>
    <t>Y28736^^</t>
  </si>
  <si>
    <t>Y28737</t>
  </si>
  <si>
    <t>Y28738</t>
  </si>
  <si>
    <t>rs912503582</t>
  </si>
  <si>
    <t>Y28740</t>
  </si>
  <si>
    <t>Y28741</t>
  </si>
  <si>
    <t>rs1057461879</t>
  </si>
  <si>
    <t>Y28743</t>
  </si>
  <si>
    <t>rs893099510</t>
  </si>
  <si>
    <t>Y28744</t>
  </si>
  <si>
    <t>rs1018746722</t>
  </si>
  <si>
    <t>Y28745</t>
  </si>
  <si>
    <t>rs929050877</t>
  </si>
  <si>
    <t>Y28746</t>
  </si>
  <si>
    <t>rs892133708</t>
  </si>
  <si>
    <t>Y28747</t>
  </si>
  <si>
    <t>rs1027200981</t>
  </si>
  <si>
    <t>Y28748</t>
  </si>
  <si>
    <t>rs1017520551</t>
  </si>
  <si>
    <t>Y28749</t>
  </si>
  <si>
    <t>Y28751</t>
  </si>
  <si>
    <t>rs894149285</t>
  </si>
  <si>
    <t>Y28752</t>
  </si>
  <si>
    <t>Y28753</t>
  </si>
  <si>
    <t>rs945379232</t>
  </si>
  <si>
    <t>Y28754</t>
  </si>
  <si>
    <t>rs1025548185</t>
  </si>
  <si>
    <t>Y28755</t>
  </si>
  <si>
    <t xml:space="preserve">	rs903699205</t>
  </si>
  <si>
    <t>Y28756^^</t>
  </si>
  <si>
    <t>Y28757</t>
  </si>
  <si>
    <t>BY27576^^</t>
  </si>
  <si>
    <t>Y33849</t>
  </si>
  <si>
    <t>Y34515</t>
  </si>
  <si>
    <t>Y34517</t>
  </si>
  <si>
    <t>Y29722</t>
  </si>
  <si>
    <t>Y30428</t>
  </si>
  <si>
    <t>SK1359</t>
  </si>
  <si>
    <t>Y7010; Z27851</t>
  </si>
  <si>
    <t>rs750360171</t>
  </si>
  <si>
    <t>Y7010</t>
  </si>
  <si>
    <t>SK1359; Z27851</t>
  </si>
  <si>
    <t>Z27851</t>
  </si>
  <si>
    <t>SK1359; Y7010</t>
  </si>
  <si>
    <t>Y7008</t>
  </si>
  <si>
    <t>Z27797</t>
  </si>
  <si>
    <t>rs780598330</t>
  </si>
  <si>
    <t>Y14449</t>
  </si>
  <si>
    <t>Z27844</t>
  </si>
  <si>
    <t>rs749349975</t>
  </si>
  <si>
    <t>FGC30323</t>
  </si>
  <si>
    <t>Z27824</t>
  </si>
  <si>
    <t>rs768309934</t>
  </si>
  <si>
    <t>Y33844</t>
  </si>
  <si>
    <t>rs746810144</t>
  </si>
  <si>
    <t>Y35056^^</t>
  </si>
  <si>
    <t>Y35057</t>
  </si>
  <si>
    <t>rs753363081</t>
  </si>
  <si>
    <t>Z27752</t>
  </si>
  <si>
    <t>rs747684355</t>
  </si>
  <si>
    <t>Z27766^^</t>
  </si>
  <si>
    <t>Z27787^^</t>
  </si>
  <si>
    <t>Z27792</t>
  </si>
  <si>
    <t>rs776665427</t>
  </si>
  <si>
    <t>Z27798</t>
  </si>
  <si>
    <t>rs770659972</t>
  </si>
  <si>
    <t>Z27802</t>
  </si>
  <si>
    <t>rs759399647</t>
  </si>
  <si>
    <t>Z27803</t>
  </si>
  <si>
    <t>rs776163243</t>
  </si>
  <si>
    <t>Z27806^^</t>
  </si>
  <si>
    <t>Z27817</t>
  </si>
  <si>
    <t>Z27818</t>
  </si>
  <si>
    <t>Z27819</t>
  </si>
  <si>
    <t>Z27826^^</t>
  </si>
  <si>
    <t>rs766825827</t>
  </si>
  <si>
    <t>Z27828</t>
  </si>
  <si>
    <t>rs771104108</t>
  </si>
  <si>
    <t>Z27830</t>
  </si>
  <si>
    <t>rs765223499</t>
  </si>
  <si>
    <t>Z27837</t>
  </si>
  <si>
    <t>rs775966759</t>
  </si>
  <si>
    <t>Z27838</t>
  </si>
  <si>
    <t>rs766627476</t>
  </si>
  <si>
    <t>Z27845</t>
  </si>
  <si>
    <t>rs754212632</t>
  </si>
  <si>
    <t>Z27855</t>
  </si>
  <si>
    <t>rs759472014</t>
  </si>
  <si>
    <t>Z27857</t>
  </si>
  <si>
    <t>rs759300277</t>
  </si>
  <si>
    <t>Z27862</t>
  </si>
  <si>
    <t>rs769307722</t>
  </si>
  <si>
    <t>Z27867</t>
  </si>
  <si>
    <t>rs771837720</t>
  </si>
  <si>
    <t>Z27870</t>
  </si>
  <si>
    <t>rs755536860</t>
  </si>
  <si>
    <t>Z27871</t>
  </si>
  <si>
    <t>rs747975905</t>
  </si>
  <si>
    <t>Z27877</t>
  </si>
  <si>
    <t>Z27879</t>
  </si>
  <si>
    <t>Z27880</t>
  </si>
  <si>
    <t>Z27881</t>
  </si>
  <si>
    <t>rs759206691</t>
  </si>
  <si>
    <t>Z27883</t>
  </si>
  <si>
    <t>rs753351162</t>
  </si>
  <si>
    <t>Z27886</t>
  </si>
  <si>
    <t>rs750767513</t>
  </si>
  <si>
    <t>Z27888</t>
  </si>
  <si>
    <t>rs757083385</t>
  </si>
  <si>
    <t>Z27889</t>
  </si>
  <si>
    <t>rs763256123</t>
  </si>
  <si>
    <t>Z27890</t>
  </si>
  <si>
    <t>rs746373255</t>
  </si>
  <si>
    <t>Z27891</t>
  </si>
  <si>
    <t>rs775928867</t>
  </si>
  <si>
    <t>Z27892</t>
  </si>
  <si>
    <t>rs780537305</t>
  </si>
  <si>
    <t>Z27896</t>
  </si>
  <si>
    <t>rs767799792</t>
  </si>
  <si>
    <t>Z27900</t>
  </si>
  <si>
    <t>rs763407885</t>
  </si>
  <si>
    <t>Z27901</t>
  </si>
  <si>
    <t>rs754306451</t>
  </si>
  <si>
    <t>Z27903</t>
  </si>
  <si>
    <t>Z27904</t>
  </si>
  <si>
    <t>rs778231587</t>
  </si>
  <si>
    <t>Z27907</t>
  </si>
  <si>
    <t>Z27909</t>
  </si>
  <si>
    <t>rs778290683</t>
  </si>
  <si>
    <t>Z27910</t>
  </si>
  <si>
    <t>rs752847300</t>
  </si>
  <si>
    <t>Z27913^^</t>
  </si>
  <si>
    <t>rs755097453</t>
  </si>
  <si>
    <t>Z27915^^</t>
  </si>
  <si>
    <t>rs778518058</t>
  </si>
  <si>
    <t>rs775559241</t>
  </si>
  <si>
    <t>rs773778688</t>
  </si>
  <si>
    <t>rs973731190</t>
  </si>
  <si>
    <t>rs1023017927</t>
  </si>
  <si>
    <t>rs952385530</t>
  </si>
  <si>
    <t>rs1015092163</t>
  </si>
  <si>
    <t>rs753461253</t>
  </si>
  <si>
    <t>rs929701984</t>
  </si>
  <si>
    <t>FGC34244</t>
  </si>
  <si>
    <t>rs201858305</t>
  </si>
  <si>
    <t>PF5008</t>
  </si>
  <si>
    <t>rs748363984</t>
  </si>
  <si>
    <t>PF5012</t>
  </si>
  <si>
    <t>rs762326226</t>
  </si>
  <si>
    <t>PF5022</t>
  </si>
  <si>
    <t>rs776969183</t>
  </si>
  <si>
    <t>PF5025</t>
  </si>
  <si>
    <t>rs867338342</t>
  </si>
  <si>
    <t>PF5039</t>
  </si>
  <si>
    <t>rs764462003</t>
  </si>
  <si>
    <t>PF5044</t>
  </si>
  <si>
    <t>rs868057087</t>
  </si>
  <si>
    <t>PF5050</t>
  </si>
  <si>
    <t>rs752247539</t>
  </si>
  <si>
    <t>PF5051^^</t>
  </si>
  <si>
    <t>rs867256879</t>
  </si>
  <si>
    <t>PF5053</t>
  </si>
  <si>
    <t>rs956611797</t>
  </si>
  <si>
    <t>Y3126</t>
  </si>
  <si>
    <t>rs756371908</t>
  </si>
  <si>
    <t>Y21765</t>
  </si>
  <si>
    <t>rs866863352</t>
  </si>
  <si>
    <t>Y21766</t>
  </si>
  <si>
    <t>rs766343618</t>
  </si>
  <si>
    <t>Y27479^^</t>
  </si>
  <si>
    <t>Z28351^^</t>
  </si>
  <si>
    <t>rs780725397</t>
  </si>
  <si>
    <t>Z35772</t>
  </si>
  <si>
    <t>rs766487290</t>
  </si>
  <si>
    <t>Z35774</t>
  </si>
  <si>
    <t>rs867642937</t>
  </si>
  <si>
    <t>Z35775</t>
  </si>
  <si>
    <t>rs1030816852</t>
  </si>
  <si>
    <t>Z35776^^</t>
  </si>
  <si>
    <t>Z38487</t>
  </si>
  <si>
    <t>rs867621013</t>
  </si>
  <si>
    <t>Z38490^^</t>
  </si>
  <si>
    <t>rs866885695</t>
  </si>
  <si>
    <t>L581</t>
  </si>
  <si>
    <t>PF5026; S398</t>
  </si>
  <si>
    <t>rs769863270</t>
  </si>
  <si>
    <t>PF5026</t>
  </si>
  <si>
    <t>L581; S398</t>
  </si>
  <si>
    <t>S398</t>
  </si>
  <si>
    <t>L581; PF5026</t>
  </si>
  <si>
    <t>PF4996^^</t>
  </si>
  <si>
    <t>PF5007</t>
  </si>
  <si>
    <t>rs868111059</t>
  </si>
  <si>
    <t>PF5030</t>
  </si>
  <si>
    <t>rs866752656</t>
  </si>
  <si>
    <t>PF5034</t>
  </si>
  <si>
    <t>rs867474451</t>
  </si>
  <si>
    <t>PF5035</t>
  </si>
  <si>
    <t>rs746677083</t>
  </si>
  <si>
    <t>PF5041</t>
  </si>
  <si>
    <t>rs755869031</t>
  </si>
  <si>
    <t>PF5058</t>
  </si>
  <si>
    <t>rs375056491</t>
  </si>
  <si>
    <t>PF5073</t>
  </si>
  <si>
    <t>rs753498828</t>
  </si>
  <si>
    <t>PF7381</t>
  </si>
  <si>
    <t>rs775441242</t>
  </si>
  <si>
    <t>PF7382^^</t>
  </si>
  <si>
    <t>rs761839757</t>
  </si>
  <si>
    <t>PH1932</t>
  </si>
  <si>
    <t>PH1988^^</t>
  </si>
  <si>
    <t>rs760202468</t>
  </si>
  <si>
    <t>PH2868</t>
  </si>
  <si>
    <t>rs759254843</t>
  </si>
  <si>
    <t>Y27475</t>
  </si>
  <si>
    <t>rs867123310</t>
  </si>
  <si>
    <t>Y27477^^</t>
  </si>
  <si>
    <t>Y151372^^</t>
  </si>
  <si>
    <t>rs1327077258</t>
  </si>
  <si>
    <t>YP5667</t>
  </si>
  <si>
    <t>rs867747681</t>
  </si>
  <si>
    <t>Z28386</t>
  </si>
  <si>
    <t>rs867832124</t>
  </si>
  <si>
    <t>Z28387^^</t>
  </si>
  <si>
    <t>rs867166570</t>
  </si>
  <si>
    <t>Z35889</t>
  </si>
  <si>
    <t>Z38496</t>
  </si>
  <si>
    <t>rs867034734</t>
  </si>
  <si>
    <t>rs868216122</t>
  </si>
  <si>
    <t>rs867568452</t>
  </si>
  <si>
    <t>rs866389949</t>
  </si>
  <si>
    <t>rs757597716</t>
  </si>
  <si>
    <t>P279</t>
  </si>
  <si>
    <t>PF5065</t>
  </si>
  <si>
    <t>rs868843131</t>
  </si>
  <si>
    <t>rs866720501</t>
  </si>
  <si>
    <t>rs867158523</t>
  </si>
  <si>
    <t>rs796891850</t>
  </si>
  <si>
    <t>M12</t>
  </si>
  <si>
    <t>rs3903</t>
  </si>
  <si>
    <t>CTS488</t>
  </si>
  <si>
    <t>PF7363; Z2480</t>
  </si>
  <si>
    <t>rs369459819</t>
  </si>
  <si>
    <t>PF7363</t>
  </si>
  <si>
    <t>CTS488; Z2480</t>
  </si>
  <si>
    <t>Z2480</t>
  </si>
  <si>
    <t>CTS488; PF7363</t>
  </si>
  <si>
    <t>CTS801</t>
  </si>
  <si>
    <t>Z2481</t>
  </si>
  <si>
    <t>rs371870935</t>
  </si>
  <si>
    <t>CTS1196</t>
  </si>
  <si>
    <t>rs371982450</t>
  </si>
  <si>
    <t>CTS1464</t>
  </si>
  <si>
    <t>Z2407</t>
  </si>
  <si>
    <t>rs371939513</t>
  </si>
  <si>
    <t>CTS2582</t>
  </si>
  <si>
    <t>Z2486</t>
  </si>
  <si>
    <t>rs375400301</t>
  </si>
  <si>
    <t>CTS2623</t>
  </si>
  <si>
    <t>Z2487</t>
  </si>
  <si>
    <t>rs375671744</t>
  </si>
  <si>
    <t>PF3849</t>
  </si>
  <si>
    <t>CTS3917</t>
  </si>
  <si>
    <t>PF7372</t>
  </si>
  <si>
    <t>rs372485740</t>
  </si>
  <si>
    <t>Z626; AM00227</t>
  </si>
  <si>
    <t>CTS4359</t>
  </si>
  <si>
    <t>PF7293; Z2417</t>
  </si>
  <si>
    <t>rs375442273</t>
  </si>
  <si>
    <t>PF7293</t>
  </si>
  <si>
    <t>CTS4359; Z2417</t>
  </si>
  <si>
    <t>Z2417</t>
  </si>
  <si>
    <t>CTS4359; PF7293</t>
  </si>
  <si>
    <t>CTS4407</t>
  </si>
  <si>
    <t>PF7311; Z2418</t>
  </si>
  <si>
    <t>rs373585467</t>
  </si>
  <si>
    <t>PF7311</t>
  </si>
  <si>
    <t>CTS4407; Z2418</t>
  </si>
  <si>
    <t>Z2418</t>
  </si>
  <si>
    <t>CTS4407; PF7311</t>
  </si>
  <si>
    <t>CTS5962</t>
  </si>
  <si>
    <t>Z2488</t>
  </si>
  <si>
    <t>rs371324090</t>
  </si>
  <si>
    <t>CTS6484</t>
  </si>
  <si>
    <t>PF7302; Z2489</t>
  </si>
  <si>
    <t>rs374954906</t>
  </si>
  <si>
    <t>PF7302</t>
  </si>
  <si>
    <t>CTS6484; Z2489</t>
  </si>
  <si>
    <t>Z2489</t>
  </si>
  <si>
    <t>CTS6484; PF7302</t>
  </si>
  <si>
    <t>CTS7427</t>
  </si>
  <si>
    <t>rs368288051</t>
  </si>
  <si>
    <t>CTS7576</t>
  </si>
  <si>
    <t>rs368801556</t>
  </si>
  <si>
    <t>CTS8314</t>
  </si>
  <si>
    <t>PF7287; Z2491</t>
  </si>
  <si>
    <t>rs372114377</t>
  </si>
  <si>
    <t>PF7287</t>
  </si>
  <si>
    <t>CTS8314; Z2491</t>
  </si>
  <si>
    <t>Z2491</t>
  </si>
  <si>
    <t>CTS8314; PF7287</t>
  </si>
  <si>
    <t>CTS8999</t>
  </si>
  <si>
    <t>Z2493</t>
  </si>
  <si>
    <t>rs373559585</t>
  </si>
  <si>
    <t>CTS9229</t>
  </si>
  <si>
    <t>Z2494</t>
  </si>
  <si>
    <t>rs376055727</t>
  </si>
  <si>
    <t>CTS10010</t>
  </si>
  <si>
    <t>Z2428</t>
  </si>
  <si>
    <t>rs372300934</t>
  </si>
  <si>
    <t>CTS10660</t>
  </si>
  <si>
    <t>Z2500</t>
  </si>
  <si>
    <t>rs374459764</t>
  </si>
  <si>
    <t>CTS11322</t>
  </si>
  <si>
    <t>rs376274182</t>
  </si>
  <si>
    <t>CTS11672</t>
  </si>
  <si>
    <t>rs535471896</t>
  </si>
  <si>
    <t>FGC3945.1</t>
  </si>
  <si>
    <t>Z526.1</t>
  </si>
  <si>
    <t>rs369249246</t>
  </si>
  <si>
    <t>FGC7651</t>
  </si>
  <si>
    <t>Z8229</t>
  </si>
  <si>
    <t>rs375520577</t>
  </si>
  <si>
    <t>L282</t>
  </si>
  <si>
    <t>rs377565422</t>
  </si>
  <si>
    <t>L729.3</t>
  </si>
  <si>
    <t>M2087.3; Z15.3; Z548.3</t>
  </si>
  <si>
    <t>rs371086975</t>
  </si>
  <si>
    <t>M2087.3</t>
  </si>
  <si>
    <t>L729.3; Z15.3; Z548.3</t>
  </si>
  <si>
    <t>Z15.3</t>
  </si>
  <si>
    <t>L729.3; M2087.3; Z548.3</t>
  </si>
  <si>
    <t>Z548.3</t>
  </si>
  <si>
    <t>L729.3; M2087.3; Z15.3</t>
  </si>
  <si>
    <t>M102</t>
  </si>
  <si>
    <t>rs2032608</t>
  </si>
  <si>
    <t>M221</t>
  </si>
  <si>
    <t>rs2032667</t>
  </si>
  <si>
    <t>M314</t>
  </si>
  <si>
    <t>PF4939</t>
  </si>
  <si>
    <t>rs13447442</t>
  </si>
  <si>
    <t>PF7289</t>
  </si>
  <si>
    <t>Z2411</t>
  </si>
  <si>
    <t>rs368766815</t>
  </si>
  <si>
    <t>PF7290</t>
  </si>
  <si>
    <t>Z546</t>
  </si>
  <si>
    <t>rs377521253</t>
  </si>
  <si>
    <t>PF7291</t>
  </si>
  <si>
    <t>Z518</t>
  </si>
  <si>
    <t>rs372384737</t>
  </si>
  <si>
    <t>PF7292</t>
  </si>
  <si>
    <t>Z2410</t>
  </si>
  <si>
    <t>rs374600078</t>
  </si>
  <si>
    <t>AM00261; F424</t>
  </si>
  <si>
    <t>PF7295</t>
  </si>
  <si>
    <t>rs367835574</t>
  </si>
  <si>
    <t>PF7297</t>
  </si>
  <si>
    <t>Z529</t>
  </si>
  <si>
    <t>rs533074195</t>
  </si>
  <si>
    <t>PF7303</t>
  </si>
  <si>
    <t>Z570</t>
  </si>
  <si>
    <t>rs367655657</t>
  </si>
  <si>
    <t>PF7304</t>
  </si>
  <si>
    <t>Z2431</t>
  </si>
  <si>
    <t>rs372935401</t>
  </si>
  <si>
    <t>PF7307</t>
  </si>
  <si>
    <t>Z545</t>
  </si>
  <si>
    <t>rs369865301</t>
  </si>
  <si>
    <t>PF7313</t>
  </si>
  <si>
    <t>rs369967422</t>
  </si>
  <si>
    <t>PF7317</t>
  </si>
  <si>
    <t>Z2409</t>
  </si>
  <si>
    <t>rs375034656</t>
  </si>
  <si>
    <t>PF7326</t>
  </si>
  <si>
    <t>Z522</t>
  </si>
  <si>
    <t>rs370118567</t>
  </si>
  <si>
    <t>PF7339</t>
  </si>
  <si>
    <t>Z556</t>
  </si>
  <si>
    <t>rs377048425</t>
  </si>
  <si>
    <t>PF7340</t>
  </si>
  <si>
    <t>Z550</t>
  </si>
  <si>
    <t>rs372454424</t>
  </si>
  <si>
    <t>PF7341</t>
  </si>
  <si>
    <t>Z558</t>
  </si>
  <si>
    <t>rs370954933</t>
  </si>
  <si>
    <t>PF7355</t>
  </si>
  <si>
    <t>Z562</t>
  </si>
  <si>
    <t>rs372327386</t>
  </si>
  <si>
    <t>PF7358</t>
  </si>
  <si>
    <t>Z564</t>
  </si>
  <si>
    <t>rs372971847</t>
  </si>
  <si>
    <t>PF7362</t>
  </si>
  <si>
    <t>Z528</t>
  </si>
  <si>
    <t>rs376909022</t>
  </si>
  <si>
    <t>PF7374</t>
  </si>
  <si>
    <t>Z552</t>
  </si>
  <si>
    <t>rs372446192</t>
  </si>
  <si>
    <t>S10469</t>
  </si>
  <si>
    <t>Z2408</t>
  </si>
  <si>
    <t>rs376047525</t>
  </si>
  <si>
    <t>S11333</t>
  </si>
  <si>
    <t>Z2421</t>
  </si>
  <si>
    <t>rs374766758</t>
  </si>
  <si>
    <t>S11560</t>
  </si>
  <si>
    <t>Z2412</t>
  </si>
  <si>
    <t>rs371785463</t>
  </si>
  <si>
    <t>S20479</t>
  </si>
  <si>
    <t>Z2492</t>
  </si>
  <si>
    <t>rs371625568</t>
  </si>
  <si>
    <t>S22697</t>
  </si>
  <si>
    <t>Z2495</t>
  </si>
  <si>
    <t>rs370309302</t>
  </si>
  <si>
    <t>Y1422.1</t>
  </si>
  <si>
    <t>Z8214.1</t>
  </si>
  <si>
    <t>rs369289787</t>
  </si>
  <si>
    <t>Z519</t>
  </si>
  <si>
    <t>rs371539723</t>
  </si>
  <si>
    <t>Z523</t>
  </si>
  <si>
    <t>rs374263172</t>
  </si>
  <si>
    <t>Z524</t>
  </si>
  <si>
    <t>rs550196679</t>
  </si>
  <si>
    <t>Z525</t>
  </si>
  <si>
    <t>rs371121134</t>
  </si>
  <si>
    <t>Z532</t>
  </si>
  <si>
    <t>rs377218980</t>
  </si>
  <si>
    <t>Z534</t>
  </si>
  <si>
    <t>rs368520759</t>
  </si>
  <si>
    <t>Z536</t>
  </si>
  <si>
    <t>rs371110344</t>
  </si>
  <si>
    <t>Z537</t>
  </si>
  <si>
    <t>rs373683386</t>
  </si>
  <si>
    <t>Z538</t>
  </si>
  <si>
    <t>rs374283648</t>
  </si>
  <si>
    <t>Z542</t>
  </si>
  <si>
    <t>Z8227</t>
  </si>
  <si>
    <t>rs372360525</t>
  </si>
  <si>
    <t>Z543</t>
  </si>
  <si>
    <t>rs370389464</t>
  </si>
  <si>
    <t>Z547</t>
  </si>
  <si>
    <t>rs375133044</t>
  </si>
  <si>
    <t>Z549</t>
  </si>
  <si>
    <t>rs374872303</t>
  </si>
  <si>
    <t>Z551</t>
  </si>
  <si>
    <t>rs370024832</t>
  </si>
  <si>
    <t>Z553.3</t>
  </si>
  <si>
    <t>rs369326435</t>
  </si>
  <si>
    <t>Z554</t>
  </si>
  <si>
    <t>rs369019650</t>
  </si>
  <si>
    <t>Z555</t>
  </si>
  <si>
    <t>rs372557016</t>
  </si>
  <si>
    <t>Z560</t>
  </si>
  <si>
    <t>rs377390686</t>
  </si>
  <si>
    <t>Z561</t>
  </si>
  <si>
    <t>rs376301204</t>
  </si>
  <si>
    <t>Z563</t>
  </si>
  <si>
    <t>rs377097514</t>
  </si>
  <si>
    <t>Z569</t>
  </si>
  <si>
    <t>rs372724159</t>
  </si>
  <si>
    <t>Z571</t>
  </si>
  <si>
    <t>rs376024971</t>
  </si>
  <si>
    <t>Z572</t>
  </si>
  <si>
    <t>rs373374711</t>
  </si>
  <si>
    <t>Z1826</t>
  </si>
  <si>
    <t>rs369532457</t>
  </si>
  <si>
    <t>Z2414</t>
  </si>
  <si>
    <t>rs374840365</t>
  </si>
  <si>
    <t>Z2416</t>
  </si>
  <si>
    <t>rs374047875</t>
  </si>
  <si>
    <t>Z2420</t>
  </si>
  <si>
    <t>rs375711811</t>
  </si>
  <si>
    <t>Z2422</t>
  </si>
  <si>
    <t>Z28130</t>
  </si>
  <si>
    <t>rs369768116</t>
  </si>
  <si>
    <t>Z2426</t>
  </si>
  <si>
    <t>rs377454990</t>
  </si>
  <si>
    <t>Z2427</t>
  </si>
  <si>
    <t>rs372463435</t>
  </si>
  <si>
    <t>Z2430</t>
  </si>
  <si>
    <t>rs374094745</t>
  </si>
  <si>
    <t>Z2452</t>
  </si>
  <si>
    <t>rs377266973</t>
  </si>
  <si>
    <t>Z2483</t>
  </si>
  <si>
    <t>rs376725687</t>
  </si>
  <si>
    <t>Z2484</t>
  </si>
  <si>
    <t>rs369092839</t>
  </si>
  <si>
    <t>Z2496</t>
  </si>
  <si>
    <t>rs370975192</t>
  </si>
  <si>
    <t>Z2497</t>
  </si>
  <si>
    <t>rs369426820</t>
  </si>
  <si>
    <t>Z2498</t>
  </si>
  <si>
    <t>rs375626017</t>
  </si>
  <si>
    <t>Z2499</t>
  </si>
  <si>
    <t>rs368596468</t>
  </si>
  <si>
    <t>Z2501</t>
  </si>
  <si>
    <t>rs374896452</t>
  </si>
  <si>
    <t>Z8212</t>
  </si>
  <si>
    <t>rs367562802</t>
  </si>
  <si>
    <t>Z8221</t>
  </si>
  <si>
    <t>rs371452922</t>
  </si>
  <si>
    <t>Z8224</t>
  </si>
  <si>
    <t>rs1373284050</t>
  </si>
  <si>
    <t>Z8225</t>
  </si>
  <si>
    <t>rs371480204</t>
  </si>
  <si>
    <t>Z8231</t>
  </si>
  <si>
    <t>rs367819445</t>
  </si>
  <si>
    <t>Z8233</t>
  </si>
  <si>
    <t>rs374794921</t>
  </si>
  <si>
    <t>Z8243</t>
  </si>
  <si>
    <t>rs372337076</t>
  </si>
  <si>
    <t>Z8251</t>
  </si>
  <si>
    <t>rs374327643</t>
  </si>
  <si>
    <t>CTS922</t>
  </si>
  <si>
    <t>PF7349; Z2482</t>
  </si>
  <si>
    <t>rs374986116</t>
  </si>
  <si>
    <t>PF7349</t>
  </si>
  <si>
    <t>CTS922; Z2482</t>
  </si>
  <si>
    <t>Z2482</t>
  </si>
  <si>
    <t>CTS922; PF7349</t>
  </si>
  <si>
    <t>CTS1353</t>
  </si>
  <si>
    <t>PF7333; Z2406</t>
  </si>
  <si>
    <t>rs375175975</t>
  </si>
  <si>
    <t>PF7333</t>
  </si>
  <si>
    <t>CTS1353; Z2406</t>
  </si>
  <si>
    <t>Z2406</t>
  </si>
  <si>
    <t>CTS1353; PF7333</t>
  </si>
  <si>
    <t>CTS7299</t>
  </si>
  <si>
    <t>Z541</t>
  </si>
  <si>
    <t>rs552519715</t>
  </si>
  <si>
    <t>rs369174439</t>
  </si>
  <si>
    <t>CTS6362</t>
  </si>
  <si>
    <t>PF7286</t>
  </si>
  <si>
    <t>rs377067766</t>
  </si>
  <si>
    <t>CTS7806</t>
  </si>
  <si>
    <t>rs376418474</t>
  </si>
  <si>
    <t>CTS7856</t>
  </si>
  <si>
    <t>Z2490</t>
  </si>
  <si>
    <t>rs376620932</t>
  </si>
  <si>
    <t>CTS8096</t>
  </si>
  <si>
    <t>rs371074637</t>
  </si>
  <si>
    <t>CTS10849</t>
  </si>
  <si>
    <t>rs368410443</t>
  </si>
  <si>
    <t>CTS11935</t>
  </si>
  <si>
    <t>rs370860249</t>
  </si>
  <si>
    <t>PF7296</t>
  </si>
  <si>
    <t>Z2413</t>
  </si>
  <si>
    <t>rs377511447</t>
  </si>
  <si>
    <t>PF7336</t>
  </si>
  <si>
    <t>Z540</t>
  </si>
  <si>
    <t>rs373468256</t>
  </si>
  <si>
    <t>PF7359</t>
  </si>
  <si>
    <t>Z2419</t>
  </si>
  <si>
    <t>rs373269070</t>
  </si>
  <si>
    <t>PF7373</t>
  </si>
  <si>
    <t>rs540534290</t>
  </si>
  <si>
    <t>Z535</t>
  </si>
  <si>
    <t>rs369069077</t>
  </si>
  <si>
    <t>Z539</t>
  </si>
  <si>
    <t>rs539619503</t>
  </si>
  <si>
    <t>Z567</t>
  </si>
  <si>
    <t>rs368215244</t>
  </si>
  <si>
    <t>Z2425</t>
  </si>
  <si>
    <t>rs372847308</t>
  </si>
  <si>
    <t>Z8232</t>
  </si>
  <si>
    <t>rs374470273</t>
  </si>
  <si>
    <t>M205</t>
  </si>
  <si>
    <t>rs2032657</t>
  </si>
  <si>
    <t>CTS494</t>
  </si>
  <si>
    <t>rs747762853</t>
  </si>
  <si>
    <t>CTS560</t>
  </si>
  <si>
    <t>rs754814815</t>
  </si>
  <si>
    <t>CTS1282</t>
  </si>
  <si>
    <t>rs758141299</t>
  </si>
  <si>
    <t>CTS3310</t>
  </si>
  <si>
    <t>rs751779699</t>
  </si>
  <si>
    <t>CTS3722</t>
  </si>
  <si>
    <t>rs774737522</t>
  </si>
  <si>
    <t>CTS3810</t>
  </si>
  <si>
    <t>rs754887283</t>
  </si>
  <si>
    <t>CTS3833</t>
  </si>
  <si>
    <t>rs886398055</t>
  </si>
  <si>
    <t>CTS4915</t>
  </si>
  <si>
    <t>rs865868571</t>
  </si>
  <si>
    <t>Z42243</t>
  </si>
  <si>
    <t>CTS7112</t>
  </si>
  <si>
    <t>rs777124474</t>
  </si>
  <si>
    <t>CTS8056</t>
  </si>
  <si>
    <t>rs756065231</t>
  </si>
  <si>
    <t>CTS10731</t>
  </si>
  <si>
    <t>PF7319</t>
  </si>
  <si>
    <t>rs767256782</t>
  </si>
  <si>
    <t>CTS11307</t>
  </si>
  <si>
    <t>rs745392587</t>
  </si>
  <si>
    <t>PF3664; V2273; Z2638</t>
  </si>
  <si>
    <t>PF7294</t>
  </si>
  <si>
    <t>rs765148151</t>
  </si>
  <si>
    <t>PF7298</t>
  </si>
  <si>
    <t>rs867757555</t>
  </si>
  <si>
    <t>PF7301</t>
  </si>
  <si>
    <t>rs776350316</t>
  </si>
  <si>
    <t>PF7306</t>
  </si>
  <si>
    <t>rs764297487</t>
  </si>
  <si>
    <t>PF7316</t>
  </si>
  <si>
    <t>rs752155096</t>
  </si>
  <si>
    <t>PF7321</t>
  </si>
  <si>
    <t>rs867823277</t>
  </si>
  <si>
    <t>PF7324</t>
  </si>
  <si>
    <t>PF7325</t>
  </si>
  <si>
    <t>rs868421315</t>
  </si>
  <si>
    <t>PF7329</t>
  </si>
  <si>
    <t>rs867273734</t>
  </si>
  <si>
    <t>PF7331</t>
  </si>
  <si>
    <t>rs748078266</t>
  </si>
  <si>
    <t>PF7334</t>
  </si>
  <si>
    <t>rs760798794</t>
  </si>
  <si>
    <t>PF7344</t>
  </si>
  <si>
    <t>rs762366062</t>
  </si>
  <si>
    <t>PF7347</t>
  </si>
  <si>
    <t>rs775145481</t>
  </si>
  <si>
    <t>PF7352</t>
  </si>
  <si>
    <t>rs866444806</t>
  </si>
  <si>
    <t>PF7353</t>
  </si>
  <si>
    <t>rs865939331</t>
  </si>
  <si>
    <t>PF7354</t>
  </si>
  <si>
    <t>rs762857224</t>
  </si>
  <si>
    <t>PF7356</t>
  </si>
  <si>
    <t>rs779546465</t>
  </si>
  <si>
    <t>PF7364</t>
  </si>
  <si>
    <t>rs865830370</t>
  </si>
  <si>
    <t>PF7368</t>
  </si>
  <si>
    <t>rs766983203</t>
  </si>
  <si>
    <t>PF7376</t>
  </si>
  <si>
    <t>rs748329304</t>
  </si>
  <si>
    <t>PF7377</t>
  </si>
  <si>
    <t>rs752237617</t>
  </si>
  <si>
    <t>Y3160</t>
  </si>
  <si>
    <t>rs781255804</t>
  </si>
  <si>
    <t>Y3161</t>
  </si>
  <si>
    <t>rs766585844</t>
  </si>
  <si>
    <t>Y3163</t>
  </si>
  <si>
    <t>rs750523223</t>
  </si>
  <si>
    <t>Y3164</t>
  </si>
  <si>
    <t>rs747785952</t>
  </si>
  <si>
    <t>Y3167</t>
  </si>
  <si>
    <t>rs867098786</t>
  </si>
  <si>
    <t>Y3168</t>
  </si>
  <si>
    <t>Y3171</t>
  </si>
  <si>
    <t>rs771469600</t>
  </si>
  <si>
    <t>Y3172</t>
  </si>
  <si>
    <t>rs777207934</t>
  </si>
  <si>
    <t>Y3173</t>
  </si>
  <si>
    <t>rs746726125</t>
  </si>
  <si>
    <t>Y3174</t>
  </si>
  <si>
    <t>Y3176</t>
  </si>
  <si>
    <t>rs751912317</t>
  </si>
  <si>
    <t>Y3177</t>
  </si>
  <si>
    <t>rs774729910</t>
  </si>
  <si>
    <t>Y3178</t>
  </si>
  <si>
    <t>rs749036191</t>
  </si>
  <si>
    <t>Y3179</t>
  </si>
  <si>
    <t>rs762172362</t>
  </si>
  <si>
    <t>Y3180</t>
  </si>
  <si>
    <t>rs776805330</t>
  </si>
  <si>
    <t>Y12196</t>
  </si>
  <si>
    <t>Y12197.2</t>
  </si>
  <si>
    <t>Z31425.2</t>
  </si>
  <si>
    <t>rs777538819</t>
  </si>
  <si>
    <t>Y12198</t>
  </si>
  <si>
    <t>rs747180051</t>
  </si>
  <si>
    <t>Y21782</t>
  </si>
  <si>
    <t>rs906306761</t>
  </si>
  <si>
    <t>Y21784</t>
  </si>
  <si>
    <t>rs867267465</t>
  </si>
  <si>
    <t>YP8</t>
  </si>
  <si>
    <t>rs758444032</t>
  </si>
  <si>
    <t>YP28</t>
  </si>
  <si>
    <t>rs779632023</t>
  </si>
  <si>
    <t>YP31</t>
  </si>
  <si>
    <t>rs771444525</t>
  </si>
  <si>
    <t>YP34</t>
  </si>
  <si>
    <t>rs746090439</t>
  </si>
  <si>
    <t>YP35</t>
  </si>
  <si>
    <t>rs762811569</t>
  </si>
  <si>
    <t>YP37</t>
  </si>
  <si>
    <t>rs867866341</t>
  </si>
  <si>
    <t>YP46</t>
  </si>
  <si>
    <t>rs778512414</t>
  </si>
  <si>
    <t>YP58</t>
  </si>
  <si>
    <t>rs757255421</t>
  </si>
  <si>
    <t>YP84</t>
  </si>
  <si>
    <t>rs757338648</t>
  </si>
  <si>
    <t>YP85</t>
  </si>
  <si>
    <t>rs766214077</t>
  </si>
  <si>
    <t>YP90</t>
  </si>
  <si>
    <t>rs771384961</t>
  </si>
  <si>
    <t>YP101</t>
  </si>
  <si>
    <t>rs765825522</t>
  </si>
  <si>
    <t>YP104</t>
  </si>
  <si>
    <t>rs747544861</t>
  </si>
  <si>
    <t>YP105</t>
  </si>
  <si>
    <t>rs769150674</t>
  </si>
  <si>
    <t>YP110</t>
  </si>
  <si>
    <t>rs776149974</t>
  </si>
  <si>
    <t>YP111</t>
  </si>
  <si>
    <t>rs759909021</t>
  </si>
  <si>
    <t>YP134</t>
  </si>
  <si>
    <t>rs757295579</t>
  </si>
  <si>
    <t>YP140</t>
  </si>
  <si>
    <t>rs753415709</t>
  </si>
  <si>
    <t>YP144</t>
  </si>
  <si>
    <t>rs763349339</t>
  </si>
  <si>
    <t>YP149</t>
  </si>
  <si>
    <t>rs867143396</t>
  </si>
  <si>
    <t>YP159</t>
  </si>
  <si>
    <t>rs867990875</t>
  </si>
  <si>
    <t>YP163</t>
  </si>
  <si>
    <t>rs772735171</t>
  </si>
  <si>
    <t>YP166</t>
  </si>
  <si>
    <t>rs765553370</t>
  </si>
  <si>
    <t>YP172</t>
  </si>
  <si>
    <t>rs778393294</t>
  </si>
  <si>
    <t>YP175</t>
  </si>
  <si>
    <t>rs768735008</t>
  </si>
  <si>
    <t>YP183</t>
  </si>
  <si>
    <t>rs866474376</t>
  </si>
  <si>
    <t>YP184</t>
  </si>
  <si>
    <t>rs769071121</t>
  </si>
  <si>
    <t>YSC0000302</t>
  </si>
  <si>
    <t>rs867271078</t>
  </si>
  <si>
    <t>Z38486</t>
  </si>
  <si>
    <t>CTS9100</t>
  </si>
  <si>
    <t>rs777242859</t>
  </si>
  <si>
    <t>CTS9875</t>
  </si>
  <si>
    <t>rs754095529</t>
  </si>
  <si>
    <t>CTS10673</t>
  </si>
  <si>
    <t>rs758273103</t>
  </si>
  <si>
    <t>PF7330</t>
  </si>
  <si>
    <t>rs779160747</t>
  </si>
  <si>
    <t>PF7337</t>
  </si>
  <si>
    <t>rs768192696</t>
  </si>
  <si>
    <t>PF7308</t>
  </si>
  <si>
    <t>rs780742190</t>
  </si>
  <si>
    <t>Y3169</t>
  </si>
  <si>
    <t>rs754233663</t>
  </si>
  <si>
    <t>Y3170</t>
  </si>
  <si>
    <t>rs866215232</t>
  </si>
  <si>
    <t>Y3175</t>
  </si>
  <si>
    <t>rs771060084</t>
  </si>
  <si>
    <t>YP59</t>
  </si>
  <si>
    <t>rs927420724</t>
  </si>
  <si>
    <t>YP87</t>
  </si>
  <si>
    <t>rs770530465</t>
  </si>
  <si>
    <t>A11525</t>
  </si>
  <si>
    <t>PH4306</t>
  </si>
  <si>
    <t>rs779180992</t>
  </si>
  <si>
    <t>Y22059</t>
  </si>
  <si>
    <t>Y22060</t>
  </si>
  <si>
    <t>Y22061</t>
  </si>
  <si>
    <t>Y22062</t>
  </si>
  <si>
    <t>Y22063</t>
  </si>
  <si>
    <t>Y22064</t>
  </si>
  <si>
    <t>Y22065</t>
  </si>
  <si>
    <t>rs1203738052</t>
  </si>
  <si>
    <t>Y22066</t>
  </si>
  <si>
    <t>Y22067</t>
  </si>
  <si>
    <t>rs1352992496</t>
  </si>
  <si>
    <t>Y22068</t>
  </si>
  <si>
    <t>Y22070</t>
  </si>
  <si>
    <t>rs1049460333</t>
  </si>
  <si>
    <t>Y22071</t>
  </si>
  <si>
    <t>rs1347930788</t>
  </si>
  <si>
    <t>Y22072</t>
  </si>
  <si>
    <t>Y22073</t>
  </si>
  <si>
    <t>rs1167418637</t>
  </si>
  <si>
    <t>Y22074</t>
  </si>
  <si>
    <t>Y22075</t>
  </si>
  <si>
    <t>rs1055340213</t>
  </si>
  <si>
    <t>Y22077</t>
  </si>
  <si>
    <t>Y22078</t>
  </si>
  <si>
    <t>Y22079</t>
  </si>
  <si>
    <t>Y22081</t>
  </si>
  <si>
    <t>Y22083</t>
  </si>
  <si>
    <t>rs1471716904</t>
  </si>
  <si>
    <t>Y24804</t>
  </si>
  <si>
    <t>Y24805</t>
  </si>
  <si>
    <t>Y24806</t>
  </si>
  <si>
    <t>Y24807</t>
  </si>
  <si>
    <t>Y24809</t>
  </si>
  <si>
    <t>Y24810</t>
  </si>
  <si>
    <t>Y24811</t>
  </si>
  <si>
    <t>Y22069</t>
  </si>
  <si>
    <t>Y22076</t>
  </si>
  <si>
    <t>Y22082</t>
  </si>
  <si>
    <t>PH1089</t>
  </si>
  <si>
    <t>rs762187332</t>
  </si>
  <si>
    <t>PH2514</t>
  </si>
  <si>
    <t>rs757216550</t>
  </si>
  <si>
    <t>PH2734</t>
  </si>
  <si>
    <t>rs760977287</t>
  </si>
  <si>
    <t>rs748696189</t>
  </si>
  <si>
    <t>CTS5338</t>
  </si>
  <si>
    <t>rs927309692</t>
  </si>
  <si>
    <t>CTS6823</t>
  </si>
  <si>
    <t>rs1048198006</t>
  </si>
  <si>
    <t>CTS10179</t>
  </si>
  <si>
    <t>rs777384431</t>
  </si>
  <si>
    <t>CTS10990</t>
  </si>
  <si>
    <t>rs991711100</t>
  </si>
  <si>
    <t>Y22037</t>
  </si>
  <si>
    <t>rs770124777</t>
  </si>
  <si>
    <t>Y22520</t>
  </si>
  <si>
    <t>rs768374487</t>
  </si>
  <si>
    <t>Y22521</t>
  </si>
  <si>
    <t>Y22523</t>
  </si>
  <si>
    <t>Y22524</t>
  </si>
  <si>
    <t>rs761538800</t>
  </si>
  <si>
    <t>Y22525</t>
  </si>
  <si>
    <t>rs781768314</t>
  </si>
  <si>
    <t>Y22526</t>
  </si>
  <si>
    <t>rs780965888</t>
  </si>
  <si>
    <t>Y22527</t>
  </si>
  <si>
    <t>rs781073917</t>
  </si>
  <si>
    <t>Y22528</t>
  </si>
  <si>
    <t>Y22529</t>
  </si>
  <si>
    <t>rs761003554</t>
  </si>
  <si>
    <t>Y22530</t>
  </si>
  <si>
    <t>rs990719524</t>
  </si>
  <si>
    <t>YP13</t>
  </si>
  <si>
    <t>rs868848073</t>
  </si>
  <si>
    <t>YP51</t>
  </si>
  <si>
    <t>rs867971913</t>
  </si>
  <si>
    <t>YP60</t>
  </si>
  <si>
    <t>YP108</t>
  </si>
  <si>
    <t>rs867749322</t>
  </si>
  <si>
    <t>YP137</t>
  </si>
  <si>
    <t>rs867723435</t>
  </si>
  <si>
    <t>PF7288</t>
  </si>
  <si>
    <t>PF7300</t>
  </si>
  <si>
    <t>PF7305</t>
  </si>
  <si>
    <t>PF7310</t>
  </si>
  <si>
    <t>PF7318</t>
  </si>
  <si>
    <t>PF7320</t>
  </si>
  <si>
    <t>PF7327</t>
  </si>
  <si>
    <t>PF7332</t>
  </si>
  <si>
    <t>PF7338</t>
  </si>
  <si>
    <t>PF7348</t>
  </si>
  <si>
    <t>PF7351</t>
  </si>
  <si>
    <t>PF7365</t>
  </si>
  <si>
    <t>PF7366</t>
  </si>
  <si>
    <t>PF7370</t>
  </si>
  <si>
    <t>PF7378</t>
  </si>
  <si>
    <t>YP5</t>
  </si>
  <si>
    <t>YP11</t>
  </si>
  <si>
    <t>YP12</t>
  </si>
  <si>
    <t>YP16</t>
  </si>
  <si>
    <t>YP17.2</t>
  </si>
  <si>
    <t>Z8764.2</t>
  </si>
  <si>
    <t>rs749099010</t>
  </si>
  <si>
    <t>YP18</t>
  </si>
  <si>
    <t>YP45</t>
  </si>
  <si>
    <t>YP48</t>
  </si>
  <si>
    <t>YP53</t>
  </si>
  <si>
    <t>YP62</t>
  </si>
  <si>
    <t>YP70</t>
  </si>
  <si>
    <t>YP77</t>
  </si>
  <si>
    <t>YP79</t>
  </si>
  <si>
    <t>YP80</t>
  </si>
  <si>
    <t>YP95</t>
  </si>
  <si>
    <t>YP96</t>
  </si>
  <si>
    <t>YP112</t>
  </si>
  <si>
    <t>YP119</t>
  </si>
  <si>
    <t>rs774370869</t>
  </si>
  <si>
    <t>YP126</t>
  </si>
  <si>
    <t>YP147</t>
  </si>
  <si>
    <t>YP148</t>
  </si>
  <si>
    <t>YP167</t>
  </si>
  <si>
    <t>YP170</t>
  </si>
  <si>
    <t>YP171</t>
  </si>
  <si>
    <t>Z28762</t>
  </si>
  <si>
    <t>CTS2622</t>
  </si>
  <si>
    <t>Z1827</t>
  </si>
  <si>
    <t>rs371349283</t>
  </si>
  <si>
    <t>CTS11335</t>
  </si>
  <si>
    <t>Z2440</t>
  </si>
  <si>
    <t>rs376217696</t>
  </si>
  <si>
    <t>Z575</t>
  </si>
  <si>
    <t>rs373266392</t>
  </si>
  <si>
    <t>rs8179022</t>
  </si>
  <si>
    <t>AM00208</t>
  </si>
  <si>
    <t>AMM117; CTS6496; Z2445</t>
  </si>
  <si>
    <t>rs539087272</t>
  </si>
  <si>
    <t>AMM117</t>
  </si>
  <si>
    <t>AM00208; CTS6496; Z2445</t>
  </si>
  <si>
    <t>CTS6496</t>
  </si>
  <si>
    <t>AM00208; AMM117; Z2445</t>
  </si>
  <si>
    <t>Z2445</t>
  </si>
  <si>
    <t>AM00208; AMM117; CTS6496</t>
  </si>
  <si>
    <t>AM00236</t>
  </si>
  <si>
    <t>Z613</t>
  </si>
  <si>
    <t>rs373819300</t>
  </si>
  <si>
    <t>AM00237</t>
  </si>
  <si>
    <t>CTS8907; Z2402</t>
  </si>
  <si>
    <t>rs371823286</t>
  </si>
  <si>
    <t>FGC61668</t>
  </si>
  <si>
    <t>CTS8907</t>
  </si>
  <si>
    <t>AM00237; Z2402</t>
  </si>
  <si>
    <t>FGC61670</t>
  </si>
  <si>
    <t>Z2402</t>
  </si>
  <si>
    <t>AM00237; CTS8907</t>
  </si>
  <si>
    <t>AM01361</t>
  </si>
  <si>
    <t>Z598; Z2446</t>
  </si>
  <si>
    <t>rs369698543</t>
  </si>
  <si>
    <t>Z598</t>
  </si>
  <si>
    <t>AM01361; Z2446</t>
  </si>
  <si>
    <t>Z2446</t>
  </si>
  <si>
    <t>AM01361; Z598</t>
  </si>
  <si>
    <t>AM01362</t>
  </si>
  <si>
    <t>CTS4412; Z2390</t>
  </si>
  <si>
    <t>rs370252923</t>
  </si>
  <si>
    <t>CTS4412</t>
  </si>
  <si>
    <t>AM01362; Z2390</t>
  </si>
  <si>
    <t>Z2390</t>
  </si>
  <si>
    <t>AM01362; CTS4412</t>
  </si>
  <si>
    <t>AM01363</t>
  </si>
  <si>
    <t>M8769; Z599</t>
  </si>
  <si>
    <t>rs112987230</t>
  </si>
  <si>
    <t>M8769</t>
  </si>
  <si>
    <t>AM01363; Z599</t>
  </si>
  <si>
    <t>Z599</t>
  </si>
  <si>
    <t>AM01363; M8769</t>
  </si>
  <si>
    <t>AM01364</t>
  </si>
  <si>
    <t>CTS5787; Z2399</t>
  </si>
  <si>
    <t>rs369648951</t>
  </si>
  <si>
    <t>CTS5787</t>
  </si>
  <si>
    <t>AM01364; Z2399</t>
  </si>
  <si>
    <t>Z2399</t>
  </si>
  <si>
    <t>AM01364; CTS5787</t>
  </si>
  <si>
    <t>AM01366</t>
  </si>
  <si>
    <t>Z604</t>
  </si>
  <si>
    <t>rs370781490</t>
  </si>
  <si>
    <t>AM01367</t>
  </si>
  <si>
    <t>Z605</t>
  </si>
  <si>
    <t>rs375118756</t>
  </si>
  <si>
    <t>AM01368</t>
  </si>
  <si>
    <t>Z608</t>
  </si>
  <si>
    <t>rs376876481</t>
  </si>
  <si>
    <t>AM01369</t>
  </si>
  <si>
    <t>Z610</t>
  </si>
  <si>
    <t>rs370768795</t>
  </si>
  <si>
    <t>AM01370</t>
  </si>
  <si>
    <t>Z611</t>
  </si>
  <si>
    <t>rs372622499</t>
  </si>
  <si>
    <t>AM01372</t>
  </si>
  <si>
    <t>CTS9389; Z2527</t>
  </si>
  <si>
    <t>rs372296187</t>
  </si>
  <si>
    <t>CTS9389</t>
  </si>
  <si>
    <t>AM01372; Z2527</t>
  </si>
  <si>
    <t>Z2527</t>
  </si>
  <si>
    <t>AM01372; CTS9389</t>
  </si>
  <si>
    <t>AM01373</t>
  </si>
  <si>
    <t>Z618</t>
  </si>
  <si>
    <t>rs369184006</t>
  </si>
  <si>
    <t>AM01374</t>
  </si>
  <si>
    <t>Z2528</t>
  </si>
  <si>
    <t>rs372789791</t>
  </si>
  <si>
    <t>Y12365</t>
  </si>
  <si>
    <t>AM01375</t>
  </si>
  <si>
    <t>Z619</t>
  </si>
  <si>
    <t>rs373074089</t>
  </si>
  <si>
    <t>AM01376</t>
  </si>
  <si>
    <t>Z620</t>
  </si>
  <si>
    <t>rs370516411</t>
  </si>
  <si>
    <t>AM01377</t>
  </si>
  <si>
    <t>S23466; Z2441</t>
  </si>
  <si>
    <t>rs375616484</t>
  </si>
  <si>
    <t>S23466</t>
  </si>
  <si>
    <t>AM01377; Z2441</t>
  </si>
  <si>
    <t>Z2441</t>
  </si>
  <si>
    <t>AM01377; S23466</t>
  </si>
  <si>
    <t>AM01378</t>
  </si>
  <si>
    <t>Z625</t>
  </si>
  <si>
    <t>rs377733031</t>
  </si>
  <si>
    <t>AM01379</t>
  </si>
  <si>
    <t>Z581</t>
  </si>
  <si>
    <t>rs374016144</t>
  </si>
  <si>
    <t>AM01380</t>
  </si>
  <si>
    <t>Z583</t>
  </si>
  <si>
    <t>rs370336511</t>
  </si>
  <si>
    <t>CTS8251</t>
  </si>
  <si>
    <t>Z2526</t>
  </si>
  <si>
    <t>rs747701546</t>
  </si>
  <si>
    <t>S13645</t>
  </si>
  <si>
    <t>Z2524</t>
  </si>
  <si>
    <t>rs368596681</t>
  </si>
  <si>
    <t>SK1406</t>
  </si>
  <si>
    <t>Z591</t>
  </si>
  <si>
    <t>rs370129621</t>
  </si>
  <si>
    <t>SK1407</t>
  </si>
  <si>
    <t>Z629</t>
  </si>
  <si>
    <t>rs371391983</t>
  </si>
  <si>
    <t>Z586</t>
  </si>
  <si>
    <t>rs370929857</t>
  </si>
  <si>
    <t>Z593</t>
  </si>
  <si>
    <t>rs374968971</t>
  </si>
  <si>
    <t>Z601</t>
  </si>
  <si>
    <t>rs377289735</t>
  </si>
  <si>
    <t>Z614</t>
  </si>
  <si>
    <t>rs376120485</t>
  </si>
  <si>
    <t>Z2525</t>
  </si>
  <si>
    <t>rs372094534</t>
  </si>
  <si>
    <t>Z8257</t>
  </si>
  <si>
    <t>rs1294892977</t>
  </si>
  <si>
    <t>Z8263</t>
  </si>
  <si>
    <t>rs373083596</t>
  </si>
  <si>
    <t>L283</t>
  </si>
  <si>
    <t>rs774409727</t>
  </si>
  <si>
    <t>A16862.2</t>
  </si>
  <si>
    <t>AM00223.2; AMM132.2; Z621.2</t>
  </si>
  <si>
    <t>rs746073459</t>
  </si>
  <si>
    <t>AM00223.2</t>
  </si>
  <si>
    <t>A16862.2; AMM132.2; Z621.2</t>
  </si>
  <si>
    <t>AMM132.2</t>
  </si>
  <si>
    <t>A16862.2; AM00223.2; Z621.2</t>
  </si>
  <si>
    <t>Z621.2</t>
  </si>
  <si>
    <t>A16862.2; AM00223.2; AMM132.2</t>
  </si>
  <si>
    <t>AM00197</t>
  </si>
  <si>
    <t>AMM106; Z596</t>
  </si>
  <si>
    <t>rs761441869</t>
  </si>
  <si>
    <t>AMM106</t>
  </si>
  <si>
    <t>AM00197; Z596</t>
  </si>
  <si>
    <t>Z596</t>
  </si>
  <si>
    <t>AM00197; AMM106</t>
  </si>
  <si>
    <t>AM00200</t>
  </si>
  <si>
    <t>AMM109; CTS4554; Z2510</t>
  </si>
  <si>
    <t>AMM109</t>
  </si>
  <si>
    <t>AM00200; CTS4554; Z2510</t>
  </si>
  <si>
    <t>CTS4554</t>
  </si>
  <si>
    <t>AM00200; AMM109; Z2510</t>
  </si>
  <si>
    <t>Z2510</t>
  </si>
  <si>
    <t>AM00200; AMM109; CTS4554</t>
  </si>
  <si>
    <t>AM00202</t>
  </si>
  <si>
    <t>AMM111; CTS5382; Z2512</t>
  </si>
  <si>
    <t>rs769692114</t>
  </si>
  <si>
    <t>AMM111</t>
  </si>
  <si>
    <t>AM00202; CTS5382; Z2512</t>
  </si>
  <si>
    <t>CTS5382</t>
  </si>
  <si>
    <t>AM00202; AMM111; Z2512</t>
  </si>
  <si>
    <t>Z2512</t>
  </si>
  <si>
    <t>AM00202; AMM111; CTS5382</t>
  </si>
  <si>
    <t>AM00203</t>
  </si>
  <si>
    <t>AMM112; CTS5649; Z2513</t>
  </si>
  <si>
    <t>rs751752833</t>
  </si>
  <si>
    <t>AMM112</t>
  </si>
  <si>
    <t>AM00203; CTS5649; Z2513</t>
  </si>
  <si>
    <t>CTS5649</t>
  </si>
  <si>
    <t>AM00203; AMM112; Z2513</t>
  </si>
  <si>
    <t>Z2513</t>
  </si>
  <si>
    <t>AM00203; AMM112; CTS5649</t>
  </si>
  <si>
    <t>AM00204</t>
  </si>
  <si>
    <t>AMM113; CTS5683; Z2514</t>
  </si>
  <si>
    <t>rs768209394</t>
  </si>
  <si>
    <t>AMM113</t>
  </si>
  <si>
    <t>AM00204; CTS5683; Z2514</t>
  </si>
  <si>
    <t>CTS5683</t>
  </si>
  <si>
    <t>AM00204; AMM113; Z2514</t>
  </si>
  <si>
    <t>Z2514</t>
  </si>
  <si>
    <t>AM00204; AMM113; CTS5683</t>
  </si>
  <si>
    <t>AM00206</t>
  </si>
  <si>
    <t>AMM115; M5195; PF2523; Z602</t>
  </si>
  <si>
    <t>rs547212325</t>
  </si>
  <si>
    <t>AMM115</t>
  </si>
  <si>
    <t>AM00206; M5195; PF2523; Z602</t>
  </si>
  <si>
    <t>M5195</t>
  </si>
  <si>
    <t>AM00206; AMM115; PF2523; Z602</t>
  </si>
  <si>
    <t>PF2523</t>
  </si>
  <si>
    <t>AM00206; AMM115; M5195; Z602</t>
  </si>
  <si>
    <t>Z602</t>
  </si>
  <si>
    <t>AM00206; AMM115; M5195; PF2523</t>
  </si>
  <si>
    <t>AM00207.1</t>
  </si>
  <si>
    <t>AMM116.1; Z603.1</t>
  </si>
  <si>
    <t>rs764336775</t>
  </si>
  <si>
    <t>AMM116.1</t>
  </si>
  <si>
    <t>AM00207.1; Z603.1</t>
  </si>
  <si>
    <t>Z603.1</t>
  </si>
  <si>
    <t>AM00207.1; AMM116.1</t>
  </si>
  <si>
    <t>AM00210</t>
  </si>
  <si>
    <t>AMM119; Z609</t>
  </si>
  <si>
    <t>rs756735011</t>
  </si>
  <si>
    <t>AMM119</t>
  </si>
  <si>
    <t>AM00210; Z609</t>
  </si>
  <si>
    <t>Z609</t>
  </si>
  <si>
    <t>AM00210; AMM119</t>
  </si>
  <si>
    <t>AM00211</t>
  </si>
  <si>
    <t>AMM120; CTS7378; Z2398</t>
  </si>
  <si>
    <t>rs772632293</t>
  </si>
  <si>
    <t>AMM120</t>
  </si>
  <si>
    <t>AM00211; CTS7378; Z2398</t>
  </si>
  <si>
    <t>CTS7378</t>
  </si>
  <si>
    <t>AM00211; AMM120; Z2398</t>
  </si>
  <si>
    <t>Z2398</t>
  </si>
  <si>
    <t>AM00211; AMM120; CTS7378</t>
  </si>
  <si>
    <t>AM00212</t>
  </si>
  <si>
    <t>AMM121; Z612</t>
  </si>
  <si>
    <t>rs373574417</t>
  </si>
  <si>
    <t>AMM121</t>
  </si>
  <si>
    <t>AM00212; Z612</t>
  </si>
  <si>
    <t>Z612</t>
  </si>
  <si>
    <t>AM00212; AMM121</t>
  </si>
  <si>
    <t>AM00214</t>
  </si>
  <si>
    <t>AMM123; S21185; Z2517</t>
  </si>
  <si>
    <t>rs768105380</t>
  </si>
  <si>
    <t>AMM123</t>
  </si>
  <si>
    <t>AM00214; S21185; Z2517</t>
  </si>
  <si>
    <t>S21185</t>
  </si>
  <si>
    <t>AM00214; AMM123; Z2517</t>
  </si>
  <si>
    <t>Z2517</t>
  </si>
  <si>
    <t>AM00214; AMM123; S21185</t>
  </si>
  <si>
    <t>AM00215</t>
  </si>
  <si>
    <t>AMM124; CTS9313; Z2518</t>
  </si>
  <si>
    <t>rs761685761</t>
  </si>
  <si>
    <t>AMM124</t>
  </si>
  <si>
    <t>AM00215; CTS9313; Z2518</t>
  </si>
  <si>
    <t>CTS9313</t>
  </si>
  <si>
    <t>AM00215; AMM124; Z2518</t>
  </si>
  <si>
    <t>Z2518</t>
  </si>
  <si>
    <t>AM00215; AMM124; CTS9313</t>
  </si>
  <si>
    <t>AM00218</t>
  </si>
  <si>
    <t>AMM127; CTS10153</t>
  </si>
  <si>
    <t>rs765650232</t>
  </si>
  <si>
    <t>AMM127</t>
  </si>
  <si>
    <t>AM00218; CTS10153</t>
  </si>
  <si>
    <t>CTS10153</t>
  </si>
  <si>
    <t>AM00218; AMM127</t>
  </si>
  <si>
    <t>AM00219</t>
  </si>
  <si>
    <t>AMM128; Z616</t>
  </si>
  <si>
    <t>rs756112044</t>
  </si>
  <si>
    <t>AMM128</t>
  </si>
  <si>
    <t>AM00219; Z616</t>
  </si>
  <si>
    <t>Z616</t>
  </si>
  <si>
    <t>AM00219; AMM128</t>
  </si>
  <si>
    <t>AM00220</t>
  </si>
  <si>
    <t>AMM129; Z617</t>
  </si>
  <si>
    <t>rs367947557</t>
  </si>
  <si>
    <t>AMM129</t>
  </si>
  <si>
    <t>AM00220; Z617</t>
  </si>
  <si>
    <t>Z617</t>
  </si>
  <si>
    <t>AM00220; AMM129</t>
  </si>
  <si>
    <t>AM00221</t>
  </si>
  <si>
    <t>AMM130; Z2520</t>
  </si>
  <si>
    <t>rs752095516</t>
  </si>
  <si>
    <t>AMM130</t>
  </si>
  <si>
    <t>AM00221; Z2520</t>
  </si>
  <si>
    <t>Z2520</t>
  </si>
  <si>
    <t>AM00221; AMM130</t>
  </si>
  <si>
    <t>AM00222</t>
  </si>
  <si>
    <t>AMM131; Z8409</t>
  </si>
  <si>
    <t>rs747571722</t>
  </si>
  <si>
    <t>AMM131</t>
  </si>
  <si>
    <t>AM00222; Z8409</t>
  </si>
  <si>
    <t>Z8409</t>
  </si>
  <si>
    <t>AM00222; AMM131</t>
  </si>
  <si>
    <t>AM00224</t>
  </si>
  <si>
    <t>AMM133; S23613; Z2521</t>
  </si>
  <si>
    <t>rs750657139</t>
  </si>
  <si>
    <t>AMM133</t>
  </si>
  <si>
    <t>AM00224; S23613; Z2521</t>
  </si>
  <si>
    <t>S23613</t>
  </si>
  <si>
    <t>AM00224; AMM133; Z2521</t>
  </si>
  <si>
    <t>Z2521</t>
  </si>
  <si>
    <t>AM00224; AMM133; S23613</t>
  </si>
  <si>
    <t>AM00225</t>
  </si>
  <si>
    <t>AMM134; S23664; Z2675</t>
  </si>
  <si>
    <t>rs751004947</t>
  </si>
  <si>
    <t>AMM134</t>
  </si>
  <si>
    <t>AM00225; S23664; Z2675</t>
  </si>
  <si>
    <t>S23664</t>
  </si>
  <si>
    <t>AM00225; AMM134; Z2675</t>
  </si>
  <si>
    <t>Z2675</t>
  </si>
  <si>
    <t>AM00225; AMM134; S23664</t>
  </si>
  <si>
    <t>AM00226</t>
  </si>
  <si>
    <t>AMM135; Z622</t>
  </si>
  <si>
    <t>rs775773826</t>
  </si>
  <si>
    <t>AMM135</t>
  </si>
  <si>
    <t>AM00226; Z622</t>
  </si>
  <si>
    <t>Z622</t>
  </si>
  <si>
    <t>AM00226; AMM135</t>
  </si>
  <si>
    <t>AM00227</t>
  </si>
  <si>
    <t>AMM136; Z626</t>
  </si>
  <si>
    <t>rs770665858</t>
  </si>
  <si>
    <t>AMM136</t>
  </si>
  <si>
    <t>AM00227; Z626</t>
  </si>
  <si>
    <t>Z626</t>
  </si>
  <si>
    <t>AM00227; AMM136</t>
  </si>
  <si>
    <t>AM00229</t>
  </si>
  <si>
    <t>AMM138; CTS11773; Z2401</t>
  </si>
  <si>
    <t>rs781604175</t>
  </si>
  <si>
    <t>AMM138</t>
  </si>
  <si>
    <t>AM00229; CTS11773; Z2401</t>
  </si>
  <si>
    <t>CTS11773</t>
  </si>
  <si>
    <t>AM00229; AMM138; Z2401</t>
  </si>
  <si>
    <t>Z2401</t>
  </si>
  <si>
    <t>AM00229; AMM138; CTS11773</t>
  </si>
  <si>
    <t>AM00232a</t>
  </si>
  <si>
    <t>AMM141; CTS174; Z2405</t>
  </si>
  <si>
    <t>rs771593617</t>
  </si>
  <si>
    <t>AMM141</t>
  </si>
  <si>
    <t>AM00232a; CTS174; Z2405</t>
  </si>
  <si>
    <t>CTS174</t>
  </si>
  <si>
    <t>AM00232a; AMM141; Z2405</t>
  </si>
  <si>
    <t>Z2405</t>
  </si>
  <si>
    <t>AM00232a; AMM141; CTS174</t>
  </si>
  <si>
    <t>AM00232b</t>
  </si>
  <si>
    <t>AMM142; Z582</t>
  </si>
  <si>
    <t>rs763017068</t>
  </si>
  <si>
    <t>AMM142</t>
  </si>
  <si>
    <t>AM00232b; Z582</t>
  </si>
  <si>
    <t>Z582</t>
  </si>
  <si>
    <t>AM00232b; AMM142</t>
  </si>
  <si>
    <t>CTS10105</t>
  </si>
  <si>
    <t>Z2519</t>
  </si>
  <si>
    <t>rs748082603</t>
  </si>
  <si>
    <t>Z587</t>
  </si>
  <si>
    <t>rs750070826</t>
  </si>
  <si>
    <t>Z588</t>
  </si>
  <si>
    <t>rs746025334</t>
  </si>
  <si>
    <t>Z589</t>
  </si>
  <si>
    <t>rs772322119</t>
  </si>
  <si>
    <t>Z592</t>
  </si>
  <si>
    <t>rs750587437</t>
  </si>
  <si>
    <t>Z594</t>
  </si>
  <si>
    <t>rs745499601</t>
  </si>
  <si>
    <t>Z595</t>
  </si>
  <si>
    <t>rs1436591511</t>
  </si>
  <si>
    <t>Z2383</t>
  </si>
  <si>
    <t>rs1426150760</t>
  </si>
  <si>
    <t>Z2506</t>
  </si>
  <si>
    <t>rs1439168152</t>
  </si>
  <si>
    <t>Z2522</t>
  </si>
  <si>
    <t>rs760618188</t>
  </si>
  <si>
    <t>rs1470247064</t>
  </si>
  <si>
    <t>AM00205</t>
  </si>
  <si>
    <t>AMM114; Z600</t>
  </si>
  <si>
    <t>rs754534938</t>
  </si>
  <si>
    <t>AMM114</t>
  </si>
  <si>
    <t>AM00205; Z600</t>
  </si>
  <si>
    <t>Z600</t>
  </si>
  <si>
    <t>AM00205; AMM114</t>
  </si>
  <si>
    <t>AM00228</t>
  </si>
  <si>
    <t>AMM137; Z627</t>
  </si>
  <si>
    <t>AMM137</t>
  </si>
  <si>
    <t>AM00228; Z627</t>
  </si>
  <si>
    <t>Z627</t>
  </si>
  <si>
    <t>AM00228; AMM137</t>
  </si>
  <si>
    <t>Z590</t>
  </si>
  <si>
    <t>rs756094592</t>
  </si>
  <si>
    <t>rs746207798</t>
  </si>
  <si>
    <t>AM00199</t>
  </si>
  <si>
    <t>AMM108; Z597</t>
  </si>
  <si>
    <t>rs780685789</t>
  </si>
  <si>
    <t>AMM108</t>
  </si>
  <si>
    <t>AM00199; Z597</t>
  </si>
  <si>
    <t>Z597</t>
  </si>
  <si>
    <t>AM00199; AMM108</t>
  </si>
  <si>
    <t>AM00213</t>
  </si>
  <si>
    <t>AMM122; CTS7705; Z2400</t>
  </si>
  <si>
    <t>rs764343124</t>
  </si>
  <si>
    <t>AMM122</t>
  </si>
  <si>
    <t>AM00213; CTS7705; Z2400</t>
  </si>
  <si>
    <t>CTS7705</t>
  </si>
  <si>
    <t>AM00213; AMM122; Z2400</t>
  </si>
  <si>
    <t>Z2400</t>
  </si>
  <si>
    <t>AM00213; AMM122; CTS7705</t>
  </si>
  <si>
    <t>AM00216</t>
  </si>
  <si>
    <t>AMM125; Z615</t>
  </si>
  <si>
    <t>rs758008020</t>
  </si>
  <si>
    <t>AMM125</t>
  </si>
  <si>
    <t>AM00216; Z615</t>
  </si>
  <si>
    <t>Z615</t>
  </si>
  <si>
    <t>AM00216; AMM125</t>
  </si>
  <si>
    <t>AM00217</t>
  </si>
  <si>
    <t>AMM126; Z8417</t>
  </si>
  <si>
    <t>rs747803186</t>
  </si>
  <si>
    <t>AMM126</t>
  </si>
  <si>
    <t>AM00217; Z8417</t>
  </si>
  <si>
    <t>Z8417</t>
  </si>
  <si>
    <t>AM00217; AMM126</t>
  </si>
  <si>
    <t>AM00230</t>
  </si>
  <si>
    <t>AMM139; Z628</t>
  </si>
  <si>
    <t>rs766406880</t>
  </si>
  <si>
    <t>AMM139</t>
  </si>
  <si>
    <t>AM00230; Z628</t>
  </si>
  <si>
    <t>Z628</t>
  </si>
  <si>
    <t>AM00230; AMM139</t>
  </si>
  <si>
    <t>AM00233</t>
  </si>
  <si>
    <t>AMM143; Z584</t>
  </si>
  <si>
    <t>rs765178956</t>
  </si>
  <si>
    <t>AMM143</t>
  </si>
  <si>
    <t>AM00233; Z584</t>
  </si>
  <si>
    <t>Z584</t>
  </si>
  <si>
    <t>AM00233; AMM143</t>
  </si>
  <si>
    <t>Y27530</t>
  </si>
  <si>
    <t>Z2516</t>
  </si>
  <si>
    <t>rs377446573</t>
  </si>
  <si>
    <t>rs755182673</t>
  </si>
  <si>
    <t>AMM448</t>
  </si>
  <si>
    <t>Z638</t>
  </si>
  <si>
    <t>rs757088038</t>
  </si>
  <si>
    <t>AMM451</t>
  </si>
  <si>
    <t>CTS12554</t>
  </si>
  <si>
    <t>rs777736879</t>
  </si>
  <si>
    <t>AMM450</t>
  </si>
  <si>
    <t>CTS8995; Z1296</t>
  </si>
  <si>
    <t>rs775536962</t>
  </si>
  <si>
    <t>CTS8995</t>
  </si>
  <si>
    <t>AMM450; Z1296</t>
  </si>
  <si>
    <t>Z1296</t>
  </si>
  <si>
    <t>AMM450; CTS8995</t>
  </si>
  <si>
    <t>Z1297</t>
  </si>
  <si>
    <t>rs774227939</t>
  </si>
  <si>
    <t>Z1298</t>
  </si>
  <si>
    <t>rs765381672</t>
  </si>
  <si>
    <t>CTS1317</t>
  </si>
  <si>
    <t>Z1295</t>
  </si>
  <si>
    <t>rs749694248</t>
  </si>
  <si>
    <t>Z631</t>
  </si>
  <si>
    <t>rs767259500</t>
  </si>
  <si>
    <t>Z639</t>
  </si>
  <si>
    <t>rs775700828</t>
  </si>
  <si>
    <t>CTS2105</t>
  </si>
  <si>
    <t>Z2531</t>
  </si>
  <si>
    <t>rs767125219</t>
  </si>
  <si>
    <t>CTS10800</t>
  </si>
  <si>
    <t>rs767693373</t>
  </si>
  <si>
    <t>Z636</t>
  </si>
  <si>
    <t>rs757363891</t>
  </si>
  <si>
    <t>Z2532</t>
  </si>
  <si>
    <t>rs774577887</t>
  </si>
  <si>
    <t>CTS9036</t>
  </si>
  <si>
    <t>Z1043</t>
  </si>
  <si>
    <t>rs771959404</t>
  </si>
  <si>
    <t>CTS9038</t>
  </si>
  <si>
    <t>Z1048</t>
  </si>
  <si>
    <t>rs760512218</t>
  </si>
  <si>
    <t>CTS10587</t>
  </si>
  <si>
    <t>rs1046260473</t>
  </si>
  <si>
    <t>PH1553</t>
  </si>
  <si>
    <t>rs769672753</t>
  </si>
  <si>
    <t>PH1656</t>
  </si>
  <si>
    <t>rs765447494</t>
  </si>
  <si>
    <t>PH1864</t>
  </si>
  <si>
    <t>rs753995086</t>
  </si>
  <si>
    <t>PH2264</t>
  </si>
  <si>
    <t>rs776824089</t>
  </si>
  <si>
    <t>PH2579</t>
  </si>
  <si>
    <t>rs769321728</t>
  </si>
  <si>
    <t>PH3746</t>
  </si>
  <si>
    <t>rs756797935</t>
  </si>
  <si>
    <t>A15071</t>
  </si>
  <si>
    <t>A15072</t>
  </si>
  <si>
    <t>A15073</t>
  </si>
  <si>
    <t>A15074</t>
  </si>
  <si>
    <t>A15075</t>
  </si>
  <si>
    <t>Y32998</t>
  </si>
  <si>
    <t>Y32999</t>
  </si>
  <si>
    <t>CTS9945</t>
  </si>
  <si>
    <t>Y29718</t>
  </si>
  <si>
    <t>Y29719</t>
  </si>
  <si>
    <t>Y29721</t>
  </si>
  <si>
    <t>Y30083</t>
  </si>
  <si>
    <t>Y30086</t>
  </si>
  <si>
    <t>Y30087</t>
  </si>
  <si>
    <t>Y30088</t>
  </si>
  <si>
    <t>Y30089</t>
  </si>
  <si>
    <t>Y30090</t>
  </si>
  <si>
    <t>Y30671</t>
  </si>
  <si>
    <t>Y30673</t>
  </si>
  <si>
    <t>Y30674</t>
  </si>
  <si>
    <t>Y30675</t>
  </si>
  <si>
    <t>Y30676</t>
  </si>
  <si>
    <t>Y30677</t>
  </si>
  <si>
    <t>Y30678</t>
  </si>
  <si>
    <t>Y33850</t>
  </si>
  <si>
    <t>ZS1307.2</t>
  </si>
  <si>
    <t>Y29270</t>
  </si>
  <si>
    <t>rs770151778</t>
  </si>
  <si>
    <t>Y30084</t>
  </si>
  <si>
    <t>Y30085</t>
  </si>
  <si>
    <t>Y30091</t>
  </si>
  <si>
    <t>Y30672</t>
  </si>
  <si>
    <t>rs766697446</t>
  </si>
  <si>
    <t>rs758822216</t>
  </si>
  <si>
    <t>Y12000</t>
  </si>
  <si>
    <t>Y12002</t>
  </si>
  <si>
    <t>Y12003</t>
  </si>
  <si>
    <t>Y12004</t>
  </si>
  <si>
    <t>Y12005</t>
  </si>
  <si>
    <t>Y12006</t>
  </si>
  <si>
    <t>Y12413</t>
  </si>
  <si>
    <t>Y33541</t>
  </si>
  <si>
    <t>Y33542</t>
  </si>
  <si>
    <t>Y36242</t>
  </si>
  <si>
    <t>Y36243</t>
  </si>
  <si>
    <t>Y12400</t>
  </si>
  <si>
    <t>Y12937</t>
  </si>
  <si>
    <t>Y21466</t>
  </si>
  <si>
    <t>Y21878</t>
  </si>
  <si>
    <t>rs762634032</t>
  </si>
  <si>
    <t>CTS11100</t>
  </si>
  <si>
    <t>rs750895086</t>
  </si>
  <si>
    <t>rs932183070</t>
  </si>
  <si>
    <t>Z39660</t>
  </si>
  <si>
    <t>Z39661</t>
  </si>
  <si>
    <t>B440</t>
  </si>
  <si>
    <t>rs1014393769</t>
  </si>
  <si>
    <t>Y27522</t>
  </si>
  <si>
    <t>rs1160119966</t>
  </si>
  <si>
    <t>Y23094</t>
  </si>
  <si>
    <t>rs907143038</t>
  </si>
  <si>
    <t>Y23095</t>
  </si>
  <si>
    <t>rs902648135</t>
  </si>
  <si>
    <t>Y23096</t>
  </si>
  <si>
    <t>Y23097</t>
  </si>
  <si>
    <t>rs899349614</t>
  </si>
  <si>
    <t>Y23098</t>
  </si>
  <si>
    <t>rs953716351</t>
  </si>
  <si>
    <t>Y25837</t>
  </si>
  <si>
    <t>rs1047087577</t>
  </si>
  <si>
    <t>Y27523</t>
  </si>
  <si>
    <t>rs1002996138</t>
  </si>
  <si>
    <t>Y27524</t>
  </si>
  <si>
    <t>rs1474282784</t>
  </si>
  <si>
    <t>Y27525</t>
  </si>
  <si>
    <t>rs1046221958</t>
  </si>
  <si>
    <t>CTS8746</t>
  </si>
  <si>
    <t>M1763</t>
  </si>
  <si>
    <t>rs72611652</t>
  </si>
  <si>
    <t>Y36192</t>
  </si>
  <si>
    <t>Y36193</t>
  </si>
  <si>
    <t>Y36194</t>
  </si>
  <si>
    <t>Y36195</t>
  </si>
  <si>
    <t>Y36196</t>
  </si>
  <si>
    <t>Y36197</t>
  </si>
  <si>
    <t>Y36198</t>
  </si>
  <si>
    <t>Y36199</t>
  </si>
  <si>
    <t>Y36200</t>
  </si>
  <si>
    <t>Y36201</t>
  </si>
  <si>
    <t>Y36203</t>
  </si>
  <si>
    <t>Y36204</t>
  </si>
  <si>
    <t>Y36205</t>
  </si>
  <si>
    <t>Y36306</t>
  </si>
  <si>
    <t>Y36779</t>
  </si>
  <si>
    <t>Y36780</t>
  </si>
  <si>
    <t>Y36782</t>
  </si>
  <si>
    <t>PF3664.2</t>
  </si>
  <si>
    <t>V2273.2; Z2638.2</t>
  </si>
  <si>
    <t>rs576173261</t>
  </si>
  <si>
    <t>V2273.2</t>
  </si>
  <si>
    <t>PF3664.2; Z2638.2</t>
  </si>
  <si>
    <t>Z2638.2</t>
  </si>
  <si>
    <t>PF3664.2; V2273.2</t>
  </si>
  <si>
    <t>PH2202</t>
  </si>
  <si>
    <t>rs745755983</t>
  </si>
  <si>
    <t>PH2618</t>
  </si>
  <si>
    <t>rs757212584</t>
  </si>
  <si>
    <t>PH2967</t>
  </si>
  <si>
    <t>rs761063715</t>
  </si>
  <si>
    <t>PH3120</t>
  </si>
  <si>
    <t>rs756529715</t>
  </si>
  <si>
    <t>PH3168</t>
  </si>
  <si>
    <t>rs759082079</t>
  </si>
  <si>
    <t>PH4581</t>
  </si>
  <si>
    <t>rs762814885</t>
  </si>
  <si>
    <t>PH4679</t>
  </si>
  <si>
    <t>rs762440402</t>
  </si>
  <si>
    <t>PH4861</t>
  </si>
  <si>
    <t>rs751982177</t>
  </si>
  <si>
    <t>Y21045</t>
  </si>
  <si>
    <t>Z38294</t>
  </si>
  <si>
    <t>rs935883225</t>
  </si>
  <si>
    <t>Z38295</t>
  </si>
  <si>
    <t>Z38296</t>
  </si>
  <si>
    <t>rs1002346888</t>
  </si>
  <si>
    <t>Z38297</t>
  </si>
  <si>
    <t>Z38300</t>
  </si>
  <si>
    <t>rs928344498</t>
  </si>
  <si>
    <t>Z39481</t>
  </si>
  <si>
    <t>PH1084</t>
  </si>
  <si>
    <t>rs747257734</t>
  </si>
  <si>
    <t>PH1751</t>
  </si>
  <si>
    <t>rs750907102</t>
  </si>
  <si>
    <t>Y20900</t>
  </si>
  <si>
    <t>Z38298</t>
  </si>
  <si>
    <t>Z38299</t>
  </si>
  <si>
    <t>rs1197972045</t>
  </si>
  <si>
    <t>CTS3617</t>
  </si>
  <si>
    <t>rs991040414</t>
  </si>
  <si>
    <t>CTS9215</t>
  </si>
  <si>
    <t>rs969046898</t>
  </si>
  <si>
    <t>Y15058</t>
  </si>
  <si>
    <t>Z34462</t>
  </si>
  <si>
    <t>Z40052</t>
  </si>
  <si>
    <t>rs941644801</t>
  </si>
  <si>
    <t>Z40053</t>
  </si>
  <si>
    <t>rs963817690</t>
  </si>
  <si>
    <t>rs1039845004</t>
  </si>
  <si>
    <t>PH1601</t>
  </si>
  <si>
    <t>rs764570475</t>
  </si>
  <si>
    <t>PH1602</t>
  </si>
  <si>
    <t>rs772080095</t>
  </si>
  <si>
    <t>PH2350</t>
  </si>
  <si>
    <t>rs776055356</t>
  </si>
  <si>
    <t>Y936</t>
  </si>
  <si>
    <t>rs757619254</t>
  </si>
  <si>
    <t>CTS6190</t>
  </si>
  <si>
    <t>rs994306301</t>
  </si>
  <si>
    <t>Y16504</t>
  </si>
  <si>
    <t>rs980312583</t>
  </si>
  <si>
    <t>Z34473</t>
  </si>
  <si>
    <t>rs1033893239</t>
  </si>
  <si>
    <t>Z34474</t>
  </si>
  <si>
    <t>CTS473</t>
  </si>
  <si>
    <t>rs888102719</t>
  </si>
  <si>
    <t>CTS2552</t>
  </si>
  <si>
    <t>CTS5400</t>
  </si>
  <si>
    <t>Y22038</t>
  </si>
  <si>
    <t>rs910854065</t>
  </si>
  <si>
    <t>Y22040</t>
  </si>
  <si>
    <t>Y22878</t>
  </si>
  <si>
    <t>Y22879</t>
  </si>
  <si>
    <t>Y22881</t>
  </si>
  <si>
    <t>Y22882</t>
  </si>
  <si>
    <t>Y33795</t>
  </si>
  <si>
    <t>Y33796</t>
  </si>
  <si>
    <t>Y33797</t>
  </si>
  <si>
    <t>Y33798</t>
  </si>
  <si>
    <t>Y33799</t>
  </si>
  <si>
    <t>Y33800</t>
  </si>
  <si>
    <t>Y33801</t>
  </si>
  <si>
    <t>Y33802</t>
  </si>
  <si>
    <t>Y33803</t>
  </si>
  <si>
    <t>Y34370</t>
  </si>
  <si>
    <t>Y34371</t>
  </si>
  <si>
    <t>Y34372</t>
  </si>
  <si>
    <t>Y38002</t>
  </si>
  <si>
    <t>Y36163</t>
  </si>
  <si>
    <t>Y36164</t>
  </si>
  <si>
    <t>Y36165</t>
  </si>
  <si>
    <t>Y36166</t>
  </si>
  <si>
    <t>Y36167</t>
  </si>
  <si>
    <t>Y36168</t>
  </si>
  <si>
    <t>Y36169</t>
  </si>
  <si>
    <t>Y36170</t>
  </si>
  <si>
    <t>Y36171</t>
  </si>
  <si>
    <t>Y36172</t>
  </si>
  <si>
    <t>Y36173</t>
  </si>
  <si>
    <t>Y36174</t>
  </si>
  <si>
    <t>Y36175</t>
  </si>
  <si>
    <t>Y36176</t>
  </si>
  <si>
    <t>Y36177</t>
  </si>
  <si>
    <t>Y36862</t>
  </si>
  <si>
    <t>Y36863</t>
  </si>
  <si>
    <t>Y36864</t>
  </si>
  <si>
    <t>Y36865</t>
  </si>
  <si>
    <t>Y36866</t>
  </si>
  <si>
    <t>FGC64027</t>
  </si>
  <si>
    <t>FGC64029</t>
  </si>
  <si>
    <t>rs943955756</t>
  </si>
  <si>
    <t>FGC64036</t>
  </si>
  <si>
    <t>rs1042802986</t>
  </si>
  <si>
    <t>FGC64037</t>
  </si>
  <si>
    <t>rs990081334</t>
  </si>
  <si>
    <t>FGC64043</t>
  </si>
  <si>
    <t>rs930544425</t>
  </si>
  <si>
    <t>S19177</t>
  </si>
  <si>
    <t>Y18963</t>
  </si>
  <si>
    <t>Y18966</t>
  </si>
  <si>
    <t>rs900851369</t>
  </si>
  <si>
    <t>YP6</t>
  </si>
  <si>
    <t>Z28755</t>
  </si>
  <si>
    <t>rs1044125438</t>
  </si>
  <si>
    <t>YP14</t>
  </si>
  <si>
    <t>YP15</t>
  </si>
  <si>
    <t>YP25</t>
  </si>
  <si>
    <t>YP43</t>
  </si>
  <si>
    <t>YP57</t>
  </si>
  <si>
    <t>rs961580615</t>
  </si>
  <si>
    <t>YP63</t>
  </si>
  <si>
    <t>rs1035302867</t>
  </si>
  <si>
    <t>YP73</t>
  </si>
  <si>
    <t>YP74</t>
  </si>
  <si>
    <t>YP75</t>
  </si>
  <si>
    <t>YP83</t>
  </si>
  <si>
    <t>Z28750</t>
  </si>
  <si>
    <t>rs963682563</t>
  </si>
  <si>
    <t>YP88</t>
  </si>
  <si>
    <t>rs930833491</t>
  </si>
  <si>
    <t>YP89</t>
  </si>
  <si>
    <t>YP92</t>
  </si>
  <si>
    <t>YP113</t>
  </si>
  <si>
    <t>rs1021705564</t>
  </si>
  <si>
    <t>YP114</t>
  </si>
  <si>
    <t>YP117</t>
  </si>
  <si>
    <t>YP122</t>
  </si>
  <si>
    <t>Z28756</t>
  </si>
  <si>
    <t>rs1037301106</t>
  </si>
  <si>
    <t>YP123</t>
  </si>
  <si>
    <t>rs1003740652</t>
  </si>
  <si>
    <t>YP125</t>
  </si>
  <si>
    <t>YP128</t>
  </si>
  <si>
    <t>rs985133763</t>
  </si>
  <si>
    <t>YP131</t>
  </si>
  <si>
    <t>YP139</t>
  </si>
  <si>
    <t>Z28754</t>
  </si>
  <si>
    <t>rs1020565074</t>
  </si>
  <si>
    <t>YP156</t>
  </si>
  <si>
    <t>Z28751</t>
  </si>
  <si>
    <t>YP160</t>
  </si>
  <si>
    <t>YP177</t>
  </si>
  <si>
    <t>Z28752</t>
  </si>
  <si>
    <t>rs987758567</t>
  </si>
  <si>
    <t>YP178</t>
  </si>
  <si>
    <t>Z28753</t>
  </si>
  <si>
    <t>rs923985460</t>
  </si>
  <si>
    <t>YP179</t>
  </si>
  <si>
    <t>rs928024365</t>
  </si>
  <si>
    <t>YP4764</t>
  </si>
  <si>
    <t>S18473</t>
  </si>
  <si>
    <t>YP50</t>
  </si>
  <si>
    <t>YP162</t>
  </si>
  <si>
    <t>M7773</t>
  </si>
  <si>
    <t>rs560663377</t>
  </si>
  <si>
    <t>Y24698</t>
  </si>
  <si>
    <t>YP49</t>
  </si>
  <si>
    <t>CTS6883</t>
  </si>
  <si>
    <t>rs9786759</t>
  </si>
  <si>
    <t>YP1</t>
  </si>
  <si>
    <t>YP142</t>
  </si>
  <si>
    <t>YP157</t>
  </si>
  <si>
    <t>S17101</t>
  </si>
  <si>
    <t>YP64</t>
  </si>
  <si>
    <t>rs999307220</t>
  </si>
  <si>
    <t>YP29</t>
  </si>
  <si>
    <t>YP38</t>
  </si>
  <si>
    <t>YP40</t>
  </si>
  <si>
    <t>YP61</t>
  </si>
  <si>
    <t>rs977540068</t>
  </si>
  <si>
    <t>YP65</t>
  </si>
  <si>
    <t>rs895497480</t>
  </si>
  <si>
    <t>YP67</t>
  </si>
  <si>
    <t>YP91</t>
  </si>
  <si>
    <t>rs934866896</t>
  </si>
  <si>
    <t>YP94</t>
  </si>
  <si>
    <t>YP102</t>
  </si>
  <si>
    <t>YP124</t>
  </si>
  <si>
    <t>YP133</t>
  </si>
  <si>
    <t>YP135</t>
  </si>
  <si>
    <t>YP152</t>
  </si>
  <si>
    <t>YP153</t>
  </si>
  <si>
    <t>rs1055743703</t>
  </si>
  <si>
    <t>YP155</t>
  </si>
  <si>
    <t>YP181</t>
  </si>
  <si>
    <t>YP182</t>
  </si>
  <si>
    <t>Y949</t>
  </si>
  <si>
    <t>rs538316134</t>
  </si>
  <si>
    <t>Y966</t>
  </si>
  <si>
    <t>rs77437363</t>
  </si>
  <si>
    <t>Y977</t>
  </si>
  <si>
    <t>rs376522793</t>
  </si>
  <si>
    <t>Y12366</t>
  </si>
  <si>
    <t>ZS308</t>
  </si>
  <si>
    <t>rs376236168</t>
  </si>
  <si>
    <t>Z2432</t>
  </si>
  <si>
    <t>rs375172586</t>
  </si>
  <si>
    <t>Z2434</t>
  </si>
  <si>
    <t>rs376684769</t>
  </si>
  <si>
    <t>Z2435</t>
  </si>
  <si>
    <t>rs556443318</t>
  </si>
  <si>
    <t>Z2436</t>
  </si>
  <si>
    <t>rs374595675</t>
  </si>
  <si>
    <t>Z2444</t>
  </si>
  <si>
    <t>rs371477906</t>
  </si>
  <si>
    <t>Z2447</t>
  </si>
  <si>
    <t>rs377341663</t>
  </si>
  <si>
    <t>Z8270</t>
  </si>
  <si>
    <t>rs372601442</t>
  </si>
  <si>
    <t>Z8271</t>
  </si>
  <si>
    <t>rs374620074</t>
  </si>
  <si>
    <t>Z8272</t>
  </si>
  <si>
    <t>rs558925970</t>
  </si>
  <si>
    <t>Z8274</t>
  </si>
  <si>
    <t>rs370184639</t>
  </si>
  <si>
    <t>FGC61903</t>
  </si>
  <si>
    <t>rs757238210</t>
  </si>
  <si>
    <t>FGC61905</t>
  </si>
  <si>
    <t>rs750568051</t>
  </si>
  <si>
    <t>FGC61921</t>
  </si>
  <si>
    <t>rs1007096036</t>
  </si>
  <si>
    <t>FGC61928</t>
  </si>
  <si>
    <t>rs1043008635</t>
  </si>
  <si>
    <t>Y28235</t>
  </si>
  <si>
    <t>rs760987333</t>
  </si>
  <si>
    <t>Y28236</t>
  </si>
  <si>
    <t>rs779165287</t>
  </si>
  <si>
    <t>Y28238</t>
  </si>
  <si>
    <t>rs763333232</t>
  </si>
  <si>
    <t>Y28243</t>
  </si>
  <si>
    <t>Y28246</t>
  </si>
  <si>
    <t>rs768126097</t>
  </si>
  <si>
    <t>Y28247</t>
  </si>
  <si>
    <t>rs758237310</t>
  </si>
  <si>
    <t>Y28248</t>
  </si>
  <si>
    <t>rs779990662</t>
  </si>
  <si>
    <t>Y28249</t>
  </si>
  <si>
    <t>rs766556842</t>
  </si>
  <si>
    <t>Y28250</t>
  </si>
  <si>
    <t>rs749911117</t>
  </si>
  <si>
    <t>Y28253</t>
  </si>
  <si>
    <t>rs768358611</t>
  </si>
  <si>
    <t>Y28254</t>
  </si>
  <si>
    <t>rs760269821</t>
  </si>
  <si>
    <t>Y28256</t>
  </si>
  <si>
    <t>rs751184001</t>
  </si>
  <si>
    <t>Y29539</t>
  </si>
  <si>
    <t>rs761805418</t>
  </si>
  <si>
    <t>Y29542</t>
  </si>
  <si>
    <t>rs754293187</t>
  </si>
  <si>
    <t>Y29545</t>
  </si>
  <si>
    <t>rs750166904</t>
  </si>
  <si>
    <t>Y29546</t>
  </si>
  <si>
    <t>rs780352135</t>
  </si>
  <si>
    <t>Y29547</t>
  </si>
  <si>
    <t>rs745391185</t>
  </si>
  <si>
    <t>Y29548</t>
  </si>
  <si>
    <t>rs774921635</t>
  </si>
  <si>
    <t>Y29549</t>
  </si>
  <si>
    <t>Y29550</t>
  </si>
  <si>
    <t>Y29551</t>
  </si>
  <si>
    <t>rs756738850</t>
  </si>
  <si>
    <t>Y33846</t>
  </si>
  <si>
    <t>rs774035066</t>
  </si>
  <si>
    <t>Y35060</t>
  </si>
  <si>
    <t>rs996313702</t>
  </si>
  <si>
    <t>Y28237</t>
  </si>
  <si>
    <t>rs750436944</t>
  </si>
  <si>
    <t>Y28239</t>
  </si>
  <si>
    <t>rs750875840</t>
  </si>
  <si>
    <t>Y28240</t>
  </si>
  <si>
    <t>rs761296970</t>
  </si>
  <si>
    <t>Y28242</t>
  </si>
  <si>
    <t>rs1050793189</t>
  </si>
  <si>
    <t>Y28244</t>
  </si>
  <si>
    <t>Y28245</t>
  </si>
  <si>
    <t>rs780730201</t>
  </si>
  <si>
    <t>Y28251</t>
  </si>
  <si>
    <t>rs984986375</t>
  </si>
  <si>
    <t>Y28255</t>
  </si>
  <si>
    <t>rs759039107</t>
  </si>
  <si>
    <t>Y28257</t>
  </si>
  <si>
    <t>rs760424592</t>
  </si>
  <si>
    <t>Y28258</t>
  </si>
  <si>
    <t>rs767401198</t>
  </si>
  <si>
    <t>Y29540</t>
  </si>
  <si>
    <t>rs753037520</t>
  </si>
  <si>
    <t>Y29541</t>
  </si>
  <si>
    <t>rs750302768</t>
  </si>
  <si>
    <t>Y29543</t>
  </si>
  <si>
    <t>rs1029848781</t>
  </si>
  <si>
    <t>Y29544</t>
  </si>
  <si>
    <t>rs748049840</t>
  </si>
  <si>
    <t>Y33847</t>
  </si>
  <si>
    <t>rs748624876</t>
  </si>
  <si>
    <t>FGC31634</t>
  </si>
  <si>
    <t>Y12367</t>
  </si>
  <si>
    <t>rs374597371</t>
  </si>
  <si>
    <t>Y956</t>
  </si>
  <si>
    <t>rs1481017969</t>
  </si>
  <si>
    <t>Y961</t>
  </si>
  <si>
    <t>rs374603298</t>
  </si>
  <si>
    <t>Y1010</t>
  </si>
  <si>
    <t>rs376309376</t>
  </si>
  <si>
    <t>Z2433</t>
  </si>
  <si>
    <t>rs371888615</t>
  </si>
  <si>
    <t>Z2438</t>
  </si>
  <si>
    <t>rs372091778</t>
  </si>
  <si>
    <t>Z2439</t>
  </si>
  <si>
    <t>rs367595891</t>
  </si>
  <si>
    <t>Z2449</t>
  </si>
  <si>
    <t>rs376091414</t>
  </si>
  <si>
    <t>Z8282</t>
  </si>
  <si>
    <t>rs372829182</t>
  </si>
  <si>
    <t>Z8283</t>
  </si>
  <si>
    <t>rs369882525</t>
  </si>
  <si>
    <t>FGC31635</t>
  </si>
  <si>
    <t>rs756076258</t>
  </si>
  <si>
    <t>Y978</t>
  </si>
  <si>
    <t>rs747681373</t>
  </si>
  <si>
    <t>Y988</t>
  </si>
  <si>
    <t>rs764099118</t>
  </si>
  <si>
    <t>Y1011</t>
  </si>
  <si>
    <t>Z8315.1</t>
  </si>
  <si>
    <t>M11814.1</t>
  </si>
  <si>
    <t>rs765090828</t>
  </si>
  <si>
    <t>Z8330</t>
  </si>
  <si>
    <t>rs766523783</t>
  </si>
  <si>
    <t>Z8331</t>
  </si>
  <si>
    <t>Z8332</t>
  </si>
  <si>
    <t>rs779675463</t>
  </si>
  <si>
    <t>Z8335</t>
  </si>
  <si>
    <t>Y958</t>
  </si>
  <si>
    <t>rs765649656</t>
  </si>
  <si>
    <t>Z8292</t>
  </si>
  <si>
    <t>Z8297</t>
  </si>
  <si>
    <t>rs755165668</t>
  </si>
  <si>
    <t>Z8299</t>
  </si>
  <si>
    <t>rs771748606</t>
  </si>
  <si>
    <t>Z8300</t>
  </si>
  <si>
    <t>rs773300611</t>
  </si>
  <si>
    <t>Z8313</t>
  </si>
  <si>
    <t>rs748400120</t>
  </si>
  <si>
    <t>Z8321</t>
  </si>
  <si>
    <t>rs777696931</t>
  </si>
  <si>
    <t>Z8322</t>
  </si>
  <si>
    <t>rs761864123</t>
  </si>
  <si>
    <t>Z8323</t>
  </si>
  <si>
    <t>rs766849441</t>
  </si>
  <si>
    <t>Z8324</t>
  </si>
  <si>
    <t>rs776312567</t>
  </si>
  <si>
    <t>rs781568847</t>
  </si>
  <si>
    <t>S13646</t>
  </si>
  <si>
    <t>Y29928</t>
  </si>
  <si>
    <t>Y33893</t>
  </si>
  <si>
    <t>Y33895</t>
  </si>
  <si>
    <t>Y33896</t>
  </si>
  <si>
    <t>Y33897</t>
  </si>
  <si>
    <t>Y33898</t>
  </si>
  <si>
    <t>Y33899</t>
  </si>
  <si>
    <t>Y33900</t>
  </si>
  <si>
    <t>Y33901</t>
  </si>
  <si>
    <t>Y33902</t>
  </si>
  <si>
    <t>Y33903</t>
  </si>
  <si>
    <t>Y33904</t>
  </si>
  <si>
    <t>Y33906</t>
  </si>
  <si>
    <t>Y33908</t>
  </si>
  <si>
    <t>Y33909</t>
  </si>
  <si>
    <t>Y33910</t>
  </si>
  <si>
    <t>Y33911</t>
  </si>
  <si>
    <t>Y33912</t>
  </si>
  <si>
    <t>Y33913</t>
  </si>
  <si>
    <t>Y33914</t>
  </si>
  <si>
    <t>Y33915</t>
  </si>
  <si>
    <t>Y33916</t>
  </si>
  <si>
    <t>Y33917</t>
  </si>
  <si>
    <t>Y33918</t>
  </si>
  <si>
    <t>Y33919</t>
  </si>
  <si>
    <t>Y33920</t>
  </si>
  <si>
    <t>Y33921</t>
  </si>
  <si>
    <t>Y33922</t>
  </si>
  <si>
    <t>Y33923</t>
  </si>
  <si>
    <t>Y33924</t>
  </si>
  <si>
    <t>Y33925</t>
  </si>
  <si>
    <t>Y33926</t>
  </si>
  <si>
    <t>Y33927</t>
  </si>
  <si>
    <t>Y33928</t>
  </si>
  <si>
    <t>Y33929</t>
  </si>
  <si>
    <t>Y33930</t>
  </si>
  <si>
    <t>Y33932</t>
  </si>
  <si>
    <t>Y33933</t>
  </si>
  <si>
    <t>Y33934</t>
  </si>
  <si>
    <t>Y33935</t>
  </si>
  <si>
    <t>Y33937</t>
  </si>
  <si>
    <t>Y33938</t>
  </si>
  <si>
    <t>Y33942</t>
  </si>
  <si>
    <t>Y33943</t>
  </si>
  <si>
    <t>Y33944</t>
  </si>
  <si>
    <t>Y33945</t>
  </si>
  <si>
    <t>Y33946</t>
  </si>
  <si>
    <t>Y33948</t>
  </si>
  <si>
    <t>Y33949</t>
  </si>
  <si>
    <t>Y33950</t>
  </si>
  <si>
    <t>Y35063</t>
  </si>
  <si>
    <t>Y35067</t>
  </si>
  <si>
    <t>Y35068</t>
  </si>
  <si>
    <t>S21603</t>
  </si>
  <si>
    <t>Y33941</t>
  </si>
  <si>
    <t>Y33947</t>
  </si>
  <si>
    <t>S20796</t>
  </si>
  <si>
    <t>Z8319</t>
  </si>
  <si>
    <t>rs753948722</t>
  </si>
  <si>
    <t>Y960</t>
  </si>
  <si>
    <t>rs781312411</t>
  </si>
  <si>
    <t>Y973</t>
  </si>
  <si>
    <t>rs774463124</t>
  </si>
  <si>
    <t>Y982</t>
  </si>
  <si>
    <t>rs779966769</t>
  </si>
  <si>
    <t>Y987</t>
  </si>
  <si>
    <t>rs760229820</t>
  </si>
  <si>
    <t>Y993</t>
  </si>
  <si>
    <t>rs750229491</t>
  </si>
  <si>
    <t>Y994</t>
  </si>
  <si>
    <t>rs771955235</t>
  </si>
  <si>
    <t>Y996</t>
  </si>
  <si>
    <t>rs768662877</t>
  </si>
  <si>
    <t>Y997</t>
  </si>
  <si>
    <t>rs777197128</t>
  </si>
  <si>
    <t>Z8284</t>
  </si>
  <si>
    <t>Z8298</t>
  </si>
  <si>
    <t>rs759725240</t>
  </si>
  <si>
    <t>Z8301</t>
  </si>
  <si>
    <t>rs771807664</t>
  </si>
  <si>
    <t>Z8305</t>
  </si>
  <si>
    <t>Z8310</t>
  </si>
  <si>
    <t>rs756680932</t>
  </si>
  <si>
    <t>Z8311</t>
  </si>
  <si>
    <t>rs771726327</t>
  </si>
  <si>
    <t>Z8312</t>
  </si>
  <si>
    <t>rs756982829</t>
  </si>
  <si>
    <t>Z8314</t>
  </si>
  <si>
    <t>rs762057727</t>
  </si>
  <si>
    <t>Z8317</t>
  </si>
  <si>
    <t>rs746296705</t>
  </si>
  <si>
    <t>Z8318</t>
  </si>
  <si>
    <t>rs765384802</t>
  </si>
  <si>
    <t>Z8320</t>
  </si>
  <si>
    <t>rs777575651</t>
  </si>
  <si>
    <t>Z8325</t>
  </si>
  <si>
    <t>Candidate additions</t>
  </si>
  <si>
    <t>Z8333</t>
  </si>
  <si>
    <t>rs775426677</t>
  </si>
  <si>
    <t>Z8334</t>
  </si>
  <si>
    <t>rs767297419</t>
  </si>
  <si>
    <t>Z8336</t>
  </si>
  <si>
    <t>rs781046920</t>
  </si>
  <si>
    <t>Z2437</t>
  </si>
  <si>
    <t>rs372944983</t>
  </si>
  <si>
    <t>Y965</t>
  </si>
  <si>
    <t>rs761983577</t>
  </si>
  <si>
    <t>Y1009</t>
  </si>
  <si>
    <t>rs774698435</t>
  </si>
  <si>
    <t>Z8339</t>
  </si>
  <si>
    <t>rs1026207047</t>
  </si>
  <si>
    <t>Z8340</t>
  </si>
  <si>
    <t>rs758334877</t>
  </si>
  <si>
    <t>rs950626834</t>
  </si>
  <si>
    <t>M8158</t>
  </si>
  <si>
    <t>rs548545045</t>
  </si>
  <si>
    <t>Y947</t>
  </si>
  <si>
    <t>rs750968138</t>
  </si>
  <si>
    <t>Y948</t>
  </si>
  <si>
    <t>rs763467533</t>
  </si>
  <si>
    <t>Y962</t>
  </si>
  <si>
    <t>ZS309</t>
  </si>
  <si>
    <t>rs368926107</t>
  </si>
  <si>
    <t>Y970</t>
  </si>
  <si>
    <t>rs753129806</t>
  </si>
  <si>
    <t>Y972</t>
  </si>
  <si>
    <t>rs770031559</t>
  </si>
  <si>
    <t>Y979</t>
  </si>
  <si>
    <t>rs775885040</t>
  </si>
  <si>
    <t>Y984</t>
  </si>
  <si>
    <t>rs760368497</t>
  </si>
  <si>
    <t>Y986</t>
  </si>
  <si>
    <t>rs781441737</t>
  </si>
  <si>
    <t>Y989.1</t>
  </si>
  <si>
    <t>ZS332.1</t>
  </si>
  <si>
    <t>rs866541334</t>
  </si>
  <si>
    <t>Y990</t>
  </si>
  <si>
    <t>Y995</t>
  </si>
  <si>
    <t>rs745457847</t>
  </si>
  <si>
    <t>Y2152</t>
  </si>
  <si>
    <t>Y2156</t>
  </si>
  <si>
    <t>rs758425666</t>
  </si>
  <si>
    <t>Y2161</t>
  </si>
  <si>
    <t>ZS314</t>
  </si>
  <si>
    <t>rs368561924</t>
  </si>
  <si>
    <t>Y2162</t>
  </si>
  <si>
    <t>ZS326</t>
  </si>
  <si>
    <t>rs373265884</t>
  </si>
  <si>
    <t>Z8348</t>
  </si>
  <si>
    <t>rs745456657</t>
  </si>
  <si>
    <t>Z8349</t>
  </si>
  <si>
    <t>rs779001310</t>
  </si>
  <si>
    <t>Z8351</t>
  </si>
  <si>
    <t>rs750614204</t>
  </si>
  <si>
    <t>Z8352</t>
  </si>
  <si>
    <t>rs773779451</t>
  </si>
  <si>
    <t>Z8353</t>
  </si>
  <si>
    <t>rs764740893</t>
  </si>
  <si>
    <t>Z8354</t>
  </si>
  <si>
    <t>rs757198098</t>
  </si>
  <si>
    <t>Z8356</t>
  </si>
  <si>
    <t>rs752703801</t>
  </si>
  <si>
    <t>Z8357</t>
  </si>
  <si>
    <t>Z8359</t>
  </si>
  <si>
    <t>rs773954209</t>
  </si>
  <si>
    <t>Z8362</t>
  </si>
  <si>
    <t>Z8364</t>
  </si>
  <si>
    <t>rs762638199</t>
  </si>
  <si>
    <t>Z8384</t>
  </si>
  <si>
    <t>rs566267256</t>
  </si>
  <si>
    <t>Z8389</t>
  </si>
  <si>
    <t>Z8391</t>
  </si>
  <si>
    <t>rs375000913</t>
  </si>
  <si>
    <t>Z8394</t>
  </si>
  <si>
    <t>rs368825396</t>
  </si>
  <si>
    <t>Z8395</t>
  </si>
  <si>
    <t>rs368386554</t>
  </si>
  <si>
    <t>Z2443</t>
  </si>
  <si>
    <t>rs367627104</t>
  </si>
  <si>
    <t>Z2448</t>
  </si>
  <si>
    <t>rs375809325</t>
  </si>
  <si>
    <t>Z8370</t>
  </si>
  <si>
    <t>rs372745146</t>
  </si>
  <si>
    <t>Y963</t>
  </si>
  <si>
    <t>ZS310</t>
  </si>
  <si>
    <t>rs373955438</t>
  </si>
  <si>
    <t>Y969</t>
  </si>
  <si>
    <t>ZS319</t>
  </si>
  <si>
    <t>rs373883450</t>
  </si>
  <si>
    <t>Y980</t>
  </si>
  <si>
    <t>ZS328</t>
  </si>
  <si>
    <t>rs375554541</t>
  </si>
  <si>
    <t>Y991</t>
  </si>
  <si>
    <t>ZS333</t>
  </si>
  <si>
    <t>rs376148253</t>
  </si>
  <si>
    <t>Y998</t>
  </si>
  <si>
    <t>ZS336</t>
  </si>
  <si>
    <t>rs368425918</t>
  </si>
  <si>
    <t>Y2163</t>
  </si>
  <si>
    <t>ZS329</t>
  </si>
  <si>
    <t>rs368774041</t>
  </si>
  <si>
    <t>Y2165</t>
  </si>
  <si>
    <t>ZS340</t>
  </si>
  <si>
    <t>rs376210187</t>
  </si>
  <si>
    <t>Z8377</t>
  </si>
  <si>
    <t>rs375937006</t>
  </si>
  <si>
    <t>Z8379</t>
  </si>
  <si>
    <t>rs375041880</t>
  </si>
  <si>
    <t>Z8385</t>
  </si>
  <si>
    <t>rs370120991</t>
  </si>
  <si>
    <t>Z8386</t>
  </si>
  <si>
    <t>rs371791277</t>
  </si>
  <si>
    <t>Z8387</t>
  </si>
  <si>
    <t>rs755368180</t>
  </si>
  <si>
    <t>Z8388</t>
  </si>
  <si>
    <t>rs747002378</t>
  </si>
  <si>
    <t>Z8390</t>
  </si>
  <si>
    <t>rs372312964</t>
  </si>
  <si>
    <t>Z8392</t>
  </si>
  <si>
    <t>rs371779815</t>
  </si>
  <si>
    <t>ZS280</t>
  </si>
  <si>
    <t>rs776677516</t>
  </si>
  <si>
    <t>ZS292</t>
  </si>
  <si>
    <t>M9942</t>
  </si>
  <si>
    <t>rs111253908</t>
  </si>
  <si>
    <t>SK1409</t>
  </si>
  <si>
    <t>rs773346378</t>
  </si>
  <si>
    <t>Y28281</t>
  </si>
  <si>
    <t>rs763035328</t>
  </si>
  <si>
    <t>Y28282</t>
  </si>
  <si>
    <t>rs779157469</t>
  </si>
  <si>
    <t>Y28283</t>
  </si>
  <si>
    <t>rs775236992</t>
  </si>
  <si>
    <t>Y28284</t>
  </si>
  <si>
    <t>rs754753426</t>
  </si>
  <si>
    <t>Y28285</t>
  </si>
  <si>
    <t>rs771939654</t>
  </si>
  <si>
    <t>Y28286</t>
  </si>
  <si>
    <t>rs756808134</t>
  </si>
  <si>
    <t>Y28287</t>
  </si>
  <si>
    <t>Y28288</t>
  </si>
  <si>
    <t>Y28289</t>
  </si>
  <si>
    <t>rs754711785</t>
  </si>
  <si>
    <t>Y28290</t>
  </si>
  <si>
    <t>Y28292</t>
  </si>
  <si>
    <t>Y28294</t>
  </si>
  <si>
    <t>rs753889487</t>
  </si>
  <si>
    <t>Y28295</t>
  </si>
  <si>
    <t>rs762997609</t>
  </si>
  <si>
    <t>Y28296</t>
  </si>
  <si>
    <t>rs749973174</t>
  </si>
  <si>
    <t>Y28297</t>
  </si>
  <si>
    <t>rs773035038</t>
  </si>
  <si>
    <t>Y29527</t>
  </si>
  <si>
    <t>Y29528</t>
  </si>
  <si>
    <t>rs760395153</t>
  </si>
  <si>
    <t>Y29530</t>
  </si>
  <si>
    <t>rs755632746</t>
  </si>
  <si>
    <t>Y29531</t>
  </si>
  <si>
    <t>rs746868767</t>
  </si>
  <si>
    <t>Y29532</t>
  </si>
  <si>
    <t>Y29533</t>
  </si>
  <si>
    <t>rs368762568</t>
  </si>
  <si>
    <t>Y29534</t>
  </si>
  <si>
    <t>Y30746</t>
  </si>
  <si>
    <t>Y30747</t>
  </si>
  <si>
    <t>ZS266</t>
  </si>
  <si>
    <t>rs760896232</t>
  </si>
  <si>
    <t>ZS267</t>
  </si>
  <si>
    <t>rs759664520</t>
  </si>
  <si>
    <t>ZS268</t>
  </si>
  <si>
    <t>rs770059217</t>
  </si>
  <si>
    <t>ZS269</t>
  </si>
  <si>
    <t>rs757583275</t>
  </si>
  <si>
    <t>ZS270</t>
  </si>
  <si>
    <t>rs762330126</t>
  </si>
  <si>
    <t>ZS272</t>
  </si>
  <si>
    <t>rs758393555</t>
  </si>
  <si>
    <t>ZS273</t>
  </si>
  <si>
    <t>rs774683243</t>
  </si>
  <si>
    <t>ZS276</t>
  </si>
  <si>
    <t>rs772925782</t>
  </si>
  <si>
    <t>ZS277</t>
  </si>
  <si>
    <t>rs770788744</t>
  </si>
  <si>
    <t>ZS278</t>
  </si>
  <si>
    <t>rs780408488</t>
  </si>
  <si>
    <t>ZS284</t>
  </si>
  <si>
    <t>rs755809093</t>
  </si>
  <si>
    <t>ZS287</t>
  </si>
  <si>
    <t>rs752805134</t>
  </si>
  <si>
    <t>ZS288</t>
  </si>
  <si>
    <t>rs747257703</t>
  </si>
  <si>
    <t>ZS289</t>
  </si>
  <si>
    <t>rs751028514</t>
  </si>
  <si>
    <t>ZS290</t>
  </si>
  <si>
    <t>rs758553527</t>
  </si>
  <si>
    <t>ZS291</t>
  </si>
  <si>
    <t>rs769062479</t>
  </si>
  <si>
    <t>ZS297</t>
  </si>
  <si>
    <t>rs775601591</t>
  </si>
  <si>
    <t>CTS6812</t>
  </si>
  <si>
    <t>Z2454</t>
  </si>
  <si>
    <t>rs762871809</t>
  </si>
  <si>
    <t>CTS9267</t>
  </si>
  <si>
    <t>Z2455</t>
  </si>
  <si>
    <t>rs748004696</t>
  </si>
  <si>
    <t>PH1648</t>
  </si>
  <si>
    <t>rs781146422</t>
  </si>
  <si>
    <t>Y18042</t>
  </si>
  <si>
    <t>rs777308521</t>
  </si>
  <si>
    <t>Y21761</t>
  </si>
  <si>
    <t>rs868844241</t>
  </si>
  <si>
    <t>Y21762</t>
  </si>
  <si>
    <t>rs750711088</t>
  </si>
  <si>
    <t>Y21763</t>
  </si>
  <si>
    <t>rs751130376</t>
  </si>
  <si>
    <t>Z2453</t>
  </si>
  <si>
    <t>rs865799450</t>
  </si>
  <si>
    <t>Z2456</t>
  </si>
  <si>
    <t>rs758300321</t>
  </si>
  <si>
    <t>Z2457</t>
  </si>
  <si>
    <t>rs866699058</t>
  </si>
  <si>
    <t>Z2458</t>
  </si>
  <si>
    <t>rs774064100</t>
  </si>
  <si>
    <t>CTS8204</t>
  </si>
  <si>
    <t>rs780795934</t>
  </si>
  <si>
    <t>Y18039</t>
  </si>
  <si>
    <t>rs746411814</t>
  </si>
  <si>
    <t>Y18044</t>
  </si>
  <si>
    <t>rs762501440</t>
  </si>
  <si>
    <t>Y31665</t>
  </si>
  <si>
    <t>Y31144</t>
  </si>
  <si>
    <t>Y31145</t>
  </si>
  <si>
    <t>Y31146</t>
  </si>
  <si>
    <t>Y31663</t>
  </si>
  <si>
    <t>Y31664</t>
  </si>
  <si>
    <t>Y31666</t>
  </si>
  <si>
    <t>Y31667</t>
  </si>
  <si>
    <t>CTS10357</t>
  </si>
  <si>
    <t>PF2169; V4101</t>
  </si>
  <si>
    <t>rs567516508</t>
  </si>
  <si>
    <t>PF2169</t>
  </si>
  <si>
    <t>CTS10357; V4101</t>
  </si>
  <si>
    <t>V4101</t>
  </si>
  <si>
    <t>CTS10357; PF2169</t>
  </si>
  <si>
    <t>M9467</t>
  </si>
  <si>
    <t>rs558208130</t>
  </si>
  <si>
    <t>Y19283</t>
  </si>
  <si>
    <t>rs370464647</t>
  </si>
  <si>
    <t>Z42941</t>
  </si>
  <si>
    <t>rs867184881</t>
  </si>
  <si>
    <t>Z42942</t>
  </si>
  <si>
    <t>rs868142432</t>
  </si>
  <si>
    <t>Z42943</t>
  </si>
  <si>
    <t>rs868206224</t>
  </si>
  <si>
    <t>Z42944</t>
  </si>
  <si>
    <t>rs866765541</t>
  </si>
  <si>
    <t>Z42945</t>
  </si>
  <si>
    <t>rs868227174</t>
  </si>
  <si>
    <t>Z42946</t>
  </si>
  <si>
    <t>rs866845149</t>
  </si>
  <si>
    <t>Z42948</t>
  </si>
  <si>
    <t>rs868258658</t>
  </si>
  <si>
    <t>Z42949</t>
  </si>
  <si>
    <t>rs980832363</t>
  </si>
  <si>
    <t>Z42950</t>
  </si>
  <si>
    <t>rs866186791</t>
  </si>
  <si>
    <t>Z42951</t>
  </si>
  <si>
    <t>rs866944389</t>
  </si>
  <si>
    <t>Z42952</t>
  </si>
  <si>
    <t>rs868687573</t>
  </si>
  <si>
    <t>Z42953</t>
  </si>
  <si>
    <t>rs866116194</t>
  </si>
  <si>
    <t>Z42954</t>
  </si>
  <si>
    <t>rs867930339</t>
  </si>
  <si>
    <t>Z42955</t>
  </si>
  <si>
    <t>rs867603898</t>
  </si>
  <si>
    <t>Z42956</t>
  </si>
  <si>
    <t>rs868610833</t>
  </si>
  <si>
    <t>Z42957</t>
  </si>
  <si>
    <t>rs867152090</t>
  </si>
  <si>
    <t>Z42958</t>
  </si>
  <si>
    <t>rs868057201</t>
  </si>
  <si>
    <t>Z42959</t>
  </si>
  <si>
    <t>rs866268139</t>
  </si>
  <si>
    <t>Z42960</t>
  </si>
  <si>
    <t>rs1053844482</t>
  </si>
  <si>
    <t>Z42961</t>
  </si>
  <si>
    <t>rs1017324696</t>
  </si>
  <si>
    <t>Z42962</t>
  </si>
  <si>
    <t>rs867004444</t>
  </si>
  <si>
    <t>Z42963</t>
  </si>
  <si>
    <t>rs896017024</t>
  </si>
  <si>
    <t>Z42964</t>
  </si>
  <si>
    <t>rs865805747</t>
  </si>
  <si>
    <t>Z42965</t>
  </si>
  <si>
    <t>rs865814718</t>
  </si>
  <si>
    <t>Z42966</t>
  </si>
  <si>
    <t>rs868068281</t>
  </si>
  <si>
    <t>Z42967</t>
  </si>
  <si>
    <t>rs868571937</t>
  </si>
  <si>
    <t>Z42968</t>
  </si>
  <si>
    <t>rs868533518</t>
  </si>
  <si>
    <t>Z42969</t>
  </si>
  <si>
    <t>rs868818605</t>
  </si>
  <si>
    <t>Z42970</t>
  </si>
  <si>
    <t>rs866751285</t>
  </si>
  <si>
    <t>Z42971</t>
  </si>
  <si>
    <t>rs866469127</t>
  </si>
  <si>
    <t>Z42972</t>
  </si>
  <si>
    <t>rs868604122</t>
  </si>
  <si>
    <t>Z42973</t>
  </si>
  <si>
    <t>rs867982573</t>
  </si>
  <si>
    <t>Z42974</t>
  </si>
  <si>
    <t>rs867004657</t>
  </si>
  <si>
    <t>Z42975</t>
  </si>
  <si>
    <t>rs866784273</t>
  </si>
  <si>
    <t>Z42976</t>
  </si>
  <si>
    <t>rs867703758</t>
  </si>
  <si>
    <t>Z42977</t>
  </si>
  <si>
    <t>rs866342330</t>
  </si>
  <si>
    <t>Z42978</t>
  </si>
  <si>
    <t>rs867769711</t>
  </si>
  <si>
    <t>Z42979</t>
  </si>
  <si>
    <t>rs867983740</t>
  </si>
  <si>
    <t>Z42980</t>
  </si>
  <si>
    <t>rs868497749</t>
  </si>
  <si>
    <t>Z42981</t>
  </si>
  <si>
    <t>rs866071671</t>
  </si>
  <si>
    <t>Z43608</t>
  </si>
  <si>
    <t>rs868036337</t>
  </si>
  <si>
    <t>Z43609</t>
  </si>
  <si>
    <t>rs866700706</t>
  </si>
  <si>
    <t>Z43613</t>
  </si>
  <si>
    <t>rs868815747</t>
  </si>
  <si>
    <t>Z43617</t>
  </si>
  <si>
    <t>rs868754154</t>
  </si>
  <si>
    <t>Z43618</t>
  </si>
  <si>
    <t>rs867260716</t>
  </si>
  <si>
    <t>Z43622</t>
  </si>
  <si>
    <t>rs776610192</t>
  </si>
  <si>
    <t>Z43626</t>
  </si>
  <si>
    <t>rs866580896</t>
  </si>
  <si>
    <t>Z43627</t>
  </si>
  <si>
    <t>rs866446651</t>
  </si>
  <si>
    <t>Z43629</t>
  </si>
  <si>
    <t>rs868334369</t>
  </si>
  <si>
    <t>Z43633</t>
  </si>
  <si>
    <t>rs865974756</t>
  </si>
  <si>
    <t>Z43640</t>
  </si>
  <si>
    <t>rs770436872</t>
  </si>
  <si>
    <t>Z43643</t>
  </si>
  <si>
    <t>rs1020745499</t>
  </si>
  <si>
    <t>Z43644</t>
  </si>
  <si>
    <t>rs867840490</t>
  </si>
  <si>
    <t>Z43646</t>
  </si>
  <si>
    <t>rs866509056</t>
  </si>
  <si>
    <t>BY22607</t>
  </si>
  <si>
    <t>rs935005408</t>
  </si>
  <si>
    <t>Y37143</t>
  </si>
  <si>
    <t>rs779039662</t>
  </si>
  <si>
    <t>Y37144</t>
  </si>
  <si>
    <t>Y37145</t>
  </si>
  <si>
    <t>Z42983</t>
  </si>
  <si>
    <t>rs1023830361</t>
  </si>
  <si>
    <t>Z42984</t>
  </si>
  <si>
    <t>rs925434513</t>
  </si>
  <si>
    <t>Z42985</t>
  </si>
  <si>
    <t>rs902919312</t>
  </si>
  <si>
    <t>Z42986</t>
  </si>
  <si>
    <t>rs957615005</t>
  </si>
  <si>
    <t>Z42987</t>
  </si>
  <si>
    <t>rs898493080</t>
  </si>
  <si>
    <t>Z42988</t>
  </si>
  <si>
    <t>Z42989</t>
  </si>
  <si>
    <t>rs1034128821</t>
  </si>
  <si>
    <t>Z42990</t>
  </si>
  <si>
    <t>rs915216817</t>
  </si>
  <si>
    <t>Z42991</t>
  </si>
  <si>
    <t>rs974252072</t>
  </si>
  <si>
    <t>Z42992</t>
  </si>
  <si>
    <t>rs929370455</t>
  </si>
  <si>
    <t>Z42993</t>
  </si>
  <si>
    <t>rs914267528</t>
  </si>
  <si>
    <t>Z42994</t>
  </si>
  <si>
    <t>Z42995</t>
  </si>
  <si>
    <t>rs965892215</t>
  </si>
  <si>
    <t>Z42996</t>
  </si>
  <si>
    <t>Z42997</t>
  </si>
  <si>
    <t>rs1055680342</t>
  </si>
  <si>
    <t>Z42998</t>
  </si>
  <si>
    <t>rs925568951</t>
  </si>
  <si>
    <t>Z42999</t>
  </si>
  <si>
    <t>rs1016226758</t>
  </si>
  <si>
    <t>Z43000</t>
  </si>
  <si>
    <t>rs1028489944</t>
  </si>
  <si>
    <t>Z43001</t>
  </si>
  <si>
    <t>rs1035247836</t>
  </si>
  <si>
    <t>Z43002</t>
  </si>
  <si>
    <t>rs931686657</t>
  </si>
  <si>
    <t>Z43003</t>
  </si>
  <si>
    <t>rs959623558</t>
  </si>
  <si>
    <t>Z43004</t>
  </si>
  <si>
    <t>Z43005</t>
  </si>
  <si>
    <t>rs979411185</t>
  </si>
  <si>
    <t>Z43006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</si>
</sst>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4">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color rgb="FFFFFFFF"/>
      <name val="Arial"/>
    </font>
    <font>
      <i/>
    </font>
    <font>
      <color rgb="FF999999"/>
    </font>
    <font>
      <b/>
    </font>
    <font>
      <b/>
      <i/>
    </font>
    <font>
      <sz val="10.0"/>
      <color rgb="FF999999"/>
      <name val="Arial"/>
    </font>
    <font>
      <color rgb="FFB7B7B7"/>
    </font>
    <font>
      <i/>
      <color rgb="FFCC0000"/>
    </font>
    <font>
      <b/>
      <color rgb="FFCC0000"/>
      <name val="Arial"/>
    </font>
    <font>
      <b/>
      <color rgb="FF000000"/>
    </font>
    <font>
      <b/>
      <color rgb="FFFF0000"/>
    </font>
    <font>
      <b/>
      <color rgb="FFCC0000"/>
    </font>
    <font>
      <b/>
      <i/>
      <color rgb="FF000000"/>
    </font>
    <font>
      <i/>
      <color rgb="FF000000"/>
    </font>
    <font>
      <color rgb="FFCC0000"/>
    </font>
    <font>
      <color rgb="FFFF0000"/>
    </font>
    <font>
      <color rgb="FF000000"/>
    </font>
    <font>
      <b/>
      <color rgb="FF000000"/>
      <name val="Arial"/>
    </font>
    <font>
      <color rgb="FFFFFFFF"/>
      <name val="Roboto"/>
    </font>
    <font>
      <b/>
      <sz val="10.0"/>
      <color rgb="FF000000"/>
      <name val="Arial"/>
    </font>
    <font>
      <color rgb="FF666666"/>
    </font>
    <font>
      <b/>
      <sz val="12.0"/>
      <color rgb="FF000000"/>
      <name val="Times New Roman"/>
    </font>
    <font>
      <sz val="12.0"/>
      <color rgb="FF000000"/>
      <name val="Times New Roman"/>
    </font>
    <font>
      <color rgb="FF000000"/>
      <name val="Arial"/>
    </font>
    <font>
      <u/>
      <sz val="12.0"/>
      <color rgb="FF000000"/>
      <name val="Times New Roman"/>
    </font>
    <font>
      <sz val="11.0"/>
    </font>
    <font>
      <u/>
      <sz val="12.0"/>
      <color rgb="FF0066CC"/>
      <name val="Times New Roman"/>
    </font>
    <font>
      <u/>
      <sz val="12.0"/>
      <color rgb="FF0066CC"/>
      <name val="Times New Roman"/>
    </font>
    <font>
      <b/>
      <sz val="12.0"/>
      <color rgb="FF274E13"/>
      <name val="Times New Roman"/>
    </font>
    <font>
      <u/>
      <sz val="12.0"/>
      <color rgb="FF0066CC"/>
      <name val="Times New Roman"/>
    </font>
    <font>
      <b/>
      <sz val="12.0"/>
      <name val="Arial"/>
    </font>
    <font>
      <color rgb="FFCC0000"/>
      <name val="Arial"/>
    </font>
    <font>
      <b/>
      <sz val="11.0"/>
      <color rgb="FF000000"/>
      <name val="Calibri"/>
    </font>
    <font>
      <sz val="11.0"/>
      <color rgb="FF000000"/>
      <name val="Calibri"/>
    </font>
    <font>
      <sz val="11.0"/>
      <name val="Calibri"/>
    </font>
    <font>
      <color rgb="FF000000"/>
      <name val="Roboto"/>
    </font>
    <font>
      <sz val="12.0"/>
      <name val="&quot;Calibri&quot;"/>
    </font>
    <font>
      <name val="&quot;Arial&quot;"/>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
      <patternFill patternType="solid">
        <fgColor rgb="FF00FFFF"/>
        <bgColor rgb="FF00FFFF"/>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horizontal="center" shrinkToFit="0" vertical="bottom" wrapText="0"/>
    </xf>
    <xf borderId="0" fillId="0" fontId="1" numFmtId="0" xfId="0" applyAlignment="1" applyFont="1">
      <alignment readingOrder="0" shrinkToFit="0" vertical="bottom" wrapText="0"/>
    </xf>
    <xf borderId="0" fillId="3" fontId="7" numFmtId="0" xfId="0" applyAlignment="1" applyFill="1" applyFont="1">
      <alignment readingOrder="0" vertical="bottom"/>
    </xf>
    <xf borderId="0" fillId="0" fontId="8" numFmtId="0" xfId="0" applyAlignment="1" applyFont="1">
      <alignment shrinkToFit="0" vertical="bottom" wrapText="0"/>
    </xf>
    <xf borderId="0" fillId="0" fontId="9" numFmtId="0" xfId="0" applyAlignment="1" applyFont="1">
      <alignment shrinkToFit="0" vertical="bottom" wrapText="0"/>
    </xf>
    <xf borderId="0" fillId="0" fontId="10" numFmtId="0" xfId="0" applyAlignment="1" applyFont="1">
      <alignment horizontal="center" shrinkToFit="0" vertical="bottom" wrapText="0"/>
    </xf>
    <xf borderId="0" fillId="0" fontId="11" numFmtId="0" xfId="0" applyAlignment="1" applyFont="1">
      <alignment horizontal="center" shrinkToFit="0" vertical="bottom" wrapText="0"/>
    </xf>
    <xf borderId="0" fillId="0" fontId="12" numFmtId="0" xfId="0" applyAlignment="1" applyFont="1">
      <alignment vertical="bottom"/>
    </xf>
    <xf borderId="0" fillId="0" fontId="13" numFmtId="0" xfId="0" applyAlignment="1" applyFont="1">
      <alignment readingOrder="0" shrinkToFit="0" vertical="bottom" wrapText="0"/>
    </xf>
    <xf borderId="0" fillId="0" fontId="1" numFmtId="0" xfId="0" applyAlignment="1" applyFont="1">
      <alignment readingOrder="0" vertical="bottom"/>
    </xf>
    <xf borderId="0" fillId="0" fontId="14" numFmtId="0" xfId="0" applyAlignment="1" applyFont="1">
      <alignment readingOrder="0" shrinkToFit="0" vertical="bottom" wrapText="0"/>
    </xf>
    <xf borderId="0" fillId="0" fontId="7" numFmtId="0" xfId="0" applyAlignment="1" applyFont="1">
      <alignment shrinkToFit="0" vertical="bottom" wrapText="0"/>
    </xf>
    <xf borderId="0" fillId="0" fontId="15" numFmtId="0" xfId="0" applyAlignment="1" applyFont="1">
      <alignment horizontal="left" shrinkToFit="0" vertical="bottom" wrapText="0"/>
    </xf>
    <xf borderId="0" fillId="3" fontId="7" numFmtId="0" xfId="0" applyAlignment="1" applyFont="1">
      <alignment shrinkToFit="0" vertical="bottom" wrapText="1"/>
    </xf>
    <xf borderId="0" fillId="4" fontId="16" numFmtId="0" xfId="0" applyAlignment="1" applyFill="1" applyFont="1">
      <alignment vertical="center"/>
    </xf>
    <xf borderId="0" fillId="0" fontId="1" numFmtId="0" xfId="0" applyAlignment="1" applyFont="1">
      <alignment shrinkToFit="0" vertical="bottom" wrapText="1"/>
    </xf>
    <xf borderId="0" fillId="0" fontId="4" numFmtId="0" xfId="0" applyAlignment="1" applyFont="1">
      <alignment shrinkToFit="0" wrapText="1"/>
    </xf>
    <xf borderId="0" fillId="0" fontId="17" numFmtId="0" xfId="0" applyAlignment="1" applyFont="1">
      <alignment shrinkToFit="0" wrapText="1"/>
    </xf>
    <xf borderId="0" fillId="5" fontId="16" numFmtId="0" xfId="0" applyAlignment="1" applyFill="1" applyFont="1">
      <alignment vertical="center"/>
    </xf>
    <xf borderId="0" fillId="0" fontId="18" numFmtId="0" xfId="0" applyFont="1"/>
    <xf borderId="0" fillId="0" fontId="18" numFmtId="0" xfId="0" applyAlignment="1" applyFont="1">
      <alignment readingOrder="0" shrinkToFit="0" wrapText="1"/>
    </xf>
    <xf borderId="0" fillId="0" fontId="19" numFmtId="0" xfId="0" applyFont="1"/>
    <xf borderId="0" fillId="0" fontId="18" numFmtId="0" xfId="0" applyAlignment="1" applyFont="1">
      <alignment shrinkToFit="0" wrapText="1"/>
    </xf>
    <xf borderId="0" fillId="0" fontId="20" numFmtId="0" xfId="0" applyFont="1"/>
    <xf borderId="0" fillId="0" fontId="18" numFmtId="0" xfId="0" applyAlignment="1" applyFont="1">
      <alignment readingOrder="0"/>
    </xf>
    <xf borderId="0" fillId="0" fontId="21" numFmtId="0" xfId="0" applyAlignment="1" applyFont="1">
      <alignment horizontal="left"/>
    </xf>
    <xf borderId="0" fillId="0" fontId="18" numFmtId="0" xfId="0" applyAlignment="1" applyFont="1">
      <alignment horizontal="left" shrinkToFit="0" wrapText="1"/>
    </xf>
    <xf borderId="0" fillId="5" fontId="16" numFmtId="0" xfId="0" applyAlignment="1" applyFont="1">
      <alignment readingOrder="0" vertical="center"/>
    </xf>
    <xf borderId="0" fillId="0" fontId="21" numFmtId="0" xfId="0" applyAlignment="1" applyFont="1">
      <alignment horizontal="left" readingOrder="0"/>
    </xf>
    <xf borderId="0" fillId="0" fontId="15" numFmtId="0" xfId="0" applyAlignment="1" applyFont="1">
      <alignment horizontal="left"/>
    </xf>
    <xf borderId="0" fillId="0" fontId="22" numFmtId="0" xfId="0" applyFont="1"/>
    <xf borderId="0" fillId="0" fontId="22" numFmtId="0" xfId="0" applyAlignment="1" applyFont="1">
      <alignment readingOrder="0"/>
    </xf>
    <xf borderId="0" fillId="0" fontId="4" numFmtId="0" xfId="0" applyAlignment="1" applyFont="1">
      <alignment readingOrder="0"/>
    </xf>
    <xf borderId="0" fillId="0" fontId="18" numFmtId="0" xfId="0" applyAlignment="1" applyFont="1">
      <alignment shrinkToFit="0" vertical="center" wrapText="1"/>
    </xf>
    <xf borderId="0" fillId="0" fontId="17" numFmtId="0" xfId="0" applyAlignment="1" applyFont="1">
      <alignment readingOrder="0" shrinkToFit="0" wrapText="1"/>
    </xf>
    <xf borderId="0" fillId="0" fontId="23" numFmtId="0" xfId="0" applyAlignment="1" applyFont="1">
      <alignment readingOrder="0" shrinkToFit="0" wrapText="1"/>
    </xf>
    <xf borderId="4" fillId="0" fontId="24" numFmtId="0" xfId="0" applyAlignment="1" applyBorder="1" applyFont="1">
      <alignment readingOrder="0" shrinkToFit="0" vertical="bottom" wrapText="0"/>
    </xf>
    <xf borderId="4" fillId="0" fontId="1" numFmtId="0" xfId="0" applyAlignment="1" applyBorder="1" applyFont="1">
      <alignment vertical="bottom"/>
    </xf>
    <xf borderId="0" fillId="4" fontId="16" numFmtId="0" xfId="0" applyAlignment="1" applyFont="1">
      <alignment readingOrder="0" vertical="center"/>
    </xf>
    <xf borderId="0" fillId="0" fontId="19" numFmtId="0" xfId="0" applyAlignment="1" applyFont="1">
      <alignment readingOrder="0" shrinkToFit="0" wrapText="1"/>
    </xf>
    <xf borderId="0" fillId="0" fontId="25" numFmtId="0" xfId="0" applyAlignment="1" applyFont="1">
      <alignment readingOrder="0"/>
    </xf>
    <xf borderId="0" fillId="0" fontId="26" numFmtId="0" xfId="0" applyFont="1"/>
    <xf borderId="0" fillId="0" fontId="27" numFmtId="0" xfId="0" applyAlignment="1" applyFont="1">
      <alignment readingOrder="0"/>
    </xf>
    <xf borderId="0" fillId="0" fontId="28" numFmtId="0" xfId="0" applyAlignment="1" applyFont="1">
      <alignment readingOrder="0"/>
    </xf>
    <xf borderId="0" fillId="0" fontId="29" numFmtId="0" xfId="0" applyAlignment="1" applyFont="1">
      <alignment readingOrder="0"/>
    </xf>
    <xf borderId="0" fillId="0" fontId="19"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0" fillId="0" fontId="27" numFmtId="0" xfId="0" applyFont="1"/>
    <xf borderId="0" fillId="0" fontId="32" numFmtId="0" xfId="0" applyAlignment="1" applyFont="1">
      <alignment readingOrder="0"/>
    </xf>
    <xf borderId="0" fillId="0" fontId="25" numFmtId="0" xfId="0" applyFont="1"/>
    <xf borderId="4" fillId="0" fontId="33" numFmtId="0" xfId="0" applyAlignment="1" applyBorder="1" applyFont="1">
      <alignment readingOrder="0" shrinkToFit="0" vertical="bottom" wrapText="0"/>
    </xf>
    <xf borderId="4" fillId="0" fontId="1" numFmtId="0" xfId="0" applyAlignment="1" applyBorder="1" applyFont="1">
      <alignment vertical="bottom"/>
    </xf>
    <xf borderId="0" fillId="0" fontId="1" numFmtId="0" xfId="0" applyAlignment="1" applyFont="1">
      <alignment vertical="bottom"/>
    </xf>
    <xf borderId="0" fillId="5" fontId="34"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shrinkToFit="0" wrapText="1"/>
    </xf>
    <xf borderId="0" fillId="0" fontId="35" numFmtId="0" xfId="0" applyAlignment="1" applyFont="1">
      <alignment horizontal="left" readingOrder="0" shrinkToFit="0" wrapText="1"/>
    </xf>
    <xf borderId="0" fillId="0" fontId="25" numFmtId="0" xfId="0" applyAlignment="1" applyFont="1">
      <alignment readingOrder="0" shrinkToFit="0" wrapText="1"/>
    </xf>
    <xf borderId="0" fillId="0" fontId="18" numFmtId="0" xfId="0" applyAlignment="1" applyFont="1">
      <alignment readingOrder="0" shrinkToFit="0" wrapText="0"/>
    </xf>
    <xf borderId="0" fillId="0" fontId="18" numFmtId="0" xfId="0" applyFont="1"/>
    <xf borderId="0" fillId="0" fontId="30" numFmtId="0" xfId="0" applyAlignment="1" applyFont="1">
      <alignment readingOrder="0" shrinkToFit="0" wrapText="1"/>
    </xf>
    <xf borderId="0" fillId="0" fontId="36" numFmtId="0" xfId="0" applyFont="1"/>
    <xf borderId="0" fillId="0" fontId="36" numFmtId="0" xfId="0" applyAlignment="1" applyFont="1">
      <alignment shrinkToFit="0" wrapText="1"/>
    </xf>
    <xf borderId="0" fillId="0" fontId="28" numFmtId="0" xfId="0" applyFont="1"/>
    <xf borderId="0" fillId="0" fontId="29" numFmtId="0" xfId="0" applyFont="1"/>
    <xf borderId="0" fillId="0" fontId="37" numFmtId="0" xfId="0" applyAlignment="1" applyFont="1">
      <alignment horizontal="left"/>
    </xf>
    <xf borderId="0" fillId="0" fontId="38" numFmtId="0" xfId="0" applyAlignment="1" applyFont="1">
      <alignment horizontal="left"/>
    </xf>
    <xf borderId="0" fillId="0" fontId="30" numFmtId="0" xfId="0" applyFont="1"/>
    <xf borderId="0" fillId="6" fontId="39" numFmtId="0" xfId="0" applyFill="1" applyFont="1"/>
    <xf borderId="0" fillId="0" fontId="40" numFmtId="0" xfId="0" applyAlignment="1" applyFont="1">
      <alignment horizontal="left"/>
    </xf>
    <xf borderId="0" fillId="0" fontId="7" numFmtId="0" xfId="0" applyFont="1"/>
    <xf borderId="0" fillId="0" fontId="7" numFmtId="0" xfId="0" applyAlignment="1" applyFont="1">
      <alignment readingOrder="0"/>
    </xf>
    <xf borderId="0" fillId="6" fontId="38" numFmtId="0" xfId="0" applyFont="1"/>
    <xf borderId="0" fillId="0" fontId="41" numFmtId="0" xfId="0" applyAlignment="1" applyFont="1">
      <alignment shrinkToFit="0" wrapText="1"/>
    </xf>
    <xf borderId="0" fillId="0" fontId="0" numFmtId="0" xfId="0" applyAlignment="1" applyFont="1">
      <alignment horizontal="left"/>
    </xf>
    <xf borderId="0" fillId="0" fontId="42" numFmtId="0" xfId="0" applyAlignment="1" applyFont="1">
      <alignment horizontal="left"/>
    </xf>
    <xf borderId="0" fillId="0" fontId="43" numFmtId="0" xfId="0" applyAlignment="1" applyFont="1">
      <alignment horizontal="left" readingOrder="0"/>
    </xf>
    <xf borderId="0" fillId="0" fontId="4" numFmtId="0" xfId="0" applyFont="1"/>
    <xf borderId="0" fillId="0" fontId="44" numFmtId="0" xfId="0" applyAlignment="1" applyFont="1">
      <alignment horizontal="left"/>
    </xf>
    <xf borderId="0" fillId="0" fontId="37" numFmtId="0" xfId="0" applyAlignment="1" applyFont="1">
      <alignment horizontal="left" readingOrder="0"/>
    </xf>
    <xf borderId="0" fillId="6" fontId="39" numFmtId="0" xfId="0" applyAlignment="1" applyFont="1">
      <alignment horizontal="left" readingOrder="0"/>
    </xf>
    <xf borderId="0" fillId="0" fontId="45" numFmtId="0" xfId="0" applyAlignment="1" applyFont="1">
      <alignment horizontal="left"/>
    </xf>
    <xf borderId="4" fillId="7" fontId="46" numFmtId="0" xfId="0" applyAlignment="1" applyBorder="1" applyFill="1" applyFont="1">
      <alignment shrinkToFit="0" vertical="bottom" wrapText="0"/>
    </xf>
    <xf borderId="4" fillId="7" fontId="1" numFmtId="0" xfId="0" applyAlignment="1" applyBorder="1" applyFont="1">
      <alignment vertical="bottom"/>
    </xf>
    <xf borderId="0" fillId="7" fontId="1" numFmtId="0" xfId="0" applyAlignment="1" applyFont="1">
      <alignment vertical="bottom"/>
    </xf>
    <xf borderId="0" fillId="0" fontId="47" numFmtId="0" xfId="0" applyAlignment="1" applyFont="1">
      <alignment vertical="bottom"/>
    </xf>
    <xf borderId="0" fillId="0" fontId="47" numFmtId="0" xfId="0" applyAlignment="1" applyFont="1">
      <alignment shrinkToFit="0" vertical="bottom" wrapText="0"/>
    </xf>
    <xf borderId="0" fillId="0" fontId="8" numFmtId="0" xfId="0" applyAlignment="1" applyFont="1">
      <alignment shrinkToFit="0" vertical="bottom" wrapText="1"/>
    </xf>
    <xf borderId="0" fillId="0" fontId="8" numFmtId="0" xfId="0" applyAlignment="1" applyFont="1">
      <alignment horizontal="right" shrinkToFit="0" vertical="bottom" wrapText="1"/>
    </xf>
    <xf borderId="0" fillId="8" fontId="48" numFmtId="0" xfId="0" applyAlignment="1" applyFill="1" applyFont="1">
      <alignment shrinkToFit="0" vertical="bottom" wrapText="1"/>
    </xf>
    <xf borderId="0" fillId="8" fontId="8" numFmtId="0" xfId="0" applyAlignment="1" applyFont="1">
      <alignment shrinkToFit="0" vertical="bottom" wrapText="1"/>
    </xf>
    <xf borderId="0" fillId="6" fontId="1" numFmtId="0" xfId="0" applyAlignment="1" applyFont="1">
      <alignment vertical="bottom"/>
    </xf>
    <xf borderId="0" fillId="6" fontId="49" numFmtId="0" xfId="0" applyAlignment="1" applyFont="1">
      <alignment vertical="bottom"/>
    </xf>
    <xf borderId="0" fillId="6" fontId="49" numFmtId="0" xfId="0" applyAlignment="1" applyFont="1">
      <alignment horizontal="right" vertical="bottom"/>
    </xf>
    <xf borderId="0" fillId="6" fontId="1" numFmtId="0" xfId="0" applyAlignment="1" applyFont="1">
      <alignment horizontal="right" vertical="bottom"/>
    </xf>
    <xf borderId="0" fillId="6" fontId="1" numFmtId="0" xfId="0" applyAlignment="1" applyFont="1">
      <alignment readingOrder="0" vertical="bottom"/>
    </xf>
    <xf borderId="0" fillId="0" fontId="39" numFmtId="0" xfId="0" applyAlignment="1" applyFont="1">
      <alignment horizontal="right" readingOrder="0"/>
    </xf>
    <xf borderId="0" fillId="0" fontId="4" numFmtId="0" xfId="0" applyFont="1"/>
    <xf borderId="0" fillId="6" fontId="1" numFmtId="0" xfId="0" applyAlignment="1" applyFont="1">
      <alignment horizontal="right" readingOrder="0" vertical="bottom"/>
    </xf>
    <xf borderId="0" fillId="0" fontId="50" numFmtId="0" xfId="0" applyAlignment="1" applyFont="1">
      <alignment horizontal="right" vertical="bottom"/>
    </xf>
    <xf borderId="0" fillId="0" fontId="49" numFmtId="0" xfId="0" applyAlignment="1" applyFont="1">
      <alignment horizontal="right" vertical="bottom"/>
    </xf>
    <xf borderId="0" fillId="0" fontId="49" numFmtId="0" xfId="0" applyAlignment="1" applyFont="1">
      <alignment vertical="bottom"/>
    </xf>
    <xf borderId="0" fillId="0" fontId="50" numFmtId="0" xfId="0" applyAlignment="1" applyFont="1">
      <alignment vertical="bottom"/>
    </xf>
    <xf borderId="0" fillId="0" fontId="1" numFmtId="0" xfId="0" applyAlignment="1" applyFont="1">
      <alignment horizontal="right" vertical="bottom"/>
    </xf>
    <xf borderId="0" fillId="0" fontId="39" numFmtId="0" xfId="0" applyAlignment="1" applyFont="1">
      <alignment vertical="bottom"/>
    </xf>
    <xf borderId="0" fillId="6" fontId="1" numFmtId="0" xfId="0" applyAlignment="1" applyFont="1">
      <alignment horizontal="right" readingOrder="0" vertical="bottom"/>
    </xf>
    <xf borderId="0" fillId="6" fontId="1" numFmtId="0" xfId="0" applyAlignment="1" applyFont="1">
      <alignment readingOrder="0" vertical="bottom"/>
    </xf>
    <xf borderId="0" fillId="0" fontId="49" numFmtId="0" xfId="0" applyAlignment="1" applyFont="1">
      <alignment horizontal="right" readingOrder="0" shrinkToFit="0" vertical="bottom" wrapText="0"/>
    </xf>
    <xf borderId="0" fillId="6" fontId="1" numFmtId="0" xfId="0" applyAlignment="1" applyFont="1">
      <alignment vertical="bottom"/>
    </xf>
    <xf borderId="0" fillId="6" fontId="51" numFmtId="0" xfId="0" applyAlignment="1" applyFont="1">
      <alignment readingOrder="0"/>
    </xf>
    <xf borderId="0" fillId="0" fontId="49" numFmtId="0" xfId="0" applyAlignment="1" applyFont="1">
      <alignment readingOrder="0" vertical="bottom"/>
    </xf>
    <xf borderId="0" fillId="6" fontId="1" numFmtId="164" xfId="0" applyAlignment="1" applyFont="1" applyNumberFormat="1">
      <alignment readingOrder="0" vertical="bottom"/>
    </xf>
    <xf borderId="0" fillId="0" fontId="4" numFmtId="0" xfId="0" applyAlignment="1" applyFont="1">
      <alignment horizontal="right"/>
    </xf>
    <xf borderId="0" fillId="6" fontId="1" numFmtId="164" xfId="0" applyAlignment="1" applyFont="1" applyNumberFormat="1">
      <alignment vertical="bottom"/>
    </xf>
    <xf borderId="0" fillId="0" fontId="52" numFmtId="0" xfId="0" applyFont="1"/>
    <xf borderId="0" fillId="0" fontId="53" numFmtId="0" xfId="0" applyFont="1"/>
    <xf borderId="0" fillId="0" fontId="1" numFmtId="3" xfId="0" applyAlignment="1" applyFont="1" applyNumberFormat="1">
      <alignment vertical="bottom"/>
    </xf>
    <xf borderId="0" fillId="0" fontId="4"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447675</xdr:colOff>
      <xdr:row>3</xdr:row>
      <xdr:rowOff>47625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www.familytreedna.com/pdf/Nasidze_2003.pdf" TargetMode="External"/><Relationship Id="rId42" Type="http://schemas.openxmlformats.org/officeDocument/2006/relationships/hyperlink" Target="http://hpgl.stanford.edu/publications/AJHG_2002_v70_p265-268.pdf" TargetMode="External"/><Relationship Id="rId41" Type="http://schemas.openxmlformats.org/officeDocument/2006/relationships/hyperlink" Target="http://www.ncbi.nlm.nih.gov/pubmed/16770078" TargetMode="External"/><Relationship Id="rId44" Type="http://schemas.openxmlformats.org/officeDocument/2006/relationships/hyperlink" Target="http://hpgl.stanford.edu/publications/AJHG_2006_v78_p202-221.pdf" TargetMode="External"/><Relationship Id="rId43" Type="http://schemas.openxmlformats.org/officeDocument/2006/relationships/hyperlink" Target="http://hpgl.stanford.edu/publications/AJHG_2004_v74_p1023-1034.pdf" TargetMode="External"/><Relationship Id="rId46" Type="http://schemas.openxmlformats.org/officeDocument/2006/relationships/hyperlink" Target="http://www.nature.com/jhg/journal/v55/n5/abs/jhg201030a.html" TargetMode="External"/><Relationship Id="rId45" Type="http://schemas.openxmlformats.org/officeDocument/2006/relationships/hyperlink" Target="http://evolutsioon.ut.ee/publications/Shen2004.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cbi.nlm.nih.gov/pubmed/19061982" TargetMode="External"/><Relationship Id="rId48" Type="http://schemas.openxmlformats.org/officeDocument/2006/relationships/hyperlink" Target="http://www.ajhg.org/AJHG/abstract/S0002-9297%2808%2900206-1" TargetMode="External"/><Relationship Id="rId47" Type="http://schemas.openxmlformats.org/officeDocument/2006/relationships/hyperlink" Target="http://onlinelibrary.wiley.com/doi/10.1002/humu.22468/abstract" TargetMode="External"/><Relationship Id="rId49" Type="http://schemas.openxmlformats.org/officeDocument/2006/relationships/hyperlink" Target="http://www.ncbi.nlm.nih.gov/pubmed/19058044" TargetMode="External"/><Relationship Id="rId5" Type="http://schemas.openxmlformats.org/officeDocument/2006/relationships/hyperlink" Target="http://www.isogg.org/tree/ISOGG_All_Papers.html" TargetMode="External"/><Relationship Id="rId6" Type="http://schemas.openxmlformats.org/officeDocument/2006/relationships/hyperlink" Target="http://www.isogg.org/tree/ISOGG_Glossary.html"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rjgg.molgen.org/index.php/RJGGRE/article/view/151/175" TargetMode="External"/><Relationship Id="rId31" Type="http://schemas.openxmlformats.org/officeDocument/2006/relationships/hyperlink" Target="http://genome.cshlp.org/content/early/2015/03/13/gr.186684.114.abstract" TargetMode="External"/><Relationship Id="rId30" Type="http://schemas.openxmlformats.org/officeDocument/2006/relationships/hyperlink" Target="http://www.cell.com/AJHG/abstract/S0002-9297%2807%2961171-9" TargetMode="External"/><Relationship Id="rId33" Type="http://schemas.openxmlformats.org/officeDocument/2006/relationships/hyperlink" Target="http://www.ncbi.nlm.nih.gov/pubmed/18269686" TargetMode="External"/><Relationship Id="rId32" Type="http://schemas.openxmlformats.org/officeDocument/2006/relationships/hyperlink" Target="http://www.ncbi.nlm.nih.gov/pmc/articles/PMC3068964/pdf/1471-2148-11-69.pdf" TargetMode="External"/><Relationship Id="rId35" Type="http://schemas.openxmlformats.org/officeDocument/2006/relationships/hyperlink" Target="http://investigativegenetics.biomedcentral.com/articles/10.1186/2041-2223-5-13" TargetMode="External"/><Relationship Id="rId34" Type="http://schemas.openxmlformats.org/officeDocument/2006/relationships/hyperlink" Target="http://hpgl.stanford.edu/publications/AJHG_2003_v72_p313-332.pdf" TargetMode="External"/><Relationship Id="rId37" Type="http://schemas.openxmlformats.org/officeDocument/2006/relationships/hyperlink" Target="http://ytree.morleydna.com/experimental-phylogeny" TargetMode="External"/><Relationship Id="rId36" Type="http://schemas.openxmlformats.org/officeDocument/2006/relationships/hyperlink" Target="http://biorxiv.org/content/early/2013/12/13/000802.short" TargetMode="External"/><Relationship Id="rId39" Type="http://schemas.openxmlformats.org/officeDocument/2006/relationships/hyperlink" Target="http://www.blackwell-synergy.com/doi/abs/10.1046/j.1529-8817.2005.00174.x" TargetMode="External"/><Relationship Id="rId38" Type="http://schemas.openxmlformats.org/officeDocument/2006/relationships/hyperlink" Target="http://www.cmj.hr/2007/48/4/Ahead/CMJ_48%284%29_MYERS.pdf" TargetMode="External"/><Relationship Id="rId62" Type="http://schemas.openxmlformats.org/officeDocument/2006/relationships/hyperlink" Target="http://www.familytreedna.com/public/m102" TargetMode="External"/><Relationship Id="rId61" Type="http://schemas.openxmlformats.org/officeDocument/2006/relationships/hyperlink" Target="https://www.familytreedna.com/public/JM319/" TargetMode="External"/><Relationship Id="rId20" Type="http://schemas.openxmlformats.org/officeDocument/2006/relationships/hyperlink" Target="http://www.ncbi.nlm.nih.gov/pubmed/11910562" TargetMode="External"/><Relationship Id="rId64" Type="http://schemas.openxmlformats.org/officeDocument/2006/relationships/hyperlink" Target="http://isogg.org/tree/ISOGG_All_Papers.html" TargetMode="External"/><Relationship Id="rId63" Type="http://schemas.openxmlformats.org/officeDocument/2006/relationships/hyperlink" Target="http://isogg.org/tree/index.html" TargetMode="External"/><Relationship Id="rId22" Type="http://schemas.openxmlformats.org/officeDocument/2006/relationships/hyperlink" Target="http://www.ftdna.com/pdf/HaploJ.pdf" TargetMode="External"/><Relationship Id="rId66" Type="http://schemas.openxmlformats.org/officeDocument/2006/relationships/drawing" Target="../drawings/drawing1.xml"/><Relationship Id="rId21" Type="http://schemas.openxmlformats.org/officeDocument/2006/relationships/hyperlink" Target="http://mbe.oxfordjournals.org/cgi/content/short/24/6/1300" TargetMode="External"/><Relationship Id="rId65" Type="http://schemas.openxmlformats.org/officeDocument/2006/relationships/hyperlink" Target="http://isogg.org/tree/ISOGG_Glossary.html" TargetMode="External"/><Relationship Id="rId24" Type="http://schemas.openxmlformats.org/officeDocument/2006/relationships/hyperlink" Target="http://medical.med.tokushima-u.ac.jp/jmi/vol49/pdf/v49_n1-2_p044.pdf" TargetMode="External"/><Relationship Id="rId23" Type="http://schemas.openxmlformats.org/officeDocument/2006/relationships/hyperlink" Target="http://onlinelibrary.wiley.com/doi/10.1111/j.1469-1809.2009.00538.x/abstract" TargetMode="External"/><Relationship Id="rId60" Type="http://schemas.openxmlformats.org/officeDocument/2006/relationships/hyperlink" Target="https://www.familytreedna.com/public/J2a4b/" TargetMode="External"/><Relationship Id="rId26" Type="http://schemas.openxmlformats.org/officeDocument/2006/relationships/hyperlink" Target="http://www.sciencemag.org/content/341/6145/565" TargetMode="External"/><Relationship Id="rId25" Type="http://schemas.openxmlformats.org/officeDocument/2006/relationships/hyperlink" Target="http://www.nature.com/ejhg/" TargetMode="External"/><Relationship Id="rId28" Type="http://schemas.openxmlformats.org/officeDocument/2006/relationships/hyperlink" Target="http://mbe.oxfordjournals.org/content/early/2014/11/26/molbev.msu327.abstract" TargetMode="External"/><Relationship Id="rId27" Type="http://schemas.openxmlformats.org/officeDocument/2006/relationships/hyperlink" Target="http://bmcresnotes.biomedcentral.com/articles/10.1186/s13104-015-1130-z" TargetMode="External"/><Relationship Id="rId29" Type="http://schemas.openxmlformats.org/officeDocument/2006/relationships/hyperlink" Target="http://www.nature.com/ejhg/journal/vaop/ncurrent/full/ejhg2011192a.html" TargetMode="External"/><Relationship Id="rId51" Type="http://schemas.openxmlformats.org/officeDocument/2006/relationships/hyperlink" Target="http://www.isogg.org/wiki/Wiki_Welcome_Page" TargetMode="External"/><Relationship Id="rId50" Type="http://schemas.openxmlformats.org/officeDocument/2006/relationships/hyperlink" Target="http://www.yfull.com/tree/J/" TargetMode="External"/><Relationship Id="rId53" Type="http://schemas.openxmlformats.org/officeDocument/2006/relationships/hyperlink" Target="https://www.familytreedna.com/public/J-M267/" TargetMode="External"/><Relationship Id="rId52" Type="http://schemas.openxmlformats.org/officeDocument/2006/relationships/hyperlink" Target="https://www.familytreedna.com/public/Y-DNA_J/" TargetMode="External"/><Relationship Id="rId11" Type="http://schemas.openxmlformats.org/officeDocument/2006/relationships/hyperlink" Target="http://www.jogg.info/41/Athey.pdf" TargetMode="External"/><Relationship Id="rId55" Type="http://schemas.openxmlformats.org/officeDocument/2006/relationships/hyperlink" Target="https://www.familytreedna.com/public/j1el147/" TargetMode="External"/><Relationship Id="rId10" Type="http://schemas.openxmlformats.org/officeDocument/2006/relationships/hyperlink" Target="http://www.ncbi.nlm.nih.gov/pubmed/16094307" TargetMode="External"/><Relationship Id="rId54" Type="http://schemas.openxmlformats.org/officeDocument/2006/relationships/hyperlink" Target="https://www.familytreedna.com/public/J1_asterisk_Y-DNA/" TargetMode="External"/><Relationship Id="rId13" Type="http://schemas.openxmlformats.org/officeDocument/2006/relationships/hyperlink" Target="http://www.familytreedna.com/pdf/Behar_contrasting.pdf" TargetMode="External"/><Relationship Id="rId57" Type="http://schemas.openxmlformats.org/officeDocument/2006/relationships/hyperlink" Target="https://www.familytreedna.com/public/bnei-yahya/" TargetMode="External"/><Relationship Id="rId12" Type="http://schemas.openxmlformats.org/officeDocument/2006/relationships/hyperlink" Target="http://www.ncbi.nlm.nih.gov/pubmed?term=Parallel%20Evolution%20of%20Genes%20and%20Languages%20in%20the%20Caucasus%20Region" TargetMode="External"/><Relationship Id="rId56" Type="http://schemas.openxmlformats.org/officeDocument/2006/relationships/hyperlink" Target="https://www.familytreedna.com/public/J-YSC0000076/" TargetMode="External"/><Relationship Id="rId15" Type="http://schemas.openxmlformats.org/officeDocument/2006/relationships/hyperlink" Target="http://onlinelibrary.wiley.com/doi/10.1002/ajhb.22220/abstract" TargetMode="External"/><Relationship Id="rId59" Type="http://schemas.openxmlformats.org/officeDocument/2006/relationships/hyperlink" Target="https://www.familytreedna.com/public/J2a-PF5197/" TargetMode="External"/><Relationship Id="rId14" Type="http://schemas.openxmlformats.org/officeDocument/2006/relationships/hyperlink" Target="http://www.nature.com/nature/journal/v466/n7303/abs/nature09103.html" TargetMode="External"/><Relationship Id="rId58" Type="http://schemas.openxmlformats.org/officeDocument/2006/relationships/hyperlink" Target="https://www.familytreedna.com/public/j-l24-y-dna/" TargetMode="External"/><Relationship Id="rId17" Type="http://schemas.openxmlformats.org/officeDocument/2006/relationships/hyperlink" Target="http://onlinelibrary.wiley.com/doi/10.1111/j.1469-1809.2005.00251.x/pdf" TargetMode="External"/><Relationship Id="rId16" Type="http://schemas.openxmlformats.org/officeDocument/2006/relationships/hyperlink" Target="http://onlinelibrary.wiley.com/doi/10.1002/ajpa.20984/abstract" TargetMode="External"/><Relationship Id="rId19" Type="http://schemas.openxmlformats.org/officeDocument/2006/relationships/hyperlink" Target="http://hpgl.stanford.edu/publications/HG_2004_v114_p127-148.pdf" TargetMode="External"/><Relationship Id="rId18" Type="http://schemas.openxmlformats.org/officeDocument/2006/relationships/hyperlink" Target="http://www.familytreedna.com/pdf/capelli2005.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13"/>
    <col customWidth="1" min="2" max="2" width="5.0"/>
    <col customWidth="1" min="3" max="3" width="5.25"/>
    <col customWidth="1" min="4" max="4" width="6.0"/>
    <col customWidth="1" min="5" max="5" width="7.0"/>
    <col customWidth="1" min="6" max="6" width="6.63"/>
    <col customWidth="1" min="7" max="7" width="8.75"/>
    <col customWidth="1" min="8" max="8" width="8.88"/>
    <col customWidth="1" min="9" max="9" width="9.75"/>
    <col customWidth="1" min="10" max="10" width="11.13"/>
    <col customWidth="1" min="11" max="11" width="12.13"/>
    <col customWidth="1" min="12" max="12" width="31.0"/>
    <col customWidth="1" min="13" max="13" width="19.5"/>
    <col customWidth="1" min="14" max="14" width="14.38"/>
    <col customWidth="1" min="15" max="15" width="15.0"/>
    <col customWidth="1" min="16" max="16" width="15.88"/>
    <col customWidth="1" min="17" max="17" width="17.13"/>
    <col customWidth="1" min="18" max="18" width="18.25"/>
    <col customWidth="1" min="19" max="19" width="19.25"/>
    <col customWidth="1" min="20" max="20" width="19.75"/>
    <col customWidth="1" min="21" max="21" width="21.0"/>
    <col customWidth="1" min="22" max="22" width="21.88"/>
    <col customWidth="1" min="23" max="23" width="22.25"/>
    <col customWidth="1" min="24" max="24" width="23.13"/>
    <col customWidth="1" min="25" max="25" width="23.75"/>
    <col customWidth="1" min="26" max="26" width="25.25"/>
    <col customWidth="1" min="27" max="27" width="26.13"/>
    <col customWidth="1" min="28" max="28" width="27.0"/>
    <col customWidth="1" min="29" max="29" width="28.0"/>
    <col customWidth="1" min="30" max="30" width="29.0"/>
    <col customWidth="1" min="31" max="31" width="30.25"/>
    <col customWidth="1" min="32" max="32" width="31.13"/>
    <col customWidth="1" min="33" max="33" width="31.38"/>
    <col customWidth="1" min="34" max="34" width="32.38"/>
    <col customWidth="1" min="35" max="35" width="33.38"/>
    <col customWidth="1" min="36" max="36" width="31.0"/>
  </cols>
  <sheetData>
    <row r="1" ht="15.75" customHeight="1">
      <c r="A1" s="1"/>
      <c r="B1" s="1"/>
      <c r="C1" s="1"/>
      <c r="D1" s="1"/>
      <c r="E1" s="1"/>
      <c r="F1" s="1"/>
      <c r="G1" s="1"/>
      <c r="H1" s="1"/>
      <c r="I1" s="1"/>
      <c r="J1" s="1"/>
      <c r="K1" s="1"/>
      <c r="L1" s="1"/>
      <c r="M1" s="1"/>
    </row>
    <row r="2" ht="15.75" customHeight="1">
      <c r="A2" s="1"/>
      <c r="B2" s="1"/>
      <c r="C2" s="2" t="s">
        <v>0</v>
      </c>
      <c r="M2" s="1"/>
    </row>
    <row r="3" ht="15.75" customHeight="1">
      <c r="A3" s="1"/>
      <c r="B3" s="1"/>
      <c r="C3" s="1"/>
      <c r="D3" s="1"/>
      <c r="E3" s="1"/>
      <c r="F3" s="1"/>
      <c r="G3" s="1"/>
      <c r="H3" s="1"/>
      <c r="I3" s="1"/>
      <c r="J3" s="1"/>
      <c r="K3" s="1"/>
      <c r="L3" s="1"/>
      <c r="M3" s="1"/>
    </row>
    <row r="4" ht="15.75" customHeight="1">
      <c r="A4" s="1"/>
      <c r="B4" s="1"/>
      <c r="C4" s="3"/>
      <c r="D4" s="3"/>
      <c r="E4" s="3"/>
      <c r="F4" s="3"/>
      <c r="G4" s="3"/>
      <c r="H4" s="3"/>
      <c r="I4" s="3"/>
      <c r="J4" s="3"/>
      <c r="K4" s="3"/>
      <c r="L4" s="3"/>
      <c r="M4" s="1"/>
    </row>
    <row r="5" ht="15.75" customHeight="1">
      <c r="A5" s="1"/>
      <c r="B5" s="4"/>
      <c r="C5" s="5" t="s">
        <v>1</v>
      </c>
      <c r="D5" s="6"/>
      <c r="E5" s="6"/>
      <c r="F5" s="6"/>
      <c r="G5" s="6"/>
      <c r="H5" s="6"/>
      <c r="I5" s="6"/>
      <c r="J5" s="6"/>
      <c r="K5" s="6"/>
      <c r="L5" s="7"/>
      <c r="M5" s="1"/>
    </row>
    <row r="6" ht="15.75" customHeight="1">
      <c r="A6" s="1"/>
      <c r="B6" s="1"/>
      <c r="C6" s="1"/>
      <c r="D6" s="1"/>
      <c r="E6" s="1"/>
      <c r="F6" s="1"/>
      <c r="G6" s="1"/>
      <c r="H6" s="1"/>
      <c r="I6" s="1"/>
      <c r="J6" s="1"/>
      <c r="K6" s="1"/>
      <c r="L6" s="1"/>
      <c r="M6" s="1"/>
    </row>
    <row r="7" ht="15.75" customHeight="1">
      <c r="A7" s="1"/>
      <c r="B7" s="1"/>
      <c r="C7" s="8" t="s">
        <v>2</v>
      </c>
      <c r="D7" s="1"/>
      <c r="E7" s="1"/>
      <c r="F7" s="1"/>
      <c r="G7" s="1"/>
      <c r="H7" s="1"/>
      <c r="I7" s="1"/>
      <c r="J7" s="9" t="s">
        <v>3</v>
      </c>
      <c r="K7" s="1"/>
      <c r="L7" s="1"/>
      <c r="M7" s="1"/>
    </row>
    <row r="8" ht="15.75" customHeight="1">
      <c r="A8" s="1"/>
      <c r="B8" s="1"/>
      <c r="C8" s="8" t="s">
        <v>4</v>
      </c>
      <c r="D8" s="1"/>
      <c r="E8" s="1"/>
      <c r="F8" s="1"/>
      <c r="G8" s="1"/>
      <c r="H8" s="9" t="s">
        <v>3</v>
      </c>
      <c r="I8" s="1"/>
      <c r="J8" s="1"/>
      <c r="K8" s="1"/>
      <c r="L8" s="1"/>
      <c r="M8" s="1"/>
    </row>
    <row r="9" ht="15.75" customHeight="1">
      <c r="A9" s="1"/>
      <c r="B9" s="1"/>
      <c r="C9" s="1"/>
      <c r="D9" s="1"/>
      <c r="E9" s="1"/>
      <c r="F9" s="10" t="s">
        <v>5</v>
      </c>
      <c r="G9" s="1"/>
      <c r="H9" s="11" t="s">
        <v>6</v>
      </c>
      <c r="I9" s="1"/>
      <c r="J9" s="1"/>
      <c r="K9" s="1"/>
      <c r="L9" s="1"/>
      <c r="M9" s="1"/>
    </row>
    <row r="10" ht="15.75" customHeight="1">
      <c r="A10" s="1"/>
      <c r="B10" s="1"/>
      <c r="C10" s="1"/>
      <c r="D10" s="1"/>
      <c r="E10" s="1"/>
      <c r="F10" s="1"/>
      <c r="G10" s="1"/>
      <c r="H10" s="1"/>
      <c r="I10" s="1"/>
      <c r="J10" s="1"/>
      <c r="K10" s="1"/>
      <c r="L10" s="1"/>
      <c r="M10" s="1"/>
    </row>
    <row r="11" ht="15.75" customHeight="1">
      <c r="A11" s="1"/>
      <c r="B11" s="12" t="s">
        <v>7</v>
      </c>
      <c r="M11" s="1"/>
    </row>
    <row r="12" ht="15.75" customHeight="1">
      <c r="A12" s="1"/>
      <c r="B12" s="1"/>
      <c r="C12" s="1"/>
      <c r="D12" s="1"/>
      <c r="E12" s="1"/>
      <c r="F12" s="1"/>
      <c r="G12" s="1"/>
      <c r="H12" s="1"/>
      <c r="I12" s="1"/>
      <c r="J12" s="1"/>
      <c r="K12" s="1"/>
      <c r="L12" s="1"/>
      <c r="M12" s="1"/>
    </row>
    <row r="13" ht="15.75" customHeight="1">
      <c r="A13" s="1"/>
      <c r="B13" s="1"/>
      <c r="C13" s="1"/>
      <c r="D13" s="1"/>
      <c r="E13" s="1"/>
      <c r="F13" s="1"/>
      <c r="G13" s="1"/>
      <c r="H13" s="1"/>
      <c r="I13" s="1"/>
      <c r="J13" s="1"/>
      <c r="K13" s="1"/>
      <c r="L13" s="1"/>
      <c r="M13" s="1"/>
    </row>
    <row r="14" ht="15.75" customHeight="1">
      <c r="A14" s="13" t="s">
        <v>8</v>
      </c>
      <c r="B14" s="1"/>
      <c r="C14" s="14" t="s">
        <v>3</v>
      </c>
      <c r="D14" s="1"/>
      <c r="E14" s="1"/>
      <c r="F14" s="15" t="str">
        <f>HYPERLINK("https://docs.google.com/spreadsheets/d/1yjXfo8_vfVNzp-yfYoBQLQK8gzqJg5nNtuTTD1RrFS4/edit#gid=0","Listing Criteria")</f>
        <v>Listing Criteria</v>
      </c>
      <c r="G14" s="1"/>
      <c r="H14" s="1"/>
      <c r="I14" s="16" t="s">
        <v>9</v>
      </c>
      <c r="J14" s="1"/>
      <c r="K14" s="15" t="str">
        <f>HYPERLINK("https://docs.google.com/spreadsheets/d/1Y0GXjhazYa46u0EpPA9b0Y0RVWuh5lDzww_o979mbjQ/edit#gid=1904113265","Y-DNA Tree Trunk")</f>
        <v>Y-DNA Tree Trunk</v>
      </c>
      <c r="L14" s="1"/>
      <c r="M14" s="1"/>
    </row>
    <row r="15" ht="15.75" customHeight="1">
      <c r="A15" s="1"/>
      <c r="B15" s="1"/>
      <c r="C15" s="1"/>
      <c r="D15" s="1"/>
      <c r="E15" s="1"/>
      <c r="F15" s="1"/>
      <c r="G15" s="17" t="s">
        <v>10</v>
      </c>
      <c r="H15" s="1"/>
      <c r="I15" s="17" t="s">
        <v>11</v>
      </c>
      <c r="J15" s="1"/>
      <c r="K15" s="1"/>
      <c r="L15" s="1"/>
      <c r="M15" s="18" t="s">
        <v>12</v>
      </c>
    </row>
    <row r="16" ht="15.75" customHeight="1">
      <c r="A16" s="1"/>
      <c r="B16" s="1"/>
      <c r="C16" s="1"/>
      <c r="D16" s="1"/>
      <c r="E16" s="1"/>
      <c r="F16" s="1"/>
      <c r="G16" s="1"/>
      <c r="H16" s="1"/>
      <c r="I16" s="1"/>
      <c r="J16" s="1"/>
      <c r="K16" s="1"/>
      <c r="L16" s="19" t="s">
        <v>13</v>
      </c>
      <c r="M16" s="1"/>
    </row>
    <row r="17" ht="15.75" customHeight="1">
      <c r="A17" s="13" t="s">
        <v>14</v>
      </c>
      <c r="B17" s="1"/>
      <c r="C17" s="1"/>
      <c r="D17" s="20" t="s">
        <v>15</v>
      </c>
      <c r="E17" s="1"/>
      <c r="F17" s="1"/>
      <c r="G17" s="1"/>
      <c r="H17" s="1"/>
      <c r="I17" s="21" t="s">
        <v>16</v>
      </c>
      <c r="J17" s="1"/>
      <c r="K17" s="1"/>
      <c r="L17" s="22" t="s">
        <v>17</v>
      </c>
      <c r="M17" s="1"/>
    </row>
    <row r="18" ht="15.75" customHeight="1">
      <c r="A18" s="1"/>
      <c r="B18" s="1"/>
      <c r="C18" s="1"/>
      <c r="D18" s="1"/>
      <c r="E18" s="1"/>
      <c r="F18" s="1"/>
      <c r="G18" s="1"/>
      <c r="H18" s="1"/>
      <c r="I18" s="1"/>
      <c r="J18" s="1"/>
      <c r="K18" s="1"/>
      <c r="L18" s="1"/>
      <c r="M18" s="1"/>
    </row>
    <row r="19" ht="15.75" customHeight="1">
      <c r="A19" s="13" t="s">
        <v>18</v>
      </c>
      <c r="B19" s="1"/>
      <c r="C19" s="1"/>
      <c r="D19" s="8" t="s">
        <v>19</v>
      </c>
      <c r="E19" s="1"/>
      <c r="F19" s="1"/>
      <c r="G19" s="1"/>
      <c r="H19" s="1"/>
      <c r="I19" s="1"/>
      <c r="J19" s="1"/>
      <c r="K19" s="1"/>
      <c r="L19" s="1"/>
      <c r="M19" s="1"/>
    </row>
    <row r="20" ht="15.75" customHeight="1">
      <c r="A20" s="1"/>
      <c r="B20" s="1"/>
      <c r="C20" s="1"/>
      <c r="D20" s="8" t="s">
        <v>20</v>
      </c>
      <c r="E20" s="1"/>
      <c r="F20" s="1"/>
      <c r="G20" s="1"/>
      <c r="H20" s="1"/>
      <c r="I20" s="1"/>
      <c r="J20" s="1"/>
      <c r="K20" s="1"/>
      <c r="L20" s="1"/>
      <c r="M20" s="1"/>
    </row>
    <row r="21" ht="15.75" customHeight="1">
      <c r="A21" s="1"/>
      <c r="B21" s="1"/>
      <c r="C21" s="1"/>
      <c r="D21" s="8" t="s">
        <v>21</v>
      </c>
      <c r="E21" s="1"/>
      <c r="F21" s="1"/>
      <c r="G21" s="1"/>
      <c r="H21" s="1"/>
      <c r="I21" s="1"/>
      <c r="J21" s="1"/>
      <c r="K21" s="1"/>
      <c r="L21" s="1"/>
      <c r="M21" s="1"/>
    </row>
    <row r="22" ht="15.75" customHeight="1">
      <c r="A22" s="1"/>
      <c r="B22" s="1"/>
      <c r="C22" s="1"/>
      <c r="D22" s="1"/>
      <c r="E22" s="1"/>
      <c r="F22" s="1"/>
      <c r="G22" s="1"/>
      <c r="H22" s="1"/>
      <c r="I22" s="1"/>
      <c r="J22" s="1"/>
      <c r="K22" s="1"/>
      <c r="L22" s="1"/>
      <c r="M22" s="1"/>
    </row>
    <row r="23" ht="15.75" customHeight="1">
      <c r="A23" s="1"/>
      <c r="B23" s="23" t="s">
        <v>22</v>
      </c>
      <c r="M23" s="1"/>
    </row>
    <row r="24" ht="15.75" customHeight="1">
      <c r="A24" s="1"/>
      <c r="B24" s="23" t="s">
        <v>23</v>
      </c>
      <c r="M24" s="1"/>
    </row>
    <row r="25" ht="15.75" customHeight="1">
      <c r="A25" s="1"/>
      <c r="B25" s="23" t="s">
        <v>24</v>
      </c>
      <c r="M25" s="1"/>
    </row>
    <row r="26" ht="15.75" customHeight="1">
      <c r="A26" s="1"/>
      <c r="B26" s="1"/>
      <c r="C26" s="1"/>
      <c r="D26" s="1"/>
      <c r="E26" s="1"/>
      <c r="F26" s="1"/>
      <c r="G26" s="1"/>
      <c r="H26" s="1"/>
      <c r="I26" s="1"/>
      <c r="J26" s="1"/>
      <c r="K26" s="1"/>
      <c r="L26" s="1"/>
      <c r="M26" s="1"/>
    </row>
    <row r="27" ht="15.75" customHeight="1">
      <c r="A27" s="1"/>
      <c r="B27" s="1"/>
      <c r="C27" s="1"/>
      <c r="D27" s="1"/>
      <c r="E27" s="1"/>
      <c r="F27" s="1"/>
      <c r="G27" s="1"/>
      <c r="H27" s="1"/>
      <c r="I27" s="1"/>
      <c r="J27" s="1"/>
      <c r="K27" s="1"/>
      <c r="L27" s="1"/>
      <c r="M27" s="1"/>
    </row>
    <row r="28" ht="15.75" customHeight="1">
      <c r="A28" s="1"/>
      <c r="B28" s="1"/>
      <c r="C28" s="1"/>
      <c r="D28" s="1"/>
      <c r="E28" s="1"/>
      <c r="F28" s="1"/>
      <c r="G28" s="1"/>
      <c r="H28" s="1"/>
      <c r="I28" s="1"/>
      <c r="J28" s="1"/>
      <c r="K28" s="1"/>
      <c r="L28" s="1"/>
      <c r="M28" s="1"/>
    </row>
    <row r="29" ht="15.75" customHeight="1">
      <c r="A29" s="24" t="s">
        <v>25</v>
      </c>
      <c r="B29" s="25" t="s">
        <v>26</v>
      </c>
    </row>
    <row r="30" ht="15.75" customHeight="1">
      <c r="B30" s="24" t="s">
        <v>27</v>
      </c>
      <c r="C30" s="26" t="s">
        <v>28</v>
      </c>
    </row>
    <row r="31" ht="15.75" customHeight="1">
      <c r="C31" s="24" t="s">
        <v>29</v>
      </c>
      <c r="D31" s="27" t="s">
        <v>30</v>
      </c>
    </row>
    <row r="32" ht="15.75" customHeight="1">
      <c r="D32" s="28" t="s">
        <v>31</v>
      </c>
      <c r="E32" s="29" t="s">
        <v>32</v>
      </c>
    </row>
    <row r="33" ht="15.75" customHeight="1">
      <c r="D33" s="28" t="s">
        <v>33</v>
      </c>
      <c r="E33" s="29" t="s">
        <v>34</v>
      </c>
    </row>
    <row r="34" ht="15.75" customHeight="1">
      <c r="E34" s="28" t="s">
        <v>35</v>
      </c>
      <c r="F34" s="30" t="s">
        <v>36</v>
      </c>
    </row>
    <row r="35" ht="15.75" customHeight="1">
      <c r="F35" s="28" t="s">
        <v>37</v>
      </c>
      <c r="G35" s="29" t="s">
        <v>38</v>
      </c>
    </row>
    <row r="36" ht="15.75" customHeight="1">
      <c r="G36" s="24" t="s">
        <v>39</v>
      </c>
      <c r="H36" s="31" t="s">
        <v>40</v>
      </c>
    </row>
    <row r="37" ht="15.75" customHeight="1">
      <c r="G37" s="28" t="s">
        <v>41</v>
      </c>
      <c r="H37" s="32" t="s">
        <v>42</v>
      </c>
    </row>
    <row r="38" ht="15.75" customHeight="1">
      <c r="H38" s="28" t="s">
        <v>43</v>
      </c>
      <c r="I38" s="29" t="s">
        <v>44</v>
      </c>
    </row>
    <row r="39" ht="15.75" customHeight="1">
      <c r="I39" s="24" t="s">
        <v>45</v>
      </c>
      <c r="J39" s="31" t="s">
        <v>46</v>
      </c>
    </row>
    <row r="40" ht="15.75" customHeight="1">
      <c r="I40" s="28" t="s">
        <v>47</v>
      </c>
      <c r="J40" s="30" t="s">
        <v>48</v>
      </c>
    </row>
    <row r="41" ht="15.75" customHeight="1">
      <c r="J41" s="28" t="s">
        <v>49</v>
      </c>
      <c r="K41" s="29" t="s">
        <v>50</v>
      </c>
    </row>
    <row r="42" ht="15.75" customHeight="1">
      <c r="I42" s="28" t="s">
        <v>51</v>
      </c>
      <c r="J42" s="32" t="s">
        <v>52</v>
      </c>
    </row>
    <row r="43" ht="15.75" customHeight="1">
      <c r="H43" s="24" t="s">
        <v>53</v>
      </c>
      <c r="I43" s="33" t="s">
        <v>54</v>
      </c>
    </row>
    <row r="44" ht="15.75" customHeight="1">
      <c r="H44" s="28" t="s">
        <v>55</v>
      </c>
      <c r="I44" s="32" t="s">
        <v>56</v>
      </c>
    </row>
    <row r="45" ht="15.75" customHeight="1">
      <c r="I45" s="24" t="s">
        <v>57</v>
      </c>
      <c r="J45" s="31" t="s">
        <v>58</v>
      </c>
    </row>
    <row r="46" ht="15.75" customHeight="1">
      <c r="I46" s="24" t="s">
        <v>59</v>
      </c>
      <c r="J46" s="31" t="s">
        <v>60</v>
      </c>
    </row>
    <row r="47" ht="15.75" customHeight="1">
      <c r="I47" s="28" t="s">
        <v>61</v>
      </c>
      <c r="J47" s="29" t="s">
        <v>62</v>
      </c>
    </row>
    <row r="48" ht="15.75" customHeight="1">
      <c r="I48" s="28" t="s">
        <v>63</v>
      </c>
      <c r="J48" s="32" t="s">
        <v>64</v>
      </c>
    </row>
    <row r="49" ht="15.75" customHeight="1">
      <c r="J49" s="24" t="s">
        <v>65</v>
      </c>
      <c r="K49" s="31" t="s">
        <v>66</v>
      </c>
    </row>
    <row r="50" ht="15.75" customHeight="1">
      <c r="J50" s="28" t="s">
        <v>67</v>
      </c>
      <c r="K50" s="34" t="s">
        <v>68</v>
      </c>
    </row>
    <row r="51" ht="15.75" customHeight="1">
      <c r="K51" s="24" t="s">
        <v>69</v>
      </c>
      <c r="L51" s="31" t="s">
        <v>70</v>
      </c>
    </row>
    <row r="52" ht="15.75" customHeight="1">
      <c r="K52" s="28" t="s">
        <v>71</v>
      </c>
      <c r="L52" s="32" t="s">
        <v>72</v>
      </c>
    </row>
    <row r="53" ht="15.75" customHeight="1">
      <c r="L53" s="24" t="s">
        <v>73</v>
      </c>
      <c r="M53" s="31" t="s">
        <v>74</v>
      </c>
    </row>
    <row r="54" ht="15.75" customHeight="1">
      <c r="M54" s="28" t="s">
        <v>75</v>
      </c>
      <c r="N54" s="29" t="s">
        <v>76</v>
      </c>
    </row>
    <row r="55" ht="15.75" customHeight="1">
      <c r="N55" s="28" t="s">
        <v>77</v>
      </c>
      <c r="O55" s="29" t="s">
        <v>78</v>
      </c>
    </row>
    <row r="56" ht="15.75" customHeight="1">
      <c r="N56" s="28" t="s">
        <v>79</v>
      </c>
      <c r="O56" s="29" t="s">
        <v>80</v>
      </c>
    </row>
    <row r="57" ht="15.75" customHeight="1">
      <c r="O57" s="28" t="s">
        <v>81</v>
      </c>
      <c r="P57" s="29" t="s">
        <v>82</v>
      </c>
    </row>
    <row r="58" ht="15.75" customHeight="1">
      <c r="O58" s="28" t="s">
        <v>83</v>
      </c>
      <c r="P58" s="34" t="s">
        <v>84</v>
      </c>
    </row>
    <row r="59" ht="15.75" customHeight="1">
      <c r="P59" s="28" t="s">
        <v>85</v>
      </c>
      <c r="Q59" s="35" t="s">
        <v>86</v>
      </c>
    </row>
    <row r="60" ht="15.75" customHeight="1">
      <c r="P60" s="28" t="s">
        <v>87</v>
      </c>
      <c r="Q60" s="29" t="s">
        <v>88</v>
      </c>
    </row>
    <row r="61" ht="15.75" customHeight="1">
      <c r="J61" s="28" t="s">
        <v>89</v>
      </c>
      <c r="K61" s="32" t="s">
        <v>90</v>
      </c>
    </row>
    <row r="62" ht="15.75" customHeight="1">
      <c r="I62" s="28" t="s">
        <v>91</v>
      </c>
      <c r="J62" s="32" t="s">
        <v>92</v>
      </c>
    </row>
    <row r="63" ht="15.75" customHeight="1">
      <c r="J63" s="28" t="s">
        <v>93</v>
      </c>
      <c r="K63" s="32" t="s">
        <v>94</v>
      </c>
    </row>
    <row r="64" ht="15.75" customHeight="1">
      <c r="J64" s="28" t="s">
        <v>95</v>
      </c>
      <c r="K64" s="34" t="s">
        <v>96</v>
      </c>
    </row>
    <row r="65" ht="15.75" customHeight="1">
      <c r="K65" s="28" t="s">
        <v>97</v>
      </c>
      <c r="L65" s="29" t="s">
        <v>98</v>
      </c>
    </row>
    <row r="66" ht="15.75" customHeight="1">
      <c r="K66" s="28" t="s">
        <v>99</v>
      </c>
      <c r="L66" s="32" t="s">
        <v>100</v>
      </c>
    </row>
    <row r="67" ht="15.75" customHeight="1">
      <c r="L67" s="28" t="s">
        <v>101</v>
      </c>
      <c r="M67" s="34" t="s">
        <v>102</v>
      </c>
    </row>
    <row r="68" ht="15.75" customHeight="1">
      <c r="L68" s="28" t="s">
        <v>103</v>
      </c>
      <c r="M68" s="32" t="s">
        <v>104</v>
      </c>
    </row>
    <row r="69" ht="15.75" customHeight="1">
      <c r="M69" s="28" t="s">
        <v>105</v>
      </c>
      <c r="N69" s="29" t="s">
        <v>106</v>
      </c>
    </row>
    <row r="70" ht="15.75" customHeight="1">
      <c r="L70" s="29"/>
      <c r="N70" s="28" t="s">
        <v>107</v>
      </c>
      <c r="O70" s="29" t="s">
        <v>108</v>
      </c>
    </row>
    <row r="71" ht="15.75" customHeight="1">
      <c r="O71" s="28" t="s">
        <v>109</v>
      </c>
      <c r="P71" s="36" t="s">
        <v>110</v>
      </c>
    </row>
    <row r="72" ht="15.75" customHeight="1">
      <c r="P72" s="28" t="s">
        <v>111</v>
      </c>
      <c r="Q72" s="34" t="s">
        <v>112</v>
      </c>
    </row>
    <row r="73" ht="15.75" customHeight="1">
      <c r="O73" s="28" t="s">
        <v>113</v>
      </c>
      <c r="P73" s="29" t="s">
        <v>114</v>
      </c>
    </row>
    <row r="74" ht="15.75" customHeight="1">
      <c r="O74" s="28" t="s">
        <v>115</v>
      </c>
      <c r="P74" s="29" t="s">
        <v>116</v>
      </c>
    </row>
    <row r="75" ht="15.75" customHeight="1">
      <c r="P75" s="28" t="s">
        <v>117</v>
      </c>
      <c r="Q75" s="29" t="s">
        <v>118</v>
      </c>
    </row>
    <row r="76" ht="15.75" customHeight="1">
      <c r="N76" s="28" t="s">
        <v>119</v>
      </c>
      <c r="O76" s="29" t="s">
        <v>120</v>
      </c>
    </row>
    <row r="77" ht="15.75" customHeight="1">
      <c r="O77" s="28" t="s">
        <v>121</v>
      </c>
      <c r="P77" s="32" t="s">
        <v>122</v>
      </c>
    </row>
    <row r="78" ht="15.75" customHeight="1">
      <c r="P78" s="28" t="s">
        <v>123</v>
      </c>
      <c r="Q78" s="29" t="s">
        <v>124</v>
      </c>
    </row>
    <row r="79" ht="15.75" customHeight="1">
      <c r="Q79" s="28" t="s">
        <v>125</v>
      </c>
      <c r="R79" s="29" t="s">
        <v>126</v>
      </c>
    </row>
    <row r="80" ht="15.75" customHeight="1">
      <c r="Q80" s="28" t="s">
        <v>127</v>
      </c>
      <c r="R80" s="29" t="s">
        <v>128</v>
      </c>
    </row>
    <row r="81" ht="15.75" customHeight="1">
      <c r="O81" s="28" t="s">
        <v>129</v>
      </c>
      <c r="P81" s="30" t="s">
        <v>130</v>
      </c>
    </row>
    <row r="82" ht="15.75" customHeight="1">
      <c r="P82" s="28" t="s">
        <v>131</v>
      </c>
      <c r="Q82" s="29" t="s">
        <v>132</v>
      </c>
    </row>
    <row r="83" ht="15.75" customHeight="1">
      <c r="P83" s="28" t="s">
        <v>133</v>
      </c>
      <c r="Q83" s="29" t="s">
        <v>134</v>
      </c>
    </row>
    <row r="84" ht="15.75" customHeight="1">
      <c r="O84" s="28" t="s">
        <v>135</v>
      </c>
      <c r="P84" s="29" t="s">
        <v>136</v>
      </c>
    </row>
    <row r="85" ht="15.75" customHeight="1">
      <c r="P85" s="28" t="s">
        <v>137</v>
      </c>
      <c r="Q85" s="29" t="s">
        <v>138</v>
      </c>
    </row>
    <row r="86" ht="15.75" customHeight="1">
      <c r="M86" s="28" t="s">
        <v>139</v>
      </c>
      <c r="N86" s="29" t="s">
        <v>140</v>
      </c>
    </row>
    <row r="87" ht="15.75" customHeight="1">
      <c r="N87" s="28" t="s">
        <v>141</v>
      </c>
      <c r="O87" s="29" t="s">
        <v>142</v>
      </c>
    </row>
    <row r="88" ht="15.75" customHeight="1">
      <c r="O88" s="28" t="s">
        <v>143</v>
      </c>
      <c r="P88" s="30" t="s">
        <v>144</v>
      </c>
    </row>
    <row r="89" ht="15.75" customHeight="1">
      <c r="P89" s="28" t="s">
        <v>145</v>
      </c>
      <c r="Q89" s="29" t="s">
        <v>146</v>
      </c>
    </row>
    <row r="90" ht="15.75" customHeight="1">
      <c r="P90" s="28" t="s">
        <v>147</v>
      </c>
      <c r="Q90" s="29" t="s">
        <v>148</v>
      </c>
    </row>
    <row r="91" ht="15.75" customHeight="1">
      <c r="P91" s="28" t="s">
        <v>149</v>
      </c>
      <c r="Q91" s="29" t="s">
        <v>150</v>
      </c>
    </row>
    <row r="92" ht="15.75" customHeight="1">
      <c r="P92" s="28" t="s">
        <v>151</v>
      </c>
      <c r="Q92" s="29" t="s">
        <v>152</v>
      </c>
    </row>
    <row r="93" ht="15.75" customHeight="1">
      <c r="P93" s="28" t="s">
        <v>153</v>
      </c>
      <c r="Q93" s="29" t="s">
        <v>154</v>
      </c>
    </row>
    <row r="94" ht="15.75" customHeight="1">
      <c r="P94" s="28" t="s">
        <v>155</v>
      </c>
      <c r="Q94" s="29" t="s">
        <v>156</v>
      </c>
    </row>
    <row r="95" ht="15.75" customHeight="1">
      <c r="P95" s="28" t="s">
        <v>157</v>
      </c>
      <c r="Q95" s="29" t="s">
        <v>158</v>
      </c>
    </row>
    <row r="96" ht="15.75" customHeight="1">
      <c r="N96" s="28" t="s">
        <v>159</v>
      </c>
      <c r="O96" s="29" t="s">
        <v>160</v>
      </c>
    </row>
    <row r="97" ht="15.75" customHeight="1">
      <c r="O97" s="28" t="s">
        <v>161</v>
      </c>
      <c r="P97" s="29" t="s">
        <v>162</v>
      </c>
    </row>
    <row r="98" ht="15.75" customHeight="1">
      <c r="O98" s="28" t="s">
        <v>163</v>
      </c>
      <c r="P98" s="34" t="s">
        <v>164</v>
      </c>
    </row>
    <row r="99" ht="15.75" customHeight="1">
      <c r="O99" s="28" t="s">
        <v>165</v>
      </c>
      <c r="P99" s="29" t="s">
        <v>166</v>
      </c>
    </row>
    <row r="100" ht="15.75" customHeight="1">
      <c r="P100" s="28" t="s">
        <v>167</v>
      </c>
      <c r="Q100" s="29" t="s">
        <v>168</v>
      </c>
    </row>
    <row r="101" ht="15.75" customHeight="1">
      <c r="A101" s="31" t="s">
        <v>169</v>
      </c>
      <c r="P101" s="28" t="s">
        <v>170</v>
      </c>
      <c r="Q101" s="30" t="s">
        <v>171</v>
      </c>
    </row>
    <row r="102" ht="15.75" customHeight="1">
      <c r="Q102" s="28" t="s">
        <v>172</v>
      </c>
      <c r="R102" s="30" t="s">
        <v>173</v>
      </c>
    </row>
    <row r="103" ht="15.75" customHeight="1">
      <c r="R103" s="28" t="s">
        <v>174</v>
      </c>
      <c r="S103" s="29" t="s">
        <v>175</v>
      </c>
    </row>
    <row r="104" ht="15.75" customHeight="1">
      <c r="S104" s="28" t="s">
        <v>176</v>
      </c>
      <c r="T104" s="29" t="s">
        <v>177</v>
      </c>
    </row>
    <row r="105" ht="15.75" customHeight="1">
      <c r="Q105" s="28" t="s">
        <v>178</v>
      </c>
      <c r="R105" s="32" t="s">
        <v>179</v>
      </c>
    </row>
    <row r="106" ht="15.75" customHeight="1">
      <c r="R106" s="28" t="s">
        <v>180</v>
      </c>
      <c r="S106" s="29" t="s">
        <v>181</v>
      </c>
    </row>
    <row r="107" ht="15.75" customHeight="1">
      <c r="S107" s="28" t="s">
        <v>182</v>
      </c>
      <c r="T107" s="29" t="s">
        <v>183</v>
      </c>
    </row>
    <row r="108" ht="15.75" customHeight="1">
      <c r="T108" s="28" t="s">
        <v>184</v>
      </c>
      <c r="U108" s="29" t="s">
        <v>185</v>
      </c>
    </row>
    <row r="109" ht="15.75" customHeight="1">
      <c r="T109" s="28" t="s">
        <v>186</v>
      </c>
      <c r="U109" s="29" t="s">
        <v>187</v>
      </c>
    </row>
    <row r="110" ht="15.75" customHeight="1">
      <c r="U110" s="28" t="s">
        <v>188</v>
      </c>
      <c r="V110" s="29" t="s">
        <v>189</v>
      </c>
    </row>
    <row r="111" ht="15.75" customHeight="1">
      <c r="V111" s="28" t="s">
        <v>190</v>
      </c>
      <c r="W111" s="29" t="s">
        <v>191</v>
      </c>
    </row>
    <row r="112" ht="15.75" customHeight="1">
      <c r="R112" s="28" t="s">
        <v>192</v>
      </c>
      <c r="S112" s="29" t="s">
        <v>193</v>
      </c>
    </row>
    <row r="113" ht="15.75" customHeight="1">
      <c r="S113" s="28" t="s">
        <v>194</v>
      </c>
      <c r="T113" s="34" t="s">
        <v>195</v>
      </c>
    </row>
    <row r="114" ht="15.75" customHeight="1">
      <c r="T114" s="28" t="s">
        <v>196</v>
      </c>
      <c r="U114" s="29" t="s">
        <v>197</v>
      </c>
    </row>
    <row r="115" ht="15.75" customHeight="1">
      <c r="U115" s="28" t="s">
        <v>198</v>
      </c>
      <c r="V115" s="29" t="s">
        <v>199</v>
      </c>
    </row>
    <row r="116" ht="15.75" customHeight="1">
      <c r="U116" s="28" t="s">
        <v>200</v>
      </c>
      <c r="V116" s="29" t="s">
        <v>201</v>
      </c>
    </row>
    <row r="117" ht="15.75" customHeight="1">
      <c r="T117" s="28" t="s">
        <v>202</v>
      </c>
      <c r="U117" s="29" t="s">
        <v>203</v>
      </c>
    </row>
    <row r="118" ht="15.75" customHeight="1">
      <c r="U118" s="28" t="s">
        <v>204</v>
      </c>
      <c r="V118" s="29" t="s">
        <v>205</v>
      </c>
    </row>
    <row r="119" ht="15.75" customHeight="1">
      <c r="U119" s="28" t="s">
        <v>206</v>
      </c>
      <c r="V119" s="29" t="s">
        <v>207</v>
      </c>
    </row>
    <row r="120" ht="15.75" customHeight="1">
      <c r="V120" s="28" t="s">
        <v>208</v>
      </c>
      <c r="W120" s="29" t="s">
        <v>209</v>
      </c>
    </row>
    <row r="121" ht="15.75" customHeight="1">
      <c r="T121" s="28" t="s">
        <v>210</v>
      </c>
      <c r="U121" s="29" t="s">
        <v>211</v>
      </c>
    </row>
    <row r="122" ht="15.75" customHeight="1">
      <c r="T122" s="28" t="s">
        <v>212</v>
      </c>
      <c r="U122" s="29" t="s">
        <v>213</v>
      </c>
    </row>
    <row r="123" ht="15.75" customHeight="1">
      <c r="U123" s="28" t="s">
        <v>214</v>
      </c>
      <c r="V123" s="29" t="s">
        <v>215</v>
      </c>
    </row>
    <row r="124" ht="15.75" customHeight="1">
      <c r="S124" s="28" t="s">
        <v>216</v>
      </c>
      <c r="T124" s="29" t="s">
        <v>217</v>
      </c>
    </row>
    <row r="125" ht="15.75" customHeight="1">
      <c r="T125" s="28" t="s">
        <v>218</v>
      </c>
      <c r="U125" s="29" t="s">
        <v>219</v>
      </c>
    </row>
    <row r="126" ht="15.75" customHeight="1">
      <c r="U126" s="28" t="s">
        <v>220</v>
      </c>
      <c r="V126" s="29" t="s">
        <v>221</v>
      </c>
    </row>
    <row r="127" ht="15.75" customHeight="1">
      <c r="Q127" s="28" t="s">
        <v>222</v>
      </c>
      <c r="R127" s="29" t="s">
        <v>223</v>
      </c>
    </row>
    <row r="128" ht="15.75" customHeight="1">
      <c r="R128" s="28" t="s">
        <v>224</v>
      </c>
      <c r="S128" s="29" t="s">
        <v>225</v>
      </c>
    </row>
    <row r="129" ht="15.75" customHeight="1">
      <c r="S129" s="28" t="s">
        <v>226</v>
      </c>
      <c r="T129" s="34" t="s">
        <v>227</v>
      </c>
    </row>
    <row r="130" ht="15.75" customHeight="1">
      <c r="T130" s="28" t="s">
        <v>228</v>
      </c>
      <c r="U130" s="30" t="s">
        <v>229</v>
      </c>
      <c r="AA130" s="32"/>
      <c r="AB130" s="32"/>
      <c r="AC130" s="32"/>
      <c r="AD130" s="32"/>
      <c r="AE130" s="32"/>
      <c r="AF130" s="32"/>
      <c r="AG130" s="32"/>
      <c r="AH130" s="32"/>
      <c r="AI130" s="32"/>
      <c r="AJ130" s="32"/>
    </row>
    <row r="131" ht="15.75" customHeight="1">
      <c r="T131" s="28" t="s">
        <v>230</v>
      </c>
      <c r="U131" s="29" t="s">
        <v>231</v>
      </c>
    </row>
    <row r="132" ht="15.75" customHeight="1">
      <c r="T132" s="28" t="s">
        <v>232</v>
      </c>
      <c r="U132" s="29" t="s">
        <v>233</v>
      </c>
    </row>
    <row r="133" ht="15.75" customHeight="1">
      <c r="P133" s="28" t="s">
        <v>234</v>
      </c>
      <c r="Q133" s="29" t="s">
        <v>235</v>
      </c>
    </row>
    <row r="134" ht="15.75" customHeight="1">
      <c r="Q134" s="28" t="s">
        <v>236</v>
      </c>
      <c r="R134" s="32" t="s">
        <v>237</v>
      </c>
    </row>
    <row r="135" ht="15.75" customHeight="1">
      <c r="R135" s="28" t="s">
        <v>238</v>
      </c>
      <c r="S135" s="29" t="s">
        <v>239</v>
      </c>
    </row>
    <row r="136" ht="15.75" customHeight="1">
      <c r="Q136" s="28" t="s">
        <v>240</v>
      </c>
      <c r="R136" s="30" t="s">
        <v>241</v>
      </c>
    </row>
    <row r="137" ht="15.75" customHeight="1">
      <c r="R137" s="28" t="s">
        <v>242</v>
      </c>
      <c r="S137" s="32" t="s">
        <v>243</v>
      </c>
    </row>
    <row r="138" ht="15.75" customHeight="1">
      <c r="S138" s="28" t="s">
        <v>244</v>
      </c>
      <c r="T138" s="29" t="s">
        <v>245</v>
      </c>
    </row>
    <row r="139" ht="15.75" customHeight="1">
      <c r="R139" s="28" t="s">
        <v>246</v>
      </c>
      <c r="S139" s="29" t="s">
        <v>247</v>
      </c>
      <c r="T139" s="29"/>
      <c r="U139" s="29"/>
      <c r="V139" s="29"/>
      <c r="W139" s="29"/>
    </row>
    <row r="140" ht="15.75" customHeight="1">
      <c r="R140" s="28" t="s">
        <v>248</v>
      </c>
      <c r="S140" s="30" t="s">
        <v>249</v>
      </c>
    </row>
    <row r="141" ht="15.75" customHeight="1">
      <c r="S141" s="28" t="s">
        <v>250</v>
      </c>
      <c r="T141" s="29" t="s">
        <v>251</v>
      </c>
    </row>
    <row r="142" ht="15.75" customHeight="1">
      <c r="T142" s="28" t="s">
        <v>252</v>
      </c>
      <c r="U142" s="29" t="s">
        <v>253</v>
      </c>
    </row>
    <row r="143" ht="15.75" customHeight="1">
      <c r="S143" s="28" t="s">
        <v>254</v>
      </c>
      <c r="T143" s="29" t="s">
        <v>255</v>
      </c>
    </row>
    <row r="144" ht="15.75" customHeight="1">
      <c r="Q144" s="28" t="s">
        <v>256</v>
      </c>
      <c r="R144" s="29" t="s">
        <v>257</v>
      </c>
    </row>
    <row r="145" ht="15.75" customHeight="1">
      <c r="P145" s="28" t="s">
        <v>258</v>
      </c>
      <c r="Q145" s="29" t="s">
        <v>259</v>
      </c>
    </row>
    <row r="146" ht="15.75" customHeight="1">
      <c r="Q146" s="28" t="s">
        <v>260</v>
      </c>
      <c r="R146" s="29" t="s">
        <v>261</v>
      </c>
    </row>
    <row r="147" ht="15.75" customHeight="1">
      <c r="R147" s="28" t="s">
        <v>262</v>
      </c>
      <c r="S147" s="29" t="s">
        <v>263</v>
      </c>
    </row>
    <row r="148" ht="15.75" customHeight="1">
      <c r="S148" s="28" t="s">
        <v>264</v>
      </c>
      <c r="T148" s="29" t="s">
        <v>265</v>
      </c>
    </row>
    <row r="149" ht="15.75" customHeight="1">
      <c r="T149" s="28" t="s">
        <v>266</v>
      </c>
      <c r="U149" s="29" t="s">
        <v>267</v>
      </c>
    </row>
    <row r="150" ht="15.75" customHeight="1">
      <c r="U150" s="28" t="s">
        <v>268</v>
      </c>
      <c r="V150" s="29" t="s">
        <v>269</v>
      </c>
    </row>
    <row r="151" ht="15.75" customHeight="1">
      <c r="U151" s="28" t="s">
        <v>270</v>
      </c>
      <c r="V151" s="35" t="s">
        <v>271</v>
      </c>
    </row>
    <row r="152" ht="15.75" customHeight="1">
      <c r="U152" s="28" t="s">
        <v>272</v>
      </c>
      <c r="V152" s="29" t="s">
        <v>273</v>
      </c>
    </row>
    <row r="153" ht="15.75" customHeight="1">
      <c r="Q153" s="28" t="s">
        <v>274</v>
      </c>
      <c r="R153" s="29" t="s">
        <v>275</v>
      </c>
    </row>
    <row r="154" ht="15.75" customHeight="1">
      <c r="R154" s="28" t="s">
        <v>276</v>
      </c>
      <c r="S154" s="34" t="s">
        <v>277</v>
      </c>
    </row>
    <row r="155" ht="15.75" customHeight="1">
      <c r="S155" s="28" t="s">
        <v>278</v>
      </c>
      <c r="T155" s="29" t="s">
        <v>279</v>
      </c>
    </row>
    <row r="156" ht="15.75" customHeight="1">
      <c r="S156" s="28" t="s">
        <v>280</v>
      </c>
      <c r="T156" s="29" t="s">
        <v>281</v>
      </c>
    </row>
    <row r="157" ht="15.75" customHeight="1">
      <c r="T157" s="28" t="s">
        <v>282</v>
      </c>
      <c r="U157" s="29" t="s">
        <v>283</v>
      </c>
    </row>
    <row r="158" ht="15.75" customHeight="1">
      <c r="U158" s="28" t="s">
        <v>284</v>
      </c>
      <c r="V158" s="29" t="s">
        <v>285</v>
      </c>
    </row>
    <row r="159" ht="15.75" customHeight="1">
      <c r="T159" s="28" t="s">
        <v>286</v>
      </c>
      <c r="U159" s="29" t="s">
        <v>287</v>
      </c>
    </row>
    <row r="160" ht="15.75" customHeight="1">
      <c r="T160" s="28" t="s">
        <v>288</v>
      </c>
      <c r="U160" s="29" t="s">
        <v>289</v>
      </c>
    </row>
    <row r="161" ht="15.75" customHeight="1">
      <c r="S161" s="28" t="s">
        <v>290</v>
      </c>
      <c r="T161" s="34" t="s">
        <v>291</v>
      </c>
    </row>
    <row r="162" ht="15.75" customHeight="1">
      <c r="T162" s="28" t="s">
        <v>292</v>
      </c>
      <c r="U162" s="29" t="s">
        <v>293</v>
      </c>
    </row>
    <row r="163" ht="15.75" customHeight="1">
      <c r="T163" s="37" t="s">
        <v>294</v>
      </c>
      <c r="U163" s="29" t="s">
        <v>295</v>
      </c>
    </row>
    <row r="164" ht="15.75" customHeight="1">
      <c r="T164" s="37" t="s">
        <v>296</v>
      </c>
      <c r="U164" s="29" t="s">
        <v>297</v>
      </c>
    </row>
    <row r="165" ht="15.75" customHeight="1">
      <c r="U165" s="37" t="s">
        <v>298</v>
      </c>
      <c r="V165" s="29" t="s">
        <v>299</v>
      </c>
    </row>
    <row r="166" ht="15.75" customHeight="1">
      <c r="V166" s="37" t="s">
        <v>300</v>
      </c>
      <c r="W166" s="38" t="s">
        <v>301</v>
      </c>
    </row>
    <row r="167" ht="15.75" customHeight="1">
      <c r="W167" s="37" t="s">
        <v>302</v>
      </c>
      <c r="X167" s="29" t="s">
        <v>303</v>
      </c>
    </row>
    <row r="168" ht="15.75" customHeight="1">
      <c r="X168" s="37" t="s">
        <v>304</v>
      </c>
      <c r="Y168" s="29" t="s">
        <v>305</v>
      </c>
    </row>
    <row r="169" ht="15.75" customHeight="1">
      <c r="W169" s="37" t="s">
        <v>306</v>
      </c>
      <c r="X169" s="29" t="s">
        <v>307</v>
      </c>
    </row>
    <row r="170" ht="15.75" customHeight="1">
      <c r="X170" s="37" t="s">
        <v>308</v>
      </c>
      <c r="Y170" s="29" t="s">
        <v>309</v>
      </c>
    </row>
    <row r="171" ht="15.75" customHeight="1">
      <c r="T171" s="37" t="s">
        <v>310</v>
      </c>
      <c r="U171" s="29" t="s">
        <v>311</v>
      </c>
    </row>
    <row r="172" ht="15.75" customHeight="1">
      <c r="T172" s="37" t="s">
        <v>312</v>
      </c>
      <c r="U172" s="29" t="s">
        <v>313</v>
      </c>
    </row>
    <row r="173" ht="15.75" customHeight="1">
      <c r="U173" s="37" t="s">
        <v>314</v>
      </c>
      <c r="V173" s="29" t="s">
        <v>315</v>
      </c>
    </row>
    <row r="174" ht="15.75" customHeight="1">
      <c r="V174" s="37" t="s">
        <v>316</v>
      </c>
      <c r="W174" s="34" t="s">
        <v>317</v>
      </c>
    </row>
    <row r="175" ht="15.75" customHeight="1">
      <c r="W175" s="37" t="s">
        <v>318</v>
      </c>
      <c r="X175" s="29" t="s">
        <v>319</v>
      </c>
    </row>
    <row r="176" ht="15.75" customHeight="1">
      <c r="X176" s="37" t="s">
        <v>320</v>
      </c>
      <c r="Y176" s="29" t="s">
        <v>321</v>
      </c>
    </row>
    <row r="177" ht="15.75" customHeight="1">
      <c r="X177" s="37" t="s">
        <v>322</v>
      </c>
      <c r="Y177" s="29" t="s">
        <v>323</v>
      </c>
    </row>
    <row r="178" ht="15.75" customHeight="1">
      <c r="Y178" s="37" t="s">
        <v>324</v>
      </c>
      <c r="Z178" s="29" t="s">
        <v>325</v>
      </c>
    </row>
    <row r="179" ht="15.75" customHeight="1">
      <c r="Z179" s="37" t="s">
        <v>326</v>
      </c>
      <c r="AA179" s="29" t="s">
        <v>327</v>
      </c>
    </row>
    <row r="180" ht="15.75" customHeight="1">
      <c r="AA180" s="37" t="s">
        <v>328</v>
      </c>
      <c r="AB180" s="29" t="s">
        <v>329</v>
      </c>
    </row>
    <row r="181" ht="15.75" customHeight="1">
      <c r="AA181" s="37" t="s">
        <v>330</v>
      </c>
      <c r="AB181" s="32" t="s">
        <v>331</v>
      </c>
      <c r="AD181" s="32"/>
      <c r="AE181" s="32"/>
      <c r="AF181" s="32"/>
      <c r="AH181" s="32"/>
      <c r="AI181" s="32"/>
      <c r="AJ181" s="32"/>
    </row>
    <row r="182" ht="15.75" customHeight="1">
      <c r="X182" s="37" t="s">
        <v>332</v>
      </c>
      <c r="Y182" s="29" t="s">
        <v>333</v>
      </c>
    </row>
    <row r="183" ht="15.75" customHeight="1">
      <c r="Y183" s="37" t="s">
        <v>334</v>
      </c>
      <c r="Z183" s="29" t="s">
        <v>335</v>
      </c>
    </row>
    <row r="184" ht="15.75" customHeight="1">
      <c r="X184" s="37" t="s">
        <v>336</v>
      </c>
      <c r="Y184" s="29" t="s">
        <v>337</v>
      </c>
    </row>
    <row r="185" ht="15.75" customHeight="1">
      <c r="Y185" s="37" t="s">
        <v>338</v>
      </c>
      <c r="Z185" s="34" t="s">
        <v>339</v>
      </c>
    </row>
    <row r="186" ht="15.75" customHeight="1">
      <c r="Z186" s="37" t="s">
        <v>340</v>
      </c>
      <c r="AA186" s="29" t="s">
        <v>341</v>
      </c>
    </row>
    <row r="187" ht="15.75" customHeight="1">
      <c r="AA187" s="37" t="s">
        <v>342</v>
      </c>
      <c r="AB187" s="29" t="s">
        <v>343</v>
      </c>
    </row>
    <row r="188" ht="15.75" customHeight="1">
      <c r="Y188" s="37" t="s">
        <v>344</v>
      </c>
      <c r="Z188" s="29" t="s">
        <v>345</v>
      </c>
      <c r="AA188" s="29"/>
      <c r="AB188" s="29"/>
    </row>
    <row r="189" ht="15.75" customHeight="1">
      <c r="S189" s="28" t="s">
        <v>346</v>
      </c>
      <c r="T189" s="29" t="s">
        <v>347</v>
      </c>
      <c r="Z189" s="29"/>
      <c r="AA189" s="29"/>
      <c r="AB189" s="29"/>
      <c r="AC189" s="29"/>
    </row>
    <row r="190" ht="15.75" customHeight="1">
      <c r="T190" s="28" t="s">
        <v>348</v>
      </c>
      <c r="U190" s="29" t="s">
        <v>349</v>
      </c>
      <c r="Z190" s="29"/>
      <c r="AA190" s="29"/>
      <c r="AB190" s="29"/>
      <c r="AC190" s="29"/>
    </row>
    <row r="191" ht="15.75" customHeight="1">
      <c r="T191" s="28" t="s">
        <v>350</v>
      </c>
      <c r="U191" s="29" t="s">
        <v>351</v>
      </c>
    </row>
    <row r="192" ht="15.75" customHeight="1">
      <c r="S192" s="28" t="s">
        <v>352</v>
      </c>
      <c r="T192" s="29" t="s">
        <v>353</v>
      </c>
    </row>
    <row r="193" ht="15.75" customHeight="1">
      <c r="T193" s="28" t="s">
        <v>354</v>
      </c>
      <c r="U193" s="29" t="s">
        <v>355</v>
      </c>
    </row>
    <row r="194" ht="15.75" customHeight="1">
      <c r="S194" s="28" t="s">
        <v>356</v>
      </c>
      <c r="T194" s="29" t="s">
        <v>357</v>
      </c>
    </row>
    <row r="195" ht="15.75" customHeight="1">
      <c r="R195" s="28" t="s">
        <v>358</v>
      </c>
      <c r="S195" s="29" t="s">
        <v>359</v>
      </c>
    </row>
    <row r="196" ht="15.75" customHeight="1">
      <c r="S196" s="28" t="s">
        <v>360</v>
      </c>
      <c r="T196" s="29" t="s">
        <v>361</v>
      </c>
    </row>
    <row r="197" ht="15.75" customHeight="1">
      <c r="T197" s="28" t="s">
        <v>362</v>
      </c>
      <c r="U197" s="29" t="s">
        <v>363</v>
      </c>
    </row>
    <row r="198" ht="15.75" customHeight="1">
      <c r="U198" s="28" t="s">
        <v>364</v>
      </c>
      <c r="V198" s="29" t="s">
        <v>365</v>
      </c>
    </row>
    <row r="199" ht="15.75" customHeight="1">
      <c r="V199" s="28" t="s">
        <v>366</v>
      </c>
      <c r="W199" s="32" t="s">
        <v>367</v>
      </c>
    </row>
    <row r="200" ht="15.75" customHeight="1">
      <c r="W200" s="28" t="s">
        <v>368</v>
      </c>
      <c r="X200" s="29" t="s">
        <v>369</v>
      </c>
    </row>
    <row r="201" ht="15.75" customHeight="1">
      <c r="W201" s="28" t="s">
        <v>370</v>
      </c>
      <c r="X201" s="34" t="s">
        <v>371</v>
      </c>
    </row>
    <row r="202" ht="15.75" customHeight="1">
      <c r="X202" s="28" t="s">
        <v>372</v>
      </c>
      <c r="Y202" s="29" t="s">
        <v>373</v>
      </c>
    </row>
    <row r="203" ht="15.75" customHeight="1">
      <c r="Y203" s="28" t="s">
        <v>374</v>
      </c>
      <c r="Z203" s="29" t="s">
        <v>375</v>
      </c>
    </row>
    <row r="204" ht="15.75" customHeight="1">
      <c r="V204" s="28" t="s">
        <v>376</v>
      </c>
      <c r="W204" s="32" t="s">
        <v>377</v>
      </c>
    </row>
    <row r="205" ht="15.75" customHeight="1">
      <c r="U205" s="28" t="s">
        <v>378</v>
      </c>
      <c r="V205" s="29" t="s">
        <v>379</v>
      </c>
    </row>
    <row r="206" ht="15.75" customHeight="1">
      <c r="V206" s="28" t="s">
        <v>380</v>
      </c>
      <c r="W206" s="29" t="s">
        <v>381</v>
      </c>
    </row>
    <row r="207" ht="15.75" customHeight="1">
      <c r="U207" s="28" t="s">
        <v>382</v>
      </c>
      <c r="V207" s="29" t="s">
        <v>383</v>
      </c>
    </row>
    <row r="208" ht="15.75" customHeight="1">
      <c r="S208" s="28" t="s">
        <v>384</v>
      </c>
      <c r="T208" s="29" t="s">
        <v>385</v>
      </c>
    </row>
    <row r="209" ht="15.75" customHeight="1">
      <c r="T209" s="28" t="s">
        <v>386</v>
      </c>
      <c r="U209" s="29" t="s">
        <v>387</v>
      </c>
    </row>
    <row r="210" ht="15.75" customHeight="1">
      <c r="U210" s="28" t="s">
        <v>388</v>
      </c>
      <c r="V210" s="30" t="s">
        <v>389</v>
      </c>
    </row>
    <row r="211" ht="15.75" customHeight="1">
      <c r="V211" s="28" t="s">
        <v>390</v>
      </c>
      <c r="W211" s="29" t="s">
        <v>391</v>
      </c>
    </row>
    <row r="212" ht="15.75" customHeight="1">
      <c r="W212" s="28" t="s">
        <v>392</v>
      </c>
      <c r="X212" s="30" t="s">
        <v>393</v>
      </c>
    </row>
    <row r="213" ht="15.75" customHeight="1">
      <c r="X213" s="28" t="s">
        <v>394</v>
      </c>
      <c r="Y213" s="29" t="s">
        <v>395</v>
      </c>
    </row>
    <row r="214" ht="15.75" customHeight="1">
      <c r="Y214" s="28" t="s">
        <v>396</v>
      </c>
      <c r="Z214" s="29" t="s">
        <v>397</v>
      </c>
    </row>
    <row r="215" ht="15.75" customHeight="1">
      <c r="W215" s="28" t="s">
        <v>398</v>
      </c>
      <c r="X215" s="29" t="s">
        <v>399</v>
      </c>
    </row>
    <row r="216" ht="15.75" customHeight="1">
      <c r="V216" s="28" t="s">
        <v>400</v>
      </c>
      <c r="W216" s="29" t="s">
        <v>401</v>
      </c>
    </row>
    <row r="217" ht="15.75" customHeight="1">
      <c r="T217" s="28" t="s">
        <v>402</v>
      </c>
      <c r="U217" s="29" t="s">
        <v>403</v>
      </c>
    </row>
    <row r="218" ht="15.75" customHeight="1">
      <c r="T218" s="28" t="s">
        <v>404</v>
      </c>
      <c r="U218" s="29" t="s">
        <v>405</v>
      </c>
    </row>
    <row r="219" ht="15.75" customHeight="1">
      <c r="Q219" s="28" t="s">
        <v>406</v>
      </c>
      <c r="R219" s="29" t="s">
        <v>407</v>
      </c>
    </row>
    <row r="220" ht="15.75" customHeight="1">
      <c r="R220" s="28" t="s">
        <v>408</v>
      </c>
      <c r="S220" s="29" t="s">
        <v>409</v>
      </c>
    </row>
    <row r="221" ht="15.75" customHeight="1">
      <c r="R221" s="28" t="s">
        <v>410</v>
      </c>
      <c r="S221" s="29" t="s">
        <v>411</v>
      </c>
    </row>
    <row r="222" ht="15.75" customHeight="1">
      <c r="S222" s="28" t="s">
        <v>412</v>
      </c>
      <c r="T222" s="29" t="s">
        <v>413</v>
      </c>
    </row>
    <row r="223" ht="15.75" customHeight="1">
      <c r="T223" s="28" t="s">
        <v>414</v>
      </c>
      <c r="U223" s="29" t="s">
        <v>415</v>
      </c>
    </row>
    <row r="224" ht="15.75" customHeight="1">
      <c r="U224" s="28" t="s">
        <v>416</v>
      </c>
      <c r="V224" s="29" t="s">
        <v>417</v>
      </c>
    </row>
    <row r="225" ht="15.75" customHeight="1">
      <c r="V225" s="28" t="s">
        <v>418</v>
      </c>
      <c r="W225" s="29" t="s">
        <v>419</v>
      </c>
    </row>
    <row r="226" ht="15.75" customHeight="1">
      <c r="R226" s="28" t="s">
        <v>420</v>
      </c>
      <c r="S226" s="29" t="s">
        <v>421</v>
      </c>
    </row>
    <row r="227" ht="15.75" customHeight="1">
      <c r="S227" s="28" t="s">
        <v>422</v>
      </c>
      <c r="T227" s="32" t="s">
        <v>423</v>
      </c>
    </row>
    <row r="228" ht="15.75" customHeight="1">
      <c r="R228" s="28" t="s">
        <v>424</v>
      </c>
      <c r="S228" s="29" t="s">
        <v>425</v>
      </c>
    </row>
    <row r="229" ht="15.75" customHeight="1">
      <c r="S229" s="28" t="s">
        <v>426</v>
      </c>
      <c r="T229" s="29" t="s">
        <v>427</v>
      </c>
    </row>
    <row r="230" ht="15.75" customHeight="1">
      <c r="T230" s="28" t="s">
        <v>428</v>
      </c>
      <c r="U230" s="29" t="s">
        <v>429</v>
      </c>
    </row>
    <row r="231" ht="15.75" customHeight="1">
      <c r="U231" s="28" t="s">
        <v>430</v>
      </c>
      <c r="V231" s="30" t="s">
        <v>431</v>
      </c>
    </row>
    <row r="232" ht="15.75" customHeight="1">
      <c r="V232" s="28" t="s">
        <v>432</v>
      </c>
      <c r="W232" s="29" t="s">
        <v>433</v>
      </c>
    </row>
    <row r="233" ht="15.75" customHeight="1">
      <c r="W233" s="28" t="s">
        <v>434</v>
      </c>
      <c r="X233" s="29" t="s">
        <v>435</v>
      </c>
    </row>
    <row r="234" ht="15.75" customHeight="1">
      <c r="W234" s="28" t="s">
        <v>436</v>
      </c>
      <c r="X234" s="29" t="s">
        <v>437</v>
      </c>
    </row>
    <row r="235" ht="15.75" customHeight="1">
      <c r="T235" s="28" t="s">
        <v>438</v>
      </c>
      <c r="U235" s="29" t="s">
        <v>439</v>
      </c>
    </row>
    <row r="236" ht="15.75" customHeight="1">
      <c r="U236" s="28" t="s">
        <v>440</v>
      </c>
      <c r="V236" s="29" t="s">
        <v>441</v>
      </c>
    </row>
    <row r="237" ht="15.75" customHeight="1">
      <c r="V237" s="28" t="s">
        <v>442</v>
      </c>
      <c r="W237" s="35" t="s">
        <v>443</v>
      </c>
    </row>
    <row r="238" ht="15.75" customHeight="1">
      <c r="W238" s="28" t="s">
        <v>444</v>
      </c>
      <c r="X238" s="29" t="s">
        <v>445</v>
      </c>
    </row>
    <row r="239" ht="15.75" customHeight="1">
      <c r="R239" s="28" t="s">
        <v>446</v>
      </c>
      <c r="S239" s="29" t="s">
        <v>447</v>
      </c>
    </row>
    <row r="240" ht="15.75" customHeight="1">
      <c r="Q240" s="28" t="s">
        <v>448</v>
      </c>
      <c r="R240" s="29" t="s">
        <v>449</v>
      </c>
    </row>
    <row r="241" ht="15.75" customHeight="1">
      <c r="R241" s="28" t="s">
        <v>450</v>
      </c>
      <c r="S241" s="29" t="s">
        <v>451</v>
      </c>
    </row>
    <row r="242" ht="15.75" customHeight="1">
      <c r="S242" s="28" t="s">
        <v>452</v>
      </c>
      <c r="T242" s="29" t="s">
        <v>453</v>
      </c>
    </row>
    <row r="243" ht="15.75" customHeight="1">
      <c r="T243" s="28" t="s">
        <v>454</v>
      </c>
      <c r="U243" s="35" t="s">
        <v>455</v>
      </c>
    </row>
    <row r="244" ht="15.75" customHeight="1">
      <c r="U244" s="28" t="s">
        <v>456</v>
      </c>
      <c r="V244" s="29" t="s">
        <v>457</v>
      </c>
    </row>
    <row r="245" ht="15.75" customHeight="1">
      <c r="V245" s="28" t="s">
        <v>458</v>
      </c>
      <c r="W245" s="29" t="s">
        <v>459</v>
      </c>
    </row>
    <row r="246" ht="15.75" customHeight="1">
      <c r="W246" s="28" t="s">
        <v>460</v>
      </c>
      <c r="X246" s="29" t="s">
        <v>461</v>
      </c>
    </row>
    <row r="247" ht="15.75" customHeight="1">
      <c r="U247" s="28" t="s">
        <v>462</v>
      </c>
      <c r="V247" s="29" t="s">
        <v>463</v>
      </c>
    </row>
    <row r="248" ht="15.75" customHeight="1">
      <c r="V248" s="28" t="s">
        <v>464</v>
      </c>
      <c r="W248" s="29" t="s">
        <v>465</v>
      </c>
    </row>
    <row r="249" ht="15.75" customHeight="1">
      <c r="R249" s="28" t="s">
        <v>466</v>
      </c>
      <c r="S249" s="29" t="s">
        <v>467</v>
      </c>
    </row>
    <row r="250" ht="15.75" customHeight="1">
      <c r="S250" s="28" t="s">
        <v>468</v>
      </c>
      <c r="T250" s="29" t="s">
        <v>469</v>
      </c>
    </row>
    <row r="251" ht="15.75" customHeight="1">
      <c r="T251" s="28" t="s">
        <v>470</v>
      </c>
      <c r="U251" s="29" t="s">
        <v>471</v>
      </c>
    </row>
    <row r="252" ht="15.75" customHeight="1">
      <c r="U252" s="28" t="s">
        <v>472</v>
      </c>
      <c r="V252" s="29" t="s">
        <v>473</v>
      </c>
    </row>
    <row r="253" ht="15.75" customHeight="1">
      <c r="T253" s="28" t="s">
        <v>474</v>
      </c>
      <c r="U253" s="29" t="s">
        <v>475</v>
      </c>
    </row>
    <row r="254" ht="15.75" customHeight="1">
      <c r="U254" s="28" t="s">
        <v>476</v>
      </c>
      <c r="V254" s="29" t="s">
        <v>477</v>
      </c>
    </row>
    <row r="255" ht="15.75" customHeight="1">
      <c r="V255" s="28" t="s">
        <v>478</v>
      </c>
      <c r="W255" s="29" t="s">
        <v>479</v>
      </c>
    </row>
    <row r="256" ht="15.75" customHeight="1">
      <c r="W256" s="28" t="s">
        <v>480</v>
      </c>
      <c r="X256" s="32" t="s">
        <v>481</v>
      </c>
    </row>
    <row r="257" ht="15.75" customHeight="1">
      <c r="X257" s="28" t="s">
        <v>482</v>
      </c>
      <c r="Y257" s="29" t="s">
        <v>483</v>
      </c>
    </row>
    <row r="258" ht="15.75" customHeight="1">
      <c r="Y258" s="28" t="s">
        <v>484</v>
      </c>
      <c r="Z258" s="29" t="s">
        <v>485</v>
      </c>
    </row>
    <row r="259" ht="15.75" customHeight="1">
      <c r="Z259" s="28" t="s">
        <v>486</v>
      </c>
      <c r="AA259" s="29" t="s">
        <v>487</v>
      </c>
    </row>
    <row r="260" ht="15.75" customHeight="1">
      <c r="AA260" s="28" t="s">
        <v>488</v>
      </c>
      <c r="AB260" s="29" t="s">
        <v>489</v>
      </c>
    </row>
    <row r="261" ht="15.75" customHeight="1">
      <c r="AB261" s="28" t="s">
        <v>490</v>
      </c>
      <c r="AC261" s="29" t="s">
        <v>491</v>
      </c>
    </row>
    <row r="262" ht="15.75" customHeight="1">
      <c r="AC262" s="28" t="s">
        <v>492</v>
      </c>
      <c r="AD262" s="29" t="s">
        <v>493</v>
      </c>
    </row>
    <row r="263" ht="15.75" customHeight="1">
      <c r="AD263" s="28" t="s">
        <v>494</v>
      </c>
      <c r="AE263" s="29" t="s">
        <v>495</v>
      </c>
    </row>
    <row r="264" ht="15.75" customHeight="1">
      <c r="AA264" s="28" t="s">
        <v>496</v>
      </c>
      <c r="AB264" s="29" t="s">
        <v>497</v>
      </c>
    </row>
    <row r="265" ht="15.75" customHeight="1">
      <c r="AA265" s="28" t="s">
        <v>498</v>
      </c>
      <c r="AB265" s="29" t="s">
        <v>499</v>
      </c>
    </row>
    <row r="266" ht="15.75" customHeight="1">
      <c r="AA266" s="28" t="s">
        <v>500</v>
      </c>
      <c r="AB266" s="29" t="s">
        <v>501</v>
      </c>
    </row>
    <row r="267" ht="15.75" customHeight="1">
      <c r="W267" s="28" t="s">
        <v>502</v>
      </c>
      <c r="X267" s="29" t="s">
        <v>503</v>
      </c>
    </row>
    <row r="268" ht="15.75" customHeight="1">
      <c r="W268" s="28" t="s">
        <v>504</v>
      </c>
      <c r="X268" s="29" t="s">
        <v>505</v>
      </c>
    </row>
    <row r="269" ht="15.75" customHeight="1">
      <c r="X269" s="28" t="s">
        <v>506</v>
      </c>
      <c r="Y269" s="29" t="s">
        <v>507</v>
      </c>
    </row>
    <row r="270" ht="15.75" customHeight="1">
      <c r="V270" s="28" t="s">
        <v>508</v>
      </c>
      <c r="W270" s="32" t="s">
        <v>509</v>
      </c>
    </row>
    <row r="271" ht="15.75" customHeight="1">
      <c r="W271" s="28" t="s">
        <v>510</v>
      </c>
      <c r="X271" s="29" t="s">
        <v>511</v>
      </c>
    </row>
    <row r="272" ht="15.75" customHeight="1">
      <c r="X272" s="28" t="s">
        <v>512</v>
      </c>
      <c r="Y272" s="34" t="s">
        <v>513</v>
      </c>
    </row>
    <row r="273" ht="15.75" customHeight="1">
      <c r="Y273" s="28" t="s">
        <v>514</v>
      </c>
      <c r="Z273" s="29" t="s">
        <v>515</v>
      </c>
    </row>
    <row r="274" ht="15.75" customHeight="1">
      <c r="Z274" s="28" t="s">
        <v>516</v>
      </c>
      <c r="AA274" s="29" t="s">
        <v>517</v>
      </c>
    </row>
    <row r="275" ht="15.75" customHeight="1">
      <c r="AA275" s="28" t="s">
        <v>518</v>
      </c>
      <c r="AB275" s="29" t="s">
        <v>519</v>
      </c>
    </row>
    <row r="276" ht="15.75" customHeight="1">
      <c r="V276" s="28" t="s">
        <v>520</v>
      </c>
      <c r="W276" s="29" t="s">
        <v>521</v>
      </c>
    </row>
    <row r="277" ht="15.75" customHeight="1">
      <c r="W277" s="28" t="s">
        <v>522</v>
      </c>
      <c r="X277" s="29" t="s">
        <v>523</v>
      </c>
    </row>
    <row r="278" ht="15.75" customHeight="1">
      <c r="X278" s="28" t="s">
        <v>524</v>
      </c>
      <c r="Y278" s="29" t="s">
        <v>525</v>
      </c>
    </row>
    <row r="279" ht="15.75" customHeight="1">
      <c r="Y279" s="28" t="s">
        <v>526</v>
      </c>
      <c r="Z279" s="29" t="s">
        <v>527</v>
      </c>
    </row>
    <row r="280" ht="15.75" customHeight="1">
      <c r="W280" s="28" t="s">
        <v>528</v>
      </c>
      <c r="X280" s="29" t="s">
        <v>529</v>
      </c>
    </row>
    <row r="281" ht="15.75" customHeight="1">
      <c r="X281" s="28" t="s">
        <v>530</v>
      </c>
      <c r="Y281" s="32" t="s">
        <v>531</v>
      </c>
    </row>
    <row r="282" ht="15.75" customHeight="1">
      <c r="Y282" s="28" t="s">
        <v>532</v>
      </c>
      <c r="Z282" s="29" t="s">
        <v>533</v>
      </c>
    </row>
    <row r="283" ht="15.75" customHeight="1">
      <c r="Z283" s="28" t="s">
        <v>534</v>
      </c>
      <c r="AA283" s="29" t="s">
        <v>535</v>
      </c>
    </row>
    <row r="284" ht="15.75" customHeight="1">
      <c r="Y284" s="28" t="s">
        <v>536</v>
      </c>
      <c r="Z284" s="29" t="s">
        <v>537</v>
      </c>
    </row>
    <row r="285" ht="15.75" customHeight="1">
      <c r="Z285" s="28" t="s">
        <v>538</v>
      </c>
      <c r="AA285" s="29" t="s">
        <v>539</v>
      </c>
    </row>
    <row r="286" ht="15.75" customHeight="1">
      <c r="X286" s="28" t="s">
        <v>540</v>
      </c>
      <c r="Y286" s="29" t="s">
        <v>541</v>
      </c>
    </row>
    <row r="287" ht="15.75" customHeight="1">
      <c r="Y287" s="28" t="s">
        <v>542</v>
      </c>
      <c r="Z287" s="32" t="s">
        <v>543</v>
      </c>
    </row>
    <row r="288" ht="15.75" customHeight="1">
      <c r="Z288" s="28" t="s">
        <v>544</v>
      </c>
      <c r="AA288" s="29" t="s">
        <v>545</v>
      </c>
    </row>
    <row r="289" ht="15.75" customHeight="1">
      <c r="Z289" s="28" t="s">
        <v>546</v>
      </c>
      <c r="AA289" s="29" t="s">
        <v>547</v>
      </c>
    </row>
    <row r="290" ht="15.75" customHeight="1">
      <c r="AA290" s="28" t="s">
        <v>548</v>
      </c>
      <c r="AB290" s="29" t="s">
        <v>549</v>
      </c>
    </row>
    <row r="291" ht="15.75" customHeight="1">
      <c r="Y291" s="28" t="s">
        <v>550</v>
      </c>
      <c r="Z291" s="29" t="s">
        <v>551</v>
      </c>
    </row>
    <row r="292" ht="15.75" customHeight="1">
      <c r="X292" t="s">
        <v>13</v>
      </c>
      <c r="Z292" s="28" t="s">
        <v>552</v>
      </c>
      <c r="AA292" s="32" t="s">
        <v>553</v>
      </c>
    </row>
    <row r="293" ht="15.75" customHeight="1">
      <c r="AA293" s="28" t="s">
        <v>554</v>
      </c>
      <c r="AB293" s="34" t="s">
        <v>555</v>
      </c>
    </row>
    <row r="294" ht="15.75" customHeight="1">
      <c r="AA294" s="28" t="s">
        <v>556</v>
      </c>
      <c r="AB294" s="29" t="s">
        <v>557</v>
      </c>
    </row>
    <row r="295" ht="15.75" customHeight="1">
      <c r="Z295" s="28" t="s">
        <v>558</v>
      </c>
      <c r="AA295" s="29" t="s">
        <v>559</v>
      </c>
    </row>
    <row r="296" ht="15.75" customHeight="1">
      <c r="AA296" s="28" t="s">
        <v>560</v>
      </c>
      <c r="AB296" s="29" t="s">
        <v>561</v>
      </c>
    </row>
    <row r="297" ht="15.75" customHeight="1">
      <c r="AB297" s="28" t="s">
        <v>562</v>
      </c>
      <c r="AC297" s="29" t="s">
        <v>563</v>
      </c>
    </row>
    <row r="298" ht="15.75" customHeight="1">
      <c r="AC298" s="28" t="s">
        <v>564</v>
      </c>
      <c r="AD298" s="29" t="s">
        <v>565</v>
      </c>
    </row>
    <row r="299" ht="15.75" customHeight="1">
      <c r="AD299" s="28" t="s">
        <v>566</v>
      </c>
      <c r="AE299" s="34" t="s">
        <v>567</v>
      </c>
    </row>
    <row r="300" ht="15.75" customHeight="1">
      <c r="AB300" s="28" t="s">
        <v>568</v>
      </c>
      <c r="AC300" s="29" t="s">
        <v>569</v>
      </c>
    </row>
    <row r="301" ht="15.75" customHeight="1">
      <c r="AC301" s="28" t="s">
        <v>570</v>
      </c>
      <c r="AD301" s="29" t="s">
        <v>571</v>
      </c>
    </row>
    <row r="302" ht="15.75" customHeight="1">
      <c r="AD302" s="28" t="s">
        <v>572</v>
      </c>
      <c r="AE302" s="29" t="s">
        <v>573</v>
      </c>
    </row>
    <row r="303" ht="15.75" customHeight="1">
      <c r="Z303" s="28" t="s">
        <v>574</v>
      </c>
      <c r="AA303" s="32" t="s">
        <v>575</v>
      </c>
    </row>
    <row r="304" ht="15.75" customHeight="1">
      <c r="AA304" s="28" t="s">
        <v>576</v>
      </c>
      <c r="AB304" s="29" t="s">
        <v>577</v>
      </c>
    </row>
    <row r="305" ht="15.75" customHeight="1">
      <c r="Z305" s="28" t="s">
        <v>578</v>
      </c>
      <c r="AA305" s="29" t="s">
        <v>579</v>
      </c>
    </row>
    <row r="306" ht="15.75" customHeight="1">
      <c r="AA306" s="28" t="s">
        <v>580</v>
      </c>
      <c r="AB306" s="29" t="s">
        <v>581</v>
      </c>
    </row>
    <row r="307" ht="15.75" customHeight="1">
      <c r="AB307" s="28" t="s">
        <v>582</v>
      </c>
      <c r="AC307" s="29" t="s">
        <v>583</v>
      </c>
    </row>
    <row r="308" ht="15.75" customHeight="1">
      <c r="AA308" s="28" t="s">
        <v>584</v>
      </c>
      <c r="AB308" s="29" t="s">
        <v>585</v>
      </c>
    </row>
    <row r="309" ht="15.75" customHeight="1">
      <c r="Z309" s="28" t="s">
        <v>586</v>
      </c>
      <c r="AA309" s="29" t="s">
        <v>587</v>
      </c>
    </row>
    <row r="310" ht="15.75" customHeight="1">
      <c r="V310" s="28" t="s">
        <v>588</v>
      </c>
      <c r="W310" s="29" t="s">
        <v>589</v>
      </c>
    </row>
    <row r="311" ht="15.75" customHeight="1">
      <c r="W311" s="28" t="s">
        <v>590</v>
      </c>
      <c r="X311" s="29" t="s">
        <v>591</v>
      </c>
    </row>
    <row r="312" ht="15.75" customHeight="1">
      <c r="X312" s="28" t="s">
        <v>592</v>
      </c>
      <c r="Y312" s="32" t="s">
        <v>593</v>
      </c>
    </row>
    <row r="313" ht="15.75" customHeight="1">
      <c r="Y313" s="28" t="s">
        <v>594</v>
      </c>
      <c r="Z313" s="39" t="s">
        <v>595</v>
      </c>
    </row>
    <row r="314" ht="15.75" customHeight="1">
      <c r="Y314" s="28" t="s">
        <v>596</v>
      </c>
      <c r="Z314" s="35" t="s">
        <v>597</v>
      </c>
    </row>
    <row r="315" ht="15.75" customHeight="1">
      <c r="Y315" s="28" t="s">
        <v>598</v>
      </c>
      <c r="Z315" s="29" t="s">
        <v>599</v>
      </c>
    </row>
    <row r="316" ht="15.75" customHeight="1">
      <c r="Z316" s="28" t="s">
        <v>600</v>
      </c>
      <c r="AA316" s="29" t="s">
        <v>601</v>
      </c>
    </row>
    <row r="317" ht="15.75" customHeight="1">
      <c r="X317" s="28" t="s">
        <v>602</v>
      </c>
      <c r="Y317" s="29" t="s">
        <v>603</v>
      </c>
    </row>
    <row r="318" ht="15.75" customHeight="1">
      <c r="Y318" s="28" t="s">
        <v>604</v>
      </c>
      <c r="Z318" s="29" t="s">
        <v>605</v>
      </c>
    </row>
    <row r="319" ht="15.75" customHeight="1">
      <c r="Z319" s="28" t="s">
        <v>606</v>
      </c>
      <c r="AA319" s="29" t="s">
        <v>607</v>
      </c>
    </row>
    <row r="320" ht="15.75" customHeight="1">
      <c r="AA320" s="28" t="s">
        <v>608</v>
      </c>
      <c r="AB320" s="29" t="s">
        <v>609</v>
      </c>
    </row>
    <row r="321" ht="15.75" customHeight="1">
      <c r="AB321" s="28" t="s">
        <v>610</v>
      </c>
      <c r="AC321" s="29" t="s">
        <v>611</v>
      </c>
    </row>
    <row r="322" ht="15.75" customHeight="1">
      <c r="Z322" s="28" t="s">
        <v>612</v>
      </c>
      <c r="AA322" s="29" t="s">
        <v>613</v>
      </c>
    </row>
    <row r="323" ht="15.75" customHeight="1">
      <c r="X323" s="28" t="s">
        <v>614</v>
      </c>
      <c r="Y323" s="29" t="s">
        <v>615</v>
      </c>
    </row>
    <row r="324" ht="15.75" customHeight="1">
      <c r="Y324" s="28" t="s">
        <v>616</v>
      </c>
      <c r="Z324" s="32" t="s">
        <v>617</v>
      </c>
    </row>
    <row r="325" ht="15.75" customHeight="1">
      <c r="Z325" s="28" t="s">
        <v>618</v>
      </c>
      <c r="AA325" s="29" t="s">
        <v>619</v>
      </c>
    </row>
    <row r="326" ht="15.75" customHeight="1">
      <c r="AA326" s="28" t="s">
        <v>620</v>
      </c>
      <c r="AB326" s="29" t="s">
        <v>621</v>
      </c>
    </row>
    <row r="327" ht="15.75" customHeight="1">
      <c r="AB327" s="28" t="s">
        <v>622</v>
      </c>
      <c r="AC327" s="29" t="s">
        <v>623</v>
      </c>
    </row>
    <row r="328" ht="15.75" customHeight="1">
      <c r="AC328" s="28" t="s">
        <v>624</v>
      </c>
      <c r="AD328" s="40" t="s">
        <v>625</v>
      </c>
    </row>
    <row r="329" ht="15.75" customHeight="1">
      <c r="AC329" s="28" t="s">
        <v>626</v>
      </c>
      <c r="AD329" s="40" t="s">
        <v>627</v>
      </c>
    </row>
    <row r="330" ht="15.75" customHeight="1">
      <c r="AB330" s="28" t="s">
        <v>628</v>
      </c>
      <c r="AC330" s="29" t="s">
        <v>629</v>
      </c>
    </row>
    <row r="331" ht="15.75" customHeight="1">
      <c r="AA331" s="28" t="s">
        <v>630</v>
      </c>
      <c r="AB331" s="29" t="s">
        <v>631</v>
      </c>
    </row>
    <row r="332" ht="15.75" customHeight="1">
      <c r="AB332" s="28" t="s">
        <v>632</v>
      </c>
      <c r="AC332" s="29" t="s">
        <v>633</v>
      </c>
    </row>
    <row r="333" ht="15.75" customHeight="1">
      <c r="AC333" s="28" t="s">
        <v>634</v>
      </c>
      <c r="AD333" s="29" t="s">
        <v>635</v>
      </c>
    </row>
    <row r="334" ht="15.75" customHeight="1">
      <c r="AD334" s="28" t="s">
        <v>636</v>
      </c>
      <c r="AE334" s="34" t="s">
        <v>637</v>
      </c>
    </row>
    <row r="335" ht="15.75" customHeight="1">
      <c r="AD335" s="28" t="s">
        <v>638</v>
      </c>
      <c r="AE335" s="29" t="s">
        <v>639</v>
      </c>
    </row>
    <row r="336" ht="15.75" customHeight="1">
      <c r="AE336" s="28" t="s">
        <v>640</v>
      </c>
      <c r="AF336" s="29" t="s">
        <v>641</v>
      </c>
      <c r="AG336" s="29"/>
      <c r="AH336" s="29"/>
      <c r="AI336" s="29"/>
      <c r="AJ336" s="29"/>
    </row>
    <row r="337" ht="15.75" customHeight="1">
      <c r="AC337" s="28" t="s">
        <v>642</v>
      </c>
      <c r="AD337" s="29" t="s">
        <v>643</v>
      </c>
    </row>
    <row r="338" ht="15.75" customHeight="1">
      <c r="AD338" s="28" t="s">
        <v>644</v>
      </c>
      <c r="AE338" s="29" t="s">
        <v>645</v>
      </c>
    </row>
    <row r="339" ht="15.75" customHeight="1">
      <c r="AE339" s="28" t="s">
        <v>646</v>
      </c>
      <c r="AF339" s="29" t="s">
        <v>647</v>
      </c>
    </row>
    <row r="340" ht="15.75" customHeight="1">
      <c r="AF340" s="28" t="s">
        <v>648</v>
      </c>
      <c r="AG340" s="29" t="s">
        <v>649</v>
      </c>
    </row>
    <row r="341" ht="15.75" customHeight="1">
      <c r="AG341" s="28" t="s">
        <v>650</v>
      </c>
      <c r="AH341" s="29" t="s">
        <v>651</v>
      </c>
    </row>
    <row r="342" ht="15.75" customHeight="1">
      <c r="AH342" s="28" t="s">
        <v>652</v>
      </c>
      <c r="AI342" s="29" t="s">
        <v>653</v>
      </c>
      <c r="AJ342" s="29"/>
    </row>
    <row r="343" ht="15.75" customHeight="1">
      <c r="AF343" s="28" t="s">
        <v>654</v>
      </c>
      <c r="AG343" s="29" t="s">
        <v>655</v>
      </c>
    </row>
    <row r="344" ht="15.75" customHeight="1">
      <c r="AD344" s="28" t="s">
        <v>656</v>
      </c>
      <c r="AE344" s="29" t="s">
        <v>657</v>
      </c>
    </row>
    <row r="345" ht="15.75" customHeight="1">
      <c r="X345" s="28" t="s">
        <v>658</v>
      </c>
      <c r="Y345" s="29" t="s">
        <v>659</v>
      </c>
      <c r="AD345" s="29"/>
      <c r="AE345" s="29"/>
    </row>
    <row r="346" ht="15.75" customHeight="1">
      <c r="Y346" s="28" t="s">
        <v>660</v>
      </c>
      <c r="Z346" s="29" t="s">
        <v>661</v>
      </c>
    </row>
    <row r="347" ht="15.75" customHeight="1">
      <c r="Z347" s="28" t="s">
        <v>662</v>
      </c>
      <c r="AA347" s="29" t="s">
        <v>663</v>
      </c>
    </row>
    <row r="348" ht="15.75" customHeight="1">
      <c r="Y348" s="28" t="s">
        <v>664</v>
      </c>
      <c r="Z348" s="29" t="s">
        <v>665</v>
      </c>
    </row>
    <row r="349" ht="15.75" customHeight="1">
      <c r="X349" s="28" t="s">
        <v>666</v>
      </c>
      <c r="Y349" s="29" t="s">
        <v>667</v>
      </c>
    </row>
    <row r="350" ht="15.75" customHeight="1">
      <c r="Y350" s="28" t="s">
        <v>668</v>
      </c>
      <c r="Z350" s="29" t="s">
        <v>669</v>
      </c>
    </row>
    <row r="351" ht="15.75" customHeight="1">
      <c r="V351" s="24" t="s">
        <v>670</v>
      </c>
      <c r="W351" s="31" t="s">
        <v>671</v>
      </c>
    </row>
    <row r="352" ht="15.75" customHeight="1">
      <c r="V352" s="28" t="s">
        <v>672</v>
      </c>
      <c r="W352" s="32" t="s">
        <v>673</v>
      </c>
    </row>
    <row r="353" ht="15.75" customHeight="1">
      <c r="W353" s="28" t="s">
        <v>674</v>
      </c>
      <c r="X353" s="29" t="s">
        <v>675</v>
      </c>
    </row>
    <row r="354" ht="15.75" customHeight="1">
      <c r="X354" s="28" t="s">
        <v>676</v>
      </c>
      <c r="Y354" s="29" t="s">
        <v>677</v>
      </c>
    </row>
    <row r="355" ht="15.75" customHeight="1">
      <c r="Y355" s="28" t="s">
        <v>678</v>
      </c>
      <c r="Z355" s="29" t="s">
        <v>679</v>
      </c>
    </row>
    <row r="356" ht="15.75" customHeight="1">
      <c r="Y356" s="28" t="s">
        <v>680</v>
      </c>
      <c r="Z356" s="34" t="s">
        <v>681</v>
      </c>
    </row>
    <row r="357" ht="15.75" customHeight="1">
      <c r="Z357" s="28" t="s">
        <v>682</v>
      </c>
      <c r="AA357" s="29" t="s">
        <v>683</v>
      </c>
    </row>
    <row r="358" ht="15.75" customHeight="1">
      <c r="AA358" s="28" t="s">
        <v>684</v>
      </c>
      <c r="AB358" s="29" t="s">
        <v>685</v>
      </c>
    </row>
    <row r="359" ht="15.75" customHeight="1">
      <c r="AB359" s="28" t="s">
        <v>686</v>
      </c>
      <c r="AC359" s="29" t="s">
        <v>687</v>
      </c>
    </row>
    <row r="360" ht="15.75" customHeight="1">
      <c r="AC360" s="28" t="s">
        <v>688</v>
      </c>
      <c r="AD360" s="29" t="s">
        <v>689</v>
      </c>
    </row>
    <row r="361" ht="15.75" customHeight="1">
      <c r="AD361" s="28" t="s">
        <v>690</v>
      </c>
      <c r="AE361" s="29" t="s">
        <v>691</v>
      </c>
    </row>
    <row r="362" ht="15.75" customHeight="1">
      <c r="AE362" s="28" t="s">
        <v>692</v>
      </c>
      <c r="AF362" s="29" t="s">
        <v>693</v>
      </c>
    </row>
    <row r="363" ht="15.75" customHeight="1">
      <c r="AF363" s="28" t="s">
        <v>694</v>
      </c>
      <c r="AG363" s="29" t="s">
        <v>695</v>
      </c>
    </row>
    <row r="364" ht="15.75" customHeight="1">
      <c r="AG364" s="28" t="s">
        <v>696</v>
      </c>
      <c r="AH364" s="29" t="s">
        <v>697</v>
      </c>
    </row>
    <row r="365" ht="15.75" customHeight="1">
      <c r="AF365" s="28" t="s">
        <v>698</v>
      </c>
      <c r="AG365" s="34" t="s">
        <v>699</v>
      </c>
    </row>
    <row r="366" ht="15.75" customHeight="1">
      <c r="AE366" s="28" t="s">
        <v>700</v>
      </c>
      <c r="AF366" s="29" t="s">
        <v>701</v>
      </c>
    </row>
    <row r="367" ht="15.75" customHeight="1">
      <c r="AF367" s="28" t="s">
        <v>702</v>
      </c>
      <c r="AG367" s="29" t="s">
        <v>703</v>
      </c>
    </row>
    <row r="368" ht="15.75" customHeight="1">
      <c r="AG368" s="28" t="s">
        <v>704</v>
      </c>
      <c r="AH368" s="29" t="s">
        <v>705</v>
      </c>
    </row>
    <row r="369" ht="15.75" customHeight="1">
      <c r="AG369" s="28" t="s">
        <v>706</v>
      </c>
      <c r="AH369" s="29" t="s">
        <v>707</v>
      </c>
    </row>
    <row r="370" ht="15.75" customHeight="1">
      <c r="AF370" s="28" t="s">
        <v>708</v>
      </c>
      <c r="AG370" s="29" t="s">
        <v>709</v>
      </c>
    </row>
    <row r="371" ht="15.75" customHeight="1">
      <c r="AG371" s="28" t="s">
        <v>710</v>
      </c>
      <c r="AH371" s="29" t="s">
        <v>711</v>
      </c>
    </row>
    <row r="372" ht="15.75" customHeight="1">
      <c r="AE372" s="28" t="s">
        <v>712</v>
      </c>
      <c r="AF372" s="29" t="s">
        <v>713</v>
      </c>
    </row>
    <row r="373" ht="15.75" customHeight="1">
      <c r="AF373" s="28" t="s">
        <v>714</v>
      </c>
      <c r="AG373" s="29" t="s">
        <v>715</v>
      </c>
    </row>
    <row r="374" ht="15.75" customHeight="1">
      <c r="AG374" s="28" t="s">
        <v>716</v>
      </c>
      <c r="AH374" s="29" t="s">
        <v>717</v>
      </c>
    </row>
    <row r="375" ht="15.75" customHeight="1">
      <c r="AD375" s="28" t="s">
        <v>718</v>
      </c>
      <c r="AE375" s="29" t="s">
        <v>719</v>
      </c>
    </row>
    <row r="376" ht="15.75" customHeight="1">
      <c r="AE376" s="28" t="s">
        <v>720</v>
      </c>
      <c r="AF376" s="29" t="s">
        <v>721</v>
      </c>
    </row>
    <row r="377" ht="15.75" customHeight="1">
      <c r="AC377" s="28" t="s">
        <v>722</v>
      </c>
      <c r="AD377" s="35" t="s">
        <v>723</v>
      </c>
    </row>
    <row r="378" ht="15.75" customHeight="1">
      <c r="AC378" s="28" t="s">
        <v>724</v>
      </c>
      <c r="AD378" s="29" t="s">
        <v>725</v>
      </c>
    </row>
    <row r="379" ht="15.75" customHeight="1">
      <c r="AC379" s="28" t="s">
        <v>726</v>
      </c>
      <c r="AD379" s="35" t="s">
        <v>727</v>
      </c>
    </row>
    <row r="380" ht="15.75" customHeight="1">
      <c r="AD380" s="28" t="s">
        <v>728</v>
      </c>
      <c r="AE380" s="29" t="s">
        <v>729</v>
      </c>
    </row>
    <row r="381" ht="15.75" customHeight="1">
      <c r="AE381" s="28" t="s">
        <v>730</v>
      </c>
      <c r="AF381" s="29" t="s">
        <v>731</v>
      </c>
    </row>
    <row r="382" ht="15.75" customHeight="1">
      <c r="AC382" s="28" t="s">
        <v>732</v>
      </c>
      <c r="AD382" s="29" t="s">
        <v>733</v>
      </c>
    </row>
    <row r="383" ht="15.75" customHeight="1">
      <c r="AD383" s="28" t="s">
        <v>734</v>
      </c>
      <c r="AE383" s="29" t="s">
        <v>735</v>
      </c>
    </row>
    <row r="384" ht="15.75" customHeight="1">
      <c r="AE384" s="28" t="s">
        <v>736</v>
      </c>
      <c r="AF384" s="29" t="s">
        <v>737</v>
      </c>
    </row>
    <row r="385" ht="15.75" customHeight="1">
      <c r="AC385" s="28" t="s">
        <v>738</v>
      </c>
      <c r="AD385" s="29" t="s">
        <v>739</v>
      </c>
    </row>
    <row r="386" ht="15.75" customHeight="1">
      <c r="AD386" s="28" t="s">
        <v>740</v>
      </c>
      <c r="AE386" s="29" t="s">
        <v>741</v>
      </c>
    </row>
    <row r="387" ht="15.75" customHeight="1">
      <c r="AD387" s="28" t="s">
        <v>742</v>
      </c>
      <c r="AE387" s="29" t="s">
        <v>743</v>
      </c>
    </row>
    <row r="388" ht="15.75" customHeight="1">
      <c r="AC388" s="28" t="s">
        <v>744</v>
      </c>
      <c r="AD388" s="29" t="s">
        <v>745</v>
      </c>
    </row>
    <row r="389" ht="15.75" customHeight="1">
      <c r="AD389" s="28" t="s">
        <v>746</v>
      </c>
      <c r="AE389" s="29" t="s">
        <v>747</v>
      </c>
    </row>
    <row r="390" ht="15.75" customHeight="1">
      <c r="AD390" s="28" t="s">
        <v>748</v>
      </c>
      <c r="AE390" s="29" t="s">
        <v>749</v>
      </c>
    </row>
    <row r="391" ht="15.75" customHeight="1">
      <c r="AC391" s="28" t="s">
        <v>750</v>
      </c>
      <c r="AD391" s="29" t="s">
        <v>751</v>
      </c>
    </row>
    <row r="392" ht="15.75" customHeight="1">
      <c r="AD392" s="28" t="s">
        <v>752</v>
      </c>
      <c r="AE392" s="29" t="s">
        <v>753</v>
      </c>
    </row>
    <row r="393" ht="15.75" customHeight="1">
      <c r="AE393" s="28" t="s">
        <v>754</v>
      </c>
      <c r="AF393" s="29" t="s">
        <v>755</v>
      </c>
    </row>
    <row r="394" ht="15.75" customHeight="1">
      <c r="AF394" s="28" t="s">
        <v>756</v>
      </c>
      <c r="AG394" s="29" t="s">
        <v>757</v>
      </c>
    </row>
    <row r="395" ht="15.75" customHeight="1">
      <c r="AG395" s="28" t="s">
        <v>758</v>
      </c>
      <c r="AH395" s="29" t="s">
        <v>759</v>
      </c>
    </row>
    <row r="396" ht="15.75" customHeight="1">
      <c r="AH396" s="28" t="s">
        <v>760</v>
      </c>
      <c r="AI396" s="32" t="s">
        <v>761</v>
      </c>
      <c r="AJ396" s="32"/>
    </row>
    <row r="397" ht="15.75" customHeight="1">
      <c r="AB397" s="28" t="s">
        <v>762</v>
      </c>
      <c r="AC397" s="29" t="s">
        <v>763</v>
      </c>
    </row>
    <row r="398" ht="15.75" customHeight="1">
      <c r="AB398" s="28" t="s">
        <v>764</v>
      </c>
      <c r="AC398" s="29" t="s">
        <v>765</v>
      </c>
    </row>
    <row r="399" ht="15.75" customHeight="1">
      <c r="AB399" s="28" t="s">
        <v>766</v>
      </c>
      <c r="AC399" s="29" t="s">
        <v>767</v>
      </c>
    </row>
    <row r="400" ht="15.75" customHeight="1">
      <c r="AC400" s="28" t="s">
        <v>768</v>
      </c>
      <c r="AD400" s="29" t="s">
        <v>769</v>
      </c>
    </row>
    <row r="401" ht="15.75" customHeight="1">
      <c r="AB401" s="28" t="s">
        <v>770</v>
      </c>
      <c r="AC401" s="29" t="s">
        <v>771</v>
      </c>
    </row>
    <row r="402" ht="15.75" customHeight="1">
      <c r="AC402" s="28" t="s">
        <v>772</v>
      </c>
      <c r="AD402" s="29" t="s">
        <v>773</v>
      </c>
    </row>
    <row r="403" ht="15.75" customHeight="1">
      <c r="AC403" s="28" t="s">
        <v>774</v>
      </c>
      <c r="AD403" s="29" t="s">
        <v>775</v>
      </c>
    </row>
    <row r="404" ht="15.75" customHeight="1">
      <c r="AD404" s="28" t="s">
        <v>776</v>
      </c>
      <c r="AE404" s="29" t="s">
        <v>777</v>
      </c>
    </row>
    <row r="405" ht="15.75" customHeight="1">
      <c r="AE405" s="28" t="s">
        <v>778</v>
      </c>
      <c r="AF405" s="29" t="s">
        <v>779</v>
      </c>
    </row>
    <row r="406" ht="15.75" customHeight="1">
      <c r="AF406" s="28" t="s">
        <v>780</v>
      </c>
      <c r="AG406" s="29" t="s">
        <v>781</v>
      </c>
    </row>
    <row r="407" ht="15.75" customHeight="1">
      <c r="AE407" s="28" t="s">
        <v>782</v>
      </c>
      <c r="AF407" s="29" t="s">
        <v>783</v>
      </c>
    </row>
    <row r="408" ht="15.75" customHeight="1">
      <c r="AF408" s="28" t="s">
        <v>784</v>
      </c>
      <c r="AG408" s="29" t="s">
        <v>785</v>
      </c>
    </row>
    <row r="409" ht="15.75" customHeight="1">
      <c r="AF409" s="28" t="s">
        <v>786</v>
      </c>
      <c r="AG409" s="29" t="s">
        <v>787</v>
      </c>
    </row>
    <row r="410" ht="15.75" customHeight="1">
      <c r="AG410" s="28" t="s">
        <v>788</v>
      </c>
      <c r="AH410" s="29" t="s">
        <v>789</v>
      </c>
    </row>
    <row r="411" ht="15.75" customHeight="1">
      <c r="AB411" s="28" t="s">
        <v>790</v>
      </c>
      <c r="AC411" s="35" t="s">
        <v>791</v>
      </c>
    </row>
    <row r="412" ht="15.75" customHeight="1">
      <c r="AC412" s="28" t="s">
        <v>792</v>
      </c>
      <c r="AD412" s="29" t="s">
        <v>793</v>
      </c>
    </row>
    <row r="413" ht="15.75" customHeight="1">
      <c r="AA413" s="28" t="s">
        <v>794</v>
      </c>
      <c r="AB413" s="29" t="s">
        <v>795</v>
      </c>
    </row>
    <row r="414" ht="15.75" customHeight="1">
      <c r="AB414" s="28" t="s">
        <v>796</v>
      </c>
      <c r="AC414" s="29" t="s">
        <v>797</v>
      </c>
    </row>
    <row r="415" ht="15.75" customHeight="1">
      <c r="AB415" s="28" t="s">
        <v>798</v>
      </c>
      <c r="AC415" s="29" t="s">
        <v>799</v>
      </c>
    </row>
    <row r="416" ht="15.75" customHeight="1">
      <c r="AB416" s="28" t="s">
        <v>800</v>
      </c>
      <c r="AC416" s="29" t="s">
        <v>801</v>
      </c>
    </row>
    <row r="417" ht="15.75" customHeight="1">
      <c r="Z417" s="28" t="s">
        <v>802</v>
      </c>
      <c r="AA417" s="29" t="s">
        <v>803</v>
      </c>
    </row>
    <row r="418" ht="15.75" customHeight="1">
      <c r="Z418" s="28" t="s">
        <v>804</v>
      </c>
      <c r="AA418" s="34" t="s">
        <v>805</v>
      </c>
    </row>
    <row r="419" ht="15.75" customHeight="1">
      <c r="Z419" s="28" t="s">
        <v>806</v>
      </c>
      <c r="AA419" s="29" t="s">
        <v>807</v>
      </c>
    </row>
    <row r="420" ht="15.75" customHeight="1">
      <c r="Z420" s="28" t="s">
        <v>808</v>
      </c>
      <c r="AA420" s="29" t="s">
        <v>809</v>
      </c>
    </row>
    <row r="421" ht="15.75" customHeight="1">
      <c r="Y421" s="28" t="s">
        <v>810</v>
      </c>
      <c r="Z421" s="29" t="s">
        <v>811</v>
      </c>
    </row>
    <row r="422" ht="15.75" customHeight="1">
      <c r="Z422" s="37" t="s">
        <v>812</v>
      </c>
      <c r="AA422" s="29" t="s">
        <v>813</v>
      </c>
      <c r="AB422" s="32"/>
      <c r="AC422" s="32"/>
      <c r="AD422" s="32"/>
    </row>
    <row r="423" ht="15.75" customHeight="1"/>
    <row r="424" ht="15.75" customHeight="1">
      <c r="Y424" s="28" t="s">
        <v>814</v>
      </c>
      <c r="Z424" s="29" t="s">
        <v>815</v>
      </c>
    </row>
    <row r="425" ht="15.75" customHeight="1">
      <c r="Z425" s="28" t="s">
        <v>816</v>
      </c>
      <c r="AA425" s="29" t="s">
        <v>817</v>
      </c>
    </row>
    <row r="426" ht="15.75" customHeight="1">
      <c r="AA426" s="28" t="s">
        <v>818</v>
      </c>
      <c r="AB426" s="29" t="s">
        <v>819</v>
      </c>
    </row>
    <row r="427" ht="15.75" customHeight="1">
      <c r="AB427" s="28" t="s">
        <v>820</v>
      </c>
      <c r="AC427" s="35" t="s">
        <v>821</v>
      </c>
    </row>
    <row r="428" ht="15.75" customHeight="1">
      <c r="AC428" s="28" t="s">
        <v>822</v>
      </c>
      <c r="AD428" s="29" t="s">
        <v>823</v>
      </c>
    </row>
    <row r="429" ht="15.75" customHeight="1">
      <c r="AD429" s="28" t="s">
        <v>824</v>
      </c>
      <c r="AE429" s="29" t="s">
        <v>825</v>
      </c>
    </row>
    <row r="430" ht="15.75" customHeight="1">
      <c r="AE430" s="28" t="s">
        <v>826</v>
      </c>
      <c r="AF430" s="29" t="s">
        <v>827</v>
      </c>
    </row>
    <row r="431" ht="15.75" customHeight="1">
      <c r="AC431" s="28" t="s">
        <v>828</v>
      </c>
      <c r="AD431" s="29" t="s">
        <v>829</v>
      </c>
    </row>
    <row r="432" ht="15.75" customHeight="1">
      <c r="AD432" s="28" t="s">
        <v>830</v>
      </c>
      <c r="AE432" s="29" t="s">
        <v>831</v>
      </c>
    </row>
    <row r="433" ht="15.75" customHeight="1">
      <c r="AD433" s="28" t="s">
        <v>832</v>
      </c>
      <c r="AE433" s="29" t="s">
        <v>833</v>
      </c>
    </row>
    <row r="434" ht="15.75" customHeight="1">
      <c r="AE434" s="28" t="s">
        <v>834</v>
      </c>
      <c r="AF434" s="29" t="s">
        <v>835</v>
      </c>
    </row>
    <row r="435" ht="15.75" customHeight="1">
      <c r="AF435" s="28" t="s">
        <v>836</v>
      </c>
      <c r="AG435" s="29" t="s">
        <v>837</v>
      </c>
    </row>
    <row r="436" ht="15.75" customHeight="1">
      <c r="AG436" s="28" t="s">
        <v>838</v>
      </c>
      <c r="AH436" s="29" t="s">
        <v>839</v>
      </c>
    </row>
    <row r="437" ht="15.75" customHeight="1">
      <c r="AH437" s="28" t="s">
        <v>840</v>
      </c>
      <c r="AI437" s="29" t="s">
        <v>841</v>
      </c>
      <c r="AJ437" s="29"/>
    </row>
    <row r="438" ht="15.75" customHeight="1"/>
    <row r="439" ht="15.75" customHeight="1">
      <c r="Y439" s="28" t="s">
        <v>842</v>
      </c>
      <c r="Z439" s="29" t="s">
        <v>843</v>
      </c>
    </row>
    <row r="440" ht="15.75" customHeight="1">
      <c r="Z440" s="28" t="s">
        <v>844</v>
      </c>
      <c r="AA440" s="34" t="s">
        <v>845</v>
      </c>
    </row>
    <row r="441" ht="15.75" customHeight="1">
      <c r="AA441" s="28" t="s">
        <v>846</v>
      </c>
      <c r="AB441" s="29" t="s">
        <v>847</v>
      </c>
    </row>
    <row r="442" ht="15.75" customHeight="1">
      <c r="AB442" s="28" t="s">
        <v>848</v>
      </c>
      <c r="AC442" s="29" t="s">
        <v>849</v>
      </c>
    </row>
    <row r="443" ht="15.75" customHeight="1">
      <c r="AB443" s="28" t="s">
        <v>850</v>
      </c>
      <c r="AC443" s="30" t="s">
        <v>851</v>
      </c>
    </row>
    <row r="444" ht="15.75" customHeight="1">
      <c r="AC444" s="28" t="s">
        <v>852</v>
      </c>
      <c r="AD444" s="29" t="s">
        <v>853</v>
      </c>
    </row>
    <row r="445" ht="15.75" customHeight="1">
      <c r="AC445" s="28" t="s">
        <v>854</v>
      </c>
      <c r="AD445" s="29" t="s">
        <v>855</v>
      </c>
    </row>
    <row r="446" ht="15.75" customHeight="1">
      <c r="AD446" s="28" t="s">
        <v>856</v>
      </c>
      <c r="AE446" s="29" t="s">
        <v>857</v>
      </c>
    </row>
    <row r="447" ht="15.75" customHeight="1">
      <c r="AA447" s="28" t="s">
        <v>858</v>
      </c>
      <c r="AB447" s="29" t="s">
        <v>859</v>
      </c>
    </row>
    <row r="448" ht="15.75" customHeight="1">
      <c r="Z448" s="28" t="s">
        <v>860</v>
      </c>
      <c r="AA448" s="29" t="s">
        <v>861</v>
      </c>
    </row>
    <row r="449" ht="15.75" customHeight="1">
      <c r="AA449" s="28" t="s">
        <v>862</v>
      </c>
      <c r="AB449" s="29" t="s">
        <v>863</v>
      </c>
    </row>
    <row r="450" ht="15.75" customHeight="1">
      <c r="AB450" s="28" t="s">
        <v>864</v>
      </c>
      <c r="AC450" s="29" t="s">
        <v>865</v>
      </c>
    </row>
    <row r="451" ht="15.75" customHeight="1">
      <c r="AC451" s="28" t="s">
        <v>866</v>
      </c>
      <c r="AD451" s="29" t="s">
        <v>867</v>
      </c>
    </row>
    <row r="452" ht="15.75" customHeight="1">
      <c r="AD452" s="28" t="s">
        <v>868</v>
      </c>
      <c r="AE452" s="29" t="s">
        <v>869</v>
      </c>
    </row>
    <row r="453" ht="15.75" customHeight="1">
      <c r="AA453" s="28" t="s">
        <v>870</v>
      </c>
      <c r="AB453" s="29" t="s">
        <v>871</v>
      </c>
    </row>
    <row r="454" ht="15.75" customHeight="1">
      <c r="AB454" s="28" t="s">
        <v>872</v>
      </c>
      <c r="AC454" s="29" t="s">
        <v>873</v>
      </c>
    </row>
    <row r="455" ht="15.75" customHeight="1">
      <c r="AC455" s="28" t="s">
        <v>874</v>
      </c>
      <c r="AD455" s="29" t="s">
        <v>875</v>
      </c>
    </row>
    <row r="456" ht="15.75" customHeight="1">
      <c r="AD456" s="28" t="s">
        <v>876</v>
      </c>
      <c r="AE456" s="29" t="s">
        <v>877</v>
      </c>
    </row>
    <row r="457" ht="15.75" customHeight="1">
      <c r="AE457" s="28" t="s">
        <v>878</v>
      </c>
      <c r="AF457" s="29" t="s">
        <v>879</v>
      </c>
    </row>
    <row r="458" ht="15.75" customHeight="1">
      <c r="AF458" s="28" t="s">
        <v>880</v>
      </c>
      <c r="AG458" s="34" t="s">
        <v>881</v>
      </c>
    </row>
    <row r="459" ht="15.75" customHeight="1">
      <c r="AF459" s="28" t="s">
        <v>882</v>
      </c>
      <c r="AG459" s="29" t="s">
        <v>883</v>
      </c>
    </row>
    <row r="460" ht="15.75" customHeight="1">
      <c r="AA460" s="28" t="s">
        <v>884</v>
      </c>
      <c r="AB460" s="34" t="s">
        <v>885</v>
      </c>
    </row>
    <row r="461" ht="15.75" customHeight="1">
      <c r="AB461" s="28" t="s">
        <v>886</v>
      </c>
      <c r="AC461" s="29" t="s">
        <v>887</v>
      </c>
    </row>
    <row r="462" ht="15.75" customHeight="1">
      <c r="AC462" s="28" t="s">
        <v>888</v>
      </c>
      <c r="AD462" s="29" t="s">
        <v>889</v>
      </c>
    </row>
    <row r="463" ht="15.75" customHeight="1">
      <c r="AB463" s="28" t="s">
        <v>890</v>
      </c>
      <c r="AC463" s="29" t="s">
        <v>891</v>
      </c>
    </row>
    <row r="464" ht="15.75" customHeight="1">
      <c r="AC464" s="28" t="s">
        <v>892</v>
      </c>
      <c r="AD464" s="29" t="s">
        <v>893</v>
      </c>
    </row>
    <row r="465" ht="15.75" customHeight="1">
      <c r="AD465" s="28" t="s">
        <v>894</v>
      </c>
      <c r="AE465" s="29" t="s">
        <v>895</v>
      </c>
    </row>
    <row r="466" ht="15.75" customHeight="1">
      <c r="AE466" s="28" t="s">
        <v>896</v>
      </c>
      <c r="AF466" s="29" t="s">
        <v>897</v>
      </c>
    </row>
    <row r="467" ht="15.75" customHeight="1">
      <c r="AB467" s="28" t="s">
        <v>898</v>
      </c>
      <c r="AC467" s="32" t="s">
        <v>899</v>
      </c>
    </row>
    <row r="468" ht="15.75" customHeight="1">
      <c r="AB468" s="28" t="s">
        <v>900</v>
      </c>
      <c r="AC468" s="29" t="s">
        <v>901</v>
      </c>
    </row>
    <row r="469" ht="15.75" customHeight="1">
      <c r="AC469" s="28" t="s">
        <v>902</v>
      </c>
      <c r="AD469" s="29" t="s">
        <v>903</v>
      </c>
    </row>
    <row r="470" ht="15.75" customHeight="1">
      <c r="AD470" s="28" t="s">
        <v>904</v>
      </c>
      <c r="AE470" s="29" t="s">
        <v>905</v>
      </c>
    </row>
    <row r="471" ht="15.75" customHeight="1">
      <c r="AE471" s="28" t="s">
        <v>906</v>
      </c>
      <c r="AF471" s="29" t="s">
        <v>907</v>
      </c>
    </row>
    <row r="472" ht="15.75" customHeight="1">
      <c r="AD472" s="28" t="s">
        <v>908</v>
      </c>
      <c r="AE472" s="29" t="s">
        <v>909</v>
      </c>
    </row>
    <row r="473" ht="15.75" customHeight="1">
      <c r="AE473" s="28" t="s">
        <v>910</v>
      </c>
      <c r="AF473" s="29" t="s">
        <v>911</v>
      </c>
    </row>
    <row r="474" ht="15.75" customHeight="1">
      <c r="AF474" s="28" t="s">
        <v>912</v>
      </c>
      <c r="AG474" s="29" t="s">
        <v>913</v>
      </c>
    </row>
    <row r="475" ht="15.75" customHeight="1">
      <c r="AE475" t="s">
        <v>914</v>
      </c>
      <c r="AF475" s="28" t="s">
        <v>915</v>
      </c>
      <c r="AG475" s="29" t="s">
        <v>916</v>
      </c>
    </row>
    <row r="476" ht="15.75" customHeight="1">
      <c r="AG476" s="37" t="s">
        <v>917</v>
      </c>
      <c r="AH476" s="29" t="s">
        <v>918</v>
      </c>
    </row>
    <row r="477" ht="15.75" customHeight="1">
      <c r="AH477" s="37" t="s">
        <v>919</v>
      </c>
      <c r="AI477" s="29" t="s">
        <v>920</v>
      </c>
      <c r="AJ477" s="29"/>
    </row>
    <row r="478" ht="15.75" customHeight="1">
      <c r="AI478" s="37" t="s">
        <v>921</v>
      </c>
      <c r="AJ478" s="29" t="s">
        <v>922</v>
      </c>
    </row>
    <row r="479" ht="15.75" customHeight="1">
      <c r="AE479" s="28" t="s">
        <v>923</v>
      </c>
      <c r="AF479" s="29" t="s">
        <v>924</v>
      </c>
    </row>
    <row r="480" ht="15.75" customHeight="1">
      <c r="AE480" s="28" t="s">
        <v>925</v>
      </c>
      <c r="AF480" s="29" t="s">
        <v>926</v>
      </c>
    </row>
    <row r="481" ht="15.75" customHeight="1">
      <c r="AE481" s="28" t="s">
        <v>927</v>
      </c>
      <c r="AF481" s="29" t="s">
        <v>928</v>
      </c>
    </row>
    <row r="482" ht="15.75" customHeight="1">
      <c r="AD482" s="28" t="s">
        <v>929</v>
      </c>
      <c r="AE482" s="29" t="s">
        <v>930</v>
      </c>
    </row>
    <row r="483" ht="15.75" customHeight="1">
      <c r="AE483" s="28" t="s">
        <v>931</v>
      </c>
      <c r="AF483" s="29" t="s">
        <v>932</v>
      </c>
    </row>
    <row r="484" ht="15.75" customHeight="1">
      <c r="AF484" s="28" t="s">
        <v>933</v>
      </c>
      <c r="AG484" s="29" t="s">
        <v>934</v>
      </c>
    </row>
    <row r="485" ht="15.75" customHeight="1">
      <c r="AG485" s="28" t="s">
        <v>935</v>
      </c>
      <c r="AH485" s="41" t="s">
        <v>936</v>
      </c>
    </row>
    <row r="486" ht="15.75" customHeight="1">
      <c r="AE486" s="28" t="s">
        <v>937</v>
      </c>
      <c r="AF486" s="29" t="s">
        <v>938</v>
      </c>
    </row>
    <row r="487" ht="15.75" customHeight="1">
      <c r="AE487" s="28" t="s">
        <v>939</v>
      </c>
      <c r="AF487" s="29" t="s">
        <v>940</v>
      </c>
    </row>
    <row r="488" ht="15.75" customHeight="1">
      <c r="AA488" s="28" t="s">
        <v>941</v>
      </c>
      <c r="AB488" s="29" t="s">
        <v>942</v>
      </c>
    </row>
    <row r="489" ht="15.75" customHeight="1">
      <c r="AA489" s="28" t="s">
        <v>943</v>
      </c>
      <c r="AB489" s="29" t="s">
        <v>944</v>
      </c>
    </row>
    <row r="490" ht="15.75" customHeight="1">
      <c r="Z490" s="28" t="s">
        <v>945</v>
      </c>
      <c r="AA490" s="29" t="s">
        <v>946</v>
      </c>
      <c r="AB490" s="42" t="s">
        <v>947</v>
      </c>
    </row>
    <row r="491" ht="15.75" customHeight="1">
      <c r="AA491" s="28" t="s">
        <v>948</v>
      </c>
      <c r="AB491" s="32" t="s">
        <v>949</v>
      </c>
    </row>
    <row r="492" ht="15.75" customHeight="1">
      <c r="AA492" s="28" t="s">
        <v>950</v>
      </c>
      <c r="AB492" s="32" t="s">
        <v>951</v>
      </c>
    </row>
    <row r="493" ht="15.75" customHeight="1">
      <c r="AB493" s="28" t="s">
        <v>952</v>
      </c>
      <c r="AC493" s="29" t="s">
        <v>953</v>
      </c>
    </row>
    <row r="494" ht="15.75" customHeight="1">
      <c r="AA494" s="28" t="s">
        <v>954</v>
      </c>
      <c r="AB494" s="29" t="s">
        <v>955</v>
      </c>
    </row>
    <row r="495" ht="15.75" customHeight="1">
      <c r="AB495" s="28" t="s">
        <v>956</v>
      </c>
      <c r="AC495" s="29" t="s">
        <v>957</v>
      </c>
    </row>
    <row r="496" ht="15.75" customHeight="1">
      <c r="AC496" s="28" t="s">
        <v>958</v>
      </c>
      <c r="AD496" s="29" t="s">
        <v>959</v>
      </c>
    </row>
    <row r="497" ht="15.75" customHeight="1">
      <c r="AA497" s="28" t="s">
        <v>960</v>
      </c>
      <c r="AB497" s="29" t="s">
        <v>961</v>
      </c>
    </row>
    <row r="498" ht="15.75" customHeight="1">
      <c r="AB498" s="28" t="s">
        <v>962</v>
      </c>
      <c r="AC498" s="29" t="s">
        <v>963</v>
      </c>
    </row>
    <row r="499" ht="15.75" customHeight="1">
      <c r="AC499" s="28" t="s">
        <v>964</v>
      </c>
      <c r="AD499" s="29" t="s">
        <v>965</v>
      </c>
    </row>
    <row r="500" ht="15.75" customHeight="1">
      <c r="AC500" s="28" t="s">
        <v>966</v>
      </c>
      <c r="AD500" s="29" t="s">
        <v>967</v>
      </c>
    </row>
    <row r="501" ht="15.75" customHeight="1">
      <c r="AD501" s="28" t="s">
        <v>968</v>
      </c>
      <c r="AE501" s="29" t="s">
        <v>969</v>
      </c>
    </row>
    <row r="502" ht="15.75" customHeight="1">
      <c r="AC502" s="28" t="s">
        <v>970</v>
      </c>
      <c r="AD502" s="29" t="s">
        <v>971</v>
      </c>
      <c r="AE502" s="29"/>
    </row>
    <row r="503" ht="15.75" customHeight="1">
      <c r="AD503" s="28" t="s">
        <v>972</v>
      </c>
      <c r="AE503" s="29" t="s">
        <v>973</v>
      </c>
    </row>
    <row r="504" ht="15.75" customHeight="1">
      <c r="AD504" s="28" t="s">
        <v>974</v>
      </c>
      <c r="AE504" s="29" t="s">
        <v>975</v>
      </c>
    </row>
    <row r="505" ht="15.75" customHeight="1">
      <c r="AC505" s="28" t="s">
        <v>976</v>
      </c>
      <c r="AD505" s="29" t="s">
        <v>977</v>
      </c>
    </row>
    <row r="506" ht="15.75" customHeight="1">
      <c r="AA506" s="28" t="s">
        <v>978</v>
      </c>
      <c r="AB506" s="29" t="s">
        <v>979</v>
      </c>
    </row>
    <row r="507" ht="15.75" customHeight="1">
      <c r="AB507" s="28" t="s">
        <v>980</v>
      </c>
      <c r="AC507" s="29" t="s">
        <v>981</v>
      </c>
    </row>
    <row r="508" ht="15.75" customHeight="1">
      <c r="AB508" s="28" t="s">
        <v>982</v>
      </c>
      <c r="AC508" s="34" t="s">
        <v>983</v>
      </c>
    </row>
    <row r="509" ht="15.75" customHeight="1">
      <c r="AB509" s="28" t="s">
        <v>984</v>
      </c>
      <c r="AC509" s="29" t="s">
        <v>985</v>
      </c>
    </row>
    <row r="510" ht="15.75" customHeight="1">
      <c r="AC510" s="28" t="s">
        <v>986</v>
      </c>
      <c r="AD510" s="29" t="s">
        <v>987</v>
      </c>
    </row>
    <row r="511" ht="15.75" customHeight="1">
      <c r="AD511" s="28" t="s">
        <v>988</v>
      </c>
      <c r="AE511" s="29" t="s">
        <v>989</v>
      </c>
    </row>
    <row r="512" ht="15.75" customHeight="1">
      <c r="AE512" s="28" t="s">
        <v>990</v>
      </c>
      <c r="AF512" s="29" t="s">
        <v>991</v>
      </c>
    </row>
    <row r="513" ht="15.75" customHeight="1">
      <c r="AF513" s="28" t="s">
        <v>992</v>
      </c>
      <c r="AG513" s="29" t="s">
        <v>993</v>
      </c>
    </row>
    <row r="514" ht="15.75" customHeight="1">
      <c r="AG514" s="28" t="s">
        <v>994</v>
      </c>
      <c r="AH514" s="29" t="s">
        <v>995</v>
      </c>
    </row>
    <row r="515" ht="15.75" customHeight="1">
      <c r="AH515" s="28" t="s">
        <v>996</v>
      </c>
      <c r="AI515" s="29" t="s">
        <v>997</v>
      </c>
    </row>
    <row r="516" ht="15.75" customHeight="1">
      <c r="AE516" s="28" t="s">
        <v>998</v>
      </c>
      <c r="AF516" s="29" t="s">
        <v>999</v>
      </c>
    </row>
    <row r="517" ht="15.75" customHeight="1">
      <c r="AD517" s="28" t="s">
        <v>1000</v>
      </c>
      <c r="AE517" s="34" t="s">
        <v>1001</v>
      </c>
    </row>
    <row r="518" ht="15.75" customHeight="1">
      <c r="AA518" s="28" t="s">
        <v>1002</v>
      </c>
      <c r="AB518" s="29" t="s">
        <v>1003</v>
      </c>
    </row>
    <row r="519" ht="15.75" customHeight="1">
      <c r="Z519" s="28" t="s">
        <v>1004</v>
      </c>
      <c r="AA519" s="29" t="s">
        <v>1005</v>
      </c>
    </row>
    <row r="520" ht="15.75" customHeight="1">
      <c r="AA520" s="28" t="s">
        <v>1006</v>
      </c>
      <c r="AB520" s="29" t="s">
        <v>1007</v>
      </c>
    </row>
    <row r="521" ht="15.75" customHeight="1">
      <c r="AB521" s="28" t="s">
        <v>1008</v>
      </c>
      <c r="AC521" s="29" t="s">
        <v>1009</v>
      </c>
    </row>
    <row r="522" ht="15.75" customHeight="1">
      <c r="AC522" s="28" t="s">
        <v>1010</v>
      </c>
      <c r="AD522" s="29" t="s">
        <v>1011</v>
      </c>
    </row>
    <row r="523" ht="15.75" customHeight="1">
      <c r="AB523" s="28" t="s">
        <v>1012</v>
      </c>
      <c r="AC523" s="29" t="s">
        <v>1013</v>
      </c>
    </row>
    <row r="524" ht="15.75" customHeight="1">
      <c r="AC524" s="28" t="s">
        <v>1014</v>
      </c>
      <c r="AD524" s="29" t="s">
        <v>1015</v>
      </c>
    </row>
    <row r="525" ht="15.75" customHeight="1">
      <c r="AB525" s="28" t="s">
        <v>1016</v>
      </c>
      <c r="AC525" s="29" t="s">
        <v>1017</v>
      </c>
    </row>
    <row r="526" ht="15.75" customHeight="1">
      <c r="AC526" s="28" t="s">
        <v>1018</v>
      </c>
      <c r="AD526" s="29" t="s">
        <v>1019</v>
      </c>
    </row>
    <row r="527" ht="15.75" customHeight="1">
      <c r="AB527" s="28" t="s">
        <v>1020</v>
      </c>
      <c r="AC527" s="29" t="s">
        <v>1021</v>
      </c>
    </row>
    <row r="528" ht="15.75" customHeight="1">
      <c r="AC528" s="28" t="s">
        <v>1022</v>
      </c>
      <c r="AD528" s="29" t="s">
        <v>1023</v>
      </c>
    </row>
    <row r="529" ht="15.75" customHeight="1">
      <c r="AD529" s="28" t="s">
        <v>1024</v>
      </c>
      <c r="AE529" s="29" t="s">
        <v>1025</v>
      </c>
    </row>
    <row r="530" ht="15.75" customHeight="1">
      <c r="AB530" s="28" t="s">
        <v>1026</v>
      </c>
      <c r="AC530" s="29" t="s">
        <v>1027</v>
      </c>
    </row>
    <row r="531" ht="15.75" customHeight="1">
      <c r="AC531" s="28" t="s">
        <v>1028</v>
      </c>
      <c r="AD531" s="29" t="s">
        <v>1029</v>
      </c>
    </row>
    <row r="532" ht="15.75" customHeight="1">
      <c r="AC532" s="28" t="s">
        <v>1030</v>
      </c>
      <c r="AD532" s="29" t="s">
        <v>1031</v>
      </c>
    </row>
    <row r="533" ht="15.75" customHeight="1">
      <c r="AD533" s="28" t="s">
        <v>1032</v>
      </c>
      <c r="AE533" s="29" t="s">
        <v>1033</v>
      </c>
    </row>
    <row r="534" ht="15.75" customHeight="1">
      <c r="AE534" s="28" t="s">
        <v>1034</v>
      </c>
      <c r="AF534" s="29" t="s">
        <v>1035</v>
      </c>
    </row>
    <row r="535" ht="15.75" customHeight="1">
      <c r="AF535" s="28" t="s">
        <v>1036</v>
      </c>
      <c r="AG535" s="29" t="s">
        <v>1037</v>
      </c>
    </row>
    <row r="536" ht="15.75" customHeight="1">
      <c r="AG536" s="28" t="s">
        <v>1038</v>
      </c>
      <c r="AH536" s="29" t="s">
        <v>1039</v>
      </c>
    </row>
    <row r="537" ht="15.75" customHeight="1">
      <c r="AB537" s="28" t="s">
        <v>1040</v>
      </c>
      <c r="AC537" s="29" t="s">
        <v>1041</v>
      </c>
    </row>
    <row r="538" ht="15.75" customHeight="1">
      <c r="AC538" s="28" t="s">
        <v>1042</v>
      </c>
      <c r="AD538" s="29" t="s">
        <v>1043</v>
      </c>
    </row>
    <row r="539" ht="15.75" customHeight="1">
      <c r="AC539" s="28" t="s">
        <v>1044</v>
      </c>
      <c r="AD539" s="29" t="s">
        <v>1045</v>
      </c>
    </row>
    <row r="540" ht="15.75" customHeight="1">
      <c r="AD540" s="28" t="s">
        <v>1046</v>
      </c>
      <c r="AE540" s="29" t="s">
        <v>1047</v>
      </c>
    </row>
    <row r="541" ht="15.75" customHeight="1">
      <c r="AC541" s="28" t="s">
        <v>1048</v>
      </c>
      <c r="AD541" s="29" t="s">
        <v>1049</v>
      </c>
    </row>
    <row r="542" ht="15.75" customHeight="1">
      <c r="AD542" s="28" t="s">
        <v>1050</v>
      </c>
      <c r="AE542" s="29" t="s">
        <v>1051</v>
      </c>
    </row>
    <row r="543" ht="15.75" customHeight="1">
      <c r="AD543" s="28" t="s">
        <v>1052</v>
      </c>
      <c r="AE543" s="29" t="s">
        <v>1053</v>
      </c>
    </row>
    <row r="544" ht="15.75" customHeight="1">
      <c r="AC544" s="28" t="s">
        <v>1054</v>
      </c>
      <c r="AD544" s="29" t="s">
        <v>1055</v>
      </c>
    </row>
    <row r="545" ht="15.75" customHeight="1">
      <c r="AC545" s="28" t="s">
        <v>1056</v>
      </c>
      <c r="AD545" s="29" t="s">
        <v>1057</v>
      </c>
    </row>
    <row r="546" ht="15.75" customHeight="1">
      <c r="AC546" s="28" t="s">
        <v>1058</v>
      </c>
      <c r="AD546" s="29" t="s">
        <v>1059</v>
      </c>
    </row>
    <row r="547" ht="15.75" customHeight="1">
      <c r="AC547" s="28" t="s">
        <v>1060</v>
      </c>
      <c r="AD547" s="29" t="s">
        <v>1061</v>
      </c>
    </row>
    <row r="548" ht="15.75" customHeight="1">
      <c r="AD548" s="28" t="s">
        <v>1062</v>
      </c>
      <c r="AE548" s="29" t="s">
        <v>1063</v>
      </c>
    </row>
    <row r="549" ht="15.75" customHeight="1">
      <c r="AC549" s="28" t="s">
        <v>1064</v>
      </c>
      <c r="AD549" s="29" t="s">
        <v>1065</v>
      </c>
    </row>
    <row r="550" ht="15.75" customHeight="1">
      <c r="AD550" s="28" t="s">
        <v>1066</v>
      </c>
      <c r="AE550" s="29" t="s">
        <v>1067</v>
      </c>
    </row>
    <row r="551" ht="15.75" customHeight="1">
      <c r="AC551" s="28" t="s">
        <v>1068</v>
      </c>
      <c r="AD551" s="29" t="s">
        <v>1069</v>
      </c>
    </row>
    <row r="552" ht="15.75" customHeight="1">
      <c r="AD552" s="28" t="s">
        <v>1070</v>
      </c>
      <c r="AE552" s="29" t="s">
        <v>1071</v>
      </c>
    </row>
    <row r="553" ht="15.75" customHeight="1">
      <c r="AE553" s="28" t="s">
        <v>1072</v>
      </c>
      <c r="AF553" s="34" t="s">
        <v>1073</v>
      </c>
    </row>
    <row r="554" ht="15.75" customHeight="1">
      <c r="AF554" s="28" t="s">
        <v>1074</v>
      </c>
      <c r="AG554" s="29" t="s">
        <v>1075</v>
      </c>
    </row>
    <row r="555" ht="15.75" customHeight="1">
      <c r="AE555" s="28" t="s">
        <v>1076</v>
      </c>
      <c r="AF555" s="29" t="s">
        <v>1077</v>
      </c>
    </row>
    <row r="556" ht="15.75" customHeight="1">
      <c r="AD556" s="28" t="s">
        <v>1078</v>
      </c>
      <c r="AE556" s="29" t="s">
        <v>1079</v>
      </c>
    </row>
    <row r="557" ht="15.75" customHeight="1">
      <c r="AE557" s="28" t="s">
        <v>1080</v>
      </c>
      <c r="AF557" s="29" t="s">
        <v>1081</v>
      </c>
    </row>
    <row r="558" ht="15.75" customHeight="1">
      <c r="AE558" s="28" t="s">
        <v>1082</v>
      </c>
      <c r="AF558" s="29" t="s">
        <v>1083</v>
      </c>
    </row>
    <row r="559" ht="15.75" customHeight="1">
      <c r="AD559" s="28" t="s">
        <v>1084</v>
      </c>
      <c r="AE559" s="29" t="s">
        <v>1085</v>
      </c>
    </row>
    <row r="560" ht="15.75" customHeight="1">
      <c r="AE560" s="28" t="s">
        <v>1086</v>
      </c>
      <c r="AF560" s="29" t="s">
        <v>1087</v>
      </c>
    </row>
    <row r="561" ht="15.75" customHeight="1">
      <c r="AE561" s="28" t="s">
        <v>1088</v>
      </c>
      <c r="AF561" s="29" t="s">
        <v>1089</v>
      </c>
    </row>
    <row r="562" ht="15.75" customHeight="1">
      <c r="AE562" s="28" t="s">
        <v>1090</v>
      </c>
      <c r="AF562" s="29" t="s">
        <v>1091</v>
      </c>
    </row>
    <row r="563" ht="15.75" customHeight="1">
      <c r="AD563" s="28" t="s">
        <v>1092</v>
      </c>
      <c r="AE563" s="40" t="s">
        <v>1093</v>
      </c>
    </row>
    <row r="564" ht="15.75" customHeight="1">
      <c r="AE564" s="28" t="s">
        <v>1094</v>
      </c>
      <c r="AF564" s="29" t="s">
        <v>1095</v>
      </c>
    </row>
    <row r="565" ht="15.75" customHeight="1">
      <c r="AE565" s="28" t="s">
        <v>1096</v>
      </c>
      <c r="AF565" s="29" t="s">
        <v>1097</v>
      </c>
    </row>
    <row r="566" ht="15.75" customHeight="1">
      <c r="AE566" s="28" t="s">
        <v>1098</v>
      </c>
      <c r="AF566" s="29" t="s">
        <v>1099</v>
      </c>
    </row>
    <row r="567" ht="15.75" customHeight="1">
      <c r="AF567" s="28" t="s">
        <v>1100</v>
      </c>
      <c r="AG567" s="29" t="s">
        <v>1101</v>
      </c>
    </row>
    <row r="568" ht="15.75" customHeight="1">
      <c r="AG568" s="28" t="s">
        <v>1102</v>
      </c>
      <c r="AH568" s="29" t="s">
        <v>1103</v>
      </c>
    </row>
    <row r="569" ht="15.75" customHeight="1">
      <c r="AH569" s="28" t="s">
        <v>1104</v>
      </c>
      <c r="AI569" s="34" t="s">
        <v>1105</v>
      </c>
    </row>
    <row r="570" ht="15.75" customHeight="1">
      <c r="AH570" s="28" t="s">
        <v>1106</v>
      </c>
      <c r="AI570" s="29" t="s">
        <v>1107</v>
      </c>
    </row>
    <row r="571" ht="15.75" customHeight="1">
      <c r="AD571" s="28" t="s">
        <v>1108</v>
      </c>
      <c r="AE571" s="29" t="s">
        <v>1109</v>
      </c>
      <c r="AI571" s="29"/>
    </row>
    <row r="572" ht="15.75" customHeight="1">
      <c r="AE572" s="28" t="s">
        <v>1110</v>
      </c>
      <c r="AF572" s="29" t="s">
        <v>1111</v>
      </c>
    </row>
    <row r="573" ht="15.75" customHeight="1">
      <c r="AE573" s="28" t="s">
        <v>1112</v>
      </c>
      <c r="AF573" s="34" t="s">
        <v>1113</v>
      </c>
    </row>
    <row r="574" ht="15.75" customHeight="1">
      <c r="AF574" s="28" t="s">
        <v>1114</v>
      </c>
      <c r="AG574" s="29" t="s">
        <v>1115</v>
      </c>
    </row>
    <row r="575" ht="15.75" customHeight="1">
      <c r="AG575" s="28" t="s">
        <v>1116</v>
      </c>
      <c r="AH575" s="29" t="s">
        <v>1117</v>
      </c>
    </row>
    <row r="576" ht="15.75" customHeight="1">
      <c r="AF576" s="28" t="s">
        <v>1118</v>
      </c>
      <c r="AG576" s="29" t="s">
        <v>1119</v>
      </c>
    </row>
    <row r="577" ht="15.75" customHeight="1">
      <c r="AD577" s="28" t="s">
        <v>1120</v>
      </c>
      <c r="AE577" s="29" t="s">
        <v>1121</v>
      </c>
    </row>
    <row r="578" ht="15.75" customHeight="1">
      <c r="AD578" s="28" t="s">
        <v>1122</v>
      </c>
      <c r="AE578" s="29" t="s">
        <v>1123</v>
      </c>
    </row>
    <row r="579" ht="15.75" customHeight="1">
      <c r="AD579" s="28" t="s">
        <v>1124</v>
      </c>
      <c r="AE579" s="29" t="s">
        <v>1125</v>
      </c>
    </row>
    <row r="580" ht="15.75" customHeight="1">
      <c r="AD580" s="28" t="s">
        <v>1126</v>
      </c>
      <c r="AE580" s="29" t="s">
        <v>1127</v>
      </c>
    </row>
    <row r="581" ht="15.75" customHeight="1">
      <c r="AD581" s="28" t="s">
        <v>1128</v>
      </c>
      <c r="AE581" s="29" t="s">
        <v>1129</v>
      </c>
    </row>
    <row r="582" ht="15.75" customHeight="1">
      <c r="AD582" s="28" t="s">
        <v>1130</v>
      </c>
      <c r="AE582" s="29" t="s">
        <v>1131</v>
      </c>
    </row>
    <row r="583" ht="15.75" customHeight="1">
      <c r="AD583" s="28" t="s">
        <v>1132</v>
      </c>
      <c r="AE583" s="29" t="s">
        <v>1133</v>
      </c>
    </row>
    <row r="584" ht="15.75" customHeight="1">
      <c r="AD584" s="28" t="s">
        <v>1134</v>
      </c>
      <c r="AE584" s="29" t="s">
        <v>1135</v>
      </c>
    </row>
    <row r="585" ht="15.75" customHeight="1">
      <c r="AD585" s="28" t="s">
        <v>1136</v>
      </c>
      <c r="AE585" s="29" t="s">
        <v>1137</v>
      </c>
    </row>
    <row r="586" ht="15.75" customHeight="1">
      <c r="AE586" s="28" t="s">
        <v>1138</v>
      </c>
      <c r="AF586" s="29" t="s">
        <v>1139</v>
      </c>
    </row>
    <row r="587" ht="15.75" customHeight="1">
      <c r="AC587" s="28" t="s">
        <v>1140</v>
      </c>
      <c r="AD587" s="29" t="s">
        <v>1141</v>
      </c>
    </row>
    <row r="588" ht="15.75" customHeight="1">
      <c r="AD588" s="28" t="s">
        <v>1142</v>
      </c>
      <c r="AE588" s="29" t="s">
        <v>1143</v>
      </c>
    </row>
    <row r="589" ht="15.75" customHeight="1">
      <c r="AE589" s="28" t="s">
        <v>1144</v>
      </c>
      <c r="AF589" s="29" t="s">
        <v>1145</v>
      </c>
    </row>
    <row r="590" ht="15.75" customHeight="1">
      <c r="AF590" s="28" t="s">
        <v>1146</v>
      </c>
      <c r="AG590" s="29" t="s">
        <v>1147</v>
      </c>
    </row>
    <row r="591" ht="15.75" customHeight="1">
      <c r="AE591" s="28" t="s">
        <v>1148</v>
      </c>
      <c r="AF591" s="29" t="s">
        <v>1149</v>
      </c>
    </row>
    <row r="592" ht="15.75" customHeight="1">
      <c r="AF592" s="28" t="s">
        <v>1150</v>
      </c>
      <c r="AG592" s="29" t="s">
        <v>1151</v>
      </c>
    </row>
    <row r="593" ht="15.75" customHeight="1">
      <c r="AE593" s="28" t="s">
        <v>1152</v>
      </c>
      <c r="AF593" s="29" t="s">
        <v>1153</v>
      </c>
    </row>
    <row r="594" ht="15.75" customHeight="1">
      <c r="AF594" s="28" t="s">
        <v>1154</v>
      </c>
      <c r="AG594" s="29" t="s">
        <v>1155</v>
      </c>
    </row>
    <row r="595" ht="15.75" customHeight="1">
      <c r="AG595" s="28" t="s">
        <v>1156</v>
      </c>
      <c r="AH595" s="35" t="s">
        <v>1157</v>
      </c>
    </row>
    <row r="596" ht="15.75" customHeight="1">
      <c r="AH596" s="28" t="s">
        <v>1158</v>
      </c>
      <c r="AI596" s="29" t="s">
        <v>1159</v>
      </c>
    </row>
    <row r="597" ht="15.75" customHeight="1">
      <c r="AH597" s="28" t="s">
        <v>1160</v>
      </c>
      <c r="AI597" s="29" t="s">
        <v>1161</v>
      </c>
    </row>
    <row r="598" ht="15.75" customHeight="1">
      <c r="AD598" s="28" t="s">
        <v>1162</v>
      </c>
      <c r="AE598" s="29" t="s">
        <v>1163</v>
      </c>
    </row>
    <row r="599" ht="15.75" customHeight="1">
      <c r="AE599" s="28" t="s">
        <v>1164</v>
      </c>
      <c r="AF599" s="29" t="s">
        <v>1165</v>
      </c>
    </row>
    <row r="600" ht="15.75" customHeight="1">
      <c r="AE600" s="28" t="s">
        <v>1166</v>
      </c>
      <c r="AF600" s="29" t="s">
        <v>1167</v>
      </c>
    </row>
    <row r="601" ht="15.75" customHeight="1">
      <c r="AF601" s="28" t="s">
        <v>1168</v>
      </c>
      <c r="AG601" s="29" t="s">
        <v>1169</v>
      </c>
    </row>
    <row r="602" ht="15.75" customHeight="1">
      <c r="AG602" s="28" t="s">
        <v>1170</v>
      </c>
      <c r="AH602" s="29" t="s">
        <v>1171</v>
      </c>
    </row>
    <row r="603" ht="15.75" customHeight="1">
      <c r="AG603" s="28" t="s">
        <v>1172</v>
      </c>
      <c r="AH603" s="29" t="s">
        <v>1173</v>
      </c>
    </row>
    <row r="604" ht="15.75" customHeight="1">
      <c r="AF604" s="28" t="s">
        <v>1174</v>
      </c>
      <c r="AG604" s="29" t="s">
        <v>1175</v>
      </c>
    </row>
    <row r="605" ht="15.75" customHeight="1">
      <c r="AG605" s="28" t="s">
        <v>1176</v>
      </c>
      <c r="AH605" s="29" t="s">
        <v>1177</v>
      </c>
    </row>
    <row r="606" ht="15.75" customHeight="1">
      <c r="AH606" s="28" t="s">
        <v>1178</v>
      </c>
      <c r="AI606" s="29" t="s">
        <v>1179</v>
      </c>
    </row>
    <row r="607" ht="15.75" customHeight="1">
      <c r="AH607" s="28" t="s">
        <v>1180</v>
      </c>
      <c r="AI607" s="29" t="s">
        <v>1181</v>
      </c>
    </row>
    <row r="608" ht="15.75" customHeight="1">
      <c r="AH608" s="28" t="s">
        <v>1182</v>
      </c>
      <c r="AI608" s="29" t="s">
        <v>1183</v>
      </c>
    </row>
    <row r="609" ht="15.75" customHeight="1">
      <c r="AI609" s="28" t="s">
        <v>1184</v>
      </c>
      <c r="AJ609" s="29" t="s">
        <v>1185</v>
      </c>
    </row>
    <row r="610" ht="15.75" customHeight="1">
      <c r="AE610" s="28" t="s">
        <v>1186</v>
      </c>
      <c r="AF610" s="29" t="s">
        <v>1187</v>
      </c>
    </row>
    <row r="611" ht="15.75" customHeight="1">
      <c r="AC611" s="28" t="s">
        <v>1188</v>
      </c>
      <c r="AD611" s="29" t="s">
        <v>1189</v>
      </c>
    </row>
    <row r="612" ht="15.75" customHeight="1">
      <c r="AD612" s="28" t="s">
        <v>1190</v>
      </c>
      <c r="AE612" s="29" t="s">
        <v>1191</v>
      </c>
    </row>
    <row r="613" ht="15.75" customHeight="1">
      <c r="AD613" s="28" t="s">
        <v>1192</v>
      </c>
      <c r="AE613" s="29" t="s">
        <v>1193</v>
      </c>
    </row>
    <row r="614" ht="15.75" customHeight="1">
      <c r="AE614" s="28" t="s">
        <v>1194</v>
      </c>
      <c r="AF614" s="29" t="s">
        <v>1195</v>
      </c>
    </row>
    <row r="615" ht="15.75" customHeight="1">
      <c r="AE615" s="28" t="s">
        <v>1196</v>
      </c>
      <c r="AF615" s="29" t="s">
        <v>1197</v>
      </c>
    </row>
    <row r="616" ht="15.75" customHeight="1">
      <c r="AF616" s="28" t="s">
        <v>1198</v>
      </c>
      <c r="AG616" s="29" t="s">
        <v>1199</v>
      </c>
    </row>
    <row r="617" ht="15.75" customHeight="1">
      <c r="AE617" s="28" t="s">
        <v>1200</v>
      </c>
      <c r="AF617" s="29" t="s">
        <v>1201</v>
      </c>
    </row>
    <row r="618" ht="15.75" customHeight="1">
      <c r="AE618" s="28" t="s">
        <v>1202</v>
      </c>
      <c r="AF618" s="29" t="s">
        <v>1203</v>
      </c>
    </row>
    <row r="619" ht="15.75" customHeight="1">
      <c r="AF619" s="28" t="s">
        <v>1204</v>
      </c>
      <c r="AG619" s="29" t="s">
        <v>1205</v>
      </c>
    </row>
    <row r="620" ht="15.75" customHeight="1">
      <c r="AE620" s="28" t="s">
        <v>1206</v>
      </c>
      <c r="AF620" s="29" t="s">
        <v>1207</v>
      </c>
    </row>
    <row r="621" ht="15.75" customHeight="1">
      <c r="AE621" s="28" t="s">
        <v>1208</v>
      </c>
      <c r="AF621" s="29" t="s">
        <v>1209</v>
      </c>
    </row>
    <row r="622" ht="15.75" customHeight="1">
      <c r="AE622" s="28" t="s">
        <v>1210</v>
      </c>
      <c r="AF622" s="29" t="s">
        <v>1211</v>
      </c>
    </row>
    <row r="623" ht="15.75" customHeight="1">
      <c r="AF623" s="28" t="s">
        <v>1212</v>
      </c>
      <c r="AG623" s="29" t="s">
        <v>1213</v>
      </c>
    </row>
    <row r="624" ht="15.75" customHeight="1">
      <c r="AE624" s="28" t="s">
        <v>1214</v>
      </c>
      <c r="AF624" s="29" t="s">
        <v>1215</v>
      </c>
    </row>
    <row r="625" ht="15.75" customHeight="1">
      <c r="AF625" s="28" t="s">
        <v>1216</v>
      </c>
      <c r="AG625" s="29" t="s">
        <v>1217</v>
      </c>
    </row>
    <row r="626" ht="15.75" customHeight="1">
      <c r="AF626" s="28" t="s">
        <v>1218</v>
      </c>
      <c r="AG626" s="29" t="s">
        <v>1219</v>
      </c>
    </row>
    <row r="627" ht="15.75" customHeight="1">
      <c r="AG627" s="28" t="s">
        <v>1220</v>
      </c>
      <c r="AH627" s="34" t="s">
        <v>1221</v>
      </c>
    </row>
    <row r="628" ht="15.75" customHeight="1">
      <c r="AE628" s="37" t="s">
        <v>1222</v>
      </c>
      <c r="AF628" s="29" t="s">
        <v>1223</v>
      </c>
    </row>
    <row r="629" ht="15.75" customHeight="1">
      <c r="AC629" s="28" t="s">
        <v>1224</v>
      </c>
      <c r="AD629" s="29" t="s">
        <v>1225</v>
      </c>
    </row>
    <row r="630" ht="15.75" customHeight="1">
      <c r="AA630" s="28" t="s">
        <v>1226</v>
      </c>
      <c r="AB630" s="29" t="s">
        <v>1227</v>
      </c>
    </row>
    <row r="631" ht="15.75" customHeight="1">
      <c r="Z631" s="28" t="s">
        <v>1228</v>
      </c>
      <c r="AA631" s="34" t="s">
        <v>1229</v>
      </c>
    </row>
    <row r="632" ht="15.75" customHeight="1">
      <c r="X632" s="28" t="s">
        <v>1230</v>
      </c>
      <c r="Y632" s="29" t="s">
        <v>1231</v>
      </c>
    </row>
    <row r="633" ht="15.75" customHeight="1">
      <c r="V633" s="28" t="s">
        <v>1232</v>
      </c>
      <c r="W633" s="29" t="s">
        <v>1233</v>
      </c>
    </row>
    <row r="634" ht="15.75" customHeight="1">
      <c r="V634" s="28" t="s">
        <v>1234</v>
      </c>
      <c r="W634" s="29" t="s">
        <v>1235</v>
      </c>
    </row>
    <row r="635" ht="15.75" customHeight="1">
      <c r="V635" s="28" t="s">
        <v>1236</v>
      </c>
      <c r="W635" s="29" t="s">
        <v>1237</v>
      </c>
    </row>
    <row r="636" ht="15.75" customHeight="1">
      <c r="U636" s="28" t="s">
        <v>1238</v>
      </c>
      <c r="V636" s="29" t="s">
        <v>1239</v>
      </c>
    </row>
    <row r="637" ht="15.75" customHeight="1">
      <c r="U637" s="28" t="s">
        <v>1240</v>
      </c>
      <c r="V637" s="29" t="s">
        <v>1241</v>
      </c>
    </row>
    <row r="638" ht="15.75" customHeight="1">
      <c r="V638" s="28" t="s">
        <v>1242</v>
      </c>
      <c r="W638" s="29" t="s">
        <v>1243</v>
      </c>
    </row>
    <row r="639" ht="15.75" customHeight="1">
      <c r="V639" s="28" t="s">
        <v>1244</v>
      </c>
      <c r="W639" s="29" t="s">
        <v>1245</v>
      </c>
    </row>
    <row r="640" ht="15.75" customHeight="1">
      <c r="W640" s="28" t="s">
        <v>1246</v>
      </c>
      <c r="X640" s="29" t="s">
        <v>1247</v>
      </c>
    </row>
    <row r="641" ht="15.75" customHeight="1">
      <c r="T641" s="28" t="s">
        <v>1248</v>
      </c>
      <c r="U641" s="29" t="s">
        <v>1249</v>
      </c>
    </row>
    <row r="642" ht="15.75" customHeight="1">
      <c r="U642" s="28" t="s">
        <v>1250</v>
      </c>
      <c r="V642" s="29" t="s">
        <v>1251</v>
      </c>
    </row>
    <row r="643" ht="15.75" customHeight="1">
      <c r="Q643" s="28" t="s">
        <v>1252</v>
      </c>
      <c r="R643" s="29" t="s">
        <v>1253</v>
      </c>
    </row>
    <row r="644" ht="15.75" customHeight="1">
      <c r="R644" s="28" t="s">
        <v>1254</v>
      </c>
      <c r="S644" s="29" t="s">
        <v>1255</v>
      </c>
    </row>
    <row r="645" ht="15.75" customHeight="1">
      <c r="S645" s="28" t="s">
        <v>1256</v>
      </c>
      <c r="T645" s="29" t="s">
        <v>1257</v>
      </c>
    </row>
    <row r="646" ht="15.75" customHeight="1">
      <c r="P646" s="28" t="s">
        <v>1258</v>
      </c>
      <c r="Q646" s="29" t="s">
        <v>1259</v>
      </c>
    </row>
    <row r="647" ht="15.75" customHeight="1">
      <c r="G647" s="28" t="s">
        <v>1260</v>
      </c>
      <c r="H647" s="29" t="s">
        <v>1261</v>
      </c>
    </row>
    <row r="648" ht="15.75" customHeight="1">
      <c r="H648" s="28" t="s">
        <v>1262</v>
      </c>
      <c r="I648" s="29" t="s">
        <v>1263</v>
      </c>
    </row>
    <row r="649" ht="15.75" customHeight="1">
      <c r="I649" s="28" t="s">
        <v>1264</v>
      </c>
      <c r="J649" s="43" t="s">
        <v>1265</v>
      </c>
    </row>
    <row r="650" ht="15.75" customHeight="1">
      <c r="J650" s="28" t="s">
        <v>1266</v>
      </c>
      <c r="K650" s="32" t="s">
        <v>1267</v>
      </c>
    </row>
    <row r="651" ht="15.75" customHeight="1">
      <c r="F651" s="28" t="s">
        <v>1268</v>
      </c>
      <c r="G651" s="29" t="s">
        <v>1269</v>
      </c>
    </row>
    <row r="652" ht="15.75" customHeight="1">
      <c r="G652" s="28" t="s">
        <v>1270</v>
      </c>
      <c r="H652" s="30" t="s">
        <v>1271</v>
      </c>
    </row>
    <row r="653" ht="15.75" customHeight="1">
      <c r="H653" s="28" t="s">
        <v>1272</v>
      </c>
      <c r="I653" s="32" t="s">
        <v>1273</v>
      </c>
    </row>
    <row r="654" ht="15.75" customHeight="1">
      <c r="E654" s="24" t="s">
        <v>1274</v>
      </c>
      <c r="F654" s="31" t="s">
        <v>1275</v>
      </c>
      <c r="G654" s="31"/>
    </row>
    <row r="655" ht="15.75" customHeight="1">
      <c r="E655" s="28" t="s">
        <v>1276</v>
      </c>
      <c r="F655" s="30" t="s">
        <v>1277</v>
      </c>
    </row>
    <row r="656" ht="15.75" customHeight="1">
      <c r="F656" s="24" t="s">
        <v>1278</v>
      </c>
      <c r="G656" s="31" t="s">
        <v>1279</v>
      </c>
    </row>
    <row r="657" ht="15.75" customHeight="1">
      <c r="F657" s="28" t="s">
        <v>1280</v>
      </c>
      <c r="G657" s="32" t="s">
        <v>1281</v>
      </c>
    </row>
    <row r="658" ht="15.75" customHeight="1">
      <c r="G658" s="28" t="s">
        <v>1282</v>
      </c>
      <c r="H658" s="34" t="s">
        <v>1283</v>
      </c>
    </row>
    <row r="659" ht="15.75" customHeight="1">
      <c r="H659" s="28" t="s">
        <v>1284</v>
      </c>
      <c r="I659" s="29" t="s">
        <v>1285</v>
      </c>
    </row>
    <row r="660" ht="15.75" customHeight="1">
      <c r="I660" s="28" t="s">
        <v>1286</v>
      </c>
      <c r="J660" s="29" t="s">
        <v>1287</v>
      </c>
    </row>
    <row r="661" ht="15.75" customHeight="1">
      <c r="G661" s="28" t="s">
        <v>1288</v>
      </c>
      <c r="H661" s="29" t="s">
        <v>1289</v>
      </c>
    </row>
    <row r="662" ht="15.75" customHeight="1">
      <c r="H662" s="28" t="s">
        <v>1290</v>
      </c>
      <c r="I662" s="29" t="s">
        <v>1291</v>
      </c>
    </row>
    <row r="663" ht="15.75" customHeight="1">
      <c r="H663" s="28" t="s">
        <v>1292</v>
      </c>
      <c r="I663" s="29" t="s">
        <v>1293</v>
      </c>
    </row>
    <row r="664" ht="15.75" customHeight="1">
      <c r="I664" s="28" t="s">
        <v>1294</v>
      </c>
      <c r="J664" s="30" t="s">
        <v>1295</v>
      </c>
    </row>
    <row r="665" ht="15.75" customHeight="1">
      <c r="J665" s="28" t="s">
        <v>1296</v>
      </c>
      <c r="K665" s="29" t="s">
        <v>1297</v>
      </c>
    </row>
    <row r="666" ht="15.75" customHeight="1">
      <c r="I666" s="28" t="s">
        <v>1298</v>
      </c>
      <c r="J666" s="30" t="s">
        <v>1299</v>
      </c>
    </row>
    <row r="667" ht="15.75" customHeight="1">
      <c r="J667" s="28" t="s">
        <v>1300</v>
      </c>
      <c r="K667" s="29" t="s">
        <v>1301</v>
      </c>
    </row>
    <row r="668" ht="15.75" customHeight="1">
      <c r="J668" s="28" t="s">
        <v>1302</v>
      </c>
      <c r="K668" s="29" t="s">
        <v>1303</v>
      </c>
    </row>
    <row r="669" ht="15.75" customHeight="1">
      <c r="K669" s="28" t="s">
        <v>1304</v>
      </c>
      <c r="L669" s="29" t="s">
        <v>1305</v>
      </c>
    </row>
    <row r="670" ht="15.75" customHeight="1">
      <c r="I670" s="28" t="s">
        <v>1306</v>
      </c>
      <c r="J670" s="29" t="s">
        <v>1307</v>
      </c>
    </row>
    <row r="671" ht="15.75" customHeight="1">
      <c r="J671" s="28" t="s">
        <v>1308</v>
      </c>
      <c r="K671" s="29" t="s">
        <v>1309</v>
      </c>
    </row>
    <row r="672" ht="15.75" customHeight="1">
      <c r="K672" s="28" t="s">
        <v>1310</v>
      </c>
      <c r="L672" s="29" t="s">
        <v>1311</v>
      </c>
    </row>
    <row r="673" ht="15.75" customHeight="1">
      <c r="L673" s="28" t="s">
        <v>1312</v>
      </c>
      <c r="M673" s="29" t="s">
        <v>1313</v>
      </c>
    </row>
    <row r="674" ht="15.75" customHeight="1">
      <c r="M674" s="28" t="s">
        <v>1314</v>
      </c>
      <c r="N674" s="34" t="s">
        <v>1315</v>
      </c>
    </row>
    <row r="675" ht="15.75" customHeight="1">
      <c r="L675" s="28" t="s">
        <v>1316</v>
      </c>
      <c r="M675" s="29" t="s">
        <v>1317</v>
      </c>
    </row>
    <row r="676" ht="15.75" customHeight="1">
      <c r="M676" s="28" t="s">
        <v>1318</v>
      </c>
      <c r="N676" s="29" t="s">
        <v>1319</v>
      </c>
      <c r="O676" s="29"/>
      <c r="P676" s="29"/>
      <c r="Q676" s="29"/>
      <c r="R676" s="29"/>
      <c r="S676" s="29"/>
    </row>
    <row r="677" ht="15.75" customHeight="1">
      <c r="M677" s="28" t="s">
        <v>1320</v>
      </c>
      <c r="N677" s="32" t="s">
        <v>1321</v>
      </c>
    </row>
    <row r="678" ht="15.75" customHeight="1">
      <c r="F678" s="28" t="s">
        <v>1322</v>
      </c>
      <c r="G678" s="29" t="s">
        <v>1323</v>
      </c>
    </row>
    <row r="679" ht="15.75" customHeight="1">
      <c r="G679" s="28" t="s">
        <v>1324</v>
      </c>
      <c r="H679" s="30" t="s">
        <v>1325</v>
      </c>
    </row>
    <row r="680" ht="15.75" customHeight="1">
      <c r="H680" s="28" t="s">
        <v>1326</v>
      </c>
      <c r="I680" s="29" t="s">
        <v>1327</v>
      </c>
    </row>
    <row r="681" ht="15.75" customHeight="1">
      <c r="H681" s="28" t="s">
        <v>1328</v>
      </c>
      <c r="I681" s="29" t="s">
        <v>1329</v>
      </c>
    </row>
    <row r="682" ht="15.75" customHeight="1">
      <c r="G682" s="28" t="s">
        <v>1330</v>
      </c>
      <c r="H682" s="32" t="s">
        <v>1331</v>
      </c>
    </row>
    <row r="683" ht="15.75" customHeight="1">
      <c r="H683" s="28" t="s">
        <v>1332</v>
      </c>
      <c r="I683" s="29" t="s">
        <v>1333</v>
      </c>
    </row>
    <row r="684" ht="15.75" customHeight="1">
      <c r="H684" s="28" t="s">
        <v>1334</v>
      </c>
      <c r="I684" s="32" t="s">
        <v>1335</v>
      </c>
    </row>
    <row r="685" ht="15.75" customHeight="1">
      <c r="I685" s="28" t="s">
        <v>1336</v>
      </c>
      <c r="J685" s="29" t="s">
        <v>1337</v>
      </c>
    </row>
    <row r="686" ht="15.75" customHeight="1">
      <c r="I686" s="28" t="s">
        <v>1338</v>
      </c>
      <c r="J686" s="29" t="s">
        <v>1339</v>
      </c>
    </row>
    <row r="687" ht="15.75" customHeight="1">
      <c r="D687" s="28" t="s">
        <v>1340</v>
      </c>
      <c r="E687" s="32" t="s">
        <v>1341</v>
      </c>
    </row>
    <row r="688" ht="15.75" customHeight="1">
      <c r="E688" s="28" t="s">
        <v>1342</v>
      </c>
      <c r="F688" s="29" t="s">
        <v>1343</v>
      </c>
    </row>
    <row r="689" ht="15.75" customHeight="1">
      <c r="E689" s="28" t="s">
        <v>1344</v>
      </c>
      <c r="F689" s="30" t="s">
        <v>1345</v>
      </c>
    </row>
    <row r="690" ht="15.75" customHeight="1">
      <c r="F690" s="28" t="s">
        <v>1346</v>
      </c>
      <c r="G690" s="29" t="s">
        <v>1347</v>
      </c>
    </row>
    <row r="691" ht="15.75" customHeight="1">
      <c r="C691" s="24" t="s">
        <v>1348</v>
      </c>
      <c r="D691" s="44" t="s">
        <v>1349</v>
      </c>
    </row>
    <row r="692" ht="15.75" customHeight="1">
      <c r="D692" s="28" t="s">
        <v>1350</v>
      </c>
      <c r="E692" s="32" t="s">
        <v>1351</v>
      </c>
    </row>
    <row r="693" ht="15.75" customHeight="1">
      <c r="E693" s="28" t="s">
        <v>1352</v>
      </c>
      <c r="F693" s="30" t="s">
        <v>1353</v>
      </c>
    </row>
    <row r="694" ht="15.75" customHeight="1">
      <c r="F694" s="28" t="s">
        <v>1354</v>
      </c>
      <c r="G694" s="34" t="s">
        <v>1355</v>
      </c>
    </row>
    <row r="695" ht="15.75" customHeight="1">
      <c r="G695" s="28" t="s">
        <v>1356</v>
      </c>
      <c r="H695" s="34" t="s">
        <v>1357</v>
      </c>
    </row>
    <row r="696" ht="15.75" customHeight="1">
      <c r="G696" s="28" t="s">
        <v>1358</v>
      </c>
      <c r="H696" s="29" t="s">
        <v>1359</v>
      </c>
    </row>
    <row r="697" ht="15.75" customHeight="1">
      <c r="E697" s="28" t="s">
        <v>1360</v>
      </c>
      <c r="F697" s="34" t="s">
        <v>1361</v>
      </c>
    </row>
    <row r="698" ht="15.75" customHeight="1">
      <c r="B698" s="24" t="s">
        <v>1362</v>
      </c>
      <c r="C698" s="27" t="s">
        <v>1363</v>
      </c>
    </row>
    <row r="699" ht="15.75" customHeight="1">
      <c r="C699" s="24" t="s">
        <v>1364</v>
      </c>
      <c r="D699" s="45" t="s">
        <v>1365</v>
      </c>
    </row>
    <row r="700" ht="15.75" customHeight="1">
      <c r="C700" s="28" t="s">
        <v>1366</v>
      </c>
      <c r="D700" s="29" t="s">
        <v>1367</v>
      </c>
      <c r="E700" s="29"/>
    </row>
    <row r="701" ht="15.75" customHeight="1">
      <c r="D701" s="24" t="s">
        <v>1368</v>
      </c>
      <c r="E701" s="46" t="s">
        <v>1369</v>
      </c>
      <c r="F701" s="47"/>
      <c r="G701" s="47"/>
      <c r="H701" s="47"/>
      <c r="I701" s="47"/>
      <c r="J701" s="47"/>
      <c r="K701" s="47"/>
      <c r="L701" s="47"/>
      <c r="M701" s="47"/>
    </row>
    <row r="702" ht="15.75" customHeight="1">
      <c r="E702" s="48" t="s">
        <v>1370</v>
      </c>
      <c r="F702" s="49" t="s">
        <v>1371</v>
      </c>
    </row>
    <row r="703" ht="15.75" customHeight="1">
      <c r="E703" s="37" t="s">
        <v>1372</v>
      </c>
      <c r="F703" s="30" t="s">
        <v>1373</v>
      </c>
    </row>
    <row r="704" ht="15.75" customHeight="1">
      <c r="F704" s="48" t="s">
        <v>1374</v>
      </c>
      <c r="G704" s="50" t="s">
        <v>1375</v>
      </c>
    </row>
    <row r="705" ht="15.75" customHeight="1">
      <c r="G705" s="48" t="s">
        <v>1376</v>
      </c>
      <c r="H705" s="50" t="s">
        <v>1377</v>
      </c>
    </row>
    <row r="706" ht="15.75" customHeight="1">
      <c r="F706" s="51"/>
      <c r="G706" s="31"/>
      <c r="H706" s="37" t="s">
        <v>1378</v>
      </c>
      <c r="I706" s="34" t="s">
        <v>1379</v>
      </c>
    </row>
    <row r="707" ht="15.75" customHeight="1">
      <c r="F707" s="51"/>
      <c r="G707" s="31"/>
      <c r="H707" s="48" t="s">
        <v>1380</v>
      </c>
      <c r="I707" s="52" t="s">
        <v>1381</v>
      </c>
    </row>
    <row r="708" ht="15.75" customHeight="1">
      <c r="F708" s="51"/>
      <c r="G708" s="31"/>
      <c r="I708" s="48" t="s">
        <v>1382</v>
      </c>
      <c r="J708" s="50" t="s">
        <v>1383</v>
      </c>
    </row>
    <row r="709" ht="15.75" customHeight="1">
      <c r="G709" s="31"/>
      <c r="J709" s="37" t="s">
        <v>1384</v>
      </c>
      <c r="K709" s="34" t="s">
        <v>1385</v>
      </c>
    </row>
    <row r="710" ht="15.75" customHeight="1">
      <c r="G710" s="31"/>
      <c r="K710" s="37" t="s">
        <v>1386</v>
      </c>
      <c r="L710" s="34" t="s">
        <v>1387</v>
      </c>
    </row>
    <row r="711" ht="15.75" customHeight="1">
      <c r="G711" s="31"/>
      <c r="L711" s="37" t="s">
        <v>1388</v>
      </c>
      <c r="M711" s="34" t="s">
        <v>1389</v>
      </c>
    </row>
    <row r="712" ht="15.75" customHeight="1">
      <c r="G712" s="31"/>
      <c r="L712" s="34"/>
      <c r="M712" s="37" t="s">
        <v>1390</v>
      </c>
      <c r="N712" s="34" t="s">
        <v>1391</v>
      </c>
    </row>
    <row r="713" ht="15.75" customHeight="1">
      <c r="G713" s="31"/>
      <c r="L713" s="34"/>
      <c r="M713" s="37" t="s">
        <v>1392</v>
      </c>
      <c r="N713" s="34" t="s">
        <v>1393</v>
      </c>
    </row>
    <row r="714" ht="15.75" customHeight="1">
      <c r="G714" s="31"/>
      <c r="L714" s="37" t="s">
        <v>1394</v>
      </c>
      <c r="M714" s="34" t="s">
        <v>1395</v>
      </c>
      <c r="N714" s="34"/>
    </row>
    <row r="715" ht="15.75" customHeight="1">
      <c r="G715" s="31"/>
      <c r="M715" s="37" t="s">
        <v>1396</v>
      </c>
      <c r="N715" s="34" t="s">
        <v>1397</v>
      </c>
    </row>
    <row r="716" ht="15.75" customHeight="1">
      <c r="G716" s="31"/>
      <c r="N716" s="37" t="s">
        <v>1398</v>
      </c>
      <c r="O716" s="34" t="s">
        <v>1399</v>
      </c>
    </row>
    <row r="717" ht="15.75" customHeight="1">
      <c r="G717" s="31"/>
      <c r="N717" s="37" t="s">
        <v>1400</v>
      </c>
      <c r="O717" s="34" t="s">
        <v>1401</v>
      </c>
    </row>
    <row r="718" ht="15.75" customHeight="1">
      <c r="G718" s="31"/>
      <c r="O718" s="37" t="s">
        <v>1402</v>
      </c>
      <c r="P718" s="34" t="s">
        <v>1403</v>
      </c>
    </row>
    <row r="719" ht="15.75" customHeight="1">
      <c r="G719" s="31"/>
      <c r="O719" s="37" t="s">
        <v>1404</v>
      </c>
      <c r="P719" s="34" t="s">
        <v>1405</v>
      </c>
    </row>
    <row r="720" ht="15.75" customHeight="1">
      <c r="G720" s="31"/>
      <c r="P720" s="37" t="s">
        <v>1406</v>
      </c>
      <c r="Q720" s="34" t="s">
        <v>1407</v>
      </c>
    </row>
    <row r="721" ht="15.75" customHeight="1">
      <c r="G721" s="31"/>
      <c r="Q721" s="37" t="s">
        <v>1408</v>
      </c>
      <c r="R721" s="34" t="s">
        <v>1409</v>
      </c>
    </row>
    <row r="722" ht="15.75" customHeight="1">
      <c r="G722" s="31"/>
      <c r="J722" s="48" t="s">
        <v>1410</v>
      </c>
      <c r="K722" s="53" t="s">
        <v>1411</v>
      </c>
    </row>
    <row r="723" ht="15.75" customHeight="1">
      <c r="G723" s="31"/>
      <c r="K723" s="48" t="s">
        <v>1412</v>
      </c>
      <c r="L723" s="54" t="s">
        <v>1413</v>
      </c>
    </row>
    <row r="724" ht="15.75" customHeight="1">
      <c r="G724" s="31"/>
      <c r="K724" s="37" t="s">
        <v>1414</v>
      </c>
      <c r="L724" s="34" t="s">
        <v>1415</v>
      </c>
    </row>
    <row r="725" ht="15.75" customHeight="1">
      <c r="G725" s="31"/>
      <c r="L725" s="37" t="s">
        <v>1416</v>
      </c>
      <c r="M725" s="34" t="s">
        <v>1417</v>
      </c>
    </row>
    <row r="726" ht="15.75" customHeight="1">
      <c r="G726" s="31"/>
      <c r="M726" s="37" t="s">
        <v>1418</v>
      </c>
      <c r="N726" s="34" t="s">
        <v>1419</v>
      </c>
    </row>
    <row r="727" ht="15.75" customHeight="1">
      <c r="G727" s="31"/>
      <c r="N727" s="37" t="s">
        <v>1420</v>
      </c>
      <c r="O727" s="34" t="s">
        <v>1421</v>
      </c>
    </row>
    <row r="728" ht="15.75" customHeight="1">
      <c r="G728" s="31"/>
      <c r="N728" s="37" t="s">
        <v>1422</v>
      </c>
      <c r="O728" s="34" t="s">
        <v>1423</v>
      </c>
    </row>
    <row r="729" ht="15.75" customHeight="1">
      <c r="G729" s="31"/>
      <c r="O729" s="37" t="s">
        <v>1424</v>
      </c>
      <c r="P729" s="34" t="s">
        <v>1425</v>
      </c>
    </row>
    <row r="730" ht="15.75" customHeight="1">
      <c r="G730" s="31"/>
      <c r="L730" s="48" t="s">
        <v>1426</v>
      </c>
      <c r="M730" s="55" t="s">
        <v>1427</v>
      </c>
      <c r="P730" s="34"/>
    </row>
    <row r="731" ht="15.75" customHeight="1">
      <c r="G731" s="31"/>
      <c r="K731" s="48" t="s">
        <v>1428</v>
      </c>
      <c r="L731" s="42" t="s">
        <v>1429</v>
      </c>
    </row>
    <row r="732" ht="15.75" customHeight="1">
      <c r="G732" s="31"/>
      <c r="L732" s="37" t="s">
        <v>1430</v>
      </c>
      <c r="M732" s="34" t="s">
        <v>1431</v>
      </c>
    </row>
    <row r="733" ht="15.75" customHeight="1">
      <c r="G733" s="31"/>
      <c r="L733" s="37" t="s">
        <v>1432</v>
      </c>
      <c r="M733" s="34" t="s">
        <v>1433</v>
      </c>
    </row>
    <row r="734" ht="15.75" customHeight="1">
      <c r="G734" s="31"/>
      <c r="M734" s="37" t="s">
        <v>1434</v>
      </c>
      <c r="N734" s="34" t="s">
        <v>1435</v>
      </c>
    </row>
    <row r="735" ht="15.75" customHeight="1">
      <c r="G735" s="31"/>
      <c r="N735" s="37" t="s">
        <v>1436</v>
      </c>
      <c r="O735" s="34" t="s">
        <v>1437</v>
      </c>
    </row>
    <row r="736" ht="15.75" customHeight="1">
      <c r="G736" s="31"/>
      <c r="M736" s="37" t="s">
        <v>1438</v>
      </c>
      <c r="N736" s="34" t="s">
        <v>1439</v>
      </c>
    </row>
    <row r="737" ht="15.75" customHeight="1">
      <c r="G737" s="31"/>
      <c r="M737" s="37" t="s">
        <v>1440</v>
      </c>
      <c r="N737" s="34" t="s">
        <v>1441</v>
      </c>
    </row>
    <row r="738" ht="15.75" customHeight="1">
      <c r="G738" s="31"/>
      <c r="M738" s="37" t="s">
        <v>1442</v>
      </c>
      <c r="N738" s="34" t="s">
        <v>1443</v>
      </c>
    </row>
    <row r="739" ht="15.75" customHeight="1">
      <c r="G739" s="31"/>
      <c r="J739" s="42" t="s">
        <v>13</v>
      </c>
      <c r="N739" s="37" t="s">
        <v>1444</v>
      </c>
      <c r="O739" s="34" t="s">
        <v>1445</v>
      </c>
    </row>
    <row r="740" ht="15.75" customHeight="1">
      <c r="H740" s="34"/>
      <c r="O740" s="37" t="s">
        <v>1446</v>
      </c>
      <c r="P740" s="34" t="s">
        <v>1447</v>
      </c>
    </row>
    <row r="741" ht="15.75" customHeight="1">
      <c r="H741" s="34"/>
      <c r="I741" s="48" t="s">
        <v>1448</v>
      </c>
      <c r="J741" s="56" t="s">
        <v>1449</v>
      </c>
      <c r="K741" s="57"/>
    </row>
    <row r="742" ht="15.75" customHeight="1">
      <c r="H742" s="34"/>
      <c r="I742" s="31"/>
      <c r="J742" s="48" t="s">
        <v>1450</v>
      </c>
      <c r="K742" s="34" t="s">
        <v>1451</v>
      </c>
    </row>
    <row r="743" ht="15.75" customHeight="1">
      <c r="H743" s="34"/>
      <c r="I743" s="31"/>
      <c r="J743" s="31"/>
      <c r="K743" s="37" t="s">
        <v>1452</v>
      </c>
      <c r="L743" s="34" t="s">
        <v>1453</v>
      </c>
    </row>
    <row r="744" ht="15.75" customHeight="1">
      <c r="H744" s="34"/>
      <c r="I744" s="31"/>
      <c r="J744" s="31"/>
      <c r="L744" s="37" t="s">
        <v>1454</v>
      </c>
      <c r="M744" s="34" t="s">
        <v>1455</v>
      </c>
    </row>
    <row r="745" ht="15.75" customHeight="1">
      <c r="H745" s="34"/>
      <c r="I745" s="31"/>
      <c r="J745" s="31"/>
      <c r="L745" s="37" t="s">
        <v>1456</v>
      </c>
      <c r="M745" s="34" t="s">
        <v>1457</v>
      </c>
    </row>
    <row r="746" ht="15.75" customHeight="1">
      <c r="H746" s="34"/>
      <c r="I746" s="31"/>
      <c r="J746" s="31"/>
      <c r="M746" s="37" t="s">
        <v>1458</v>
      </c>
      <c r="N746" s="34" t="s">
        <v>1459</v>
      </c>
    </row>
    <row r="747" ht="15.75" customHeight="1">
      <c r="H747" s="34"/>
      <c r="I747" s="31"/>
      <c r="J747" s="31"/>
      <c r="M747" s="37" t="s">
        <v>1460</v>
      </c>
      <c r="N747" s="34" t="s">
        <v>1461</v>
      </c>
    </row>
    <row r="748" ht="15.75" customHeight="1">
      <c r="H748" s="34"/>
      <c r="I748" s="31"/>
      <c r="J748" s="31"/>
      <c r="N748" s="37" t="s">
        <v>1462</v>
      </c>
      <c r="O748" s="34" t="s">
        <v>1463</v>
      </c>
    </row>
    <row r="749" ht="15.75" customHeight="1">
      <c r="H749" s="34"/>
      <c r="I749" s="31"/>
      <c r="J749" s="31"/>
      <c r="N749" s="37" t="s">
        <v>1464</v>
      </c>
      <c r="O749" s="34" t="s">
        <v>1465</v>
      </c>
    </row>
    <row r="750" ht="15.75" customHeight="1">
      <c r="H750" s="34"/>
      <c r="K750" s="48" t="s">
        <v>1466</v>
      </c>
      <c r="L750" s="55" t="s">
        <v>1467</v>
      </c>
    </row>
    <row r="751" ht="15.75" customHeight="1">
      <c r="H751" s="34"/>
      <c r="L751" s="37" t="s">
        <v>1468</v>
      </c>
      <c r="M751" s="34" t="s">
        <v>1469</v>
      </c>
    </row>
    <row r="752" ht="15.75" customHeight="1">
      <c r="H752" s="34"/>
      <c r="L752" s="31"/>
      <c r="M752" s="37" t="s">
        <v>1470</v>
      </c>
      <c r="N752" s="34" t="s">
        <v>1471</v>
      </c>
    </row>
    <row r="753" ht="15.75" customHeight="1">
      <c r="H753" s="34"/>
      <c r="L753" s="37" t="s">
        <v>1472</v>
      </c>
      <c r="M753" s="34" t="s">
        <v>1473</v>
      </c>
      <c r="N753" s="34"/>
    </row>
    <row r="754" ht="15.75" customHeight="1">
      <c r="H754" s="34"/>
      <c r="L754" s="31"/>
      <c r="M754" s="37" t="s">
        <v>1474</v>
      </c>
      <c r="N754" s="34" t="s">
        <v>1475</v>
      </c>
    </row>
    <row r="755" ht="15.75" customHeight="1">
      <c r="H755" s="34"/>
      <c r="L755" s="31"/>
      <c r="M755" s="31"/>
      <c r="N755" s="37" t="s">
        <v>1476</v>
      </c>
      <c r="O755" s="34" t="s">
        <v>1477</v>
      </c>
    </row>
    <row r="756" ht="15.75" customHeight="1">
      <c r="H756" s="34"/>
      <c r="L756" s="37" t="s">
        <v>1478</v>
      </c>
      <c r="M756" s="34" t="s">
        <v>1479</v>
      </c>
      <c r="N756" s="34"/>
    </row>
    <row r="757" ht="15.75" customHeight="1">
      <c r="H757" s="34"/>
      <c r="L757" s="31"/>
      <c r="M757" s="37" t="s">
        <v>1480</v>
      </c>
      <c r="N757" s="34" t="s">
        <v>1481</v>
      </c>
    </row>
    <row r="758" ht="15.75" customHeight="1">
      <c r="H758" s="34"/>
      <c r="L758" s="31"/>
      <c r="M758" s="31"/>
      <c r="N758" s="37" t="s">
        <v>1482</v>
      </c>
      <c r="O758" s="34" t="s">
        <v>1483</v>
      </c>
    </row>
    <row r="759" ht="15.75" customHeight="1">
      <c r="H759" s="34"/>
      <c r="L759" s="31"/>
      <c r="M759" s="31"/>
      <c r="N759" s="37" t="s">
        <v>1484</v>
      </c>
      <c r="O759" s="34" t="s">
        <v>1485</v>
      </c>
    </row>
    <row r="760" ht="15.75" customHeight="1">
      <c r="H760" s="34"/>
      <c r="L760" s="31"/>
      <c r="M760" s="31"/>
      <c r="N760" s="31"/>
      <c r="O760" s="37" t="s">
        <v>1486</v>
      </c>
      <c r="P760" s="34" t="s">
        <v>1487</v>
      </c>
    </row>
    <row r="761" ht="15.75" customHeight="1">
      <c r="H761" s="34"/>
      <c r="L761" s="31"/>
      <c r="M761" s="31"/>
      <c r="N761" s="31"/>
      <c r="P761" s="37" t="s">
        <v>1488</v>
      </c>
      <c r="Q761" s="34" t="s">
        <v>1489</v>
      </c>
    </row>
    <row r="762" ht="15.75" customHeight="1">
      <c r="H762" s="34"/>
      <c r="L762" s="31"/>
      <c r="M762" s="31"/>
      <c r="N762" s="31"/>
      <c r="Q762" s="37" t="s">
        <v>1490</v>
      </c>
      <c r="R762" s="34" t="s">
        <v>1491</v>
      </c>
    </row>
    <row r="763" ht="15.75" customHeight="1">
      <c r="H763" s="34"/>
      <c r="L763" s="31"/>
      <c r="M763" s="31"/>
      <c r="N763" s="31"/>
      <c r="R763" s="37" t="s">
        <v>1492</v>
      </c>
      <c r="S763" s="34" t="s">
        <v>1493</v>
      </c>
    </row>
    <row r="764" ht="15.75" customHeight="1">
      <c r="H764" s="34"/>
      <c r="L764" s="31"/>
      <c r="M764" s="31"/>
      <c r="N764" s="31"/>
      <c r="R764" s="37" t="s">
        <v>1494</v>
      </c>
      <c r="S764" s="34" t="s">
        <v>1495</v>
      </c>
    </row>
    <row r="765" ht="15.75" customHeight="1">
      <c r="H765" s="34"/>
      <c r="L765" s="31"/>
      <c r="M765" s="31"/>
      <c r="N765" s="31"/>
      <c r="S765" s="37" t="s">
        <v>1496</v>
      </c>
      <c r="T765" s="34" t="s">
        <v>1497</v>
      </c>
    </row>
    <row r="766" ht="15.75" customHeight="1">
      <c r="H766" s="34"/>
      <c r="L766" s="31"/>
      <c r="M766" s="31"/>
      <c r="N766" s="31"/>
      <c r="Q766" s="37" t="s">
        <v>1498</v>
      </c>
      <c r="R766" s="34" t="s">
        <v>1499</v>
      </c>
      <c r="S766" s="34"/>
    </row>
    <row r="767" ht="15.75" customHeight="1">
      <c r="H767" s="34"/>
      <c r="L767" s="37" t="s">
        <v>1500</v>
      </c>
      <c r="M767" s="34" t="s">
        <v>1501</v>
      </c>
      <c r="N767" s="31"/>
      <c r="S767" s="34"/>
    </row>
    <row r="768" ht="15.75" customHeight="1">
      <c r="H768" s="34"/>
      <c r="L768" s="31"/>
      <c r="M768" s="37" t="s">
        <v>1502</v>
      </c>
      <c r="N768" s="34" t="s">
        <v>1503</v>
      </c>
      <c r="S768" s="34"/>
    </row>
    <row r="769" ht="15.75" customHeight="1">
      <c r="H769" s="34"/>
      <c r="L769" s="31"/>
      <c r="M769" s="31"/>
      <c r="N769" s="37" t="s">
        <v>1504</v>
      </c>
      <c r="O769" s="34" t="s">
        <v>1505</v>
      </c>
      <c r="S769" s="34"/>
    </row>
    <row r="770" ht="15.75" customHeight="1">
      <c r="H770" s="34"/>
      <c r="L770" s="31"/>
      <c r="M770" s="31"/>
      <c r="N770" s="31"/>
      <c r="O770" s="37" t="s">
        <v>1506</v>
      </c>
      <c r="P770" s="34" t="s">
        <v>1507</v>
      </c>
      <c r="S770" s="34"/>
    </row>
    <row r="771" ht="15.75" customHeight="1">
      <c r="H771" s="34"/>
      <c r="L771" s="31"/>
      <c r="M771" s="31"/>
      <c r="N771" s="31"/>
      <c r="P771" s="37" t="s">
        <v>1508</v>
      </c>
      <c r="Q771" s="34" t="s">
        <v>1509</v>
      </c>
      <c r="S771" s="34"/>
    </row>
    <row r="772" ht="15.75" customHeight="1">
      <c r="H772" s="34"/>
      <c r="L772" s="31"/>
      <c r="M772" s="31"/>
      <c r="N772" s="31"/>
      <c r="P772" s="37" t="s">
        <v>1510</v>
      </c>
      <c r="Q772" s="34" t="s">
        <v>1511</v>
      </c>
      <c r="S772" s="34"/>
    </row>
    <row r="773" ht="15.75" customHeight="1">
      <c r="H773" s="34"/>
      <c r="J773" s="48" t="s">
        <v>1512</v>
      </c>
      <c r="K773" s="55" t="s">
        <v>1513</v>
      </c>
      <c r="M773" s="52"/>
      <c r="N773" s="58"/>
    </row>
    <row r="774" ht="15.75" customHeight="1">
      <c r="H774" s="34"/>
      <c r="K774" s="48" t="s">
        <v>1514</v>
      </c>
      <c r="L774" s="50" t="s">
        <v>1515</v>
      </c>
    </row>
    <row r="775" ht="15.75" customHeight="1">
      <c r="H775" s="34"/>
      <c r="K775" s="42" t="s">
        <v>13</v>
      </c>
      <c r="L775" s="48" t="s">
        <v>1516</v>
      </c>
      <c r="M775" s="59" t="s">
        <v>1517</v>
      </c>
    </row>
    <row r="776" ht="15.75" customHeight="1">
      <c r="H776" s="34"/>
      <c r="M776" s="48" t="s">
        <v>1518</v>
      </c>
      <c r="N776" s="42" t="s">
        <v>1519</v>
      </c>
    </row>
    <row r="777" ht="15.75" customHeight="1">
      <c r="H777" s="34"/>
      <c r="N777" s="37" t="s">
        <v>1520</v>
      </c>
      <c r="O777" s="34" t="s">
        <v>1521</v>
      </c>
    </row>
    <row r="778" ht="15.75" customHeight="1">
      <c r="H778" s="34"/>
      <c r="O778" s="48" t="s">
        <v>1522</v>
      </c>
      <c r="P778" s="59" t="s">
        <v>1523</v>
      </c>
      <c r="R778" s="34"/>
      <c r="U778" s="34"/>
    </row>
    <row r="779" ht="15.75" customHeight="1">
      <c r="H779" s="34"/>
      <c r="O779" s="37" t="s">
        <v>1524</v>
      </c>
      <c r="P779" s="34" t="s">
        <v>1525</v>
      </c>
      <c r="R779" s="34"/>
      <c r="U779" s="34"/>
    </row>
    <row r="780" ht="15.75" customHeight="1">
      <c r="H780" s="34"/>
      <c r="P780" s="37" t="s">
        <v>1526</v>
      </c>
      <c r="Q780" s="34" t="s">
        <v>1527</v>
      </c>
      <c r="R780" s="34"/>
      <c r="U780" s="34"/>
    </row>
    <row r="781" ht="15.75" customHeight="1">
      <c r="H781" s="34"/>
      <c r="P781" s="37" t="s">
        <v>1528</v>
      </c>
      <c r="Q781" s="34" t="s">
        <v>1529</v>
      </c>
      <c r="R781" s="34"/>
      <c r="U781" s="34"/>
    </row>
    <row r="782" ht="15.75" customHeight="1">
      <c r="H782" s="34"/>
      <c r="P782" s="34"/>
      <c r="Q782" s="37" t="s">
        <v>1530</v>
      </c>
      <c r="R782" s="34" t="s">
        <v>1531</v>
      </c>
      <c r="U782" s="34"/>
    </row>
    <row r="783" ht="15.75" customHeight="1">
      <c r="H783" s="34"/>
      <c r="P783" s="34"/>
      <c r="R783" s="37" t="s">
        <v>1532</v>
      </c>
      <c r="S783" s="34" t="s">
        <v>1533</v>
      </c>
      <c r="U783" s="34"/>
    </row>
    <row r="784" ht="15.75" customHeight="1">
      <c r="H784" s="34"/>
      <c r="P784" s="34"/>
      <c r="R784" s="34"/>
      <c r="S784" s="37" t="s">
        <v>1534</v>
      </c>
      <c r="T784" s="34" t="s">
        <v>1535</v>
      </c>
    </row>
    <row r="785" ht="15.75" customHeight="1">
      <c r="H785" s="34"/>
      <c r="P785" s="48" t="s">
        <v>1536</v>
      </c>
      <c r="Q785" s="59" t="s">
        <v>1537</v>
      </c>
      <c r="R785" s="34"/>
      <c r="S785" s="34"/>
      <c r="T785" s="34"/>
    </row>
    <row r="786" ht="15.75" customHeight="1">
      <c r="H786" s="34"/>
      <c r="P786" s="34"/>
      <c r="Q786" s="37" t="s">
        <v>1538</v>
      </c>
      <c r="R786" s="34" t="s">
        <v>1539</v>
      </c>
      <c r="S786" s="34"/>
      <c r="T786" s="34"/>
    </row>
    <row r="787" ht="15.75" customHeight="1">
      <c r="H787" s="34"/>
      <c r="P787" s="34"/>
      <c r="Q787" s="34"/>
      <c r="R787" s="37" t="s">
        <v>1540</v>
      </c>
      <c r="S787" s="34" t="s">
        <v>1541</v>
      </c>
      <c r="T787" s="34"/>
    </row>
    <row r="788" ht="15.75" customHeight="1">
      <c r="H788" s="34"/>
      <c r="P788" s="34"/>
      <c r="Q788" s="34"/>
      <c r="R788" s="34"/>
      <c r="S788" s="37" t="s">
        <v>1542</v>
      </c>
      <c r="T788" s="34" t="s">
        <v>1543</v>
      </c>
    </row>
    <row r="789" ht="15.75" customHeight="1">
      <c r="H789" s="34"/>
      <c r="P789" s="34"/>
      <c r="Q789" s="34"/>
      <c r="R789" s="37" t="s">
        <v>1544</v>
      </c>
      <c r="S789" s="34" t="s">
        <v>1545</v>
      </c>
      <c r="T789" s="34"/>
    </row>
    <row r="790" ht="15.75" customHeight="1">
      <c r="H790" s="34"/>
      <c r="P790" s="34"/>
      <c r="Q790" s="34"/>
      <c r="R790" s="34"/>
      <c r="S790" s="37" t="s">
        <v>1546</v>
      </c>
      <c r="T790" s="34" t="s">
        <v>1547</v>
      </c>
    </row>
    <row r="791" ht="15.75" customHeight="1">
      <c r="H791" s="34"/>
      <c r="P791" s="34"/>
      <c r="Q791" s="34"/>
      <c r="R791" s="34"/>
      <c r="S791" s="37" t="s">
        <v>1548</v>
      </c>
      <c r="T791" s="34" t="s">
        <v>1549</v>
      </c>
    </row>
    <row r="792" ht="15.75" customHeight="1">
      <c r="H792" s="34"/>
      <c r="P792" s="34"/>
      <c r="Q792" s="34"/>
      <c r="R792" s="34"/>
      <c r="S792" s="34"/>
      <c r="T792" s="37" t="s">
        <v>1550</v>
      </c>
      <c r="U792" s="34" t="s">
        <v>1551</v>
      </c>
    </row>
    <row r="793" ht="15.75" customHeight="1">
      <c r="H793" s="34"/>
      <c r="P793" s="34"/>
      <c r="Q793" s="48" t="s">
        <v>1552</v>
      </c>
      <c r="R793" s="59" t="s">
        <v>1553</v>
      </c>
      <c r="S793" s="34"/>
      <c r="T793" s="34"/>
    </row>
    <row r="794" ht="15.75" customHeight="1">
      <c r="H794" s="34"/>
      <c r="P794" s="34"/>
      <c r="Q794" s="37" t="s">
        <v>1554</v>
      </c>
      <c r="R794" s="34" t="s">
        <v>1555</v>
      </c>
      <c r="S794" s="34"/>
      <c r="T794" s="34"/>
    </row>
    <row r="795" ht="15.75" customHeight="1">
      <c r="H795" s="34"/>
      <c r="P795" s="34"/>
      <c r="Q795" s="34"/>
      <c r="R795" s="37" t="s">
        <v>1556</v>
      </c>
      <c r="S795" s="34" t="s">
        <v>1557</v>
      </c>
      <c r="T795" s="34"/>
    </row>
    <row r="796" ht="15.75" customHeight="1">
      <c r="H796" s="34"/>
      <c r="P796" s="34"/>
      <c r="Q796" s="34"/>
      <c r="R796" s="34"/>
      <c r="S796" s="37" t="s">
        <v>1558</v>
      </c>
      <c r="T796" s="34" t="s">
        <v>1559</v>
      </c>
    </row>
    <row r="797" ht="15.75" customHeight="1">
      <c r="H797" s="34"/>
      <c r="P797" s="34"/>
      <c r="Q797" s="34"/>
      <c r="R797" s="34"/>
      <c r="S797" s="37" t="s">
        <v>1560</v>
      </c>
      <c r="T797" s="34" t="s">
        <v>1561</v>
      </c>
    </row>
    <row r="798" ht="15.75" customHeight="1">
      <c r="H798" s="34"/>
      <c r="P798" s="34"/>
      <c r="Q798" s="34"/>
      <c r="R798" s="34"/>
      <c r="S798" s="34"/>
      <c r="T798" s="37" t="s">
        <v>1562</v>
      </c>
      <c r="U798" s="34" t="s">
        <v>1563</v>
      </c>
    </row>
    <row r="799" ht="15.75" customHeight="1">
      <c r="H799" s="34"/>
      <c r="P799" s="34"/>
      <c r="Q799" s="34"/>
      <c r="R799" s="34"/>
      <c r="S799" s="34"/>
      <c r="T799" s="37" t="s">
        <v>1564</v>
      </c>
      <c r="U799" s="34" t="s">
        <v>1565</v>
      </c>
    </row>
    <row r="800" ht="15.75" customHeight="1">
      <c r="H800" s="34"/>
      <c r="P800" s="34"/>
      <c r="Q800" s="34"/>
      <c r="R800" s="37" t="s">
        <v>1566</v>
      </c>
      <c r="S800" s="34" t="s">
        <v>1567</v>
      </c>
      <c r="T800" s="34"/>
    </row>
    <row r="801" ht="15.75" customHeight="1">
      <c r="H801" s="34"/>
      <c r="P801" s="34"/>
      <c r="Q801" s="34"/>
      <c r="R801" s="34"/>
      <c r="S801" s="37" t="s">
        <v>1568</v>
      </c>
      <c r="T801" s="34" t="s">
        <v>1569</v>
      </c>
    </row>
    <row r="802" ht="15.75" customHeight="1">
      <c r="H802" s="34"/>
      <c r="P802" s="34"/>
      <c r="Q802" s="34"/>
      <c r="R802" s="34"/>
      <c r="S802" s="37" t="s">
        <v>1570</v>
      </c>
      <c r="T802" s="34" t="s">
        <v>1571</v>
      </c>
    </row>
    <row r="803" ht="15.75" customHeight="1">
      <c r="H803" s="34"/>
      <c r="P803" s="34"/>
      <c r="Q803" s="34"/>
      <c r="R803" s="34"/>
      <c r="S803" s="34"/>
      <c r="T803" s="37" t="s">
        <v>1572</v>
      </c>
      <c r="U803" s="34" t="s">
        <v>1573</v>
      </c>
    </row>
    <row r="804" ht="15.75" customHeight="1">
      <c r="H804" s="34"/>
      <c r="P804" s="34"/>
      <c r="Q804" s="34"/>
      <c r="R804" s="34"/>
      <c r="S804" s="37" t="s">
        <v>1574</v>
      </c>
      <c r="T804" s="34" t="s">
        <v>1575</v>
      </c>
    </row>
    <row r="805" ht="15.75" customHeight="1">
      <c r="H805" s="34"/>
      <c r="P805" s="34"/>
      <c r="Q805" s="34"/>
      <c r="R805" s="34"/>
      <c r="S805" s="34"/>
      <c r="T805" s="37" t="s">
        <v>1576</v>
      </c>
      <c r="U805" s="34" t="s">
        <v>1577</v>
      </c>
    </row>
    <row r="806" ht="15.75" customHeight="1">
      <c r="H806" s="34"/>
      <c r="P806" s="34"/>
      <c r="Q806" s="34"/>
      <c r="R806" s="34"/>
      <c r="S806" s="34"/>
      <c r="T806" s="37" t="s">
        <v>1578</v>
      </c>
      <c r="U806" s="34" t="s">
        <v>1579</v>
      </c>
    </row>
    <row r="807" ht="15.75" customHeight="1">
      <c r="H807" s="34"/>
      <c r="P807" s="34"/>
      <c r="Q807" s="34"/>
      <c r="R807" s="34"/>
      <c r="S807" s="34"/>
      <c r="T807" s="37" t="s">
        <v>1580</v>
      </c>
      <c r="U807" s="34" t="s">
        <v>1581</v>
      </c>
    </row>
    <row r="808" ht="15.75" customHeight="1">
      <c r="H808" s="34"/>
      <c r="P808" s="34"/>
      <c r="Q808" s="34"/>
      <c r="R808" s="34"/>
      <c r="S808" s="34"/>
      <c r="T808" s="37" t="s">
        <v>1582</v>
      </c>
      <c r="U808" s="34" t="s">
        <v>1583</v>
      </c>
    </row>
    <row r="809" ht="15.75" customHeight="1">
      <c r="H809" s="34"/>
      <c r="O809" s="37" t="s">
        <v>1584</v>
      </c>
      <c r="P809" s="34" t="s">
        <v>1585</v>
      </c>
    </row>
    <row r="810" ht="15.75" customHeight="1">
      <c r="H810" s="34"/>
      <c r="O810" s="37" t="s">
        <v>1586</v>
      </c>
      <c r="P810" s="34" t="s">
        <v>1587</v>
      </c>
    </row>
    <row r="811" ht="15.75" customHeight="1">
      <c r="H811" s="34"/>
      <c r="P811" s="37" t="s">
        <v>1588</v>
      </c>
      <c r="Q811" s="34" t="s">
        <v>1589</v>
      </c>
    </row>
    <row r="812" ht="15.75" customHeight="1">
      <c r="H812" s="34"/>
      <c r="P812" s="34"/>
      <c r="Q812" s="37" t="s">
        <v>1590</v>
      </c>
      <c r="R812" s="34" t="s">
        <v>1591</v>
      </c>
    </row>
    <row r="813" ht="15.75" customHeight="1">
      <c r="H813" s="34"/>
      <c r="P813" s="34"/>
      <c r="R813" s="37" t="s">
        <v>1592</v>
      </c>
      <c r="S813" s="34" t="s">
        <v>1593</v>
      </c>
    </row>
    <row r="814" ht="15.75" customHeight="1">
      <c r="H814" s="34"/>
      <c r="P814" s="34"/>
      <c r="R814" s="34"/>
      <c r="S814" s="37" t="s">
        <v>1594</v>
      </c>
      <c r="T814" s="34" t="s">
        <v>1595</v>
      </c>
    </row>
    <row r="815" ht="15.75" customHeight="1">
      <c r="H815" s="34"/>
      <c r="P815" s="34"/>
      <c r="R815" s="37" t="s">
        <v>1596</v>
      </c>
      <c r="S815" s="34" t="s">
        <v>1597</v>
      </c>
    </row>
    <row r="816" ht="15.75" customHeight="1">
      <c r="H816" s="34"/>
      <c r="P816" s="37" t="s">
        <v>1598</v>
      </c>
      <c r="Q816" s="34" t="s">
        <v>1599</v>
      </c>
      <c r="R816" s="34"/>
    </row>
    <row r="817" ht="15.75" customHeight="1">
      <c r="H817" s="34"/>
      <c r="P817" s="34"/>
      <c r="Q817" s="37" t="s">
        <v>1600</v>
      </c>
      <c r="R817" s="34" t="s">
        <v>1601</v>
      </c>
    </row>
    <row r="818" ht="15.75" customHeight="1">
      <c r="H818" s="34"/>
      <c r="P818" s="34"/>
      <c r="Q818" s="37" t="s">
        <v>1602</v>
      </c>
      <c r="R818" s="34" t="s">
        <v>1603</v>
      </c>
    </row>
    <row r="819" ht="15.75" customHeight="1">
      <c r="H819" s="34"/>
      <c r="P819" s="34"/>
      <c r="R819" s="37" t="s">
        <v>1604</v>
      </c>
      <c r="S819" s="34" t="s">
        <v>1605</v>
      </c>
    </row>
    <row r="820" ht="15.75" customHeight="1">
      <c r="H820" s="34"/>
      <c r="P820" s="34"/>
      <c r="R820" s="34"/>
      <c r="S820" s="37" t="s">
        <v>1606</v>
      </c>
      <c r="T820" s="34" t="s">
        <v>1607</v>
      </c>
    </row>
    <row r="821" ht="15.75" customHeight="1">
      <c r="H821" s="34"/>
      <c r="P821" s="34"/>
      <c r="R821" s="34"/>
      <c r="S821" s="37" t="s">
        <v>1608</v>
      </c>
      <c r="T821" s="34" t="s">
        <v>1609</v>
      </c>
    </row>
    <row r="822" ht="15.75" customHeight="1">
      <c r="H822" s="34"/>
      <c r="P822" s="34"/>
      <c r="R822" s="34"/>
      <c r="T822" s="37" t="s">
        <v>1610</v>
      </c>
      <c r="U822" s="34" t="s">
        <v>1611</v>
      </c>
    </row>
    <row r="823" ht="15.75" customHeight="1">
      <c r="H823" s="34"/>
      <c r="P823" s="34"/>
      <c r="R823" s="34"/>
      <c r="T823" s="37" t="s">
        <v>1612</v>
      </c>
      <c r="U823" s="34" t="s">
        <v>1613</v>
      </c>
    </row>
    <row r="824" ht="15.75" customHeight="1">
      <c r="H824" s="34"/>
      <c r="P824" s="34"/>
      <c r="R824" s="34"/>
      <c r="U824" s="37" t="s">
        <v>1614</v>
      </c>
      <c r="V824" s="34" t="s">
        <v>1615</v>
      </c>
    </row>
    <row r="825" ht="15.75" customHeight="1">
      <c r="H825" s="34"/>
      <c r="P825" s="34"/>
      <c r="R825" s="34"/>
      <c r="U825" s="34"/>
      <c r="V825" s="37" t="s">
        <v>1616</v>
      </c>
      <c r="W825" s="34" t="s">
        <v>1617</v>
      </c>
    </row>
    <row r="826" ht="15.75" customHeight="1">
      <c r="H826" s="34"/>
      <c r="P826" s="34"/>
      <c r="R826" s="34"/>
      <c r="U826" s="34"/>
      <c r="W826" s="37" t="s">
        <v>1618</v>
      </c>
      <c r="X826" s="34" t="s">
        <v>1619</v>
      </c>
    </row>
    <row r="827" ht="15.75" customHeight="1">
      <c r="H827" s="34"/>
      <c r="M827" s="37" t="s">
        <v>1620</v>
      </c>
      <c r="N827" s="34" t="s">
        <v>1621</v>
      </c>
    </row>
    <row r="828" ht="15.75" customHeight="1">
      <c r="H828" s="34"/>
      <c r="N828" s="37" t="s">
        <v>1622</v>
      </c>
      <c r="O828" s="34" t="s">
        <v>1623</v>
      </c>
    </row>
    <row r="829" ht="15.75" customHeight="1">
      <c r="H829" s="34"/>
      <c r="O829" s="37" t="s">
        <v>1624</v>
      </c>
      <c r="P829" s="34" t="s">
        <v>1625</v>
      </c>
    </row>
    <row r="830" ht="15.75" customHeight="1">
      <c r="H830" s="34"/>
      <c r="O830" s="37" t="s">
        <v>1626</v>
      </c>
      <c r="P830" s="34" t="s">
        <v>1627</v>
      </c>
    </row>
    <row r="831" ht="15.75" customHeight="1">
      <c r="H831" s="34"/>
      <c r="P831" s="37" t="s">
        <v>1628</v>
      </c>
      <c r="Q831" s="34" t="s">
        <v>1629</v>
      </c>
    </row>
    <row r="832" ht="15.75" customHeight="1">
      <c r="H832" s="34"/>
      <c r="Q832" s="37" t="s">
        <v>1630</v>
      </c>
      <c r="R832" s="34" t="s">
        <v>1631</v>
      </c>
    </row>
    <row r="833" ht="15.75" customHeight="1">
      <c r="H833" s="34"/>
      <c r="L833" s="48" t="s">
        <v>1632</v>
      </c>
      <c r="M833" s="53" t="s">
        <v>1633</v>
      </c>
    </row>
    <row r="834" ht="15.75" customHeight="1">
      <c r="H834" s="34"/>
      <c r="L834" s="34"/>
      <c r="M834" s="37" t="s">
        <v>1634</v>
      </c>
      <c r="N834" s="34" t="s">
        <v>1635</v>
      </c>
    </row>
    <row r="835" ht="15.75" customHeight="1">
      <c r="H835" s="34"/>
      <c r="L835" s="34"/>
      <c r="N835" s="37" t="s">
        <v>1636</v>
      </c>
      <c r="O835" s="34" t="s">
        <v>1637</v>
      </c>
    </row>
    <row r="836" ht="15.75" customHeight="1">
      <c r="H836" s="34"/>
      <c r="L836" s="34"/>
      <c r="O836" s="37" t="s">
        <v>1638</v>
      </c>
      <c r="P836" s="34" t="s">
        <v>1639</v>
      </c>
    </row>
    <row r="837" ht="15.75" customHeight="1">
      <c r="H837" s="34"/>
      <c r="L837" s="34"/>
      <c r="M837" s="48" t="s">
        <v>1640</v>
      </c>
      <c r="N837" s="50" t="s">
        <v>1641</v>
      </c>
    </row>
    <row r="838" ht="15.75" customHeight="1">
      <c r="H838" s="34"/>
      <c r="L838" s="34"/>
      <c r="M838" s="37" t="s">
        <v>1642</v>
      </c>
      <c r="N838" s="34" t="s">
        <v>1643</v>
      </c>
      <c r="O838" s="34"/>
      <c r="P838" s="34"/>
    </row>
    <row r="839" ht="15.75" customHeight="1">
      <c r="H839" s="34"/>
      <c r="L839" s="34"/>
      <c r="M839" s="34"/>
      <c r="N839" s="48" t="s">
        <v>1644</v>
      </c>
      <c r="O839" s="53" t="s">
        <v>1645</v>
      </c>
      <c r="P839" s="34"/>
    </row>
    <row r="840" ht="15.75" customHeight="1">
      <c r="H840" s="34"/>
      <c r="L840" s="34"/>
      <c r="M840" s="34"/>
      <c r="N840" s="34"/>
      <c r="O840" s="37" t="s">
        <v>1646</v>
      </c>
      <c r="P840" s="34" t="s">
        <v>1647</v>
      </c>
    </row>
    <row r="841" ht="15.75" customHeight="1">
      <c r="H841" s="34"/>
      <c r="L841" s="34"/>
      <c r="M841" s="34"/>
      <c r="N841" s="34"/>
      <c r="O841" s="37" t="s">
        <v>1648</v>
      </c>
      <c r="P841" s="34" t="s">
        <v>1649</v>
      </c>
    </row>
    <row r="842" ht="15.75" customHeight="1">
      <c r="H842" s="34"/>
      <c r="L842" s="34"/>
      <c r="M842" s="34"/>
      <c r="N842" s="34"/>
      <c r="O842" s="34"/>
      <c r="P842" s="37" t="s">
        <v>1650</v>
      </c>
      <c r="Q842" s="34" t="s">
        <v>1651</v>
      </c>
    </row>
    <row r="843" ht="15.75" customHeight="1">
      <c r="H843" s="34"/>
      <c r="L843" s="34"/>
      <c r="M843" s="34"/>
      <c r="N843" s="34"/>
      <c r="O843" s="34"/>
      <c r="P843" s="34"/>
      <c r="Q843" s="37" t="s">
        <v>1652</v>
      </c>
      <c r="R843" s="34" t="s">
        <v>1653</v>
      </c>
    </row>
    <row r="844" ht="15.75" customHeight="1">
      <c r="H844" s="34"/>
      <c r="L844" s="34"/>
      <c r="M844" s="34"/>
      <c r="N844" s="34"/>
      <c r="O844" s="34"/>
      <c r="P844" s="48" t="s">
        <v>1654</v>
      </c>
      <c r="Q844" s="60" t="s">
        <v>1655</v>
      </c>
      <c r="R844" s="34"/>
    </row>
    <row r="845" ht="15.75" customHeight="1">
      <c r="H845" s="34"/>
      <c r="L845" s="34"/>
      <c r="M845" s="34"/>
      <c r="N845" s="37" t="s">
        <v>1656</v>
      </c>
      <c r="O845" s="34" t="s">
        <v>1657</v>
      </c>
      <c r="P845" s="34"/>
      <c r="Q845" s="34"/>
      <c r="R845" s="34"/>
    </row>
    <row r="846" ht="15.75" customHeight="1">
      <c r="H846" s="34"/>
      <c r="L846" s="34"/>
      <c r="M846" s="34"/>
      <c r="N846" s="34"/>
      <c r="O846" s="37" t="s">
        <v>1658</v>
      </c>
      <c r="P846" s="34" t="s">
        <v>1659</v>
      </c>
    </row>
    <row r="847" ht="15.75" customHeight="1">
      <c r="H847" s="34"/>
      <c r="L847" s="34"/>
      <c r="M847" s="34"/>
      <c r="N847" s="34"/>
      <c r="O847" s="34"/>
      <c r="P847" s="37" t="s">
        <v>1660</v>
      </c>
      <c r="Q847" s="34" t="s">
        <v>1661</v>
      </c>
    </row>
    <row r="848" ht="15.75" customHeight="1">
      <c r="H848" s="34"/>
      <c r="L848" s="34"/>
      <c r="M848" s="34"/>
      <c r="N848" s="34"/>
      <c r="O848" s="34"/>
      <c r="P848" s="37" t="s">
        <v>1662</v>
      </c>
      <c r="Q848" s="34" t="s">
        <v>1663</v>
      </c>
    </row>
    <row r="849" ht="15.75" customHeight="1">
      <c r="H849" s="34"/>
      <c r="L849" s="34"/>
      <c r="M849" s="34"/>
      <c r="N849" s="34"/>
      <c r="O849" s="34"/>
      <c r="P849" s="34"/>
      <c r="Q849" s="37" t="s">
        <v>1664</v>
      </c>
      <c r="R849" s="34" t="s">
        <v>1665</v>
      </c>
    </row>
    <row r="850" ht="15.75" customHeight="1">
      <c r="H850" s="34"/>
      <c r="L850" s="34"/>
      <c r="M850" s="34"/>
      <c r="N850" s="34"/>
      <c r="O850" s="37" t="s">
        <v>1666</v>
      </c>
      <c r="P850" s="34" t="s">
        <v>1667</v>
      </c>
      <c r="R850" s="34"/>
    </row>
    <row r="851" ht="15.75" customHeight="1">
      <c r="H851" s="34"/>
      <c r="L851" s="34"/>
      <c r="M851" s="34"/>
      <c r="N851" s="34"/>
      <c r="O851" s="34"/>
      <c r="P851" s="37" t="s">
        <v>1668</v>
      </c>
      <c r="Q851" s="34" t="s">
        <v>1669</v>
      </c>
    </row>
    <row r="852" ht="15.75" customHeight="1">
      <c r="H852" s="34"/>
      <c r="L852" s="34"/>
      <c r="M852" s="34"/>
      <c r="N852" s="34"/>
      <c r="O852" s="34"/>
      <c r="P852" s="34"/>
      <c r="Q852" s="37" t="s">
        <v>1670</v>
      </c>
      <c r="R852" s="34" t="s">
        <v>1671</v>
      </c>
    </row>
    <row r="853" ht="15.75" customHeight="1">
      <c r="H853" s="34"/>
      <c r="L853" s="34"/>
      <c r="M853" s="34"/>
      <c r="N853" s="34"/>
      <c r="O853" s="34"/>
      <c r="P853" s="37" t="s">
        <v>1672</v>
      </c>
      <c r="Q853" s="34" t="s">
        <v>1673</v>
      </c>
      <c r="R853" s="34"/>
    </row>
    <row r="854" ht="15.75" customHeight="1">
      <c r="H854" s="34"/>
      <c r="L854" s="34"/>
      <c r="M854" s="34"/>
      <c r="N854" s="34"/>
      <c r="O854" s="34"/>
      <c r="P854" s="34"/>
      <c r="Q854" s="37" t="s">
        <v>1674</v>
      </c>
      <c r="R854" s="34" t="s">
        <v>1675</v>
      </c>
    </row>
    <row r="855" ht="15.75" customHeight="1">
      <c r="H855" s="34"/>
      <c r="L855" s="34"/>
      <c r="M855" s="34"/>
      <c r="N855" s="34"/>
      <c r="O855" s="34"/>
      <c r="P855" s="34"/>
      <c r="Q855" s="34"/>
      <c r="R855" s="37" t="s">
        <v>1676</v>
      </c>
      <c r="S855" s="34" t="s">
        <v>1677</v>
      </c>
    </row>
    <row r="856" ht="15.75" customHeight="1">
      <c r="H856" s="34"/>
      <c r="L856" s="34"/>
      <c r="M856" s="34"/>
      <c r="N856" s="48" t="s">
        <v>1678</v>
      </c>
      <c r="O856" s="61" t="s">
        <v>1679</v>
      </c>
      <c r="P856" s="62"/>
      <c r="Q856" s="63"/>
      <c r="R856" s="34"/>
      <c r="S856" s="34"/>
    </row>
    <row r="857" ht="15.75" customHeight="1">
      <c r="H857" s="34"/>
      <c r="O857" s="48" t="s">
        <v>1680</v>
      </c>
      <c r="P857" s="55" t="s">
        <v>1681</v>
      </c>
    </row>
    <row r="858" ht="15.75" customHeight="1">
      <c r="H858" s="34"/>
      <c r="P858" s="37" t="s">
        <v>1682</v>
      </c>
      <c r="Q858" s="34" t="s">
        <v>1683</v>
      </c>
    </row>
    <row r="859" ht="15.75" customHeight="1">
      <c r="H859" s="34"/>
      <c r="P859" s="37" t="s">
        <v>1684</v>
      </c>
      <c r="Q859" s="34" t="s">
        <v>1685</v>
      </c>
    </row>
    <row r="860" ht="15.75" customHeight="1">
      <c r="H860" s="34"/>
      <c r="P860" s="34"/>
      <c r="Q860" s="37" t="s">
        <v>1686</v>
      </c>
      <c r="R860" s="34" t="s">
        <v>1687</v>
      </c>
    </row>
    <row r="861" ht="15.75" customHeight="1">
      <c r="H861" s="34"/>
      <c r="P861" s="34"/>
      <c r="R861" s="37" t="s">
        <v>1688</v>
      </c>
      <c r="S861" s="34" t="s">
        <v>1689</v>
      </c>
    </row>
    <row r="862" ht="15.75" customHeight="1">
      <c r="H862" s="34"/>
      <c r="P862" s="34"/>
      <c r="R862" s="34"/>
      <c r="S862" s="37" t="s">
        <v>1690</v>
      </c>
      <c r="T862" s="34" t="s">
        <v>1691</v>
      </c>
    </row>
    <row r="863" ht="15.75" customHeight="1">
      <c r="H863" s="34"/>
      <c r="P863" s="34"/>
      <c r="R863" s="34"/>
      <c r="S863" s="37" t="s">
        <v>1692</v>
      </c>
      <c r="T863" s="34" t="s">
        <v>1693</v>
      </c>
    </row>
    <row r="864" ht="15.75" customHeight="1">
      <c r="H864" s="34"/>
      <c r="P864" s="34"/>
      <c r="R864" s="34"/>
      <c r="S864" s="34"/>
      <c r="T864" s="37" t="s">
        <v>1694</v>
      </c>
      <c r="U864" s="34" t="s">
        <v>1695</v>
      </c>
    </row>
    <row r="865" ht="15.75" customHeight="1">
      <c r="H865" s="34"/>
      <c r="P865" s="34"/>
      <c r="R865" s="34"/>
      <c r="S865" s="34"/>
      <c r="T865" s="34"/>
      <c r="U865" s="37" t="s">
        <v>1696</v>
      </c>
      <c r="V865" s="34" t="s">
        <v>1697</v>
      </c>
    </row>
    <row r="866" ht="15.75" customHeight="1">
      <c r="H866" s="34"/>
      <c r="P866" s="34"/>
      <c r="R866" s="34"/>
      <c r="S866" s="34"/>
      <c r="T866" s="34"/>
      <c r="U866" s="34"/>
      <c r="V866" s="37" t="s">
        <v>1698</v>
      </c>
      <c r="W866" s="34" t="s">
        <v>1699</v>
      </c>
    </row>
    <row r="867" ht="15.75" customHeight="1">
      <c r="H867" s="34"/>
      <c r="P867" s="34"/>
      <c r="R867" s="34"/>
      <c r="S867" s="34"/>
      <c r="T867" s="34"/>
      <c r="U867" s="34"/>
      <c r="W867" s="37" t="s">
        <v>1700</v>
      </c>
      <c r="X867" s="34" t="s">
        <v>1701</v>
      </c>
    </row>
    <row r="868" ht="15.75" customHeight="1">
      <c r="H868" s="34"/>
      <c r="P868" s="34"/>
      <c r="R868" s="34"/>
      <c r="S868" s="34"/>
      <c r="T868" s="34"/>
      <c r="U868" s="34"/>
      <c r="V868" s="37" t="s">
        <v>1702</v>
      </c>
      <c r="W868" s="34" t="s">
        <v>1703</v>
      </c>
    </row>
    <row r="869" ht="15.75" customHeight="1">
      <c r="H869" s="34"/>
      <c r="P869" s="34"/>
      <c r="R869" s="34"/>
      <c r="S869" s="34"/>
      <c r="T869" s="34"/>
      <c r="U869" s="34"/>
      <c r="W869" s="37" t="s">
        <v>1704</v>
      </c>
      <c r="X869" s="34" t="s">
        <v>1705</v>
      </c>
    </row>
    <row r="870" ht="15.75" customHeight="1">
      <c r="H870" s="34"/>
      <c r="P870" s="34"/>
      <c r="R870" s="34"/>
      <c r="S870" s="34"/>
      <c r="T870" s="34"/>
      <c r="U870" s="37" t="s">
        <v>1706</v>
      </c>
      <c r="V870" s="34" t="s">
        <v>1707</v>
      </c>
    </row>
    <row r="871" ht="15.75" customHeight="1">
      <c r="H871" s="34"/>
      <c r="P871" s="34"/>
      <c r="R871" s="34"/>
      <c r="S871" s="34"/>
      <c r="T871" s="34"/>
      <c r="U871" s="34"/>
      <c r="V871" s="37" t="s">
        <v>1708</v>
      </c>
      <c r="W871" s="34" t="s">
        <v>1709</v>
      </c>
    </row>
    <row r="872" ht="15.75" customHeight="1">
      <c r="H872" s="34"/>
      <c r="P872" s="34"/>
      <c r="R872" s="34"/>
      <c r="S872" s="34"/>
      <c r="T872" s="34"/>
      <c r="U872" s="34"/>
      <c r="W872" s="37" t="s">
        <v>1710</v>
      </c>
      <c r="X872" s="34" t="s">
        <v>1711</v>
      </c>
    </row>
    <row r="873" ht="15.75" customHeight="1">
      <c r="H873" s="34"/>
      <c r="P873" s="34"/>
      <c r="R873" s="34"/>
      <c r="S873" s="34"/>
      <c r="T873" s="34"/>
      <c r="U873" s="34"/>
      <c r="X873" s="37" t="s">
        <v>1712</v>
      </c>
      <c r="Y873" s="34" t="s">
        <v>1713</v>
      </c>
    </row>
    <row r="874" ht="15.75" customHeight="1">
      <c r="H874" s="34"/>
      <c r="P874" s="34"/>
      <c r="R874" s="34"/>
      <c r="S874" s="34"/>
      <c r="T874" s="34"/>
      <c r="U874" s="34"/>
      <c r="W874" s="37" t="s">
        <v>1714</v>
      </c>
      <c r="X874" s="34" t="s">
        <v>1715</v>
      </c>
    </row>
    <row r="875" ht="15.75" customHeight="1">
      <c r="H875" s="34"/>
      <c r="P875" s="34"/>
      <c r="R875" s="34"/>
      <c r="S875" s="34"/>
      <c r="T875" s="34"/>
      <c r="U875" s="34"/>
      <c r="X875" s="37" t="s">
        <v>1716</v>
      </c>
      <c r="Y875" s="34" t="s">
        <v>1717</v>
      </c>
    </row>
    <row r="876" ht="15.75" customHeight="1">
      <c r="H876" s="34"/>
      <c r="L876" s="37" t="s">
        <v>1718</v>
      </c>
      <c r="M876" s="34" t="s">
        <v>1719</v>
      </c>
      <c r="N876" s="34"/>
      <c r="O876" s="34"/>
      <c r="P876" s="34"/>
      <c r="Q876" s="34"/>
      <c r="R876" s="34"/>
      <c r="S876" s="34"/>
      <c r="T876" s="34"/>
    </row>
    <row r="877" ht="15.75" customHeight="1">
      <c r="H877" s="34"/>
      <c r="M877" s="37" t="s">
        <v>1720</v>
      </c>
      <c r="N877" s="34" t="s">
        <v>1721</v>
      </c>
      <c r="O877" s="34"/>
      <c r="P877" s="34"/>
      <c r="Q877" s="34"/>
      <c r="R877" s="34"/>
      <c r="S877" s="34"/>
      <c r="T877" s="34"/>
    </row>
    <row r="878" ht="15.75" customHeight="1">
      <c r="H878" s="34"/>
      <c r="M878" s="34"/>
      <c r="N878" s="37" t="s">
        <v>1722</v>
      </c>
      <c r="O878" s="34" t="s">
        <v>1723</v>
      </c>
      <c r="P878" s="34"/>
      <c r="Q878" s="34"/>
      <c r="R878" s="34"/>
      <c r="S878" s="34"/>
      <c r="T878" s="34"/>
    </row>
    <row r="879" ht="15.75" customHeight="1">
      <c r="H879" s="34"/>
      <c r="M879" s="34"/>
      <c r="N879" s="34"/>
      <c r="O879" s="37" t="s">
        <v>1724</v>
      </c>
      <c r="P879" s="34" t="s">
        <v>1725</v>
      </c>
      <c r="Q879" s="34"/>
      <c r="R879" s="34"/>
      <c r="S879" s="34"/>
      <c r="T879" s="34"/>
    </row>
    <row r="880" ht="15.75" customHeight="1">
      <c r="H880" s="34"/>
      <c r="M880" s="34"/>
      <c r="N880" s="37" t="s">
        <v>1726</v>
      </c>
      <c r="O880" s="34" t="s">
        <v>1727</v>
      </c>
      <c r="P880" s="34"/>
      <c r="Q880" s="34"/>
      <c r="R880" s="34"/>
      <c r="S880" s="34"/>
      <c r="T880" s="34"/>
    </row>
    <row r="881" ht="15.75" customHeight="1">
      <c r="H881" s="34"/>
      <c r="M881" s="34"/>
      <c r="N881" s="34"/>
      <c r="O881" s="37" t="s">
        <v>1728</v>
      </c>
      <c r="P881" s="34" t="s">
        <v>1729</v>
      </c>
      <c r="Q881" s="34"/>
      <c r="R881" s="34"/>
      <c r="S881" s="34"/>
      <c r="T881" s="34"/>
    </row>
    <row r="882" ht="15.75" customHeight="1">
      <c r="H882" s="34"/>
      <c r="M882" s="34"/>
      <c r="N882" s="34"/>
      <c r="O882" s="37" t="s">
        <v>1730</v>
      </c>
      <c r="P882" s="34" t="s">
        <v>1731</v>
      </c>
      <c r="Q882" s="34"/>
      <c r="R882" s="34"/>
      <c r="S882" s="34"/>
      <c r="T882" s="34"/>
    </row>
    <row r="883" ht="15.75" customHeight="1">
      <c r="H883" s="34"/>
      <c r="M883" s="34"/>
      <c r="N883" s="34"/>
      <c r="O883" s="34"/>
      <c r="P883" s="37" t="s">
        <v>1732</v>
      </c>
      <c r="Q883" s="34" t="s">
        <v>1733</v>
      </c>
      <c r="R883" s="34"/>
      <c r="S883" s="34"/>
      <c r="T883" s="34"/>
    </row>
    <row r="884" ht="15.75" customHeight="1">
      <c r="H884" s="34"/>
      <c r="M884" s="37" t="s">
        <v>1734</v>
      </c>
      <c r="N884" s="34" t="s">
        <v>1735</v>
      </c>
      <c r="O884" s="34"/>
      <c r="P884" s="34"/>
      <c r="Q884" s="34"/>
      <c r="R884" s="34"/>
      <c r="S884" s="34"/>
      <c r="T884" s="34"/>
    </row>
    <row r="885" ht="15.75" customHeight="1">
      <c r="H885" s="34"/>
      <c r="M885" s="34"/>
      <c r="N885" s="37" t="s">
        <v>1736</v>
      </c>
      <c r="O885" s="34" t="s">
        <v>1737</v>
      </c>
      <c r="P885" s="34"/>
      <c r="Q885" s="34"/>
      <c r="R885" s="34"/>
      <c r="S885" s="34"/>
      <c r="T885" s="34"/>
    </row>
    <row r="886" ht="15.75" customHeight="1">
      <c r="H886" s="34"/>
      <c r="M886" s="34"/>
      <c r="N886" s="34"/>
      <c r="O886" s="37" t="s">
        <v>1738</v>
      </c>
      <c r="P886" s="34" t="s">
        <v>1739</v>
      </c>
      <c r="Q886" s="34"/>
      <c r="R886" s="34"/>
      <c r="S886" s="34"/>
      <c r="T886" s="34"/>
    </row>
    <row r="887" ht="15.75" customHeight="1">
      <c r="H887" s="34"/>
      <c r="M887" s="34"/>
      <c r="N887" s="34"/>
      <c r="O887" s="34"/>
      <c r="P887" s="37" t="s">
        <v>1740</v>
      </c>
      <c r="Q887" s="34" t="s">
        <v>1741</v>
      </c>
      <c r="R887" s="34"/>
      <c r="S887" s="34"/>
      <c r="T887" s="34"/>
    </row>
    <row r="888" ht="15.75" customHeight="1">
      <c r="H888" s="34"/>
      <c r="M888" s="34"/>
      <c r="N888" s="34"/>
      <c r="O888" s="34"/>
      <c r="P888" s="34"/>
      <c r="Q888" s="37" t="s">
        <v>1742</v>
      </c>
      <c r="R888" s="34" t="s">
        <v>1743</v>
      </c>
      <c r="S888" s="34"/>
      <c r="T888" s="34"/>
    </row>
    <row r="889" ht="15.75" customHeight="1">
      <c r="H889" s="34"/>
      <c r="M889" s="34"/>
      <c r="N889" s="34"/>
      <c r="O889" s="34"/>
      <c r="P889" s="34"/>
      <c r="Q889" s="34"/>
      <c r="R889" s="37" t="s">
        <v>1744</v>
      </c>
      <c r="S889" s="34" t="s">
        <v>1745</v>
      </c>
    </row>
    <row r="890" ht="15.75" customHeight="1">
      <c r="H890" s="34"/>
      <c r="M890" s="34"/>
      <c r="N890" s="34"/>
      <c r="O890" s="34"/>
      <c r="P890" s="34"/>
      <c r="S890" s="37" t="s">
        <v>1746</v>
      </c>
      <c r="T890" s="34" t="s">
        <v>1747</v>
      </c>
      <c r="U890" s="34"/>
    </row>
    <row r="891" ht="15.75" customHeight="1">
      <c r="H891" s="34"/>
      <c r="M891" s="34"/>
      <c r="N891" s="34"/>
      <c r="O891" s="34"/>
      <c r="P891" s="34"/>
      <c r="R891" s="37" t="s">
        <v>1748</v>
      </c>
      <c r="S891" s="34" t="s">
        <v>1749</v>
      </c>
      <c r="T891" s="34"/>
      <c r="U891" s="34"/>
    </row>
    <row r="892" ht="15.75" customHeight="1">
      <c r="H892" s="34"/>
      <c r="M892" s="34"/>
      <c r="N892" s="34"/>
      <c r="O892" s="34"/>
      <c r="P892" s="34"/>
      <c r="R892" s="34"/>
      <c r="S892" s="37" t="s">
        <v>1750</v>
      </c>
      <c r="T892" s="34" t="s">
        <v>1751</v>
      </c>
      <c r="U892" s="34"/>
    </row>
    <row r="893" ht="15.75" customHeight="1">
      <c r="H893" s="34"/>
      <c r="M893" s="34"/>
      <c r="N893" s="34"/>
      <c r="O893" s="34"/>
      <c r="P893" s="34"/>
      <c r="R893" s="34"/>
      <c r="S893" s="34"/>
      <c r="T893" s="37" t="s">
        <v>1752</v>
      </c>
      <c r="U893" s="34" t="s">
        <v>1753</v>
      </c>
    </row>
    <row r="894" ht="15.75" customHeight="1">
      <c r="H894" s="34"/>
      <c r="M894" s="34"/>
      <c r="N894" s="34"/>
      <c r="O894" s="34"/>
      <c r="P894" s="34"/>
      <c r="R894" s="34"/>
      <c r="S894" s="34"/>
      <c r="T894" s="34"/>
      <c r="U894" s="37" t="s">
        <v>1754</v>
      </c>
      <c r="V894" s="34" t="s">
        <v>1755</v>
      </c>
    </row>
    <row r="895" ht="15.75" customHeight="1">
      <c r="H895" s="34"/>
      <c r="M895" s="34"/>
      <c r="N895" s="34"/>
      <c r="O895" s="34"/>
      <c r="P895" s="34"/>
      <c r="R895" s="34"/>
      <c r="S895" s="34"/>
      <c r="T895" s="34"/>
      <c r="U895" s="37" t="s">
        <v>1756</v>
      </c>
      <c r="V895" s="34" t="s">
        <v>1757</v>
      </c>
    </row>
    <row r="896" ht="15.75" customHeight="1">
      <c r="H896" s="34"/>
      <c r="M896" s="34"/>
      <c r="N896" s="34"/>
      <c r="O896" s="34"/>
      <c r="P896" s="34"/>
      <c r="Q896" s="37" t="s">
        <v>1758</v>
      </c>
      <c r="R896" s="34" t="s">
        <v>1759</v>
      </c>
      <c r="S896" s="34"/>
      <c r="T896" s="34"/>
    </row>
    <row r="897" ht="15.75" customHeight="1">
      <c r="H897" s="34"/>
      <c r="M897" s="34"/>
      <c r="N897" s="34"/>
      <c r="O897" s="34"/>
      <c r="P897" s="34"/>
      <c r="Q897" s="34"/>
      <c r="R897" s="37" t="s">
        <v>1760</v>
      </c>
      <c r="S897" s="34" t="s">
        <v>1761</v>
      </c>
      <c r="T897" s="34"/>
    </row>
    <row r="898" ht="15.75" customHeight="1">
      <c r="H898" s="34"/>
      <c r="M898" s="34"/>
      <c r="N898" s="34"/>
      <c r="O898" s="34"/>
      <c r="P898" s="34"/>
      <c r="Q898" s="34"/>
      <c r="R898" s="34"/>
      <c r="S898" s="37" t="s">
        <v>1762</v>
      </c>
      <c r="T898" s="34" t="s">
        <v>1763</v>
      </c>
    </row>
    <row r="899" ht="15.75" customHeight="1">
      <c r="H899" s="34"/>
      <c r="M899" s="34"/>
      <c r="N899" s="34"/>
      <c r="O899" s="34"/>
      <c r="P899" s="34"/>
      <c r="Q899" s="34"/>
      <c r="R899" s="34"/>
      <c r="S899" s="34"/>
      <c r="T899" s="37" t="s">
        <v>1764</v>
      </c>
      <c r="U899" s="34" t="s">
        <v>1765</v>
      </c>
    </row>
    <row r="900" ht="15.75" customHeight="1">
      <c r="H900" s="34"/>
      <c r="M900" s="34"/>
      <c r="N900" s="34"/>
      <c r="O900" s="34"/>
      <c r="P900" s="34"/>
      <c r="Q900" s="34"/>
      <c r="R900" s="34"/>
      <c r="S900" s="34"/>
      <c r="T900" s="37" t="s">
        <v>1766</v>
      </c>
      <c r="U900" s="34" t="s">
        <v>1767</v>
      </c>
    </row>
    <row r="901" ht="15.75" customHeight="1">
      <c r="H901" s="34"/>
      <c r="M901" s="34"/>
      <c r="N901" s="34"/>
      <c r="O901" s="34"/>
      <c r="P901" s="34"/>
      <c r="Q901" s="34"/>
      <c r="R901" s="34"/>
      <c r="S901" s="34"/>
      <c r="T901" s="34"/>
      <c r="U901" s="37" t="s">
        <v>1768</v>
      </c>
      <c r="V901" s="34" t="s">
        <v>1769</v>
      </c>
    </row>
    <row r="902" ht="15.75" customHeight="1">
      <c r="H902" s="34"/>
      <c r="M902" s="34"/>
      <c r="N902" s="34"/>
      <c r="O902" s="34"/>
      <c r="P902" s="34"/>
      <c r="Q902" s="34"/>
      <c r="R902" s="34"/>
      <c r="S902" s="34"/>
      <c r="T902" s="34"/>
      <c r="U902" s="37" t="s">
        <v>1770</v>
      </c>
      <c r="V902" s="34" t="s">
        <v>1771</v>
      </c>
    </row>
    <row r="903" ht="15.75" customHeight="1">
      <c r="H903" s="34"/>
      <c r="M903" s="34"/>
      <c r="N903" s="34"/>
      <c r="O903" s="37" t="s">
        <v>1772</v>
      </c>
      <c r="P903" s="34" t="s">
        <v>1773</v>
      </c>
      <c r="Q903" s="34"/>
      <c r="R903" s="34"/>
      <c r="S903" s="34"/>
      <c r="T903" s="34"/>
    </row>
    <row r="904" ht="15.75" customHeight="1">
      <c r="H904" s="34"/>
      <c r="M904" s="34"/>
      <c r="N904" s="34"/>
      <c r="O904" s="34"/>
      <c r="P904" s="37" t="s">
        <v>1774</v>
      </c>
      <c r="Q904" s="34" t="s">
        <v>1775</v>
      </c>
      <c r="R904" s="34"/>
      <c r="S904" s="34"/>
      <c r="T904" s="34"/>
    </row>
    <row r="905" ht="15.75" customHeight="1">
      <c r="H905" s="34"/>
      <c r="M905" s="34"/>
      <c r="N905" s="34"/>
      <c r="O905" s="34"/>
      <c r="P905" s="37" t="s">
        <v>1776</v>
      </c>
      <c r="Q905" s="34" t="s">
        <v>1777</v>
      </c>
      <c r="R905" s="34"/>
      <c r="S905" s="34"/>
      <c r="T905" s="34"/>
    </row>
    <row r="906" ht="15.75" customHeight="1">
      <c r="H906" s="34"/>
      <c r="M906" s="34"/>
      <c r="N906" s="34"/>
      <c r="O906" s="34"/>
      <c r="P906" s="34"/>
      <c r="Q906" s="37" t="s">
        <v>1778</v>
      </c>
      <c r="R906" s="34" t="s">
        <v>1779</v>
      </c>
      <c r="S906" s="34"/>
      <c r="T906" s="34"/>
    </row>
    <row r="907" ht="15.75" customHeight="1">
      <c r="H907" s="34"/>
      <c r="M907" s="34"/>
      <c r="N907" s="34"/>
      <c r="O907" s="34"/>
      <c r="P907" s="34"/>
      <c r="Q907" s="34"/>
      <c r="R907" s="37" t="s">
        <v>1780</v>
      </c>
      <c r="S907" s="34" t="s">
        <v>1781</v>
      </c>
      <c r="T907" s="34"/>
    </row>
    <row r="908" ht="15.75" customHeight="1">
      <c r="H908" s="34"/>
      <c r="M908" s="34"/>
      <c r="N908" s="34"/>
      <c r="O908" s="34"/>
      <c r="P908" s="34"/>
      <c r="Q908" s="34"/>
      <c r="R908" s="34"/>
      <c r="S908" s="37" t="s">
        <v>1782</v>
      </c>
      <c r="T908" s="34" t="s">
        <v>1783</v>
      </c>
    </row>
    <row r="909" ht="15.75" customHeight="1">
      <c r="H909" s="34"/>
      <c r="M909" s="34"/>
      <c r="N909" s="34"/>
      <c r="O909" s="34"/>
      <c r="P909" s="37" t="s">
        <v>1784</v>
      </c>
      <c r="Q909" s="34" t="s">
        <v>1785</v>
      </c>
      <c r="R909" s="34"/>
      <c r="S909" s="34"/>
      <c r="T909" s="34"/>
    </row>
    <row r="910" ht="15.75" customHeight="1">
      <c r="H910" s="34"/>
      <c r="M910" s="34"/>
      <c r="N910" s="34"/>
      <c r="O910" s="34"/>
      <c r="P910" s="34"/>
      <c r="Q910" s="37" t="s">
        <v>1786</v>
      </c>
      <c r="R910" s="34" t="s">
        <v>1787</v>
      </c>
      <c r="S910" s="34"/>
      <c r="T910" s="34"/>
    </row>
    <row r="911" ht="15.75" customHeight="1">
      <c r="H911" s="34"/>
      <c r="M911" s="34"/>
      <c r="N911" s="34"/>
      <c r="O911" s="34"/>
      <c r="P911" s="34"/>
      <c r="Q911" s="34"/>
      <c r="R911" s="37" t="s">
        <v>1788</v>
      </c>
      <c r="S911" s="34" t="s">
        <v>1789</v>
      </c>
      <c r="T911" s="34"/>
    </row>
    <row r="912" ht="15.75" customHeight="1">
      <c r="H912" s="34"/>
      <c r="M912" s="34"/>
      <c r="N912" s="34"/>
      <c r="O912" s="34"/>
      <c r="P912" s="34"/>
      <c r="Q912" s="34"/>
      <c r="R912" s="37" t="s">
        <v>1790</v>
      </c>
      <c r="S912" s="34" t="s">
        <v>1791</v>
      </c>
      <c r="T912" s="34"/>
    </row>
    <row r="913" ht="15.75" customHeight="1">
      <c r="H913" s="34"/>
      <c r="M913" s="34"/>
      <c r="N913" s="34"/>
      <c r="O913" s="34"/>
      <c r="P913" s="34"/>
      <c r="Q913" s="34"/>
      <c r="R913" s="34"/>
      <c r="S913" s="37" t="s">
        <v>1792</v>
      </c>
      <c r="T913" s="34" t="s">
        <v>1793</v>
      </c>
    </row>
    <row r="914" ht="15.75" customHeight="1">
      <c r="H914" s="34"/>
      <c r="M914" s="34"/>
      <c r="N914" s="34"/>
      <c r="O914" s="34"/>
      <c r="P914" s="34"/>
      <c r="Q914" s="34"/>
      <c r="R914" s="34"/>
      <c r="S914" s="34"/>
      <c r="T914" s="37" t="s">
        <v>1794</v>
      </c>
      <c r="U914" s="34" t="s">
        <v>1795</v>
      </c>
    </row>
    <row r="915" ht="15.75" customHeight="1">
      <c r="H915" s="34"/>
      <c r="M915" s="34"/>
      <c r="N915" s="34"/>
      <c r="O915" s="34"/>
      <c r="P915" s="34"/>
      <c r="Q915" s="34"/>
      <c r="R915" s="34"/>
      <c r="S915" s="34"/>
      <c r="T915" s="34"/>
      <c r="U915" s="37" t="s">
        <v>1796</v>
      </c>
      <c r="V915" s="34" t="s">
        <v>1797</v>
      </c>
    </row>
    <row r="916" ht="15.75" customHeight="1">
      <c r="H916" s="34"/>
      <c r="M916" s="34"/>
      <c r="N916" s="34"/>
      <c r="O916" s="34"/>
      <c r="P916" s="34"/>
      <c r="Q916" s="37" t="s">
        <v>1798</v>
      </c>
      <c r="R916" s="34" t="s">
        <v>1799</v>
      </c>
      <c r="S916" s="34"/>
      <c r="T916" s="34"/>
    </row>
    <row r="917" ht="15.75" customHeight="1">
      <c r="H917" s="34"/>
      <c r="M917" s="34"/>
      <c r="N917" s="34"/>
      <c r="O917" s="34"/>
      <c r="P917" s="34"/>
      <c r="Q917" s="34"/>
      <c r="R917" s="37" t="s">
        <v>1800</v>
      </c>
      <c r="S917" s="34" t="s">
        <v>1801</v>
      </c>
      <c r="T917" s="34"/>
    </row>
    <row r="918" ht="15.75" customHeight="1">
      <c r="H918" s="34"/>
      <c r="M918" s="34"/>
      <c r="N918" s="34"/>
      <c r="O918" s="34"/>
      <c r="Q918" s="34"/>
      <c r="R918" s="34"/>
      <c r="S918" s="37" t="s">
        <v>1802</v>
      </c>
      <c r="T918" s="34" t="s">
        <v>1803</v>
      </c>
    </row>
    <row r="919" ht="15.75" customHeight="1">
      <c r="H919" s="34"/>
      <c r="M919" s="34"/>
      <c r="N919" s="34"/>
      <c r="O919" s="34"/>
      <c r="Q919" s="34"/>
      <c r="R919" s="34"/>
      <c r="S919" s="34"/>
      <c r="T919" s="37" t="s">
        <v>1804</v>
      </c>
      <c r="U919" s="34" t="s">
        <v>1805</v>
      </c>
    </row>
    <row r="920" ht="15.75" customHeight="1">
      <c r="H920" s="34"/>
      <c r="M920" s="34"/>
      <c r="N920" s="34"/>
      <c r="O920" s="34"/>
      <c r="Q920" s="34"/>
      <c r="R920" s="34"/>
      <c r="S920" s="34"/>
      <c r="T920" s="34"/>
      <c r="U920" s="37" t="s">
        <v>1806</v>
      </c>
      <c r="V920" s="34" t="s">
        <v>1807</v>
      </c>
    </row>
    <row r="921" ht="15.75" customHeight="1">
      <c r="H921" s="34"/>
      <c r="M921" s="34"/>
      <c r="N921" s="34"/>
      <c r="O921" s="34"/>
      <c r="Q921" s="34"/>
      <c r="R921" s="34"/>
      <c r="S921" s="34"/>
      <c r="T921" s="34"/>
      <c r="V921" s="37" t="s">
        <v>1808</v>
      </c>
      <c r="W921" s="34" t="s">
        <v>1809</v>
      </c>
    </row>
    <row r="922" ht="15.75" customHeight="1">
      <c r="H922" s="34"/>
      <c r="M922" s="34"/>
      <c r="N922" s="34"/>
      <c r="O922" s="34"/>
      <c r="Q922" s="34"/>
      <c r="R922" s="34"/>
      <c r="S922" s="34"/>
      <c r="T922" s="34"/>
      <c r="U922" s="37" t="s">
        <v>1810</v>
      </c>
      <c r="V922" s="34" t="s">
        <v>1811</v>
      </c>
    </row>
    <row r="923" ht="15.75" customHeight="1">
      <c r="H923" s="34"/>
      <c r="M923" s="34"/>
      <c r="N923" s="34"/>
      <c r="O923" s="34"/>
      <c r="Q923" s="34"/>
      <c r="R923" s="34"/>
      <c r="S923" s="34"/>
      <c r="T923" s="34"/>
      <c r="V923" s="37" t="s">
        <v>1812</v>
      </c>
      <c r="W923" s="34" t="s">
        <v>1813</v>
      </c>
    </row>
    <row r="924" ht="15.75" customHeight="1">
      <c r="H924" s="34"/>
      <c r="M924" s="34"/>
      <c r="N924" s="34"/>
      <c r="O924" s="34"/>
      <c r="Q924" s="34"/>
      <c r="R924" s="37" t="s">
        <v>1814</v>
      </c>
      <c r="S924" s="34" t="s">
        <v>1815</v>
      </c>
      <c r="T924" s="34"/>
    </row>
    <row r="925" ht="15.75" customHeight="1">
      <c r="H925" s="34"/>
      <c r="M925" s="34"/>
      <c r="N925" s="34"/>
      <c r="O925" s="34"/>
      <c r="Q925" s="34"/>
      <c r="R925" s="34"/>
      <c r="S925" s="37" t="s">
        <v>1816</v>
      </c>
      <c r="T925" s="34" t="s">
        <v>1817</v>
      </c>
    </row>
    <row r="926" ht="15.75" customHeight="1">
      <c r="H926" s="34"/>
      <c r="M926" s="34"/>
      <c r="N926" s="34"/>
      <c r="O926" s="34"/>
      <c r="Q926" s="34"/>
      <c r="R926" s="34"/>
      <c r="S926" s="34"/>
      <c r="T926" s="37" t="s">
        <v>1818</v>
      </c>
      <c r="U926" s="34" t="s">
        <v>1819</v>
      </c>
    </row>
    <row r="927" ht="15.75" customHeight="1">
      <c r="H927" s="34"/>
      <c r="M927" s="34"/>
      <c r="N927" s="34"/>
      <c r="O927" s="34"/>
      <c r="Q927" s="34"/>
      <c r="R927" s="34"/>
      <c r="S927" s="34"/>
      <c r="T927" s="34"/>
      <c r="U927" s="37" t="s">
        <v>1820</v>
      </c>
      <c r="V927" s="34" t="s">
        <v>1821</v>
      </c>
    </row>
    <row r="928" ht="15.75" customHeight="1">
      <c r="H928" s="34"/>
      <c r="M928" s="34"/>
      <c r="N928" s="34"/>
      <c r="O928" s="34"/>
      <c r="Q928" s="34"/>
      <c r="R928" s="34"/>
      <c r="S928" s="34"/>
      <c r="T928" s="34"/>
      <c r="U928" s="37" t="s">
        <v>1822</v>
      </c>
      <c r="V928" s="34" t="s">
        <v>1823</v>
      </c>
    </row>
    <row r="929" ht="15.75" customHeight="1">
      <c r="H929" s="34"/>
      <c r="M929" s="34"/>
      <c r="N929" s="34"/>
      <c r="O929" s="34"/>
      <c r="Q929" s="34"/>
      <c r="R929" s="34"/>
      <c r="S929" s="34"/>
      <c r="T929" s="34"/>
      <c r="V929" s="37" t="s">
        <v>1824</v>
      </c>
      <c r="W929" s="34" t="s">
        <v>1825</v>
      </c>
    </row>
    <row r="930" ht="15.75" customHeight="1">
      <c r="H930" s="34"/>
      <c r="M930" s="34"/>
      <c r="N930" s="34"/>
      <c r="O930" s="34"/>
      <c r="Q930" s="34"/>
      <c r="R930" s="34"/>
      <c r="S930" s="34"/>
      <c r="T930" s="34"/>
      <c r="W930" s="37" t="s">
        <v>1826</v>
      </c>
      <c r="X930" s="34" t="s">
        <v>1827</v>
      </c>
    </row>
    <row r="931" ht="15.75" customHeight="1">
      <c r="H931" s="34"/>
      <c r="M931" s="34"/>
      <c r="N931" s="34"/>
      <c r="O931" s="34"/>
      <c r="Q931" s="34"/>
      <c r="R931" s="34"/>
      <c r="S931" s="34"/>
      <c r="T931" s="34"/>
      <c r="V931" s="37" t="s">
        <v>1828</v>
      </c>
      <c r="W931" s="34" t="s">
        <v>1829</v>
      </c>
    </row>
    <row r="932" ht="15.75" customHeight="1">
      <c r="H932" s="34"/>
      <c r="M932" s="34"/>
      <c r="N932" s="34"/>
      <c r="O932" s="34"/>
      <c r="Q932" s="34"/>
      <c r="R932" s="34"/>
      <c r="S932" s="34"/>
      <c r="T932" s="34"/>
      <c r="W932" s="37" t="s">
        <v>1830</v>
      </c>
      <c r="X932" s="34" t="s">
        <v>1831</v>
      </c>
    </row>
    <row r="933" ht="15.75" customHeight="1">
      <c r="H933" s="34"/>
      <c r="M933" s="34"/>
      <c r="N933" s="34"/>
      <c r="O933" s="34"/>
      <c r="Q933" s="34"/>
      <c r="R933" s="34"/>
      <c r="S933" s="34"/>
      <c r="T933" s="34"/>
      <c r="W933" s="37" t="s">
        <v>1832</v>
      </c>
      <c r="X933" s="34" t="s">
        <v>1833</v>
      </c>
    </row>
    <row r="934" ht="15.75" customHeight="1">
      <c r="H934" s="34"/>
      <c r="M934" s="34"/>
      <c r="N934" s="34"/>
      <c r="O934" s="34"/>
      <c r="Q934" s="34"/>
      <c r="R934" s="34"/>
      <c r="S934" s="37" t="s">
        <v>1834</v>
      </c>
      <c r="T934" s="34" t="s">
        <v>1835</v>
      </c>
    </row>
    <row r="935" ht="15.75" customHeight="1">
      <c r="H935" s="34"/>
      <c r="M935" s="34"/>
      <c r="N935" s="34"/>
      <c r="O935" s="34"/>
      <c r="Q935" s="34"/>
      <c r="R935" s="34"/>
      <c r="S935" s="34"/>
      <c r="T935" s="37" t="s">
        <v>1836</v>
      </c>
      <c r="U935" s="34" t="s">
        <v>1837</v>
      </c>
    </row>
    <row r="936" ht="15.75" customHeight="1">
      <c r="H936" s="34"/>
      <c r="M936" s="34"/>
      <c r="N936" s="34"/>
      <c r="O936" s="34"/>
      <c r="Q936" s="34"/>
      <c r="R936" s="34"/>
      <c r="S936" s="34"/>
      <c r="T936" s="37" t="s">
        <v>1838</v>
      </c>
      <c r="U936" s="34" t="s">
        <v>1839</v>
      </c>
    </row>
    <row r="937" ht="15.75" customHeight="1">
      <c r="H937" s="34"/>
      <c r="M937" s="34"/>
      <c r="N937" s="34"/>
      <c r="O937" s="34"/>
      <c r="Q937" s="34"/>
      <c r="R937" s="34"/>
      <c r="S937" s="34"/>
      <c r="T937" s="34"/>
      <c r="U937" s="37" t="s">
        <v>1840</v>
      </c>
      <c r="V937" s="34" t="s">
        <v>1841</v>
      </c>
    </row>
    <row r="938" ht="15.75" customHeight="1">
      <c r="H938" s="34"/>
      <c r="M938" s="34"/>
      <c r="N938" s="34"/>
      <c r="O938" s="34"/>
      <c r="Q938" s="34"/>
      <c r="R938" s="34"/>
      <c r="S938" s="34"/>
      <c r="T938" s="34"/>
      <c r="V938" s="37" t="s">
        <v>1842</v>
      </c>
      <c r="W938" s="34" t="s">
        <v>1843</v>
      </c>
    </row>
    <row r="939" ht="15.75" customHeight="1">
      <c r="H939" s="34"/>
      <c r="M939" s="34"/>
      <c r="N939" s="34"/>
      <c r="O939" s="34"/>
      <c r="Q939" s="34"/>
      <c r="R939" s="34"/>
      <c r="S939" s="34"/>
      <c r="T939" s="34"/>
      <c r="V939" s="37" t="s">
        <v>1844</v>
      </c>
      <c r="W939" s="34" t="s">
        <v>1845</v>
      </c>
    </row>
    <row r="940" ht="15.75" customHeight="1">
      <c r="H940" s="34"/>
      <c r="M940" s="34"/>
      <c r="N940" s="34"/>
      <c r="O940" s="34"/>
      <c r="Q940" s="34"/>
      <c r="R940" s="34"/>
      <c r="S940" s="34"/>
      <c r="T940" s="37" t="s">
        <v>1846</v>
      </c>
      <c r="U940" s="34" t="s">
        <v>1847</v>
      </c>
    </row>
    <row r="941" ht="15.75" customHeight="1">
      <c r="H941" s="34"/>
      <c r="M941" s="34"/>
      <c r="N941" s="34"/>
      <c r="O941" s="34"/>
      <c r="Q941" s="34"/>
      <c r="R941" s="34"/>
      <c r="S941" s="34"/>
      <c r="T941" s="34"/>
      <c r="U941" s="37" t="s">
        <v>1848</v>
      </c>
      <c r="V941" s="34" t="s">
        <v>1849</v>
      </c>
    </row>
    <row r="942" ht="15.75" customHeight="1">
      <c r="H942" s="34"/>
      <c r="M942" s="34"/>
      <c r="N942" s="34"/>
      <c r="O942" s="34"/>
      <c r="Q942" s="34"/>
      <c r="R942" s="34"/>
      <c r="S942" s="34"/>
      <c r="T942" s="34"/>
      <c r="V942" s="37" t="s">
        <v>1850</v>
      </c>
      <c r="W942" s="34" t="s">
        <v>1851</v>
      </c>
    </row>
    <row r="943" ht="15.75" customHeight="1">
      <c r="H943" s="34"/>
      <c r="M943" s="34"/>
      <c r="N943" s="34"/>
      <c r="O943" s="34"/>
      <c r="Q943" s="34"/>
      <c r="R943" s="34"/>
      <c r="S943" s="34"/>
      <c r="T943" s="34"/>
      <c r="W943" s="37" t="s">
        <v>1852</v>
      </c>
      <c r="X943" s="34" t="s">
        <v>1853</v>
      </c>
    </row>
    <row r="944" ht="15.75" customHeight="1">
      <c r="H944" s="34"/>
      <c r="M944" s="34"/>
      <c r="N944" s="34"/>
      <c r="O944" s="34"/>
      <c r="Q944" s="34"/>
      <c r="R944" s="34"/>
      <c r="S944" s="34"/>
      <c r="T944" s="34"/>
      <c r="V944" s="37" t="s">
        <v>1854</v>
      </c>
      <c r="W944" s="34" t="s">
        <v>1855</v>
      </c>
    </row>
    <row r="945" ht="15.75" customHeight="1">
      <c r="H945" s="34"/>
      <c r="M945" s="34"/>
      <c r="N945" s="34"/>
      <c r="O945" s="34"/>
      <c r="Q945" s="34"/>
      <c r="R945" s="34"/>
      <c r="S945" s="34"/>
      <c r="T945" s="34"/>
      <c r="U945" s="37" t="s">
        <v>1856</v>
      </c>
      <c r="V945" s="34" t="s">
        <v>1857</v>
      </c>
    </row>
    <row r="946" ht="15.75" customHeight="1">
      <c r="H946" s="34"/>
      <c r="M946" s="34"/>
      <c r="N946" s="34"/>
      <c r="O946" s="34"/>
      <c r="Q946" s="34"/>
      <c r="R946" s="34"/>
      <c r="S946" s="34"/>
      <c r="T946" s="34"/>
      <c r="V946" s="37" t="s">
        <v>1858</v>
      </c>
      <c r="W946" s="34" t="s">
        <v>1859</v>
      </c>
    </row>
    <row r="947" ht="15.75" customHeight="1">
      <c r="H947" s="34"/>
      <c r="M947" s="34"/>
      <c r="N947" s="34"/>
      <c r="O947" s="34"/>
      <c r="Q947" s="34"/>
      <c r="R947" s="34"/>
      <c r="S947" s="34"/>
      <c r="T947" s="34"/>
      <c r="V947" s="37" t="s">
        <v>1860</v>
      </c>
      <c r="W947" s="34" t="s">
        <v>1861</v>
      </c>
    </row>
    <row r="948" ht="15.75" customHeight="1">
      <c r="H948" s="34"/>
      <c r="M948" s="34"/>
      <c r="N948" s="34"/>
      <c r="O948" s="34"/>
      <c r="Q948" s="34"/>
      <c r="R948" s="34"/>
      <c r="S948" s="34"/>
      <c r="T948" s="34"/>
      <c r="W948" s="37" t="s">
        <v>1862</v>
      </c>
      <c r="X948" s="34" t="s">
        <v>1863</v>
      </c>
    </row>
    <row r="949" ht="15.75" customHeight="1">
      <c r="H949" s="34"/>
      <c r="M949" s="34"/>
      <c r="N949" s="34"/>
      <c r="O949" s="34"/>
      <c r="Q949" s="34"/>
      <c r="R949" s="34"/>
      <c r="S949" s="34"/>
      <c r="T949" s="34"/>
      <c r="W949" s="37" t="s">
        <v>1864</v>
      </c>
      <c r="X949" s="34" t="s">
        <v>1865</v>
      </c>
    </row>
    <row r="950" ht="15.75" customHeight="1">
      <c r="H950" s="34"/>
      <c r="M950" s="34"/>
      <c r="N950" s="34"/>
      <c r="O950" s="34"/>
      <c r="Q950" s="34"/>
      <c r="R950" s="34"/>
      <c r="S950" s="34"/>
      <c r="T950" s="34"/>
      <c r="X950" s="37" t="s">
        <v>1866</v>
      </c>
      <c r="Y950" s="34" t="s">
        <v>1867</v>
      </c>
    </row>
    <row r="951" ht="15.75" customHeight="1">
      <c r="H951" s="34"/>
      <c r="M951" s="34"/>
      <c r="N951" s="34"/>
      <c r="O951" s="34"/>
      <c r="Q951" s="34"/>
      <c r="R951" s="34"/>
      <c r="S951" s="34"/>
      <c r="T951" s="34"/>
      <c r="X951" s="37" t="s">
        <v>1868</v>
      </c>
      <c r="Y951" s="34" t="s">
        <v>1869</v>
      </c>
    </row>
    <row r="952" ht="15.75" customHeight="1">
      <c r="H952" s="34"/>
      <c r="M952" s="34"/>
      <c r="N952" s="34"/>
      <c r="O952" s="34"/>
      <c r="Q952" s="34"/>
      <c r="R952" s="34"/>
      <c r="S952" s="34"/>
      <c r="T952" s="34"/>
      <c r="Y952" s="37" t="s">
        <v>1870</v>
      </c>
      <c r="Z952" s="34" t="s">
        <v>1871</v>
      </c>
    </row>
    <row r="953" ht="15.75" customHeight="1">
      <c r="H953" s="34"/>
      <c r="M953" s="34"/>
      <c r="N953" s="34"/>
      <c r="O953" s="34"/>
      <c r="Q953" s="34"/>
      <c r="R953" s="34"/>
      <c r="S953" s="34"/>
      <c r="T953" s="34"/>
      <c r="Y953" s="37" t="s">
        <v>1872</v>
      </c>
      <c r="Z953" s="34" t="s">
        <v>1873</v>
      </c>
    </row>
    <row r="954" ht="15.75" customHeight="1">
      <c r="G954" s="48" t="s">
        <v>1874</v>
      </c>
      <c r="H954" s="59" t="s">
        <v>1875</v>
      </c>
    </row>
    <row r="955" ht="15.75" customHeight="1">
      <c r="H955" s="48" t="s">
        <v>1876</v>
      </c>
      <c r="I955" s="50" t="s">
        <v>1877</v>
      </c>
      <c r="P955" s="34"/>
    </row>
    <row r="956" ht="15.75" customHeight="1">
      <c r="H956" s="37" t="s">
        <v>1878</v>
      </c>
      <c r="I956" s="34" t="s">
        <v>1879</v>
      </c>
      <c r="J956" s="56"/>
      <c r="P956" s="34"/>
    </row>
    <row r="957" ht="15.75" customHeight="1">
      <c r="I957" s="48" t="s">
        <v>1880</v>
      </c>
      <c r="J957" s="59" t="s">
        <v>1881</v>
      </c>
      <c r="P957" s="34"/>
    </row>
    <row r="958" ht="15.75" customHeight="1">
      <c r="J958" s="48" t="s">
        <v>1882</v>
      </c>
      <c r="K958" s="53" t="s">
        <v>1883</v>
      </c>
      <c r="P958" s="34"/>
    </row>
    <row r="959" ht="15.75" customHeight="1">
      <c r="K959" s="48" t="s">
        <v>1884</v>
      </c>
      <c r="L959" s="59" t="s">
        <v>1885</v>
      </c>
    </row>
    <row r="960" ht="15.75" customHeight="1">
      <c r="L960" s="48" t="s">
        <v>1886</v>
      </c>
      <c r="M960" s="59" t="s">
        <v>1887</v>
      </c>
    </row>
    <row r="961" ht="15.75" customHeight="1">
      <c r="M961" s="48" t="s">
        <v>1888</v>
      </c>
      <c r="N961" s="50" t="s">
        <v>1889</v>
      </c>
    </row>
    <row r="962" ht="15.75" customHeight="1">
      <c r="M962" s="37" t="s">
        <v>1890</v>
      </c>
      <c r="N962" s="34" t="s">
        <v>1891</v>
      </c>
    </row>
    <row r="963" ht="15.75" customHeight="1">
      <c r="N963" s="48" t="s">
        <v>1892</v>
      </c>
      <c r="O963" s="50" t="s">
        <v>1893</v>
      </c>
    </row>
    <row r="964" ht="15.75" customHeight="1">
      <c r="N964" s="64" t="s">
        <v>1894</v>
      </c>
      <c r="O964" s="34" t="s">
        <v>1895</v>
      </c>
    </row>
    <row r="965" ht="15.75" customHeight="1">
      <c r="M965" s="48" t="s">
        <v>1896</v>
      </c>
      <c r="N965" s="59" t="s">
        <v>1897</v>
      </c>
      <c r="O965" s="34"/>
    </row>
    <row r="966" ht="15.75" customHeight="1">
      <c r="G966" s="34"/>
      <c r="H966" s="48" t="s">
        <v>1898</v>
      </c>
      <c r="I966" s="65" t="s">
        <v>1899</v>
      </c>
    </row>
    <row r="967" ht="15.75" customHeight="1">
      <c r="G967" s="34"/>
      <c r="I967" s="48" t="s">
        <v>1900</v>
      </c>
      <c r="J967" s="66" t="s">
        <v>1901</v>
      </c>
    </row>
    <row r="968" ht="15.75" customHeight="1">
      <c r="G968" s="34"/>
      <c r="J968" s="48" t="s">
        <v>1902</v>
      </c>
      <c r="K968" s="67" t="s">
        <v>1903</v>
      </c>
    </row>
    <row r="969" ht="15.75" customHeight="1">
      <c r="G969" s="34"/>
      <c r="K969" s="48" t="s">
        <v>1904</v>
      </c>
      <c r="L969" s="50" t="s">
        <v>1905</v>
      </c>
    </row>
    <row r="970" ht="15.75" customHeight="1">
      <c r="G970" s="34"/>
      <c r="L970" s="48" t="s">
        <v>1906</v>
      </c>
      <c r="M970" s="59" t="s">
        <v>1907</v>
      </c>
    </row>
    <row r="971" ht="15.75" customHeight="1">
      <c r="G971" s="34"/>
      <c r="L971" s="31"/>
      <c r="M971" s="48" t="s">
        <v>1908</v>
      </c>
      <c r="N971" s="31" t="s">
        <v>1909</v>
      </c>
    </row>
    <row r="972" ht="15.75" customHeight="1">
      <c r="G972" s="34"/>
      <c r="L972" s="48" t="s">
        <v>1910</v>
      </c>
      <c r="M972" s="50" t="s">
        <v>1911</v>
      </c>
      <c r="N972" s="31"/>
    </row>
    <row r="973" ht="15.75" customHeight="1">
      <c r="G973" s="34"/>
      <c r="L973" s="31"/>
      <c r="M973" s="48" t="s">
        <v>1912</v>
      </c>
      <c r="N973" s="50" t="s">
        <v>1913</v>
      </c>
    </row>
    <row r="974" ht="15.75" customHeight="1">
      <c r="G974" s="34"/>
      <c r="L974" s="31"/>
      <c r="M974" s="31"/>
      <c r="N974" s="48" t="s">
        <v>1914</v>
      </c>
      <c r="O974" s="53" t="s">
        <v>1915</v>
      </c>
    </row>
    <row r="975" ht="15.75" customHeight="1">
      <c r="G975" s="34"/>
      <c r="L975" s="31"/>
      <c r="M975" s="31"/>
      <c r="N975" s="37" t="s">
        <v>1916</v>
      </c>
      <c r="O975" s="34" t="s">
        <v>1917</v>
      </c>
    </row>
    <row r="976" ht="15.75" customHeight="1">
      <c r="G976" s="34"/>
      <c r="L976" s="31"/>
      <c r="M976" s="31"/>
      <c r="N976" s="31"/>
      <c r="O976" s="48" t="s">
        <v>1918</v>
      </c>
      <c r="P976" s="55" t="s">
        <v>1919</v>
      </c>
    </row>
    <row r="977" ht="15.75" customHeight="1">
      <c r="G977" s="34"/>
      <c r="K977" s="48" t="s">
        <v>1920</v>
      </c>
      <c r="L977" s="68" t="s">
        <v>1921</v>
      </c>
    </row>
    <row r="978" ht="15.75" customHeight="1">
      <c r="G978" s="34"/>
      <c r="L978" s="48" t="s">
        <v>1922</v>
      </c>
      <c r="M978" t="s">
        <v>1923</v>
      </c>
    </row>
    <row r="979" ht="15.75" customHeight="1">
      <c r="G979" s="34"/>
      <c r="M979" s="37" t="s">
        <v>1924</v>
      </c>
      <c r="N979" s="29" t="s">
        <v>1925</v>
      </c>
    </row>
    <row r="980" ht="15.75" customHeight="1">
      <c r="G980" s="34"/>
      <c r="M980" s="37" t="s">
        <v>1926</v>
      </c>
      <c r="N980" s="34" t="s">
        <v>1927</v>
      </c>
    </row>
    <row r="981" ht="15.75" customHeight="1">
      <c r="G981" s="34"/>
      <c r="N981" s="37" t="s">
        <v>1928</v>
      </c>
      <c r="O981" s="34" t="s">
        <v>1929</v>
      </c>
    </row>
    <row r="982" ht="15.75" customHeight="1">
      <c r="G982" s="34"/>
      <c r="O982" s="37" t="s">
        <v>1930</v>
      </c>
      <c r="P982" s="34" t="s">
        <v>1931</v>
      </c>
    </row>
    <row r="983" ht="15.75" customHeight="1">
      <c r="G983" s="34"/>
      <c r="N983" s="37" t="s">
        <v>1932</v>
      </c>
      <c r="O983" s="34" t="s">
        <v>1933</v>
      </c>
      <c r="P983" s="34"/>
    </row>
    <row r="984" ht="15.75" customHeight="1">
      <c r="G984" s="34"/>
      <c r="O984" s="37" t="s">
        <v>1934</v>
      </c>
      <c r="P984" s="34" t="s">
        <v>1935</v>
      </c>
    </row>
    <row r="985" ht="15.75" customHeight="1">
      <c r="G985" s="34"/>
      <c r="O985" s="37" t="s">
        <v>1936</v>
      </c>
      <c r="P985" s="34" t="s">
        <v>1937</v>
      </c>
    </row>
    <row r="986" ht="15.75" customHeight="1">
      <c r="G986" s="34"/>
      <c r="P986" s="48" t="s">
        <v>1938</v>
      </c>
      <c r="Q986" s="50" t="s">
        <v>1939</v>
      </c>
    </row>
    <row r="987" ht="15.75" customHeight="1">
      <c r="G987" s="34"/>
      <c r="P987" s="34"/>
      <c r="Q987" s="37" t="s">
        <v>1940</v>
      </c>
      <c r="R987" s="34" t="s">
        <v>1941</v>
      </c>
    </row>
    <row r="988" ht="15.75" customHeight="1">
      <c r="G988" s="34"/>
      <c r="O988" s="37" t="s">
        <v>1942</v>
      </c>
      <c r="P988" s="34" t="s">
        <v>1943</v>
      </c>
      <c r="Q988" s="34"/>
      <c r="R988" s="34"/>
    </row>
    <row r="989" ht="15.75" customHeight="1">
      <c r="G989" s="34"/>
      <c r="P989" s="37" t="s">
        <v>1944</v>
      </c>
      <c r="Q989" s="34" t="s">
        <v>1945</v>
      </c>
      <c r="R989" s="34"/>
    </row>
    <row r="990" ht="15.75" customHeight="1">
      <c r="G990" s="34"/>
      <c r="N990" s="37" t="s">
        <v>1946</v>
      </c>
      <c r="O990" s="34" t="s">
        <v>1947</v>
      </c>
      <c r="Q990" s="34"/>
      <c r="R990" s="34"/>
    </row>
    <row r="991" ht="15.75" customHeight="1">
      <c r="G991" s="34"/>
      <c r="O991" s="37" t="s">
        <v>1948</v>
      </c>
      <c r="P991" s="34" t="s">
        <v>1949</v>
      </c>
      <c r="Q991" s="34"/>
      <c r="R991" s="34"/>
    </row>
    <row r="992" ht="15.75" customHeight="1">
      <c r="G992" s="34"/>
      <c r="P992" s="37" t="s">
        <v>1950</v>
      </c>
      <c r="Q992" s="34" t="s">
        <v>1951</v>
      </c>
      <c r="R992" s="34"/>
    </row>
    <row r="993" ht="15.75" customHeight="1">
      <c r="G993" s="34"/>
      <c r="P993" s="37" t="s">
        <v>1952</v>
      </c>
      <c r="Q993" s="34" t="s">
        <v>1953</v>
      </c>
      <c r="R993" s="34"/>
    </row>
    <row r="994" ht="15.75" customHeight="1">
      <c r="G994" s="34"/>
      <c r="P994" s="34"/>
      <c r="Q994" s="37" t="s">
        <v>1954</v>
      </c>
      <c r="R994" s="34" t="s">
        <v>1955</v>
      </c>
    </row>
    <row r="995" ht="15.75" customHeight="1">
      <c r="G995" s="34"/>
      <c r="P995" s="34"/>
      <c r="R995" s="37" t="s">
        <v>1956</v>
      </c>
      <c r="S995" s="34" t="s">
        <v>1957</v>
      </c>
    </row>
    <row r="996" ht="15.75" customHeight="1">
      <c r="G996" s="34"/>
      <c r="P996" s="34"/>
      <c r="Q996" s="37" t="s">
        <v>1958</v>
      </c>
      <c r="R996" s="34" t="s">
        <v>1959</v>
      </c>
    </row>
    <row r="997" ht="15.75" customHeight="1">
      <c r="G997" s="34"/>
      <c r="P997" s="34"/>
      <c r="Q997" s="34"/>
      <c r="R997" s="37" t="s">
        <v>1960</v>
      </c>
      <c r="S997" s="34" t="s">
        <v>1961</v>
      </c>
    </row>
    <row r="998" ht="15.75" customHeight="1">
      <c r="G998" s="34"/>
      <c r="P998" s="34"/>
      <c r="Q998" s="34"/>
      <c r="R998" s="34"/>
      <c r="S998" s="37" t="s">
        <v>1962</v>
      </c>
      <c r="T998" s="34" t="s">
        <v>1963</v>
      </c>
    </row>
    <row r="999" ht="15.75" customHeight="1">
      <c r="G999" s="34"/>
      <c r="P999" s="34"/>
      <c r="Q999" s="34"/>
      <c r="R999" s="34"/>
      <c r="T999" s="37" t="s">
        <v>1964</v>
      </c>
      <c r="U999" s="34" t="s">
        <v>1965</v>
      </c>
    </row>
    <row r="1000" ht="15.75" customHeight="1">
      <c r="G1000" s="34"/>
      <c r="L1000" s="37" t="s">
        <v>1966</v>
      </c>
      <c r="M1000" s="34" t="s">
        <v>1967</v>
      </c>
      <c r="P1000" s="34"/>
      <c r="Q1000" s="34"/>
      <c r="R1000" s="34"/>
      <c r="U1000" s="34"/>
    </row>
    <row r="1001" ht="15.75" customHeight="1">
      <c r="G1001" s="34"/>
      <c r="L1001" s="34"/>
      <c r="M1001" s="37" t="s">
        <v>1968</v>
      </c>
      <c r="N1001" s="34" t="s">
        <v>1969</v>
      </c>
      <c r="P1001" s="34"/>
      <c r="Q1001" s="34"/>
      <c r="R1001" s="34"/>
      <c r="U1001" s="34"/>
    </row>
    <row r="1002" ht="15.75" customHeight="1">
      <c r="G1002" s="34"/>
      <c r="L1002" s="34"/>
      <c r="M1002" s="34"/>
      <c r="N1002" s="37" t="s">
        <v>1970</v>
      </c>
      <c r="O1002" s="34" t="s">
        <v>1971</v>
      </c>
      <c r="P1002" s="34"/>
      <c r="Q1002" s="34"/>
      <c r="R1002" s="34"/>
      <c r="U1002" s="34"/>
    </row>
    <row r="1003" ht="15.75" customHeight="1">
      <c r="G1003" s="34"/>
      <c r="L1003" s="34"/>
      <c r="M1003" s="37" t="s">
        <v>1972</v>
      </c>
      <c r="N1003" s="34" t="s">
        <v>1973</v>
      </c>
      <c r="P1003" s="34"/>
      <c r="Q1003" s="34"/>
      <c r="R1003" s="34"/>
      <c r="U1003" s="34"/>
    </row>
    <row r="1004" ht="15.75" customHeight="1">
      <c r="G1004" s="34"/>
      <c r="L1004" s="34"/>
      <c r="M1004" s="34"/>
      <c r="N1004" s="37" t="s">
        <v>1974</v>
      </c>
      <c r="O1004" s="34" t="s">
        <v>1975</v>
      </c>
      <c r="P1004" s="34"/>
      <c r="Q1004" s="34"/>
      <c r="R1004" s="34"/>
      <c r="U1004" s="34"/>
    </row>
    <row r="1005" ht="15.75" customHeight="1">
      <c r="G1005" s="34"/>
      <c r="L1005" s="34"/>
      <c r="M1005" s="34"/>
      <c r="O1005" s="37" t="s">
        <v>1976</v>
      </c>
      <c r="P1005" s="34" t="s">
        <v>1977</v>
      </c>
      <c r="Q1005" s="34"/>
      <c r="R1005" s="34"/>
      <c r="U1005" s="34"/>
    </row>
    <row r="1006" ht="15.75" customHeight="1">
      <c r="G1006" s="34"/>
      <c r="L1006" s="34"/>
      <c r="M1006" s="34"/>
      <c r="O1006" s="37" t="s">
        <v>1978</v>
      </c>
      <c r="P1006" s="34" t="s">
        <v>1979</v>
      </c>
      <c r="Q1006" s="34"/>
      <c r="R1006" s="34"/>
      <c r="U1006" s="34"/>
    </row>
    <row r="1007" ht="15.75" customHeight="1">
      <c r="G1007" s="34"/>
      <c r="L1007" s="34"/>
      <c r="M1007" s="34"/>
      <c r="O1007" s="37" t="s">
        <v>1980</v>
      </c>
      <c r="P1007" s="34" t="s">
        <v>1981</v>
      </c>
      <c r="Q1007" s="34"/>
      <c r="R1007" s="34"/>
      <c r="U1007" s="34"/>
    </row>
    <row r="1008" ht="15.75" customHeight="1">
      <c r="G1008" s="34"/>
      <c r="L1008" s="34"/>
      <c r="M1008" s="34"/>
      <c r="P1008" s="37" t="s">
        <v>1982</v>
      </c>
      <c r="Q1008" s="34" t="s">
        <v>1983</v>
      </c>
      <c r="R1008" s="34"/>
      <c r="U1008" s="34"/>
    </row>
    <row r="1009" ht="15.75" customHeight="1">
      <c r="G1009" s="34"/>
      <c r="L1009" s="34"/>
      <c r="M1009" s="34"/>
      <c r="P1009" s="37" t="s">
        <v>1984</v>
      </c>
      <c r="Q1009" s="34" t="s">
        <v>1985</v>
      </c>
      <c r="R1009" s="34"/>
      <c r="U1009" s="34"/>
    </row>
    <row r="1010" ht="15.75" customHeight="1">
      <c r="G1010" s="34"/>
      <c r="L1010" s="34"/>
      <c r="M1010" s="34"/>
      <c r="P1010" s="34"/>
      <c r="Q1010" s="37" t="s">
        <v>1986</v>
      </c>
      <c r="R1010" s="34" t="s">
        <v>1987</v>
      </c>
      <c r="U1010" s="34"/>
    </row>
    <row r="1011" ht="15.75" customHeight="1">
      <c r="G1011" s="34"/>
      <c r="L1011" s="34"/>
      <c r="M1011" s="34"/>
      <c r="P1011" s="34"/>
      <c r="Q1011" s="37" t="s">
        <v>1988</v>
      </c>
      <c r="R1011" s="34" t="s">
        <v>1989</v>
      </c>
      <c r="U1011" s="34"/>
    </row>
    <row r="1012" ht="15.75" customHeight="1">
      <c r="G1012" s="34"/>
      <c r="L1012" s="34"/>
      <c r="M1012" s="34"/>
      <c r="P1012" s="34"/>
      <c r="Q1012" s="37" t="s">
        <v>1990</v>
      </c>
      <c r="R1012" s="34" t="s">
        <v>1991</v>
      </c>
      <c r="U1012" s="34"/>
    </row>
    <row r="1013" ht="15.75" customHeight="1">
      <c r="G1013" s="34"/>
      <c r="L1013" s="34"/>
      <c r="M1013" s="34"/>
      <c r="P1013" s="34"/>
      <c r="Q1013" s="34"/>
      <c r="R1013" s="37" t="s">
        <v>1992</v>
      </c>
      <c r="S1013" s="34" t="s">
        <v>1993</v>
      </c>
      <c r="U1013" s="34"/>
    </row>
    <row r="1014" ht="15.75" customHeight="1">
      <c r="G1014" s="34"/>
      <c r="L1014" s="34"/>
      <c r="M1014" s="34"/>
      <c r="P1014" s="34"/>
      <c r="Q1014" s="34"/>
      <c r="R1014" s="37" t="s">
        <v>1994</v>
      </c>
      <c r="S1014" s="34" t="s">
        <v>1995</v>
      </c>
      <c r="U1014" s="34"/>
    </row>
    <row r="1015" ht="15.75" customHeight="1">
      <c r="G1015" s="34"/>
      <c r="K1015" s="37" t="s">
        <v>1996</v>
      </c>
      <c r="L1015" s="34" t="s">
        <v>1997</v>
      </c>
      <c r="M1015" s="31"/>
      <c r="N1015" s="31"/>
    </row>
    <row r="1016" ht="15.75" customHeight="1">
      <c r="G1016" s="34"/>
      <c r="L1016" s="48" t="s">
        <v>1998</v>
      </c>
      <c r="M1016" s="31" t="s">
        <v>1999</v>
      </c>
      <c r="N1016" s="31"/>
    </row>
    <row r="1017" ht="15.75" customHeight="1">
      <c r="G1017" s="34"/>
      <c r="M1017" s="37" t="s">
        <v>2000</v>
      </c>
      <c r="N1017" s="34" t="s">
        <v>2001</v>
      </c>
    </row>
    <row r="1018" ht="15.75" customHeight="1">
      <c r="G1018" s="34"/>
      <c r="N1018" s="37" t="s">
        <v>2002</v>
      </c>
      <c r="O1018" s="34" t="s">
        <v>2003</v>
      </c>
    </row>
    <row r="1019" ht="15.75" customHeight="1">
      <c r="G1019" s="34"/>
      <c r="N1019" s="34"/>
      <c r="O1019" s="37" t="s">
        <v>2004</v>
      </c>
      <c r="P1019" s="34" t="s">
        <v>2005</v>
      </c>
    </row>
    <row r="1020" ht="15.75" customHeight="1">
      <c r="G1020" s="34"/>
      <c r="L1020" s="37" t="s">
        <v>2006</v>
      </c>
      <c r="M1020" s="34" t="s">
        <v>2007</v>
      </c>
      <c r="N1020" s="34"/>
      <c r="O1020" s="34"/>
      <c r="P1020" s="34"/>
    </row>
    <row r="1021" ht="15.75" customHeight="1">
      <c r="G1021" s="34"/>
      <c r="M1021" s="48" t="s">
        <v>2008</v>
      </c>
      <c r="N1021" s="31" t="s">
        <v>2009</v>
      </c>
    </row>
    <row r="1022" ht="15.75" customHeight="1">
      <c r="G1022" s="34"/>
      <c r="M1022" s="37" t="s">
        <v>2010</v>
      </c>
      <c r="N1022" s="34" t="s">
        <v>2011</v>
      </c>
    </row>
    <row r="1023" ht="15.75" customHeight="1">
      <c r="G1023" s="34"/>
      <c r="M1023" s="37" t="s">
        <v>2012</v>
      </c>
      <c r="N1023" s="34" t="s">
        <v>2013</v>
      </c>
    </row>
    <row r="1024" ht="15.75" customHeight="1">
      <c r="G1024" s="34"/>
      <c r="M1024" s="37" t="s">
        <v>2014</v>
      </c>
      <c r="N1024" s="34" t="s">
        <v>2015</v>
      </c>
    </row>
    <row r="1025" ht="15.75" customHeight="1">
      <c r="G1025" s="34"/>
      <c r="N1025" s="37" t="s">
        <v>2016</v>
      </c>
      <c r="O1025" s="34" t="s">
        <v>2017</v>
      </c>
    </row>
    <row r="1026" ht="15.75" customHeight="1">
      <c r="G1026" s="34"/>
      <c r="M1026" s="31"/>
    </row>
    <row r="1027" ht="15.75" customHeight="1">
      <c r="F1027" s="37" t="s">
        <v>2018</v>
      </c>
      <c r="G1027" s="34" t="s">
        <v>2019</v>
      </c>
    </row>
    <row r="1028" ht="15.75" customHeight="1">
      <c r="G1028" s="37" t="s">
        <v>2020</v>
      </c>
      <c r="H1028" s="30" t="s">
        <v>2021</v>
      </c>
    </row>
    <row r="1029" ht="15.75" customHeight="1">
      <c r="H1029" s="37" t="s">
        <v>2022</v>
      </c>
      <c r="I1029" s="30" t="s">
        <v>2023</v>
      </c>
    </row>
    <row r="1030" ht="15.75" customHeight="1">
      <c r="G1030" s="37" t="s">
        <v>2024</v>
      </c>
      <c r="H1030" s="30" t="s">
        <v>2025</v>
      </c>
      <c r="O1030" s="30"/>
    </row>
    <row r="1031" ht="15.75" customHeight="1">
      <c r="H1031" s="37" t="s">
        <v>2026</v>
      </c>
      <c r="I1031" s="30" t="s">
        <v>2027</v>
      </c>
    </row>
    <row r="1032" ht="15.75" customHeight="1">
      <c r="H1032" s="37" t="s">
        <v>2028</v>
      </c>
      <c r="I1032" s="69" t="s">
        <v>2029</v>
      </c>
      <c r="J1032" s="30"/>
      <c r="K1032" s="30"/>
      <c r="L1032" s="30"/>
      <c r="M1032" s="30"/>
      <c r="N1032" s="30"/>
      <c r="O1032" s="30"/>
    </row>
    <row r="1033" ht="15.75" customHeight="1">
      <c r="I1033" s="37" t="s">
        <v>2030</v>
      </c>
      <c r="J1033" s="69" t="s">
        <v>2031</v>
      </c>
      <c r="K1033" s="30"/>
      <c r="L1033" s="30"/>
      <c r="M1033" s="30"/>
      <c r="N1033" s="30"/>
      <c r="O1033" s="30"/>
    </row>
    <row r="1034" ht="15.75" customHeight="1">
      <c r="J1034" s="37" t="s">
        <v>2032</v>
      </c>
      <c r="K1034" s="30" t="s">
        <v>2033</v>
      </c>
    </row>
    <row r="1035" ht="15.75" customHeight="1">
      <c r="K1035" s="37" t="s">
        <v>2034</v>
      </c>
      <c r="L1035" s="69" t="s">
        <v>2035</v>
      </c>
      <c r="M1035" s="30"/>
      <c r="N1035" s="30"/>
      <c r="O1035" s="30"/>
      <c r="P1035" s="30"/>
    </row>
    <row r="1036" ht="15.75" customHeight="1">
      <c r="K1036" s="30"/>
      <c r="L1036" s="37" t="s">
        <v>2036</v>
      </c>
      <c r="M1036" s="30" t="s">
        <v>2037</v>
      </c>
      <c r="N1036" s="30"/>
      <c r="O1036" s="30"/>
      <c r="P1036" s="30"/>
    </row>
    <row r="1037" ht="15.75" customHeight="1">
      <c r="K1037" s="37" t="s">
        <v>2038</v>
      </c>
      <c r="L1037" s="69" t="s">
        <v>2039</v>
      </c>
      <c r="M1037" s="30"/>
      <c r="N1037" s="30"/>
      <c r="O1037" s="30"/>
      <c r="P1037" s="30"/>
    </row>
    <row r="1038" ht="15.75" customHeight="1">
      <c r="J1038" s="37" t="s">
        <v>2040</v>
      </c>
      <c r="K1038" s="69" t="s">
        <v>2041</v>
      </c>
      <c r="L1038" s="69"/>
      <c r="M1038" s="30"/>
      <c r="N1038" s="30"/>
      <c r="O1038" s="30"/>
      <c r="P1038" s="30"/>
    </row>
    <row r="1039" ht="15.75" customHeight="1">
      <c r="K1039" s="37" t="s">
        <v>2042</v>
      </c>
      <c r="L1039" s="30" t="s">
        <v>2043</v>
      </c>
    </row>
    <row r="1040" ht="15.75" customHeight="1">
      <c r="L1040" s="37" t="s">
        <v>2044</v>
      </c>
      <c r="M1040" s="70" t="s">
        <v>2045</v>
      </c>
      <c r="N1040" s="30"/>
      <c r="O1040" s="30"/>
      <c r="P1040" s="30"/>
      <c r="Q1040" s="30"/>
    </row>
    <row r="1041" ht="15.75" customHeight="1">
      <c r="L1041" s="48" t="s">
        <v>2046</v>
      </c>
      <c r="M1041" s="31" t="s">
        <v>2047</v>
      </c>
      <c r="N1041" s="30"/>
      <c r="O1041" s="30"/>
      <c r="P1041" s="30"/>
      <c r="Q1041" s="30"/>
    </row>
    <row r="1042" ht="15.75" customHeight="1">
      <c r="M1042" s="37" t="s">
        <v>2048</v>
      </c>
      <c r="N1042" s="30" t="s">
        <v>2049</v>
      </c>
      <c r="O1042" s="30"/>
      <c r="P1042" s="30"/>
      <c r="Q1042" s="30"/>
    </row>
    <row r="1043" ht="15.75" customHeight="1">
      <c r="K1043" s="37" t="s">
        <v>2050</v>
      </c>
      <c r="L1043" s="34" t="s">
        <v>2051</v>
      </c>
      <c r="M1043" s="30"/>
      <c r="N1043" s="30"/>
      <c r="O1043" s="30"/>
      <c r="P1043" s="30"/>
      <c r="Q1043" s="30"/>
    </row>
    <row r="1044" ht="15.75" customHeight="1">
      <c r="L1044" s="37" t="s">
        <v>2052</v>
      </c>
      <c r="M1044" s="30" t="s">
        <v>2053</v>
      </c>
      <c r="N1044" s="30"/>
      <c r="O1044" s="30"/>
      <c r="P1044" s="30"/>
      <c r="Q1044" s="30"/>
    </row>
    <row r="1045" ht="15.75" customHeight="1">
      <c r="L1045" s="34"/>
      <c r="M1045" s="37" t="s">
        <v>2054</v>
      </c>
      <c r="N1045" s="30" t="s">
        <v>2055</v>
      </c>
      <c r="O1045" s="30"/>
      <c r="P1045" s="30"/>
      <c r="Q1045" s="30"/>
    </row>
    <row r="1046" ht="15.75" customHeight="1">
      <c r="L1046" s="37" t="s">
        <v>2056</v>
      </c>
      <c r="M1046" s="30" t="s">
        <v>2057</v>
      </c>
      <c r="N1046" s="30"/>
      <c r="O1046" s="30"/>
      <c r="P1046" s="30"/>
      <c r="Q1046" s="30"/>
    </row>
    <row r="1047" ht="15.75" customHeight="1">
      <c r="M1047" s="37" t="s">
        <v>2058</v>
      </c>
      <c r="N1047" s="30" t="s">
        <v>2059</v>
      </c>
      <c r="O1047" s="30"/>
      <c r="P1047" s="30"/>
      <c r="Q1047" s="30"/>
    </row>
    <row r="1048" ht="15.75" customHeight="1">
      <c r="M1048" s="30"/>
      <c r="N1048" s="37" t="s">
        <v>2060</v>
      </c>
      <c r="O1048" s="30" t="s">
        <v>2061</v>
      </c>
      <c r="P1048" s="30"/>
      <c r="Q1048" s="30"/>
    </row>
    <row r="1049" ht="15.75" customHeight="1">
      <c r="M1049" s="30"/>
      <c r="N1049" s="37" t="s">
        <v>2062</v>
      </c>
      <c r="O1049" s="30" t="s">
        <v>2063</v>
      </c>
      <c r="P1049" s="30"/>
      <c r="Q1049" s="30"/>
    </row>
    <row r="1050" ht="15.75" customHeight="1">
      <c r="M1050" s="30"/>
      <c r="N1050" s="30"/>
      <c r="O1050" s="37" t="s">
        <v>2064</v>
      </c>
      <c r="P1050" s="30" t="s">
        <v>2065</v>
      </c>
      <c r="Q1050" s="30"/>
    </row>
    <row r="1051" ht="15.75" customHeight="1">
      <c r="M1051" s="30"/>
      <c r="N1051" s="30"/>
      <c r="O1051" s="30"/>
      <c r="P1051" s="37" t="s">
        <v>2066</v>
      </c>
      <c r="Q1051" s="30" t="s">
        <v>2067</v>
      </c>
    </row>
    <row r="1052" ht="15.75" customHeight="1">
      <c r="M1052" s="30"/>
      <c r="N1052" s="30"/>
      <c r="O1052" s="37" t="s">
        <v>2068</v>
      </c>
      <c r="P1052" s="30" t="s">
        <v>2069</v>
      </c>
      <c r="Q1052" s="30"/>
    </row>
    <row r="1053" ht="15.75" customHeight="1">
      <c r="M1053" s="30"/>
      <c r="N1053" s="30"/>
      <c r="O1053" s="30"/>
      <c r="P1053" s="37" t="s">
        <v>2070</v>
      </c>
      <c r="Q1053" s="30" t="s">
        <v>2071</v>
      </c>
    </row>
    <row r="1054" ht="15.75" customHeight="1">
      <c r="M1054" s="30"/>
      <c r="N1054" s="30"/>
      <c r="O1054" s="30"/>
      <c r="P1054" s="37" t="s">
        <v>2072</v>
      </c>
      <c r="Q1054" s="30" t="s">
        <v>2073</v>
      </c>
    </row>
    <row r="1055" ht="15.75" customHeight="1">
      <c r="M1055" s="30"/>
      <c r="N1055" s="30"/>
      <c r="O1055" s="30"/>
      <c r="P1055" s="30"/>
      <c r="Q1055" s="37" t="s">
        <v>2074</v>
      </c>
      <c r="R1055" s="34" t="s">
        <v>2075</v>
      </c>
    </row>
    <row r="1056" ht="15.75" customHeight="1">
      <c r="M1056" s="30"/>
      <c r="N1056" s="30"/>
      <c r="O1056" s="30"/>
      <c r="P1056" s="30"/>
      <c r="Q1056" s="30"/>
      <c r="R1056" s="37" t="s">
        <v>2076</v>
      </c>
      <c r="S1056" s="34" t="s">
        <v>2077</v>
      </c>
    </row>
    <row r="1057" ht="15.75" customHeight="1">
      <c r="M1057" s="30"/>
      <c r="N1057" s="30"/>
      <c r="O1057" s="30"/>
      <c r="P1057" s="30"/>
      <c r="Q1057" s="30"/>
      <c r="S1057" s="37" t="s">
        <v>2078</v>
      </c>
      <c r="T1057" s="34" t="s">
        <v>2079</v>
      </c>
    </row>
    <row r="1058" ht="15.75" customHeight="1">
      <c r="D1058" s="37" t="s">
        <v>2080</v>
      </c>
      <c r="E1058" s="30" t="s">
        <v>2081</v>
      </c>
    </row>
    <row r="1059" ht="15.75" customHeight="1">
      <c r="E1059" s="48" t="s">
        <v>2082</v>
      </c>
      <c r="F1059" s="31" t="s">
        <v>2083</v>
      </c>
    </row>
    <row r="1060" ht="15.75" customHeight="1">
      <c r="E1060" s="37" t="s">
        <v>2084</v>
      </c>
      <c r="F1060" s="30" t="s">
        <v>2085</v>
      </c>
    </row>
    <row r="1061" ht="15.75" customHeight="1">
      <c r="F1061" s="37" t="s">
        <v>2086</v>
      </c>
      <c r="G1061" s="34" t="s">
        <v>2087</v>
      </c>
    </row>
    <row r="1062" ht="15.75" customHeight="1">
      <c r="G1062" s="37" t="s">
        <v>2088</v>
      </c>
      <c r="H1062" s="34" t="s">
        <v>2089</v>
      </c>
    </row>
    <row r="1063" ht="15.75" customHeight="1">
      <c r="H1063" s="37" t="s">
        <v>2090</v>
      </c>
      <c r="I1063" s="34" t="s">
        <v>2091</v>
      </c>
    </row>
    <row r="1064" ht="15.75" customHeight="1">
      <c r="I1064" s="37" t="s">
        <v>2092</v>
      </c>
      <c r="J1064" s="34" t="s">
        <v>2093</v>
      </c>
    </row>
    <row r="1065" ht="15.75" customHeight="1">
      <c r="I1065" s="34"/>
      <c r="J1065" s="37" t="s">
        <v>2094</v>
      </c>
      <c r="K1065" s="34" t="s">
        <v>2095</v>
      </c>
    </row>
    <row r="1066" ht="15.75" customHeight="1">
      <c r="I1066" s="34"/>
      <c r="K1066" s="37" t="s">
        <v>2096</v>
      </c>
      <c r="L1066" s="34" t="s">
        <v>2097</v>
      </c>
    </row>
    <row r="1067" ht="15.75" customHeight="1">
      <c r="I1067" s="34"/>
      <c r="L1067" s="37" t="s">
        <v>2098</v>
      </c>
      <c r="M1067" s="34" t="s">
        <v>2099</v>
      </c>
    </row>
    <row r="1068" ht="15.75" customHeight="1">
      <c r="J1068" s="48" t="s">
        <v>2100</v>
      </c>
      <c r="K1068" s="31" t="s">
        <v>2101</v>
      </c>
    </row>
    <row r="1069" ht="15.75" customHeight="1">
      <c r="K1069" s="37" t="s">
        <v>2102</v>
      </c>
      <c r="L1069" s="34" t="s">
        <v>2103</v>
      </c>
    </row>
    <row r="1070" ht="15.75" customHeight="1">
      <c r="L1070" s="37" t="s">
        <v>2104</v>
      </c>
      <c r="M1070" s="34" t="s">
        <v>2105</v>
      </c>
    </row>
    <row r="1071" ht="15.75" customHeight="1">
      <c r="L1071" s="42"/>
      <c r="M1071" s="37" t="s">
        <v>2106</v>
      </c>
      <c r="N1071" s="34" t="s">
        <v>2107</v>
      </c>
    </row>
    <row r="1072" ht="15.75" customHeight="1">
      <c r="K1072" s="37" t="s">
        <v>2108</v>
      </c>
      <c r="L1072" s="34" t="s">
        <v>2109</v>
      </c>
      <c r="M1072" s="42"/>
      <c r="N1072" s="34"/>
    </row>
    <row r="1073" ht="15.75" customHeight="1">
      <c r="L1073" s="48" t="s">
        <v>2110</v>
      </c>
      <c r="M1073" s="55" t="s">
        <v>2111</v>
      </c>
    </row>
    <row r="1074" ht="15.75" customHeight="1">
      <c r="M1074" s="37" t="s">
        <v>2112</v>
      </c>
      <c r="N1074" s="41" t="s">
        <v>2113</v>
      </c>
    </row>
    <row r="1075" ht="15.75" customHeight="1">
      <c r="L1075" s="37" t="s">
        <v>2114</v>
      </c>
      <c r="M1075" s="34" t="s">
        <v>2115</v>
      </c>
    </row>
    <row r="1076" ht="15.75" customHeight="1">
      <c r="C1076" s="24" t="s">
        <v>2116</v>
      </c>
      <c r="D1076" s="44" t="s">
        <v>2117</v>
      </c>
    </row>
    <row r="1077" ht="15.75" customHeight="1">
      <c r="C1077" s="28" t="s">
        <v>2118</v>
      </c>
      <c r="D1077" s="32" t="s">
        <v>2119</v>
      </c>
    </row>
    <row r="1078" ht="15.75" customHeight="1">
      <c r="D1078" s="24" t="s">
        <v>2120</v>
      </c>
      <c r="E1078" s="44" t="s">
        <v>2121</v>
      </c>
    </row>
    <row r="1079" ht="15.75" customHeight="1">
      <c r="D1079" s="28" t="s">
        <v>2122</v>
      </c>
      <c r="E1079" s="29" t="s">
        <v>2123</v>
      </c>
    </row>
    <row r="1080" ht="15.75" customHeight="1">
      <c r="E1080" s="28" t="s">
        <v>2124</v>
      </c>
      <c r="F1080" s="32" t="s">
        <v>2125</v>
      </c>
    </row>
    <row r="1081" ht="15.75" customHeight="1">
      <c r="F1081" s="28" t="s">
        <v>2126</v>
      </c>
      <c r="G1081" s="29" t="s">
        <v>2127</v>
      </c>
    </row>
    <row r="1082" ht="15.75" customHeight="1">
      <c r="F1082" s="28" t="s">
        <v>2128</v>
      </c>
      <c r="G1082" s="29" t="s">
        <v>2129</v>
      </c>
    </row>
    <row r="1083" ht="15.75" customHeight="1">
      <c r="E1083" s="28" t="s">
        <v>2130</v>
      </c>
      <c r="F1083" s="29" t="s">
        <v>2131</v>
      </c>
    </row>
    <row r="1084" ht="15.75" customHeight="1">
      <c r="F1084" s="28" t="s">
        <v>2132</v>
      </c>
      <c r="G1084" s="32" t="s">
        <v>2133</v>
      </c>
    </row>
    <row r="1085" ht="15.75" customHeight="1">
      <c r="F1085" s="28" t="s">
        <v>2134</v>
      </c>
      <c r="G1085" s="29" t="s">
        <v>2135</v>
      </c>
    </row>
    <row r="1086" ht="15.75" customHeight="1">
      <c r="G1086" s="28" t="s">
        <v>2136</v>
      </c>
      <c r="H1086" s="30" t="s">
        <v>2137</v>
      </c>
    </row>
    <row r="1087" ht="15.75" customHeight="1">
      <c r="D1087" s="28" t="s">
        <v>2138</v>
      </c>
      <c r="E1087" s="29" t="s">
        <v>2139</v>
      </c>
    </row>
    <row r="1088" ht="15.75" customHeight="1">
      <c r="E1088" s="24" t="s">
        <v>2140</v>
      </c>
      <c r="F1088" s="31" t="s">
        <v>2141</v>
      </c>
    </row>
    <row r="1089" ht="15.75" customHeight="1">
      <c r="E1089" s="28" t="s">
        <v>2142</v>
      </c>
      <c r="F1089" s="30" t="s">
        <v>2143</v>
      </c>
    </row>
    <row r="1090" ht="15.75" customHeight="1">
      <c r="F1090" s="24" t="s">
        <v>2144</v>
      </c>
      <c r="G1090" s="71" t="s">
        <v>2145</v>
      </c>
    </row>
    <row r="1091" ht="15.75" customHeight="1">
      <c r="F1091" s="28" t="s">
        <v>2146</v>
      </c>
      <c r="G1091" s="29" t="s">
        <v>2147</v>
      </c>
    </row>
    <row r="1092" ht="15.75" customHeight="1">
      <c r="G1092" s="28" t="s">
        <v>2148</v>
      </c>
      <c r="H1092" s="29" t="s">
        <v>2149</v>
      </c>
    </row>
    <row r="1093" ht="15.75" customHeight="1">
      <c r="H1093" s="28" t="s">
        <v>2150</v>
      </c>
      <c r="I1093" s="29" t="s">
        <v>2151</v>
      </c>
    </row>
    <row r="1094" ht="15.75" customHeight="1">
      <c r="I1094" s="28" t="s">
        <v>2152</v>
      </c>
      <c r="J1094" s="30" t="s">
        <v>2153</v>
      </c>
    </row>
    <row r="1095" ht="15.75" customHeight="1">
      <c r="J1095" s="28" t="s">
        <v>2154</v>
      </c>
      <c r="K1095" s="29" t="s">
        <v>2155</v>
      </c>
    </row>
    <row r="1096" ht="15.75" customHeight="1">
      <c r="K1096" s="28" t="s">
        <v>2156</v>
      </c>
      <c r="L1096" s="29" t="s">
        <v>2157</v>
      </c>
    </row>
    <row r="1097" ht="15.75" customHeight="1">
      <c r="L1097" s="24" t="s">
        <v>2158</v>
      </c>
      <c r="M1097" s="60" t="s">
        <v>2159</v>
      </c>
    </row>
    <row r="1098" ht="15.75" customHeight="1">
      <c r="M1098" s="24" t="s">
        <v>2160</v>
      </c>
      <c r="N1098" t="s">
        <v>2161</v>
      </c>
    </row>
    <row r="1099" ht="15.75" customHeight="1">
      <c r="N1099" s="28" t="s">
        <v>2162</v>
      </c>
      <c r="O1099" s="29" t="s">
        <v>2163</v>
      </c>
    </row>
    <row r="1100" ht="15.75" customHeight="1">
      <c r="O1100" s="24" t="s">
        <v>2164</v>
      </c>
      <c r="P1100" t="s">
        <v>2165</v>
      </c>
    </row>
    <row r="1101" ht="15.75" customHeight="1">
      <c r="O1101" s="28" t="s">
        <v>2166</v>
      </c>
      <c r="P1101" s="29" t="s">
        <v>2167</v>
      </c>
    </row>
    <row r="1102" ht="15.75" customHeight="1">
      <c r="P1102" s="28" t="s">
        <v>2168</v>
      </c>
      <c r="Q1102" s="29" t="s">
        <v>2169</v>
      </c>
    </row>
    <row r="1103" ht="15.75" customHeight="1">
      <c r="Q1103" s="28" t="s">
        <v>2170</v>
      </c>
      <c r="R1103" s="29" t="s">
        <v>2171</v>
      </c>
    </row>
    <row r="1104" ht="15.75" customHeight="1">
      <c r="Q1104" s="28" t="s">
        <v>2172</v>
      </c>
      <c r="R1104" s="29" t="s">
        <v>2173</v>
      </c>
    </row>
    <row r="1105" ht="15.75" customHeight="1">
      <c r="R1105" s="28" t="s">
        <v>2174</v>
      </c>
      <c r="S1105" s="29" t="s">
        <v>2175</v>
      </c>
      <c r="T1105" s="29"/>
      <c r="U1105" s="29"/>
      <c r="V1105" s="29"/>
      <c r="W1105" s="29"/>
    </row>
    <row r="1106" ht="15.75" customHeight="1">
      <c r="R1106" s="28" t="s">
        <v>2176</v>
      </c>
      <c r="S1106" s="32" t="s">
        <v>2177</v>
      </c>
    </row>
    <row r="1107" ht="15.75" customHeight="1">
      <c r="S1107" s="28" t="s">
        <v>2178</v>
      </c>
      <c r="T1107" s="29" t="s">
        <v>2179</v>
      </c>
    </row>
    <row r="1108" ht="15.75" customHeight="1">
      <c r="Q1108" s="28" t="s">
        <v>2180</v>
      </c>
      <c r="R1108" s="29" t="s">
        <v>2181</v>
      </c>
    </row>
    <row r="1109" ht="15.75" customHeight="1">
      <c r="Q1109" s="28" t="s">
        <v>2182</v>
      </c>
      <c r="R1109" s="29" t="s">
        <v>2183</v>
      </c>
    </row>
    <row r="1110" ht="15.75" customHeight="1">
      <c r="Q1110" s="28" t="s">
        <v>2184</v>
      </c>
      <c r="R1110" s="29" t="s">
        <v>2185</v>
      </c>
    </row>
    <row r="1111" ht="15.75" customHeight="1">
      <c r="Q1111" s="28" t="s">
        <v>2186</v>
      </c>
      <c r="R1111" s="29" t="s">
        <v>2187</v>
      </c>
    </row>
    <row r="1112" ht="15.75" customHeight="1">
      <c r="R1112" s="28" t="s">
        <v>2188</v>
      </c>
      <c r="S1112" s="29" t="s">
        <v>2189</v>
      </c>
    </row>
    <row r="1113" ht="15.75" customHeight="1">
      <c r="S1113" s="28" t="s">
        <v>2190</v>
      </c>
      <c r="T1113" s="29" t="s">
        <v>2191</v>
      </c>
    </row>
    <row r="1114" ht="15.75" customHeight="1">
      <c r="S1114" s="28" t="s">
        <v>2192</v>
      </c>
      <c r="T1114" s="29" t="s">
        <v>2193</v>
      </c>
    </row>
    <row r="1115" ht="15.75" customHeight="1">
      <c r="T1115" s="28" t="s">
        <v>2194</v>
      </c>
      <c r="U1115" s="29" t="s">
        <v>2195</v>
      </c>
    </row>
    <row r="1116" ht="15.75" customHeight="1">
      <c r="U1116" s="28" t="s">
        <v>2196</v>
      </c>
      <c r="V1116" s="29" t="s">
        <v>2197</v>
      </c>
    </row>
    <row r="1117" ht="15.75" customHeight="1">
      <c r="V1117" s="28" t="s">
        <v>2198</v>
      </c>
      <c r="W1117" s="29" t="s">
        <v>2199</v>
      </c>
    </row>
    <row r="1118" ht="15.75" customHeight="1">
      <c r="O1118" s="28" t="s">
        <v>2200</v>
      </c>
      <c r="P1118" s="29" t="s">
        <v>2201</v>
      </c>
    </row>
    <row r="1119" ht="15.75" customHeight="1">
      <c r="P1119" s="28" t="s">
        <v>2202</v>
      </c>
      <c r="Q1119" s="29" t="s">
        <v>2203</v>
      </c>
    </row>
    <row r="1120" ht="15.75" customHeight="1">
      <c r="Q1120" s="28" t="s">
        <v>2204</v>
      </c>
      <c r="R1120" s="29" t="s">
        <v>2205</v>
      </c>
    </row>
    <row r="1121" ht="15.75" customHeight="1">
      <c r="O1121" s="28" t="s">
        <v>2206</v>
      </c>
      <c r="P1121" s="29" t="s">
        <v>2207</v>
      </c>
    </row>
    <row r="1122" ht="15.75" customHeight="1">
      <c r="N1122" s="28" t="s">
        <v>2208</v>
      </c>
      <c r="O1122" s="29" t="s">
        <v>2209</v>
      </c>
    </row>
    <row r="1123" ht="15.75" customHeight="1">
      <c r="O1123" s="28" t="s">
        <v>2210</v>
      </c>
      <c r="P1123" s="29" t="s">
        <v>2211</v>
      </c>
    </row>
    <row r="1124" ht="15.75" customHeight="1">
      <c r="P1124" s="28" t="s">
        <v>2212</v>
      </c>
      <c r="Q1124" s="30" t="s">
        <v>2213</v>
      </c>
    </row>
    <row r="1125" ht="15.75" customHeight="1">
      <c r="P1125" s="28" t="s">
        <v>2214</v>
      </c>
      <c r="Q1125" s="29" t="s">
        <v>2215</v>
      </c>
    </row>
    <row r="1126" ht="15.75" customHeight="1">
      <c r="M1126" s="28" t="s">
        <v>2216</v>
      </c>
      <c r="N1126" s="30" t="s">
        <v>2217</v>
      </c>
    </row>
    <row r="1127" ht="15.75" customHeight="1">
      <c r="N1127" s="28" t="s">
        <v>2218</v>
      </c>
      <c r="O1127" s="29" t="s">
        <v>2219</v>
      </c>
    </row>
    <row r="1128" ht="15.75" customHeight="1">
      <c r="K1128" s="28" t="s">
        <v>2220</v>
      </c>
      <c r="L1128" s="29" t="s">
        <v>2221</v>
      </c>
    </row>
    <row r="1129" ht="15.75" customHeight="1">
      <c r="L1129" s="28" t="s">
        <v>2222</v>
      </c>
      <c r="M1129" s="29" t="s">
        <v>2223</v>
      </c>
    </row>
    <row r="1130" ht="15.75" customHeight="1">
      <c r="M1130" s="28" t="s">
        <v>2224</v>
      </c>
      <c r="N1130" s="29" t="s">
        <v>2225</v>
      </c>
    </row>
    <row r="1131" ht="15.75" customHeight="1">
      <c r="L1131" s="28" t="s">
        <v>2226</v>
      </c>
      <c r="M1131" s="29" t="s">
        <v>2227</v>
      </c>
    </row>
    <row r="1132" ht="15.75" customHeight="1">
      <c r="L1132" s="28" t="s">
        <v>2228</v>
      </c>
      <c r="M1132" s="29" t="s">
        <v>2229</v>
      </c>
    </row>
    <row r="1133" ht="15.75" customHeight="1">
      <c r="M1133" s="28" t="s">
        <v>2230</v>
      </c>
      <c r="N1133" s="72" t="s">
        <v>2231</v>
      </c>
      <c r="O1133" s="72"/>
      <c r="P1133" s="72"/>
      <c r="Q1133" s="72"/>
      <c r="R1133" s="72"/>
    </row>
    <row r="1134" ht="15.75" customHeight="1">
      <c r="M1134" s="28" t="s">
        <v>2232</v>
      </c>
      <c r="N1134" s="73" t="s">
        <v>2233</v>
      </c>
    </row>
    <row r="1135" ht="15.75" customHeight="1">
      <c r="M1135" s="28" t="s">
        <v>2234</v>
      </c>
      <c r="N1135" s="73" t="s">
        <v>2235</v>
      </c>
    </row>
    <row r="1136" ht="15.75" customHeight="1">
      <c r="J1136" s="28" t="s">
        <v>2236</v>
      </c>
      <c r="K1136" s="29" t="s">
        <v>2237</v>
      </c>
    </row>
    <row r="1137" ht="15.75" customHeight="1">
      <c r="I1137" s="28" t="s">
        <v>2238</v>
      </c>
      <c r="J1137" s="30" t="s">
        <v>2239</v>
      </c>
    </row>
    <row r="1138" ht="15.75" customHeight="1">
      <c r="J1138" s="28" t="s">
        <v>2240</v>
      </c>
      <c r="K1138" s="29" t="s">
        <v>2241</v>
      </c>
    </row>
    <row r="1139" ht="15.75" customHeight="1">
      <c r="K1139" s="28" t="s">
        <v>2242</v>
      </c>
      <c r="L1139" s="29" t="s">
        <v>2243</v>
      </c>
    </row>
    <row r="1140" ht="15.75" customHeight="1">
      <c r="H1140" s="28" t="s">
        <v>2244</v>
      </c>
      <c r="I1140" s="29" t="s">
        <v>2245</v>
      </c>
    </row>
    <row r="1141" ht="15.75" customHeight="1">
      <c r="G1141" s="28" t="s">
        <v>2246</v>
      </c>
      <c r="H1141" s="32" t="s">
        <v>2247</v>
      </c>
    </row>
    <row r="1142" ht="15.75" customHeight="1">
      <c r="F1142" s="28" t="s">
        <v>2248</v>
      </c>
      <c r="G1142" s="29" t="s">
        <v>2249</v>
      </c>
    </row>
    <row r="1143" ht="15.75" customHeight="1">
      <c r="G1143" s="28" t="s">
        <v>2250</v>
      </c>
      <c r="H1143" s="30" t="s">
        <v>2251</v>
      </c>
    </row>
    <row r="1144" ht="15.75" customHeight="1">
      <c r="H1144" s="28" t="s">
        <v>2252</v>
      </c>
      <c r="I1144" s="29" t="s">
        <v>2253</v>
      </c>
    </row>
    <row r="1145" ht="15.75" customHeight="1">
      <c r="G1145" s="28" t="s">
        <v>2254</v>
      </c>
      <c r="H1145" s="34" t="s">
        <v>2255</v>
      </c>
    </row>
    <row r="1146" ht="15.75" customHeight="1">
      <c r="H1146" s="28" t="s">
        <v>2256</v>
      </c>
      <c r="I1146" s="34" t="s">
        <v>2257</v>
      </c>
    </row>
    <row r="1147" ht="15.75" customHeight="1">
      <c r="I1147" s="28" t="s">
        <v>2258</v>
      </c>
      <c r="J1147" s="29" t="s">
        <v>2259</v>
      </c>
    </row>
    <row r="1148" ht="15.75" customHeight="1">
      <c r="J1148" s="28" t="s">
        <v>2260</v>
      </c>
      <c r="K1148" s="29" t="s">
        <v>2261</v>
      </c>
    </row>
    <row r="1149" ht="15.75" customHeight="1">
      <c r="K1149" s="28" t="s">
        <v>2262</v>
      </c>
      <c r="L1149" s="32" t="s">
        <v>2263</v>
      </c>
    </row>
    <row r="1150" ht="15.75" customHeight="1">
      <c r="K1150" s="28" t="s">
        <v>2264</v>
      </c>
      <c r="L1150" s="29" t="s">
        <v>2265</v>
      </c>
      <c r="M1150" s="29"/>
      <c r="N1150" s="29"/>
      <c r="O1150" s="29"/>
      <c r="P1150" s="29"/>
      <c r="Q1150" s="29"/>
    </row>
    <row r="1151" ht="15.75" customHeight="1">
      <c r="K1151" s="28" t="s">
        <v>2266</v>
      </c>
      <c r="L1151" s="32" t="s">
        <v>2267</v>
      </c>
    </row>
    <row r="1152" ht="15.75" customHeight="1">
      <c r="H1152" s="24" t="s">
        <v>2268</v>
      </c>
      <c r="I1152" s="74" t="s">
        <v>2269</v>
      </c>
    </row>
    <row r="1153" ht="15.75" customHeight="1">
      <c r="I1153" s="24" t="s">
        <v>2270</v>
      </c>
      <c r="J1153" s="75" t="s">
        <v>2271</v>
      </c>
    </row>
    <row r="1154" ht="15.75" customHeight="1">
      <c r="J1154" s="24" t="s">
        <v>2272</v>
      </c>
      <c r="K1154" s="74" t="s">
        <v>2273</v>
      </c>
    </row>
    <row r="1155" ht="15.75" customHeight="1">
      <c r="K1155" s="28" t="s">
        <v>2274</v>
      </c>
      <c r="L1155" s="32" t="s">
        <v>2275</v>
      </c>
    </row>
    <row r="1156" ht="15.75" customHeight="1">
      <c r="I1156" s="24" t="s">
        <v>2276</v>
      </c>
      <c r="J1156" s="74" t="s">
        <v>2277</v>
      </c>
    </row>
    <row r="1157" ht="15.75" customHeight="1">
      <c r="J1157" s="24" t="s">
        <v>2278</v>
      </c>
      <c r="K1157" s="75" t="s">
        <v>2279</v>
      </c>
    </row>
    <row r="1158" ht="15.75" customHeight="1">
      <c r="K1158" s="28" t="s">
        <v>2280</v>
      </c>
      <c r="L1158" s="32" t="s">
        <v>2281</v>
      </c>
    </row>
    <row r="1159" ht="15.75" customHeight="1">
      <c r="K1159" s="28" t="s">
        <v>2282</v>
      </c>
      <c r="L1159" s="29" t="s">
        <v>2283</v>
      </c>
    </row>
    <row r="1160" ht="15.75" customHeight="1">
      <c r="L1160" s="28" t="s">
        <v>2284</v>
      </c>
      <c r="M1160" s="30" t="s">
        <v>2285</v>
      </c>
    </row>
    <row r="1161" ht="15.75" customHeight="1">
      <c r="E1161" s="28" t="s">
        <v>2286</v>
      </c>
      <c r="F1161" s="34" t="s">
        <v>2287</v>
      </c>
    </row>
    <row r="1162" ht="15.75" customHeight="1">
      <c r="F1162" s="28" t="s">
        <v>2288</v>
      </c>
      <c r="G1162" s="29" t="s">
        <v>2289</v>
      </c>
    </row>
    <row r="1163" ht="15.75" customHeight="1">
      <c r="G1163" s="28" t="s">
        <v>2290</v>
      </c>
      <c r="H1163" s="29" t="s">
        <v>2291</v>
      </c>
    </row>
    <row r="1164" ht="15.75" customHeight="1">
      <c r="F1164" s="28" t="s">
        <v>2292</v>
      </c>
      <c r="G1164" s="32" t="s">
        <v>2293</v>
      </c>
    </row>
    <row r="1165" ht="15.75" customHeight="1">
      <c r="G1165" s="28" t="s">
        <v>2294</v>
      </c>
      <c r="H1165" s="32" t="s">
        <v>2295</v>
      </c>
    </row>
    <row r="1166" ht="15.75" customHeight="1"/>
    <row r="1167" ht="15.75" customHeight="1">
      <c r="A1167" s="76" t="s">
        <v>2296</v>
      </c>
    </row>
    <row r="1168" ht="15.75" customHeight="1">
      <c r="B1168" s="77" t="s">
        <v>2297</v>
      </c>
    </row>
    <row r="1169" ht="15.75" customHeight="1"/>
    <row r="1170" ht="15.75" customHeight="1">
      <c r="A1170" s="76" t="s">
        <v>2298</v>
      </c>
    </row>
    <row r="1171" ht="15.75" customHeight="1">
      <c r="E1171" s="78" t="s">
        <v>13</v>
      </c>
    </row>
    <row r="1172" ht="15.75" customHeight="1">
      <c r="A1172" s="77" t="s">
        <v>2299</v>
      </c>
    </row>
    <row r="1173" ht="15.75" customHeight="1">
      <c r="A1173" s="77" t="s">
        <v>2300</v>
      </c>
    </row>
    <row r="1174" ht="15.75" customHeight="1">
      <c r="A1174" s="77"/>
      <c r="B1174" s="79" t="s">
        <v>2301</v>
      </c>
    </row>
    <row r="1175" ht="15.75" customHeight="1">
      <c r="A1175" s="77" t="s">
        <v>2302</v>
      </c>
    </row>
    <row r="1176" ht="15.75" customHeight="1">
      <c r="A1176" s="77" t="s">
        <v>2303</v>
      </c>
    </row>
    <row r="1177" ht="15.75" customHeight="1">
      <c r="A1177" s="80" t="s">
        <v>2304</v>
      </c>
    </row>
    <row r="1178" ht="15.75" customHeight="1">
      <c r="A1178" s="77" t="s">
        <v>2305</v>
      </c>
    </row>
    <row r="1179" ht="15.75" customHeight="1">
      <c r="A1179" s="77" t="s">
        <v>2306</v>
      </c>
    </row>
    <row r="1180" ht="15.75" customHeight="1">
      <c r="A1180" s="77" t="s">
        <v>2307</v>
      </c>
    </row>
    <row r="1181" ht="15.75" customHeight="1">
      <c r="A1181" s="77" t="s">
        <v>2308</v>
      </c>
    </row>
    <row r="1182" ht="15.75" customHeight="1">
      <c r="A1182" s="77" t="s">
        <v>2309</v>
      </c>
    </row>
    <row r="1183" ht="15.75" customHeight="1">
      <c r="A1183" s="77" t="s">
        <v>2310</v>
      </c>
    </row>
    <row r="1184" ht="15.75" customHeight="1">
      <c r="A1184" s="77" t="s">
        <v>2311</v>
      </c>
    </row>
    <row r="1185" ht="15.75" customHeight="1">
      <c r="A1185" s="77" t="s">
        <v>2312</v>
      </c>
    </row>
    <row r="1186" ht="15.75" customHeight="1">
      <c r="A1186" s="77" t="s">
        <v>2313</v>
      </c>
    </row>
    <row r="1187" ht="15.75" customHeight="1">
      <c r="A1187" s="77" t="s">
        <v>2314</v>
      </c>
    </row>
    <row r="1188" ht="15.75" customHeight="1">
      <c r="A1188" s="77" t="s">
        <v>2315</v>
      </c>
    </row>
    <row r="1189" ht="15.75" customHeight="1">
      <c r="A1189" s="77" t="s">
        <v>2316</v>
      </c>
    </row>
    <row r="1190" ht="15.75" customHeight="1">
      <c r="A1190" s="77" t="s">
        <v>2317</v>
      </c>
      <c r="B1190" s="81"/>
    </row>
    <row r="1191" ht="15.75" customHeight="1">
      <c r="A1191" s="77" t="s">
        <v>2318</v>
      </c>
      <c r="B1191" s="81"/>
    </row>
    <row r="1192" ht="15.75" customHeight="1">
      <c r="A1192" s="82" t="s">
        <v>2319</v>
      </c>
      <c r="B1192" s="83"/>
    </row>
    <row r="1193" ht="15.75" customHeight="1">
      <c r="A1193" s="82" t="s">
        <v>2320</v>
      </c>
      <c r="B1193" s="83"/>
    </row>
    <row r="1194" ht="15.75" customHeight="1">
      <c r="A1194" s="81"/>
      <c r="B1194" s="83" t="s">
        <v>2321</v>
      </c>
    </row>
    <row r="1195" ht="15.75" customHeight="1"/>
    <row r="1196" ht="15.75" customHeight="1">
      <c r="A1196" s="84" t="s">
        <v>2322</v>
      </c>
    </row>
    <row r="1197" ht="15.75" customHeight="1">
      <c r="A1197" s="84" t="s">
        <v>2323</v>
      </c>
    </row>
    <row r="1198" ht="15.75" customHeight="1"/>
    <row r="1199" ht="15.75" customHeight="1">
      <c r="A1199" s="77" t="s">
        <v>2324</v>
      </c>
    </row>
    <row r="1200" ht="15.75" customHeight="1"/>
    <row r="1201" ht="15.75" customHeight="1">
      <c r="A1201" s="85" t="s">
        <v>2325</v>
      </c>
    </row>
    <row r="1202" ht="15.75" customHeight="1">
      <c r="A1202" s="26" t="s">
        <v>2326</v>
      </c>
    </row>
    <row r="1203" ht="15.75" customHeight="1"/>
    <row r="1204" ht="15.75" customHeight="1">
      <c r="A1204" s="26" t="s">
        <v>2116</v>
      </c>
    </row>
    <row r="1205" ht="15.75" customHeight="1">
      <c r="A1205" s="26" t="s">
        <v>2327</v>
      </c>
    </row>
    <row r="1206" ht="15.75" customHeight="1"/>
    <row r="1207" ht="15.75" customHeight="1">
      <c r="A1207" s="76" t="s">
        <v>2328</v>
      </c>
    </row>
    <row r="1208" ht="15.75" customHeight="1"/>
    <row r="1209" ht="15.75" customHeight="1">
      <c r="A1209" s="86" t="s">
        <v>2329</v>
      </c>
    </row>
    <row r="1210" ht="15.75" customHeight="1">
      <c r="A1210" s="86" t="s">
        <v>2330</v>
      </c>
    </row>
    <row r="1211" ht="15.75" customHeight="1">
      <c r="A1211" s="86" t="s">
        <v>2331</v>
      </c>
    </row>
    <row r="1212" ht="15.75" customHeight="1">
      <c r="A1212" s="86" t="s">
        <v>2332</v>
      </c>
    </row>
    <row r="1213" ht="15.75" customHeight="1">
      <c r="A1213" s="86" t="s">
        <v>2333</v>
      </c>
    </row>
    <row r="1214" ht="15.75" customHeight="1">
      <c r="A1214" s="86" t="s">
        <v>2334</v>
      </c>
    </row>
    <row r="1215" ht="15.75" customHeight="1">
      <c r="A1215" s="86" t="s">
        <v>2335</v>
      </c>
    </row>
    <row r="1216" ht="15.75" customHeight="1">
      <c r="A1216" s="86" t="s">
        <v>2336</v>
      </c>
    </row>
    <row r="1217" ht="15.75" customHeight="1">
      <c r="A1217" s="86" t="s">
        <v>2337</v>
      </c>
    </row>
    <row r="1218" ht="15.75" customHeight="1">
      <c r="A1218" s="86" t="s">
        <v>2338</v>
      </c>
    </row>
    <row r="1219" ht="15.75" customHeight="1">
      <c r="A1219" s="86" t="s">
        <v>2339</v>
      </c>
    </row>
    <row r="1220" ht="15.75" customHeight="1">
      <c r="A1220" s="86" t="s">
        <v>2340</v>
      </c>
    </row>
    <row r="1221" ht="15.75" customHeight="1">
      <c r="A1221" s="86" t="s">
        <v>2341</v>
      </c>
    </row>
    <row r="1222" ht="15.75" customHeight="1">
      <c r="A1222" s="86" t="s">
        <v>2342</v>
      </c>
    </row>
    <row r="1223" ht="15.75" customHeight="1">
      <c r="A1223" s="86" t="s">
        <v>2343</v>
      </c>
    </row>
    <row r="1224" ht="15.75" customHeight="1">
      <c r="A1224" s="86" t="s">
        <v>2344</v>
      </c>
    </row>
    <row r="1225" ht="15.75" customHeight="1">
      <c r="A1225" s="86" t="s">
        <v>2345</v>
      </c>
    </row>
    <row r="1226" ht="15.75" customHeight="1">
      <c r="A1226" s="86" t="s">
        <v>2346</v>
      </c>
    </row>
    <row r="1227" ht="15.75" customHeight="1">
      <c r="A1227" s="86" t="s">
        <v>2347</v>
      </c>
    </row>
    <row r="1228" ht="15.75" customHeight="1">
      <c r="A1228" s="86" t="s">
        <v>2348</v>
      </c>
    </row>
    <row r="1229" ht="15.75" customHeight="1">
      <c r="A1229" s="86" t="s">
        <v>2349</v>
      </c>
    </row>
    <row r="1230" ht="15.75" customHeight="1">
      <c r="A1230" s="86" t="s">
        <v>2350</v>
      </c>
    </row>
    <row r="1231" ht="15.75" customHeight="1">
      <c r="A1231" s="86" t="s">
        <v>2351</v>
      </c>
    </row>
    <row r="1232" ht="15.75" customHeight="1">
      <c r="A1232" s="86" t="s">
        <v>2352</v>
      </c>
    </row>
    <row r="1233" ht="15.75" customHeight="1">
      <c r="A1233" s="86" t="s">
        <v>2353</v>
      </c>
    </row>
    <row r="1234" ht="15.75" customHeight="1">
      <c r="A1234" s="86" t="s">
        <v>2354</v>
      </c>
    </row>
    <row r="1235" ht="15.75" customHeight="1">
      <c r="A1235" s="86" t="s">
        <v>2355</v>
      </c>
    </row>
    <row r="1236" ht="15.75" customHeight="1">
      <c r="A1236" s="86" t="s">
        <v>2356</v>
      </c>
    </row>
    <row r="1237" ht="15.75" customHeight="1">
      <c r="A1237" s="86" t="s">
        <v>2357</v>
      </c>
    </row>
    <row r="1238" ht="15.75" customHeight="1">
      <c r="A1238" s="86" t="s">
        <v>2358</v>
      </c>
    </row>
    <row r="1239" ht="15.75" customHeight="1">
      <c r="A1239" s="86" t="s">
        <v>2359</v>
      </c>
    </row>
    <row r="1240" ht="15.75" customHeight="1">
      <c r="A1240" s="86" t="s">
        <v>2360</v>
      </c>
    </row>
    <row r="1241" ht="15.75" customHeight="1">
      <c r="A1241" s="86" t="s">
        <v>2361</v>
      </c>
    </row>
    <row r="1242" ht="15.75" customHeight="1">
      <c r="A1242" s="86" t="s">
        <v>2362</v>
      </c>
    </row>
    <row r="1243" ht="15.75" customHeight="1">
      <c r="A1243" s="86" t="s">
        <v>2363</v>
      </c>
    </row>
    <row r="1244" ht="15.75" customHeight="1">
      <c r="A1244" s="86" t="s">
        <v>2364</v>
      </c>
    </row>
    <row r="1245" ht="15.75" customHeight="1">
      <c r="A1245" s="86" t="s">
        <v>2365</v>
      </c>
    </row>
    <row r="1246" ht="15.75" customHeight="1">
      <c r="A1246" s="86" t="s">
        <v>2366</v>
      </c>
    </row>
    <row r="1247" ht="15.75" customHeight="1">
      <c r="A1247" s="86" t="s">
        <v>2367</v>
      </c>
    </row>
    <row r="1248" ht="15.75" customHeight="1">
      <c r="A1248" s="86" t="s">
        <v>2368</v>
      </c>
    </row>
    <row r="1249" ht="15.75" customHeight="1">
      <c r="A1249" s="86" t="s">
        <v>2369</v>
      </c>
    </row>
    <row r="1250" ht="15.75" customHeight="1">
      <c r="A1250" s="87" t="str">
        <f>HYPERLINK("https://www.omicsonline.org/open-access/haplogroup-jz640genetic-insight-into-the-levantine-bronze-age-2329-9002-1000209-108305.html","Waas et al. Haplogroup J-Z640-Genetic Insight into the Levantine Bronze Age. Journal of Phylogenetics &amp; Evolutionary Biology, 7(1):209, 2019.")</f>
        <v>Waas et al. Haplogroup J-Z640-Genetic Insight into the Levantine Bronze Age. Journal of Phylogenetics &amp; Evolutionary Biology, 7(1):209, 2019.</v>
      </c>
      <c r="B1250" s="88"/>
      <c r="C1250" s="88"/>
      <c r="D1250" s="88"/>
      <c r="E1250" s="88"/>
      <c r="F1250" s="88"/>
      <c r="G1250" s="88"/>
      <c r="H1250" s="88"/>
      <c r="I1250" s="88"/>
      <c r="J1250" s="88"/>
      <c r="K1250" s="88"/>
      <c r="L1250" s="88"/>
    </row>
    <row r="1251" ht="15.75" customHeight="1">
      <c r="A1251" s="86" t="s">
        <v>2370</v>
      </c>
    </row>
    <row r="1252" ht="15.75" customHeight="1">
      <c r="A1252" s="86" t="s">
        <v>2371</v>
      </c>
    </row>
    <row r="1253" ht="15.75" customHeight="1"/>
    <row r="1254" ht="15.75" customHeight="1">
      <c r="G1254" s="77" t="s">
        <v>2372</v>
      </c>
    </row>
    <row r="1255" ht="15.75" customHeight="1"/>
    <row r="1256" ht="15.75" customHeight="1">
      <c r="A1256" s="76" t="s">
        <v>2373</v>
      </c>
    </row>
    <row r="1257" ht="15.75" customHeight="1">
      <c r="C1257" s="89" t="s">
        <v>2374</v>
      </c>
    </row>
    <row r="1258" ht="15.75" customHeight="1">
      <c r="B1258" s="86"/>
      <c r="C1258" s="86" t="s">
        <v>2375</v>
      </c>
      <c r="F1258" s="86" t="s">
        <v>2376</v>
      </c>
      <c r="I1258" s="86" t="s">
        <v>2377</v>
      </c>
    </row>
    <row r="1259" ht="15.75" customHeight="1">
      <c r="A1259" s="86" t="s">
        <v>2378</v>
      </c>
      <c r="D1259" s="77" t="s">
        <v>2379</v>
      </c>
    </row>
    <row r="1260" ht="15.75" customHeight="1">
      <c r="A1260" s="86" t="s">
        <v>2380</v>
      </c>
      <c r="C1260" s="77" t="s">
        <v>2381</v>
      </c>
    </row>
    <row r="1261" ht="15.75" customHeight="1">
      <c r="A1261" s="86" t="s">
        <v>2382</v>
      </c>
      <c r="D1261" s="77" t="s">
        <v>2383</v>
      </c>
    </row>
    <row r="1262" ht="15.75" customHeight="1">
      <c r="A1262" s="86" t="s">
        <v>2384</v>
      </c>
      <c r="F1262" s="77" t="s">
        <v>2385</v>
      </c>
    </row>
    <row r="1263" ht="15.75" customHeight="1">
      <c r="A1263" s="86" t="s">
        <v>2386</v>
      </c>
      <c r="E1263" s="77" t="s">
        <v>2387</v>
      </c>
    </row>
    <row r="1264" ht="15.75" customHeight="1">
      <c r="A1264" s="86" t="s">
        <v>2388</v>
      </c>
      <c r="E1264" s="77" t="s">
        <v>2389</v>
      </c>
    </row>
    <row r="1265" ht="15.75" customHeight="1">
      <c r="A1265" s="86" t="s">
        <v>2390</v>
      </c>
      <c r="C1265" s="77" t="s">
        <v>2391</v>
      </c>
    </row>
    <row r="1266" ht="15.75" customHeight="1">
      <c r="A1266" s="86" t="s">
        <v>2392</v>
      </c>
      <c r="H1266" s="77" t="s">
        <v>2393</v>
      </c>
    </row>
    <row r="1267" ht="15.75" customHeight="1">
      <c r="A1267" s="86" t="s">
        <v>2394</v>
      </c>
      <c r="D1267" s="77" t="s">
        <v>2395</v>
      </c>
    </row>
    <row r="1268" ht="15.75" customHeight="1">
      <c r="A1268" s="86" t="s">
        <v>2396</v>
      </c>
      <c r="E1268" s="77" t="s">
        <v>2397</v>
      </c>
    </row>
    <row r="1269" ht="15.75" customHeight="1">
      <c r="A1269" s="86" t="s">
        <v>2398</v>
      </c>
      <c r="D1269" s="77" t="s">
        <v>2399</v>
      </c>
    </row>
    <row r="1270" ht="15.75" customHeight="1">
      <c r="A1270" s="86" t="s">
        <v>2400</v>
      </c>
      <c r="D1270" s="77" t="s">
        <v>2401</v>
      </c>
    </row>
    <row r="1271" ht="15.75" customHeight="1">
      <c r="A1271" s="86" t="s">
        <v>2402</v>
      </c>
      <c r="E1271" s="77" t="s">
        <v>2403</v>
      </c>
    </row>
    <row r="1272" ht="15.75" customHeight="1"/>
    <row r="1273" ht="15.75" customHeight="1">
      <c r="A1273" s="90" t="s">
        <v>2404</v>
      </c>
    </row>
    <row r="1274" ht="15.75" customHeight="1">
      <c r="B1274" s="91"/>
    </row>
    <row r="1275" ht="15.75" customHeight="1">
      <c r="A1275" s="42" t="s">
        <v>2405</v>
      </c>
      <c r="B1275" s="91"/>
      <c r="D1275" s="42" t="s">
        <v>2406</v>
      </c>
    </row>
    <row r="1276" ht="15.75" customHeight="1">
      <c r="B1276" s="91"/>
    </row>
    <row r="1277" ht="15.75" customHeight="1">
      <c r="A1277" s="81" t="s">
        <v>2407</v>
      </c>
    </row>
    <row r="1278" ht="15.75" customHeight="1">
      <c r="B1278" s="86" t="s">
        <v>2408</v>
      </c>
    </row>
    <row r="1279" ht="15.75" customHeight="1">
      <c r="B1279" s="92" t="str">
        <f>HYPERLINK("https://docs.google.com/spreadsheets/d/1yjXfo8_vfVNzp-yfYoBQLQK8gzqJg5nNtuTTD1RrFS4/edit#gid=0","Y-DNA Tree Trunk")</f>
        <v>Y-DNA Tree Trunk</v>
      </c>
    </row>
    <row r="1280" ht="15.75" customHeight="1">
      <c r="B1280" s="92" t="str">
        <f>HYPERLINK("https://docs.google.com/spreadsheets/d/1Y0GXjhazYa46u0EpPA9b0Y0RVWuh5lDzww_o979mbjQ/edit#gid=1904113265","SNP Index")</f>
        <v>SNP Index</v>
      </c>
    </row>
    <row r="1281" ht="15.75" customHeight="1">
      <c r="B1281" s="86" t="s">
        <v>9</v>
      </c>
    </row>
    <row r="1282" ht="15.75" customHeight="1">
      <c r="B1282" s="86" t="s">
        <v>10</v>
      </c>
    </row>
    <row r="1283" ht="15.75" customHeight="1">
      <c r="B1283" s="92" t="str">
        <f>HYPERLINK("https://docs.google.com/spreadsheets/d/1yjXfo8_vfVNzp-yfYoBQLQK8gzqJg5nNtuTTD1RrFS4/edit#gid=0","Listing Criteria")</f>
        <v>Listing Criteria</v>
      </c>
    </row>
    <row r="1284" ht="15.75" customHeight="1"/>
    <row r="1285" ht="15.75" customHeight="1">
      <c r="A1285" s="1"/>
      <c r="B1285" s="1"/>
      <c r="C1285" s="1"/>
      <c r="D1285" s="1"/>
      <c r="E1285" s="1"/>
      <c r="L1285" s="1"/>
      <c r="M1285" s="1"/>
      <c r="N1285" s="1"/>
      <c r="O1285" s="1"/>
      <c r="P1285" s="1"/>
      <c r="Q1285" s="1"/>
      <c r="R1285" s="1"/>
      <c r="S1285" s="1"/>
      <c r="T1285" s="1"/>
      <c r="U1285" s="1"/>
      <c r="V1285" s="1"/>
      <c r="W1285" s="1"/>
      <c r="X1285" s="1"/>
      <c r="Y1285" s="1"/>
      <c r="Z1285" s="1"/>
      <c r="AA1285" s="1"/>
      <c r="AB1285" s="1"/>
      <c r="AC1285" s="1"/>
      <c r="AD1285" s="1"/>
      <c r="AE1285" s="1"/>
      <c r="AF1285" s="1"/>
      <c r="AG1285" s="1"/>
    </row>
    <row r="1286" ht="15.75" customHeight="1">
      <c r="A1286" s="93" t="s">
        <v>2409</v>
      </c>
      <c r="B1286" s="94"/>
      <c r="C1286" s="94"/>
      <c r="D1286" s="94"/>
      <c r="E1286" s="94"/>
      <c r="F1286" s="95"/>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row>
    <row r="1287" ht="15.75" customHeight="1">
      <c r="A1287" s="1"/>
      <c r="B1287" s="1"/>
      <c r="C1287" s="1"/>
      <c r="D1287" s="1"/>
      <c r="E1287" s="1"/>
      <c r="F1287" s="1"/>
      <c r="G1287" s="1"/>
      <c r="H1287" s="1"/>
      <c r="I1287" s="1"/>
      <c r="J1287" s="96" t="s">
        <v>13</v>
      </c>
      <c r="K1287" s="97" t="s">
        <v>2410</v>
      </c>
      <c r="L1287" s="1"/>
      <c r="M1287" s="1"/>
      <c r="N1287" s="1"/>
      <c r="O1287" s="1"/>
      <c r="P1287" s="1"/>
      <c r="Q1287" s="1"/>
      <c r="R1287" s="1"/>
      <c r="S1287" s="1"/>
      <c r="T1287" s="1"/>
      <c r="U1287" s="1"/>
      <c r="V1287" s="1"/>
      <c r="W1287" s="1"/>
      <c r="X1287" s="1"/>
      <c r="Y1287" s="1"/>
      <c r="Z1287" s="1"/>
      <c r="AA1287" s="1"/>
      <c r="AB1287" s="1"/>
      <c r="AC1287" s="1"/>
      <c r="AD1287" s="1"/>
      <c r="AE1287" s="1"/>
      <c r="AF1287" s="1"/>
      <c r="AG1287" s="1"/>
    </row>
    <row r="1288" ht="15.75" customHeight="1">
      <c r="A1288" s="1"/>
      <c r="B1288" s="1"/>
      <c r="C1288" s="1"/>
      <c r="D1288" s="1"/>
      <c r="E1288" s="1"/>
      <c r="F1288" s="1"/>
      <c r="G1288" s="1"/>
      <c r="H1288" s="1"/>
      <c r="I1288" s="1"/>
      <c r="J1288" s="1" t="s">
        <v>13</v>
      </c>
      <c r="K1288" s="98" t="s">
        <v>2411</v>
      </c>
      <c r="L1288" s="98" t="s">
        <v>2412</v>
      </c>
      <c r="M1288" s="98" t="s">
        <v>2413</v>
      </c>
      <c r="N1288" s="98" t="s">
        <v>2414</v>
      </c>
      <c r="O1288" s="99" t="s">
        <v>2415</v>
      </c>
      <c r="P1288" s="99" t="s">
        <v>2416</v>
      </c>
      <c r="Q1288" s="98" t="s">
        <v>2417</v>
      </c>
      <c r="S1288" s="1"/>
      <c r="T1288" s="1"/>
      <c r="U1288" s="1"/>
      <c r="V1288" s="1"/>
      <c r="W1288" s="1"/>
      <c r="X1288" s="1"/>
      <c r="Y1288" s="1"/>
      <c r="Z1288" s="100" t="s">
        <v>2418</v>
      </c>
      <c r="AA1288" s="101" t="s">
        <v>2419</v>
      </c>
      <c r="AB1288" s="1"/>
      <c r="AC1288" s="1"/>
      <c r="AD1288" s="1"/>
      <c r="AE1288" s="1"/>
      <c r="AF1288" s="1"/>
      <c r="AG1288" s="1"/>
    </row>
    <row r="1289" ht="15.75" customHeight="1">
      <c r="A1289" s="1"/>
      <c r="B1289" s="1"/>
      <c r="C1289" s="1" t="s">
        <v>13</v>
      </c>
      <c r="D1289" s="1" t="s">
        <v>13</v>
      </c>
      <c r="E1289" s="93" t="s">
        <v>2409</v>
      </c>
      <c r="F1289" s="94"/>
      <c r="G1289" s="94"/>
      <c r="H1289" s="94"/>
      <c r="I1289" s="94"/>
      <c r="J1289" s="95"/>
      <c r="K1289" s="102" t="s">
        <v>2420</v>
      </c>
      <c r="L1289" s="102" t="str">
        <f>A29</f>
        <v>J</v>
      </c>
      <c r="M1289" s="102" t="s">
        <v>2421</v>
      </c>
      <c r="N1289" s="103" t="s">
        <v>2422</v>
      </c>
      <c r="O1289" s="104">
        <v>2.2749853E7</v>
      </c>
      <c r="P1289" s="104">
        <v>2.0587967E7</v>
      </c>
      <c r="Q1289" s="102" t="s">
        <v>2423</v>
      </c>
      <c r="S1289" s="1"/>
      <c r="T1289" s="1"/>
      <c r="U1289" s="1"/>
      <c r="V1289" s="1"/>
      <c r="W1289" s="1"/>
      <c r="X1289" s="1"/>
      <c r="Y1289" s="1"/>
      <c r="Z1289" s="102"/>
      <c r="AA1289" s="102"/>
      <c r="AB1289" s="1"/>
      <c r="AC1289" s="1"/>
      <c r="AD1289" s="1"/>
      <c r="AE1289" s="1"/>
      <c r="AF1289" s="1"/>
      <c r="AG1289" s="1"/>
    </row>
    <row r="1290" ht="15.75" customHeight="1">
      <c r="A1290" s="1"/>
      <c r="B1290" s="1"/>
      <c r="C1290" s="1"/>
      <c r="D1290" s="1"/>
      <c r="E1290" s="1"/>
      <c r="F1290" s="1"/>
      <c r="G1290" s="1"/>
      <c r="H1290" s="1"/>
      <c r="I1290" s="1"/>
      <c r="J1290" s="1"/>
      <c r="K1290" s="102" t="s">
        <v>2424</v>
      </c>
      <c r="L1290" s="102" t="str">
        <f>A29</f>
        <v>J</v>
      </c>
      <c r="M1290" s="102" t="s">
        <v>2425</v>
      </c>
      <c r="N1290" s="102" t="s">
        <v>2422</v>
      </c>
      <c r="O1290" s="105">
        <v>2.2749853E7</v>
      </c>
      <c r="P1290" s="105">
        <v>2.0587967E7</v>
      </c>
      <c r="Q1290" s="102" t="s">
        <v>2423</v>
      </c>
      <c r="R1290" s="1"/>
      <c r="S1290" s="1"/>
      <c r="T1290" s="1"/>
      <c r="U1290" s="1"/>
      <c r="V1290" s="1"/>
      <c r="W1290" s="1"/>
      <c r="X1290" s="1"/>
      <c r="Y1290" s="1"/>
      <c r="Z1290" s="102"/>
      <c r="AA1290" s="102"/>
      <c r="AB1290" s="1"/>
      <c r="AC1290" s="1"/>
      <c r="AD1290" s="1"/>
      <c r="AE1290" s="1"/>
      <c r="AF1290" s="1"/>
      <c r="AG1290" s="1"/>
    </row>
    <row r="1291" ht="15.75" customHeight="1">
      <c r="A1291" s="1"/>
      <c r="B1291" s="1"/>
      <c r="C1291" s="1"/>
      <c r="D1291" s="1"/>
      <c r="E1291" s="1"/>
      <c r="F1291" s="1"/>
      <c r="G1291" s="1"/>
      <c r="H1291" s="1"/>
      <c r="I1291" s="1"/>
      <c r="J1291" s="1"/>
      <c r="K1291" s="102" t="s">
        <v>2426</v>
      </c>
      <c r="L1291" s="102" t="str">
        <f>A29</f>
        <v>J</v>
      </c>
      <c r="M1291" s="102" t="s">
        <v>2427</v>
      </c>
      <c r="N1291" s="102" t="s">
        <v>2422</v>
      </c>
      <c r="O1291" s="105">
        <v>2.2749853E7</v>
      </c>
      <c r="P1291" s="105">
        <v>2.0587967E7</v>
      </c>
      <c r="Q1291" s="102" t="s">
        <v>2423</v>
      </c>
      <c r="R1291" s="1"/>
      <c r="S1291" s="1"/>
      <c r="T1291" s="1"/>
      <c r="U1291" s="1"/>
      <c r="V1291" s="1"/>
      <c r="W1291" s="1"/>
      <c r="X1291" s="1"/>
      <c r="Y1291" s="1"/>
      <c r="Z1291" s="102"/>
      <c r="AA1291" s="102"/>
      <c r="AB1291" s="1"/>
      <c r="AC1291" s="1"/>
      <c r="AD1291" s="1"/>
      <c r="AE1291" s="1"/>
      <c r="AF1291" s="1"/>
      <c r="AG1291" s="1"/>
    </row>
    <row r="1292" ht="15.75" customHeight="1">
      <c r="A1292" s="1"/>
      <c r="B1292" s="1"/>
      <c r="C1292" s="1"/>
      <c r="D1292" s="1"/>
      <c r="E1292" s="1"/>
      <c r="F1292" s="1"/>
      <c r="G1292" s="1"/>
      <c r="H1292" s="1"/>
      <c r="I1292" s="1"/>
      <c r="J1292" s="1"/>
      <c r="K1292" s="102" t="s">
        <v>2428</v>
      </c>
      <c r="L1292" s="102" t="str">
        <f>A29</f>
        <v>J</v>
      </c>
      <c r="M1292" s="102"/>
      <c r="N1292" s="102"/>
      <c r="O1292" s="105"/>
      <c r="P1292" s="105"/>
      <c r="Q1292" s="102"/>
      <c r="R1292" s="1"/>
      <c r="S1292" s="1"/>
      <c r="T1292" s="1"/>
      <c r="U1292" s="1"/>
      <c r="V1292" s="1"/>
      <c r="W1292" s="1"/>
      <c r="X1292" s="1"/>
      <c r="Y1292" s="1"/>
      <c r="Z1292" s="102"/>
      <c r="AA1292" s="102"/>
      <c r="AB1292" s="1"/>
      <c r="AC1292" s="1"/>
      <c r="AD1292" s="1"/>
      <c r="AE1292" s="1"/>
      <c r="AF1292" s="1"/>
      <c r="AG1292" s="1"/>
    </row>
    <row r="1293" ht="15.75" customHeight="1">
      <c r="A1293" s="1"/>
      <c r="B1293" s="1"/>
      <c r="C1293" s="1"/>
      <c r="D1293" s="1"/>
      <c r="E1293" s="1"/>
      <c r="F1293" s="1"/>
      <c r="G1293" s="1"/>
      <c r="H1293" s="1"/>
      <c r="I1293" s="1"/>
      <c r="J1293" s="1"/>
      <c r="K1293" s="102" t="s">
        <v>2429</v>
      </c>
      <c r="L1293" s="102" t="str">
        <f>A29</f>
        <v>J</v>
      </c>
      <c r="M1293" s="102" t="s">
        <v>2430</v>
      </c>
      <c r="N1293" s="102" t="s">
        <v>2431</v>
      </c>
      <c r="O1293" s="105">
        <v>2675457.0</v>
      </c>
      <c r="P1293" s="105">
        <v>2807416.0</v>
      </c>
      <c r="Q1293" s="102" t="s">
        <v>2432</v>
      </c>
      <c r="R1293" s="1"/>
      <c r="S1293" s="1"/>
      <c r="T1293" s="1"/>
      <c r="U1293" s="1"/>
      <c r="V1293" s="1"/>
      <c r="W1293" s="1"/>
      <c r="X1293" s="1"/>
      <c r="Y1293" s="1"/>
      <c r="Z1293" s="102"/>
      <c r="AA1293" s="102"/>
      <c r="AB1293" s="1"/>
      <c r="AC1293" s="1"/>
      <c r="AD1293" s="1"/>
      <c r="AE1293" s="1"/>
      <c r="AF1293" s="1"/>
      <c r="AG1293" s="1"/>
    </row>
    <row r="1294" ht="15.75" customHeight="1">
      <c r="A1294" s="1"/>
      <c r="B1294" s="1"/>
      <c r="C1294" s="1"/>
      <c r="D1294" s="1"/>
      <c r="E1294" s="1"/>
      <c r="F1294" s="1"/>
      <c r="G1294" s="1"/>
      <c r="H1294" s="1"/>
      <c r="I1294" s="1"/>
      <c r="J1294" s="1"/>
      <c r="K1294" s="102" t="s">
        <v>2430</v>
      </c>
      <c r="L1294" s="102" t="str">
        <f>A29</f>
        <v>J</v>
      </c>
      <c r="M1294" s="102" t="s">
        <v>2429</v>
      </c>
      <c r="N1294" s="102" t="s">
        <v>2431</v>
      </c>
      <c r="O1294" s="105">
        <v>2675457.0</v>
      </c>
      <c r="P1294" s="105">
        <v>2807416.0</v>
      </c>
      <c r="Q1294" s="102" t="s">
        <v>2432</v>
      </c>
      <c r="R1294" s="1"/>
      <c r="S1294" s="1"/>
      <c r="T1294" s="1"/>
      <c r="U1294" s="1"/>
      <c r="V1294" s="1"/>
      <c r="W1294" s="1"/>
      <c r="X1294" s="1"/>
      <c r="Y1294" s="1"/>
      <c r="Z1294" s="102"/>
      <c r="AA1294" s="102"/>
      <c r="AB1294" s="1"/>
      <c r="AC1294" s="1"/>
      <c r="AD1294" s="1"/>
      <c r="AE1294" s="1"/>
      <c r="AF1294" s="1"/>
      <c r="AG1294" s="1"/>
    </row>
    <row r="1295" ht="15.75" customHeight="1">
      <c r="A1295" s="1"/>
      <c r="B1295" s="1"/>
      <c r="C1295" s="1"/>
      <c r="D1295" s="1"/>
      <c r="E1295" s="1"/>
      <c r="F1295" s="1"/>
      <c r="G1295" s="1"/>
      <c r="H1295" s="1"/>
      <c r="I1295" s="1"/>
      <c r="J1295" s="1"/>
      <c r="K1295" s="102" t="s">
        <v>2433</v>
      </c>
      <c r="L1295" s="102" t="str">
        <f>A29</f>
        <v>J</v>
      </c>
      <c r="M1295" s="106" t="s">
        <v>2434</v>
      </c>
      <c r="N1295" s="102" t="s">
        <v>2435</v>
      </c>
      <c r="O1295" s="105">
        <v>6953311.0</v>
      </c>
      <c r="P1295" s="105">
        <v>7085270.0</v>
      </c>
      <c r="Q1295" s="102" t="s">
        <v>2432</v>
      </c>
      <c r="R1295" s="1"/>
      <c r="S1295" s="1"/>
      <c r="T1295" s="1"/>
      <c r="U1295" s="1"/>
      <c r="V1295" s="1"/>
      <c r="W1295" s="1"/>
      <c r="X1295" s="1"/>
      <c r="Y1295" s="1"/>
      <c r="Z1295" s="102"/>
      <c r="AA1295" s="102"/>
      <c r="AB1295" s="1"/>
      <c r="AC1295" s="1"/>
      <c r="AD1295" s="1"/>
      <c r="AE1295" s="1"/>
      <c r="AF1295" s="1"/>
      <c r="AG1295" s="1"/>
    </row>
    <row r="1296" ht="15.75" customHeight="1">
      <c r="A1296" s="1"/>
      <c r="B1296" s="1"/>
      <c r="C1296" s="1"/>
      <c r="D1296" s="1"/>
      <c r="E1296" s="1"/>
      <c r="F1296" s="1"/>
      <c r="G1296" s="1"/>
      <c r="H1296" s="1"/>
      <c r="I1296" s="1"/>
      <c r="J1296" s="1"/>
      <c r="K1296" s="106" t="s">
        <v>2434</v>
      </c>
      <c r="L1296" s="102" t="str">
        <f>A29</f>
        <v>J</v>
      </c>
      <c r="M1296" s="102" t="s">
        <v>2433</v>
      </c>
      <c r="N1296" s="102" t="s">
        <v>2435</v>
      </c>
      <c r="O1296" s="105">
        <v>6953311.0</v>
      </c>
      <c r="P1296" s="105">
        <v>7085270.0</v>
      </c>
      <c r="Q1296" s="102" t="s">
        <v>2432</v>
      </c>
      <c r="R1296" s="1"/>
      <c r="S1296" s="1"/>
      <c r="T1296" s="1"/>
      <c r="U1296" s="1"/>
      <c r="V1296" s="1"/>
      <c r="W1296" s="1"/>
      <c r="X1296" s="1"/>
      <c r="Y1296" s="1"/>
      <c r="Z1296" s="102"/>
      <c r="AA1296" s="102"/>
      <c r="AB1296" s="1"/>
      <c r="AC1296" s="1"/>
      <c r="AD1296" s="1"/>
      <c r="AE1296" s="1"/>
      <c r="AF1296" s="1"/>
      <c r="AG1296" s="1"/>
    </row>
    <row r="1297" ht="15.75" customHeight="1">
      <c r="A1297" s="1"/>
      <c r="B1297" s="1"/>
      <c r="C1297" s="1"/>
      <c r="D1297" s="1"/>
      <c r="E1297" s="1"/>
      <c r="F1297" s="1"/>
      <c r="G1297" s="1"/>
      <c r="H1297" s="1"/>
      <c r="I1297" s="1"/>
      <c r="J1297" s="1"/>
      <c r="K1297" s="102" t="s">
        <v>2436</v>
      </c>
      <c r="L1297" s="102" t="str">
        <f>A29</f>
        <v>J</v>
      </c>
      <c r="M1297" s="102" t="s">
        <v>2437</v>
      </c>
      <c r="N1297" s="102" t="s">
        <v>2438</v>
      </c>
      <c r="O1297" s="105">
        <v>7048870.0</v>
      </c>
      <c r="P1297" s="105">
        <v>7180829.0</v>
      </c>
      <c r="Q1297" s="102" t="s">
        <v>2439</v>
      </c>
      <c r="R1297" s="1"/>
      <c r="S1297" s="1"/>
      <c r="T1297" s="1"/>
      <c r="U1297" s="1"/>
      <c r="V1297" s="1"/>
      <c r="W1297" s="1"/>
      <c r="X1297" s="1"/>
      <c r="Y1297" s="1"/>
      <c r="Z1297" s="102"/>
      <c r="AA1297" s="102"/>
      <c r="AB1297" s="1"/>
      <c r="AC1297" s="1"/>
      <c r="AD1297" s="1"/>
      <c r="AE1297" s="1"/>
      <c r="AF1297" s="1"/>
      <c r="AG1297" s="1"/>
    </row>
    <row r="1298" ht="15.75" customHeight="1">
      <c r="A1298" s="1"/>
      <c r="B1298" s="1"/>
      <c r="C1298" s="1"/>
      <c r="D1298" s="1"/>
      <c r="E1298" s="1"/>
      <c r="F1298" s="1"/>
      <c r="G1298" s="1"/>
      <c r="H1298" s="1"/>
      <c r="I1298" s="1"/>
      <c r="J1298" s="1"/>
      <c r="K1298" s="102" t="s">
        <v>2437</v>
      </c>
      <c r="L1298" s="102" t="str">
        <f>A29</f>
        <v>J</v>
      </c>
      <c r="M1298" s="102" t="s">
        <v>2436</v>
      </c>
      <c r="N1298" s="102" t="s">
        <v>2438</v>
      </c>
      <c r="O1298" s="105">
        <v>7048870.0</v>
      </c>
      <c r="P1298" s="105">
        <v>7180829.0</v>
      </c>
      <c r="Q1298" s="102" t="s">
        <v>2439</v>
      </c>
      <c r="R1298" s="1"/>
      <c r="S1298" s="1"/>
      <c r="T1298" s="1"/>
      <c r="U1298" s="1"/>
      <c r="V1298" s="1"/>
      <c r="W1298" s="1"/>
      <c r="X1298" s="1"/>
      <c r="Y1298" s="1"/>
      <c r="Z1298" s="102">
        <v>7048870.0</v>
      </c>
      <c r="AA1298" s="102"/>
      <c r="AB1298" s="1"/>
      <c r="AC1298" s="1"/>
      <c r="AD1298" s="1"/>
      <c r="AE1298" s="1"/>
      <c r="AF1298" s="1"/>
      <c r="AG1298" s="1"/>
    </row>
    <row r="1299" ht="15.75" customHeight="1">
      <c r="A1299" s="1"/>
      <c r="B1299" s="1"/>
      <c r="C1299" s="1"/>
      <c r="D1299" s="1"/>
      <c r="E1299" s="1"/>
      <c r="F1299" s="1"/>
      <c r="G1299" s="1"/>
      <c r="H1299" s="1"/>
      <c r="I1299" s="1"/>
      <c r="J1299" s="1"/>
      <c r="K1299" s="102" t="s">
        <v>2440</v>
      </c>
      <c r="L1299" s="102" t="str">
        <f>A29</f>
        <v>J</v>
      </c>
      <c r="M1299" s="102" t="s">
        <v>2441</v>
      </c>
      <c r="N1299" s="102" t="s">
        <v>2442</v>
      </c>
      <c r="O1299" s="105">
        <v>7180976.0</v>
      </c>
      <c r="P1299" s="105">
        <v>7312935.0</v>
      </c>
      <c r="Q1299" s="102" t="s">
        <v>2439</v>
      </c>
      <c r="R1299" s="1"/>
      <c r="S1299" s="1"/>
      <c r="T1299" s="1"/>
      <c r="U1299" s="1"/>
      <c r="V1299" s="1"/>
      <c r="W1299" s="1"/>
      <c r="X1299" s="1"/>
      <c r="Y1299" s="1"/>
      <c r="Z1299" s="102"/>
      <c r="AA1299" s="102"/>
      <c r="AB1299" s="1"/>
      <c r="AC1299" s="1"/>
      <c r="AD1299" s="1"/>
      <c r="AE1299" s="1"/>
      <c r="AF1299" s="1"/>
      <c r="AG1299" s="1"/>
    </row>
    <row r="1300" ht="15.75" customHeight="1">
      <c r="A1300" s="1"/>
      <c r="B1300" s="1"/>
      <c r="C1300" s="1"/>
      <c r="D1300" s="1"/>
      <c r="E1300" s="1"/>
      <c r="F1300" s="1"/>
      <c r="G1300" s="1"/>
      <c r="H1300" s="1"/>
      <c r="I1300" s="1"/>
      <c r="J1300" s="1"/>
      <c r="K1300" s="102" t="s">
        <v>2441</v>
      </c>
      <c r="L1300" s="102" t="str">
        <f>A29</f>
        <v>J</v>
      </c>
      <c r="M1300" s="102" t="s">
        <v>2440</v>
      </c>
      <c r="N1300" s="102" t="s">
        <v>2442</v>
      </c>
      <c r="O1300" s="105">
        <v>7180976.0</v>
      </c>
      <c r="P1300" s="105">
        <v>7312935.0</v>
      </c>
      <c r="Q1300" s="102" t="s">
        <v>2439</v>
      </c>
      <c r="R1300" s="1"/>
      <c r="S1300" s="1"/>
      <c r="T1300" s="1"/>
      <c r="U1300" s="1"/>
      <c r="V1300" s="1"/>
      <c r="W1300" s="1"/>
      <c r="X1300" s="1"/>
      <c r="Y1300" s="1"/>
      <c r="Z1300" s="102"/>
      <c r="AA1300" s="102"/>
      <c r="AB1300" s="1"/>
      <c r="AC1300" s="1"/>
      <c r="AD1300" s="1"/>
      <c r="AE1300" s="1"/>
      <c r="AF1300" s="1"/>
      <c r="AG1300" s="1"/>
    </row>
    <row r="1301" ht="15.75" customHeight="1">
      <c r="A1301" s="1"/>
      <c r="B1301" s="1"/>
      <c r="C1301" s="1"/>
      <c r="D1301" s="1"/>
      <c r="E1301" s="1"/>
      <c r="F1301" s="1"/>
      <c r="G1301" s="1"/>
      <c r="H1301" s="1"/>
      <c r="I1301" s="1"/>
      <c r="J1301" s="1"/>
      <c r="K1301" s="102" t="s">
        <v>2443</v>
      </c>
      <c r="L1301" s="102" t="str">
        <f>A29</f>
        <v>J</v>
      </c>
      <c r="M1301" s="102" t="s">
        <v>2444</v>
      </c>
      <c r="N1301" s="102" t="s">
        <v>2445</v>
      </c>
      <c r="O1301" s="105">
        <v>7296343.0</v>
      </c>
      <c r="P1301" s="105">
        <v>7428302.0</v>
      </c>
      <c r="Q1301" s="102" t="s">
        <v>2446</v>
      </c>
      <c r="R1301" s="1"/>
      <c r="S1301" s="1"/>
      <c r="T1301" s="1"/>
      <c r="U1301" s="1"/>
      <c r="V1301" s="1"/>
      <c r="W1301" s="1"/>
      <c r="X1301" s="1"/>
      <c r="Y1301" s="1"/>
      <c r="Z1301" s="102"/>
      <c r="AA1301" s="102"/>
      <c r="AB1301" s="1"/>
      <c r="AC1301" s="1"/>
      <c r="AD1301" s="1"/>
      <c r="AE1301" s="1"/>
      <c r="AF1301" s="1"/>
      <c r="AG1301" s="1"/>
    </row>
    <row r="1302" ht="15.75" customHeight="1">
      <c r="A1302" s="1"/>
      <c r="B1302" s="1"/>
      <c r="C1302" s="1"/>
      <c r="D1302" s="1"/>
      <c r="E1302" s="1"/>
      <c r="F1302" s="1"/>
      <c r="G1302" s="1"/>
      <c r="H1302" s="1"/>
      <c r="I1302" s="1"/>
      <c r="J1302" s="1"/>
      <c r="K1302" s="102" t="s">
        <v>2447</v>
      </c>
      <c r="L1302" s="102" t="str">
        <f>A29</f>
        <v>J</v>
      </c>
      <c r="M1302" s="102" t="s">
        <v>2448</v>
      </c>
      <c r="N1302" s="102" t="s">
        <v>2445</v>
      </c>
      <c r="O1302" s="105">
        <v>7296343.0</v>
      </c>
      <c r="P1302" s="105">
        <v>7428302.0</v>
      </c>
      <c r="Q1302" s="102" t="s">
        <v>2446</v>
      </c>
      <c r="R1302" s="1"/>
      <c r="S1302" s="1"/>
      <c r="T1302" s="1"/>
      <c r="U1302" s="1"/>
      <c r="V1302" s="1"/>
      <c r="W1302" s="1"/>
      <c r="X1302" s="1"/>
      <c r="Y1302" s="1"/>
      <c r="Z1302" s="102"/>
      <c r="AA1302" s="102"/>
      <c r="AB1302" s="1"/>
      <c r="AC1302" s="1"/>
      <c r="AD1302" s="1"/>
      <c r="AE1302" s="1"/>
      <c r="AF1302" s="1"/>
      <c r="AG1302" s="1"/>
    </row>
    <row r="1303" ht="15.75" customHeight="1">
      <c r="A1303" s="1"/>
      <c r="B1303" s="1"/>
      <c r="C1303" s="1"/>
      <c r="D1303" s="1"/>
      <c r="E1303" s="1"/>
      <c r="F1303" s="1"/>
      <c r="G1303" s="1"/>
      <c r="H1303" s="1"/>
      <c r="I1303" s="1"/>
      <c r="J1303" s="1"/>
      <c r="K1303" s="102" t="s">
        <v>2449</v>
      </c>
      <c r="L1303" s="102" t="str">
        <f>A29</f>
        <v>J</v>
      </c>
      <c r="M1303" s="102" t="s">
        <v>2450</v>
      </c>
      <c r="N1303" s="102" t="s">
        <v>2445</v>
      </c>
      <c r="O1303" s="105">
        <v>7296343.0</v>
      </c>
      <c r="P1303" s="105">
        <v>7428302.0</v>
      </c>
      <c r="Q1303" s="102" t="s">
        <v>2446</v>
      </c>
      <c r="R1303" s="1"/>
      <c r="S1303" s="1"/>
      <c r="T1303" s="1"/>
      <c r="U1303" s="1"/>
      <c r="V1303" s="1"/>
      <c r="W1303" s="1"/>
      <c r="X1303" s="1"/>
      <c r="Y1303" s="1"/>
      <c r="Z1303" s="102"/>
      <c r="AA1303" s="102"/>
      <c r="AB1303" s="1"/>
      <c r="AC1303" s="1"/>
      <c r="AD1303" s="1"/>
      <c r="AE1303" s="1"/>
      <c r="AF1303" s="1"/>
      <c r="AG1303" s="1"/>
    </row>
    <row r="1304" ht="15.75" customHeight="1">
      <c r="A1304" s="1"/>
      <c r="B1304" s="1"/>
      <c r="C1304" s="1"/>
      <c r="D1304" s="1"/>
      <c r="E1304" s="1"/>
      <c r="F1304" s="1"/>
      <c r="G1304" s="1"/>
      <c r="H1304" s="1"/>
      <c r="I1304" s="1"/>
      <c r="J1304" s="1"/>
      <c r="K1304" s="102" t="s">
        <v>2451</v>
      </c>
      <c r="L1304" s="102" t="str">
        <f>A29</f>
        <v>J</v>
      </c>
      <c r="M1304" s="102" t="s">
        <v>2452</v>
      </c>
      <c r="N1304" s="102" t="s">
        <v>2453</v>
      </c>
      <c r="O1304" s="105">
        <v>1.4162442E7</v>
      </c>
      <c r="P1304" s="105">
        <v>1.2041736E7</v>
      </c>
      <c r="Q1304" s="102" t="s">
        <v>2454</v>
      </c>
      <c r="R1304" s="1"/>
      <c r="S1304" s="1"/>
      <c r="T1304" s="1"/>
      <c r="U1304" s="1"/>
      <c r="V1304" s="1"/>
      <c r="W1304" s="1"/>
      <c r="X1304" s="1"/>
      <c r="Y1304" s="1"/>
      <c r="Z1304" s="102"/>
      <c r="AA1304" s="102"/>
      <c r="AB1304" s="1"/>
      <c r="AC1304" s="1"/>
      <c r="AD1304" s="1"/>
      <c r="AE1304" s="1"/>
      <c r="AF1304" s="1"/>
      <c r="AG1304" s="1"/>
    </row>
    <row r="1305" ht="15.75" customHeight="1">
      <c r="A1305" s="1"/>
      <c r="B1305" s="1"/>
      <c r="C1305" s="1"/>
      <c r="D1305" s="1"/>
      <c r="E1305" s="1"/>
      <c r="F1305" s="1"/>
      <c r="G1305" s="1"/>
      <c r="H1305" s="1"/>
      <c r="I1305" s="1"/>
      <c r="J1305" s="1"/>
      <c r="K1305" s="102" t="s">
        <v>2452</v>
      </c>
      <c r="L1305" s="102" t="str">
        <f>A29</f>
        <v>J</v>
      </c>
      <c r="M1305" s="102" t="s">
        <v>2451</v>
      </c>
      <c r="N1305" s="102" t="s">
        <v>2453</v>
      </c>
      <c r="O1305" s="105">
        <v>1.4162442E7</v>
      </c>
      <c r="P1305" s="105">
        <v>1.2041736E7</v>
      </c>
      <c r="Q1305" s="102" t="s">
        <v>2454</v>
      </c>
      <c r="R1305" s="1"/>
      <c r="S1305" s="1"/>
      <c r="T1305" s="1"/>
      <c r="U1305" s="1"/>
      <c r="V1305" s="1"/>
      <c r="W1305" s="1"/>
      <c r="X1305" s="1"/>
      <c r="Y1305" s="1"/>
      <c r="Z1305" s="102"/>
      <c r="AA1305" s="102"/>
      <c r="AB1305" s="1"/>
      <c r="AC1305" s="1"/>
      <c r="AD1305" s="1"/>
      <c r="AE1305" s="1"/>
      <c r="AF1305" s="1"/>
      <c r="AG1305" s="1"/>
    </row>
    <row r="1306" ht="15.75" customHeight="1">
      <c r="A1306" s="1"/>
      <c r="B1306" s="1"/>
      <c r="C1306" s="1"/>
      <c r="D1306" s="1"/>
      <c r="E1306" s="1"/>
      <c r="F1306" s="1"/>
      <c r="G1306" s="1"/>
      <c r="H1306" s="1"/>
      <c r="I1306" s="1"/>
      <c r="J1306" s="1"/>
      <c r="K1306" s="102" t="s">
        <v>2455</v>
      </c>
      <c r="L1306" s="102" t="str">
        <f>A29</f>
        <v>J</v>
      </c>
      <c r="M1306" s="102" t="s">
        <v>2456</v>
      </c>
      <c r="N1306" s="102" t="s">
        <v>2457</v>
      </c>
      <c r="O1306" s="105">
        <v>1.4476551E7</v>
      </c>
      <c r="P1306" s="105">
        <v>1.235582E7</v>
      </c>
      <c r="Q1306" s="102" t="s">
        <v>2454</v>
      </c>
      <c r="R1306" s="1"/>
      <c r="S1306" s="1"/>
      <c r="T1306" s="1"/>
      <c r="U1306" s="1"/>
      <c r="V1306" s="1"/>
      <c r="W1306" s="1"/>
      <c r="X1306" s="1"/>
      <c r="Y1306" s="1"/>
      <c r="Z1306" s="102"/>
      <c r="AA1306" s="102"/>
      <c r="AB1306" s="1"/>
      <c r="AC1306" s="1"/>
      <c r="AD1306" s="1"/>
      <c r="AE1306" s="1"/>
      <c r="AF1306" s="1"/>
      <c r="AG1306" s="1"/>
    </row>
    <row r="1307" ht="15.75" customHeight="1">
      <c r="A1307" s="1"/>
      <c r="B1307" s="1"/>
      <c r="C1307" s="1"/>
      <c r="D1307" s="1"/>
      <c r="E1307" s="1"/>
      <c r="F1307" s="1"/>
      <c r="G1307" s="1"/>
      <c r="H1307" s="1"/>
      <c r="I1307" s="1"/>
      <c r="J1307" s="1"/>
      <c r="K1307" s="102" t="s">
        <v>2456</v>
      </c>
      <c r="L1307" s="102" t="str">
        <f>A29</f>
        <v>J</v>
      </c>
      <c r="M1307" s="102" t="s">
        <v>2455</v>
      </c>
      <c r="N1307" s="102" t="s">
        <v>2457</v>
      </c>
      <c r="O1307" s="105">
        <v>1.4476551E7</v>
      </c>
      <c r="P1307" s="105">
        <v>1.235582E7</v>
      </c>
      <c r="Q1307" s="102" t="s">
        <v>2454</v>
      </c>
      <c r="R1307" s="1"/>
      <c r="S1307" s="1"/>
      <c r="T1307" s="1"/>
      <c r="U1307" s="1"/>
      <c r="V1307" s="1"/>
      <c r="W1307" s="1"/>
      <c r="X1307" s="1"/>
      <c r="Y1307" s="1"/>
      <c r="Z1307" s="102"/>
      <c r="AA1307" s="102"/>
      <c r="AB1307" s="1"/>
      <c r="AC1307" s="1"/>
      <c r="AD1307" s="1"/>
      <c r="AE1307" s="1"/>
      <c r="AF1307" s="1"/>
      <c r="AG1307" s="1"/>
    </row>
    <row r="1308" ht="15.75" customHeight="1">
      <c r="A1308" s="1"/>
      <c r="B1308" s="1"/>
      <c r="C1308" s="1"/>
      <c r="D1308" s="1"/>
      <c r="E1308" s="1"/>
      <c r="F1308" s="1"/>
      <c r="G1308" s="1"/>
      <c r="H1308" s="1"/>
      <c r="I1308" s="1"/>
      <c r="J1308" s="1"/>
      <c r="K1308" s="102" t="s">
        <v>2458</v>
      </c>
      <c r="L1308" s="102" t="str">
        <f>A29</f>
        <v>J</v>
      </c>
      <c r="M1308" s="102" t="s">
        <v>2459</v>
      </c>
      <c r="N1308" s="102" t="s">
        <v>2460</v>
      </c>
      <c r="O1308" s="105">
        <v>1.5000452E7</v>
      </c>
      <c r="P1308" s="105">
        <v>1.2888537E7</v>
      </c>
      <c r="Q1308" s="102" t="s">
        <v>2439</v>
      </c>
      <c r="R1308" s="1"/>
      <c r="S1308" s="1"/>
      <c r="T1308" s="1"/>
      <c r="U1308" s="1"/>
      <c r="V1308" s="1"/>
      <c r="W1308" s="1"/>
      <c r="X1308" s="1"/>
      <c r="Y1308" s="1"/>
      <c r="Z1308" s="102"/>
      <c r="AA1308" s="102"/>
      <c r="AB1308" s="1"/>
      <c r="AC1308" s="1"/>
      <c r="AD1308" s="1"/>
      <c r="AE1308" s="1"/>
      <c r="AF1308" s="1"/>
      <c r="AG1308" s="1"/>
    </row>
    <row r="1309" ht="15.75" customHeight="1">
      <c r="A1309" s="1"/>
      <c r="B1309" s="1"/>
      <c r="C1309" s="1"/>
      <c r="D1309" s="1"/>
      <c r="E1309" s="1"/>
      <c r="F1309" s="1"/>
      <c r="G1309" s="1"/>
      <c r="H1309" s="1"/>
      <c r="I1309" s="1"/>
      <c r="J1309" s="1"/>
      <c r="K1309" s="102" t="s">
        <v>2461</v>
      </c>
      <c r="L1309" s="102" t="str">
        <f>A29</f>
        <v>J</v>
      </c>
      <c r="M1309" s="102" t="s">
        <v>2462</v>
      </c>
      <c r="N1309" s="102" t="s">
        <v>2460</v>
      </c>
      <c r="O1309" s="105">
        <v>1.5000452E7</v>
      </c>
      <c r="P1309" s="105">
        <v>1.2888537E7</v>
      </c>
      <c r="Q1309" s="102" t="s">
        <v>2439</v>
      </c>
      <c r="R1309" s="1"/>
      <c r="S1309" s="1"/>
      <c r="T1309" s="1"/>
      <c r="U1309" s="1"/>
      <c r="V1309" s="1"/>
      <c r="W1309" s="1"/>
      <c r="X1309" s="1"/>
      <c r="Y1309" s="1"/>
      <c r="Z1309" s="102"/>
      <c r="AA1309" s="102"/>
      <c r="AB1309" s="1"/>
      <c r="AC1309" s="1"/>
      <c r="AD1309" s="1"/>
      <c r="AE1309" s="1"/>
      <c r="AF1309" s="1"/>
      <c r="AG1309" s="1"/>
    </row>
    <row r="1310" ht="15.75" customHeight="1">
      <c r="A1310" s="1"/>
      <c r="B1310" s="1"/>
      <c r="C1310" s="1"/>
      <c r="D1310" s="1"/>
      <c r="E1310" s="1"/>
      <c r="F1310" s="1"/>
      <c r="G1310" s="1"/>
      <c r="H1310" s="1"/>
      <c r="I1310" s="1"/>
      <c r="J1310" s="1"/>
      <c r="K1310" s="102" t="s">
        <v>2463</v>
      </c>
      <c r="L1310" s="102" t="str">
        <f>A29</f>
        <v>J</v>
      </c>
      <c r="M1310" s="102" t="s">
        <v>2464</v>
      </c>
      <c r="N1310" s="102" t="s">
        <v>2460</v>
      </c>
      <c r="O1310" s="105">
        <v>1.5000452E7</v>
      </c>
      <c r="P1310" s="105">
        <v>1.2888537E7</v>
      </c>
      <c r="Q1310" s="102" t="s">
        <v>2439</v>
      </c>
      <c r="R1310" s="1"/>
      <c r="S1310" s="1"/>
      <c r="T1310" s="1"/>
      <c r="U1310" s="1"/>
      <c r="V1310" s="1"/>
      <c r="W1310" s="1"/>
      <c r="X1310" s="1"/>
      <c r="Y1310" s="1"/>
      <c r="Z1310" s="102"/>
      <c r="AA1310" s="102"/>
      <c r="AB1310" s="1"/>
      <c r="AC1310" s="1"/>
      <c r="AD1310" s="1"/>
      <c r="AE1310" s="1"/>
      <c r="AF1310" s="1"/>
      <c r="AG1310" s="1"/>
    </row>
    <row r="1311" ht="15.75" customHeight="1">
      <c r="A1311" s="1"/>
      <c r="B1311" s="1"/>
      <c r="C1311" s="1"/>
      <c r="D1311" s="1"/>
      <c r="E1311" s="1"/>
      <c r="F1311" s="1"/>
      <c r="G1311" s="1"/>
      <c r="H1311" s="1"/>
      <c r="I1311" s="1"/>
      <c r="J1311" s="1"/>
      <c r="K1311" s="102" t="s">
        <v>2465</v>
      </c>
      <c r="L1311" s="102" t="str">
        <f>A29</f>
        <v>J</v>
      </c>
      <c r="M1311" s="102" t="s">
        <v>2466</v>
      </c>
      <c r="N1311" s="102" t="s">
        <v>2467</v>
      </c>
      <c r="O1311" s="105">
        <v>1.5138096E7</v>
      </c>
      <c r="P1311" s="105">
        <v>1.3026183E7</v>
      </c>
      <c r="Q1311" s="102" t="s">
        <v>2468</v>
      </c>
      <c r="R1311" s="1"/>
      <c r="S1311" s="1"/>
      <c r="T1311" s="1"/>
      <c r="U1311" s="1"/>
      <c r="V1311" s="1"/>
      <c r="W1311" s="1"/>
      <c r="X1311" s="1"/>
      <c r="Y1311" s="1"/>
      <c r="Z1311" s="102"/>
      <c r="AA1311" s="102"/>
      <c r="AB1311" s="1"/>
      <c r="AC1311" s="1"/>
      <c r="AD1311" s="1"/>
      <c r="AE1311" s="1"/>
      <c r="AF1311" s="1"/>
      <c r="AG1311" s="1"/>
    </row>
    <row r="1312" ht="15.75" customHeight="1">
      <c r="A1312" s="1"/>
      <c r="B1312" s="1"/>
      <c r="C1312" s="1"/>
      <c r="D1312" s="1"/>
      <c r="E1312" s="1"/>
      <c r="F1312" s="1"/>
      <c r="G1312" s="1"/>
      <c r="H1312" s="1"/>
      <c r="I1312" s="1"/>
      <c r="J1312" s="1"/>
      <c r="K1312" s="102" t="s">
        <v>2466</v>
      </c>
      <c r="L1312" s="102" t="str">
        <f>A29</f>
        <v>J</v>
      </c>
      <c r="M1312" s="102" t="s">
        <v>2465</v>
      </c>
      <c r="N1312" s="102" t="s">
        <v>2467</v>
      </c>
      <c r="O1312" s="105">
        <v>1.5138096E7</v>
      </c>
      <c r="P1312" s="105">
        <v>1.3026183E7</v>
      </c>
      <c r="Q1312" s="102" t="s">
        <v>2468</v>
      </c>
      <c r="R1312" s="1"/>
      <c r="S1312" s="1"/>
      <c r="T1312" s="1"/>
      <c r="U1312" s="1"/>
      <c r="V1312" s="1"/>
      <c r="W1312" s="1"/>
      <c r="X1312" s="1"/>
      <c r="Y1312" s="1"/>
      <c r="Z1312" s="102"/>
      <c r="AA1312" s="102"/>
      <c r="AB1312" s="1"/>
      <c r="AC1312" s="1"/>
      <c r="AD1312" s="1"/>
      <c r="AE1312" s="1"/>
      <c r="AF1312" s="1"/>
      <c r="AG1312" s="1"/>
    </row>
    <row r="1313" ht="15.75" customHeight="1">
      <c r="A1313" s="1"/>
      <c r="B1313" s="1"/>
      <c r="C1313" s="1"/>
      <c r="D1313" s="1"/>
      <c r="E1313" s="1"/>
      <c r="F1313" s="1"/>
      <c r="G1313" s="1"/>
      <c r="H1313" s="1"/>
      <c r="I1313" s="1"/>
      <c r="J1313" s="1"/>
      <c r="K1313" s="102" t="s">
        <v>2469</v>
      </c>
      <c r="L1313" s="102" t="str">
        <f>A29</f>
        <v>J</v>
      </c>
      <c r="M1313" s="102" t="s">
        <v>2470</v>
      </c>
      <c r="N1313" s="102" t="s">
        <v>2471</v>
      </c>
      <c r="O1313" s="105">
        <v>1.5237163E7</v>
      </c>
      <c r="P1313" s="105">
        <v>1.3125249E7</v>
      </c>
      <c r="Q1313" s="102" t="s">
        <v>2439</v>
      </c>
      <c r="R1313" s="1"/>
      <c r="S1313" s="1"/>
      <c r="T1313" s="1"/>
      <c r="U1313" s="1"/>
      <c r="V1313" s="1"/>
      <c r="W1313" s="1"/>
      <c r="X1313" s="1"/>
      <c r="Y1313" s="1"/>
      <c r="Z1313" s="102"/>
      <c r="AA1313" s="102"/>
      <c r="AB1313" s="1"/>
      <c r="AC1313" s="1"/>
      <c r="AD1313" s="1"/>
      <c r="AE1313" s="1"/>
      <c r="AF1313" s="1"/>
      <c r="AG1313" s="1"/>
    </row>
    <row r="1314" ht="15.75" customHeight="1">
      <c r="A1314" s="1"/>
      <c r="B1314" s="1"/>
      <c r="C1314" s="1"/>
      <c r="D1314" s="1"/>
      <c r="E1314" s="1"/>
      <c r="F1314" s="1"/>
      <c r="G1314" s="1"/>
      <c r="H1314" s="1"/>
      <c r="I1314" s="1"/>
      <c r="J1314" s="1"/>
      <c r="K1314" s="102" t="s">
        <v>2470</v>
      </c>
      <c r="L1314" s="102" t="str">
        <f>A29</f>
        <v>J</v>
      </c>
      <c r="M1314" s="102" t="s">
        <v>2469</v>
      </c>
      <c r="N1314" s="102" t="s">
        <v>2471</v>
      </c>
      <c r="O1314" s="105">
        <v>1.5237163E7</v>
      </c>
      <c r="P1314" s="105">
        <v>1.3125249E7</v>
      </c>
      <c r="Q1314" s="102" t="s">
        <v>2439</v>
      </c>
      <c r="R1314" s="1"/>
      <c r="S1314" s="1"/>
      <c r="T1314" s="1"/>
      <c r="U1314" s="1"/>
      <c r="V1314" s="1"/>
      <c r="W1314" s="1"/>
      <c r="X1314" s="1"/>
      <c r="Y1314" s="1"/>
      <c r="Z1314" s="102"/>
      <c r="AA1314" s="102"/>
      <c r="AB1314" s="1"/>
      <c r="AC1314" s="1"/>
      <c r="AD1314" s="1"/>
      <c r="AE1314" s="1"/>
      <c r="AF1314" s="1"/>
      <c r="AG1314" s="1"/>
    </row>
    <row r="1315" ht="15.75" customHeight="1">
      <c r="A1315" s="1"/>
      <c r="B1315" s="1"/>
      <c r="C1315" s="1"/>
      <c r="D1315" s="1"/>
      <c r="E1315" s="1"/>
      <c r="F1315" s="1"/>
      <c r="G1315" s="1"/>
      <c r="H1315" s="1"/>
      <c r="I1315" s="1"/>
      <c r="J1315" s="1"/>
      <c r="K1315" s="102" t="s">
        <v>2472</v>
      </c>
      <c r="L1315" s="102" t="str">
        <f>A29</f>
        <v>J</v>
      </c>
      <c r="M1315" s="102" t="s">
        <v>2473</v>
      </c>
      <c r="N1315" s="102" t="s">
        <v>2474</v>
      </c>
      <c r="O1315" s="105">
        <v>1.5277466E7</v>
      </c>
      <c r="P1315" s="105">
        <v>1.3165555E7</v>
      </c>
      <c r="Q1315" s="102" t="s">
        <v>2439</v>
      </c>
      <c r="R1315" s="1"/>
      <c r="S1315" s="1"/>
      <c r="T1315" s="1"/>
      <c r="U1315" s="1"/>
      <c r="V1315" s="1"/>
      <c r="W1315" s="1"/>
      <c r="X1315" s="1"/>
      <c r="Y1315" s="1"/>
      <c r="Z1315" s="102"/>
      <c r="AA1315" s="102"/>
      <c r="AB1315" s="1"/>
      <c r="AC1315" s="1"/>
      <c r="AD1315" s="1"/>
      <c r="AE1315" s="1"/>
      <c r="AF1315" s="1"/>
      <c r="AG1315" s="1"/>
    </row>
    <row r="1316" ht="15.75" customHeight="1">
      <c r="A1316" s="1"/>
      <c r="B1316" s="1"/>
      <c r="C1316" s="1"/>
      <c r="D1316" s="1"/>
      <c r="E1316" s="1"/>
      <c r="F1316" s="1"/>
      <c r="G1316" s="1"/>
      <c r="H1316" s="1"/>
      <c r="I1316" s="1"/>
      <c r="J1316" s="1"/>
      <c r="K1316" s="102" t="s">
        <v>2475</v>
      </c>
      <c r="L1316" s="102" t="str">
        <f>A29</f>
        <v>J</v>
      </c>
      <c r="M1316" s="102" t="s">
        <v>2476</v>
      </c>
      <c r="N1316" s="102" t="s">
        <v>2474</v>
      </c>
      <c r="O1316" s="105">
        <v>1.5277466E7</v>
      </c>
      <c r="P1316" s="105">
        <v>1.3165555E7</v>
      </c>
      <c r="Q1316" s="102" t="s">
        <v>2439</v>
      </c>
      <c r="R1316" s="1"/>
      <c r="S1316" s="1"/>
      <c r="T1316" s="1"/>
      <c r="U1316" s="1"/>
      <c r="V1316" s="1"/>
      <c r="W1316" s="1"/>
      <c r="X1316" s="1"/>
      <c r="Y1316" s="1"/>
      <c r="Z1316" s="102"/>
      <c r="AA1316" s="102"/>
      <c r="AB1316" s="1"/>
      <c r="AC1316" s="1"/>
      <c r="AD1316" s="1"/>
      <c r="AE1316" s="1"/>
      <c r="AF1316" s="1"/>
      <c r="AG1316" s="1"/>
    </row>
    <row r="1317" ht="15.75" customHeight="1">
      <c r="A1317" s="1"/>
      <c r="B1317" s="1"/>
      <c r="C1317" s="1"/>
      <c r="D1317" s="1"/>
      <c r="E1317" s="1"/>
      <c r="F1317" s="1"/>
      <c r="G1317" s="1"/>
      <c r="H1317" s="1"/>
      <c r="I1317" s="1"/>
      <c r="J1317" s="1"/>
      <c r="K1317" s="102" t="s">
        <v>2477</v>
      </c>
      <c r="L1317" s="102" t="str">
        <f>A29</f>
        <v>J</v>
      </c>
      <c r="M1317" s="102" t="s">
        <v>2478</v>
      </c>
      <c r="N1317" s="102" t="s">
        <v>2474</v>
      </c>
      <c r="O1317" s="105">
        <v>1.5277466E7</v>
      </c>
      <c r="P1317" s="105">
        <v>1.3165555E7</v>
      </c>
      <c r="Q1317" s="102" t="s">
        <v>2439</v>
      </c>
      <c r="R1317" s="1"/>
      <c r="S1317" s="1"/>
      <c r="T1317" s="1"/>
      <c r="U1317" s="1"/>
      <c r="V1317" s="1"/>
      <c r="W1317" s="1"/>
      <c r="X1317" s="1"/>
      <c r="Y1317" s="1"/>
      <c r="Z1317" s="102"/>
      <c r="AA1317" s="102"/>
      <c r="AB1317" s="1"/>
      <c r="AC1317" s="1"/>
      <c r="AD1317" s="1"/>
      <c r="AE1317" s="1"/>
      <c r="AF1317" s="1"/>
      <c r="AG1317" s="1"/>
    </row>
    <row r="1318" ht="15.75" customHeight="1">
      <c r="A1318" s="1"/>
      <c r="B1318" s="1"/>
      <c r="C1318" s="1"/>
      <c r="D1318" s="1"/>
      <c r="E1318" s="1"/>
      <c r="F1318" s="1"/>
      <c r="G1318" s="1"/>
      <c r="H1318" s="1"/>
      <c r="I1318" s="1"/>
      <c r="J1318" s="1"/>
      <c r="K1318" s="102" t="s">
        <v>2479</v>
      </c>
      <c r="L1318" s="102" t="str">
        <f>A29</f>
        <v>J</v>
      </c>
      <c r="M1318" s="102" t="s">
        <v>2480</v>
      </c>
      <c r="N1318" s="102" t="s">
        <v>2481</v>
      </c>
      <c r="O1318" s="105">
        <v>1.5476324E7</v>
      </c>
      <c r="P1318" s="105">
        <v>1.3364444E7</v>
      </c>
      <c r="Q1318" s="102" t="s">
        <v>2439</v>
      </c>
      <c r="R1318" s="1"/>
      <c r="S1318" s="1"/>
      <c r="T1318" s="1"/>
      <c r="U1318" s="1"/>
      <c r="V1318" s="1"/>
      <c r="W1318" s="1"/>
      <c r="X1318" s="1"/>
      <c r="Y1318" s="1"/>
      <c r="Z1318" s="102"/>
      <c r="AA1318" s="102"/>
      <c r="AB1318" s="1"/>
      <c r="AC1318" s="1"/>
      <c r="AD1318" s="1"/>
      <c r="AE1318" s="1"/>
      <c r="AF1318" s="1"/>
      <c r="AG1318" s="1"/>
    </row>
    <row r="1319" ht="15.75" customHeight="1">
      <c r="A1319" s="1"/>
      <c r="B1319" s="1"/>
      <c r="C1319" s="1"/>
      <c r="D1319" s="1"/>
      <c r="E1319" s="1"/>
      <c r="F1319" s="1"/>
      <c r="G1319" s="1"/>
      <c r="H1319" s="1"/>
      <c r="I1319" s="1"/>
      <c r="J1319" s="1"/>
      <c r="K1319" s="102" t="s">
        <v>2482</v>
      </c>
      <c r="L1319" s="102" t="str">
        <f>A29</f>
        <v>J</v>
      </c>
      <c r="M1319" s="102" t="s">
        <v>2483</v>
      </c>
      <c r="N1319" s="102" t="s">
        <v>2481</v>
      </c>
      <c r="O1319" s="105">
        <v>1.5476324E7</v>
      </c>
      <c r="P1319" s="105">
        <v>1.3364444E7</v>
      </c>
      <c r="Q1319" s="102" t="s">
        <v>2439</v>
      </c>
      <c r="R1319" s="1"/>
      <c r="S1319" s="1"/>
      <c r="T1319" s="1"/>
      <c r="U1319" s="1"/>
      <c r="V1319" s="1"/>
      <c r="W1319" s="1"/>
      <c r="X1319" s="1"/>
      <c r="Y1319" s="1"/>
      <c r="Z1319" s="102"/>
      <c r="AA1319" s="102"/>
      <c r="AB1319" s="1"/>
      <c r="AC1319" s="1"/>
      <c r="AD1319" s="1"/>
      <c r="AE1319" s="1"/>
      <c r="AF1319" s="1"/>
      <c r="AG1319" s="1"/>
    </row>
    <row r="1320" ht="15.75" customHeight="1">
      <c r="A1320" s="1"/>
      <c r="B1320" s="1"/>
      <c r="C1320" s="1"/>
      <c r="D1320" s="1"/>
      <c r="E1320" s="1"/>
      <c r="F1320" s="1"/>
      <c r="G1320" s="1"/>
      <c r="H1320" s="1"/>
      <c r="I1320" s="1"/>
      <c r="J1320" s="1"/>
      <c r="K1320" s="102" t="s">
        <v>2484</v>
      </c>
      <c r="L1320" s="102" t="str">
        <f>A29</f>
        <v>J</v>
      </c>
      <c r="M1320" s="102" t="s">
        <v>2485</v>
      </c>
      <c r="N1320" s="102" t="s">
        <v>2481</v>
      </c>
      <c r="O1320" s="105">
        <v>1.5476324E7</v>
      </c>
      <c r="P1320" s="105">
        <v>1.3364444E7</v>
      </c>
      <c r="Q1320" s="102" t="s">
        <v>2439</v>
      </c>
      <c r="R1320" s="1"/>
      <c r="S1320" s="1"/>
      <c r="T1320" s="1"/>
      <c r="U1320" s="1"/>
      <c r="V1320" s="1"/>
      <c r="W1320" s="1"/>
      <c r="X1320" s="1"/>
      <c r="Y1320" s="1"/>
      <c r="Z1320" s="102"/>
      <c r="AA1320" s="102"/>
      <c r="AB1320" s="1"/>
      <c r="AC1320" s="1"/>
      <c r="AD1320" s="1"/>
      <c r="AE1320" s="1"/>
      <c r="AF1320" s="1"/>
      <c r="AG1320" s="1"/>
    </row>
    <row r="1321" ht="15.75" customHeight="1">
      <c r="A1321" s="1"/>
      <c r="B1321" s="1"/>
      <c r="C1321" s="1"/>
      <c r="D1321" s="1"/>
      <c r="E1321" s="1"/>
      <c r="F1321" s="1"/>
      <c r="G1321" s="1"/>
      <c r="H1321" s="1"/>
      <c r="I1321" s="1"/>
      <c r="J1321" s="1"/>
      <c r="K1321" s="102" t="s">
        <v>2486</v>
      </c>
      <c r="L1321" s="102" t="str">
        <f>A29</f>
        <v>J</v>
      </c>
      <c r="M1321" s="102" t="s">
        <v>2487</v>
      </c>
      <c r="N1321" s="102" t="s">
        <v>2488</v>
      </c>
      <c r="O1321" s="105">
        <v>1.5602183E7</v>
      </c>
      <c r="P1321" s="105">
        <v>1.3490303E7</v>
      </c>
      <c r="Q1321" s="102" t="s">
        <v>2439</v>
      </c>
      <c r="R1321" s="1"/>
      <c r="S1321" s="1"/>
      <c r="T1321" s="1"/>
      <c r="U1321" s="1"/>
      <c r="V1321" s="1"/>
      <c r="W1321" s="1"/>
      <c r="X1321" s="1"/>
      <c r="Y1321" s="1"/>
      <c r="Z1321" s="102"/>
      <c r="AA1321" s="102"/>
      <c r="AB1321" s="1"/>
      <c r="AC1321" s="1"/>
      <c r="AD1321" s="1"/>
      <c r="AE1321" s="1"/>
      <c r="AF1321" s="1"/>
      <c r="AG1321" s="1"/>
    </row>
    <row r="1322" ht="15.75" customHeight="1">
      <c r="A1322" s="1"/>
      <c r="B1322" s="1"/>
      <c r="C1322" s="1"/>
      <c r="D1322" s="1"/>
      <c r="E1322" s="1"/>
      <c r="F1322" s="1"/>
      <c r="G1322" s="1"/>
      <c r="H1322" s="1"/>
      <c r="I1322" s="1"/>
      <c r="J1322" s="1"/>
      <c r="K1322" s="102" t="s">
        <v>2487</v>
      </c>
      <c r="L1322" s="102" t="str">
        <f>A29</f>
        <v>J</v>
      </c>
      <c r="M1322" s="102" t="s">
        <v>2486</v>
      </c>
      <c r="N1322" s="102" t="s">
        <v>2488</v>
      </c>
      <c r="O1322" s="105">
        <v>1.5602183E7</v>
      </c>
      <c r="P1322" s="105">
        <v>1.3490303E7</v>
      </c>
      <c r="Q1322" s="102" t="s">
        <v>2439</v>
      </c>
      <c r="R1322" s="1"/>
      <c r="S1322" s="1"/>
      <c r="T1322" s="1"/>
      <c r="U1322" s="1"/>
      <c r="V1322" s="1"/>
      <c r="W1322" s="1"/>
      <c r="X1322" s="1"/>
      <c r="Y1322" s="1"/>
      <c r="Z1322" s="102"/>
      <c r="AA1322" s="102"/>
      <c r="AB1322" s="1"/>
      <c r="AC1322" s="1"/>
      <c r="AD1322" s="1"/>
      <c r="AE1322" s="1"/>
      <c r="AF1322" s="1"/>
      <c r="AG1322" s="1"/>
    </row>
    <row r="1323" ht="15.75" customHeight="1">
      <c r="A1323" s="1"/>
      <c r="B1323" s="1"/>
      <c r="C1323" s="1"/>
      <c r="D1323" s="1"/>
      <c r="E1323" s="1"/>
      <c r="F1323" s="1"/>
      <c r="G1323" s="1"/>
      <c r="H1323" s="1"/>
      <c r="I1323" s="1"/>
      <c r="J1323" s="1"/>
      <c r="K1323" s="102" t="s">
        <v>2489</v>
      </c>
      <c r="L1323" s="102" t="str">
        <f>A29</f>
        <v>J</v>
      </c>
      <c r="M1323" s="102" t="s">
        <v>2490</v>
      </c>
      <c r="N1323" s="102" t="s">
        <v>2491</v>
      </c>
      <c r="O1323" s="105">
        <v>1.5607864E7</v>
      </c>
      <c r="P1323" s="105">
        <v>1.3495984E7</v>
      </c>
      <c r="Q1323" s="102" t="s">
        <v>2454</v>
      </c>
      <c r="R1323" s="1"/>
      <c r="S1323" s="1"/>
      <c r="T1323" s="1"/>
      <c r="U1323" s="1"/>
      <c r="V1323" s="1"/>
      <c r="W1323" s="1"/>
      <c r="X1323" s="1"/>
      <c r="Y1323" s="1"/>
      <c r="Z1323" s="102"/>
      <c r="AA1323" s="102"/>
      <c r="AB1323" s="1"/>
      <c r="AC1323" s="1"/>
      <c r="AD1323" s="1"/>
      <c r="AE1323" s="1"/>
      <c r="AF1323" s="1"/>
      <c r="AG1323" s="1"/>
    </row>
    <row r="1324" ht="15.75" customHeight="1">
      <c r="A1324" s="1"/>
      <c r="B1324" s="1"/>
      <c r="C1324" s="1"/>
      <c r="D1324" s="1"/>
      <c r="E1324" s="1"/>
      <c r="F1324" s="1"/>
      <c r="G1324" s="1"/>
      <c r="H1324" s="1"/>
      <c r="I1324" s="1"/>
      <c r="J1324" s="1"/>
      <c r="K1324" s="102" t="s">
        <v>2490</v>
      </c>
      <c r="L1324" s="102" t="str">
        <f>A29</f>
        <v>J</v>
      </c>
      <c r="M1324" s="102" t="s">
        <v>2489</v>
      </c>
      <c r="N1324" s="102" t="s">
        <v>2491</v>
      </c>
      <c r="O1324" s="105">
        <v>1.5607864E7</v>
      </c>
      <c r="P1324" s="105">
        <v>1.3495984E7</v>
      </c>
      <c r="Q1324" s="102" t="s">
        <v>2454</v>
      </c>
      <c r="R1324" s="1"/>
      <c r="S1324" s="1"/>
      <c r="T1324" s="1"/>
      <c r="U1324" s="1"/>
      <c r="V1324" s="1"/>
      <c r="W1324" s="1"/>
      <c r="X1324" s="1"/>
      <c r="Y1324" s="1"/>
      <c r="Z1324" s="102"/>
      <c r="AA1324" s="102"/>
      <c r="AB1324" s="1"/>
      <c r="AC1324" s="1"/>
      <c r="AD1324" s="1"/>
      <c r="AE1324" s="1"/>
      <c r="AF1324" s="1"/>
      <c r="AG1324" s="1"/>
    </row>
    <row r="1325" ht="15.75" customHeight="1">
      <c r="A1325" s="1"/>
      <c r="B1325" s="1"/>
      <c r="C1325" s="1"/>
      <c r="D1325" s="1"/>
      <c r="E1325" s="1"/>
      <c r="F1325" s="1"/>
      <c r="G1325" s="1"/>
      <c r="H1325" s="1"/>
      <c r="I1325" s="1"/>
      <c r="J1325" s="1"/>
      <c r="K1325" s="102" t="s">
        <v>2492</v>
      </c>
      <c r="L1325" s="102" t="str">
        <f>A29</f>
        <v>J</v>
      </c>
      <c r="M1325" s="102" t="s">
        <v>2493</v>
      </c>
      <c r="N1325" s="102" t="s">
        <v>2494</v>
      </c>
      <c r="O1325" s="105">
        <v>1.5913787E7</v>
      </c>
      <c r="P1325" s="105">
        <v>1.3801907E7</v>
      </c>
      <c r="Q1325" s="102" t="s">
        <v>2423</v>
      </c>
      <c r="R1325" s="1"/>
      <c r="S1325" s="1"/>
      <c r="T1325" s="1"/>
      <c r="U1325" s="1"/>
      <c r="V1325" s="1"/>
      <c r="W1325" s="1"/>
      <c r="X1325" s="1"/>
      <c r="Y1325" s="1"/>
      <c r="Z1325" s="102"/>
      <c r="AA1325" s="102"/>
      <c r="AB1325" s="1"/>
      <c r="AC1325" s="1"/>
      <c r="AD1325" s="1"/>
      <c r="AE1325" s="1"/>
      <c r="AF1325" s="1"/>
      <c r="AG1325" s="1"/>
    </row>
    <row r="1326" ht="15.75" customHeight="1">
      <c r="A1326" s="1"/>
      <c r="B1326" s="1"/>
      <c r="C1326" s="1"/>
      <c r="D1326" s="1"/>
      <c r="E1326" s="1"/>
      <c r="F1326" s="1"/>
      <c r="G1326" s="1"/>
      <c r="H1326" s="1"/>
      <c r="I1326" s="1"/>
      <c r="J1326" s="1"/>
      <c r="K1326" s="102" t="s">
        <v>2493</v>
      </c>
      <c r="L1326" s="102" t="str">
        <f>A29</f>
        <v>J</v>
      </c>
      <c r="M1326" s="102" t="s">
        <v>2492</v>
      </c>
      <c r="N1326" s="102" t="s">
        <v>2494</v>
      </c>
      <c r="O1326" s="105">
        <v>1.5913787E7</v>
      </c>
      <c r="P1326" s="105">
        <v>1.3801907E7</v>
      </c>
      <c r="Q1326" s="102" t="s">
        <v>2423</v>
      </c>
      <c r="R1326" s="1"/>
      <c r="S1326" s="1"/>
      <c r="T1326" s="1"/>
      <c r="U1326" s="1"/>
      <c r="V1326" s="1"/>
      <c r="W1326" s="1"/>
      <c r="X1326" s="1"/>
      <c r="Y1326" s="1"/>
      <c r="Z1326" s="102"/>
      <c r="AA1326" s="102"/>
      <c r="AB1326" s="1"/>
      <c r="AC1326" s="1"/>
      <c r="AD1326" s="1"/>
      <c r="AE1326" s="1"/>
      <c r="AF1326" s="1"/>
      <c r="AG1326" s="1"/>
    </row>
    <row r="1327" ht="15.75" customHeight="1">
      <c r="A1327" s="1"/>
      <c r="B1327" s="1"/>
      <c r="C1327" s="1"/>
      <c r="D1327" s="1"/>
      <c r="E1327" s="1"/>
      <c r="F1327" s="1"/>
      <c r="G1327" s="1"/>
      <c r="H1327" s="1"/>
      <c r="I1327" s="1"/>
      <c r="J1327" s="1"/>
      <c r="K1327" s="102" t="s">
        <v>2495</v>
      </c>
      <c r="L1327" s="102" t="str">
        <f>A29</f>
        <v>J</v>
      </c>
      <c r="M1327" s="102" t="s">
        <v>2496</v>
      </c>
      <c r="N1327" s="102" t="s">
        <v>2497</v>
      </c>
      <c r="O1327" s="105">
        <v>1.6180103E7</v>
      </c>
      <c r="P1327" s="105">
        <v>1.4068223E7</v>
      </c>
      <c r="Q1327" s="102" t="s">
        <v>2468</v>
      </c>
      <c r="R1327" s="1"/>
      <c r="S1327" s="1"/>
      <c r="T1327" s="1"/>
      <c r="U1327" s="1"/>
      <c r="V1327" s="1"/>
      <c r="W1327" s="1"/>
      <c r="X1327" s="1"/>
      <c r="Y1327" s="1"/>
      <c r="Z1327" s="102"/>
      <c r="AA1327" s="102"/>
      <c r="AB1327" s="1"/>
      <c r="AC1327" s="1"/>
      <c r="AD1327" s="1"/>
      <c r="AE1327" s="1"/>
      <c r="AF1327" s="1"/>
      <c r="AG1327" s="1"/>
    </row>
    <row r="1328" ht="15.75" customHeight="1">
      <c r="A1328" s="1"/>
      <c r="B1328" s="1"/>
      <c r="C1328" s="1"/>
      <c r="D1328" s="1"/>
      <c r="E1328" s="1"/>
      <c r="F1328" s="1"/>
      <c r="G1328" s="1"/>
      <c r="H1328" s="1"/>
      <c r="I1328" s="1"/>
      <c r="J1328" s="1"/>
      <c r="K1328" s="102" t="s">
        <v>2496</v>
      </c>
      <c r="L1328" s="102" t="str">
        <f>A29</f>
        <v>J</v>
      </c>
      <c r="M1328" s="102" t="s">
        <v>2495</v>
      </c>
      <c r="N1328" s="102" t="s">
        <v>2497</v>
      </c>
      <c r="O1328" s="105">
        <v>1.6180103E7</v>
      </c>
      <c r="P1328" s="105">
        <v>1.4068223E7</v>
      </c>
      <c r="Q1328" s="102" t="s">
        <v>2468</v>
      </c>
      <c r="R1328" s="1"/>
      <c r="S1328" s="1"/>
      <c r="T1328" s="1"/>
      <c r="U1328" s="1"/>
      <c r="V1328" s="1"/>
      <c r="W1328" s="1"/>
      <c r="X1328" s="1"/>
      <c r="Y1328" s="1"/>
      <c r="Z1328" s="102"/>
      <c r="AA1328" s="102"/>
      <c r="AB1328" s="1"/>
      <c r="AC1328" s="1"/>
      <c r="AD1328" s="1"/>
      <c r="AE1328" s="1"/>
      <c r="AF1328" s="1"/>
      <c r="AG1328" s="1"/>
    </row>
    <row r="1329" ht="15.75" customHeight="1">
      <c r="A1329" s="1"/>
      <c r="B1329" s="1"/>
      <c r="C1329" s="1"/>
      <c r="D1329" s="1"/>
      <c r="E1329" s="1"/>
      <c r="F1329" s="1"/>
      <c r="G1329" s="1"/>
      <c r="H1329" s="1"/>
      <c r="I1329" s="1"/>
      <c r="J1329" s="1"/>
      <c r="K1329" s="102" t="s">
        <v>2498</v>
      </c>
      <c r="L1329" s="102" t="str">
        <f>A29</f>
        <v>J</v>
      </c>
      <c r="M1329" s="102" t="s">
        <v>2499</v>
      </c>
      <c r="N1329" s="102" t="s">
        <v>2500</v>
      </c>
      <c r="O1329" s="105">
        <v>1.6266361E7</v>
      </c>
      <c r="P1329" s="105">
        <v>1.4154481E7</v>
      </c>
      <c r="Q1329" s="102" t="s">
        <v>2501</v>
      </c>
      <c r="R1329" s="1"/>
      <c r="S1329" s="1"/>
      <c r="T1329" s="1"/>
      <c r="U1329" s="1"/>
      <c r="V1329" s="1"/>
      <c r="W1329" s="1"/>
      <c r="X1329" s="1"/>
      <c r="Y1329" s="1"/>
      <c r="Z1329" s="102"/>
      <c r="AA1329" s="102"/>
      <c r="AB1329" s="1"/>
      <c r="AC1329" s="1"/>
      <c r="AD1329" s="1"/>
      <c r="AE1329" s="1"/>
      <c r="AF1329" s="1"/>
      <c r="AG1329" s="1"/>
    </row>
    <row r="1330" ht="15.75" customHeight="1">
      <c r="A1330" s="1"/>
      <c r="B1330" s="1"/>
      <c r="C1330" s="1"/>
      <c r="D1330" s="1"/>
      <c r="E1330" s="1"/>
      <c r="F1330" s="1"/>
      <c r="G1330" s="1"/>
      <c r="H1330" s="1"/>
      <c r="I1330" s="1"/>
      <c r="J1330" s="1"/>
      <c r="K1330" s="102" t="s">
        <v>2499</v>
      </c>
      <c r="L1330" s="102" t="str">
        <f>A29</f>
        <v>J</v>
      </c>
      <c r="M1330" s="102" t="s">
        <v>2498</v>
      </c>
      <c r="N1330" s="102" t="s">
        <v>2500</v>
      </c>
      <c r="O1330" s="105">
        <v>1.6266361E7</v>
      </c>
      <c r="P1330" s="105">
        <v>1.4154481E7</v>
      </c>
      <c r="Q1330" s="102" t="s">
        <v>2501</v>
      </c>
      <c r="R1330" s="1"/>
      <c r="S1330" s="1"/>
      <c r="T1330" s="1"/>
      <c r="U1330" s="1"/>
      <c r="V1330" s="1"/>
      <c r="W1330" s="1"/>
      <c r="X1330" s="1"/>
      <c r="Y1330" s="1"/>
      <c r="Z1330" s="102"/>
      <c r="AA1330" s="102"/>
      <c r="AB1330" s="1"/>
      <c r="AC1330" s="1"/>
      <c r="AD1330" s="1"/>
      <c r="AE1330" s="1"/>
      <c r="AF1330" s="1"/>
      <c r="AG1330" s="1"/>
    </row>
    <row r="1331" ht="15.75" customHeight="1">
      <c r="A1331" s="1"/>
      <c r="B1331" s="1"/>
      <c r="C1331" s="1"/>
      <c r="D1331" s="1"/>
      <c r="E1331" s="1"/>
      <c r="F1331" s="1"/>
      <c r="G1331" s="1"/>
      <c r="H1331" s="1"/>
      <c r="I1331" s="1"/>
      <c r="J1331" s="1"/>
      <c r="K1331" s="102" t="s">
        <v>2502</v>
      </c>
      <c r="L1331" s="102" t="str">
        <f>A29</f>
        <v>J</v>
      </c>
      <c r="M1331" s="102" t="s">
        <v>2503</v>
      </c>
      <c r="N1331" s="102" t="s">
        <v>2504</v>
      </c>
      <c r="O1331" s="105">
        <v>1.6352755E7</v>
      </c>
      <c r="P1331" s="105">
        <v>1.4240875E7</v>
      </c>
      <c r="Q1331" s="102" t="s">
        <v>2501</v>
      </c>
      <c r="R1331" s="1"/>
      <c r="S1331" s="1"/>
      <c r="T1331" s="1"/>
      <c r="U1331" s="1"/>
      <c r="V1331" s="1"/>
      <c r="W1331" s="1"/>
      <c r="X1331" s="1"/>
      <c r="Y1331" s="1"/>
      <c r="Z1331" s="102"/>
      <c r="AA1331" s="102"/>
      <c r="AB1331" s="1"/>
      <c r="AC1331" s="1"/>
      <c r="AD1331" s="1"/>
      <c r="AE1331" s="1"/>
      <c r="AF1331" s="1"/>
      <c r="AG1331" s="1"/>
    </row>
    <row r="1332" ht="15.75" customHeight="1">
      <c r="A1332" s="1"/>
      <c r="B1332" s="1"/>
      <c r="C1332" s="1"/>
      <c r="D1332" s="1"/>
      <c r="E1332" s="1"/>
      <c r="F1332" s="1"/>
      <c r="G1332" s="1"/>
      <c r="H1332" s="1"/>
      <c r="I1332" s="1"/>
      <c r="J1332" s="1"/>
      <c r="K1332" s="102" t="s">
        <v>2505</v>
      </c>
      <c r="L1332" s="102" t="str">
        <f>A29</f>
        <v>J</v>
      </c>
      <c r="M1332" s="102" t="s">
        <v>2506</v>
      </c>
      <c r="N1332" s="102" t="s">
        <v>2504</v>
      </c>
      <c r="O1332" s="105">
        <v>1.6352755E7</v>
      </c>
      <c r="P1332" s="105">
        <v>1.4240875E7</v>
      </c>
      <c r="Q1332" s="102" t="s">
        <v>2501</v>
      </c>
      <c r="R1332" s="1"/>
      <c r="S1332" s="1"/>
      <c r="T1332" s="1"/>
      <c r="U1332" s="1"/>
      <c r="V1332" s="1"/>
      <c r="W1332" s="1"/>
      <c r="X1332" s="1"/>
      <c r="Y1332" s="1"/>
      <c r="Z1332" s="102"/>
      <c r="AA1332" s="102"/>
      <c r="AB1332" s="1"/>
      <c r="AC1332" s="1"/>
      <c r="AD1332" s="1"/>
      <c r="AE1332" s="1"/>
      <c r="AF1332" s="1"/>
      <c r="AG1332" s="1"/>
    </row>
    <row r="1333" ht="15.75" customHeight="1">
      <c r="A1333" s="1"/>
      <c r="B1333" s="1"/>
      <c r="C1333" s="1"/>
      <c r="D1333" s="1"/>
      <c r="E1333" s="1"/>
      <c r="F1333" s="1"/>
      <c r="G1333" s="1"/>
      <c r="H1333" s="1"/>
      <c r="I1333" s="1"/>
      <c r="J1333" s="1"/>
      <c r="K1333" s="102" t="s">
        <v>2507</v>
      </c>
      <c r="L1333" s="102" t="str">
        <f>A29</f>
        <v>J</v>
      </c>
      <c r="M1333" s="102" t="s">
        <v>2508</v>
      </c>
      <c r="N1333" s="102" t="s">
        <v>2504</v>
      </c>
      <c r="O1333" s="105">
        <v>1.6352755E7</v>
      </c>
      <c r="P1333" s="105">
        <v>1.4240875E7</v>
      </c>
      <c r="Q1333" s="102" t="s">
        <v>2501</v>
      </c>
      <c r="R1333" s="1"/>
      <c r="S1333" s="1"/>
      <c r="T1333" s="1"/>
      <c r="U1333" s="1"/>
      <c r="V1333" s="1"/>
      <c r="W1333" s="1"/>
      <c r="X1333" s="1"/>
      <c r="Y1333" s="1"/>
      <c r="Z1333" s="102"/>
      <c r="AA1333" s="102"/>
      <c r="AB1333" s="1"/>
      <c r="AC1333" s="1"/>
      <c r="AD1333" s="1"/>
      <c r="AE1333" s="1"/>
      <c r="AF1333" s="1"/>
      <c r="AG1333" s="1"/>
    </row>
    <row r="1334" ht="15.75" customHeight="1">
      <c r="A1334" s="1"/>
      <c r="B1334" s="1"/>
      <c r="C1334" s="1"/>
      <c r="D1334" s="1"/>
      <c r="E1334" s="1"/>
      <c r="F1334" s="1"/>
      <c r="G1334" s="1"/>
      <c r="H1334" s="1"/>
      <c r="I1334" s="1"/>
      <c r="J1334" s="1"/>
      <c r="K1334" s="102" t="s">
        <v>2509</v>
      </c>
      <c r="L1334" s="102" t="str">
        <f>A29</f>
        <v>J</v>
      </c>
      <c r="M1334" s="102" t="s">
        <v>2510</v>
      </c>
      <c r="N1334" s="102" t="s">
        <v>2504</v>
      </c>
      <c r="O1334" s="105">
        <v>1.6352755E7</v>
      </c>
      <c r="P1334" s="105">
        <v>1.4240875E7</v>
      </c>
      <c r="Q1334" s="102" t="s">
        <v>2501</v>
      </c>
      <c r="R1334" s="1"/>
      <c r="S1334" s="1"/>
      <c r="T1334" s="1"/>
      <c r="U1334" s="1"/>
      <c r="V1334" s="1"/>
      <c r="W1334" s="1"/>
      <c r="X1334" s="1"/>
      <c r="Y1334" s="1"/>
      <c r="Z1334" s="102"/>
      <c r="AA1334" s="102"/>
      <c r="AB1334" s="1"/>
      <c r="AC1334" s="1"/>
      <c r="AD1334" s="1"/>
      <c r="AE1334" s="1"/>
      <c r="AF1334" s="1"/>
      <c r="AG1334" s="1"/>
    </row>
    <row r="1335" ht="15.75" customHeight="1">
      <c r="A1335" s="1"/>
      <c r="B1335" s="1"/>
      <c r="C1335" s="1"/>
      <c r="D1335" s="1"/>
      <c r="E1335" s="1"/>
      <c r="F1335" s="1"/>
      <c r="G1335" s="1"/>
      <c r="H1335" s="1"/>
      <c r="I1335" s="1"/>
      <c r="J1335" s="1"/>
      <c r="K1335" s="102" t="s">
        <v>2511</v>
      </c>
      <c r="L1335" s="102" t="str">
        <f>A29</f>
        <v>J</v>
      </c>
      <c r="M1335" s="102" t="s">
        <v>2512</v>
      </c>
      <c r="N1335" s="102" t="s">
        <v>2513</v>
      </c>
      <c r="O1335" s="105">
        <v>1.6401405E7</v>
      </c>
      <c r="P1335" s="105">
        <v>1.4289525E7</v>
      </c>
      <c r="Q1335" s="102" t="s">
        <v>2514</v>
      </c>
      <c r="R1335" s="1"/>
      <c r="S1335" s="1"/>
      <c r="T1335" s="1"/>
      <c r="U1335" s="1"/>
      <c r="V1335" s="1"/>
      <c r="W1335" s="1"/>
      <c r="X1335" s="1"/>
      <c r="Y1335" s="1"/>
      <c r="Z1335" s="102"/>
      <c r="AA1335" s="102"/>
      <c r="AB1335" s="1"/>
      <c r="AC1335" s="1"/>
      <c r="AD1335" s="1"/>
      <c r="AE1335" s="1"/>
      <c r="AF1335" s="1"/>
      <c r="AG1335" s="1"/>
    </row>
    <row r="1336" ht="15.75" customHeight="1">
      <c r="A1336" s="1"/>
      <c r="B1336" s="1"/>
      <c r="C1336" s="1"/>
      <c r="D1336" s="1"/>
      <c r="E1336" s="1"/>
      <c r="F1336" s="1"/>
      <c r="G1336" s="1"/>
      <c r="H1336" s="1"/>
      <c r="I1336" s="1"/>
      <c r="J1336" s="1"/>
      <c r="K1336" s="102" t="s">
        <v>2512</v>
      </c>
      <c r="L1336" s="102" t="str">
        <f>A29</f>
        <v>J</v>
      </c>
      <c r="M1336" s="102" t="s">
        <v>2511</v>
      </c>
      <c r="N1336" s="102" t="s">
        <v>2513</v>
      </c>
      <c r="O1336" s="105">
        <v>1.6401405E7</v>
      </c>
      <c r="P1336" s="105">
        <v>1.4289525E7</v>
      </c>
      <c r="Q1336" s="102" t="s">
        <v>2514</v>
      </c>
      <c r="R1336" s="1"/>
      <c r="S1336" s="1"/>
      <c r="T1336" s="1"/>
      <c r="U1336" s="1"/>
      <c r="V1336" s="1"/>
      <c r="W1336" s="1"/>
      <c r="X1336" s="1"/>
      <c r="Y1336" s="1"/>
      <c r="Z1336" s="102"/>
      <c r="AA1336" s="102"/>
      <c r="AB1336" s="1"/>
      <c r="AC1336" s="1"/>
      <c r="AD1336" s="1"/>
      <c r="AE1336" s="1"/>
      <c r="AF1336" s="1"/>
      <c r="AG1336" s="1"/>
    </row>
    <row r="1337" ht="15.75" customHeight="1">
      <c r="A1337" s="1"/>
      <c r="B1337" s="1"/>
      <c r="C1337" s="1"/>
      <c r="D1337" s="1"/>
      <c r="E1337" s="1"/>
      <c r="F1337" s="1"/>
      <c r="G1337" s="1"/>
      <c r="H1337" s="1"/>
      <c r="I1337" s="1"/>
      <c r="J1337" s="1"/>
      <c r="K1337" s="102" t="s">
        <v>2515</v>
      </c>
      <c r="L1337" s="102" t="str">
        <f>A29</f>
        <v>J</v>
      </c>
      <c r="M1337" s="102" t="s">
        <v>2516</v>
      </c>
      <c r="N1337" s="102" t="s">
        <v>2517</v>
      </c>
      <c r="O1337" s="105">
        <v>1.6427564E7</v>
      </c>
      <c r="P1337" s="105">
        <v>1.4315684E7</v>
      </c>
      <c r="Q1337" s="102" t="s">
        <v>2432</v>
      </c>
      <c r="R1337" s="1"/>
      <c r="S1337" s="1"/>
      <c r="T1337" s="1"/>
      <c r="U1337" s="1"/>
      <c r="V1337" s="1"/>
      <c r="W1337" s="1"/>
      <c r="X1337" s="1"/>
      <c r="Y1337" s="1"/>
      <c r="Z1337" s="102"/>
      <c r="AA1337" s="102"/>
      <c r="AB1337" s="1"/>
      <c r="AC1337" s="1"/>
      <c r="AD1337" s="1"/>
      <c r="AE1337" s="1"/>
      <c r="AF1337" s="1"/>
      <c r="AG1337" s="1"/>
    </row>
    <row r="1338" ht="15.75" customHeight="1">
      <c r="A1338" s="1"/>
      <c r="B1338" s="1"/>
      <c r="C1338" s="1"/>
      <c r="D1338" s="1"/>
      <c r="E1338" s="1"/>
      <c r="F1338" s="1"/>
      <c r="G1338" s="1"/>
      <c r="H1338" s="1"/>
      <c r="I1338" s="1"/>
      <c r="J1338" s="1"/>
      <c r="K1338" s="102" t="s">
        <v>2516</v>
      </c>
      <c r="L1338" s="102" t="str">
        <f>A29</f>
        <v>J</v>
      </c>
      <c r="M1338" s="102" t="s">
        <v>2515</v>
      </c>
      <c r="N1338" s="102" t="s">
        <v>2517</v>
      </c>
      <c r="O1338" s="105">
        <v>1.6427564E7</v>
      </c>
      <c r="P1338" s="105">
        <v>1.4315684E7</v>
      </c>
      <c r="Q1338" s="102" t="s">
        <v>2432</v>
      </c>
      <c r="R1338" s="1"/>
      <c r="S1338" s="1"/>
      <c r="T1338" s="1"/>
      <c r="U1338" s="1"/>
      <c r="V1338" s="1"/>
      <c r="W1338" s="1"/>
      <c r="X1338" s="1"/>
      <c r="Y1338" s="1"/>
      <c r="Z1338" s="102"/>
      <c r="AA1338" s="102"/>
      <c r="AB1338" s="1"/>
      <c r="AC1338" s="1"/>
      <c r="AD1338" s="1"/>
      <c r="AE1338" s="1"/>
      <c r="AF1338" s="1"/>
      <c r="AG1338" s="1"/>
    </row>
    <row r="1339" ht="15.75" customHeight="1">
      <c r="A1339" s="1"/>
      <c r="B1339" s="1"/>
      <c r="C1339" s="1"/>
      <c r="D1339" s="1"/>
      <c r="E1339" s="1"/>
      <c r="F1339" s="1"/>
      <c r="G1339" s="1"/>
      <c r="H1339" s="1"/>
      <c r="I1339" s="1"/>
      <c r="J1339" s="1"/>
      <c r="K1339" s="102" t="s">
        <v>2518</v>
      </c>
      <c r="L1339" s="102" t="str">
        <f>A29</f>
        <v>J</v>
      </c>
      <c r="M1339" s="102" t="s">
        <v>2519</v>
      </c>
      <c r="N1339" s="102" t="s">
        <v>2520</v>
      </c>
      <c r="O1339" s="105">
        <v>1.6434671E7</v>
      </c>
      <c r="P1339" s="105">
        <v>1.4322791E7</v>
      </c>
      <c r="Q1339" s="102" t="s">
        <v>2501</v>
      </c>
      <c r="R1339" s="1"/>
      <c r="S1339" s="1"/>
      <c r="T1339" s="1"/>
      <c r="U1339" s="1"/>
      <c r="V1339" s="1"/>
      <c r="W1339" s="1"/>
      <c r="X1339" s="1"/>
      <c r="Y1339" s="1"/>
      <c r="Z1339" s="102"/>
      <c r="AA1339" s="102"/>
      <c r="AB1339" s="1"/>
      <c r="AC1339" s="1"/>
      <c r="AD1339" s="1"/>
      <c r="AE1339" s="1"/>
      <c r="AF1339" s="1"/>
      <c r="AG1339" s="1"/>
    </row>
    <row r="1340" ht="15.75" customHeight="1">
      <c r="A1340" s="1"/>
      <c r="B1340" s="1"/>
      <c r="C1340" s="1"/>
      <c r="D1340" s="1"/>
      <c r="E1340" s="1"/>
      <c r="F1340" s="1"/>
      <c r="G1340" s="1"/>
      <c r="H1340" s="1"/>
      <c r="I1340" s="1"/>
      <c r="J1340" s="1"/>
      <c r="K1340" s="102" t="s">
        <v>2519</v>
      </c>
      <c r="L1340" s="102" t="str">
        <f>A29</f>
        <v>J</v>
      </c>
      <c r="M1340" s="102" t="s">
        <v>2518</v>
      </c>
      <c r="N1340" s="102" t="s">
        <v>2520</v>
      </c>
      <c r="O1340" s="105">
        <v>1.6434671E7</v>
      </c>
      <c r="P1340" s="105">
        <v>1.4322791E7</v>
      </c>
      <c r="Q1340" s="102" t="s">
        <v>2501</v>
      </c>
      <c r="R1340" s="1"/>
      <c r="S1340" s="1"/>
      <c r="T1340" s="1"/>
      <c r="U1340" s="1"/>
      <c r="V1340" s="1"/>
      <c r="W1340" s="1"/>
      <c r="X1340" s="1"/>
      <c r="Y1340" s="1"/>
      <c r="Z1340" s="102"/>
      <c r="AA1340" s="102"/>
      <c r="AB1340" s="1"/>
      <c r="AC1340" s="1"/>
      <c r="AD1340" s="1"/>
      <c r="AE1340" s="1"/>
      <c r="AF1340" s="1"/>
      <c r="AG1340" s="1"/>
    </row>
    <row r="1341" ht="15.75" customHeight="1">
      <c r="A1341" s="1"/>
      <c r="B1341" s="1"/>
      <c r="C1341" s="1"/>
      <c r="D1341" s="1"/>
      <c r="E1341" s="1"/>
      <c r="F1341" s="1"/>
      <c r="G1341" s="1"/>
      <c r="H1341" s="1"/>
      <c r="I1341" s="1"/>
      <c r="J1341" s="1"/>
      <c r="K1341" s="102" t="s">
        <v>2521</v>
      </c>
      <c r="L1341" s="102" t="str">
        <f>A29</f>
        <v>J</v>
      </c>
      <c r="M1341" s="102"/>
      <c r="N1341" s="102" t="s">
        <v>2522</v>
      </c>
      <c r="O1341" s="105">
        <v>1.6562707E7</v>
      </c>
      <c r="P1341" s="105">
        <v>1.4450827E7</v>
      </c>
      <c r="Q1341" s="102" t="s">
        <v>2501</v>
      </c>
      <c r="R1341" s="1"/>
      <c r="S1341" s="1"/>
      <c r="T1341" s="1"/>
      <c r="U1341" s="1"/>
      <c r="V1341" s="1"/>
      <c r="W1341" s="1"/>
      <c r="X1341" s="1"/>
      <c r="Y1341" s="1"/>
      <c r="Z1341" s="102"/>
      <c r="AA1341" s="102"/>
      <c r="AB1341" s="1"/>
      <c r="AC1341" s="1"/>
      <c r="AD1341" s="1"/>
      <c r="AE1341" s="1"/>
      <c r="AF1341" s="1"/>
      <c r="AG1341" s="1"/>
    </row>
    <row r="1342" ht="15.75" customHeight="1">
      <c r="A1342" s="1"/>
      <c r="B1342" s="1"/>
      <c r="C1342" s="1"/>
      <c r="D1342" s="1"/>
      <c r="E1342" s="1"/>
      <c r="F1342" s="1"/>
      <c r="G1342" s="1"/>
      <c r="H1342" s="1"/>
      <c r="I1342" s="1"/>
      <c r="J1342" s="1"/>
      <c r="K1342" s="102" t="s">
        <v>2523</v>
      </c>
      <c r="L1342" s="102" t="str">
        <f>A29</f>
        <v>J</v>
      </c>
      <c r="M1342" s="102" t="s">
        <v>2524</v>
      </c>
      <c r="N1342" s="102" t="s">
        <v>2525</v>
      </c>
      <c r="O1342" s="105">
        <v>1.7210893E7</v>
      </c>
      <c r="P1342" s="105">
        <v>1.5099013E7</v>
      </c>
      <c r="Q1342" s="102" t="s">
        <v>2439</v>
      </c>
      <c r="R1342" s="1"/>
      <c r="S1342" s="1"/>
      <c r="T1342" s="1"/>
      <c r="U1342" s="1"/>
      <c r="V1342" s="1"/>
      <c r="W1342" s="1"/>
      <c r="X1342" s="1"/>
      <c r="Y1342" s="1"/>
      <c r="Z1342" s="102"/>
      <c r="AA1342" s="102"/>
      <c r="AB1342" s="1"/>
      <c r="AC1342" s="1"/>
      <c r="AD1342" s="1"/>
      <c r="AE1342" s="1"/>
      <c r="AF1342" s="1"/>
      <c r="AG1342" s="1"/>
    </row>
    <row r="1343" ht="15.75" customHeight="1">
      <c r="A1343" s="1"/>
      <c r="B1343" s="1"/>
      <c r="C1343" s="1"/>
      <c r="D1343" s="1"/>
      <c r="E1343" s="1"/>
      <c r="F1343" s="1"/>
      <c r="G1343" s="1"/>
      <c r="H1343" s="1"/>
      <c r="I1343" s="1"/>
      <c r="J1343" s="1"/>
      <c r="K1343" s="102" t="s">
        <v>2524</v>
      </c>
      <c r="L1343" s="102" t="str">
        <f>A29</f>
        <v>J</v>
      </c>
      <c r="M1343" s="102" t="s">
        <v>2523</v>
      </c>
      <c r="N1343" s="102" t="s">
        <v>2525</v>
      </c>
      <c r="O1343" s="105">
        <v>1.7210893E7</v>
      </c>
      <c r="P1343" s="105">
        <v>1.5099013E7</v>
      </c>
      <c r="Q1343" s="102" t="s">
        <v>2439</v>
      </c>
      <c r="R1343" s="1"/>
      <c r="S1343" s="1"/>
      <c r="T1343" s="1"/>
      <c r="U1343" s="1"/>
      <c r="V1343" s="1"/>
      <c r="W1343" s="1"/>
      <c r="X1343" s="1"/>
      <c r="Y1343" s="1"/>
      <c r="Z1343" s="102"/>
      <c r="AA1343" s="102"/>
      <c r="AB1343" s="1"/>
      <c r="AC1343" s="1"/>
      <c r="AD1343" s="1"/>
      <c r="AE1343" s="1"/>
      <c r="AF1343" s="1"/>
      <c r="AG1343" s="1"/>
    </row>
    <row r="1344" ht="15.75" customHeight="1">
      <c r="A1344" s="1"/>
      <c r="B1344" s="1"/>
      <c r="C1344" s="1"/>
      <c r="D1344" s="1"/>
      <c r="E1344" s="1"/>
      <c r="F1344" s="1"/>
      <c r="G1344" s="1"/>
      <c r="H1344" s="1"/>
      <c r="I1344" s="1"/>
      <c r="J1344" s="1"/>
      <c r="K1344" s="102" t="s">
        <v>2526</v>
      </c>
      <c r="L1344" s="102" t="str">
        <f>A29</f>
        <v>J</v>
      </c>
      <c r="M1344" s="102" t="s">
        <v>2527</v>
      </c>
      <c r="N1344" s="102" t="s">
        <v>2528</v>
      </c>
      <c r="O1344" s="105">
        <v>1.7246058E7</v>
      </c>
      <c r="P1344" s="105">
        <v>1.5134178E7</v>
      </c>
      <c r="Q1344" s="102" t="s">
        <v>2529</v>
      </c>
      <c r="R1344" s="1"/>
      <c r="S1344" s="1"/>
      <c r="T1344" s="1"/>
      <c r="U1344" s="1"/>
      <c r="V1344" s="1"/>
      <c r="W1344" s="1"/>
      <c r="X1344" s="1"/>
      <c r="Y1344" s="1"/>
      <c r="Z1344" s="102"/>
      <c r="AA1344" s="102"/>
      <c r="AB1344" s="1"/>
      <c r="AC1344" s="1"/>
      <c r="AD1344" s="1"/>
      <c r="AE1344" s="1"/>
      <c r="AF1344" s="1"/>
      <c r="AG1344" s="1"/>
    </row>
    <row r="1345" ht="15.75" customHeight="1">
      <c r="A1345" s="1"/>
      <c r="B1345" s="1"/>
      <c r="C1345" s="1"/>
      <c r="D1345" s="1"/>
      <c r="E1345" s="1"/>
      <c r="F1345" s="1"/>
      <c r="G1345" s="1"/>
      <c r="H1345" s="1"/>
      <c r="I1345" s="1"/>
      <c r="J1345" s="1"/>
      <c r="K1345" s="102" t="s">
        <v>2527</v>
      </c>
      <c r="L1345" s="102" t="str">
        <f>A29</f>
        <v>J</v>
      </c>
      <c r="M1345" s="102" t="s">
        <v>2526</v>
      </c>
      <c r="N1345" s="102" t="s">
        <v>2528</v>
      </c>
      <c r="O1345" s="105">
        <v>1.7246058E7</v>
      </c>
      <c r="P1345" s="105">
        <v>1.5134178E7</v>
      </c>
      <c r="Q1345" s="102" t="s">
        <v>2529</v>
      </c>
      <c r="R1345" s="1"/>
      <c r="S1345" s="1"/>
      <c r="T1345" s="1"/>
      <c r="U1345" s="1"/>
      <c r="V1345" s="1"/>
      <c r="W1345" s="1"/>
      <c r="X1345" s="1"/>
      <c r="Y1345" s="1"/>
      <c r="Z1345" s="102"/>
      <c r="AA1345" s="102"/>
      <c r="AB1345" s="1"/>
      <c r="AC1345" s="1"/>
      <c r="AD1345" s="1"/>
      <c r="AE1345" s="1"/>
      <c r="AF1345" s="1"/>
      <c r="AG1345" s="1"/>
    </row>
    <row r="1346" ht="15.75" customHeight="1">
      <c r="A1346" s="1"/>
      <c r="B1346" s="1"/>
      <c r="C1346" s="1"/>
      <c r="D1346" s="1"/>
      <c r="E1346" s="1"/>
      <c r="F1346" s="1"/>
      <c r="G1346" s="1"/>
      <c r="H1346" s="1"/>
      <c r="I1346" s="1"/>
      <c r="J1346" s="1"/>
      <c r="K1346" s="102" t="s">
        <v>2530</v>
      </c>
      <c r="L1346" s="102" t="str">
        <f>A29</f>
        <v>J</v>
      </c>
      <c r="M1346" s="102" t="s">
        <v>2531</v>
      </c>
      <c r="N1346" s="102" t="s">
        <v>2532</v>
      </c>
      <c r="O1346" s="105">
        <v>1.7367321E7</v>
      </c>
      <c r="P1346" s="105">
        <v>1.5255441E7</v>
      </c>
      <c r="Q1346" s="102" t="s">
        <v>2533</v>
      </c>
      <c r="R1346" s="1"/>
      <c r="S1346" s="1"/>
      <c r="T1346" s="1"/>
      <c r="U1346" s="1"/>
      <c r="V1346" s="1"/>
      <c r="W1346" s="1"/>
      <c r="X1346" s="1"/>
      <c r="Y1346" s="1"/>
      <c r="Z1346" s="102"/>
      <c r="AA1346" s="102"/>
      <c r="AB1346" s="1"/>
      <c r="AC1346" s="1"/>
      <c r="AD1346" s="1"/>
      <c r="AE1346" s="1"/>
      <c r="AF1346" s="1"/>
      <c r="AG1346" s="1"/>
    </row>
    <row r="1347" ht="15.75" customHeight="1">
      <c r="A1347" s="1"/>
      <c r="B1347" s="1"/>
      <c r="C1347" s="1"/>
      <c r="D1347" s="1"/>
      <c r="E1347" s="1"/>
      <c r="F1347" s="1"/>
      <c r="G1347" s="1"/>
      <c r="H1347" s="1"/>
      <c r="I1347" s="1"/>
      <c r="J1347" s="1"/>
      <c r="K1347" s="102" t="s">
        <v>2534</v>
      </c>
      <c r="L1347" s="102" t="str">
        <f>A29</f>
        <v>J</v>
      </c>
      <c r="M1347" s="102" t="s">
        <v>2535</v>
      </c>
      <c r="N1347" s="102" t="s">
        <v>2532</v>
      </c>
      <c r="O1347" s="105">
        <v>1.7367321E7</v>
      </c>
      <c r="P1347" s="105">
        <v>1.5255441E7</v>
      </c>
      <c r="Q1347" s="102" t="s">
        <v>2533</v>
      </c>
      <c r="R1347" s="1"/>
      <c r="S1347" s="1"/>
      <c r="T1347" s="1"/>
      <c r="U1347" s="1"/>
      <c r="V1347" s="1"/>
      <c r="W1347" s="1"/>
      <c r="X1347" s="1"/>
      <c r="Y1347" s="1"/>
      <c r="Z1347" s="102"/>
      <c r="AA1347" s="102"/>
      <c r="AB1347" s="1"/>
      <c r="AC1347" s="1"/>
      <c r="AD1347" s="1"/>
      <c r="AE1347" s="1"/>
      <c r="AF1347" s="1"/>
      <c r="AG1347" s="1"/>
    </row>
    <row r="1348" ht="15.75" customHeight="1">
      <c r="A1348" s="1"/>
      <c r="B1348" s="1"/>
      <c r="C1348" s="1"/>
      <c r="D1348" s="1"/>
      <c r="E1348" s="1"/>
      <c r="F1348" s="1"/>
      <c r="G1348" s="1"/>
      <c r="H1348" s="1"/>
      <c r="I1348" s="1"/>
      <c r="J1348" s="1"/>
      <c r="K1348" s="102" t="s">
        <v>2536</v>
      </c>
      <c r="L1348" s="102" t="str">
        <f>A29</f>
        <v>J</v>
      </c>
      <c r="M1348" s="102" t="s">
        <v>2537</v>
      </c>
      <c r="N1348" s="102" t="s">
        <v>2532</v>
      </c>
      <c r="O1348" s="105">
        <v>1.7367321E7</v>
      </c>
      <c r="P1348" s="105">
        <v>1.5255441E7</v>
      </c>
      <c r="Q1348" s="102" t="s">
        <v>2533</v>
      </c>
      <c r="R1348" s="1"/>
      <c r="S1348" s="1"/>
      <c r="T1348" s="1"/>
      <c r="U1348" s="1"/>
      <c r="V1348" s="1"/>
      <c r="W1348" s="1"/>
      <c r="X1348" s="1"/>
      <c r="Y1348" s="1"/>
      <c r="Z1348" s="102"/>
      <c r="AA1348" s="102"/>
      <c r="AB1348" s="1"/>
      <c r="AC1348" s="1"/>
      <c r="AD1348" s="1"/>
      <c r="AE1348" s="1"/>
      <c r="AF1348" s="1"/>
      <c r="AG1348" s="1"/>
    </row>
    <row r="1349" ht="15.75" customHeight="1">
      <c r="A1349" s="1"/>
      <c r="B1349" s="1"/>
      <c r="C1349" s="1"/>
      <c r="D1349" s="1"/>
      <c r="E1349" s="1"/>
      <c r="F1349" s="1"/>
      <c r="G1349" s="1"/>
      <c r="H1349" s="1"/>
      <c r="I1349" s="1"/>
      <c r="J1349" s="1"/>
      <c r="K1349" s="102" t="s">
        <v>2538</v>
      </c>
      <c r="L1349" s="102" t="str">
        <f>A29</f>
        <v>J</v>
      </c>
      <c r="M1349" s="102" t="s">
        <v>2539</v>
      </c>
      <c r="N1349" s="102" t="s">
        <v>2540</v>
      </c>
      <c r="O1349" s="105">
        <v>1.7502703E7</v>
      </c>
      <c r="P1349" s="105">
        <v>1.5390823E7</v>
      </c>
      <c r="Q1349" s="102" t="s">
        <v>2454</v>
      </c>
      <c r="R1349" s="1"/>
      <c r="S1349" s="1"/>
      <c r="T1349" s="1"/>
      <c r="U1349" s="1"/>
      <c r="V1349" s="1"/>
      <c r="W1349" s="1"/>
      <c r="X1349" s="1"/>
      <c r="Y1349" s="1"/>
      <c r="Z1349" s="102"/>
      <c r="AA1349" s="102"/>
      <c r="AB1349" s="1"/>
      <c r="AC1349" s="1"/>
      <c r="AD1349" s="1"/>
      <c r="AE1349" s="1"/>
      <c r="AF1349" s="1"/>
      <c r="AG1349" s="1"/>
    </row>
    <row r="1350" ht="15.75" customHeight="1">
      <c r="A1350" s="1"/>
      <c r="B1350" s="1"/>
      <c r="C1350" s="1"/>
      <c r="D1350" s="1"/>
      <c r="E1350" s="1"/>
      <c r="F1350" s="1"/>
      <c r="G1350" s="1"/>
      <c r="H1350" s="1"/>
      <c r="I1350" s="1"/>
      <c r="J1350" s="1"/>
      <c r="K1350" s="102" t="s">
        <v>2539</v>
      </c>
      <c r="L1350" s="102" t="str">
        <f>A29</f>
        <v>J</v>
      </c>
      <c r="M1350" s="102" t="s">
        <v>2538</v>
      </c>
      <c r="N1350" s="102" t="s">
        <v>2540</v>
      </c>
      <c r="O1350" s="105">
        <v>1.7502703E7</v>
      </c>
      <c r="P1350" s="105">
        <v>1.5390823E7</v>
      </c>
      <c r="Q1350" s="102" t="s">
        <v>2454</v>
      </c>
      <c r="R1350" s="1"/>
      <c r="S1350" s="1"/>
      <c r="T1350" s="1"/>
      <c r="U1350" s="1"/>
      <c r="V1350" s="1"/>
      <c r="W1350" s="1"/>
      <c r="X1350" s="1"/>
      <c r="Y1350" s="1"/>
      <c r="Z1350" s="102"/>
      <c r="AA1350" s="102"/>
      <c r="AB1350" s="1"/>
      <c r="AC1350" s="1"/>
      <c r="AD1350" s="1"/>
      <c r="AE1350" s="1"/>
      <c r="AF1350" s="1"/>
      <c r="AG1350" s="1"/>
    </row>
    <row r="1351" ht="15.75" customHeight="1">
      <c r="A1351" s="1"/>
      <c r="B1351" s="1"/>
      <c r="C1351" s="1"/>
      <c r="D1351" s="1"/>
      <c r="E1351" s="1"/>
      <c r="F1351" s="1"/>
      <c r="G1351" s="1"/>
      <c r="H1351" s="1"/>
      <c r="I1351" s="1"/>
      <c r="J1351" s="1"/>
      <c r="K1351" s="102" t="s">
        <v>2541</v>
      </c>
      <c r="L1351" s="102" t="str">
        <f>A29</f>
        <v>J</v>
      </c>
      <c r="M1351" s="102" t="s">
        <v>2542</v>
      </c>
      <c r="N1351" s="102" t="s">
        <v>2543</v>
      </c>
      <c r="O1351" s="105">
        <v>1.754074E7</v>
      </c>
      <c r="P1351" s="105">
        <v>1.542886E7</v>
      </c>
      <c r="Q1351" s="102" t="s">
        <v>2501</v>
      </c>
      <c r="R1351" s="1"/>
      <c r="S1351" s="1"/>
      <c r="T1351" s="1"/>
      <c r="U1351" s="1"/>
      <c r="V1351" s="1"/>
      <c r="W1351" s="1"/>
      <c r="X1351" s="1"/>
      <c r="Y1351" s="1"/>
      <c r="Z1351" s="102"/>
      <c r="AA1351" s="102"/>
      <c r="AB1351" s="1"/>
      <c r="AC1351" s="1"/>
      <c r="AD1351" s="1"/>
      <c r="AE1351" s="1"/>
      <c r="AF1351" s="1"/>
      <c r="AG1351" s="1"/>
    </row>
    <row r="1352" ht="15.75" customHeight="1">
      <c r="A1352" s="1"/>
      <c r="B1352" s="1"/>
      <c r="C1352" s="1"/>
      <c r="D1352" s="1"/>
      <c r="E1352" s="1"/>
      <c r="F1352" s="1"/>
      <c r="G1352" s="1"/>
      <c r="H1352" s="1"/>
      <c r="I1352" s="1"/>
      <c r="J1352" s="1"/>
      <c r="K1352" s="102" t="s">
        <v>2544</v>
      </c>
      <c r="L1352" s="102" t="str">
        <f>A29</f>
        <v>J</v>
      </c>
      <c r="M1352" s="102" t="s">
        <v>2545</v>
      </c>
      <c r="N1352" s="102" t="s">
        <v>2543</v>
      </c>
      <c r="O1352" s="105">
        <v>1.754074E7</v>
      </c>
      <c r="P1352" s="105">
        <v>1.542886E7</v>
      </c>
      <c r="Q1352" s="102" t="s">
        <v>2501</v>
      </c>
      <c r="R1352" s="1"/>
      <c r="S1352" s="1"/>
      <c r="T1352" s="1"/>
      <c r="U1352" s="1"/>
      <c r="V1352" s="1"/>
      <c r="W1352" s="1"/>
      <c r="X1352" s="1"/>
      <c r="Y1352" s="1"/>
      <c r="Z1352" s="102"/>
      <c r="AA1352" s="102"/>
      <c r="AB1352" s="1"/>
      <c r="AC1352" s="1"/>
      <c r="AD1352" s="1"/>
      <c r="AE1352" s="1"/>
      <c r="AF1352" s="1"/>
      <c r="AG1352" s="1"/>
    </row>
    <row r="1353" ht="15.75" customHeight="1">
      <c r="A1353" s="1"/>
      <c r="B1353" s="1"/>
      <c r="C1353" s="1"/>
      <c r="D1353" s="1"/>
      <c r="E1353" s="1"/>
      <c r="F1353" s="1"/>
      <c r="G1353" s="1"/>
      <c r="H1353" s="1"/>
      <c r="I1353" s="1"/>
      <c r="J1353" s="1"/>
      <c r="K1353" s="102" t="s">
        <v>2546</v>
      </c>
      <c r="L1353" s="102" t="str">
        <f>A29</f>
        <v>J</v>
      </c>
      <c r="M1353" s="102" t="s">
        <v>2547</v>
      </c>
      <c r="N1353" s="102" t="s">
        <v>2543</v>
      </c>
      <c r="O1353" s="105">
        <v>1.754074E7</v>
      </c>
      <c r="P1353" s="105">
        <v>1.542886E7</v>
      </c>
      <c r="Q1353" s="102" t="s">
        <v>2501</v>
      </c>
      <c r="R1353" s="1"/>
      <c r="S1353" s="1"/>
      <c r="T1353" s="1"/>
      <c r="U1353" s="1"/>
      <c r="V1353" s="1"/>
      <c r="W1353" s="1"/>
      <c r="X1353" s="1"/>
      <c r="Y1353" s="1"/>
      <c r="Z1353" s="102"/>
      <c r="AA1353" s="102"/>
      <c r="AB1353" s="1"/>
      <c r="AC1353" s="1"/>
      <c r="AD1353" s="1"/>
      <c r="AE1353" s="1"/>
      <c r="AF1353" s="1"/>
      <c r="AG1353" s="1"/>
    </row>
    <row r="1354" ht="15.75" customHeight="1">
      <c r="A1354" s="1"/>
      <c r="B1354" s="1"/>
      <c r="C1354" s="1"/>
      <c r="D1354" s="1"/>
      <c r="E1354" s="1"/>
      <c r="F1354" s="1"/>
      <c r="G1354" s="1"/>
      <c r="H1354" s="1"/>
      <c r="I1354" s="1"/>
      <c r="J1354" s="1"/>
      <c r="K1354" s="102" t="s">
        <v>2548</v>
      </c>
      <c r="L1354" s="102" t="str">
        <f>A29</f>
        <v>J</v>
      </c>
      <c r="M1354" s="102" t="s">
        <v>2549</v>
      </c>
      <c r="N1354" s="102" t="s">
        <v>2550</v>
      </c>
      <c r="O1354" s="105">
        <v>1.7637446E7</v>
      </c>
      <c r="P1354" s="105">
        <v>1.5525566E7</v>
      </c>
      <c r="Q1354" s="102" t="s">
        <v>2529</v>
      </c>
      <c r="R1354" s="1"/>
      <c r="S1354" s="1"/>
      <c r="T1354" s="1"/>
      <c r="U1354" s="1"/>
      <c r="V1354" s="1"/>
      <c r="W1354" s="1"/>
      <c r="X1354" s="1"/>
      <c r="Y1354" s="1"/>
      <c r="Z1354" s="102"/>
      <c r="AA1354" s="102"/>
      <c r="AB1354" s="1"/>
      <c r="AC1354" s="1"/>
      <c r="AD1354" s="1"/>
      <c r="AE1354" s="1"/>
      <c r="AF1354" s="1"/>
      <c r="AG1354" s="1"/>
    </row>
    <row r="1355" ht="15.75" customHeight="1">
      <c r="A1355" s="1"/>
      <c r="B1355" s="1"/>
      <c r="C1355" s="1"/>
      <c r="D1355" s="1"/>
      <c r="E1355" s="1"/>
      <c r="F1355" s="1"/>
      <c r="G1355" s="1"/>
      <c r="H1355" s="1"/>
      <c r="I1355" s="1"/>
      <c r="J1355" s="1"/>
      <c r="K1355" s="102" t="s">
        <v>2549</v>
      </c>
      <c r="L1355" s="102" t="str">
        <f>A29</f>
        <v>J</v>
      </c>
      <c r="M1355" s="102" t="s">
        <v>2548</v>
      </c>
      <c r="N1355" s="102" t="s">
        <v>2550</v>
      </c>
      <c r="O1355" s="105">
        <v>1.7637446E7</v>
      </c>
      <c r="P1355" s="105">
        <v>1.5525566E7</v>
      </c>
      <c r="Q1355" s="102" t="s">
        <v>2529</v>
      </c>
      <c r="R1355" s="1"/>
      <c r="S1355" s="1"/>
      <c r="T1355" s="1"/>
      <c r="U1355" s="1"/>
      <c r="V1355" s="1"/>
      <c r="W1355" s="1"/>
      <c r="X1355" s="1"/>
      <c r="Y1355" s="1"/>
      <c r="Z1355" s="102"/>
      <c r="AA1355" s="102"/>
      <c r="AB1355" s="1"/>
      <c r="AC1355" s="1"/>
      <c r="AD1355" s="1"/>
      <c r="AE1355" s="1"/>
      <c r="AF1355" s="1"/>
      <c r="AG1355" s="1"/>
    </row>
    <row r="1356" ht="15.75" customHeight="1">
      <c r="A1356" s="1"/>
      <c r="B1356" s="1"/>
      <c r="C1356" s="1"/>
      <c r="D1356" s="1"/>
      <c r="E1356" s="1"/>
      <c r="F1356" s="1"/>
      <c r="G1356" s="1"/>
      <c r="H1356" s="1"/>
      <c r="I1356" s="1"/>
      <c r="J1356" s="1"/>
      <c r="K1356" s="102" t="s">
        <v>2551</v>
      </c>
      <c r="L1356" s="102" t="str">
        <f>A29</f>
        <v>J</v>
      </c>
      <c r="M1356" s="102" t="s">
        <v>2552</v>
      </c>
      <c r="N1356" s="102" t="s">
        <v>2553</v>
      </c>
      <c r="O1356" s="105">
        <v>1.769321E7</v>
      </c>
      <c r="P1356" s="105">
        <v>1.558133E7</v>
      </c>
      <c r="Q1356" s="102" t="s">
        <v>2468</v>
      </c>
      <c r="R1356" s="1"/>
      <c r="S1356" s="1"/>
      <c r="T1356" s="1"/>
      <c r="U1356" s="1"/>
      <c r="V1356" s="1"/>
      <c r="W1356" s="1"/>
      <c r="X1356" s="1"/>
      <c r="Y1356" s="1"/>
      <c r="Z1356" s="102"/>
      <c r="AA1356" s="102"/>
      <c r="AB1356" s="1"/>
      <c r="AC1356" s="1"/>
      <c r="AD1356" s="1"/>
      <c r="AE1356" s="1"/>
      <c r="AF1356" s="1"/>
      <c r="AG1356" s="1"/>
    </row>
    <row r="1357" ht="15.75" customHeight="1">
      <c r="A1357" s="1"/>
      <c r="B1357" s="1"/>
      <c r="C1357" s="1"/>
      <c r="D1357" s="1"/>
      <c r="E1357" s="1"/>
      <c r="F1357" s="1"/>
      <c r="G1357" s="1"/>
      <c r="H1357" s="1"/>
      <c r="I1357" s="1"/>
      <c r="J1357" s="1"/>
      <c r="K1357" s="102" t="s">
        <v>2552</v>
      </c>
      <c r="L1357" s="102" t="str">
        <f>A29</f>
        <v>J</v>
      </c>
      <c r="M1357" s="102" t="s">
        <v>2551</v>
      </c>
      <c r="N1357" s="102" t="s">
        <v>2553</v>
      </c>
      <c r="O1357" s="105">
        <v>1.769321E7</v>
      </c>
      <c r="P1357" s="105">
        <v>1.558133E7</v>
      </c>
      <c r="Q1357" s="102" t="s">
        <v>2468</v>
      </c>
      <c r="R1357" s="1"/>
      <c r="S1357" s="1"/>
      <c r="T1357" s="1"/>
      <c r="U1357" s="1"/>
      <c r="V1357" s="1"/>
      <c r="W1357" s="1"/>
      <c r="X1357" s="1"/>
      <c r="Y1357" s="1"/>
      <c r="Z1357" s="102"/>
      <c r="AA1357" s="102"/>
      <c r="AB1357" s="1"/>
      <c r="AC1357" s="1"/>
      <c r="AD1357" s="1"/>
      <c r="AE1357" s="1"/>
      <c r="AF1357" s="1"/>
      <c r="AG1357" s="1"/>
    </row>
    <row r="1358" ht="15.75" customHeight="1">
      <c r="A1358" s="1"/>
      <c r="B1358" s="1"/>
      <c r="C1358" s="1"/>
      <c r="D1358" s="1"/>
      <c r="E1358" s="1"/>
      <c r="F1358" s="1"/>
      <c r="G1358" s="1"/>
      <c r="H1358" s="1"/>
      <c r="I1358" s="1"/>
      <c r="J1358" s="1"/>
      <c r="K1358" s="102" t="s">
        <v>2554</v>
      </c>
      <c r="L1358" s="102" t="str">
        <f>A29</f>
        <v>J</v>
      </c>
      <c r="M1358" s="102" t="s">
        <v>2555</v>
      </c>
      <c r="N1358" s="102" t="s">
        <v>2556</v>
      </c>
      <c r="O1358" s="105">
        <v>1.7827486E7</v>
      </c>
      <c r="P1358" s="105">
        <v>1.5715606E7</v>
      </c>
      <c r="Q1358" s="102" t="s">
        <v>2501</v>
      </c>
      <c r="R1358" s="1"/>
      <c r="S1358" s="1"/>
      <c r="T1358" s="1"/>
      <c r="U1358" s="1"/>
      <c r="V1358" s="1"/>
      <c r="W1358" s="1"/>
      <c r="X1358" s="1"/>
      <c r="Y1358" s="1"/>
      <c r="Z1358" s="102"/>
      <c r="AA1358" s="102"/>
      <c r="AB1358" s="1"/>
      <c r="AC1358" s="1"/>
      <c r="AD1358" s="1"/>
      <c r="AE1358" s="1"/>
      <c r="AF1358" s="1"/>
      <c r="AG1358" s="1"/>
    </row>
    <row r="1359" ht="15.75" customHeight="1">
      <c r="A1359" s="1"/>
      <c r="B1359" s="1"/>
      <c r="C1359" s="1"/>
      <c r="D1359" s="1"/>
      <c r="E1359" s="1"/>
      <c r="F1359" s="1"/>
      <c r="G1359" s="1"/>
      <c r="H1359" s="1"/>
      <c r="I1359" s="1"/>
      <c r="J1359" s="1"/>
      <c r="K1359" s="102" t="s">
        <v>2555</v>
      </c>
      <c r="L1359" s="102" t="str">
        <f>A29</f>
        <v>J</v>
      </c>
      <c r="M1359" s="102" t="s">
        <v>2554</v>
      </c>
      <c r="N1359" s="102" t="s">
        <v>2556</v>
      </c>
      <c r="O1359" s="105">
        <v>1.7827486E7</v>
      </c>
      <c r="P1359" s="105">
        <v>1.5715606E7</v>
      </c>
      <c r="Q1359" s="102" t="s">
        <v>2501</v>
      </c>
      <c r="R1359" s="1"/>
      <c r="S1359" s="1"/>
      <c r="T1359" s="1"/>
      <c r="U1359" s="1"/>
      <c r="V1359" s="1"/>
      <c r="W1359" s="1"/>
      <c r="X1359" s="1"/>
      <c r="Y1359" s="1"/>
      <c r="Z1359" s="102"/>
      <c r="AA1359" s="102"/>
      <c r="AB1359" s="1"/>
      <c r="AC1359" s="1"/>
      <c r="AD1359" s="1"/>
      <c r="AE1359" s="1"/>
      <c r="AF1359" s="1"/>
      <c r="AG1359" s="1"/>
    </row>
    <row r="1360" ht="15.75" customHeight="1">
      <c r="A1360" s="1"/>
      <c r="B1360" s="1"/>
      <c r="C1360" s="1"/>
      <c r="D1360" s="1"/>
      <c r="E1360" s="1"/>
      <c r="F1360" s="1"/>
      <c r="G1360" s="1"/>
      <c r="H1360" s="1"/>
      <c r="I1360" s="1"/>
      <c r="J1360" s="1"/>
      <c r="K1360" s="102" t="s">
        <v>2557</v>
      </c>
      <c r="L1360" s="102" t="str">
        <f>A29</f>
        <v>J</v>
      </c>
      <c r="M1360" s="102" t="s">
        <v>2558</v>
      </c>
      <c r="N1360" s="102" t="s">
        <v>2559</v>
      </c>
      <c r="O1360" s="105">
        <v>1.785651E7</v>
      </c>
      <c r="P1360" s="105">
        <v>1.574463E7</v>
      </c>
      <c r="Q1360" s="102" t="s">
        <v>2529</v>
      </c>
      <c r="R1360" s="1"/>
      <c r="S1360" s="1"/>
      <c r="T1360" s="1"/>
      <c r="U1360" s="1"/>
      <c r="V1360" s="1"/>
      <c r="W1360" s="1"/>
      <c r="X1360" s="1"/>
      <c r="Y1360" s="1"/>
      <c r="Z1360" s="102"/>
      <c r="AA1360" s="102"/>
      <c r="AB1360" s="1"/>
      <c r="AC1360" s="1"/>
      <c r="AD1360" s="1"/>
      <c r="AE1360" s="1"/>
      <c r="AF1360" s="1"/>
      <c r="AG1360" s="1"/>
    </row>
    <row r="1361" ht="15.75" customHeight="1">
      <c r="A1361" s="1"/>
      <c r="B1361" s="1"/>
      <c r="C1361" s="1"/>
      <c r="D1361" s="1"/>
      <c r="E1361" s="1"/>
      <c r="F1361" s="1"/>
      <c r="G1361" s="1"/>
      <c r="H1361" s="1"/>
      <c r="I1361" s="1"/>
      <c r="J1361" s="1"/>
      <c r="K1361" s="102" t="s">
        <v>2558</v>
      </c>
      <c r="L1361" s="102" t="str">
        <f>A29</f>
        <v>J</v>
      </c>
      <c r="M1361" s="102" t="s">
        <v>2557</v>
      </c>
      <c r="N1361" s="102" t="s">
        <v>2559</v>
      </c>
      <c r="O1361" s="105">
        <v>1.785651E7</v>
      </c>
      <c r="P1361" s="105">
        <v>1.574463E7</v>
      </c>
      <c r="Q1361" s="102" t="s">
        <v>2529</v>
      </c>
      <c r="R1361" s="1"/>
      <c r="S1361" s="1"/>
      <c r="T1361" s="1"/>
      <c r="U1361" s="1"/>
      <c r="V1361" s="1"/>
      <c r="W1361" s="1"/>
      <c r="X1361" s="1"/>
      <c r="Y1361" s="1"/>
      <c r="Z1361" s="102"/>
      <c r="AA1361" s="102"/>
      <c r="AB1361" s="1"/>
      <c r="AC1361" s="1"/>
      <c r="AD1361" s="1"/>
      <c r="AE1361" s="1"/>
      <c r="AF1361" s="1"/>
      <c r="AG1361" s="1"/>
    </row>
    <row r="1362" ht="15.75" customHeight="1">
      <c r="A1362" s="1"/>
      <c r="B1362" s="1"/>
      <c r="C1362" s="1"/>
      <c r="D1362" s="1"/>
      <c r="E1362" s="1"/>
      <c r="F1362" s="1"/>
      <c r="G1362" s="1"/>
      <c r="H1362" s="1"/>
      <c r="I1362" s="1"/>
      <c r="J1362" s="1"/>
      <c r="K1362" s="102" t="s">
        <v>2560</v>
      </c>
      <c r="L1362" s="102" t="str">
        <f>A29</f>
        <v>J</v>
      </c>
      <c r="M1362" s="102" t="s">
        <v>2561</v>
      </c>
      <c r="N1362" s="102" t="s">
        <v>2562</v>
      </c>
      <c r="O1362" s="105">
        <v>1.8567169E7</v>
      </c>
      <c r="P1362" s="105">
        <v>1.6455289E7</v>
      </c>
      <c r="Q1362" s="102" t="s">
        <v>2563</v>
      </c>
      <c r="R1362" s="1"/>
      <c r="S1362" s="1"/>
      <c r="T1362" s="1"/>
      <c r="U1362" s="1"/>
      <c r="V1362" s="1"/>
      <c r="W1362" s="1"/>
      <c r="X1362" s="1"/>
      <c r="Y1362" s="1"/>
      <c r="Z1362" s="102"/>
      <c r="AA1362" s="102"/>
      <c r="AB1362" s="1"/>
      <c r="AC1362" s="1"/>
      <c r="AD1362" s="1"/>
      <c r="AE1362" s="1"/>
      <c r="AF1362" s="1"/>
      <c r="AG1362" s="1"/>
    </row>
    <row r="1363" ht="15.75" customHeight="1">
      <c r="A1363" s="1"/>
      <c r="B1363" s="1"/>
      <c r="C1363" s="1"/>
      <c r="D1363" s="1"/>
      <c r="E1363" s="1"/>
      <c r="F1363" s="1"/>
      <c r="G1363" s="1"/>
      <c r="H1363" s="1"/>
      <c r="I1363" s="1"/>
      <c r="J1363" s="1"/>
      <c r="K1363" s="102" t="s">
        <v>2561</v>
      </c>
      <c r="L1363" s="102" t="str">
        <f>A29</f>
        <v>J</v>
      </c>
      <c r="M1363" s="102" t="s">
        <v>2560</v>
      </c>
      <c r="N1363" s="102" t="s">
        <v>2562</v>
      </c>
      <c r="O1363" s="105">
        <v>1.8567169E7</v>
      </c>
      <c r="P1363" s="105">
        <v>1.6455289E7</v>
      </c>
      <c r="Q1363" s="102" t="s">
        <v>2563</v>
      </c>
      <c r="R1363" s="1"/>
      <c r="S1363" s="1"/>
      <c r="T1363" s="1"/>
      <c r="U1363" s="1"/>
      <c r="V1363" s="1"/>
      <c r="W1363" s="1"/>
      <c r="X1363" s="1"/>
      <c r="Y1363" s="1"/>
      <c r="Z1363" s="102"/>
      <c r="AA1363" s="102"/>
      <c r="AB1363" s="1"/>
      <c r="AC1363" s="1"/>
      <c r="AD1363" s="1"/>
      <c r="AE1363" s="1"/>
      <c r="AF1363" s="1"/>
      <c r="AG1363" s="1"/>
    </row>
    <row r="1364" ht="15.75" customHeight="1">
      <c r="A1364" s="1"/>
      <c r="B1364" s="1"/>
      <c r="C1364" s="1"/>
      <c r="D1364" s="1"/>
      <c r="E1364" s="1"/>
      <c r="F1364" s="1"/>
      <c r="G1364" s="1"/>
      <c r="H1364" s="1"/>
      <c r="I1364" s="1"/>
      <c r="J1364" s="1"/>
      <c r="K1364" s="102" t="s">
        <v>2564</v>
      </c>
      <c r="L1364" s="102" t="str">
        <f>A29</f>
        <v>J</v>
      </c>
      <c r="M1364" s="102" t="s">
        <v>2565</v>
      </c>
      <c r="N1364" s="102" t="s">
        <v>2566</v>
      </c>
      <c r="O1364" s="105">
        <v>1.858865E7</v>
      </c>
      <c r="P1364" s="105">
        <v>1.647677E7</v>
      </c>
      <c r="Q1364" s="102" t="s">
        <v>2468</v>
      </c>
      <c r="R1364" s="1"/>
      <c r="S1364" s="1"/>
      <c r="T1364" s="1"/>
      <c r="U1364" s="1"/>
      <c r="V1364" s="1"/>
      <c r="W1364" s="1"/>
      <c r="X1364" s="1"/>
      <c r="Y1364" s="1"/>
      <c r="Z1364" s="102"/>
      <c r="AA1364" s="102"/>
      <c r="AB1364" s="1"/>
      <c r="AC1364" s="1"/>
      <c r="AD1364" s="1"/>
      <c r="AE1364" s="1"/>
      <c r="AF1364" s="1"/>
      <c r="AG1364" s="1"/>
    </row>
    <row r="1365" ht="15.75" customHeight="1">
      <c r="A1365" s="1"/>
      <c r="B1365" s="1"/>
      <c r="C1365" s="1"/>
      <c r="D1365" s="1"/>
      <c r="E1365" s="1"/>
      <c r="F1365" s="1"/>
      <c r="G1365" s="1"/>
      <c r="H1365" s="1"/>
      <c r="I1365" s="1"/>
      <c r="J1365" s="1"/>
      <c r="K1365" s="102" t="s">
        <v>2565</v>
      </c>
      <c r="L1365" s="102" t="str">
        <f>A29</f>
        <v>J</v>
      </c>
      <c r="M1365" s="102" t="s">
        <v>2564</v>
      </c>
      <c r="N1365" s="102" t="s">
        <v>2566</v>
      </c>
      <c r="O1365" s="105">
        <v>1.858865E7</v>
      </c>
      <c r="P1365" s="105">
        <v>1.647677E7</v>
      </c>
      <c r="Q1365" s="102" t="s">
        <v>2468</v>
      </c>
      <c r="R1365" s="1"/>
      <c r="S1365" s="1"/>
      <c r="T1365" s="1"/>
      <c r="U1365" s="1"/>
      <c r="V1365" s="1"/>
      <c r="W1365" s="1"/>
      <c r="X1365" s="1"/>
      <c r="Y1365" s="1"/>
      <c r="Z1365" s="102"/>
      <c r="AA1365" s="102"/>
      <c r="AB1365" s="1"/>
      <c r="AC1365" s="1"/>
      <c r="AD1365" s="1"/>
      <c r="AE1365" s="1"/>
      <c r="AF1365" s="1"/>
      <c r="AG1365" s="1"/>
    </row>
    <row r="1366" ht="15.75" customHeight="1">
      <c r="A1366" s="1"/>
      <c r="B1366" s="1"/>
      <c r="C1366" s="1"/>
      <c r="D1366" s="1"/>
      <c r="E1366" s="1"/>
      <c r="F1366" s="1"/>
      <c r="G1366" s="1"/>
      <c r="H1366" s="1"/>
      <c r="I1366" s="1"/>
      <c r="J1366" s="1"/>
      <c r="K1366" s="102" t="s">
        <v>2567</v>
      </c>
      <c r="L1366" s="102" t="str">
        <f>A29</f>
        <v>J</v>
      </c>
      <c r="M1366" s="102" t="s">
        <v>2568</v>
      </c>
      <c r="N1366" s="102" t="s">
        <v>2569</v>
      </c>
      <c r="O1366" s="105">
        <v>1.895082E7</v>
      </c>
      <c r="P1366" s="105">
        <v>1.683894E7</v>
      </c>
      <c r="Q1366" s="102" t="s">
        <v>2533</v>
      </c>
      <c r="R1366" s="1"/>
      <c r="S1366" s="1"/>
      <c r="T1366" s="1"/>
      <c r="U1366" s="1"/>
      <c r="V1366" s="1"/>
      <c r="W1366" s="1"/>
      <c r="X1366" s="1"/>
      <c r="Y1366" s="1"/>
      <c r="Z1366" s="102"/>
      <c r="AA1366" s="102"/>
      <c r="AB1366" s="1"/>
      <c r="AC1366" s="1"/>
      <c r="AD1366" s="1"/>
      <c r="AE1366" s="1"/>
      <c r="AF1366" s="1"/>
      <c r="AG1366" s="1"/>
    </row>
    <row r="1367" ht="15.75" customHeight="1">
      <c r="A1367" s="1"/>
      <c r="B1367" s="1"/>
      <c r="C1367" s="1"/>
      <c r="D1367" s="1"/>
      <c r="E1367" s="1"/>
      <c r="F1367" s="1"/>
      <c r="G1367" s="1"/>
      <c r="H1367" s="1"/>
      <c r="I1367" s="1"/>
      <c r="J1367" s="1"/>
      <c r="K1367" s="102" t="s">
        <v>2568</v>
      </c>
      <c r="L1367" s="102" t="str">
        <f>A29</f>
        <v>J</v>
      </c>
      <c r="M1367" s="102" t="s">
        <v>2567</v>
      </c>
      <c r="N1367" s="102" t="s">
        <v>2569</v>
      </c>
      <c r="O1367" s="105">
        <v>1.895082E7</v>
      </c>
      <c r="P1367" s="105">
        <v>1.683894E7</v>
      </c>
      <c r="Q1367" s="102" t="s">
        <v>2533</v>
      </c>
      <c r="R1367" s="1"/>
      <c r="S1367" s="1"/>
      <c r="T1367" s="1"/>
      <c r="U1367" s="1"/>
      <c r="V1367" s="1"/>
      <c r="W1367" s="1"/>
      <c r="X1367" s="1"/>
      <c r="Y1367" s="1"/>
      <c r="Z1367" s="102"/>
      <c r="AA1367" s="102"/>
      <c r="AB1367" s="1"/>
      <c r="AC1367" s="1"/>
      <c r="AD1367" s="1"/>
      <c r="AE1367" s="1"/>
      <c r="AF1367" s="1"/>
      <c r="AG1367" s="1"/>
    </row>
    <row r="1368" ht="15.75" customHeight="1">
      <c r="A1368" s="1"/>
      <c r="B1368" s="1"/>
      <c r="C1368" s="1"/>
      <c r="D1368" s="1"/>
      <c r="E1368" s="1"/>
      <c r="F1368" s="1"/>
      <c r="G1368" s="1"/>
      <c r="H1368" s="1"/>
      <c r="I1368" s="1"/>
      <c r="J1368" s="1"/>
      <c r="K1368" s="102" t="s">
        <v>2570</v>
      </c>
      <c r="L1368" s="102" t="str">
        <f>A29</f>
        <v>J</v>
      </c>
      <c r="M1368" s="102" t="s">
        <v>2571</v>
      </c>
      <c r="N1368" s="102" t="s">
        <v>2572</v>
      </c>
      <c r="O1368" s="105">
        <v>1.9117262E7</v>
      </c>
      <c r="P1368" s="105">
        <v>1.7005382E7</v>
      </c>
      <c r="Q1368" s="102" t="s">
        <v>2468</v>
      </c>
      <c r="R1368" s="1"/>
      <c r="S1368" s="1"/>
      <c r="T1368" s="1"/>
      <c r="U1368" s="1"/>
      <c r="V1368" s="1"/>
      <c r="W1368" s="1"/>
      <c r="X1368" s="1"/>
      <c r="Y1368" s="1"/>
      <c r="Z1368" s="102"/>
      <c r="AA1368" s="102"/>
      <c r="AB1368" s="1"/>
      <c r="AC1368" s="1"/>
      <c r="AD1368" s="1"/>
      <c r="AE1368" s="1"/>
      <c r="AF1368" s="1"/>
      <c r="AG1368" s="1"/>
    </row>
    <row r="1369" ht="15.75" customHeight="1">
      <c r="A1369" s="1"/>
      <c r="B1369" s="1"/>
      <c r="C1369" s="1"/>
      <c r="D1369" s="1"/>
      <c r="E1369" s="1"/>
      <c r="F1369" s="1"/>
      <c r="G1369" s="1"/>
      <c r="H1369" s="1"/>
      <c r="I1369" s="1"/>
      <c r="J1369" s="1"/>
      <c r="K1369" s="102" t="s">
        <v>2571</v>
      </c>
      <c r="L1369" s="102" t="str">
        <f>A29</f>
        <v>J</v>
      </c>
      <c r="M1369" s="102" t="s">
        <v>2570</v>
      </c>
      <c r="N1369" s="102" t="s">
        <v>2572</v>
      </c>
      <c r="O1369" s="105">
        <v>1.9117262E7</v>
      </c>
      <c r="P1369" s="105">
        <v>1.7005382E7</v>
      </c>
      <c r="Q1369" s="102" t="s">
        <v>2468</v>
      </c>
      <c r="R1369" s="1"/>
      <c r="S1369" s="1"/>
      <c r="T1369" s="1"/>
      <c r="U1369" s="1"/>
      <c r="V1369" s="1"/>
      <c r="W1369" s="1"/>
      <c r="X1369" s="1"/>
      <c r="Y1369" s="1"/>
      <c r="Z1369" s="102"/>
      <c r="AA1369" s="102"/>
      <c r="AB1369" s="1"/>
      <c r="AC1369" s="1"/>
      <c r="AD1369" s="1"/>
      <c r="AE1369" s="1"/>
      <c r="AF1369" s="1"/>
      <c r="AG1369" s="1"/>
    </row>
    <row r="1370" ht="15.75" customHeight="1">
      <c r="A1370" s="1"/>
      <c r="B1370" s="1"/>
      <c r="C1370" s="1"/>
      <c r="D1370" s="1"/>
      <c r="E1370" s="1"/>
      <c r="F1370" s="1"/>
      <c r="G1370" s="1"/>
      <c r="H1370" s="1"/>
      <c r="I1370" s="1"/>
      <c r="J1370" s="1"/>
      <c r="K1370" s="102" t="s">
        <v>2573</v>
      </c>
      <c r="L1370" s="102" t="str">
        <f>A29</f>
        <v>J</v>
      </c>
      <c r="M1370" s="102" t="s">
        <v>2574</v>
      </c>
      <c r="N1370" s="102" t="s">
        <v>2575</v>
      </c>
      <c r="O1370" s="105">
        <v>1.9460042E7</v>
      </c>
      <c r="P1370" s="105">
        <v>1.7348162E7</v>
      </c>
      <c r="Q1370" s="102" t="s">
        <v>2576</v>
      </c>
      <c r="R1370" s="1"/>
      <c r="S1370" s="1"/>
      <c r="T1370" s="1"/>
      <c r="U1370" s="1"/>
      <c r="V1370" s="1"/>
      <c r="W1370" s="1"/>
      <c r="X1370" s="1"/>
      <c r="Y1370" s="1"/>
      <c r="Z1370" s="102"/>
      <c r="AA1370" s="102"/>
      <c r="AB1370" s="1"/>
      <c r="AC1370" s="1"/>
      <c r="AD1370" s="1"/>
      <c r="AE1370" s="1"/>
      <c r="AF1370" s="1"/>
      <c r="AG1370" s="1"/>
    </row>
    <row r="1371" ht="15.75" customHeight="1">
      <c r="A1371" s="1"/>
      <c r="B1371" s="1"/>
      <c r="C1371" s="1"/>
      <c r="D1371" s="1"/>
      <c r="E1371" s="1"/>
      <c r="F1371" s="1"/>
      <c r="G1371" s="1"/>
      <c r="H1371" s="1"/>
      <c r="I1371" s="1"/>
      <c r="J1371" s="1"/>
      <c r="K1371" s="102" t="s">
        <v>2574</v>
      </c>
      <c r="L1371" s="102" t="str">
        <f>A29</f>
        <v>J</v>
      </c>
      <c r="M1371" s="102" t="s">
        <v>2573</v>
      </c>
      <c r="N1371" s="102" t="s">
        <v>2575</v>
      </c>
      <c r="O1371" s="105">
        <v>1.9460042E7</v>
      </c>
      <c r="P1371" s="105">
        <v>1.7348162E7</v>
      </c>
      <c r="Q1371" s="102" t="s">
        <v>2576</v>
      </c>
      <c r="R1371" s="1"/>
      <c r="S1371" s="1"/>
      <c r="T1371" s="1"/>
      <c r="U1371" s="1"/>
      <c r="V1371" s="1"/>
      <c r="W1371" s="1"/>
      <c r="X1371" s="1"/>
      <c r="Y1371" s="1"/>
      <c r="Z1371" s="102"/>
      <c r="AA1371" s="102"/>
      <c r="AB1371" s="1"/>
      <c r="AC1371" s="1"/>
      <c r="AD1371" s="1"/>
      <c r="AE1371" s="1"/>
      <c r="AF1371" s="1"/>
      <c r="AG1371" s="1"/>
    </row>
    <row r="1372" ht="15.75" customHeight="1">
      <c r="A1372" s="1"/>
      <c r="B1372" s="1"/>
      <c r="C1372" s="1"/>
      <c r="D1372" s="1"/>
      <c r="E1372" s="1"/>
      <c r="F1372" s="1"/>
      <c r="G1372" s="1"/>
      <c r="H1372" s="1"/>
      <c r="I1372" s="1"/>
      <c r="J1372" s="1"/>
      <c r="K1372" s="102" t="s">
        <v>2577</v>
      </c>
      <c r="L1372" s="102" t="str">
        <f>A29</f>
        <v>J</v>
      </c>
      <c r="M1372" s="102" t="s">
        <v>2578</v>
      </c>
      <c r="N1372" s="102" t="s">
        <v>2579</v>
      </c>
      <c r="O1372" s="105">
        <v>2.2808236E7</v>
      </c>
      <c r="P1372" s="105">
        <v>2.064635E7</v>
      </c>
      <c r="Q1372" s="102" t="s">
        <v>2439</v>
      </c>
      <c r="R1372" s="1"/>
      <c r="S1372" s="1"/>
      <c r="T1372" s="1"/>
      <c r="U1372" s="1"/>
      <c r="V1372" s="1"/>
      <c r="W1372" s="1"/>
      <c r="X1372" s="1"/>
      <c r="Y1372" s="1"/>
      <c r="Z1372" s="102"/>
      <c r="AA1372" s="102"/>
      <c r="AB1372" s="1"/>
      <c r="AC1372" s="1"/>
      <c r="AD1372" s="1"/>
      <c r="AE1372" s="1"/>
      <c r="AF1372" s="1"/>
      <c r="AG1372" s="1"/>
    </row>
    <row r="1373" ht="15.75" customHeight="1">
      <c r="A1373" s="1"/>
      <c r="B1373" s="1"/>
      <c r="C1373" s="1"/>
      <c r="D1373" s="1"/>
      <c r="E1373" s="1"/>
      <c r="F1373" s="1"/>
      <c r="G1373" s="1"/>
      <c r="H1373" s="1"/>
      <c r="I1373" s="1"/>
      <c r="J1373" s="1"/>
      <c r="K1373" s="102" t="s">
        <v>2578</v>
      </c>
      <c r="L1373" s="102" t="str">
        <f>A29</f>
        <v>J</v>
      </c>
      <c r="M1373" s="102" t="s">
        <v>2577</v>
      </c>
      <c r="N1373" s="102" t="s">
        <v>2579</v>
      </c>
      <c r="O1373" s="105">
        <v>2.2808236E7</v>
      </c>
      <c r="P1373" s="105">
        <v>2.064635E7</v>
      </c>
      <c r="Q1373" s="102" t="s">
        <v>2439</v>
      </c>
      <c r="R1373" s="1"/>
      <c r="S1373" s="1"/>
      <c r="T1373" s="1"/>
      <c r="U1373" s="1"/>
      <c r="V1373" s="1"/>
      <c r="W1373" s="1"/>
      <c r="X1373" s="1"/>
      <c r="Y1373" s="1"/>
      <c r="Z1373" s="102"/>
      <c r="AA1373" s="102"/>
      <c r="AB1373" s="1"/>
      <c r="AC1373" s="1"/>
      <c r="AD1373" s="1"/>
      <c r="AE1373" s="1"/>
      <c r="AF1373" s="1"/>
      <c r="AG1373" s="1"/>
    </row>
    <row r="1374" ht="15.75" customHeight="1">
      <c r="A1374" s="1"/>
      <c r="B1374" s="1"/>
      <c r="C1374" s="1"/>
      <c r="D1374" s="1"/>
      <c r="E1374" s="1"/>
      <c r="F1374" s="1"/>
      <c r="G1374" s="1"/>
      <c r="H1374" s="1"/>
      <c r="I1374" s="1"/>
      <c r="J1374" s="1"/>
      <c r="K1374" s="102" t="s">
        <v>2580</v>
      </c>
      <c r="L1374" s="102" t="str">
        <f>A29</f>
        <v>J</v>
      </c>
      <c r="M1374" s="102" t="s">
        <v>2581</v>
      </c>
      <c r="N1374" s="102" t="s">
        <v>2582</v>
      </c>
      <c r="O1374" s="105">
        <v>2.3015968E7</v>
      </c>
      <c r="P1374" s="105">
        <v>2.0854082E7</v>
      </c>
      <c r="Q1374" s="102" t="s">
        <v>2533</v>
      </c>
      <c r="R1374" s="1"/>
      <c r="S1374" s="1"/>
      <c r="T1374" s="1"/>
      <c r="U1374" s="1"/>
      <c r="V1374" s="1"/>
      <c r="W1374" s="1"/>
      <c r="X1374" s="1"/>
      <c r="Y1374" s="1"/>
      <c r="Z1374" s="102"/>
      <c r="AA1374" s="102"/>
      <c r="AB1374" s="1"/>
      <c r="AC1374" s="1"/>
      <c r="AD1374" s="1"/>
      <c r="AE1374" s="1"/>
      <c r="AF1374" s="1"/>
      <c r="AG1374" s="1"/>
    </row>
    <row r="1375" ht="15.75" customHeight="1">
      <c r="A1375" s="1"/>
      <c r="B1375" s="1"/>
      <c r="C1375" s="1"/>
      <c r="D1375" s="1"/>
      <c r="E1375" s="1"/>
      <c r="F1375" s="1"/>
      <c r="G1375" s="1"/>
      <c r="H1375" s="1"/>
      <c r="I1375" s="1"/>
      <c r="J1375" s="1"/>
      <c r="K1375" s="102" t="s">
        <v>2581</v>
      </c>
      <c r="L1375" s="102" t="str">
        <f>A29</f>
        <v>J</v>
      </c>
      <c r="M1375" s="102" t="s">
        <v>2580</v>
      </c>
      <c r="N1375" s="102" t="s">
        <v>2582</v>
      </c>
      <c r="O1375" s="105">
        <v>2.3015968E7</v>
      </c>
      <c r="P1375" s="105">
        <v>2.0854082E7</v>
      </c>
      <c r="Q1375" s="102" t="s">
        <v>2533</v>
      </c>
      <c r="R1375" s="1"/>
      <c r="S1375" s="1"/>
      <c r="T1375" s="1"/>
      <c r="U1375" s="1"/>
      <c r="V1375" s="1"/>
      <c r="W1375" s="1"/>
      <c r="X1375" s="1"/>
      <c r="Y1375" s="1"/>
      <c r="Z1375" s="102"/>
      <c r="AA1375" s="102"/>
      <c r="AB1375" s="1"/>
      <c r="AC1375" s="1"/>
      <c r="AD1375" s="1"/>
      <c r="AE1375" s="1"/>
      <c r="AF1375" s="1"/>
      <c r="AG1375" s="1"/>
    </row>
    <row r="1376" ht="15.75" customHeight="1">
      <c r="A1376" s="1"/>
      <c r="B1376" s="1"/>
      <c r="C1376" s="1"/>
      <c r="D1376" s="1"/>
      <c r="E1376" s="1"/>
      <c r="F1376" s="1"/>
      <c r="G1376" s="1"/>
      <c r="H1376" s="1"/>
      <c r="I1376" s="1"/>
      <c r="J1376" s="1"/>
      <c r="K1376" s="102" t="s">
        <v>2583</v>
      </c>
      <c r="L1376" s="102" t="str">
        <f>A29</f>
        <v>J</v>
      </c>
      <c r="M1376" s="102" t="s">
        <v>2584</v>
      </c>
      <c r="N1376" s="102" t="s">
        <v>2585</v>
      </c>
      <c r="O1376" s="105">
        <v>2.3058442E7</v>
      </c>
      <c r="P1376" s="105">
        <v>2.0896556E7</v>
      </c>
      <c r="Q1376" s="102" t="s">
        <v>2446</v>
      </c>
      <c r="R1376" s="1"/>
      <c r="S1376" s="1"/>
      <c r="T1376" s="1"/>
      <c r="U1376" s="1"/>
      <c r="V1376" s="1"/>
      <c r="W1376" s="1"/>
      <c r="X1376" s="1"/>
      <c r="Y1376" s="1"/>
      <c r="Z1376" s="102"/>
      <c r="AA1376" s="102"/>
      <c r="AB1376" s="1"/>
      <c r="AC1376" s="1"/>
      <c r="AD1376" s="1"/>
      <c r="AE1376" s="1"/>
      <c r="AF1376" s="1"/>
      <c r="AG1376" s="1"/>
    </row>
    <row r="1377" ht="15.75" customHeight="1">
      <c r="A1377" s="1"/>
      <c r="B1377" s="1"/>
      <c r="C1377" s="1"/>
      <c r="D1377" s="1"/>
      <c r="E1377" s="1"/>
      <c r="F1377" s="1"/>
      <c r="G1377" s="1"/>
      <c r="H1377" s="1"/>
      <c r="I1377" s="1"/>
      <c r="J1377" s="1"/>
      <c r="K1377" s="102" t="s">
        <v>2584</v>
      </c>
      <c r="L1377" s="102" t="str">
        <f>A29</f>
        <v>J</v>
      </c>
      <c r="M1377" s="102" t="s">
        <v>2583</v>
      </c>
      <c r="N1377" s="102" t="s">
        <v>2585</v>
      </c>
      <c r="O1377" s="105">
        <v>2.3058442E7</v>
      </c>
      <c r="P1377" s="105">
        <v>2.0896556E7</v>
      </c>
      <c r="Q1377" s="102" t="s">
        <v>2446</v>
      </c>
      <c r="R1377" s="1"/>
      <c r="S1377" s="1"/>
      <c r="T1377" s="1"/>
      <c r="U1377" s="1"/>
      <c r="V1377" s="1"/>
      <c r="W1377" s="1"/>
      <c r="X1377" s="1"/>
      <c r="Y1377" s="1"/>
      <c r="Z1377" s="102"/>
      <c r="AA1377" s="102"/>
      <c r="AB1377" s="1"/>
      <c r="AC1377" s="1"/>
      <c r="AD1377" s="1"/>
      <c r="AE1377" s="1"/>
      <c r="AF1377" s="1"/>
      <c r="AG1377" s="1"/>
    </row>
    <row r="1378" ht="15.75" customHeight="1">
      <c r="A1378" s="1"/>
      <c r="B1378" s="1"/>
      <c r="C1378" s="1"/>
      <c r="D1378" s="1"/>
      <c r="E1378" s="1"/>
      <c r="F1378" s="1"/>
      <c r="G1378" s="1"/>
      <c r="H1378" s="1"/>
      <c r="I1378" s="1"/>
      <c r="J1378" s="1"/>
      <c r="K1378" s="102" t="s">
        <v>2586</v>
      </c>
      <c r="L1378" s="102" t="str">
        <f>A29</f>
        <v>J</v>
      </c>
      <c r="M1378" s="102" t="s">
        <v>2587</v>
      </c>
      <c r="N1378" s="102" t="s">
        <v>2588</v>
      </c>
      <c r="O1378" s="105">
        <v>2.3163701E7</v>
      </c>
      <c r="P1378" s="105">
        <v>2.1001815E7</v>
      </c>
      <c r="Q1378" s="102" t="s">
        <v>2533</v>
      </c>
      <c r="R1378" s="1"/>
      <c r="S1378" s="1"/>
      <c r="T1378" s="1"/>
      <c r="U1378" s="1"/>
      <c r="V1378" s="1"/>
      <c r="W1378" s="1"/>
      <c r="X1378" s="1"/>
      <c r="Y1378" s="1"/>
      <c r="Z1378" s="102"/>
      <c r="AA1378" s="102"/>
      <c r="AB1378" s="1"/>
      <c r="AC1378" s="1"/>
      <c r="AD1378" s="1"/>
      <c r="AE1378" s="1"/>
      <c r="AF1378" s="1"/>
      <c r="AG1378" s="1"/>
    </row>
    <row r="1379" ht="15.75" customHeight="1">
      <c r="A1379" s="1"/>
      <c r="B1379" s="1"/>
      <c r="C1379" s="1"/>
      <c r="D1379" s="1"/>
      <c r="E1379" s="1"/>
      <c r="F1379" s="1"/>
      <c r="G1379" s="1"/>
      <c r="H1379" s="1"/>
      <c r="I1379" s="1"/>
      <c r="J1379" s="1"/>
      <c r="K1379" s="102" t="s">
        <v>2587</v>
      </c>
      <c r="L1379" s="102" t="str">
        <f>A29</f>
        <v>J</v>
      </c>
      <c r="M1379" s="102" t="s">
        <v>2586</v>
      </c>
      <c r="N1379" s="102" t="s">
        <v>2588</v>
      </c>
      <c r="O1379" s="105">
        <v>2.3163701E7</v>
      </c>
      <c r="P1379" s="105">
        <v>2.1001815E7</v>
      </c>
      <c r="Q1379" s="102" t="s">
        <v>2533</v>
      </c>
      <c r="R1379" s="1"/>
      <c r="S1379" s="1"/>
      <c r="T1379" s="1"/>
      <c r="U1379" s="1"/>
      <c r="V1379" s="1"/>
      <c r="W1379" s="1"/>
      <c r="X1379" s="1"/>
      <c r="Y1379" s="1"/>
      <c r="Z1379" s="102"/>
      <c r="AA1379" s="102"/>
      <c r="AB1379" s="1"/>
      <c r="AC1379" s="1"/>
      <c r="AD1379" s="1"/>
      <c r="AE1379" s="1"/>
      <c r="AF1379" s="1"/>
      <c r="AG1379" s="1"/>
    </row>
    <row r="1380" ht="15.75" customHeight="1">
      <c r="A1380" s="1"/>
      <c r="B1380" s="1"/>
      <c r="C1380" s="1"/>
      <c r="D1380" s="1"/>
      <c r="E1380" s="1"/>
      <c r="F1380" s="1"/>
      <c r="G1380" s="1"/>
      <c r="H1380" s="1"/>
      <c r="I1380" s="1"/>
      <c r="J1380" s="1"/>
      <c r="K1380" s="102" t="s">
        <v>2589</v>
      </c>
      <c r="L1380" s="102" t="str">
        <f>A29</f>
        <v>J</v>
      </c>
      <c r="M1380" s="102" t="s">
        <v>2590</v>
      </c>
      <c r="N1380" s="102" t="s">
        <v>2591</v>
      </c>
      <c r="O1380" s="105">
        <v>2.3250894E7</v>
      </c>
      <c r="P1380" s="105">
        <v>2.1089008E7</v>
      </c>
      <c r="Q1380" s="102" t="s">
        <v>2501</v>
      </c>
      <c r="R1380" s="1"/>
      <c r="S1380" s="1"/>
      <c r="T1380" s="1"/>
      <c r="U1380" s="1"/>
      <c r="V1380" s="1"/>
      <c r="W1380" s="1"/>
      <c r="X1380" s="1"/>
      <c r="Y1380" s="1"/>
      <c r="Z1380" s="102"/>
      <c r="AA1380" s="102"/>
      <c r="AB1380" s="1"/>
      <c r="AC1380" s="1"/>
      <c r="AD1380" s="1"/>
      <c r="AE1380" s="1"/>
      <c r="AF1380" s="1"/>
      <c r="AG1380" s="1"/>
    </row>
    <row r="1381" ht="15.75" customHeight="1">
      <c r="A1381" s="1"/>
      <c r="B1381" s="1"/>
      <c r="C1381" s="1"/>
      <c r="D1381" s="1"/>
      <c r="E1381" s="1"/>
      <c r="F1381" s="1"/>
      <c r="G1381" s="1"/>
      <c r="H1381" s="1"/>
      <c r="I1381" s="1"/>
      <c r="J1381" s="1"/>
      <c r="K1381" s="102" t="s">
        <v>2592</v>
      </c>
      <c r="L1381" s="102" t="str">
        <f>A29</f>
        <v>J</v>
      </c>
      <c r="M1381" s="102" t="s">
        <v>2593</v>
      </c>
      <c r="N1381" s="102" t="s">
        <v>2591</v>
      </c>
      <c r="O1381" s="105">
        <v>2.3250894E7</v>
      </c>
      <c r="P1381" s="105">
        <v>2.1089008E7</v>
      </c>
      <c r="Q1381" s="102" t="s">
        <v>2501</v>
      </c>
      <c r="R1381" s="1"/>
      <c r="S1381" s="1"/>
      <c r="T1381" s="1"/>
      <c r="U1381" s="1"/>
      <c r="V1381" s="1"/>
      <c r="W1381" s="1"/>
      <c r="X1381" s="1"/>
      <c r="Y1381" s="1"/>
      <c r="Z1381" s="102"/>
      <c r="AA1381" s="102"/>
      <c r="AB1381" s="1"/>
      <c r="AC1381" s="1"/>
      <c r="AD1381" s="1"/>
      <c r="AE1381" s="1"/>
      <c r="AF1381" s="1"/>
      <c r="AG1381" s="1"/>
    </row>
    <row r="1382" ht="15.75" customHeight="1">
      <c r="A1382" s="1"/>
      <c r="B1382" s="1"/>
      <c r="C1382" s="1"/>
      <c r="D1382" s="1"/>
      <c r="E1382" s="1"/>
      <c r="F1382" s="1"/>
      <c r="G1382" s="1"/>
      <c r="H1382" s="1"/>
      <c r="I1382" s="1"/>
      <c r="J1382" s="1"/>
      <c r="K1382" s="102" t="s">
        <v>2594</v>
      </c>
      <c r="L1382" s="102" t="str">
        <f>A29</f>
        <v>J</v>
      </c>
      <c r="M1382" s="102" t="s">
        <v>2595</v>
      </c>
      <c r="N1382" s="102" t="s">
        <v>2591</v>
      </c>
      <c r="O1382" s="105">
        <v>2.3250894E7</v>
      </c>
      <c r="P1382" s="105">
        <v>2.1089008E7</v>
      </c>
      <c r="Q1382" s="102" t="s">
        <v>2501</v>
      </c>
      <c r="R1382" s="1"/>
      <c r="S1382" s="1"/>
      <c r="T1382" s="1"/>
      <c r="U1382" s="1"/>
      <c r="V1382" s="1"/>
      <c r="W1382" s="1"/>
      <c r="X1382" s="1"/>
      <c r="Y1382" s="1"/>
      <c r="Z1382" s="102"/>
      <c r="AA1382" s="102"/>
      <c r="AB1382" s="1"/>
      <c r="AC1382" s="1"/>
      <c r="AD1382" s="1"/>
      <c r="AE1382" s="1"/>
      <c r="AF1382" s="1"/>
      <c r="AG1382" s="1"/>
    </row>
    <row r="1383" ht="15.75" customHeight="1">
      <c r="A1383" s="1"/>
      <c r="B1383" s="1"/>
      <c r="C1383" s="1"/>
      <c r="D1383" s="1"/>
      <c r="E1383" s="1"/>
      <c r="F1383" s="1"/>
      <c r="G1383" s="1"/>
      <c r="H1383" s="1"/>
      <c r="I1383" s="1"/>
      <c r="J1383" s="1"/>
      <c r="K1383" s="102" t="s">
        <v>2596</v>
      </c>
      <c r="L1383" s="102" t="str">
        <f>A29</f>
        <v>J</v>
      </c>
      <c r="M1383" s="102" t="s">
        <v>2597</v>
      </c>
      <c r="N1383" s="102" t="s">
        <v>2598</v>
      </c>
      <c r="O1383" s="105">
        <v>2.3255729E7</v>
      </c>
      <c r="P1383" s="105">
        <v>2.1093843E7</v>
      </c>
      <c r="Q1383" s="102" t="s">
        <v>2432</v>
      </c>
      <c r="R1383" s="1"/>
      <c r="S1383" s="1"/>
      <c r="T1383" s="1"/>
      <c r="U1383" s="1"/>
      <c r="V1383" s="1"/>
      <c r="W1383" s="1"/>
      <c r="X1383" s="1"/>
      <c r="Y1383" s="1"/>
      <c r="Z1383" s="102"/>
      <c r="AA1383" s="102"/>
      <c r="AB1383" s="1"/>
      <c r="AC1383" s="1"/>
      <c r="AD1383" s="1"/>
      <c r="AE1383" s="1"/>
      <c r="AF1383" s="1"/>
      <c r="AG1383" s="1"/>
    </row>
    <row r="1384" ht="15.75" customHeight="1">
      <c r="A1384" s="1"/>
      <c r="B1384" s="1"/>
      <c r="C1384" s="1"/>
      <c r="D1384" s="1"/>
      <c r="E1384" s="1"/>
      <c r="F1384" s="1"/>
      <c r="G1384" s="1"/>
      <c r="H1384" s="1"/>
      <c r="I1384" s="1"/>
      <c r="J1384" s="1"/>
      <c r="K1384" s="102" t="s">
        <v>2597</v>
      </c>
      <c r="L1384" s="102" t="str">
        <f>A29</f>
        <v>J</v>
      </c>
      <c r="M1384" s="102" t="s">
        <v>2596</v>
      </c>
      <c r="N1384" s="102" t="s">
        <v>2598</v>
      </c>
      <c r="O1384" s="105">
        <v>2.3255729E7</v>
      </c>
      <c r="P1384" s="105">
        <v>2.1093843E7</v>
      </c>
      <c r="Q1384" s="102" t="s">
        <v>2432</v>
      </c>
      <c r="R1384" s="1"/>
      <c r="S1384" s="1"/>
      <c r="T1384" s="1"/>
      <c r="U1384" s="1"/>
      <c r="V1384" s="1"/>
      <c r="W1384" s="1"/>
      <c r="X1384" s="1"/>
      <c r="Y1384" s="1"/>
      <c r="Z1384" s="102"/>
      <c r="AA1384" s="102"/>
      <c r="AB1384" s="1"/>
      <c r="AC1384" s="1"/>
      <c r="AD1384" s="1"/>
      <c r="AE1384" s="1"/>
      <c r="AF1384" s="1"/>
      <c r="AG1384" s="1"/>
    </row>
    <row r="1385" ht="15.75" customHeight="1">
      <c r="A1385" s="1"/>
      <c r="B1385" s="1"/>
      <c r="C1385" s="1"/>
      <c r="D1385" s="1"/>
      <c r="E1385" s="1"/>
      <c r="F1385" s="1"/>
      <c r="G1385" s="1"/>
      <c r="H1385" s="1"/>
      <c r="I1385" s="1"/>
      <c r="J1385" s="1"/>
      <c r="K1385" s="102" t="s">
        <v>2599</v>
      </c>
      <c r="L1385" s="102" t="str">
        <f>A29</f>
        <v>J</v>
      </c>
      <c r="M1385" s="102" t="s">
        <v>2600</v>
      </c>
      <c r="N1385" s="102" t="s">
        <v>2601</v>
      </c>
      <c r="O1385" s="105">
        <v>2.3273016E7</v>
      </c>
      <c r="P1385" s="105">
        <v>2.111113E7</v>
      </c>
      <c r="Q1385" s="102" t="s">
        <v>2439</v>
      </c>
      <c r="R1385" s="1"/>
      <c r="S1385" s="1"/>
      <c r="T1385" s="1"/>
      <c r="U1385" s="1"/>
      <c r="V1385" s="1"/>
      <c r="W1385" s="1"/>
      <c r="X1385" s="1"/>
      <c r="Y1385" s="1"/>
      <c r="Z1385" s="102"/>
      <c r="AA1385" s="102"/>
      <c r="AB1385" s="1"/>
      <c r="AC1385" s="1"/>
      <c r="AD1385" s="1"/>
      <c r="AE1385" s="1"/>
      <c r="AF1385" s="1"/>
      <c r="AG1385" s="1"/>
    </row>
    <row r="1386" ht="15.75" customHeight="1">
      <c r="A1386" s="1"/>
      <c r="B1386" s="1"/>
      <c r="C1386" s="1"/>
      <c r="D1386" s="1"/>
      <c r="E1386" s="1"/>
      <c r="F1386" s="1"/>
      <c r="G1386" s="1"/>
      <c r="H1386" s="1"/>
      <c r="I1386" s="1"/>
      <c r="J1386" s="1"/>
      <c r="K1386" s="102" t="s">
        <v>2602</v>
      </c>
      <c r="L1386" s="102" t="str">
        <f>A29</f>
        <v>J</v>
      </c>
      <c r="M1386" s="102" t="s">
        <v>2603</v>
      </c>
      <c r="N1386" s="102" t="s">
        <v>2601</v>
      </c>
      <c r="O1386" s="105">
        <v>2.3273016E7</v>
      </c>
      <c r="P1386" s="105">
        <v>2.111113E7</v>
      </c>
      <c r="Q1386" s="102" t="s">
        <v>2439</v>
      </c>
      <c r="R1386" s="1"/>
      <c r="S1386" s="1"/>
      <c r="T1386" s="1"/>
      <c r="U1386" s="1"/>
      <c r="V1386" s="1"/>
      <c r="W1386" s="1"/>
      <c r="X1386" s="1"/>
      <c r="Y1386" s="1"/>
      <c r="Z1386" s="102"/>
      <c r="AA1386" s="102"/>
      <c r="AB1386" s="1"/>
      <c r="AC1386" s="1"/>
      <c r="AD1386" s="1"/>
      <c r="AE1386" s="1"/>
      <c r="AF1386" s="1"/>
      <c r="AG1386" s="1"/>
    </row>
    <row r="1387" ht="15.75" customHeight="1">
      <c r="A1387" s="1"/>
      <c r="B1387" s="1"/>
      <c r="C1387" s="1"/>
      <c r="D1387" s="1"/>
      <c r="E1387" s="1"/>
      <c r="F1387" s="1"/>
      <c r="G1387" s="1"/>
      <c r="H1387" s="1"/>
      <c r="I1387" s="1"/>
      <c r="J1387" s="1"/>
      <c r="K1387" s="102" t="s">
        <v>2604</v>
      </c>
      <c r="L1387" s="102" t="str">
        <f>A29</f>
        <v>J</v>
      </c>
      <c r="M1387" s="102" t="s">
        <v>2605</v>
      </c>
      <c r="N1387" s="102" t="s">
        <v>2601</v>
      </c>
      <c r="O1387" s="105">
        <v>2.3273016E7</v>
      </c>
      <c r="P1387" s="105">
        <v>2.111113E7</v>
      </c>
      <c r="Q1387" s="102" t="s">
        <v>2439</v>
      </c>
      <c r="R1387" s="1"/>
      <c r="S1387" s="1"/>
      <c r="T1387" s="1"/>
      <c r="U1387" s="1"/>
      <c r="V1387" s="1"/>
      <c r="W1387" s="1"/>
      <c r="X1387" s="1"/>
      <c r="Y1387" s="1"/>
      <c r="Z1387" s="102"/>
      <c r="AA1387" s="102"/>
      <c r="AB1387" s="1"/>
      <c r="AC1387" s="1"/>
      <c r="AD1387" s="1"/>
      <c r="AE1387" s="1"/>
      <c r="AF1387" s="1"/>
      <c r="AG1387" s="1"/>
    </row>
    <row r="1388" ht="15.75" customHeight="1">
      <c r="A1388" s="1"/>
      <c r="B1388" s="1"/>
      <c r="C1388" s="1"/>
      <c r="D1388" s="1"/>
      <c r="E1388" s="1"/>
      <c r="F1388" s="1"/>
      <c r="G1388" s="1"/>
      <c r="H1388" s="1"/>
      <c r="I1388" s="1"/>
      <c r="J1388" s="1"/>
      <c r="K1388" s="102" t="s">
        <v>2606</v>
      </c>
      <c r="L1388" s="102" t="str">
        <f>A29</f>
        <v>J</v>
      </c>
      <c r="M1388" s="102" t="s">
        <v>2607</v>
      </c>
      <c r="N1388" s="102" t="s">
        <v>2608</v>
      </c>
      <c r="O1388" s="105">
        <v>2.3443976E7</v>
      </c>
      <c r="P1388" s="105">
        <v>2.128209E7</v>
      </c>
      <c r="Q1388" s="102" t="s">
        <v>2468</v>
      </c>
      <c r="R1388" s="1"/>
      <c r="S1388" s="1"/>
      <c r="T1388" s="1"/>
      <c r="U1388" s="1"/>
      <c r="V1388" s="1"/>
      <c r="W1388" s="1"/>
      <c r="X1388" s="1"/>
      <c r="Y1388" s="1"/>
      <c r="Z1388" s="102"/>
      <c r="AA1388" s="102"/>
      <c r="AB1388" s="1"/>
      <c r="AC1388" s="1"/>
      <c r="AD1388" s="1"/>
      <c r="AE1388" s="1"/>
      <c r="AF1388" s="1"/>
      <c r="AG1388" s="1"/>
    </row>
    <row r="1389" ht="15.75" customHeight="1">
      <c r="A1389" s="1"/>
      <c r="B1389" s="1"/>
      <c r="C1389" s="1"/>
      <c r="D1389" s="1"/>
      <c r="E1389" s="1"/>
      <c r="F1389" s="1"/>
      <c r="G1389" s="1"/>
      <c r="H1389" s="1"/>
      <c r="I1389" s="1"/>
      <c r="J1389" s="1"/>
      <c r="K1389" s="102" t="s">
        <v>2607</v>
      </c>
      <c r="L1389" s="102" t="str">
        <f>A29</f>
        <v>J</v>
      </c>
      <c r="M1389" s="102" t="s">
        <v>2606</v>
      </c>
      <c r="N1389" s="102" t="s">
        <v>2608</v>
      </c>
      <c r="O1389" s="105">
        <v>2.3443976E7</v>
      </c>
      <c r="P1389" s="105">
        <v>2.128209E7</v>
      </c>
      <c r="Q1389" s="102" t="s">
        <v>2468</v>
      </c>
      <c r="R1389" s="1"/>
      <c r="S1389" s="1"/>
      <c r="T1389" s="1"/>
      <c r="U1389" s="1"/>
      <c r="V1389" s="1"/>
      <c r="W1389" s="1"/>
      <c r="X1389" s="1"/>
      <c r="Y1389" s="1"/>
      <c r="Z1389" s="102"/>
      <c r="AA1389" s="102"/>
      <c r="AB1389" s="1"/>
      <c r="AC1389" s="1"/>
      <c r="AD1389" s="1"/>
      <c r="AE1389" s="1"/>
      <c r="AF1389" s="1"/>
      <c r="AG1389" s="1"/>
    </row>
    <row r="1390" ht="15.75" customHeight="1">
      <c r="A1390" s="1"/>
      <c r="B1390" s="1"/>
      <c r="C1390" s="1"/>
      <c r="D1390" s="1"/>
      <c r="E1390" s="1"/>
      <c r="F1390" s="1"/>
      <c r="G1390" s="1"/>
      <c r="H1390" s="1"/>
      <c r="I1390" s="1"/>
      <c r="J1390" s="1"/>
      <c r="K1390" s="102" t="s">
        <v>2609</v>
      </c>
      <c r="L1390" s="102" t="str">
        <f>A29</f>
        <v>J</v>
      </c>
      <c r="M1390" s="102" t="s">
        <v>2610</v>
      </c>
      <c r="N1390" s="102" t="s">
        <v>2611</v>
      </c>
      <c r="O1390" s="105">
        <v>2.8738577E7</v>
      </c>
      <c r="P1390" s="105">
        <v>2.659243E7</v>
      </c>
      <c r="Q1390" s="102" t="s">
        <v>2468</v>
      </c>
      <c r="R1390" s="1"/>
      <c r="S1390" s="1"/>
      <c r="T1390" s="1"/>
      <c r="U1390" s="1"/>
      <c r="V1390" s="1"/>
      <c r="W1390" s="1"/>
      <c r="X1390" s="1"/>
      <c r="Y1390" s="1"/>
      <c r="Z1390" s="102"/>
      <c r="AA1390" s="102"/>
      <c r="AB1390" s="1"/>
      <c r="AC1390" s="1"/>
      <c r="AD1390" s="1"/>
      <c r="AE1390" s="1"/>
      <c r="AF1390" s="1"/>
      <c r="AG1390" s="1"/>
    </row>
    <row r="1391" ht="15.75" customHeight="1">
      <c r="A1391" s="1"/>
      <c r="B1391" s="1"/>
      <c r="C1391" s="1"/>
      <c r="D1391" s="1"/>
      <c r="E1391" s="1"/>
      <c r="F1391" s="1"/>
      <c r="G1391" s="1"/>
      <c r="H1391" s="1"/>
      <c r="I1391" s="1"/>
      <c r="J1391" s="1"/>
      <c r="K1391" s="102" t="s">
        <v>2610</v>
      </c>
      <c r="L1391" s="102" t="str">
        <f>A29</f>
        <v>J</v>
      </c>
      <c r="M1391" s="102" t="s">
        <v>2609</v>
      </c>
      <c r="N1391" s="102" t="s">
        <v>2611</v>
      </c>
      <c r="O1391" s="105">
        <v>2.8738577E7</v>
      </c>
      <c r="P1391" s="105">
        <v>2.659243E7</v>
      </c>
      <c r="Q1391" s="102" t="s">
        <v>2468</v>
      </c>
      <c r="R1391" s="1"/>
      <c r="S1391" s="1"/>
      <c r="T1391" s="1"/>
      <c r="U1391" s="1"/>
      <c r="V1391" s="1"/>
      <c r="W1391" s="1"/>
      <c r="X1391" s="1"/>
      <c r="Y1391" s="1"/>
      <c r="Z1391" s="102"/>
      <c r="AA1391" s="102"/>
      <c r="AB1391" s="1"/>
      <c r="AC1391" s="1"/>
      <c r="AD1391" s="1"/>
      <c r="AE1391" s="1"/>
      <c r="AF1391" s="1"/>
      <c r="AG1391" s="1"/>
    </row>
    <row r="1392" ht="15.75" customHeight="1">
      <c r="A1392" s="1"/>
      <c r="B1392" s="1"/>
      <c r="C1392" s="1"/>
      <c r="D1392" s="1"/>
      <c r="E1392" s="1"/>
      <c r="F1392" s="1"/>
      <c r="G1392" s="1"/>
      <c r="H1392" s="1"/>
      <c r="I1392" s="1"/>
      <c r="J1392" s="1"/>
      <c r="K1392" s="102" t="s">
        <v>2612</v>
      </c>
      <c r="L1392" s="102" t="str">
        <f>A29</f>
        <v>J</v>
      </c>
      <c r="M1392" s="102" t="s">
        <v>2613</v>
      </c>
      <c r="N1392" s="102" t="s">
        <v>2614</v>
      </c>
      <c r="O1392" s="105">
        <v>8393499.0</v>
      </c>
      <c r="P1392" s="105">
        <v>8525458.0</v>
      </c>
      <c r="Q1392" s="102" t="s">
        <v>2439</v>
      </c>
      <c r="R1392" s="1"/>
      <c r="S1392" s="1"/>
      <c r="T1392" s="1"/>
      <c r="U1392" s="1"/>
      <c r="V1392" s="1"/>
      <c r="W1392" s="1"/>
      <c r="X1392" s="1"/>
      <c r="Y1392" s="1"/>
      <c r="Z1392" s="102"/>
      <c r="AA1392" s="102"/>
      <c r="AB1392" s="1"/>
      <c r="AC1392" s="1"/>
      <c r="AD1392" s="1"/>
      <c r="AE1392" s="1"/>
      <c r="AF1392" s="1"/>
      <c r="AG1392" s="1"/>
    </row>
    <row r="1393" ht="15.75" customHeight="1">
      <c r="A1393" s="1"/>
      <c r="B1393" s="1"/>
      <c r="C1393" s="1"/>
      <c r="D1393" s="1"/>
      <c r="E1393" s="1"/>
      <c r="F1393" s="1"/>
      <c r="G1393" s="1"/>
      <c r="H1393" s="1"/>
      <c r="I1393" s="1"/>
      <c r="J1393" s="1"/>
      <c r="K1393" s="102" t="s">
        <v>2615</v>
      </c>
      <c r="L1393" s="102" t="str">
        <f>A29</f>
        <v>J</v>
      </c>
      <c r="M1393" s="102" t="s">
        <v>2616</v>
      </c>
      <c r="N1393" s="102" t="s">
        <v>2614</v>
      </c>
      <c r="O1393" s="105">
        <v>8393499.0</v>
      </c>
      <c r="P1393" s="105">
        <v>8525458.0</v>
      </c>
      <c r="Q1393" s="102" t="s">
        <v>2439</v>
      </c>
      <c r="R1393" s="1"/>
      <c r="S1393" s="1"/>
      <c r="T1393" s="1"/>
      <c r="U1393" s="1"/>
      <c r="V1393" s="1"/>
      <c r="W1393" s="1"/>
      <c r="X1393" s="1"/>
      <c r="Y1393" s="1"/>
      <c r="Z1393" s="102"/>
      <c r="AA1393" s="102"/>
      <c r="AB1393" s="1"/>
      <c r="AC1393" s="1"/>
      <c r="AD1393" s="1"/>
      <c r="AE1393" s="1"/>
      <c r="AF1393" s="1"/>
      <c r="AG1393" s="1"/>
    </row>
    <row r="1394" ht="15.75" customHeight="1">
      <c r="A1394" s="1"/>
      <c r="B1394" s="1"/>
      <c r="C1394" s="1"/>
      <c r="D1394" s="1"/>
      <c r="E1394" s="1"/>
      <c r="F1394" s="1"/>
      <c r="G1394" s="1"/>
      <c r="H1394" s="1"/>
      <c r="I1394" s="1"/>
      <c r="J1394" s="1"/>
      <c r="K1394" s="102" t="s">
        <v>2617</v>
      </c>
      <c r="L1394" s="102" t="str">
        <f>A29</f>
        <v>J</v>
      </c>
      <c r="M1394" s="102" t="s">
        <v>2618</v>
      </c>
      <c r="N1394" s="102" t="s">
        <v>2614</v>
      </c>
      <c r="O1394" s="105">
        <v>8393499.0</v>
      </c>
      <c r="P1394" s="105">
        <v>8525458.0</v>
      </c>
      <c r="Q1394" s="102" t="s">
        <v>2439</v>
      </c>
      <c r="R1394" s="1"/>
      <c r="S1394" s="1"/>
      <c r="T1394" s="1"/>
      <c r="U1394" s="1"/>
      <c r="V1394" s="1"/>
      <c r="W1394" s="1"/>
      <c r="X1394" s="1"/>
      <c r="Y1394" s="1"/>
      <c r="Z1394" s="102"/>
      <c r="AA1394" s="102"/>
      <c r="AB1394" s="1"/>
      <c r="AC1394" s="1"/>
      <c r="AD1394" s="1"/>
      <c r="AE1394" s="1"/>
      <c r="AF1394" s="1"/>
      <c r="AG1394" s="1"/>
    </row>
    <row r="1395" ht="15.75" customHeight="1">
      <c r="A1395" s="1"/>
      <c r="B1395" s="1"/>
      <c r="C1395" s="1"/>
      <c r="D1395" s="1"/>
      <c r="E1395" s="1"/>
      <c r="F1395" s="1"/>
      <c r="G1395" s="1"/>
      <c r="H1395" s="1"/>
      <c r="I1395" s="1"/>
      <c r="J1395" s="1"/>
      <c r="K1395" s="102" t="s">
        <v>2619</v>
      </c>
      <c r="L1395" s="102" t="str">
        <f>A29</f>
        <v>J</v>
      </c>
      <c r="M1395" s="102" t="s">
        <v>2620</v>
      </c>
      <c r="N1395" s="102" t="s">
        <v>2621</v>
      </c>
      <c r="O1395" s="105">
        <v>8393849.0</v>
      </c>
      <c r="P1395" s="105">
        <v>8525808.0</v>
      </c>
      <c r="Q1395" s="102" t="s">
        <v>2439</v>
      </c>
      <c r="R1395" s="1"/>
      <c r="S1395" s="1"/>
      <c r="T1395" s="1"/>
      <c r="U1395" s="1"/>
      <c r="V1395" s="1"/>
      <c r="W1395" s="1"/>
      <c r="X1395" s="1"/>
      <c r="Y1395" s="1"/>
      <c r="Z1395" s="102"/>
      <c r="AA1395" s="102"/>
      <c r="AB1395" s="1"/>
      <c r="AC1395" s="1"/>
      <c r="AD1395" s="1"/>
      <c r="AE1395" s="1"/>
      <c r="AF1395" s="1"/>
      <c r="AG1395" s="1"/>
    </row>
    <row r="1396" ht="15.75" customHeight="1">
      <c r="A1396" s="1"/>
      <c r="B1396" s="1"/>
      <c r="C1396" s="1"/>
      <c r="D1396" s="1"/>
      <c r="E1396" s="1"/>
      <c r="F1396" s="1"/>
      <c r="G1396" s="1"/>
      <c r="H1396" s="1"/>
      <c r="I1396" s="1"/>
      <c r="J1396" s="1"/>
      <c r="K1396" s="102" t="s">
        <v>2620</v>
      </c>
      <c r="L1396" s="102" t="str">
        <f>A29</f>
        <v>J</v>
      </c>
      <c r="M1396" s="102" t="s">
        <v>2619</v>
      </c>
      <c r="N1396" s="102" t="s">
        <v>2621</v>
      </c>
      <c r="O1396" s="105">
        <v>8393849.0</v>
      </c>
      <c r="P1396" s="105">
        <v>8525808.0</v>
      </c>
      <c r="Q1396" s="102" t="s">
        <v>2439</v>
      </c>
      <c r="R1396" s="1"/>
      <c r="S1396" s="1"/>
      <c r="T1396" s="1"/>
      <c r="U1396" s="1"/>
      <c r="V1396" s="1"/>
      <c r="W1396" s="1"/>
      <c r="X1396" s="1"/>
      <c r="Y1396" s="1"/>
      <c r="Z1396" s="102"/>
      <c r="AA1396" s="102"/>
      <c r="AB1396" s="1"/>
      <c r="AC1396" s="1"/>
      <c r="AD1396" s="1"/>
      <c r="AE1396" s="1"/>
      <c r="AF1396" s="1"/>
      <c r="AG1396" s="1"/>
    </row>
    <row r="1397" ht="15.75" customHeight="1">
      <c r="A1397" s="1"/>
      <c r="B1397" s="1"/>
      <c r="C1397" s="1"/>
      <c r="D1397" s="1"/>
      <c r="E1397" s="1"/>
      <c r="F1397" s="1"/>
      <c r="G1397" s="1"/>
      <c r="H1397" s="1"/>
      <c r="I1397" s="1"/>
      <c r="J1397" s="1"/>
      <c r="K1397" s="102" t="s">
        <v>2622</v>
      </c>
      <c r="L1397" s="102" t="str">
        <f>A29</f>
        <v>J</v>
      </c>
      <c r="M1397" s="102" t="s">
        <v>2623</v>
      </c>
      <c r="N1397" s="102" t="s">
        <v>2624</v>
      </c>
      <c r="O1397" s="105">
        <v>8418927.0</v>
      </c>
      <c r="P1397" s="105">
        <v>8550886.0</v>
      </c>
      <c r="Q1397" s="102" t="s">
        <v>2576</v>
      </c>
      <c r="R1397" s="1"/>
      <c r="S1397" s="1"/>
      <c r="T1397" s="1"/>
      <c r="U1397" s="1"/>
      <c r="V1397" s="1"/>
      <c r="W1397" s="1"/>
      <c r="X1397" s="1"/>
      <c r="Y1397" s="1"/>
      <c r="Z1397" s="102"/>
      <c r="AA1397" s="102"/>
      <c r="AB1397" s="1"/>
      <c r="AC1397" s="1"/>
      <c r="AD1397" s="1"/>
      <c r="AE1397" s="1"/>
      <c r="AF1397" s="1"/>
      <c r="AG1397" s="1"/>
    </row>
    <row r="1398" ht="15.75" customHeight="1">
      <c r="A1398" s="1"/>
      <c r="B1398" s="1"/>
      <c r="C1398" s="1"/>
      <c r="D1398" s="1"/>
      <c r="E1398" s="1"/>
      <c r="F1398" s="1"/>
      <c r="G1398" s="1"/>
      <c r="H1398" s="1"/>
      <c r="I1398" s="1"/>
      <c r="J1398" s="1"/>
      <c r="K1398" s="102" t="s">
        <v>2625</v>
      </c>
      <c r="L1398" s="102" t="str">
        <f>A29</f>
        <v>J</v>
      </c>
      <c r="M1398" s="102" t="s">
        <v>2626</v>
      </c>
      <c r="N1398" s="102" t="s">
        <v>2624</v>
      </c>
      <c r="O1398" s="105">
        <v>8418927.0</v>
      </c>
      <c r="P1398" s="105">
        <v>8550886.0</v>
      </c>
      <c r="Q1398" s="102" t="s">
        <v>2576</v>
      </c>
      <c r="R1398" s="1"/>
      <c r="S1398" s="1"/>
      <c r="T1398" s="1"/>
      <c r="U1398" s="1"/>
      <c r="V1398" s="1"/>
      <c r="W1398" s="1"/>
      <c r="X1398" s="1"/>
      <c r="Y1398" s="1"/>
      <c r="Z1398" s="102"/>
      <c r="AA1398" s="102"/>
      <c r="AB1398" s="1"/>
      <c r="AC1398" s="1"/>
      <c r="AD1398" s="1"/>
      <c r="AE1398" s="1"/>
      <c r="AF1398" s="1"/>
      <c r="AG1398" s="1"/>
    </row>
    <row r="1399" ht="15.75" customHeight="1">
      <c r="A1399" s="1"/>
      <c r="B1399" s="1"/>
      <c r="C1399" s="1"/>
      <c r="D1399" s="1"/>
      <c r="E1399" s="1"/>
      <c r="F1399" s="1"/>
      <c r="G1399" s="1"/>
      <c r="H1399" s="1"/>
      <c r="I1399" s="1"/>
      <c r="J1399" s="1"/>
      <c r="K1399" s="102" t="s">
        <v>2627</v>
      </c>
      <c r="L1399" s="102" t="str">
        <f>A29</f>
        <v>J</v>
      </c>
      <c r="M1399" s="102" t="s">
        <v>2628</v>
      </c>
      <c r="N1399" s="102" t="s">
        <v>2624</v>
      </c>
      <c r="O1399" s="105">
        <v>8418927.0</v>
      </c>
      <c r="P1399" s="105">
        <v>8550886.0</v>
      </c>
      <c r="Q1399" s="102" t="s">
        <v>2576</v>
      </c>
      <c r="R1399" s="1"/>
      <c r="S1399" s="1"/>
      <c r="T1399" s="1"/>
      <c r="U1399" s="1"/>
      <c r="V1399" s="1"/>
      <c r="W1399" s="1"/>
      <c r="X1399" s="1"/>
      <c r="Y1399" s="1"/>
      <c r="Z1399" s="102"/>
      <c r="AA1399" s="102"/>
      <c r="AB1399" s="1"/>
      <c r="AC1399" s="1"/>
      <c r="AD1399" s="1"/>
      <c r="AE1399" s="1"/>
      <c r="AF1399" s="1"/>
      <c r="AG1399" s="1"/>
    </row>
    <row r="1400" ht="15.75" customHeight="1">
      <c r="A1400" s="1"/>
      <c r="B1400" s="1"/>
      <c r="C1400" s="1"/>
      <c r="D1400" s="1"/>
      <c r="E1400" s="1"/>
      <c r="F1400" s="1"/>
      <c r="G1400" s="1"/>
      <c r="H1400" s="1"/>
      <c r="I1400" s="1"/>
      <c r="J1400" s="1"/>
      <c r="K1400" s="102" t="s">
        <v>2629</v>
      </c>
      <c r="L1400" s="102" t="str">
        <f>A29</f>
        <v>J</v>
      </c>
      <c r="M1400" s="102" t="s">
        <v>2630</v>
      </c>
      <c r="N1400" s="102" t="s">
        <v>2631</v>
      </c>
      <c r="O1400" s="105">
        <v>8687145.0</v>
      </c>
      <c r="P1400" s="105">
        <v>8819104.0</v>
      </c>
      <c r="Q1400" s="102" t="s">
        <v>2446</v>
      </c>
      <c r="R1400" s="1"/>
      <c r="S1400" s="1"/>
      <c r="T1400" s="1"/>
      <c r="U1400" s="1"/>
      <c r="V1400" s="1"/>
      <c r="W1400" s="1"/>
      <c r="X1400" s="1"/>
      <c r="Y1400" s="1"/>
      <c r="Z1400" s="102"/>
      <c r="AA1400" s="102"/>
      <c r="AB1400" s="1"/>
      <c r="AC1400" s="1"/>
      <c r="AD1400" s="1"/>
      <c r="AE1400" s="1"/>
      <c r="AF1400" s="1"/>
      <c r="AG1400" s="1"/>
    </row>
    <row r="1401" ht="15.75" customHeight="1">
      <c r="A1401" s="1"/>
      <c r="B1401" s="1"/>
      <c r="C1401" s="1"/>
      <c r="D1401" s="1"/>
      <c r="E1401" s="1"/>
      <c r="F1401" s="1"/>
      <c r="G1401" s="1"/>
      <c r="H1401" s="1"/>
      <c r="I1401" s="1"/>
      <c r="J1401" s="1"/>
      <c r="K1401" s="102" t="s">
        <v>2630</v>
      </c>
      <c r="L1401" s="102" t="str">
        <f>A29</f>
        <v>J</v>
      </c>
      <c r="M1401" s="102" t="s">
        <v>2629</v>
      </c>
      <c r="N1401" s="102" t="s">
        <v>2631</v>
      </c>
      <c r="O1401" s="105">
        <v>8687145.0</v>
      </c>
      <c r="P1401" s="105">
        <v>8819104.0</v>
      </c>
      <c r="Q1401" s="102" t="s">
        <v>2446</v>
      </c>
      <c r="R1401" s="1"/>
      <c r="S1401" s="1"/>
      <c r="T1401" s="1"/>
      <c r="U1401" s="1"/>
      <c r="V1401" s="1"/>
      <c r="W1401" s="1"/>
      <c r="X1401" s="1"/>
      <c r="Y1401" s="1"/>
      <c r="Z1401" s="102"/>
      <c r="AA1401" s="102"/>
      <c r="AB1401" s="1"/>
      <c r="AC1401" s="1"/>
      <c r="AD1401" s="1"/>
      <c r="AE1401" s="1"/>
      <c r="AF1401" s="1"/>
      <c r="AG1401" s="1"/>
    </row>
    <row r="1402" ht="15.75" customHeight="1">
      <c r="A1402" s="1"/>
      <c r="B1402" s="1"/>
      <c r="C1402" s="1"/>
      <c r="D1402" s="1"/>
      <c r="E1402" s="1"/>
      <c r="F1402" s="1"/>
      <c r="G1402" s="1"/>
      <c r="H1402" s="1"/>
      <c r="I1402" s="1"/>
      <c r="J1402" s="1"/>
      <c r="K1402" s="102" t="s">
        <v>2632</v>
      </c>
      <c r="L1402" s="102" t="str">
        <f>A29</f>
        <v>J</v>
      </c>
      <c r="M1402" s="102" t="s">
        <v>2633</v>
      </c>
      <c r="N1402" s="102" t="s">
        <v>2634</v>
      </c>
      <c r="O1402" s="105">
        <v>1.4264859E7</v>
      </c>
      <c r="P1402" s="105">
        <v>1.2144153E7</v>
      </c>
      <c r="Q1402" s="102" t="s">
        <v>2439</v>
      </c>
      <c r="R1402" s="1"/>
      <c r="S1402" s="1"/>
      <c r="T1402" s="1"/>
      <c r="U1402" s="1"/>
      <c r="V1402" s="1"/>
      <c r="W1402" s="1"/>
      <c r="X1402" s="1"/>
      <c r="Y1402" s="1"/>
      <c r="Z1402" s="102"/>
      <c r="AA1402" s="102"/>
      <c r="AB1402" s="1"/>
      <c r="AC1402" s="1"/>
      <c r="AD1402" s="1"/>
      <c r="AE1402" s="1"/>
      <c r="AF1402" s="1"/>
      <c r="AG1402" s="1"/>
    </row>
    <row r="1403" ht="15.75" customHeight="1">
      <c r="A1403" s="1"/>
      <c r="B1403" s="1"/>
      <c r="C1403" s="1"/>
      <c r="D1403" s="1"/>
      <c r="E1403" s="1"/>
      <c r="F1403" s="1"/>
      <c r="G1403" s="1"/>
      <c r="H1403" s="1"/>
      <c r="I1403" s="1"/>
      <c r="J1403" s="1"/>
      <c r="K1403" s="102" t="s">
        <v>2635</v>
      </c>
      <c r="L1403" s="102" t="str">
        <f>A29</f>
        <v>J</v>
      </c>
      <c r="M1403" s="102" t="s">
        <v>2636</v>
      </c>
      <c r="N1403" s="102" t="s">
        <v>2634</v>
      </c>
      <c r="O1403" s="105">
        <v>1.4264859E7</v>
      </c>
      <c r="P1403" s="105">
        <v>1.2144153E7</v>
      </c>
      <c r="Q1403" s="102" t="s">
        <v>2439</v>
      </c>
      <c r="R1403" s="1"/>
      <c r="S1403" s="1"/>
      <c r="T1403" s="1"/>
      <c r="U1403" s="1"/>
      <c r="V1403" s="1"/>
      <c r="W1403" s="1"/>
      <c r="X1403" s="1"/>
      <c r="Y1403" s="1"/>
      <c r="Z1403" s="102"/>
      <c r="AA1403" s="102"/>
      <c r="AB1403" s="1"/>
      <c r="AC1403" s="1"/>
      <c r="AD1403" s="1"/>
      <c r="AE1403" s="1"/>
      <c r="AF1403" s="1"/>
      <c r="AG1403" s="1"/>
    </row>
    <row r="1404" ht="15.75" customHeight="1">
      <c r="A1404" s="1"/>
      <c r="B1404" s="1"/>
      <c r="C1404" s="1"/>
      <c r="D1404" s="1"/>
      <c r="E1404" s="1"/>
      <c r="F1404" s="1"/>
      <c r="G1404" s="1"/>
      <c r="H1404" s="1"/>
      <c r="I1404" s="1"/>
      <c r="J1404" s="1"/>
      <c r="K1404" s="102" t="s">
        <v>2637</v>
      </c>
      <c r="L1404" s="102" t="str">
        <f>A29</f>
        <v>J</v>
      </c>
      <c r="M1404" s="102" t="s">
        <v>2638</v>
      </c>
      <c r="N1404" s="102" t="s">
        <v>2634</v>
      </c>
      <c r="O1404" s="105">
        <v>1.4264859E7</v>
      </c>
      <c r="P1404" s="105">
        <v>1.2144153E7</v>
      </c>
      <c r="Q1404" s="102" t="s">
        <v>2439</v>
      </c>
      <c r="R1404" s="1"/>
      <c r="S1404" s="1"/>
      <c r="T1404" s="1"/>
      <c r="U1404" s="1"/>
      <c r="V1404" s="1"/>
      <c r="W1404" s="1"/>
      <c r="X1404" s="1"/>
      <c r="Y1404" s="1"/>
      <c r="Z1404" s="102"/>
      <c r="AA1404" s="102"/>
      <c r="AB1404" s="1"/>
      <c r="AC1404" s="1"/>
      <c r="AD1404" s="1"/>
      <c r="AE1404" s="1"/>
      <c r="AF1404" s="1"/>
      <c r="AG1404" s="1"/>
    </row>
    <row r="1405" ht="15.75" customHeight="1">
      <c r="A1405" s="1"/>
      <c r="B1405" s="1"/>
      <c r="C1405" s="1"/>
      <c r="D1405" s="1"/>
      <c r="E1405" s="1"/>
      <c r="F1405" s="1"/>
      <c r="G1405" s="1"/>
      <c r="H1405" s="1"/>
      <c r="I1405" s="1"/>
      <c r="J1405" s="1"/>
      <c r="K1405" s="102" t="s">
        <v>2639</v>
      </c>
      <c r="L1405" s="102" t="str">
        <f>A29</f>
        <v>J</v>
      </c>
      <c r="M1405" s="102"/>
      <c r="N1405" s="102" t="s">
        <v>2640</v>
      </c>
      <c r="O1405" s="105">
        <v>1.4705645E7</v>
      </c>
      <c r="P1405" s="105">
        <v>1.2593711E7</v>
      </c>
      <c r="Q1405" s="102" t="s">
        <v>2439</v>
      </c>
      <c r="R1405" s="1"/>
      <c r="S1405" s="1"/>
      <c r="T1405" s="1"/>
      <c r="U1405" s="1"/>
      <c r="V1405" s="1"/>
      <c r="W1405" s="1"/>
      <c r="X1405" s="1"/>
      <c r="Y1405" s="1"/>
      <c r="Z1405" s="102"/>
      <c r="AA1405" s="102"/>
      <c r="AB1405" s="1"/>
      <c r="AC1405" s="1"/>
      <c r="AD1405" s="1"/>
      <c r="AE1405" s="1"/>
      <c r="AF1405" s="1"/>
      <c r="AG1405" s="1"/>
    </row>
    <row r="1406" ht="15.75" customHeight="1">
      <c r="A1406" s="1"/>
      <c r="B1406" s="1"/>
      <c r="C1406" s="1"/>
      <c r="D1406" s="1"/>
      <c r="E1406" s="1"/>
      <c r="F1406" s="1"/>
      <c r="G1406" s="1"/>
      <c r="H1406" s="1"/>
      <c r="I1406" s="1"/>
      <c r="J1406" s="1"/>
      <c r="K1406" s="102" t="s">
        <v>2641</v>
      </c>
      <c r="L1406" s="102" t="str">
        <f>A29</f>
        <v>J</v>
      </c>
      <c r="M1406" s="102" t="s">
        <v>2642</v>
      </c>
      <c r="N1406" s="102" t="s">
        <v>2643</v>
      </c>
      <c r="O1406" s="105">
        <v>1.5581303E7</v>
      </c>
      <c r="P1406" s="105">
        <v>1.3469423E7</v>
      </c>
      <c r="Q1406" s="102" t="s">
        <v>2439</v>
      </c>
      <c r="R1406" s="1"/>
      <c r="S1406" s="1"/>
      <c r="T1406" s="1"/>
      <c r="U1406" s="1"/>
      <c r="V1406" s="1"/>
      <c r="W1406" s="1"/>
      <c r="X1406" s="1"/>
      <c r="Y1406" s="1"/>
      <c r="Z1406" s="102"/>
      <c r="AA1406" s="102"/>
      <c r="AB1406" s="1"/>
      <c r="AC1406" s="1"/>
      <c r="AD1406" s="1"/>
      <c r="AE1406" s="1"/>
      <c r="AF1406" s="1"/>
      <c r="AG1406" s="1"/>
    </row>
    <row r="1407" ht="15.75" customHeight="1">
      <c r="A1407" s="1"/>
      <c r="B1407" s="1"/>
      <c r="C1407" s="1"/>
      <c r="D1407" s="1"/>
      <c r="E1407" s="1"/>
      <c r="F1407" s="1"/>
      <c r="G1407" s="1"/>
      <c r="H1407" s="1"/>
      <c r="I1407" s="1"/>
      <c r="J1407" s="1"/>
      <c r="K1407" s="102" t="s">
        <v>2644</v>
      </c>
      <c r="L1407" s="102" t="str">
        <f>A29</f>
        <v>J</v>
      </c>
      <c r="M1407" s="102" t="s">
        <v>2645</v>
      </c>
      <c r="N1407" s="102" t="s">
        <v>2643</v>
      </c>
      <c r="O1407" s="105">
        <v>1.5581303E7</v>
      </c>
      <c r="P1407" s="105">
        <v>1.3469423E7</v>
      </c>
      <c r="Q1407" s="102" t="s">
        <v>2439</v>
      </c>
      <c r="R1407" s="1"/>
      <c r="S1407" s="1"/>
      <c r="T1407" s="1"/>
      <c r="U1407" s="1"/>
      <c r="V1407" s="1"/>
      <c r="W1407" s="1"/>
      <c r="X1407" s="1"/>
      <c r="Y1407" s="1"/>
      <c r="Z1407" s="102"/>
      <c r="AA1407" s="102"/>
      <c r="AB1407" s="1"/>
      <c r="AC1407" s="1"/>
      <c r="AD1407" s="1"/>
      <c r="AE1407" s="1"/>
      <c r="AF1407" s="1"/>
      <c r="AG1407" s="1"/>
    </row>
    <row r="1408" ht="15.75" customHeight="1">
      <c r="A1408" s="1"/>
      <c r="B1408" s="1"/>
      <c r="C1408" s="1"/>
      <c r="D1408" s="1"/>
      <c r="E1408" s="1"/>
      <c r="F1408" s="1"/>
      <c r="G1408" s="1"/>
      <c r="H1408" s="1"/>
      <c r="I1408" s="1"/>
      <c r="J1408" s="1"/>
      <c r="K1408" s="102" t="s">
        <v>2646</v>
      </c>
      <c r="L1408" s="102" t="str">
        <f>A29</f>
        <v>J</v>
      </c>
      <c r="M1408" s="102" t="s">
        <v>2647</v>
      </c>
      <c r="N1408" s="102" t="s">
        <v>2643</v>
      </c>
      <c r="O1408" s="105">
        <v>1.5581303E7</v>
      </c>
      <c r="P1408" s="105">
        <v>1.3469423E7</v>
      </c>
      <c r="Q1408" s="102" t="s">
        <v>2439</v>
      </c>
      <c r="R1408" s="1"/>
      <c r="S1408" s="1"/>
      <c r="T1408" s="1"/>
      <c r="U1408" s="1"/>
      <c r="V1408" s="1"/>
      <c r="W1408" s="1"/>
      <c r="X1408" s="1"/>
      <c r="Y1408" s="1"/>
      <c r="Z1408" s="102"/>
      <c r="AA1408" s="102"/>
      <c r="AB1408" s="1"/>
      <c r="AC1408" s="1"/>
      <c r="AD1408" s="1"/>
      <c r="AE1408" s="1"/>
      <c r="AF1408" s="1"/>
      <c r="AG1408" s="1"/>
    </row>
    <row r="1409" ht="15.75" customHeight="1">
      <c r="A1409" s="1"/>
      <c r="B1409" s="1"/>
      <c r="C1409" s="1"/>
      <c r="D1409" s="1"/>
      <c r="E1409" s="1"/>
      <c r="F1409" s="1"/>
      <c r="G1409" s="1"/>
      <c r="H1409" s="1"/>
      <c r="I1409" s="1"/>
      <c r="J1409" s="1"/>
      <c r="K1409" s="102" t="s">
        <v>2648</v>
      </c>
      <c r="L1409" s="102" t="str">
        <f>A29</f>
        <v>J</v>
      </c>
      <c r="M1409" s="102" t="s">
        <v>2649</v>
      </c>
      <c r="N1409" s="102" t="s">
        <v>2650</v>
      </c>
      <c r="O1409" s="105">
        <v>1.6262942E7</v>
      </c>
      <c r="P1409" s="105">
        <v>1.4151062E7</v>
      </c>
      <c r="Q1409" s="102" t="s">
        <v>2439</v>
      </c>
      <c r="R1409" s="1"/>
      <c r="S1409" s="1"/>
      <c r="T1409" s="1"/>
      <c r="U1409" s="1"/>
      <c r="V1409" s="1"/>
      <c r="W1409" s="1"/>
      <c r="X1409" s="1"/>
      <c r="Y1409" s="1"/>
      <c r="Z1409" s="102"/>
      <c r="AA1409" s="102"/>
      <c r="AB1409" s="1"/>
      <c r="AC1409" s="1"/>
      <c r="AD1409" s="1"/>
      <c r="AE1409" s="1"/>
      <c r="AF1409" s="1"/>
      <c r="AG1409" s="1"/>
    </row>
    <row r="1410" ht="15.75" customHeight="1">
      <c r="A1410" s="1"/>
      <c r="B1410" s="1"/>
      <c r="C1410" s="1"/>
      <c r="D1410" s="1"/>
      <c r="E1410" s="1"/>
      <c r="F1410" s="1"/>
      <c r="G1410" s="1"/>
      <c r="H1410" s="1"/>
      <c r="I1410" s="1"/>
      <c r="J1410" s="1"/>
      <c r="K1410" s="102" t="s">
        <v>2649</v>
      </c>
      <c r="L1410" s="102" t="str">
        <f>A29</f>
        <v>J</v>
      </c>
      <c r="M1410" s="102" t="s">
        <v>2648</v>
      </c>
      <c r="N1410" s="102" t="s">
        <v>2650</v>
      </c>
      <c r="O1410" s="105">
        <v>1.6262942E7</v>
      </c>
      <c r="P1410" s="105">
        <v>1.4151062E7</v>
      </c>
      <c r="Q1410" s="102" t="s">
        <v>2439</v>
      </c>
      <c r="R1410" s="1"/>
      <c r="S1410" s="1"/>
      <c r="T1410" s="1"/>
      <c r="U1410" s="1"/>
      <c r="V1410" s="1"/>
      <c r="W1410" s="1"/>
      <c r="X1410" s="1"/>
      <c r="Y1410" s="1"/>
      <c r="Z1410" s="102"/>
      <c r="AA1410" s="102"/>
      <c r="AB1410" s="1"/>
      <c r="AC1410" s="1"/>
      <c r="AD1410" s="1"/>
      <c r="AE1410" s="1"/>
      <c r="AF1410" s="1"/>
      <c r="AG1410" s="1"/>
    </row>
    <row r="1411" ht="15.75" customHeight="1">
      <c r="A1411" s="1"/>
      <c r="B1411" s="1"/>
      <c r="C1411" s="1"/>
      <c r="D1411" s="1"/>
      <c r="E1411" s="1"/>
      <c r="F1411" s="1"/>
      <c r="G1411" s="1"/>
      <c r="H1411" s="1"/>
      <c r="I1411" s="1"/>
      <c r="J1411" s="1"/>
      <c r="K1411" s="102" t="s">
        <v>2651</v>
      </c>
      <c r="L1411" s="102" t="str">
        <f>A29</f>
        <v>J</v>
      </c>
      <c r="M1411" s="102" t="s">
        <v>2652</v>
      </c>
      <c r="N1411" s="102" t="s">
        <v>2653</v>
      </c>
      <c r="O1411" s="105">
        <v>1.6268345E7</v>
      </c>
      <c r="P1411" s="105">
        <v>1.4156465E7</v>
      </c>
      <c r="Q1411" s="102" t="s">
        <v>2514</v>
      </c>
      <c r="R1411" s="1"/>
      <c r="S1411" s="1"/>
      <c r="T1411" s="1"/>
      <c r="U1411" s="1"/>
      <c r="V1411" s="1"/>
      <c r="W1411" s="1"/>
      <c r="X1411" s="1"/>
      <c r="Y1411" s="1"/>
      <c r="Z1411" s="102"/>
      <c r="AA1411" s="102"/>
      <c r="AB1411" s="1"/>
      <c r="AC1411" s="1"/>
      <c r="AD1411" s="1"/>
      <c r="AE1411" s="1"/>
      <c r="AF1411" s="1"/>
      <c r="AG1411" s="1"/>
    </row>
    <row r="1412" ht="15.75" customHeight="1">
      <c r="A1412" s="1"/>
      <c r="B1412" s="1"/>
      <c r="C1412" s="1"/>
      <c r="D1412" s="1"/>
      <c r="E1412" s="1"/>
      <c r="F1412" s="1"/>
      <c r="G1412" s="1"/>
      <c r="H1412" s="1"/>
      <c r="I1412" s="1"/>
      <c r="J1412" s="1"/>
      <c r="K1412" s="102" t="s">
        <v>2654</v>
      </c>
      <c r="L1412" s="102" t="str">
        <f>A29</f>
        <v>J</v>
      </c>
      <c r="M1412" s="102" t="s">
        <v>2655</v>
      </c>
      <c r="N1412" s="102" t="s">
        <v>2653</v>
      </c>
      <c r="O1412" s="105">
        <v>1.6268345E7</v>
      </c>
      <c r="P1412" s="105">
        <v>1.4156465E7</v>
      </c>
      <c r="Q1412" s="102" t="s">
        <v>2514</v>
      </c>
      <c r="R1412" s="1"/>
      <c r="S1412" s="1"/>
      <c r="T1412" s="1"/>
      <c r="U1412" s="1"/>
      <c r="V1412" s="1"/>
      <c r="W1412" s="1"/>
      <c r="X1412" s="1"/>
      <c r="Y1412" s="1"/>
      <c r="Z1412" s="102"/>
      <c r="AA1412" s="102"/>
      <c r="AB1412" s="1"/>
      <c r="AC1412" s="1"/>
      <c r="AD1412" s="1"/>
      <c r="AE1412" s="1"/>
      <c r="AF1412" s="1"/>
      <c r="AG1412" s="1"/>
    </row>
    <row r="1413" ht="15.75" customHeight="1">
      <c r="A1413" s="1"/>
      <c r="B1413" s="1"/>
      <c r="C1413" s="1"/>
      <c r="D1413" s="1"/>
      <c r="E1413" s="1"/>
      <c r="F1413" s="1"/>
      <c r="G1413" s="1"/>
      <c r="H1413" s="1"/>
      <c r="I1413" s="1"/>
      <c r="J1413" s="1"/>
      <c r="K1413" s="102" t="s">
        <v>2656</v>
      </c>
      <c r="L1413" s="102" t="str">
        <f>A29</f>
        <v>J</v>
      </c>
      <c r="M1413" s="102" t="s">
        <v>2657</v>
      </c>
      <c r="N1413" s="102" t="s">
        <v>2653</v>
      </c>
      <c r="O1413" s="105">
        <v>1.6268345E7</v>
      </c>
      <c r="P1413" s="105">
        <v>1.4156465E7</v>
      </c>
      <c r="Q1413" s="102" t="s">
        <v>2514</v>
      </c>
      <c r="R1413" s="1"/>
      <c r="S1413" s="1"/>
      <c r="T1413" s="1"/>
      <c r="U1413" s="1"/>
      <c r="V1413" s="1"/>
      <c r="W1413" s="1"/>
      <c r="X1413" s="1"/>
      <c r="Y1413" s="1"/>
      <c r="Z1413" s="102"/>
      <c r="AA1413" s="102"/>
      <c r="AB1413" s="1"/>
      <c r="AC1413" s="1"/>
      <c r="AD1413" s="1"/>
      <c r="AE1413" s="1"/>
      <c r="AF1413" s="1"/>
      <c r="AG1413" s="1"/>
    </row>
    <row r="1414" ht="15.75" customHeight="1">
      <c r="A1414" s="1"/>
      <c r="B1414" s="1"/>
      <c r="C1414" s="1"/>
      <c r="D1414" s="1"/>
      <c r="E1414" s="1"/>
      <c r="F1414" s="1"/>
      <c r="G1414" s="1"/>
      <c r="H1414" s="1"/>
      <c r="I1414" s="1"/>
      <c r="J1414" s="1"/>
      <c r="K1414" s="102" t="s">
        <v>2658</v>
      </c>
      <c r="L1414" s="102" t="str">
        <f>A29</f>
        <v>J</v>
      </c>
      <c r="M1414" s="102" t="s">
        <v>2659</v>
      </c>
      <c r="N1414" s="102" t="s">
        <v>2660</v>
      </c>
      <c r="O1414" s="105">
        <v>1.6475682E7</v>
      </c>
      <c r="P1414" s="105">
        <v>1.4363802E7</v>
      </c>
      <c r="Q1414" s="102" t="s">
        <v>2501</v>
      </c>
      <c r="R1414" s="1"/>
      <c r="S1414" s="1"/>
      <c r="T1414" s="1"/>
      <c r="U1414" s="1"/>
      <c r="V1414" s="1"/>
      <c r="W1414" s="1"/>
      <c r="X1414" s="1"/>
      <c r="Y1414" s="1"/>
      <c r="Z1414" s="102"/>
      <c r="AA1414" s="102"/>
      <c r="AB1414" s="1"/>
      <c r="AC1414" s="1"/>
      <c r="AD1414" s="1"/>
      <c r="AE1414" s="1"/>
      <c r="AF1414" s="1"/>
      <c r="AG1414" s="1"/>
    </row>
    <row r="1415" ht="15.75" customHeight="1">
      <c r="A1415" s="1"/>
      <c r="B1415" s="1"/>
      <c r="C1415" s="1"/>
      <c r="D1415" s="1"/>
      <c r="E1415" s="1"/>
      <c r="F1415" s="1"/>
      <c r="G1415" s="1"/>
      <c r="H1415" s="1"/>
      <c r="I1415" s="1"/>
      <c r="J1415" s="1"/>
      <c r="K1415" s="102" t="s">
        <v>2661</v>
      </c>
      <c r="L1415" s="102" t="str">
        <f>A29</f>
        <v>J</v>
      </c>
      <c r="M1415" s="102" t="s">
        <v>2662</v>
      </c>
      <c r="N1415" s="102" t="s">
        <v>2660</v>
      </c>
      <c r="O1415" s="105">
        <v>1.6475682E7</v>
      </c>
      <c r="P1415" s="105">
        <v>1.4363802E7</v>
      </c>
      <c r="Q1415" s="102" t="s">
        <v>2501</v>
      </c>
      <c r="R1415" s="1"/>
      <c r="S1415" s="1"/>
      <c r="T1415" s="1"/>
      <c r="U1415" s="1"/>
      <c r="V1415" s="1"/>
      <c r="W1415" s="1"/>
      <c r="X1415" s="1"/>
      <c r="Y1415" s="1"/>
      <c r="Z1415" s="102"/>
      <c r="AA1415" s="102"/>
      <c r="AB1415" s="1"/>
      <c r="AC1415" s="1"/>
      <c r="AD1415" s="1"/>
      <c r="AE1415" s="1"/>
      <c r="AF1415" s="1"/>
      <c r="AG1415" s="1"/>
    </row>
    <row r="1416" ht="15.75" customHeight="1">
      <c r="A1416" s="1"/>
      <c r="B1416" s="1"/>
      <c r="C1416" s="1"/>
      <c r="D1416" s="1"/>
      <c r="E1416" s="1"/>
      <c r="F1416" s="1"/>
      <c r="G1416" s="1"/>
      <c r="H1416" s="1"/>
      <c r="I1416" s="1"/>
      <c r="J1416" s="1"/>
      <c r="K1416" s="102" t="s">
        <v>2663</v>
      </c>
      <c r="L1416" s="102" t="str">
        <f>A29</f>
        <v>J</v>
      </c>
      <c r="M1416" s="102" t="s">
        <v>2664</v>
      </c>
      <c r="N1416" s="102" t="s">
        <v>2660</v>
      </c>
      <c r="O1416" s="105">
        <v>1.6475682E7</v>
      </c>
      <c r="P1416" s="105">
        <v>1.4363802E7</v>
      </c>
      <c r="Q1416" s="102" t="s">
        <v>2501</v>
      </c>
      <c r="R1416" s="1"/>
      <c r="S1416" s="1"/>
      <c r="T1416" s="1"/>
      <c r="U1416" s="1"/>
      <c r="V1416" s="1"/>
      <c r="W1416" s="1"/>
      <c r="X1416" s="1"/>
      <c r="Y1416" s="1"/>
      <c r="Z1416" s="102"/>
      <c r="AA1416" s="102"/>
      <c r="AB1416" s="1"/>
      <c r="AC1416" s="1"/>
      <c r="AD1416" s="1"/>
      <c r="AE1416" s="1"/>
      <c r="AF1416" s="1"/>
      <c r="AG1416" s="1"/>
    </row>
    <row r="1417" ht="15.75" customHeight="1">
      <c r="A1417" s="1"/>
      <c r="B1417" s="1"/>
      <c r="C1417" s="1"/>
      <c r="D1417" s="1"/>
      <c r="E1417" s="1"/>
      <c r="F1417" s="1"/>
      <c r="G1417" s="1"/>
      <c r="H1417" s="1"/>
      <c r="I1417" s="1"/>
      <c r="J1417" s="1"/>
      <c r="K1417" s="102" t="s">
        <v>2665</v>
      </c>
      <c r="L1417" s="102" t="str">
        <f>A29</f>
        <v>J</v>
      </c>
      <c r="M1417" s="102" t="s">
        <v>2666</v>
      </c>
      <c r="N1417" s="102" t="s">
        <v>2667</v>
      </c>
      <c r="O1417" s="105">
        <v>1.7136854E7</v>
      </c>
      <c r="P1417" s="105">
        <v>1.5024974E7</v>
      </c>
      <c r="Q1417" s="102" t="s">
        <v>2529</v>
      </c>
      <c r="R1417" s="1"/>
      <c r="S1417" s="1"/>
      <c r="T1417" s="1"/>
      <c r="U1417" s="1"/>
      <c r="V1417" s="1"/>
      <c r="W1417" s="1"/>
      <c r="X1417" s="1"/>
      <c r="Y1417" s="1"/>
      <c r="Z1417" s="102"/>
      <c r="AA1417" s="102"/>
      <c r="AB1417" s="1"/>
      <c r="AC1417" s="1"/>
      <c r="AD1417" s="1"/>
      <c r="AE1417" s="1"/>
      <c r="AF1417" s="1"/>
      <c r="AG1417" s="1"/>
    </row>
    <row r="1418" ht="15.75" customHeight="1">
      <c r="A1418" s="1"/>
      <c r="B1418" s="1"/>
      <c r="C1418" s="1"/>
      <c r="D1418" s="1"/>
      <c r="E1418" s="1"/>
      <c r="F1418" s="1"/>
      <c r="G1418" s="1"/>
      <c r="H1418" s="1"/>
      <c r="I1418" s="1"/>
      <c r="J1418" s="1"/>
      <c r="K1418" s="102" t="s">
        <v>2666</v>
      </c>
      <c r="L1418" s="102" t="str">
        <f>A29</f>
        <v>J</v>
      </c>
      <c r="M1418" s="102" t="s">
        <v>2665</v>
      </c>
      <c r="N1418" s="102" t="s">
        <v>2667</v>
      </c>
      <c r="O1418" s="105">
        <v>1.7136854E7</v>
      </c>
      <c r="P1418" s="105">
        <v>1.5024974E7</v>
      </c>
      <c r="Q1418" s="102" t="s">
        <v>2529</v>
      </c>
      <c r="R1418" s="1"/>
      <c r="S1418" s="1"/>
      <c r="T1418" s="1"/>
      <c r="U1418" s="1"/>
      <c r="V1418" s="1"/>
      <c r="W1418" s="1"/>
      <c r="X1418" s="1"/>
      <c r="Y1418" s="1"/>
      <c r="Z1418" s="102"/>
      <c r="AA1418" s="102"/>
      <c r="AB1418" s="1"/>
      <c r="AC1418" s="1"/>
      <c r="AD1418" s="1"/>
      <c r="AE1418" s="1"/>
      <c r="AF1418" s="1"/>
      <c r="AG1418" s="1"/>
    </row>
    <row r="1419" ht="15.75" customHeight="1">
      <c r="A1419" s="1"/>
      <c r="B1419" s="1"/>
      <c r="C1419" s="1"/>
      <c r="D1419" s="1"/>
      <c r="E1419" s="1"/>
      <c r="F1419" s="1"/>
      <c r="G1419" s="1"/>
      <c r="H1419" s="1"/>
      <c r="I1419" s="1"/>
      <c r="J1419" s="1"/>
      <c r="K1419" s="102" t="s">
        <v>2668</v>
      </c>
      <c r="L1419" s="102" t="str">
        <f>A29</f>
        <v>J</v>
      </c>
      <c r="M1419" s="102" t="s">
        <v>2669</v>
      </c>
      <c r="N1419" s="102" t="s">
        <v>2670</v>
      </c>
      <c r="O1419" s="105">
        <v>1.7495914E7</v>
      </c>
      <c r="P1419" s="105">
        <v>1.5384034E7</v>
      </c>
      <c r="Q1419" s="102" t="s">
        <v>2439</v>
      </c>
      <c r="R1419" s="1"/>
      <c r="S1419" s="1"/>
      <c r="T1419" s="1"/>
      <c r="U1419" s="1"/>
      <c r="V1419" s="1"/>
      <c r="W1419" s="1"/>
      <c r="X1419" s="1"/>
      <c r="Y1419" s="1"/>
      <c r="Z1419" s="102"/>
      <c r="AA1419" s="102"/>
      <c r="AB1419" s="1"/>
      <c r="AC1419" s="1"/>
      <c r="AD1419" s="1"/>
      <c r="AE1419" s="1"/>
      <c r="AF1419" s="1"/>
      <c r="AG1419" s="1"/>
    </row>
    <row r="1420" ht="15.75" customHeight="1">
      <c r="A1420" s="1"/>
      <c r="B1420" s="1"/>
      <c r="C1420" s="1"/>
      <c r="D1420" s="1"/>
      <c r="E1420" s="1"/>
      <c r="F1420" s="1"/>
      <c r="G1420" s="1"/>
      <c r="H1420" s="1"/>
      <c r="I1420" s="1"/>
      <c r="J1420" s="1"/>
      <c r="K1420" s="102" t="s">
        <v>2669</v>
      </c>
      <c r="L1420" s="102" t="str">
        <f>A29</f>
        <v>J</v>
      </c>
      <c r="M1420" s="102" t="s">
        <v>2668</v>
      </c>
      <c r="N1420" s="102" t="s">
        <v>2670</v>
      </c>
      <c r="O1420" s="105">
        <v>1.7495914E7</v>
      </c>
      <c r="P1420" s="105">
        <v>1.5384034E7</v>
      </c>
      <c r="Q1420" s="102" t="s">
        <v>2439</v>
      </c>
      <c r="R1420" s="1"/>
      <c r="S1420" s="1"/>
      <c r="T1420" s="1"/>
      <c r="U1420" s="1"/>
      <c r="V1420" s="1"/>
      <c r="W1420" s="1"/>
      <c r="X1420" s="1"/>
      <c r="Y1420" s="1"/>
      <c r="Z1420" s="102"/>
      <c r="AA1420" s="102"/>
      <c r="AB1420" s="1"/>
      <c r="AC1420" s="1"/>
      <c r="AD1420" s="1"/>
      <c r="AE1420" s="1"/>
      <c r="AF1420" s="1"/>
      <c r="AG1420" s="1"/>
    </row>
    <row r="1421" ht="15.75" customHeight="1">
      <c r="A1421" s="1"/>
      <c r="B1421" s="1"/>
      <c r="C1421" s="1"/>
      <c r="D1421" s="1"/>
      <c r="E1421" s="1"/>
      <c r="F1421" s="1"/>
      <c r="G1421" s="1"/>
      <c r="H1421" s="1"/>
      <c r="I1421" s="1"/>
      <c r="J1421" s="1"/>
      <c r="K1421" s="102" t="s">
        <v>2671</v>
      </c>
      <c r="L1421" s="102" t="str">
        <f>A29</f>
        <v>J</v>
      </c>
      <c r="M1421" s="102" t="s">
        <v>2672</v>
      </c>
      <c r="N1421" s="102" t="s">
        <v>2673</v>
      </c>
      <c r="O1421" s="105">
        <v>1.8084124E7</v>
      </c>
      <c r="P1421" s="105">
        <v>1.5972244E7</v>
      </c>
      <c r="Q1421" s="102" t="s">
        <v>2454</v>
      </c>
      <c r="R1421" s="1"/>
      <c r="S1421" s="1"/>
      <c r="T1421" s="1"/>
      <c r="U1421" s="1"/>
      <c r="V1421" s="1"/>
      <c r="W1421" s="1"/>
      <c r="X1421" s="1"/>
      <c r="Y1421" s="1"/>
      <c r="Z1421" s="102"/>
      <c r="AA1421" s="102"/>
      <c r="AB1421" s="1"/>
      <c r="AC1421" s="1"/>
      <c r="AD1421" s="1"/>
      <c r="AE1421" s="1"/>
      <c r="AF1421" s="1"/>
      <c r="AG1421" s="1"/>
    </row>
    <row r="1422" ht="15.75" customHeight="1">
      <c r="A1422" s="1"/>
      <c r="B1422" s="1"/>
      <c r="C1422" s="1"/>
      <c r="D1422" s="1"/>
      <c r="E1422" s="1"/>
      <c r="F1422" s="1"/>
      <c r="G1422" s="1"/>
      <c r="H1422" s="1"/>
      <c r="I1422" s="1"/>
      <c r="J1422" s="1"/>
      <c r="K1422" s="102" t="s">
        <v>2672</v>
      </c>
      <c r="L1422" s="102" t="str">
        <f>A29</f>
        <v>J</v>
      </c>
      <c r="M1422" s="102" t="s">
        <v>2671</v>
      </c>
      <c r="N1422" s="102" t="s">
        <v>2673</v>
      </c>
      <c r="O1422" s="105">
        <v>1.8084124E7</v>
      </c>
      <c r="P1422" s="105">
        <v>1.5972244E7</v>
      </c>
      <c r="Q1422" s="102" t="s">
        <v>2454</v>
      </c>
      <c r="R1422" s="1"/>
      <c r="S1422" s="1"/>
      <c r="T1422" s="1"/>
      <c r="U1422" s="1"/>
      <c r="V1422" s="1"/>
      <c r="W1422" s="1"/>
      <c r="X1422" s="1"/>
      <c r="Y1422" s="1"/>
      <c r="Z1422" s="102"/>
      <c r="AA1422" s="102"/>
      <c r="AB1422" s="1"/>
      <c r="AC1422" s="1"/>
      <c r="AD1422" s="1"/>
      <c r="AE1422" s="1"/>
      <c r="AF1422" s="1"/>
      <c r="AG1422" s="1"/>
    </row>
    <row r="1423" ht="15.75" customHeight="1">
      <c r="A1423" s="1"/>
      <c r="B1423" s="1"/>
      <c r="C1423" s="1"/>
      <c r="D1423" s="1"/>
      <c r="E1423" s="1"/>
      <c r="F1423" s="1"/>
      <c r="G1423" s="1"/>
      <c r="H1423" s="1"/>
      <c r="I1423" s="1"/>
      <c r="J1423" s="1"/>
      <c r="K1423" s="102" t="s">
        <v>2674</v>
      </c>
      <c r="L1423" s="102" t="str">
        <f>A29</f>
        <v>J</v>
      </c>
      <c r="M1423" s="102" t="s">
        <v>2675</v>
      </c>
      <c r="N1423" s="102" t="s">
        <v>2676</v>
      </c>
      <c r="O1423" s="105">
        <v>1.8257026E7</v>
      </c>
      <c r="P1423" s="105">
        <v>1.6145146E7</v>
      </c>
      <c r="Q1423" s="102" t="s">
        <v>2439</v>
      </c>
      <c r="R1423" s="1"/>
      <c r="S1423" s="1"/>
      <c r="T1423" s="1"/>
      <c r="U1423" s="1"/>
      <c r="V1423" s="1"/>
      <c r="W1423" s="1"/>
      <c r="X1423" s="1"/>
      <c r="Y1423" s="1"/>
      <c r="Z1423" s="102"/>
      <c r="AA1423" s="102"/>
      <c r="AB1423" s="1"/>
      <c r="AC1423" s="1"/>
      <c r="AD1423" s="1"/>
      <c r="AE1423" s="1"/>
      <c r="AF1423" s="1"/>
      <c r="AG1423" s="1"/>
    </row>
    <row r="1424" ht="15.75" customHeight="1">
      <c r="A1424" s="1"/>
      <c r="B1424" s="1"/>
      <c r="C1424" s="1"/>
      <c r="D1424" s="1"/>
      <c r="E1424" s="1"/>
      <c r="F1424" s="1"/>
      <c r="G1424" s="1"/>
      <c r="H1424" s="1"/>
      <c r="I1424" s="1"/>
      <c r="J1424" s="1"/>
      <c r="K1424" s="102" t="s">
        <v>2675</v>
      </c>
      <c r="L1424" s="102" t="str">
        <f>A29</f>
        <v>J</v>
      </c>
      <c r="M1424" s="102" t="s">
        <v>2674</v>
      </c>
      <c r="N1424" s="102" t="s">
        <v>2676</v>
      </c>
      <c r="O1424" s="105">
        <v>1.8257026E7</v>
      </c>
      <c r="P1424" s="105">
        <v>1.6145146E7</v>
      </c>
      <c r="Q1424" s="102" t="s">
        <v>2439</v>
      </c>
      <c r="R1424" s="1"/>
      <c r="S1424" s="1"/>
      <c r="T1424" s="1"/>
      <c r="U1424" s="1"/>
      <c r="V1424" s="1"/>
      <c r="W1424" s="1"/>
      <c r="X1424" s="1"/>
      <c r="Y1424" s="1"/>
      <c r="Z1424" s="102"/>
      <c r="AA1424" s="102"/>
      <c r="AB1424" s="1"/>
      <c r="AC1424" s="1"/>
      <c r="AD1424" s="1"/>
      <c r="AE1424" s="1"/>
      <c r="AF1424" s="1"/>
      <c r="AG1424" s="1"/>
    </row>
    <row r="1425" ht="15.75" customHeight="1">
      <c r="A1425" s="1"/>
      <c r="B1425" s="1"/>
      <c r="C1425" s="1"/>
      <c r="D1425" s="1"/>
      <c r="E1425" s="1"/>
      <c r="F1425" s="1"/>
      <c r="G1425" s="1"/>
      <c r="H1425" s="1"/>
      <c r="I1425" s="1"/>
      <c r="J1425" s="1"/>
      <c r="K1425" s="102" t="s">
        <v>2677</v>
      </c>
      <c r="L1425" s="102" t="str">
        <f>A29</f>
        <v>J</v>
      </c>
      <c r="M1425" s="102" t="s">
        <v>2678</v>
      </c>
      <c r="N1425" s="102" t="s">
        <v>2679</v>
      </c>
      <c r="O1425" s="105">
        <v>1.855236E7</v>
      </c>
      <c r="P1425" s="105">
        <v>1.644048E7</v>
      </c>
      <c r="Q1425" s="102" t="s">
        <v>2576</v>
      </c>
      <c r="R1425" s="1"/>
      <c r="S1425" s="1"/>
      <c r="T1425" s="1"/>
      <c r="U1425" s="1"/>
      <c r="V1425" s="1"/>
      <c r="W1425" s="1"/>
      <c r="X1425" s="1"/>
      <c r="Y1425" s="1"/>
      <c r="Z1425" s="102"/>
      <c r="AA1425" s="102"/>
      <c r="AB1425" s="1"/>
      <c r="AC1425" s="1"/>
      <c r="AD1425" s="1"/>
      <c r="AE1425" s="1"/>
      <c r="AF1425" s="1"/>
      <c r="AG1425" s="1"/>
    </row>
    <row r="1426" ht="15.75" customHeight="1">
      <c r="A1426" s="1"/>
      <c r="B1426" s="1"/>
      <c r="C1426" s="1"/>
      <c r="D1426" s="1"/>
      <c r="E1426" s="1"/>
      <c r="F1426" s="1"/>
      <c r="G1426" s="1"/>
      <c r="H1426" s="1"/>
      <c r="I1426" s="1"/>
      <c r="J1426" s="1"/>
      <c r="K1426" s="102" t="s">
        <v>2678</v>
      </c>
      <c r="L1426" s="102" t="str">
        <f>A29</f>
        <v>J</v>
      </c>
      <c r="M1426" s="102" t="s">
        <v>2677</v>
      </c>
      <c r="N1426" s="102" t="s">
        <v>2679</v>
      </c>
      <c r="O1426" s="105">
        <v>1.855236E7</v>
      </c>
      <c r="P1426" s="105">
        <v>1.644048E7</v>
      </c>
      <c r="Q1426" s="102" t="s">
        <v>2576</v>
      </c>
      <c r="R1426" s="1"/>
      <c r="S1426" s="1"/>
      <c r="T1426" s="1"/>
      <c r="U1426" s="1"/>
      <c r="V1426" s="1"/>
      <c r="W1426" s="1"/>
      <c r="X1426" s="1"/>
      <c r="Y1426" s="1"/>
      <c r="Z1426" s="102"/>
      <c r="AA1426" s="102"/>
      <c r="AB1426" s="1"/>
      <c r="AC1426" s="1"/>
      <c r="AD1426" s="1"/>
      <c r="AE1426" s="1"/>
      <c r="AF1426" s="1"/>
      <c r="AG1426" s="1"/>
    </row>
    <row r="1427" ht="15.75" customHeight="1">
      <c r="A1427" s="1"/>
      <c r="B1427" s="1"/>
      <c r="C1427" s="1"/>
      <c r="D1427" s="1"/>
      <c r="E1427" s="1"/>
      <c r="F1427" s="1"/>
      <c r="G1427" s="1"/>
      <c r="H1427" s="1"/>
      <c r="I1427" s="1"/>
      <c r="J1427" s="1"/>
      <c r="K1427" s="102" t="s">
        <v>2680</v>
      </c>
      <c r="L1427" s="102" t="str">
        <f>A29</f>
        <v>J</v>
      </c>
      <c r="M1427" s="102" t="s">
        <v>2681</v>
      </c>
      <c r="N1427" s="102" t="s">
        <v>2682</v>
      </c>
      <c r="O1427" s="105">
        <v>1.8695159E7</v>
      </c>
      <c r="P1427" s="105">
        <v>1.6583279E7</v>
      </c>
      <c r="Q1427" s="102" t="s">
        <v>2501</v>
      </c>
      <c r="R1427" s="1"/>
      <c r="S1427" s="1"/>
      <c r="T1427" s="1"/>
      <c r="U1427" s="1"/>
      <c r="V1427" s="1"/>
      <c r="W1427" s="1"/>
      <c r="X1427" s="1"/>
      <c r="Y1427" s="1"/>
      <c r="Z1427" s="102"/>
      <c r="AA1427" s="102"/>
      <c r="AB1427" s="1"/>
      <c r="AC1427" s="1"/>
      <c r="AD1427" s="1"/>
      <c r="AE1427" s="1"/>
      <c r="AF1427" s="1"/>
      <c r="AG1427" s="1"/>
    </row>
    <row r="1428" ht="15.75" customHeight="1">
      <c r="A1428" s="1"/>
      <c r="B1428" s="1"/>
      <c r="C1428" s="1"/>
      <c r="D1428" s="1"/>
      <c r="E1428" s="1"/>
      <c r="F1428" s="1"/>
      <c r="G1428" s="1"/>
      <c r="H1428" s="1"/>
      <c r="I1428" s="1"/>
      <c r="J1428" s="1"/>
      <c r="K1428" s="102" t="s">
        <v>2681</v>
      </c>
      <c r="L1428" s="102" t="str">
        <f>A29</f>
        <v>J</v>
      </c>
      <c r="M1428" s="102" t="s">
        <v>2680</v>
      </c>
      <c r="N1428" s="102" t="s">
        <v>2682</v>
      </c>
      <c r="O1428" s="105">
        <v>1.8695159E7</v>
      </c>
      <c r="P1428" s="105">
        <v>1.6583279E7</v>
      </c>
      <c r="Q1428" s="102" t="s">
        <v>2501</v>
      </c>
      <c r="R1428" s="1"/>
      <c r="S1428" s="1"/>
      <c r="T1428" s="1"/>
      <c r="U1428" s="1"/>
      <c r="V1428" s="1"/>
      <c r="W1428" s="1"/>
      <c r="X1428" s="1"/>
      <c r="Y1428" s="1"/>
      <c r="Z1428" s="102"/>
      <c r="AA1428" s="102"/>
      <c r="AB1428" s="1"/>
      <c r="AC1428" s="1"/>
      <c r="AD1428" s="1"/>
      <c r="AE1428" s="1"/>
      <c r="AF1428" s="1"/>
      <c r="AG1428" s="1"/>
    </row>
    <row r="1429" ht="15.75" customHeight="1">
      <c r="A1429" s="1"/>
      <c r="B1429" s="1"/>
      <c r="C1429" s="1"/>
      <c r="D1429" s="1"/>
      <c r="E1429" s="1"/>
      <c r="F1429" s="1"/>
      <c r="G1429" s="1"/>
      <c r="H1429" s="1"/>
      <c r="I1429" s="1"/>
      <c r="J1429" s="1"/>
      <c r="K1429" s="102" t="s">
        <v>2683</v>
      </c>
      <c r="L1429" s="102" t="str">
        <f>A29</f>
        <v>J</v>
      </c>
      <c r="M1429" s="102" t="s">
        <v>2684</v>
      </c>
      <c r="N1429" s="102" t="s">
        <v>2685</v>
      </c>
      <c r="O1429" s="105">
        <v>1.8773505E7</v>
      </c>
      <c r="P1429" s="105">
        <v>1.6661625E7</v>
      </c>
      <c r="Q1429" s="102" t="s">
        <v>2501</v>
      </c>
      <c r="R1429" s="1"/>
      <c r="S1429" s="1"/>
      <c r="T1429" s="1"/>
      <c r="U1429" s="1"/>
      <c r="V1429" s="1"/>
      <c r="W1429" s="1"/>
      <c r="X1429" s="1"/>
      <c r="Y1429" s="1"/>
      <c r="Z1429" s="102"/>
      <c r="AA1429" s="102"/>
      <c r="AB1429" s="1"/>
      <c r="AC1429" s="1"/>
      <c r="AD1429" s="1"/>
      <c r="AE1429" s="1"/>
      <c r="AF1429" s="1"/>
      <c r="AG1429" s="1"/>
    </row>
    <row r="1430" ht="15.75" customHeight="1">
      <c r="A1430" s="1"/>
      <c r="B1430" s="1"/>
      <c r="C1430" s="1"/>
      <c r="D1430" s="1"/>
      <c r="E1430" s="1"/>
      <c r="F1430" s="1"/>
      <c r="G1430" s="1"/>
      <c r="H1430" s="1"/>
      <c r="I1430" s="1"/>
      <c r="J1430" s="1"/>
      <c r="K1430" s="102" t="s">
        <v>2684</v>
      </c>
      <c r="L1430" s="102" t="str">
        <f>A29</f>
        <v>J</v>
      </c>
      <c r="M1430" s="102" t="s">
        <v>2683</v>
      </c>
      <c r="N1430" s="102" t="s">
        <v>2685</v>
      </c>
      <c r="O1430" s="105">
        <v>1.8773505E7</v>
      </c>
      <c r="P1430" s="105">
        <v>1.6661625E7</v>
      </c>
      <c r="Q1430" s="102" t="s">
        <v>2501</v>
      </c>
      <c r="R1430" s="1"/>
      <c r="S1430" s="1"/>
      <c r="T1430" s="1"/>
      <c r="U1430" s="1"/>
      <c r="V1430" s="1"/>
      <c r="W1430" s="1"/>
      <c r="X1430" s="1"/>
      <c r="Y1430" s="1"/>
      <c r="Z1430" s="102"/>
      <c r="AA1430" s="102"/>
      <c r="AB1430" s="1"/>
      <c r="AC1430" s="1"/>
      <c r="AD1430" s="1"/>
      <c r="AE1430" s="1"/>
      <c r="AF1430" s="1"/>
      <c r="AG1430" s="1"/>
    </row>
    <row r="1431" ht="15.75" customHeight="1">
      <c r="A1431" s="1"/>
      <c r="B1431" s="1"/>
      <c r="C1431" s="1"/>
      <c r="D1431" s="1"/>
      <c r="E1431" s="1"/>
      <c r="F1431" s="1"/>
      <c r="G1431" s="1"/>
      <c r="H1431" s="1"/>
      <c r="I1431" s="1"/>
      <c r="J1431" s="1"/>
      <c r="K1431" s="102" t="s">
        <v>2686</v>
      </c>
      <c r="L1431" s="102" t="str">
        <f>A29</f>
        <v>J</v>
      </c>
      <c r="M1431" s="102" t="s">
        <v>2687</v>
      </c>
      <c r="N1431" s="102" t="s">
        <v>2688</v>
      </c>
      <c r="O1431" s="105">
        <v>1.9194316E7</v>
      </c>
      <c r="P1431" s="105">
        <v>1.7082436E7</v>
      </c>
      <c r="Q1431" s="102" t="s">
        <v>2501</v>
      </c>
      <c r="R1431" s="1"/>
      <c r="S1431" s="1"/>
      <c r="T1431" s="1"/>
      <c r="U1431" s="1"/>
      <c r="V1431" s="1"/>
      <c r="W1431" s="1"/>
      <c r="X1431" s="1"/>
      <c r="Y1431" s="1"/>
      <c r="Z1431" s="102"/>
      <c r="AA1431" s="102"/>
      <c r="AB1431" s="1"/>
      <c r="AC1431" s="1"/>
      <c r="AD1431" s="1"/>
      <c r="AE1431" s="1"/>
      <c r="AF1431" s="1"/>
      <c r="AG1431" s="1"/>
    </row>
    <row r="1432" ht="15.75" customHeight="1">
      <c r="A1432" s="1"/>
      <c r="B1432" s="1"/>
      <c r="C1432" s="1"/>
      <c r="D1432" s="1"/>
      <c r="E1432" s="1"/>
      <c r="F1432" s="1"/>
      <c r="G1432" s="1"/>
      <c r="H1432" s="1"/>
      <c r="I1432" s="1"/>
      <c r="J1432" s="1"/>
      <c r="K1432" s="102" t="s">
        <v>2689</v>
      </c>
      <c r="L1432" s="102" t="str">
        <f>A29</f>
        <v>J</v>
      </c>
      <c r="M1432" s="102" t="s">
        <v>2690</v>
      </c>
      <c r="N1432" s="102" t="s">
        <v>2688</v>
      </c>
      <c r="O1432" s="105">
        <v>1.9194316E7</v>
      </c>
      <c r="P1432" s="105">
        <v>1.7082436E7</v>
      </c>
      <c r="Q1432" s="102" t="s">
        <v>2501</v>
      </c>
      <c r="R1432" s="1"/>
      <c r="S1432" s="1"/>
      <c r="T1432" s="1"/>
      <c r="U1432" s="1"/>
      <c r="V1432" s="1"/>
      <c r="W1432" s="1"/>
      <c r="X1432" s="1"/>
      <c r="Y1432" s="1"/>
      <c r="Z1432" s="102"/>
      <c r="AA1432" s="102"/>
      <c r="AB1432" s="1"/>
      <c r="AC1432" s="1"/>
      <c r="AD1432" s="1"/>
      <c r="AE1432" s="1"/>
      <c r="AF1432" s="1"/>
      <c r="AG1432" s="1"/>
    </row>
    <row r="1433" ht="15.75" customHeight="1">
      <c r="A1433" s="1"/>
      <c r="B1433" s="1"/>
      <c r="C1433" s="1"/>
      <c r="D1433" s="1"/>
      <c r="E1433" s="1"/>
      <c r="F1433" s="1"/>
      <c r="G1433" s="1"/>
      <c r="H1433" s="1"/>
      <c r="I1433" s="1"/>
      <c r="J1433" s="1"/>
      <c r="K1433" s="102" t="s">
        <v>2691</v>
      </c>
      <c r="L1433" s="102" t="str">
        <f>A29</f>
        <v>J</v>
      </c>
      <c r="M1433" s="102" t="s">
        <v>2692</v>
      </c>
      <c r="N1433" s="102" t="s">
        <v>2688</v>
      </c>
      <c r="O1433" s="105">
        <v>1.9194316E7</v>
      </c>
      <c r="P1433" s="105">
        <v>1.7082436E7</v>
      </c>
      <c r="Q1433" s="102" t="s">
        <v>2501</v>
      </c>
      <c r="R1433" s="1"/>
      <c r="S1433" s="1"/>
      <c r="T1433" s="1"/>
      <c r="U1433" s="1"/>
      <c r="V1433" s="1"/>
      <c r="W1433" s="1"/>
      <c r="X1433" s="1"/>
      <c r="Y1433" s="1"/>
      <c r="Z1433" s="102"/>
      <c r="AA1433" s="102"/>
      <c r="AB1433" s="1"/>
      <c r="AC1433" s="1"/>
      <c r="AD1433" s="1"/>
      <c r="AE1433" s="1"/>
      <c r="AF1433" s="1"/>
      <c r="AG1433" s="1"/>
    </row>
    <row r="1434" ht="15.75" customHeight="1">
      <c r="A1434" s="1"/>
      <c r="B1434" s="1"/>
      <c r="C1434" s="1"/>
      <c r="D1434" s="1"/>
      <c r="E1434" s="1"/>
      <c r="F1434" s="1"/>
      <c r="G1434" s="1"/>
      <c r="H1434" s="1"/>
      <c r="I1434" s="1"/>
      <c r="J1434" s="1"/>
      <c r="K1434" s="102" t="s">
        <v>2693</v>
      </c>
      <c r="L1434" s="102" t="str">
        <f>A29</f>
        <v>J</v>
      </c>
      <c r="M1434" s="102" t="s">
        <v>2694</v>
      </c>
      <c r="N1434" s="102" t="s">
        <v>2695</v>
      </c>
      <c r="O1434" s="105">
        <v>1.9508788E7</v>
      </c>
      <c r="P1434" s="105">
        <v>1.7396908E7</v>
      </c>
      <c r="Q1434" s="102" t="s">
        <v>2439</v>
      </c>
      <c r="R1434" s="1"/>
      <c r="S1434" s="1"/>
      <c r="T1434" s="1"/>
      <c r="U1434" s="1"/>
      <c r="V1434" s="1"/>
      <c r="W1434" s="1"/>
      <c r="X1434" s="1"/>
      <c r="Y1434" s="1"/>
      <c r="Z1434" s="102"/>
      <c r="AA1434" s="102"/>
      <c r="AB1434" s="1"/>
      <c r="AC1434" s="1"/>
      <c r="AD1434" s="1"/>
      <c r="AE1434" s="1"/>
      <c r="AF1434" s="1"/>
      <c r="AG1434" s="1"/>
    </row>
    <row r="1435" ht="15.75" customHeight="1">
      <c r="A1435" s="1"/>
      <c r="B1435" s="1"/>
      <c r="C1435" s="1"/>
      <c r="D1435" s="1"/>
      <c r="E1435" s="1"/>
      <c r="F1435" s="1"/>
      <c r="G1435" s="1"/>
      <c r="H1435" s="1"/>
      <c r="I1435" s="1"/>
      <c r="J1435" s="1"/>
      <c r="K1435" s="102" t="s">
        <v>2696</v>
      </c>
      <c r="L1435" s="102" t="str">
        <f>A29</f>
        <v>J</v>
      </c>
      <c r="M1435" s="102" t="s">
        <v>2697</v>
      </c>
      <c r="N1435" s="102" t="s">
        <v>2695</v>
      </c>
      <c r="O1435" s="105">
        <v>1.9508788E7</v>
      </c>
      <c r="P1435" s="105">
        <v>1.7396908E7</v>
      </c>
      <c r="Q1435" s="102" t="s">
        <v>2439</v>
      </c>
      <c r="R1435" s="1"/>
      <c r="S1435" s="1"/>
      <c r="T1435" s="1"/>
      <c r="U1435" s="1"/>
      <c r="V1435" s="1"/>
      <c r="W1435" s="1"/>
      <c r="X1435" s="1"/>
      <c r="Y1435" s="1"/>
      <c r="Z1435" s="102"/>
      <c r="AA1435" s="102"/>
      <c r="AB1435" s="1"/>
      <c r="AC1435" s="1"/>
      <c r="AD1435" s="1"/>
      <c r="AE1435" s="1"/>
      <c r="AF1435" s="1"/>
      <c r="AG1435" s="1"/>
    </row>
    <row r="1436" ht="15.75" customHeight="1">
      <c r="A1436" s="1"/>
      <c r="B1436" s="1"/>
      <c r="C1436" s="1"/>
      <c r="D1436" s="1"/>
      <c r="E1436" s="1"/>
      <c r="F1436" s="1"/>
      <c r="G1436" s="1"/>
      <c r="H1436" s="1"/>
      <c r="I1436" s="1"/>
      <c r="J1436" s="1"/>
      <c r="K1436" s="102" t="s">
        <v>2698</v>
      </c>
      <c r="L1436" s="102" t="str">
        <f>A29</f>
        <v>J</v>
      </c>
      <c r="M1436" s="102" t="s">
        <v>2699</v>
      </c>
      <c r="N1436" s="102" t="s">
        <v>2695</v>
      </c>
      <c r="O1436" s="105">
        <v>1.9508788E7</v>
      </c>
      <c r="P1436" s="105">
        <v>1.7396908E7</v>
      </c>
      <c r="Q1436" s="102" t="s">
        <v>2439</v>
      </c>
      <c r="R1436" s="1"/>
      <c r="S1436" s="1"/>
      <c r="T1436" s="1"/>
      <c r="U1436" s="1"/>
      <c r="V1436" s="1"/>
      <c r="W1436" s="1"/>
      <c r="X1436" s="1"/>
      <c r="Y1436" s="1"/>
      <c r="Z1436" s="102"/>
      <c r="AA1436" s="102"/>
      <c r="AB1436" s="1"/>
      <c r="AC1436" s="1"/>
      <c r="AD1436" s="1"/>
      <c r="AE1436" s="1"/>
      <c r="AF1436" s="1"/>
      <c r="AG1436" s="1"/>
    </row>
    <row r="1437" ht="15.75" customHeight="1">
      <c r="A1437" s="1"/>
      <c r="B1437" s="1"/>
      <c r="C1437" s="1"/>
      <c r="D1437" s="1"/>
      <c r="E1437" s="1"/>
      <c r="F1437" s="1"/>
      <c r="G1437" s="1"/>
      <c r="H1437" s="1"/>
      <c r="I1437" s="1"/>
      <c r="J1437" s="1"/>
      <c r="K1437" s="102" t="s">
        <v>2700</v>
      </c>
      <c r="L1437" s="102" t="str">
        <f>A29</f>
        <v>J</v>
      </c>
      <c r="M1437" s="102" t="s">
        <v>2701</v>
      </c>
      <c r="N1437" s="102" t="s">
        <v>2702</v>
      </c>
      <c r="O1437" s="105">
        <v>2.1097847E7</v>
      </c>
      <c r="P1437" s="105">
        <v>1.8935961E7</v>
      </c>
      <c r="Q1437" s="102" t="s">
        <v>2501</v>
      </c>
      <c r="R1437" s="1"/>
      <c r="S1437" s="1"/>
      <c r="T1437" s="1"/>
      <c r="U1437" s="1"/>
      <c r="V1437" s="1"/>
      <c r="W1437" s="1"/>
      <c r="X1437" s="1"/>
      <c r="Y1437" s="1"/>
      <c r="Z1437" s="102"/>
      <c r="AA1437" s="102"/>
      <c r="AB1437" s="1"/>
      <c r="AC1437" s="1"/>
      <c r="AD1437" s="1"/>
      <c r="AE1437" s="1"/>
      <c r="AF1437" s="1"/>
      <c r="AG1437" s="1"/>
    </row>
    <row r="1438" ht="15.75" customHeight="1">
      <c r="A1438" s="1"/>
      <c r="B1438" s="1"/>
      <c r="C1438" s="1"/>
      <c r="D1438" s="1"/>
      <c r="E1438" s="1"/>
      <c r="F1438" s="1"/>
      <c r="G1438" s="1"/>
      <c r="H1438" s="1"/>
      <c r="I1438" s="1"/>
      <c r="J1438" s="1"/>
      <c r="K1438" s="102" t="s">
        <v>2701</v>
      </c>
      <c r="L1438" s="102" t="str">
        <f>A29</f>
        <v>J</v>
      </c>
      <c r="M1438" s="102" t="s">
        <v>2700</v>
      </c>
      <c r="N1438" s="102" t="s">
        <v>2702</v>
      </c>
      <c r="O1438" s="105">
        <v>2.1097847E7</v>
      </c>
      <c r="P1438" s="105">
        <v>1.8935961E7</v>
      </c>
      <c r="Q1438" s="102" t="s">
        <v>2501</v>
      </c>
      <c r="R1438" s="1"/>
      <c r="S1438" s="1"/>
      <c r="T1438" s="1"/>
      <c r="U1438" s="1"/>
      <c r="V1438" s="1"/>
      <c r="W1438" s="1"/>
      <c r="X1438" s="1"/>
      <c r="Y1438" s="1"/>
      <c r="Z1438" s="102"/>
      <c r="AA1438" s="102"/>
      <c r="AB1438" s="1"/>
      <c r="AC1438" s="1"/>
      <c r="AD1438" s="1"/>
      <c r="AE1438" s="1"/>
      <c r="AF1438" s="1"/>
      <c r="AG1438" s="1"/>
    </row>
    <row r="1439" ht="15.75" customHeight="1">
      <c r="A1439" s="1"/>
      <c r="B1439" s="1"/>
      <c r="C1439" s="1"/>
      <c r="D1439" s="1"/>
      <c r="E1439" s="1"/>
      <c r="F1439" s="1"/>
      <c r="G1439" s="1"/>
      <c r="H1439" s="1"/>
      <c r="I1439" s="1"/>
      <c r="J1439" s="1"/>
      <c r="K1439" s="102" t="s">
        <v>2703</v>
      </c>
      <c r="L1439" s="102" t="str">
        <f>A29</f>
        <v>J</v>
      </c>
      <c r="M1439" s="102" t="s">
        <v>2704</v>
      </c>
      <c r="N1439" s="102" t="s">
        <v>2705</v>
      </c>
      <c r="O1439" s="105">
        <v>2.114835E7</v>
      </c>
      <c r="P1439" s="105">
        <v>1.8986464E7</v>
      </c>
      <c r="Q1439" s="102" t="s">
        <v>2439</v>
      </c>
      <c r="R1439" s="1"/>
      <c r="S1439" s="1"/>
      <c r="T1439" s="1"/>
      <c r="U1439" s="1"/>
      <c r="V1439" s="1"/>
      <c r="W1439" s="1"/>
      <c r="X1439" s="1"/>
      <c r="Y1439" s="1"/>
      <c r="Z1439" s="102"/>
      <c r="AA1439" s="102"/>
      <c r="AB1439" s="1"/>
      <c r="AC1439" s="1"/>
      <c r="AD1439" s="1"/>
      <c r="AE1439" s="1"/>
      <c r="AF1439" s="1"/>
      <c r="AG1439" s="1"/>
    </row>
    <row r="1440" ht="15.75" customHeight="1">
      <c r="A1440" s="1"/>
      <c r="B1440" s="1"/>
      <c r="C1440" s="1"/>
      <c r="D1440" s="1"/>
      <c r="E1440" s="1"/>
      <c r="F1440" s="1"/>
      <c r="G1440" s="1"/>
      <c r="H1440" s="1"/>
      <c r="I1440" s="1"/>
      <c r="J1440" s="1"/>
      <c r="K1440" s="102" t="s">
        <v>2704</v>
      </c>
      <c r="L1440" s="102" t="str">
        <f>A29</f>
        <v>J</v>
      </c>
      <c r="M1440" s="102" t="s">
        <v>2703</v>
      </c>
      <c r="N1440" s="102" t="s">
        <v>2705</v>
      </c>
      <c r="O1440" s="105">
        <v>2.114835E7</v>
      </c>
      <c r="P1440" s="105">
        <v>1.8986464E7</v>
      </c>
      <c r="Q1440" s="102" t="s">
        <v>2439</v>
      </c>
      <c r="R1440" s="1"/>
      <c r="S1440" s="1"/>
      <c r="T1440" s="1"/>
      <c r="U1440" s="1"/>
      <c r="V1440" s="1"/>
      <c r="W1440" s="1"/>
      <c r="X1440" s="1"/>
      <c r="Y1440" s="1"/>
      <c r="Z1440" s="102"/>
      <c r="AA1440" s="102"/>
      <c r="AB1440" s="1"/>
      <c r="AC1440" s="1"/>
      <c r="AD1440" s="1"/>
      <c r="AE1440" s="1"/>
      <c r="AF1440" s="1"/>
      <c r="AG1440" s="1"/>
    </row>
    <row r="1441" ht="15.75" customHeight="1">
      <c r="A1441" s="1"/>
      <c r="B1441" s="1"/>
      <c r="C1441" s="1"/>
      <c r="D1441" s="1"/>
      <c r="E1441" s="1"/>
      <c r="F1441" s="1"/>
      <c r="G1441" s="1"/>
      <c r="H1441" s="1"/>
      <c r="I1441" s="1"/>
      <c r="J1441" s="1"/>
      <c r="K1441" s="102" t="s">
        <v>2706</v>
      </c>
      <c r="L1441" s="102" t="str">
        <f>A29</f>
        <v>J</v>
      </c>
      <c r="M1441" s="102" t="s">
        <v>2707</v>
      </c>
      <c r="N1441" s="102" t="s">
        <v>2708</v>
      </c>
      <c r="O1441" s="105">
        <v>2.1329083E7</v>
      </c>
      <c r="P1441" s="105">
        <v>1.9167197E7</v>
      </c>
      <c r="Q1441" s="102" t="s">
        <v>2529</v>
      </c>
      <c r="R1441" s="1"/>
      <c r="S1441" s="1"/>
      <c r="T1441" s="1"/>
      <c r="U1441" s="1"/>
      <c r="V1441" s="1"/>
      <c r="W1441" s="1"/>
      <c r="X1441" s="1"/>
      <c r="Y1441" s="1"/>
      <c r="Z1441" s="102"/>
      <c r="AA1441" s="102"/>
      <c r="AB1441" s="1"/>
      <c r="AC1441" s="1"/>
      <c r="AD1441" s="1"/>
      <c r="AE1441" s="1"/>
      <c r="AF1441" s="1"/>
      <c r="AG1441" s="1"/>
    </row>
    <row r="1442" ht="15.75" customHeight="1">
      <c r="A1442" s="1"/>
      <c r="B1442" s="1"/>
      <c r="C1442" s="1"/>
      <c r="D1442" s="1"/>
      <c r="E1442" s="1"/>
      <c r="F1442" s="1"/>
      <c r="G1442" s="1"/>
      <c r="H1442" s="1"/>
      <c r="I1442" s="1"/>
      <c r="J1442" s="1"/>
      <c r="K1442" s="102" t="s">
        <v>2709</v>
      </c>
      <c r="L1442" s="102" t="str">
        <f>A29</f>
        <v>J</v>
      </c>
      <c r="M1442" s="102" t="s">
        <v>2710</v>
      </c>
      <c r="N1442" s="102" t="s">
        <v>2708</v>
      </c>
      <c r="O1442" s="105">
        <v>2.1329083E7</v>
      </c>
      <c r="P1442" s="105">
        <v>1.9167197E7</v>
      </c>
      <c r="Q1442" s="102" t="s">
        <v>2529</v>
      </c>
      <c r="R1442" s="1"/>
      <c r="S1442" s="1"/>
      <c r="T1442" s="1"/>
      <c r="U1442" s="1"/>
      <c r="V1442" s="1"/>
      <c r="W1442" s="1"/>
      <c r="X1442" s="1"/>
      <c r="Y1442" s="1"/>
      <c r="Z1442" s="102"/>
      <c r="AA1442" s="102"/>
      <c r="AB1442" s="1"/>
      <c r="AC1442" s="1"/>
      <c r="AD1442" s="1"/>
      <c r="AE1442" s="1"/>
      <c r="AF1442" s="1"/>
      <c r="AG1442" s="1"/>
    </row>
    <row r="1443" ht="15.75" customHeight="1">
      <c r="A1443" s="1"/>
      <c r="B1443" s="1"/>
      <c r="C1443" s="1"/>
      <c r="D1443" s="1"/>
      <c r="E1443" s="1"/>
      <c r="F1443" s="1"/>
      <c r="G1443" s="1"/>
      <c r="H1443" s="1"/>
      <c r="I1443" s="1"/>
      <c r="J1443" s="1"/>
      <c r="K1443" s="102" t="s">
        <v>2711</v>
      </c>
      <c r="L1443" s="102" t="str">
        <f>A29</f>
        <v>J</v>
      </c>
      <c r="M1443" s="102" t="s">
        <v>2712</v>
      </c>
      <c r="N1443" s="102" t="s">
        <v>2708</v>
      </c>
      <c r="O1443" s="105">
        <v>2.1329083E7</v>
      </c>
      <c r="P1443" s="105">
        <v>1.9167197E7</v>
      </c>
      <c r="Q1443" s="102" t="s">
        <v>2529</v>
      </c>
      <c r="R1443" s="1"/>
      <c r="S1443" s="1"/>
      <c r="T1443" s="1"/>
      <c r="U1443" s="1"/>
      <c r="V1443" s="1"/>
      <c r="W1443" s="1"/>
      <c r="X1443" s="1"/>
      <c r="Y1443" s="1"/>
      <c r="Z1443" s="102"/>
      <c r="AA1443" s="102"/>
      <c r="AB1443" s="1"/>
      <c r="AC1443" s="1"/>
      <c r="AD1443" s="1"/>
      <c r="AE1443" s="1"/>
      <c r="AF1443" s="1"/>
      <c r="AG1443" s="1"/>
    </row>
    <row r="1444" ht="15.75" customHeight="1">
      <c r="A1444" s="1"/>
      <c r="B1444" s="1"/>
      <c r="C1444" s="1"/>
      <c r="D1444" s="1"/>
      <c r="E1444" s="1"/>
      <c r="F1444" s="1"/>
      <c r="G1444" s="1"/>
      <c r="H1444" s="1"/>
      <c r="I1444" s="1"/>
      <c r="J1444" s="1"/>
      <c r="K1444" s="102" t="s">
        <v>2713</v>
      </c>
      <c r="L1444" s="102" t="str">
        <f>A29</f>
        <v>J</v>
      </c>
      <c r="M1444" s="102" t="s">
        <v>2714</v>
      </c>
      <c r="N1444" s="102" t="s">
        <v>2715</v>
      </c>
      <c r="O1444" s="105">
        <v>2.2708656E7</v>
      </c>
      <c r="P1444" s="105">
        <v>2.054677E7</v>
      </c>
      <c r="Q1444" s="102" t="s">
        <v>2501</v>
      </c>
      <c r="R1444" s="1"/>
      <c r="S1444" s="1"/>
      <c r="T1444" s="1"/>
      <c r="U1444" s="1"/>
      <c r="V1444" s="1"/>
      <c r="W1444" s="1"/>
      <c r="X1444" s="1"/>
      <c r="Y1444" s="1"/>
      <c r="Z1444" s="102"/>
      <c r="AA1444" s="102"/>
      <c r="AB1444" s="1"/>
      <c r="AC1444" s="1"/>
      <c r="AD1444" s="1"/>
      <c r="AE1444" s="1"/>
      <c r="AF1444" s="1"/>
      <c r="AG1444" s="1"/>
    </row>
    <row r="1445" ht="15.75" customHeight="1">
      <c r="A1445" s="1"/>
      <c r="B1445" s="1"/>
      <c r="C1445" s="1"/>
      <c r="D1445" s="1"/>
      <c r="E1445" s="1"/>
      <c r="F1445" s="1"/>
      <c r="G1445" s="1"/>
      <c r="H1445" s="1"/>
      <c r="I1445" s="1"/>
      <c r="J1445" s="1"/>
      <c r="K1445" s="102" t="s">
        <v>2716</v>
      </c>
      <c r="L1445" s="102" t="str">
        <f>A29</f>
        <v>J</v>
      </c>
      <c r="M1445" s="102" t="s">
        <v>2717</v>
      </c>
      <c r="N1445" s="102" t="s">
        <v>2715</v>
      </c>
      <c r="O1445" s="105">
        <v>2.2708656E7</v>
      </c>
      <c r="P1445" s="105">
        <v>2.054677E7</v>
      </c>
      <c r="Q1445" s="102" t="s">
        <v>2501</v>
      </c>
      <c r="R1445" s="1"/>
      <c r="S1445" s="1"/>
      <c r="T1445" s="1"/>
      <c r="U1445" s="1"/>
      <c r="V1445" s="1"/>
      <c r="W1445" s="1"/>
      <c r="X1445" s="1"/>
      <c r="Y1445" s="1"/>
      <c r="Z1445" s="102"/>
      <c r="AA1445" s="102"/>
      <c r="AB1445" s="1"/>
      <c r="AC1445" s="1"/>
      <c r="AD1445" s="1"/>
      <c r="AE1445" s="1"/>
      <c r="AF1445" s="1"/>
      <c r="AG1445" s="1"/>
    </row>
    <row r="1446" ht="15.75" customHeight="1">
      <c r="A1446" s="1"/>
      <c r="B1446" s="1"/>
      <c r="C1446" s="1"/>
      <c r="D1446" s="1"/>
      <c r="E1446" s="1"/>
      <c r="F1446" s="1"/>
      <c r="G1446" s="1"/>
      <c r="H1446" s="1"/>
      <c r="I1446" s="1"/>
      <c r="J1446" s="1"/>
      <c r="K1446" s="102" t="s">
        <v>2718</v>
      </c>
      <c r="L1446" s="102" t="str">
        <f>A29</f>
        <v>J</v>
      </c>
      <c r="M1446" s="102" t="s">
        <v>2719</v>
      </c>
      <c r="N1446" s="102" t="s">
        <v>2715</v>
      </c>
      <c r="O1446" s="105">
        <v>2.2708656E7</v>
      </c>
      <c r="P1446" s="105">
        <v>2.054677E7</v>
      </c>
      <c r="Q1446" s="102" t="s">
        <v>2501</v>
      </c>
      <c r="R1446" s="1"/>
      <c r="S1446" s="1"/>
      <c r="T1446" s="1"/>
      <c r="U1446" s="1"/>
      <c r="V1446" s="1"/>
      <c r="W1446" s="1"/>
      <c r="X1446" s="1"/>
      <c r="Y1446" s="1"/>
      <c r="Z1446" s="102"/>
      <c r="AA1446" s="102"/>
      <c r="AB1446" s="1"/>
      <c r="AC1446" s="1"/>
      <c r="AD1446" s="1"/>
      <c r="AE1446" s="1"/>
      <c r="AF1446" s="1"/>
      <c r="AG1446" s="1"/>
    </row>
    <row r="1447" ht="15.75" customHeight="1">
      <c r="A1447" s="1"/>
      <c r="B1447" s="1"/>
      <c r="C1447" s="1"/>
      <c r="D1447" s="1"/>
      <c r="E1447" s="1"/>
      <c r="F1447" s="1"/>
      <c r="G1447" s="1"/>
      <c r="H1447" s="1"/>
      <c r="I1447" s="1"/>
      <c r="J1447" s="1"/>
      <c r="K1447" s="102" t="s">
        <v>2720</v>
      </c>
      <c r="L1447" s="102" t="str">
        <f>A29</f>
        <v>J</v>
      </c>
      <c r="M1447" s="102" t="s">
        <v>2721</v>
      </c>
      <c r="N1447" s="102" t="s">
        <v>2722</v>
      </c>
      <c r="O1447" s="105">
        <v>2.2785217E7</v>
      </c>
      <c r="P1447" s="105">
        <v>2.0623331E7</v>
      </c>
      <c r="Q1447" s="102" t="s">
        <v>2439</v>
      </c>
      <c r="R1447" s="1"/>
      <c r="S1447" s="1"/>
      <c r="T1447" s="1"/>
      <c r="U1447" s="1"/>
      <c r="V1447" s="1"/>
      <c r="W1447" s="1"/>
      <c r="X1447" s="1"/>
      <c r="Y1447" s="1"/>
      <c r="Z1447" s="102"/>
      <c r="AA1447" s="102"/>
      <c r="AB1447" s="1"/>
      <c r="AC1447" s="1"/>
      <c r="AD1447" s="1"/>
      <c r="AE1447" s="1"/>
      <c r="AF1447" s="1"/>
      <c r="AG1447" s="1"/>
    </row>
    <row r="1448" ht="15.75" customHeight="1">
      <c r="A1448" s="1"/>
      <c r="B1448" s="1"/>
      <c r="C1448" s="1"/>
      <c r="D1448" s="1"/>
      <c r="E1448" s="1"/>
      <c r="F1448" s="1"/>
      <c r="G1448" s="1"/>
      <c r="H1448" s="1"/>
      <c r="I1448" s="1"/>
      <c r="J1448" s="1"/>
      <c r="K1448" s="102" t="s">
        <v>2723</v>
      </c>
      <c r="L1448" s="102" t="str">
        <f>A29</f>
        <v>J</v>
      </c>
      <c r="M1448" s="102" t="s">
        <v>2724</v>
      </c>
      <c r="N1448" s="102" t="s">
        <v>2722</v>
      </c>
      <c r="O1448" s="105">
        <v>2.2785217E7</v>
      </c>
      <c r="P1448" s="105">
        <v>2.0623331E7</v>
      </c>
      <c r="Q1448" s="102" t="s">
        <v>2439</v>
      </c>
      <c r="R1448" s="1"/>
      <c r="S1448" s="1"/>
      <c r="T1448" s="1"/>
      <c r="U1448" s="1"/>
      <c r="V1448" s="1"/>
      <c r="W1448" s="1"/>
      <c r="X1448" s="1"/>
      <c r="Y1448" s="1"/>
      <c r="Z1448" s="102"/>
      <c r="AA1448" s="102"/>
      <c r="AB1448" s="1"/>
      <c r="AC1448" s="1"/>
      <c r="AD1448" s="1"/>
      <c r="AE1448" s="1"/>
      <c r="AF1448" s="1"/>
      <c r="AG1448" s="1"/>
    </row>
    <row r="1449" ht="15.75" customHeight="1">
      <c r="A1449" s="1"/>
      <c r="B1449" s="1"/>
      <c r="C1449" s="1"/>
      <c r="D1449" s="1"/>
      <c r="E1449" s="1"/>
      <c r="F1449" s="1"/>
      <c r="G1449" s="1"/>
      <c r="H1449" s="1"/>
      <c r="I1449" s="1"/>
      <c r="J1449" s="1"/>
      <c r="K1449" s="102" t="s">
        <v>2725</v>
      </c>
      <c r="L1449" s="102" t="str">
        <f>A29</f>
        <v>J</v>
      </c>
      <c r="M1449" s="102" t="s">
        <v>2726</v>
      </c>
      <c r="N1449" s="102" t="s">
        <v>2722</v>
      </c>
      <c r="O1449" s="105">
        <v>2.2785217E7</v>
      </c>
      <c r="P1449" s="105">
        <v>2.0623331E7</v>
      </c>
      <c r="Q1449" s="102" t="s">
        <v>2439</v>
      </c>
      <c r="R1449" s="1"/>
      <c r="S1449" s="1"/>
      <c r="T1449" s="1"/>
      <c r="U1449" s="1"/>
      <c r="V1449" s="1"/>
      <c r="W1449" s="1"/>
      <c r="X1449" s="1"/>
      <c r="Y1449" s="1"/>
      <c r="Z1449" s="102"/>
      <c r="AA1449" s="102"/>
      <c r="AB1449" s="1"/>
      <c r="AC1449" s="1"/>
      <c r="AD1449" s="1"/>
      <c r="AE1449" s="1"/>
      <c r="AF1449" s="1"/>
      <c r="AG1449" s="1"/>
    </row>
    <row r="1450" ht="15.75" customHeight="1">
      <c r="A1450" s="1"/>
      <c r="B1450" s="1"/>
      <c r="C1450" s="1"/>
      <c r="D1450" s="1"/>
      <c r="E1450" s="1"/>
      <c r="F1450" s="1"/>
      <c r="G1450" s="1"/>
      <c r="H1450" s="1"/>
      <c r="I1450" s="1"/>
      <c r="J1450" s="1"/>
      <c r="K1450" s="102" t="s">
        <v>2727</v>
      </c>
      <c r="L1450" s="102" t="str">
        <f>A29</f>
        <v>J</v>
      </c>
      <c r="M1450" s="102" t="s">
        <v>2728</v>
      </c>
      <c r="N1450" s="102" t="s">
        <v>2729</v>
      </c>
      <c r="O1450" s="105">
        <v>7292720.0</v>
      </c>
      <c r="P1450" s="105">
        <v>7424679.0</v>
      </c>
      <c r="Q1450" s="102" t="s">
        <v>2529</v>
      </c>
      <c r="R1450" s="1"/>
      <c r="S1450" s="1"/>
      <c r="T1450" s="1"/>
      <c r="U1450" s="1"/>
      <c r="V1450" s="1"/>
      <c r="W1450" s="1"/>
      <c r="X1450" s="1"/>
      <c r="Y1450" s="1"/>
      <c r="Z1450" s="102"/>
      <c r="AA1450" s="102"/>
      <c r="AB1450" s="1"/>
      <c r="AC1450" s="1"/>
      <c r="AD1450" s="1"/>
      <c r="AE1450" s="1"/>
      <c r="AF1450" s="1"/>
      <c r="AG1450" s="1"/>
    </row>
    <row r="1451" ht="15.75" customHeight="1">
      <c r="A1451" s="1"/>
      <c r="B1451" s="1"/>
      <c r="C1451" s="1"/>
      <c r="D1451" s="1"/>
      <c r="E1451" s="1"/>
      <c r="F1451" s="1"/>
      <c r="G1451" s="1"/>
      <c r="H1451" s="1"/>
      <c r="I1451" s="1"/>
      <c r="J1451" s="1"/>
      <c r="K1451" s="102" t="s">
        <v>2730</v>
      </c>
      <c r="L1451" s="102" t="str">
        <f>A29</f>
        <v>J</v>
      </c>
      <c r="M1451" s="102" t="s">
        <v>2731</v>
      </c>
      <c r="N1451" s="102" t="s">
        <v>2729</v>
      </c>
      <c r="O1451" s="105">
        <v>7292720.0</v>
      </c>
      <c r="P1451" s="105">
        <v>7424679.0</v>
      </c>
      <c r="Q1451" s="102" t="s">
        <v>2529</v>
      </c>
      <c r="R1451" s="1"/>
      <c r="S1451" s="1"/>
      <c r="T1451" s="1"/>
      <c r="U1451" s="1"/>
      <c r="V1451" s="1"/>
      <c r="W1451" s="1"/>
      <c r="X1451" s="1"/>
      <c r="Y1451" s="1"/>
      <c r="Z1451" s="102"/>
      <c r="AA1451" s="102"/>
      <c r="AB1451" s="1"/>
      <c r="AC1451" s="1"/>
      <c r="AD1451" s="1"/>
      <c r="AE1451" s="1"/>
      <c r="AF1451" s="1"/>
      <c r="AG1451" s="1"/>
    </row>
    <row r="1452" ht="15.75" customHeight="1">
      <c r="A1452" s="1"/>
      <c r="B1452" s="1"/>
      <c r="C1452" s="1"/>
      <c r="D1452" s="1"/>
      <c r="E1452" s="1"/>
      <c r="F1452" s="1"/>
      <c r="G1452" s="1"/>
      <c r="H1452" s="1"/>
      <c r="I1452" s="1"/>
      <c r="J1452" s="1"/>
      <c r="K1452" s="102" t="s">
        <v>2732</v>
      </c>
      <c r="L1452" s="102" t="str">
        <f>A29</f>
        <v>J</v>
      </c>
      <c r="M1452" s="102" t="s">
        <v>2733</v>
      </c>
      <c r="N1452" s="102" t="s">
        <v>2729</v>
      </c>
      <c r="O1452" s="105">
        <v>7292720.0</v>
      </c>
      <c r="P1452" s="105">
        <v>7424679.0</v>
      </c>
      <c r="Q1452" s="102" t="s">
        <v>2529</v>
      </c>
      <c r="R1452" s="1"/>
      <c r="S1452" s="1"/>
      <c r="T1452" s="1"/>
      <c r="U1452" s="1"/>
      <c r="V1452" s="1"/>
      <c r="W1452" s="1"/>
      <c r="X1452" s="1"/>
      <c r="Y1452" s="1"/>
      <c r="Z1452" s="102"/>
      <c r="AA1452" s="102"/>
      <c r="AB1452" s="1"/>
      <c r="AC1452" s="1"/>
      <c r="AD1452" s="1"/>
      <c r="AE1452" s="1"/>
      <c r="AF1452" s="1"/>
      <c r="AG1452" s="1"/>
    </row>
    <row r="1453" ht="15.75" customHeight="1">
      <c r="A1453" s="1"/>
      <c r="B1453" s="1"/>
      <c r="C1453" s="1"/>
      <c r="D1453" s="1"/>
      <c r="E1453" s="1"/>
      <c r="F1453" s="1"/>
      <c r="G1453" s="1"/>
      <c r="H1453" s="1"/>
      <c r="I1453" s="1"/>
      <c r="J1453" s="1"/>
      <c r="K1453" s="102" t="s">
        <v>2734</v>
      </c>
      <c r="L1453" s="102" t="str">
        <f>A29</f>
        <v>J</v>
      </c>
      <c r="M1453" s="102" t="s">
        <v>2735</v>
      </c>
      <c r="N1453" s="102" t="s">
        <v>2736</v>
      </c>
      <c r="O1453" s="105">
        <v>2.1923739E7</v>
      </c>
      <c r="P1453" s="105">
        <v>1.9761853E7</v>
      </c>
      <c r="Q1453" s="102" t="s">
        <v>2432</v>
      </c>
      <c r="R1453" s="1"/>
      <c r="S1453" s="1"/>
      <c r="T1453" s="1"/>
      <c r="U1453" s="1"/>
      <c r="V1453" s="1"/>
      <c r="W1453" s="1"/>
      <c r="X1453" s="1"/>
      <c r="Y1453" s="1"/>
      <c r="Z1453" s="102"/>
      <c r="AA1453" s="102"/>
      <c r="AB1453" s="1"/>
      <c r="AC1453" s="1"/>
      <c r="AD1453" s="1"/>
      <c r="AE1453" s="1"/>
      <c r="AF1453" s="1"/>
      <c r="AG1453" s="1"/>
    </row>
    <row r="1454" ht="15.75" customHeight="1">
      <c r="A1454" s="1"/>
      <c r="B1454" s="1"/>
      <c r="C1454" s="1"/>
      <c r="D1454" s="1"/>
      <c r="E1454" s="1"/>
      <c r="F1454" s="1"/>
      <c r="G1454" s="1"/>
      <c r="H1454" s="1"/>
      <c r="I1454" s="1"/>
      <c r="J1454" s="1"/>
      <c r="K1454" s="102" t="s">
        <v>2737</v>
      </c>
      <c r="L1454" s="102" t="str">
        <f>A29</f>
        <v>J</v>
      </c>
      <c r="M1454" s="102" t="s">
        <v>2738</v>
      </c>
      <c r="N1454" s="102" t="s">
        <v>2736</v>
      </c>
      <c r="O1454" s="105">
        <v>2.1923739E7</v>
      </c>
      <c r="P1454" s="105">
        <v>1.9761853E7</v>
      </c>
      <c r="Q1454" s="102" t="s">
        <v>2432</v>
      </c>
      <c r="R1454" s="1"/>
      <c r="S1454" s="1"/>
      <c r="T1454" s="1"/>
      <c r="U1454" s="1"/>
      <c r="V1454" s="1"/>
      <c r="W1454" s="1"/>
      <c r="X1454" s="1"/>
      <c r="Y1454" s="1"/>
      <c r="Z1454" s="102"/>
      <c r="AA1454" s="102"/>
      <c r="AB1454" s="1"/>
      <c r="AC1454" s="1"/>
      <c r="AD1454" s="1"/>
      <c r="AE1454" s="1"/>
      <c r="AF1454" s="1"/>
      <c r="AG1454" s="1"/>
    </row>
    <row r="1455" ht="15.75" customHeight="1">
      <c r="A1455" s="1"/>
      <c r="B1455" s="1"/>
      <c r="C1455" s="1"/>
      <c r="D1455" s="1"/>
      <c r="E1455" s="1"/>
      <c r="F1455" s="1"/>
      <c r="G1455" s="1"/>
      <c r="H1455" s="1"/>
      <c r="I1455" s="1"/>
      <c r="J1455" s="1"/>
      <c r="K1455" s="102" t="s">
        <v>2739</v>
      </c>
      <c r="L1455" s="102" t="str">
        <f>A29</f>
        <v>J</v>
      </c>
      <c r="M1455" s="102" t="s">
        <v>2740</v>
      </c>
      <c r="N1455" s="102" t="s">
        <v>2736</v>
      </c>
      <c r="O1455" s="105">
        <v>2.1923739E7</v>
      </c>
      <c r="P1455" s="105">
        <v>1.9761853E7</v>
      </c>
      <c r="Q1455" s="102" t="s">
        <v>2432</v>
      </c>
      <c r="R1455" s="1"/>
      <c r="S1455" s="1"/>
      <c r="T1455" s="1"/>
      <c r="U1455" s="1"/>
      <c r="V1455" s="1"/>
      <c r="W1455" s="1"/>
      <c r="X1455" s="1"/>
      <c r="Y1455" s="1"/>
      <c r="Z1455" s="102"/>
      <c r="AA1455" s="102"/>
      <c r="AB1455" s="1"/>
      <c r="AC1455" s="1"/>
      <c r="AD1455" s="1"/>
      <c r="AE1455" s="1"/>
      <c r="AF1455" s="1"/>
      <c r="AG1455" s="1"/>
    </row>
    <row r="1456" ht="15.75" customHeight="1">
      <c r="A1456" s="1"/>
      <c r="B1456" s="1"/>
      <c r="C1456" s="1"/>
      <c r="D1456" s="1"/>
      <c r="E1456" s="1"/>
      <c r="F1456" s="1"/>
      <c r="G1456" s="1"/>
      <c r="H1456" s="1"/>
      <c r="I1456" s="1"/>
      <c r="J1456" s="1"/>
      <c r="K1456" s="102" t="s">
        <v>2741</v>
      </c>
      <c r="L1456" s="102" t="str">
        <f>A29</f>
        <v>J</v>
      </c>
      <c r="M1456" s="102" t="s">
        <v>2742</v>
      </c>
      <c r="N1456" s="102" t="s">
        <v>2743</v>
      </c>
      <c r="O1456" s="105">
        <v>1.00381E7</v>
      </c>
      <c r="P1456" s="105">
        <v>1.0200491E7</v>
      </c>
      <c r="Q1456" s="102" t="s">
        <v>2439</v>
      </c>
      <c r="R1456" s="1"/>
      <c r="S1456" s="1"/>
      <c r="T1456" s="1"/>
      <c r="U1456" s="1"/>
      <c r="V1456" s="1"/>
      <c r="W1456" s="1"/>
      <c r="X1456" s="1"/>
      <c r="Y1456" s="1"/>
      <c r="Z1456" s="102"/>
      <c r="AA1456" s="102"/>
      <c r="AB1456" s="1"/>
      <c r="AC1456" s="1"/>
      <c r="AD1456" s="1"/>
      <c r="AE1456" s="1"/>
      <c r="AF1456" s="1"/>
      <c r="AG1456" s="1"/>
    </row>
    <row r="1457" ht="15.75" customHeight="1">
      <c r="A1457" s="1"/>
      <c r="B1457" s="1"/>
      <c r="C1457" s="1"/>
      <c r="D1457" s="1"/>
      <c r="E1457" s="1"/>
      <c r="F1457" s="1"/>
      <c r="G1457" s="1"/>
      <c r="H1457" s="1"/>
      <c r="I1457" s="1"/>
      <c r="J1457" s="1"/>
      <c r="K1457" s="102" t="s">
        <v>2742</v>
      </c>
      <c r="L1457" s="102" t="str">
        <f>A29</f>
        <v>J</v>
      </c>
      <c r="M1457" s="102" t="s">
        <v>2741</v>
      </c>
      <c r="N1457" s="102" t="s">
        <v>2743</v>
      </c>
      <c r="O1457" s="105">
        <v>1.00381E7</v>
      </c>
      <c r="P1457" s="105">
        <v>1.0200491E7</v>
      </c>
      <c r="Q1457" s="102" t="s">
        <v>2439</v>
      </c>
      <c r="R1457" s="1"/>
      <c r="S1457" s="1"/>
      <c r="T1457" s="1"/>
      <c r="U1457" s="1"/>
      <c r="V1457" s="1"/>
      <c r="W1457" s="1"/>
      <c r="X1457" s="1"/>
      <c r="Y1457" s="1"/>
      <c r="Z1457" s="102"/>
      <c r="AA1457" s="102"/>
      <c r="AB1457" s="1"/>
      <c r="AC1457" s="1"/>
      <c r="AD1457" s="1"/>
      <c r="AE1457" s="1"/>
      <c r="AF1457" s="1"/>
      <c r="AG1457" s="1"/>
    </row>
    <row r="1458" ht="15.75" customHeight="1">
      <c r="A1458" s="1"/>
      <c r="B1458" s="1"/>
      <c r="C1458" s="1"/>
      <c r="D1458" s="1"/>
      <c r="E1458" s="1"/>
      <c r="F1458" s="1"/>
      <c r="G1458" s="1"/>
      <c r="H1458" s="1"/>
      <c r="I1458" s="1"/>
      <c r="J1458" s="1"/>
      <c r="K1458" s="102" t="s">
        <v>2744</v>
      </c>
      <c r="L1458" s="102" t="str">
        <f>A29</f>
        <v>J</v>
      </c>
      <c r="M1458" s="102" t="s">
        <v>2745</v>
      </c>
      <c r="N1458" s="102" t="s">
        <v>2746</v>
      </c>
      <c r="O1458" s="105">
        <v>5067300.0</v>
      </c>
      <c r="P1458" s="105">
        <v>5199259.0</v>
      </c>
      <c r="Q1458" s="102" t="s">
        <v>2439</v>
      </c>
      <c r="R1458" s="1"/>
      <c r="S1458" s="1"/>
      <c r="T1458" s="1"/>
      <c r="U1458" s="1"/>
      <c r="V1458" s="1"/>
      <c r="W1458" s="1"/>
      <c r="X1458" s="1"/>
      <c r="Y1458" s="1"/>
      <c r="Z1458" s="102"/>
      <c r="AA1458" s="102"/>
      <c r="AB1458" s="1"/>
      <c r="AC1458" s="1"/>
      <c r="AD1458" s="1"/>
      <c r="AE1458" s="1"/>
      <c r="AF1458" s="1"/>
      <c r="AG1458" s="1"/>
    </row>
    <row r="1459" ht="15.75" customHeight="1">
      <c r="A1459" s="1"/>
      <c r="B1459" s="1"/>
      <c r="C1459" s="1"/>
      <c r="D1459" s="1"/>
      <c r="E1459" s="1"/>
      <c r="F1459" s="1"/>
      <c r="G1459" s="1"/>
      <c r="H1459" s="1"/>
      <c r="I1459" s="1"/>
      <c r="J1459" s="1"/>
      <c r="K1459" s="102" t="s">
        <v>2745</v>
      </c>
      <c r="L1459" s="102" t="str">
        <f>A29</f>
        <v>J</v>
      </c>
      <c r="M1459" s="102" t="s">
        <v>2744</v>
      </c>
      <c r="N1459" s="102" t="s">
        <v>2746</v>
      </c>
      <c r="O1459" s="105">
        <v>5067300.0</v>
      </c>
      <c r="P1459" s="105">
        <v>5199259.0</v>
      </c>
      <c r="Q1459" s="102" t="s">
        <v>2439</v>
      </c>
      <c r="R1459" s="1"/>
      <c r="S1459" s="1"/>
      <c r="T1459" s="1"/>
      <c r="U1459" s="1"/>
      <c r="V1459" s="1"/>
      <c r="W1459" s="1"/>
      <c r="X1459" s="1"/>
      <c r="Y1459" s="1"/>
      <c r="Z1459" s="102"/>
      <c r="AA1459" s="102"/>
      <c r="AB1459" s="1"/>
      <c r="AC1459" s="1"/>
      <c r="AD1459" s="1"/>
      <c r="AE1459" s="1"/>
      <c r="AF1459" s="1"/>
      <c r="AG1459" s="1"/>
    </row>
    <row r="1460" ht="15.75" customHeight="1">
      <c r="A1460" s="1"/>
      <c r="B1460" s="1"/>
      <c r="C1460" s="1"/>
      <c r="D1460" s="1"/>
      <c r="E1460" s="1"/>
      <c r="F1460" s="1"/>
      <c r="G1460" s="1"/>
      <c r="H1460" s="1"/>
      <c r="I1460" s="1"/>
      <c r="J1460" s="1"/>
      <c r="K1460" s="102" t="s">
        <v>2747</v>
      </c>
      <c r="L1460" s="102" t="str">
        <f>A29</f>
        <v>J</v>
      </c>
      <c r="M1460" s="102" t="s">
        <v>2748</v>
      </c>
      <c r="N1460" s="102" t="s">
        <v>2749</v>
      </c>
      <c r="O1460" s="105">
        <v>1.0038717E7</v>
      </c>
      <c r="P1460" s="105">
        <v>1.0201108E7</v>
      </c>
      <c r="Q1460" s="102" t="s">
        <v>2439</v>
      </c>
      <c r="R1460" s="1"/>
      <c r="S1460" s="1"/>
      <c r="T1460" s="1"/>
      <c r="U1460" s="1"/>
      <c r="V1460" s="1"/>
      <c r="W1460" s="1"/>
      <c r="X1460" s="1"/>
      <c r="Y1460" s="1"/>
      <c r="Z1460" s="102"/>
      <c r="AA1460" s="102"/>
      <c r="AB1460" s="1"/>
      <c r="AC1460" s="1"/>
      <c r="AD1460" s="1"/>
      <c r="AE1460" s="1"/>
      <c r="AF1460" s="1"/>
      <c r="AG1460" s="1"/>
    </row>
    <row r="1461" ht="15.75" customHeight="1">
      <c r="A1461" s="1"/>
      <c r="B1461" s="1"/>
      <c r="C1461" s="1"/>
      <c r="D1461" s="1"/>
      <c r="E1461" s="1"/>
      <c r="F1461" s="1"/>
      <c r="G1461" s="1"/>
      <c r="H1461" s="1"/>
      <c r="I1461" s="1"/>
      <c r="J1461" s="1"/>
      <c r="K1461" s="102" t="s">
        <v>2750</v>
      </c>
      <c r="L1461" s="102" t="str">
        <f>A29</f>
        <v>J</v>
      </c>
      <c r="M1461" s="102" t="s">
        <v>2751</v>
      </c>
      <c r="N1461" s="102" t="s">
        <v>2749</v>
      </c>
      <c r="O1461" s="105">
        <v>1.0038717E7</v>
      </c>
      <c r="P1461" s="105">
        <v>1.0201108E7</v>
      </c>
      <c r="Q1461" s="102" t="s">
        <v>2439</v>
      </c>
      <c r="R1461" s="1"/>
      <c r="S1461" s="1"/>
      <c r="T1461" s="1"/>
      <c r="U1461" s="1"/>
      <c r="V1461" s="1"/>
      <c r="W1461" s="1"/>
      <c r="X1461" s="1"/>
      <c r="Y1461" s="1"/>
      <c r="Z1461" s="102"/>
      <c r="AA1461" s="102"/>
      <c r="AB1461" s="1"/>
      <c r="AC1461" s="1"/>
      <c r="AD1461" s="1"/>
      <c r="AE1461" s="1"/>
      <c r="AF1461" s="1"/>
      <c r="AG1461" s="1"/>
    </row>
    <row r="1462" ht="15.75" customHeight="1">
      <c r="A1462" s="1"/>
      <c r="B1462" s="1"/>
      <c r="C1462" s="1"/>
      <c r="D1462" s="1"/>
      <c r="E1462" s="1"/>
      <c r="F1462" s="1"/>
      <c r="G1462" s="1"/>
      <c r="H1462" s="1"/>
      <c r="I1462" s="1"/>
      <c r="J1462" s="1"/>
      <c r="K1462" s="102" t="s">
        <v>2752</v>
      </c>
      <c r="L1462" s="102" t="str">
        <f>A29</f>
        <v>J</v>
      </c>
      <c r="M1462" s="102" t="s">
        <v>2753</v>
      </c>
      <c r="N1462" s="102" t="s">
        <v>2749</v>
      </c>
      <c r="O1462" s="105">
        <v>1.0038717E7</v>
      </c>
      <c r="P1462" s="105">
        <v>1.0201108E7</v>
      </c>
      <c r="Q1462" s="102" t="s">
        <v>2439</v>
      </c>
      <c r="R1462" s="1"/>
      <c r="S1462" s="1"/>
      <c r="T1462" s="1"/>
      <c r="U1462" s="1"/>
      <c r="V1462" s="1"/>
      <c r="W1462" s="1"/>
      <c r="X1462" s="1"/>
      <c r="Y1462" s="1"/>
      <c r="Z1462" s="102"/>
      <c r="AA1462" s="102"/>
      <c r="AB1462" s="1"/>
      <c r="AC1462" s="1"/>
      <c r="AD1462" s="1"/>
      <c r="AE1462" s="1"/>
      <c r="AF1462" s="1"/>
      <c r="AG1462" s="1"/>
    </row>
    <row r="1463" ht="15.75" customHeight="1">
      <c r="A1463" s="1"/>
      <c r="B1463" s="1"/>
      <c r="C1463" s="1"/>
      <c r="D1463" s="1"/>
      <c r="E1463" s="1"/>
      <c r="F1463" s="1"/>
      <c r="G1463" s="1"/>
      <c r="H1463" s="1"/>
      <c r="I1463" s="1"/>
      <c r="J1463" s="1"/>
      <c r="K1463" s="102" t="s">
        <v>2754</v>
      </c>
      <c r="L1463" s="102" t="str">
        <f>A29</f>
        <v>J</v>
      </c>
      <c r="M1463" s="102" t="s">
        <v>2755</v>
      </c>
      <c r="N1463" s="102" t="s">
        <v>2756</v>
      </c>
      <c r="O1463" s="105">
        <v>8786801.0</v>
      </c>
      <c r="P1463" s="105">
        <v>8918760.0</v>
      </c>
      <c r="Q1463" s="102" t="s">
        <v>2439</v>
      </c>
      <c r="R1463" s="1"/>
      <c r="S1463" s="1"/>
      <c r="T1463" s="1"/>
      <c r="U1463" s="1"/>
      <c r="V1463" s="1"/>
      <c r="W1463" s="1"/>
      <c r="X1463" s="1"/>
      <c r="Y1463" s="1"/>
      <c r="Z1463" s="102"/>
      <c r="AA1463" s="102"/>
      <c r="AB1463" s="1"/>
      <c r="AC1463" s="1"/>
      <c r="AD1463" s="1"/>
      <c r="AE1463" s="1"/>
      <c r="AF1463" s="1"/>
      <c r="AG1463" s="1"/>
    </row>
    <row r="1464" ht="15.75" customHeight="1">
      <c r="A1464" s="1"/>
      <c r="B1464" s="1"/>
      <c r="C1464" s="1"/>
      <c r="D1464" s="1"/>
      <c r="E1464" s="1"/>
      <c r="F1464" s="1"/>
      <c r="G1464" s="1"/>
      <c r="H1464" s="1"/>
      <c r="I1464" s="1"/>
      <c r="J1464" s="1"/>
      <c r="K1464" s="102" t="s">
        <v>2755</v>
      </c>
      <c r="L1464" s="102" t="str">
        <f>A29</f>
        <v>J</v>
      </c>
      <c r="M1464" s="102" t="s">
        <v>2754</v>
      </c>
      <c r="N1464" s="102" t="s">
        <v>2756</v>
      </c>
      <c r="O1464" s="105">
        <v>8786801.0</v>
      </c>
      <c r="P1464" s="105">
        <v>8918760.0</v>
      </c>
      <c r="Q1464" s="102" t="s">
        <v>2439</v>
      </c>
      <c r="R1464" s="1"/>
      <c r="S1464" s="1"/>
      <c r="T1464" s="1"/>
      <c r="U1464" s="1"/>
      <c r="V1464" s="1"/>
      <c r="W1464" s="1"/>
      <c r="X1464" s="1"/>
      <c r="Y1464" s="1"/>
      <c r="Z1464" s="102"/>
      <c r="AA1464" s="102"/>
      <c r="AB1464" s="1"/>
      <c r="AC1464" s="1"/>
      <c r="AD1464" s="1"/>
      <c r="AE1464" s="1"/>
      <c r="AF1464" s="1"/>
      <c r="AG1464" s="1"/>
    </row>
    <row r="1465" ht="15.75" customHeight="1">
      <c r="A1465" s="1"/>
      <c r="B1465" s="1"/>
      <c r="C1465" s="1"/>
      <c r="D1465" s="1"/>
      <c r="E1465" s="1"/>
      <c r="F1465" s="1"/>
      <c r="G1465" s="1"/>
      <c r="H1465" s="1"/>
      <c r="I1465" s="1"/>
      <c r="J1465" s="1"/>
      <c r="K1465" s="102" t="s">
        <v>2757</v>
      </c>
      <c r="L1465" s="102" t="str">
        <f>A29</f>
        <v>J</v>
      </c>
      <c r="M1465" s="102" t="s">
        <v>2758</v>
      </c>
      <c r="N1465" s="102" t="s">
        <v>2759</v>
      </c>
      <c r="O1465" s="105">
        <v>1.4237131E7</v>
      </c>
      <c r="P1465" s="105">
        <v>1.2116425E7</v>
      </c>
      <c r="Q1465" s="102" t="s">
        <v>2501</v>
      </c>
      <c r="R1465" s="1"/>
      <c r="S1465" s="1"/>
      <c r="T1465" s="1"/>
      <c r="U1465" s="1"/>
      <c r="V1465" s="1"/>
      <c r="W1465" s="1"/>
      <c r="X1465" s="1"/>
      <c r="Y1465" s="1"/>
      <c r="Z1465" s="102"/>
      <c r="AA1465" s="102"/>
      <c r="AB1465" s="1"/>
      <c r="AC1465" s="1"/>
      <c r="AD1465" s="1"/>
      <c r="AE1465" s="1"/>
      <c r="AF1465" s="1"/>
      <c r="AG1465" s="1"/>
    </row>
    <row r="1466" ht="15.75" customHeight="1">
      <c r="A1466" s="1"/>
      <c r="B1466" s="1"/>
      <c r="C1466" s="1"/>
      <c r="D1466" s="1"/>
      <c r="E1466" s="1"/>
      <c r="F1466" s="1"/>
      <c r="G1466" s="1"/>
      <c r="H1466" s="1"/>
      <c r="I1466" s="1"/>
      <c r="J1466" s="1"/>
      <c r="K1466" s="102" t="s">
        <v>2760</v>
      </c>
      <c r="L1466" s="102" t="str">
        <f>A29</f>
        <v>J</v>
      </c>
      <c r="M1466" s="102" t="s">
        <v>2761</v>
      </c>
      <c r="N1466" s="102" t="s">
        <v>2759</v>
      </c>
      <c r="O1466" s="105">
        <v>1.4237131E7</v>
      </c>
      <c r="P1466" s="105">
        <v>1.2116425E7</v>
      </c>
      <c r="Q1466" s="102" t="s">
        <v>2501</v>
      </c>
      <c r="R1466" s="1"/>
      <c r="S1466" s="1"/>
      <c r="T1466" s="1"/>
      <c r="U1466" s="1"/>
      <c r="V1466" s="1"/>
      <c r="W1466" s="1"/>
      <c r="X1466" s="1"/>
      <c r="Y1466" s="1"/>
      <c r="Z1466" s="102"/>
      <c r="AA1466" s="102"/>
      <c r="AB1466" s="1"/>
      <c r="AC1466" s="1"/>
      <c r="AD1466" s="1"/>
      <c r="AE1466" s="1"/>
      <c r="AF1466" s="1"/>
      <c r="AG1466" s="1"/>
    </row>
    <row r="1467" ht="15.75" customHeight="1">
      <c r="A1467" s="1"/>
      <c r="B1467" s="1"/>
      <c r="C1467" s="1"/>
      <c r="D1467" s="1"/>
      <c r="E1467" s="1"/>
      <c r="F1467" s="1"/>
      <c r="G1467" s="1"/>
      <c r="H1467" s="1"/>
      <c r="I1467" s="1"/>
      <c r="J1467" s="1"/>
      <c r="K1467" s="102" t="s">
        <v>2762</v>
      </c>
      <c r="L1467" s="102" t="str">
        <f>A29</f>
        <v>J</v>
      </c>
      <c r="M1467" s="102" t="s">
        <v>2763</v>
      </c>
      <c r="N1467" s="102" t="s">
        <v>2759</v>
      </c>
      <c r="O1467" s="105">
        <v>1.4237131E7</v>
      </c>
      <c r="P1467" s="105">
        <v>1.2116425E7</v>
      </c>
      <c r="Q1467" s="102" t="s">
        <v>2501</v>
      </c>
      <c r="R1467" s="1"/>
      <c r="S1467" s="1"/>
      <c r="T1467" s="1"/>
      <c r="U1467" s="1"/>
      <c r="V1467" s="1"/>
      <c r="W1467" s="1"/>
      <c r="X1467" s="1"/>
      <c r="Y1467" s="1"/>
      <c r="Z1467" s="102"/>
      <c r="AA1467" s="102"/>
      <c r="AB1467" s="1"/>
      <c r="AC1467" s="1"/>
      <c r="AD1467" s="1"/>
      <c r="AE1467" s="1"/>
      <c r="AF1467" s="1"/>
      <c r="AG1467" s="1"/>
    </row>
    <row r="1468" ht="15.75" customHeight="1">
      <c r="A1468" s="1"/>
      <c r="B1468" s="1"/>
      <c r="C1468" s="1"/>
      <c r="D1468" s="1"/>
      <c r="E1468" s="1"/>
      <c r="F1468" s="1"/>
      <c r="G1468" s="1"/>
      <c r="H1468" s="1"/>
      <c r="I1468" s="1"/>
      <c r="J1468" s="1"/>
      <c r="K1468" s="102" t="s">
        <v>2764</v>
      </c>
      <c r="L1468" s="102" t="str">
        <f>A29</f>
        <v>J</v>
      </c>
      <c r="M1468" s="102" t="s">
        <v>2765</v>
      </c>
      <c r="N1468" s="102" t="s">
        <v>2766</v>
      </c>
      <c r="O1468" s="105">
        <v>1.4850935E7</v>
      </c>
      <c r="P1468" s="105">
        <v>1.2739001E7</v>
      </c>
      <c r="Q1468" s="102" t="s">
        <v>2514</v>
      </c>
      <c r="R1468" s="1"/>
      <c r="S1468" s="1"/>
      <c r="T1468" s="1"/>
      <c r="U1468" s="1"/>
      <c r="V1468" s="1"/>
      <c r="W1468" s="1"/>
      <c r="X1468" s="1"/>
      <c r="Y1468" s="1"/>
      <c r="Z1468" s="102"/>
      <c r="AA1468" s="102"/>
      <c r="AB1468" s="1"/>
      <c r="AC1468" s="1"/>
      <c r="AD1468" s="1"/>
      <c r="AE1468" s="1"/>
      <c r="AF1468" s="1"/>
      <c r="AG1468" s="1"/>
    </row>
    <row r="1469" ht="15.75" customHeight="1">
      <c r="A1469" s="1"/>
      <c r="B1469" s="1"/>
      <c r="C1469" s="1"/>
      <c r="D1469" s="1"/>
      <c r="E1469" s="1"/>
      <c r="F1469" s="1"/>
      <c r="G1469" s="1"/>
      <c r="H1469" s="1"/>
      <c r="I1469" s="1"/>
      <c r="J1469" s="1"/>
      <c r="K1469" s="102" t="s">
        <v>2765</v>
      </c>
      <c r="L1469" s="102" t="str">
        <f>A29</f>
        <v>J</v>
      </c>
      <c r="M1469" s="102" t="s">
        <v>2764</v>
      </c>
      <c r="N1469" s="102" t="s">
        <v>2766</v>
      </c>
      <c r="O1469" s="105">
        <v>1.4850935E7</v>
      </c>
      <c r="P1469" s="105">
        <v>1.2739001E7</v>
      </c>
      <c r="Q1469" s="102" t="s">
        <v>2514</v>
      </c>
      <c r="R1469" s="1"/>
      <c r="S1469" s="1"/>
      <c r="T1469" s="1"/>
      <c r="U1469" s="1"/>
      <c r="V1469" s="1"/>
      <c r="W1469" s="1"/>
      <c r="X1469" s="1"/>
      <c r="Y1469" s="1"/>
      <c r="Z1469" s="102"/>
      <c r="AA1469" s="102"/>
      <c r="AB1469" s="1"/>
      <c r="AC1469" s="1"/>
      <c r="AD1469" s="1"/>
      <c r="AE1469" s="1"/>
      <c r="AF1469" s="1"/>
      <c r="AG1469" s="1"/>
    </row>
    <row r="1470" ht="15.75" customHeight="1">
      <c r="A1470" s="1"/>
      <c r="B1470" s="1"/>
      <c r="C1470" s="1"/>
      <c r="D1470" s="1"/>
      <c r="E1470" s="1"/>
      <c r="F1470" s="1"/>
      <c r="G1470" s="1"/>
      <c r="H1470" s="1"/>
      <c r="I1470" s="1"/>
      <c r="J1470" s="1"/>
      <c r="K1470" s="102" t="s">
        <v>2767</v>
      </c>
      <c r="L1470" s="102" t="str">
        <f>A29</f>
        <v>J</v>
      </c>
      <c r="M1470" s="102" t="s">
        <v>2768</v>
      </c>
      <c r="N1470" s="102" t="s">
        <v>2769</v>
      </c>
      <c r="O1470" s="105">
        <v>2.3088142E7</v>
      </c>
      <c r="P1470" s="105">
        <v>2.0926256E7</v>
      </c>
      <c r="Q1470" s="102" t="s">
        <v>2529</v>
      </c>
      <c r="R1470" s="1"/>
      <c r="S1470" s="1"/>
      <c r="T1470" s="1"/>
      <c r="U1470" s="1"/>
      <c r="V1470" s="1"/>
      <c r="W1470" s="1"/>
      <c r="X1470" s="1"/>
      <c r="Y1470" s="1"/>
      <c r="Z1470" s="102"/>
      <c r="AA1470" s="102"/>
      <c r="AB1470" s="1"/>
      <c r="AC1470" s="1"/>
      <c r="AD1470" s="1"/>
      <c r="AE1470" s="1"/>
      <c r="AF1470" s="1"/>
      <c r="AG1470" s="1"/>
    </row>
    <row r="1471" ht="15.75" customHeight="1">
      <c r="A1471" s="1"/>
      <c r="B1471" s="1"/>
      <c r="C1471" s="1"/>
      <c r="D1471" s="1"/>
      <c r="E1471" s="1"/>
      <c r="F1471" s="1"/>
      <c r="G1471" s="1"/>
      <c r="H1471" s="1"/>
      <c r="I1471" s="1"/>
      <c r="J1471" s="1"/>
      <c r="K1471" s="102" t="s">
        <v>2770</v>
      </c>
      <c r="L1471" s="102" t="str">
        <f>A29</f>
        <v>J</v>
      </c>
      <c r="M1471" s="102" t="s">
        <v>2771</v>
      </c>
      <c r="N1471" s="102" t="s">
        <v>2769</v>
      </c>
      <c r="O1471" s="105">
        <v>2.3088142E7</v>
      </c>
      <c r="P1471" s="105">
        <v>2.0926256E7</v>
      </c>
      <c r="Q1471" s="102" t="s">
        <v>2529</v>
      </c>
      <c r="R1471" s="1"/>
      <c r="S1471" s="1"/>
      <c r="T1471" s="1"/>
      <c r="U1471" s="1"/>
      <c r="V1471" s="1"/>
      <c r="W1471" s="1"/>
      <c r="X1471" s="1"/>
      <c r="Y1471" s="1"/>
      <c r="Z1471" s="102"/>
      <c r="AA1471" s="102"/>
      <c r="AB1471" s="1"/>
      <c r="AC1471" s="1"/>
      <c r="AD1471" s="1"/>
      <c r="AE1471" s="1"/>
      <c r="AF1471" s="1"/>
      <c r="AG1471" s="1"/>
    </row>
    <row r="1472" ht="15.75" customHeight="1">
      <c r="A1472" s="1"/>
      <c r="B1472" s="1"/>
      <c r="C1472" s="1"/>
      <c r="D1472" s="1"/>
      <c r="E1472" s="1"/>
      <c r="F1472" s="1"/>
      <c r="G1472" s="1"/>
      <c r="H1472" s="1"/>
      <c r="I1472" s="1"/>
      <c r="J1472" s="1"/>
      <c r="K1472" s="102" t="s">
        <v>2772</v>
      </c>
      <c r="L1472" s="102" t="str">
        <f>A29</f>
        <v>J</v>
      </c>
      <c r="M1472" s="102" t="s">
        <v>2773</v>
      </c>
      <c r="N1472" s="102" t="s">
        <v>2769</v>
      </c>
      <c r="O1472" s="105">
        <v>2.3088142E7</v>
      </c>
      <c r="P1472" s="105">
        <v>2.0926256E7</v>
      </c>
      <c r="Q1472" s="102" t="s">
        <v>2529</v>
      </c>
      <c r="R1472" s="1"/>
      <c r="S1472" s="1"/>
      <c r="T1472" s="1"/>
      <c r="U1472" s="1"/>
      <c r="V1472" s="1"/>
      <c r="W1472" s="1"/>
      <c r="X1472" s="1"/>
      <c r="Y1472" s="1"/>
      <c r="Z1472" s="102"/>
      <c r="AA1472" s="102"/>
      <c r="AB1472" s="1"/>
      <c r="AC1472" s="1"/>
      <c r="AD1472" s="1"/>
      <c r="AE1472" s="1"/>
      <c r="AF1472" s="1"/>
      <c r="AG1472" s="1"/>
    </row>
    <row r="1473" ht="15.75" customHeight="1">
      <c r="A1473" s="1"/>
      <c r="B1473" s="1"/>
      <c r="C1473" s="1"/>
      <c r="D1473" s="1"/>
      <c r="E1473" s="1"/>
      <c r="F1473" s="1"/>
      <c r="G1473" s="1"/>
      <c r="H1473" s="1"/>
      <c r="I1473" s="1"/>
      <c r="J1473" s="1"/>
      <c r="K1473" s="102" t="s">
        <v>2774</v>
      </c>
      <c r="L1473" s="102" t="str">
        <f>A29</f>
        <v>J</v>
      </c>
      <c r="M1473" s="102" t="s">
        <v>2775</v>
      </c>
      <c r="N1473" s="102" t="s">
        <v>2776</v>
      </c>
      <c r="O1473" s="105">
        <v>1.9179335E7</v>
      </c>
      <c r="P1473" s="105">
        <v>1.7067455E7</v>
      </c>
      <c r="Q1473" s="102" t="s">
        <v>2529</v>
      </c>
      <c r="R1473" s="1"/>
      <c r="S1473" s="1"/>
      <c r="T1473" s="1"/>
      <c r="U1473" s="1"/>
      <c r="V1473" s="1"/>
      <c r="W1473" s="1"/>
      <c r="X1473" s="1"/>
      <c r="Y1473" s="1"/>
      <c r="Z1473" s="102"/>
      <c r="AA1473" s="102"/>
      <c r="AB1473" s="1"/>
      <c r="AC1473" s="1"/>
      <c r="AD1473" s="1"/>
      <c r="AE1473" s="1"/>
      <c r="AF1473" s="1"/>
      <c r="AG1473" s="1"/>
    </row>
    <row r="1474" ht="15.75" customHeight="1">
      <c r="A1474" s="1"/>
      <c r="B1474" s="1"/>
      <c r="C1474" s="1"/>
      <c r="D1474" s="1"/>
      <c r="E1474" s="1"/>
      <c r="F1474" s="1"/>
      <c r="G1474" s="1"/>
      <c r="H1474" s="1"/>
      <c r="I1474" s="1"/>
      <c r="J1474" s="1"/>
      <c r="K1474" s="102" t="s">
        <v>2775</v>
      </c>
      <c r="L1474" s="102" t="str">
        <f>A29</f>
        <v>J</v>
      </c>
      <c r="M1474" s="102" t="s">
        <v>2774</v>
      </c>
      <c r="N1474" s="102" t="s">
        <v>2776</v>
      </c>
      <c r="O1474" s="105">
        <v>1.9179335E7</v>
      </c>
      <c r="P1474" s="105">
        <v>1.7067455E7</v>
      </c>
      <c r="Q1474" s="102" t="s">
        <v>2529</v>
      </c>
      <c r="R1474" s="1"/>
      <c r="S1474" s="1"/>
      <c r="T1474" s="1"/>
      <c r="U1474" s="1"/>
      <c r="V1474" s="1"/>
      <c r="W1474" s="1"/>
      <c r="X1474" s="1"/>
      <c r="Y1474" s="1"/>
      <c r="Z1474" s="102"/>
      <c r="AA1474" s="102"/>
      <c r="AB1474" s="1"/>
      <c r="AC1474" s="1"/>
      <c r="AD1474" s="1"/>
      <c r="AE1474" s="1"/>
      <c r="AF1474" s="1"/>
      <c r="AG1474" s="1"/>
    </row>
    <row r="1475" ht="15.75" customHeight="1">
      <c r="A1475" s="1"/>
      <c r="B1475" s="1"/>
      <c r="C1475" s="1"/>
      <c r="D1475" s="1"/>
      <c r="E1475" s="1"/>
      <c r="F1475" s="1"/>
      <c r="G1475" s="1"/>
      <c r="H1475" s="1"/>
      <c r="I1475" s="1"/>
      <c r="J1475" s="1"/>
      <c r="K1475" s="102" t="s">
        <v>2777</v>
      </c>
      <c r="L1475" s="102" t="str">
        <f>A29</f>
        <v>J</v>
      </c>
      <c r="M1475" s="102" t="s">
        <v>2778</v>
      </c>
      <c r="N1475" s="102" t="s">
        <v>2779</v>
      </c>
      <c r="O1475" s="105">
        <v>7065239.0</v>
      </c>
      <c r="P1475" s="105">
        <v>7197198.0</v>
      </c>
      <c r="Q1475" s="102" t="s">
        <v>2529</v>
      </c>
      <c r="R1475" s="1"/>
      <c r="S1475" s="1"/>
      <c r="T1475" s="1"/>
      <c r="U1475" s="1"/>
      <c r="V1475" s="1"/>
      <c r="W1475" s="1"/>
      <c r="X1475" s="1"/>
      <c r="Y1475" s="1"/>
      <c r="Z1475" s="102"/>
      <c r="AA1475" s="102"/>
      <c r="AB1475" s="1"/>
      <c r="AC1475" s="1"/>
      <c r="AD1475" s="1"/>
      <c r="AE1475" s="1"/>
      <c r="AF1475" s="1"/>
      <c r="AG1475" s="1"/>
    </row>
    <row r="1476" ht="15.75" customHeight="1">
      <c r="A1476" s="1"/>
      <c r="B1476" s="1"/>
      <c r="C1476" s="1"/>
      <c r="D1476" s="1"/>
      <c r="E1476" s="1"/>
      <c r="F1476" s="1"/>
      <c r="G1476" s="1"/>
      <c r="H1476" s="1"/>
      <c r="I1476" s="1"/>
      <c r="J1476" s="1"/>
      <c r="K1476" s="102" t="s">
        <v>2778</v>
      </c>
      <c r="L1476" s="102" t="str">
        <f>A29</f>
        <v>J</v>
      </c>
      <c r="M1476" s="102" t="s">
        <v>2777</v>
      </c>
      <c r="N1476" s="102" t="s">
        <v>2779</v>
      </c>
      <c r="O1476" s="105">
        <v>7065239.0</v>
      </c>
      <c r="P1476" s="105">
        <v>7197198.0</v>
      </c>
      <c r="Q1476" s="102" t="s">
        <v>2529</v>
      </c>
      <c r="R1476" s="1"/>
      <c r="S1476" s="1"/>
      <c r="T1476" s="1"/>
      <c r="U1476" s="1"/>
      <c r="V1476" s="1"/>
      <c r="W1476" s="1"/>
      <c r="X1476" s="1"/>
      <c r="Y1476" s="1"/>
      <c r="Z1476" s="102"/>
      <c r="AA1476" s="102"/>
      <c r="AB1476" s="1"/>
      <c r="AC1476" s="1"/>
      <c r="AD1476" s="1"/>
      <c r="AE1476" s="1"/>
      <c r="AF1476" s="1"/>
      <c r="AG1476" s="1"/>
    </row>
    <row r="1477" ht="15.75" customHeight="1">
      <c r="A1477" s="1"/>
      <c r="B1477" s="1"/>
      <c r="C1477" s="1"/>
      <c r="D1477" s="1"/>
      <c r="E1477" s="1"/>
      <c r="F1477" s="1"/>
      <c r="G1477" s="1"/>
      <c r="H1477" s="1"/>
      <c r="I1477" s="1"/>
      <c r="J1477" s="1"/>
      <c r="K1477" s="102" t="s">
        <v>2780</v>
      </c>
      <c r="L1477" s="102" t="str">
        <f>A29</f>
        <v>J</v>
      </c>
      <c r="M1477" s="102" t="s">
        <v>2781</v>
      </c>
      <c r="N1477" s="102" t="s">
        <v>2782</v>
      </c>
      <c r="O1477" s="105">
        <v>7126936.0</v>
      </c>
      <c r="P1477" s="105">
        <v>7258895.0</v>
      </c>
      <c r="Q1477" s="102" t="s">
        <v>2446</v>
      </c>
      <c r="R1477" s="1"/>
      <c r="S1477" s="1"/>
      <c r="T1477" s="1"/>
      <c r="U1477" s="1"/>
      <c r="V1477" s="1"/>
      <c r="W1477" s="1"/>
      <c r="X1477" s="1"/>
      <c r="Y1477" s="1"/>
      <c r="Z1477" s="102"/>
      <c r="AA1477" s="102"/>
      <c r="AB1477" s="1"/>
      <c r="AC1477" s="1"/>
      <c r="AD1477" s="1"/>
      <c r="AE1477" s="1"/>
      <c r="AF1477" s="1"/>
      <c r="AG1477" s="1"/>
    </row>
    <row r="1478" ht="15.75" customHeight="1">
      <c r="A1478" s="1"/>
      <c r="B1478" s="1"/>
      <c r="C1478" s="1"/>
      <c r="D1478" s="1"/>
      <c r="E1478" s="1"/>
      <c r="F1478" s="1"/>
      <c r="G1478" s="1"/>
      <c r="H1478" s="1"/>
      <c r="I1478" s="1"/>
      <c r="J1478" s="1"/>
      <c r="K1478" s="102" t="s">
        <v>2781</v>
      </c>
      <c r="L1478" s="102" t="str">
        <f>A29</f>
        <v>J</v>
      </c>
      <c r="M1478" s="102" t="s">
        <v>2780</v>
      </c>
      <c r="N1478" s="102" t="s">
        <v>2782</v>
      </c>
      <c r="O1478" s="105">
        <v>7126936.0</v>
      </c>
      <c r="P1478" s="105">
        <v>7258895.0</v>
      </c>
      <c r="Q1478" s="102" t="s">
        <v>2446</v>
      </c>
      <c r="R1478" s="1"/>
      <c r="S1478" s="1"/>
      <c r="T1478" s="1"/>
      <c r="U1478" s="1"/>
      <c r="V1478" s="1"/>
      <c r="W1478" s="1"/>
      <c r="X1478" s="1"/>
      <c r="Y1478" s="1"/>
      <c r="Z1478" s="102"/>
      <c r="AA1478" s="102"/>
      <c r="AB1478" s="1"/>
      <c r="AC1478" s="1"/>
      <c r="AD1478" s="1"/>
      <c r="AE1478" s="1"/>
      <c r="AF1478" s="1"/>
      <c r="AG1478" s="1"/>
    </row>
    <row r="1479" ht="15.75" customHeight="1">
      <c r="A1479" s="1"/>
      <c r="B1479" s="1"/>
      <c r="C1479" s="1"/>
      <c r="D1479" s="1"/>
      <c r="E1479" s="1"/>
      <c r="F1479" s="1"/>
      <c r="G1479" s="1"/>
      <c r="H1479" s="1"/>
      <c r="I1479" s="1"/>
      <c r="J1479" s="1"/>
      <c r="K1479" s="102" t="s">
        <v>2783</v>
      </c>
      <c r="L1479" s="102" t="str">
        <f>A29</f>
        <v>J</v>
      </c>
      <c r="M1479" s="102" t="s">
        <v>2784</v>
      </c>
      <c r="N1479" s="102" t="s">
        <v>2785</v>
      </c>
      <c r="O1479" s="105">
        <v>7517252.0</v>
      </c>
      <c r="P1479" s="105">
        <v>7649211.0</v>
      </c>
      <c r="Q1479" s="102" t="s">
        <v>2446</v>
      </c>
      <c r="R1479" s="1"/>
      <c r="S1479" s="1"/>
      <c r="T1479" s="1"/>
      <c r="U1479" s="1"/>
      <c r="V1479" s="1"/>
      <c r="W1479" s="1"/>
      <c r="X1479" s="1"/>
      <c r="Y1479" s="1"/>
      <c r="Z1479" s="102"/>
      <c r="AA1479" s="102"/>
      <c r="AB1479" s="1"/>
      <c r="AC1479" s="1"/>
      <c r="AD1479" s="1"/>
      <c r="AE1479" s="1"/>
      <c r="AF1479" s="1"/>
      <c r="AG1479" s="1"/>
    </row>
    <row r="1480" ht="15.75" customHeight="1">
      <c r="A1480" s="1"/>
      <c r="B1480" s="1"/>
      <c r="C1480" s="1"/>
      <c r="D1480" s="1"/>
      <c r="E1480" s="1"/>
      <c r="F1480" s="1"/>
      <c r="G1480" s="1"/>
      <c r="H1480" s="1"/>
      <c r="I1480" s="1"/>
      <c r="J1480" s="1"/>
      <c r="K1480" s="102" t="s">
        <v>2784</v>
      </c>
      <c r="L1480" s="102" t="str">
        <f>A29</f>
        <v>J</v>
      </c>
      <c r="M1480" s="102" t="s">
        <v>2783</v>
      </c>
      <c r="N1480" s="102" t="s">
        <v>2785</v>
      </c>
      <c r="O1480" s="105">
        <v>7517252.0</v>
      </c>
      <c r="P1480" s="105">
        <v>7649211.0</v>
      </c>
      <c r="Q1480" s="102" t="s">
        <v>2446</v>
      </c>
      <c r="R1480" s="1"/>
      <c r="S1480" s="1"/>
      <c r="T1480" s="1"/>
      <c r="U1480" s="1"/>
      <c r="V1480" s="1"/>
      <c r="W1480" s="1"/>
      <c r="X1480" s="1"/>
      <c r="Y1480" s="1"/>
      <c r="Z1480" s="102"/>
      <c r="AA1480" s="102"/>
      <c r="AB1480" s="1"/>
      <c r="AC1480" s="1"/>
      <c r="AD1480" s="1"/>
      <c r="AE1480" s="1"/>
      <c r="AF1480" s="1"/>
      <c r="AG1480" s="1"/>
    </row>
    <row r="1481" ht="15.75" customHeight="1">
      <c r="A1481" s="1"/>
      <c r="B1481" s="1"/>
      <c r="C1481" s="1"/>
      <c r="D1481" s="1"/>
      <c r="E1481" s="1"/>
      <c r="F1481" s="1"/>
      <c r="G1481" s="1"/>
      <c r="H1481" s="1"/>
      <c r="I1481" s="1"/>
      <c r="J1481" s="1"/>
      <c r="K1481" s="102" t="s">
        <v>2786</v>
      </c>
      <c r="L1481" s="102" t="str">
        <f>A29</f>
        <v>J</v>
      </c>
      <c r="M1481" s="102"/>
      <c r="N1481" s="102" t="s">
        <v>2787</v>
      </c>
      <c r="O1481" s="105">
        <v>7759610.0</v>
      </c>
      <c r="P1481" s="105">
        <v>7891569.0</v>
      </c>
      <c r="Q1481" s="102" t="s">
        <v>2501</v>
      </c>
      <c r="R1481" s="1"/>
      <c r="S1481" s="1"/>
      <c r="T1481" s="1"/>
      <c r="U1481" s="1"/>
      <c r="V1481" s="1"/>
      <c r="W1481" s="1"/>
      <c r="X1481" s="1"/>
      <c r="Y1481" s="1"/>
      <c r="Z1481" s="102"/>
      <c r="AA1481" s="102"/>
      <c r="AB1481" s="1"/>
      <c r="AC1481" s="1"/>
      <c r="AD1481" s="1"/>
      <c r="AE1481" s="1"/>
      <c r="AF1481" s="1"/>
      <c r="AG1481" s="1"/>
    </row>
    <row r="1482" ht="15.75" customHeight="1">
      <c r="A1482" s="1"/>
      <c r="B1482" s="1"/>
      <c r="C1482" s="1"/>
      <c r="D1482" s="1"/>
      <c r="E1482" s="1"/>
      <c r="F1482" s="1"/>
      <c r="G1482" s="1"/>
      <c r="H1482" s="1"/>
      <c r="I1482" s="1"/>
      <c r="J1482" s="1"/>
      <c r="K1482" s="102" t="s">
        <v>2788</v>
      </c>
      <c r="L1482" s="102" t="str">
        <f>A29</f>
        <v>J</v>
      </c>
      <c r="M1482" s="102"/>
      <c r="N1482" s="102" t="s">
        <v>2789</v>
      </c>
      <c r="O1482" s="105">
        <v>8308114.0</v>
      </c>
      <c r="P1482" s="105">
        <v>8440073.0</v>
      </c>
      <c r="Q1482" s="102" t="s">
        <v>2439</v>
      </c>
      <c r="R1482" s="1"/>
      <c r="S1482" s="1"/>
      <c r="T1482" s="1"/>
      <c r="U1482" s="1"/>
      <c r="V1482" s="1"/>
      <c r="W1482" s="1"/>
      <c r="X1482" s="1"/>
      <c r="Y1482" s="1"/>
      <c r="Z1482" s="102"/>
      <c r="AA1482" s="102"/>
      <c r="AB1482" s="1"/>
      <c r="AC1482" s="1"/>
      <c r="AD1482" s="1"/>
      <c r="AE1482" s="1"/>
      <c r="AF1482" s="1"/>
      <c r="AG1482" s="1"/>
    </row>
    <row r="1483" ht="15.75" customHeight="1">
      <c r="A1483" s="1"/>
      <c r="B1483" s="1"/>
      <c r="C1483" s="1"/>
      <c r="D1483" s="1"/>
      <c r="E1483" s="1"/>
      <c r="F1483" s="1"/>
      <c r="G1483" s="1"/>
      <c r="H1483" s="1"/>
      <c r="I1483" s="1"/>
      <c r="J1483" s="1"/>
      <c r="K1483" s="102" t="s">
        <v>2790</v>
      </c>
      <c r="L1483" s="102" t="str">
        <f>A29</f>
        <v>J</v>
      </c>
      <c r="M1483" s="102"/>
      <c r="N1483" s="102" t="s">
        <v>2791</v>
      </c>
      <c r="O1483" s="105">
        <v>8669451.0</v>
      </c>
      <c r="P1483" s="105">
        <v>8801410.0</v>
      </c>
      <c r="Q1483" s="102" t="s">
        <v>2514</v>
      </c>
      <c r="R1483" s="1"/>
      <c r="S1483" s="1"/>
      <c r="T1483" s="1"/>
      <c r="U1483" s="1"/>
      <c r="V1483" s="1"/>
      <c r="W1483" s="1"/>
      <c r="X1483" s="1"/>
      <c r="Y1483" s="1"/>
      <c r="Z1483" s="102"/>
      <c r="AA1483" s="102"/>
      <c r="AB1483" s="1"/>
      <c r="AC1483" s="1"/>
      <c r="AD1483" s="1"/>
      <c r="AE1483" s="1"/>
      <c r="AF1483" s="1"/>
      <c r="AG1483" s="1"/>
    </row>
    <row r="1484" ht="15.75" customHeight="1">
      <c r="A1484" s="1"/>
      <c r="B1484" s="1"/>
      <c r="C1484" s="1"/>
      <c r="D1484" s="1"/>
      <c r="E1484" s="1"/>
      <c r="F1484" s="1"/>
      <c r="G1484" s="1"/>
      <c r="H1484" s="1"/>
      <c r="I1484" s="1"/>
      <c r="J1484" s="1"/>
      <c r="K1484" s="102" t="s">
        <v>2792</v>
      </c>
      <c r="L1484" s="102" t="str">
        <f>A29</f>
        <v>J</v>
      </c>
      <c r="M1484" s="102"/>
      <c r="N1484" s="102" t="s">
        <v>2793</v>
      </c>
      <c r="O1484" s="105">
        <v>9815201.0</v>
      </c>
      <c r="P1484" s="105">
        <v>9977592.0</v>
      </c>
      <c r="Q1484" s="102" t="s">
        <v>2529</v>
      </c>
      <c r="R1484" s="1"/>
      <c r="S1484" s="1"/>
      <c r="T1484" s="1"/>
      <c r="U1484" s="1"/>
      <c r="V1484" s="1"/>
      <c r="W1484" s="1"/>
      <c r="X1484" s="1"/>
      <c r="Y1484" s="1"/>
      <c r="Z1484" s="102"/>
      <c r="AA1484" s="102"/>
      <c r="AB1484" s="1"/>
      <c r="AC1484" s="1"/>
      <c r="AD1484" s="1"/>
      <c r="AE1484" s="1"/>
      <c r="AF1484" s="1"/>
      <c r="AG1484" s="1"/>
    </row>
    <row r="1485" ht="15.75" customHeight="1">
      <c r="A1485" s="1"/>
      <c r="B1485" s="1"/>
      <c r="C1485" s="1"/>
      <c r="D1485" s="1"/>
      <c r="E1485" s="1"/>
      <c r="F1485" s="1"/>
      <c r="G1485" s="1"/>
      <c r="H1485" s="1"/>
      <c r="I1485" s="1"/>
      <c r="J1485" s="1"/>
      <c r="K1485" s="102" t="s">
        <v>2794</v>
      </c>
      <c r="L1485" s="102" t="str">
        <f>A29</f>
        <v>J</v>
      </c>
      <c r="M1485" s="102"/>
      <c r="N1485" s="102" t="s">
        <v>2795</v>
      </c>
      <c r="O1485" s="105">
        <v>1.0009851E7</v>
      </c>
      <c r="P1485" s="105">
        <v>1.0172242E7</v>
      </c>
      <c r="Q1485" s="102" t="s">
        <v>2439</v>
      </c>
      <c r="R1485" s="1"/>
      <c r="S1485" s="1"/>
      <c r="T1485" s="1"/>
      <c r="U1485" s="1"/>
      <c r="V1485" s="1"/>
      <c r="W1485" s="1"/>
      <c r="X1485" s="1"/>
      <c r="Y1485" s="1"/>
      <c r="Z1485" s="102"/>
      <c r="AA1485" s="102"/>
      <c r="AB1485" s="1"/>
      <c r="AC1485" s="1"/>
      <c r="AD1485" s="1"/>
      <c r="AE1485" s="1"/>
      <c r="AF1485" s="1"/>
      <c r="AG1485" s="1"/>
    </row>
    <row r="1486" ht="15.75" customHeight="1">
      <c r="A1486" s="1"/>
      <c r="B1486" s="1"/>
      <c r="C1486" s="1"/>
      <c r="D1486" s="1"/>
      <c r="E1486" s="1"/>
      <c r="F1486" s="1"/>
      <c r="G1486" s="1"/>
      <c r="H1486" s="1"/>
      <c r="I1486" s="1"/>
      <c r="J1486" s="1"/>
      <c r="K1486" s="102" t="s">
        <v>2796</v>
      </c>
      <c r="L1486" s="102" t="str">
        <f>A29</f>
        <v>J</v>
      </c>
      <c r="M1486" s="102"/>
      <c r="N1486" s="102" t="s">
        <v>2797</v>
      </c>
      <c r="O1486" s="105">
        <v>1.3597365E7</v>
      </c>
      <c r="P1486" s="105">
        <v>1.1441689E7</v>
      </c>
      <c r="Q1486" s="102" t="s">
        <v>2501</v>
      </c>
      <c r="R1486" s="1"/>
      <c r="S1486" s="1"/>
      <c r="T1486" s="1"/>
      <c r="U1486" s="1"/>
      <c r="V1486" s="1"/>
      <c r="W1486" s="1"/>
      <c r="X1486" s="1"/>
      <c r="Y1486" s="1"/>
      <c r="Z1486" s="102"/>
      <c r="AA1486" s="102"/>
      <c r="AB1486" s="1"/>
      <c r="AC1486" s="1"/>
      <c r="AD1486" s="1"/>
      <c r="AE1486" s="1"/>
      <c r="AF1486" s="1"/>
      <c r="AG1486" s="1"/>
    </row>
    <row r="1487" ht="15.75" customHeight="1">
      <c r="A1487" s="1"/>
      <c r="B1487" s="1"/>
      <c r="C1487" s="1"/>
      <c r="D1487" s="1"/>
      <c r="E1487" s="1"/>
      <c r="F1487" s="1"/>
      <c r="G1487" s="1"/>
      <c r="H1487" s="1"/>
      <c r="I1487" s="1"/>
      <c r="J1487" s="1"/>
      <c r="K1487" s="102" t="s">
        <v>2798</v>
      </c>
      <c r="L1487" s="102" t="str">
        <f>A29</f>
        <v>J</v>
      </c>
      <c r="M1487" s="102" t="s">
        <v>2799</v>
      </c>
      <c r="N1487" s="102" t="s">
        <v>2800</v>
      </c>
      <c r="O1487" s="105">
        <v>1.4084606E7</v>
      </c>
      <c r="P1487" s="105">
        <v>1.19639E7</v>
      </c>
      <c r="Q1487" s="102" t="s">
        <v>2446</v>
      </c>
      <c r="R1487" s="1"/>
      <c r="S1487" s="1"/>
      <c r="T1487" s="1"/>
      <c r="U1487" s="1"/>
      <c r="V1487" s="1"/>
      <c r="W1487" s="1"/>
      <c r="X1487" s="1"/>
      <c r="Y1487" s="1"/>
      <c r="Z1487" s="102"/>
      <c r="AA1487" s="102"/>
      <c r="AB1487" s="1"/>
      <c r="AC1487" s="1"/>
      <c r="AD1487" s="1"/>
      <c r="AE1487" s="1"/>
      <c r="AF1487" s="1"/>
      <c r="AG1487" s="1"/>
    </row>
    <row r="1488" ht="15.75" customHeight="1">
      <c r="A1488" s="1"/>
      <c r="B1488" s="1"/>
      <c r="C1488" s="1"/>
      <c r="D1488" s="1"/>
      <c r="E1488" s="1"/>
      <c r="F1488" s="1"/>
      <c r="G1488" s="1"/>
      <c r="H1488" s="1"/>
      <c r="I1488" s="1"/>
      <c r="J1488" s="1"/>
      <c r="K1488" s="102" t="s">
        <v>2799</v>
      </c>
      <c r="L1488" s="102" t="str">
        <f>A29</f>
        <v>J</v>
      </c>
      <c r="M1488" s="102" t="s">
        <v>2798</v>
      </c>
      <c r="N1488" s="102" t="s">
        <v>2800</v>
      </c>
      <c r="O1488" s="105">
        <v>1.4084606E7</v>
      </c>
      <c r="P1488" s="105">
        <v>1.19639E7</v>
      </c>
      <c r="Q1488" s="102" t="s">
        <v>2446</v>
      </c>
      <c r="R1488" s="1"/>
      <c r="S1488" s="1"/>
      <c r="T1488" s="1"/>
      <c r="U1488" s="1"/>
      <c r="V1488" s="1"/>
      <c r="W1488" s="1"/>
      <c r="X1488" s="1"/>
      <c r="Y1488" s="1"/>
      <c r="Z1488" s="102"/>
      <c r="AA1488" s="102"/>
      <c r="AB1488" s="1"/>
      <c r="AC1488" s="1"/>
      <c r="AD1488" s="1"/>
      <c r="AE1488" s="1"/>
      <c r="AF1488" s="1"/>
      <c r="AG1488" s="1"/>
    </row>
    <row r="1489" ht="15.75" customHeight="1">
      <c r="A1489" s="1"/>
      <c r="B1489" s="1"/>
      <c r="C1489" s="1"/>
      <c r="D1489" s="1"/>
      <c r="E1489" s="1"/>
      <c r="F1489" s="1"/>
      <c r="G1489" s="1"/>
      <c r="H1489" s="1"/>
      <c r="I1489" s="1"/>
      <c r="J1489" s="1"/>
      <c r="K1489" s="102" t="s">
        <v>2801</v>
      </c>
      <c r="L1489" s="102" t="str">
        <f>A29</f>
        <v>J</v>
      </c>
      <c r="M1489" s="102" t="s">
        <v>2802</v>
      </c>
      <c r="N1489" s="102" t="s">
        <v>2803</v>
      </c>
      <c r="O1489" s="105">
        <v>1.7605948E7</v>
      </c>
      <c r="P1489" s="105">
        <v>1.5494068E7</v>
      </c>
      <c r="Q1489" s="102" t="s">
        <v>2423</v>
      </c>
      <c r="R1489" s="1"/>
      <c r="S1489" s="1"/>
      <c r="T1489" s="1"/>
      <c r="U1489" s="1"/>
      <c r="V1489" s="1"/>
      <c r="W1489" s="1"/>
      <c r="X1489" s="1"/>
      <c r="Y1489" s="1"/>
      <c r="Z1489" s="102"/>
      <c r="AA1489" s="102"/>
      <c r="AB1489" s="1"/>
      <c r="AC1489" s="1"/>
      <c r="AD1489" s="1"/>
      <c r="AE1489" s="1"/>
      <c r="AF1489" s="1"/>
      <c r="AG1489" s="1"/>
    </row>
    <row r="1490" ht="15.75" customHeight="1">
      <c r="A1490" s="1"/>
      <c r="B1490" s="1"/>
      <c r="C1490" s="1"/>
      <c r="D1490" s="1"/>
      <c r="E1490" s="1"/>
      <c r="F1490" s="1"/>
      <c r="G1490" s="1"/>
      <c r="H1490" s="1"/>
      <c r="I1490" s="1"/>
      <c r="J1490" s="1"/>
      <c r="K1490" s="102" t="s">
        <v>2802</v>
      </c>
      <c r="L1490" s="102" t="str">
        <f>A29</f>
        <v>J</v>
      </c>
      <c r="M1490" s="102" t="s">
        <v>2801</v>
      </c>
      <c r="N1490" s="102" t="s">
        <v>2803</v>
      </c>
      <c r="O1490" s="105">
        <v>1.7605948E7</v>
      </c>
      <c r="P1490" s="105">
        <v>1.5494068E7</v>
      </c>
      <c r="Q1490" s="102" t="s">
        <v>2423</v>
      </c>
      <c r="R1490" s="1"/>
      <c r="S1490" s="1"/>
      <c r="T1490" s="1"/>
      <c r="U1490" s="1"/>
      <c r="V1490" s="1"/>
      <c r="W1490" s="1"/>
      <c r="X1490" s="1"/>
      <c r="Y1490" s="1"/>
      <c r="Z1490" s="102"/>
      <c r="AA1490" s="102"/>
      <c r="AB1490" s="1"/>
      <c r="AC1490" s="1"/>
      <c r="AD1490" s="1"/>
      <c r="AE1490" s="1"/>
      <c r="AF1490" s="1"/>
      <c r="AG1490" s="1"/>
    </row>
    <row r="1491" ht="15.75" customHeight="1">
      <c r="A1491" s="1"/>
      <c r="B1491" s="1"/>
      <c r="C1491" s="1"/>
      <c r="D1491" s="1"/>
      <c r="E1491" s="1"/>
      <c r="F1491" s="1"/>
      <c r="G1491" s="1"/>
      <c r="H1491" s="1"/>
      <c r="I1491" s="1"/>
      <c r="J1491" s="1"/>
      <c r="K1491" s="102" t="s">
        <v>2804</v>
      </c>
      <c r="L1491" s="102" t="str">
        <f>A29</f>
        <v>J</v>
      </c>
      <c r="M1491" s="102"/>
      <c r="N1491" s="102" t="s">
        <v>2805</v>
      </c>
      <c r="O1491" s="105">
        <v>1.7996247E7</v>
      </c>
      <c r="P1491" s="105">
        <v>1.5884367E7</v>
      </c>
      <c r="Q1491" s="102" t="s">
        <v>2468</v>
      </c>
      <c r="R1491" s="1"/>
      <c r="S1491" s="1"/>
      <c r="T1491" s="1"/>
      <c r="U1491" s="1"/>
      <c r="V1491" s="1"/>
      <c r="W1491" s="1"/>
      <c r="X1491" s="1"/>
      <c r="Y1491" s="1"/>
      <c r="Z1491" s="102"/>
      <c r="AA1491" s="102"/>
      <c r="AB1491" s="1"/>
      <c r="AC1491" s="1"/>
      <c r="AD1491" s="1"/>
      <c r="AE1491" s="1"/>
      <c r="AF1491" s="1"/>
      <c r="AG1491" s="1"/>
    </row>
    <row r="1492" ht="15.75" customHeight="1">
      <c r="A1492" s="1"/>
      <c r="B1492" s="1"/>
      <c r="C1492" s="1"/>
      <c r="D1492" s="1"/>
      <c r="E1492" s="1"/>
      <c r="F1492" s="1"/>
      <c r="G1492" s="1"/>
      <c r="H1492" s="1"/>
      <c r="I1492" s="1"/>
      <c r="J1492" s="1"/>
      <c r="K1492" s="102" t="s">
        <v>2806</v>
      </c>
      <c r="L1492" s="102" t="str">
        <f>A29</f>
        <v>J</v>
      </c>
      <c r="M1492" s="102"/>
      <c r="N1492" s="102" t="s">
        <v>2807</v>
      </c>
      <c r="O1492" s="105">
        <v>1.8410799E7</v>
      </c>
      <c r="P1492" s="105">
        <v>1.6298919E7</v>
      </c>
      <c r="Q1492" s="102" t="s">
        <v>2468</v>
      </c>
      <c r="R1492" s="1"/>
      <c r="S1492" s="1"/>
      <c r="T1492" s="1"/>
      <c r="U1492" s="1"/>
      <c r="V1492" s="1"/>
      <c r="W1492" s="1"/>
      <c r="X1492" s="1"/>
      <c r="Y1492" s="1"/>
      <c r="Z1492" s="102"/>
      <c r="AA1492" s="102"/>
      <c r="AB1492" s="1"/>
      <c r="AC1492" s="1"/>
      <c r="AD1492" s="1"/>
      <c r="AE1492" s="1"/>
      <c r="AF1492" s="1"/>
      <c r="AG1492" s="1"/>
    </row>
    <row r="1493" ht="15.75" customHeight="1">
      <c r="A1493" s="1"/>
      <c r="B1493" s="1"/>
      <c r="C1493" s="1"/>
      <c r="D1493" s="1"/>
      <c r="E1493" s="1"/>
      <c r="F1493" s="1"/>
      <c r="G1493" s="1"/>
      <c r="H1493" s="1"/>
      <c r="I1493" s="1"/>
      <c r="J1493" s="1"/>
      <c r="K1493" s="102" t="s">
        <v>2808</v>
      </c>
      <c r="L1493" s="102" t="str">
        <f>A29</f>
        <v>J</v>
      </c>
      <c r="M1493" s="102"/>
      <c r="N1493" s="102" t="s">
        <v>2809</v>
      </c>
      <c r="O1493" s="105">
        <v>2.1281892E7</v>
      </c>
      <c r="P1493" s="105">
        <v>1.9120006E7</v>
      </c>
      <c r="Q1493" s="102" t="s">
        <v>2533</v>
      </c>
      <c r="R1493" s="1"/>
      <c r="S1493" s="1"/>
      <c r="T1493" s="1"/>
      <c r="U1493" s="1"/>
      <c r="V1493" s="1"/>
      <c r="W1493" s="1"/>
      <c r="X1493" s="1"/>
      <c r="Y1493" s="1"/>
      <c r="Z1493" s="102"/>
      <c r="AA1493" s="102"/>
      <c r="AB1493" s="1"/>
      <c r="AC1493" s="1"/>
      <c r="AD1493" s="1"/>
      <c r="AE1493" s="1"/>
      <c r="AF1493" s="1"/>
      <c r="AG1493" s="1"/>
    </row>
    <row r="1494" ht="15.75" customHeight="1">
      <c r="A1494" s="1"/>
      <c r="B1494" s="1"/>
      <c r="C1494" s="1"/>
      <c r="D1494" s="1"/>
      <c r="E1494" s="1"/>
      <c r="F1494" s="1"/>
      <c r="G1494" s="1"/>
      <c r="H1494" s="1"/>
      <c r="I1494" s="1"/>
      <c r="J1494" s="1"/>
      <c r="K1494" s="102" t="s">
        <v>2810</v>
      </c>
      <c r="L1494" s="102" t="str">
        <f>A29</f>
        <v>J</v>
      </c>
      <c r="M1494" s="102"/>
      <c r="N1494" s="102" t="s">
        <v>2811</v>
      </c>
      <c r="O1494" s="105">
        <v>2.135083E7</v>
      </c>
      <c r="P1494" s="105">
        <v>1.9188944E7</v>
      </c>
      <c r="Q1494" s="102" t="s">
        <v>2439</v>
      </c>
      <c r="R1494" s="1"/>
      <c r="S1494" s="1"/>
      <c r="T1494" s="1"/>
      <c r="U1494" s="1"/>
      <c r="V1494" s="1"/>
      <c r="W1494" s="1"/>
      <c r="X1494" s="1"/>
      <c r="Y1494" s="1"/>
      <c r="Z1494" s="102"/>
      <c r="AA1494" s="102"/>
      <c r="AB1494" s="1"/>
      <c r="AC1494" s="1"/>
      <c r="AD1494" s="1"/>
      <c r="AE1494" s="1"/>
      <c r="AF1494" s="1"/>
      <c r="AG1494" s="1"/>
    </row>
    <row r="1495" ht="15.75" customHeight="1">
      <c r="A1495" s="1"/>
      <c r="B1495" s="1"/>
      <c r="C1495" s="1"/>
      <c r="D1495" s="1"/>
      <c r="E1495" s="1"/>
      <c r="F1495" s="1"/>
      <c r="G1495" s="1"/>
      <c r="H1495" s="1"/>
      <c r="I1495" s="1"/>
      <c r="J1495" s="1"/>
      <c r="K1495" s="102" t="s">
        <v>2812</v>
      </c>
      <c r="L1495" s="102" t="str">
        <f>A29</f>
        <v>J</v>
      </c>
      <c r="M1495" s="102"/>
      <c r="N1495" s="102" t="s">
        <v>2813</v>
      </c>
      <c r="O1495" s="105">
        <v>2.1495992E7</v>
      </c>
      <c r="P1495" s="105">
        <v>1.9334106E7</v>
      </c>
      <c r="Q1495" s="102" t="s">
        <v>2533</v>
      </c>
      <c r="R1495" s="1"/>
      <c r="S1495" s="1"/>
      <c r="T1495" s="1"/>
      <c r="U1495" s="1"/>
      <c r="V1495" s="1"/>
      <c r="W1495" s="1"/>
      <c r="X1495" s="1"/>
      <c r="Y1495" s="1"/>
      <c r="Z1495" s="102"/>
      <c r="AA1495" s="102"/>
      <c r="AB1495" s="1"/>
      <c r="AC1495" s="1"/>
      <c r="AD1495" s="1"/>
      <c r="AE1495" s="1"/>
      <c r="AF1495" s="1"/>
      <c r="AG1495" s="1"/>
    </row>
    <row r="1496" ht="15.75" customHeight="1">
      <c r="A1496" s="1"/>
      <c r="B1496" s="1"/>
      <c r="C1496" s="1"/>
      <c r="D1496" s="1"/>
      <c r="E1496" s="1"/>
      <c r="F1496" s="1"/>
      <c r="G1496" s="1"/>
      <c r="H1496" s="1"/>
      <c r="I1496" s="1"/>
      <c r="J1496" s="1"/>
      <c r="K1496" s="102" t="s">
        <v>2814</v>
      </c>
      <c r="L1496" s="102" t="str">
        <f>A29</f>
        <v>J</v>
      </c>
      <c r="M1496" s="102"/>
      <c r="N1496" s="102" t="s">
        <v>2815</v>
      </c>
      <c r="O1496" s="105">
        <v>2.1858778E7</v>
      </c>
      <c r="P1496" s="105">
        <v>1.9696892E7</v>
      </c>
      <c r="Q1496" s="102" t="s">
        <v>2533</v>
      </c>
      <c r="R1496" s="1"/>
      <c r="S1496" s="1"/>
      <c r="T1496" s="1"/>
      <c r="U1496" s="1"/>
      <c r="V1496" s="1"/>
      <c r="W1496" s="1"/>
      <c r="X1496" s="1"/>
      <c r="Y1496" s="1"/>
      <c r="Z1496" s="102"/>
      <c r="AA1496" s="102"/>
      <c r="AB1496" s="1"/>
      <c r="AC1496" s="1"/>
      <c r="AD1496" s="1"/>
      <c r="AE1496" s="1"/>
      <c r="AF1496" s="1"/>
      <c r="AG1496" s="1"/>
    </row>
    <row r="1497" ht="15.75" customHeight="1">
      <c r="A1497" s="1"/>
      <c r="B1497" s="1"/>
      <c r="C1497" s="1"/>
      <c r="D1497" s="1"/>
      <c r="E1497" s="1"/>
      <c r="F1497" s="1"/>
      <c r="G1497" s="1"/>
      <c r="H1497" s="1"/>
      <c r="I1497" s="1"/>
      <c r="J1497" s="1"/>
      <c r="K1497" s="102" t="s">
        <v>2816</v>
      </c>
      <c r="L1497" s="102" t="str">
        <f>A29</f>
        <v>J</v>
      </c>
      <c r="M1497" s="102" t="s">
        <v>2817</v>
      </c>
      <c r="N1497" s="102" t="s">
        <v>2818</v>
      </c>
      <c r="O1497" s="105">
        <v>2.1944571E7</v>
      </c>
      <c r="P1497" s="105">
        <v>1.9782685E7</v>
      </c>
      <c r="Q1497" s="102" t="s">
        <v>2529</v>
      </c>
      <c r="R1497" s="1"/>
      <c r="S1497" s="1"/>
      <c r="T1497" s="1"/>
      <c r="U1497" s="1"/>
      <c r="V1497" s="1"/>
      <c r="W1497" s="1"/>
      <c r="X1497" s="1"/>
      <c r="Y1497" s="1"/>
      <c r="Z1497" s="102"/>
      <c r="AA1497" s="102"/>
      <c r="AB1497" s="1"/>
      <c r="AC1497" s="1"/>
      <c r="AD1497" s="1"/>
      <c r="AE1497" s="1"/>
      <c r="AF1497" s="1"/>
      <c r="AG1497" s="1"/>
    </row>
    <row r="1498" ht="15.75" customHeight="1">
      <c r="A1498" s="1"/>
      <c r="B1498" s="1"/>
      <c r="C1498" s="1"/>
      <c r="D1498" s="1"/>
      <c r="E1498" s="1"/>
      <c r="F1498" s="1"/>
      <c r="G1498" s="1"/>
      <c r="H1498" s="1"/>
      <c r="I1498" s="1"/>
      <c r="J1498" s="1"/>
      <c r="K1498" s="102" t="s">
        <v>2817</v>
      </c>
      <c r="L1498" s="102" t="str">
        <f>A29</f>
        <v>J</v>
      </c>
      <c r="M1498" s="102" t="s">
        <v>2816</v>
      </c>
      <c r="N1498" s="102" t="s">
        <v>2818</v>
      </c>
      <c r="O1498" s="105">
        <v>2.1944571E7</v>
      </c>
      <c r="P1498" s="105">
        <v>1.9782685E7</v>
      </c>
      <c r="Q1498" s="102" t="s">
        <v>2529</v>
      </c>
      <c r="R1498" s="1"/>
      <c r="S1498" s="1"/>
      <c r="T1498" s="1"/>
      <c r="U1498" s="1"/>
      <c r="V1498" s="1"/>
      <c r="W1498" s="1"/>
      <c r="X1498" s="1"/>
      <c r="Y1498" s="1"/>
      <c r="Z1498" s="102"/>
      <c r="AA1498" s="102"/>
      <c r="AB1498" s="1"/>
      <c r="AC1498" s="1"/>
      <c r="AD1498" s="1"/>
      <c r="AE1498" s="1"/>
      <c r="AF1498" s="1"/>
      <c r="AG1498" s="1"/>
    </row>
    <row r="1499" ht="15.75" customHeight="1">
      <c r="A1499" s="1"/>
      <c r="B1499" s="1"/>
      <c r="C1499" s="1"/>
      <c r="D1499" s="1"/>
      <c r="E1499" s="1"/>
      <c r="F1499" s="1"/>
      <c r="G1499" s="1"/>
      <c r="H1499" s="1"/>
      <c r="I1499" s="1"/>
      <c r="J1499" s="1"/>
      <c r="K1499" s="102" t="s">
        <v>2819</v>
      </c>
      <c r="L1499" s="102" t="str">
        <f>A29</f>
        <v>J</v>
      </c>
      <c r="M1499" s="102"/>
      <c r="N1499" s="102" t="s">
        <v>2820</v>
      </c>
      <c r="O1499" s="105">
        <v>2.2118776E7</v>
      </c>
      <c r="P1499" s="105">
        <v>1.995689E7</v>
      </c>
      <c r="Q1499" s="102" t="s">
        <v>2468</v>
      </c>
      <c r="R1499" s="1"/>
      <c r="S1499" s="1"/>
      <c r="T1499" s="1"/>
      <c r="U1499" s="1"/>
      <c r="V1499" s="1"/>
      <c r="W1499" s="1"/>
      <c r="X1499" s="1"/>
      <c r="Y1499" s="1"/>
      <c r="Z1499" s="102"/>
      <c r="AA1499" s="102"/>
      <c r="AB1499" s="1"/>
      <c r="AC1499" s="1"/>
      <c r="AD1499" s="1"/>
      <c r="AE1499" s="1"/>
      <c r="AF1499" s="1"/>
      <c r="AG1499" s="1"/>
    </row>
    <row r="1500" ht="15.75" customHeight="1">
      <c r="A1500" s="1"/>
      <c r="B1500" s="1"/>
      <c r="C1500" s="1"/>
      <c r="D1500" s="1"/>
      <c r="E1500" s="1"/>
      <c r="F1500" s="1"/>
      <c r="G1500" s="1"/>
      <c r="H1500" s="1"/>
      <c r="I1500" s="1"/>
      <c r="J1500" s="1"/>
      <c r="K1500" s="102" t="s">
        <v>2821</v>
      </c>
      <c r="L1500" s="102" t="str">
        <f>A29</f>
        <v>J</v>
      </c>
      <c r="M1500" s="102"/>
      <c r="N1500" s="102" t="s">
        <v>2822</v>
      </c>
      <c r="O1500" s="105">
        <v>2.217296E7</v>
      </c>
      <c r="P1500" s="105">
        <v>2.0011074E7</v>
      </c>
      <c r="Q1500" s="102" t="s">
        <v>2446</v>
      </c>
      <c r="R1500" s="1"/>
      <c r="S1500" s="1"/>
      <c r="T1500" s="1"/>
      <c r="U1500" s="1"/>
      <c r="V1500" s="1"/>
      <c r="W1500" s="1"/>
      <c r="X1500" s="1"/>
      <c r="Y1500" s="1"/>
      <c r="Z1500" s="102"/>
      <c r="AA1500" s="102"/>
      <c r="AB1500" s="1"/>
      <c r="AC1500" s="1"/>
      <c r="AD1500" s="1"/>
      <c r="AE1500" s="1"/>
      <c r="AF1500" s="1"/>
      <c r="AG1500" s="1"/>
    </row>
    <row r="1501" ht="15.75" customHeight="1">
      <c r="A1501" s="1"/>
      <c r="B1501" s="1"/>
      <c r="C1501" s="1"/>
      <c r="D1501" s="1"/>
      <c r="E1501" s="1"/>
      <c r="F1501" s="1"/>
      <c r="G1501" s="1"/>
      <c r="H1501" s="1"/>
      <c r="I1501" s="1"/>
      <c r="J1501" s="1"/>
      <c r="K1501" s="102" t="s">
        <v>2823</v>
      </c>
      <c r="L1501" s="102" t="str">
        <f>B30</f>
        <v>J1</v>
      </c>
      <c r="M1501" s="102"/>
      <c r="N1501" s="102" t="s">
        <v>2824</v>
      </c>
      <c r="O1501" s="105">
        <v>1.493788E7</v>
      </c>
      <c r="P1501" s="105">
        <v>1.2825955E7</v>
      </c>
      <c r="Q1501" s="102" t="s">
        <v>2423</v>
      </c>
      <c r="R1501" s="1"/>
      <c r="S1501" s="1"/>
      <c r="T1501" s="1"/>
      <c r="U1501" s="1"/>
      <c r="V1501" s="1"/>
      <c r="W1501" s="1"/>
      <c r="X1501" s="1"/>
      <c r="Y1501" s="1"/>
      <c r="Z1501" s="102"/>
      <c r="AA1501" s="102"/>
      <c r="AB1501" s="1"/>
      <c r="AC1501" s="1"/>
      <c r="AD1501" s="1"/>
      <c r="AE1501" s="1"/>
      <c r="AF1501" s="1"/>
      <c r="AG1501" s="1"/>
    </row>
    <row r="1502" ht="15.75" customHeight="1">
      <c r="A1502" s="1"/>
      <c r="B1502" s="1"/>
      <c r="C1502" s="1"/>
      <c r="D1502" s="1"/>
      <c r="E1502" s="1"/>
      <c r="F1502" s="1"/>
      <c r="G1502" s="1"/>
      <c r="H1502" s="1"/>
      <c r="I1502" s="1"/>
      <c r="J1502" s="1"/>
      <c r="K1502" s="102" t="s">
        <v>2825</v>
      </c>
      <c r="L1502" s="102" t="str">
        <f>B30</f>
        <v>J1</v>
      </c>
      <c r="M1502" s="102" t="s">
        <v>2826</v>
      </c>
      <c r="N1502" s="102" t="s">
        <v>2827</v>
      </c>
      <c r="O1502" s="105">
        <v>1.6264591E7</v>
      </c>
      <c r="P1502" s="105">
        <v>1.4152711E7</v>
      </c>
      <c r="Q1502" s="102" t="s">
        <v>2439</v>
      </c>
      <c r="R1502" s="1"/>
      <c r="S1502" s="1"/>
      <c r="T1502" s="1"/>
      <c r="U1502" s="1"/>
      <c r="V1502" s="1"/>
      <c r="W1502" s="1"/>
      <c r="X1502" s="1"/>
      <c r="Y1502" s="1"/>
      <c r="Z1502" s="102"/>
      <c r="AA1502" s="102"/>
      <c r="AB1502" s="1"/>
      <c r="AC1502" s="1"/>
      <c r="AD1502" s="1"/>
      <c r="AE1502" s="1"/>
      <c r="AF1502" s="1"/>
      <c r="AG1502" s="1"/>
    </row>
    <row r="1503" ht="15.75" customHeight="1">
      <c r="A1503" s="1"/>
      <c r="B1503" s="1"/>
      <c r="C1503" s="1"/>
      <c r="D1503" s="1"/>
      <c r="E1503" s="1"/>
      <c r="F1503" s="1"/>
      <c r="G1503" s="1"/>
      <c r="H1503" s="1"/>
      <c r="I1503" s="1"/>
      <c r="J1503" s="1"/>
      <c r="K1503" s="102" t="s">
        <v>2828</v>
      </c>
      <c r="L1503" s="102" t="str">
        <f>B30</f>
        <v>J1</v>
      </c>
      <c r="M1503" s="102" t="s">
        <v>2829</v>
      </c>
      <c r="N1503" s="102" t="s">
        <v>2827</v>
      </c>
      <c r="O1503" s="105">
        <v>1.6264591E7</v>
      </c>
      <c r="P1503" s="105">
        <v>1.4152711E7</v>
      </c>
      <c r="Q1503" s="102" t="s">
        <v>2439</v>
      </c>
      <c r="R1503" s="1"/>
      <c r="S1503" s="1"/>
      <c r="T1503" s="1"/>
      <c r="U1503" s="1"/>
      <c r="V1503" s="1"/>
      <c r="W1503" s="1"/>
      <c r="X1503" s="1"/>
      <c r="Y1503" s="1"/>
      <c r="Z1503" s="102"/>
      <c r="AA1503" s="102"/>
      <c r="AB1503" s="1"/>
      <c r="AC1503" s="1"/>
      <c r="AD1503" s="1"/>
      <c r="AE1503" s="1"/>
      <c r="AF1503" s="1"/>
      <c r="AG1503" s="1"/>
    </row>
    <row r="1504" ht="15.75" customHeight="1">
      <c r="A1504" s="1"/>
      <c r="B1504" s="1"/>
      <c r="C1504" s="1"/>
      <c r="D1504" s="1"/>
      <c r="E1504" s="1"/>
      <c r="F1504" s="1"/>
      <c r="G1504" s="1"/>
      <c r="H1504" s="1"/>
      <c r="I1504" s="1"/>
      <c r="J1504" s="1"/>
      <c r="K1504" s="102" t="s">
        <v>2830</v>
      </c>
      <c r="L1504" s="102" t="str">
        <f>B30</f>
        <v>J1</v>
      </c>
      <c r="M1504" s="102" t="s">
        <v>2831</v>
      </c>
      <c r="N1504" s="102" t="s">
        <v>2827</v>
      </c>
      <c r="O1504" s="105">
        <v>1.6264591E7</v>
      </c>
      <c r="P1504" s="105">
        <v>1.4152711E7</v>
      </c>
      <c r="Q1504" s="102" t="s">
        <v>2439</v>
      </c>
      <c r="R1504" s="1"/>
      <c r="S1504" s="1"/>
      <c r="T1504" s="1"/>
      <c r="U1504" s="1"/>
      <c r="V1504" s="1"/>
      <c r="W1504" s="1"/>
      <c r="X1504" s="1"/>
      <c r="Y1504" s="1"/>
      <c r="Z1504" s="102"/>
      <c r="AA1504" s="102"/>
      <c r="AB1504" s="1"/>
      <c r="AC1504" s="1"/>
      <c r="AD1504" s="1"/>
      <c r="AE1504" s="1"/>
      <c r="AF1504" s="1"/>
      <c r="AG1504" s="1"/>
    </row>
    <row r="1505" ht="15.75" customHeight="1">
      <c r="A1505" s="1"/>
      <c r="B1505" s="1"/>
      <c r="C1505" s="1"/>
      <c r="D1505" s="1"/>
      <c r="E1505" s="1"/>
      <c r="F1505" s="1"/>
      <c r="G1505" s="1"/>
      <c r="H1505" s="1"/>
      <c r="I1505" s="1"/>
      <c r="J1505" s="1"/>
      <c r="K1505" s="102" t="s">
        <v>2832</v>
      </c>
      <c r="L1505" s="102" t="str">
        <f>B30</f>
        <v>J1</v>
      </c>
      <c r="M1505" s="102" t="s">
        <v>2833</v>
      </c>
      <c r="N1505" s="102" t="s">
        <v>2827</v>
      </c>
      <c r="O1505" s="105">
        <v>1.6264591E7</v>
      </c>
      <c r="P1505" s="105">
        <v>1.4152711E7</v>
      </c>
      <c r="Q1505" s="102" t="s">
        <v>2439</v>
      </c>
      <c r="R1505" s="1"/>
      <c r="S1505" s="1"/>
      <c r="T1505" s="1"/>
      <c r="U1505" s="1"/>
      <c r="V1505" s="1"/>
      <c r="W1505" s="1"/>
      <c r="X1505" s="1"/>
      <c r="Y1505" s="1"/>
      <c r="Z1505" s="102"/>
      <c r="AA1505" s="102"/>
      <c r="AB1505" s="1"/>
      <c r="AC1505" s="1"/>
      <c r="AD1505" s="1"/>
      <c r="AE1505" s="1"/>
      <c r="AF1505" s="1"/>
      <c r="AG1505" s="1"/>
    </row>
    <row r="1506" ht="15.75" customHeight="1">
      <c r="A1506" s="1"/>
      <c r="B1506" s="1"/>
      <c r="C1506" s="1"/>
      <c r="D1506" s="1"/>
      <c r="E1506" s="1"/>
      <c r="F1506" s="1"/>
      <c r="G1506" s="1"/>
      <c r="H1506" s="1"/>
      <c r="I1506" s="1"/>
      <c r="J1506" s="1"/>
      <c r="K1506" s="102" t="s">
        <v>2834</v>
      </c>
      <c r="L1506" s="102" t="str">
        <f>B30</f>
        <v>J1</v>
      </c>
      <c r="M1506" s="102" t="s">
        <v>2835</v>
      </c>
      <c r="N1506" s="102" t="s">
        <v>2836</v>
      </c>
      <c r="O1506" s="105">
        <v>6745512.0</v>
      </c>
      <c r="P1506" s="105">
        <v>6877471.0</v>
      </c>
      <c r="Q1506" s="102" t="s">
        <v>2501</v>
      </c>
      <c r="R1506" s="1"/>
      <c r="S1506" s="1"/>
      <c r="T1506" s="1"/>
      <c r="U1506" s="1"/>
      <c r="V1506" s="1"/>
      <c r="W1506" s="1"/>
      <c r="X1506" s="1"/>
      <c r="Y1506" s="1"/>
      <c r="Z1506" s="102"/>
      <c r="AA1506" s="102"/>
      <c r="AB1506" s="1"/>
      <c r="AC1506" s="1"/>
      <c r="AD1506" s="1"/>
      <c r="AE1506" s="1"/>
      <c r="AF1506" s="1"/>
      <c r="AG1506" s="1"/>
    </row>
    <row r="1507" ht="15.75" customHeight="1">
      <c r="A1507" s="1"/>
      <c r="B1507" s="1"/>
      <c r="C1507" s="1"/>
      <c r="D1507" s="1"/>
      <c r="E1507" s="1"/>
      <c r="F1507" s="1"/>
      <c r="G1507" s="1"/>
      <c r="H1507" s="1"/>
      <c r="I1507" s="1"/>
      <c r="J1507" s="1"/>
      <c r="K1507" s="102" t="s">
        <v>2837</v>
      </c>
      <c r="L1507" s="102" t="str">
        <f>B30</f>
        <v>J1</v>
      </c>
      <c r="M1507" s="102" t="s">
        <v>2838</v>
      </c>
      <c r="N1507" s="102" t="s">
        <v>2836</v>
      </c>
      <c r="O1507" s="105">
        <v>6745512.0</v>
      </c>
      <c r="P1507" s="105">
        <v>6877471.0</v>
      </c>
      <c r="Q1507" s="102" t="s">
        <v>2501</v>
      </c>
      <c r="R1507" s="1"/>
      <c r="S1507" s="1"/>
      <c r="T1507" s="1"/>
      <c r="U1507" s="1"/>
      <c r="V1507" s="1"/>
      <c r="W1507" s="1"/>
      <c r="X1507" s="1"/>
      <c r="Y1507" s="1"/>
      <c r="Z1507" s="102"/>
      <c r="AA1507" s="102"/>
      <c r="AB1507" s="1"/>
      <c r="AC1507" s="1"/>
      <c r="AD1507" s="1"/>
      <c r="AE1507" s="1"/>
      <c r="AF1507" s="1"/>
      <c r="AG1507" s="1"/>
    </row>
    <row r="1508" ht="15.75" customHeight="1">
      <c r="A1508" s="1"/>
      <c r="B1508" s="1"/>
      <c r="C1508" s="1"/>
      <c r="D1508" s="1"/>
      <c r="E1508" s="1"/>
      <c r="F1508" s="1"/>
      <c r="G1508" s="1"/>
      <c r="H1508" s="1"/>
      <c r="I1508" s="1"/>
      <c r="J1508" s="1"/>
      <c r="K1508" s="102" t="s">
        <v>2839</v>
      </c>
      <c r="L1508" s="102" t="str">
        <f>B30</f>
        <v>J1</v>
      </c>
      <c r="M1508" s="102" t="s">
        <v>2840</v>
      </c>
      <c r="N1508" s="102" t="s">
        <v>2836</v>
      </c>
      <c r="O1508" s="105">
        <v>6745512.0</v>
      </c>
      <c r="P1508" s="105">
        <v>6877471.0</v>
      </c>
      <c r="Q1508" s="102" t="s">
        <v>2501</v>
      </c>
      <c r="R1508" s="1"/>
      <c r="S1508" s="1"/>
      <c r="T1508" s="1"/>
      <c r="U1508" s="1"/>
      <c r="V1508" s="1"/>
      <c r="W1508" s="1"/>
      <c r="X1508" s="1"/>
      <c r="Y1508" s="1"/>
      <c r="Z1508" s="102"/>
      <c r="AA1508" s="102"/>
      <c r="AB1508" s="1"/>
      <c r="AC1508" s="1"/>
      <c r="AD1508" s="1"/>
      <c r="AE1508" s="1"/>
      <c r="AF1508" s="1"/>
      <c r="AG1508" s="1"/>
    </row>
    <row r="1509" ht="15.75" customHeight="1">
      <c r="A1509" s="1"/>
      <c r="B1509" s="1"/>
      <c r="C1509" s="1"/>
      <c r="D1509" s="1"/>
      <c r="E1509" s="1"/>
      <c r="F1509" s="1"/>
      <c r="G1509" s="1"/>
      <c r="H1509" s="1"/>
      <c r="I1509" s="1"/>
      <c r="J1509" s="1"/>
      <c r="K1509" s="102" t="s">
        <v>2841</v>
      </c>
      <c r="L1509" s="102" t="str">
        <f>B30</f>
        <v>J1</v>
      </c>
      <c r="M1509" s="102" t="s">
        <v>2842</v>
      </c>
      <c r="N1509" s="102" t="s">
        <v>2843</v>
      </c>
      <c r="O1509" s="105">
        <v>6751309.0</v>
      </c>
      <c r="P1509" s="105">
        <v>6883268.0</v>
      </c>
      <c r="Q1509" s="102" t="s">
        <v>2468</v>
      </c>
      <c r="R1509" s="1"/>
      <c r="S1509" s="1"/>
      <c r="T1509" s="1"/>
      <c r="U1509" s="1"/>
      <c r="V1509" s="1"/>
      <c r="W1509" s="1"/>
      <c r="X1509" s="1"/>
      <c r="Y1509" s="1"/>
      <c r="Z1509" s="102"/>
      <c r="AA1509" s="102"/>
      <c r="AB1509" s="1"/>
      <c r="AC1509" s="1"/>
      <c r="AD1509" s="1"/>
      <c r="AE1509" s="1"/>
      <c r="AF1509" s="1"/>
      <c r="AG1509" s="1"/>
    </row>
    <row r="1510" ht="15.75" customHeight="1">
      <c r="A1510" s="1"/>
      <c r="B1510" s="1"/>
      <c r="C1510" s="1"/>
      <c r="D1510" s="1"/>
      <c r="E1510" s="1"/>
      <c r="F1510" s="1"/>
      <c r="G1510" s="1"/>
      <c r="H1510" s="1"/>
      <c r="I1510" s="1"/>
      <c r="J1510" s="1"/>
      <c r="K1510" s="102" t="s">
        <v>2842</v>
      </c>
      <c r="L1510" s="102" t="str">
        <f>B30</f>
        <v>J1</v>
      </c>
      <c r="M1510" s="102" t="s">
        <v>2841</v>
      </c>
      <c r="N1510" s="102" t="s">
        <v>2843</v>
      </c>
      <c r="O1510" s="105">
        <v>6751309.0</v>
      </c>
      <c r="P1510" s="105">
        <v>6883268.0</v>
      </c>
      <c r="Q1510" s="102" t="s">
        <v>2468</v>
      </c>
      <c r="R1510" s="1"/>
      <c r="S1510" s="1"/>
      <c r="T1510" s="1"/>
      <c r="U1510" s="1"/>
      <c r="V1510" s="1"/>
      <c r="W1510" s="1"/>
      <c r="X1510" s="1"/>
      <c r="Y1510" s="1"/>
      <c r="Z1510" s="102"/>
      <c r="AA1510" s="102"/>
      <c r="AB1510" s="1"/>
      <c r="AC1510" s="1"/>
      <c r="AD1510" s="1"/>
      <c r="AE1510" s="1"/>
      <c r="AF1510" s="1"/>
      <c r="AG1510" s="1"/>
    </row>
    <row r="1511" ht="15.75" customHeight="1">
      <c r="A1511" s="1"/>
      <c r="B1511" s="1"/>
      <c r="C1511" s="1"/>
      <c r="D1511" s="1"/>
      <c r="E1511" s="1"/>
      <c r="F1511" s="1"/>
      <c r="G1511" s="1"/>
      <c r="H1511" s="1"/>
      <c r="I1511" s="1"/>
      <c r="J1511" s="1"/>
      <c r="K1511" s="102" t="s">
        <v>2844</v>
      </c>
      <c r="L1511" s="102" t="str">
        <f>B30</f>
        <v>J1</v>
      </c>
      <c r="M1511" s="102" t="s">
        <v>2845</v>
      </c>
      <c r="N1511" s="102" t="s">
        <v>2846</v>
      </c>
      <c r="O1511" s="102">
        <v>7164456.0</v>
      </c>
      <c r="P1511" s="102">
        <v>7296415.0</v>
      </c>
      <c r="Q1511" s="102" t="s">
        <v>2423</v>
      </c>
      <c r="R1511" s="1"/>
      <c r="S1511" s="1"/>
      <c r="T1511" s="1"/>
      <c r="U1511" s="1"/>
      <c r="V1511" s="1"/>
      <c r="W1511" s="1"/>
      <c r="X1511" s="1"/>
      <c r="Y1511" s="1"/>
      <c r="Z1511" s="102">
        <v>7164456.0</v>
      </c>
      <c r="AA1511" s="102"/>
      <c r="AB1511" s="1"/>
      <c r="AC1511" s="1"/>
      <c r="AD1511" s="1"/>
      <c r="AE1511" s="1"/>
      <c r="AF1511" s="1"/>
      <c r="AG1511" s="1"/>
    </row>
    <row r="1512" ht="15.75" customHeight="1">
      <c r="A1512" s="1"/>
      <c r="B1512" s="1"/>
      <c r="C1512" s="1"/>
      <c r="D1512" s="1"/>
      <c r="E1512" s="1"/>
      <c r="F1512" s="1"/>
      <c r="G1512" s="1"/>
      <c r="H1512" s="1"/>
      <c r="I1512" s="1"/>
      <c r="J1512" s="1"/>
      <c r="K1512" s="102" t="s">
        <v>2845</v>
      </c>
      <c r="L1512" s="102" t="str">
        <f>B30</f>
        <v>J1</v>
      </c>
      <c r="M1512" s="102" t="s">
        <v>2844</v>
      </c>
      <c r="N1512" s="102" t="s">
        <v>2846</v>
      </c>
      <c r="O1512" s="102">
        <v>7164456.0</v>
      </c>
      <c r="P1512" s="102">
        <v>7296415.0</v>
      </c>
      <c r="Q1512" s="102" t="s">
        <v>2423</v>
      </c>
      <c r="R1512" s="1"/>
      <c r="S1512" s="1"/>
      <c r="T1512" s="1"/>
      <c r="U1512" s="1"/>
      <c r="V1512" s="1"/>
      <c r="W1512" s="1"/>
      <c r="X1512" s="1"/>
      <c r="Y1512" s="1"/>
      <c r="Z1512" s="102">
        <v>7164456.0</v>
      </c>
      <c r="AA1512" s="102"/>
      <c r="AB1512" s="1"/>
      <c r="AC1512" s="1"/>
      <c r="AD1512" s="1"/>
      <c r="AE1512" s="1"/>
      <c r="AF1512" s="1"/>
      <c r="AG1512" s="1"/>
    </row>
    <row r="1513" ht="15.75" customHeight="1">
      <c r="A1513" s="1"/>
      <c r="B1513" s="1"/>
      <c r="C1513" s="1"/>
      <c r="D1513" s="1"/>
      <c r="E1513" s="1"/>
      <c r="F1513" s="1"/>
      <c r="G1513" s="1"/>
      <c r="H1513" s="1"/>
      <c r="I1513" s="1"/>
      <c r="J1513" s="1"/>
      <c r="K1513" s="102" t="s">
        <v>2847</v>
      </c>
      <c r="L1513" s="102" t="str">
        <f>B30</f>
        <v>J1</v>
      </c>
      <c r="M1513" s="102" t="s">
        <v>2848</v>
      </c>
      <c r="N1513" s="102" t="s">
        <v>2849</v>
      </c>
      <c r="O1513" s="105">
        <v>7230829.0</v>
      </c>
      <c r="P1513" s="105">
        <v>7362788.0</v>
      </c>
      <c r="Q1513" s="102" t="s">
        <v>2468</v>
      </c>
      <c r="R1513" s="1"/>
      <c r="S1513" s="1"/>
      <c r="T1513" s="1"/>
      <c r="U1513" s="1"/>
      <c r="V1513" s="1"/>
      <c r="W1513" s="1"/>
      <c r="X1513" s="1"/>
      <c r="Y1513" s="1"/>
      <c r="Z1513" s="102"/>
      <c r="AA1513" s="102"/>
      <c r="AB1513" s="1"/>
      <c r="AC1513" s="1"/>
      <c r="AD1513" s="1"/>
      <c r="AE1513" s="1"/>
      <c r="AF1513" s="1"/>
      <c r="AG1513" s="1"/>
    </row>
    <row r="1514" ht="15.75" customHeight="1">
      <c r="A1514" s="1"/>
      <c r="B1514" s="1"/>
      <c r="C1514" s="1"/>
      <c r="D1514" s="1"/>
      <c r="E1514" s="1"/>
      <c r="F1514" s="1"/>
      <c r="G1514" s="1"/>
      <c r="H1514" s="1"/>
      <c r="I1514" s="1"/>
      <c r="J1514" s="1"/>
      <c r="K1514" s="102" t="s">
        <v>2848</v>
      </c>
      <c r="L1514" s="102" t="str">
        <f>B30</f>
        <v>J1</v>
      </c>
      <c r="M1514" s="102" t="s">
        <v>2847</v>
      </c>
      <c r="N1514" s="102" t="s">
        <v>2849</v>
      </c>
      <c r="O1514" s="105">
        <v>7230829.0</v>
      </c>
      <c r="P1514" s="105">
        <v>7362788.0</v>
      </c>
      <c r="Q1514" s="102" t="s">
        <v>2468</v>
      </c>
      <c r="R1514" s="1"/>
      <c r="S1514" s="1"/>
      <c r="T1514" s="1"/>
      <c r="U1514" s="1"/>
      <c r="V1514" s="1"/>
      <c r="W1514" s="1"/>
      <c r="X1514" s="1"/>
      <c r="Y1514" s="1"/>
      <c r="Z1514" s="102"/>
      <c r="AA1514" s="102"/>
      <c r="AB1514" s="1"/>
      <c r="AC1514" s="1"/>
      <c r="AD1514" s="1"/>
      <c r="AE1514" s="1"/>
      <c r="AF1514" s="1"/>
      <c r="AG1514" s="1"/>
    </row>
    <row r="1515" ht="15.75" customHeight="1">
      <c r="A1515" s="1"/>
      <c r="B1515" s="1"/>
      <c r="C1515" s="1"/>
      <c r="D1515" s="1"/>
      <c r="E1515" s="1"/>
      <c r="F1515" s="1"/>
      <c r="G1515" s="1"/>
      <c r="H1515" s="1"/>
      <c r="I1515" s="1"/>
      <c r="J1515" s="1"/>
      <c r="K1515" s="102" t="s">
        <v>2850</v>
      </c>
      <c r="L1515" s="102" t="str">
        <f>B30</f>
        <v>J1</v>
      </c>
      <c r="M1515" s="102"/>
      <c r="N1515" s="102" t="s">
        <v>2851</v>
      </c>
      <c r="O1515" s="105">
        <v>7239599.0</v>
      </c>
      <c r="P1515" s="105">
        <v>7371558.0</v>
      </c>
      <c r="Q1515" s="102" t="s">
        <v>2439</v>
      </c>
      <c r="R1515" s="1"/>
      <c r="S1515" s="1"/>
      <c r="T1515" s="1"/>
      <c r="U1515" s="1"/>
      <c r="V1515" s="1"/>
      <c r="W1515" s="1"/>
      <c r="X1515" s="1"/>
      <c r="Y1515" s="1"/>
      <c r="Z1515" s="102"/>
      <c r="AA1515" s="102"/>
      <c r="AB1515" s="1"/>
      <c r="AC1515" s="1"/>
      <c r="AD1515" s="1"/>
      <c r="AE1515" s="1"/>
      <c r="AF1515" s="1"/>
      <c r="AG1515" s="1"/>
    </row>
    <row r="1516" ht="15.75" customHeight="1">
      <c r="A1516" s="1"/>
      <c r="B1516" s="1"/>
      <c r="C1516" s="1"/>
      <c r="D1516" s="1"/>
      <c r="E1516" s="1"/>
      <c r="F1516" s="1"/>
      <c r="G1516" s="1"/>
      <c r="H1516" s="1"/>
      <c r="I1516" s="1"/>
      <c r="J1516" s="1"/>
      <c r="K1516" s="102" t="s">
        <v>2852</v>
      </c>
      <c r="L1516" s="102" t="str">
        <f>B30</f>
        <v>J1</v>
      </c>
      <c r="M1516" s="102"/>
      <c r="N1516" s="102" t="s">
        <v>2853</v>
      </c>
      <c r="O1516" s="105">
        <v>7344446.0</v>
      </c>
      <c r="P1516" s="105">
        <v>7476405.0</v>
      </c>
      <c r="Q1516" s="102" t="s">
        <v>2446</v>
      </c>
      <c r="R1516" s="1"/>
      <c r="S1516" s="1"/>
      <c r="T1516" s="1"/>
      <c r="U1516" s="1"/>
      <c r="V1516" s="1"/>
      <c r="W1516" s="1"/>
      <c r="X1516" s="1"/>
      <c r="Y1516" s="1"/>
      <c r="Z1516" s="102"/>
      <c r="AA1516" s="102"/>
      <c r="AB1516" s="1"/>
      <c r="AC1516" s="1"/>
      <c r="AD1516" s="1"/>
      <c r="AE1516" s="1"/>
      <c r="AF1516" s="1"/>
      <c r="AG1516" s="1"/>
    </row>
    <row r="1517" ht="15.75" customHeight="1">
      <c r="A1517" s="1"/>
      <c r="B1517" s="1"/>
      <c r="C1517" s="1"/>
      <c r="D1517" s="1"/>
      <c r="E1517" s="1"/>
      <c r="F1517" s="1"/>
      <c r="G1517" s="1"/>
      <c r="H1517" s="1"/>
      <c r="I1517" s="1"/>
      <c r="J1517" s="1"/>
      <c r="K1517" s="102" t="s">
        <v>2854</v>
      </c>
      <c r="L1517" s="102" t="str">
        <f>B30</f>
        <v>J1</v>
      </c>
      <c r="M1517" s="102" t="s">
        <v>2855</v>
      </c>
      <c r="N1517" s="102" t="s">
        <v>2856</v>
      </c>
      <c r="O1517" s="105">
        <v>1.3960511E7</v>
      </c>
      <c r="P1517" s="105">
        <v>1.1839805E7</v>
      </c>
      <c r="Q1517" s="102" t="s">
        <v>2501</v>
      </c>
      <c r="R1517" s="1"/>
      <c r="S1517" s="1"/>
      <c r="T1517" s="1"/>
      <c r="U1517" s="1"/>
      <c r="V1517" s="1"/>
      <c r="W1517" s="1"/>
      <c r="X1517" s="1"/>
      <c r="Y1517" s="1"/>
      <c r="Z1517" s="102"/>
      <c r="AA1517" s="102"/>
      <c r="AB1517" s="1"/>
      <c r="AC1517" s="1"/>
      <c r="AD1517" s="1"/>
      <c r="AE1517" s="1"/>
      <c r="AF1517" s="1"/>
      <c r="AG1517" s="1"/>
    </row>
    <row r="1518" ht="15.75" customHeight="1">
      <c r="A1518" s="1"/>
      <c r="B1518" s="1"/>
      <c r="C1518" s="1"/>
      <c r="D1518" s="1"/>
      <c r="E1518" s="1"/>
      <c r="F1518" s="1"/>
      <c r="G1518" s="1"/>
      <c r="H1518" s="1"/>
      <c r="I1518" s="1"/>
      <c r="J1518" s="1"/>
      <c r="K1518" s="102" t="s">
        <v>2855</v>
      </c>
      <c r="L1518" s="102" t="str">
        <f>B30</f>
        <v>J1</v>
      </c>
      <c r="M1518" s="102" t="s">
        <v>2854</v>
      </c>
      <c r="N1518" s="102" t="s">
        <v>2856</v>
      </c>
      <c r="O1518" s="105">
        <v>1.3960511E7</v>
      </c>
      <c r="P1518" s="105">
        <v>1.1839805E7</v>
      </c>
      <c r="Q1518" s="102" t="s">
        <v>2501</v>
      </c>
      <c r="R1518" s="1"/>
      <c r="S1518" s="1"/>
      <c r="T1518" s="1"/>
      <c r="U1518" s="1"/>
      <c r="V1518" s="1"/>
      <c r="W1518" s="1"/>
      <c r="X1518" s="1"/>
      <c r="Y1518" s="1"/>
      <c r="Z1518" s="102"/>
      <c r="AA1518" s="102"/>
      <c r="AB1518" s="1"/>
      <c r="AC1518" s="1"/>
      <c r="AD1518" s="1"/>
      <c r="AE1518" s="1"/>
      <c r="AF1518" s="1"/>
      <c r="AG1518" s="1"/>
    </row>
    <row r="1519" ht="15.75" customHeight="1">
      <c r="A1519" s="1"/>
      <c r="B1519" s="1"/>
      <c r="C1519" s="1"/>
      <c r="D1519" s="1"/>
      <c r="E1519" s="1"/>
      <c r="F1519" s="1"/>
      <c r="G1519" s="1"/>
      <c r="H1519" s="1"/>
      <c r="I1519" s="1"/>
      <c r="J1519" s="1"/>
      <c r="K1519" s="102" t="s">
        <v>2857</v>
      </c>
      <c r="L1519" s="102" t="str">
        <f>B30</f>
        <v>J1</v>
      </c>
      <c r="M1519" s="102" t="s">
        <v>2858</v>
      </c>
      <c r="N1519" s="102" t="s">
        <v>2859</v>
      </c>
      <c r="O1519" s="105">
        <v>1.401283E7</v>
      </c>
      <c r="P1519" s="105">
        <v>1.1892124E7</v>
      </c>
      <c r="Q1519" s="102" t="s">
        <v>2501</v>
      </c>
      <c r="R1519" s="1"/>
      <c r="S1519" s="1"/>
      <c r="T1519" s="1"/>
      <c r="U1519" s="1"/>
      <c r="V1519" s="1"/>
      <c r="W1519" s="1"/>
      <c r="X1519" s="1"/>
      <c r="Y1519" s="1"/>
      <c r="Z1519" s="102"/>
      <c r="AA1519" s="102"/>
      <c r="AB1519" s="1"/>
      <c r="AC1519" s="1"/>
      <c r="AD1519" s="1"/>
      <c r="AE1519" s="1"/>
      <c r="AF1519" s="1"/>
      <c r="AG1519" s="1"/>
    </row>
    <row r="1520" ht="15.75" customHeight="1">
      <c r="A1520" s="1"/>
      <c r="B1520" s="1"/>
      <c r="C1520" s="1"/>
      <c r="D1520" s="1"/>
      <c r="E1520" s="1"/>
      <c r="F1520" s="1"/>
      <c r="G1520" s="1"/>
      <c r="H1520" s="1"/>
      <c r="I1520" s="1"/>
      <c r="J1520" s="1"/>
      <c r="K1520" s="102" t="s">
        <v>2858</v>
      </c>
      <c r="L1520" s="102" t="str">
        <f>B30</f>
        <v>J1</v>
      </c>
      <c r="M1520" s="102" t="s">
        <v>2857</v>
      </c>
      <c r="N1520" s="102" t="s">
        <v>2859</v>
      </c>
      <c r="O1520" s="105">
        <v>1.401283E7</v>
      </c>
      <c r="P1520" s="105">
        <v>1.1892124E7</v>
      </c>
      <c r="Q1520" s="102" t="s">
        <v>2501</v>
      </c>
      <c r="R1520" s="1"/>
      <c r="S1520" s="1"/>
      <c r="T1520" s="1"/>
      <c r="U1520" s="1"/>
      <c r="V1520" s="1"/>
      <c r="W1520" s="1"/>
      <c r="X1520" s="1"/>
      <c r="Y1520" s="1"/>
      <c r="Z1520" s="102"/>
      <c r="AA1520" s="102"/>
      <c r="AB1520" s="1"/>
      <c r="AC1520" s="1"/>
      <c r="AD1520" s="1"/>
      <c r="AE1520" s="1"/>
      <c r="AF1520" s="1"/>
      <c r="AG1520" s="1"/>
    </row>
    <row r="1521" ht="15.75" customHeight="1">
      <c r="A1521" s="1"/>
      <c r="B1521" s="1"/>
      <c r="C1521" s="1"/>
      <c r="D1521" s="1"/>
      <c r="E1521" s="1"/>
      <c r="F1521" s="1"/>
      <c r="G1521" s="1"/>
      <c r="H1521" s="1"/>
      <c r="I1521" s="1"/>
      <c r="J1521" s="1"/>
      <c r="K1521" s="102" t="s">
        <v>2860</v>
      </c>
      <c r="L1521" s="102" t="str">
        <f>B30</f>
        <v>J1</v>
      </c>
      <c r="M1521" s="102" t="s">
        <v>2861</v>
      </c>
      <c r="N1521" s="102" t="s">
        <v>2862</v>
      </c>
      <c r="O1521" s="105">
        <v>1.4100585E7</v>
      </c>
      <c r="P1521" s="105">
        <v>1.1979879E7</v>
      </c>
      <c r="Q1521" s="102" t="s">
        <v>2563</v>
      </c>
      <c r="R1521" s="1"/>
      <c r="S1521" s="1"/>
      <c r="T1521" s="1"/>
      <c r="U1521" s="1"/>
      <c r="V1521" s="1"/>
      <c r="W1521" s="1"/>
      <c r="X1521" s="1"/>
      <c r="Y1521" s="1"/>
      <c r="Z1521" s="102"/>
      <c r="AA1521" s="102"/>
      <c r="AB1521" s="1"/>
      <c r="AC1521" s="1"/>
      <c r="AD1521" s="1"/>
      <c r="AE1521" s="1"/>
      <c r="AF1521" s="1"/>
      <c r="AG1521" s="1"/>
    </row>
    <row r="1522" ht="15.75" customHeight="1">
      <c r="A1522" s="1"/>
      <c r="B1522" s="1"/>
      <c r="C1522" s="1"/>
      <c r="D1522" s="1"/>
      <c r="E1522" s="1"/>
      <c r="F1522" s="1"/>
      <c r="G1522" s="1"/>
      <c r="H1522" s="1"/>
      <c r="I1522" s="1"/>
      <c r="J1522" s="1"/>
      <c r="K1522" s="102" t="s">
        <v>2861</v>
      </c>
      <c r="L1522" s="102" t="str">
        <f>B30</f>
        <v>J1</v>
      </c>
      <c r="M1522" s="102" t="s">
        <v>2860</v>
      </c>
      <c r="N1522" s="102" t="s">
        <v>2862</v>
      </c>
      <c r="O1522" s="105">
        <v>1.4100585E7</v>
      </c>
      <c r="P1522" s="105">
        <v>1.1979879E7</v>
      </c>
      <c r="Q1522" s="102" t="s">
        <v>2563</v>
      </c>
      <c r="R1522" s="1"/>
      <c r="S1522" s="1"/>
      <c r="T1522" s="1"/>
      <c r="U1522" s="1"/>
      <c r="V1522" s="1"/>
      <c r="W1522" s="1"/>
      <c r="X1522" s="1"/>
      <c r="Y1522" s="1"/>
      <c r="Z1522" s="102"/>
      <c r="AA1522" s="102"/>
      <c r="AB1522" s="1"/>
      <c r="AC1522" s="1"/>
      <c r="AD1522" s="1"/>
      <c r="AE1522" s="1"/>
      <c r="AF1522" s="1"/>
      <c r="AG1522" s="1"/>
    </row>
    <row r="1523" ht="15.75" customHeight="1">
      <c r="A1523" s="1"/>
      <c r="B1523" s="1"/>
      <c r="C1523" s="1"/>
      <c r="D1523" s="1"/>
      <c r="E1523" s="1"/>
      <c r="F1523" s="1"/>
      <c r="G1523" s="1"/>
      <c r="H1523" s="1"/>
      <c r="I1523" s="1"/>
      <c r="J1523" s="1"/>
      <c r="K1523" s="102" t="s">
        <v>2863</v>
      </c>
      <c r="L1523" s="102" t="str">
        <f>B30</f>
        <v>J1</v>
      </c>
      <c r="M1523" s="102" t="s">
        <v>2864</v>
      </c>
      <c r="N1523" s="102" t="s">
        <v>2865</v>
      </c>
      <c r="O1523" s="105">
        <v>1.414166E7</v>
      </c>
      <c r="P1523" s="105">
        <v>1.2020954E7</v>
      </c>
      <c r="Q1523" s="102" t="s">
        <v>2501</v>
      </c>
      <c r="R1523" s="1"/>
      <c r="S1523" s="1"/>
      <c r="T1523" s="1"/>
      <c r="U1523" s="1"/>
      <c r="V1523" s="1"/>
      <c r="W1523" s="1"/>
      <c r="X1523" s="1"/>
      <c r="Y1523" s="1"/>
      <c r="Z1523" s="102"/>
      <c r="AA1523" s="102"/>
      <c r="AB1523" s="1"/>
      <c r="AC1523" s="1"/>
      <c r="AD1523" s="1"/>
      <c r="AE1523" s="1"/>
      <c r="AF1523" s="1"/>
      <c r="AG1523" s="1"/>
    </row>
    <row r="1524" ht="15.75" customHeight="1">
      <c r="A1524" s="1"/>
      <c r="B1524" s="1"/>
      <c r="C1524" s="1"/>
      <c r="D1524" s="1"/>
      <c r="E1524" s="1"/>
      <c r="F1524" s="1"/>
      <c r="G1524" s="1"/>
      <c r="H1524" s="1"/>
      <c r="I1524" s="1"/>
      <c r="J1524" s="1"/>
      <c r="K1524" s="102" t="s">
        <v>2866</v>
      </c>
      <c r="L1524" s="102" t="str">
        <f>B30</f>
        <v>J1</v>
      </c>
      <c r="M1524" s="102" t="s">
        <v>2867</v>
      </c>
      <c r="N1524" s="102" t="s">
        <v>2865</v>
      </c>
      <c r="O1524" s="105">
        <v>1.414166E7</v>
      </c>
      <c r="P1524" s="105">
        <v>1.2020954E7</v>
      </c>
      <c r="Q1524" s="102" t="s">
        <v>2501</v>
      </c>
      <c r="R1524" s="1"/>
      <c r="S1524" s="1"/>
      <c r="T1524" s="1"/>
      <c r="U1524" s="1"/>
      <c r="V1524" s="1"/>
      <c r="W1524" s="1"/>
      <c r="X1524" s="1"/>
      <c r="Y1524" s="1"/>
      <c r="Z1524" s="102"/>
      <c r="AA1524" s="102"/>
      <c r="AB1524" s="1"/>
      <c r="AC1524" s="1"/>
      <c r="AD1524" s="1"/>
      <c r="AE1524" s="1"/>
      <c r="AF1524" s="1"/>
      <c r="AG1524" s="1"/>
    </row>
    <row r="1525" ht="15.75" customHeight="1">
      <c r="A1525" s="1"/>
      <c r="B1525" s="1"/>
      <c r="C1525" s="1"/>
      <c r="D1525" s="1"/>
      <c r="E1525" s="1"/>
      <c r="F1525" s="1"/>
      <c r="G1525" s="1"/>
      <c r="H1525" s="1"/>
      <c r="I1525" s="1"/>
      <c r="J1525" s="1"/>
      <c r="K1525" s="102" t="s">
        <v>2868</v>
      </c>
      <c r="L1525" s="102" t="str">
        <f>B30</f>
        <v>J1</v>
      </c>
      <c r="M1525" s="102" t="s">
        <v>2869</v>
      </c>
      <c r="N1525" s="102" t="s">
        <v>2865</v>
      </c>
      <c r="O1525" s="105">
        <v>1.414166E7</v>
      </c>
      <c r="P1525" s="105">
        <v>1.2020954E7</v>
      </c>
      <c r="Q1525" s="102" t="s">
        <v>2501</v>
      </c>
      <c r="R1525" s="1"/>
      <c r="S1525" s="1"/>
      <c r="T1525" s="1"/>
      <c r="U1525" s="1"/>
      <c r="V1525" s="1"/>
      <c r="W1525" s="1"/>
      <c r="X1525" s="1"/>
      <c r="Y1525" s="1"/>
      <c r="Z1525" s="102"/>
      <c r="AA1525" s="102"/>
      <c r="AB1525" s="1"/>
      <c r="AC1525" s="1"/>
      <c r="AD1525" s="1"/>
      <c r="AE1525" s="1"/>
      <c r="AF1525" s="1"/>
      <c r="AG1525" s="1"/>
    </row>
    <row r="1526" ht="15.75" customHeight="1">
      <c r="A1526" s="1"/>
      <c r="B1526" s="1"/>
      <c r="C1526" s="1"/>
      <c r="D1526" s="1"/>
      <c r="E1526" s="1"/>
      <c r="F1526" s="1"/>
      <c r="G1526" s="1"/>
      <c r="H1526" s="1"/>
      <c r="I1526" s="1"/>
      <c r="J1526" s="1"/>
      <c r="K1526" s="102" t="s">
        <v>2870</v>
      </c>
      <c r="L1526" s="102" t="str">
        <f>B30</f>
        <v>J1</v>
      </c>
      <c r="M1526" s="102" t="s">
        <v>2871</v>
      </c>
      <c r="N1526" s="102" t="s">
        <v>2872</v>
      </c>
      <c r="O1526" s="105">
        <v>1.4171604E7</v>
      </c>
      <c r="P1526" s="105">
        <v>1.2050898E7</v>
      </c>
      <c r="Q1526" s="102" t="s">
        <v>2576</v>
      </c>
      <c r="R1526" s="1"/>
      <c r="S1526" s="1"/>
      <c r="T1526" s="1"/>
      <c r="U1526" s="1"/>
      <c r="V1526" s="1"/>
      <c r="W1526" s="1"/>
      <c r="X1526" s="1"/>
      <c r="Y1526" s="1"/>
      <c r="Z1526" s="102"/>
      <c r="AA1526" s="102"/>
      <c r="AB1526" s="1"/>
      <c r="AC1526" s="1"/>
      <c r="AD1526" s="1"/>
      <c r="AE1526" s="1"/>
      <c r="AF1526" s="1"/>
      <c r="AG1526" s="1"/>
    </row>
    <row r="1527" ht="15.75" customHeight="1">
      <c r="A1527" s="1"/>
      <c r="B1527" s="1"/>
      <c r="C1527" s="1"/>
      <c r="D1527" s="1"/>
      <c r="E1527" s="1"/>
      <c r="F1527" s="1"/>
      <c r="G1527" s="1"/>
      <c r="H1527" s="1"/>
      <c r="I1527" s="1"/>
      <c r="J1527" s="1"/>
      <c r="K1527" s="102" t="s">
        <v>2871</v>
      </c>
      <c r="L1527" s="102" t="str">
        <f>B30</f>
        <v>J1</v>
      </c>
      <c r="M1527" s="102" t="s">
        <v>2870</v>
      </c>
      <c r="N1527" s="102" t="s">
        <v>2872</v>
      </c>
      <c r="O1527" s="105">
        <v>1.4171604E7</v>
      </c>
      <c r="P1527" s="105">
        <v>1.2050898E7</v>
      </c>
      <c r="Q1527" s="102" t="s">
        <v>2576</v>
      </c>
      <c r="R1527" s="1"/>
      <c r="S1527" s="1"/>
      <c r="T1527" s="1"/>
      <c r="U1527" s="1"/>
      <c r="V1527" s="1"/>
      <c r="W1527" s="1"/>
      <c r="X1527" s="1"/>
      <c r="Y1527" s="1"/>
      <c r="Z1527" s="102"/>
      <c r="AA1527" s="102"/>
      <c r="AB1527" s="1"/>
      <c r="AC1527" s="1"/>
      <c r="AD1527" s="1"/>
      <c r="AE1527" s="1"/>
      <c r="AF1527" s="1"/>
      <c r="AG1527" s="1"/>
    </row>
    <row r="1528" ht="15.75" customHeight="1">
      <c r="A1528" s="1"/>
      <c r="B1528" s="1"/>
      <c r="C1528" s="1"/>
      <c r="D1528" s="1"/>
      <c r="E1528" s="1"/>
      <c r="F1528" s="1"/>
      <c r="G1528" s="1"/>
      <c r="H1528" s="1"/>
      <c r="I1528" s="1"/>
      <c r="J1528" s="1"/>
      <c r="K1528" s="102" t="s">
        <v>2873</v>
      </c>
      <c r="L1528" s="102" t="str">
        <f>B30</f>
        <v>J1</v>
      </c>
      <c r="M1528" s="102" t="s">
        <v>2874</v>
      </c>
      <c r="N1528" s="102" t="s">
        <v>2875</v>
      </c>
      <c r="O1528" s="105">
        <v>1.4354067E7</v>
      </c>
      <c r="P1528" s="105">
        <v>1.2233362E7</v>
      </c>
      <c r="Q1528" s="102" t="s">
        <v>2446</v>
      </c>
      <c r="R1528" s="1"/>
      <c r="S1528" s="1"/>
      <c r="T1528" s="1"/>
      <c r="U1528" s="1"/>
      <c r="V1528" s="1"/>
      <c r="W1528" s="1"/>
      <c r="X1528" s="1"/>
      <c r="Y1528" s="1"/>
      <c r="Z1528" s="102"/>
      <c r="AA1528" s="102"/>
      <c r="AB1528" s="1"/>
      <c r="AC1528" s="1"/>
      <c r="AD1528" s="1"/>
      <c r="AE1528" s="1"/>
      <c r="AF1528" s="1"/>
      <c r="AG1528" s="1"/>
    </row>
    <row r="1529" ht="15.75" customHeight="1">
      <c r="A1529" s="1"/>
      <c r="B1529" s="1"/>
      <c r="C1529" s="1"/>
      <c r="D1529" s="1"/>
      <c r="E1529" s="1"/>
      <c r="F1529" s="1"/>
      <c r="G1529" s="1"/>
      <c r="H1529" s="1"/>
      <c r="I1529" s="1"/>
      <c r="J1529" s="1"/>
      <c r="K1529" s="102" t="s">
        <v>2874</v>
      </c>
      <c r="L1529" s="102" t="str">
        <f>B30</f>
        <v>J1</v>
      </c>
      <c r="M1529" s="102" t="s">
        <v>2873</v>
      </c>
      <c r="N1529" s="102" t="s">
        <v>2875</v>
      </c>
      <c r="O1529" s="105">
        <v>1.4354067E7</v>
      </c>
      <c r="P1529" s="105">
        <v>1.2233362E7</v>
      </c>
      <c r="Q1529" s="102" t="s">
        <v>2446</v>
      </c>
      <c r="R1529" s="1"/>
      <c r="S1529" s="1"/>
      <c r="T1529" s="1"/>
      <c r="U1529" s="1"/>
      <c r="V1529" s="1"/>
      <c r="W1529" s="1"/>
      <c r="X1529" s="1"/>
      <c r="Y1529" s="1"/>
      <c r="Z1529" s="102"/>
      <c r="AA1529" s="102"/>
      <c r="AB1529" s="1"/>
      <c r="AC1529" s="1"/>
      <c r="AD1529" s="1"/>
      <c r="AE1529" s="1"/>
      <c r="AF1529" s="1"/>
      <c r="AG1529" s="1"/>
    </row>
    <row r="1530" ht="15.75" customHeight="1">
      <c r="A1530" s="1"/>
      <c r="B1530" s="1"/>
      <c r="C1530" s="1"/>
      <c r="D1530" s="1"/>
      <c r="E1530" s="1"/>
      <c r="F1530" s="1"/>
      <c r="G1530" s="1"/>
      <c r="H1530" s="1"/>
      <c r="I1530" s="1"/>
      <c r="J1530" s="1"/>
      <c r="K1530" s="102" t="s">
        <v>2876</v>
      </c>
      <c r="L1530" s="102" t="str">
        <f>B30</f>
        <v>J1</v>
      </c>
      <c r="M1530" s="102" t="s">
        <v>2877</v>
      </c>
      <c r="N1530" s="102" t="s">
        <v>2878</v>
      </c>
      <c r="O1530" s="105">
        <v>1.4381213E7</v>
      </c>
      <c r="P1530" s="105">
        <v>1.2260509E7</v>
      </c>
      <c r="Q1530" s="102" t="s">
        <v>2439</v>
      </c>
      <c r="R1530" s="1"/>
      <c r="S1530" s="1"/>
      <c r="T1530" s="1"/>
      <c r="U1530" s="1"/>
      <c r="V1530" s="1"/>
      <c r="W1530" s="1"/>
      <c r="X1530" s="1"/>
      <c r="Y1530" s="1"/>
      <c r="Z1530" s="102"/>
      <c r="AA1530" s="102"/>
      <c r="AB1530" s="1"/>
      <c r="AC1530" s="1"/>
      <c r="AD1530" s="1"/>
      <c r="AE1530" s="1"/>
      <c r="AF1530" s="1"/>
      <c r="AG1530" s="1"/>
    </row>
    <row r="1531" ht="15.75" customHeight="1">
      <c r="A1531" s="1"/>
      <c r="B1531" s="1"/>
      <c r="C1531" s="1"/>
      <c r="D1531" s="1"/>
      <c r="E1531" s="1"/>
      <c r="F1531" s="1"/>
      <c r="G1531" s="1"/>
      <c r="H1531" s="1"/>
      <c r="I1531" s="1"/>
      <c r="J1531" s="1"/>
      <c r="K1531" s="102" t="s">
        <v>2877</v>
      </c>
      <c r="L1531" s="102" t="str">
        <f>B30</f>
        <v>J1</v>
      </c>
      <c r="M1531" s="102" t="s">
        <v>2876</v>
      </c>
      <c r="N1531" s="102" t="s">
        <v>2878</v>
      </c>
      <c r="O1531" s="105">
        <v>1.4381213E7</v>
      </c>
      <c r="P1531" s="105">
        <v>1.2260509E7</v>
      </c>
      <c r="Q1531" s="102" t="s">
        <v>2439</v>
      </c>
      <c r="R1531" s="1"/>
      <c r="S1531" s="1"/>
      <c r="T1531" s="1"/>
      <c r="U1531" s="1"/>
      <c r="V1531" s="1"/>
      <c r="W1531" s="1"/>
      <c r="X1531" s="1"/>
      <c r="Y1531" s="1"/>
      <c r="Z1531" s="102"/>
      <c r="AA1531" s="102"/>
      <c r="AB1531" s="1"/>
      <c r="AC1531" s="1"/>
      <c r="AD1531" s="1"/>
      <c r="AE1531" s="1"/>
      <c r="AF1531" s="1"/>
      <c r="AG1531" s="1"/>
    </row>
    <row r="1532" ht="15.75" customHeight="1">
      <c r="A1532" s="1"/>
      <c r="B1532" s="1"/>
      <c r="C1532" s="1"/>
      <c r="D1532" s="1"/>
      <c r="E1532" s="1"/>
      <c r="F1532" s="1"/>
      <c r="G1532" s="1"/>
      <c r="H1532" s="1"/>
      <c r="I1532" s="1"/>
      <c r="J1532" s="1"/>
      <c r="K1532" s="102" t="s">
        <v>2879</v>
      </c>
      <c r="L1532" s="102" t="str">
        <f>B30</f>
        <v>J1</v>
      </c>
      <c r="M1532" s="102" t="s">
        <v>2880</v>
      </c>
      <c r="N1532" s="102" t="s">
        <v>2881</v>
      </c>
      <c r="O1532" s="105">
        <v>1.4406344E7</v>
      </c>
      <c r="P1532" s="105">
        <v>1.2285641E7</v>
      </c>
      <c r="Q1532" s="102" t="s">
        <v>2529</v>
      </c>
      <c r="R1532" s="1"/>
      <c r="S1532" s="1"/>
      <c r="T1532" s="1"/>
      <c r="U1532" s="1"/>
      <c r="V1532" s="1"/>
      <c r="W1532" s="1"/>
      <c r="X1532" s="1"/>
      <c r="Y1532" s="1"/>
      <c r="Z1532" s="102"/>
      <c r="AA1532" s="102"/>
      <c r="AB1532" s="1"/>
      <c r="AC1532" s="1"/>
      <c r="AD1532" s="1"/>
      <c r="AE1532" s="1"/>
      <c r="AF1532" s="1"/>
      <c r="AG1532" s="1"/>
    </row>
    <row r="1533" ht="15.75" customHeight="1">
      <c r="A1533" s="1"/>
      <c r="B1533" s="1"/>
      <c r="C1533" s="1"/>
      <c r="D1533" s="1"/>
      <c r="E1533" s="1"/>
      <c r="F1533" s="1"/>
      <c r="G1533" s="1"/>
      <c r="H1533" s="1"/>
      <c r="I1533" s="1"/>
      <c r="J1533" s="1"/>
      <c r="K1533" s="102" t="s">
        <v>2880</v>
      </c>
      <c r="L1533" s="102" t="str">
        <f>B30</f>
        <v>J1</v>
      </c>
      <c r="M1533" s="102" t="s">
        <v>2879</v>
      </c>
      <c r="N1533" s="102" t="s">
        <v>2881</v>
      </c>
      <c r="O1533" s="105">
        <v>1.4406344E7</v>
      </c>
      <c r="P1533" s="105">
        <v>1.2285641E7</v>
      </c>
      <c r="Q1533" s="102" t="s">
        <v>2529</v>
      </c>
      <c r="R1533" s="1"/>
      <c r="S1533" s="1"/>
      <c r="T1533" s="1"/>
      <c r="U1533" s="1"/>
      <c r="V1533" s="1"/>
      <c r="W1533" s="1"/>
      <c r="X1533" s="1"/>
      <c r="Y1533" s="1"/>
      <c r="Z1533" s="102"/>
      <c r="AA1533" s="102"/>
      <c r="AB1533" s="1"/>
      <c r="AC1533" s="1"/>
      <c r="AD1533" s="1"/>
      <c r="AE1533" s="1"/>
      <c r="AF1533" s="1"/>
      <c r="AG1533" s="1"/>
    </row>
    <row r="1534" ht="15.75" customHeight="1">
      <c r="A1534" s="1"/>
      <c r="B1534" s="1"/>
      <c r="C1534" s="1"/>
      <c r="D1534" s="1"/>
      <c r="E1534" s="1"/>
      <c r="F1534" s="1"/>
      <c r="G1534" s="1"/>
      <c r="H1534" s="1"/>
      <c r="I1534" s="1"/>
      <c r="J1534" s="1"/>
      <c r="K1534" s="102" t="s">
        <v>2882</v>
      </c>
      <c r="L1534" s="102" t="str">
        <f>B30</f>
        <v>J1</v>
      </c>
      <c r="M1534" s="102" t="s">
        <v>2883</v>
      </c>
      <c r="N1534" s="102" t="s">
        <v>2884</v>
      </c>
      <c r="O1534" s="105">
        <v>1.4418313E7</v>
      </c>
      <c r="P1534" s="105">
        <v>1.2297588E7</v>
      </c>
      <c r="Q1534" s="102" t="s">
        <v>2501</v>
      </c>
      <c r="R1534" s="1"/>
      <c r="S1534" s="1"/>
      <c r="T1534" s="1"/>
      <c r="U1534" s="1"/>
      <c r="V1534" s="1"/>
      <c r="W1534" s="1"/>
      <c r="X1534" s="1"/>
      <c r="Y1534" s="1"/>
      <c r="Z1534" s="102"/>
      <c r="AA1534" s="102"/>
      <c r="AB1534" s="1"/>
      <c r="AC1534" s="1"/>
      <c r="AD1534" s="1"/>
      <c r="AE1534" s="1"/>
      <c r="AF1534" s="1"/>
      <c r="AG1534" s="1"/>
    </row>
    <row r="1535" ht="15.75" customHeight="1">
      <c r="A1535" s="1"/>
      <c r="B1535" s="1"/>
      <c r="C1535" s="1"/>
      <c r="D1535" s="1"/>
      <c r="E1535" s="1"/>
      <c r="F1535" s="1"/>
      <c r="G1535" s="1"/>
      <c r="H1535" s="1"/>
      <c r="I1535" s="1"/>
      <c r="J1535" s="1"/>
      <c r="K1535" s="102" t="s">
        <v>2883</v>
      </c>
      <c r="L1535" s="102" t="str">
        <f>B30</f>
        <v>J1</v>
      </c>
      <c r="M1535" s="102" t="s">
        <v>2882</v>
      </c>
      <c r="N1535" s="102" t="s">
        <v>2884</v>
      </c>
      <c r="O1535" s="105">
        <v>1.4418313E7</v>
      </c>
      <c r="P1535" s="105">
        <v>1.2297588E7</v>
      </c>
      <c r="Q1535" s="102" t="s">
        <v>2501</v>
      </c>
      <c r="R1535" s="1"/>
      <c r="S1535" s="1"/>
      <c r="T1535" s="1"/>
      <c r="U1535" s="1"/>
      <c r="V1535" s="1"/>
      <c r="W1535" s="1"/>
      <c r="X1535" s="1"/>
      <c r="Y1535" s="1"/>
      <c r="Z1535" s="102"/>
      <c r="AA1535" s="102"/>
      <c r="AB1535" s="1"/>
      <c r="AC1535" s="1"/>
      <c r="AD1535" s="1"/>
      <c r="AE1535" s="1"/>
      <c r="AF1535" s="1"/>
      <c r="AG1535" s="1"/>
    </row>
    <row r="1536" ht="15.75" customHeight="1">
      <c r="A1536" s="1"/>
      <c r="B1536" s="1"/>
      <c r="C1536" s="1"/>
      <c r="D1536" s="1"/>
      <c r="E1536" s="1"/>
      <c r="F1536" s="1"/>
      <c r="G1536" s="1"/>
      <c r="H1536" s="1"/>
      <c r="I1536" s="1"/>
      <c r="J1536" s="1"/>
      <c r="K1536" s="102" t="s">
        <v>2885</v>
      </c>
      <c r="L1536" s="102" t="str">
        <f>B30</f>
        <v>J1</v>
      </c>
      <c r="M1536" s="102" t="s">
        <v>2886</v>
      </c>
      <c r="N1536" s="102" t="s">
        <v>2887</v>
      </c>
      <c r="O1536" s="105">
        <v>1.4732916E7</v>
      </c>
      <c r="P1536" s="105">
        <v>1.2620984E7</v>
      </c>
      <c r="Q1536" s="102" t="s">
        <v>2446</v>
      </c>
      <c r="R1536" s="1"/>
      <c r="S1536" s="1"/>
      <c r="T1536" s="1"/>
      <c r="U1536" s="1"/>
      <c r="V1536" s="1"/>
      <c r="W1536" s="1"/>
      <c r="X1536" s="1"/>
      <c r="Y1536" s="1"/>
      <c r="Z1536" s="102"/>
      <c r="AA1536" s="102"/>
      <c r="AB1536" s="1"/>
      <c r="AC1536" s="1"/>
      <c r="AD1536" s="1"/>
      <c r="AE1536" s="1"/>
      <c r="AF1536" s="1"/>
      <c r="AG1536" s="1"/>
    </row>
    <row r="1537" ht="15.75" customHeight="1">
      <c r="A1537" s="1"/>
      <c r="B1537" s="1"/>
      <c r="C1537" s="1"/>
      <c r="D1537" s="1"/>
      <c r="E1537" s="1"/>
      <c r="F1537" s="1"/>
      <c r="G1537" s="1"/>
      <c r="H1537" s="1"/>
      <c r="I1537" s="1"/>
      <c r="J1537" s="1"/>
      <c r="K1537" s="102" t="s">
        <v>2886</v>
      </c>
      <c r="L1537" s="102" t="str">
        <f>B30</f>
        <v>J1</v>
      </c>
      <c r="M1537" s="102" t="s">
        <v>2885</v>
      </c>
      <c r="N1537" s="102" t="s">
        <v>2887</v>
      </c>
      <c r="O1537" s="105">
        <v>1.4732916E7</v>
      </c>
      <c r="P1537" s="105">
        <v>1.2620984E7</v>
      </c>
      <c r="Q1537" s="102" t="s">
        <v>2446</v>
      </c>
      <c r="R1537" s="1"/>
      <c r="S1537" s="1"/>
      <c r="T1537" s="1"/>
      <c r="U1537" s="1"/>
      <c r="V1537" s="1"/>
      <c r="W1537" s="1"/>
      <c r="X1537" s="1"/>
      <c r="Y1537" s="1"/>
      <c r="Z1537" s="102"/>
      <c r="AA1537" s="102"/>
      <c r="AB1537" s="1"/>
      <c r="AC1537" s="1"/>
      <c r="AD1537" s="1"/>
      <c r="AE1537" s="1"/>
      <c r="AF1537" s="1"/>
      <c r="AG1537" s="1"/>
    </row>
    <row r="1538" ht="15.75" customHeight="1">
      <c r="A1538" s="1"/>
      <c r="B1538" s="1"/>
      <c r="C1538" s="1"/>
      <c r="D1538" s="1"/>
      <c r="E1538" s="1"/>
      <c r="F1538" s="1"/>
      <c r="G1538" s="1"/>
      <c r="H1538" s="1"/>
      <c r="I1538" s="1"/>
      <c r="J1538" s="1"/>
      <c r="K1538" s="102" t="s">
        <v>2888</v>
      </c>
      <c r="L1538" s="102" t="str">
        <f>B30</f>
        <v>J1</v>
      </c>
      <c r="M1538" s="102" t="s">
        <v>2889</v>
      </c>
      <c r="N1538" s="102" t="s">
        <v>2890</v>
      </c>
      <c r="O1538" s="105">
        <v>1.4895744E7</v>
      </c>
      <c r="P1538" s="105">
        <v>1.278381E7</v>
      </c>
      <c r="Q1538" s="102" t="s">
        <v>2468</v>
      </c>
      <c r="R1538" s="1"/>
      <c r="S1538" s="1"/>
      <c r="T1538" s="1"/>
      <c r="U1538" s="1"/>
      <c r="V1538" s="1"/>
      <c r="W1538" s="1"/>
      <c r="X1538" s="1"/>
      <c r="Y1538" s="1"/>
      <c r="Z1538" s="102"/>
      <c r="AA1538" s="102"/>
      <c r="AB1538" s="1"/>
      <c r="AC1538" s="1"/>
      <c r="AD1538" s="1"/>
      <c r="AE1538" s="1"/>
      <c r="AF1538" s="1"/>
      <c r="AG1538" s="1"/>
    </row>
    <row r="1539" ht="15.75" customHeight="1">
      <c r="A1539" s="1"/>
      <c r="B1539" s="1"/>
      <c r="C1539" s="1"/>
      <c r="D1539" s="1"/>
      <c r="E1539" s="1"/>
      <c r="F1539" s="1"/>
      <c r="G1539" s="1"/>
      <c r="H1539" s="1"/>
      <c r="I1539" s="1"/>
      <c r="J1539" s="1"/>
      <c r="K1539" s="102" t="s">
        <v>2891</v>
      </c>
      <c r="L1539" s="102" t="str">
        <f>B30</f>
        <v>J1</v>
      </c>
      <c r="M1539" s="102" t="s">
        <v>2892</v>
      </c>
      <c r="N1539" s="102" t="s">
        <v>2890</v>
      </c>
      <c r="O1539" s="105">
        <v>1.4895744E7</v>
      </c>
      <c r="P1539" s="105">
        <v>1.278381E7</v>
      </c>
      <c r="Q1539" s="102" t="s">
        <v>2468</v>
      </c>
      <c r="R1539" s="1"/>
      <c r="S1539" s="1"/>
      <c r="T1539" s="1"/>
      <c r="U1539" s="1"/>
      <c r="V1539" s="1"/>
      <c r="W1539" s="1"/>
      <c r="X1539" s="1"/>
      <c r="Y1539" s="1"/>
      <c r="Z1539" s="102"/>
      <c r="AA1539" s="102"/>
      <c r="AB1539" s="1"/>
      <c r="AC1539" s="1"/>
      <c r="AD1539" s="1"/>
      <c r="AE1539" s="1"/>
      <c r="AF1539" s="1"/>
      <c r="AG1539" s="1"/>
    </row>
    <row r="1540" ht="15.75" customHeight="1">
      <c r="A1540" s="1"/>
      <c r="B1540" s="1"/>
      <c r="C1540" s="1"/>
      <c r="D1540" s="1"/>
      <c r="E1540" s="1"/>
      <c r="F1540" s="1"/>
      <c r="G1540" s="1"/>
      <c r="H1540" s="1"/>
      <c r="I1540" s="1"/>
      <c r="J1540" s="1"/>
      <c r="K1540" s="102" t="s">
        <v>2893</v>
      </c>
      <c r="L1540" s="102" t="str">
        <f>B30</f>
        <v>J1</v>
      </c>
      <c r="M1540" s="102" t="s">
        <v>2894</v>
      </c>
      <c r="N1540" s="102" t="s">
        <v>2890</v>
      </c>
      <c r="O1540" s="105">
        <v>1.4895744E7</v>
      </c>
      <c r="P1540" s="105">
        <v>1.278381E7</v>
      </c>
      <c r="Q1540" s="102" t="s">
        <v>2468</v>
      </c>
      <c r="R1540" s="1"/>
      <c r="S1540" s="1"/>
      <c r="T1540" s="1"/>
      <c r="U1540" s="1"/>
      <c r="V1540" s="1"/>
      <c r="W1540" s="1"/>
      <c r="X1540" s="1"/>
      <c r="Y1540" s="1"/>
      <c r="Z1540" s="102"/>
      <c r="AA1540" s="102"/>
      <c r="AB1540" s="1"/>
      <c r="AC1540" s="1"/>
      <c r="AD1540" s="1"/>
      <c r="AE1540" s="1"/>
      <c r="AF1540" s="1"/>
      <c r="AG1540" s="1"/>
    </row>
    <row r="1541" ht="15.75" customHeight="1">
      <c r="A1541" s="1"/>
      <c r="B1541" s="1"/>
      <c r="C1541" s="1"/>
      <c r="D1541" s="1"/>
      <c r="E1541" s="1"/>
      <c r="F1541" s="1"/>
      <c r="G1541" s="1"/>
      <c r="H1541" s="1"/>
      <c r="I1541" s="1"/>
      <c r="J1541" s="1"/>
      <c r="K1541" s="102" t="s">
        <v>2895</v>
      </c>
      <c r="L1541" s="102" t="str">
        <f>B30</f>
        <v>J1</v>
      </c>
      <c r="M1541" s="102" t="s">
        <v>2896</v>
      </c>
      <c r="N1541" s="102" t="s">
        <v>2897</v>
      </c>
      <c r="O1541" s="105">
        <v>1.4970593E7</v>
      </c>
      <c r="P1541" s="105">
        <v>1.2858668E7</v>
      </c>
      <c r="Q1541" s="102" t="s">
        <v>2576</v>
      </c>
      <c r="R1541" s="1"/>
      <c r="S1541" s="1"/>
      <c r="T1541" s="1"/>
      <c r="U1541" s="1"/>
      <c r="V1541" s="1"/>
      <c r="W1541" s="1"/>
      <c r="X1541" s="1"/>
      <c r="Y1541" s="1"/>
      <c r="Z1541" s="102"/>
      <c r="AA1541" s="102"/>
      <c r="AB1541" s="1"/>
      <c r="AC1541" s="1"/>
      <c r="AD1541" s="1"/>
      <c r="AE1541" s="1"/>
      <c r="AF1541" s="1"/>
      <c r="AG1541" s="1"/>
    </row>
    <row r="1542" ht="15.75" customHeight="1">
      <c r="A1542" s="1"/>
      <c r="B1542" s="1"/>
      <c r="C1542" s="1"/>
      <c r="D1542" s="1"/>
      <c r="E1542" s="1"/>
      <c r="F1542" s="1"/>
      <c r="G1542" s="1"/>
      <c r="H1542" s="1"/>
      <c r="I1542" s="1"/>
      <c r="J1542" s="1"/>
      <c r="K1542" s="102" t="s">
        <v>2896</v>
      </c>
      <c r="L1542" s="102" t="str">
        <f>B30</f>
        <v>J1</v>
      </c>
      <c r="M1542" s="102" t="s">
        <v>2895</v>
      </c>
      <c r="N1542" s="102" t="s">
        <v>2897</v>
      </c>
      <c r="O1542" s="105">
        <v>1.4970593E7</v>
      </c>
      <c r="P1542" s="105">
        <v>1.2858668E7</v>
      </c>
      <c r="Q1542" s="102" t="s">
        <v>2576</v>
      </c>
      <c r="S1542" s="1"/>
      <c r="T1542" s="1"/>
      <c r="U1542" s="1"/>
      <c r="V1542" s="1"/>
      <c r="W1542" s="1"/>
      <c r="X1542" s="1"/>
      <c r="Y1542" s="1"/>
      <c r="Z1542" s="102"/>
      <c r="AA1542" s="102"/>
      <c r="AB1542" s="1"/>
      <c r="AC1542" s="1"/>
      <c r="AD1542" s="1"/>
      <c r="AE1542" s="1"/>
      <c r="AF1542" s="1"/>
      <c r="AG1542" s="1"/>
    </row>
    <row r="1543" ht="15.75" customHeight="1">
      <c r="A1543" s="1"/>
      <c r="B1543" s="1"/>
      <c r="C1543" s="1"/>
      <c r="D1543" s="1"/>
      <c r="E1543" s="1"/>
      <c r="F1543" s="1"/>
      <c r="G1543" s="1"/>
      <c r="H1543" s="1"/>
      <c r="I1543" s="1"/>
      <c r="J1543" s="1"/>
      <c r="K1543" s="102" t="s">
        <v>2898</v>
      </c>
      <c r="L1543" s="102" t="str">
        <f>B30</f>
        <v>J1</v>
      </c>
      <c r="M1543" s="102" t="s">
        <v>2899</v>
      </c>
      <c r="N1543" s="102" t="s">
        <v>2900</v>
      </c>
      <c r="O1543" s="105">
        <v>1.5166123E7</v>
      </c>
      <c r="P1543" s="105">
        <v>1.3054209E7</v>
      </c>
      <c r="Q1543" s="102" t="s">
        <v>2468</v>
      </c>
      <c r="S1543" s="1"/>
      <c r="T1543" s="1"/>
      <c r="U1543" s="1"/>
      <c r="V1543" s="1"/>
      <c r="W1543" s="1"/>
      <c r="X1543" s="1"/>
      <c r="Y1543" s="1"/>
      <c r="Z1543" s="102"/>
      <c r="AA1543" s="102"/>
      <c r="AB1543" s="1"/>
      <c r="AC1543" s="1"/>
      <c r="AD1543" s="1"/>
      <c r="AE1543" s="1"/>
      <c r="AF1543" s="1"/>
      <c r="AG1543" s="1"/>
    </row>
    <row r="1544" ht="15.75" customHeight="1">
      <c r="A1544" s="1"/>
      <c r="B1544" s="1"/>
      <c r="C1544" s="1"/>
      <c r="D1544" s="1"/>
      <c r="E1544" s="1"/>
      <c r="F1544" s="1"/>
      <c r="G1544" s="1"/>
      <c r="H1544" s="1"/>
      <c r="I1544" s="1"/>
      <c r="J1544" s="1"/>
      <c r="K1544" s="102" t="s">
        <v>2901</v>
      </c>
      <c r="L1544" s="102" t="str">
        <f>B30</f>
        <v>J1</v>
      </c>
      <c r="M1544" s="102" t="s">
        <v>2902</v>
      </c>
      <c r="N1544" s="102" t="s">
        <v>2900</v>
      </c>
      <c r="O1544" s="105">
        <v>1.5166123E7</v>
      </c>
      <c r="P1544" s="105">
        <v>1.3054209E7</v>
      </c>
      <c r="Q1544" s="102" t="s">
        <v>2468</v>
      </c>
      <c r="S1544" s="1"/>
      <c r="T1544" s="1"/>
      <c r="U1544" s="1"/>
      <c r="V1544" s="1"/>
      <c r="W1544" s="1"/>
      <c r="X1544" s="1"/>
      <c r="Y1544" s="1"/>
      <c r="Z1544" s="102"/>
      <c r="AA1544" s="102"/>
      <c r="AB1544" s="1"/>
      <c r="AC1544" s="1"/>
      <c r="AD1544" s="1"/>
      <c r="AE1544" s="1"/>
      <c r="AF1544" s="1"/>
      <c r="AG1544" s="1"/>
    </row>
    <row r="1545" ht="15.75" customHeight="1">
      <c r="A1545" s="1"/>
      <c r="B1545" s="1"/>
      <c r="C1545" s="1"/>
      <c r="D1545" s="1"/>
      <c r="E1545" s="1"/>
      <c r="F1545" s="1"/>
      <c r="G1545" s="1"/>
      <c r="H1545" s="1"/>
      <c r="I1545" s="1"/>
      <c r="J1545" s="1"/>
      <c r="K1545" s="102" t="s">
        <v>2903</v>
      </c>
      <c r="L1545" s="102" t="str">
        <f>B30</f>
        <v>J1</v>
      </c>
      <c r="M1545" s="102" t="s">
        <v>2904</v>
      </c>
      <c r="N1545" s="102" t="s">
        <v>2900</v>
      </c>
      <c r="O1545" s="105">
        <v>1.5166123E7</v>
      </c>
      <c r="P1545" s="105">
        <v>1.3054209E7</v>
      </c>
      <c r="Q1545" s="102" t="s">
        <v>2468</v>
      </c>
      <c r="S1545" s="1"/>
      <c r="T1545" s="1"/>
      <c r="U1545" s="1"/>
      <c r="V1545" s="1"/>
      <c r="W1545" s="1"/>
      <c r="X1545" s="1"/>
      <c r="Y1545" s="1"/>
      <c r="Z1545" s="102"/>
      <c r="AA1545" s="102"/>
      <c r="AB1545" s="1"/>
      <c r="AC1545" s="1"/>
      <c r="AD1545" s="1"/>
      <c r="AE1545" s="1"/>
      <c r="AF1545" s="1"/>
      <c r="AG1545" s="1"/>
    </row>
    <row r="1546" ht="15.75" customHeight="1">
      <c r="A1546" s="1"/>
      <c r="B1546" s="1"/>
      <c r="C1546" s="1"/>
      <c r="D1546" s="1"/>
      <c r="E1546" s="1"/>
      <c r="F1546" s="1"/>
      <c r="G1546" s="1"/>
      <c r="H1546" s="1"/>
      <c r="I1546" s="1"/>
      <c r="J1546" s="1"/>
      <c r="K1546" s="102" t="s">
        <v>2905</v>
      </c>
      <c r="L1546" s="102" t="str">
        <f>B30</f>
        <v>J1</v>
      </c>
      <c r="M1546" s="102" t="s">
        <v>2906</v>
      </c>
      <c r="N1546" s="102" t="s">
        <v>2907</v>
      </c>
      <c r="O1546" s="105">
        <v>1.5286247E7</v>
      </c>
      <c r="P1546" s="105">
        <v>1.3174346E7</v>
      </c>
      <c r="Q1546" s="102" t="s">
        <v>2563</v>
      </c>
      <c r="S1546" s="1"/>
      <c r="T1546" s="1"/>
      <c r="U1546" s="1"/>
      <c r="V1546" s="1"/>
      <c r="W1546" s="1"/>
      <c r="X1546" s="1"/>
      <c r="Y1546" s="1"/>
      <c r="Z1546" s="102"/>
      <c r="AA1546" s="102"/>
      <c r="AB1546" s="1"/>
      <c r="AC1546" s="1"/>
      <c r="AD1546" s="1"/>
      <c r="AE1546" s="1"/>
      <c r="AF1546" s="1"/>
      <c r="AG1546" s="1"/>
    </row>
    <row r="1547" ht="15.75" customHeight="1">
      <c r="A1547" s="1"/>
      <c r="B1547" s="1"/>
      <c r="C1547" s="1"/>
      <c r="D1547" s="1"/>
      <c r="E1547" s="1"/>
      <c r="F1547" s="1"/>
      <c r="G1547" s="1"/>
      <c r="H1547" s="1"/>
      <c r="I1547" s="1"/>
      <c r="J1547" s="1"/>
      <c r="K1547" s="102" t="s">
        <v>2906</v>
      </c>
      <c r="L1547" s="102" t="str">
        <f>B30</f>
        <v>J1</v>
      </c>
      <c r="M1547" s="102" t="s">
        <v>2905</v>
      </c>
      <c r="N1547" s="102" t="s">
        <v>2907</v>
      </c>
      <c r="O1547" s="105">
        <v>1.5286247E7</v>
      </c>
      <c r="P1547" s="105">
        <v>1.3174346E7</v>
      </c>
      <c r="Q1547" s="102" t="s">
        <v>2563</v>
      </c>
      <c r="S1547" s="1"/>
      <c r="T1547" s="1"/>
      <c r="U1547" s="1"/>
      <c r="V1547" s="1"/>
      <c r="W1547" s="1"/>
      <c r="X1547" s="1"/>
      <c r="Y1547" s="1"/>
      <c r="Z1547" s="102"/>
      <c r="AA1547" s="102"/>
      <c r="AB1547" s="1"/>
      <c r="AC1547" s="1"/>
      <c r="AD1547" s="1"/>
      <c r="AE1547" s="1"/>
      <c r="AF1547" s="1"/>
      <c r="AG1547" s="1"/>
    </row>
    <row r="1548" ht="15.75" customHeight="1">
      <c r="A1548" s="1"/>
      <c r="B1548" s="1"/>
      <c r="C1548" s="1"/>
      <c r="D1548" s="1"/>
      <c r="E1548" s="1"/>
      <c r="F1548" s="1"/>
      <c r="G1548" s="1"/>
      <c r="H1548" s="1"/>
      <c r="I1548" s="1"/>
      <c r="J1548" s="1"/>
      <c r="K1548" s="102" t="s">
        <v>2908</v>
      </c>
      <c r="L1548" s="102" t="str">
        <f>B30</f>
        <v>J1</v>
      </c>
      <c r="M1548" s="102" t="s">
        <v>2909</v>
      </c>
      <c r="N1548" s="102" t="s">
        <v>2910</v>
      </c>
      <c r="O1548" s="105">
        <v>1.5298128E7</v>
      </c>
      <c r="P1548" s="105">
        <v>1.3186227E7</v>
      </c>
      <c r="Q1548" s="102" t="s">
        <v>2468</v>
      </c>
      <c r="S1548" s="1"/>
      <c r="T1548" s="1"/>
      <c r="U1548" s="1"/>
      <c r="V1548" s="1"/>
      <c r="W1548" s="1"/>
      <c r="X1548" s="1"/>
      <c r="Y1548" s="1"/>
      <c r="Z1548" s="102"/>
      <c r="AA1548" s="102"/>
      <c r="AB1548" s="1"/>
      <c r="AC1548" s="1"/>
      <c r="AD1548" s="1"/>
      <c r="AE1548" s="1"/>
      <c r="AF1548" s="1"/>
      <c r="AG1548" s="1"/>
    </row>
    <row r="1549" ht="15.75" customHeight="1">
      <c r="A1549" s="1"/>
      <c r="B1549" s="1"/>
      <c r="C1549" s="1"/>
      <c r="D1549" s="1"/>
      <c r="E1549" s="1"/>
      <c r="F1549" s="1"/>
      <c r="G1549" s="1"/>
      <c r="H1549" s="1"/>
      <c r="I1549" s="1"/>
      <c r="J1549" s="1"/>
      <c r="K1549" s="102" t="s">
        <v>2909</v>
      </c>
      <c r="L1549" s="102" t="str">
        <f>B30</f>
        <v>J1</v>
      </c>
      <c r="M1549" s="102" t="s">
        <v>2908</v>
      </c>
      <c r="N1549" s="102" t="s">
        <v>2910</v>
      </c>
      <c r="O1549" s="105">
        <v>1.5298128E7</v>
      </c>
      <c r="P1549" s="105">
        <v>1.3186227E7</v>
      </c>
      <c r="Q1549" s="102" t="s">
        <v>2468</v>
      </c>
      <c r="S1549" s="1"/>
      <c r="T1549" s="1"/>
      <c r="U1549" s="1"/>
      <c r="V1549" s="1"/>
      <c r="W1549" s="1"/>
      <c r="X1549" s="1"/>
      <c r="Y1549" s="1"/>
      <c r="Z1549" s="102"/>
      <c r="AA1549" s="102"/>
      <c r="AB1549" s="1"/>
      <c r="AC1549" s="1"/>
      <c r="AD1549" s="1"/>
      <c r="AE1549" s="1"/>
      <c r="AF1549" s="1"/>
      <c r="AG1549" s="1"/>
    </row>
    <row r="1550" ht="15.75" customHeight="1">
      <c r="A1550" s="1"/>
      <c r="B1550" s="1"/>
      <c r="C1550" s="1"/>
      <c r="D1550" s="1"/>
      <c r="E1550" s="1"/>
      <c r="F1550" s="1"/>
      <c r="G1550" s="1"/>
      <c r="H1550" s="1"/>
      <c r="I1550" s="1"/>
      <c r="J1550" s="1"/>
      <c r="K1550" s="102" t="s">
        <v>2911</v>
      </c>
      <c r="L1550" s="102" t="str">
        <f>B30</f>
        <v>J1</v>
      </c>
      <c r="M1550" s="102" t="s">
        <v>2912</v>
      </c>
      <c r="N1550" s="102" t="s">
        <v>2913</v>
      </c>
      <c r="O1550" s="105">
        <v>1.5340991E7</v>
      </c>
      <c r="P1550" s="105">
        <v>1.322911E7</v>
      </c>
      <c r="Q1550" s="102" t="s">
        <v>2501</v>
      </c>
      <c r="S1550" s="1"/>
      <c r="T1550" s="1"/>
      <c r="U1550" s="1"/>
      <c r="V1550" s="1"/>
      <c r="W1550" s="1"/>
      <c r="X1550" s="1"/>
      <c r="Y1550" s="1"/>
      <c r="Z1550" s="102"/>
      <c r="AA1550" s="102"/>
      <c r="AB1550" s="1"/>
      <c r="AC1550" s="1"/>
      <c r="AD1550" s="1"/>
      <c r="AE1550" s="1"/>
      <c r="AF1550" s="1"/>
      <c r="AG1550" s="1"/>
    </row>
    <row r="1551" ht="15.75" customHeight="1">
      <c r="A1551" s="1"/>
      <c r="B1551" s="1"/>
      <c r="C1551" s="1"/>
      <c r="D1551" s="1"/>
      <c r="E1551" s="1"/>
      <c r="F1551" s="1"/>
      <c r="G1551" s="1"/>
      <c r="H1551" s="1"/>
      <c r="I1551" s="1"/>
      <c r="J1551" s="1"/>
      <c r="K1551" s="102" t="s">
        <v>2914</v>
      </c>
      <c r="L1551" s="102" t="str">
        <f>B30</f>
        <v>J1</v>
      </c>
      <c r="M1551" s="102" t="s">
        <v>2915</v>
      </c>
      <c r="N1551" s="102" t="s">
        <v>2913</v>
      </c>
      <c r="O1551" s="105">
        <v>1.5340991E7</v>
      </c>
      <c r="P1551" s="105">
        <v>1.322911E7</v>
      </c>
      <c r="Q1551" s="102" t="s">
        <v>2501</v>
      </c>
      <c r="S1551" s="1"/>
      <c r="T1551" s="1"/>
      <c r="U1551" s="1"/>
      <c r="V1551" s="1"/>
      <c r="W1551" s="1"/>
      <c r="X1551" s="1"/>
      <c r="Y1551" s="1"/>
      <c r="Z1551" s="102"/>
      <c r="AA1551" s="102"/>
      <c r="AB1551" s="1"/>
      <c r="AC1551" s="1"/>
      <c r="AD1551" s="1"/>
      <c r="AE1551" s="1"/>
      <c r="AF1551" s="1"/>
      <c r="AG1551" s="1"/>
    </row>
    <row r="1552" ht="15.75" customHeight="1">
      <c r="A1552" s="1"/>
      <c r="B1552" s="1"/>
      <c r="C1552" s="1"/>
      <c r="D1552" s="1"/>
      <c r="E1552" s="1"/>
      <c r="F1552" s="1"/>
      <c r="G1552" s="1"/>
      <c r="H1552" s="1"/>
      <c r="I1552" s="1"/>
      <c r="J1552" s="1"/>
      <c r="K1552" s="102" t="s">
        <v>2916</v>
      </c>
      <c r="L1552" s="102" t="str">
        <f>B30</f>
        <v>J1</v>
      </c>
      <c r="M1552" s="102" t="s">
        <v>2917</v>
      </c>
      <c r="N1552" s="102" t="s">
        <v>2913</v>
      </c>
      <c r="O1552" s="105">
        <v>1.5340991E7</v>
      </c>
      <c r="P1552" s="105">
        <v>1.322911E7</v>
      </c>
      <c r="Q1552" s="102" t="s">
        <v>2501</v>
      </c>
      <c r="S1552" s="1"/>
      <c r="T1552" s="1"/>
      <c r="U1552" s="1"/>
      <c r="V1552" s="1"/>
      <c r="W1552" s="1"/>
      <c r="X1552" s="1"/>
      <c r="Y1552" s="1"/>
      <c r="Z1552" s="102"/>
      <c r="AA1552" s="102"/>
      <c r="AB1552" s="1"/>
      <c r="AC1552" s="1"/>
      <c r="AD1552" s="1"/>
      <c r="AE1552" s="1"/>
      <c r="AF1552" s="1"/>
      <c r="AG1552" s="1"/>
    </row>
    <row r="1553" ht="15.75" customHeight="1">
      <c r="A1553" s="1"/>
      <c r="B1553" s="1"/>
      <c r="C1553" s="1"/>
      <c r="D1553" s="1"/>
      <c r="E1553" s="1"/>
      <c r="F1553" s="1"/>
      <c r="G1553" s="1"/>
      <c r="H1553" s="1"/>
      <c r="I1553" s="1"/>
      <c r="J1553" s="1"/>
      <c r="K1553" s="102" t="s">
        <v>2918</v>
      </c>
      <c r="L1553" s="102" t="str">
        <f>B30</f>
        <v>J1</v>
      </c>
      <c r="M1553" s="102" t="s">
        <v>2919</v>
      </c>
      <c r="N1553" s="102" t="s">
        <v>2920</v>
      </c>
      <c r="O1553" s="105">
        <v>1.5418766E7</v>
      </c>
      <c r="P1553" s="105">
        <v>1.3306886E7</v>
      </c>
      <c r="Q1553" s="102" t="s">
        <v>2563</v>
      </c>
      <c r="S1553" s="1"/>
      <c r="T1553" s="1"/>
      <c r="U1553" s="1"/>
      <c r="V1553" s="1"/>
      <c r="W1553" s="1"/>
      <c r="X1553" s="1"/>
      <c r="Y1553" s="1"/>
      <c r="Z1553" s="102"/>
      <c r="AA1553" s="102"/>
      <c r="AB1553" s="1"/>
      <c r="AC1553" s="1"/>
      <c r="AD1553" s="1"/>
      <c r="AE1553" s="1"/>
      <c r="AF1553" s="1"/>
      <c r="AG1553" s="1"/>
    </row>
    <row r="1554" ht="15.75" customHeight="1">
      <c r="A1554" s="1"/>
      <c r="B1554" s="1"/>
      <c r="C1554" s="1"/>
      <c r="D1554" s="1"/>
      <c r="E1554" s="1"/>
      <c r="F1554" s="1"/>
      <c r="G1554" s="1"/>
      <c r="H1554" s="1"/>
      <c r="I1554" s="1"/>
      <c r="J1554" s="1"/>
      <c r="K1554" s="102" t="s">
        <v>2921</v>
      </c>
      <c r="L1554" s="102" t="str">
        <f>B30</f>
        <v>J1</v>
      </c>
      <c r="M1554" s="102" t="s">
        <v>2922</v>
      </c>
      <c r="N1554" s="102" t="s">
        <v>2920</v>
      </c>
      <c r="O1554" s="105">
        <v>1.5418766E7</v>
      </c>
      <c r="P1554" s="105">
        <v>1.3306886E7</v>
      </c>
      <c r="Q1554" s="102" t="s">
        <v>2563</v>
      </c>
      <c r="S1554" s="1"/>
      <c r="T1554" s="1"/>
      <c r="U1554" s="1"/>
      <c r="V1554" s="1"/>
      <c r="W1554" s="1"/>
      <c r="X1554" s="1"/>
      <c r="Y1554" s="1"/>
      <c r="Z1554" s="102"/>
      <c r="AA1554" s="102"/>
      <c r="AB1554" s="1"/>
      <c r="AC1554" s="1"/>
      <c r="AD1554" s="1"/>
      <c r="AE1554" s="1"/>
      <c r="AF1554" s="1"/>
      <c r="AG1554" s="1"/>
    </row>
    <row r="1555" ht="15.75" customHeight="1">
      <c r="A1555" s="1"/>
      <c r="B1555" s="1"/>
      <c r="C1555" s="1"/>
      <c r="D1555" s="1"/>
      <c r="E1555" s="1"/>
      <c r="F1555" s="1"/>
      <c r="G1555" s="1"/>
      <c r="H1555" s="1"/>
      <c r="I1555" s="1"/>
      <c r="J1555" s="1"/>
      <c r="K1555" s="102" t="s">
        <v>2923</v>
      </c>
      <c r="L1555" s="102" t="str">
        <f>B30</f>
        <v>J1</v>
      </c>
      <c r="M1555" s="102" t="s">
        <v>2924</v>
      </c>
      <c r="N1555" s="102" t="s">
        <v>2920</v>
      </c>
      <c r="O1555" s="105">
        <v>1.5418766E7</v>
      </c>
      <c r="P1555" s="105">
        <v>1.3306886E7</v>
      </c>
      <c r="Q1555" s="102" t="s">
        <v>2563</v>
      </c>
      <c r="S1555" s="1"/>
      <c r="T1555" s="1"/>
      <c r="U1555" s="1"/>
      <c r="V1555" s="1"/>
      <c r="W1555" s="1"/>
      <c r="X1555" s="1"/>
      <c r="Y1555" s="1"/>
      <c r="Z1555" s="102"/>
      <c r="AA1555" s="102"/>
      <c r="AB1555" s="1"/>
      <c r="AC1555" s="1"/>
      <c r="AD1555" s="1"/>
      <c r="AE1555" s="1"/>
      <c r="AF1555" s="1"/>
      <c r="AG1555" s="1"/>
    </row>
    <row r="1556" ht="15.75" customHeight="1">
      <c r="A1556" s="1"/>
      <c r="B1556" s="1"/>
      <c r="C1556" s="1"/>
      <c r="D1556" s="1"/>
      <c r="E1556" s="1"/>
      <c r="F1556" s="1"/>
      <c r="G1556" s="1"/>
      <c r="H1556" s="1"/>
      <c r="I1556" s="1"/>
      <c r="J1556" s="1"/>
      <c r="K1556" s="102" t="s">
        <v>2925</v>
      </c>
      <c r="L1556" s="102" t="str">
        <f>B30</f>
        <v>J1</v>
      </c>
      <c r="M1556" s="102" t="s">
        <v>2926</v>
      </c>
      <c r="N1556" s="102" t="s">
        <v>2927</v>
      </c>
      <c r="O1556" s="105">
        <v>1.5553553E7</v>
      </c>
      <c r="P1556" s="105">
        <v>1.3441673E7</v>
      </c>
      <c r="Q1556" s="102" t="s">
        <v>2501</v>
      </c>
      <c r="S1556" s="1"/>
      <c r="T1556" s="1"/>
      <c r="U1556" s="1"/>
      <c r="V1556" s="1"/>
      <c r="W1556" s="1"/>
      <c r="X1556" s="1"/>
      <c r="Y1556" s="1"/>
      <c r="Z1556" s="102"/>
      <c r="AA1556" s="102"/>
      <c r="AB1556" s="1"/>
      <c r="AC1556" s="1"/>
      <c r="AD1556" s="1"/>
      <c r="AE1556" s="1"/>
      <c r="AF1556" s="1"/>
      <c r="AG1556" s="1"/>
    </row>
    <row r="1557" ht="15.75" customHeight="1">
      <c r="A1557" s="1"/>
      <c r="B1557" s="1"/>
      <c r="C1557" s="1"/>
      <c r="D1557" s="1"/>
      <c r="E1557" s="1"/>
      <c r="F1557" s="1"/>
      <c r="G1557" s="1"/>
      <c r="H1557" s="1"/>
      <c r="I1557" s="1"/>
      <c r="J1557" s="1"/>
      <c r="K1557" s="102" t="s">
        <v>2928</v>
      </c>
      <c r="L1557" s="102" t="str">
        <f>B30</f>
        <v>J1</v>
      </c>
      <c r="M1557" s="102" t="s">
        <v>2929</v>
      </c>
      <c r="N1557" s="102" t="s">
        <v>2927</v>
      </c>
      <c r="O1557" s="105">
        <v>1.5553553E7</v>
      </c>
      <c r="P1557" s="105">
        <v>1.3441673E7</v>
      </c>
      <c r="Q1557" s="102" t="s">
        <v>2501</v>
      </c>
      <c r="S1557" s="1"/>
      <c r="T1557" s="1"/>
      <c r="U1557" s="1"/>
      <c r="V1557" s="1"/>
      <c r="W1557" s="1"/>
      <c r="X1557" s="1"/>
      <c r="Y1557" s="1"/>
      <c r="Z1557" s="102"/>
      <c r="AA1557" s="102"/>
      <c r="AB1557" s="1"/>
      <c r="AC1557" s="1"/>
      <c r="AD1557" s="1"/>
      <c r="AE1557" s="1"/>
      <c r="AF1557" s="1"/>
      <c r="AG1557" s="1"/>
    </row>
    <row r="1558" ht="15.75" customHeight="1">
      <c r="A1558" s="1"/>
      <c r="B1558" s="1"/>
      <c r="C1558" s="1"/>
      <c r="D1558" s="1"/>
      <c r="E1558" s="1"/>
      <c r="F1558" s="1"/>
      <c r="G1558" s="1"/>
      <c r="H1558" s="1"/>
      <c r="I1558" s="1"/>
      <c r="J1558" s="1"/>
      <c r="K1558" s="102" t="s">
        <v>2930</v>
      </c>
      <c r="L1558" s="102" t="str">
        <f>B30</f>
        <v>J1</v>
      </c>
      <c r="M1558" s="102" t="s">
        <v>2931</v>
      </c>
      <c r="N1558" s="102" t="s">
        <v>2927</v>
      </c>
      <c r="O1558" s="105">
        <v>1.5553553E7</v>
      </c>
      <c r="P1558" s="105">
        <v>1.3441673E7</v>
      </c>
      <c r="Q1558" s="102" t="s">
        <v>2501</v>
      </c>
      <c r="S1558" s="1"/>
      <c r="T1558" s="1"/>
      <c r="U1558" s="1"/>
      <c r="V1558" s="1"/>
      <c r="W1558" s="1"/>
      <c r="X1558" s="1"/>
      <c r="Y1558" s="1"/>
      <c r="Z1558" s="102"/>
      <c r="AA1558" s="102"/>
      <c r="AB1558" s="1"/>
      <c r="AC1558" s="1"/>
      <c r="AD1558" s="1"/>
      <c r="AE1558" s="1"/>
      <c r="AF1558" s="1"/>
      <c r="AG1558" s="1"/>
    </row>
    <row r="1559" ht="15.75" customHeight="1">
      <c r="A1559" s="1"/>
      <c r="B1559" s="1"/>
      <c r="C1559" s="1"/>
      <c r="D1559" s="1"/>
      <c r="E1559" s="1"/>
      <c r="F1559" s="1"/>
      <c r="G1559" s="1"/>
      <c r="H1559" s="1"/>
      <c r="I1559" s="1"/>
      <c r="J1559" s="1"/>
      <c r="K1559" s="102" t="s">
        <v>2932</v>
      </c>
      <c r="L1559" s="102" t="str">
        <f>B30</f>
        <v>J1</v>
      </c>
      <c r="M1559" s="102" t="s">
        <v>2933</v>
      </c>
      <c r="N1559" s="102" t="s">
        <v>2934</v>
      </c>
      <c r="O1559" s="105">
        <v>1.6183985E7</v>
      </c>
      <c r="P1559" s="105">
        <v>1.4072105E7</v>
      </c>
      <c r="Q1559" s="102" t="s">
        <v>2432</v>
      </c>
      <c r="S1559" s="1"/>
      <c r="T1559" s="1"/>
      <c r="U1559" s="1"/>
      <c r="V1559" s="1"/>
      <c r="W1559" s="1"/>
      <c r="X1559" s="1"/>
      <c r="Y1559" s="1"/>
      <c r="Z1559" s="102"/>
      <c r="AA1559" s="102"/>
      <c r="AB1559" s="1"/>
      <c r="AC1559" s="1"/>
      <c r="AD1559" s="1"/>
      <c r="AE1559" s="1"/>
      <c r="AF1559" s="1"/>
      <c r="AG1559" s="1"/>
    </row>
    <row r="1560" ht="15.75" customHeight="1">
      <c r="A1560" s="1"/>
      <c r="B1560" s="1"/>
      <c r="C1560" s="1"/>
      <c r="D1560" s="1"/>
      <c r="E1560" s="1"/>
      <c r="F1560" s="1"/>
      <c r="G1560" s="1"/>
      <c r="H1560" s="1"/>
      <c r="I1560" s="1"/>
      <c r="J1560" s="1"/>
      <c r="K1560" s="102" t="s">
        <v>2935</v>
      </c>
      <c r="L1560" s="102" t="str">
        <f>B30</f>
        <v>J1</v>
      </c>
      <c r="M1560" s="102" t="s">
        <v>2936</v>
      </c>
      <c r="N1560" s="102" t="s">
        <v>2934</v>
      </c>
      <c r="O1560" s="105">
        <v>1.6183985E7</v>
      </c>
      <c r="P1560" s="105">
        <v>1.4072105E7</v>
      </c>
      <c r="Q1560" s="102" t="s">
        <v>2432</v>
      </c>
      <c r="S1560" s="1"/>
      <c r="T1560" s="1"/>
      <c r="U1560" s="1"/>
      <c r="V1560" s="1"/>
      <c r="W1560" s="1"/>
      <c r="X1560" s="1"/>
      <c r="Y1560" s="1"/>
      <c r="Z1560" s="102"/>
      <c r="AA1560" s="102"/>
      <c r="AB1560" s="1"/>
      <c r="AC1560" s="1"/>
      <c r="AD1560" s="1"/>
      <c r="AE1560" s="1"/>
      <c r="AF1560" s="1"/>
      <c r="AG1560" s="1"/>
    </row>
    <row r="1561" ht="15.75" customHeight="1">
      <c r="A1561" s="1"/>
      <c r="B1561" s="1"/>
      <c r="C1561" s="1"/>
      <c r="D1561" s="1"/>
      <c r="E1561" s="1"/>
      <c r="F1561" s="1"/>
      <c r="G1561" s="1"/>
      <c r="H1561" s="1"/>
      <c r="I1561" s="1"/>
      <c r="J1561" s="1"/>
      <c r="K1561" s="102" t="s">
        <v>2937</v>
      </c>
      <c r="L1561" s="102" t="str">
        <f>B30</f>
        <v>J1</v>
      </c>
      <c r="M1561" s="102" t="s">
        <v>2938</v>
      </c>
      <c r="N1561" s="102" t="s">
        <v>2934</v>
      </c>
      <c r="O1561" s="105">
        <v>1.6183985E7</v>
      </c>
      <c r="P1561" s="105">
        <v>1.4072105E7</v>
      </c>
      <c r="Q1561" s="102" t="s">
        <v>2432</v>
      </c>
      <c r="S1561" s="1"/>
      <c r="T1561" s="1"/>
      <c r="U1561" s="1"/>
      <c r="V1561" s="1"/>
      <c r="W1561" s="1"/>
      <c r="X1561" s="1"/>
      <c r="Y1561" s="1"/>
      <c r="Z1561" s="102"/>
      <c r="AA1561" s="102"/>
      <c r="AB1561" s="1"/>
      <c r="AC1561" s="1"/>
      <c r="AD1561" s="1"/>
      <c r="AE1561" s="1"/>
      <c r="AF1561" s="1"/>
      <c r="AG1561" s="1"/>
    </row>
    <row r="1562" ht="15.75" customHeight="1">
      <c r="A1562" s="1"/>
      <c r="B1562" s="1"/>
      <c r="C1562" s="1"/>
      <c r="D1562" s="1"/>
      <c r="E1562" s="1"/>
      <c r="F1562" s="1"/>
      <c r="G1562" s="1"/>
      <c r="H1562" s="1"/>
      <c r="I1562" s="1"/>
      <c r="J1562" s="1"/>
      <c r="K1562" s="102" t="s">
        <v>2939</v>
      </c>
      <c r="L1562" s="102" t="str">
        <f>B30</f>
        <v>J1</v>
      </c>
      <c r="M1562" s="102" t="s">
        <v>2940</v>
      </c>
      <c r="N1562" s="102" t="s">
        <v>2941</v>
      </c>
      <c r="O1562" s="105">
        <v>1.6246522E7</v>
      </c>
      <c r="P1562" s="105">
        <v>1.4134642E7</v>
      </c>
      <c r="Q1562" s="102" t="s">
        <v>2423</v>
      </c>
      <c r="S1562" s="1"/>
      <c r="T1562" s="1"/>
      <c r="U1562" s="1"/>
      <c r="V1562" s="1"/>
      <c r="W1562" s="1"/>
      <c r="X1562" s="1"/>
      <c r="Y1562" s="1"/>
      <c r="Z1562" s="102"/>
      <c r="AA1562" s="102"/>
      <c r="AB1562" s="1"/>
      <c r="AC1562" s="1"/>
      <c r="AD1562" s="1"/>
      <c r="AE1562" s="1"/>
      <c r="AF1562" s="1"/>
      <c r="AG1562" s="1"/>
    </row>
    <row r="1563" ht="15.75" customHeight="1">
      <c r="A1563" s="1"/>
      <c r="B1563" s="1"/>
      <c r="C1563" s="1"/>
      <c r="D1563" s="1"/>
      <c r="E1563" s="1"/>
      <c r="F1563" s="1"/>
      <c r="G1563" s="1"/>
      <c r="H1563" s="1"/>
      <c r="I1563" s="1"/>
      <c r="J1563" s="1"/>
      <c r="K1563" s="102" t="s">
        <v>2942</v>
      </c>
      <c r="L1563" s="102" t="str">
        <f>B30</f>
        <v>J1</v>
      </c>
      <c r="M1563" s="102" t="s">
        <v>2943</v>
      </c>
      <c r="N1563" s="102" t="s">
        <v>2941</v>
      </c>
      <c r="O1563" s="105">
        <v>1.6246522E7</v>
      </c>
      <c r="P1563" s="105">
        <v>1.4134642E7</v>
      </c>
      <c r="Q1563" s="102" t="s">
        <v>2423</v>
      </c>
      <c r="S1563" s="1"/>
      <c r="T1563" s="1"/>
      <c r="U1563" s="1"/>
      <c r="V1563" s="1"/>
      <c r="W1563" s="1"/>
      <c r="X1563" s="1"/>
      <c r="Y1563" s="1"/>
      <c r="Z1563" s="102"/>
      <c r="AA1563" s="102"/>
      <c r="AB1563" s="1"/>
      <c r="AC1563" s="1"/>
      <c r="AD1563" s="1"/>
      <c r="AE1563" s="1"/>
      <c r="AF1563" s="1"/>
      <c r="AG1563" s="1"/>
    </row>
    <row r="1564" ht="15.75" customHeight="1">
      <c r="A1564" s="1"/>
      <c r="B1564" s="1"/>
      <c r="C1564" s="1"/>
      <c r="D1564" s="1"/>
      <c r="E1564" s="1"/>
      <c r="F1564" s="1"/>
      <c r="G1564" s="1"/>
      <c r="H1564" s="1"/>
      <c r="I1564" s="1"/>
      <c r="J1564" s="1"/>
      <c r="K1564" s="102" t="s">
        <v>2944</v>
      </c>
      <c r="L1564" s="102" t="str">
        <f>B30</f>
        <v>J1</v>
      </c>
      <c r="M1564" s="102" t="s">
        <v>2945</v>
      </c>
      <c r="N1564" s="102" t="s">
        <v>2941</v>
      </c>
      <c r="O1564" s="105">
        <v>1.6246522E7</v>
      </c>
      <c r="P1564" s="105">
        <v>1.4134642E7</v>
      </c>
      <c r="Q1564" s="102" t="s">
        <v>2423</v>
      </c>
      <c r="S1564" s="1"/>
      <c r="T1564" s="1"/>
      <c r="U1564" s="1"/>
      <c r="V1564" s="1"/>
      <c r="W1564" s="1"/>
      <c r="X1564" s="1"/>
      <c r="Y1564" s="1"/>
      <c r="Z1564" s="102"/>
      <c r="AA1564" s="102"/>
      <c r="AB1564" s="1"/>
      <c r="AC1564" s="1"/>
      <c r="AD1564" s="1"/>
      <c r="AE1564" s="1"/>
      <c r="AF1564" s="1"/>
      <c r="AG1564" s="1"/>
    </row>
    <row r="1565" ht="15.75" customHeight="1">
      <c r="A1565" s="1"/>
      <c r="B1565" s="1"/>
      <c r="C1565" s="1"/>
      <c r="D1565" s="1"/>
      <c r="E1565" s="1"/>
      <c r="F1565" s="1"/>
      <c r="G1565" s="1"/>
      <c r="H1565" s="1"/>
      <c r="I1565" s="1"/>
      <c r="J1565" s="1"/>
      <c r="K1565" s="102" t="s">
        <v>2946</v>
      </c>
      <c r="L1565" s="102" t="str">
        <f>B30</f>
        <v>J1</v>
      </c>
      <c r="M1565" s="102" t="s">
        <v>2947</v>
      </c>
      <c r="N1565" s="102" t="s">
        <v>2948</v>
      </c>
      <c r="O1565" s="105">
        <v>1.6373771E7</v>
      </c>
      <c r="P1565" s="105">
        <v>1.4261891E7</v>
      </c>
      <c r="Q1565" s="102" t="s">
        <v>2501</v>
      </c>
      <c r="S1565" s="1"/>
      <c r="T1565" s="1"/>
      <c r="U1565" s="1"/>
      <c r="V1565" s="1"/>
      <c r="W1565" s="1"/>
      <c r="X1565" s="1"/>
      <c r="Y1565" s="1"/>
      <c r="Z1565" s="102"/>
      <c r="AA1565" s="102"/>
      <c r="AB1565" s="1"/>
      <c r="AC1565" s="1"/>
      <c r="AD1565" s="1"/>
      <c r="AE1565" s="1"/>
      <c r="AF1565" s="1"/>
      <c r="AG1565" s="1"/>
    </row>
    <row r="1566" ht="15.75" customHeight="1">
      <c r="A1566" s="1"/>
      <c r="B1566" s="1"/>
      <c r="C1566" s="1"/>
      <c r="D1566" s="1"/>
      <c r="E1566" s="1"/>
      <c r="F1566" s="1"/>
      <c r="G1566" s="1"/>
      <c r="H1566" s="1"/>
      <c r="I1566" s="1"/>
      <c r="J1566" s="1"/>
      <c r="K1566" s="102" t="s">
        <v>2947</v>
      </c>
      <c r="L1566" s="102" t="str">
        <f>B30</f>
        <v>J1</v>
      </c>
      <c r="M1566" s="102" t="s">
        <v>2946</v>
      </c>
      <c r="N1566" s="102" t="s">
        <v>2948</v>
      </c>
      <c r="O1566" s="105">
        <v>1.6373771E7</v>
      </c>
      <c r="P1566" s="105">
        <v>1.4261891E7</v>
      </c>
      <c r="Q1566" s="102" t="s">
        <v>2501</v>
      </c>
      <c r="S1566" s="1"/>
      <c r="T1566" s="1"/>
      <c r="U1566" s="1"/>
      <c r="V1566" s="1"/>
      <c r="W1566" s="1"/>
      <c r="X1566" s="1"/>
      <c r="Y1566" s="1"/>
      <c r="Z1566" s="102"/>
      <c r="AA1566" s="102"/>
      <c r="AB1566" s="1"/>
      <c r="AC1566" s="1"/>
      <c r="AD1566" s="1"/>
      <c r="AE1566" s="1"/>
      <c r="AF1566" s="1"/>
      <c r="AG1566" s="1"/>
    </row>
    <row r="1567" ht="15.75" customHeight="1">
      <c r="A1567" s="1"/>
      <c r="B1567" s="1"/>
      <c r="C1567" s="1"/>
      <c r="D1567" s="1"/>
      <c r="E1567" s="1"/>
      <c r="F1567" s="1"/>
      <c r="G1567" s="1"/>
      <c r="H1567" s="1"/>
      <c r="I1567" s="1"/>
      <c r="J1567" s="1"/>
      <c r="K1567" s="102" t="s">
        <v>2949</v>
      </c>
      <c r="L1567" s="102" t="str">
        <f>B30</f>
        <v>J1</v>
      </c>
      <c r="M1567" s="102" t="s">
        <v>2950</v>
      </c>
      <c r="N1567" s="102" t="s">
        <v>2951</v>
      </c>
      <c r="O1567" s="102">
        <v>1.6425045E7</v>
      </c>
      <c r="P1567" s="102">
        <v>1.4313165E7</v>
      </c>
      <c r="Q1567" s="102" t="s">
        <v>2501</v>
      </c>
      <c r="S1567" s="1"/>
      <c r="T1567" s="1"/>
      <c r="U1567" s="1"/>
      <c r="V1567" s="1"/>
      <c r="W1567" s="1"/>
      <c r="X1567" s="1"/>
      <c r="Y1567" s="1"/>
      <c r="Z1567" s="102">
        <v>1.6425045E7</v>
      </c>
      <c r="AA1567" s="102"/>
      <c r="AB1567" s="1"/>
      <c r="AC1567" s="1"/>
      <c r="AD1567" s="1"/>
      <c r="AE1567" s="1"/>
      <c r="AF1567" s="1"/>
      <c r="AG1567" s="1"/>
    </row>
    <row r="1568" ht="15.75" customHeight="1">
      <c r="A1568" s="1"/>
      <c r="B1568" s="1"/>
      <c r="C1568" s="1"/>
      <c r="D1568" s="1"/>
      <c r="E1568" s="1"/>
      <c r="F1568" s="1"/>
      <c r="G1568" s="1"/>
      <c r="H1568" s="1"/>
      <c r="I1568" s="1"/>
      <c r="J1568" s="1"/>
      <c r="K1568" s="102" t="s">
        <v>2950</v>
      </c>
      <c r="L1568" s="102" t="str">
        <f>B30</f>
        <v>J1</v>
      </c>
      <c r="M1568" s="102" t="s">
        <v>2949</v>
      </c>
      <c r="N1568" s="102" t="s">
        <v>2951</v>
      </c>
      <c r="O1568" s="102">
        <v>1.6425045E7</v>
      </c>
      <c r="P1568" s="102">
        <v>1.4313165E7</v>
      </c>
      <c r="Q1568" s="102" t="s">
        <v>2501</v>
      </c>
      <c r="S1568" s="1"/>
      <c r="T1568" s="1"/>
      <c r="U1568" s="1"/>
      <c r="V1568" s="1"/>
      <c r="W1568" s="1"/>
      <c r="X1568" s="1"/>
      <c r="Y1568" s="1"/>
      <c r="Z1568" s="102">
        <v>1.6425045E7</v>
      </c>
      <c r="AA1568" s="102"/>
      <c r="AB1568" s="1"/>
      <c r="AC1568" s="1"/>
      <c r="AD1568" s="1"/>
      <c r="AE1568" s="1"/>
      <c r="AF1568" s="1"/>
      <c r="AG1568" s="1"/>
    </row>
    <row r="1569" ht="15.75" customHeight="1">
      <c r="A1569" s="1"/>
      <c r="B1569" s="1"/>
      <c r="C1569" s="1"/>
      <c r="D1569" s="1"/>
      <c r="E1569" s="1"/>
      <c r="F1569" s="1"/>
      <c r="G1569" s="1"/>
      <c r="H1569" s="1"/>
      <c r="I1569" s="1"/>
      <c r="J1569" s="1"/>
      <c r="K1569" s="102" t="s">
        <v>2952</v>
      </c>
      <c r="L1569" s="102" t="str">
        <f>B30</f>
        <v>J1</v>
      </c>
      <c r="M1569" s="102" t="s">
        <v>2953</v>
      </c>
      <c r="N1569" s="102" t="s">
        <v>2954</v>
      </c>
      <c r="O1569" s="105">
        <v>1.7221379E7</v>
      </c>
      <c r="P1569" s="105">
        <v>1.5109499E7</v>
      </c>
      <c r="Q1569" s="102" t="s">
        <v>2501</v>
      </c>
      <c r="S1569" s="1"/>
      <c r="T1569" s="1"/>
      <c r="U1569" s="1"/>
      <c r="V1569" s="1"/>
      <c r="W1569" s="1"/>
      <c r="X1569" s="1"/>
      <c r="Y1569" s="1"/>
      <c r="Z1569" s="102"/>
      <c r="AA1569" s="102"/>
      <c r="AB1569" s="1"/>
      <c r="AC1569" s="1"/>
      <c r="AD1569" s="1"/>
      <c r="AE1569" s="1"/>
      <c r="AF1569" s="1"/>
      <c r="AG1569" s="1"/>
    </row>
    <row r="1570" ht="15.75" customHeight="1">
      <c r="A1570" s="1"/>
      <c r="B1570" s="1"/>
      <c r="C1570" s="1"/>
      <c r="D1570" s="1"/>
      <c r="E1570" s="1"/>
      <c r="F1570" s="1"/>
      <c r="G1570" s="1"/>
      <c r="H1570" s="1"/>
      <c r="I1570" s="1"/>
      <c r="J1570" s="1"/>
      <c r="K1570" s="102" t="s">
        <v>2953</v>
      </c>
      <c r="L1570" s="102" t="str">
        <f>B30</f>
        <v>J1</v>
      </c>
      <c r="M1570" s="102" t="s">
        <v>2952</v>
      </c>
      <c r="N1570" s="102" t="s">
        <v>2954</v>
      </c>
      <c r="O1570" s="105">
        <v>1.7221379E7</v>
      </c>
      <c r="P1570" s="105">
        <v>1.5109499E7</v>
      </c>
      <c r="Q1570" s="102" t="s">
        <v>2501</v>
      </c>
      <c r="S1570" s="1"/>
      <c r="T1570" s="1"/>
      <c r="U1570" s="1"/>
      <c r="V1570" s="1"/>
      <c r="W1570" s="1"/>
      <c r="X1570" s="1"/>
      <c r="Y1570" s="1"/>
      <c r="Z1570" s="102"/>
      <c r="AA1570" s="102"/>
      <c r="AB1570" s="1"/>
      <c r="AC1570" s="1"/>
      <c r="AD1570" s="1"/>
      <c r="AE1570" s="1"/>
      <c r="AF1570" s="1"/>
      <c r="AG1570" s="1"/>
    </row>
    <row r="1571" ht="15.75" customHeight="1">
      <c r="A1571" s="1"/>
      <c r="B1571" s="1"/>
      <c r="C1571" s="1"/>
      <c r="D1571" s="1"/>
      <c r="E1571" s="1"/>
      <c r="F1571" s="1"/>
      <c r="G1571" s="1"/>
      <c r="H1571" s="1"/>
      <c r="I1571" s="1"/>
      <c r="J1571" s="1"/>
      <c r="K1571" s="102" t="s">
        <v>2955</v>
      </c>
      <c r="L1571" s="102" t="str">
        <f>B30</f>
        <v>J1</v>
      </c>
      <c r="M1571" s="102" t="s">
        <v>2956</v>
      </c>
      <c r="N1571" s="102" t="s">
        <v>2957</v>
      </c>
      <c r="O1571" s="105">
        <v>1.733567E7</v>
      </c>
      <c r="P1571" s="105">
        <v>1.522379E7</v>
      </c>
      <c r="Q1571" s="102" t="s">
        <v>2501</v>
      </c>
      <c r="S1571" s="1"/>
      <c r="T1571" s="1"/>
      <c r="U1571" s="1"/>
      <c r="V1571" s="1"/>
      <c r="W1571" s="1"/>
      <c r="X1571" s="1"/>
      <c r="Y1571" s="1"/>
      <c r="Z1571" s="102"/>
      <c r="AA1571" s="102"/>
      <c r="AB1571" s="1"/>
      <c r="AC1571" s="1"/>
      <c r="AD1571" s="1"/>
      <c r="AE1571" s="1"/>
      <c r="AF1571" s="1"/>
      <c r="AG1571" s="1"/>
    </row>
    <row r="1572" ht="15.75" customHeight="1">
      <c r="A1572" s="1"/>
      <c r="B1572" s="1"/>
      <c r="C1572" s="1"/>
      <c r="D1572" s="1"/>
      <c r="E1572" s="1"/>
      <c r="F1572" s="1"/>
      <c r="G1572" s="1"/>
      <c r="H1572" s="1"/>
      <c r="I1572" s="1"/>
      <c r="J1572" s="1"/>
      <c r="K1572" s="102" t="s">
        <v>2956</v>
      </c>
      <c r="L1572" s="102" t="str">
        <f>B30</f>
        <v>J1</v>
      </c>
      <c r="M1572" s="102" t="s">
        <v>2955</v>
      </c>
      <c r="N1572" s="102" t="s">
        <v>2957</v>
      </c>
      <c r="O1572" s="105">
        <v>1.733567E7</v>
      </c>
      <c r="P1572" s="105">
        <v>1.522379E7</v>
      </c>
      <c r="Q1572" s="102" t="s">
        <v>2501</v>
      </c>
      <c r="S1572" s="1"/>
      <c r="T1572" s="1"/>
      <c r="U1572" s="1"/>
      <c r="V1572" s="1"/>
      <c r="W1572" s="1"/>
      <c r="X1572" s="1"/>
      <c r="Y1572" s="1"/>
      <c r="Z1572" s="102"/>
      <c r="AA1572" s="102"/>
      <c r="AB1572" s="1"/>
      <c r="AC1572" s="1"/>
      <c r="AD1572" s="1"/>
      <c r="AE1572" s="1"/>
      <c r="AF1572" s="1"/>
      <c r="AG1572" s="1"/>
    </row>
    <row r="1573" ht="15.75" customHeight="1">
      <c r="A1573" s="1"/>
      <c r="B1573" s="1"/>
      <c r="C1573" s="1"/>
      <c r="D1573" s="1"/>
      <c r="E1573" s="1"/>
      <c r="F1573" s="1"/>
      <c r="G1573" s="1"/>
      <c r="H1573" s="1"/>
      <c r="I1573" s="1"/>
      <c r="J1573" s="1"/>
      <c r="K1573" s="102" t="s">
        <v>2958</v>
      </c>
      <c r="L1573" s="102" t="str">
        <f>B30</f>
        <v>J1</v>
      </c>
      <c r="M1573" s="102" t="s">
        <v>2959</v>
      </c>
      <c r="N1573" s="102" t="s">
        <v>2960</v>
      </c>
      <c r="O1573" s="105">
        <v>1.7428224E7</v>
      </c>
      <c r="P1573" s="105">
        <v>1.5316344E7</v>
      </c>
      <c r="Q1573" s="102" t="s">
        <v>2439</v>
      </c>
      <c r="S1573" s="1"/>
      <c r="T1573" s="1"/>
      <c r="U1573" s="1"/>
      <c r="V1573" s="1"/>
      <c r="W1573" s="1"/>
      <c r="X1573" s="1"/>
      <c r="Y1573" s="1"/>
      <c r="Z1573" s="102"/>
      <c r="AA1573" s="102"/>
      <c r="AB1573" s="1"/>
      <c r="AC1573" s="1"/>
      <c r="AD1573" s="1"/>
      <c r="AE1573" s="1"/>
      <c r="AF1573" s="1"/>
      <c r="AG1573" s="1"/>
    </row>
    <row r="1574" ht="15.75" customHeight="1">
      <c r="A1574" s="1"/>
      <c r="B1574" s="1"/>
      <c r="C1574" s="1"/>
      <c r="D1574" s="1"/>
      <c r="E1574" s="1"/>
      <c r="F1574" s="1"/>
      <c r="G1574" s="1"/>
      <c r="H1574" s="1"/>
      <c r="I1574" s="1"/>
      <c r="J1574" s="1"/>
      <c r="K1574" s="102" t="s">
        <v>2959</v>
      </c>
      <c r="L1574" s="102" t="str">
        <f>B30</f>
        <v>J1</v>
      </c>
      <c r="M1574" s="102" t="s">
        <v>2958</v>
      </c>
      <c r="N1574" s="102" t="s">
        <v>2960</v>
      </c>
      <c r="O1574" s="105">
        <v>1.7428224E7</v>
      </c>
      <c r="P1574" s="105">
        <v>1.5316344E7</v>
      </c>
      <c r="Q1574" s="102" t="s">
        <v>2439</v>
      </c>
      <c r="S1574" s="1"/>
      <c r="T1574" s="1"/>
      <c r="U1574" s="1"/>
      <c r="V1574" s="1"/>
      <c r="W1574" s="1"/>
      <c r="X1574" s="1"/>
      <c r="Y1574" s="1"/>
      <c r="Z1574" s="102"/>
      <c r="AA1574" s="102"/>
      <c r="AB1574" s="1"/>
      <c r="AC1574" s="1"/>
      <c r="AD1574" s="1"/>
      <c r="AE1574" s="1"/>
      <c r="AF1574" s="1"/>
      <c r="AG1574" s="1"/>
    </row>
    <row r="1575" ht="15.75" customHeight="1">
      <c r="A1575" s="1"/>
      <c r="B1575" s="1"/>
      <c r="C1575" s="1"/>
      <c r="D1575" s="1"/>
      <c r="E1575" s="1"/>
      <c r="F1575" s="1"/>
      <c r="G1575" s="1"/>
      <c r="H1575" s="1"/>
      <c r="I1575" s="1"/>
      <c r="J1575" s="1"/>
      <c r="K1575" s="102" t="s">
        <v>2961</v>
      </c>
      <c r="L1575" s="102" t="str">
        <f>B30</f>
        <v>J1</v>
      </c>
      <c r="M1575" s="102" t="s">
        <v>2962</v>
      </c>
      <c r="N1575" s="102" t="s">
        <v>2963</v>
      </c>
      <c r="O1575" s="105">
        <v>1.7467897E7</v>
      </c>
      <c r="P1575" s="105">
        <v>1.5356017E7</v>
      </c>
      <c r="Q1575" s="102" t="s">
        <v>2439</v>
      </c>
      <c r="S1575" s="1"/>
      <c r="T1575" s="1"/>
      <c r="U1575" s="1"/>
      <c r="V1575" s="1"/>
      <c r="W1575" s="1"/>
      <c r="X1575" s="1"/>
      <c r="Y1575" s="1"/>
      <c r="Z1575" s="102"/>
      <c r="AA1575" s="102"/>
      <c r="AB1575" s="1"/>
      <c r="AC1575" s="1"/>
      <c r="AD1575" s="1"/>
      <c r="AE1575" s="1"/>
      <c r="AF1575" s="1"/>
      <c r="AG1575" s="1"/>
    </row>
    <row r="1576" ht="15.75" customHeight="1">
      <c r="A1576" s="1"/>
      <c r="B1576" s="1"/>
      <c r="C1576" s="1"/>
      <c r="D1576" s="1"/>
      <c r="E1576" s="1"/>
      <c r="F1576" s="1"/>
      <c r="G1576" s="1"/>
      <c r="H1576" s="1"/>
      <c r="I1576" s="1"/>
      <c r="J1576" s="1"/>
      <c r="K1576" s="102" t="s">
        <v>2962</v>
      </c>
      <c r="L1576" s="102" t="str">
        <f>B30</f>
        <v>J1</v>
      </c>
      <c r="M1576" s="102" t="s">
        <v>2961</v>
      </c>
      <c r="N1576" s="102" t="s">
        <v>2963</v>
      </c>
      <c r="O1576" s="105">
        <v>1.7467897E7</v>
      </c>
      <c r="P1576" s="105">
        <v>1.5356017E7</v>
      </c>
      <c r="Q1576" s="102" t="s">
        <v>2439</v>
      </c>
      <c r="S1576" s="1"/>
      <c r="T1576" s="1"/>
      <c r="U1576" s="1"/>
      <c r="V1576" s="1"/>
      <c r="W1576" s="1"/>
      <c r="X1576" s="1"/>
      <c r="Y1576" s="1"/>
      <c r="Z1576" s="102"/>
      <c r="AA1576" s="102"/>
      <c r="AB1576" s="1"/>
      <c r="AC1576" s="1"/>
      <c r="AD1576" s="1"/>
      <c r="AE1576" s="1"/>
      <c r="AF1576" s="1"/>
      <c r="AG1576" s="1"/>
    </row>
    <row r="1577" ht="15.75" customHeight="1">
      <c r="A1577" s="1"/>
      <c r="B1577" s="1"/>
      <c r="C1577" s="1"/>
      <c r="D1577" s="1"/>
      <c r="E1577" s="1"/>
      <c r="F1577" s="1"/>
      <c r="G1577" s="1"/>
      <c r="H1577" s="1"/>
      <c r="I1577" s="1"/>
      <c r="J1577" s="1"/>
      <c r="K1577" s="102" t="s">
        <v>2964</v>
      </c>
      <c r="L1577" s="102" t="str">
        <f>B30</f>
        <v>J1</v>
      </c>
      <c r="M1577" s="102" t="s">
        <v>2965</v>
      </c>
      <c r="N1577" s="102" t="s">
        <v>2966</v>
      </c>
      <c r="O1577" s="105">
        <v>1.7553375E7</v>
      </c>
      <c r="P1577" s="105">
        <v>1.5441495E7</v>
      </c>
      <c r="Q1577" s="102" t="s">
        <v>2576</v>
      </c>
      <c r="S1577" s="1"/>
      <c r="T1577" s="1"/>
      <c r="U1577" s="1"/>
      <c r="V1577" s="1"/>
      <c r="W1577" s="1"/>
      <c r="X1577" s="1"/>
      <c r="Y1577" s="1"/>
      <c r="Z1577" s="102"/>
      <c r="AA1577" s="102"/>
      <c r="AB1577" s="1"/>
      <c r="AC1577" s="1"/>
      <c r="AD1577" s="1"/>
      <c r="AE1577" s="1"/>
      <c r="AF1577" s="1"/>
      <c r="AG1577" s="1"/>
    </row>
    <row r="1578" ht="15.75" customHeight="1">
      <c r="A1578" s="1"/>
      <c r="B1578" s="1"/>
      <c r="C1578" s="1"/>
      <c r="D1578" s="1"/>
      <c r="E1578" s="1"/>
      <c r="F1578" s="1"/>
      <c r="G1578" s="1"/>
      <c r="H1578" s="1"/>
      <c r="I1578" s="1"/>
      <c r="J1578" s="1"/>
      <c r="K1578" s="102" t="s">
        <v>2967</v>
      </c>
      <c r="L1578" s="102" t="str">
        <f>B30</f>
        <v>J1</v>
      </c>
      <c r="M1578" s="102" t="s">
        <v>2968</v>
      </c>
      <c r="N1578" s="102" t="s">
        <v>2966</v>
      </c>
      <c r="O1578" s="105">
        <v>1.7553375E7</v>
      </c>
      <c r="P1578" s="105">
        <v>1.5441495E7</v>
      </c>
      <c r="Q1578" s="102" t="s">
        <v>2576</v>
      </c>
      <c r="S1578" s="1"/>
      <c r="T1578" s="1"/>
      <c r="U1578" s="1"/>
      <c r="V1578" s="1"/>
      <c r="W1578" s="1"/>
      <c r="X1578" s="1"/>
      <c r="Y1578" s="1"/>
      <c r="Z1578" s="102"/>
      <c r="AA1578" s="102"/>
      <c r="AB1578" s="1"/>
      <c r="AC1578" s="1"/>
      <c r="AD1578" s="1"/>
      <c r="AE1578" s="1"/>
      <c r="AF1578" s="1"/>
      <c r="AG1578" s="1"/>
    </row>
    <row r="1579" ht="15.75" customHeight="1">
      <c r="A1579" s="1"/>
      <c r="B1579" s="1"/>
      <c r="C1579" s="1"/>
      <c r="D1579" s="1"/>
      <c r="E1579" s="1"/>
      <c r="F1579" s="1"/>
      <c r="G1579" s="1"/>
      <c r="H1579" s="1"/>
      <c r="I1579" s="1"/>
      <c r="J1579" s="1"/>
      <c r="K1579" s="102" t="s">
        <v>2969</v>
      </c>
      <c r="L1579" s="102" t="str">
        <f>B30</f>
        <v>J1</v>
      </c>
      <c r="M1579" s="102" t="s">
        <v>2970</v>
      </c>
      <c r="N1579" s="102" t="s">
        <v>2966</v>
      </c>
      <c r="O1579" s="105">
        <v>1.7553375E7</v>
      </c>
      <c r="P1579" s="105">
        <v>1.5441495E7</v>
      </c>
      <c r="Q1579" s="102" t="s">
        <v>2576</v>
      </c>
      <c r="S1579" s="1"/>
      <c r="T1579" s="1"/>
      <c r="U1579" s="1"/>
      <c r="V1579" s="1"/>
      <c r="W1579" s="1"/>
      <c r="X1579" s="1"/>
      <c r="Y1579" s="1"/>
      <c r="Z1579" s="102"/>
      <c r="AA1579" s="102"/>
      <c r="AB1579" s="1"/>
      <c r="AC1579" s="1"/>
      <c r="AD1579" s="1"/>
      <c r="AE1579" s="1"/>
      <c r="AF1579" s="1"/>
      <c r="AG1579" s="1"/>
    </row>
    <row r="1580" ht="15.75" customHeight="1">
      <c r="A1580" s="1"/>
      <c r="B1580" s="1"/>
      <c r="C1580" s="1"/>
      <c r="D1580" s="1"/>
      <c r="E1580" s="1"/>
      <c r="F1580" s="1"/>
      <c r="G1580" s="1"/>
      <c r="H1580" s="1"/>
      <c r="I1580" s="1"/>
      <c r="J1580" s="1"/>
      <c r="K1580" s="102" t="s">
        <v>2971</v>
      </c>
      <c r="L1580" s="102" t="str">
        <f>B30</f>
        <v>J1</v>
      </c>
      <c r="M1580" s="102" t="s">
        <v>2972</v>
      </c>
      <c r="N1580" s="102" t="s">
        <v>2973</v>
      </c>
      <c r="O1580" s="105">
        <v>1.7827586E7</v>
      </c>
      <c r="P1580" s="105">
        <v>1.5715706E7</v>
      </c>
      <c r="Q1580" s="102" t="s">
        <v>2501</v>
      </c>
      <c r="S1580" s="1"/>
      <c r="T1580" s="1"/>
      <c r="U1580" s="1"/>
      <c r="V1580" s="1"/>
      <c r="W1580" s="1"/>
      <c r="X1580" s="1"/>
      <c r="Y1580" s="1"/>
      <c r="Z1580" s="102"/>
      <c r="AA1580" s="102"/>
      <c r="AB1580" s="1"/>
      <c r="AC1580" s="1"/>
      <c r="AD1580" s="1"/>
      <c r="AE1580" s="1"/>
      <c r="AF1580" s="1"/>
      <c r="AG1580" s="1"/>
    </row>
    <row r="1581" ht="15.75" customHeight="1">
      <c r="A1581" s="1"/>
      <c r="B1581" s="1"/>
      <c r="C1581" s="1"/>
      <c r="D1581" s="1"/>
      <c r="E1581" s="1"/>
      <c r="F1581" s="1"/>
      <c r="G1581" s="1"/>
      <c r="H1581" s="1"/>
      <c r="I1581" s="1"/>
      <c r="J1581" s="1"/>
      <c r="K1581" s="102" t="s">
        <v>2972</v>
      </c>
      <c r="L1581" s="102" t="str">
        <f>B30</f>
        <v>J1</v>
      </c>
      <c r="M1581" s="102" t="s">
        <v>2971</v>
      </c>
      <c r="N1581" s="102" t="s">
        <v>2973</v>
      </c>
      <c r="O1581" s="105">
        <v>1.7827586E7</v>
      </c>
      <c r="P1581" s="105">
        <v>1.5715706E7</v>
      </c>
      <c r="Q1581" s="102" t="s">
        <v>2501</v>
      </c>
      <c r="S1581" s="1"/>
      <c r="T1581" s="1"/>
      <c r="U1581" s="1"/>
      <c r="V1581" s="1"/>
      <c r="W1581" s="1"/>
      <c r="X1581" s="1"/>
      <c r="Y1581" s="1"/>
      <c r="Z1581" s="102"/>
      <c r="AA1581" s="102"/>
      <c r="AB1581" s="1"/>
      <c r="AC1581" s="1"/>
      <c r="AD1581" s="1"/>
      <c r="AE1581" s="1"/>
      <c r="AF1581" s="1"/>
      <c r="AG1581" s="1"/>
    </row>
    <row r="1582" ht="15.75" customHeight="1">
      <c r="A1582" s="1"/>
      <c r="B1582" s="1"/>
      <c r="C1582" s="1"/>
      <c r="D1582" s="1"/>
      <c r="E1582" s="1"/>
      <c r="F1582" s="1"/>
      <c r="G1582" s="1"/>
      <c r="H1582" s="1"/>
      <c r="I1582" s="1"/>
      <c r="J1582" s="1"/>
      <c r="K1582" s="102" t="s">
        <v>2974</v>
      </c>
      <c r="L1582" s="102" t="str">
        <f>B30</f>
        <v>J1</v>
      </c>
      <c r="M1582" s="102" t="s">
        <v>2975</v>
      </c>
      <c r="N1582" s="102" t="s">
        <v>2976</v>
      </c>
      <c r="O1582" s="105">
        <v>1.7865091E7</v>
      </c>
      <c r="P1582" s="105">
        <v>1.5753211E7</v>
      </c>
      <c r="Q1582" s="102" t="s">
        <v>2454</v>
      </c>
      <c r="S1582" s="1"/>
      <c r="T1582" s="1"/>
      <c r="U1582" s="1"/>
      <c r="V1582" s="1"/>
      <c r="W1582" s="1"/>
      <c r="X1582" s="1"/>
      <c r="Y1582" s="1"/>
      <c r="Z1582" s="102"/>
      <c r="AA1582" s="102"/>
      <c r="AB1582" s="1"/>
      <c r="AC1582" s="1"/>
      <c r="AD1582" s="1"/>
      <c r="AE1582" s="1"/>
      <c r="AF1582" s="1"/>
      <c r="AG1582" s="1"/>
    </row>
    <row r="1583" ht="15.75" customHeight="1">
      <c r="A1583" s="1"/>
      <c r="B1583" s="1"/>
      <c r="C1583" s="1"/>
      <c r="D1583" s="1"/>
      <c r="E1583" s="1"/>
      <c r="F1583" s="1"/>
      <c r="G1583" s="1"/>
      <c r="H1583" s="1"/>
      <c r="I1583" s="1"/>
      <c r="J1583" s="1"/>
      <c r="K1583" s="102" t="s">
        <v>2977</v>
      </c>
      <c r="L1583" s="102" t="str">
        <f>B30</f>
        <v>J1</v>
      </c>
      <c r="M1583" s="102" t="s">
        <v>2978</v>
      </c>
      <c r="N1583" s="102" t="s">
        <v>2976</v>
      </c>
      <c r="O1583" s="105">
        <v>1.7865091E7</v>
      </c>
      <c r="P1583" s="105">
        <v>1.5753211E7</v>
      </c>
      <c r="Q1583" s="102" t="s">
        <v>2454</v>
      </c>
      <c r="S1583" s="1"/>
      <c r="T1583" s="1"/>
      <c r="U1583" s="1"/>
      <c r="V1583" s="1"/>
      <c r="W1583" s="1"/>
      <c r="X1583" s="1"/>
      <c r="Y1583" s="1"/>
      <c r="Z1583" s="102"/>
      <c r="AA1583" s="102"/>
      <c r="AB1583" s="1"/>
      <c r="AC1583" s="1"/>
      <c r="AD1583" s="1"/>
      <c r="AE1583" s="1"/>
      <c r="AF1583" s="1"/>
      <c r="AG1583" s="1"/>
    </row>
    <row r="1584" ht="15.75" customHeight="1">
      <c r="A1584" s="1"/>
      <c r="B1584" s="1"/>
      <c r="C1584" s="1"/>
      <c r="D1584" s="1"/>
      <c r="E1584" s="1"/>
      <c r="F1584" s="1"/>
      <c r="G1584" s="1"/>
      <c r="H1584" s="1"/>
      <c r="I1584" s="1"/>
      <c r="J1584" s="1"/>
      <c r="K1584" s="102" t="s">
        <v>2979</v>
      </c>
      <c r="L1584" s="102" t="str">
        <f>B30</f>
        <v>J1</v>
      </c>
      <c r="M1584" s="102" t="s">
        <v>2980</v>
      </c>
      <c r="N1584" s="102" t="s">
        <v>2976</v>
      </c>
      <c r="O1584" s="105">
        <v>1.7865091E7</v>
      </c>
      <c r="P1584" s="105">
        <v>1.5753211E7</v>
      </c>
      <c r="Q1584" s="102" t="s">
        <v>2454</v>
      </c>
      <c r="S1584" s="1"/>
      <c r="T1584" s="1"/>
      <c r="U1584" s="1"/>
      <c r="V1584" s="1"/>
      <c r="W1584" s="1"/>
      <c r="X1584" s="1"/>
      <c r="Y1584" s="1"/>
      <c r="Z1584" s="102"/>
      <c r="AA1584" s="102"/>
      <c r="AB1584" s="1"/>
      <c r="AC1584" s="1"/>
      <c r="AD1584" s="1"/>
      <c r="AE1584" s="1"/>
      <c r="AF1584" s="1"/>
      <c r="AG1584" s="1"/>
    </row>
    <row r="1585" ht="15.75" customHeight="1">
      <c r="A1585" s="1"/>
      <c r="B1585" s="1"/>
      <c r="C1585" s="1"/>
      <c r="D1585" s="1"/>
      <c r="E1585" s="1"/>
      <c r="F1585" s="1"/>
      <c r="G1585" s="1"/>
      <c r="H1585" s="1"/>
      <c r="I1585" s="1"/>
      <c r="J1585" s="1"/>
      <c r="K1585" s="102" t="s">
        <v>2981</v>
      </c>
      <c r="L1585" s="102" t="str">
        <f>B30</f>
        <v>J1</v>
      </c>
      <c r="M1585" s="102"/>
      <c r="N1585" s="102" t="s">
        <v>2982</v>
      </c>
      <c r="O1585" s="105">
        <v>1.7945499E7</v>
      </c>
      <c r="P1585" s="105">
        <v>1.5833619E7</v>
      </c>
      <c r="Q1585" s="102" t="s">
        <v>2533</v>
      </c>
      <c r="S1585" s="1"/>
      <c r="T1585" s="1"/>
      <c r="U1585" s="1"/>
      <c r="V1585" s="1"/>
      <c r="W1585" s="1"/>
      <c r="X1585" s="1"/>
      <c r="Y1585" s="1"/>
      <c r="Z1585" s="102"/>
      <c r="AA1585" s="102"/>
      <c r="AB1585" s="1"/>
      <c r="AC1585" s="1"/>
      <c r="AD1585" s="1"/>
      <c r="AE1585" s="1"/>
      <c r="AF1585" s="1"/>
      <c r="AG1585" s="1"/>
    </row>
    <row r="1586" ht="15.75" customHeight="1">
      <c r="A1586" s="1"/>
      <c r="B1586" s="1"/>
      <c r="C1586" s="1"/>
      <c r="D1586" s="1"/>
      <c r="E1586" s="1"/>
      <c r="F1586" s="1"/>
      <c r="G1586" s="1"/>
      <c r="H1586" s="1"/>
      <c r="I1586" s="1"/>
      <c r="J1586" s="1"/>
      <c r="K1586" s="102" t="s">
        <v>2983</v>
      </c>
      <c r="L1586" s="102" t="str">
        <f>B30</f>
        <v>J1</v>
      </c>
      <c r="M1586" s="102"/>
      <c r="N1586" s="102" t="s">
        <v>2984</v>
      </c>
      <c r="O1586" s="105">
        <v>1.8032094E7</v>
      </c>
      <c r="P1586" s="105">
        <v>1.5920214E7</v>
      </c>
      <c r="Q1586" s="102" t="s">
        <v>2529</v>
      </c>
      <c r="S1586" s="1"/>
      <c r="T1586" s="1"/>
      <c r="U1586" s="1"/>
      <c r="V1586" s="1"/>
      <c r="W1586" s="1"/>
      <c r="X1586" s="1"/>
      <c r="Y1586" s="1"/>
      <c r="Z1586" s="102"/>
      <c r="AA1586" s="102"/>
      <c r="AB1586" s="1"/>
      <c r="AC1586" s="1"/>
      <c r="AD1586" s="1"/>
      <c r="AE1586" s="1"/>
      <c r="AF1586" s="1"/>
      <c r="AG1586" s="1"/>
    </row>
    <row r="1587" ht="15.75" customHeight="1">
      <c r="A1587" s="1"/>
      <c r="B1587" s="1"/>
      <c r="C1587" s="1"/>
      <c r="D1587" s="1"/>
      <c r="E1587" s="1"/>
      <c r="F1587" s="1"/>
      <c r="G1587" s="1"/>
      <c r="H1587" s="1"/>
      <c r="I1587" s="1"/>
      <c r="J1587" s="1"/>
      <c r="K1587" s="102" t="s">
        <v>2985</v>
      </c>
      <c r="L1587" s="102" t="str">
        <f>B30</f>
        <v>J1</v>
      </c>
      <c r="M1587" s="102" t="s">
        <v>2986</v>
      </c>
      <c r="N1587" s="102" t="s">
        <v>2987</v>
      </c>
      <c r="O1587" s="105">
        <v>1.8064374E7</v>
      </c>
      <c r="P1587" s="105">
        <v>1.5952494E7</v>
      </c>
      <c r="Q1587" s="102" t="s">
        <v>2529</v>
      </c>
      <c r="S1587" s="1"/>
      <c r="T1587" s="1"/>
      <c r="U1587" s="1"/>
      <c r="V1587" s="1"/>
      <c r="W1587" s="1"/>
      <c r="X1587" s="1"/>
      <c r="Y1587" s="1"/>
      <c r="Z1587" s="102"/>
      <c r="AA1587" s="102"/>
      <c r="AB1587" s="1"/>
      <c r="AC1587" s="1"/>
      <c r="AD1587" s="1"/>
      <c r="AE1587" s="1"/>
      <c r="AF1587" s="1"/>
      <c r="AG1587" s="1"/>
    </row>
    <row r="1588" ht="15.75" customHeight="1">
      <c r="A1588" s="1"/>
      <c r="B1588" s="1"/>
      <c r="C1588" s="1"/>
      <c r="D1588" s="1"/>
      <c r="E1588" s="1"/>
      <c r="F1588" s="1"/>
      <c r="G1588" s="1"/>
      <c r="H1588" s="1"/>
      <c r="I1588" s="1"/>
      <c r="J1588" s="1"/>
      <c r="K1588" s="102" t="s">
        <v>2986</v>
      </c>
      <c r="L1588" s="102" t="str">
        <f>B30</f>
        <v>J1</v>
      </c>
      <c r="M1588" s="102" t="s">
        <v>2985</v>
      </c>
      <c r="N1588" s="102" t="s">
        <v>2987</v>
      </c>
      <c r="O1588" s="105">
        <v>1.8064374E7</v>
      </c>
      <c r="P1588" s="105">
        <v>1.5952494E7</v>
      </c>
      <c r="Q1588" s="102" t="s">
        <v>2529</v>
      </c>
      <c r="S1588" s="1"/>
      <c r="T1588" s="1"/>
      <c r="U1588" s="1"/>
      <c r="V1588" s="1"/>
      <c r="W1588" s="1"/>
      <c r="X1588" s="1"/>
      <c r="Y1588" s="1"/>
      <c r="Z1588" s="102"/>
      <c r="AA1588" s="102"/>
      <c r="AB1588" s="1"/>
      <c r="AC1588" s="1"/>
      <c r="AD1588" s="1"/>
      <c r="AE1588" s="1"/>
      <c r="AF1588" s="1"/>
      <c r="AG1588" s="1"/>
    </row>
    <row r="1589" ht="15.75" customHeight="1">
      <c r="A1589" s="1"/>
      <c r="B1589" s="1"/>
      <c r="C1589" s="1"/>
      <c r="D1589" s="1"/>
      <c r="E1589" s="1"/>
      <c r="F1589" s="1"/>
      <c r="G1589" s="1"/>
      <c r="H1589" s="1"/>
      <c r="I1589" s="1"/>
      <c r="J1589" s="1"/>
      <c r="K1589" s="102" t="s">
        <v>2988</v>
      </c>
      <c r="L1589" s="102" t="str">
        <f>B30</f>
        <v>J1</v>
      </c>
      <c r="M1589" s="102"/>
      <c r="N1589" s="102" t="s">
        <v>2989</v>
      </c>
      <c r="O1589" s="105">
        <v>1.9509943E7</v>
      </c>
      <c r="P1589" s="105">
        <v>1.7398063E7</v>
      </c>
      <c r="Q1589" s="102" t="s">
        <v>2439</v>
      </c>
      <c r="S1589" s="1"/>
      <c r="T1589" s="1"/>
      <c r="U1589" s="1"/>
      <c r="V1589" s="1"/>
      <c r="W1589" s="1"/>
      <c r="X1589" s="1"/>
      <c r="Y1589" s="1"/>
      <c r="Z1589" s="102"/>
      <c r="AA1589" s="102"/>
      <c r="AB1589" s="1"/>
      <c r="AC1589" s="1"/>
      <c r="AD1589" s="1"/>
      <c r="AE1589" s="1"/>
      <c r="AF1589" s="1"/>
      <c r="AG1589" s="1"/>
    </row>
    <row r="1590" ht="15.75" customHeight="1">
      <c r="A1590" s="1"/>
      <c r="B1590" s="1"/>
      <c r="C1590" s="1"/>
      <c r="D1590" s="1"/>
      <c r="E1590" s="1"/>
      <c r="F1590" s="1"/>
      <c r="G1590" s="1"/>
      <c r="H1590" s="1"/>
      <c r="I1590" s="1"/>
      <c r="J1590" s="1"/>
      <c r="K1590" s="102" t="s">
        <v>2990</v>
      </c>
      <c r="L1590" s="102" t="str">
        <f>B30</f>
        <v>J1</v>
      </c>
      <c r="M1590" s="102"/>
      <c r="N1590" s="102" t="s">
        <v>2991</v>
      </c>
      <c r="O1590" s="105">
        <v>1.952832E7</v>
      </c>
      <c r="P1590" s="105">
        <v>1.741644E7</v>
      </c>
      <c r="Q1590" s="102" t="s">
        <v>2439</v>
      </c>
      <c r="S1590" s="1"/>
      <c r="T1590" s="1"/>
      <c r="U1590" s="1"/>
      <c r="V1590" s="1"/>
      <c r="W1590" s="1"/>
      <c r="X1590" s="1"/>
      <c r="Y1590" s="1"/>
      <c r="Z1590" s="102"/>
      <c r="AA1590" s="102"/>
      <c r="AB1590" s="1"/>
      <c r="AC1590" s="1"/>
      <c r="AD1590" s="1"/>
      <c r="AE1590" s="1"/>
      <c r="AF1590" s="1"/>
      <c r="AG1590" s="1"/>
    </row>
    <row r="1591" ht="15.75" customHeight="1">
      <c r="A1591" s="1"/>
      <c r="B1591" s="1"/>
      <c r="C1591" s="1"/>
      <c r="D1591" s="1"/>
      <c r="E1591" s="1"/>
      <c r="F1591" s="1"/>
      <c r="G1591" s="1"/>
      <c r="H1591" s="1"/>
      <c r="I1591" s="1"/>
      <c r="J1591" s="1"/>
      <c r="K1591" s="102" t="s">
        <v>2992</v>
      </c>
      <c r="L1591" s="102" t="str">
        <f>B30</f>
        <v>J1</v>
      </c>
      <c r="M1591" s="102"/>
      <c r="N1591" s="102" t="s">
        <v>2993</v>
      </c>
      <c r="O1591" s="105">
        <v>2.267395E7</v>
      </c>
      <c r="P1591" s="105">
        <v>2.0512064E7</v>
      </c>
      <c r="Q1591" s="102" t="s">
        <v>2563</v>
      </c>
      <c r="S1591" s="1"/>
      <c r="T1591" s="1"/>
      <c r="U1591" s="1"/>
      <c r="V1591" s="1"/>
      <c r="W1591" s="1"/>
      <c r="X1591" s="1"/>
      <c r="Y1591" s="1"/>
      <c r="Z1591" s="102"/>
      <c r="AA1591" s="102"/>
      <c r="AB1591" s="1"/>
      <c r="AC1591" s="1"/>
      <c r="AD1591" s="1"/>
      <c r="AE1591" s="1"/>
      <c r="AF1591" s="1"/>
      <c r="AG1591" s="1"/>
    </row>
    <row r="1592" ht="15.75" customHeight="1">
      <c r="A1592" s="1"/>
      <c r="B1592" s="1"/>
      <c r="C1592" s="1"/>
      <c r="D1592" s="1"/>
      <c r="E1592" s="1"/>
      <c r="F1592" s="1"/>
      <c r="G1592" s="1"/>
      <c r="H1592" s="1"/>
      <c r="I1592" s="1"/>
      <c r="J1592" s="1"/>
      <c r="K1592" s="102" t="s">
        <v>2994</v>
      </c>
      <c r="L1592" s="102" t="str">
        <f>B30</f>
        <v>J1</v>
      </c>
      <c r="M1592" s="102" t="s">
        <v>2995</v>
      </c>
      <c r="N1592" s="102" t="s">
        <v>2996</v>
      </c>
      <c r="O1592" s="105">
        <v>2.268798E7</v>
      </c>
      <c r="P1592" s="105">
        <v>2.0526094E7</v>
      </c>
      <c r="Q1592" s="102" t="s">
        <v>2501</v>
      </c>
      <c r="S1592" s="1"/>
      <c r="T1592" s="1"/>
      <c r="U1592" s="1"/>
      <c r="V1592" s="1"/>
      <c r="W1592" s="1"/>
      <c r="X1592" s="1"/>
      <c r="Y1592" s="1"/>
      <c r="Z1592" s="102"/>
      <c r="AA1592" s="102"/>
      <c r="AB1592" s="1"/>
      <c r="AC1592" s="1"/>
      <c r="AD1592" s="1"/>
      <c r="AE1592" s="1"/>
      <c r="AF1592" s="1"/>
      <c r="AG1592" s="1"/>
    </row>
    <row r="1593" ht="15.75" customHeight="1">
      <c r="A1593" s="1"/>
      <c r="B1593" s="1"/>
      <c r="C1593" s="1"/>
      <c r="D1593" s="1"/>
      <c r="E1593" s="1"/>
      <c r="F1593" s="1"/>
      <c r="G1593" s="1"/>
      <c r="H1593" s="1"/>
      <c r="I1593" s="1"/>
      <c r="J1593" s="1"/>
      <c r="K1593" s="102" t="s">
        <v>2995</v>
      </c>
      <c r="L1593" s="102" t="str">
        <f>B30</f>
        <v>J1</v>
      </c>
      <c r="M1593" s="102" t="s">
        <v>2994</v>
      </c>
      <c r="N1593" s="102" t="s">
        <v>2996</v>
      </c>
      <c r="O1593" s="105">
        <v>2.268798E7</v>
      </c>
      <c r="P1593" s="105">
        <v>2.0526094E7</v>
      </c>
      <c r="Q1593" s="102" t="s">
        <v>2501</v>
      </c>
      <c r="S1593" s="1"/>
      <c r="T1593" s="1"/>
      <c r="U1593" s="1"/>
      <c r="V1593" s="1"/>
      <c r="W1593" s="1"/>
      <c r="X1593" s="1"/>
      <c r="Y1593" s="1"/>
      <c r="Z1593" s="102"/>
      <c r="AA1593" s="102"/>
      <c r="AB1593" s="1"/>
      <c r="AC1593" s="1"/>
      <c r="AD1593" s="1"/>
      <c r="AE1593" s="1"/>
      <c r="AF1593" s="1"/>
      <c r="AG1593" s="1"/>
    </row>
    <row r="1594" ht="15.75" customHeight="1">
      <c r="A1594" s="1"/>
      <c r="B1594" s="1"/>
      <c r="C1594" s="1"/>
      <c r="D1594" s="1"/>
      <c r="E1594" s="1"/>
      <c r="F1594" s="1"/>
      <c r="G1594" s="1"/>
      <c r="H1594" s="1"/>
      <c r="I1594" s="1"/>
      <c r="J1594" s="1"/>
      <c r="K1594" s="102" t="s">
        <v>2997</v>
      </c>
      <c r="L1594" s="102" t="str">
        <f>B30</f>
        <v>J1</v>
      </c>
      <c r="M1594" s="102"/>
      <c r="N1594" s="102" t="s">
        <v>2998</v>
      </c>
      <c r="O1594" s="105">
        <v>2.2761824E7</v>
      </c>
      <c r="P1594" s="105">
        <v>2.0599938E7</v>
      </c>
      <c r="Q1594" s="102" t="s">
        <v>2439</v>
      </c>
      <c r="S1594" s="1"/>
      <c r="T1594" s="1"/>
      <c r="U1594" s="1"/>
      <c r="V1594" s="1"/>
      <c r="W1594" s="1"/>
      <c r="X1594" s="1"/>
      <c r="Y1594" s="1"/>
      <c r="Z1594" s="102"/>
      <c r="AA1594" s="102"/>
      <c r="AB1594" s="1"/>
      <c r="AC1594" s="1"/>
      <c r="AD1594" s="1"/>
      <c r="AE1594" s="1"/>
      <c r="AF1594" s="1"/>
      <c r="AG1594" s="1"/>
    </row>
    <row r="1595" ht="15.75" customHeight="1">
      <c r="A1595" s="1"/>
      <c r="B1595" s="1"/>
      <c r="C1595" s="1"/>
      <c r="D1595" s="1"/>
      <c r="E1595" s="1"/>
      <c r="F1595" s="1"/>
      <c r="G1595" s="1"/>
      <c r="H1595" s="1"/>
      <c r="I1595" s="1"/>
      <c r="J1595" s="1"/>
      <c r="K1595" s="102" t="s">
        <v>2999</v>
      </c>
      <c r="L1595" s="102" t="str">
        <f>B30</f>
        <v>J1</v>
      </c>
      <c r="M1595" s="102" t="s">
        <v>3000</v>
      </c>
      <c r="N1595" s="102" t="s">
        <v>3001</v>
      </c>
      <c r="O1595" s="105">
        <v>2.2997977E7</v>
      </c>
      <c r="P1595" s="105">
        <v>2.0836091E7</v>
      </c>
      <c r="Q1595" s="102" t="s">
        <v>2446</v>
      </c>
      <c r="S1595" s="1"/>
      <c r="T1595" s="1"/>
      <c r="U1595" s="1"/>
      <c r="V1595" s="1"/>
      <c r="W1595" s="1"/>
      <c r="X1595" s="1"/>
      <c r="Y1595" s="1"/>
      <c r="Z1595" s="102"/>
      <c r="AA1595" s="102"/>
      <c r="AB1595" s="1"/>
      <c r="AC1595" s="1"/>
      <c r="AD1595" s="1"/>
      <c r="AE1595" s="1"/>
      <c r="AF1595" s="1"/>
      <c r="AG1595" s="1"/>
    </row>
    <row r="1596" ht="15.75" customHeight="1">
      <c r="A1596" s="1"/>
      <c r="B1596" s="1"/>
      <c r="C1596" s="1"/>
      <c r="D1596" s="1"/>
      <c r="E1596" s="1"/>
      <c r="F1596" s="1"/>
      <c r="G1596" s="1"/>
      <c r="H1596" s="1"/>
      <c r="I1596" s="1"/>
      <c r="J1596" s="1"/>
      <c r="K1596" s="102" t="s">
        <v>3000</v>
      </c>
      <c r="L1596" s="102" t="str">
        <f>B30</f>
        <v>J1</v>
      </c>
      <c r="M1596" s="102" t="s">
        <v>2999</v>
      </c>
      <c r="N1596" s="102" t="s">
        <v>3001</v>
      </c>
      <c r="O1596" s="105">
        <v>2.2997977E7</v>
      </c>
      <c r="P1596" s="105">
        <v>2.0836091E7</v>
      </c>
      <c r="Q1596" s="102" t="s">
        <v>2446</v>
      </c>
      <c r="S1596" s="1"/>
      <c r="T1596" s="1"/>
      <c r="U1596" s="1"/>
      <c r="V1596" s="1"/>
      <c r="W1596" s="1"/>
      <c r="X1596" s="1"/>
      <c r="Y1596" s="1"/>
      <c r="Z1596" s="102"/>
      <c r="AA1596" s="102"/>
      <c r="AB1596" s="1"/>
      <c r="AC1596" s="1"/>
      <c r="AD1596" s="1"/>
      <c r="AE1596" s="1"/>
      <c r="AF1596" s="1"/>
      <c r="AG1596" s="1"/>
    </row>
    <row r="1597" ht="15.75" customHeight="1">
      <c r="A1597" s="1"/>
      <c r="B1597" s="1"/>
      <c r="C1597" s="1"/>
      <c r="D1597" s="1"/>
      <c r="E1597" s="1"/>
      <c r="F1597" s="1"/>
      <c r="G1597" s="1"/>
      <c r="H1597" s="1"/>
      <c r="I1597" s="1"/>
      <c r="J1597" s="1"/>
      <c r="K1597" s="102" t="s">
        <v>3002</v>
      </c>
      <c r="L1597" s="102" t="str">
        <f>B30</f>
        <v>J1</v>
      </c>
      <c r="M1597" s="102" t="s">
        <v>3003</v>
      </c>
      <c r="N1597" s="102" t="s">
        <v>3004</v>
      </c>
      <c r="O1597" s="102">
        <v>2.3200045E7</v>
      </c>
      <c r="P1597" s="102">
        <v>2.1038159E7</v>
      </c>
      <c r="Q1597" s="102" t="s">
        <v>2529</v>
      </c>
      <c r="S1597" s="1"/>
      <c r="T1597" s="1"/>
      <c r="U1597" s="1"/>
      <c r="V1597" s="1"/>
      <c r="W1597" s="1"/>
      <c r="X1597" s="1"/>
      <c r="Y1597" s="1"/>
      <c r="Z1597" s="102">
        <v>2.3200045E7</v>
      </c>
      <c r="AA1597" s="102"/>
      <c r="AB1597" s="1"/>
      <c r="AC1597" s="1"/>
      <c r="AD1597" s="1"/>
      <c r="AE1597" s="1"/>
      <c r="AF1597" s="1"/>
      <c r="AG1597" s="1"/>
    </row>
    <row r="1598" ht="15.75" customHeight="1">
      <c r="A1598" s="1"/>
      <c r="B1598" s="1"/>
      <c r="C1598" s="1"/>
      <c r="D1598" s="1"/>
      <c r="E1598" s="1"/>
      <c r="F1598" s="1"/>
      <c r="G1598" s="1"/>
      <c r="H1598" s="1"/>
      <c r="I1598" s="1"/>
      <c r="J1598" s="1"/>
      <c r="K1598" s="102" t="s">
        <v>3003</v>
      </c>
      <c r="L1598" s="102" t="str">
        <f>B30</f>
        <v>J1</v>
      </c>
      <c r="M1598" s="102" t="s">
        <v>3002</v>
      </c>
      <c r="N1598" s="102" t="s">
        <v>3004</v>
      </c>
      <c r="O1598" s="102">
        <v>2.3200045E7</v>
      </c>
      <c r="P1598" s="102">
        <v>2.1038159E7</v>
      </c>
      <c r="Q1598" s="102" t="s">
        <v>2529</v>
      </c>
      <c r="S1598" s="1"/>
      <c r="T1598" s="1"/>
      <c r="U1598" s="1"/>
      <c r="V1598" s="1"/>
      <c r="W1598" s="1"/>
      <c r="X1598" s="1"/>
      <c r="Y1598" s="1"/>
      <c r="Z1598" s="102">
        <v>2.3200045E7</v>
      </c>
      <c r="AA1598" s="102"/>
      <c r="AB1598" s="1"/>
      <c r="AC1598" s="1"/>
      <c r="AD1598" s="1"/>
      <c r="AE1598" s="1"/>
      <c r="AF1598" s="1"/>
      <c r="AG1598" s="1"/>
    </row>
    <row r="1599" ht="15.75" customHeight="1">
      <c r="A1599" s="1"/>
      <c r="B1599" s="1"/>
      <c r="C1599" s="1"/>
      <c r="D1599" s="1"/>
      <c r="E1599" s="1"/>
      <c r="F1599" s="1"/>
      <c r="G1599" s="1"/>
      <c r="H1599" s="1"/>
      <c r="I1599" s="1"/>
      <c r="J1599" s="1"/>
      <c r="K1599" s="102" t="s">
        <v>3005</v>
      </c>
      <c r="L1599" s="102" t="str">
        <f>B30</f>
        <v>J1</v>
      </c>
      <c r="M1599" s="102" t="s">
        <v>3006</v>
      </c>
      <c r="N1599" s="102" t="s">
        <v>3007</v>
      </c>
      <c r="O1599" s="102">
        <v>2.3203049E7</v>
      </c>
      <c r="P1599" s="102">
        <v>2.1041163E7</v>
      </c>
      <c r="Q1599" s="102" t="s">
        <v>2576</v>
      </c>
      <c r="S1599" s="1"/>
      <c r="T1599" s="1"/>
      <c r="U1599" s="1"/>
      <c r="V1599" s="1"/>
      <c r="W1599" s="1"/>
      <c r="X1599" s="1"/>
      <c r="Y1599" s="1"/>
      <c r="Z1599" s="102">
        <v>2.3203049E7</v>
      </c>
      <c r="AA1599" s="102"/>
      <c r="AB1599" s="1"/>
      <c r="AC1599" s="1"/>
      <c r="AD1599" s="1"/>
      <c r="AE1599" s="1"/>
      <c r="AF1599" s="1"/>
      <c r="AG1599" s="1"/>
    </row>
    <row r="1600" ht="15.75" customHeight="1">
      <c r="A1600" s="1"/>
      <c r="B1600" s="1"/>
      <c r="C1600" s="1"/>
      <c r="D1600" s="1"/>
      <c r="E1600" s="1"/>
      <c r="F1600" s="1"/>
      <c r="G1600" s="1"/>
      <c r="H1600" s="1"/>
      <c r="I1600" s="1"/>
      <c r="J1600" s="1"/>
      <c r="K1600" s="102" t="s">
        <v>3006</v>
      </c>
      <c r="L1600" s="102" t="str">
        <f>B30</f>
        <v>J1</v>
      </c>
      <c r="M1600" s="102" t="s">
        <v>3005</v>
      </c>
      <c r="N1600" s="102" t="s">
        <v>3007</v>
      </c>
      <c r="O1600" s="102">
        <v>2.3203049E7</v>
      </c>
      <c r="P1600" s="102">
        <v>2.1041163E7</v>
      </c>
      <c r="Q1600" s="102" t="s">
        <v>2576</v>
      </c>
      <c r="S1600" s="1"/>
      <c r="T1600" s="1"/>
      <c r="U1600" s="1"/>
      <c r="V1600" s="1"/>
      <c r="W1600" s="1"/>
      <c r="X1600" s="1"/>
      <c r="Y1600" s="1"/>
      <c r="Z1600" s="102">
        <v>2.3203049E7</v>
      </c>
      <c r="AA1600" s="102"/>
      <c r="AB1600" s="1"/>
      <c r="AC1600" s="1"/>
      <c r="AD1600" s="1"/>
      <c r="AE1600" s="1"/>
      <c r="AF1600" s="1"/>
      <c r="AG1600" s="1"/>
    </row>
    <row r="1601" ht="15.75" customHeight="1">
      <c r="A1601" s="1"/>
      <c r="B1601" s="1"/>
      <c r="C1601" s="1"/>
      <c r="D1601" s="1"/>
      <c r="E1601" s="1"/>
      <c r="F1601" s="1"/>
      <c r="G1601" s="1"/>
      <c r="H1601" s="1"/>
      <c r="I1601" s="1"/>
      <c r="J1601" s="1"/>
      <c r="K1601" s="102" t="s">
        <v>3008</v>
      </c>
      <c r="L1601" s="102" t="str">
        <f>B30</f>
        <v>J1</v>
      </c>
      <c r="M1601" s="102" t="s">
        <v>3009</v>
      </c>
      <c r="N1601" s="102" t="s">
        <v>3010</v>
      </c>
      <c r="O1601" s="105">
        <v>2.8622721E7</v>
      </c>
      <c r="P1601" s="105">
        <v>2.6476574E7</v>
      </c>
      <c r="Q1601" s="102" t="s">
        <v>2501</v>
      </c>
      <c r="S1601" s="1"/>
      <c r="T1601" s="1"/>
      <c r="U1601" s="1"/>
      <c r="V1601" s="1"/>
      <c r="W1601" s="1"/>
      <c r="X1601" s="1"/>
      <c r="Y1601" s="1"/>
      <c r="Z1601" s="102"/>
      <c r="AA1601" s="102"/>
      <c r="AB1601" s="1"/>
      <c r="AC1601" s="1"/>
      <c r="AD1601" s="1"/>
      <c r="AE1601" s="1"/>
      <c r="AF1601" s="1"/>
      <c r="AG1601" s="1"/>
    </row>
    <row r="1602" ht="15.75" customHeight="1">
      <c r="A1602" s="1"/>
      <c r="B1602" s="1"/>
      <c r="C1602" s="1"/>
      <c r="D1602" s="1"/>
      <c r="E1602" s="1"/>
      <c r="F1602" s="1"/>
      <c r="G1602" s="1"/>
      <c r="H1602" s="1"/>
      <c r="I1602" s="1"/>
      <c r="J1602" s="1"/>
      <c r="K1602" s="102" t="s">
        <v>3009</v>
      </c>
      <c r="L1602" s="102" t="str">
        <f>B30</f>
        <v>J1</v>
      </c>
      <c r="M1602" s="102" t="s">
        <v>3008</v>
      </c>
      <c r="N1602" s="102" t="s">
        <v>3010</v>
      </c>
      <c r="O1602" s="105">
        <v>2.8622721E7</v>
      </c>
      <c r="P1602" s="105">
        <v>2.6476574E7</v>
      </c>
      <c r="Q1602" s="102" t="s">
        <v>2501</v>
      </c>
      <c r="S1602" s="1"/>
      <c r="T1602" s="1"/>
      <c r="U1602" s="1"/>
      <c r="V1602" s="1"/>
      <c r="W1602" s="1"/>
      <c r="X1602" s="1"/>
      <c r="Y1602" s="1"/>
      <c r="Z1602" s="102"/>
      <c r="AA1602" s="102"/>
      <c r="AB1602" s="1"/>
      <c r="AC1602" s="1"/>
      <c r="AD1602" s="1"/>
      <c r="AE1602" s="1"/>
      <c r="AF1602" s="1"/>
      <c r="AG1602" s="1"/>
    </row>
    <row r="1603" ht="15.75" customHeight="1">
      <c r="A1603" s="1"/>
      <c r="B1603" s="1"/>
      <c r="C1603" s="1"/>
      <c r="D1603" s="1"/>
      <c r="E1603" s="1"/>
      <c r="F1603" s="1"/>
      <c r="G1603" s="1"/>
      <c r="H1603" s="1"/>
      <c r="I1603" s="1"/>
      <c r="J1603" s="1"/>
      <c r="K1603" s="102" t="s">
        <v>3011</v>
      </c>
      <c r="L1603" s="102" t="str">
        <f>B30</f>
        <v>J1</v>
      </c>
      <c r="M1603" s="102"/>
      <c r="N1603" s="102" t="s">
        <v>3012</v>
      </c>
      <c r="O1603" s="105">
        <v>2.8684373E7</v>
      </c>
      <c r="P1603" s="105">
        <v>2.6538226E7</v>
      </c>
      <c r="Q1603" s="102" t="s">
        <v>2501</v>
      </c>
      <c r="S1603" s="1"/>
      <c r="T1603" s="1"/>
      <c r="U1603" s="1"/>
      <c r="V1603" s="1"/>
      <c r="W1603" s="1"/>
      <c r="X1603" s="1"/>
      <c r="Y1603" s="1"/>
      <c r="Z1603" s="102"/>
      <c r="AA1603" s="102"/>
      <c r="AB1603" s="1"/>
      <c r="AC1603" s="1"/>
      <c r="AD1603" s="1"/>
      <c r="AE1603" s="1"/>
      <c r="AF1603" s="1"/>
      <c r="AG1603" s="1"/>
    </row>
    <row r="1604" ht="15.75" customHeight="1">
      <c r="A1604" s="1"/>
      <c r="B1604" s="1"/>
      <c r="C1604" s="1"/>
      <c r="D1604" s="1"/>
      <c r="E1604" s="1"/>
      <c r="F1604" s="1"/>
      <c r="G1604" s="1"/>
      <c r="H1604" s="1"/>
      <c r="I1604" s="1"/>
      <c r="J1604" s="1"/>
      <c r="K1604" s="102" t="s">
        <v>3013</v>
      </c>
      <c r="L1604" s="102" t="str">
        <f>B30</f>
        <v>J1</v>
      </c>
      <c r="M1604" s="102"/>
      <c r="N1604" s="102" t="s">
        <v>3014</v>
      </c>
      <c r="O1604" s="105">
        <v>2.8759094E7</v>
      </c>
      <c r="P1604" s="105">
        <v>2.6612947E7</v>
      </c>
      <c r="Q1604" s="102" t="s">
        <v>2514</v>
      </c>
      <c r="S1604" s="1"/>
      <c r="T1604" s="1"/>
      <c r="U1604" s="1"/>
      <c r="V1604" s="1"/>
      <c r="W1604" s="1"/>
      <c r="X1604" s="1"/>
      <c r="Y1604" s="1"/>
      <c r="Z1604" s="102"/>
      <c r="AA1604" s="102"/>
      <c r="AB1604" s="1"/>
      <c r="AC1604" s="1"/>
      <c r="AD1604" s="1"/>
      <c r="AE1604" s="1"/>
      <c r="AF1604" s="1"/>
      <c r="AG1604" s="1"/>
    </row>
    <row r="1605" ht="15.75" customHeight="1">
      <c r="A1605" s="1"/>
      <c r="B1605" s="1"/>
      <c r="C1605" s="1"/>
      <c r="D1605" s="1"/>
      <c r="E1605" s="1"/>
      <c r="F1605" s="1"/>
      <c r="G1605" s="1"/>
      <c r="H1605" s="1"/>
      <c r="I1605" s="1"/>
      <c r="J1605" s="1"/>
      <c r="K1605" s="102" t="s">
        <v>3015</v>
      </c>
      <c r="L1605" s="102" t="str">
        <f>B30</f>
        <v>J1</v>
      </c>
      <c r="M1605" s="102" t="s">
        <v>3016</v>
      </c>
      <c r="N1605" s="102" t="s">
        <v>3017</v>
      </c>
      <c r="O1605" s="105">
        <v>2.8759111E7</v>
      </c>
      <c r="P1605" s="105">
        <v>2.6612964E7</v>
      </c>
      <c r="Q1605" s="102" t="s">
        <v>2432</v>
      </c>
      <c r="S1605" s="1"/>
      <c r="T1605" s="1"/>
      <c r="U1605" s="1"/>
      <c r="V1605" s="1"/>
      <c r="W1605" s="1"/>
      <c r="X1605" s="1"/>
      <c r="Y1605" s="1"/>
      <c r="Z1605" s="102"/>
      <c r="AA1605" s="102"/>
      <c r="AB1605" s="1"/>
      <c r="AC1605" s="1"/>
      <c r="AD1605" s="1"/>
      <c r="AE1605" s="1"/>
      <c r="AF1605" s="1"/>
      <c r="AG1605" s="1"/>
    </row>
    <row r="1606" ht="15.75" customHeight="1">
      <c r="A1606" s="1"/>
      <c r="B1606" s="1"/>
      <c r="C1606" s="1"/>
      <c r="D1606" s="1"/>
      <c r="E1606" s="1"/>
      <c r="F1606" s="1"/>
      <c r="G1606" s="1"/>
      <c r="H1606" s="1"/>
      <c r="I1606" s="1"/>
      <c r="J1606" s="1"/>
      <c r="K1606" s="102" t="s">
        <v>3016</v>
      </c>
      <c r="L1606" s="102" t="str">
        <f>B30</f>
        <v>J1</v>
      </c>
      <c r="M1606" s="102" t="s">
        <v>3015</v>
      </c>
      <c r="N1606" s="102" t="s">
        <v>3017</v>
      </c>
      <c r="O1606" s="105">
        <v>2.8759111E7</v>
      </c>
      <c r="P1606" s="105">
        <v>2.6612964E7</v>
      </c>
      <c r="Q1606" s="102" t="s">
        <v>2432</v>
      </c>
      <c r="S1606" s="1"/>
      <c r="T1606" s="1"/>
      <c r="U1606" s="1"/>
      <c r="V1606" s="1"/>
      <c r="W1606" s="1"/>
      <c r="X1606" s="1"/>
      <c r="Y1606" s="1"/>
      <c r="Z1606" s="102"/>
      <c r="AA1606" s="102"/>
      <c r="AB1606" s="1"/>
      <c r="AC1606" s="1"/>
      <c r="AD1606" s="1"/>
      <c r="AE1606" s="1"/>
      <c r="AF1606" s="1"/>
      <c r="AG1606" s="1"/>
    </row>
    <row r="1607" ht="15.75" customHeight="1">
      <c r="A1607" s="1"/>
      <c r="B1607" s="1"/>
      <c r="C1607" s="1"/>
      <c r="D1607" s="1"/>
      <c r="E1607" s="1"/>
      <c r="F1607" s="1"/>
      <c r="G1607" s="1"/>
      <c r="H1607" s="1"/>
      <c r="I1607" s="1"/>
      <c r="J1607" s="1"/>
      <c r="K1607" s="102" t="s">
        <v>3018</v>
      </c>
      <c r="L1607" s="102" t="str">
        <f>B30</f>
        <v>J1</v>
      </c>
      <c r="M1607" s="102" t="s">
        <v>3019</v>
      </c>
      <c r="N1607" s="102" t="s">
        <v>3020</v>
      </c>
      <c r="O1607" s="105">
        <v>1.4705158E7</v>
      </c>
      <c r="P1607" s="105">
        <v>1.2593224E7</v>
      </c>
      <c r="Q1607" s="102" t="s">
        <v>2563</v>
      </c>
      <c r="S1607" s="1"/>
      <c r="T1607" s="1"/>
      <c r="U1607" s="1"/>
      <c r="V1607" s="1"/>
      <c r="W1607" s="1"/>
      <c r="X1607" s="1"/>
      <c r="Y1607" s="1"/>
      <c r="Z1607" s="102"/>
      <c r="AA1607" s="102"/>
      <c r="AB1607" s="1"/>
      <c r="AC1607" s="1"/>
      <c r="AD1607" s="1"/>
      <c r="AE1607" s="1"/>
      <c r="AF1607" s="1"/>
      <c r="AG1607" s="1"/>
    </row>
    <row r="1608" ht="15.75" customHeight="1">
      <c r="A1608" s="1"/>
      <c r="B1608" s="1"/>
      <c r="C1608" s="1"/>
      <c r="D1608" s="1"/>
      <c r="E1608" s="1"/>
      <c r="F1608" s="1"/>
      <c r="G1608" s="1"/>
      <c r="H1608" s="1"/>
      <c r="I1608" s="1"/>
      <c r="J1608" s="1"/>
      <c r="K1608" s="102" t="s">
        <v>3019</v>
      </c>
      <c r="L1608" s="102" t="str">
        <f>B30</f>
        <v>J1</v>
      </c>
      <c r="M1608" s="102" t="s">
        <v>3018</v>
      </c>
      <c r="N1608" s="102" t="s">
        <v>3020</v>
      </c>
      <c r="O1608" s="105">
        <v>1.4705158E7</v>
      </c>
      <c r="P1608" s="105">
        <v>1.2593224E7</v>
      </c>
      <c r="Q1608" s="102" t="s">
        <v>2563</v>
      </c>
      <c r="S1608" s="1"/>
      <c r="T1608" s="1"/>
      <c r="U1608" s="1"/>
      <c r="V1608" s="1"/>
      <c r="W1608" s="1"/>
      <c r="X1608" s="1"/>
      <c r="Y1608" s="1"/>
      <c r="Z1608" s="102"/>
      <c r="AA1608" s="102"/>
      <c r="AB1608" s="1"/>
      <c r="AC1608" s="1"/>
      <c r="AD1608" s="1"/>
      <c r="AE1608" s="1"/>
      <c r="AF1608" s="1"/>
      <c r="AG1608" s="1"/>
    </row>
    <row r="1609" ht="15.75" customHeight="1">
      <c r="A1609" s="1"/>
      <c r="B1609" s="1"/>
      <c r="C1609" s="1"/>
      <c r="D1609" s="1"/>
      <c r="E1609" s="1"/>
      <c r="F1609" s="1"/>
      <c r="G1609" s="1"/>
      <c r="H1609" s="1"/>
      <c r="I1609" s="1"/>
      <c r="J1609" s="1"/>
      <c r="K1609" s="102" t="s">
        <v>3021</v>
      </c>
      <c r="L1609" s="102" t="str">
        <f>B30</f>
        <v>J1</v>
      </c>
      <c r="M1609" s="102" t="s">
        <v>3022</v>
      </c>
      <c r="N1609" s="102" t="s">
        <v>3023</v>
      </c>
      <c r="O1609" s="105">
        <v>1.5981186E7</v>
      </c>
      <c r="P1609" s="105">
        <v>1.3869306E7</v>
      </c>
      <c r="Q1609" s="102" t="s">
        <v>2514</v>
      </c>
      <c r="S1609" s="1"/>
      <c r="T1609" s="1"/>
      <c r="U1609" s="1"/>
      <c r="V1609" s="1"/>
      <c r="W1609" s="1"/>
      <c r="X1609" s="1"/>
      <c r="Y1609" s="1"/>
      <c r="Z1609" s="102"/>
      <c r="AA1609" s="102"/>
      <c r="AB1609" s="1"/>
      <c r="AC1609" s="1"/>
      <c r="AD1609" s="1"/>
      <c r="AE1609" s="1"/>
      <c r="AF1609" s="1"/>
      <c r="AG1609" s="1"/>
    </row>
    <row r="1610" ht="15.75" customHeight="1">
      <c r="A1610" s="1"/>
      <c r="B1610" s="1"/>
      <c r="C1610" s="1"/>
      <c r="D1610" s="1"/>
      <c r="E1610" s="1"/>
      <c r="F1610" s="1"/>
      <c r="G1610" s="1"/>
      <c r="H1610" s="1"/>
      <c r="I1610" s="1"/>
      <c r="J1610" s="1"/>
      <c r="K1610" s="102" t="s">
        <v>3022</v>
      </c>
      <c r="L1610" s="102" t="str">
        <f>B30</f>
        <v>J1</v>
      </c>
      <c r="M1610" s="102" t="s">
        <v>3021</v>
      </c>
      <c r="N1610" s="102" t="s">
        <v>3023</v>
      </c>
      <c r="O1610" s="105">
        <v>1.5981186E7</v>
      </c>
      <c r="P1610" s="105">
        <v>1.3869306E7</v>
      </c>
      <c r="Q1610" s="102" t="s">
        <v>2514</v>
      </c>
      <c r="S1610" s="1"/>
      <c r="T1610" s="1"/>
      <c r="U1610" s="1"/>
      <c r="V1610" s="1"/>
      <c r="W1610" s="1"/>
      <c r="X1610" s="1"/>
      <c r="Y1610" s="1"/>
      <c r="Z1610" s="102"/>
      <c r="AA1610" s="102"/>
      <c r="AB1610" s="1"/>
      <c r="AC1610" s="1"/>
      <c r="AD1610" s="1"/>
      <c r="AE1610" s="1"/>
      <c r="AF1610" s="1"/>
      <c r="AG1610" s="1"/>
    </row>
    <row r="1611" ht="15.75" customHeight="1">
      <c r="A1611" s="1"/>
      <c r="B1611" s="1"/>
      <c r="C1611" s="1"/>
      <c r="D1611" s="1"/>
      <c r="E1611" s="1"/>
      <c r="F1611" s="1"/>
      <c r="G1611" s="1"/>
      <c r="H1611" s="1"/>
      <c r="I1611" s="1"/>
      <c r="J1611" s="1"/>
      <c r="K1611" s="102" t="s">
        <v>3024</v>
      </c>
      <c r="L1611" s="102" t="str">
        <f>B30</f>
        <v>J1</v>
      </c>
      <c r="M1611" s="102"/>
      <c r="N1611" s="102" t="s">
        <v>3025</v>
      </c>
      <c r="O1611" s="105">
        <v>1.9383622E7</v>
      </c>
      <c r="P1611" s="105">
        <v>1.7271742E7</v>
      </c>
      <c r="Q1611" s="102" t="s">
        <v>2501</v>
      </c>
      <c r="S1611" s="1"/>
      <c r="T1611" s="1"/>
      <c r="U1611" s="1"/>
      <c r="V1611" s="1"/>
      <c r="W1611" s="1"/>
      <c r="X1611" s="1"/>
      <c r="Y1611" s="1"/>
      <c r="Z1611" s="102"/>
      <c r="AA1611" s="102"/>
      <c r="AB1611" s="1"/>
      <c r="AC1611" s="1"/>
      <c r="AD1611" s="1"/>
      <c r="AE1611" s="1"/>
      <c r="AF1611" s="1"/>
      <c r="AG1611" s="1"/>
    </row>
    <row r="1612" ht="15.75" customHeight="1">
      <c r="A1612" s="1"/>
      <c r="B1612" s="1"/>
      <c r="C1612" s="1"/>
      <c r="D1612" s="1"/>
      <c r="E1612" s="1"/>
      <c r="F1612" s="1"/>
      <c r="G1612" s="1"/>
      <c r="H1612" s="1"/>
      <c r="I1612" s="1"/>
      <c r="J1612" s="1"/>
      <c r="K1612" s="102" t="s">
        <v>3026</v>
      </c>
      <c r="L1612" s="102" t="str">
        <f>B30</f>
        <v>J1</v>
      </c>
      <c r="M1612" s="102" t="s">
        <v>3027</v>
      </c>
      <c r="N1612" s="102" t="s">
        <v>3028</v>
      </c>
      <c r="O1612" s="105">
        <v>1.9489654E7</v>
      </c>
      <c r="P1612" s="105">
        <v>1.7377774E7</v>
      </c>
      <c r="Q1612" s="102" t="s">
        <v>2439</v>
      </c>
      <c r="S1612" s="1"/>
      <c r="T1612" s="1"/>
      <c r="U1612" s="1"/>
      <c r="V1612" s="1"/>
      <c r="W1612" s="1"/>
      <c r="X1612" s="1"/>
      <c r="Y1612" s="1"/>
      <c r="Z1612" s="102"/>
      <c r="AA1612" s="102"/>
      <c r="AB1612" s="1"/>
      <c r="AC1612" s="1"/>
      <c r="AD1612" s="1"/>
      <c r="AE1612" s="1"/>
      <c r="AF1612" s="1"/>
      <c r="AG1612" s="1"/>
    </row>
    <row r="1613" ht="15.75" customHeight="1">
      <c r="A1613" s="1"/>
      <c r="B1613" s="1"/>
      <c r="C1613" s="1"/>
      <c r="D1613" s="1"/>
      <c r="E1613" s="1"/>
      <c r="F1613" s="1"/>
      <c r="G1613" s="1"/>
      <c r="H1613" s="1"/>
      <c r="I1613" s="1"/>
      <c r="J1613" s="1"/>
      <c r="K1613" s="102" t="s">
        <v>3029</v>
      </c>
      <c r="L1613" s="102" t="str">
        <f>B30</f>
        <v>J1</v>
      </c>
      <c r="M1613" s="102" t="s">
        <v>3030</v>
      </c>
      <c r="N1613" s="102" t="s">
        <v>3028</v>
      </c>
      <c r="O1613" s="105">
        <v>1.9489654E7</v>
      </c>
      <c r="P1613" s="105">
        <v>1.7377774E7</v>
      </c>
      <c r="Q1613" s="102" t="s">
        <v>2439</v>
      </c>
      <c r="S1613" s="1"/>
      <c r="T1613" s="1"/>
      <c r="U1613" s="1"/>
      <c r="V1613" s="1"/>
      <c r="W1613" s="1"/>
      <c r="X1613" s="1"/>
      <c r="Y1613" s="1"/>
      <c r="Z1613" s="102"/>
      <c r="AA1613" s="102"/>
      <c r="AB1613" s="1"/>
      <c r="AC1613" s="1"/>
      <c r="AD1613" s="1"/>
      <c r="AE1613" s="1"/>
      <c r="AF1613" s="1"/>
      <c r="AG1613" s="1"/>
    </row>
    <row r="1614" ht="15.75" customHeight="1">
      <c r="A1614" s="1"/>
      <c r="B1614" s="1"/>
      <c r="C1614" s="1"/>
      <c r="D1614" s="1"/>
      <c r="E1614" s="1"/>
      <c r="F1614" s="1"/>
      <c r="G1614" s="1"/>
      <c r="H1614" s="1"/>
      <c r="I1614" s="1"/>
      <c r="J1614" s="1"/>
      <c r="K1614" s="102" t="s">
        <v>3031</v>
      </c>
      <c r="L1614" s="102" t="str">
        <f>B30</f>
        <v>J1</v>
      </c>
      <c r="M1614" s="102" t="s">
        <v>3032</v>
      </c>
      <c r="N1614" s="102" t="s">
        <v>3028</v>
      </c>
      <c r="O1614" s="105">
        <v>1.9489654E7</v>
      </c>
      <c r="P1614" s="105">
        <v>1.7377774E7</v>
      </c>
      <c r="Q1614" s="102" t="s">
        <v>2439</v>
      </c>
      <c r="S1614" s="1"/>
      <c r="T1614" s="1"/>
      <c r="U1614" s="1"/>
      <c r="V1614" s="1"/>
      <c r="W1614" s="1"/>
      <c r="X1614" s="1"/>
      <c r="Y1614" s="1"/>
      <c r="Z1614" s="102"/>
      <c r="AA1614" s="102"/>
      <c r="AB1614" s="1"/>
      <c r="AC1614" s="1"/>
      <c r="AD1614" s="1"/>
      <c r="AE1614" s="1"/>
      <c r="AF1614" s="1"/>
      <c r="AG1614" s="1"/>
    </row>
    <row r="1615" ht="15.75" customHeight="1">
      <c r="A1615" s="1"/>
      <c r="B1615" s="1"/>
      <c r="C1615" s="1"/>
      <c r="D1615" s="1"/>
      <c r="E1615" s="1"/>
      <c r="F1615" s="1"/>
      <c r="G1615" s="1"/>
      <c r="H1615" s="1"/>
      <c r="I1615" s="1"/>
      <c r="J1615" s="1"/>
      <c r="K1615" s="102" t="s">
        <v>3033</v>
      </c>
      <c r="L1615" s="102" t="str">
        <f>B30</f>
        <v>J1</v>
      </c>
      <c r="M1615" s="102" t="s">
        <v>3034</v>
      </c>
      <c r="N1615" s="102" t="s">
        <v>3035</v>
      </c>
      <c r="O1615" s="105">
        <v>2.2741818E7</v>
      </c>
      <c r="P1615" s="105">
        <v>2.0579932E7</v>
      </c>
      <c r="Q1615" s="102" t="s">
        <v>2563</v>
      </c>
      <c r="S1615" s="1"/>
      <c r="T1615" s="1"/>
      <c r="U1615" s="1"/>
      <c r="V1615" s="1"/>
      <c r="W1615" s="1"/>
      <c r="X1615" s="1"/>
      <c r="Y1615" s="1"/>
      <c r="Z1615" s="102"/>
      <c r="AA1615" s="102"/>
      <c r="AB1615" s="1"/>
      <c r="AC1615" s="1"/>
      <c r="AD1615" s="1"/>
      <c r="AE1615" s="1"/>
      <c r="AF1615" s="1"/>
      <c r="AG1615" s="1"/>
    </row>
    <row r="1616" ht="15.75" customHeight="1">
      <c r="A1616" s="1"/>
      <c r="B1616" s="1"/>
      <c r="C1616" s="1"/>
      <c r="D1616" s="1"/>
      <c r="E1616" s="1"/>
      <c r="F1616" s="1"/>
      <c r="G1616" s="1"/>
      <c r="H1616" s="1"/>
      <c r="I1616" s="1"/>
      <c r="J1616" s="1"/>
      <c r="K1616" s="102" t="s">
        <v>3036</v>
      </c>
      <c r="L1616" s="102" t="str">
        <f>B30</f>
        <v>J1</v>
      </c>
      <c r="M1616" s="102" t="s">
        <v>3037</v>
      </c>
      <c r="N1616" s="102" t="s">
        <v>3035</v>
      </c>
      <c r="O1616" s="105">
        <v>2.2741818E7</v>
      </c>
      <c r="P1616" s="105">
        <v>2.0579932E7</v>
      </c>
      <c r="Q1616" s="102" t="s">
        <v>2563</v>
      </c>
      <c r="S1616" s="1"/>
      <c r="T1616" s="1"/>
      <c r="U1616" s="1"/>
      <c r="V1616" s="1"/>
      <c r="W1616" s="1"/>
      <c r="X1616" s="1"/>
      <c r="Y1616" s="1"/>
      <c r="Z1616" s="102"/>
      <c r="AA1616" s="102"/>
      <c r="AB1616" s="1"/>
      <c r="AC1616" s="1"/>
      <c r="AD1616" s="1"/>
      <c r="AE1616" s="1"/>
      <c r="AF1616" s="1"/>
      <c r="AG1616" s="1"/>
    </row>
    <row r="1617" ht="15.75" customHeight="1">
      <c r="A1617" s="1"/>
      <c r="B1617" s="1"/>
      <c r="C1617" s="1"/>
      <c r="D1617" s="1"/>
      <c r="E1617" s="1"/>
      <c r="F1617" s="1"/>
      <c r="G1617" s="1"/>
      <c r="H1617" s="1"/>
      <c r="I1617" s="1"/>
      <c r="J1617" s="1"/>
      <c r="K1617" s="102" t="s">
        <v>3038</v>
      </c>
      <c r="L1617" s="102" t="str">
        <f>B30</f>
        <v>J1</v>
      </c>
      <c r="M1617" s="102" t="s">
        <v>3039</v>
      </c>
      <c r="N1617" s="102" t="s">
        <v>3035</v>
      </c>
      <c r="O1617" s="105">
        <v>2.2741818E7</v>
      </c>
      <c r="P1617" s="105">
        <v>2.0579932E7</v>
      </c>
      <c r="Q1617" s="102" t="s">
        <v>2563</v>
      </c>
      <c r="S1617" s="1"/>
      <c r="T1617" s="1"/>
      <c r="U1617" s="1"/>
      <c r="V1617" s="1"/>
      <c r="W1617" s="1"/>
      <c r="X1617" s="1"/>
      <c r="Y1617" s="1"/>
      <c r="Z1617" s="102"/>
      <c r="AA1617" s="102"/>
      <c r="AB1617" s="1"/>
      <c r="AC1617" s="1"/>
      <c r="AD1617" s="1"/>
      <c r="AE1617" s="1"/>
      <c r="AF1617" s="1"/>
      <c r="AG1617" s="1"/>
    </row>
    <row r="1618" ht="15.75" customHeight="1">
      <c r="A1618" s="1"/>
      <c r="B1618" s="1"/>
      <c r="C1618" s="1"/>
      <c r="D1618" s="1"/>
      <c r="E1618" s="1"/>
      <c r="F1618" s="1"/>
      <c r="G1618" s="1"/>
      <c r="H1618" s="1"/>
      <c r="I1618" s="1"/>
      <c r="J1618" s="1"/>
      <c r="K1618" s="102" t="s">
        <v>3040</v>
      </c>
      <c r="L1618" s="102" t="str">
        <f>B30</f>
        <v>J1</v>
      </c>
      <c r="M1618" s="102" t="s">
        <v>3041</v>
      </c>
      <c r="N1618" s="102" t="s">
        <v>3042</v>
      </c>
      <c r="O1618" s="105">
        <v>2.1597514E7</v>
      </c>
      <c r="P1618" s="105">
        <v>1.9435628E7</v>
      </c>
      <c r="Q1618" s="102" t="s">
        <v>2501</v>
      </c>
      <c r="S1618" s="1"/>
      <c r="T1618" s="1"/>
      <c r="U1618" s="1"/>
      <c r="V1618" s="1"/>
      <c r="W1618" s="1"/>
      <c r="X1618" s="1"/>
      <c r="Y1618" s="1"/>
      <c r="Z1618" s="102"/>
      <c r="AA1618" s="102"/>
      <c r="AB1618" s="1"/>
      <c r="AC1618" s="1"/>
      <c r="AD1618" s="1"/>
      <c r="AE1618" s="1"/>
      <c r="AF1618" s="1"/>
      <c r="AG1618" s="1"/>
    </row>
    <row r="1619" ht="15.75" customHeight="1">
      <c r="A1619" s="1"/>
      <c r="B1619" s="1"/>
      <c r="C1619" s="1"/>
      <c r="D1619" s="1"/>
      <c r="E1619" s="1"/>
      <c r="F1619" s="1"/>
      <c r="G1619" s="1"/>
      <c r="H1619" s="1"/>
      <c r="I1619" s="1"/>
      <c r="J1619" s="1"/>
      <c r="K1619" s="102" t="s">
        <v>3043</v>
      </c>
      <c r="L1619" s="102" t="str">
        <f>B30</f>
        <v>J1</v>
      </c>
      <c r="M1619" s="102" t="s">
        <v>3044</v>
      </c>
      <c r="N1619" s="102" t="s">
        <v>3042</v>
      </c>
      <c r="O1619" s="105">
        <v>2.1597514E7</v>
      </c>
      <c r="P1619" s="105">
        <v>1.9435628E7</v>
      </c>
      <c r="Q1619" s="102" t="s">
        <v>2501</v>
      </c>
      <c r="S1619" s="1"/>
      <c r="T1619" s="1"/>
      <c r="U1619" s="1"/>
      <c r="V1619" s="1"/>
      <c r="W1619" s="1"/>
      <c r="X1619" s="1"/>
      <c r="Y1619" s="1"/>
      <c r="Z1619" s="102"/>
      <c r="AA1619" s="102"/>
      <c r="AB1619" s="1"/>
      <c r="AC1619" s="1"/>
      <c r="AD1619" s="1"/>
      <c r="AE1619" s="1"/>
      <c r="AF1619" s="1"/>
      <c r="AG1619" s="1"/>
    </row>
    <row r="1620" ht="15.75" customHeight="1">
      <c r="A1620" s="1"/>
      <c r="B1620" s="1"/>
      <c r="C1620" s="1"/>
      <c r="D1620" s="1"/>
      <c r="E1620" s="1"/>
      <c r="F1620" s="1"/>
      <c r="G1620" s="1"/>
      <c r="H1620" s="1"/>
      <c r="I1620" s="1"/>
      <c r="J1620" s="1"/>
      <c r="K1620" s="102" t="s">
        <v>3045</v>
      </c>
      <c r="L1620" s="102" t="str">
        <f>B30</f>
        <v>J1</v>
      </c>
      <c r="M1620" s="102" t="s">
        <v>3046</v>
      </c>
      <c r="N1620" s="102" t="s">
        <v>3042</v>
      </c>
      <c r="O1620" s="105">
        <v>2.1597514E7</v>
      </c>
      <c r="P1620" s="105">
        <v>1.9435628E7</v>
      </c>
      <c r="Q1620" s="102" t="s">
        <v>2501</v>
      </c>
      <c r="S1620" s="1"/>
      <c r="T1620" s="1"/>
      <c r="U1620" s="1"/>
      <c r="V1620" s="1"/>
      <c r="W1620" s="1"/>
      <c r="X1620" s="1"/>
      <c r="Y1620" s="1"/>
      <c r="Z1620" s="102"/>
      <c r="AA1620" s="102"/>
      <c r="AB1620" s="1"/>
      <c r="AC1620" s="1"/>
      <c r="AD1620" s="1"/>
      <c r="AE1620" s="1"/>
      <c r="AF1620" s="1"/>
      <c r="AG1620" s="1"/>
    </row>
    <row r="1621" ht="15.75" customHeight="1">
      <c r="A1621" s="1"/>
      <c r="B1621" s="1"/>
      <c r="C1621" s="1"/>
      <c r="D1621" s="1"/>
      <c r="E1621" s="1"/>
      <c r="F1621" s="1"/>
      <c r="G1621" s="1"/>
      <c r="H1621" s="1"/>
      <c r="I1621" s="1"/>
      <c r="J1621" s="1"/>
      <c r="K1621" s="102" t="s">
        <v>3047</v>
      </c>
      <c r="L1621" s="102" t="str">
        <f>B30</f>
        <v>J1</v>
      </c>
      <c r="M1621" s="102" t="s">
        <v>3048</v>
      </c>
      <c r="N1621" s="102" t="s">
        <v>3049</v>
      </c>
      <c r="O1621" s="105">
        <v>6644192.0</v>
      </c>
      <c r="P1621" s="105">
        <v>6776151.0</v>
      </c>
      <c r="Q1621" s="102" t="s">
        <v>2529</v>
      </c>
      <c r="S1621" s="1"/>
      <c r="T1621" s="1"/>
      <c r="U1621" s="1"/>
      <c r="V1621" s="1"/>
      <c r="W1621" s="1"/>
      <c r="X1621" s="1"/>
      <c r="Y1621" s="1"/>
      <c r="Z1621" s="102"/>
      <c r="AA1621" s="102"/>
      <c r="AB1621" s="1"/>
      <c r="AC1621" s="1"/>
      <c r="AD1621" s="1"/>
      <c r="AE1621" s="1"/>
      <c r="AF1621" s="1"/>
      <c r="AG1621" s="1"/>
    </row>
    <row r="1622" ht="15.75" customHeight="1">
      <c r="A1622" s="1"/>
      <c r="B1622" s="1"/>
      <c r="C1622" s="1"/>
      <c r="D1622" s="1"/>
      <c r="E1622" s="1"/>
      <c r="F1622" s="1"/>
      <c r="G1622" s="1"/>
      <c r="H1622" s="1"/>
      <c r="I1622" s="1"/>
      <c r="J1622" s="1"/>
      <c r="K1622" s="102" t="s">
        <v>3048</v>
      </c>
      <c r="L1622" s="102" t="str">
        <f>B30</f>
        <v>J1</v>
      </c>
      <c r="M1622" s="102" t="s">
        <v>3047</v>
      </c>
      <c r="N1622" s="102" t="s">
        <v>3049</v>
      </c>
      <c r="O1622" s="105">
        <v>6644192.0</v>
      </c>
      <c r="P1622" s="105">
        <v>6776151.0</v>
      </c>
      <c r="Q1622" s="102" t="s">
        <v>2529</v>
      </c>
      <c r="S1622" s="1"/>
      <c r="T1622" s="1"/>
      <c r="U1622" s="1"/>
      <c r="V1622" s="1"/>
      <c r="W1622" s="1"/>
      <c r="X1622" s="1"/>
      <c r="Y1622" s="1"/>
      <c r="Z1622" s="102"/>
      <c r="AA1622" s="102"/>
      <c r="AB1622" s="1"/>
      <c r="AC1622" s="1"/>
      <c r="AD1622" s="1"/>
      <c r="AE1622" s="1"/>
      <c r="AF1622" s="1"/>
      <c r="AG1622" s="1"/>
    </row>
    <row r="1623" ht="15.75" customHeight="1">
      <c r="A1623" s="1"/>
      <c r="B1623" s="1"/>
      <c r="C1623" s="1"/>
      <c r="D1623" s="1"/>
      <c r="E1623" s="1"/>
      <c r="F1623" s="1"/>
      <c r="G1623" s="1"/>
      <c r="H1623" s="1"/>
      <c r="I1623" s="1"/>
      <c r="J1623" s="1"/>
      <c r="K1623" s="102" t="s">
        <v>3050</v>
      </c>
      <c r="L1623" s="102" t="str">
        <f>B30</f>
        <v>J1</v>
      </c>
      <c r="M1623" s="102" t="s">
        <v>3051</v>
      </c>
      <c r="N1623" s="102" t="s">
        <v>3052</v>
      </c>
      <c r="O1623" s="105">
        <v>9881804.0</v>
      </c>
      <c r="P1623" s="105">
        <v>1.0044195E7</v>
      </c>
      <c r="Q1623" s="102" t="s">
        <v>2468</v>
      </c>
      <c r="S1623" s="1"/>
      <c r="T1623" s="1"/>
      <c r="U1623" s="1"/>
      <c r="V1623" s="1"/>
      <c r="W1623" s="1"/>
      <c r="X1623" s="1"/>
      <c r="Y1623" s="1"/>
      <c r="Z1623" s="102"/>
      <c r="AA1623" s="102"/>
      <c r="AB1623" s="1"/>
      <c r="AC1623" s="1"/>
      <c r="AD1623" s="1"/>
      <c r="AE1623" s="1"/>
      <c r="AF1623" s="1"/>
      <c r="AG1623" s="1"/>
    </row>
    <row r="1624" ht="15.75" customHeight="1">
      <c r="A1624" s="1"/>
      <c r="B1624" s="1"/>
      <c r="C1624" s="1"/>
      <c r="D1624" s="1"/>
      <c r="E1624" s="1"/>
      <c r="F1624" s="1"/>
      <c r="G1624" s="1"/>
      <c r="H1624" s="1"/>
      <c r="I1624" s="1"/>
      <c r="J1624" s="1"/>
      <c r="K1624" s="102" t="s">
        <v>3051</v>
      </c>
      <c r="L1624" s="102" t="str">
        <f>B30</f>
        <v>J1</v>
      </c>
      <c r="M1624" s="102" t="s">
        <v>3050</v>
      </c>
      <c r="N1624" s="102" t="s">
        <v>3052</v>
      </c>
      <c r="O1624" s="105">
        <v>9881804.0</v>
      </c>
      <c r="P1624" s="105">
        <v>1.0044195E7</v>
      </c>
      <c r="Q1624" s="102" t="s">
        <v>2468</v>
      </c>
      <c r="S1624" s="1"/>
      <c r="T1624" s="1"/>
      <c r="U1624" s="1"/>
      <c r="V1624" s="1"/>
      <c r="W1624" s="1"/>
      <c r="X1624" s="1"/>
      <c r="Y1624" s="1"/>
      <c r="Z1624" s="102"/>
      <c r="AA1624" s="102"/>
      <c r="AB1624" s="1"/>
      <c r="AC1624" s="1"/>
      <c r="AD1624" s="1"/>
      <c r="AE1624" s="1"/>
      <c r="AF1624" s="1"/>
      <c r="AG1624" s="1"/>
    </row>
    <row r="1625" ht="15.75" customHeight="1">
      <c r="A1625" s="1"/>
      <c r="B1625" s="1"/>
      <c r="C1625" s="1"/>
      <c r="D1625" s="1"/>
      <c r="E1625" s="1"/>
      <c r="F1625" s="1"/>
      <c r="G1625" s="1"/>
      <c r="H1625" s="1"/>
      <c r="I1625" s="1"/>
      <c r="J1625" s="1"/>
      <c r="K1625" s="102" t="s">
        <v>3053</v>
      </c>
      <c r="L1625" s="102" t="str">
        <f>B30</f>
        <v>J1</v>
      </c>
      <c r="M1625" s="102" t="s">
        <v>3054</v>
      </c>
      <c r="N1625" s="102" t="s">
        <v>3055</v>
      </c>
      <c r="O1625" s="105">
        <v>1.3816858E7</v>
      </c>
      <c r="P1625" s="105">
        <v>1.1696152E7</v>
      </c>
      <c r="Q1625" s="102" t="s">
        <v>2576</v>
      </c>
      <c r="S1625" s="1"/>
      <c r="T1625" s="1"/>
      <c r="U1625" s="1"/>
      <c r="V1625" s="1"/>
      <c r="W1625" s="1"/>
      <c r="X1625" s="1"/>
      <c r="Y1625" s="1"/>
      <c r="Z1625" s="102"/>
      <c r="AA1625" s="102"/>
      <c r="AB1625" s="1"/>
      <c r="AC1625" s="1"/>
      <c r="AD1625" s="1"/>
      <c r="AE1625" s="1"/>
      <c r="AF1625" s="1"/>
      <c r="AG1625" s="1"/>
    </row>
    <row r="1626" ht="15.75" customHeight="1">
      <c r="A1626" s="1"/>
      <c r="B1626" s="1"/>
      <c r="C1626" s="1"/>
      <c r="D1626" s="1"/>
      <c r="E1626" s="1"/>
      <c r="F1626" s="1"/>
      <c r="G1626" s="1"/>
      <c r="H1626" s="1"/>
      <c r="I1626" s="1"/>
      <c r="J1626" s="1"/>
      <c r="K1626" s="102" t="s">
        <v>3054</v>
      </c>
      <c r="L1626" s="102" t="str">
        <f>B30</f>
        <v>J1</v>
      </c>
      <c r="M1626" s="102" t="s">
        <v>3053</v>
      </c>
      <c r="N1626" s="102" t="s">
        <v>3055</v>
      </c>
      <c r="O1626" s="105">
        <v>1.3816858E7</v>
      </c>
      <c r="P1626" s="105">
        <v>1.1696152E7</v>
      </c>
      <c r="Q1626" s="102" t="s">
        <v>2576</v>
      </c>
      <c r="S1626" s="1"/>
      <c r="T1626" s="1"/>
      <c r="U1626" s="1"/>
      <c r="V1626" s="1"/>
      <c r="W1626" s="1"/>
      <c r="X1626" s="1"/>
      <c r="Y1626" s="1"/>
      <c r="Z1626" s="102"/>
      <c r="AA1626" s="102"/>
      <c r="AB1626" s="1"/>
      <c r="AC1626" s="1"/>
      <c r="AD1626" s="1"/>
      <c r="AE1626" s="1"/>
      <c r="AF1626" s="1"/>
      <c r="AG1626" s="1"/>
    </row>
    <row r="1627" ht="15.75" customHeight="1">
      <c r="A1627" s="1"/>
      <c r="B1627" s="1"/>
      <c r="C1627" s="1"/>
      <c r="D1627" s="1"/>
      <c r="E1627" s="1"/>
      <c r="F1627" s="1"/>
      <c r="G1627" s="1"/>
      <c r="H1627" s="1"/>
      <c r="I1627" s="1"/>
      <c r="J1627" s="1"/>
      <c r="K1627" s="102" t="s">
        <v>3056</v>
      </c>
      <c r="L1627" s="102" t="str">
        <f>B30</f>
        <v>J1</v>
      </c>
      <c r="M1627" s="102"/>
      <c r="N1627" s="102" t="s">
        <v>3057</v>
      </c>
      <c r="O1627" s="105">
        <v>1.3645055E7</v>
      </c>
      <c r="P1627" s="105">
        <v>1.1489379E7</v>
      </c>
      <c r="Q1627" s="102" t="s">
        <v>2501</v>
      </c>
      <c r="S1627" s="1"/>
      <c r="T1627" s="1"/>
      <c r="U1627" s="1"/>
      <c r="V1627" s="1"/>
      <c r="W1627" s="1"/>
      <c r="X1627" s="1"/>
      <c r="Y1627" s="1"/>
      <c r="Z1627" s="102"/>
      <c r="AA1627" s="102"/>
      <c r="AB1627" s="1"/>
      <c r="AC1627" s="1"/>
      <c r="AD1627" s="1"/>
      <c r="AE1627" s="1"/>
      <c r="AF1627" s="1"/>
      <c r="AG1627" s="1"/>
    </row>
    <row r="1628" ht="15.75" customHeight="1">
      <c r="A1628" s="1"/>
      <c r="B1628" s="1"/>
      <c r="C1628" s="1"/>
      <c r="D1628" s="1"/>
      <c r="E1628" s="1"/>
      <c r="F1628" s="1"/>
      <c r="G1628" s="1"/>
      <c r="H1628" s="1"/>
      <c r="I1628" s="1"/>
      <c r="J1628" s="1"/>
      <c r="K1628" s="102" t="s">
        <v>3058</v>
      </c>
      <c r="L1628" s="102" t="str">
        <f>B30</f>
        <v>J1</v>
      </c>
      <c r="M1628" s="102" t="s">
        <v>3059</v>
      </c>
      <c r="N1628" s="102" t="s">
        <v>3060</v>
      </c>
      <c r="O1628" s="105">
        <v>1.0033663E7</v>
      </c>
      <c r="P1628" s="105">
        <v>1.0196054E7</v>
      </c>
      <c r="Q1628" s="102" t="s">
        <v>2501</v>
      </c>
      <c r="S1628" s="1"/>
      <c r="T1628" s="1"/>
      <c r="U1628" s="1"/>
      <c r="V1628" s="1"/>
      <c r="W1628" s="1"/>
      <c r="X1628" s="1"/>
      <c r="Y1628" s="1"/>
      <c r="Z1628" s="102"/>
      <c r="AA1628" s="102"/>
      <c r="AB1628" s="1"/>
      <c r="AC1628" s="1"/>
      <c r="AD1628" s="1"/>
      <c r="AE1628" s="1"/>
      <c r="AF1628" s="1"/>
      <c r="AG1628" s="1"/>
    </row>
    <row r="1629" ht="15.75" customHeight="1">
      <c r="A1629" s="1"/>
      <c r="B1629" s="1"/>
      <c r="C1629" s="1"/>
      <c r="D1629" s="1"/>
      <c r="E1629" s="1"/>
      <c r="F1629" s="1"/>
      <c r="G1629" s="1"/>
      <c r="H1629" s="1"/>
      <c r="I1629" s="1"/>
      <c r="J1629" s="1"/>
      <c r="K1629" s="102" t="s">
        <v>3059</v>
      </c>
      <c r="L1629" s="102" t="str">
        <f>B30</f>
        <v>J1</v>
      </c>
      <c r="M1629" s="102" t="s">
        <v>3058</v>
      </c>
      <c r="N1629" s="102" t="s">
        <v>3060</v>
      </c>
      <c r="O1629" s="105">
        <v>1.0033663E7</v>
      </c>
      <c r="P1629" s="105">
        <v>1.0196054E7</v>
      </c>
      <c r="Q1629" s="102" t="s">
        <v>2501</v>
      </c>
      <c r="S1629" s="1"/>
      <c r="T1629" s="1"/>
      <c r="U1629" s="1"/>
      <c r="V1629" s="1"/>
      <c r="W1629" s="1"/>
      <c r="X1629" s="1"/>
      <c r="Y1629" s="1"/>
      <c r="Z1629" s="102"/>
      <c r="AA1629" s="102"/>
      <c r="AB1629" s="1"/>
      <c r="AC1629" s="1"/>
      <c r="AD1629" s="1"/>
      <c r="AE1629" s="1"/>
      <c r="AF1629" s="1"/>
      <c r="AG1629" s="1"/>
    </row>
    <row r="1630" ht="15.75" customHeight="1">
      <c r="A1630" s="1"/>
      <c r="B1630" s="1"/>
      <c r="C1630" s="1"/>
      <c r="D1630" s="1"/>
      <c r="E1630" s="1"/>
      <c r="F1630" s="1"/>
      <c r="G1630" s="1"/>
      <c r="H1630" s="1"/>
      <c r="I1630" s="1"/>
      <c r="J1630" s="1"/>
      <c r="K1630" s="102" t="s">
        <v>3061</v>
      </c>
      <c r="L1630" s="102" t="str">
        <f>B30</f>
        <v>J1</v>
      </c>
      <c r="M1630" s="102" t="s">
        <v>3062</v>
      </c>
      <c r="N1630" s="102" t="s">
        <v>3063</v>
      </c>
      <c r="O1630" s="105">
        <v>9385447.0</v>
      </c>
      <c r="P1630" s="105">
        <v>9547838.0</v>
      </c>
      <c r="Q1630" s="102" t="s">
        <v>2468</v>
      </c>
      <c r="S1630" s="1"/>
      <c r="T1630" s="1"/>
      <c r="U1630" s="1"/>
      <c r="V1630" s="1"/>
      <c r="W1630" s="1"/>
      <c r="X1630" s="1"/>
      <c r="Y1630" s="1"/>
      <c r="Z1630" s="102"/>
      <c r="AA1630" s="102"/>
      <c r="AB1630" s="1"/>
      <c r="AC1630" s="1"/>
      <c r="AD1630" s="1"/>
      <c r="AE1630" s="1"/>
      <c r="AF1630" s="1"/>
      <c r="AG1630" s="1"/>
    </row>
    <row r="1631" ht="15.75" customHeight="1">
      <c r="A1631" s="1"/>
      <c r="B1631" s="1"/>
      <c r="C1631" s="1"/>
      <c r="D1631" s="1"/>
      <c r="E1631" s="1"/>
      <c r="F1631" s="1"/>
      <c r="G1631" s="1"/>
      <c r="H1631" s="1"/>
      <c r="I1631" s="1"/>
      <c r="J1631" s="1"/>
      <c r="K1631" s="102" t="s">
        <v>3062</v>
      </c>
      <c r="L1631" s="102" t="str">
        <f>B30</f>
        <v>J1</v>
      </c>
      <c r="M1631" s="102" t="s">
        <v>3061</v>
      </c>
      <c r="N1631" s="102" t="s">
        <v>3063</v>
      </c>
      <c r="O1631" s="105">
        <v>9385447.0</v>
      </c>
      <c r="P1631" s="105">
        <v>9547838.0</v>
      </c>
      <c r="Q1631" s="102" t="s">
        <v>2468</v>
      </c>
      <c r="S1631" s="1"/>
      <c r="T1631" s="1"/>
      <c r="U1631" s="1"/>
      <c r="V1631" s="1"/>
      <c r="W1631" s="1"/>
      <c r="X1631" s="1"/>
      <c r="Y1631" s="1"/>
      <c r="Z1631" s="102"/>
      <c r="AA1631" s="102"/>
      <c r="AB1631" s="1"/>
      <c r="AC1631" s="1"/>
      <c r="AD1631" s="1"/>
      <c r="AE1631" s="1"/>
      <c r="AF1631" s="1"/>
      <c r="AG1631" s="1"/>
    </row>
    <row r="1632" ht="15.75" customHeight="1">
      <c r="A1632" s="1"/>
      <c r="B1632" s="1"/>
      <c r="C1632" s="1"/>
      <c r="D1632" s="1"/>
      <c r="E1632" s="1"/>
      <c r="F1632" s="1"/>
      <c r="G1632" s="1"/>
      <c r="H1632" s="1"/>
      <c r="I1632" s="1"/>
      <c r="J1632" s="1"/>
      <c r="K1632" s="102" t="s">
        <v>3064</v>
      </c>
      <c r="L1632" s="102" t="str">
        <f>B30</f>
        <v>J1</v>
      </c>
      <c r="M1632" s="102" t="s">
        <v>3065</v>
      </c>
      <c r="N1632" s="102" t="s">
        <v>3066</v>
      </c>
      <c r="O1632" s="105">
        <v>7171834.0</v>
      </c>
      <c r="P1632" s="105">
        <v>7303793.0</v>
      </c>
      <c r="Q1632" s="102" t="s">
        <v>2446</v>
      </c>
      <c r="S1632" s="1"/>
      <c r="T1632" s="1"/>
      <c r="U1632" s="1"/>
      <c r="V1632" s="1"/>
      <c r="W1632" s="1"/>
      <c r="X1632" s="1"/>
      <c r="Y1632" s="1"/>
      <c r="Z1632" s="102"/>
      <c r="AA1632" s="102"/>
      <c r="AB1632" s="1"/>
      <c r="AC1632" s="1"/>
      <c r="AD1632" s="1"/>
      <c r="AE1632" s="1"/>
      <c r="AF1632" s="1"/>
      <c r="AG1632" s="1"/>
    </row>
    <row r="1633" ht="15.75" customHeight="1">
      <c r="A1633" s="1"/>
      <c r="B1633" s="1"/>
      <c r="C1633" s="1"/>
      <c r="D1633" s="1"/>
      <c r="E1633" s="1"/>
      <c r="F1633" s="1"/>
      <c r="G1633" s="1"/>
      <c r="H1633" s="1"/>
      <c r="I1633" s="1"/>
      <c r="J1633" s="1"/>
      <c r="K1633" s="102" t="s">
        <v>3065</v>
      </c>
      <c r="L1633" s="102" t="str">
        <f>B30</f>
        <v>J1</v>
      </c>
      <c r="M1633" s="102" t="s">
        <v>3064</v>
      </c>
      <c r="N1633" s="102" t="s">
        <v>3066</v>
      </c>
      <c r="O1633" s="105">
        <v>7171834.0</v>
      </c>
      <c r="P1633" s="105">
        <v>7303793.0</v>
      </c>
      <c r="Q1633" s="102" t="s">
        <v>2446</v>
      </c>
      <c r="S1633" s="1"/>
      <c r="T1633" s="1"/>
      <c r="U1633" s="1"/>
      <c r="V1633" s="1"/>
      <c r="W1633" s="1"/>
      <c r="X1633" s="1"/>
      <c r="Y1633" s="1"/>
      <c r="Z1633" s="102"/>
      <c r="AA1633" s="102"/>
      <c r="AB1633" s="1"/>
      <c r="AC1633" s="1"/>
      <c r="AD1633" s="1"/>
      <c r="AE1633" s="1"/>
      <c r="AF1633" s="1"/>
      <c r="AG1633" s="1"/>
    </row>
    <row r="1634" ht="15.75" customHeight="1">
      <c r="A1634" s="1"/>
      <c r="B1634" s="1"/>
      <c r="C1634" s="1"/>
      <c r="D1634" s="1"/>
      <c r="E1634" s="1"/>
      <c r="F1634" s="1"/>
      <c r="G1634" s="1"/>
      <c r="H1634" s="1"/>
      <c r="I1634" s="1"/>
      <c r="J1634" s="1"/>
      <c r="K1634" s="102" t="s">
        <v>3067</v>
      </c>
      <c r="L1634" s="102" t="str">
        <f>B30</f>
        <v>J1</v>
      </c>
      <c r="M1634" s="102" t="s">
        <v>3068</v>
      </c>
      <c r="N1634" s="102" t="s">
        <v>3069</v>
      </c>
      <c r="O1634" s="105">
        <v>2.1407074E7</v>
      </c>
      <c r="P1634" s="105">
        <v>1.9245188E7</v>
      </c>
      <c r="Q1634" s="102" t="s">
        <v>2446</v>
      </c>
      <c r="S1634" s="1"/>
      <c r="T1634" s="1"/>
      <c r="U1634" s="1"/>
      <c r="V1634" s="1"/>
      <c r="W1634" s="1"/>
      <c r="X1634" s="1"/>
      <c r="Y1634" s="1"/>
      <c r="Z1634" s="102"/>
      <c r="AA1634" s="102"/>
      <c r="AB1634" s="1"/>
      <c r="AC1634" s="1"/>
      <c r="AD1634" s="1"/>
      <c r="AE1634" s="1"/>
      <c r="AF1634" s="1"/>
      <c r="AG1634" s="1"/>
    </row>
    <row r="1635" ht="15.75" customHeight="1">
      <c r="A1635" s="1"/>
      <c r="B1635" s="1"/>
      <c r="C1635" s="1"/>
      <c r="D1635" s="1"/>
      <c r="E1635" s="1"/>
      <c r="F1635" s="1"/>
      <c r="G1635" s="1"/>
      <c r="H1635" s="1"/>
      <c r="I1635" s="1"/>
      <c r="J1635" s="1"/>
      <c r="K1635" s="102" t="s">
        <v>3068</v>
      </c>
      <c r="L1635" s="102" t="str">
        <f>B30</f>
        <v>J1</v>
      </c>
      <c r="M1635" s="102" t="s">
        <v>3067</v>
      </c>
      <c r="N1635" s="102" t="s">
        <v>3069</v>
      </c>
      <c r="O1635" s="105">
        <v>2.1407074E7</v>
      </c>
      <c r="P1635" s="105">
        <v>1.9245188E7</v>
      </c>
      <c r="Q1635" s="102" t="s">
        <v>2446</v>
      </c>
      <c r="S1635" s="1"/>
      <c r="T1635" s="1"/>
      <c r="U1635" s="1"/>
      <c r="V1635" s="1"/>
      <c r="W1635" s="1"/>
      <c r="X1635" s="1"/>
      <c r="Y1635" s="1"/>
      <c r="Z1635" s="102"/>
      <c r="AA1635" s="102"/>
      <c r="AB1635" s="1"/>
      <c r="AC1635" s="1"/>
      <c r="AD1635" s="1"/>
      <c r="AE1635" s="1"/>
      <c r="AF1635" s="1"/>
      <c r="AG1635" s="1"/>
    </row>
    <row r="1636" ht="15.75" customHeight="1">
      <c r="A1636" s="1"/>
      <c r="B1636" s="1"/>
      <c r="C1636" s="1"/>
      <c r="D1636" s="1"/>
      <c r="E1636" s="1"/>
      <c r="F1636" s="1"/>
      <c r="G1636" s="1"/>
      <c r="H1636" s="1"/>
      <c r="I1636" s="1"/>
      <c r="J1636" s="1"/>
      <c r="K1636" s="102" t="s">
        <v>3070</v>
      </c>
      <c r="L1636" s="102" t="str">
        <f>B30</f>
        <v>J1</v>
      </c>
      <c r="M1636" s="102" t="s">
        <v>3071</v>
      </c>
      <c r="N1636" s="102" t="s">
        <v>3072</v>
      </c>
      <c r="O1636" s="105">
        <v>2.1873623E7</v>
      </c>
      <c r="P1636" s="105">
        <v>1.9711737E7</v>
      </c>
      <c r="Q1636" s="102" t="s">
        <v>2439</v>
      </c>
      <c r="S1636" s="1"/>
      <c r="T1636" s="1"/>
      <c r="U1636" s="1"/>
      <c r="V1636" s="1"/>
      <c r="W1636" s="1"/>
      <c r="X1636" s="1"/>
      <c r="Y1636" s="1"/>
      <c r="Z1636" s="102"/>
      <c r="AA1636" s="102"/>
      <c r="AB1636" s="1"/>
      <c r="AC1636" s="1"/>
      <c r="AD1636" s="1"/>
      <c r="AE1636" s="1"/>
      <c r="AF1636" s="1"/>
      <c r="AG1636" s="1"/>
    </row>
    <row r="1637" ht="15.75" customHeight="1">
      <c r="A1637" s="1"/>
      <c r="B1637" s="1"/>
      <c r="C1637" s="1"/>
      <c r="D1637" s="1"/>
      <c r="E1637" s="1"/>
      <c r="F1637" s="1"/>
      <c r="G1637" s="1"/>
      <c r="H1637" s="1"/>
      <c r="I1637" s="1"/>
      <c r="J1637" s="1"/>
      <c r="K1637" s="102" t="s">
        <v>3073</v>
      </c>
      <c r="L1637" s="102" t="str">
        <f>B30</f>
        <v>J1</v>
      </c>
      <c r="M1637" s="102" t="s">
        <v>3074</v>
      </c>
      <c r="N1637" s="102" t="s">
        <v>3072</v>
      </c>
      <c r="O1637" s="105">
        <v>2.1873623E7</v>
      </c>
      <c r="P1637" s="105">
        <v>1.9711737E7</v>
      </c>
      <c r="Q1637" s="102" t="s">
        <v>2439</v>
      </c>
      <c r="S1637" s="1"/>
      <c r="T1637" s="1"/>
      <c r="U1637" s="1"/>
      <c r="V1637" s="1"/>
      <c r="W1637" s="1"/>
      <c r="X1637" s="1"/>
      <c r="Y1637" s="1"/>
      <c r="Z1637" s="102"/>
      <c r="AA1637" s="102"/>
      <c r="AB1637" s="1"/>
      <c r="AC1637" s="1"/>
      <c r="AD1637" s="1"/>
      <c r="AE1637" s="1"/>
      <c r="AF1637" s="1"/>
      <c r="AG1637" s="1"/>
    </row>
    <row r="1638" ht="15.75" customHeight="1">
      <c r="A1638" s="1"/>
      <c r="B1638" s="1"/>
      <c r="C1638" s="1"/>
      <c r="D1638" s="1"/>
      <c r="E1638" s="1"/>
      <c r="F1638" s="1"/>
      <c r="G1638" s="1"/>
      <c r="H1638" s="1"/>
      <c r="I1638" s="1"/>
      <c r="J1638" s="1"/>
      <c r="K1638" s="102" t="s">
        <v>3075</v>
      </c>
      <c r="L1638" s="102" t="str">
        <f>B30</f>
        <v>J1</v>
      </c>
      <c r="M1638" s="102" t="s">
        <v>3076</v>
      </c>
      <c r="N1638" s="102" t="s">
        <v>3072</v>
      </c>
      <c r="O1638" s="105">
        <v>2.1873623E7</v>
      </c>
      <c r="P1638" s="105">
        <v>1.9711737E7</v>
      </c>
      <c r="Q1638" s="102" t="s">
        <v>2439</v>
      </c>
      <c r="S1638" s="1"/>
      <c r="T1638" s="1"/>
      <c r="U1638" s="1"/>
      <c r="V1638" s="1"/>
      <c r="W1638" s="1"/>
      <c r="X1638" s="1"/>
      <c r="Y1638" s="1"/>
      <c r="Z1638" s="102"/>
      <c r="AA1638" s="102"/>
      <c r="AB1638" s="1"/>
      <c r="AC1638" s="1"/>
      <c r="AD1638" s="1"/>
      <c r="AE1638" s="1"/>
      <c r="AF1638" s="1"/>
      <c r="AG1638" s="1"/>
    </row>
    <row r="1639" ht="15.75" customHeight="1">
      <c r="A1639" s="1"/>
      <c r="B1639" s="1"/>
      <c r="C1639" s="1"/>
      <c r="D1639" s="1"/>
      <c r="E1639" s="1"/>
      <c r="F1639" s="1"/>
      <c r="G1639" s="1"/>
      <c r="H1639" s="1"/>
      <c r="I1639" s="1"/>
      <c r="J1639" s="1"/>
      <c r="K1639" s="102" t="s">
        <v>3077</v>
      </c>
      <c r="L1639" s="102" t="str">
        <f>B30</f>
        <v>J1</v>
      </c>
      <c r="M1639" s="102"/>
      <c r="N1639" s="102" t="s">
        <v>3078</v>
      </c>
      <c r="O1639" s="105">
        <v>7969457.0</v>
      </c>
      <c r="P1639" s="105">
        <v>8101416.0</v>
      </c>
      <c r="Q1639" s="102" t="s">
        <v>2501</v>
      </c>
      <c r="S1639" s="1"/>
      <c r="T1639" s="1"/>
      <c r="U1639" s="1"/>
      <c r="V1639" s="1"/>
      <c r="W1639" s="1"/>
      <c r="X1639" s="1"/>
      <c r="Y1639" s="1"/>
      <c r="Z1639" s="102"/>
      <c r="AA1639" s="102"/>
      <c r="AB1639" s="1"/>
      <c r="AC1639" s="1"/>
      <c r="AD1639" s="1"/>
      <c r="AE1639" s="1"/>
      <c r="AF1639" s="1"/>
      <c r="AG1639" s="1"/>
    </row>
    <row r="1640" ht="15.75" customHeight="1">
      <c r="A1640" s="1"/>
      <c r="B1640" s="1"/>
      <c r="C1640" s="1"/>
      <c r="D1640" s="1"/>
      <c r="E1640" s="1"/>
      <c r="F1640" s="1"/>
      <c r="G1640" s="1"/>
      <c r="H1640" s="1"/>
      <c r="I1640" s="1"/>
      <c r="J1640" s="1"/>
      <c r="K1640" s="102" t="s">
        <v>3079</v>
      </c>
      <c r="L1640" s="102" t="str">
        <f>B30</f>
        <v>J1</v>
      </c>
      <c r="M1640" s="102" t="s">
        <v>3080</v>
      </c>
      <c r="N1640" s="102" t="s">
        <v>3081</v>
      </c>
      <c r="O1640" s="105">
        <v>1.7419934E7</v>
      </c>
      <c r="P1640" s="105">
        <v>1.5308054E7</v>
      </c>
      <c r="Q1640" s="102" t="s">
        <v>2529</v>
      </c>
      <c r="S1640" s="1"/>
      <c r="T1640" s="1"/>
      <c r="U1640" s="1"/>
      <c r="V1640" s="1"/>
      <c r="W1640" s="1"/>
      <c r="X1640" s="1"/>
      <c r="Y1640" s="1"/>
      <c r="Z1640" s="102"/>
      <c r="AA1640" s="102"/>
      <c r="AB1640" s="1"/>
      <c r="AC1640" s="1"/>
      <c r="AD1640" s="1"/>
      <c r="AE1640" s="1"/>
      <c r="AF1640" s="1"/>
      <c r="AG1640" s="1"/>
    </row>
    <row r="1641" ht="15.75" customHeight="1">
      <c r="A1641" s="1"/>
      <c r="B1641" s="1"/>
      <c r="C1641" s="1"/>
      <c r="D1641" s="1"/>
      <c r="E1641" s="1"/>
      <c r="F1641" s="1"/>
      <c r="G1641" s="1"/>
      <c r="H1641" s="1"/>
      <c r="I1641" s="1"/>
      <c r="J1641" s="1"/>
      <c r="K1641" s="102" t="s">
        <v>3080</v>
      </c>
      <c r="L1641" s="102" t="str">
        <f>B30</f>
        <v>J1</v>
      </c>
      <c r="M1641" s="102" t="s">
        <v>3079</v>
      </c>
      <c r="N1641" s="102" t="s">
        <v>3081</v>
      </c>
      <c r="O1641" s="105">
        <v>1.7419934E7</v>
      </c>
      <c r="P1641" s="105">
        <v>1.5308054E7</v>
      </c>
      <c r="Q1641" s="102" t="s">
        <v>2529</v>
      </c>
      <c r="S1641" s="1"/>
      <c r="T1641" s="1"/>
      <c r="U1641" s="1"/>
      <c r="V1641" s="1"/>
      <c r="W1641" s="1"/>
      <c r="X1641" s="1"/>
      <c r="Y1641" s="1"/>
      <c r="Z1641" s="102"/>
      <c r="AA1641" s="102"/>
      <c r="AB1641" s="1"/>
      <c r="AC1641" s="1"/>
      <c r="AD1641" s="1"/>
      <c r="AE1641" s="1"/>
      <c r="AF1641" s="1"/>
      <c r="AG1641" s="1"/>
    </row>
    <row r="1642" ht="15.75" customHeight="1">
      <c r="A1642" s="1"/>
      <c r="B1642" s="1"/>
      <c r="C1642" s="1"/>
      <c r="D1642" s="1"/>
      <c r="E1642" s="1"/>
      <c r="F1642" s="1"/>
      <c r="G1642" s="1"/>
      <c r="H1642" s="1"/>
      <c r="I1642" s="1"/>
      <c r="J1642" s="1"/>
      <c r="K1642" s="102" t="s">
        <v>3082</v>
      </c>
      <c r="L1642" s="102" t="str">
        <f>B30</f>
        <v>J1</v>
      </c>
      <c r="M1642" s="102"/>
      <c r="N1642" s="102" t="s">
        <v>3083</v>
      </c>
      <c r="O1642" s="105">
        <v>2.2153858E7</v>
      </c>
      <c r="P1642" s="105">
        <v>1.9991972E7</v>
      </c>
      <c r="Q1642" s="102" t="s">
        <v>2439</v>
      </c>
      <c r="S1642" s="1"/>
      <c r="T1642" s="1"/>
      <c r="U1642" s="1"/>
      <c r="V1642" s="1"/>
      <c r="W1642" s="1"/>
      <c r="X1642" s="1"/>
      <c r="Y1642" s="1"/>
      <c r="Z1642" s="102">
        <v>2.2153858E7</v>
      </c>
      <c r="AA1642" s="102"/>
      <c r="AB1642" s="1"/>
      <c r="AC1642" s="1"/>
      <c r="AD1642" s="1"/>
      <c r="AE1642" s="1"/>
      <c r="AF1642" s="1"/>
      <c r="AG1642" s="1"/>
    </row>
    <row r="1643" ht="15.75" customHeight="1">
      <c r="A1643" s="1"/>
      <c r="B1643" s="1"/>
      <c r="C1643" s="1"/>
      <c r="D1643" s="1"/>
      <c r="E1643" s="1"/>
      <c r="F1643" s="1"/>
      <c r="G1643" s="1"/>
      <c r="H1643" s="1"/>
      <c r="I1643" s="1"/>
      <c r="J1643" s="1"/>
      <c r="K1643" s="102" t="s">
        <v>3084</v>
      </c>
      <c r="L1643" s="102" t="str">
        <f>B30</f>
        <v>J1</v>
      </c>
      <c r="M1643" s="102" t="s">
        <v>3085</v>
      </c>
      <c r="N1643" s="102" t="s">
        <v>3086</v>
      </c>
      <c r="O1643" s="105">
        <v>6708988.0</v>
      </c>
      <c r="P1643" s="105">
        <v>6840947.0</v>
      </c>
      <c r="Q1643" s="102" t="s">
        <v>2423</v>
      </c>
      <c r="S1643" s="1"/>
      <c r="T1643" s="1"/>
      <c r="U1643" s="1"/>
      <c r="V1643" s="1"/>
      <c r="W1643" s="1"/>
      <c r="X1643" s="1"/>
      <c r="Y1643" s="1"/>
      <c r="Z1643" s="102"/>
      <c r="AA1643" s="102"/>
      <c r="AB1643" s="1"/>
      <c r="AC1643" s="1"/>
      <c r="AD1643" s="1"/>
      <c r="AE1643" s="1"/>
      <c r="AF1643" s="1"/>
      <c r="AG1643" s="1"/>
    </row>
    <row r="1644" ht="15.75" customHeight="1">
      <c r="A1644" s="1"/>
      <c r="B1644" s="1"/>
      <c r="C1644" s="1"/>
      <c r="D1644" s="1"/>
      <c r="E1644" s="1"/>
      <c r="F1644" s="1"/>
      <c r="G1644" s="1"/>
      <c r="H1644" s="1"/>
      <c r="I1644" s="1"/>
      <c r="J1644" s="1"/>
      <c r="K1644" s="102" t="s">
        <v>3085</v>
      </c>
      <c r="L1644" s="102" t="str">
        <f>B30</f>
        <v>J1</v>
      </c>
      <c r="M1644" s="102" t="s">
        <v>3084</v>
      </c>
      <c r="N1644" s="102" t="s">
        <v>3086</v>
      </c>
      <c r="O1644" s="105">
        <v>6708988.0</v>
      </c>
      <c r="P1644" s="105">
        <v>6840947.0</v>
      </c>
      <c r="Q1644" s="102" t="s">
        <v>2423</v>
      </c>
      <c r="S1644" s="1"/>
      <c r="T1644" s="1"/>
      <c r="U1644" s="1"/>
      <c r="V1644" s="1"/>
      <c r="W1644" s="1"/>
      <c r="X1644" s="1"/>
      <c r="Y1644" s="1"/>
      <c r="Z1644" s="102"/>
      <c r="AA1644" s="102"/>
      <c r="AB1644" s="1"/>
      <c r="AC1644" s="1"/>
      <c r="AD1644" s="1"/>
      <c r="AE1644" s="1"/>
      <c r="AF1644" s="1"/>
      <c r="AG1644" s="1"/>
    </row>
    <row r="1645" ht="15.75" customHeight="1">
      <c r="A1645" s="1"/>
      <c r="B1645" s="1"/>
      <c r="C1645" s="1"/>
      <c r="D1645" s="1"/>
      <c r="E1645" s="1"/>
      <c r="F1645" s="1"/>
      <c r="G1645" s="1"/>
      <c r="H1645" s="1"/>
      <c r="I1645" s="1"/>
      <c r="J1645" s="1"/>
      <c r="K1645" s="102" t="s">
        <v>3087</v>
      </c>
      <c r="L1645" s="102" t="str">
        <f>B30</f>
        <v>J1</v>
      </c>
      <c r="M1645" s="102" t="s">
        <v>3088</v>
      </c>
      <c r="N1645" s="102" t="s">
        <v>3089</v>
      </c>
      <c r="O1645" s="105">
        <v>6873007.0</v>
      </c>
      <c r="P1645" s="105">
        <v>7004966.0</v>
      </c>
      <c r="Q1645" s="102" t="s">
        <v>2446</v>
      </c>
      <c r="S1645" s="1"/>
      <c r="T1645" s="1"/>
      <c r="U1645" s="1"/>
      <c r="V1645" s="1"/>
      <c r="W1645" s="1"/>
      <c r="X1645" s="1"/>
      <c r="Y1645" s="1"/>
      <c r="Z1645" s="102"/>
      <c r="AA1645" s="102"/>
      <c r="AB1645" s="1"/>
      <c r="AC1645" s="1"/>
      <c r="AD1645" s="1"/>
      <c r="AE1645" s="1"/>
      <c r="AF1645" s="1"/>
      <c r="AG1645" s="1"/>
    </row>
    <row r="1646" ht="15.75" customHeight="1">
      <c r="A1646" s="1"/>
      <c r="B1646" s="1"/>
      <c r="C1646" s="1"/>
      <c r="D1646" s="1"/>
      <c r="E1646" s="1"/>
      <c r="F1646" s="1"/>
      <c r="G1646" s="1"/>
      <c r="H1646" s="1"/>
      <c r="I1646" s="1"/>
      <c r="J1646" s="1"/>
      <c r="K1646" s="102" t="s">
        <v>3088</v>
      </c>
      <c r="L1646" s="102" t="str">
        <f>B30</f>
        <v>J1</v>
      </c>
      <c r="M1646" s="102" t="s">
        <v>3087</v>
      </c>
      <c r="N1646" s="102" t="s">
        <v>3089</v>
      </c>
      <c r="O1646" s="105">
        <v>6873007.0</v>
      </c>
      <c r="P1646" s="105">
        <v>7004966.0</v>
      </c>
      <c r="Q1646" s="102" t="s">
        <v>2446</v>
      </c>
      <c r="S1646" s="1"/>
      <c r="T1646" s="1"/>
      <c r="U1646" s="1"/>
      <c r="V1646" s="1"/>
      <c r="W1646" s="1"/>
      <c r="X1646" s="1"/>
      <c r="Y1646" s="1"/>
      <c r="Z1646" s="102"/>
      <c r="AA1646" s="102"/>
      <c r="AB1646" s="1"/>
      <c r="AC1646" s="1"/>
      <c r="AD1646" s="1"/>
      <c r="AE1646" s="1"/>
      <c r="AF1646" s="1"/>
      <c r="AG1646" s="1"/>
    </row>
    <row r="1647" ht="15.75" customHeight="1">
      <c r="A1647" s="1"/>
      <c r="B1647" s="1"/>
      <c r="C1647" s="1"/>
      <c r="D1647" s="1"/>
      <c r="E1647" s="1"/>
      <c r="F1647" s="1"/>
      <c r="G1647" s="1"/>
      <c r="H1647" s="1"/>
      <c r="I1647" s="1"/>
      <c r="J1647" s="1"/>
      <c r="K1647" s="102" t="s">
        <v>3090</v>
      </c>
      <c r="L1647" s="102" t="str">
        <f>B30</f>
        <v>J1</v>
      </c>
      <c r="M1647" s="102" t="s">
        <v>3091</v>
      </c>
      <c r="N1647" s="102" t="s">
        <v>3092</v>
      </c>
      <c r="O1647" s="105">
        <v>7316276.0</v>
      </c>
      <c r="P1647" s="105">
        <v>7448235.0</v>
      </c>
      <c r="Q1647" s="102" t="s">
        <v>2529</v>
      </c>
      <c r="S1647" s="1"/>
      <c r="T1647" s="1"/>
      <c r="U1647" s="1"/>
      <c r="V1647" s="1"/>
      <c r="W1647" s="1"/>
      <c r="X1647" s="1"/>
      <c r="Y1647" s="1"/>
      <c r="Z1647" s="102"/>
      <c r="AA1647" s="102"/>
      <c r="AB1647" s="1"/>
      <c r="AC1647" s="1"/>
      <c r="AD1647" s="1"/>
      <c r="AE1647" s="1"/>
      <c r="AF1647" s="1"/>
      <c r="AG1647" s="1"/>
    </row>
    <row r="1648" ht="15.75" customHeight="1">
      <c r="A1648" s="1"/>
      <c r="B1648" s="1"/>
      <c r="C1648" s="1"/>
      <c r="D1648" s="1"/>
      <c r="E1648" s="1"/>
      <c r="F1648" s="1"/>
      <c r="G1648" s="1"/>
      <c r="H1648" s="1"/>
      <c r="I1648" s="1"/>
      <c r="J1648" s="1"/>
      <c r="K1648" s="102" t="s">
        <v>3091</v>
      </c>
      <c r="L1648" s="102" t="str">
        <f>B30</f>
        <v>J1</v>
      </c>
      <c r="M1648" s="102" t="s">
        <v>3090</v>
      </c>
      <c r="N1648" s="102" t="s">
        <v>3092</v>
      </c>
      <c r="O1648" s="105">
        <v>7316276.0</v>
      </c>
      <c r="P1648" s="105">
        <v>7448235.0</v>
      </c>
      <c r="Q1648" s="102" t="s">
        <v>2529</v>
      </c>
      <c r="S1648" s="1"/>
      <c r="T1648" s="1"/>
      <c r="U1648" s="1"/>
      <c r="V1648" s="1"/>
      <c r="W1648" s="1"/>
      <c r="X1648" s="1"/>
      <c r="Y1648" s="1"/>
      <c r="Z1648" s="102"/>
      <c r="AA1648" s="102"/>
      <c r="AB1648" s="1"/>
      <c r="AC1648" s="1"/>
      <c r="AD1648" s="1"/>
      <c r="AE1648" s="1"/>
      <c r="AF1648" s="1"/>
      <c r="AG1648" s="1"/>
    </row>
    <row r="1649" ht="15.75" customHeight="1">
      <c r="A1649" s="1"/>
      <c r="B1649" s="1"/>
      <c r="C1649" s="1"/>
      <c r="D1649" s="1"/>
      <c r="E1649" s="1"/>
      <c r="F1649" s="1"/>
      <c r="G1649" s="1"/>
      <c r="H1649" s="1"/>
      <c r="I1649" s="1"/>
      <c r="J1649" s="1"/>
      <c r="K1649" s="102" t="s">
        <v>3093</v>
      </c>
      <c r="L1649" s="102" t="str">
        <f>B30</f>
        <v>J1</v>
      </c>
      <c r="M1649" s="102"/>
      <c r="N1649" s="102" t="s">
        <v>3094</v>
      </c>
      <c r="O1649" s="105">
        <v>7711693.0</v>
      </c>
      <c r="P1649" s="105">
        <v>7843652.0</v>
      </c>
      <c r="Q1649" s="102" t="s">
        <v>2432</v>
      </c>
      <c r="S1649" s="1"/>
      <c r="T1649" s="1"/>
      <c r="U1649" s="1"/>
      <c r="V1649" s="1"/>
      <c r="W1649" s="1"/>
      <c r="X1649" s="1"/>
      <c r="Y1649" s="1"/>
      <c r="Z1649" s="102"/>
      <c r="AA1649" s="102"/>
      <c r="AB1649" s="1"/>
      <c r="AC1649" s="1"/>
      <c r="AD1649" s="1"/>
      <c r="AE1649" s="1"/>
      <c r="AF1649" s="1"/>
      <c r="AG1649" s="1"/>
    </row>
    <row r="1650" ht="15.75" customHeight="1">
      <c r="A1650" s="1"/>
      <c r="B1650" s="1"/>
      <c r="C1650" s="1"/>
      <c r="D1650" s="1"/>
      <c r="E1650" s="1"/>
      <c r="F1650" s="1"/>
      <c r="G1650" s="1"/>
      <c r="H1650" s="1"/>
      <c r="I1650" s="1"/>
      <c r="J1650" s="1"/>
      <c r="K1650" s="102" t="s">
        <v>3095</v>
      </c>
      <c r="L1650" s="102" t="str">
        <f>B30</f>
        <v>J1</v>
      </c>
      <c r="M1650" s="102"/>
      <c r="N1650" s="102" t="s">
        <v>3096</v>
      </c>
      <c r="O1650" s="105">
        <v>7762131.0</v>
      </c>
      <c r="P1650" s="105">
        <v>7894090.0</v>
      </c>
      <c r="Q1650" s="102" t="s">
        <v>2501</v>
      </c>
      <c r="S1650" s="1"/>
      <c r="T1650" s="1"/>
      <c r="U1650" s="1"/>
      <c r="V1650" s="1"/>
      <c r="W1650" s="1"/>
      <c r="X1650" s="1"/>
      <c r="Y1650" s="1"/>
      <c r="Z1650" s="102"/>
      <c r="AA1650" s="102"/>
      <c r="AB1650" s="1"/>
      <c r="AC1650" s="1"/>
      <c r="AD1650" s="1"/>
      <c r="AE1650" s="1"/>
      <c r="AF1650" s="1"/>
      <c r="AG1650" s="1"/>
    </row>
    <row r="1651" ht="15.75" customHeight="1">
      <c r="A1651" s="1"/>
      <c r="B1651" s="1"/>
      <c r="C1651" s="1"/>
      <c r="D1651" s="1"/>
      <c r="E1651" s="1"/>
      <c r="F1651" s="1"/>
      <c r="G1651" s="1"/>
      <c r="H1651" s="1"/>
      <c r="I1651" s="1"/>
      <c r="J1651" s="1"/>
      <c r="K1651" s="102" t="s">
        <v>3097</v>
      </c>
      <c r="L1651" s="102" t="str">
        <f>B30</f>
        <v>J1</v>
      </c>
      <c r="M1651" s="102"/>
      <c r="N1651" s="102" t="s">
        <v>3098</v>
      </c>
      <c r="O1651" s="105">
        <v>7848030.0</v>
      </c>
      <c r="P1651" s="105">
        <v>7979989.0</v>
      </c>
      <c r="Q1651" s="102" t="s">
        <v>2514</v>
      </c>
      <c r="S1651" s="1"/>
      <c r="T1651" s="1"/>
      <c r="U1651" s="1"/>
      <c r="V1651" s="1"/>
      <c r="W1651" s="1"/>
      <c r="X1651" s="1"/>
      <c r="Y1651" s="1"/>
      <c r="Z1651" s="102"/>
      <c r="AA1651" s="102"/>
      <c r="AB1651" s="1"/>
      <c r="AC1651" s="1"/>
      <c r="AD1651" s="1"/>
      <c r="AE1651" s="1"/>
      <c r="AF1651" s="1"/>
      <c r="AG1651" s="1"/>
    </row>
    <row r="1652" ht="15.75" customHeight="1">
      <c r="A1652" s="1"/>
      <c r="B1652" s="1"/>
      <c r="C1652" s="1"/>
      <c r="D1652" s="1"/>
      <c r="E1652" s="1"/>
      <c r="F1652" s="1"/>
      <c r="G1652" s="1"/>
      <c r="H1652" s="1"/>
      <c r="I1652" s="1"/>
      <c r="J1652" s="1"/>
      <c r="K1652" s="102" t="s">
        <v>3099</v>
      </c>
      <c r="L1652" s="102" t="str">
        <f>B30</f>
        <v>J1</v>
      </c>
      <c r="M1652" s="102" t="s">
        <v>3100</v>
      </c>
      <c r="N1652" s="102" t="s">
        <v>3101</v>
      </c>
      <c r="O1652" s="105">
        <v>7941272.0</v>
      </c>
      <c r="P1652" s="105">
        <v>8073231.0</v>
      </c>
      <c r="Q1652" s="102" t="s">
        <v>2468</v>
      </c>
      <c r="S1652" s="1"/>
      <c r="T1652" s="1"/>
      <c r="U1652" s="1"/>
      <c r="V1652" s="1"/>
      <c r="W1652" s="1"/>
      <c r="X1652" s="1"/>
      <c r="Y1652" s="1"/>
      <c r="Z1652" s="102"/>
      <c r="AA1652" s="102"/>
      <c r="AB1652" s="1"/>
      <c r="AC1652" s="1"/>
      <c r="AD1652" s="1"/>
      <c r="AE1652" s="1"/>
      <c r="AF1652" s="1"/>
      <c r="AG1652" s="1"/>
    </row>
    <row r="1653" ht="15.75" customHeight="1">
      <c r="A1653" s="1"/>
      <c r="B1653" s="1"/>
      <c r="C1653" s="1"/>
      <c r="D1653" s="1"/>
      <c r="E1653" s="1"/>
      <c r="F1653" s="1"/>
      <c r="G1653" s="1"/>
      <c r="H1653" s="1"/>
      <c r="I1653" s="1"/>
      <c r="J1653" s="1"/>
      <c r="K1653" s="102" t="s">
        <v>3100</v>
      </c>
      <c r="L1653" s="102" t="str">
        <f>B30</f>
        <v>J1</v>
      </c>
      <c r="M1653" s="102" t="s">
        <v>3099</v>
      </c>
      <c r="N1653" s="102" t="s">
        <v>3101</v>
      </c>
      <c r="O1653" s="105">
        <v>7941272.0</v>
      </c>
      <c r="P1653" s="105">
        <v>8073231.0</v>
      </c>
      <c r="Q1653" s="102" t="s">
        <v>2468</v>
      </c>
      <c r="S1653" s="1"/>
      <c r="T1653" s="1"/>
      <c r="U1653" s="1"/>
      <c r="V1653" s="1"/>
      <c r="W1653" s="1"/>
      <c r="X1653" s="1"/>
      <c r="Y1653" s="1"/>
      <c r="Z1653" s="102"/>
      <c r="AA1653" s="102"/>
      <c r="AB1653" s="1"/>
      <c r="AC1653" s="1"/>
      <c r="AD1653" s="1"/>
      <c r="AE1653" s="1"/>
      <c r="AF1653" s="1"/>
      <c r="AG1653" s="1"/>
    </row>
    <row r="1654" ht="15.75" customHeight="1">
      <c r="A1654" s="1"/>
      <c r="B1654" s="1"/>
      <c r="C1654" s="1"/>
      <c r="D1654" s="1"/>
      <c r="E1654" s="1"/>
      <c r="F1654" s="1"/>
      <c r="G1654" s="1"/>
      <c r="H1654" s="1"/>
      <c r="I1654" s="1"/>
      <c r="J1654" s="1"/>
      <c r="K1654" s="102" t="s">
        <v>3102</v>
      </c>
      <c r="L1654" s="102" t="str">
        <f>B30</f>
        <v>J1</v>
      </c>
      <c r="M1654" s="102"/>
      <c r="N1654" s="102" t="s">
        <v>3103</v>
      </c>
      <c r="O1654" s="105">
        <v>7976627.0</v>
      </c>
      <c r="P1654" s="105">
        <v>8108586.0</v>
      </c>
      <c r="Q1654" s="102" t="s">
        <v>2423</v>
      </c>
      <c r="S1654" s="1"/>
      <c r="T1654" s="1"/>
      <c r="U1654" s="1"/>
      <c r="V1654" s="1"/>
      <c r="W1654" s="1"/>
      <c r="X1654" s="1"/>
      <c r="Y1654" s="1"/>
      <c r="Z1654" s="102"/>
      <c r="AA1654" s="102"/>
      <c r="AB1654" s="1"/>
      <c r="AC1654" s="1"/>
      <c r="AD1654" s="1"/>
      <c r="AE1654" s="1"/>
      <c r="AF1654" s="1"/>
      <c r="AG1654" s="1"/>
    </row>
    <row r="1655" ht="15.75" customHeight="1">
      <c r="A1655" s="1"/>
      <c r="B1655" s="1"/>
      <c r="C1655" s="1"/>
      <c r="D1655" s="1"/>
      <c r="E1655" s="1"/>
      <c r="F1655" s="1"/>
      <c r="G1655" s="1"/>
      <c r="H1655" s="1"/>
      <c r="I1655" s="1"/>
      <c r="J1655" s="1"/>
      <c r="K1655" s="102" t="s">
        <v>3104</v>
      </c>
      <c r="L1655" s="102" t="str">
        <f>B30</f>
        <v>J1</v>
      </c>
      <c r="M1655" s="102"/>
      <c r="N1655" s="102" t="s">
        <v>3105</v>
      </c>
      <c r="O1655" s="105">
        <v>8064861.0</v>
      </c>
      <c r="P1655" s="105">
        <v>8196820.0</v>
      </c>
      <c r="Q1655" s="102" t="s">
        <v>2501</v>
      </c>
      <c r="S1655" s="1"/>
      <c r="T1655" s="1"/>
      <c r="U1655" s="1"/>
      <c r="V1655" s="1"/>
      <c r="W1655" s="1"/>
      <c r="X1655" s="1"/>
      <c r="Y1655" s="1"/>
      <c r="Z1655" s="102"/>
      <c r="AA1655" s="102"/>
      <c r="AB1655" s="1"/>
      <c r="AC1655" s="1"/>
      <c r="AD1655" s="1"/>
      <c r="AE1655" s="1"/>
      <c r="AF1655" s="1"/>
      <c r="AG1655" s="1"/>
    </row>
    <row r="1656" ht="15.75" customHeight="1">
      <c r="A1656" s="1"/>
      <c r="B1656" s="1"/>
      <c r="C1656" s="1"/>
      <c r="D1656" s="1"/>
      <c r="E1656" s="1"/>
      <c r="F1656" s="1"/>
      <c r="G1656" s="1"/>
      <c r="H1656" s="1"/>
      <c r="I1656" s="1"/>
      <c r="J1656" s="1"/>
      <c r="K1656" s="102" t="s">
        <v>3106</v>
      </c>
      <c r="L1656" s="102" t="str">
        <f>B30</f>
        <v>J1</v>
      </c>
      <c r="M1656" s="102"/>
      <c r="N1656" s="102" t="s">
        <v>3107</v>
      </c>
      <c r="O1656" s="105">
        <v>8120373.0</v>
      </c>
      <c r="P1656" s="105">
        <v>8252332.0</v>
      </c>
      <c r="Q1656" s="102" t="s">
        <v>2439</v>
      </c>
      <c r="S1656" s="1"/>
      <c r="T1656" s="1"/>
      <c r="U1656" s="1"/>
      <c r="V1656" s="1"/>
      <c r="W1656" s="1"/>
      <c r="X1656" s="1"/>
      <c r="Y1656" s="1"/>
      <c r="Z1656" s="102"/>
      <c r="AA1656" s="102"/>
      <c r="AB1656" s="1"/>
      <c r="AC1656" s="1"/>
      <c r="AD1656" s="1"/>
      <c r="AE1656" s="1"/>
      <c r="AF1656" s="1"/>
      <c r="AG1656" s="1"/>
    </row>
    <row r="1657" ht="15.75" customHeight="1">
      <c r="A1657" s="1"/>
      <c r="B1657" s="1"/>
      <c r="C1657" s="1"/>
      <c r="D1657" s="1"/>
      <c r="E1657" s="1"/>
      <c r="F1657" s="1"/>
      <c r="G1657" s="1"/>
      <c r="H1657" s="1"/>
      <c r="I1657" s="1"/>
      <c r="J1657" s="1"/>
      <c r="K1657" s="102" t="s">
        <v>3108</v>
      </c>
      <c r="L1657" s="102" t="str">
        <f>B30</f>
        <v>J1</v>
      </c>
      <c r="M1657" s="102"/>
      <c r="N1657" s="102" t="s">
        <v>3109</v>
      </c>
      <c r="O1657" s="105">
        <v>8142931.0</v>
      </c>
      <c r="P1657" s="105">
        <v>8274890.0</v>
      </c>
      <c r="Q1657" s="102" t="s">
        <v>2529</v>
      </c>
      <c r="S1657" s="1"/>
      <c r="T1657" s="1"/>
      <c r="U1657" s="1"/>
      <c r="V1657" s="1"/>
      <c r="W1657" s="1"/>
      <c r="X1657" s="1"/>
      <c r="Y1657" s="1"/>
      <c r="Z1657" s="102"/>
      <c r="AA1657" s="102"/>
      <c r="AB1657" s="1"/>
      <c r="AC1657" s="1"/>
      <c r="AD1657" s="1"/>
      <c r="AE1657" s="1"/>
      <c r="AF1657" s="1"/>
      <c r="AG1657" s="1"/>
    </row>
    <row r="1658" ht="15.75" customHeight="1">
      <c r="A1658" s="1"/>
      <c r="B1658" s="1"/>
      <c r="C1658" s="1"/>
      <c r="D1658" s="1"/>
      <c r="E1658" s="1"/>
      <c r="F1658" s="1"/>
      <c r="G1658" s="1"/>
      <c r="H1658" s="1"/>
      <c r="I1658" s="1"/>
      <c r="J1658" s="1"/>
      <c r="K1658" s="102" t="s">
        <v>3110</v>
      </c>
      <c r="L1658" s="102" t="str">
        <f>B30</f>
        <v>J1</v>
      </c>
      <c r="M1658" s="102" t="s">
        <v>3111</v>
      </c>
      <c r="N1658" s="102" t="s">
        <v>3112</v>
      </c>
      <c r="O1658" s="105">
        <v>8365097.0</v>
      </c>
      <c r="P1658" s="105">
        <v>8497056.0</v>
      </c>
      <c r="Q1658" s="102" t="s">
        <v>2439</v>
      </c>
      <c r="S1658" s="1"/>
      <c r="T1658" s="1"/>
      <c r="U1658" s="1"/>
      <c r="V1658" s="1"/>
      <c r="W1658" s="1"/>
      <c r="X1658" s="1"/>
      <c r="Y1658" s="1"/>
      <c r="Z1658" s="102"/>
      <c r="AA1658" s="102"/>
      <c r="AB1658" s="1"/>
      <c r="AC1658" s="1"/>
      <c r="AD1658" s="1"/>
      <c r="AE1658" s="1"/>
      <c r="AF1658" s="1"/>
      <c r="AG1658" s="1"/>
    </row>
    <row r="1659" ht="15.75" customHeight="1">
      <c r="A1659" s="1"/>
      <c r="B1659" s="1"/>
      <c r="C1659" s="1"/>
      <c r="D1659" s="1"/>
      <c r="E1659" s="1"/>
      <c r="F1659" s="1"/>
      <c r="G1659" s="1"/>
      <c r="H1659" s="1"/>
      <c r="I1659" s="1"/>
      <c r="J1659" s="1"/>
      <c r="K1659" s="102" t="s">
        <v>3111</v>
      </c>
      <c r="L1659" s="102" t="str">
        <f>B30</f>
        <v>J1</v>
      </c>
      <c r="M1659" s="102" t="s">
        <v>3110</v>
      </c>
      <c r="N1659" s="102" t="s">
        <v>3112</v>
      </c>
      <c r="O1659" s="105">
        <v>8365097.0</v>
      </c>
      <c r="P1659" s="105">
        <v>8497056.0</v>
      </c>
      <c r="Q1659" s="102" t="s">
        <v>2439</v>
      </c>
      <c r="S1659" s="1"/>
      <c r="T1659" s="1"/>
      <c r="U1659" s="1"/>
      <c r="V1659" s="1"/>
      <c r="W1659" s="1"/>
      <c r="X1659" s="1"/>
      <c r="Y1659" s="1"/>
      <c r="Z1659" s="102"/>
      <c r="AA1659" s="102"/>
      <c r="AB1659" s="1"/>
      <c r="AC1659" s="1"/>
      <c r="AD1659" s="1"/>
      <c r="AE1659" s="1"/>
      <c r="AF1659" s="1"/>
      <c r="AG1659" s="1"/>
    </row>
    <row r="1660" ht="15.75" customHeight="1">
      <c r="A1660" s="1"/>
      <c r="B1660" s="1"/>
      <c r="C1660" s="1"/>
      <c r="D1660" s="1"/>
      <c r="E1660" s="1"/>
      <c r="F1660" s="1"/>
      <c r="G1660" s="1"/>
      <c r="H1660" s="1"/>
      <c r="I1660" s="1"/>
      <c r="J1660" s="1"/>
      <c r="K1660" s="102" t="s">
        <v>3113</v>
      </c>
      <c r="L1660" s="102" t="str">
        <f>B30</f>
        <v>J1</v>
      </c>
      <c r="M1660" s="102" t="s">
        <v>3114</v>
      </c>
      <c r="N1660" s="102" t="s">
        <v>3115</v>
      </c>
      <c r="O1660" s="105">
        <v>8406753.0</v>
      </c>
      <c r="P1660" s="105">
        <v>8538712.0</v>
      </c>
      <c r="Q1660" s="102" t="s">
        <v>2468</v>
      </c>
      <c r="S1660" s="1"/>
      <c r="T1660" s="1"/>
      <c r="U1660" s="1"/>
      <c r="V1660" s="1"/>
      <c r="W1660" s="1"/>
      <c r="X1660" s="1"/>
      <c r="Y1660" s="1"/>
      <c r="Z1660" s="102"/>
      <c r="AA1660" s="102"/>
      <c r="AB1660" s="1"/>
      <c r="AC1660" s="1"/>
      <c r="AD1660" s="1"/>
      <c r="AE1660" s="1"/>
      <c r="AF1660" s="1"/>
      <c r="AG1660" s="1"/>
    </row>
    <row r="1661" ht="15.75" customHeight="1">
      <c r="A1661" s="1"/>
      <c r="B1661" s="1"/>
      <c r="C1661" s="1"/>
      <c r="D1661" s="1"/>
      <c r="E1661" s="1"/>
      <c r="F1661" s="1"/>
      <c r="G1661" s="1"/>
      <c r="H1661" s="1"/>
      <c r="I1661" s="1"/>
      <c r="J1661" s="1"/>
      <c r="K1661" s="102" t="s">
        <v>3114</v>
      </c>
      <c r="L1661" s="102" t="str">
        <f>B30</f>
        <v>J1</v>
      </c>
      <c r="M1661" s="102" t="s">
        <v>3113</v>
      </c>
      <c r="N1661" s="102" t="s">
        <v>3115</v>
      </c>
      <c r="O1661" s="105">
        <v>8406753.0</v>
      </c>
      <c r="P1661" s="105">
        <v>8538712.0</v>
      </c>
      <c r="Q1661" s="102" t="s">
        <v>2468</v>
      </c>
      <c r="S1661" s="1"/>
      <c r="T1661" s="1"/>
      <c r="U1661" s="1"/>
      <c r="V1661" s="1"/>
      <c r="W1661" s="1"/>
      <c r="X1661" s="1"/>
      <c r="Y1661" s="1"/>
      <c r="Z1661" s="102"/>
      <c r="AA1661" s="102"/>
      <c r="AB1661" s="1"/>
      <c r="AC1661" s="1"/>
      <c r="AD1661" s="1"/>
      <c r="AE1661" s="1"/>
      <c r="AF1661" s="1"/>
      <c r="AG1661" s="1"/>
    </row>
    <row r="1662" ht="15.75" customHeight="1">
      <c r="A1662" s="1"/>
      <c r="B1662" s="1"/>
      <c r="C1662" s="1"/>
      <c r="D1662" s="1"/>
      <c r="E1662" s="1"/>
      <c r="F1662" s="1"/>
      <c r="G1662" s="1"/>
      <c r="H1662" s="1"/>
      <c r="I1662" s="1"/>
      <c r="J1662" s="1"/>
      <c r="K1662" s="102" t="s">
        <v>3116</v>
      </c>
      <c r="L1662" s="102" t="str">
        <f>B30</f>
        <v>J1</v>
      </c>
      <c r="M1662" s="102"/>
      <c r="N1662" s="102" t="s">
        <v>3117</v>
      </c>
      <c r="O1662" s="105">
        <v>8420992.0</v>
      </c>
      <c r="P1662" s="105">
        <v>8552951.0</v>
      </c>
      <c r="Q1662" s="102" t="s">
        <v>2501</v>
      </c>
      <c r="S1662" s="1"/>
      <c r="T1662" s="1"/>
      <c r="U1662" s="1"/>
      <c r="V1662" s="1"/>
      <c r="W1662" s="1"/>
      <c r="X1662" s="1"/>
      <c r="Y1662" s="1"/>
      <c r="Z1662" s="102"/>
      <c r="AA1662" s="102"/>
      <c r="AB1662" s="1"/>
      <c r="AC1662" s="1"/>
      <c r="AD1662" s="1"/>
      <c r="AE1662" s="1"/>
      <c r="AF1662" s="1"/>
      <c r="AG1662" s="1"/>
    </row>
    <row r="1663" ht="15.75" customHeight="1">
      <c r="A1663" s="1"/>
      <c r="B1663" s="1"/>
      <c r="C1663" s="1"/>
      <c r="D1663" s="1"/>
      <c r="E1663" s="1"/>
      <c r="F1663" s="1"/>
      <c r="G1663" s="1"/>
      <c r="H1663" s="1"/>
      <c r="I1663" s="1"/>
      <c r="J1663" s="1"/>
      <c r="K1663" s="102" t="s">
        <v>3118</v>
      </c>
      <c r="L1663" s="102" t="str">
        <f>B30</f>
        <v>J1</v>
      </c>
      <c r="M1663" s="102"/>
      <c r="N1663" s="102" t="s">
        <v>3119</v>
      </c>
      <c r="O1663" s="102">
        <v>8673995.0</v>
      </c>
      <c r="P1663" s="102">
        <v>8805954.0</v>
      </c>
      <c r="Q1663" s="102" t="s">
        <v>2439</v>
      </c>
      <c r="S1663" s="1"/>
      <c r="T1663" s="1"/>
      <c r="U1663" s="1"/>
      <c r="V1663" s="1"/>
      <c r="W1663" s="1"/>
      <c r="X1663" s="1"/>
      <c r="Y1663" s="1"/>
      <c r="Z1663" s="102">
        <v>8673995.0</v>
      </c>
      <c r="AA1663" s="102"/>
      <c r="AB1663" s="1"/>
      <c r="AC1663" s="1"/>
      <c r="AD1663" s="1"/>
      <c r="AE1663" s="1"/>
      <c r="AF1663" s="1"/>
      <c r="AG1663" s="1"/>
    </row>
    <row r="1664" ht="15.75" customHeight="1">
      <c r="A1664" s="1"/>
      <c r="B1664" s="1"/>
      <c r="C1664" s="1"/>
      <c r="D1664" s="1"/>
      <c r="E1664" s="1"/>
      <c r="F1664" s="1"/>
      <c r="G1664" s="1"/>
      <c r="H1664" s="1"/>
      <c r="I1664" s="1"/>
      <c r="J1664" s="1"/>
      <c r="K1664" s="102" t="s">
        <v>3120</v>
      </c>
      <c r="L1664" s="102" t="str">
        <f>B30</f>
        <v>J1</v>
      </c>
      <c r="M1664" s="102" t="s">
        <v>3121</v>
      </c>
      <c r="N1664" s="102" t="s">
        <v>3122</v>
      </c>
      <c r="O1664" s="105">
        <v>8716192.0</v>
      </c>
      <c r="P1664" s="105">
        <v>8848151.0</v>
      </c>
      <c r="Q1664" s="102" t="s">
        <v>2439</v>
      </c>
      <c r="S1664" s="1"/>
      <c r="T1664" s="1"/>
      <c r="U1664" s="1"/>
      <c r="V1664" s="1"/>
      <c r="W1664" s="1"/>
      <c r="X1664" s="1"/>
      <c r="Y1664" s="1"/>
      <c r="Z1664" s="102"/>
      <c r="AA1664" s="102"/>
      <c r="AB1664" s="1"/>
      <c r="AC1664" s="1"/>
      <c r="AD1664" s="1"/>
      <c r="AE1664" s="1"/>
      <c r="AF1664" s="1"/>
      <c r="AG1664" s="1"/>
    </row>
    <row r="1665" ht="15.75" customHeight="1">
      <c r="A1665" s="1"/>
      <c r="B1665" s="1"/>
      <c r="C1665" s="1"/>
      <c r="D1665" s="1"/>
      <c r="E1665" s="1"/>
      <c r="F1665" s="1"/>
      <c r="G1665" s="1"/>
      <c r="H1665" s="1"/>
      <c r="I1665" s="1"/>
      <c r="J1665" s="1"/>
      <c r="K1665" s="102" t="s">
        <v>3121</v>
      </c>
      <c r="L1665" s="102" t="str">
        <f>B30</f>
        <v>J1</v>
      </c>
      <c r="M1665" s="102" t="s">
        <v>3120</v>
      </c>
      <c r="N1665" s="102" t="s">
        <v>3122</v>
      </c>
      <c r="O1665" s="105">
        <v>8716192.0</v>
      </c>
      <c r="P1665" s="105">
        <v>8848151.0</v>
      </c>
      <c r="Q1665" s="102" t="s">
        <v>2439</v>
      </c>
      <c r="S1665" s="1"/>
      <c r="T1665" s="1"/>
      <c r="U1665" s="1"/>
      <c r="V1665" s="1"/>
      <c r="W1665" s="1"/>
      <c r="X1665" s="1"/>
      <c r="Y1665" s="1"/>
      <c r="Z1665" s="102"/>
      <c r="AA1665" s="102"/>
      <c r="AB1665" s="1"/>
      <c r="AC1665" s="1"/>
      <c r="AD1665" s="1"/>
      <c r="AE1665" s="1"/>
      <c r="AF1665" s="1"/>
      <c r="AG1665" s="1"/>
    </row>
    <row r="1666" ht="15.75" customHeight="1">
      <c r="A1666" s="1"/>
      <c r="B1666" s="1"/>
      <c r="C1666" s="1"/>
      <c r="D1666" s="1"/>
      <c r="E1666" s="1"/>
      <c r="F1666" s="1"/>
      <c r="G1666" s="1"/>
      <c r="H1666" s="1"/>
      <c r="I1666" s="1"/>
      <c r="J1666" s="1"/>
      <c r="K1666" s="102" t="s">
        <v>3123</v>
      </c>
      <c r="L1666" s="102" t="str">
        <f>B30</f>
        <v>J1</v>
      </c>
      <c r="M1666" s="102" t="s">
        <v>3124</v>
      </c>
      <c r="N1666" s="102" t="s">
        <v>3125</v>
      </c>
      <c r="O1666" s="105">
        <v>8810392.0</v>
      </c>
      <c r="P1666" s="105">
        <v>8942351.0</v>
      </c>
      <c r="Q1666" s="102" t="s">
        <v>2468</v>
      </c>
      <c r="S1666" s="1"/>
      <c r="T1666" s="1"/>
      <c r="U1666" s="1"/>
      <c r="V1666" s="1"/>
      <c r="W1666" s="1"/>
      <c r="X1666" s="1"/>
      <c r="Y1666" s="1"/>
      <c r="Z1666" s="102"/>
      <c r="AA1666" s="102"/>
      <c r="AB1666" s="1"/>
      <c r="AC1666" s="1"/>
      <c r="AD1666" s="1"/>
      <c r="AE1666" s="1"/>
      <c r="AF1666" s="1"/>
      <c r="AG1666" s="1"/>
    </row>
    <row r="1667" ht="15.75" customHeight="1">
      <c r="A1667" s="1"/>
      <c r="B1667" s="1"/>
      <c r="C1667" s="1"/>
      <c r="D1667" s="1"/>
      <c r="E1667" s="1"/>
      <c r="F1667" s="1"/>
      <c r="G1667" s="1"/>
      <c r="H1667" s="1"/>
      <c r="I1667" s="1"/>
      <c r="J1667" s="1"/>
      <c r="K1667" s="102" t="s">
        <v>3124</v>
      </c>
      <c r="L1667" s="102" t="str">
        <f>B30</f>
        <v>J1</v>
      </c>
      <c r="M1667" s="102" t="s">
        <v>3123</v>
      </c>
      <c r="N1667" s="102" t="s">
        <v>3125</v>
      </c>
      <c r="O1667" s="105">
        <v>8810392.0</v>
      </c>
      <c r="P1667" s="105">
        <v>8942351.0</v>
      </c>
      <c r="Q1667" s="102" t="s">
        <v>2468</v>
      </c>
      <c r="S1667" s="1"/>
      <c r="T1667" s="1"/>
      <c r="U1667" s="1"/>
      <c r="V1667" s="1"/>
      <c r="W1667" s="1"/>
      <c r="X1667" s="1"/>
      <c r="Y1667" s="1"/>
      <c r="Z1667" s="102"/>
      <c r="AA1667" s="102"/>
      <c r="AB1667" s="1"/>
      <c r="AC1667" s="1"/>
      <c r="AD1667" s="1"/>
      <c r="AE1667" s="1"/>
      <c r="AF1667" s="1"/>
      <c r="AG1667" s="1"/>
    </row>
    <row r="1668" ht="15.75" customHeight="1">
      <c r="A1668" s="1"/>
      <c r="B1668" s="1"/>
      <c r="C1668" s="1"/>
      <c r="D1668" s="1"/>
      <c r="E1668" s="1"/>
      <c r="F1668" s="1"/>
      <c r="G1668" s="1"/>
      <c r="H1668" s="1"/>
      <c r="I1668" s="1"/>
      <c r="J1668" s="1"/>
      <c r="K1668" s="102" t="s">
        <v>3126</v>
      </c>
      <c r="L1668" s="102" t="str">
        <f>B30</f>
        <v>J1</v>
      </c>
      <c r="M1668" s="102"/>
      <c r="N1668" s="102" t="s">
        <v>3127</v>
      </c>
      <c r="O1668" s="105">
        <v>9008690.0</v>
      </c>
      <c r="P1668" s="105">
        <v>9171081.0</v>
      </c>
      <c r="Q1668" s="102" t="s">
        <v>2439</v>
      </c>
      <c r="S1668" s="1"/>
      <c r="T1668" s="1"/>
      <c r="U1668" s="1"/>
      <c r="V1668" s="1"/>
      <c r="W1668" s="1"/>
      <c r="X1668" s="1"/>
      <c r="Y1668" s="1"/>
      <c r="Z1668" s="102"/>
      <c r="AA1668" s="102"/>
      <c r="AB1668" s="1"/>
      <c r="AC1668" s="1"/>
      <c r="AD1668" s="1"/>
      <c r="AE1668" s="1"/>
      <c r="AF1668" s="1"/>
      <c r="AG1668" s="1"/>
    </row>
    <row r="1669" ht="15.75" customHeight="1">
      <c r="A1669" s="1"/>
      <c r="B1669" s="1"/>
      <c r="C1669" s="1"/>
      <c r="D1669" s="1"/>
      <c r="E1669" s="1"/>
      <c r="F1669" s="1"/>
      <c r="G1669" s="1"/>
      <c r="H1669" s="1"/>
      <c r="I1669" s="1"/>
      <c r="J1669" s="1"/>
      <c r="K1669" s="102" t="s">
        <v>3128</v>
      </c>
      <c r="L1669" s="102" t="str">
        <f>B30</f>
        <v>J1</v>
      </c>
      <c r="M1669" s="102"/>
      <c r="N1669" s="102" t="s">
        <v>3129</v>
      </c>
      <c r="O1669" s="102">
        <v>9109894.0</v>
      </c>
      <c r="P1669" s="102">
        <v>9272285.0</v>
      </c>
      <c r="Q1669" s="102" t="s">
        <v>2454</v>
      </c>
      <c r="S1669" s="1"/>
      <c r="T1669" s="1"/>
      <c r="U1669" s="1"/>
      <c r="V1669" s="1"/>
      <c r="W1669" s="1"/>
      <c r="X1669" s="1"/>
      <c r="Y1669" s="1"/>
      <c r="Z1669" s="102">
        <v>9109894.0</v>
      </c>
      <c r="AA1669" s="102"/>
      <c r="AB1669" s="1"/>
      <c r="AC1669" s="1"/>
      <c r="AD1669" s="1"/>
      <c r="AE1669" s="1"/>
      <c r="AF1669" s="1"/>
      <c r="AG1669" s="1"/>
    </row>
    <row r="1670" ht="15.75" customHeight="1">
      <c r="A1670" s="1"/>
      <c r="B1670" s="1"/>
      <c r="C1670" s="1"/>
      <c r="D1670" s="1"/>
      <c r="E1670" s="1"/>
      <c r="F1670" s="1"/>
      <c r="G1670" s="1"/>
      <c r="H1670" s="1"/>
      <c r="I1670" s="1"/>
      <c r="J1670" s="1"/>
      <c r="K1670" s="102" t="s">
        <v>3130</v>
      </c>
      <c r="L1670" s="102" t="str">
        <f>B30</f>
        <v>J1</v>
      </c>
      <c r="M1670" s="102"/>
      <c r="N1670" s="102" t="s">
        <v>3131</v>
      </c>
      <c r="O1670" s="105">
        <v>9134244.0</v>
      </c>
      <c r="P1670" s="105">
        <v>9296635.0</v>
      </c>
      <c r="Q1670" s="102" t="s">
        <v>2529</v>
      </c>
      <c r="S1670" s="1"/>
      <c r="T1670" s="1"/>
      <c r="U1670" s="1"/>
      <c r="V1670" s="1"/>
      <c r="W1670" s="1"/>
      <c r="X1670" s="1"/>
      <c r="Y1670" s="1"/>
      <c r="Z1670" s="102"/>
      <c r="AA1670" s="102"/>
      <c r="AB1670" s="1"/>
      <c r="AC1670" s="1"/>
      <c r="AD1670" s="1"/>
      <c r="AE1670" s="1"/>
      <c r="AF1670" s="1"/>
      <c r="AG1670" s="1"/>
    </row>
    <row r="1671" ht="15.75" customHeight="1">
      <c r="A1671" s="1"/>
      <c r="B1671" s="1"/>
      <c r="C1671" s="1"/>
      <c r="D1671" s="1"/>
      <c r="E1671" s="1"/>
      <c r="F1671" s="1"/>
      <c r="G1671" s="1"/>
      <c r="H1671" s="1"/>
      <c r="I1671" s="1"/>
      <c r="J1671" s="1"/>
      <c r="K1671" s="102" t="s">
        <v>3132</v>
      </c>
      <c r="L1671" s="102" t="str">
        <f>B30</f>
        <v>J1</v>
      </c>
      <c r="M1671" s="102"/>
      <c r="N1671" s="102" t="s">
        <v>3133</v>
      </c>
      <c r="O1671" s="105">
        <v>9134599.0</v>
      </c>
      <c r="P1671" s="105">
        <v>9296990.0</v>
      </c>
      <c r="Q1671" s="102" t="s">
        <v>2529</v>
      </c>
      <c r="S1671" s="1"/>
      <c r="T1671" s="1"/>
      <c r="U1671" s="1"/>
      <c r="V1671" s="1"/>
      <c r="W1671" s="1"/>
      <c r="X1671" s="1"/>
      <c r="Y1671" s="1"/>
      <c r="Z1671" s="102"/>
      <c r="AA1671" s="102"/>
      <c r="AB1671" s="1"/>
      <c r="AC1671" s="1"/>
      <c r="AD1671" s="1"/>
      <c r="AE1671" s="1"/>
      <c r="AF1671" s="1"/>
      <c r="AG1671" s="1"/>
    </row>
    <row r="1672" ht="15.75" customHeight="1">
      <c r="A1672" s="1"/>
      <c r="B1672" s="1"/>
      <c r="C1672" s="1"/>
      <c r="D1672" s="1"/>
      <c r="E1672" s="1"/>
      <c r="F1672" s="1"/>
      <c r="G1672" s="1"/>
      <c r="H1672" s="1"/>
      <c r="I1672" s="1"/>
      <c r="J1672" s="1"/>
      <c r="K1672" s="102" t="s">
        <v>3134</v>
      </c>
      <c r="L1672" s="102" t="str">
        <f>B30</f>
        <v>J1</v>
      </c>
      <c r="M1672" s="102"/>
      <c r="N1672" s="102" t="s">
        <v>3135</v>
      </c>
      <c r="O1672" s="105">
        <v>9417061.0</v>
      </c>
      <c r="P1672" s="105">
        <v>9579452.0</v>
      </c>
      <c r="Q1672" s="102" t="s">
        <v>2468</v>
      </c>
      <c r="S1672" s="1"/>
      <c r="T1672" s="1"/>
      <c r="U1672" s="1"/>
      <c r="V1672" s="1"/>
      <c r="W1672" s="1"/>
      <c r="X1672" s="1"/>
      <c r="Y1672" s="1"/>
      <c r="Z1672" s="102"/>
      <c r="AA1672" s="102"/>
      <c r="AB1672" s="1"/>
      <c r="AC1672" s="1"/>
      <c r="AD1672" s="1"/>
      <c r="AE1672" s="1"/>
      <c r="AF1672" s="1"/>
      <c r="AG1672" s="1"/>
    </row>
    <row r="1673" ht="15.75" customHeight="1">
      <c r="A1673" s="1"/>
      <c r="B1673" s="1"/>
      <c r="C1673" s="1"/>
      <c r="D1673" s="1"/>
      <c r="E1673" s="1"/>
      <c r="F1673" s="1"/>
      <c r="G1673" s="1"/>
      <c r="H1673" s="1"/>
      <c r="I1673" s="1"/>
      <c r="J1673" s="1"/>
      <c r="K1673" s="102" t="s">
        <v>3136</v>
      </c>
      <c r="L1673" s="102" t="str">
        <f>B30</f>
        <v>J1</v>
      </c>
      <c r="M1673" s="102"/>
      <c r="N1673" s="102" t="s">
        <v>3137</v>
      </c>
      <c r="O1673" s="105">
        <v>9904861.0</v>
      </c>
      <c r="P1673" s="105">
        <v>1.0067252E7</v>
      </c>
      <c r="Q1673" s="102" t="s">
        <v>2501</v>
      </c>
      <c r="S1673" s="1"/>
      <c r="T1673" s="1"/>
      <c r="U1673" s="1"/>
      <c r="V1673" s="1"/>
      <c r="W1673" s="1"/>
      <c r="X1673" s="1"/>
      <c r="Y1673" s="1"/>
      <c r="Z1673" s="102"/>
      <c r="AA1673" s="102"/>
      <c r="AB1673" s="1"/>
      <c r="AC1673" s="1"/>
      <c r="AD1673" s="1"/>
      <c r="AE1673" s="1"/>
      <c r="AF1673" s="1"/>
      <c r="AG1673" s="1"/>
    </row>
    <row r="1674" ht="15.75" customHeight="1">
      <c r="A1674" s="1"/>
      <c r="B1674" s="1"/>
      <c r="C1674" s="1"/>
      <c r="D1674" s="1"/>
      <c r="E1674" s="1"/>
      <c r="F1674" s="1"/>
      <c r="G1674" s="1"/>
      <c r="H1674" s="1"/>
      <c r="I1674" s="1"/>
      <c r="J1674" s="1"/>
      <c r="K1674" s="102" t="s">
        <v>3138</v>
      </c>
      <c r="L1674" s="102" t="str">
        <f>B30</f>
        <v>J1</v>
      </c>
      <c r="M1674" s="102"/>
      <c r="N1674" s="102" t="s">
        <v>3139</v>
      </c>
      <c r="O1674" s="105">
        <v>9917533.0</v>
      </c>
      <c r="P1674" s="105">
        <v>1.0079924E7</v>
      </c>
      <c r="Q1674" s="102" t="s">
        <v>2454</v>
      </c>
      <c r="S1674" s="1"/>
      <c r="T1674" s="1"/>
      <c r="U1674" s="1"/>
      <c r="V1674" s="1"/>
      <c r="W1674" s="1"/>
      <c r="X1674" s="1"/>
      <c r="Y1674" s="1"/>
      <c r="Z1674" s="102"/>
      <c r="AA1674" s="102"/>
      <c r="AB1674" s="1"/>
      <c r="AC1674" s="1"/>
      <c r="AD1674" s="1"/>
      <c r="AE1674" s="1"/>
      <c r="AF1674" s="1"/>
      <c r="AG1674" s="1"/>
    </row>
    <row r="1675" ht="15.75" customHeight="1">
      <c r="A1675" s="1"/>
      <c r="B1675" s="1"/>
      <c r="C1675" s="1"/>
      <c r="D1675" s="1"/>
      <c r="E1675" s="1"/>
      <c r="F1675" s="1"/>
      <c r="G1675" s="1"/>
      <c r="H1675" s="1"/>
      <c r="I1675" s="1"/>
      <c r="J1675" s="1"/>
      <c r="K1675" s="102" t="s">
        <v>3140</v>
      </c>
      <c r="L1675" s="102" t="str">
        <f>B30</f>
        <v>J1</v>
      </c>
      <c r="M1675" s="102"/>
      <c r="N1675" s="102" t="s">
        <v>3141</v>
      </c>
      <c r="O1675" s="105">
        <v>1.0073959E7</v>
      </c>
      <c r="P1675" s="105">
        <v>1.023635E7</v>
      </c>
      <c r="Q1675" s="102" t="s">
        <v>2529</v>
      </c>
      <c r="S1675" s="1"/>
      <c r="T1675" s="1"/>
      <c r="U1675" s="1"/>
      <c r="V1675" s="1"/>
      <c r="W1675" s="1"/>
      <c r="X1675" s="1"/>
      <c r="Y1675" s="1"/>
      <c r="Z1675" s="102"/>
      <c r="AA1675" s="102"/>
      <c r="AB1675" s="1"/>
      <c r="AC1675" s="1"/>
      <c r="AD1675" s="1"/>
      <c r="AE1675" s="1"/>
      <c r="AF1675" s="1"/>
      <c r="AG1675" s="1"/>
    </row>
    <row r="1676" ht="15.75" customHeight="1">
      <c r="A1676" s="1"/>
      <c r="B1676" s="1"/>
      <c r="C1676" s="1"/>
      <c r="D1676" s="1"/>
      <c r="E1676" s="1"/>
      <c r="F1676" s="1"/>
      <c r="G1676" s="1"/>
      <c r="H1676" s="1"/>
      <c r="I1676" s="1"/>
      <c r="J1676" s="1"/>
      <c r="K1676" s="102" t="s">
        <v>3142</v>
      </c>
      <c r="L1676" s="102" t="str">
        <f>B30</f>
        <v>J1</v>
      </c>
      <c r="M1676" s="102"/>
      <c r="N1676" s="102" t="s">
        <v>3143</v>
      </c>
      <c r="O1676" s="105">
        <v>1.380666E7</v>
      </c>
      <c r="P1676" s="105">
        <v>1.1685954E7</v>
      </c>
      <c r="Q1676" s="102" t="s">
        <v>2529</v>
      </c>
      <c r="S1676" s="1"/>
      <c r="T1676" s="1"/>
      <c r="U1676" s="1"/>
      <c r="V1676" s="1"/>
      <c r="W1676" s="1"/>
      <c r="X1676" s="1"/>
      <c r="Y1676" s="1"/>
      <c r="Z1676" s="102"/>
      <c r="AA1676" s="102"/>
      <c r="AB1676" s="1"/>
      <c r="AC1676" s="1"/>
      <c r="AD1676" s="1"/>
      <c r="AE1676" s="1"/>
      <c r="AF1676" s="1"/>
      <c r="AG1676" s="1"/>
    </row>
    <row r="1677" ht="15.75" customHeight="1">
      <c r="A1677" s="1"/>
      <c r="B1677" s="1"/>
      <c r="C1677" s="1"/>
      <c r="D1677" s="1"/>
      <c r="E1677" s="1"/>
      <c r="F1677" s="1"/>
      <c r="G1677" s="1"/>
      <c r="H1677" s="1"/>
      <c r="I1677" s="1"/>
      <c r="J1677" s="1"/>
      <c r="K1677" s="102" t="s">
        <v>3144</v>
      </c>
      <c r="L1677" s="102" t="str">
        <f>B30</f>
        <v>J1</v>
      </c>
      <c r="M1677" s="102" t="s">
        <v>3145</v>
      </c>
      <c r="N1677" s="102" t="s">
        <v>3146</v>
      </c>
      <c r="O1677" s="105">
        <v>1.4293968E7</v>
      </c>
      <c r="P1677" s="105">
        <v>1.2173262E7</v>
      </c>
      <c r="Q1677" s="102" t="s">
        <v>2454</v>
      </c>
      <c r="S1677" s="1"/>
      <c r="T1677" s="1"/>
      <c r="U1677" s="1"/>
      <c r="V1677" s="1"/>
      <c r="W1677" s="1"/>
      <c r="X1677" s="1"/>
      <c r="Y1677" s="1"/>
      <c r="Z1677" s="102"/>
      <c r="AA1677" s="102"/>
      <c r="AB1677" s="1"/>
      <c r="AC1677" s="1"/>
      <c r="AD1677" s="1"/>
      <c r="AE1677" s="1"/>
      <c r="AF1677" s="1"/>
      <c r="AG1677" s="1"/>
    </row>
    <row r="1678" ht="15.75" customHeight="1">
      <c r="A1678" s="1"/>
      <c r="B1678" s="1"/>
      <c r="C1678" s="1"/>
      <c r="D1678" s="1"/>
      <c r="E1678" s="1"/>
      <c r="F1678" s="1"/>
      <c r="G1678" s="1"/>
      <c r="H1678" s="1"/>
      <c r="I1678" s="1"/>
      <c r="J1678" s="1"/>
      <c r="K1678" s="102" t="s">
        <v>3145</v>
      </c>
      <c r="L1678" s="102" t="str">
        <f>B30</f>
        <v>J1</v>
      </c>
      <c r="M1678" s="102" t="s">
        <v>3144</v>
      </c>
      <c r="N1678" s="102" t="s">
        <v>3146</v>
      </c>
      <c r="O1678" s="105">
        <v>1.4293968E7</v>
      </c>
      <c r="P1678" s="105">
        <v>1.2173262E7</v>
      </c>
      <c r="Q1678" s="102" t="s">
        <v>2454</v>
      </c>
      <c r="S1678" s="1"/>
      <c r="T1678" s="1"/>
      <c r="U1678" s="1"/>
      <c r="V1678" s="1"/>
      <c r="W1678" s="1"/>
      <c r="X1678" s="1"/>
      <c r="Y1678" s="1"/>
      <c r="Z1678" s="102"/>
      <c r="AA1678" s="102"/>
      <c r="AB1678" s="1"/>
      <c r="AC1678" s="1"/>
      <c r="AD1678" s="1"/>
      <c r="AE1678" s="1"/>
      <c r="AF1678" s="1"/>
      <c r="AG1678" s="1"/>
    </row>
    <row r="1679" ht="15.75" customHeight="1">
      <c r="A1679" s="1"/>
      <c r="B1679" s="1"/>
      <c r="C1679" s="1"/>
      <c r="D1679" s="1"/>
      <c r="E1679" s="1"/>
      <c r="F1679" s="1"/>
      <c r="G1679" s="1"/>
      <c r="H1679" s="1"/>
      <c r="I1679" s="1"/>
      <c r="J1679" s="1"/>
      <c r="K1679" s="102" t="s">
        <v>3147</v>
      </c>
      <c r="L1679" s="102" t="str">
        <f>B30</f>
        <v>J1</v>
      </c>
      <c r="M1679" s="102"/>
      <c r="N1679" s="102" t="s">
        <v>3148</v>
      </c>
      <c r="O1679" s="105">
        <v>1.4363265E7</v>
      </c>
      <c r="P1679" s="105">
        <v>1.224256E7</v>
      </c>
      <c r="Q1679" s="102" t="s">
        <v>2439</v>
      </c>
      <c r="S1679" s="1"/>
      <c r="T1679" s="1"/>
      <c r="U1679" s="1"/>
      <c r="V1679" s="1"/>
      <c r="W1679" s="1"/>
      <c r="X1679" s="1"/>
      <c r="Y1679" s="1"/>
      <c r="Z1679" s="102"/>
      <c r="AA1679" s="102"/>
      <c r="AB1679" s="1"/>
      <c r="AC1679" s="1"/>
      <c r="AD1679" s="1"/>
      <c r="AE1679" s="1"/>
      <c r="AF1679" s="1"/>
      <c r="AG1679" s="1"/>
    </row>
    <row r="1680" ht="15.75" customHeight="1">
      <c r="A1680" s="1"/>
      <c r="B1680" s="1"/>
      <c r="C1680" s="1"/>
      <c r="D1680" s="1"/>
      <c r="E1680" s="1"/>
      <c r="F1680" s="1"/>
      <c r="G1680" s="1"/>
      <c r="H1680" s="1"/>
      <c r="I1680" s="1"/>
      <c r="J1680" s="1"/>
      <c r="K1680" s="102" t="s">
        <v>3149</v>
      </c>
      <c r="L1680" s="102" t="str">
        <f>B30</f>
        <v>J1</v>
      </c>
      <c r="M1680" s="102" t="s">
        <v>3150</v>
      </c>
      <c r="N1680" s="102" t="s">
        <v>3151</v>
      </c>
      <c r="O1680" s="105">
        <v>1.4810768E7</v>
      </c>
      <c r="P1680" s="105">
        <v>1.2698839E7</v>
      </c>
      <c r="Q1680" s="102" t="s">
        <v>2533</v>
      </c>
      <c r="S1680" s="1"/>
      <c r="T1680" s="1"/>
      <c r="U1680" s="1"/>
      <c r="V1680" s="1"/>
      <c r="W1680" s="1"/>
      <c r="X1680" s="1"/>
      <c r="Y1680" s="1"/>
      <c r="Z1680" s="102"/>
      <c r="AA1680" s="102"/>
      <c r="AB1680" s="1"/>
      <c r="AC1680" s="1"/>
      <c r="AD1680" s="1"/>
      <c r="AE1680" s="1"/>
      <c r="AF1680" s="1"/>
      <c r="AG1680" s="1"/>
    </row>
    <row r="1681" ht="15.75" customHeight="1">
      <c r="A1681" s="1"/>
      <c r="B1681" s="1"/>
      <c r="C1681" s="1"/>
      <c r="D1681" s="1"/>
      <c r="E1681" s="1"/>
      <c r="F1681" s="1"/>
      <c r="G1681" s="1"/>
      <c r="H1681" s="1"/>
      <c r="I1681" s="1"/>
      <c r="J1681" s="1"/>
      <c r="K1681" s="102" t="s">
        <v>3150</v>
      </c>
      <c r="L1681" s="102" t="str">
        <f>B30</f>
        <v>J1</v>
      </c>
      <c r="M1681" s="102" t="s">
        <v>3149</v>
      </c>
      <c r="N1681" s="102" t="s">
        <v>3151</v>
      </c>
      <c r="O1681" s="105">
        <v>1.4810768E7</v>
      </c>
      <c r="P1681" s="105">
        <v>1.2698839E7</v>
      </c>
      <c r="Q1681" s="102" t="s">
        <v>2533</v>
      </c>
      <c r="S1681" s="1"/>
      <c r="T1681" s="1"/>
      <c r="U1681" s="1"/>
      <c r="V1681" s="1"/>
      <c r="W1681" s="1"/>
      <c r="X1681" s="1"/>
      <c r="Y1681" s="1"/>
      <c r="Z1681" s="102"/>
      <c r="AA1681" s="102"/>
      <c r="AB1681" s="1"/>
      <c r="AC1681" s="1"/>
      <c r="AD1681" s="1"/>
      <c r="AE1681" s="1"/>
      <c r="AF1681" s="1"/>
      <c r="AG1681" s="1"/>
    </row>
    <row r="1682" ht="15.75" customHeight="1">
      <c r="A1682" s="1"/>
      <c r="B1682" s="1"/>
      <c r="C1682" s="1"/>
      <c r="D1682" s="1"/>
      <c r="E1682" s="1"/>
      <c r="F1682" s="1"/>
      <c r="G1682" s="1"/>
      <c r="H1682" s="1"/>
      <c r="I1682" s="1"/>
      <c r="J1682" s="1"/>
      <c r="K1682" s="102" t="s">
        <v>3152</v>
      </c>
      <c r="L1682" s="102" t="str">
        <f>B30</f>
        <v>J1</v>
      </c>
      <c r="M1682" s="102" t="s">
        <v>3153</v>
      </c>
      <c r="N1682" s="102" t="s">
        <v>3154</v>
      </c>
      <c r="O1682" s="102">
        <v>1.5178406E7</v>
      </c>
      <c r="P1682" s="102">
        <v>1.3066492E7</v>
      </c>
      <c r="Q1682" s="102" t="s">
        <v>2501</v>
      </c>
      <c r="S1682" s="1"/>
      <c r="T1682" s="1"/>
      <c r="U1682" s="1"/>
      <c r="V1682" s="1"/>
      <c r="W1682" s="1"/>
      <c r="X1682" s="1"/>
      <c r="Y1682" s="1"/>
      <c r="Z1682" s="102">
        <v>1.5178406E7</v>
      </c>
      <c r="AA1682" s="102"/>
      <c r="AB1682" s="1"/>
      <c r="AC1682" s="1"/>
      <c r="AD1682" s="1"/>
      <c r="AE1682" s="1"/>
      <c r="AF1682" s="1"/>
      <c r="AG1682" s="1"/>
    </row>
    <row r="1683" ht="15.75" customHeight="1">
      <c r="A1683" s="1"/>
      <c r="B1683" s="1"/>
      <c r="C1683" s="1"/>
      <c r="D1683" s="1"/>
      <c r="E1683" s="1"/>
      <c r="F1683" s="1"/>
      <c r="G1683" s="1"/>
      <c r="H1683" s="1"/>
      <c r="I1683" s="1"/>
      <c r="J1683" s="1"/>
      <c r="K1683" s="102" t="s">
        <v>3153</v>
      </c>
      <c r="L1683" s="102" t="str">
        <f>B30</f>
        <v>J1</v>
      </c>
      <c r="M1683" s="102" t="s">
        <v>3152</v>
      </c>
      <c r="N1683" s="102" t="s">
        <v>3154</v>
      </c>
      <c r="O1683" s="102">
        <v>1.5178406E7</v>
      </c>
      <c r="P1683" s="102">
        <v>1.3066492E7</v>
      </c>
      <c r="Q1683" s="102" t="s">
        <v>2501</v>
      </c>
      <c r="S1683" s="1"/>
      <c r="T1683" s="1"/>
      <c r="U1683" s="1"/>
      <c r="V1683" s="1"/>
      <c r="W1683" s="1"/>
      <c r="X1683" s="1"/>
      <c r="Y1683" s="1"/>
      <c r="Z1683" s="102">
        <v>1.5178406E7</v>
      </c>
      <c r="AA1683" s="102"/>
      <c r="AB1683" s="1"/>
      <c r="AC1683" s="1"/>
      <c r="AD1683" s="1"/>
      <c r="AE1683" s="1"/>
      <c r="AF1683" s="1"/>
      <c r="AG1683" s="1"/>
    </row>
    <row r="1684" ht="15.75" customHeight="1">
      <c r="A1684" s="1"/>
      <c r="B1684" s="1"/>
      <c r="C1684" s="1"/>
      <c r="D1684" s="1"/>
      <c r="E1684" s="1"/>
      <c r="F1684" s="1"/>
      <c r="G1684" s="1"/>
      <c r="H1684" s="1"/>
      <c r="I1684" s="1"/>
      <c r="J1684" s="1"/>
      <c r="K1684" s="102" t="s">
        <v>3155</v>
      </c>
      <c r="L1684" s="102" t="str">
        <f>B30</f>
        <v>J1</v>
      </c>
      <c r="M1684" s="102" t="s">
        <v>3156</v>
      </c>
      <c r="N1684" s="102" t="s">
        <v>3157</v>
      </c>
      <c r="O1684" s="105">
        <v>1.5477203E7</v>
      </c>
      <c r="P1684" s="105">
        <v>1.3365323E7</v>
      </c>
      <c r="Q1684" s="102" t="s">
        <v>2468</v>
      </c>
      <c r="S1684" s="1"/>
      <c r="T1684" s="1"/>
      <c r="U1684" s="1"/>
      <c r="V1684" s="1"/>
      <c r="W1684" s="1"/>
      <c r="X1684" s="1"/>
      <c r="Y1684" s="1"/>
      <c r="Z1684" s="102"/>
      <c r="AA1684" s="102"/>
      <c r="AB1684" s="1"/>
      <c r="AC1684" s="1"/>
      <c r="AD1684" s="1"/>
      <c r="AE1684" s="1"/>
      <c r="AF1684" s="1"/>
      <c r="AG1684" s="1"/>
    </row>
    <row r="1685" ht="15.75" customHeight="1">
      <c r="A1685" s="1"/>
      <c r="B1685" s="1"/>
      <c r="C1685" s="1"/>
      <c r="D1685" s="1"/>
      <c r="E1685" s="1"/>
      <c r="F1685" s="1"/>
      <c r="G1685" s="1"/>
      <c r="H1685" s="1"/>
      <c r="I1685" s="1"/>
      <c r="J1685" s="1"/>
      <c r="K1685" s="102" t="s">
        <v>3156</v>
      </c>
      <c r="L1685" s="102" t="str">
        <f>B30</f>
        <v>J1</v>
      </c>
      <c r="M1685" s="102" t="s">
        <v>3155</v>
      </c>
      <c r="N1685" s="102" t="s">
        <v>3157</v>
      </c>
      <c r="O1685" s="105">
        <v>1.5477203E7</v>
      </c>
      <c r="P1685" s="105">
        <v>1.3365323E7</v>
      </c>
      <c r="Q1685" s="102" t="s">
        <v>2468</v>
      </c>
      <c r="S1685" s="1"/>
      <c r="T1685" s="1"/>
      <c r="U1685" s="1"/>
      <c r="V1685" s="1"/>
      <c r="W1685" s="1"/>
      <c r="X1685" s="1"/>
      <c r="Y1685" s="1"/>
      <c r="Z1685" s="102"/>
      <c r="AA1685" s="102"/>
      <c r="AB1685" s="1"/>
      <c r="AC1685" s="1"/>
      <c r="AD1685" s="1"/>
      <c r="AE1685" s="1"/>
      <c r="AF1685" s="1"/>
      <c r="AG1685" s="1"/>
    </row>
    <row r="1686" ht="15.75" customHeight="1">
      <c r="A1686" s="1"/>
      <c r="B1686" s="1"/>
      <c r="C1686" s="1"/>
      <c r="D1686" s="1"/>
      <c r="E1686" s="1"/>
      <c r="F1686" s="1"/>
      <c r="G1686" s="1"/>
      <c r="H1686" s="1"/>
      <c r="I1686" s="1"/>
      <c r="J1686" s="1"/>
      <c r="K1686" s="102" t="s">
        <v>3158</v>
      </c>
      <c r="L1686" s="102" t="str">
        <f>B30</f>
        <v>J1</v>
      </c>
      <c r="M1686" s="102" t="s">
        <v>3159</v>
      </c>
      <c r="N1686" s="102" t="s">
        <v>3160</v>
      </c>
      <c r="O1686" s="105">
        <v>1.6085117E7</v>
      </c>
      <c r="P1686" s="105">
        <v>1.3973237E7</v>
      </c>
      <c r="Q1686" s="102" t="s">
        <v>2423</v>
      </c>
      <c r="S1686" s="1"/>
      <c r="T1686" s="1"/>
      <c r="U1686" s="1"/>
      <c r="V1686" s="1"/>
      <c r="W1686" s="1"/>
      <c r="X1686" s="1"/>
      <c r="Y1686" s="1"/>
      <c r="Z1686" s="102"/>
      <c r="AA1686" s="102"/>
      <c r="AB1686" s="1"/>
      <c r="AC1686" s="1"/>
      <c r="AD1686" s="1"/>
      <c r="AE1686" s="1"/>
      <c r="AF1686" s="1"/>
      <c r="AG1686" s="1"/>
    </row>
    <row r="1687" ht="15.75" customHeight="1">
      <c r="A1687" s="1"/>
      <c r="B1687" s="1"/>
      <c r="C1687" s="1"/>
      <c r="D1687" s="1"/>
      <c r="E1687" s="1"/>
      <c r="F1687" s="1"/>
      <c r="G1687" s="1"/>
      <c r="H1687" s="1"/>
      <c r="I1687" s="1"/>
      <c r="J1687" s="1"/>
      <c r="K1687" s="102" t="s">
        <v>3159</v>
      </c>
      <c r="L1687" s="102" t="str">
        <f>B30</f>
        <v>J1</v>
      </c>
      <c r="M1687" s="102" t="s">
        <v>3158</v>
      </c>
      <c r="N1687" s="102" t="s">
        <v>3160</v>
      </c>
      <c r="O1687" s="105">
        <v>1.6085117E7</v>
      </c>
      <c r="P1687" s="105">
        <v>1.3973237E7</v>
      </c>
      <c r="Q1687" s="102" t="s">
        <v>2423</v>
      </c>
      <c r="S1687" s="1"/>
      <c r="T1687" s="1"/>
      <c r="U1687" s="1"/>
      <c r="V1687" s="1"/>
      <c r="W1687" s="1"/>
      <c r="X1687" s="1"/>
      <c r="Y1687" s="1"/>
      <c r="Z1687" s="102"/>
      <c r="AA1687" s="102"/>
      <c r="AB1687" s="1"/>
      <c r="AC1687" s="1"/>
      <c r="AD1687" s="1"/>
      <c r="AE1687" s="1"/>
      <c r="AF1687" s="1"/>
      <c r="AG1687" s="1"/>
    </row>
    <row r="1688" ht="15.75" customHeight="1">
      <c r="A1688" s="1"/>
      <c r="B1688" s="1"/>
      <c r="C1688" s="1"/>
      <c r="D1688" s="1"/>
      <c r="E1688" s="1"/>
      <c r="F1688" s="1"/>
      <c r="G1688" s="1"/>
      <c r="H1688" s="1"/>
      <c r="I1688" s="1"/>
      <c r="J1688" s="1"/>
      <c r="K1688" s="102" t="s">
        <v>3161</v>
      </c>
      <c r="L1688" s="102" t="str">
        <f>B30</f>
        <v>J1</v>
      </c>
      <c r="M1688" s="102" t="s">
        <v>3162</v>
      </c>
      <c r="N1688" s="102" t="s">
        <v>3163</v>
      </c>
      <c r="O1688" s="105">
        <v>1.6224404E7</v>
      </c>
      <c r="P1688" s="105">
        <v>1.4112524E7</v>
      </c>
      <c r="Q1688" s="102" t="s">
        <v>2533</v>
      </c>
      <c r="S1688" s="1"/>
      <c r="T1688" s="1"/>
      <c r="U1688" s="1"/>
      <c r="V1688" s="1"/>
      <c r="W1688" s="1"/>
      <c r="X1688" s="1"/>
      <c r="Y1688" s="1"/>
      <c r="Z1688" s="102"/>
      <c r="AA1688" s="102"/>
      <c r="AB1688" s="1"/>
      <c r="AC1688" s="1"/>
      <c r="AD1688" s="1"/>
      <c r="AE1688" s="1"/>
      <c r="AF1688" s="1"/>
      <c r="AG1688" s="1"/>
    </row>
    <row r="1689" ht="15.75" customHeight="1">
      <c r="A1689" s="1"/>
      <c r="B1689" s="1"/>
      <c r="C1689" s="1"/>
      <c r="D1689" s="1"/>
      <c r="E1689" s="1"/>
      <c r="F1689" s="1"/>
      <c r="G1689" s="1"/>
      <c r="H1689" s="1"/>
      <c r="I1689" s="1"/>
      <c r="J1689" s="1"/>
      <c r="K1689" s="102" t="s">
        <v>3162</v>
      </c>
      <c r="L1689" s="102" t="str">
        <f>B30</f>
        <v>J1</v>
      </c>
      <c r="M1689" s="102" t="s">
        <v>3161</v>
      </c>
      <c r="N1689" s="102" t="s">
        <v>3163</v>
      </c>
      <c r="O1689" s="105">
        <v>1.6224404E7</v>
      </c>
      <c r="P1689" s="105">
        <v>1.4112524E7</v>
      </c>
      <c r="Q1689" s="102" t="s">
        <v>2533</v>
      </c>
      <c r="S1689" s="1"/>
      <c r="T1689" s="1"/>
      <c r="U1689" s="1"/>
      <c r="V1689" s="1"/>
      <c r="W1689" s="1"/>
      <c r="X1689" s="1"/>
      <c r="Y1689" s="1"/>
      <c r="Z1689" s="102"/>
      <c r="AA1689" s="102"/>
      <c r="AB1689" s="1"/>
      <c r="AC1689" s="1"/>
      <c r="AD1689" s="1"/>
      <c r="AE1689" s="1"/>
      <c r="AF1689" s="1"/>
      <c r="AG1689" s="1"/>
    </row>
    <row r="1690" ht="15.75" customHeight="1">
      <c r="A1690" s="1"/>
      <c r="B1690" s="1"/>
      <c r="C1690" s="1"/>
      <c r="D1690" s="1"/>
      <c r="E1690" s="1"/>
      <c r="F1690" s="1"/>
      <c r="G1690" s="1"/>
      <c r="H1690" s="1"/>
      <c r="I1690" s="1"/>
      <c r="J1690" s="1"/>
      <c r="K1690" s="102" t="s">
        <v>3164</v>
      </c>
      <c r="L1690" s="102" t="str">
        <f>B30</f>
        <v>J1</v>
      </c>
      <c r="M1690" s="102" t="s">
        <v>3165</v>
      </c>
      <c r="N1690" s="102" t="s">
        <v>3166</v>
      </c>
      <c r="O1690" s="105">
        <v>1.6565907E7</v>
      </c>
      <c r="P1690" s="105">
        <v>1.4454027E7</v>
      </c>
      <c r="Q1690" s="102" t="s">
        <v>2439</v>
      </c>
      <c r="S1690" s="1"/>
      <c r="T1690" s="1"/>
      <c r="U1690" s="1"/>
      <c r="V1690" s="1"/>
      <c r="W1690" s="1"/>
      <c r="X1690" s="1"/>
      <c r="Y1690" s="1"/>
      <c r="Z1690" s="102"/>
      <c r="AA1690" s="102"/>
      <c r="AB1690" s="1"/>
      <c r="AC1690" s="1"/>
      <c r="AD1690" s="1"/>
      <c r="AE1690" s="1"/>
      <c r="AF1690" s="1"/>
      <c r="AG1690" s="1"/>
    </row>
    <row r="1691" ht="15.75" customHeight="1">
      <c r="A1691" s="1"/>
      <c r="B1691" s="1"/>
      <c r="C1691" s="1"/>
      <c r="D1691" s="1"/>
      <c r="E1691" s="1"/>
      <c r="F1691" s="1"/>
      <c r="G1691" s="1"/>
      <c r="H1691" s="1"/>
      <c r="I1691" s="1"/>
      <c r="J1691" s="1"/>
      <c r="K1691" s="102" t="s">
        <v>3165</v>
      </c>
      <c r="L1691" s="102" t="str">
        <f>B30</f>
        <v>J1</v>
      </c>
      <c r="M1691" s="102" t="s">
        <v>3164</v>
      </c>
      <c r="N1691" s="102" t="s">
        <v>3166</v>
      </c>
      <c r="O1691" s="105">
        <v>1.6565907E7</v>
      </c>
      <c r="P1691" s="105">
        <v>1.4454027E7</v>
      </c>
      <c r="Q1691" s="102" t="s">
        <v>2439</v>
      </c>
      <c r="S1691" s="1"/>
      <c r="T1691" s="1"/>
      <c r="U1691" s="1"/>
      <c r="V1691" s="1"/>
      <c r="W1691" s="1"/>
      <c r="X1691" s="1"/>
      <c r="Y1691" s="1"/>
      <c r="Z1691" s="102"/>
      <c r="AA1691" s="102"/>
      <c r="AB1691" s="1"/>
      <c r="AC1691" s="1"/>
      <c r="AD1691" s="1"/>
      <c r="AE1691" s="1"/>
      <c r="AF1691" s="1"/>
      <c r="AG1691" s="1"/>
    </row>
    <row r="1692" ht="15.75" customHeight="1">
      <c r="A1692" s="1"/>
      <c r="B1692" s="1"/>
      <c r="C1692" s="1"/>
      <c r="D1692" s="1"/>
      <c r="E1692" s="1"/>
      <c r="F1692" s="1"/>
      <c r="G1692" s="1"/>
      <c r="H1692" s="1"/>
      <c r="I1692" s="1"/>
      <c r="J1692" s="1"/>
      <c r="K1692" s="102" t="s">
        <v>3167</v>
      </c>
      <c r="L1692" s="102" t="str">
        <f>B30</f>
        <v>J1</v>
      </c>
      <c r="M1692" s="102" t="s">
        <v>3168</v>
      </c>
      <c r="N1692" s="102" t="s">
        <v>3169</v>
      </c>
      <c r="O1692" s="105">
        <v>1.7344419E7</v>
      </c>
      <c r="P1692" s="105">
        <v>1.5232539E7</v>
      </c>
      <c r="Q1692" s="102" t="s">
        <v>2468</v>
      </c>
      <c r="S1692" s="1"/>
      <c r="T1692" s="1"/>
      <c r="U1692" s="1"/>
      <c r="V1692" s="1"/>
      <c r="W1692" s="1"/>
      <c r="X1692" s="1"/>
      <c r="Y1692" s="1"/>
      <c r="Z1692" s="102"/>
      <c r="AA1692" s="102"/>
      <c r="AB1692" s="1"/>
      <c r="AC1692" s="1"/>
      <c r="AD1692" s="1"/>
      <c r="AE1692" s="1"/>
      <c r="AF1692" s="1"/>
      <c r="AG1692" s="1"/>
    </row>
    <row r="1693" ht="15.75" customHeight="1">
      <c r="A1693" s="1"/>
      <c r="B1693" s="1"/>
      <c r="C1693" s="1"/>
      <c r="D1693" s="1"/>
      <c r="E1693" s="1"/>
      <c r="F1693" s="1"/>
      <c r="G1693" s="1"/>
      <c r="H1693" s="1"/>
      <c r="I1693" s="1"/>
      <c r="J1693" s="1"/>
      <c r="K1693" s="102" t="s">
        <v>3168</v>
      </c>
      <c r="L1693" s="102" t="str">
        <f>B30</f>
        <v>J1</v>
      </c>
      <c r="M1693" s="102" t="s">
        <v>3167</v>
      </c>
      <c r="N1693" s="102" t="s">
        <v>3169</v>
      </c>
      <c r="O1693" s="105">
        <v>1.7344419E7</v>
      </c>
      <c r="P1693" s="105">
        <v>1.5232539E7</v>
      </c>
      <c r="Q1693" s="102" t="s">
        <v>2468</v>
      </c>
      <c r="S1693" s="1"/>
      <c r="T1693" s="1"/>
      <c r="U1693" s="1"/>
      <c r="V1693" s="1"/>
      <c r="W1693" s="1"/>
      <c r="X1693" s="1"/>
      <c r="Y1693" s="1"/>
      <c r="Z1693" s="102"/>
      <c r="AA1693" s="102"/>
      <c r="AB1693" s="1"/>
      <c r="AC1693" s="1"/>
      <c r="AD1693" s="1"/>
      <c r="AE1693" s="1"/>
      <c r="AF1693" s="1"/>
      <c r="AG1693" s="1"/>
    </row>
    <row r="1694" ht="15.75" customHeight="1">
      <c r="A1694" s="1"/>
      <c r="B1694" s="1"/>
      <c r="C1694" s="1"/>
      <c r="D1694" s="1"/>
      <c r="E1694" s="1"/>
      <c r="F1694" s="1"/>
      <c r="G1694" s="1"/>
      <c r="H1694" s="1"/>
      <c r="I1694" s="1"/>
      <c r="J1694" s="1"/>
      <c r="K1694" s="102" t="s">
        <v>3170</v>
      </c>
      <c r="L1694" s="102" t="str">
        <f>B30</f>
        <v>J1</v>
      </c>
      <c r="M1694" s="102" t="s">
        <v>3171</v>
      </c>
      <c r="N1694" s="102" t="s">
        <v>3172</v>
      </c>
      <c r="O1694" s="105">
        <v>1.7666837E7</v>
      </c>
      <c r="P1694" s="105">
        <v>1.5554957E7</v>
      </c>
      <c r="Q1694" s="102" t="s">
        <v>2501</v>
      </c>
      <c r="S1694" s="1"/>
      <c r="T1694" s="1"/>
      <c r="U1694" s="1"/>
      <c r="V1694" s="1"/>
      <c r="W1694" s="1"/>
      <c r="X1694" s="1"/>
      <c r="Y1694" s="1"/>
      <c r="Z1694" s="102"/>
      <c r="AA1694" s="102"/>
      <c r="AB1694" s="1"/>
      <c r="AC1694" s="1"/>
      <c r="AD1694" s="1"/>
      <c r="AE1694" s="1"/>
      <c r="AF1694" s="1"/>
      <c r="AG1694" s="1"/>
    </row>
    <row r="1695" ht="15.75" customHeight="1">
      <c r="A1695" s="1"/>
      <c r="B1695" s="1"/>
      <c r="C1695" s="1"/>
      <c r="D1695" s="1"/>
      <c r="E1695" s="1"/>
      <c r="F1695" s="1"/>
      <c r="G1695" s="1"/>
      <c r="H1695" s="1"/>
      <c r="I1695" s="1"/>
      <c r="J1695" s="1"/>
      <c r="K1695" s="102" t="s">
        <v>3171</v>
      </c>
      <c r="L1695" s="102" t="str">
        <f>B30</f>
        <v>J1</v>
      </c>
      <c r="M1695" s="102" t="s">
        <v>3170</v>
      </c>
      <c r="N1695" s="102" t="s">
        <v>3172</v>
      </c>
      <c r="O1695" s="105">
        <v>1.7666837E7</v>
      </c>
      <c r="P1695" s="105">
        <v>1.5554957E7</v>
      </c>
      <c r="Q1695" s="102" t="s">
        <v>2501</v>
      </c>
      <c r="S1695" s="1"/>
      <c r="T1695" s="1"/>
      <c r="U1695" s="1"/>
      <c r="V1695" s="1"/>
      <c r="W1695" s="1"/>
      <c r="X1695" s="1"/>
      <c r="Y1695" s="1"/>
      <c r="Z1695" s="102"/>
      <c r="AA1695" s="102"/>
      <c r="AB1695" s="1"/>
      <c r="AC1695" s="1"/>
      <c r="AD1695" s="1"/>
      <c r="AE1695" s="1"/>
      <c r="AF1695" s="1"/>
      <c r="AG1695" s="1"/>
    </row>
    <row r="1696" ht="15.75" customHeight="1">
      <c r="A1696" s="1"/>
      <c r="B1696" s="1"/>
      <c r="C1696" s="1"/>
      <c r="D1696" s="1"/>
      <c r="E1696" s="1"/>
      <c r="F1696" s="1"/>
      <c r="G1696" s="1"/>
      <c r="H1696" s="1"/>
      <c r="I1696" s="1"/>
      <c r="J1696" s="1"/>
      <c r="K1696" s="102" t="s">
        <v>3173</v>
      </c>
      <c r="L1696" s="102" t="str">
        <f>B30</f>
        <v>J1</v>
      </c>
      <c r="M1696" s="102" t="s">
        <v>3174</v>
      </c>
      <c r="N1696" s="102" t="s">
        <v>3175</v>
      </c>
      <c r="O1696" s="105">
        <v>1.791094E7</v>
      </c>
      <c r="P1696" s="105">
        <v>1.579906E7</v>
      </c>
      <c r="Q1696" s="102" t="s">
        <v>2439</v>
      </c>
      <c r="S1696" s="1"/>
      <c r="T1696" s="1"/>
      <c r="U1696" s="1"/>
      <c r="V1696" s="1"/>
      <c r="W1696" s="1"/>
      <c r="X1696" s="1"/>
      <c r="Y1696" s="1"/>
      <c r="Z1696" s="102"/>
      <c r="AA1696" s="102"/>
      <c r="AB1696" s="1"/>
      <c r="AC1696" s="1"/>
      <c r="AD1696" s="1"/>
      <c r="AE1696" s="1"/>
      <c r="AF1696" s="1"/>
      <c r="AG1696" s="1"/>
    </row>
    <row r="1697" ht="15.75" customHeight="1">
      <c r="A1697" s="1"/>
      <c r="B1697" s="1"/>
      <c r="C1697" s="1"/>
      <c r="D1697" s="1"/>
      <c r="E1697" s="1"/>
      <c r="F1697" s="1"/>
      <c r="G1697" s="1"/>
      <c r="H1697" s="1"/>
      <c r="I1697" s="1"/>
      <c r="J1697" s="1"/>
      <c r="K1697" s="102" t="s">
        <v>3174</v>
      </c>
      <c r="L1697" s="102" t="str">
        <f>B30</f>
        <v>J1</v>
      </c>
      <c r="M1697" s="102" t="s">
        <v>3173</v>
      </c>
      <c r="N1697" s="102" t="s">
        <v>3175</v>
      </c>
      <c r="O1697" s="105">
        <v>1.791094E7</v>
      </c>
      <c r="P1697" s="105">
        <v>1.579906E7</v>
      </c>
      <c r="Q1697" s="102" t="s">
        <v>2439</v>
      </c>
      <c r="S1697" s="1"/>
      <c r="T1697" s="1"/>
      <c r="U1697" s="1"/>
      <c r="V1697" s="1"/>
      <c r="W1697" s="1"/>
      <c r="X1697" s="1"/>
      <c r="Y1697" s="1"/>
      <c r="Z1697" s="102"/>
      <c r="AA1697" s="102"/>
      <c r="AB1697" s="1"/>
      <c r="AC1697" s="1"/>
      <c r="AD1697" s="1"/>
      <c r="AE1697" s="1"/>
      <c r="AF1697" s="1"/>
      <c r="AG1697" s="1"/>
    </row>
    <row r="1698" ht="15.75" customHeight="1">
      <c r="A1698" s="1"/>
      <c r="B1698" s="1"/>
      <c r="C1698" s="1"/>
      <c r="D1698" s="1"/>
      <c r="E1698" s="1"/>
      <c r="F1698" s="1"/>
      <c r="G1698" s="1"/>
      <c r="H1698" s="1"/>
      <c r="I1698" s="1"/>
      <c r="J1698" s="1"/>
      <c r="K1698" s="102" t="s">
        <v>3176</v>
      </c>
      <c r="L1698" s="102" t="str">
        <f>B30</f>
        <v>J1</v>
      </c>
      <c r="M1698" s="102" t="s">
        <v>3177</v>
      </c>
      <c r="N1698" s="102" t="s">
        <v>3178</v>
      </c>
      <c r="O1698" s="102">
        <v>1.9213085E7</v>
      </c>
      <c r="P1698" s="102">
        <v>1.7101205E7</v>
      </c>
      <c r="Q1698" s="102" t="s">
        <v>2529</v>
      </c>
      <c r="S1698" s="1"/>
      <c r="T1698" s="1"/>
      <c r="U1698" s="1"/>
      <c r="V1698" s="1"/>
      <c r="W1698" s="1"/>
      <c r="X1698" s="1"/>
      <c r="Y1698" s="1"/>
      <c r="Z1698" s="102">
        <v>1.9213085E7</v>
      </c>
      <c r="AA1698" s="102" t="s">
        <v>3179</v>
      </c>
      <c r="AB1698" s="1"/>
      <c r="AC1698" s="1"/>
      <c r="AD1698" s="1"/>
      <c r="AE1698" s="1"/>
      <c r="AF1698" s="1"/>
      <c r="AG1698" s="1"/>
    </row>
    <row r="1699" ht="15.75" customHeight="1">
      <c r="A1699" s="1"/>
      <c r="B1699" s="1"/>
      <c r="C1699" s="1"/>
      <c r="D1699" s="1"/>
      <c r="E1699" s="1"/>
      <c r="F1699" s="1"/>
      <c r="G1699" s="1"/>
      <c r="H1699" s="1"/>
      <c r="I1699" s="1"/>
      <c r="J1699" s="1"/>
      <c r="K1699" s="102" t="s">
        <v>3180</v>
      </c>
      <c r="L1699" s="102" t="str">
        <f>B30</f>
        <v>J1</v>
      </c>
      <c r="M1699" s="102" t="s">
        <v>3181</v>
      </c>
      <c r="N1699" s="102" t="s">
        <v>3178</v>
      </c>
      <c r="O1699" s="102">
        <v>1.9213085E7</v>
      </c>
      <c r="P1699" s="102">
        <v>1.7101205E7</v>
      </c>
      <c r="Q1699" s="102" t="s">
        <v>2529</v>
      </c>
      <c r="S1699" s="1"/>
      <c r="T1699" s="1"/>
      <c r="U1699" s="1"/>
      <c r="V1699" s="1"/>
      <c r="W1699" s="1"/>
      <c r="X1699" s="1"/>
      <c r="Y1699" s="1"/>
      <c r="Z1699" s="102"/>
      <c r="AA1699" s="102"/>
      <c r="AB1699" s="1"/>
      <c r="AC1699" s="1"/>
      <c r="AD1699" s="1"/>
      <c r="AE1699" s="1"/>
      <c r="AF1699" s="1"/>
      <c r="AG1699" s="1"/>
    </row>
    <row r="1700" ht="15.75" customHeight="1">
      <c r="A1700" s="1"/>
      <c r="B1700" s="1"/>
      <c r="C1700" s="1"/>
      <c r="D1700" s="1"/>
      <c r="E1700" s="1"/>
      <c r="F1700" s="1"/>
      <c r="G1700" s="1"/>
      <c r="H1700" s="1"/>
      <c r="I1700" s="1"/>
      <c r="J1700" s="1"/>
      <c r="K1700" s="102" t="s">
        <v>3182</v>
      </c>
      <c r="L1700" s="102" t="str">
        <f>B30</f>
        <v>J1</v>
      </c>
      <c r="M1700" s="102" t="s">
        <v>3183</v>
      </c>
      <c r="N1700" s="102" t="s">
        <v>3178</v>
      </c>
      <c r="O1700" s="102">
        <v>1.9213085E7</v>
      </c>
      <c r="P1700" s="102">
        <v>1.7101205E7</v>
      </c>
      <c r="Q1700" s="102" t="s">
        <v>2529</v>
      </c>
      <c r="S1700" s="1"/>
      <c r="T1700" s="1"/>
      <c r="U1700" s="1"/>
      <c r="V1700" s="1"/>
      <c r="W1700" s="1"/>
      <c r="X1700" s="1"/>
      <c r="Y1700" s="1"/>
      <c r="Z1700" s="102">
        <v>1.9213085E7</v>
      </c>
      <c r="AA1700" s="102" t="s">
        <v>3179</v>
      </c>
      <c r="AB1700" s="1"/>
      <c r="AC1700" s="1"/>
      <c r="AD1700" s="1"/>
      <c r="AE1700" s="1"/>
      <c r="AF1700" s="1"/>
      <c r="AG1700" s="1"/>
    </row>
    <row r="1701" ht="15.75" customHeight="1">
      <c r="A1701" s="1"/>
      <c r="B1701" s="1"/>
      <c r="C1701" s="1"/>
      <c r="D1701" s="1"/>
      <c r="E1701" s="1"/>
      <c r="F1701" s="1"/>
      <c r="G1701" s="1"/>
      <c r="H1701" s="1"/>
      <c r="I1701" s="1"/>
      <c r="J1701" s="1"/>
      <c r="K1701" s="102" t="s">
        <v>3184</v>
      </c>
      <c r="L1701" s="102" t="str">
        <f>B30</f>
        <v>J1</v>
      </c>
      <c r="M1701" s="102"/>
      <c r="N1701" s="102" t="s">
        <v>3185</v>
      </c>
      <c r="O1701" s="105">
        <v>2.0835944E7</v>
      </c>
      <c r="P1701" s="105">
        <v>1.8674058E7</v>
      </c>
      <c r="Q1701" s="102" t="s">
        <v>2501</v>
      </c>
      <c r="S1701" s="1"/>
      <c r="T1701" s="1"/>
      <c r="U1701" s="1"/>
      <c r="V1701" s="1"/>
      <c r="W1701" s="1"/>
      <c r="X1701" s="1"/>
      <c r="Y1701" s="1"/>
      <c r="Z1701" s="102"/>
      <c r="AA1701" s="102"/>
      <c r="AB1701" s="1"/>
      <c r="AC1701" s="1"/>
      <c r="AD1701" s="1"/>
      <c r="AE1701" s="1"/>
      <c r="AF1701" s="1"/>
      <c r="AG1701" s="1"/>
    </row>
    <row r="1702" ht="15.75" customHeight="1">
      <c r="A1702" s="1"/>
      <c r="B1702" s="1"/>
      <c r="C1702" s="1"/>
      <c r="D1702" s="1"/>
      <c r="E1702" s="1"/>
      <c r="F1702" s="1"/>
      <c r="G1702" s="1"/>
      <c r="H1702" s="1"/>
      <c r="I1702" s="1"/>
      <c r="J1702" s="1"/>
      <c r="K1702" s="102" t="s">
        <v>3186</v>
      </c>
      <c r="L1702" s="102" t="str">
        <f>B30</f>
        <v>J1</v>
      </c>
      <c r="M1702" s="102"/>
      <c r="N1702" s="102" t="s">
        <v>3187</v>
      </c>
      <c r="O1702" s="105">
        <v>2.1210798E7</v>
      </c>
      <c r="P1702" s="105">
        <v>1.9048912E7</v>
      </c>
      <c r="Q1702" s="102" t="s">
        <v>2439</v>
      </c>
      <c r="S1702" s="1"/>
      <c r="T1702" s="1"/>
      <c r="U1702" s="1"/>
      <c r="V1702" s="1"/>
      <c r="W1702" s="1"/>
      <c r="X1702" s="1"/>
      <c r="Y1702" s="1"/>
      <c r="Z1702" s="102"/>
      <c r="AA1702" s="102"/>
      <c r="AB1702" s="1"/>
      <c r="AC1702" s="1"/>
      <c r="AD1702" s="1"/>
      <c r="AE1702" s="1"/>
      <c r="AF1702" s="1"/>
      <c r="AG1702" s="1"/>
    </row>
    <row r="1703" ht="15.75" customHeight="1">
      <c r="A1703" s="1"/>
      <c r="B1703" s="1"/>
      <c r="C1703" s="1"/>
      <c r="D1703" s="1"/>
      <c r="E1703" s="1"/>
      <c r="F1703" s="1"/>
      <c r="G1703" s="1"/>
      <c r="H1703" s="1"/>
      <c r="I1703" s="1"/>
      <c r="J1703" s="1"/>
      <c r="K1703" s="102" t="s">
        <v>3188</v>
      </c>
      <c r="L1703" s="102" t="str">
        <f>B30</f>
        <v>J1</v>
      </c>
      <c r="M1703" s="102"/>
      <c r="N1703" s="102" t="s">
        <v>3189</v>
      </c>
      <c r="O1703" s="105">
        <v>2.1249188E7</v>
      </c>
      <c r="P1703" s="105">
        <v>1.9087302E7</v>
      </c>
      <c r="Q1703" s="102" t="s">
        <v>2514</v>
      </c>
      <c r="S1703" s="1"/>
      <c r="T1703" s="1"/>
      <c r="U1703" s="1"/>
      <c r="V1703" s="1"/>
      <c r="W1703" s="1"/>
      <c r="X1703" s="1"/>
      <c r="Y1703" s="1"/>
      <c r="Z1703" s="102"/>
      <c r="AA1703" s="102"/>
      <c r="AB1703" s="1"/>
      <c r="AC1703" s="1"/>
      <c r="AD1703" s="1"/>
      <c r="AE1703" s="1"/>
      <c r="AF1703" s="1"/>
      <c r="AG1703" s="1"/>
    </row>
    <row r="1704" ht="15.75" customHeight="1">
      <c r="A1704" s="1"/>
      <c r="B1704" s="1"/>
      <c r="C1704" s="1"/>
      <c r="D1704" s="1"/>
      <c r="E1704" s="1"/>
      <c r="F1704" s="1"/>
      <c r="G1704" s="1"/>
      <c r="H1704" s="1"/>
      <c r="I1704" s="1"/>
      <c r="J1704" s="1"/>
      <c r="K1704" s="102" t="s">
        <v>3190</v>
      </c>
      <c r="L1704" s="102" t="str">
        <f>B30</f>
        <v>J1</v>
      </c>
      <c r="M1704" s="102"/>
      <c r="N1704" s="102" t="s">
        <v>3191</v>
      </c>
      <c r="O1704" s="105">
        <v>2.1261951E7</v>
      </c>
      <c r="P1704" s="105">
        <v>1.9100065E7</v>
      </c>
      <c r="Q1704" s="102" t="s">
        <v>2501</v>
      </c>
      <c r="S1704" s="1"/>
      <c r="T1704" s="1"/>
      <c r="U1704" s="1"/>
      <c r="V1704" s="1"/>
      <c r="W1704" s="1"/>
      <c r="X1704" s="1"/>
      <c r="Y1704" s="1"/>
      <c r="Z1704" s="102"/>
      <c r="AA1704" s="102"/>
      <c r="AB1704" s="1"/>
      <c r="AC1704" s="1"/>
      <c r="AD1704" s="1"/>
      <c r="AE1704" s="1"/>
      <c r="AF1704" s="1"/>
      <c r="AG1704" s="1"/>
    </row>
    <row r="1705" ht="15.75" customHeight="1">
      <c r="A1705" s="1"/>
      <c r="B1705" s="1"/>
      <c r="C1705" s="1"/>
      <c r="D1705" s="1"/>
      <c r="E1705" s="1"/>
      <c r="F1705" s="1"/>
      <c r="G1705" s="1"/>
      <c r="H1705" s="1"/>
      <c r="I1705" s="1"/>
      <c r="J1705" s="1"/>
      <c r="K1705" s="102" t="s">
        <v>3192</v>
      </c>
      <c r="L1705" s="102" t="str">
        <f>B30</f>
        <v>J1</v>
      </c>
      <c r="M1705" s="102"/>
      <c r="N1705" s="102" t="s">
        <v>3193</v>
      </c>
      <c r="O1705" s="105">
        <v>2.1264208E7</v>
      </c>
      <c r="P1705" s="105">
        <v>1.9102322E7</v>
      </c>
      <c r="Q1705" s="102" t="s">
        <v>2446</v>
      </c>
      <c r="S1705" s="1"/>
      <c r="T1705" s="1"/>
      <c r="U1705" s="1"/>
      <c r="V1705" s="1"/>
      <c r="W1705" s="1"/>
      <c r="X1705" s="1"/>
      <c r="Y1705" s="1"/>
      <c r="Z1705" s="102"/>
      <c r="AA1705" s="102"/>
      <c r="AB1705" s="1"/>
      <c r="AC1705" s="1"/>
      <c r="AD1705" s="1"/>
      <c r="AE1705" s="1"/>
      <c r="AF1705" s="1"/>
      <c r="AG1705" s="1"/>
    </row>
    <row r="1706" ht="15.75" customHeight="1">
      <c r="A1706" s="1"/>
      <c r="B1706" s="1"/>
      <c r="C1706" s="1"/>
      <c r="D1706" s="1"/>
      <c r="E1706" s="1"/>
      <c r="F1706" s="1"/>
      <c r="G1706" s="1"/>
      <c r="H1706" s="1"/>
      <c r="I1706" s="1"/>
      <c r="J1706" s="1"/>
      <c r="K1706" s="102" t="s">
        <v>3194</v>
      </c>
      <c r="L1706" s="102" t="str">
        <f>B30</f>
        <v>J1</v>
      </c>
      <c r="M1706" s="102"/>
      <c r="N1706" s="102" t="s">
        <v>3195</v>
      </c>
      <c r="O1706" s="105">
        <v>2.1290706E7</v>
      </c>
      <c r="P1706" s="105">
        <v>1.912882E7</v>
      </c>
      <c r="Q1706" s="102" t="s">
        <v>2533</v>
      </c>
      <c r="S1706" s="1"/>
      <c r="T1706" s="1"/>
      <c r="U1706" s="1"/>
      <c r="V1706" s="1"/>
      <c r="W1706" s="1"/>
      <c r="X1706" s="1"/>
      <c r="Y1706" s="1"/>
      <c r="Z1706" s="102"/>
      <c r="AA1706" s="102"/>
      <c r="AB1706" s="1"/>
      <c r="AC1706" s="1"/>
      <c r="AD1706" s="1"/>
      <c r="AE1706" s="1"/>
      <c r="AF1706" s="1"/>
      <c r="AG1706" s="1"/>
    </row>
    <row r="1707" ht="15.75" customHeight="1">
      <c r="A1707" s="1"/>
      <c r="B1707" s="1"/>
      <c r="C1707" s="1"/>
      <c r="D1707" s="1"/>
      <c r="E1707" s="1"/>
      <c r="F1707" s="1"/>
      <c r="G1707" s="1"/>
      <c r="H1707" s="1"/>
      <c r="I1707" s="1"/>
      <c r="J1707" s="1"/>
      <c r="K1707" s="102" t="s">
        <v>3196</v>
      </c>
      <c r="L1707" s="102" t="str">
        <f>B30</f>
        <v>J1</v>
      </c>
      <c r="M1707" s="102"/>
      <c r="N1707" s="102" t="s">
        <v>3197</v>
      </c>
      <c r="O1707" s="105">
        <v>2.1533396E7</v>
      </c>
      <c r="P1707" s="105">
        <v>1.937151E7</v>
      </c>
      <c r="Q1707" s="102" t="s">
        <v>2529</v>
      </c>
      <c r="S1707" s="1"/>
      <c r="T1707" s="1"/>
      <c r="U1707" s="1"/>
      <c r="V1707" s="1"/>
      <c r="W1707" s="1"/>
      <c r="X1707" s="1"/>
      <c r="Y1707" s="1"/>
      <c r="Z1707" s="102"/>
      <c r="AA1707" s="102"/>
      <c r="AB1707" s="1"/>
      <c r="AC1707" s="1"/>
      <c r="AD1707" s="1"/>
      <c r="AE1707" s="1"/>
      <c r="AF1707" s="1"/>
      <c r="AG1707" s="1"/>
    </row>
    <row r="1708" ht="15.75" customHeight="1">
      <c r="A1708" s="1"/>
      <c r="B1708" s="1"/>
      <c r="C1708" s="1"/>
      <c r="D1708" s="1"/>
      <c r="E1708" s="1"/>
      <c r="F1708" s="1"/>
      <c r="G1708" s="1"/>
      <c r="H1708" s="1"/>
      <c r="I1708" s="1"/>
      <c r="J1708" s="1"/>
      <c r="K1708" s="102" t="s">
        <v>3198</v>
      </c>
      <c r="L1708" s="102" t="str">
        <f>B30</f>
        <v>J1</v>
      </c>
      <c r="M1708" s="102"/>
      <c r="N1708" s="102" t="s">
        <v>3199</v>
      </c>
      <c r="O1708" s="105">
        <v>2.1682103E7</v>
      </c>
      <c r="P1708" s="105">
        <v>1.9520217E7</v>
      </c>
      <c r="Q1708" s="102" t="s">
        <v>2533</v>
      </c>
      <c r="S1708" s="1"/>
      <c r="T1708" s="1"/>
      <c r="U1708" s="1"/>
      <c r="V1708" s="1"/>
      <c r="W1708" s="1"/>
      <c r="X1708" s="1"/>
      <c r="Y1708" s="1"/>
      <c r="Z1708" s="102"/>
      <c r="AA1708" s="102"/>
      <c r="AB1708" s="1"/>
      <c r="AC1708" s="1"/>
      <c r="AD1708" s="1"/>
      <c r="AE1708" s="1"/>
      <c r="AF1708" s="1"/>
      <c r="AG1708" s="1"/>
    </row>
    <row r="1709" ht="15.75" customHeight="1">
      <c r="A1709" s="1"/>
      <c r="B1709" s="1"/>
      <c r="C1709" s="1"/>
      <c r="D1709" s="1"/>
      <c r="E1709" s="1"/>
      <c r="F1709" s="1"/>
      <c r="G1709" s="1"/>
      <c r="H1709" s="1"/>
      <c r="I1709" s="1"/>
      <c r="J1709" s="1"/>
      <c r="K1709" s="102" t="s">
        <v>3200</v>
      </c>
      <c r="L1709" s="102" t="str">
        <f>B30</f>
        <v>J1</v>
      </c>
      <c r="M1709" s="102"/>
      <c r="N1709" s="102" t="s">
        <v>3201</v>
      </c>
      <c r="O1709" s="105">
        <v>2.1743921E7</v>
      </c>
      <c r="P1709" s="105">
        <v>1.9582035E7</v>
      </c>
      <c r="Q1709" s="102" t="s">
        <v>2529</v>
      </c>
      <c r="S1709" s="1"/>
      <c r="T1709" s="1"/>
      <c r="U1709" s="1"/>
      <c r="V1709" s="1"/>
      <c r="W1709" s="1"/>
      <c r="X1709" s="1"/>
      <c r="Y1709" s="1"/>
      <c r="Z1709" s="102"/>
      <c r="AA1709" s="102"/>
      <c r="AB1709" s="1"/>
      <c r="AC1709" s="1"/>
      <c r="AD1709" s="1"/>
      <c r="AE1709" s="1"/>
      <c r="AF1709" s="1"/>
      <c r="AG1709" s="1"/>
    </row>
    <row r="1710" ht="15.75" customHeight="1">
      <c r="A1710" s="1"/>
      <c r="B1710" s="1"/>
      <c r="C1710" s="1"/>
      <c r="D1710" s="1"/>
      <c r="E1710" s="1"/>
      <c r="F1710" s="1"/>
      <c r="G1710" s="1"/>
      <c r="H1710" s="1"/>
      <c r="I1710" s="1"/>
      <c r="J1710" s="1"/>
      <c r="K1710" s="102" t="s">
        <v>3202</v>
      </c>
      <c r="L1710" s="102" t="str">
        <f>B30</f>
        <v>J1</v>
      </c>
      <c r="M1710" s="102"/>
      <c r="N1710" s="102" t="s">
        <v>3203</v>
      </c>
      <c r="O1710" s="105">
        <v>2.2022717E7</v>
      </c>
      <c r="P1710" s="105">
        <v>1.9860831E7</v>
      </c>
      <c r="Q1710" s="102" t="s">
        <v>2468</v>
      </c>
      <c r="S1710" s="1"/>
      <c r="T1710" s="1"/>
      <c r="U1710" s="1"/>
      <c r="V1710" s="1"/>
      <c r="W1710" s="1"/>
      <c r="X1710" s="1"/>
      <c r="Y1710" s="1"/>
      <c r="Z1710" s="102"/>
      <c r="AA1710" s="102"/>
      <c r="AB1710" s="1"/>
      <c r="AC1710" s="1"/>
      <c r="AD1710" s="1"/>
      <c r="AE1710" s="1"/>
      <c r="AF1710" s="1"/>
      <c r="AG1710" s="1"/>
    </row>
    <row r="1711" ht="15.75" customHeight="1">
      <c r="A1711" s="1"/>
      <c r="B1711" s="1"/>
      <c r="C1711" s="1"/>
      <c r="D1711" s="1"/>
      <c r="E1711" s="1"/>
      <c r="F1711" s="1"/>
      <c r="G1711" s="1"/>
      <c r="H1711" s="1"/>
      <c r="I1711" s="1"/>
      <c r="J1711" s="1"/>
      <c r="K1711" s="102" t="s">
        <v>3204</v>
      </c>
      <c r="L1711" s="102" t="str">
        <f>B30</f>
        <v>J1</v>
      </c>
      <c r="M1711" s="102" t="s">
        <v>3205</v>
      </c>
      <c r="N1711" s="102" t="s">
        <v>3206</v>
      </c>
      <c r="O1711" s="105">
        <v>2.2086259E7</v>
      </c>
      <c r="P1711" s="105">
        <v>1.9924373E7</v>
      </c>
      <c r="Q1711" s="102" t="s">
        <v>2468</v>
      </c>
      <c r="S1711" s="1"/>
      <c r="T1711" s="1"/>
      <c r="U1711" s="1"/>
      <c r="V1711" s="1"/>
      <c r="W1711" s="1"/>
      <c r="X1711" s="1"/>
      <c r="Y1711" s="1"/>
      <c r="Z1711" s="102"/>
      <c r="AA1711" s="102"/>
      <c r="AB1711" s="1"/>
      <c r="AC1711" s="1"/>
      <c r="AD1711" s="1"/>
      <c r="AE1711" s="1"/>
      <c r="AF1711" s="1"/>
      <c r="AG1711" s="1"/>
    </row>
    <row r="1712" ht="15.75" customHeight="1">
      <c r="A1712" s="1"/>
      <c r="B1712" s="1"/>
      <c r="C1712" s="1"/>
      <c r="D1712" s="1"/>
      <c r="E1712" s="1"/>
      <c r="F1712" s="1"/>
      <c r="G1712" s="1"/>
      <c r="H1712" s="1"/>
      <c r="I1712" s="1"/>
      <c r="J1712" s="1"/>
      <c r="K1712" s="102" t="s">
        <v>3205</v>
      </c>
      <c r="L1712" s="102" t="str">
        <f>B30</f>
        <v>J1</v>
      </c>
      <c r="M1712" s="102" t="s">
        <v>3204</v>
      </c>
      <c r="N1712" s="102" t="s">
        <v>3206</v>
      </c>
      <c r="O1712" s="105">
        <v>2.2086259E7</v>
      </c>
      <c r="P1712" s="105">
        <v>1.9924373E7</v>
      </c>
      <c r="Q1712" s="102" t="s">
        <v>2468</v>
      </c>
      <c r="S1712" s="1"/>
      <c r="T1712" s="1"/>
      <c r="U1712" s="1"/>
      <c r="V1712" s="1"/>
      <c r="W1712" s="1"/>
      <c r="X1712" s="1"/>
      <c r="Y1712" s="1"/>
      <c r="Z1712" s="102"/>
      <c r="AA1712" s="102"/>
      <c r="AB1712" s="1"/>
      <c r="AC1712" s="1"/>
      <c r="AD1712" s="1"/>
      <c r="AE1712" s="1"/>
      <c r="AF1712" s="1"/>
      <c r="AG1712" s="1"/>
    </row>
    <row r="1713" ht="15.75" customHeight="1">
      <c r="A1713" s="1"/>
      <c r="B1713" s="1"/>
      <c r="C1713" s="1"/>
      <c r="D1713" s="1"/>
      <c r="E1713" s="1"/>
      <c r="F1713" s="1"/>
      <c r="G1713" s="1"/>
      <c r="H1713" s="1"/>
      <c r="I1713" s="1"/>
      <c r="J1713" s="1"/>
      <c r="K1713" s="102" t="s">
        <v>3207</v>
      </c>
      <c r="L1713" s="102" t="str">
        <f>B30</f>
        <v>J1</v>
      </c>
      <c r="M1713" s="102"/>
      <c r="N1713" s="102" t="s">
        <v>3208</v>
      </c>
      <c r="O1713" s="105">
        <v>2.2628779E7</v>
      </c>
      <c r="P1713" s="105">
        <v>2.0466893E7</v>
      </c>
      <c r="Q1713" s="102" t="s">
        <v>2501</v>
      </c>
      <c r="S1713" s="1"/>
      <c r="T1713" s="1"/>
      <c r="U1713" s="1"/>
      <c r="V1713" s="1"/>
      <c r="W1713" s="1"/>
      <c r="X1713" s="1"/>
      <c r="Y1713" s="1"/>
      <c r="Z1713" s="102"/>
      <c r="AA1713" s="102"/>
      <c r="AB1713" s="1"/>
      <c r="AC1713" s="1"/>
      <c r="AD1713" s="1"/>
      <c r="AE1713" s="1"/>
      <c r="AF1713" s="1"/>
      <c r="AG1713" s="1"/>
    </row>
    <row r="1714" ht="15.75" customHeight="1">
      <c r="A1714" s="1"/>
      <c r="B1714" s="1"/>
      <c r="C1714" s="1"/>
      <c r="D1714" s="1"/>
      <c r="E1714" s="1"/>
      <c r="F1714" s="1"/>
      <c r="G1714" s="1"/>
      <c r="H1714" s="1"/>
      <c r="I1714" s="1"/>
      <c r="J1714" s="1"/>
      <c r="K1714" s="102" t="s">
        <v>3209</v>
      </c>
      <c r="L1714" s="102" t="str">
        <f>B30</f>
        <v>J1</v>
      </c>
      <c r="M1714" s="102"/>
      <c r="N1714" s="102" t="s">
        <v>3210</v>
      </c>
      <c r="O1714" s="105">
        <v>2.379094E7</v>
      </c>
      <c r="P1714" s="105">
        <v>2.1629054E7</v>
      </c>
      <c r="Q1714" s="102" t="s">
        <v>2529</v>
      </c>
      <c r="S1714" s="1"/>
      <c r="T1714" s="1"/>
      <c r="U1714" s="1"/>
      <c r="V1714" s="1"/>
      <c r="W1714" s="1"/>
      <c r="X1714" s="1"/>
      <c r="Y1714" s="1"/>
      <c r="Z1714" s="102"/>
      <c r="AA1714" s="102"/>
      <c r="AB1714" s="1"/>
      <c r="AC1714" s="1"/>
      <c r="AD1714" s="1"/>
      <c r="AE1714" s="1"/>
      <c r="AF1714" s="1"/>
      <c r="AG1714" s="1"/>
    </row>
    <row r="1715" ht="15.75" customHeight="1">
      <c r="A1715" s="1"/>
      <c r="B1715" s="1"/>
      <c r="C1715" s="1"/>
      <c r="D1715" s="1"/>
      <c r="E1715" s="1"/>
      <c r="F1715" s="1"/>
      <c r="G1715" s="1"/>
      <c r="H1715" s="1"/>
      <c r="I1715" s="1"/>
      <c r="J1715" s="1"/>
      <c r="K1715" s="102" t="s">
        <v>3211</v>
      </c>
      <c r="L1715" s="102" t="str">
        <f>C31</f>
        <v>J1a</v>
      </c>
      <c r="M1715" s="102" t="s">
        <v>3212</v>
      </c>
      <c r="N1715" s="102" t="s">
        <v>3213</v>
      </c>
      <c r="O1715" s="105">
        <v>1.6227302E7</v>
      </c>
      <c r="P1715" s="105">
        <v>1.4115422E7</v>
      </c>
      <c r="Q1715" s="102" t="s">
        <v>2439</v>
      </c>
      <c r="S1715" s="1"/>
      <c r="T1715" s="1"/>
      <c r="U1715" s="1"/>
      <c r="V1715" s="1"/>
      <c r="W1715" s="1"/>
      <c r="X1715" s="1"/>
      <c r="Y1715" s="1"/>
      <c r="Z1715" s="102"/>
      <c r="AA1715" s="102"/>
      <c r="AB1715" s="1"/>
      <c r="AC1715" s="1"/>
      <c r="AD1715" s="1"/>
      <c r="AE1715" s="1"/>
      <c r="AF1715" s="1"/>
      <c r="AG1715" s="1"/>
    </row>
    <row r="1716" ht="15.75" customHeight="1">
      <c r="A1716" s="1"/>
      <c r="B1716" s="1"/>
      <c r="C1716" s="1"/>
      <c r="D1716" s="1"/>
      <c r="E1716" s="1"/>
      <c r="F1716" s="1"/>
      <c r="G1716" s="1"/>
      <c r="H1716" s="1"/>
      <c r="I1716" s="1"/>
      <c r="J1716" s="1"/>
      <c r="K1716" s="102" t="s">
        <v>3212</v>
      </c>
      <c r="L1716" s="102" t="str">
        <f>C31</f>
        <v>J1a</v>
      </c>
      <c r="M1716" s="102" t="s">
        <v>3211</v>
      </c>
      <c r="N1716" s="102" t="s">
        <v>3213</v>
      </c>
      <c r="O1716" s="105">
        <v>1.6227302E7</v>
      </c>
      <c r="P1716" s="105">
        <v>1.4115422E7</v>
      </c>
      <c r="Q1716" s="102" t="s">
        <v>2439</v>
      </c>
      <c r="S1716" s="1"/>
      <c r="T1716" s="1"/>
      <c r="U1716" s="1"/>
      <c r="V1716" s="1"/>
      <c r="W1716" s="1"/>
      <c r="X1716" s="1"/>
      <c r="Y1716" s="1"/>
      <c r="Z1716" s="102"/>
      <c r="AA1716" s="102"/>
      <c r="AB1716" s="1"/>
      <c r="AC1716" s="1"/>
      <c r="AD1716" s="1"/>
      <c r="AE1716" s="1"/>
      <c r="AF1716" s="1"/>
      <c r="AG1716" s="1"/>
    </row>
    <row r="1717" ht="15.75" customHeight="1">
      <c r="A1717" s="1"/>
      <c r="B1717" s="1"/>
      <c r="C1717" s="1"/>
      <c r="D1717" s="1"/>
      <c r="E1717" s="1"/>
      <c r="F1717" s="1"/>
      <c r="G1717" s="1"/>
      <c r="H1717" s="1"/>
      <c r="I1717" s="1"/>
      <c r="J1717" s="1"/>
      <c r="K1717" s="102" t="s">
        <v>3214</v>
      </c>
      <c r="L1717" s="102" t="str">
        <f>C31</f>
        <v>J1a</v>
      </c>
      <c r="M1717" s="102" t="s">
        <v>3215</v>
      </c>
      <c r="N1717" s="102" t="s">
        <v>3216</v>
      </c>
      <c r="O1717" s="105">
        <v>1.4642199E7</v>
      </c>
      <c r="P1717" s="105">
        <v>1.2530268E7</v>
      </c>
      <c r="Q1717" s="102" t="s">
        <v>2501</v>
      </c>
      <c r="S1717" s="1"/>
      <c r="T1717" s="1"/>
      <c r="U1717" s="1"/>
      <c r="V1717" s="1"/>
      <c r="W1717" s="1"/>
      <c r="X1717" s="1"/>
      <c r="Y1717" s="1"/>
      <c r="Z1717" s="102"/>
      <c r="AA1717" s="102"/>
      <c r="AB1717" s="1"/>
      <c r="AC1717" s="1"/>
      <c r="AD1717" s="1"/>
      <c r="AE1717" s="1"/>
      <c r="AF1717" s="1"/>
      <c r="AG1717" s="1"/>
    </row>
    <row r="1718" ht="15.75" customHeight="1">
      <c r="A1718" s="1"/>
      <c r="B1718" s="1"/>
      <c r="C1718" s="1"/>
      <c r="D1718" s="1"/>
      <c r="E1718" s="1"/>
      <c r="F1718" s="1"/>
      <c r="G1718" s="1"/>
      <c r="H1718" s="1"/>
      <c r="I1718" s="1"/>
      <c r="J1718" s="1"/>
      <c r="K1718" s="102" t="s">
        <v>3217</v>
      </c>
      <c r="L1718" s="102" t="str">
        <f>C31</f>
        <v>J1a</v>
      </c>
      <c r="M1718" s="102" t="s">
        <v>3218</v>
      </c>
      <c r="N1718" s="102" t="s">
        <v>3216</v>
      </c>
      <c r="O1718" s="105">
        <v>1.4642199E7</v>
      </c>
      <c r="P1718" s="105">
        <v>1.2530268E7</v>
      </c>
      <c r="Q1718" s="102" t="s">
        <v>2501</v>
      </c>
      <c r="S1718" s="1"/>
      <c r="T1718" s="1"/>
      <c r="U1718" s="1"/>
      <c r="V1718" s="1"/>
      <c r="W1718" s="1"/>
      <c r="X1718" s="1"/>
      <c r="Y1718" s="1"/>
      <c r="Z1718" s="102"/>
      <c r="AA1718" s="102"/>
      <c r="AB1718" s="1"/>
      <c r="AC1718" s="1"/>
      <c r="AD1718" s="1"/>
      <c r="AE1718" s="1"/>
      <c r="AF1718" s="1"/>
      <c r="AG1718" s="1"/>
    </row>
    <row r="1719" ht="15.75" customHeight="1">
      <c r="A1719" s="1"/>
      <c r="B1719" s="1"/>
      <c r="C1719" s="1"/>
      <c r="D1719" s="1"/>
      <c r="E1719" s="1"/>
      <c r="F1719" s="1"/>
      <c r="G1719" s="1"/>
      <c r="H1719" s="1"/>
      <c r="I1719" s="1"/>
      <c r="J1719" s="1"/>
      <c r="K1719" s="102" t="s">
        <v>3219</v>
      </c>
      <c r="L1719" s="102" t="str">
        <f>C31</f>
        <v>J1a</v>
      </c>
      <c r="M1719" s="102" t="s">
        <v>3220</v>
      </c>
      <c r="N1719" s="102" t="s">
        <v>3216</v>
      </c>
      <c r="O1719" s="105">
        <v>1.4642199E7</v>
      </c>
      <c r="P1719" s="105">
        <v>1.2530268E7</v>
      </c>
      <c r="Q1719" s="102" t="s">
        <v>2501</v>
      </c>
      <c r="S1719" s="1"/>
      <c r="T1719" s="1"/>
      <c r="U1719" s="1"/>
      <c r="V1719" s="1"/>
      <c r="W1719" s="1"/>
      <c r="X1719" s="1"/>
      <c r="Y1719" s="1"/>
      <c r="Z1719" s="102"/>
      <c r="AA1719" s="102"/>
      <c r="AB1719" s="1"/>
      <c r="AC1719" s="1"/>
      <c r="AD1719" s="1"/>
      <c r="AE1719" s="1"/>
      <c r="AF1719" s="1"/>
      <c r="AG1719" s="1"/>
    </row>
    <row r="1720" ht="15.75" customHeight="1">
      <c r="A1720" s="1"/>
      <c r="B1720" s="1"/>
      <c r="C1720" s="1"/>
      <c r="D1720" s="1"/>
      <c r="E1720" s="1"/>
      <c r="F1720" s="1"/>
      <c r="G1720" s="1"/>
      <c r="H1720" s="1"/>
      <c r="I1720" s="1"/>
      <c r="J1720" s="1"/>
      <c r="K1720" s="102" t="s">
        <v>3221</v>
      </c>
      <c r="L1720" s="102" t="str">
        <f>C31</f>
        <v>J1a</v>
      </c>
      <c r="M1720" s="102" t="s">
        <v>3222</v>
      </c>
      <c r="N1720" s="102" t="s">
        <v>3216</v>
      </c>
      <c r="O1720" s="105">
        <v>1.4642199E7</v>
      </c>
      <c r="P1720" s="105">
        <v>1.2530268E7</v>
      </c>
      <c r="Q1720" s="102" t="s">
        <v>2501</v>
      </c>
      <c r="S1720" s="1"/>
      <c r="T1720" s="1"/>
      <c r="U1720" s="1"/>
      <c r="V1720" s="1"/>
      <c r="W1720" s="1"/>
      <c r="X1720" s="1"/>
      <c r="Y1720" s="1"/>
      <c r="Z1720" s="102"/>
      <c r="AA1720" s="102"/>
      <c r="AB1720" s="1"/>
      <c r="AC1720" s="1"/>
      <c r="AD1720" s="1"/>
      <c r="AE1720" s="1"/>
      <c r="AF1720" s="1"/>
      <c r="AG1720" s="1"/>
    </row>
    <row r="1721" ht="15.75" customHeight="1">
      <c r="A1721" s="1"/>
      <c r="B1721" s="1"/>
      <c r="C1721" s="1"/>
      <c r="D1721" s="1"/>
      <c r="E1721" s="1"/>
      <c r="F1721" s="1"/>
      <c r="G1721" s="1"/>
      <c r="H1721" s="1"/>
      <c r="I1721" s="1"/>
      <c r="J1721" s="1"/>
      <c r="K1721" s="102" t="s">
        <v>3223</v>
      </c>
      <c r="L1721" s="102" t="str">
        <f>C31</f>
        <v>J1a</v>
      </c>
      <c r="M1721" s="102" t="s">
        <v>3224</v>
      </c>
      <c r="N1721" s="102" t="s">
        <v>3225</v>
      </c>
      <c r="O1721" s="105">
        <v>1.5537842E7</v>
      </c>
      <c r="P1721" s="105">
        <v>1.3425962E7</v>
      </c>
      <c r="Q1721" s="102" t="s">
        <v>2529</v>
      </c>
      <c r="S1721" s="1"/>
      <c r="T1721" s="1"/>
      <c r="U1721" s="1"/>
      <c r="V1721" s="1"/>
      <c r="W1721" s="1"/>
      <c r="X1721" s="1"/>
      <c r="Y1721" s="1"/>
      <c r="Z1721" s="102"/>
      <c r="AA1721" s="102"/>
      <c r="AB1721" s="1"/>
      <c r="AC1721" s="1"/>
      <c r="AD1721" s="1"/>
      <c r="AE1721" s="1"/>
      <c r="AF1721" s="1"/>
      <c r="AG1721" s="1"/>
    </row>
    <row r="1722" ht="15.75" customHeight="1">
      <c r="A1722" s="1"/>
      <c r="B1722" s="1"/>
      <c r="C1722" s="1"/>
      <c r="D1722" s="1"/>
      <c r="E1722" s="1"/>
      <c r="F1722" s="1"/>
      <c r="G1722" s="1"/>
      <c r="H1722" s="1"/>
      <c r="I1722" s="1"/>
      <c r="J1722" s="1"/>
      <c r="K1722" s="102" t="s">
        <v>3226</v>
      </c>
      <c r="L1722" s="102" t="str">
        <f>C31</f>
        <v>J1a</v>
      </c>
      <c r="M1722" s="102" t="s">
        <v>3227</v>
      </c>
      <c r="N1722" s="102" t="s">
        <v>3225</v>
      </c>
      <c r="O1722" s="105">
        <v>1.5537842E7</v>
      </c>
      <c r="P1722" s="105">
        <v>1.3425962E7</v>
      </c>
      <c r="Q1722" s="102" t="s">
        <v>2529</v>
      </c>
      <c r="S1722" s="1"/>
      <c r="T1722" s="1"/>
      <c r="U1722" s="1"/>
      <c r="V1722" s="1"/>
      <c r="W1722" s="1"/>
      <c r="X1722" s="1"/>
      <c r="Y1722" s="1"/>
      <c r="Z1722" s="102"/>
      <c r="AA1722" s="102"/>
      <c r="AB1722" s="1"/>
      <c r="AC1722" s="1"/>
      <c r="AD1722" s="1"/>
      <c r="AE1722" s="1"/>
      <c r="AF1722" s="1"/>
      <c r="AG1722" s="1"/>
    </row>
    <row r="1723" ht="15.75" customHeight="1">
      <c r="A1723" s="1"/>
      <c r="B1723" s="1"/>
      <c r="C1723" s="1"/>
      <c r="D1723" s="1"/>
      <c r="E1723" s="1"/>
      <c r="F1723" s="1"/>
      <c r="G1723" s="1"/>
      <c r="H1723" s="1"/>
      <c r="I1723" s="1"/>
      <c r="J1723" s="1"/>
      <c r="K1723" s="102" t="s">
        <v>3228</v>
      </c>
      <c r="L1723" s="102" t="str">
        <f>C31</f>
        <v>J1a</v>
      </c>
      <c r="M1723" s="102" t="s">
        <v>3229</v>
      </c>
      <c r="N1723" s="102" t="s">
        <v>3225</v>
      </c>
      <c r="O1723" s="105">
        <v>1.5537842E7</v>
      </c>
      <c r="P1723" s="105">
        <v>1.3425962E7</v>
      </c>
      <c r="Q1723" s="102" t="s">
        <v>2529</v>
      </c>
      <c r="S1723" s="1"/>
      <c r="T1723" s="1"/>
      <c r="U1723" s="1"/>
      <c r="V1723" s="1"/>
      <c r="W1723" s="1"/>
      <c r="X1723" s="1"/>
      <c r="Y1723" s="1"/>
      <c r="Z1723" s="102"/>
      <c r="AA1723" s="102"/>
      <c r="AB1723" s="1"/>
      <c r="AC1723" s="1"/>
      <c r="AD1723" s="1"/>
      <c r="AE1723" s="1"/>
      <c r="AF1723" s="1"/>
      <c r="AG1723" s="1"/>
    </row>
    <row r="1724" ht="15.75" customHeight="1">
      <c r="A1724" s="1"/>
      <c r="B1724" s="1"/>
      <c r="C1724" s="1"/>
      <c r="D1724" s="1"/>
      <c r="E1724" s="1"/>
      <c r="F1724" s="1"/>
      <c r="G1724" s="1"/>
      <c r="H1724" s="1"/>
      <c r="I1724" s="1"/>
      <c r="J1724" s="1"/>
      <c r="K1724" s="102" t="s">
        <v>3230</v>
      </c>
      <c r="L1724" s="102" t="str">
        <f>C31</f>
        <v>J1a</v>
      </c>
      <c r="M1724" s="102" t="s">
        <v>3231</v>
      </c>
      <c r="N1724" s="102" t="s">
        <v>3232</v>
      </c>
      <c r="O1724" s="105">
        <v>1.7296977E7</v>
      </c>
      <c r="P1724" s="105">
        <v>1.5185097E7</v>
      </c>
      <c r="Q1724" s="102" t="s">
        <v>2454</v>
      </c>
      <c r="S1724" s="1"/>
      <c r="T1724" s="1"/>
      <c r="U1724" s="1"/>
      <c r="V1724" s="1"/>
      <c r="W1724" s="1"/>
      <c r="X1724" s="1"/>
      <c r="Y1724" s="1"/>
      <c r="Z1724" s="102"/>
      <c r="AA1724" s="102"/>
      <c r="AB1724" s="1"/>
      <c r="AC1724" s="1"/>
      <c r="AD1724" s="1"/>
      <c r="AE1724" s="1"/>
      <c r="AF1724" s="1"/>
      <c r="AG1724" s="1"/>
    </row>
    <row r="1725" ht="15.75" customHeight="1">
      <c r="A1725" s="1"/>
      <c r="B1725" s="1"/>
      <c r="C1725" s="1"/>
      <c r="D1725" s="1"/>
      <c r="E1725" s="1"/>
      <c r="F1725" s="1"/>
      <c r="G1725" s="1"/>
      <c r="H1725" s="1"/>
      <c r="I1725" s="1"/>
      <c r="J1725" s="1"/>
      <c r="K1725" s="102" t="s">
        <v>3233</v>
      </c>
      <c r="L1725" s="102" t="str">
        <f>C31</f>
        <v>J1a</v>
      </c>
      <c r="M1725" s="102" t="s">
        <v>3234</v>
      </c>
      <c r="N1725" s="102" t="s">
        <v>3232</v>
      </c>
      <c r="O1725" s="105">
        <v>1.7296977E7</v>
      </c>
      <c r="P1725" s="105">
        <v>1.5185097E7</v>
      </c>
      <c r="Q1725" s="102" t="s">
        <v>2454</v>
      </c>
      <c r="S1725" s="1"/>
      <c r="T1725" s="1"/>
      <c r="U1725" s="1"/>
      <c r="V1725" s="1"/>
      <c r="W1725" s="1"/>
      <c r="X1725" s="1"/>
      <c r="Y1725" s="1"/>
      <c r="Z1725" s="102"/>
      <c r="AA1725" s="102"/>
      <c r="AB1725" s="1"/>
      <c r="AC1725" s="1"/>
      <c r="AD1725" s="1"/>
      <c r="AE1725" s="1"/>
      <c r="AF1725" s="1"/>
      <c r="AG1725" s="1"/>
    </row>
    <row r="1726" ht="15.75" customHeight="1">
      <c r="A1726" s="1"/>
      <c r="B1726" s="1"/>
      <c r="C1726" s="1"/>
      <c r="D1726" s="1"/>
      <c r="E1726" s="1"/>
      <c r="F1726" s="1"/>
      <c r="G1726" s="1"/>
      <c r="H1726" s="1"/>
      <c r="I1726" s="1"/>
      <c r="J1726" s="1"/>
      <c r="K1726" s="102" t="s">
        <v>3235</v>
      </c>
      <c r="L1726" s="102" t="str">
        <f>C31</f>
        <v>J1a</v>
      </c>
      <c r="M1726" s="102" t="s">
        <v>3236</v>
      </c>
      <c r="N1726" s="102" t="s">
        <v>3232</v>
      </c>
      <c r="O1726" s="105">
        <v>1.7296977E7</v>
      </c>
      <c r="P1726" s="105">
        <v>1.5185097E7</v>
      </c>
      <c r="Q1726" s="102" t="s">
        <v>2454</v>
      </c>
      <c r="S1726" s="1"/>
      <c r="T1726" s="1"/>
      <c r="U1726" s="1"/>
      <c r="V1726" s="1"/>
      <c r="W1726" s="1"/>
      <c r="X1726" s="1"/>
      <c r="Y1726" s="1"/>
      <c r="Z1726" s="102"/>
      <c r="AA1726" s="102"/>
      <c r="AB1726" s="1"/>
      <c r="AC1726" s="1"/>
      <c r="AD1726" s="1"/>
      <c r="AE1726" s="1"/>
      <c r="AF1726" s="1"/>
      <c r="AG1726" s="1"/>
    </row>
    <row r="1727" ht="15.75" customHeight="1">
      <c r="A1727" s="1"/>
      <c r="B1727" s="1"/>
      <c r="C1727" s="1"/>
      <c r="D1727" s="1"/>
      <c r="E1727" s="1"/>
      <c r="F1727" s="1"/>
      <c r="G1727" s="1"/>
      <c r="H1727" s="1"/>
      <c r="I1727" s="1"/>
      <c r="J1727" s="1"/>
      <c r="K1727" s="102" t="s">
        <v>3237</v>
      </c>
      <c r="L1727" s="102" t="str">
        <f>C31</f>
        <v>J1a</v>
      </c>
      <c r="M1727" s="102" t="s">
        <v>3238</v>
      </c>
      <c r="N1727" s="102" t="s">
        <v>3239</v>
      </c>
      <c r="O1727" s="105">
        <v>1.8574831E7</v>
      </c>
      <c r="P1727" s="105">
        <v>1.6462951E7</v>
      </c>
      <c r="Q1727" s="102" t="s">
        <v>2468</v>
      </c>
      <c r="S1727" s="1"/>
      <c r="T1727" s="1"/>
      <c r="U1727" s="1"/>
      <c r="V1727" s="1"/>
      <c r="W1727" s="1"/>
      <c r="X1727" s="1"/>
      <c r="Y1727" s="1"/>
      <c r="Z1727" s="102"/>
      <c r="AA1727" s="102"/>
      <c r="AB1727" s="1"/>
      <c r="AC1727" s="1"/>
      <c r="AD1727" s="1"/>
      <c r="AE1727" s="1"/>
      <c r="AF1727" s="1"/>
      <c r="AG1727" s="1"/>
    </row>
    <row r="1728" ht="15.75" customHeight="1">
      <c r="A1728" s="1"/>
      <c r="B1728" s="1"/>
      <c r="C1728" s="1"/>
      <c r="D1728" s="1"/>
      <c r="E1728" s="1"/>
      <c r="F1728" s="1"/>
      <c r="G1728" s="1"/>
      <c r="H1728" s="1"/>
      <c r="I1728" s="1"/>
      <c r="J1728" s="1"/>
      <c r="K1728" s="102" t="s">
        <v>3240</v>
      </c>
      <c r="L1728" s="102" t="str">
        <f>C31</f>
        <v>J1a</v>
      </c>
      <c r="M1728" s="102" t="s">
        <v>3241</v>
      </c>
      <c r="N1728" s="102" t="s">
        <v>3239</v>
      </c>
      <c r="O1728" s="105">
        <v>1.8574831E7</v>
      </c>
      <c r="P1728" s="105">
        <v>1.6462951E7</v>
      </c>
      <c r="Q1728" s="102" t="s">
        <v>2468</v>
      </c>
      <c r="S1728" s="1"/>
      <c r="T1728" s="1"/>
      <c r="U1728" s="1"/>
      <c r="V1728" s="1"/>
      <c r="W1728" s="1"/>
      <c r="X1728" s="1"/>
      <c r="Y1728" s="1"/>
      <c r="Z1728" s="102"/>
      <c r="AA1728" s="102"/>
      <c r="AB1728" s="1"/>
      <c r="AC1728" s="1"/>
      <c r="AD1728" s="1"/>
      <c r="AE1728" s="1"/>
      <c r="AF1728" s="1"/>
      <c r="AG1728" s="1"/>
    </row>
    <row r="1729" ht="15.75" customHeight="1">
      <c r="A1729" s="1"/>
      <c r="B1729" s="1"/>
      <c r="C1729" s="1"/>
      <c r="D1729" s="1"/>
      <c r="E1729" s="1"/>
      <c r="F1729" s="1"/>
      <c r="G1729" s="1"/>
      <c r="H1729" s="1"/>
      <c r="I1729" s="1"/>
      <c r="J1729" s="1"/>
      <c r="K1729" s="102" t="s">
        <v>3242</v>
      </c>
      <c r="L1729" s="102" t="str">
        <f>C31</f>
        <v>J1a</v>
      </c>
      <c r="M1729" s="102" t="s">
        <v>3243</v>
      </c>
      <c r="N1729" s="102" t="s">
        <v>3239</v>
      </c>
      <c r="O1729" s="105">
        <v>1.8574831E7</v>
      </c>
      <c r="P1729" s="105">
        <v>1.6462951E7</v>
      </c>
      <c r="Q1729" s="102" t="s">
        <v>2468</v>
      </c>
      <c r="S1729" s="1"/>
      <c r="T1729" s="1"/>
      <c r="U1729" s="1"/>
      <c r="V1729" s="1"/>
      <c r="W1729" s="1"/>
      <c r="X1729" s="1"/>
      <c r="Y1729" s="1"/>
      <c r="Z1729" s="102"/>
      <c r="AA1729" s="102"/>
      <c r="AB1729" s="1"/>
      <c r="AC1729" s="1"/>
      <c r="AD1729" s="1"/>
      <c r="AE1729" s="1"/>
      <c r="AF1729" s="1"/>
      <c r="AG1729" s="1"/>
    </row>
    <row r="1730" ht="15.75" customHeight="1">
      <c r="A1730" s="1"/>
      <c r="B1730" s="1"/>
      <c r="C1730" s="1"/>
      <c r="D1730" s="1"/>
      <c r="E1730" s="1"/>
      <c r="F1730" s="1"/>
      <c r="G1730" s="1"/>
      <c r="H1730" s="1"/>
      <c r="I1730" s="1"/>
      <c r="J1730" s="1"/>
      <c r="K1730" s="102" t="s">
        <v>3244</v>
      </c>
      <c r="L1730" s="102" t="str">
        <f>C31</f>
        <v>J1a</v>
      </c>
      <c r="M1730" s="102" t="s">
        <v>3245</v>
      </c>
      <c r="N1730" s="102" t="s">
        <v>3246</v>
      </c>
      <c r="O1730" s="105">
        <v>2.4483851E7</v>
      </c>
      <c r="P1730" s="105">
        <v>2.2337704E7</v>
      </c>
      <c r="Q1730" s="102" t="s">
        <v>2514</v>
      </c>
      <c r="S1730" s="1"/>
      <c r="T1730" s="1"/>
      <c r="U1730" s="1"/>
      <c r="V1730" s="1"/>
      <c r="W1730" s="1"/>
      <c r="X1730" s="1"/>
      <c r="Y1730" s="1"/>
      <c r="Z1730" s="102"/>
      <c r="AA1730" s="102"/>
      <c r="AB1730" s="1"/>
      <c r="AC1730" s="1"/>
      <c r="AD1730" s="1"/>
      <c r="AE1730" s="1"/>
      <c r="AF1730" s="1"/>
      <c r="AG1730" s="1"/>
    </row>
    <row r="1731" ht="15.75" customHeight="1">
      <c r="A1731" s="1"/>
      <c r="B1731" s="1"/>
      <c r="C1731" s="1"/>
      <c r="D1731" s="1"/>
      <c r="E1731" s="1"/>
      <c r="F1731" s="1"/>
      <c r="G1731" s="1"/>
      <c r="H1731" s="1"/>
      <c r="I1731" s="1"/>
      <c r="J1731" s="1"/>
      <c r="K1731" s="102" t="s">
        <v>3245</v>
      </c>
      <c r="L1731" s="102" t="str">
        <f>C31</f>
        <v>J1a</v>
      </c>
      <c r="M1731" s="102" t="s">
        <v>3244</v>
      </c>
      <c r="N1731" s="102" t="s">
        <v>3246</v>
      </c>
      <c r="O1731" s="105">
        <v>2.4483851E7</v>
      </c>
      <c r="P1731" s="105">
        <v>2.2337704E7</v>
      </c>
      <c r="Q1731" s="102" t="s">
        <v>2514</v>
      </c>
      <c r="S1731" s="1"/>
      <c r="T1731" s="1"/>
      <c r="U1731" s="1"/>
      <c r="V1731" s="1"/>
      <c r="W1731" s="1"/>
      <c r="X1731" s="1"/>
      <c r="Y1731" s="1"/>
      <c r="Z1731" s="102"/>
      <c r="AA1731" s="102"/>
      <c r="AB1731" s="1"/>
      <c r="AC1731" s="1"/>
      <c r="AD1731" s="1"/>
      <c r="AE1731" s="1"/>
      <c r="AF1731" s="1"/>
      <c r="AG1731" s="1"/>
    </row>
    <row r="1732" ht="15.75" customHeight="1">
      <c r="A1732" s="1"/>
      <c r="B1732" s="1"/>
      <c r="C1732" s="1"/>
      <c r="D1732" s="1"/>
      <c r="E1732" s="1"/>
      <c r="F1732" s="1"/>
      <c r="G1732" s="1"/>
      <c r="H1732" s="1"/>
      <c r="I1732" s="1"/>
      <c r="J1732" s="1"/>
      <c r="K1732" s="102" t="s">
        <v>3247</v>
      </c>
      <c r="L1732" s="102" t="str">
        <f>C31</f>
        <v>J1a</v>
      </c>
      <c r="M1732" s="102" t="s">
        <v>3248</v>
      </c>
      <c r="N1732" s="102" t="s">
        <v>3249</v>
      </c>
      <c r="O1732" s="105">
        <v>9034375.0</v>
      </c>
      <c r="P1732" s="105">
        <v>9196766.0</v>
      </c>
      <c r="Q1732" s="102" t="s">
        <v>2432</v>
      </c>
      <c r="S1732" s="1"/>
      <c r="T1732" s="1"/>
      <c r="U1732" s="1"/>
      <c r="V1732" s="1"/>
      <c r="W1732" s="1"/>
      <c r="X1732" s="1"/>
      <c r="Y1732" s="1"/>
      <c r="Z1732" s="102"/>
      <c r="AA1732" s="102"/>
      <c r="AB1732" s="1"/>
      <c r="AC1732" s="1"/>
      <c r="AD1732" s="1"/>
      <c r="AE1732" s="1"/>
      <c r="AF1732" s="1"/>
      <c r="AG1732" s="1"/>
    </row>
    <row r="1733" ht="15.75" customHeight="1">
      <c r="A1733" s="1"/>
      <c r="B1733" s="1"/>
      <c r="C1733" s="1"/>
      <c r="D1733" s="1"/>
      <c r="E1733" s="1"/>
      <c r="F1733" s="1"/>
      <c r="G1733" s="1"/>
      <c r="H1733" s="1"/>
      <c r="I1733" s="1"/>
      <c r="J1733" s="1"/>
      <c r="K1733" s="102" t="s">
        <v>3248</v>
      </c>
      <c r="L1733" s="102" t="str">
        <f>C31</f>
        <v>J1a</v>
      </c>
      <c r="M1733" s="102" t="s">
        <v>3247</v>
      </c>
      <c r="N1733" s="102" t="s">
        <v>3249</v>
      </c>
      <c r="O1733" s="105">
        <v>9034375.0</v>
      </c>
      <c r="P1733" s="105">
        <v>9196766.0</v>
      </c>
      <c r="Q1733" s="102" t="s">
        <v>2432</v>
      </c>
      <c r="S1733" s="1"/>
      <c r="T1733" s="1"/>
      <c r="U1733" s="1"/>
      <c r="V1733" s="1"/>
      <c r="W1733" s="1"/>
      <c r="X1733" s="1"/>
      <c r="Y1733" s="1"/>
      <c r="Z1733" s="102"/>
      <c r="AA1733" s="102"/>
      <c r="AB1733" s="1"/>
      <c r="AC1733" s="1"/>
      <c r="AD1733" s="1"/>
      <c r="AE1733" s="1"/>
      <c r="AF1733" s="1"/>
      <c r="AG1733" s="1"/>
    </row>
    <row r="1734" ht="15.75" customHeight="1">
      <c r="A1734" s="1"/>
      <c r="B1734" s="1"/>
      <c r="C1734" s="1"/>
      <c r="D1734" s="1"/>
      <c r="E1734" s="1"/>
      <c r="F1734" s="1"/>
      <c r="G1734" s="1"/>
      <c r="H1734" s="1"/>
      <c r="I1734" s="1"/>
      <c r="J1734" s="1"/>
      <c r="K1734" s="102" t="s">
        <v>3250</v>
      </c>
      <c r="L1734" s="102" t="str">
        <f>C31</f>
        <v>J1a</v>
      </c>
      <c r="M1734" s="102" t="s">
        <v>3251</v>
      </c>
      <c r="N1734" s="102" t="s">
        <v>3252</v>
      </c>
      <c r="O1734" s="105">
        <v>7079349.0</v>
      </c>
      <c r="P1734" s="105">
        <v>7211308.0</v>
      </c>
      <c r="Q1734" s="102" t="s">
        <v>2529</v>
      </c>
      <c r="S1734" s="1"/>
      <c r="T1734" s="1"/>
      <c r="U1734" s="1"/>
      <c r="V1734" s="1"/>
      <c r="W1734" s="1"/>
      <c r="X1734" s="1"/>
      <c r="Y1734" s="1"/>
      <c r="Z1734" s="102"/>
      <c r="AA1734" s="102"/>
      <c r="AB1734" s="1"/>
      <c r="AC1734" s="1"/>
      <c r="AD1734" s="1"/>
      <c r="AE1734" s="1"/>
      <c r="AF1734" s="1"/>
      <c r="AG1734" s="1"/>
    </row>
    <row r="1735" ht="15.75" customHeight="1">
      <c r="A1735" s="1"/>
      <c r="B1735" s="1"/>
      <c r="C1735" s="1"/>
      <c r="D1735" s="1"/>
      <c r="E1735" s="1"/>
      <c r="F1735" s="1"/>
      <c r="G1735" s="1"/>
      <c r="H1735" s="1"/>
      <c r="I1735" s="1"/>
      <c r="J1735" s="1"/>
      <c r="K1735" s="102" t="s">
        <v>3251</v>
      </c>
      <c r="L1735" s="102" t="str">
        <f>C31</f>
        <v>J1a</v>
      </c>
      <c r="M1735" s="102" t="s">
        <v>3250</v>
      </c>
      <c r="N1735" s="102" t="s">
        <v>3252</v>
      </c>
      <c r="O1735" s="105">
        <v>7079349.0</v>
      </c>
      <c r="P1735" s="105">
        <v>7211308.0</v>
      </c>
      <c r="Q1735" s="102" t="s">
        <v>2529</v>
      </c>
      <c r="S1735" s="1"/>
      <c r="T1735" s="1"/>
      <c r="U1735" s="1"/>
      <c r="V1735" s="1"/>
      <c r="W1735" s="1"/>
      <c r="X1735" s="1"/>
      <c r="Y1735" s="1"/>
      <c r="Z1735" s="102"/>
      <c r="AA1735" s="102"/>
      <c r="AB1735" s="1"/>
      <c r="AC1735" s="1"/>
      <c r="AD1735" s="1"/>
      <c r="AE1735" s="1"/>
      <c r="AF1735" s="1"/>
      <c r="AG1735" s="1"/>
    </row>
    <row r="1736" ht="15.75" customHeight="1">
      <c r="A1736" s="1"/>
      <c r="B1736" s="1"/>
      <c r="C1736" s="1"/>
      <c r="D1736" s="1"/>
      <c r="E1736" s="1"/>
      <c r="F1736" s="1"/>
      <c r="G1736" s="1"/>
      <c r="H1736" s="1"/>
      <c r="I1736" s="1"/>
      <c r="J1736" s="1"/>
      <c r="K1736" s="102" t="s">
        <v>3253</v>
      </c>
      <c r="L1736" s="102" t="str">
        <f>C31</f>
        <v>J1a</v>
      </c>
      <c r="M1736" s="102"/>
      <c r="N1736" s="102" t="s">
        <v>3254</v>
      </c>
      <c r="O1736" s="105">
        <v>2.1969618E7</v>
      </c>
      <c r="P1736" s="105">
        <v>1.9807732E7</v>
      </c>
      <c r="Q1736" s="102" t="s">
        <v>2468</v>
      </c>
      <c r="S1736" s="1"/>
      <c r="T1736" s="1"/>
      <c r="U1736" s="1"/>
      <c r="V1736" s="1"/>
      <c r="W1736" s="1"/>
      <c r="X1736" s="1"/>
      <c r="Y1736" s="1"/>
      <c r="Z1736" s="102"/>
      <c r="AA1736" s="102"/>
      <c r="AB1736" s="1"/>
      <c r="AC1736" s="1"/>
      <c r="AD1736" s="1"/>
      <c r="AE1736" s="1"/>
      <c r="AF1736" s="1"/>
      <c r="AG1736" s="1"/>
    </row>
    <row r="1737" ht="15.75" customHeight="1">
      <c r="A1737" s="1"/>
      <c r="B1737" s="1"/>
      <c r="C1737" s="1"/>
      <c r="D1737" s="1"/>
      <c r="E1737" s="1"/>
      <c r="F1737" s="1"/>
      <c r="G1737" s="1"/>
      <c r="H1737" s="1"/>
      <c r="I1737" s="1"/>
      <c r="J1737" s="1"/>
      <c r="K1737" s="102" t="s">
        <v>3255</v>
      </c>
      <c r="L1737" s="102" t="str">
        <f>D32</f>
        <v>J1a1~</v>
      </c>
      <c r="M1737" s="102"/>
      <c r="N1737" s="102" t="s">
        <v>3256</v>
      </c>
      <c r="O1737" s="102">
        <v>2888678.0</v>
      </c>
      <c r="P1737" s="102">
        <v>3020637.0</v>
      </c>
      <c r="Q1737" s="102" t="s">
        <v>2468</v>
      </c>
      <c r="S1737" s="1"/>
      <c r="T1737" s="1"/>
      <c r="U1737" s="1"/>
      <c r="V1737" s="1"/>
      <c r="W1737" s="1"/>
      <c r="X1737" s="1"/>
      <c r="Y1737" s="1"/>
      <c r="Z1737" s="102">
        <v>2888678.0</v>
      </c>
      <c r="AA1737" s="102" t="s">
        <v>3257</v>
      </c>
      <c r="AB1737" s="1"/>
      <c r="AC1737" s="1"/>
      <c r="AD1737" s="1"/>
      <c r="AE1737" s="1"/>
      <c r="AF1737" s="1"/>
      <c r="AG1737" s="1"/>
    </row>
    <row r="1738" ht="15.75" customHeight="1">
      <c r="A1738" s="1"/>
      <c r="B1738" s="1"/>
      <c r="C1738" s="1"/>
      <c r="D1738" s="1"/>
      <c r="E1738" s="1"/>
      <c r="F1738" s="1"/>
      <c r="G1738" s="1"/>
      <c r="H1738" s="1"/>
      <c r="I1738" s="1"/>
      <c r="J1738" s="1"/>
      <c r="K1738" s="102" t="s">
        <v>3258</v>
      </c>
      <c r="L1738" s="102" t="str">
        <f>D32</f>
        <v>J1a1~</v>
      </c>
      <c r="M1738" s="102"/>
      <c r="N1738" s="102"/>
      <c r="O1738" s="105">
        <v>7961473.0</v>
      </c>
      <c r="P1738" s="105">
        <v>8093432.0</v>
      </c>
      <c r="Q1738" s="102" t="s">
        <v>2439</v>
      </c>
      <c r="S1738" s="1"/>
      <c r="T1738" s="1"/>
      <c r="U1738" s="1"/>
      <c r="V1738" s="1"/>
      <c r="W1738" s="1"/>
      <c r="X1738" s="1"/>
      <c r="Y1738" s="1"/>
      <c r="Z1738" s="102"/>
      <c r="AA1738" s="102"/>
      <c r="AB1738" s="1"/>
      <c r="AC1738" s="1"/>
      <c r="AD1738" s="1"/>
      <c r="AE1738" s="1"/>
      <c r="AF1738" s="1"/>
      <c r="AG1738" s="1"/>
    </row>
    <row r="1739" ht="15.75" customHeight="1">
      <c r="A1739" s="1"/>
      <c r="B1739" s="1"/>
      <c r="C1739" s="1"/>
      <c r="D1739" s="1"/>
      <c r="E1739" s="1"/>
      <c r="F1739" s="1"/>
      <c r="G1739" s="1"/>
      <c r="H1739" s="1"/>
      <c r="I1739" s="1"/>
      <c r="J1739" s="1"/>
      <c r="K1739" s="102" t="s">
        <v>3259</v>
      </c>
      <c r="L1739" s="102" t="str">
        <f>D32</f>
        <v>J1a1~</v>
      </c>
      <c r="M1739" s="102"/>
      <c r="N1739" s="102"/>
      <c r="O1739" s="105">
        <v>1.3195544E7</v>
      </c>
      <c r="P1739" s="105">
        <v>1.1039868E7</v>
      </c>
      <c r="Q1739" s="102" t="s">
        <v>2501</v>
      </c>
      <c r="S1739" s="1"/>
      <c r="T1739" s="1"/>
      <c r="U1739" s="1"/>
      <c r="V1739" s="1"/>
      <c r="W1739" s="1"/>
      <c r="X1739" s="1"/>
      <c r="Y1739" s="1"/>
      <c r="Z1739" s="102"/>
      <c r="AA1739" s="102"/>
      <c r="AB1739" s="1"/>
      <c r="AC1739" s="1"/>
      <c r="AD1739" s="1"/>
      <c r="AE1739" s="1"/>
      <c r="AF1739" s="1"/>
      <c r="AG1739" s="1"/>
    </row>
    <row r="1740" ht="15.75" customHeight="1">
      <c r="A1740" s="1"/>
      <c r="B1740" s="1"/>
      <c r="C1740" s="1"/>
      <c r="D1740" s="1"/>
      <c r="E1740" s="1"/>
      <c r="F1740" s="1"/>
      <c r="G1740" s="1"/>
      <c r="H1740" s="1"/>
      <c r="I1740" s="1"/>
      <c r="J1740" s="1"/>
      <c r="K1740" s="102" t="s">
        <v>3260</v>
      </c>
      <c r="L1740" s="102" t="str">
        <f>D32</f>
        <v>J1a1~</v>
      </c>
      <c r="M1740" s="102"/>
      <c r="N1740" s="102"/>
      <c r="O1740" s="105">
        <v>1.727865E7</v>
      </c>
      <c r="P1740" s="105">
        <v>1.516677E7</v>
      </c>
      <c r="Q1740" s="102" t="s">
        <v>2454</v>
      </c>
      <c r="S1740" s="1"/>
      <c r="T1740" s="1"/>
      <c r="U1740" s="1"/>
      <c r="V1740" s="1"/>
      <c r="W1740" s="1"/>
      <c r="X1740" s="1"/>
      <c r="Y1740" s="1"/>
      <c r="Z1740" s="102"/>
      <c r="AA1740" s="102"/>
      <c r="AB1740" s="1"/>
      <c r="AC1740" s="1"/>
      <c r="AD1740" s="1"/>
      <c r="AE1740" s="1"/>
      <c r="AF1740" s="1"/>
      <c r="AG1740" s="1"/>
    </row>
    <row r="1741" ht="15.75" customHeight="1">
      <c r="A1741" s="1"/>
      <c r="B1741" s="1"/>
      <c r="C1741" s="1"/>
      <c r="D1741" s="1"/>
      <c r="E1741" s="1"/>
      <c r="F1741" s="1"/>
      <c r="G1741" s="1"/>
      <c r="H1741" s="1"/>
      <c r="I1741" s="1"/>
      <c r="J1741" s="1"/>
      <c r="K1741" s="102" t="s">
        <v>3261</v>
      </c>
      <c r="L1741" s="102" t="str">
        <f t="shared" ref="L1741:L1742" si="1">D32</f>
        <v>J1a1~</v>
      </c>
      <c r="M1741" s="102"/>
      <c r="N1741" s="102"/>
      <c r="O1741" s="102">
        <v>2.3731733E7</v>
      </c>
      <c r="P1741" s="102">
        <v>2.1569847E7</v>
      </c>
      <c r="Q1741" s="102" t="s">
        <v>2529</v>
      </c>
      <c r="S1741" s="1"/>
      <c r="T1741" s="1"/>
      <c r="U1741" s="1"/>
      <c r="V1741" s="1"/>
      <c r="W1741" s="1"/>
      <c r="X1741" s="1"/>
      <c r="Y1741" s="1"/>
      <c r="Z1741" s="102">
        <v>2.3731733E7</v>
      </c>
      <c r="AA1741" s="102"/>
      <c r="AB1741" s="1"/>
      <c r="AC1741" s="1"/>
      <c r="AD1741" s="1"/>
      <c r="AE1741" s="1"/>
      <c r="AF1741" s="1"/>
      <c r="AG1741" s="1"/>
    </row>
    <row r="1742" ht="15.75" customHeight="1">
      <c r="A1742" s="1"/>
      <c r="B1742" s="1"/>
      <c r="C1742" s="1"/>
      <c r="D1742" s="1"/>
      <c r="E1742" s="1"/>
      <c r="F1742" s="1"/>
      <c r="G1742" s="1"/>
      <c r="H1742" s="1"/>
      <c r="I1742" s="1"/>
      <c r="J1742" s="1"/>
      <c r="K1742" s="102" t="s">
        <v>3262</v>
      </c>
      <c r="L1742" s="102" t="str">
        <f t="shared" si="1"/>
        <v>J1a2~</v>
      </c>
      <c r="M1742" s="102" t="s">
        <v>3263</v>
      </c>
      <c r="N1742" s="102" t="s">
        <v>3264</v>
      </c>
      <c r="O1742" s="105">
        <v>1.4132126E7</v>
      </c>
      <c r="P1742" s="105">
        <v>1.201142E7</v>
      </c>
      <c r="Q1742" s="102" t="s">
        <v>2468</v>
      </c>
      <c r="S1742" s="1"/>
      <c r="T1742" s="1"/>
      <c r="U1742" s="1"/>
      <c r="V1742" s="1"/>
      <c r="W1742" s="1"/>
      <c r="X1742" s="1"/>
      <c r="Y1742" s="1"/>
      <c r="Z1742" s="102"/>
      <c r="AA1742" s="102"/>
      <c r="AB1742" s="1"/>
      <c r="AC1742" s="1"/>
      <c r="AD1742" s="1"/>
      <c r="AE1742" s="1"/>
      <c r="AF1742" s="1"/>
      <c r="AG1742" s="1"/>
    </row>
    <row r="1743" ht="15.75" customHeight="1">
      <c r="A1743" s="1"/>
      <c r="B1743" s="1"/>
      <c r="C1743" s="1"/>
      <c r="D1743" s="1"/>
      <c r="E1743" s="1"/>
      <c r="F1743" s="1"/>
      <c r="G1743" s="1"/>
      <c r="H1743" s="1"/>
      <c r="I1743" s="1"/>
      <c r="J1743" s="1"/>
      <c r="K1743" s="102" t="s">
        <v>3263</v>
      </c>
      <c r="L1743" s="102" t="str">
        <f>D33</f>
        <v>J1a2~</v>
      </c>
      <c r="M1743" s="102" t="s">
        <v>3262</v>
      </c>
      <c r="N1743" s="102" t="s">
        <v>3264</v>
      </c>
      <c r="O1743" s="105">
        <v>1.4132126E7</v>
      </c>
      <c r="P1743" s="105">
        <v>1.201142E7</v>
      </c>
      <c r="Q1743" s="102" t="s">
        <v>2468</v>
      </c>
      <c r="S1743" s="1"/>
      <c r="T1743" s="1"/>
      <c r="U1743" s="1"/>
      <c r="V1743" s="1"/>
      <c r="W1743" s="1"/>
      <c r="X1743" s="1"/>
      <c r="Y1743" s="1"/>
      <c r="Z1743" s="102"/>
      <c r="AA1743" s="102"/>
      <c r="AB1743" s="1"/>
      <c r="AC1743" s="1"/>
      <c r="AD1743" s="1"/>
      <c r="AE1743" s="1"/>
      <c r="AF1743" s="1"/>
      <c r="AG1743" s="1"/>
    </row>
    <row r="1744" ht="15.75" customHeight="1">
      <c r="A1744" s="1"/>
      <c r="B1744" s="1"/>
      <c r="C1744" s="1"/>
      <c r="D1744" s="1"/>
      <c r="E1744" s="1"/>
      <c r="F1744" s="1"/>
      <c r="G1744" s="1"/>
      <c r="H1744" s="1"/>
      <c r="I1744" s="1"/>
      <c r="J1744" s="1"/>
      <c r="K1744" s="102" t="s">
        <v>3265</v>
      </c>
      <c r="L1744" s="102" t="str">
        <f>D33</f>
        <v>J1a2~</v>
      </c>
      <c r="M1744" s="102" t="s">
        <v>3266</v>
      </c>
      <c r="N1744" s="102" t="s">
        <v>3267</v>
      </c>
      <c r="O1744" s="105">
        <v>2.3241285E7</v>
      </c>
      <c r="P1744" s="105">
        <v>2.1079399E7</v>
      </c>
      <c r="Q1744" s="102" t="s">
        <v>2454</v>
      </c>
      <c r="S1744" s="1"/>
      <c r="T1744" s="1"/>
      <c r="U1744" s="1"/>
      <c r="V1744" s="1"/>
      <c r="W1744" s="1"/>
      <c r="X1744" s="1"/>
      <c r="Y1744" s="1"/>
      <c r="Z1744" s="102"/>
      <c r="AA1744" s="102"/>
      <c r="AB1744" s="1"/>
      <c r="AC1744" s="1"/>
      <c r="AD1744" s="1"/>
      <c r="AE1744" s="1"/>
      <c r="AF1744" s="1"/>
      <c r="AG1744" s="1"/>
    </row>
    <row r="1745" ht="15.75" customHeight="1">
      <c r="A1745" s="1"/>
      <c r="B1745" s="1"/>
      <c r="C1745" s="1"/>
      <c r="D1745" s="1"/>
      <c r="E1745" s="1"/>
      <c r="F1745" s="1"/>
      <c r="G1745" s="1"/>
      <c r="H1745" s="1"/>
      <c r="I1745" s="1"/>
      <c r="J1745" s="1"/>
      <c r="K1745" s="102" t="s">
        <v>3268</v>
      </c>
      <c r="L1745" s="102" t="str">
        <f>D33</f>
        <v>J1a2~</v>
      </c>
      <c r="M1745" s="102" t="s">
        <v>3269</v>
      </c>
      <c r="N1745" s="102" t="s">
        <v>3267</v>
      </c>
      <c r="O1745" s="105">
        <v>2.3241285E7</v>
      </c>
      <c r="P1745" s="105">
        <v>2.1079399E7</v>
      </c>
      <c r="Q1745" s="102" t="s">
        <v>2454</v>
      </c>
      <c r="S1745" s="1"/>
      <c r="T1745" s="1"/>
      <c r="U1745" s="1"/>
      <c r="V1745" s="1"/>
      <c r="W1745" s="1"/>
      <c r="X1745" s="1"/>
      <c r="Y1745" s="1"/>
      <c r="Z1745" s="102"/>
      <c r="AA1745" s="102"/>
      <c r="AB1745" s="1"/>
      <c r="AC1745" s="1"/>
      <c r="AD1745" s="1"/>
      <c r="AE1745" s="1"/>
      <c r="AF1745" s="1"/>
      <c r="AG1745" s="1"/>
    </row>
    <row r="1746" ht="15.75" customHeight="1">
      <c r="A1746" s="1"/>
      <c r="B1746" s="1"/>
      <c r="C1746" s="1"/>
      <c r="D1746" s="1"/>
      <c r="E1746" s="1"/>
      <c r="F1746" s="1"/>
      <c r="G1746" s="1"/>
      <c r="H1746" s="1"/>
      <c r="I1746" s="1"/>
      <c r="J1746" s="1"/>
      <c r="K1746" s="102" t="s">
        <v>3270</v>
      </c>
      <c r="L1746" s="102" t="str">
        <f>D33</f>
        <v>J1a2~</v>
      </c>
      <c r="M1746" s="102" t="s">
        <v>3271</v>
      </c>
      <c r="N1746" s="102" t="s">
        <v>3267</v>
      </c>
      <c r="O1746" s="105">
        <v>2.3241285E7</v>
      </c>
      <c r="P1746" s="105">
        <v>2.1079399E7</v>
      </c>
      <c r="Q1746" s="102" t="s">
        <v>2454</v>
      </c>
      <c r="S1746" s="1"/>
      <c r="T1746" s="1"/>
      <c r="U1746" s="1"/>
      <c r="V1746" s="1"/>
      <c r="W1746" s="1"/>
      <c r="X1746" s="1"/>
      <c r="Y1746" s="1"/>
      <c r="Z1746" s="102"/>
      <c r="AA1746" s="102"/>
      <c r="AB1746" s="1"/>
      <c r="AC1746" s="1"/>
      <c r="AD1746" s="1"/>
      <c r="AE1746" s="1"/>
      <c r="AF1746" s="1"/>
      <c r="AG1746" s="1"/>
    </row>
    <row r="1747" ht="15.75" customHeight="1">
      <c r="A1747" s="1"/>
      <c r="B1747" s="1"/>
      <c r="C1747" s="1"/>
      <c r="D1747" s="1"/>
      <c r="E1747" s="1"/>
      <c r="F1747" s="1"/>
      <c r="G1747" s="1"/>
      <c r="H1747" s="1"/>
      <c r="I1747" s="1"/>
      <c r="J1747" s="1"/>
      <c r="K1747" s="102" t="s">
        <v>3272</v>
      </c>
      <c r="L1747" s="102" t="str">
        <f>E34</f>
        <v>J1a2a~</v>
      </c>
      <c r="M1747" s="102" t="s">
        <v>3273</v>
      </c>
      <c r="N1747" s="102" t="s">
        <v>3274</v>
      </c>
      <c r="O1747" s="105">
        <v>1.4072309E7</v>
      </c>
      <c r="P1747" s="105">
        <v>1.1951603E7</v>
      </c>
      <c r="Q1747" s="102" t="s">
        <v>2439</v>
      </c>
      <c r="S1747" s="1"/>
      <c r="T1747" s="1"/>
      <c r="U1747" s="1"/>
      <c r="V1747" s="1"/>
      <c r="W1747" s="1"/>
      <c r="X1747" s="1"/>
      <c r="Y1747" s="1"/>
      <c r="Z1747" s="102"/>
      <c r="AA1747" s="102"/>
      <c r="AB1747" s="1"/>
      <c r="AC1747" s="1"/>
      <c r="AD1747" s="1"/>
      <c r="AE1747" s="1"/>
      <c r="AF1747" s="1"/>
      <c r="AG1747" s="1"/>
    </row>
    <row r="1748" ht="15.75" customHeight="1">
      <c r="A1748" s="1"/>
      <c r="B1748" s="1"/>
      <c r="C1748" s="1"/>
      <c r="D1748" s="1"/>
      <c r="E1748" s="1"/>
      <c r="F1748" s="1"/>
      <c r="G1748" s="1"/>
      <c r="H1748" s="1"/>
      <c r="I1748" s="1"/>
      <c r="J1748" s="1"/>
      <c r="K1748" s="102" t="s">
        <v>3275</v>
      </c>
      <c r="L1748" s="102" t="str">
        <f>E34</f>
        <v>J1a2a~</v>
      </c>
      <c r="M1748" s="102" t="s">
        <v>3276</v>
      </c>
      <c r="N1748" s="102" t="s">
        <v>3274</v>
      </c>
      <c r="O1748" s="105">
        <v>1.4072309E7</v>
      </c>
      <c r="P1748" s="105">
        <v>1.1951603E7</v>
      </c>
      <c r="Q1748" s="102" t="s">
        <v>2439</v>
      </c>
      <c r="S1748" s="1"/>
      <c r="T1748" s="1"/>
      <c r="U1748" s="1"/>
      <c r="V1748" s="1"/>
      <c r="W1748" s="1"/>
      <c r="X1748" s="1"/>
      <c r="Y1748" s="1"/>
      <c r="Z1748" s="102"/>
      <c r="AA1748" s="102"/>
      <c r="AB1748" s="1"/>
      <c r="AC1748" s="1"/>
      <c r="AD1748" s="1"/>
      <c r="AE1748" s="1"/>
      <c r="AF1748" s="1"/>
      <c r="AG1748" s="1"/>
    </row>
    <row r="1749" ht="15.75" customHeight="1">
      <c r="A1749" s="1"/>
      <c r="B1749" s="1"/>
      <c r="C1749" s="1"/>
      <c r="D1749" s="1"/>
      <c r="E1749" s="1"/>
      <c r="F1749" s="1"/>
      <c r="G1749" s="1"/>
      <c r="H1749" s="1"/>
      <c r="I1749" s="1"/>
      <c r="J1749" s="1"/>
      <c r="K1749" s="102" t="s">
        <v>3277</v>
      </c>
      <c r="L1749" s="102" t="str">
        <f>E34</f>
        <v>J1a2a~</v>
      </c>
      <c r="M1749" s="102" t="s">
        <v>3278</v>
      </c>
      <c r="N1749" s="102" t="s">
        <v>3274</v>
      </c>
      <c r="O1749" s="105">
        <v>1.4072309E7</v>
      </c>
      <c r="P1749" s="105">
        <v>1.1951603E7</v>
      </c>
      <c r="Q1749" s="102" t="s">
        <v>2439</v>
      </c>
      <c r="S1749" s="1"/>
      <c r="T1749" s="1"/>
      <c r="U1749" s="1"/>
      <c r="V1749" s="1"/>
      <c r="W1749" s="1"/>
      <c r="X1749" s="1"/>
      <c r="Y1749" s="1"/>
      <c r="Z1749" s="102"/>
      <c r="AA1749" s="102"/>
      <c r="AB1749" s="1"/>
      <c r="AC1749" s="1"/>
      <c r="AD1749" s="1"/>
      <c r="AE1749" s="1"/>
      <c r="AF1749" s="1"/>
      <c r="AG1749" s="1"/>
    </row>
    <row r="1750" ht="15.75" customHeight="1">
      <c r="A1750" s="1"/>
      <c r="B1750" s="1"/>
      <c r="C1750" s="1"/>
      <c r="D1750" s="1"/>
      <c r="E1750" s="1"/>
      <c r="F1750" s="1"/>
      <c r="G1750" s="1"/>
      <c r="H1750" s="1"/>
      <c r="I1750" s="1"/>
      <c r="J1750" s="1"/>
      <c r="K1750" s="102" t="s">
        <v>3279</v>
      </c>
      <c r="L1750" s="102" t="str">
        <f>E34</f>
        <v>J1a2a~</v>
      </c>
      <c r="M1750" s="102" t="s">
        <v>3280</v>
      </c>
      <c r="N1750" s="102" t="s">
        <v>3274</v>
      </c>
      <c r="O1750" s="105">
        <v>1.4072309E7</v>
      </c>
      <c r="P1750" s="105">
        <v>1.1951603E7</v>
      </c>
      <c r="Q1750" s="102" t="s">
        <v>2439</v>
      </c>
      <c r="S1750" s="1"/>
      <c r="T1750" s="1"/>
      <c r="U1750" s="1"/>
      <c r="V1750" s="1"/>
      <c r="W1750" s="1"/>
      <c r="X1750" s="1"/>
      <c r="Y1750" s="1"/>
      <c r="Z1750" s="102"/>
      <c r="AA1750" s="102"/>
      <c r="AB1750" s="1"/>
      <c r="AC1750" s="1"/>
      <c r="AD1750" s="1"/>
      <c r="AE1750" s="1"/>
      <c r="AF1750" s="1"/>
      <c r="AG1750" s="1"/>
    </row>
    <row r="1751" ht="15.75" customHeight="1">
      <c r="A1751" s="1"/>
      <c r="B1751" s="1"/>
      <c r="C1751" s="1"/>
      <c r="D1751" s="1"/>
      <c r="E1751" s="1"/>
      <c r="F1751" s="1"/>
      <c r="G1751" s="1"/>
      <c r="H1751" s="1"/>
      <c r="I1751" s="1"/>
      <c r="J1751" s="1"/>
      <c r="K1751" s="102" t="s">
        <v>3281</v>
      </c>
      <c r="L1751" s="102" t="str">
        <f>E34</f>
        <v>J1a2a~</v>
      </c>
      <c r="M1751" s="102" t="s">
        <v>3282</v>
      </c>
      <c r="N1751" s="102" t="s">
        <v>3283</v>
      </c>
      <c r="O1751" s="105">
        <v>1.4213884E7</v>
      </c>
      <c r="P1751" s="105">
        <v>1.2093178E7</v>
      </c>
      <c r="Q1751" s="102" t="s">
        <v>2529</v>
      </c>
      <c r="S1751" s="1"/>
      <c r="T1751" s="1"/>
      <c r="U1751" s="1"/>
      <c r="V1751" s="1"/>
      <c r="W1751" s="1"/>
      <c r="X1751" s="1"/>
      <c r="Y1751" s="1"/>
      <c r="Z1751" s="102"/>
      <c r="AA1751" s="102"/>
      <c r="AB1751" s="1"/>
      <c r="AC1751" s="1"/>
      <c r="AD1751" s="1"/>
      <c r="AE1751" s="1"/>
      <c r="AF1751" s="1"/>
      <c r="AG1751" s="1"/>
    </row>
    <row r="1752" ht="15.75" customHeight="1">
      <c r="A1752" s="1"/>
      <c r="B1752" s="1"/>
      <c r="C1752" s="1"/>
      <c r="D1752" s="1"/>
      <c r="E1752" s="1"/>
      <c r="F1752" s="1"/>
      <c r="G1752" s="1"/>
      <c r="H1752" s="1"/>
      <c r="I1752" s="1"/>
      <c r="J1752" s="1"/>
      <c r="K1752" s="102" t="s">
        <v>3284</v>
      </c>
      <c r="L1752" s="102" t="str">
        <f>E34</f>
        <v>J1a2a~</v>
      </c>
      <c r="M1752" s="102" t="s">
        <v>3285</v>
      </c>
      <c r="N1752" s="102" t="s">
        <v>3283</v>
      </c>
      <c r="O1752" s="105">
        <v>1.4213884E7</v>
      </c>
      <c r="P1752" s="105">
        <v>1.2093178E7</v>
      </c>
      <c r="Q1752" s="102" t="s">
        <v>2529</v>
      </c>
      <c r="S1752" s="1"/>
      <c r="T1752" s="1"/>
      <c r="U1752" s="1"/>
      <c r="V1752" s="1"/>
      <c r="W1752" s="1"/>
      <c r="X1752" s="1"/>
      <c r="Y1752" s="1"/>
      <c r="Z1752" s="102"/>
      <c r="AA1752" s="102"/>
      <c r="AB1752" s="1"/>
      <c r="AC1752" s="1"/>
      <c r="AD1752" s="1"/>
      <c r="AE1752" s="1"/>
      <c r="AF1752" s="1"/>
      <c r="AG1752" s="1"/>
    </row>
    <row r="1753" ht="15.75" customHeight="1">
      <c r="A1753" s="1"/>
      <c r="B1753" s="1"/>
      <c r="C1753" s="1"/>
      <c r="D1753" s="1"/>
      <c r="E1753" s="1"/>
      <c r="F1753" s="1"/>
      <c r="G1753" s="1"/>
      <c r="H1753" s="1"/>
      <c r="I1753" s="1"/>
      <c r="J1753" s="1"/>
      <c r="K1753" s="102" t="s">
        <v>3286</v>
      </c>
      <c r="L1753" s="102" t="str">
        <f>E34</f>
        <v>J1a2a~</v>
      </c>
      <c r="M1753" s="102" t="s">
        <v>3287</v>
      </c>
      <c r="N1753" s="102" t="s">
        <v>3283</v>
      </c>
      <c r="O1753" s="105">
        <v>1.4213884E7</v>
      </c>
      <c r="P1753" s="105">
        <v>1.2093178E7</v>
      </c>
      <c r="Q1753" s="102" t="s">
        <v>2529</v>
      </c>
      <c r="S1753" s="1"/>
      <c r="T1753" s="1"/>
      <c r="U1753" s="1"/>
      <c r="V1753" s="1"/>
      <c r="W1753" s="1"/>
      <c r="X1753" s="1"/>
      <c r="Y1753" s="1"/>
      <c r="Z1753" s="102"/>
      <c r="AA1753" s="102"/>
      <c r="AB1753" s="1"/>
      <c r="AC1753" s="1"/>
      <c r="AD1753" s="1"/>
      <c r="AE1753" s="1"/>
      <c r="AF1753" s="1"/>
      <c r="AG1753" s="1"/>
    </row>
    <row r="1754" ht="15.75" customHeight="1">
      <c r="A1754" s="1"/>
      <c r="B1754" s="1"/>
      <c r="C1754" s="1"/>
      <c r="D1754" s="1"/>
      <c r="E1754" s="1"/>
      <c r="F1754" s="1"/>
      <c r="G1754" s="1"/>
      <c r="H1754" s="1"/>
      <c r="I1754" s="1"/>
      <c r="J1754" s="1"/>
      <c r="K1754" s="102" t="s">
        <v>3288</v>
      </c>
      <c r="L1754" s="102" t="str">
        <f>E34</f>
        <v>J1a2a~</v>
      </c>
      <c r="M1754" s="102" t="s">
        <v>3289</v>
      </c>
      <c r="N1754" s="102" t="s">
        <v>3283</v>
      </c>
      <c r="O1754" s="105">
        <v>1.4213884E7</v>
      </c>
      <c r="P1754" s="105">
        <v>1.2093178E7</v>
      </c>
      <c r="Q1754" s="102" t="s">
        <v>2529</v>
      </c>
      <c r="S1754" s="1"/>
      <c r="T1754" s="1"/>
      <c r="U1754" s="1"/>
      <c r="V1754" s="1"/>
      <c r="W1754" s="1"/>
      <c r="X1754" s="1"/>
      <c r="Y1754" s="1"/>
      <c r="Z1754" s="102"/>
      <c r="AA1754" s="102"/>
      <c r="AB1754" s="1"/>
      <c r="AC1754" s="1"/>
      <c r="AD1754" s="1"/>
      <c r="AE1754" s="1"/>
      <c r="AF1754" s="1"/>
      <c r="AG1754" s="1"/>
    </row>
    <row r="1755" ht="15.75" customHeight="1">
      <c r="A1755" s="1"/>
      <c r="B1755" s="1"/>
      <c r="C1755" s="1"/>
      <c r="D1755" s="1"/>
      <c r="E1755" s="1"/>
      <c r="F1755" s="1"/>
      <c r="G1755" s="1"/>
      <c r="H1755" s="1"/>
      <c r="I1755" s="1"/>
      <c r="J1755" s="1"/>
      <c r="K1755" s="102" t="s">
        <v>3290</v>
      </c>
      <c r="L1755" s="102" t="str">
        <f>E34</f>
        <v>J1a2a~</v>
      </c>
      <c r="M1755" s="102" t="s">
        <v>3291</v>
      </c>
      <c r="N1755" s="102" t="s">
        <v>3292</v>
      </c>
      <c r="O1755" s="105">
        <v>1.4752434E7</v>
      </c>
      <c r="P1755" s="105">
        <v>1.2640503E7</v>
      </c>
      <c r="Q1755" s="102" t="s">
        <v>2533</v>
      </c>
      <c r="S1755" s="1"/>
      <c r="T1755" s="1"/>
      <c r="U1755" s="1"/>
      <c r="V1755" s="1"/>
      <c r="W1755" s="1"/>
      <c r="X1755" s="1"/>
      <c r="Y1755" s="1"/>
      <c r="Z1755" s="102"/>
      <c r="AA1755" s="102"/>
      <c r="AB1755" s="1"/>
      <c r="AC1755" s="1"/>
      <c r="AD1755" s="1"/>
      <c r="AE1755" s="1"/>
      <c r="AF1755" s="1"/>
      <c r="AG1755" s="1"/>
    </row>
    <row r="1756" ht="15.75" customHeight="1">
      <c r="A1756" s="1"/>
      <c r="B1756" s="1"/>
      <c r="C1756" s="1"/>
      <c r="D1756" s="1"/>
      <c r="E1756" s="1"/>
      <c r="F1756" s="1"/>
      <c r="G1756" s="1"/>
      <c r="H1756" s="1"/>
      <c r="I1756" s="1"/>
      <c r="J1756" s="1"/>
      <c r="K1756" s="102" t="s">
        <v>3293</v>
      </c>
      <c r="L1756" s="102" t="str">
        <f>E34</f>
        <v>J1a2a~</v>
      </c>
      <c r="M1756" s="102" t="s">
        <v>3294</v>
      </c>
      <c r="N1756" s="102" t="s">
        <v>3292</v>
      </c>
      <c r="O1756" s="105">
        <v>1.4752434E7</v>
      </c>
      <c r="P1756" s="105">
        <v>1.2640503E7</v>
      </c>
      <c r="Q1756" s="102" t="s">
        <v>2533</v>
      </c>
      <c r="S1756" s="1"/>
      <c r="T1756" s="1"/>
      <c r="U1756" s="1"/>
      <c r="V1756" s="1"/>
      <c r="W1756" s="1"/>
      <c r="X1756" s="1"/>
      <c r="Y1756" s="1"/>
      <c r="Z1756" s="102"/>
      <c r="AA1756" s="102"/>
      <c r="AB1756" s="1"/>
      <c r="AC1756" s="1"/>
      <c r="AD1756" s="1"/>
      <c r="AE1756" s="1"/>
      <c r="AF1756" s="1"/>
      <c r="AG1756" s="1"/>
    </row>
    <row r="1757" ht="15.75" customHeight="1">
      <c r="A1757" s="1"/>
      <c r="B1757" s="1"/>
      <c r="C1757" s="1"/>
      <c r="D1757" s="1"/>
      <c r="E1757" s="1"/>
      <c r="F1757" s="1"/>
      <c r="G1757" s="1"/>
      <c r="H1757" s="1"/>
      <c r="I1757" s="1"/>
      <c r="J1757" s="1"/>
      <c r="K1757" s="102" t="s">
        <v>3295</v>
      </c>
      <c r="L1757" s="102" t="str">
        <f>E34</f>
        <v>J1a2a~</v>
      </c>
      <c r="M1757" s="102" t="s">
        <v>3296</v>
      </c>
      <c r="N1757" s="102" t="s">
        <v>3292</v>
      </c>
      <c r="O1757" s="105">
        <v>1.4752434E7</v>
      </c>
      <c r="P1757" s="105">
        <v>1.2640503E7</v>
      </c>
      <c r="Q1757" s="102" t="s">
        <v>2533</v>
      </c>
      <c r="S1757" s="1"/>
      <c r="T1757" s="1"/>
      <c r="U1757" s="1"/>
      <c r="V1757" s="1"/>
      <c r="W1757" s="1"/>
      <c r="X1757" s="1"/>
      <c r="Y1757" s="1"/>
      <c r="Z1757" s="102"/>
      <c r="AA1757" s="102"/>
      <c r="AB1757" s="1"/>
      <c r="AC1757" s="1"/>
      <c r="AD1757" s="1"/>
      <c r="AE1757" s="1"/>
      <c r="AF1757" s="1"/>
      <c r="AG1757" s="1"/>
    </row>
    <row r="1758" ht="15.75" customHeight="1">
      <c r="A1758" s="1"/>
      <c r="B1758" s="1"/>
      <c r="C1758" s="1"/>
      <c r="D1758" s="1"/>
      <c r="E1758" s="1"/>
      <c r="F1758" s="1"/>
      <c r="G1758" s="1"/>
      <c r="H1758" s="1"/>
      <c r="I1758" s="1"/>
      <c r="J1758" s="1"/>
      <c r="K1758" s="102" t="s">
        <v>3297</v>
      </c>
      <c r="L1758" s="102" t="str">
        <f>E34</f>
        <v>J1a2a~</v>
      </c>
      <c r="M1758" s="102" t="s">
        <v>3298</v>
      </c>
      <c r="N1758" s="102" t="s">
        <v>3299</v>
      </c>
      <c r="O1758" s="105">
        <v>1.5008154E7</v>
      </c>
      <c r="P1758" s="105">
        <v>1.2896239E7</v>
      </c>
      <c r="Q1758" s="102" t="s">
        <v>2439</v>
      </c>
      <c r="S1758" s="1"/>
      <c r="T1758" s="1"/>
      <c r="U1758" s="1"/>
      <c r="V1758" s="1"/>
      <c r="W1758" s="1"/>
      <c r="X1758" s="1"/>
      <c r="Y1758" s="1"/>
      <c r="Z1758" s="102"/>
      <c r="AA1758" s="102"/>
      <c r="AB1758" s="1"/>
      <c r="AC1758" s="1"/>
      <c r="AD1758" s="1"/>
      <c r="AE1758" s="1"/>
      <c r="AF1758" s="1"/>
      <c r="AG1758" s="1"/>
    </row>
    <row r="1759" ht="15.75" customHeight="1">
      <c r="A1759" s="1"/>
      <c r="B1759" s="1"/>
      <c r="C1759" s="1"/>
      <c r="D1759" s="1"/>
      <c r="E1759" s="1"/>
      <c r="F1759" s="1"/>
      <c r="G1759" s="1"/>
      <c r="H1759" s="1"/>
      <c r="I1759" s="1"/>
      <c r="J1759" s="1"/>
      <c r="K1759" s="102" t="s">
        <v>3300</v>
      </c>
      <c r="L1759" s="102" t="str">
        <f>E34</f>
        <v>J1a2a~</v>
      </c>
      <c r="M1759" s="102" t="s">
        <v>3301</v>
      </c>
      <c r="N1759" s="102" t="s">
        <v>3299</v>
      </c>
      <c r="O1759" s="105">
        <v>1.5008154E7</v>
      </c>
      <c r="P1759" s="105">
        <v>1.2896239E7</v>
      </c>
      <c r="Q1759" s="102" t="s">
        <v>2439</v>
      </c>
      <c r="S1759" s="1"/>
      <c r="T1759" s="1"/>
      <c r="U1759" s="1"/>
      <c r="V1759" s="1"/>
      <c r="W1759" s="1"/>
      <c r="X1759" s="1"/>
      <c r="Y1759" s="1"/>
      <c r="Z1759" s="102"/>
      <c r="AA1759" s="102"/>
      <c r="AB1759" s="1"/>
      <c r="AC1759" s="1"/>
      <c r="AD1759" s="1"/>
      <c r="AE1759" s="1"/>
      <c r="AF1759" s="1"/>
      <c r="AG1759" s="1"/>
    </row>
    <row r="1760" ht="15.75" customHeight="1">
      <c r="A1760" s="1"/>
      <c r="B1760" s="1"/>
      <c r="C1760" s="1"/>
      <c r="D1760" s="1"/>
      <c r="E1760" s="1"/>
      <c r="F1760" s="1"/>
      <c r="G1760" s="1"/>
      <c r="H1760" s="1"/>
      <c r="I1760" s="1"/>
      <c r="J1760" s="1"/>
      <c r="K1760" s="102" t="s">
        <v>3302</v>
      </c>
      <c r="L1760" s="102" t="str">
        <f>E34</f>
        <v>J1a2a~</v>
      </c>
      <c r="M1760" s="102" t="s">
        <v>3303</v>
      </c>
      <c r="N1760" s="102" t="s">
        <v>3299</v>
      </c>
      <c r="O1760" s="105">
        <v>1.5008154E7</v>
      </c>
      <c r="P1760" s="105">
        <v>1.2896239E7</v>
      </c>
      <c r="Q1760" s="102" t="s">
        <v>2439</v>
      </c>
      <c r="S1760" s="1"/>
      <c r="T1760" s="1"/>
      <c r="U1760" s="1"/>
      <c r="V1760" s="1"/>
      <c r="W1760" s="1"/>
      <c r="X1760" s="1"/>
      <c r="Y1760" s="1"/>
      <c r="Z1760" s="102"/>
      <c r="AA1760" s="102"/>
      <c r="AB1760" s="1"/>
      <c r="AC1760" s="1"/>
      <c r="AD1760" s="1"/>
      <c r="AE1760" s="1"/>
      <c r="AF1760" s="1"/>
      <c r="AG1760" s="1"/>
    </row>
    <row r="1761" ht="15.75" customHeight="1">
      <c r="A1761" s="1"/>
      <c r="B1761" s="1"/>
      <c r="C1761" s="1"/>
      <c r="D1761" s="1"/>
      <c r="E1761" s="1"/>
      <c r="F1761" s="1"/>
      <c r="G1761" s="1"/>
      <c r="H1761" s="1"/>
      <c r="I1761" s="1"/>
      <c r="J1761" s="1"/>
      <c r="K1761" s="102" t="s">
        <v>3304</v>
      </c>
      <c r="L1761" s="102" t="str">
        <f>E34</f>
        <v>J1a2a~</v>
      </c>
      <c r="M1761" s="102" t="s">
        <v>3305</v>
      </c>
      <c r="N1761" s="102" t="s">
        <v>3299</v>
      </c>
      <c r="O1761" s="105">
        <v>1.5008154E7</v>
      </c>
      <c r="P1761" s="105">
        <v>1.2896239E7</v>
      </c>
      <c r="Q1761" s="102" t="s">
        <v>2439</v>
      </c>
      <c r="S1761" s="1"/>
      <c r="T1761" s="1"/>
      <c r="U1761" s="1"/>
      <c r="V1761" s="1"/>
      <c r="W1761" s="1"/>
      <c r="X1761" s="1"/>
      <c r="Y1761" s="1"/>
      <c r="Z1761" s="102"/>
      <c r="AA1761" s="102"/>
      <c r="AB1761" s="1"/>
      <c r="AC1761" s="1"/>
      <c r="AD1761" s="1"/>
      <c r="AE1761" s="1"/>
      <c r="AF1761" s="1"/>
      <c r="AG1761" s="1"/>
    </row>
    <row r="1762" ht="15.75" customHeight="1">
      <c r="A1762" s="1"/>
      <c r="B1762" s="1"/>
      <c r="C1762" s="1"/>
      <c r="D1762" s="1"/>
      <c r="E1762" s="1"/>
      <c r="F1762" s="1"/>
      <c r="G1762" s="1"/>
      <c r="H1762" s="1"/>
      <c r="I1762" s="1"/>
      <c r="J1762" s="1"/>
      <c r="K1762" s="102" t="s">
        <v>3306</v>
      </c>
      <c r="L1762" s="102" t="str">
        <f>E34</f>
        <v>J1a2a~</v>
      </c>
      <c r="M1762" s="102" t="s">
        <v>3307</v>
      </c>
      <c r="N1762" s="102" t="s">
        <v>3308</v>
      </c>
      <c r="O1762" s="105">
        <v>1.593824E7</v>
      </c>
      <c r="P1762" s="105">
        <v>1.382636E7</v>
      </c>
      <c r="Q1762" s="102" t="s">
        <v>2576</v>
      </c>
      <c r="S1762" s="1"/>
      <c r="T1762" s="1"/>
      <c r="U1762" s="1"/>
      <c r="V1762" s="1"/>
      <c r="W1762" s="1"/>
      <c r="X1762" s="1"/>
      <c r="Y1762" s="1"/>
      <c r="Z1762" s="102"/>
      <c r="AA1762" s="102"/>
      <c r="AB1762" s="1"/>
      <c r="AC1762" s="1"/>
      <c r="AD1762" s="1"/>
      <c r="AE1762" s="1"/>
      <c r="AF1762" s="1"/>
      <c r="AG1762" s="1"/>
    </row>
    <row r="1763" ht="15.75" customHeight="1">
      <c r="A1763" s="1"/>
      <c r="B1763" s="1"/>
      <c r="C1763" s="1"/>
      <c r="D1763" s="1"/>
      <c r="E1763" s="1"/>
      <c r="F1763" s="1"/>
      <c r="G1763" s="1"/>
      <c r="H1763" s="1"/>
      <c r="I1763" s="1"/>
      <c r="J1763" s="1"/>
      <c r="K1763" s="102" t="s">
        <v>3309</v>
      </c>
      <c r="L1763" s="102" t="str">
        <f>E34</f>
        <v>J1a2a~</v>
      </c>
      <c r="M1763" s="102" t="s">
        <v>3310</v>
      </c>
      <c r="N1763" s="102" t="s">
        <v>3308</v>
      </c>
      <c r="O1763" s="105">
        <v>1.593824E7</v>
      </c>
      <c r="P1763" s="105">
        <v>1.382636E7</v>
      </c>
      <c r="Q1763" s="102" t="s">
        <v>2576</v>
      </c>
      <c r="S1763" s="1"/>
      <c r="T1763" s="1"/>
      <c r="U1763" s="1"/>
      <c r="V1763" s="1"/>
      <c r="W1763" s="1"/>
      <c r="X1763" s="1"/>
      <c r="Y1763" s="1"/>
      <c r="Z1763" s="102"/>
      <c r="AA1763" s="102"/>
      <c r="AB1763" s="1"/>
      <c r="AC1763" s="1"/>
      <c r="AD1763" s="1"/>
      <c r="AE1763" s="1"/>
      <c r="AF1763" s="1"/>
      <c r="AG1763" s="1"/>
    </row>
    <row r="1764" ht="15.75" customHeight="1">
      <c r="A1764" s="1"/>
      <c r="B1764" s="1"/>
      <c r="C1764" s="1"/>
      <c r="D1764" s="1"/>
      <c r="E1764" s="1"/>
      <c r="F1764" s="1"/>
      <c r="G1764" s="1"/>
      <c r="H1764" s="1"/>
      <c r="I1764" s="1"/>
      <c r="J1764" s="1"/>
      <c r="K1764" s="102" t="s">
        <v>3311</v>
      </c>
      <c r="L1764" s="102" t="str">
        <f>E34</f>
        <v>J1a2a~</v>
      </c>
      <c r="M1764" s="102" t="s">
        <v>3312</v>
      </c>
      <c r="N1764" s="102" t="s">
        <v>3308</v>
      </c>
      <c r="O1764" s="105">
        <v>1.593824E7</v>
      </c>
      <c r="P1764" s="105">
        <v>1.382636E7</v>
      </c>
      <c r="Q1764" s="102" t="s">
        <v>2576</v>
      </c>
      <c r="S1764" s="1"/>
      <c r="T1764" s="1"/>
      <c r="U1764" s="1"/>
      <c r="V1764" s="1"/>
      <c r="W1764" s="1"/>
      <c r="X1764" s="1"/>
      <c r="Y1764" s="1"/>
      <c r="Z1764" s="102"/>
      <c r="AA1764" s="102"/>
      <c r="AB1764" s="1"/>
      <c r="AC1764" s="1"/>
      <c r="AD1764" s="1"/>
      <c r="AE1764" s="1"/>
      <c r="AF1764" s="1"/>
      <c r="AG1764" s="1"/>
    </row>
    <row r="1765" ht="15.75" customHeight="1">
      <c r="A1765" s="1"/>
      <c r="B1765" s="1"/>
      <c r="C1765" s="1"/>
      <c r="D1765" s="1"/>
      <c r="E1765" s="1"/>
      <c r="F1765" s="1"/>
      <c r="G1765" s="1"/>
      <c r="H1765" s="1"/>
      <c r="I1765" s="1"/>
      <c r="J1765" s="1"/>
      <c r="K1765" s="102" t="s">
        <v>3313</v>
      </c>
      <c r="L1765" s="102" t="str">
        <f>E34</f>
        <v>J1a2a~</v>
      </c>
      <c r="M1765" s="102" t="s">
        <v>3314</v>
      </c>
      <c r="N1765" s="102" t="s">
        <v>3308</v>
      </c>
      <c r="O1765" s="105">
        <v>1.593824E7</v>
      </c>
      <c r="P1765" s="105">
        <v>1.382636E7</v>
      </c>
      <c r="Q1765" s="102" t="s">
        <v>2576</v>
      </c>
      <c r="S1765" s="1"/>
      <c r="T1765" s="1"/>
      <c r="U1765" s="1"/>
      <c r="V1765" s="1"/>
      <c r="W1765" s="1"/>
      <c r="X1765" s="1"/>
      <c r="Y1765" s="1"/>
      <c r="Z1765" s="102"/>
      <c r="AA1765" s="102"/>
      <c r="AB1765" s="1"/>
      <c r="AC1765" s="1"/>
      <c r="AD1765" s="1"/>
      <c r="AE1765" s="1"/>
      <c r="AF1765" s="1"/>
      <c r="AG1765" s="1"/>
    </row>
    <row r="1766" ht="15.75" customHeight="1">
      <c r="A1766" s="1"/>
      <c r="B1766" s="1"/>
      <c r="C1766" s="1"/>
      <c r="D1766" s="1"/>
      <c r="E1766" s="1"/>
      <c r="F1766" s="1"/>
      <c r="G1766" s="1"/>
      <c r="H1766" s="1"/>
      <c r="I1766" s="1"/>
      <c r="J1766" s="1"/>
      <c r="K1766" s="102" t="s">
        <v>3315</v>
      </c>
      <c r="L1766" s="102" t="str">
        <f>E34</f>
        <v>J1a2a~</v>
      </c>
      <c r="M1766" s="102" t="s">
        <v>3316</v>
      </c>
      <c r="N1766" s="102" t="s">
        <v>3308</v>
      </c>
      <c r="O1766" s="105">
        <v>1.593824E7</v>
      </c>
      <c r="P1766" s="105">
        <v>1.382636E7</v>
      </c>
      <c r="Q1766" s="102" t="s">
        <v>2576</v>
      </c>
      <c r="S1766" s="1"/>
      <c r="T1766" s="1"/>
      <c r="U1766" s="1"/>
      <c r="V1766" s="1"/>
      <c r="W1766" s="1"/>
      <c r="X1766" s="1"/>
      <c r="Y1766" s="1"/>
      <c r="Z1766" s="102"/>
      <c r="AA1766" s="102"/>
      <c r="AB1766" s="1"/>
      <c r="AC1766" s="1"/>
      <c r="AD1766" s="1"/>
      <c r="AE1766" s="1"/>
      <c r="AF1766" s="1"/>
      <c r="AG1766" s="1"/>
    </row>
    <row r="1767" ht="15.75" customHeight="1">
      <c r="A1767" s="1"/>
      <c r="B1767" s="1"/>
      <c r="C1767" s="1"/>
      <c r="D1767" s="1"/>
      <c r="E1767" s="1"/>
      <c r="F1767" s="1"/>
      <c r="G1767" s="1"/>
      <c r="H1767" s="1"/>
      <c r="I1767" s="1"/>
      <c r="J1767" s="1"/>
      <c r="K1767" s="102" t="s">
        <v>3317</v>
      </c>
      <c r="L1767" s="102" t="str">
        <f>E34</f>
        <v>J1a2a~</v>
      </c>
      <c r="M1767" s="102" t="s">
        <v>3318</v>
      </c>
      <c r="N1767" s="102" t="s">
        <v>3319</v>
      </c>
      <c r="O1767" s="105">
        <v>1.720994E7</v>
      </c>
      <c r="P1767" s="105">
        <v>1.509806E7</v>
      </c>
      <c r="Q1767" s="102" t="s">
        <v>2501</v>
      </c>
      <c r="S1767" s="1"/>
      <c r="T1767" s="1"/>
      <c r="U1767" s="1"/>
      <c r="V1767" s="1"/>
      <c r="W1767" s="1"/>
      <c r="X1767" s="1"/>
      <c r="Y1767" s="1"/>
      <c r="Z1767" s="102"/>
      <c r="AA1767" s="102"/>
      <c r="AB1767" s="1"/>
      <c r="AC1767" s="1"/>
      <c r="AD1767" s="1"/>
      <c r="AE1767" s="1"/>
      <c r="AF1767" s="1"/>
      <c r="AG1767" s="1"/>
    </row>
    <row r="1768" ht="15.75" customHeight="1">
      <c r="A1768" s="1"/>
      <c r="B1768" s="1"/>
      <c r="C1768" s="1"/>
      <c r="D1768" s="1"/>
      <c r="E1768" s="1"/>
      <c r="F1768" s="1"/>
      <c r="G1768" s="1"/>
      <c r="H1768" s="1"/>
      <c r="I1768" s="1"/>
      <c r="J1768" s="1"/>
      <c r="K1768" s="102" t="s">
        <v>3320</v>
      </c>
      <c r="L1768" s="102" t="str">
        <f>E34</f>
        <v>J1a2a~</v>
      </c>
      <c r="M1768" s="102" t="s">
        <v>3321</v>
      </c>
      <c r="N1768" s="102" t="s">
        <v>3319</v>
      </c>
      <c r="O1768" s="105">
        <v>1.720994E7</v>
      </c>
      <c r="P1768" s="105">
        <v>1.509806E7</v>
      </c>
      <c r="Q1768" s="102" t="s">
        <v>2501</v>
      </c>
      <c r="S1768" s="1"/>
      <c r="T1768" s="1"/>
      <c r="U1768" s="1"/>
      <c r="V1768" s="1"/>
      <c r="W1768" s="1"/>
      <c r="X1768" s="1"/>
      <c r="Y1768" s="1"/>
      <c r="Z1768" s="102"/>
      <c r="AA1768" s="102"/>
      <c r="AB1768" s="1"/>
      <c r="AC1768" s="1"/>
      <c r="AD1768" s="1"/>
      <c r="AE1768" s="1"/>
      <c r="AF1768" s="1"/>
      <c r="AG1768" s="1"/>
    </row>
    <row r="1769" ht="15.75" customHeight="1">
      <c r="A1769" s="1"/>
      <c r="B1769" s="1"/>
      <c r="C1769" s="1"/>
      <c r="D1769" s="1"/>
      <c r="E1769" s="1"/>
      <c r="F1769" s="1"/>
      <c r="G1769" s="1"/>
      <c r="H1769" s="1"/>
      <c r="I1769" s="1"/>
      <c r="J1769" s="1"/>
      <c r="K1769" s="102" t="s">
        <v>3322</v>
      </c>
      <c r="L1769" s="102" t="str">
        <f>E34</f>
        <v>J1a2a~</v>
      </c>
      <c r="M1769" s="102" t="s">
        <v>3323</v>
      </c>
      <c r="N1769" s="102" t="s">
        <v>3319</v>
      </c>
      <c r="O1769" s="105">
        <v>1.720994E7</v>
      </c>
      <c r="P1769" s="105">
        <v>1.509806E7</v>
      </c>
      <c r="Q1769" s="102" t="s">
        <v>2501</v>
      </c>
      <c r="S1769" s="1"/>
      <c r="T1769" s="1"/>
      <c r="U1769" s="1"/>
      <c r="V1769" s="1"/>
      <c r="W1769" s="1"/>
      <c r="X1769" s="1"/>
      <c r="Y1769" s="1"/>
      <c r="Z1769" s="102"/>
      <c r="AA1769" s="102"/>
      <c r="AB1769" s="1"/>
      <c r="AC1769" s="1"/>
      <c r="AD1769" s="1"/>
      <c r="AE1769" s="1"/>
      <c r="AF1769" s="1"/>
      <c r="AG1769" s="1"/>
    </row>
    <row r="1770" ht="15.75" customHeight="1">
      <c r="A1770" s="1"/>
      <c r="B1770" s="1"/>
      <c r="C1770" s="1"/>
      <c r="D1770" s="1"/>
      <c r="E1770" s="1"/>
      <c r="F1770" s="1"/>
      <c r="G1770" s="1"/>
      <c r="H1770" s="1"/>
      <c r="I1770" s="1"/>
      <c r="J1770" s="1"/>
      <c r="K1770" s="102" t="s">
        <v>3324</v>
      </c>
      <c r="L1770" s="102" t="str">
        <f>E34</f>
        <v>J1a2a~</v>
      </c>
      <c r="M1770" s="102" t="s">
        <v>3325</v>
      </c>
      <c r="N1770" s="102" t="s">
        <v>3319</v>
      </c>
      <c r="O1770" s="105">
        <v>1.720994E7</v>
      </c>
      <c r="P1770" s="105">
        <v>1.509806E7</v>
      </c>
      <c r="Q1770" s="102" t="s">
        <v>2501</v>
      </c>
      <c r="S1770" s="1"/>
      <c r="T1770" s="1"/>
      <c r="U1770" s="1"/>
      <c r="V1770" s="1"/>
      <c r="W1770" s="1"/>
      <c r="X1770" s="1"/>
      <c r="Y1770" s="1"/>
      <c r="Z1770" s="102"/>
      <c r="AA1770" s="102"/>
      <c r="AB1770" s="1"/>
      <c r="AC1770" s="1"/>
      <c r="AD1770" s="1"/>
      <c r="AE1770" s="1"/>
      <c r="AF1770" s="1"/>
      <c r="AG1770" s="1"/>
    </row>
    <row r="1771" ht="15.75" customHeight="1">
      <c r="A1771" s="1"/>
      <c r="B1771" s="1"/>
      <c r="C1771" s="1"/>
      <c r="D1771" s="1"/>
      <c r="E1771" s="1"/>
      <c r="F1771" s="1"/>
      <c r="G1771" s="1"/>
      <c r="H1771" s="1"/>
      <c r="I1771" s="1"/>
      <c r="J1771" s="1"/>
      <c r="K1771" s="102" t="s">
        <v>3326</v>
      </c>
      <c r="L1771" s="102" t="str">
        <f>E34</f>
        <v>J1a2a~</v>
      </c>
      <c r="M1771" s="102" t="s">
        <v>3327</v>
      </c>
      <c r="N1771" s="102" t="s">
        <v>3328</v>
      </c>
      <c r="O1771" s="105">
        <v>1.8794976E7</v>
      </c>
      <c r="P1771" s="105">
        <v>1.6683096E7</v>
      </c>
      <c r="Q1771" s="102" t="s">
        <v>2439</v>
      </c>
      <c r="S1771" s="1"/>
      <c r="T1771" s="1"/>
      <c r="U1771" s="1"/>
      <c r="V1771" s="1"/>
      <c r="W1771" s="1"/>
      <c r="X1771" s="1"/>
      <c r="Y1771" s="1"/>
      <c r="Z1771" s="102"/>
      <c r="AA1771" s="102"/>
      <c r="AB1771" s="1"/>
      <c r="AC1771" s="1"/>
      <c r="AD1771" s="1"/>
      <c r="AE1771" s="1"/>
      <c r="AF1771" s="1"/>
      <c r="AG1771" s="1"/>
    </row>
    <row r="1772" ht="15.75" customHeight="1">
      <c r="A1772" s="1"/>
      <c r="B1772" s="1"/>
      <c r="C1772" s="1"/>
      <c r="D1772" s="1"/>
      <c r="E1772" s="1"/>
      <c r="F1772" s="1"/>
      <c r="G1772" s="1"/>
      <c r="H1772" s="1"/>
      <c r="I1772" s="1"/>
      <c r="J1772" s="1"/>
      <c r="K1772" s="102" t="s">
        <v>3329</v>
      </c>
      <c r="L1772" s="102" t="str">
        <f>E34</f>
        <v>J1a2a~</v>
      </c>
      <c r="M1772" s="102" t="s">
        <v>3330</v>
      </c>
      <c r="N1772" s="102" t="s">
        <v>3328</v>
      </c>
      <c r="O1772" s="105">
        <v>1.8794976E7</v>
      </c>
      <c r="P1772" s="105">
        <v>1.6683096E7</v>
      </c>
      <c r="Q1772" s="102" t="s">
        <v>2439</v>
      </c>
      <c r="S1772" s="1"/>
      <c r="T1772" s="1"/>
      <c r="U1772" s="1"/>
      <c r="V1772" s="1"/>
      <c r="W1772" s="1"/>
      <c r="X1772" s="1"/>
      <c r="Y1772" s="1"/>
      <c r="Z1772" s="102"/>
      <c r="AA1772" s="102"/>
      <c r="AB1772" s="1"/>
      <c r="AC1772" s="1"/>
      <c r="AD1772" s="1"/>
      <c r="AE1772" s="1"/>
      <c r="AF1772" s="1"/>
      <c r="AG1772" s="1"/>
    </row>
    <row r="1773" ht="15.75" customHeight="1">
      <c r="A1773" s="1"/>
      <c r="B1773" s="1"/>
      <c r="C1773" s="1"/>
      <c r="D1773" s="1"/>
      <c r="E1773" s="1"/>
      <c r="F1773" s="1"/>
      <c r="G1773" s="1"/>
      <c r="H1773" s="1"/>
      <c r="I1773" s="1"/>
      <c r="J1773" s="1"/>
      <c r="K1773" s="102" t="s">
        <v>3331</v>
      </c>
      <c r="L1773" s="102" t="str">
        <f>E34</f>
        <v>J1a2a~</v>
      </c>
      <c r="M1773" s="102" t="s">
        <v>3332</v>
      </c>
      <c r="N1773" s="102" t="s">
        <v>3328</v>
      </c>
      <c r="O1773" s="105">
        <v>1.8794976E7</v>
      </c>
      <c r="P1773" s="105">
        <v>1.6683096E7</v>
      </c>
      <c r="Q1773" s="102" t="s">
        <v>2439</v>
      </c>
      <c r="S1773" s="1"/>
      <c r="T1773" s="1"/>
      <c r="U1773" s="1"/>
      <c r="V1773" s="1"/>
      <c r="W1773" s="1"/>
      <c r="X1773" s="1"/>
      <c r="Y1773" s="1"/>
      <c r="Z1773" s="102"/>
      <c r="AA1773" s="102"/>
      <c r="AB1773" s="1"/>
      <c r="AC1773" s="1"/>
      <c r="AD1773" s="1"/>
      <c r="AE1773" s="1"/>
      <c r="AF1773" s="1"/>
      <c r="AG1773" s="1"/>
    </row>
    <row r="1774" ht="15.75" customHeight="1">
      <c r="A1774" s="1"/>
      <c r="B1774" s="1"/>
      <c r="C1774" s="1"/>
      <c r="D1774" s="1"/>
      <c r="E1774" s="1"/>
      <c r="F1774" s="1"/>
      <c r="G1774" s="1"/>
      <c r="H1774" s="1"/>
      <c r="I1774" s="1"/>
      <c r="J1774" s="1"/>
      <c r="K1774" s="102" t="s">
        <v>3333</v>
      </c>
      <c r="L1774" s="102" t="str">
        <f>E34</f>
        <v>J1a2a~</v>
      </c>
      <c r="M1774" s="102" t="s">
        <v>3334</v>
      </c>
      <c r="N1774" s="102" t="s">
        <v>3328</v>
      </c>
      <c r="O1774" s="105">
        <v>1.8794976E7</v>
      </c>
      <c r="P1774" s="105">
        <v>1.6683096E7</v>
      </c>
      <c r="Q1774" s="102" t="s">
        <v>2439</v>
      </c>
      <c r="S1774" s="1"/>
      <c r="T1774" s="1"/>
      <c r="U1774" s="1"/>
      <c r="V1774" s="1"/>
      <c r="W1774" s="1"/>
      <c r="X1774" s="1"/>
      <c r="Y1774" s="1"/>
      <c r="Z1774" s="102"/>
      <c r="AA1774" s="102"/>
      <c r="AB1774" s="1"/>
      <c r="AC1774" s="1"/>
      <c r="AD1774" s="1"/>
      <c r="AE1774" s="1"/>
      <c r="AF1774" s="1"/>
      <c r="AG1774" s="1"/>
    </row>
    <row r="1775" ht="15.75" customHeight="1">
      <c r="A1775" s="1"/>
      <c r="B1775" s="1"/>
      <c r="C1775" s="1"/>
      <c r="D1775" s="1"/>
      <c r="E1775" s="1"/>
      <c r="F1775" s="1"/>
      <c r="G1775" s="1"/>
      <c r="H1775" s="1"/>
      <c r="I1775" s="1"/>
      <c r="J1775" s="1"/>
      <c r="K1775" s="106" t="s">
        <v>3335</v>
      </c>
      <c r="L1775" s="102" t="str">
        <f>E34</f>
        <v>J1a2a~</v>
      </c>
      <c r="M1775" s="102" t="s">
        <v>3336</v>
      </c>
      <c r="N1775" s="102" t="s">
        <v>3337</v>
      </c>
      <c r="O1775" s="105">
        <v>1.9044096E7</v>
      </c>
      <c r="P1775" s="105">
        <v>1.6932216E7</v>
      </c>
      <c r="Q1775" s="102" t="s">
        <v>2529</v>
      </c>
      <c r="S1775" s="1"/>
      <c r="T1775" s="1"/>
      <c r="U1775" s="1"/>
      <c r="V1775" s="1"/>
      <c r="W1775" s="1"/>
      <c r="X1775" s="1"/>
      <c r="Y1775" s="1"/>
      <c r="Z1775" s="102"/>
      <c r="AA1775" s="102"/>
      <c r="AB1775" s="1"/>
      <c r="AC1775" s="1"/>
      <c r="AD1775" s="1"/>
      <c r="AE1775" s="1"/>
      <c r="AF1775" s="1"/>
      <c r="AG1775" s="1"/>
    </row>
    <row r="1776" ht="15.75" customHeight="1">
      <c r="A1776" s="1"/>
      <c r="B1776" s="1"/>
      <c r="C1776" s="1"/>
      <c r="D1776" s="1"/>
      <c r="E1776" s="1"/>
      <c r="F1776" s="1"/>
      <c r="G1776" s="1"/>
      <c r="H1776" s="1"/>
      <c r="I1776" s="1"/>
      <c r="J1776" s="1"/>
      <c r="K1776" s="102" t="s">
        <v>3338</v>
      </c>
      <c r="L1776" s="102" t="str">
        <f>E34</f>
        <v>J1a2a~</v>
      </c>
      <c r="M1776" s="106" t="s">
        <v>3339</v>
      </c>
      <c r="N1776" s="102" t="s">
        <v>3337</v>
      </c>
      <c r="O1776" s="105">
        <v>1.9044096E7</v>
      </c>
      <c r="P1776" s="105">
        <v>1.6932216E7</v>
      </c>
      <c r="Q1776" s="102" t="s">
        <v>2529</v>
      </c>
      <c r="S1776" s="1"/>
      <c r="T1776" s="1"/>
      <c r="U1776" s="1"/>
      <c r="V1776" s="1"/>
      <c r="W1776" s="1"/>
      <c r="X1776" s="1"/>
      <c r="Y1776" s="1"/>
      <c r="Z1776" s="102"/>
      <c r="AA1776" s="102"/>
      <c r="AB1776" s="1"/>
      <c r="AC1776" s="1"/>
      <c r="AD1776" s="1"/>
      <c r="AE1776" s="1"/>
      <c r="AF1776" s="1"/>
      <c r="AG1776" s="1"/>
    </row>
    <row r="1777" ht="15.75" customHeight="1">
      <c r="A1777" s="1"/>
      <c r="B1777" s="1"/>
      <c r="C1777" s="1"/>
      <c r="D1777" s="1"/>
      <c r="E1777" s="1"/>
      <c r="F1777" s="1"/>
      <c r="G1777" s="1"/>
      <c r="H1777" s="1"/>
      <c r="I1777" s="1"/>
      <c r="J1777" s="1"/>
      <c r="K1777" s="102" t="s">
        <v>3340</v>
      </c>
      <c r="L1777" s="102" t="str">
        <f>E34</f>
        <v>J1a2a~</v>
      </c>
      <c r="M1777" s="106" t="s">
        <v>3341</v>
      </c>
      <c r="N1777" s="102" t="s">
        <v>3337</v>
      </c>
      <c r="O1777" s="105">
        <v>1.9044096E7</v>
      </c>
      <c r="P1777" s="105">
        <v>1.6932216E7</v>
      </c>
      <c r="Q1777" s="102" t="s">
        <v>2529</v>
      </c>
      <c r="S1777" s="1"/>
      <c r="T1777" s="1"/>
      <c r="U1777" s="1"/>
      <c r="V1777" s="1"/>
      <c r="W1777" s="1"/>
      <c r="X1777" s="1"/>
      <c r="Y1777" s="1"/>
      <c r="Z1777" s="102"/>
      <c r="AA1777" s="102"/>
      <c r="AB1777" s="1"/>
      <c r="AC1777" s="1"/>
      <c r="AD1777" s="1"/>
      <c r="AE1777" s="1"/>
      <c r="AF1777" s="1"/>
      <c r="AG1777" s="1"/>
    </row>
    <row r="1778" ht="15.75" customHeight="1">
      <c r="A1778" s="1"/>
      <c r="B1778" s="1"/>
      <c r="C1778" s="1"/>
      <c r="D1778" s="1"/>
      <c r="E1778" s="1"/>
      <c r="F1778" s="1"/>
      <c r="G1778" s="1"/>
      <c r="H1778" s="1"/>
      <c r="I1778" s="1"/>
      <c r="J1778" s="1"/>
      <c r="K1778" s="102" t="s">
        <v>3342</v>
      </c>
      <c r="L1778" s="102" t="str">
        <f>E34</f>
        <v>J1a2a~</v>
      </c>
      <c r="M1778" s="102" t="s">
        <v>3343</v>
      </c>
      <c r="N1778" s="102" t="s">
        <v>3344</v>
      </c>
      <c r="O1778" s="105">
        <v>2.1094716E7</v>
      </c>
      <c r="P1778" s="105">
        <v>1.893283E7</v>
      </c>
      <c r="Q1778" s="102" t="s">
        <v>2468</v>
      </c>
      <c r="S1778" s="1"/>
      <c r="T1778" s="1"/>
      <c r="U1778" s="1"/>
      <c r="V1778" s="1"/>
      <c r="W1778" s="1"/>
      <c r="X1778" s="1"/>
      <c r="Y1778" s="1"/>
      <c r="Z1778" s="102"/>
      <c r="AA1778" s="102"/>
      <c r="AB1778" s="1"/>
      <c r="AC1778" s="1"/>
      <c r="AD1778" s="1"/>
      <c r="AE1778" s="1"/>
      <c r="AF1778" s="1"/>
      <c r="AG1778" s="1"/>
    </row>
    <row r="1779" ht="15.75" customHeight="1">
      <c r="A1779" s="1"/>
      <c r="B1779" s="1"/>
      <c r="C1779" s="1"/>
      <c r="D1779" s="1"/>
      <c r="E1779" s="1"/>
      <c r="F1779" s="1"/>
      <c r="G1779" s="1"/>
      <c r="H1779" s="1"/>
      <c r="I1779" s="1"/>
      <c r="J1779" s="1"/>
      <c r="K1779" s="102" t="s">
        <v>3345</v>
      </c>
      <c r="L1779" s="102" t="str">
        <f>E34</f>
        <v>J1a2a~</v>
      </c>
      <c r="M1779" s="102" t="s">
        <v>3346</v>
      </c>
      <c r="N1779" s="102" t="s">
        <v>3344</v>
      </c>
      <c r="O1779" s="105">
        <v>2.1094716E7</v>
      </c>
      <c r="P1779" s="105">
        <v>1.893283E7</v>
      </c>
      <c r="Q1779" s="102" t="s">
        <v>2468</v>
      </c>
      <c r="S1779" s="1"/>
      <c r="T1779" s="1"/>
      <c r="U1779" s="1"/>
      <c r="V1779" s="1"/>
      <c r="W1779" s="1"/>
      <c r="X1779" s="1"/>
      <c r="Y1779" s="1"/>
      <c r="Z1779" s="102"/>
      <c r="AA1779" s="102"/>
      <c r="AB1779" s="1"/>
      <c r="AC1779" s="1"/>
      <c r="AD1779" s="1"/>
      <c r="AE1779" s="1"/>
      <c r="AF1779" s="1"/>
      <c r="AG1779" s="1"/>
    </row>
    <row r="1780" ht="15.75" customHeight="1">
      <c r="A1780" s="1"/>
      <c r="B1780" s="1"/>
      <c r="C1780" s="1"/>
      <c r="D1780" s="1"/>
      <c r="E1780" s="1"/>
      <c r="F1780" s="1"/>
      <c r="G1780" s="1"/>
      <c r="H1780" s="1"/>
      <c r="I1780" s="1"/>
      <c r="J1780" s="1"/>
      <c r="K1780" s="102" t="s">
        <v>3347</v>
      </c>
      <c r="L1780" s="102" t="str">
        <f>E34</f>
        <v>J1a2a~</v>
      </c>
      <c r="M1780" s="102" t="s">
        <v>3348</v>
      </c>
      <c r="N1780" s="102" t="s">
        <v>3344</v>
      </c>
      <c r="O1780" s="105">
        <v>2.1094716E7</v>
      </c>
      <c r="P1780" s="105">
        <v>1.893283E7</v>
      </c>
      <c r="Q1780" s="102" t="s">
        <v>2468</v>
      </c>
      <c r="S1780" s="1"/>
      <c r="T1780" s="1"/>
      <c r="U1780" s="1"/>
      <c r="V1780" s="1"/>
      <c r="W1780" s="1"/>
      <c r="X1780" s="1"/>
      <c r="Y1780" s="1"/>
      <c r="Z1780" s="102"/>
      <c r="AA1780" s="102"/>
      <c r="AB1780" s="1"/>
      <c r="AC1780" s="1"/>
      <c r="AD1780" s="1"/>
      <c r="AE1780" s="1"/>
      <c r="AF1780" s="1"/>
      <c r="AG1780" s="1"/>
    </row>
    <row r="1781" ht="15.75" customHeight="1">
      <c r="A1781" s="1"/>
      <c r="B1781" s="1"/>
      <c r="C1781" s="1"/>
      <c r="D1781" s="1"/>
      <c r="E1781" s="1"/>
      <c r="F1781" s="1"/>
      <c r="G1781" s="1"/>
      <c r="H1781" s="1"/>
      <c r="I1781" s="1"/>
      <c r="J1781" s="1"/>
      <c r="K1781" s="102" t="s">
        <v>3349</v>
      </c>
      <c r="L1781" s="102" t="str">
        <f>E34</f>
        <v>J1a2a~</v>
      </c>
      <c r="M1781" s="102" t="s">
        <v>3350</v>
      </c>
      <c r="N1781" s="102" t="s">
        <v>3351</v>
      </c>
      <c r="O1781" s="105">
        <v>2.1134367E7</v>
      </c>
      <c r="P1781" s="105">
        <v>1.8972481E7</v>
      </c>
      <c r="Q1781" s="102" t="s">
        <v>2454</v>
      </c>
      <c r="S1781" s="1"/>
      <c r="T1781" s="1"/>
      <c r="U1781" s="1"/>
      <c r="V1781" s="1"/>
      <c r="W1781" s="1"/>
      <c r="X1781" s="1"/>
      <c r="Y1781" s="1"/>
      <c r="Z1781" s="102"/>
      <c r="AA1781" s="102"/>
      <c r="AB1781" s="1"/>
      <c r="AC1781" s="1"/>
      <c r="AD1781" s="1"/>
      <c r="AE1781" s="1"/>
      <c r="AF1781" s="1"/>
      <c r="AG1781" s="1"/>
    </row>
    <row r="1782" ht="15.75" customHeight="1">
      <c r="A1782" s="1"/>
      <c r="B1782" s="1"/>
      <c r="C1782" s="1"/>
      <c r="D1782" s="1"/>
      <c r="E1782" s="1"/>
      <c r="F1782" s="1"/>
      <c r="G1782" s="1"/>
      <c r="H1782" s="1"/>
      <c r="I1782" s="1"/>
      <c r="J1782" s="1"/>
      <c r="K1782" s="102" t="s">
        <v>3352</v>
      </c>
      <c r="L1782" s="102" t="str">
        <f>E34</f>
        <v>J1a2a~</v>
      </c>
      <c r="M1782" s="102" t="s">
        <v>3353</v>
      </c>
      <c r="N1782" s="102" t="s">
        <v>3351</v>
      </c>
      <c r="O1782" s="105">
        <v>2.1134367E7</v>
      </c>
      <c r="P1782" s="105">
        <v>1.8972481E7</v>
      </c>
      <c r="Q1782" s="102" t="s">
        <v>2454</v>
      </c>
      <c r="S1782" s="1"/>
      <c r="T1782" s="1"/>
      <c r="U1782" s="1"/>
      <c r="V1782" s="1"/>
      <c r="W1782" s="1"/>
      <c r="X1782" s="1"/>
      <c r="Y1782" s="1"/>
      <c r="Z1782" s="102"/>
      <c r="AA1782" s="102"/>
      <c r="AB1782" s="1"/>
      <c r="AC1782" s="1"/>
      <c r="AD1782" s="1"/>
      <c r="AE1782" s="1"/>
      <c r="AF1782" s="1"/>
      <c r="AG1782" s="1"/>
    </row>
    <row r="1783" ht="15.75" customHeight="1">
      <c r="A1783" s="1"/>
      <c r="B1783" s="1"/>
      <c r="C1783" s="1"/>
      <c r="D1783" s="1"/>
      <c r="E1783" s="1"/>
      <c r="F1783" s="1"/>
      <c r="G1783" s="1"/>
      <c r="H1783" s="1"/>
      <c r="I1783" s="1"/>
      <c r="J1783" s="1"/>
      <c r="K1783" s="102" t="s">
        <v>3354</v>
      </c>
      <c r="L1783" s="102" t="str">
        <f>E34</f>
        <v>J1a2a~</v>
      </c>
      <c r="M1783" s="102" t="s">
        <v>3355</v>
      </c>
      <c r="N1783" s="102" t="s">
        <v>3351</v>
      </c>
      <c r="O1783" s="105">
        <v>2.1134367E7</v>
      </c>
      <c r="P1783" s="105">
        <v>1.8972481E7</v>
      </c>
      <c r="Q1783" s="102" t="s">
        <v>2454</v>
      </c>
      <c r="S1783" s="1"/>
      <c r="T1783" s="1"/>
      <c r="U1783" s="1"/>
      <c r="V1783" s="1"/>
      <c r="W1783" s="1"/>
      <c r="X1783" s="1"/>
      <c r="Y1783" s="1"/>
      <c r="Z1783" s="102"/>
      <c r="AA1783" s="102"/>
      <c r="AB1783" s="1"/>
      <c r="AC1783" s="1"/>
      <c r="AD1783" s="1"/>
      <c r="AE1783" s="1"/>
      <c r="AF1783" s="1"/>
      <c r="AG1783" s="1"/>
    </row>
    <row r="1784" ht="15.75" customHeight="1">
      <c r="A1784" s="1"/>
      <c r="B1784" s="1"/>
      <c r="C1784" s="1"/>
      <c r="D1784" s="1"/>
      <c r="E1784" s="1"/>
      <c r="F1784" s="1"/>
      <c r="G1784" s="1"/>
      <c r="H1784" s="1"/>
      <c r="I1784" s="1"/>
      <c r="J1784" s="1"/>
      <c r="K1784" s="102" t="s">
        <v>3356</v>
      </c>
      <c r="L1784" s="102" t="str">
        <f>E34</f>
        <v>J1a2a~</v>
      </c>
      <c r="M1784" s="102" t="s">
        <v>3357</v>
      </c>
      <c r="N1784" s="102" t="s">
        <v>3351</v>
      </c>
      <c r="O1784" s="105">
        <v>2.1134367E7</v>
      </c>
      <c r="P1784" s="105">
        <v>1.8972481E7</v>
      </c>
      <c r="Q1784" s="102" t="s">
        <v>2454</v>
      </c>
      <c r="S1784" s="1"/>
      <c r="T1784" s="1"/>
      <c r="U1784" s="1"/>
      <c r="V1784" s="1"/>
      <c r="W1784" s="1"/>
      <c r="X1784" s="1"/>
      <c r="Y1784" s="1"/>
      <c r="Z1784" s="102"/>
      <c r="AA1784" s="102"/>
      <c r="AB1784" s="1"/>
      <c r="AC1784" s="1"/>
      <c r="AD1784" s="1"/>
      <c r="AE1784" s="1"/>
      <c r="AF1784" s="1"/>
      <c r="AG1784" s="1"/>
    </row>
    <row r="1785" ht="15.75" customHeight="1">
      <c r="A1785" s="1"/>
      <c r="B1785" s="1"/>
      <c r="C1785" s="1"/>
      <c r="D1785" s="1"/>
      <c r="E1785" s="1"/>
      <c r="F1785" s="1"/>
      <c r="G1785" s="1"/>
      <c r="H1785" s="1"/>
      <c r="I1785" s="1"/>
      <c r="J1785" s="1"/>
      <c r="K1785" s="102" t="s">
        <v>3358</v>
      </c>
      <c r="L1785" s="102" t="str">
        <f>E34</f>
        <v>J1a2a~</v>
      </c>
      <c r="M1785" s="102" t="s">
        <v>3359</v>
      </c>
      <c r="N1785" s="102" t="s">
        <v>3360</v>
      </c>
      <c r="O1785" s="105">
        <v>2.2575848E7</v>
      </c>
      <c r="P1785" s="105">
        <v>2.0413962E7</v>
      </c>
      <c r="Q1785" s="102" t="s">
        <v>2439</v>
      </c>
      <c r="S1785" s="1"/>
      <c r="T1785" s="1"/>
      <c r="U1785" s="1"/>
      <c r="V1785" s="1"/>
      <c r="W1785" s="1"/>
      <c r="X1785" s="1"/>
      <c r="Y1785" s="1"/>
      <c r="Z1785" s="102"/>
      <c r="AA1785" s="102"/>
      <c r="AB1785" s="1"/>
      <c r="AC1785" s="1"/>
      <c r="AD1785" s="1"/>
      <c r="AE1785" s="1"/>
      <c r="AF1785" s="1"/>
      <c r="AG1785" s="1"/>
    </row>
    <row r="1786" ht="15.75" customHeight="1">
      <c r="A1786" s="1"/>
      <c r="B1786" s="1"/>
      <c r="C1786" s="1"/>
      <c r="D1786" s="1"/>
      <c r="E1786" s="1"/>
      <c r="F1786" s="1"/>
      <c r="G1786" s="1"/>
      <c r="H1786" s="1"/>
      <c r="I1786" s="1"/>
      <c r="J1786" s="1"/>
      <c r="K1786" s="102" t="s">
        <v>3361</v>
      </c>
      <c r="L1786" s="102" t="str">
        <f>E34</f>
        <v>J1a2a~</v>
      </c>
      <c r="M1786" s="102" t="s">
        <v>3362</v>
      </c>
      <c r="N1786" s="102" t="s">
        <v>3360</v>
      </c>
      <c r="O1786" s="105">
        <v>2.2575848E7</v>
      </c>
      <c r="P1786" s="105">
        <v>2.0413962E7</v>
      </c>
      <c r="Q1786" s="102" t="s">
        <v>2439</v>
      </c>
      <c r="S1786" s="1"/>
      <c r="T1786" s="1"/>
      <c r="U1786" s="1"/>
      <c r="V1786" s="1"/>
      <c r="W1786" s="1"/>
      <c r="X1786" s="1"/>
      <c r="Y1786" s="1"/>
      <c r="Z1786" s="102"/>
      <c r="AA1786" s="102"/>
      <c r="AB1786" s="1"/>
      <c r="AC1786" s="1"/>
      <c r="AD1786" s="1"/>
      <c r="AE1786" s="1"/>
      <c r="AF1786" s="1"/>
      <c r="AG1786" s="1"/>
    </row>
    <row r="1787" ht="15.75" customHeight="1">
      <c r="A1787" s="1"/>
      <c r="B1787" s="1"/>
      <c r="C1787" s="1"/>
      <c r="D1787" s="1"/>
      <c r="E1787" s="1"/>
      <c r="F1787" s="1"/>
      <c r="G1787" s="1"/>
      <c r="H1787" s="1"/>
      <c r="I1787" s="1"/>
      <c r="J1787" s="1"/>
      <c r="K1787" s="102" t="s">
        <v>3363</v>
      </c>
      <c r="L1787" s="102" t="str">
        <f>E34</f>
        <v>J1a2a~</v>
      </c>
      <c r="M1787" s="102" t="s">
        <v>3364</v>
      </c>
      <c r="N1787" s="102" t="s">
        <v>3360</v>
      </c>
      <c r="O1787" s="105">
        <v>2.2575848E7</v>
      </c>
      <c r="P1787" s="105">
        <v>2.0413962E7</v>
      </c>
      <c r="Q1787" s="102" t="s">
        <v>2439</v>
      </c>
      <c r="S1787" s="1"/>
      <c r="T1787" s="1"/>
      <c r="U1787" s="1"/>
      <c r="V1787" s="1"/>
      <c r="W1787" s="1"/>
      <c r="X1787" s="1"/>
      <c r="Y1787" s="1"/>
      <c r="Z1787" s="102"/>
      <c r="AA1787" s="102"/>
      <c r="AB1787" s="1"/>
      <c r="AC1787" s="1"/>
      <c r="AD1787" s="1"/>
      <c r="AE1787" s="1"/>
      <c r="AF1787" s="1"/>
      <c r="AG1787" s="1"/>
    </row>
    <row r="1788" ht="15.75" customHeight="1">
      <c r="A1788" s="1"/>
      <c r="B1788" s="1"/>
      <c r="C1788" s="1"/>
      <c r="D1788" s="1"/>
      <c r="E1788" s="1"/>
      <c r="F1788" s="1"/>
      <c r="G1788" s="1"/>
      <c r="H1788" s="1"/>
      <c r="I1788" s="1"/>
      <c r="J1788" s="1"/>
      <c r="K1788" s="102" t="s">
        <v>3365</v>
      </c>
      <c r="L1788" s="102" t="str">
        <f>E34</f>
        <v>J1a2a~</v>
      </c>
      <c r="M1788" s="102" t="s">
        <v>3366</v>
      </c>
      <c r="N1788" s="102" t="s">
        <v>3360</v>
      </c>
      <c r="O1788" s="105">
        <v>2.2575848E7</v>
      </c>
      <c r="P1788" s="105">
        <v>2.0413962E7</v>
      </c>
      <c r="Q1788" s="102" t="s">
        <v>2439</v>
      </c>
      <c r="S1788" s="1"/>
      <c r="T1788" s="1"/>
      <c r="U1788" s="1"/>
      <c r="V1788" s="1"/>
      <c r="W1788" s="1"/>
      <c r="X1788" s="1"/>
      <c r="Y1788" s="1"/>
      <c r="Z1788" s="102"/>
      <c r="AA1788" s="102"/>
      <c r="AB1788" s="1"/>
      <c r="AC1788" s="1"/>
      <c r="AD1788" s="1"/>
      <c r="AE1788" s="1"/>
      <c r="AF1788" s="1"/>
      <c r="AG1788" s="1"/>
    </row>
    <row r="1789" ht="15.75" customHeight="1">
      <c r="A1789" s="1"/>
      <c r="B1789" s="1"/>
      <c r="C1789" s="1"/>
      <c r="D1789" s="1"/>
      <c r="E1789" s="1"/>
      <c r="F1789" s="1"/>
      <c r="G1789" s="1"/>
      <c r="H1789" s="1"/>
      <c r="I1789" s="1"/>
      <c r="J1789" s="1"/>
      <c r="K1789" s="106" t="s">
        <v>3367</v>
      </c>
      <c r="L1789" s="102" t="str">
        <f>E34</f>
        <v>J1a2a~</v>
      </c>
      <c r="M1789" s="102" t="s">
        <v>3368</v>
      </c>
      <c r="N1789" s="102" t="s">
        <v>3369</v>
      </c>
      <c r="O1789" s="105">
        <v>2.2728226E7</v>
      </c>
      <c r="P1789" s="105">
        <v>2.056634E7</v>
      </c>
      <c r="Q1789" s="102" t="s">
        <v>2563</v>
      </c>
      <c r="S1789" s="1"/>
      <c r="T1789" s="1"/>
      <c r="U1789" s="1"/>
      <c r="V1789" s="1"/>
      <c r="W1789" s="1"/>
      <c r="X1789" s="1"/>
      <c r="Y1789" s="1"/>
      <c r="Z1789" s="102"/>
      <c r="AA1789" s="102"/>
      <c r="AB1789" s="1"/>
      <c r="AC1789" s="1"/>
      <c r="AD1789" s="1"/>
      <c r="AE1789" s="1"/>
      <c r="AF1789" s="1"/>
      <c r="AG1789" s="1"/>
    </row>
    <row r="1790" ht="15.75" customHeight="1">
      <c r="A1790" s="1"/>
      <c r="B1790" s="1"/>
      <c r="C1790" s="1"/>
      <c r="D1790" s="1"/>
      <c r="E1790" s="1"/>
      <c r="F1790" s="1"/>
      <c r="G1790" s="1"/>
      <c r="H1790" s="1"/>
      <c r="I1790" s="1"/>
      <c r="J1790" s="1"/>
      <c r="K1790" s="102" t="s">
        <v>3370</v>
      </c>
      <c r="L1790" s="102" t="str">
        <f>E34</f>
        <v>J1a2a~</v>
      </c>
      <c r="M1790" s="106" t="s">
        <v>3371</v>
      </c>
      <c r="N1790" s="102" t="s">
        <v>3369</v>
      </c>
      <c r="O1790" s="105">
        <v>2.2728226E7</v>
      </c>
      <c r="P1790" s="105">
        <v>2.056634E7</v>
      </c>
      <c r="Q1790" s="102" t="s">
        <v>2563</v>
      </c>
      <c r="S1790" s="1"/>
      <c r="T1790" s="1"/>
      <c r="U1790" s="1"/>
      <c r="V1790" s="1"/>
      <c r="W1790" s="1"/>
      <c r="X1790" s="1"/>
      <c r="Y1790" s="1"/>
      <c r="Z1790" s="102"/>
      <c r="AA1790" s="102"/>
      <c r="AB1790" s="1"/>
      <c r="AC1790" s="1"/>
      <c r="AD1790" s="1"/>
      <c r="AE1790" s="1"/>
      <c r="AF1790" s="1"/>
      <c r="AG1790" s="1"/>
    </row>
    <row r="1791" ht="15.75" customHeight="1">
      <c r="A1791" s="1"/>
      <c r="B1791" s="1"/>
      <c r="C1791" s="1"/>
      <c r="D1791" s="1"/>
      <c r="E1791" s="1"/>
      <c r="F1791" s="1"/>
      <c r="G1791" s="1"/>
      <c r="H1791" s="1"/>
      <c r="I1791" s="1"/>
      <c r="J1791" s="1"/>
      <c r="K1791" s="102" t="s">
        <v>3372</v>
      </c>
      <c r="L1791" s="102" t="str">
        <f>E34</f>
        <v>J1a2a~</v>
      </c>
      <c r="M1791" s="106" t="s">
        <v>3373</v>
      </c>
      <c r="N1791" s="102" t="s">
        <v>3369</v>
      </c>
      <c r="O1791" s="105">
        <v>2.2728226E7</v>
      </c>
      <c r="P1791" s="105">
        <v>2.056634E7</v>
      </c>
      <c r="Q1791" s="102" t="s">
        <v>2563</v>
      </c>
      <c r="S1791" s="1"/>
      <c r="T1791" s="1"/>
      <c r="U1791" s="1"/>
      <c r="V1791" s="1"/>
      <c r="W1791" s="1"/>
      <c r="X1791" s="1"/>
      <c r="Y1791" s="1"/>
      <c r="Z1791" s="102"/>
      <c r="AA1791" s="102"/>
      <c r="AB1791" s="1"/>
      <c r="AC1791" s="1"/>
      <c r="AD1791" s="1"/>
      <c r="AE1791" s="1"/>
      <c r="AF1791" s="1"/>
      <c r="AG1791" s="1"/>
    </row>
    <row r="1792" ht="15.75" customHeight="1">
      <c r="A1792" s="1"/>
      <c r="B1792" s="1"/>
      <c r="C1792" s="1"/>
      <c r="D1792" s="1"/>
      <c r="E1792" s="1"/>
      <c r="F1792" s="1"/>
      <c r="G1792" s="1"/>
      <c r="H1792" s="1"/>
      <c r="I1792" s="1"/>
      <c r="J1792" s="1"/>
      <c r="K1792" s="102" t="s">
        <v>3374</v>
      </c>
      <c r="L1792" s="102" t="str">
        <f>E34</f>
        <v>J1a2a~</v>
      </c>
      <c r="M1792" s="106" t="s">
        <v>3375</v>
      </c>
      <c r="N1792" s="102" t="s">
        <v>3369</v>
      </c>
      <c r="O1792" s="105">
        <v>2.2728226E7</v>
      </c>
      <c r="P1792" s="105">
        <v>2.056634E7</v>
      </c>
      <c r="Q1792" s="102" t="s">
        <v>2563</v>
      </c>
      <c r="S1792" s="1"/>
      <c r="T1792" s="1"/>
      <c r="U1792" s="1"/>
      <c r="V1792" s="1"/>
      <c r="W1792" s="1"/>
      <c r="X1792" s="1"/>
      <c r="Y1792" s="1"/>
      <c r="Z1792" s="102"/>
      <c r="AA1792" s="102"/>
      <c r="AB1792" s="1"/>
      <c r="AC1792" s="1"/>
      <c r="AD1792" s="1"/>
      <c r="AE1792" s="1"/>
      <c r="AF1792" s="1"/>
      <c r="AG1792" s="1"/>
    </row>
    <row r="1793" ht="15.75" customHeight="1">
      <c r="A1793" s="1"/>
      <c r="B1793" s="1"/>
      <c r="C1793" s="1"/>
      <c r="D1793" s="1"/>
      <c r="E1793" s="1"/>
      <c r="F1793" s="1"/>
      <c r="G1793" s="1"/>
      <c r="H1793" s="1"/>
      <c r="I1793" s="1"/>
      <c r="J1793" s="1"/>
      <c r="K1793" s="102" t="s">
        <v>3376</v>
      </c>
      <c r="L1793" s="102" t="str">
        <f>E34</f>
        <v>J1a2a~</v>
      </c>
      <c r="M1793" s="102" t="s">
        <v>3377</v>
      </c>
      <c r="N1793" s="102" t="s">
        <v>3378</v>
      </c>
      <c r="O1793" s="105">
        <v>2.2851518E7</v>
      </c>
      <c r="P1793" s="105">
        <v>2.0689632E7</v>
      </c>
      <c r="Q1793" s="102" t="s">
        <v>2446</v>
      </c>
      <c r="S1793" s="1"/>
      <c r="T1793" s="1"/>
      <c r="U1793" s="1"/>
      <c r="V1793" s="1"/>
      <c r="W1793" s="1"/>
      <c r="X1793" s="1"/>
      <c r="Y1793" s="1"/>
      <c r="Z1793" s="102"/>
      <c r="AA1793" s="102"/>
      <c r="AB1793" s="1"/>
      <c r="AC1793" s="1"/>
      <c r="AD1793" s="1"/>
      <c r="AE1793" s="1"/>
      <c r="AF1793" s="1"/>
      <c r="AG1793" s="1"/>
    </row>
    <row r="1794" ht="15.75" customHeight="1">
      <c r="A1794" s="1"/>
      <c r="B1794" s="1"/>
      <c r="C1794" s="1"/>
      <c r="D1794" s="1"/>
      <c r="E1794" s="1"/>
      <c r="F1794" s="1"/>
      <c r="G1794" s="1"/>
      <c r="H1794" s="1"/>
      <c r="I1794" s="1"/>
      <c r="J1794" s="1"/>
      <c r="K1794" s="102" t="s">
        <v>3379</v>
      </c>
      <c r="L1794" s="102" t="str">
        <f>E34</f>
        <v>J1a2a~</v>
      </c>
      <c r="M1794" s="102" t="s">
        <v>3380</v>
      </c>
      <c r="N1794" s="102" t="s">
        <v>3378</v>
      </c>
      <c r="O1794" s="105">
        <v>2.2851518E7</v>
      </c>
      <c r="P1794" s="105">
        <v>2.0689632E7</v>
      </c>
      <c r="Q1794" s="102" t="s">
        <v>2446</v>
      </c>
      <c r="S1794" s="1"/>
      <c r="T1794" s="1"/>
      <c r="U1794" s="1"/>
      <c r="V1794" s="1"/>
      <c r="W1794" s="1"/>
      <c r="X1794" s="1"/>
      <c r="Y1794" s="1"/>
      <c r="Z1794" s="102"/>
      <c r="AA1794" s="102"/>
      <c r="AB1794" s="1"/>
      <c r="AC1794" s="1"/>
      <c r="AD1794" s="1"/>
      <c r="AE1794" s="1"/>
      <c r="AF1794" s="1"/>
      <c r="AG1794" s="1"/>
    </row>
    <row r="1795" ht="15.75" customHeight="1">
      <c r="A1795" s="1"/>
      <c r="B1795" s="1"/>
      <c r="C1795" s="1"/>
      <c r="D1795" s="1"/>
      <c r="E1795" s="1"/>
      <c r="F1795" s="1"/>
      <c r="G1795" s="1"/>
      <c r="H1795" s="1"/>
      <c r="I1795" s="1"/>
      <c r="J1795" s="1"/>
      <c r="K1795" s="102" t="s">
        <v>3381</v>
      </c>
      <c r="L1795" s="102" t="str">
        <f>E34</f>
        <v>J1a2a~</v>
      </c>
      <c r="M1795" s="102" t="s">
        <v>3382</v>
      </c>
      <c r="N1795" s="102" t="s">
        <v>3378</v>
      </c>
      <c r="O1795" s="105">
        <v>2.2851518E7</v>
      </c>
      <c r="P1795" s="105">
        <v>2.0689632E7</v>
      </c>
      <c r="Q1795" s="102" t="s">
        <v>2446</v>
      </c>
      <c r="S1795" s="1"/>
      <c r="T1795" s="1"/>
      <c r="U1795" s="1"/>
      <c r="V1795" s="1"/>
      <c r="W1795" s="1"/>
      <c r="X1795" s="1"/>
      <c r="Y1795" s="1"/>
      <c r="Z1795" s="102"/>
      <c r="AA1795" s="102"/>
      <c r="AB1795" s="1"/>
      <c r="AC1795" s="1"/>
      <c r="AD1795" s="1"/>
      <c r="AE1795" s="1"/>
      <c r="AF1795" s="1"/>
      <c r="AG1795" s="1"/>
    </row>
    <row r="1796" ht="15.75" customHeight="1">
      <c r="A1796" s="1"/>
      <c r="B1796" s="1"/>
      <c r="C1796" s="1"/>
      <c r="D1796" s="1"/>
      <c r="E1796" s="1"/>
      <c r="F1796" s="1"/>
      <c r="G1796" s="1"/>
      <c r="H1796" s="1"/>
      <c r="I1796" s="1"/>
      <c r="J1796" s="1"/>
      <c r="K1796" s="102" t="s">
        <v>3383</v>
      </c>
      <c r="L1796" s="102" t="str">
        <f>E34</f>
        <v>J1a2a~</v>
      </c>
      <c r="M1796" s="102" t="s">
        <v>3384</v>
      </c>
      <c r="N1796" s="102" t="s">
        <v>3385</v>
      </c>
      <c r="O1796" s="105">
        <v>1.9334771E7</v>
      </c>
      <c r="P1796" s="105">
        <v>1.7222891E7</v>
      </c>
      <c r="Q1796" s="102" t="s">
        <v>2439</v>
      </c>
      <c r="S1796" s="1"/>
      <c r="T1796" s="1"/>
      <c r="U1796" s="1"/>
      <c r="V1796" s="1"/>
      <c r="W1796" s="1"/>
      <c r="X1796" s="1"/>
      <c r="Y1796" s="1"/>
      <c r="Z1796" s="102"/>
      <c r="AA1796" s="102"/>
      <c r="AB1796" s="1"/>
      <c r="AC1796" s="1"/>
      <c r="AD1796" s="1"/>
      <c r="AE1796" s="1"/>
      <c r="AF1796" s="1"/>
      <c r="AG1796" s="1"/>
    </row>
    <row r="1797" ht="15.75" customHeight="1">
      <c r="A1797" s="1"/>
      <c r="B1797" s="1"/>
      <c r="C1797" s="1"/>
      <c r="D1797" s="1"/>
      <c r="E1797" s="1"/>
      <c r="F1797" s="1"/>
      <c r="G1797" s="1"/>
      <c r="H1797" s="1"/>
      <c r="I1797" s="1"/>
      <c r="J1797" s="1"/>
      <c r="K1797" s="102" t="s">
        <v>3386</v>
      </c>
      <c r="L1797" s="102" t="str">
        <f>E34</f>
        <v>J1a2a~</v>
      </c>
      <c r="M1797" s="102" t="s">
        <v>3387</v>
      </c>
      <c r="N1797" s="102" t="s">
        <v>3385</v>
      </c>
      <c r="O1797" s="105">
        <v>1.9334771E7</v>
      </c>
      <c r="P1797" s="105">
        <v>1.7222891E7</v>
      </c>
      <c r="Q1797" s="102" t="s">
        <v>2439</v>
      </c>
      <c r="S1797" s="1"/>
      <c r="T1797" s="1"/>
      <c r="U1797" s="1"/>
      <c r="V1797" s="1"/>
      <c r="W1797" s="1"/>
      <c r="X1797" s="1"/>
      <c r="Y1797" s="1"/>
      <c r="Z1797" s="102"/>
      <c r="AA1797" s="102"/>
      <c r="AB1797" s="1"/>
      <c r="AC1797" s="1"/>
      <c r="AD1797" s="1"/>
      <c r="AE1797" s="1"/>
      <c r="AF1797" s="1"/>
      <c r="AG1797" s="1"/>
    </row>
    <row r="1798" ht="15.75" customHeight="1">
      <c r="A1798" s="1"/>
      <c r="B1798" s="1"/>
      <c r="C1798" s="1"/>
      <c r="D1798" s="1"/>
      <c r="E1798" s="1"/>
      <c r="F1798" s="1"/>
      <c r="G1798" s="1"/>
      <c r="H1798" s="1"/>
      <c r="I1798" s="1"/>
      <c r="J1798" s="1"/>
      <c r="K1798" s="102" t="s">
        <v>3388</v>
      </c>
      <c r="L1798" s="102" t="str">
        <f>E34</f>
        <v>J1a2a~</v>
      </c>
      <c r="M1798" s="102" t="s">
        <v>3389</v>
      </c>
      <c r="N1798" s="102" t="s">
        <v>3385</v>
      </c>
      <c r="O1798" s="105">
        <v>1.9334771E7</v>
      </c>
      <c r="P1798" s="105">
        <v>1.7222891E7</v>
      </c>
      <c r="Q1798" s="102" t="s">
        <v>2439</v>
      </c>
      <c r="S1798" s="1"/>
      <c r="T1798" s="1"/>
      <c r="U1798" s="1"/>
      <c r="V1798" s="1"/>
      <c r="W1798" s="1"/>
      <c r="X1798" s="1"/>
      <c r="Y1798" s="1"/>
      <c r="Z1798" s="102"/>
      <c r="AA1798" s="102"/>
      <c r="AB1798" s="1"/>
      <c r="AC1798" s="1"/>
      <c r="AD1798" s="1"/>
      <c r="AE1798" s="1"/>
      <c r="AF1798" s="1"/>
      <c r="AG1798" s="1"/>
    </row>
    <row r="1799" ht="15.75" customHeight="1">
      <c r="A1799" s="1"/>
      <c r="B1799" s="1"/>
      <c r="C1799" s="1"/>
      <c r="D1799" s="1"/>
      <c r="E1799" s="1"/>
      <c r="F1799" s="1"/>
      <c r="G1799" s="1"/>
      <c r="H1799" s="1"/>
      <c r="I1799" s="1"/>
      <c r="J1799" s="1"/>
      <c r="K1799" s="102" t="s">
        <v>3390</v>
      </c>
      <c r="L1799" s="102" t="str">
        <f>E34</f>
        <v>J1a2a~</v>
      </c>
      <c r="M1799" s="102" t="s">
        <v>3391</v>
      </c>
      <c r="N1799" s="102" t="s">
        <v>3392</v>
      </c>
      <c r="O1799" s="105">
        <v>1.9541269E7</v>
      </c>
      <c r="P1799" s="105">
        <v>1.7429389E7</v>
      </c>
      <c r="Q1799" s="102" t="s">
        <v>2529</v>
      </c>
      <c r="S1799" s="1"/>
      <c r="T1799" s="1"/>
      <c r="U1799" s="1"/>
      <c r="V1799" s="1"/>
      <c r="W1799" s="1"/>
      <c r="X1799" s="1"/>
      <c r="Y1799" s="1"/>
      <c r="Z1799" s="102"/>
      <c r="AA1799" s="102"/>
      <c r="AB1799" s="1"/>
      <c r="AC1799" s="1"/>
      <c r="AD1799" s="1"/>
      <c r="AE1799" s="1"/>
      <c r="AF1799" s="1"/>
      <c r="AG1799" s="1"/>
    </row>
    <row r="1800" ht="15.75" customHeight="1">
      <c r="A1800" s="1"/>
      <c r="B1800" s="1"/>
      <c r="C1800" s="1"/>
      <c r="D1800" s="1"/>
      <c r="E1800" s="1"/>
      <c r="F1800" s="1"/>
      <c r="G1800" s="1"/>
      <c r="H1800" s="1"/>
      <c r="I1800" s="1"/>
      <c r="J1800" s="1"/>
      <c r="K1800" s="102" t="s">
        <v>3393</v>
      </c>
      <c r="L1800" s="102" t="str">
        <f>E34</f>
        <v>J1a2a~</v>
      </c>
      <c r="M1800" s="102" t="s">
        <v>3394</v>
      </c>
      <c r="N1800" s="102" t="s">
        <v>3392</v>
      </c>
      <c r="O1800" s="105">
        <v>1.9541269E7</v>
      </c>
      <c r="P1800" s="105">
        <v>1.7429389E7</v>
      </c>
      <c r="Q1800" s="102" t="s">
        <v>2529</v>
      </c>
      <c r="S1800" s="1"/>
      <c r="T1800" s="1"/>
      <c r="U1800" s="1"/>
      <c r="V1800" s="1"/>
      <c r="W1800" s="1"/>
      <c r="X1800" s="1"/>
      <c r="Y1800" s="1"/>
      <c r="Z1800" s="102"/>
      <c r="AA1800" s="102"/>
      <c r="AB1800" s="1"/>
      <c r="AC1800" s="1"/>
      <c r="AD1800" s="1"/>
      <c r="AE1800" s="1"/>
      <c r="AF1800" s="1"/>
      <c r="AG1800" s="1"/>
    </row>
    <row r="1801" ht="15.75" customHeight="1">
      <c r="A1801" s="1"/>
      <c r="B1801" s="1"/>
      <c r="C1801" s="1"/>
      <c r="D1801" s="1"/>
      <c r="E1801" s="1"/>
      <c r="F1801" s="1"/>
      <c r="G1801" s="1"/>
      <c r="H1801" s="1"/>
      <c r="I1801" s="1"/>
      <c r="J1801" s="1"/>
      <c r="K1801" s="102" t="s">
        <v>3395</v>
      </c>
      <c r="L1801" s="102" t="str">
        <f>E34</f>
        <v>J1a2a~</v>
      </c>
      <c r="M1801" s="102" t="s">
        <v>3396</v>
      </c>
      <c r="N1801" s="102" t="s">
        <v>3392</v>
      </c>
      <c r="O1801" s="105">
        <v>1.9541269E7</v>
      </c>
      <c r="P1801" s="105">
        <v>1.7429389E7</v>
      </c>
      <c r="Q1801" s="102" t="s">
        <v>2529</v>
      </c>
      <c r="S1801" s="1"/>
      <c r="T1801" s="1"/>
      <c r="U1801" s="1"/>
      <c r="V1801" s="1"/>
      <c r="W1801" s="1"/>
      <c r="X1801" s="1"/>
      <c r="Y1801" s="1"/>
      <c r="Z1801" s="102"/>
      <c r="AA1801" s="102"/>
      <c r="AB1801" s="1"/>
      <c r="AC1801" s="1"/>
      <c r="AD1801" s="1"/>
      <c r="AE1801" s="1"/>
      <c r="AF1801" s="1"/>
      <c r="AG1801" s="1"/>
    </row>
    <row r="1802" ht="15.75" customHeight="1">
      <c r="A1802" s="1"/>
      <c r="B1802" s="1"/>
      <c r="C1802" s="1"/>
      <c r="D1802" s="1"/>
      <c r="E1802" s="1"/>
      <c r="F1802" s="1"/>
      <c r="G1802" s="1"/>
      <c r="H1802" s="1"/>
      <c r="I1802" s="1"/>
      <c r="J1802" s="1"/>
      <c r="K1802" s="102" t="s">
        <v>3397</v>
      </c>
      <c r="L1802" s="102" t="str">
        <f>E34</f>
        <v>J1a2a~</v>
      </c>
      <c r="M1802" s="102" t="s">
        <v>3398</v>
      </c>
      <c r="N1802" s="102" t="s">
        <v>3399</v>
      </c>
      <c r="O1802" s="105">
        <v>1.3675822E7</v>
      </c>
      <c r="P1802" s="105">
        <v>1.1520146E7</v>
      </c>
      <c r="Q1802" s="102" t="s">
        <v>2439</v>
      </c>
      <c r="S1802" s="1"/>
      <c r="T1802" s="1"/>
      <c r="U1802" s="1"/>
      <c r="V1802" s="1"/>
      <c r="W1802" s="1"/>
      <c r="X1802" s="1"/>
      <c r="Y1802" s="1"/>
      <c r="Z1802" s="102"/>
      <c r="AA1802" s="102"/>
      <c r="AB1802" s="1"/>
      <c r="AC1802" s="1"/>
      <c r="AD1802" s="1"/>
      <c r="AE1802" s="1"/>
      <c r="AF1802" s="1"/>
      <c r="AG1802" s="1"/>
    </row>
    <row r="1803" ht="15.75" customHeight="1">
      <c r="A1803" s="1"/>
      <c r="B1803" s="1"/>
      <c r="C1803" s="1"/>
      <c r="D1803" s="1"/>
      <c r="E1803" s="1"/>
      <c r="F1803" s="1"/>
      <c r="G1803" s="1"/>
      <c r="H1803" s="1"/>
      <c r="I1803" s="1"/>
      <c r="J1803" s="1"/>
      <c r="K1803" s="102" t="s">
        <v>3398</v>
      </c>
      <c r="L1803" s="102" t="str">
        <f>E34</f>
        <v>J1a2a~</v>
      </c>
      <c r="M1803" s="102" t="s">
        <v>3397</v>
      </c>
      <c r="N1803" s="102" t="s">
        <v>3399</v>
      </c>
      <c r="O1803" s="105">
        <v>1.3675822E7</v>
      </c>
      <c r="P1803" s="105">
        <v>1.1520146E7</v>
      </c>
      <c r="Q1803" s="102" t="s">
        <v>2439</v>
      </c>
      <c r="S1803" s="1"/>
      <c r="T1803" s="1"/>
      <c r="U1803" s="1"/>
      <c r="V1803" s="1"/>
      <c r="W1803" s="1"/>
      <c r="X1803" s="1"/>
      <c r="Y1803" s="1"/>
      <c r="Z1803" s="102"/>
      <c r="AA1803" s="102"/>
      <c r="AB1803" s="1"/>
      <c r="AC1803" s="1"/>
      <c r="AD1803" s="1"/>
      <c r="AE1803" s="1"/>
      <c r="AF1803" s="1"/>
      <c r="AG1803" s="1"/>
    </row>
    <row r="1804" ht="15.75" customHeight="1">
      <c r="A1804" s="1"/>
      <c r="B1804" s="1"/>
      <c r="C1804" s="1"/>
      <c r="D1804" s="1"/>
      <c r="E1804" s="1"/>
      <c r="F1804" s="1"/>
      <c r="G1804" s="1"/>
      <c r="H1804" s="1"/>
      <c r="I1804" s="1"/>
      <c r="J1804" s="1"/>
      <c r="K1804" s="102" t="s">
        <v>3400</v>
      </c>
      <c r="L1804" s="102" t="str">
        <f>E34</f>
        <v>J1a2a~</v>
      </c>
      <c r="M1804" s="102" t="s">
        <v>3401</v>
      </c>
      <c r="N1804" s="102"/>
      <c r="O1804" s="105">
        <v>2.1270081E7</v>
      </c>
      <c r="P1804" s="105">
        <v>1.9108195E7</v>
      </c>
      <c r="Q1804" s="102" t="s">
        <v>2514</v>
      </c>
      <c r="S1804" s="1"/>
      <c r="T1804" s="1"/>
      <c r="U1804" s="1"/>
      <c r="V1804" s="1"/>
      <c r="W1804" s="1"/>
      <c r="X1804" s="1"/>
      <c r="Y1804" s="1"/>
      <c r="Z1804" s="102">
        <v>2.1270081E7</v>
      </c>
      <c r="AA1804" s="102"/>
      <c r="AB1804" s="1"/>
      <c r="AC1804" s="1"/>
      <c r="AD1804" s="1"/>
      <c r="AE1804" s="1"/>
      <c r="AF1804" s="1"/>
      <c r="AG1804" s="1"/>
    </row>
    <row r="1805" ht="15.75" customHeight="1">
      <c r="A1805" s="1"/>
      <c r="B1805" s="1"/>
      <c r="C1805" s="1"/>
      <c r="D1805" s="1"/>
      <c r="E1805" s="1"/>
      <c r="F1805" s="1"/>
      <c r="G1805" s="1"/>
      <c r="H1805" s="1"/>
      <c r="I1805" s="1"/>
      <c r="J1805" s="1"/>
      <c r="K1805" s="102" t="s">
        <v>3401</v>
      </c>
      <c r="L1805" s="102" t="str">
        <f>E34</f>
        <v>J1a2a~</v>
      </c>
      <c r="M1805" s="102" t="s">
        <v>3400</v>
      </c>
      <c r="N1805" s="102"/>
      <c r="O1805" s="105">
        <v>2.1270081E7</v>
      </c>
      <c r="P1805" s="105">
        <v>1.9108195E7</v>
      </c>
      <c r="Q1805" s="102" t="s">
        <v>2514</v>
      </c>
      <c r="S1805" s="1"/>
      <c r="T1805" s="1"/>
      <c r="U1805" s="1"/>
      <c r="V1805" s="1"/>
      <c r="W1805" s="1"/>
      <c r="X1805" s="1"/>
      <c r="Y1805" s="1"/>
      <c r="Z1805" s="102">
        <v>2.1270081E7</v>
      </c>
      <c r="AA1805" s="102"/>
      <c r="AB1805" s="1"/>
      <c r="AC1805" s="1"/>
      <c r="AD1805" s="1"/>
      <c r="AE1805" s="1"/>
      <c r="AF1805" s="1"/>
      <c r="AG1805" s="1"/>
    </row>
    <row r="1806" ht="15.75" customHeight="1">
      <c r="A1806" s="1"/>
      <c r="B1806" s="1"/>
      <c r="C1806" s="1"/>
      <c r="D1806" s="1"/>
      <c r="E1806" s="1"/>
      <c r="F1806" s="1"/>
      <c r="G1806" s="1"/>
      <c r="H1806" s="1"/>
      <c r="I1806" s="1"/>
      <c r="J1806" s="1"/>
      <c r="K1806" s="102" t="s">
        <v>3402</v>
      </c>
      <c r="L1806" s="102" t="str">
        <f>E34</f>
        <v>J1a2a~</v>
      </c>
      <c r="M1806" s="102" t="s">
        <v>3403</v>
      </c>
      <c r="N1806" s="102" t="s">
        <v>3404</v>
      </c>
      <c r="O1806" s="105">
        <v>1.7391227E7</v>
      </c>
      <c r="P1806" s="105">
        <v>1.5279347E7</v>
      </c>
      <c r="Q1806" s="102" t="s">
        <v>2439</v>
      </c>
      <c r="S1806" s="1"/>
      <c r="T1806" s="1"/>
      <c r="U1806" s="1"/>
      <c r="V1806" s="1"/>
      <c r="W1806" s="1"/>
      <c r="X1806" s="1"/>
      <c r="Y1806" s="1"/>
      <c r="Z1806" s="102"/>
      <c r="AA1806" s="102"/>
      <c r="AB1806" s="1"/>
      <c r="AC1806" s="1"/>
      <c r="AD1806" s="1"/>
      <c r="AE1806" s="1"/>
      <c r="AF1806" s="1"/>
      <c r="AG1806" s="1"/>
    </row>
    <row r="1807" ht="15.75" customHeight="1">
      <c r="A1807" s="1"/>
      <c r="B1807" s="1"/>
      <c r="C1807" s="1"/>
      <c r="D1807" s="1"/>
      <c r="E1807" s="1"/>
      <c r="F1807" s="1"/>
      <c r="G1807" s="1"/>
      <c r="H1807" s="1"/>
      <c r="I1807" s="1"/>
      <c r="J1807" s="1"/>
      <c r="K1807" s="102" t="s">
        <v>3405</v>
      </c>
      <c r="L1807" s="102" t="str">
        <f>E34</f>
        <v>J1a2a~</v>
      </c>
      <c r="M1807" s="102" t="s">
        <v>3406</v>
      </c>
      <c r="N1807" s="102" t="s">
        <v>3404</v>
      </c>
      <c r="O1807" s="105">
        <v>1.7391227E7</v>
      </c>
      <c r="P1807" s="105">
        <v>1.5279347E7</v>
      </c>
      <c r="Q1807" s="102" t="s">
        <v>2439</v>
      </c>
      <c r="S1807" s="1"/>
      <c r="T1807" s="1"/>
      <c r="U1807" s="1"/>
      <c r="V1807" s="1"/>
      <c r="W1807" s="1"/>
      <c r="X1807" s="1"/>
      <c r="Y1807" s="1"/>
      <c r="Z1807" s="102"/>
      <c r="AA1807" s="102"/>
      <c r="AB1807" s="1"/>
      <c r="AC1807" s="1"/>
      <c r="AD1807" s="1"/>
      <c r="AE1807" s="1"/>
      <c r="AF1807" s="1"/>
      <c r="AG1807" s="1"/>
    </row>
    <row r="1808" ht="15.75" customHeight="1">
      <c r="A1808" s="1"/>
      <c r="B1808" s="1"/>
      <c r="C1808" s="1"/>
      <c r="D1808" s="1"/>
      <c r="E1808" s="1"/>
      <c r="F1808" s="1"/>
      <c r="G1808" s="1"/>
      <c r="H1808" s="1"/>
      <c r="I1808" s="1"/>
      <c r="J1808" s="1"/>
      <c r="K1808" s="102" t="s">
        <v>3407</v>
      </c>
      <c r="L1808" s="102" t="str">
        <f>E34</f>
        <v>J1a2a~</v>
      </c>
      <c r="M1808" s="102" t="s">
        <v>3408</v>
      </c>
      <c r="N1808" s="102" t="s">
        <v>3404</v>
      </c>
      <c r="O1808" s="105">
        <v>1.7391227E7</v>
      </c>
      <c r="P1808" s="105">
        <v>1.5279347E7</v>
      </c>
      <c r="Q1808" s="102" t="s">
        <v>2439</v>
      </c>
      <c r="S1808" s="1"/>
      <c r="T1808" s="1"/>
      <c r="U1808" s="1"/>
      <c r="V1808" s="1"/>
      <c r="W1808" s="1"/>
      <c r="X1808" s="1"/>
      <c r="Y1808" s="1"/>
      <c r="Z1808" s="102"/>
      <c r="AA1808" s="102"/>
      <c r="AB1808" s="1"/>
      <c r="AC1808" s="1"/>
      <c r="AD1808" s="1"/>
      <c r="AE1808" s="1"/>
      <c r="AF1808" s="1"/>
      <c r="AG1808" s="1"/>
    </row>
    <row r="1809" ht="15.75" customHeight="1">
      <c r="A1809" s="1"/>
      <c r="B1809" s="1"/>
      <c r="C1809" s="1"/>
      <c r="D1809" s="1"/>
      <c r="E1809" s="1"/>
      <c r="F1809" s="1"/>
      <c r="G1809" s="1"/>
      <c r="H1809" s="1"/>
      <c r="I1809" s="1"/>
      <c r="J1809" s="1"/>
      <c r="K1809" s="102" t="s">
        <v>3409</v>
      </c>
      <c r="L1809" s="102" t="str">
        <f>E34</f>
        <v>J1a2a~</v>
      </c>
      <c r="M1809" s="102" t="s">
        <v>3410</v>
      </c>
      <c r="N1809" s="102" t="s">
        <v>3411</v>
      </c>
      <c r="O1809" s="105">
        <v>7877119.0</v>
      </c>
      <c r="P1809" s="105">
        <v>8009078.0</v>
      </c>
      <c r="Q1809" s="102" t="s">
        <v>2439</v>
      </c>
      <c r="S1809" s="1"/>
      <c r="T1809" s="1"/>
      <c r="U1809" s="1"/>
      <c r="V1809" s="1"/>
      <c r="W1809" s="1"/>
      <c r="X1809" s="1"/>
      <c r="Y1809" s="1"/>
      <c r="Z1809" s="102"/>
      <c r="AA1809" s="102"/>
      <c r="AB1809" s="1"/>
      <c r="AC1809" s="1"/>
      <c r="AD1809" s="1"/>
      <c r="AE1809" s="1"/>
      <c r="AF1809" s="1"/>
      <c r="AG1809" s="1"/>
    </row>
    <row r="1810" ht="15.75" customHeight="1">
      <c r="A1810" s="1"/>
      <c r="B1810" s="1"/>
      <c r="C1810" s="1"/>
      <c r="D1810" s="1"/>
      <c r="E1810" s="1"/>
      <c r="F1810" s="1"/>
      <c r="G1810" s="1"/>
      <c r="H1810" s="1"/>
      <c r="I1810" s="1"/>
      <c r="J1810" s="1"/>
      <c r="K1810" s="102" t="s">
        <v>3410</v>
      </c>
      <c r="L1810" s="102" t="str">
        <f>E34</f>
        <v>J1a2a~</v>
      </c>
      <c r="M1810" s="102" t="s">
        <v>3409</v>
      </c>
      <c r="N1810" s="102" t="s">
        <v>3411</v>
      </c>
      <c r="O1810" s="105">
        <v>7877119.0</v>
      </c>
      <c r="P1810" s="105">
        <v>8009078.0</v>
      </c>
      <c r="Q1810" s="102" t="s">
        <v>2439</v>
      </c>
      <c r="S1810" s="1"/>
      <c r="T1810" s="1"/>
      <c r="U1810" s="1"/>
      <c r="V1810" s="1"/>
      <c r="W1810" s="1"/>
      <c r="X1810" s="1"/>
      <c r="Y1810" s="1"/>
      <c r="Z1810" s="102"/>
      <c r="AA1810" s="102"/>
      <c r="AB1810" s="1"/>
      <c r="AC1810" s="1"/>
      <c r="AD1810" s="1"/>
      <c r="AE1810" s="1"/>
      <c r="AF1810" s="1"/>
      <c r="AG1810" s="1"/>
    </row>
    <row r="1811" ht="15.75" customHeight="1">
      <c r="A1811" s="1"/>
      <c r="B1811" s="1"/>
      <c r="C1811" s="1"/>
      <c r="D1811" s="1"/>
      <c r="E1811" s="1"/>
      <c r="F1811" s="1"/>
      <c r="G1811" s="1"/>
      <c r="H1811" s="1"/>
      <c r="I1811" s="1"/>
      <c r="J1811" s="1"/>
      <c r="K1811" s="102" t="s">
        <v>3412</v>
      </c>
      <c r="L1811" s="102" t="str">
        <f>E34</f>
        <v>J1a2a~</v>
      </c>
      <c r="M1811" s="102" t="s">
        <v>3413</v>
      </c>
      <c r="N1811" s="102" t="s">
        <v>3414</v>
      </c>
      <c r="O1811" s="105">
        <v>7534645.0</v>
      </c>
      <c r="P1811" s="105">
        <v>7666604.0</v>
      </c>
      <c r="Q1811" s="102" t="s">
        <v>2423</v>
      </c>
      <c r="S1811" s="1"/>
      <c r="T1811" s="1"/>
      <c r="U1811" s="1"/>
      <c r="V1811" s="1"/>
      <c r="W1811" s="1"/>
      <c r="X1811" s="1"/>
      <c r="Y1811" s="1"/>
      <c r="Z1811" s="102"/>
      <c r="AA1811" s="102"/>
      <c r="AB1811" s="1"/>
      <c r="AC1811" s="1"/>
      <c r="AD1811" s="1"/>
      <c r="AE1811" s="1"/>
      <c r="AF1811" s="1"/>
      <c r="AG1811" s="1"/>
    </row>
    <row r="1812" ht="15.75" customHeight="1">
      <c r="A1812" s="1"/>
      <c r="B1812" s="1"/>
      <c r="C1812" s="1"/>
      <c r="D1812" s="1"/>
      <c r="E1812" s="1"/>
      <c r="F1812" s="1"/>
      <c r="G1812" s="1"/>
      <c r="H1812" s="1"/>
      <c r="I1812" s="1"/>
      <c r="J1812" s="1"/>
      <c r="K1812" s="102" t="s">
        <v>3413</v>
      </c>
      <c r="L1812" s="102" t="str">
        <f>E34</f>
        <v>J1a2a~</v>
      </c>
      <c r="M1812" s="102" t="s">
        <v>3412</v>
      </c>
      <c r="N1812" s="102" t="s">
        <v>3414</v>
      </c>
      <c r="O1812" s="105">
        <v>7534645.0</v>
      </c>
      <c r="P1812" s="105">
        <v>7666604.0</v>
      </c>
      <c r="Q1812" s="102" t="s">
        <v>2423</v>
      </c>
      <c r="S1812" s="1"/>
      <c r="T1812" s="1"/>
      <c r="U1812" s="1"/>
      <c r="V1812" s="1"/>
      <c r="W1812" s="1"/>
      <c r="X1812" s="1"/>
      <c r="Y1812" s="1"/>
      <c r="Z1812" s="102"/>
      <c r="AA1812" s="102"/>
      <c r="AB1812" s="1"/>
      <c r="AC1812" s="1"/>
      <c r="AD1812" s="1"/>
      <c r="AE1812" s="1"/>
      <c r="AF1812" s="1"/>
      <c r="AG1812" s="1"/>
    </row>
    <row r="1813" ht="15.75" customHeight="1">
      <c r="A1813" s="1"/>
      <c r="B1813" s="1"/>
      <c r="C1813" s="1"/>
      <c r="D1813" s="1"/>
      <c r="E1813" s="1"/>
      <c r="F1813" s="1"/>
      <c r="G1813" s="1"/>
      <c r="H1813" s="1"/>
      <c r="I1813" s="1"/>
      <c r="J1813" s="1"/>
      <c r="K1813" s="102" t="s">
        <v>3415</v>
      </c>
      <c r="L1813" s="102" t="str">
        <f>E34</f>
        <v>J1a2a~</v>
      </c>
      <c r="M1813" s="102" t="s">
        <v>3416</v>
      </c>
      <c r="N1813" s="102" t="s">
        <v>3417</v>
      </c>
      <c r="O1813" s="105">
        <v>8022633.0</v>
      </c>
      <c r="P1813" s="105">
        <v>8154592.0</v>
      </c>
      <c r="Q1813" s="102" t="s">
        <v>2576</v>
      </c>
      <c r="S1813" s="1"/>
      <c r="T1813" s="1"/>
      <c r="U1813" s="1"/>
      <c r="V1813" s="1"/>
      <c r="W1813" s="1"/>
      <c r="X1813" s="1"/>
      <c r="Y1813" s="1"/>
      <c r="Z1813" s="102"/>
      <c r="AA1813" s="102"/>
      <c r="AB1813" s="1"/>
      <c r="AC1813" s="1"/>
      <c r="AD1813" s="1"/>
      <c r="AE1813" s="1"/>
      <c r="AF1813" s="1"/>
      <c r="AG1813" s="1"/>
    </row>
    <row r="1814" ht="15.75" customHeight="1">
      <c r="A1814" s="1"/>
      <c r="B1814" s="1"/>
      <c r="C1814" s="1"/>
      <c r="D1814" s="1"/>
      <c r="E1814" s="1"/>
      <c r="F1814" s="1"/>
      <c r="G1814" s="1"/>
      <c r="H1814" s="1"/>
      <c r="I1814" s="1"/>
      <c r="J1814" s="1"/>
      <c r="K1814" s="102" t="s">
        <v>3416</v>
      </c>
      <c r="L1814" s="102" t="str">
        <f>E34</f>
        <v>J1a2a~</v>
      </c>
      <c r="M1814" s="102" t="s">
        <v>3415</v>
      </c>
      <c r="N1814" s="102" t="s">
        <v>3417</v>
      </c>
      <c r="O1814" s="105">
        <v>8022633.0</v>
      </c>
      <c r="P1814" s="105">
        <v>8154592.0</v>
      </c>
      <c r="Q1814" s="102" t="s">
        <v>2576</v>
      </c>
      <c r="S1814" s="1"/>
      <c r="T1814" s="1"/>
      <c r="U1814" s="1"/>
      <c r="V1814" s="1"/>
      <c r="W1814" s="1"/>
      <c r="X1814" s="1"/>
      <c r="Y1814" s="1"/>
      <c r="Z1814" s="102"/>
      <c r="AA1814" s="102"/>
      <c r="AB1814" s="1"/>
      <c r="AC1814" s="1"/>
      <c r="AD1814" s="1"/>
      <c r="AE1814" s="1"/>
      <c r="AF1814" s="1"/>
      <c r="AG1814" s="1"/>
    </row>
    <row r="1815" ht="15.75" customHeight="1">
      <c r="A1815" s="1"/>
      <c r="B1815" s="1"/>
      <c r="C1815" s="1"/>
      <c r="D1815" s="1"/>
      <c r="E1815" s="1"/>
      <c r="F1815" s="1"/>
      <c r="G1815" s="1"/>
      <c r="H1815" s="1"/>
      <c r="I1815" s="1"/>
      <c r="J1815" s="1"/>
      <c r="K1815" s="102" t="s">
        <v>3418</v>
      </c>
      <c r="L1815" s="102" t="str">
        <f>E34</f>
        <v>J1a2a~</v>
      </c>
      <c r="M1815" s="102"/>
      <c r="N1815" s="102" t="s">
        <v>3419</v>
      </c>
      <c r="O1815" s="105">
        <v>9125097.0</v>
      </c>
      <c r="P1815" s="105">
        <v>9287488.0</v>
      </c>
      <c r="Q1815" s="102" t="s">
        <v>2446</v>
      </c>
      <c r="S1815" s="1"/>
      <c r="T1815" s="1"/>
      <c r="U1815" s="1"/>
      <c r="V1815" s="1"/>
      <c r="W1815" s="1"/>
      <c r="X1815" s="1"/>
      <c r="Y1815" s="1"/>
      <c r="Z1815" s="102"/>
      <c r="AA1815" s="102"/>
      <c r="AB1815" s="1"/>
      <c r="AC1815" s="1"/>
      <c r="AD1815" s="1"/>
      <c r="AE1815" s="1"/>
      <c r="AF1815" s="1"/>
      <c r="AG1815" s="1"/>
    </row>
    <row r="1816" ht="15.75" customHeight="1">
      <c r="A1816" s="1"/>
      <c r="B1816" s="1"/>
      <c r="C1816" s="1"/>
      <c r="D1816" s="1"/>
      <c r="E1816" s="1"/>
      <c r="F1816" s="1"/>
      <c r="G1816" s="1"/>
      <c r="H1816" s="1"/>
      <c r="I1816" s="1"/>
      <c r="J1816" s="1"/>
      <c r="K1816" s="102" t="s">
        <v>3420</v>
      </c>
      <c r="L1816" s="102" t="str">
        <f>E34</f>
        <v>J1a2a~</v>
      </c>
      <c r="M1816" s="102" t="s">
        <v>3421</v>
      </c>
      <c r="N1816" s="102" t="s">
        <v>3422</v>
      </c>
      <c r="O1816" s="105">
        <v>1.4294241E7</v>
      </c>
      <c r="P1816" s="105">
        <v>1.2173535E7</v>
      </c>
      <c r="Q1816" s="102" t="s">
        <v>2446</v>
      </c>
      <c r="S1816" s="1"/>
      <c r="T1816" s="1"/>
      <c r="U1816" s="1"/>
      <c r="V1816" s="1"/>
      <c r="W1816" s="1"/>
      <c r="X1816" s="1"/>
      <c r="Y1816" s="1"/>
      <c r="Z1816" s="102"/>
      <c r="AA1816" s="102"/>
      <c r="AB1816" s="1"/>
      <c r="AC1816" s="1"/>
      <c r="AD1816" s="1"/>
      <c r="AE1816" s="1"/>
      <c r="AF1816" s="1"/>
      <c r="AG1816" s="1"/>
    </row>
    <row r="1817" ht="15.75" customHeight="1">
      <c r="A1817" s="1"/>
      <c r="B1817" s="1"/>
      <c r="C1817" s="1"/>
      <c r="D1817" s="1"/>
      <c r="E1817" s="1"/>
      <c r="F1817" s="1"/>
      <c r="G1817" s="1"/>
      <c r="H1817" s="1"/>
      <c r="I1817" s="1"/>
      <c r="J1817" s="1"/>
      <c r="K1817" s="102" t="s">
        <v>3421</v>
      </c>
      <c r="L1817" s="102" t="str">
        <f>E34</f>
        <v>J1a2a~</v>
      </c>
      <c r="M1817" s="102" t="s">
        <v>3420</v>
      </c>
      <c r="N1817" s="102" t="s">
        <v>3422</v>
      </c>
      <c r="O1817" s="105">
        <v>1.4294241E7</v>
      </c>
      <c r="P1817" s="105">
        <v>1.2173535E7</v>
      </c>
      <c r="Q1817" s="102" t="s">
        <v>2446</v>
      </c>
      <c r="S1817" s="1"/>
      <c r="T1817" s="1"/>
      <c r="U1817" s="1"/>
      <c r="V1817" s="1"/>
      <c r="W1817" s="1"/>
      <c r="X1817" s="1"/>
      <c r="Y1817" s="1"/>
      <c r="Z1817" s="102"/>
      <c r="AA1817" s="102"/>
      <c r="AB1817" s="1"/>
      <c r="AC1817" s="1"/>
      <c r="AD1817" s="1"/>
      <c r="AE1817" s="1"/>
      <c r="AF1817" s="1"/>
      <c r="AG1817" s="1"/>
    </row>
    <row r="1818" ht="15.75" customHeight="1">
      <c r="A1818" s="1"/>
      <c r="B1818" s="1"/>
      <c r="C1818" s="1"/>
      <c r="D1818" s="1"/>
      <c r="E1818" s="1"/>
      <c r="F1818" s="1"/>
      <c r="G1818" s="1"/>
      <c r="H1818" s="1"/>
      <c r="I1818" s="1"/>
      <c r="J1818" s="1"/>
      <c r="K1818" s="102" t="s">
        <v>3423</v>
      </c>
      <c r="L1818" s="102" t="str">
        <f>E34</f>
        <v>J1a2a~</v>
      </c>
      <c r="M1818" s="102"/>
      <c r="N1818" s="102" t="s">
        <v>3424</v>
      </c>
      <c r="O1818" s="105">
        <v>9379015.0</v>
      </c>
      <c r="P1818" s="105">
        <v>9541406.0</v>
      </c>
      <c r="Q1818" s="102" t="s">
        <v>2432</v>
      </c>
      <c r="S1818" s="1"/>
      <c r="T1818" s="1"/>
      <c r="U1818" s="1"/>
      <c r="V1818" s="1"/>
      <c r="W1818" s="1"/>
      <c r="X1818" s="1"/>
      <c r="Y1818" s="1"/>
      <c r="Z1818" s="102"/>
      <c r="AA1818" s="102"/>
      <c r="AB1818" s="1"/>
      <c r="AC1818" s="1"/>
      <c r="AD1818" s="1"/>
      <c r="AE1818" s="1"/>
      <c r="AF1818" s="1"/>
      <c r="AG1818" s="1"/>
    </row>
    <row r="1819" ht="15.75" customHeight="1">
      <c r="A1819" s="1"/>
      <c r="B1819" s="1"/>
      <c r="C1819" s="1"/>
      <c r="D1819" s="1"/>
      <c r="E1819" s="1"/>
      <c r="F1819" s="1"/>
      <c r="G1819" s="1"/>
      <c r="H1819" s="1"/>
      <c r="I1819" s="1"/>
      <c r="J1819" s="1"/>
      <c r="K1819" s="102" t="s">
        <v>3425</v>
      </c>
      <c r="L1819" s="102" t="str">
        <f>F35</f>
        <v>J1a2a1~</v>
      </c>
      <c r="M1819" s="102" t="s">
        <v>3426</v>
      </c>
      <c r="N1819" s="102" t="s">
        <v>3427</v>
      </c>
      <c r="O1819" s="105">
        <v>1.536708E7</v>
      </c>
      <c r="P1819" s="105">
        <v>1.32552E7</v>
      </c>
      <c r="Q1819" s="102" t="s">
        <v>2439</v>
      </c>
      <c r="S1819" s="1"/>
      <c r="T1819" s="1"/>
      <c r="U1819" s="1"/>
      <c r="V1819" s="1"/>
      <c r="W1819" s="1"/>
      <c r="X1819" s="1"/>
      <c r="Y1819" s="1"/>
      <c r="Z1819" s="102"/>
      <c r="AA1819" s="102"/>
      <c r="AB1819" s="1"/>
      <c r="AC1819" s="1"/>
      <c r="AD1819" s="1"/>
      <c r="AE1819" s="1"/>
      <c r="AF1819" s="1"/>
      <c r="AG1819" s="1"/>
    </row>
    <row r="1820" ht="15.75" customHeight="1">
      <c r="A1820" s="1"/>
      <c r="B1820" s="1"/>
      <c r="C1820" s="1"/>
      <c r="D1820" s="1"/>
      <c r="E1820" s="1"/>
      <c r="F1820" s="1"/>
      <c r="G1820" s="1"/>
      <c r="H1820" s="1"/>
      <c r="I1820" s="1"/>
      <c r="J1820" s="1"/>
      <c r="K1820" s="102" t="s">
        <v>3428</v>
      </c>
      <c r="L1820" s="102" t="str">
        <f>F35</f>
        <v>J1a2a1~</v>
      </c>
      <c r="M1820" s="102" t="s">
        <v>3429</v>
      </c>
      <c r="N1820" s="102" t="s">
        <v>3427</v>
      </c>
      <c r="O1820" s="105">
        <v>1.536708E7</v>
      </c>
      <c r="P1820" s="105">
        <v>1.32552E7</v>
      </c>
      <c r="Q1820" s="102" t="s">
        <v>2439</v>
      </c>
      <c r="S1820" s="1"/>
      <c r="T1820" s="1"/>
      <c r="U1820" s="1"/>
      <c r="V1820" s="1"/>
      <c r="W1820" s="1"/>
      <c r="X1820" s="1"/>
      <c r="Y1820" s="1"/>
      <c r="Z1820" s="102"/>
      <c r="AA1820" s="102"/>
      <c r="AB1820" s="1"/>
      <c r="AC1820" s="1"/>
      <c r="AD1820" s="1"/>
      <c r="AE1820" s="1"/>
      <c r="AF1820" s="1"/>
      <c r="AG1820" s="1"/>
    </row>
    <row r="1821" ht="15.75" customHeight="1">
      <c r="A1821" s="1"/>
      <c r="B1821" s="1"/>
      <c r="C1821" s="1"/>
      <c r="D1821" s="1"/>
      <c r="E1821" s="1"/>
      <c r="F1821" s="1"/>
      <c r="G1821" s="1"/>
      <c r="H1821" s="1"/>
      <c r="I1821" s="1"/>
      <c r="J1821" s="1"/>
      <c r="K1821" s="102" t="s">
        <v>3430</v>
      </c>
      <c r="L1821" s="102" t="str">
        <f>F35</f>
        <v>J1a2a1~</v>
      </c>
      <c r="M1821" s="102" t="s">
        <v>3431</v>
      </c>
      <c r="N1821" s="102" t="s">
        <v>3427</v>
      </c>
      <c r="O1821" s="105">
        <v>1.536708E7</v>
      </c>
      <c r="P1821" s="105">
        <v>1.32552E7</v>
      </c>
      <c r="Q1821" s="102" t="s">
        <v>2439</v>
      </c>
      <c r="S1821" s="1"/>
      <c r="T1821" s="1"/>
      <c r="U1821" s="1"/>
      <c r="V1821" s="1"/>
      <c r="W1821" s="1"/>
      <c r="X1821" s="1"/>
      <c r="Y1821" s="1"/>
      <c r="Z1821" s="102"/>
      <c r="AA1821" s="102"/>
      <c r="AB1821" s="1"/>
      <c r="AC1821" s="1"/>
      <c r="AD1821" s="1"/>
      <c r="AE1821" s="1"/>
      <c r="AF1821" s="1"/>
      <c r="AG1821" s="1"/>
    </row>
    <row r="1822" ht="15.75" customHeight="1">
      <c r="A1822" s="1"/>
      <c r="B1822" s="1"/>
      <c r="C1822" s="1"/>
      <c r="D1822" s="1"/>
      <c r="E1822" s="1"/>
      <c r="F1822" s="1"/>
      <c r="G1822" s="1"/>
      <c r="H1822" s="1"/>
      <c r="I1822" s="1"/>
      <c r="J1822" s="1"/>
      <c r="K1822" s="102" t="s">
        <v>3432</v>
      </c>
      <c r="L1822" s="102" t="str">
        <f>F35</f>
        <v>J1a2a1~</v>
      </c>
      <c r="M1822" s="102" t="s">
        <v>3433</v>
      </c>
      <c r="N1822" s="102" t="s">
        <v>3434</v>
      </c>
      <c r="O1822" s="105">
        <v>1.5619125E7</v>
      </c>
      <c r="P1822" s="105">
        <v>1.3507245E7</v>
      </c>
      <c r="Q1822" s="102" t="s">
        <v>2501</v>
      </c>
      <c r="S1822" s="1"/>
      <c r="T1822" s="1"/>
      <c r="U1822" s="1"/>
      <c r="V1822" s="1"/>
      <c r="W1822" s="1"/>
      <c r="X1822" s="1"/>
      <c r="Y1822" s="1"/>
      <c r="Z1822" s="102"/>
      <c r="AA1822" s="102"/>
      <c r="AB1822" s="1"/>
      <c r="AC1822" s="1"/>
      <c r="AD1822" s="1"/>
      <c r="AE1822" s="1"/>
      <c r="AF1822" s="1"/>
      <c r="AG1822" s="1"/>
    </row>
    <row r="1823" ht="15.75" customHeight="1">
      <c r="A1823" s="1"/>
      <c r="B1823" s="1"/>
      <c r="C1823" s="1"/>
      <c r="D1823" s="1"/>
      <c r="E1823" s="1"/>
      <c r="F1823" s="1"/>
      <c r="G1823" s="1"/>
      <c r="H1823" s="1"/>
      <c r="I1823" s="1"/>
      <c r="J1823" s="1"/>
      <c r="K1823" s="102" t="s">
        <v>3435</v>
      </c>
      <c r="L1823" s="102" t="str">
        <f>F35</f>
        <v>J1a2a1~</v>
      </c>
      <c r="M1823" s="102" t="s">
        <v>3436</v>
      </c>
      <c r="N1823" s="102" t="s">
        <v>3434</v>
      </c>
      <c r="O1823" s="105">
        <v>1.5619125E7</v>
      </c>
      <c r="P1823" s="105">
        <v>1.3507245E7</v>
      </c>
      <c r="Q1823" s="102" t="s">
        <v>2501</v>
      </c>
      <c r="S1823" s="1"/>
      <c r="T1823" s="1"/>
      <c r="U1823" s="1"/>
      <c r="V1823" s="1"/>
      <c r="W1823" s="1"/>
      <c r="X1823" s="1"/>
      <c r="Y1823" s="1"/>
      <c r="Z1823" s="102"/>
      <c r="AA1823" s="102"/>
      <c r="AB1823" s="1"/>
      <c r="AC1823" s="1"/>
      <c r="AD1823" s="1"/>
      <c r="AE1823" s="1"/>
      <c r="AF1823" s="1"/>
      <c r="AG1823" s="1"/>
    </row>
    <row r="1824" ht="15.75" customHeight="1">
      <c r="A1824" s="1"/>
      <c r="B1824" s="1"/>
      <c r="C1824" s="1"/>
      <c r="D1824" s="1"/>
      <c r="E1824" s="1"/>
      <c r="F1824" s="1"/>
      <c r="G1824" s="1"/>
      <c r="H1824" s="1"/>
      <c r="I1824" s="1"/>
      <c r="J1824" s="1"/>
      <c r="K1824" s="102" t="s">
        <v>3437</v>
      </c>
      <c r="L1824" s="102" t="str">
        <f>F35</f>
        <v>J1a2a1~</v>
      </c>
      <c r="M1824" s="102" t="s">
        <v>3438</v>
      </c>
      <c r="N1824" s="102" t="s">
        <v>3434</v>
      </c>
      <c r="O1824" s="105">
        <v>1.5619125E7</v>
      </c>
      <c r="P1824" s="105">
        <v>1.3507245E7</v>
      </c>
      <c r="Q1824" s="102" t="s">
        <v>2501</v>
      </c>
      <c r="S1824" s="1"/>
      <c r="T1824" s="1"/>
      <c r="U1824" s="1"/>
      <c r="V1824" s="1"/>
      <c r="W1824" s="1"/>
      <c r="X1824" s="1"/>
      <c r="Y1824" s="1"/>
      <c r="Z1824" s="102"/>
      <c r="AA1824" s="102"/>
      <c r="AB1824" s="1"/>
      <c r="AC1824" s="1"/>
      <c r="AD1824" s="1"/>
      <c r="AE1824" s="1"/>
      <c r="AF1824" s="1"/>
      <c r="AG1824" s="1"/>
    </row>
    <row r="1825" ht="15.75" customHeight="1">
      <c r="A1825" s="1"/>
      <c r="B1825" s="1"/>
      <c r="C1825" s="1"/>
      <c r="D1825" s="1"/>
      <c r="E1825" s="1"/>
      <c r="F1825" s="1"/>
      <c r="G1825" s="1"/>
      <c r="H1825" s="1"/>
      <c r="I1825" s="1"/>
      <c r="J1825" s="1"/>
      <c r="K1825" s="102" t="s">
        <v>3439</v>
      </c>
      <c r="L1825" s="102" t="str">
        <f>F35</f>
        <v>J1a2a1~</v>
      </c>
      <c r="M1825" s="102" t="s">
        <v>3440</v>
      </c>
      <c r="N1825" s="102" t="s">
        <v>3441</v>
      </c>
      <c r="O1825" s="105">
        <v>1.7381642E7</v>
      </c>
      <c r="P1825" s="105">
        <v>1.5269762E7</v>
      </c>
      <c r="Q1825" s="102" t="s">
        <v>2446</v>
      </c>
      <c r="S1825" s="1"/>
      <c r="T1825" s="1"/>
      <c r="U1825" s="1"/>
      <c r="V1825" s="1"/>
      <c r="W1825" s="1"/>
      <c r="X1825" s="1"/>
      <c r="Y1825" s="1"/>
      <c r="Z1825" s="102"/>
      <c r="AA1825" s="102"/>
      <c r="AB1825" s="1"/>
      <c r="AC1825" s="1"/>
      <c r="AD1825" s="1"/>
      <c r="AE1825" s="1"/>
      <c r="AF1825" s="1"/>
      <c r="AG1825" s="1"/>
    </row>
    <row r="1826" ht="15.75" customHeight="1">
      <c r="A1826" s="1"/>
      <c r="B1826" s="1"/>
      <c r="C1826" s="1"/>
      <c r="D1826" s="1"/>
      <c r="E1826" s="1"/>
      <c r="F1826" s="1"/>
      <c r="G1826" s="1"/>
      <c r="H1826" s="1"/>
      <c r="I1826" s="1"/>
      <c r="J1826" s="1"/>
      <c r="K1826" s="102" t="s">
        <v>3442</v>
      </c>
      <c r="L1826" s="102" t="str">
        <f>F35</f>
        <v>J1a2a1~</v>
      </c>
      <c r="M1826" s="102" t="s">
        <v>3443</v>
      </c>
      <c r="N1826" s="102" t="s">
        <v>3441</v>
      </c>
      <c r="O1826" s="105">
        <v>1.7381642E7</v>
      </c>
      <c r="P1826" s="105">
        <v>1.5269762E7</v>
      </c>
      <c r="Q1826" s="102" t="s">
        <v>2446</v>
      </c>
      <c r="S1826" s="1"/>
      <c r="T1826" s="1"/>
      <c r="U1826" s="1"/>
      <c r="V1826" s="1"/>
      <c r="W1826" s="1"/>
      <c r="X1826" s="1"/>
      <c r="Y1826" s="1"/>
      <c r="Z1826" s="102">
        <v>1.7381642E7</v>
      </c>
      <c r="AA1826" s="102"/>
      <c r="AB1826" s="1"/>
      <c r="AC1826" s="1"/>
      <c r="AD1826" s="1"/>
      <c r="AE1826" s="1"/>
      <c r="AF1826" s="1"/>
      <c r="AG1826" s="1"/>
    </row>
    <row r="1827" ht="15.75" customHeight="1">
      <c r="A1827" s="1"/>
      <c r="B1827" s="1"/>
      <c r="C1827" s="1"/>
      <c r="D1827" s="1"/>
      <c r="E1827" s="1"/>
      <c r="F1827" s="1"/>
      <c r="G1827" s="1"/>
      <c r="H1827" s="1"/>
      <c r="I1827" s="1"/>
      <c r="J1827" s="1"/>
      <c r="K1827" s="102" t="s">
        <v>3444</v>
      </c>
      <c r="L1827" s="102" t="str">
        <f>F35</f>
        <v>J1a2a1~</v>
      </c>
      <c r="M1827" s="102" t="s">
        <v>3445</v>
      </c>
      <c r="N1827" s="102" t="s">
        <v>3441</v>
      </c>
      <c r="O1827" s="105">
        <v>1.7381642E7</v>
      </c>
      <c r="P1827" s="105">
        <v>1.5269762E7</v>
      </c>
      <c r="Q1827" s="102" t="s">
        <v>2446</v>
      </c>
      <c r="S1827" s="1"/>
      <c r="T1827" s="1"/>
      <c r="U1827" s="1"/>
      <c r="V1827" s="1"/>
      <c r="W1827" s="1"/>
      <c r="X1827" s="1"/>
      <c r="Y1827" s="1"/>
      <c r="Z1827" s="102">
        <v>1.7381642E7</v>
      </c>
      <c r="AA1827" s="102"/>
      <c r="AB1827" s="1"/>
      <c r="AC1827" s="1"/>
      <c r="AD1827" s="1"/>
      <c r="AE1827" s="1"/>
      <c r="AF1827" s="1"/>
      <c r="AG1827" s="1"/>
    </row>
    <row r="1828" ht="15.75" customHeight="1">
      <c r="A1828" s="1"/>
      <c r="B1828" s="1"/>
      <c r="C1828" s="1"/>
      <c r="D1828" s="1"/>
      <c r="E1828" s="1"/>
      <c r="F1828" s="1"/>
      <c r="G1828" s="1"/>
      <c r="H1828" s="1"/>
      <c r="I1828" s="1"/>
      <c r="J1828" s="1"/>
      <c r="K1828" s="102" t="s">
        <v>3446</v>
      </c>
      <c r="L1828" s="102" t="str">
        <f>F35</f>
        <v>J1a2a1~</v>
      </c>
      <c r="M1828" s="102" t="s">
        <v>3447</v>
      </c>
      <c r="N1828" s="102" t="s">
        <v>3448</v>
      </c>
      <c r="O1828" s="105">
        <v>1.7605736E7</v>
      </c>
      <c r="P1828" s="105">
        <v>1.5493856E7</v>
      </c>
      <c r="Q1828" s="102" t="s">
        <v>2439</v>
      </c>
      <c r="S1828" s="1"/>
      <c r="T1828" s="1"/>
      <c r="U1828" s="1"/>
      <c r="V1828" s="1"/>
      <c r="W1828" s="1"/>
      <c r="X1828" s="1"/>
      <c r="Y1828" s="1"/>
      <c r="Z1828" s="102"/>
      <c r="AA1828" s="102"/>
      <c r="AB1828" s="1"/>
      <c r="AC1828" s="1"/>
      <c r="AD1828" s="1"/>
      <c r="AE1828" s="1"/>
      <c r="AF1828" s="1"/>
      <c r="AG1828" s="1"/>
    </row>
    <row r="1829" ht="15.75" customHeight="1">
      <c r="A1829" s="1"/>
      <c r="B1829" s="1"/>
      <c r="C1829" s="1"/>
      <c r="D1829" s="1"/>
      <c r="E1829" s="1"/>
      <c r="F1829" s="1"/>
      <c r="G1829" s="1"/>
      <c r="H1829" s="1"/>
      <c r="I1829" s="1"/>
      <c r="J1829" s="1"/>
      <c r="K1829" s="102" t="s">
        <v>3449</v>
      </c>
      <c r="L1829" s="102" t="str">
        <f>F35</f>
        <v>J1a2a1~</v>
      </c>
      <c r="M1829" s="102" t="s">
        <v>3450</v>
      </c>
      <c r="N1829" s="102" t="s">
        <v>3448</v>
      </c>
      <c r="O1829" s="105">
        <v>1.7605736E7</v>
      </c>
      <c r="P1829" s="105">
        <v>1.5493856E7</v>
      </c>
      <c r="Q1829" s="102" t="s">
        <v>2439</v>
      </c>
      <c r="S1829" s="1"/>
      <c r="T1829" s="1"/>
      <c r="U1829" s="1"/>
      <c r="V1829" s="1"/>
      <c r="W1829" s="1"/>
      <c r="X1829" s="1"/>
      <c r="Y1829" s="1"/>
      <c r="Z1829" s="102"/>
      <c r="AA1829" s="102"/>
      <c r="AB1829" s="1"/>
      <c r="AC1829" s="1"/>
      <c r="AD1829" s="1"/>
      <c r="AE1829" s="1"/>
      <c r="AF1829" s="1"/>
      <c r="AG1829" s="1"/>
    </row>
    <row r="1830" ht="15.75" customHeight="1">
      <c r="A1830" s="1"/>
      <c r="B1830" s="1"/>
      <c r="C1830" s="1"/>
      <c r="D1830" s="1"/>
      <c r="E1830" s="1"/>
      <c r="F1830" s="1"/>
      <c r="G1830" s="1"/>
      <c r="H1830" s="1"/>
      <c r="I1830" s="1"/>
      <c r="J1830" s="1"/>
      <c r="K1830" s="102" t="s">
        <v>3451</v>
      </c>
      <c r="L1830" s="102" t="str">
        <f>F35</f>
        <v>J1a2a1~</v>
      </c>
      <c r="M1830" s="102" t="s">
        <v>3452</v>
      </c>
      <c r="N1830" s="102" t="s">
        <v>3448</v>
      </c>
      <c r="O1830" s="105">
        <v>1.7605736E7</v>
      </c>
      <c r="P1830" s="105">
        <v>1.5493856E7</v>
      </c>
      <c r="Q1830" s="102" t="s">
        <v>2439</v>
      </c>
      <c r="S1830" s="1"/>
      <c r="T1830" s="1"/>
      <c r="U1830" s="1"/>
      <c r="V1830" s="1"/>
      <c r="W1830" s="1"/>
      <c r="X1830" s="1"/>
      <c r="Y1830" s="1"/>
      <c r="Z1830" s="102"/>
      <c r="AA1830" s="102"/>
      <c r="AB1830" s="1"/>
      <c r="AC1830" s="1"/>
      <c r="AD1830" s="1"/>
      <c r="AE1830" s="1"/>
      <c r="AF1830" s="1"/>
      <c r="AG1830" s="1"/>
    </row>
    <row r="1831" ht="15.75" customHeight="1">
      <c r="A1831" s="1"/>
      <c r="B1831" s="1"/>
      <c r="C1831" s="1"/>
      <c r="D1831" s="1"/>
      <c r="E1831" s="1"/>
      <c r="F1831" s="1"/>
      <c r="G1831" s="1"/>
      <c r="H1831" s="1"/>
      <c r="I1831" s="1"/>
      <c r="J1831" s="1"/>
      <c r="K1831" s="102" t="s">
        <v>3453</v>
      </c>
      <c r="L1831" s="102" t="str">
        <f>F35</f>
        <v>J1a2a1~</v>
      </c>
      <c r="M1831" s="102" t="s">
        <v>3454</v>
      </c>
      <c r="N1831" s="102" t="s">
        <v>3455</v>
      </c>
      <c r="O1831" s="105">
        <v>2.3601614E7</v>
      </c>
      <c r="P1831" s="105">
        <v>2.1439728E7</v>
      </c>
      <c r="Q1831" s="102" t="s">
        <v>2501</v>
      </c>
      <c r="S1831" s="1"/>
      <c r="T1831" s="1"/>
      <c r="U1831" s="1"/>
      <c r="V1831" s="1"/>
      <c r="W1831" s="1"/>
      <c r="X1831" s="1"/>
      <c r="Y1831" s="1"/>
      <c r="Z1831" s="102"/>
      <c r="AA1831" s="102"/>
      <c r="AB1831" s="1"/>
      <c r="AC1831" s="1"/>
      <c r="AD1831" s="1"/>
      <c r="AE1831" s="1"/>
      <c r="AF1831" s="1"/>
      <c r="AG1831" s="1"/>
    </row>
    <row r="1832" ht="15.75" customHeight="1">
      <c r="A1832" s="1"/>
      <c r="B1832" s="1"/>
      <c r="C1832" s="1"/>
      <c r="D1832" s="1"/>
      <c r="E1832" s="1"/>
      <c r="F1832" s="1"/>
      <c r="G1832" s="1"/>
      <c r="H1832" s="1"/>
      <c r="I1832" s="1"/>
      <c r="J1832" s="1"/>
      <c r="K1832" s="102" t="s">
        <v>3454</v>
      </c>
      <c r="L1832" s="102" t="str">
        <f>F35</f>
        <v>J1a2a1~</v>
      </c>
      <c r="M1832" s="102" t="s">
        <v>3453</v>
      </c>
      <c r="N1832" s="102" t="s">
        <v>3455</v>
      </c>
      <c r="O1832" s="105">
        <v>2.3601614E7</v>
      </c>
      <c r="P1832" s="105">
        <v>2.1439728E7</v>
      </c>
      <c r="Q1832" s="102" t="s">
        <v>2501</v>
      </c>
      <c r="S1832" s="1"/>
      <c r="T1832" s="1"/>
      <c r="U1832" s="1"/>
      <c r="V1832" s="1"/>
      <c r="W1832" s="1"/>
      <c r="X1832" s="1"/>
      <c r="Y1832" s="1"/>
      <c r="Z1832" s="102"/>
      <c r="AA1832" s="102"/>
      <c r="AB1832" s="1"/>
      <c r="AC1832" s="1"/>
      <c r="AD1832" s="1"/>
      <c r="AE1832" s="1"/>
      <c r="AF1832" s="1"/>
      <c r="AG1832" s="1"/>
    </row>
    <row r="1833" ht="15.75" customHeight="1">
      <c r="A1833" s="1"/>
      <c r="B1833" s="1"/>
      <c r="C1833" s="1"/>
      <c r="D1833" s="1"/>
      <c r="E1833" s="1"/>
      <c r="F1833" s="1"/>
      <c r="G1833" s="1"/>
      <c r="H1833" s="1"/>
      <c r="I1833" s="1"/>
      <c r="J1833" s="1"/>
      <c r="K1833" s="102" t="s">
        <v>3456</v>
      </c>
      <c r="L1833" s="102" t="str">
        <f>G36</f>
        <v>J1a2a1a</v>
      </c>
      <c r="M1833" s="102" t="s">
        <v>3457</v>
      </c>
      <c r="N1833" s="102"/>
      <c r="O1833" s="105">
        <v>7570823.0</v>
      </c>
      <c r="P1833" s="105">
        <v>7702782.0</v>
      </c>
      <c r="Q1833" s="102" t="s">
        <v>3458</v>
      </c>
      <c r="S1833" s="1"/>
      <c r="T1833" s="1"/>
      <c r="U1833" s="1"/>
      <c r="V1833" s="1"/>
      <c r="W1833" s="1"/>
      <c r="X1833" s="1"/>
      <c r="Y1833" s="1"/>
      <c r="Z1833" s="102" t="s">
        <v>3459</v>
      </c>
      <c r="AA1833" s="102"/>
      <c r="AB1833" s="1"/>
      <c r="AC1833" s="1"/>
      <c r="AD1833" s="1"/>
      <c r="AE1833" s="1"/>
      <c r="AF1833" s="1"/>
      <c r="AG1833" s="1"/>
    </row>
    <row r="1834" ht="15.75" customHeight="1">
      <c r="A1834" s="1"/>
      <c r="B1834" s="1"/>
      <c r="C1834" s="1"/>
      <c r="D1834" s="1"/>
      <c r="E1834" s="1"/>
      <c r="F1834" s="1"/>
      <c r="G1834" s="1"/>
      <c r="H1834" s="1"/>
      <c r="I1834" s="1"/>
      <c r="J1834" s="1"/>
      <c r="K1834" s="102" t="s">
        <v>3460</v>
      </c>
      <c r="L1834" s="102" t="str">
        <f>G36</f>
        <v>J1a2a1a</v>
      </c>
      <c r="M1834" s="102" t="s">
        <v>3461</v>
      </c>
      <c r="N1834" s="102"/>
      <c r="O1834" s="105">
        <v>7570823.0</v>
      </c>
      <c r="P1834" s="105">
        <v>7702782.0</v>
      </c>
      <c r="Q1834" s="102" t="s">
        <v>3458</v>
      </c>
      <c r="S1834" s="1"/>
      <c r="T1834" s="1"/>
      <c r="U1834" s="1"/>
      <c r="V1834" s="1"/>
      <c r="W1834" s="1"/>
      <c r="X1834" s="1"/>
      <c r="Y1834" s="1"/>
      <c r="Z1834" s="102"/>
      <c r="AA1834" s="102"/>
      <c r="AB1834" s="1"/>
      <c r="AC1834" s="1"/>
      <c r="AD1834" s="1"/>
      <c r="AE1834" s="1"/>
      <c r="AF1834" s="1"/>
      <c r="AG1834" s="1"/>
    </row>
    <row r="1835" ht="15.75" customHeight="1">
      <c r="A1835" s="1"/>
      <c r="B1835" s="1"/>
      <c r="C1835" s="1"/>
      <c r="D1835" s="1"/>
      <c r="E1835" s="1"/>
      <c r="F1835" s="1"/>
      <c r="G1835" s="1"/>
      <c r="H1835" s="1"/>
      <c r="I1835" s="1"/>
      <c r="J1835" s="1"/>
      <c r="K1835" s="102" t="s">
        <v>3462</v>
      </c>
      <c r="L1835" s="102" t="str">
        <f t="shared" ref="L1835:L1836" si="2">G36</f>
        <v>J1a2a1a</v>
      </c>
      <c r="M1835" s="102" t="s">
        <v>3463</v>
      </c>
      <c r="N1835" s="102"/>
      <c r="O1835" s="105">
        <v>7570823.0</v>
      </c>
      <c r="P1835" s="105">
        <v>7702782.0</v>
      </c>
      <c r="Q1835" s="102" t="s">
        <v>3458</v>
      </c>
      <c r="S1835" s="1"/>
      <c r="T1835" s="1"/>
      <c r="U1835" s="1"/>
      <c r="V1835" s="1"/>
      <c r="W1835" s="1"/>
      <c r="X1835" s="1"/>
      <c r="Y1835" s="1"/>
      <c r="Z1835" s="102"/>
      <c r="AA1835" s="102"/>
      <c r="AB1835" s="1"/>
      <c r="AC1835" s="1"/>
      <c r="AD1835" s="1"/>
      <c r="AE1835" s="1"/>
      <c r="AF1835" s="1"/>
      <c r="AG1835" s="1"/>
    </row>
    <row r="1836" ht="15.75" customHeight="1">
      <c r="A1836" s="1"/>
      <c r="B1836" s="1"/>
      <c r="C1836" s="1"/>
      <c r="D1836" s="1"/>
      <c r="E1836" s="1"/>
      <c r="F1836" s="1"/>
      <c r="G1836" s="1"/>
      <c r="H1836" s="1"/>
      <c r="I1836" s="1"/>
      <c r="J1836" s="1"/>
      <c r="K1836" s="102" t="s">
        <v>3464</v>
      </c>
      <c r="L1836" s="102" t="str">
        <f t="shared" si="2"/>
        <v>J1a2a1a~</v>
      </c>
      <c r="M1836" s="102" t="s">
        <v>3465</v>
      </c>
      <c r="N1836" s="102" t="s">
        <v>3466</v>
      </c>
      <c r="O1836" s="105">
        <v>1.6536608E7</v>
      </c>
      <c r="P1836" s="105">
        <v>1.4424728E7</v>
      </c>
      <c r="Q1836" s="102" t="s">
        <v>2468</v>
      </c>
      <c r="S1836" s="1"/>
      <c r="T1836" s="1"/>
      <c r="U1836" s="1"/>
      <c r="V1836" s="1"/>
      <c r="W1836" s="1"/>
      <c r="X1836" s="1"/>
      <c r="Y1836" s="1"/>
      <c r="Z1836" s="102"/>
      <c r="AA1836" s="102"/>
      <c r="AB1836" s="1"/>
      <c r="AC1836" s="1"/>
      <c r="AD1836" s="1"/>
      <c r="AE1836" s="1"/>
      <c r="AF1836" s="1"/>
      <c r="AG1836" s="1"/>
    </row>
    <row r="1837" ht="15.75" customHeight="1">
      <c r="A1837" s="1"/>
      <c r="B1837" s="1"/>
      <c r="C1837" s="1"/>
      <c r="D1837" s="1"/>
      <c r="E1837" s="1"/>
      <c r="F1837" s="1"/>
      <c r="G1837" s="1"/>
      <c r="H1837" s="1"/>
      <c r="I1837" s="1"/>
      <c r="J1837" s="1"/>
      <c r="K1837" s="102" t="s">
        <v>3467</v>
      </c>
      <c r="L1837" s="102" t="str">
        <f>G37</f>
        <v>J1a2a1a~</v>
      </c>
      <c r="M1837" s="102" t="s">
        <v>3468</v>
      </c>
      <c r="N1837" s="102" t="s">
        <v>3466</v>
      </c>
      <c r="O1837" s="105">
        <v>1.6536608E7</v>
      </c>
      <c r="P1837" s="105">
        <v>1.4424728E7</v>
      </c>
      <c r="Q1837" s="102" t="s">
        <v>2468</v>
      </c>
      <c r="S1837" s="1"/>
      <c r="T1837" s="1"/>
      <c r="U1837" s="1"/>
      <c r="V1837" s="1"/>
      <c r="W1837" s="1"/>
      <c r="X1837" s="1"/>
      <c r="Y1837" s="1"/>
      <c r="Z1837" s="102"/>
      <c r="AA1837" s="102"/>
      <c r="AB1837" s="1"/>
      <c r="AC1837" s="1"/>
      <c r="AD1837" s="1"/>
      <c r="AE1837" s="1"/>
      <c r="AF1837" s="1"/>
      <c r="AG1837" s="1"/>
    </row>
    <row r="1838" ht="15.75" customHeight="1">
      <c r="A1838" s="1"/>
      <c r="B1838" s="1"/>
      <c r="C1838" s="1"/>
      <c r="D1838" s="1"/>
      <c r="E1838" s="1"/>
      <c r="F1838" s="1"/>
      <c r="G1838" s="1"/>
      <c r="H1838" s="1"/>
      <c r="I1838" s="1"/>
      <c r="J1838" s="1"/>
      <c r="K1838" s="102" t="s">
        <v>3469</v>
      </c>
      <c r="L1838" s="102" t="str">
        <f>G37</f>
        <v>J1a2a1a~</v>
      </c>
      <c r="M1838" s="102" t="s">
        <v>3470</v>
      </c>
      <c r="N1838" s="102" t="s">
        <v>3466</v>
      </c>
      <c r="O1838" s="105">
        <v>1.6536608E7</v>
      </c>
      <c r="P1838" s="105">
        <v>1.4424728E7</v>
      </c>
      <c r="Q1838" s="102" t="s">
        <v>2468</v>
      </c>
      <c r="S1838" s="1"/>
      <c r="T1838" s="1"/>
      <c r="U1838" s="1"/>
      <c r="V1838" s="1"/>
      <c r="W1838" s="1"/>
      <c r="X1838" s="1"/>
      <c r="Y1838" s="1"/>
      <c r="Z1838" s="102"/>
      <c r="AA1838" s="102"/>
      <c r="AB1838" s="1"/>
      <c r="AC1838" s="1"/>
      <c r="AD1838" s="1"/>
      <c r="AE1838" s="1"/>
      <c r="AF1838" s="1"/>
      <c r="AG1838" s="1"/>
    </row>
    <row r="1839" ht="15.75" customHeight="1">
      <c r="A1839" s="1"/>
      <c r="B1839" s="1"/>
      <c r="C1839" s="1"/>
      <c r="D1839" s="1"/>
      <c r="E1839" s="1"/>
      <c r="F1839" s="1"/>
      <c r="G1839" s="1"/>
      <c r="H1839" s="1"/>
      <c r="I1839" s="1"/>
      <c r="J1839" s="1"/>
      <c r="K1839" s="102" t="s">
        <v>3471</v>
      </c>
      <c r="L1839" s="102" t="str">
        <f>G37</f>
        <v>J1a2a1a~</v>
      </c>
      <c r="M1839" s="102" t="s">
        <v>3472</v>
      </c>
      <c r="N1839" s="102" t="s">
        <v>3466</v>
      </c>
      <c r="O1839" s="105">
        <v>1.6536608E7</v>
      </c>
      <c r="P1839" s="105">
        <v>1.4424728E7</v>
      </c>
      <c r="Q1839" s="102" t="s">
        <v>2468</v>
      </c>
      <c r="S1839" s="1"/>
      <c r="T1839" s="1"/>
      <c r="U1839" s="1"/>
      <c r="V1839" s="1"/>
      <c r="W1839" s="1"/>
      <c r="X1839" s="1"/>
      <c r="Y1839" s="1"/>
      <c r="Z1839" s="102"/>
      <c r="AA1839" s="102"/>
      <c r="AB1839" s="1"/>
      <c r="AC1839" s="1"/>
      <c r="AD1839" s="1"/>
      <c r="AE1839" s="1"/>
      <c r="AF1839" s="1"/>
      <c r="AG1839" s="1"/>
    </row>
    <row r="1840" ht="15.75" customHeight="1">
      <c r="A1840" s="1"/>
      <c r="B1840" s="1"/>
      <c r="C1840" s="1"/>
      <c r="D1840" s="1"/>
      <c r="E1840" s="1"/>
      <c r="F1840" s="1"/>
      <c r="G1840" s="1"/>
      <c r="H1840" s="1"/>
      <c r="I1840" s="1"/>
      <c r="J1840" s="1"/>
      <c r="K1840" s="102" t="s">
        <v>3473</v>
      </c>
      <c r="L1840" s="102" t="str">
        <f>G37</f>
        <v>J1a2a1a~</v>
      </c>
      <c r="M1840" s="102" t="s">
        <v>3474</v>
      </c>
      <c r="N1840" s="102" t="s">
        <v>3466</v>
      </c>
      <c r="O1840" s="105">
        <v>1.6536608E7</v>
      </c>
      <c r="P1840" s="105">
        <v>1.4424728E7</v>
      </c>
      <c r="Q1840" s="102" t="s">
        <v>2468</v>
      </c>
      <c r="S1840" s="1"/>
      <c r="T1840" s="1"/>
      <c r="U1840" s="1"/>
      <c r="V1840" s="1"/>
      <c r="W1840" s="1"/>
      <c r="X1840" s="1"/>
      <c r="Y1840" s="1"/>
      <c r="Z1840" s="102"/>
      <c r="AA1840" s="102"/>
      <c r="AB1840" s="1"/>
      <c r="AC1840" s="1"/>
      <c r="AD1840" s="1"/>
      <c r="AE1840" s="1"/>
      <c r="AF1840" s="1"/>
      <c r="AG1840" s="1"/>
    </row>
    <row r="1841" ht="15.75" customHeight="1">
      <c r="A1841" s="1"/>
      <c r="B1841" s="1"/>
      <c r="C1841" s="1"/>
      <c r="D1841" s="1"/>
      <c r="E1841" s="1"/>
      <c r="F1841" s="1"/>
      <c r="G1841" s="1"/>
      <c r="H1841" s="1"/>
      <c r="I1841" s="1"/>
      <c r="J1841" s="1"/>
      <c r="K1841" s="102" t="s">
        <v>3475</v>
      </c>
      <c r="L1841" s="102" t="str">
        <f>G37</f>
        <v>J1a2a1a~</v>
      </c>
      <c r="M1841" s="102" t="s">
        <v>3476</v>
      </c>
      <c r="N1841" s="102" t="s">
        <v>3477</v>
      </c>
      <c r="O1841" s="105">
        <v>1.8233492E7</v>
      </c>
      <c r="P1841" s="105">
        <v>1.6121612E7</v>
      </c>
      <c r="Q1841" s="102" t="s">
        <v>2563</v>
      </c>
      <c r="S1841" s="1"/>
      <c r="T1841" s="1"/>
      <c r="U1841" s="1"/>
      <c r="V1841" s="1"/>
      <c r="W1841" s="1"/>
      <c r="X1841" s="1"/>
      <c r="Y1841" s="1"/>
      <c r="Z1841" s="102"/>
      <c r="AA1841" s="102"/>
      <c r="AB1841" s="1"/>
      <c r="AC1841" s="1"/>
      <c r="AD1841" s="1"/>
      <c r="AE1841" s="1"/>
      <c r="AF1841" s="1"/>
      <c r="AG1841" s="1"/>
    </row>
    <row r="1842" ht="15.75" customHeight="1">
      <c r="A1842" s="1"/>
      <c r="B1842" s="1"/>
      <c r="C1842" s="1"/>
      <c r="D1842" s="1"/>
      <c r="E1842" s="1"/>
      <c r="F1842" s="1"/>
      <c r="G1842" s="1"/>
      <c r="H1842" s="1"/>
      <c r="I1842" s="1"/>
      <c r="J1842" s="1"/>
      <c r="K1842" s="102" t="s">
        <v>3478</v>
      </c>
      <c r="L1842" s="102" t="str">
        <f>G37</f>
        <v>J1a2a1a~</v>
      </c>
      <c r="M1842" s="102" t="s">
        <v>3479</v>
      </c>
      <c r="N1842" s="102" t="s">
        <v>3477</v>
      </c>
      <c r="O1842" s="105">
        <v>1.8233492E7</v>
      </c>
      <c r="P1842" s="105">
        <v>1.6121612E7</v>
      </c>
      <c r="Q1842" s="102" t="s">
        <v>2563</v>
      </c>
      <c r="S1842" s="1"/>
      <c r="T1842" s="1"/>
      <c r="U1842" s="1"/>
      <c r="V1842" s="1"/>
      <c r="W1842" s="1"/>
      <c r="X1842" s="1"/>
      <c r="Y1842" s="1"/>
      <c r="Z1842" s="102"/>
      <c r="AA1842" s="102"/>
      <c r="AB1842" s="1"/>
      <c r="AC1842" s="1"/>
      <c r="AD1842" s="1"/>
      <c r="AE1842" s="1"/>
      <c r="AF1842" s="1"/>
      <c r="AG1842" s="1"/>
    </row>
    <row r="1843" ht="15.75" customHeight="1">
      <c r="A1843" s="1"/>
      <c r="B1843" s="1"/>
      <c r="C1843" s="1"/>
      <c r="D1843" s="1"/>
      <c r="E1843" s="1"/>
      <c r="F1843" s="1"/>
      <c r="G1843" s="1"/>
      <c r="H1843" s="1"/>
      <c r="I1843" s="1"/>
      <c r="J1843" s="1"/>
      <c r="K1843" s="102" t="s">
        <v>3480</v>
      </c>
      <c r="L1843" s="102" t="str">
        <f>G37</f>
        <v>J1a2a1a~</v>
      </c>
      <c r="M1843" s="102" t="s">
        <v>3481</v>
      </c>
      <c r="N1843" s="102" t="s">
        <v>3477</v>
      </c>
      <c r="O1843" s="105">
        <v>1.8233492E7</v>
      </c>
      <c r="P1843" s="105">
        <v>1.6121612E7</v>
      </c>
      <c r="Q1843" s="102" t="s">
        <v>2563</v>
      </c>
      <c r="S1843" s="1"/>
      <c r="T1843" s="1"/>
      <c r="U1843" s="1"/>
      <c r="V1843" s="1"/>
      <c r="W1843" s="1"/>
      <c r="X1843" s="1"/>
      <c r="Y1843" s="1"/>
      <c r="Z1843" s="102"/>
      <c r="AA1843" s="102"/>
      <c r="AB1843" s="1"/>
      <c r="AC1843" s="1"/>
      <c r="AD1843" s="1"/>
      <c r="AE1843" s="1"/>
      <c r="AF1843" s="1"/>
      <c r="AG1843" s="1"/>
    </row>
    <row r="1844" ht="15.75" customHeight="1">
      <c r="A1844" s="1"/>
      <c r="B1844" s="1"/>
      <c r="C1844" s="1"/>
      <c r="D1844" s="1"/>
      <c r="E1844" s="1"/>
      <c r="F1844" s="1"/>
      <c r="G1844" s="1"/>
      <c r="H1844" s="1"/>
      <c r="I1844" s="1"/>
      <c r="J1844" s="1"/>
      <c r="K1844" s="102" t="s">
        <v>3482</v>
      </c>
      <c r="L1844" s="102" t="str">
        <f>G37</f>
        <v>J1a2a1a~</v>
      </c>
      <c r="M1844" s="102" t="s">
        <v>3483</v>
      </c>
      <c r="N1844" s="102" t="s">
        <v>3484</v>
      </c>
      <c r="O1844" s="105">
        <v>1.8934146E7</v>
      </c>
      <c r="P1844" s="105">
        <v>1.6822266E7</v>
      </c>
      <c r="Q1844" s="102" t="s">
        <v>2501</v>
      </c>
      <c r="S1844" s="1"/>
      <c r="T1844" s="1"/>
      <c r="U1844" s="1"/>
      <c r="V1844" s="1"/>
      <c r="W1844" s="1"/>
      <c r="X1844" s="1"/>
      <c r="Y1844" s="1"/>
      <c r="Z1844" s="102"/>
      <c r="AA1844" s="102"/>
      <c r="AB1844" s="1"/>
      <c r="AC1844" s="1"/>
      <c r="AD1844" s="1"/>
      <c r="AE1844" s="1"/>
      <c r="AF1844" s="1"/>
      <c r="AG1844" s="1"/>
    </row>
    <row r="1845" ht="15.75" customHeight="1">
      <c r="A1845" s="1"/>
      <c r="B1845" s="1"/>
      <c r="C1845" s="1"/>
      <c r="D1845" s="1"/>
      <c r="E1845" s="1"/>
      <c r="F1845" s="1"/>
      <c r="G1845" s="1"/>
      <c r="H1845" s="1"/>
      <c r="I1845" s="1"/>
      <c r="J1845" s="1"/>
      <c r="K1845" s="102" t="s">
        <v>3485</v>
      </c>
      <c r="L1845" s="102" t="str">
        <f>G37</f>
        <v>J1a2a1a~</v>
      </c>
      <c r="M1845" s="102" t="s">
        <v>3486</v>
      </c>
      <c r="N1845" s="102" t="s">
        <v>3484</v>
      </c>
      <c r="O1845" s="105">
        <v>1.8934146E7</v>
      </c>
      <c r="P1845" s="105">
        <v>1.6822266E7</v>
      </c>
      <c r="Q1845" s="102" t="s">
        <v>2501</v>
      </c>
      <c r="S1845" s="1"/>
      <c r="T1845" s="1"/>
      <c r="U1845" s="1"/>
      <c r="V1845" s="1"/>
      <c r="W1845" s="1"/>
      <c r="X1845" s="1"/>
      <c r="Y1845" s="1"/>
      <c r="Z1845" s="102"/>
      <c r="AA1845" s="102"/>
      <c r="AB1845" s="1"/>
      <c r="AC1845" s="1"/>
      <c r="AD1845" s="1"/>
      <c r="AE1845" s="1"/>
      <c r="AF1845" s="1"/>
      <c r="AG1845" s="1"/>
    </row>
    <row r="1846" ht="15.75" customHeight="1">
      <c r="A1846" s="1"/>
      <c r="B1846" s="1"/>
      <c r="C1846" s="1"/>
      <c r="D1846" s="1"/>
      <c r="E1846" s="1"/>
      <c r="F1846" s="1"/>
      <c r="G1846" s="1"/>
      <c r="H1846" s="1"/>
      <c r="I1846" s="1"/>
      <c r="J1846" s="1"/>
      <c r="K1846" s="102" t="s">
        <v>3487</v>
      </c>
      <c r="L1846" s="102" t="str">
        <f>G37</f>
        <v>J1a2a1a~</v>
      </c>
      <c r="M1846" s="102" t="s">
        <v>3488</v>
      </c>
      <c r="N1846" s="102" t="s">
        <v>3484</v>
      </c>
      <c r="O1846" s="105">
        <v>1.8934146E7</v>
      </c>
      <c r="P1846" s="105">
        <v>1.6822266E7</v>
      </c>
      <c r="Q1846" s="102" t="s">
        <v>2501</v>
      </c>
      <c r="S1846" s="1"/>
      <c r="T1846" s="1"/>
      <c r="U1846" s="1"/>
      <c r="V1846" s="1"/>
      <c r="W1846" s="1"/>
      <c r="X1846" s="1"/>
      <c r="Y1846" s="1"/>
      <c r="Z1846" s="102"/>
      <c r="AA1846" s="102"/>
      <c r="AB1846" s="1"/>
      <c r="AC1846" s="1"/>
      <c r="AD1846" s="1"/>
      <c r="AE1846" s="1"/>
      <c r="AF1846" s="1"/>
      <c r="AG1846" s="1"/>
    </row>
    <row r="1847" ht="15.75" customHeight="1">
      <c r="A1847" s="1"/>
      <c r="B1847" s="1"/>
      <c r="C1847" s="1"/>
      <c r="D1847" s="1"/>
      <c r="E1847" s="1"/>
      <c r="F1847" s="1"/>
      <c r="G1847" s="1"/>
      <c r="H1847" s="1"/>
      <c r="I1847" s="1"/>
      <c r="J1847" s="1"/>
      <c r="K1847" s="102" t="s">
        <v>3489</v>
      </c>
      <c r="L1847" s="102" t="str">
        <f>G37</f>
        <v>J1a2a1a~</v>
      </c>
      <c r="M1847" s="102" t="s">
        <v>3490</v>
      </c>
      <c r="N1847" s="102" t="s">
        <v>3491</v>
      </c>
      <c r="O1847" s="105">
        <v>2.1388802E7</v>
      </c>
      <c r="P1847" s="105">
        <v>1.9226916E7</v>
      </c>
      <c r="Q1847" s="102" t="s">
        <v>2563</v>
      </c>
      <c r="S1847" s="1"/>
      <c r="T1847" s="1"/>
      <c r="U1847" s="1"/>
      <c r="V1847" s="1"/>
      <c r="W1847" s="1"/>
      <c r="X1847" s="1"/>
      <c r="Y1847" s="1"/>
      <c r="Z1847" s="102"/>
      <c r="AA1847" s="102"/>
      <c r="AB1847" s="1"/>
      <c r="AC1847" s="1"/>
      <c r="AD1847" s="1"/>
      <c r="AE1847" s="1"/>
      <c r="AF1847" s="1"/>
      <c r="AG1847" s="1"/>
    </row>
    <row r="1848" ht="15.75" customHeight="1">
      <c r="A1848" s="1"/>
      <c r="B1848" s="1"/>
      <c r="C1848" s="1"/>
      <c r="D1848" s="1"/>
      <c r="E1848" s="1"/>
      <c r="F1848" s="1"/>
      <c r="G1848" s="1"/>
      <c r="H1848" s="1"/>
      <c r="I1848" s="1"/>
      <c r="J1848" s="1"/>
      <c r="K1848" s="102" t="s">
        <v>3492</v>
      </c>
      <c r="L1848" s="102" t="str">
        <f>G37</f>
        <v>J1a2a1a~</v>
      </c>
      <c r="M1848" s="102" t="s">
        <v>3493</v>
      </c>
      <c r="N1848" s="102" t="s">
        <v>3491</v>
      </c>
      <c r="O1848" s="105">
        <v>2.1388802E7</v>
      </c>
      <c r="P1848" s="105">
        <v>1.9226916E7</v>
      </c>
      <c r="Q1848" s="102" t="s">
        <v>2563</v>
      </c>
      <c r="S1848" s="1"/>
      <c r="T1848" s="1"/>
      <c r="U1848" s="1"/>
      <c r="V1848" s="1"/>
      <c r="W1848" s="1"/>
      <c r="X1848" s="1"/>
      <c r="Y1848" s="1"/>
      <c r="Z1848" s="102"/>
      <c r="AA1848" s="102"/>
      <c r="AB1848" s="1"/>
      <c r="AC1848" s="1"/>
      <c r="AD1848" s="1"/>
      <c r="AE1848" s="1"/>
      <c r="AF1848" s="1"/>
      <c r="AG1848" s="1"/>
    </row>
    <row r="1849" ht="15.75" customHeight="1">
      <c r="A1849" s="1"/>
      <c r="B1849" s="1"/>
      <c r="C1849" s="1"/>
      <c r="D1849" s="1"/>
      <c r="E1849" s="1"/>
      <c r="F1849" s="1"/>
      <c r="G1849" s="1"/>
      <c r="H1849" s="1"/>
      <c r="I1849" s="1"/>
      <c r="J1849" s="1"/>
      <c r="K1849" s="102" t="s">
        <v>3494</v>
      </c>
      <c r="L1849" s="102" t="str">
        <f>G37</f>
        <v>J1a2a1a~</v>
      </c>
      <c r="M1849" s="102" t="s">
        <v>3495</v>
      </c>
      <c r="N1849" s="102" t="s">
        <v>3491</v>
      </c>
      <c r="O1849" s="105">
        <v>2.1388802E7</v>
      </c>
      <c r="P1849" s="105">
        <v>1.9226916E7</v>
      </c>
      <c r="Q1849" s="102" t="s">
        <v>2563</v>
      </c>
      <c r="S1849" s="1"/>
      <c r="T1849" s="1"/>
      <c r="U1849" s="1"/>
      <c r="V1849" s="1"/>
      <c r="W1849" s="1"/>
      <c r="X1849" s="1"/>
      <c r="Y1849" s="1"/>
      <c r="Z1849" s="102"/>
      <c r="AA1849" s="102"/>
      <c r="AB1849" s="1"/>
      <c r="AC1849" s="1"/>
      <c r="AD1849" s="1"/>
      <c r="AE1849" s="1"/>
      <c r="AF1849" s="1"/>
      <c r="AG1849" s="1"/>
    </row>
    <row r="1850" ht="15.75" customHeight="1">
      <c r="A1850" s="1"/>
      <c r="B1850" s="1"/>
      <c r="C1850" s="1"/>
      <c r="D1850" s="1"/>
      <c r="E1850" s="1"/>
      <c r="F1850" s="1"/>
      <c r="G1850" s="1"/>
      <c r="H1850" s="1"/>
      <c r="I1850" s="1"/>
      <c r="J1850" s="1"/>
      <c r="K1850" s="102" t="s">
        <v>3496</v>
      </c>
      <c r="L1850" s="102" t="str">
        <f>G37</f>
        <v>J1a2a1a~</v>
      </c>
      <c r="M1850" s="102" t="s">
        <v>3497</v>
      </c>
      <c r="N1850" s="102" t="s">
        <v>3498</v>
      </c>
      <c r="O1850" s="105">
        <v>2.1508436E7</v>
      </c>
      <c r="P1850" s="105">
        <v>1.934655E7</v>
      </c>
      <c r="Q1850" s="102" t="s">
        <v>2468</v>
      </c>
      <c r="S1850" s="1"/>
      <c r="T1850" s="1"/>
      <c r="U1850" s="1"/>
      <c r="V1850" s="1"/>
      <c r="W1850" s="1"/>
      <c r="X1850" s="1"/>
      <c r="Y1850" s="1"/>
      <c r="Z1850" s="102"/>
      <c r="AA1850" s="102"/>
      <c r="AB1850" s="1"/>
      <c r="AC1850" s="1"/>
      <c r="AD1850" s="1"/>
      <c r="AE1850" s="1"/>
      <c r="AF1850" s="1"/>
      <c r="AG1850" s="1"/>
    </row>
    <row r="1851" ht="15.75" customHeight="1">
      <c r="A1851" s="1"/>
      <c r="B1851" s="1"/>
      <c r="C1851" s="1"/>
      <c r="D1851" s="1"/>
      <c r="E1851" s="1"/>
      <c r="F1851" s="1"/>
      <c r="G1851" s="1"/>
      <c r="H1851" s="1"/>
      <c r="I1851" s="1"/>
      <c r="J1851" s="1"/>
      <c r="K1851" s="102" t="s">
        <v>3499</v>
      </c>
      <c r="L1851" s="102" t="str">
        <f>G37</f>
        <v>J1a2a1a~</v>
      </c>
      <c r="M1851" s="102" t="s">
        <v>3500</v>
      </c>
      <c r="N1851" s="102" t="s">
        <v>3498</v>
      </c>
      <c r="O1851" s="105">
        <v>2.1508436E7</v>
      </c>
      <c r="P1851" s="105">
        <v>1.934655E7</v>
      </c>
      <c r="Q1851" s="102" t="s">
        <v>2468</v>
      </c>
      <c r="S1851" s="1"/>
      <c r="T1851" s="1"/>
      <c r="U1851" s="1"/>
      <c r="V1851" s="1"/>
      <c r="W1851" s="1"/>
      <c r="X1851" s="1"/>
      <c r="Y1851" s="1"/>
      <c r="Z1851" s="102"/>
      <c r="AA1851" s="102"/>
      <c r="AB1851" s="1"/>
      <c r="AC1851" s="1"/>
      <c r="AD1851" s="1"/>
      <c r="AE1851" s="1"/>
      <c r="AF1851" s="1"/>
      <c r="AG1851" s="1"/>
    </row>
    <row r="1852" ht="15.75" customHeight="1">
      <c r="A1852" s="1"/>
      <c r="B1852" s="1"/>
      <c r="C1852" s="1"/>
      <c r="D1852" s="1"/>
      <c r="E1852" s="1"/>
      <c r="F1852" s="1"/>
      <c r="G1852" s="1"/>
      <c r="H1852" s="1"/>
      <c r="I1852" s="1"/>
      <c r="J1852" s="1"/>
      <c r="K1852" s="102" t="s">
        <v>3501</v>
      </c>
      <c r="L1852" s="102" t="str">
        <f>G37</f>
        <v>J1a2a1a~</v>
      </c>
      <c r="M1852" s="102" t="s">
        <v>3502</v>
      </c>
      <c r="N1852" s="102" t="s">
        <v>3498</v>
      </c>
      <c r="O1852" s="105">
        <v>2.1508436E7</v>
      </c>
      <c r="P1852" s="105">
        <v>1.934655E7</v>
      </c>
      <c r="Q1852" s="102" t="s">
        <v>2468</v>
      </c>
      <c r="S1852" s="1"/>
      <c r="T1852" s="1"/>
      <c r="U1852" s="1"/>
      <c r="V1852" s="1"/>
      <c r="W1852" s="1"/>
      <c r="X1852" s="1"/>
      <c r="Y1852" s="1"/>
      <c r="Z1852" s="102"/>
      <c r="AA1852" s="102"/>
      <c r="AB1852" s="1"/>
      <c r="AC1852" s="1"/>
      <c r="AD1852" s="1"/>
      <c r="AE1852" s="1"/>
      <c r="AF1852" s="1"/>
      <c r="AG1852" s="1"/>
    </row>
    <row r="1853" ht="15.75" customHeight="1">
      <c r="A1853" s="1"/>
      <c r="B1853" s="1"/>
      <c r="C1853" s="1"/>
      <c r="D1853" s="1"/>
      <c r="E1853" s="1"/>
      <c r="F1853" s="1"/>
      <c r="G1853" s="1"/>
      <c r="H1853" s="1"/>
      <c r="I1853" s="1"/>
      <c r="J1853" s="1"/>
      <c r="K1853" s="102" t="s">
        <v>3503</v>
      </c>
      <c r="L1853" s="102" t="str">
        <f>G37</f>
        <v>J1a2a1a~</v>
      </c>
      <c r="M1853" s="102" t="s">
        <v>3504</v>
      </c>
      <c r="N1853" s="102" t="s">
        <v>3505</v>
      </c>
      <c r="O1853" s="105">
        <v>6969181.0</v>
      </c>
      <c r="P1853" s="105">
        <v>7101140.0</v>
      </c>
      <c r="Q1853" s="102" t="s">
        <v>2514</v>
      </c>
      <c r="S1853" s="1"/>
      <c r="T1853" s="1"/>
      <c r="U1853" s="1"/>
      <c r="V1853" s="1"/>
      <c r="W1853" s="1"/>
      <c r="X1853" s="1"/>
      <c r="Y1853" s="1"/>
      <c r="Z1853" s="102">
        <v>7353871.0</v>
      </c>
      <c r="AA1853" s="102" t="s">
        <v>3506</v>
      </c>
      <c r="AB1853" s="1"/>
      <c r="AC1853" s="1"/>
      <c r="AD1853" s="1"/>
      <c r="AE1853" s="1"/>
      <c r="AF1853" s="1"/>
      <c r="AG1853" s="1"/>
    </row>
    <row r="1854" ht="15.75" customHeight="1">
      <c r="A1854" s="1"/>
      <c r="B1854" s="1"/>
      <c r="C1854" s="1"/>
      <c r="D1854" s="1"/>
      <c r="E1854" s="1"/>
      <c r="F1854" s="1"/>
      <c r="G1854" s="1"/>
      <c r="H1854" s="1"/>
      <c r="I1854" s="1"/>
      <c r="J1854" s="1"/>
      <c r="K1854" s="102" t="s">
        <v>3507</v>
      </c>
      <c r="L1854" s="102" t="str">
        <f>G37</f>
        <v>J1a2a1a~</v>
      </c>
      <c r="M1854" s="102" t="s">
        <v>3508</v>
      </c>
      <c r="N1854" s="102" t="s">
        <v>3505</v>
      </c>
      <c r="O1854" s="105">
        <v>6969181.0</v>
      </c>
      <c r="P1854" s="105">
        <v>7101140.0</v>
      </c>
      <c r="Q1854" s="102" t="s">
        <v>2514</v>
      </c>
      <c r="S1854" s="1"/>
      <c r="T1854" s="1"/>
      <c r="U1854" s="1"/>
      <c r="V1854" s="1"/>
      <c r="W1854" s="1"/>
      <c r="X1854" s="1"/>
      <c r="Y1854" s="1"/>
      <c r="Z1854" s="102"/>
      <c r="AA1854" s="102"/>
      <c r="AB1854" s="1"/>
      <c r="AC1854" s="1"/>
      <c r="AD1854" s="1"/>
      <c r="AE1854" s="1"/>
      <c r="AF1854" s="1"/>
      <c r="AG1854" s="1"/>
    </row>
    <row r="1855" ht="15.75" customHeight="1">
      <c r="A1855" s="1"/>
      <c r="B1855" s="1"/>
      <c r="C1855" s="1"/>
      <c r="D1855" s="1"/>
      <c r="E1855" s="1"/>
      <c r="F1855" s="1"/>
      <c r="G1855" s="1"/>
      <c r="H1855" s="1"/>
      <c r="I1855" s="1"/>
      <c r="J1855" s="1"/>
      <c r="K1855" s="102" t="s">
        <v>3509</v>
      </c>
      <c r="L1855" s="102" t="str">
        <f>G37</f>
        <v>J1a2a1a~</v>
      </c>
      <c r="M1855" s="102" t="s">
        <v>3510</v>
      </c>
      <c r="N1855" s="102" t="s">
        <v>3505</v>
      </c>
      <c r="O1855" s="105">
        <v>6969181.0</v>
      </c>
      <c r="P1855" s="105">
        <v>7101140.0</v>
      </c>
      <c r="Q1855" s="102" t="s">
        <v>2514</v>
      </c>
      <c r="S1855" s="1"/>
      <c r="T1855" s="1"/>
      <c r="U1855" s="1"/>
      <c r="V1855" s="1"/>
      <c r="W1855" s="1"/>
      <c r="X1855" s="1"/>
      <c r="Y1855" s="1"/>
      <c r="Z1855" s="102"/>
      <c r="AA1855" s="102"/>
      <c r="AB1855" s="1"/>
      <c r="AC1855" s="1"/>
      <c r="AD1855" s="1"/>
      <c r="AE1855" s="1"/>
      <c r="AF1855" s="1"/>
      <c r="AG1855" s="1"/>
    </row>
    <row r="1856" ht="15.75" customHeight="1">
      <c r="A1856" s="1"/>
      <c r="B1856" s="1"/>
      <c r="C1856" s="1"/>
      <c r="D1856" s="1"/>
      <c r="E1856" s="1"/>
      <c r="F1856" s="1"/>
      <c r="G1856" s="1"/>
      <c r="H1856" s="1"/>
      <c r="I1856" s="1"/>
      <c r="J1856" s="1"/>
      <c r="K1856" s="102" t="s">
        <v>3511</v>
      </c>
      <c r="L1856" s="102" t="str">
        <f>G37</f>
        <v>J1a2a1a~</v>
      </c>
      <c r="M1856" s="102" t="s">
        <v>3512</v>
      </c>
      <c r="N1856" s="102" t="s">
        <v>3513</v>
      </c>
      <c r="O1856" s="105">
        <v>1.466508E7</v>
      </c>
      <c r="P1856" s="105">
        <v>1.2553146E7</v>
      </c>
      <c r="Q1856" s="102" t="s">
        <v>2439</v>
      </c>
      <c r="S1856" s="1"/>
      <c r="T1856" s="1"/>
      <c r="U1856" s="1"/>
      <c r="V1856" s="1"/>
      <c r="W1856" s="1"/>
      <c r="X1856" s="1"/>
      <c r="Y1856" s="1"/>
      <c r="Z1856" s="102"/>
      <c r="AA1856" s="102"/>
      <c r="AB1856" s="1"/>
      <c r="AC1856" s="1"/>
      <c r="AD1856" s="1"/>
      <c r="AE1856" s="1"/>
      <c r="AF1856" s="1"/>
      <c r="AG1856" s="1"/>
    </row>
    <row r="1857" ht="15.75" customHeight="1">
      <c r="A1857" s="1"/>
      <c r="B1857" s="1"/>
      <c r="C1857" s="1"/>
      <c r="D1857" s="1"/>
      <c r="E1857" s="1"/>
      <c r="F1857" s="1"/>
      <c r="G1857" s="1"/>
      <c r="H1857" s="1"/>
      <c r="I1857" s="1"/>
      <c r="J1857" s="1"/>
      <c r="K1857" s="102" t="s">
        <v>3512</v>
      </c>
      <c r="L1857" s="102" t="str">
        <f>G37</f>
        <v>J1a2a1a~</v>
      </c>
      <c r="M1857" s="102" t="s">
        <v>3511</v>
      </c>
      <c r="N1857" s="102" t="s">
        <v>3513</v>
      </c>
      <c r="O1857" s="105">
        <v>1.466508E7</v>
      </c>
      <c r="P1857" s="105">
        <v>1.2553146E7</v>
      </c>
      <c r="Q1857" s="102" t="s">
        <v>2439</v>
      </c>
      <c r="S1857" s="1"/>
      <c r="T1857" s="1"/>
      <c r="U1857" s="1"/>
      <c r="V1857" s="1"/>
      <c r="W1857" s="1"/>
      <c r="X1857" s="1"/>
      <c r="Y1857" s="1"/>
      <c r="Z1857" s="102"/>
      <c r="AA1857" s="102"/>
      <c r="AB1857" s="1"/>
      <c r="AC1857" s="1"/>
      <c r="AD1857" s="1"/>
      <c r="AE1857" s="1"/>
      <c r="AF1857" s="1"/>
      <c r="AG1857" s="1"/>
    </row>
    <row r="1858" ht="15.75" customHeight="1">
      <c r="A1858" s="1"/>
      <c r="B1858" s="1"/>
      <c r="C1858" s="1"/>
      <c r="D1858" s="1"/>
      <c r="E1858" s="1"/>
      <c r="F1858" s="1"/>
      <c r="G1858" s="1"/>
      <c r="H1858" s="1"/>
      <c r="I1858" s="1"/>
      <c r="J1858" s="1"/>
      <c r="K1858" s="102" t="s">
        <v>3514</v>
      </c>
      <c r="L1858" s="102" t="str">
        <f>G37</f>
        <v>J1a2a1a~</v>
      </c>
      <c r="M1858" s="102" t="s">
        <v>3515</v>
      </c>
      <c r="N1858" s="102" t="s">
        <v>3516</v>
      </c>
      <c r="O1858" s="105">
        <v>1.5827633E7</v>
      </c>
      <c r="P1858" s="105">
        <v>1.3715753E7</v>
      </c>
      <c r="Q1858" s="102" t="s">
        <v>2446</v>
      </c>
      <c r="S1858" s="1"/>
      <c r="T1858" s="1"/>
      <c r="U1858" s="1"/>
      <c r="V1858" s="1"/>
      <c r="W1858" s="1"/>
      <c r="X1858" s="1"/>
      <c r="Y1858" s="1"/>
      <c r="Z1858" s="102"/>
      <c r="AA1858" s="102"/>
      <c r="AB1858" s="1"/>
      <c r="AC1858" s="1"/>
      <c r="AD1858" s="1"/>
      <c r="AE1858" s="1"/>
      <c r="AF1858" s="1"/>
      <c r="AG1858" s="1"/>
    </row>
    <row r="1859" ht="15.75" customHeight="1">
      <c r="A1859" s="1"/>
      <c r="B1859" s="1"/>
      <c r="C1859" s="1"/>
      <c r="D1859" s="1"/>
      <c r="E1859" s="1"/>
      <c r="F1859" s="1"/>
      <c r="G1859" s="1"/>
      <c r="H1859" s="1"/>
      <c r="I1859" s="1"/>
      <c r="J1859" s="1"/>
      <c r="K1859" s="102" t="s">
        <v>3517</v>
      </c>
      <c r="L1859" s="102" t="str">
        <f>G37</f>
        <v>J1a2a1a~</v>
      </c>
      <c r="M1859" s="102" t="s">
        <v>3518</v>
      </c>
      <c r="N1859" s="102" t="s">
        <v>3516</v>
      </c>
      <c r="O1859" s="105">
        <v>1.5827633E7</v>
      </c>
      <c r="P1859" s="105">
        <v>1.3715753E7</v>
      </c>
      <c r="Q1859" s="102" t="s">
        <v>2446</v>
      </c>
      <c r="S1859" s="1"/>
      <c r="T1859" s="1"/>
      <c r="U1859" s="1"/>
      <c r="V1859" s="1"/>
      <c r="W1859" s="1"/>
      <c r="X1859" s="1"/>
      <c r="Y1859" s="1"/>
      <c r="Z1859" s="102"/>
      <c r="AA1859" s="102"/>
      <c r="AB1859" s="1"/>
      <c r="AC1859" s="1"/>
      <c r="AD1859" s="1"/>
      <c r="AE1859" s="1"/>
      <c r="AF1859" s="1"/>
      <c r="AG1859" s="1"/>
    </row>
    <row r="1860" ht="15.75" customHeight="1">
      <c r="A1860" s="1"/>
      <c r="B1860" s="1"/>
      <c r="C1860" s="1"/>
      <c r="D1860" s="1"/>
      <c r="E1860" s="1"/>
      <c r="F1860" s="1"/>
      <c r="G1860" s="1"/>
      <c r="H1860" s="1"/>
      <c r="I1860" s="1"/>
      <c r="J1860" s="1"/>
      <c r="K1860" s="102" t="s">
        <v>3519</v>
      </c>
      <c r="L1860" s="102" t="str">
        <f>G37</f>
        <v>J1a2a1a~</v>
      </c>
      <c r="M1860" s="102" t="s">
        <v>3520</v>
      </c>
      <c r="N1860" s="102" t="s">
        <v>3516</v>
      </c>
      <c r="O1860" s="105">
        <v>1.5827633E7</v>
      </c>
      <c r="P1860" s="105">
        <v>1.3715753E7</v>
      </c>
      <c r="Q1860" s="102" t="s">
        <v>2446</v>
      </c>
      <c r="S1860" s="1"/>
      <c r="T1860" s="1"/>
      <c r="U1860" s="1"/>
      <c r="V1860" s="1"/>
      <c r="W1860" s="1"/>
      <c r="X1860" s="1"/>
      <c r="Y1860" s="1"/>
      <c r="Z1860" s="102"/>
      <c r="AA1860" s="102"/>
      <c r="AB1860" s="1"/>
      <c r="AC1860" s="1"/>
      <c r="AD1860" s="1"/>
      <c r="AE1860" s="1"/>
      <c r="AF1860" s="1"/>
      <c r="AG1860" s="1"/>
    </row>
    <row r="1861" ht="15.75" customHeight="1">
      <c r="A1861" s="1"/>
      <c r="B1861" s="1"/>
      <c r="C1861" s="1"/>
      <c r="D1861" s="1"/>
      <c r="E1861" s="1"/>
      <c r="F1861" s="1"/>
      <c r="G1861" s="1"/>
      <c r="H1861" s="1"/>
      <c r="I1861" s="1"/>
      <c r="J1861" s="1"/>
      <c r="K1861" s="102" t="s">
        <v>3521</v>
      </c>
      <c r="L1861" s="102" t="str">
        <f>G37</f>
        <v>J1a2a1a~</v>
      </c>
      <c r="M1861" s="102" t="s">
        <v>3522</v>
      </c>
      <c r="N1861" s="102" t="s">
        <v>3516</v>
      </c>
      <c r="O1861" s="105">
        <v>1.5827633E7</v>
      </c>
      <c r="P1861" s="105">
        <v>1.3715753E7</v>
      </c>
      <c r="Q1861" s="102" t="s">
        <v>2446</v>
      </c>
      <c r="S1861" s="1"/>
      <c r="T1861" s="1"/>
      <c r="U1861" s="1"/>
      <c r="V1861" s="1"/>
      <c r="W1861" s="1"/>
      <c r="X1861" s="1"/>
      <c r="Y1861" s="1"/>
      <c r="Z1861" s="102"/>
      <c r="AA1861" s="102"/>
      <c r="AB1861" s="1"/>
      <c r="AC1861" s="1"/>
      <c r="AD1861" s="1"/>
      <c r="AE1861" s="1"/>
      <c r="AF1861" s="1"/>
      <c r="AG1861" s="1"/>
    </row>
    <row r="1862" ht="15.75" customHeight="1">
      <c r="A1862" s="1"/>
      <c r="B1862" s="1"/>
      <c r="C1862" s="1"/>
      <c r="D1862" s="1"/>
      <c r="E1862" s="1"/>
      <c r="F1862" s="1"/>
      <c r="G1862" s="1"/>
      <c r="H1862" s="1"/>
      <c r="I1862" s="1"/>
      <c r="J1862" s="1"/>
      <c r="K1862" s="102" t="s">
        <v>3523</v>
      </c>
      <c r="L1862" s="102" t="str">
        <f>G37</f>
        <v>J1a2a1a~</v>
      </c>
      <c r="M1862" s="102" t="s">
        <v>3524</v>
      </c>
      <c r="N1862" s="102" t="s">
        <v>3525</v>
      </c>
      <c r="O1862" s="105">
        <v>1.6362484E7</v>
      </c>
      <c r="P1862" s="105">
        <v>1.4250604E7</v>
      </c>
      <c r="Q1862" s="102" t="s">
        <v>2439</v>
      </c>
      <c r="S1862" s="1"/>
      <c r="T1862" s="1"/>
      <c r="U1862" s="1"/>
      <c r="V1862" s="1"/>
      <c r="W1862" s="1"/>
      <c r="X1862" s="1"/>
      <c r="Y1862" s="1"/>
      <c r="Z1862" s="102"/>
      <c r="AA1862" s="102"/>
      <c r="AB1862" s="1"/>
      <c r="AC1862" s="1"/>
      <c r="AD1862" s="1"/>
      <c r="AE1862" s="1"/>
      <c r="AF1862" s="1"/>
      <c r="AG1862" s="1"/>
    </row>
    <row r="1863" ht="15.75" customHeight="1">
      <c r="A1863" s="1"/>
      <c r="B1863" s="1"/>
      <c r="C1863" s="1"/>
      <c r="D1863" s="1"/>
      <c r="E1863" s="1"/>
      <c r="F1863" s="1"/>
      <c r="G1863" s="1"/>
      <c r="H1863" s="1"/>
      <c r="I1863" s="1"/>
      <c r="J1863" s="1"/>
      <c r="K1863" s="102" t="s">
        <v>3526</v>
      </c>
      <c r="L1863" s="102" t="str">
        <f>G37</f>
        <v>J1a2a1a~</v>
      </c>
      <c r="M1863" s="102" t="s">
        <v>3527</v>
      </c>
      <c r="N1863" s="102" t="s">
        <v>3525</v>
      </c>
      <c r="O1863" s="105">
        <v>1.6362484E7</v>
      </c>
      <c r="P1863" s="105">
        <v>1.4250604E7</v>
      </c>
      <c r="Q1863" s="102" t="s">
        <v>2439</v>
      </c>
      <c r="S1863" s="1"/>
      <c r="T1863" s="1"/>
      <c r="U1863" s="1"/>
      <c r="V1863" s="1"/>
      <c r="W1863" s="1"/>
      <c r="X1863" s="1"/>
      <c r="Y1863" s="1"/>
      <c r="Z1863" s="102"/>
      <c r="AA1863" s="102"/>
      <c r="AB1863" s="1"/>
      <c r="AC1863" s="1"/>
      <c r="AD1863" s="1"/>
      <c r="AE1863" s="1"/>
      <c r="AF1863" s="1"/>
      <c r="AG1863" s="1"/>
    </row>
    <row r="1864" ht="15.75" customHeight="1">
      <c r="A1864" s="1"/>
      <c r="B1864" s="1"/>
      <c r="C1864" s="1"/>
      <c r="D1864" s="1"/>
      <c r="E1864" s="1"/>
      <c r="F1864" s="1"/>
      <c r="G1864" s="1"/>
      <c r="H1864" s="1"/>
      <c r="I1864" s="1"/>
      <c r="J1864" s="1"/>
      <c r="K1864" s="102" t="s">
        <v>3528</v>
      </c>
      <c r="L1864" s="102" t="str">
        <f>G37</f>
        <v>J1a2a1a~</v>
      </c>
      <c r="M1864" s="102" t="s">
        <v>3529</v>
      </c>
      <c r="N1864" s="102" t="s">
        <v>3525</v>
      </c>
      <c r="O1864" s="105">
        <v>1.6362484E7</v>
      </c>
      <c r="P1864" s="105">
        <v>1.4250604E7</v>
      </c>
      <c r="Q1864" s="102" t="s">
        <v>2439</v>
      </c>
      <c r="S1864" s="1"/>
      <c r="T1864" s="1"/>
      <c r="U1864" s="1"/>
      <c r="V1864" s="1"/>
      <c r="W1864" s="1"/>
      <c r="X1864" s="1"/>
      <c r="Y1864" s="1"/>
      <c r="Z1864" s="102"/>
      <c r="AA1864" s="102"/>
      <c r="AB1864" s="1"/>
      <c r="AC1864" s="1"/>
      <c r="AD1864" s="1"/>
      <c r="AE1864" s="1"/>
      <c r="AF1864" s="1"/>
      <c r="AG1864" s="1"/>
    </row>
    <row r="1865" ht="15.75" customHeight="1">
      <c r="A1865" s="1"/>
      <c r="B1865" s="1"/>
      <c r="C1865" s="1"/>
      <c r="D1865" s="1"/>
      <c r="E1865" s="1"/>
      <c r="F1865" s="1"/>
      <c r="G1865" s="1"/>
      <c r="H1865" s="1"/>
      <c r="I1865" s="1"/>
      <c r="J1865" s="1"/>
      <c r="K1865" s="102" t="s">
        <v>3530</v>
      </c>
      <c r="L1865" s="102" t="str">
        <f>G37</f>
        <v>J1a2a1a~</v>
      </c>
      <c r="M1865" s="102" t="s">
        <v>3531</v>
      </c>
      <c r="N1865" s="102" t="s">
        <v>3525</v>
      </c>
      <c r="O1865" s="105">
        <v>1.6362484E7</v>
      </c>
      <c r="P1865" s="105">
        <v>1.4250604E7</v>
      </c>
      <c r="Q1865" s="102" t="s">
        <v>2439</v>
      </c>
      <c r="S1865" s="1"/>
      <c r="T1865" s="1"/>
      <c r="U1865" s="1"/>
      <c r="V1865" s="1"/>
      <c r="W1865" s="1"/>
      <c r="X1865" s="1"/>
      <c r="Y1865" s="1"/>
      <c r="Z1865" s="102"/>
      <c r="AA1865" s="102"/>
      <c r="AB1865" s="1"/>
      <c r="AC1865" s="1"/>
      <c r="AD1865" s="1"/>
      <c r="AE1865" s="1"/>
      <c r="AF1865" s="1"/>
      <c r="AG1865" s="1"/>
    </row>
    <row r="1866" ht="15.75" customHeight="1">
      <c r="A1866" s="1"/>
      <c r="B1866" s="1"/>
      <c r="C1866" s="1"/>
      <c r="D1866" s="1"/>
      <c r="E1866" s="1"/>
      <c r="F1866" s="1"/>
      <c r="G1866" s="1"/>
      <c r="H1866" s="1"/>
      <c r="I1866" s="1"/>
      <c r="J1866" s="1"/>
      <c r="K1866" s="102" t="s">
        <v>3532</v>
      </c>
      <c r="L1866" s="102" t="str">
        <f>G37</f>
        <v>J1a2a1a~</v>
      </c>
      <c r="M1866" s="102" t="s">
        <v>3533</v>
      </c>
      <c r="N1866" s="102" t="s">
        <v>3534</v>
      </c>
      <c r="O1866" s="105">
        <v>1.7789953E7</v>
      </c>
      <c r="P1866" s="105">
        <v>1.5678073E7</v>
      </c>
      <c r="Q1866" s="102" t="s">
        <v>2529</v>
      </c>
      <c r="S1866" s="1"/>
      <c r="T1866" s="1"/>
      <c r="U1866" s="1"/>
      <c r="V1866" s="1"/>
      <c r="W1866" s="1"/>
      <c r="X1866" s="1"/>
      <c r="Y1866" s="1"/>
      <c r="Z1866" s="102"/>
      <c r="AA1866" s="102"/>
      <c r="AB1866" s="1"/>
      <c r="AC1866" s="1"/>
      <c r="AD1866" s="1"/>
      <c r="AE1866" s="1"/>
      <c r="AF1866" s="1"/>
      <c r="AG1866" s="1"/>
    </row>
    <row r="1867" ht="15.75" customHeight="1">
      <c r="A1867" s="1"/>
      <c r="B1867" s="1"/>
      <c r="C1867" s="1"/>
      <c r="D1867" s="1"/>
      <c r="E1867" s="1"/>
      <c r="F1867" s="1"/>
      <c r="G1867" s="1"/>
      <c r="H1867" s="1"/>
      <c r="I1867" s="1"/>
      <c r="J1867" s="1"/>
      <c r="K1867" s="102" t="s">
        <v>3535</v>
      </c>
      <c r="L1867" s="102" t="str">
        <f>G37</f>
        <v>J1a2a1a~</v>
      </c>
      <c r="M1867" s="102" t="s">
        <v>3536</v>
      </c>
      <c r="N1867" s="102" t="s">
        <v>3534</v>
      </c>
      <c r="O1867" s="105">
        <v>1.7789953E7</v>
      </c>
      <c r="P1867" s="105">
        <v>1.5678073E7</v>
      </c>
      <c r="Q1867" s="102" t="s">
        <v>2529</v>
      </c>
      <c r="S1867" s="1"/>
      <c r="T1867" s="1"/>
      <c r="U1867" s="1"/>
      <c r="V1867" s="1"/>
      <c r="W1867" s="1"/>
      <c r="X1867" s="1"/>
      <c r="Y1867" s="1"/>
      <c r="Z1867" s="102"/>
      <c r="AA1867" s="102"/>
      <c r="AB1867" s="1"/>
      <c r="AC1867" s="1"/>
      <c r="AD1867" s="1"/>
      <c r="AE1867" s="1"/>
      <c r="AF1867" s="1"/>
      <c r="AG1867" s="1"/>
    </row>
    <row r="1868" ht="15.75" customHeight="1">
      <c r="A1868" s="1"/>
      <c r="B1868" s="1"/>
      <c r="C1868" s="1"/>
      <c r="D1868" s="1"/>
      <c r="E1868" s="1"/>
      <c r="F1868" s="1"/>
      <c r="G1868" s="1"/>
      <c r="H1868" s="1"/>
      <c r="I1868" s="1"/>
      <c r="J1868" s="1"/>
      <c r="K1868" s="102" t="s">
        <v>3537</v>
      </c>
      <c r="L1868" s="102" t="str">
        <f>G37</f>
        <v>J1a2a1a~</v>
      </c>
      <c r="M1868" s="102" t="s">
        <v>3538</v>
      </c>
      <c r="N1868" s="102" t="s">
        <v>3534</v>
      </c>
      <c r="O1868" s="105">
        <v>1.7789953E7</v>
      </c>
      <c r="P1868" s="105">
        <v>1.5678073E7</v>
      </c>
      <c r="Q1868" s="102" t="s">
        <v>2529</v>
      </c>
      <c r="S1868" s="1"/>
      <c r="T1868" s="1"/>
      <c r="U1868" s="1"/>
      <c r="V1868" s="1"/>
      <c r="W1868" s="1"/>
      <c r="X1868" s="1"/>
      <c r="Y1868" s="1"/>
      <c r="Z1868" s="102"/>
      <c r="AA1868" s="102"/>
      <c r="AB1868" s="1"/>
      <c r="AC1868" s="1"/>
      <c r="AD1868" s="1"/>
      <c r="AE1868" s="1"/>
      <c r="AF1868" s="1"/>
      <c r="AG1868" s="1"/>
    </row>
    <row r="1869" ht="15.75" customHeight="1">
      <c r="A1869" s="1"/>
      <c r="B1869" s="1"/>
      <c r="C1869" s="1"/>
      <c r="D1869" s="1"/>
      <c r="E1869" s="1"/>
      <c r="F1869" s="1"/>
      <c r="G1869" s="1"/>
      <c r="H1869" s="1"/>
      <c r="I1869" s="1"/>
      <c r="J1869" s="1"/>
      <c r="K1869" s="102" t="s">
        <v>3539</v>
      </c>
      <c r="L1869" s="102" t="str">
        <f>G37</f>
        <v>J1a2a1a~</v>
      </c>
      <c r="M1869" s="102" t="s">
        <v>3540</v>
      </c>
      <c r="N1869" s="102" t="s">
        <v>3534</v>
      </c>
      <c r="O1869" s="105">
        <v>1.7789953E7</v>
      </c>
      <c r="P1869" s="105">
        <v>1.5678073E7</v>
      </c>
      <c r="Q1869" s="102" t="s">
        <v>2529</v>
      </c>
      <c r="S1869" s="1"/>
      <c r="T1869" s="1"/>
      <c r="U1869" s="1"/>
      <c r="V1869" s="1"/>
      <c r="W1869" s="1"/>
      <c r="X1869" s="1"/>
      <c r="Y1869" s="1"/>
      <c r="Z1869" s="102"/>
      <c r="AA1869" s="102"/>
      <c r="AB1869" s="1"/>
      <c r="AC1869" s="1"/>
      <c r="AD1869" s="1"/>
      <c r="AE1869" s="1"/>
      <c r="AF1869" s="1"/>
      <c r="AG1869" s="1"/>
    </row>
    <row r="1870" ht="15.75" customHeight="1">
      <c r="A1870" s="1"/>
      <c r="B1870" s="1"/>
      <c r="C1870" s="1"/>
      <c r="D1870" s="1"/>
      <c r="E1870" s="1"/>
      <c r="F1870" s="1"/>
      <c r="G1870" s="1"/>
      <c r="H1870" s="1"/>
      <c r="I1870" s="1"/>
      <c r="J1870" s="1"/>
      <c r="K1870" s="102" t="s">
        <v>3541</v>
      </c>
      <c r="L1870" s="102" t="str">
        <f>G37</f>
        <v>J1a2a1a~</v>
      </c>
      <c r="M1870" s="102" t="s">
        <v>3542</v>
      </c>
      <c r="N1870" s="102" t="s">
        <v>3543</v>
      </c>
      <c r="O1870" s="105">
        <v>1.905875E7</v>
      </c>
      <c r="P1870" s="105">
        <v>1.694687E7</v>
      </c>
      <c r="Q1870" s="102" t="s">
        <v>2501</v>
      </c>
      <c r="S1870" s="1"/>
      <c r="T1870" s="1"/>
      <c r="U1870" s="1"/>
      <c r="V1870" s="1"/>
      <c r="W1870" s="1"/>
      <c r="X1870" s="1"/>
      <c r="Y1870" s="1"/>
      <c r="Z1870" s="102"/>
      <c r="AA1870" s="102"/>
      <c r="AB1870" s="1"/>
      <c r="AC1870" s="1"/>
      <c r="AD1870" s="1"/>
      <c r="AE1870" s="1"/>
      <c r="AF1870" s="1"/>
      <c r="AG1870" s="1"/>
    </row>
    <row r="1871" ht="15.75" customHeight="1">
      <c r="A1871" s="1"/>
      <c r="B1871" s="1"/>
      <c r="C1871" s="1"/>
      <c r="D1871" s="1"/>
      <c r="E1871" s="1"/>
      <c r="F1871" s="1"/>
      <c r="G1871" s="1"/>
      <c r="H1871" s="1"/>
      <c r="I1871" s="1"/>
      <c r="J1871" s="1"/>
      <c r="K1871" s="102" t="s">
        <v>3544</v>
      </c>
      <c r="L1871" s="102" t="str">
        <f>G37</f>
        <v>J1a2a1a~</v>
      </c>
      <c r="M1871" s="102" t="s">
        <v>3545</v>
      </c>
      <c r="N1871" s="102" t="s">
        <v>3543</v>
      </c>
      <c r="O1871" s="105">
        <v>1.905875E7</v>
      </c>
      <c r="P1871" s="105">
        <v>1.694687E7</v>
      </c>
      <c r="Q1871" s="102" t="s">
        <v>2501</v>
      </c>
      <c r="S1871" s="1"/>
      <c r="T1871" s="1"/>
      <c r="U1871" s="1"/>
      <c r="V1871" s="1"/>
      <c r="W1871" s="1"/>
      <c r="X1871" s="1"/>
      <c r="Y1871" s="1"/>
      <c r="Z1871" s="102"/>
      <c r="AA1871" s="102"/>
      <c r="AB1871" s="1"/>
      <c r="AC1871" s="1"/>
      <c r="AD1871" s="1"/>
      <c r="AE1871" s="1"/>
      <c r="AF1871" s="1"/>
      <c r="AG1871" s="1"/>
    </row>
    <row r="1872" ht="15.75" customHeight="1">
      <c r="A1872" s="1"/>
      <c r="B1872" s="1"/>
      <c r="C1872" s="1"/>
      <c r="D1872" s="1"/>
      <c r="E1872" s="1"/>
      <c r="F1872" s="1"/>
      <c r="G1872" s="1"/>
      <c r="H1872" s="1"/>
      <c r="I1872" s="1"/>
      <c r="J1872" s="1"/>
      <c r="K1872" s="102" t="s">
        <v>3546</v>
      </c>
      <c r="L1872" s="102" t="str">
        <f>G37</f>
        <v>J1a2a1a~</v>
      </c>
      <c r="M1872" s="102" t="s">
        <v>3547</v>
      </c>
      <c r="N1872" s="102" t="s">
        <v>3543</v>
      </c>
      <c r="O1872" s="105">
        <v>1.905875E7</v>
      </c>
      <c r="P1872" s="105">
        <v>1.694687E7</v>
      </c>
      <c r="Q1872" s="102" t="s">
        <v>2501</v>
      </c>
      <c r="S1872" s="1"/>
      <c r="T1872" s="1"/>
      <c r="U1872" s="1"/>
      <c r="V1872" s="1"/>
      <c r="W1872" s="1"/>
      <c r="X1872" s="1"/>
      <c r="Y1872" s="1"/>
      <c r="Z1872" s="102"/>
      <c r="AA1872" s="102"/>
      <c r="AB1872" s="1"/>
      <c r="AC1872" s="1"/>
      <c r="AD1872" s="1"/>
      <c r="AE1872" s="1"/>
      <c r="AF1872" s="1"/>
      <c r="AG1872" s="1"/>
    </row>
    <row r="1873" ht="15.75" customHeight="1">
      <c r="A1873" s="1"/>
      <c r="B1873" s="1"/>
      <c r="C1873" s="1"/>
      <c r="D1873" s="1"/>
      <c r="E1873" s="1"/>
      <c r="F1873" s="1"/>
      <c r="G1873" s="1"/>
      <c r="H1873" s="1"/>
      <c r="I1873" s="1"/>
      <c r="J1873" s="1"/>
      <c r="K1873" s="102" t="s">
        <v>3548</v>
      </c>
      <c r="L1873" s="102" t="str">
        <f>G37</f>
        <v>J1a2a1a~</v>
      </c>
      <c r="M1873" s="102" t="s">
        <v>3549</v>
      </c>
      <c r="N1873" s="102" t="s">
        <v>3543</v>
      </c>
      <c r="O1873" s="105">
        <v>1.905875E7</v>
      </c>
      <c r="P1873" s="105">
        <v>1.694687E7</v>
      </c>
      <c r="Q1873" s="102" t="s">
        <v>2501</v>
      </c>
      <c r="S1873" s="1"/>
      <c r="T1873" s="1"/>
      <c r="U1873" s="1"/>
      <c r="V1873" s="1"/>
      <c r="W1873" s="1"/>
      <c r="X1873" s="1"/>
      <c r="Y1873" s="1"/>
      <c r="Z1873" s="102"/>
      <c r="AA1873" s="102"/>
      <c r="AB1873" s="1"/>
      <c r="AC1873" s="1"/>
      <c r="AD1873" s="1"/>
      <c r="AE1873" s="1"/>
      <c r="AF1873" s="1"/>
      <c r="AG1873" s="1"/>
    </row>
    <row r="1874" ht="15.75" customHeight="1">
      <c r="A1874" s="1"/>
      <c r="B1874" s="1"/>
      <c r="C1874" s="1"/>
      <c r="D1874" s="1"/>
      <c r="E1874" s="1"/>
      <c r="F1874" s="1"/>
      <c r="G1874" s="1"/>
      <c r="H1874" s="1"/>
      <c r="I1874" s="1"/>
      <c r="J1874" s="1"/>
      <c r="K1874" s="102" t="s">
        <v>3550</v>
      </c>
      <c r="L1874" s="102" t="str">
        <f>G37</f>
        <v>J1a2a1a~</v>
      </c>
      <c r="M1874" s="102"/>
      <c r="N1874" s="102" t="s">
        <v>3551</v>
      </c>
      <c r="O1874" s="105">
        <v>7775111.0</v>
      </c>
      <c r="P1874" s="105">
        <v>7907070.0</v>
      </c>
      <c r="Q1874" s="102" t="s">
        <v>2454</v>
      </c>
      <c r="S1874" s="1"/>
      <c r="T1874" s="1"/>
      <c r="U1874" s="1"/>
      <c r="V1874" s="1"/>
      <c r="W1874" s="1"/>
      <c r="X1874" s="1"/>
      <c r="Y1874" s="1"/>
      <c r="Z1874" s="102"/>
      <c r="AA1874" s="102"/>
      <c r="AB1874" s="1"/>
      <c r="AC1874" s="1"/>
      <c r="AD1874" s="1"/>
      <c r="AE1874" s="1"/>
      <c r="AF1874" s="1"/>
      <c r="AG1874" s="1"/>
    </row>
    <row r="1875" ht="15.75" customHeight="1">
      <c r="A1875" s="1"/>
      <c r="B1875" s="1"/>
      <c r="C1875" s="1"/>
      <c r="D1875" s="1"/>
      <c r="E1875" s="1"/>
      <c r="F1875" s="1"/>
      <c r="G1875" s="1"/>
      <c r="H1875" s="1"/>
      <c r="I1875" s="1"/>
      <c r="J1875" s="1"/>
      <c r="K1875" s="102" t="s">
        <v>3552</v>
      </c>
      <c r="L1875" s="102" t="str">
        <f>G37</f>
        <v>J1a2a1a~</v>
      </c>
      <c r="M1875" s="102" t="s">
        <v>3553</v>
      </c>
      <c r="N1875" s="102" t="s">
        <v>3554</v>
      </c>
      <c r="O1875" s="105">
        <v>1.3679679E7</v>
      </c>
      <c r="P1875" s="105">
        <v>1.1524003E7</v>
      </c>
      <c r="Q1875" s="102" t="s">
        <v>2439</v>
      </c>
      <c r="S1875" s="1"/>
      <c r="T1875" s="1"/>
      <c r="U1875" s="1"/>
      <c r="V1875" s="1"/>
      <c r="W1875" s="1"/>
      <c r="X1875" s="1"/>
      <c r="Y1875" s="1"/>
      <c r="Z1875" s="102">
        <v>1.3679679E7</v>
      </c>
      <c r="AA1875" s="102"/>
      <c r="AB1875" s="1"/>
      <c r="AC1875" s="1"/>
      <c r="AD1875" s="1"/>
      <c r="AE1875" s="1"/>
      <c r="AF1875" s="1"/>
      <c r="AG1875" s="1"/>
    </row>
    <row r="1876" ht="15.75" customHeight="1">
      <c r="A1876" s="1"/>
      <c r="B1876" s="1"/>
      <c r="C1876" s="1"/>
      <c r="D1876" s="1"/>
      <c r="E1876" s="1"/>
      <c r="F1876" s="1"/>
      <c r="G1876" s="1"/>
      <c r="H1876" s="1"/>
      <c r="I1876" s="1"/>
      <c r="J1876" s="1"/>
      <c r="K1876" s="102" t="s">
        <v>3553</v>
      </c>
      <c r="L1876" s="102" t="str">
        <f>G37</f>
        <v>J1a2a1a~</v>
      </c>
      <c r="M1876" s="102" t="s">
        <v>3552</v>
      </c>
      <c r="N1876" s="102" t="s">
        <v>3554</v>
      </c>
      <c r="O1876" s="105">
        <v>1.3679679E7</v>
      </c>
      <c r="P1876" s="105">
        <v>1.1524003E7</v>
      </c>
      <c r="Q1876" s="102" t="s">
        <v>2439</v>
      </c>
      <c r="S1876" s="1"/>
      <c r="T1876" s="1"/>
      <c r="U1876" s="1"/>
      <c r="V1876" s="1"/>
      <c r="W1876" s="1"/>
      <c r="X1876" s="1"/>
      <c r="Y1876" s="1"/>
      <c r="Z1876" s="102"/>
      <c r="AA1876" s="102"/>
      <c r="AB1876" s="1"/>
      <c r="AC1876" s="1"/>
      <c r="AD1876" s="1"/>
      <c r="AE1876" s="1"/>
      <c r="AF1876" s="1"/>
      <c r="AG1876" s="1"/>
    </row>
    <row r="1877" ht="15.75" customHeight="1">
      <c r="A1877" s="1"/>
      <c r="B1877" s="1"/>
      <c r="C1877" s="1"/>
      <c r="D1877" s="1"/>
      <c r="E1877" s="1"/>
      <c r="F1877" s="1"/>
      <c r="G1877" s="1"/>
      <c r="H1877" s="1"/>
      <c r="I1877" s="1"/>
      <c r="J1877" s="1"/>
      <c r="K1877" s="102" t="s">
        <v>3555</v>
      </c>
      <c r="L1877" s="102" t="str">
        <f>G37</f>
        <v>J1a2a1a~</v>
      </c>
      <c r="M1877" s="102"/>
      <c r="N1877" s="102" t="s">
        <v>3556</v>
      </c>
      <c r="O1877" s="105">
        <v>9807066.0</v>
      </c>
      <c r="P1877" s="105">
        <v>9969457.0</v>
      </c>
      <c r="Q1877" s="102" t="s">
        <v>2446</v>
      </c>
      <c r="S1877" s="1"/>
      <c r="T1877" s="1"/>
      <c r="U1877" s="1"/>
      <c r="V1877" s="1"/>
      <c r="W1877" s="1"/>
      <c r="X1877" s="1"/>
      <c r="Y1877" s="1"/>
      <c r="Z1877" s="102"/>
      <c r="AA1877" s="102"/>
      <c r="AB1877" s="1"/>
      <c r="AC1877" s="1"/>
      <c r="AD1877" s="1"/>
      <c r="AE1877" s="1"/>
      <c r="AF1877" s="1"/>
      <c r="AG1877" s="1"/>
    </row>
    <row r="1878" ht="15.75" customHeight="1">
      <c r="A1878" s="1"/>
      <c r="B1878" s="1"/>
      <c r="C1878" s="1"/>
      <c r="D1878" s="1"/>
      <c r="E1878" s="1"/>
      <c r="F1878" s="1"/>
      <c r="G1878" s="1"/>
      <c r="H1878" s="1"/>
      <c r="I1878" s="1"/>
      <c r="J1878" s="1"/>
      <c r="K1878" s="102" t="s">
        <v>3557</v>
      </c>
      <c r="L1878" s="102" t="str">
        <f>H38</f>
        <v>J1a2a1a1~</v>
      </c>
      <c r="M1878" s="102"/>
      <c r="N1878" s="102" t="s">
        <v>3558</v>
      </c>
      <c r="O1878" s="105">
        <v>7842079.0</v>
      </c>
      <c r="P1878" s="105">
        <v>7974038.0</v>
      </c>
      <c r="Q1878" s="102" t="s">
        <v>2514</v>
      </c>
      <c r="S1878" s="1"/>
      <c r="T1878" s="1"/>
      <c r="U1878" s="1"/>
      <c r="V1878" s="1"/>
      <c r="W1878" s="1"/>
      <c r="X1878" s="1"/>
      <c r="Y1878" s="1"/>
      <c r="Z1878" s="102"/>
      <c r="AA1878" s="102"/>
      <c r="AB1878" s="1"/>
      <c r="AC1878" s="1"/>
      <c r="AD1878" s="1"/>
      <c r="AE1878" s="1"/>
      <c r="AF1878" s="1"/>
      <c r="AG1878" s="1"/>
    </row>
    <row r="1879" ht="15.75" customHeight="1">
      <c r="A1879" s="1"/>
      <c r="B1879" s="1"/>
      <c r="C1879" s="1"/>
      <c r="D1879" s="1"/>
      <c r="E1879" s="1"/>
      <c r="F1879" s="1"/>
      <c r="G1879" s="1"/>
      <c r="H1879" s="1"/>
      <c r="I1879" s="1"/>
      <c r="J1879" s="1"/>
      <c r="K1879" s="102" t="s">
        <v>3559</v>
      </c>
      <c r="L1879" s="102" t="str">
        <f>H38</f>
        <v>J1a2a1a1~</v>
      </c>
      <c r="M1879" s="102"/>
      <c r="N1879" s="102"/>
      <c r="O1879" s="105">
        <v>8808041.0</v>
      </c>
      <c r="P1879" s="105">
        <v>8940000.0</v>
      </c>
      <c r="Q1879" s="102" t="s">
        <v>2423</v>
      </c>
      <c r="S1879" s="1"/>
      <c r="T1879" s="1"/>
      <c r="U1879" s="1"/>
      <c r="V1879" s="1"/>
      <c r="W1879" s="1"/>
      <c r="X1879" s="1"/>
      <c r="Y1879" s="1"/>
      <c r="Z1879" s="102"/>
      <c r="AA1879" s="102"/>
      <c r="AB1879" s="1"/>
      <c r="AC1879" s="1"/>
      <c r="AD1879" s="1"/>
      <c r="AE1879" s="1"/>
      <c r="AF1879" s="1"/>
      <c r="AG1879" s="1"/>
    </row>
    <row r="1880" ht="15.75" customHeight="1">
      <c r="A1880" s="1"/>
      <c r="B1880" s="1"/>
      <c r="C1880" s="1"/>
      <c r="D1880" s="1"/>
      <c r="E1880" s="1"/>
      <c r="F1880" s="1"/>
      <c r="G1880" s="1"/>
      <c r="H1880" s="1"/>
      <c r="I1880" s="1"/>
      <c r="J1880" s="1"/>
      <c r="K1880" s="102" t="s">
        <v>46</v>
      </c>
      <c r="L1880" s="102" t="str">
        <f t="shared" ref="L1880:L1881" si="3">I39</f>
        <v>J1a2a1a1a</v>
      </c>
      <c r="M1880" s="102"/>
      <c r="N1880" s="102"/>
      <c r="O1880" s="105">
        <v>1.4487338E7</v>
      </c>
      <c r="P1880" s="105">
        <v>1.2366607E7</v>
      </c>
      <c r="Q1880" s="102" t="s">
        <v>2468</v>
      </c>
      <c r="S1880" s="1"/>
      <c r="T1880" s="1"/>
      <c r="U1880" s="1"/>
      <c r="V1880" s="1"/>
      <c r="W1880" s="1"/>
      <c r="X1880" s="1"/>
      <c r="Y1880" s="1"/>
      <c r="Z1880" s="102"/>
      <c r="AA1880" s="102"/>
      <c r="AB1880" s="1"/>
      <c r="AC1880" s="1"/>
      <c r="AD1880" s="1"/>
      <c r="AE1880" s="1"/>
      <c r="AF1880" s="1"/>
      <c r="AG1880" s="1"/>
    </row>
    <row r="1881" ht="15.75" customHeight="1">
      <c r="A1881" s="1"/>
      <c r="B1881" s="1"/>
      <c r="C1881" s="1"/>
      <c r="D1881" s="1"/>
      <c r="E1881" s="1"/>
      <c r="F1881" s="1"/>
      <c r="G1881" s="1"/>
      <c r="H1881" s="1"/>
      <c r="I1881" s="1"/>
      <c r="J1881" s="1"/>
      <c r="K1881" s="102" t="s">
        <v>3560</v>
      </c>
      <c r="L1881" s="102" t="str">
        <f t="shared" si="3"/>
        <v>J1a2a1a1a~</v>
      </c>
      <c r="M1881" s="102"/>
      <c r="N1881" s="102" t="s">
        <v>3561</v>
      </c>
      <c r="O1881" s="105">
        <v>6753376.0</v>
      </c>
      <c r="P1881" s="105">
        <v>6885335.0</v>
      </c>
      <c r="Q1881" s="102" t="s">
        <v>2501</v>
      </c>
      <c r="S1881" s="1"/>
      <c r="T1881" s="1"/>
      <c r="U1881" s="1"/>
      <c r="V1881" s="1"/>
      <c r="W1881" s="1"/>
      <c r="X1881" s="1"/>
      <c r="Y1881" s="1"/>
      <c r="Z1881" s="102"/>
      <c r="AA1881" s="102"/>
      <c r="AB1881" s="1"/>
      <c r="AC1881" s="1"/>
      <c r="AD1881" s="1"/>
      <c r="AE1881" s="1"/>
      <c r="AF1881" s="1"/>
      <c r="AG1881" s="1"/>
    </row>
    <row r="1882" ht="15.75" customHeight="1">
      <c r="A1882" s="1"/>
      <c r="B1882" s="1"/>
      <c r="C1882" s="1"/>
      <c r="D1882" s="1"/>
      <c r="E1882" s="1"/>
      <c r="F1882" s="1"/>
      <c r="G1882" s="1"/>
      <c r="H1882" s="1"/>
      <c r="I1882" s="1"/>
      <c r="J1882" s="1"/>
      <c r="K1882" s="102" t="s">
        <v>3562</v>
      </c>
      <c r="L1882" s="102" t="str">
        <f>I40</f>
        <v>J1a2a1a1a~</v>
      </c>
      <c r="M1882" s="102" t="s">
        <v>3563</v>
      </c>
      <c r="N1882" s="102" t="s">
        <v>3564</v>
      </c>
      <c r="O1882" s="105">
        <v>6753384.0</v>
      </c>
      <c r="P1882" s="105">
        <v>6885343.0</v>
      </c>
      <c r="Q1882" s="102" t="s">
        <v>2529</v>
      </c>
      <c r="S1882" s="1"/>
      <c r="T1882" s="1"/>
      <c r="U1882" s="1"/>
      <c r="V1882" s="1"/>
      <c r="W1882" s="1"/>
      <c r="X1882" s="1"/>
      <c r="Y1882" s="1"/>
      <c r="Z1882" s="102"/>
      <c r="AA1882" s="102"/>
      <c r="AB1882" s="1"/>
      <c r="AC1882" s="1"/>
      <c r="AD1882" s="1"/>
      <c r="AE1882" s="1"/>
      <c r="AF1882" s="1"/>
      <c r="AG1882" s="1"/>
    </row>
    <row r="1883" ht="15.75" customHeight="1">
      <c r="A1883" s="1"/>
      <c r="B1883" s="1"/>
      <c r="C1883" s="1"/>
      <c r="D1883" s="1"/>
      <c r="E1883" s="1"/>
      <c r="F1883" s="1"/>
      <c r="G1883" s="1"/>
      <c r="H1883" s="1"/>
      <c r="I1883" s="1"/>
      <c r="J1883" s="1"/>
      <c r="K1883" s="102" t="s">
        <v>3563</v>
      </c>
      <c r="L1883" s="102" t="str">
        <f>I40</f>
        <v>J1a2a1a1a~</v>
      </c>
      <c r="M1883" s="102" t="s">
        <v>3562</v>
      </c>
      <c r="N1883" s="102" t="s">
        <v>3564</v>
      </c>
      <c r="O1883" s="105">
        <v>6753384.0</v>
      </c>
      <c r="P1883" s="105">
        <v>6885343.0</v>
      </c>
      <c r="Q1883" s="102" t="s">
        <v>2529</v>
      </c>
      <c r="S1883" s="1"/>
      <c r="T1883" s="1"/>
      <c r="U1883" s="1"/>
      <c r="V1883" s="1"/>
      <c r="W1883" s="1"/>
      <c r="X1883" s="1"/>
      <c r="Y1883" s="1"/>
      <c r="Z1883" s="102"/>
      <c r="AA1883" s="102"/>
      <c r="AB1883" s="1"/>
      <c r="AC1883" s="1"/>
      <c r="AD1883" s="1"/>
      <c r="AE1883" s="1"/>
      <c r="AF1883" s="1"/>
      <c r="AG1883" s="1"/>
    </row>
    <row r="1884" ht="15.75" customHeight="1">
      <c r="A1884" s="1"/>
      <c r="B1884" s="1"/>
      <c r="C1884" s="1"/>
      <c r="D1884" s="1"/>
      <c r="E1884" s="1"/>
      <c r="F1884" s="1"/>
      <c r="G1884" s="1"/>
      <c r="H1884" s="1"/>
      <c r="I1884" s="1"/>
      <c r="J1884" s="1"/>
      <c r="K1884" s="102" t="s">
        <v>3565</v>
      </c>
      <c r="L1884" s="102" t="str">
        <f>I40</f>
        <v>J1a2a1a1a~</v>
      </c>
      <c r="M1884" s="102"/>
      <c r="N1884" s="102"/>
      <c r="O1884" s="105">
        <v>7084327.0</v>
      </c>
      <c r="P1884" s="105">
        <v>7216286.0</v>
      </c>
      <c r="Q1884" s="102" t="s">
        <v>2563</v>
      </c>
      <c r="S1884" s="1"/>
      <c r="T1884" s="1"/>
      <c r="U1884" s="1"/>
      <c r="V1884" s="1"/>
      <c r="W1884" s="1"/>
      <c r="X1884" s="1"/>
      <c r="Y1884" s="1"/>
      <c r="Z1884" s="102"/>
      <c r="AA1884" s="102"/>
      <c r="AB1884" s="1"/>
      <c r="AC1884" s="1"/>
      <c r="AD1884" s="1"/>
      <c r="AE1884" s="1"/>
      <c r="AF1884" s="1"/>
      <c r="AG1884" s="1"/>
    </row>
    <row r="1885" ht="15.75" customHeight="1">
      <c r="A1885" s="1"/>
      <c r="B1885" s="1"/>
      <c r="C1885" s="1"/>
      <c r="D1885" s="1"/>
      <c r="E1885" s="1"/>
      <c r="F1885" s="1"/>
      <c r="G1885" s="1"/>
      <c r="H1885" s="1"/>
      <c r="I1885" s="1"/>
      <c r="J1885" s="1"/>
      <c r="K1885" s="102" t="s">
        <v>3566</v>
      </c>
      <c r="L1885" s="102" t="str">
        <f>I40</f>
        <v>J1a2a1a1a~</v>
      </c>
      <c r="M1885" s="102"/>
      <c r="N1885" s="102"/>
      <c r="O1885" s="105">
        <v>1.8855611E7</v>
      </c>
      <c r="P1885" s="105">
        <v>1.6743731E7</v>
      </c>
      <c r="Q1885" s="102" t="s">
        <v>2576</v>
      </c>
      <c r="S1885" s="1"/>
      <c r="T1885" s="1"/>
      <c r="U1885" s="1"/>
      <c r="V1885" s="1"/>
      <c r="W1885" s="1"/>
      <c r="X1885" s="1"/>
      <c r="Y1885" s="1"/>
      <c r="Z1885" s="102"/>
      <c r="AA1885" s="102"/>
      <c r="AB1885" s="1"/>
      <c r="AC1885" s="1"/>
      <c r="AD1885" s="1"/>
      <c r="AE1885" s="1"/>
      <c r="AF1885" s="1"/>
      <c r="AG1885" s="1"/>
    </row>
    <row r="1886" ht="15.75" customHeight="1">
      <c r="A1886" s="1"/>
      <c r="B1886" s="1"/>
      <c r="C1886" s="1"/>
      <c r="D1886" s="1"/>
      <c r="E1886" s="1"/>
      <c r="F1886" s="1"/>
      <c r="G1886" s="1"/>
      <c r="H1886" s="1"/>
      <c r="I1886" s="1"/>
      <c r="J1886" s="1"/>
      <c r="K1886" s="102" t="s">
        <v>3567</v>
      </c>
      <c r="L1886" s="102" t="str">
        <f>I40</f>
        <v>J1a2a1a1a~</v>
      </c>
      <c r="M1886" s="102"/>
      <c r="N1886" s="102"/>
      <c r="O1886" s="105">
        <v>6753385.0</v>
      </c>
      <c r="P1886" s="105">
        <v>6885344.0</v>
      </c>
      <c r="Q1886" s="102" t="s">
        <v>2439</v>
      </c>
      <c r="S1886" s="1"/>
      <c r="T1886" s="1"/>
      <c r="U1886" s="1"/>
      <c r="V1886" s="1"/>
      <c r="W1886" s="1"/>
      <c r="X1886" s="1"/>
      <c r="Y1886" s="1"/>
      <c r="Z1886" s="102"/>
      <c r="AA1886" s="102"/>
      <c r="AB1886" s="1"/>
      <c r="AC1886" s="1"/>
      <c r="AD1886" s="1"/>
      <c r="AE1886" s="1"/>
      <c r="AF1886" s="1"/>
      <c r="AG1886" s="1"/>
    </row>
    <row r="1887" ht="15.75" customHeight="1">
      <c r="A1887" s="1"/>
      <c r="B1887" s="1"/>
      <c r="C1887" s="1"/>
      <c r="D1887" s="1"/>
      <c r="E1887" s="1"/>
      <c r="F1887" s="1"/>
      <c r="G1887" s="1"/>
      <c r="H1887" s="1"/>
      <c r="I1887" s="1"/>
      <c r="J1887" s="1"/>
      <c r="K1887" s="102" t="s">
        <v>3568</v>
      </c>
      <c r="L1887" s="102" t="str">
        <f>I40</f>
        <v>J1a2a1a1a~</v>
      </c>
      <c r="M1887" s="102"/>
      <c r="N1887" s="102"/>
      <c r="O1887" s="105">
        <v>7995977.0</v>
      </c>
      <c r="P1887" s="105">
        <v>8127936.0</v>
      </c>
      <c r="Q1887" s="102" t="s">
        <v>2576</v>
      </c>
      <c r="S1887" s="1"/>
      <c r="T1887" s="1"/>
      <c r="U1887" s="1"/>
      <c r="V1887" s="1"/>
      <c r="W1887" s="1"/>
      <c r="X1887" s="1"/>
      <c r="Y1887" s="1"/>
      <c r="Z1887" s="102"/>
      <c r="AA1887" s="102"/>
      <c r="AB1887" s="1"/>
      <c r="AC1887" s="1"/>
      <c r="AD1887" s="1"/>
      <c r="AE1887" s="1"/>
      <c r="AF1887" s="1"/>
      <c r="AG1887" s="1"/>
    </row>
    <row r="1888" ht="15.75" customHeight="1">
      <c r="A1888" s="1"/>
      <c r="B1888" s="1"/>
      <c r="C1888" s="1"/>
      <c r="D1888" s="1"/>
      <c r="E1888" s="1"/>
      <c r="F1888" s="1"/>
      <c r="G1888" s="1"/>
      <c r="H1888" s="1"/>
      <c r="I1888" s="1"/>
      <c r="J1888" s="1"/>
      <c r="K1888" s="102" t="s">
        <v>3569</v>
      </c>
      <c r="L1888" s="102" t="str">
        <f>I40</f>
        <v>J1a2a1a1a~</v>
      </c>
      <c r="M1888" s="102"/>
      <c r="N1888" s="102" t="s">
        <v>3570</v>
      </c>
      <c r="O1888" s="105">
        <v>1.4619772E7</v>
      </c>
      <c r="P1888" s="105">
        <v>1.250797E7</v>
      </c>
      <c r="Q1888" s="102" t="s">
        <v>2529</v>
      </c>
      <c r="S1888" s="1"/>
      <c r="T1888" s="1"/>
      <c r="U1888" s="1"/>
      <c r="V1888" s="1"/>
      <c r="W1888" s="1"/>
      <c r="X1888" s="1"/>
      <c r="Y1888" s="1"/>
      <c r="Z1888" s="102"/>
      <c r="AA1888" s="102"/>
      <c r="AB1888" s="1"/>
      <c r="AC1888" s="1"/>
      <c r="AD1888" s="1"/>
      <c r="AE1888" s="1"/>
      <c r="AF1888" s="1"/>
      <c r="AG1888" s="1"/>
    </row>
    <row r="1889" ht="15.75" customHeight="1">
      <c r="A1889" s="1"/>
      <c r="B1889" s="1"/>
      <c r="C1889" s="1"/>
      <c r="D1889" s="1"/>
      <c r="E1889" s="1"/>
      <c r="F1889" s="1"/>
      <c r="G1889" s="1"/>
      <c r="H1889" s="1"/>
      <c r="I1889" s="1"/>
      <c r="J1889" s="1"/>
      <c r="K1889" s="102" t="s">
        <v>3571</v>
      </c>
      <c r="L1889" s="102" t="str">
        <f>I40</f>
        <v>J1a2a1a1a~</v>
      </c>
      <c r="M1889" s="102"/>
      <c r="N1889" s="102"/>
      <c r="O1889" s="105">
        <v>2.2088725E7</v>
      </c>
      <c r="P1889" s="105">
        <v>1.9926839E7</v>
      </c>
      <c r="Q1889" s="102" t="s">
        <v>2468</v>
      </c>
      <c r="S1889" s="1"/>
      <c r="T1889" s="1"/>
      <c r="U1889" s="1"/>
      <c r="V1889" s="1"/>
      <c r="W1889" s="1"/>
      <c r="X1889" s="1"/>
      <c r="Y1889" s="1"/>
      <c r="Z1889" s="102"/>
      <c r="AA1889" s="102"/>
      <c r="AB1889" s="1"/>
      <c r="AC1889" s="1"/>
      <c r="AD1889" s="1"/>
      <c r="AE1889" s="1"/>
      <c r="AF1889" s="1"/>
      <c r="AG1889" s="1"/>
    </row>
    <row r="1890" ht="15.75" customHeight="1">
      <c r="A1890" s="1"/>
      <c r="B1890" s="1"/>
      <c r="C1890" s="1"/>
      <c r="D1890" s="1"/>
      <c r="E1890" s="1"/>
      <c r="F1890" s="1"/>
      <c r="G1890" s="1"/>
      <c r="H1890" s="1"/>
      <c r="I1890" s="1"/>
      <c r="J1890" s="1"/>
      <c r="K1890" s="102" t="s">
        <v>3572</v>
      </c>
      <c r="L1890" s="102" t="str">
        <f>I40</f>
        <v>J1a2a1a1a~</v>
      </c>
      <c r="M1890" s="102"/>
      <c r="N1890" s="102"/>
      <c r="O1890" s="105">
        <v>2.8698369E7</v>
      </c>
      <c r="P1890" s="105">
        <v>2.6552222E7</v>
      </c>
      <c r="Q1890" s="102" t="s">
        <v>2529</v>
      </c>
      <c r="S1890" s="1"/>
      <c r="T1890" s="1"/>
      <c r="U1890" s="1"/>
      <c r="V1890" s="1"/>
      <c r="W1890" s="1"/>
      <c r="X1890" s="1"/>
      <c r="Y1890" s="1"/>
      <c r="Z1890" s="102"/>
      <c r="AA1890" s="102"/>
      <c r="AB1890" s="1"/>
      <c r="AC1890" s="1"/>
      <c r="AD1890" s="1"/>
      <c r="AE1890" s="1"/>
      <c r="AF1890" s="1"/>
      <c r="AG1890" s="1"/>
    </row>
    <row r="1891" ht="15.75" customHeight="1">
      <c r="A1891" s="1"/>
      <c r="B1891" s="1"/>
      <c r="C1891" s="1"/>
      <c r="D1891" s="1"/>
      <c r="E1891" s="1"/>
      <c r="F1891" s="1"/>
      <c r="G1891" s="1"/>
      <c r="H1891" s="1"/>
      <c r="I1891" s="1"/>
      <c r="J1891" s="1"/>
      <c r="K1891" s="102" t="s">
        <v>3573</v>
      </c>
      <c r="L1891" s="102" t="str">
        <f>I40</f>
        <v>J1a2a1a1a~</v>
      </c>
      <c r="M1891" s="102"/>
      <c r="N1891" s="102" t="s">
        <v>3574</v>
      </c>
      <c r="O1891" s="105">
        <v>1.3852465E7</v>
      </c>
      <c r="P1891" s="105">
        <v>1.1731759E7</v>
      </c>
      <c r="Q1891" s="102" t="s">
        <v>2501</v>
      </c>
      <c r="S1891" s="1"/>
      <c r="T1891" s="1"/>
      <c r="U1891" s="1"/>
      <c r="V1891" s="1"/>
      <c r="W1891" s="1"/>
      <c r="X1891" s="1"/>
      <c r="Y1891" s="1"/>
      <c r="Z1891" s="102">
        <v>1.3852465E7</v>
      </c>
      <c r="AA1891" s="102"/>
      <c r="AB1891" s="1"/>
      <c r="AC1891" s="1"/>
      <c r="AD1891" s="1"/>
      <c r="AE1891" s="1"/>
      <c r="AF1891" s="1"/>
      <c r="AG1891" s="1"/>
    </row>
    <row r="1892" ht="15.75" customHeight="1">
      <c r="A1892" s="1"/>
      <c r="B1892" s="1"/>
      <c r="C1892" s="1"/>
      <c r="D1892" s="1"/>
      <c r="E1892" s="1"/>
      <c r="F1892" s="1"/>
      <c r="G1892" s="1"/>
      <c r="H1892" s="1"/>
      <c r="I1892" s="1"/>
      <c r="J1892" s="1"/>
      <c r="K1892" s="102" t="s">
        <v>3575</v>
      </c>
      <c r="L1892" s="102" t="str">
        <f>I40</f>
        <v>J1a2a1a1a~</v>
      </c>
      <c r="M1892" s="102"/>
      <c r="N1892" s="102"/>
      <c r="O1892" s="105">
        <v>6667892.0</v>
      </c>
      <c r="P1892" s="105">
        <v>6799851.0</v>
      </c>
      <c r="Q1892" s="102" t="s">
        <v>2468</v>
      </c>
      <c r="S1892" s="1"/>
      <c r="T1892" s="1"/>
      <c r="U1892" s="1"/>
      <c r="V1892" s="1"/>
      <c r="W1892" s="1"/>
      <c r="X1892" s="1"/>
      <c r="Y1892" s="1"/>
      <c r="Z1892" s="102"/>
      <c r="AA1892" s="102"/>
      <c r="AB1892" s="1"/>
      <c r="AC1892" s="1"/>
      <c r="AD1892" s="1"/>
      <c r="AE1892" s="1"/>
      <c r="AF1892" s="1"/>
      <c r="AG1892" s="1"/>
    </row>
    <row r="1893" ht="15.75" customHeight="1">
      <c r="A1893" s="1"/>
      <c r="B1893" s="1"/>
      <c r="C1893" s="1"/>
      <c r="D1893" s="1"/>
      <c r="E1893" s="1"/>
      <c r="F1893" s="1"/>
      <c r="G1893" s="1"/>
      <c r="H1893" s="1"/>
      <c r="I1893" s="1"/>
      <c r="J1893" s="1"/>
      <c r="K1893" s="102" t="s">
        <v>3576</v>
      </c>
      <c r="L1893" s="102" t="str">
        <f>I40</f>
        <v>J1a2a1a1a~</v>
      </c>
      <c r="M1893" s="102"/>
      <c r="N1893" s="102" t="s">
        <v>3577</v>
      </c>
      <c r="O1893" s="105">
        <v>6810806.0</v>
      </c>
      <c r="P1893" s="105">
        <v>6942765.0</v>
      </c>
      <c r="Q1893" s="102" t="s">
        <v>2563</v>
      </c>
      <c r="S1893" s="1"/>
      <c r="T1893" s="1"/>
      <c r="U1893" s="1"/>
      <c r="V1893" s="1"/>
      <c r="W1893" s="1"/>
      <c r="X1893" s="1"/>
      <c r="Y1893" s="1"/>
      <c r="Z1893" s="102"/>
      <c r="AA1893" s="102"/>
      <c r="AB1893" s="1"/>
      <c r="AC1893" s="1"/>
      <c r="AD1893" s="1"/>
      <c r="AE1893" s="1"/>
      <c r="AF1893" s="1"/>
      <c r="AG1893" s="1"/>
    </row>
    <row r="1894" ht="15.75" customHeight="1">
      <c r="A1894" s="1"/>
      <c r="B1894" s="1"/>
      <c r="C1894" s="1"/>
      <c r="D1894" s="1"/>
      <c r="E1894" s="1"/>
      <c r="F1894" s="1"/>
      <c r="G1894" s="1"/>
      <c r="H1894" s="1"/>
      <c r="I1894" s="1"/>
      <c r="J1894" s="1"/>
      <c r="K1894" s="102" t="s">
        <v>3578</v>
      </c>
      <c r="L1894" s="102" t="str">
        <f>I40</f>
        <v>J1a2a1a1a~</v>
      </c>
      <c r="M1894" s="102"/>
      <c r="N1894" s="102" t="s">
        <v>3579</v>
      </c>
      <c r="O1894" s="105">
        <v>7315477.0</v>
      </c>
      <c r="P1894" s="105">
        <v>7447436.0</v>
      </c>
      <c r="Q1894" s="102" t="s">
        <v>2439</v>
      </c>
      <c r="S1894" s="1"/>
      <c r="T1894" s="1"/>
      <c r="U1894" s="1"/>
      <c r="V1894" s="1"/>
      <c r="W1894" s="1"/>
      <c r="X1894" s="1"/>
      <c r="Y1894" s="1"/>
      <c r="Z1894" s="102"/>
      <c r="AA1894" s="102"/>
      <c r="AB1894" s="1"/>
      <c r="AC1894" s="1"/>
      <c r="AD1894" s="1"/>
      <c r="AE1894" s="1"/>
      <c r="AF1894" s="1"/>
      <c r="AG1894" s="1"/>
    </row>
    <row r="1895" ht="15.75" customHeight="1">
      <c r="A1895" s="1"/>
      <c r="B1895" s="1"/>
      <c r="C1895" s="1"/>
      <c r="D1895" s="1"/>
      <c r="E1895" s="1"/>
      <c r="F1895" s="1"/>
      <c r="G1895" s="1"/>
      <c r="H1895" s="1"/>
      <c r="I1895" s="1"/>
      <c r="J1895" s="1"/>
      <c r="K1895" s="102" t="s">
        <v>3580</v>
      </c>
      <c r="L1895" s="102" t="str">
        <f>I40</f>
        <v>J1a2a1a1a~</v>
      </c>
      <c r="M1895" s="102"/>
      <c r="N1895" s="102" t="s">
        <v>3581</v>
      </c>
      <c r="O1895" s="105">
        <v>7402599.0</v>
      </c>
      <c r="P1895" s="105">
        <v>7534558.0</v>
      </c>
      <c r="Q1895" s="102" t="s">
        <v>2439</v>
      </c>
      <c r="S1895" s="1"/>
      <c r="T1895" s="1"/>
      <c r="U1895" s="1"/>
      <c r="V1895" s="1"/>
      <c r="W1895" s="1"/>
      <c r="X1895" s="1"/>
      <c r="Y1895" s="1"/>
      <c r="Z1895" s="102"/>
      <c r="AA1895" s="102"/>
      <c r="AB1895" s="1"/>
      <c r="AC1895" s="1"/>
      <c r="AD1895" s="1"/>
      <c r="AE1895" s="1"/>
      <c r="AF1895" s="1"/>
      <c r="AG1895" s="1"/>
    </row>
    <row r="1896" ht="15.75" customHeight="1">
      <c r="A1896" s="1"/>
      <c r="B1896" s="1"/>
      <c r="C1896" s="1"/>
      <c r="D1896" s="1"/>
      <c r="E1896" s="1"/>
      <c r="F1896" s="1"/>
      <c r="G1896" s="1"/>
      <c r="H1896" s="1"/>
      <c r="I1896" s="1"/>
      <c r="J1896" s="1"/>
      <c r="K1896" s="102" t="s">
        <v>3582</v>
      </c>
      <c r="L1896" s="102" t="str">
        <f>I40</f>
        <v>J1a2a1a1a~</v>
      </c>
      <c r="M1896" s="102"/>
      <c r="N1896" s="102"/>
      <c r="O1896" s="105">
        <v>7807864.0</v>
      </c>
      <c r="P1896" s="105">
        <v>7939823.0</v>
      </c>
      <c r="Q1896" s="102" t="s">
        <v>2514</v>
      </c>
      <c r="S1896" s="1"/>
      <c r="T1896" s="1"/>
      <c r="U1896" s="1"/>
      <c r="V1896" s="1"/>
      <c r="W1896" s="1"/>
      <c r="X1896" s="1"/>
      <c r="Y1896" s="1"/>
      <c r="Z1896" s="102"/>
      <c r="AA1896" s="102"/>
      <c r="AB1896" s="1"/>
      <c r="AC1896" s="1"/>
      <c r="AD1896" s="1"/>
      <c r="AE1896" s="1"/>
      <c r="AF1896" s="1"/>
      <c r="AG1896" s="1"/>
    </row>
    <row r="1897" ht="15.75" customHeight="1">
      <c r="A1897" s="1"/>
      <c r="B1897" s="1"/>
      <c r="C1897" s="1"/>
      <c r="D1897" s="1"/>
      <c r="E1897" s="1"/>
      <c r="F1897" s="1"/>
      <c r="G1897" s="1"/>
      <c r="H1897" s="1"/>
      <c r="I1897" s="1"/>
      <c r="J1897" s="1"/>
      <c r="K1897" s="102" t="s">
        <v>3583</v>
      </c>
      <c r="L1897" s="102" t="str">
        <f>I40</f>
        <v>J1a2a1a1a~</v>
      </c>
      <c r="M1897" s="102"/>
      <c r="N1897" s="102" t="s">
        <v>3584</v>
      </c>
      <c r="O1897" s="105">
        <v>7998545.0</v>
      </c>
      <c r="P1897" s="105">
        <v>8130504.0</v>
      </c>
      <c r="Q1897" s="102" t="s">
        <v>2423</v>
      </c>
      <c r="S1897" s="1"/>
      <c r="T1897" s="1"/>
      <c r="U1897" s="1"/>
      <c r="V1897" s="1"/>
      <c r="W1897" s="1"/>
      <c r="X1897" s="1"/>
      <c r="Y1897" s="1"/>
      <c r="Z1897" s="102"/>
      <c r="AA1897" s="102"/>
      <c r="AB1897" s="1"/>
      <c r="AC1897" s="1"/>
      <c r="AD1897" s="1"/>
      <c r="AE1897" s="1"/>
      <c r="AF1897" s="1"/>
      <c r="AG1897" s="1"/>
    </row>
    <row r="1898" ht="15.75" customHeight="1">
      <c r="A1898" s="1"/>
      <c r="B1898" s="1"/>
      <c r="C1898" s="1"/>
      <c r="D1898" s="1"/>
      <c r="E1898" s="1"/>
      <c r="F1898" s="1"/>
      <c r="G1898" s="1"/>
      <c r="H1898" s="1"/>
      <c r="I1898" s="1"/>
      <c r="J1898" s="1"/>
      <c r="K1898" s="102" t="s">
        <v>3585</v>
      </c>
      <c r="L1898" s="102" t="str">
        <f>I40</f>
        <v>J1a2a1a1a~</v>
      </c>
      <c r="M1898" s="102"/>
      <c r="N1898" s="102"/>
      <c r="O1898" s="105">
        <v>8016013.0</v>
      </c>
      <c r="P1898" s="105">
        <v>8147972.0</v>
      </c>
      <c r="Q1898" s="102" t="s">
        <v>2533</v>
      </c>
      <c r="S1898" s="1"/>
      <c r="T1898" s="1"/>
      <c r="U1898" s="1"/>
      <c r="V1898" s="1"/>
      <c r="W1898" s="1"/>
      <c r="X1898" s="1"/>
      <c r="Y1898" s="1"/>
      <c r="Z1898" s="102"/>
      <c r="AA1898" s="102"/>
      <c r="AB1898" s="1"/>
      <c r="AC1898" s="1"/>
      <c r="AD1898" s="1"/>
      <c r="AE1898" s="1"/>
      <c r="AF1898" s="1"/>
      <c r="AG1898" s="1"/>
    </row>
    <row r="1899" ht="15.75" customHeight="1">
      <c r="A1899" s="1"/>
      <c r="B1899" s="1"/>
      <c r="C1899" s="1"/>
      <c r="D1899" s="1"/>
      <c r="E1899" s="1"/>
      <c r="F1899" s="1"/>
      <c r="G1899" s="1"/>
      <c r="H1899" s="1"/>
      <c r="I1899" s="1"/>
      <c r="J1899" s="1"/>
      <c r="K1899" s="102" t="s">
        <v>3586</v>
      </c>
      <c r="L1899" s="102" t="str">
        <f>I40</f>
        <v>J1a2a1a1a~</v>
      </c>
      <c r="M1899" s="102"/>
      <c r="N1899" s="102" t="s">
        <v>3587</v>
      </c>
      <c r="O1899" s="105">
        <v>8121360.0</v>
      </c>
      <c r="P1899" s="105">
        <v>8253319.0</v>
      </c>
      <c r="Q1899" s="102" t="s">
        <v>2529</v>
      </c>
      <c r="S1899" s="1"/>
      <c r="T1899" s="1"/>
      <c r="U1899" s="1"/>
      <c r="V1899" s="1"/>
      <c r="W1899" s="1"/>
      <c r="X1899" s="1"/>
      <c r="Y1899" s="1"/>
      <c r="Z1899" s="102"/>
      <c r="AA1899" s="102"/>
      <c r="AB1899" s="1"/>
      <c r="AC1899" s="1"/>
      <c r="AD1899" s="1"/>
      <c r="AE1899" s="1"/>
      <c r="AF1899" s="1"/>
      <c r="AG1899" s="1"/>
    </row>
    <row r="1900" ht="15.75" customHeight="1">
      <c r="A1900" s="1"/>
      <c r="B1900" s="1"/>
      <c r="C1900" s="1"/>
      <c r="D1900" s="1"/>
      <c r="E1900" s="1"/>
      <c r="F1900" s="1"/>
      <c r="G1900" s="1"/>
      <c r="H1900" s="1"/>
      <c r="I1900" s="1"/>
      <c r="J1900" s="1"/>
      <c r="K1900" s="102" t="s">
        <v>3588</v>
      </c>
      <c r="L1900" s="102" t="str">
        <f>I40</f>
        <v>J1a2a1a1a~</v>
      </c>
      <c r="M1900" s="102"/>
      <c r="N1900" s="102" t="s">
        <v>3589</v>
      </c>
      <c r="O1900" s="105">
        <v>8436792.0</v>
      </c>
      <c r="P1900" s="105">
        <v>8568751.0</v>
      </c>
      <c r="Q1900" s="102" t="s">
        <v>2529</v>
      </c>
      <c r="S1900" s="1"/>
      <c r="T1900" s="1"/>
      <c r="U1900" s="1"/>
      <c r="V1900" s="1"/>
      <c r="W1900" s="1"/>
      <c r="X1900" s="1"/>
      <c r="Y1900" s="1"/>
      <c r="Z1900" s="102"/>
      <c r="AA1900" s="102"/>
      <c r="AB1900" s="1"/>
      <c r="AC1900" s="1"/>
      <c r="AD1900" s="1"/>
      <c r="AE1900" s="1"/>
      <c r="AF1900" s="1"/>
      <c r="AG1900" s="1"/>
    </row>
    <row r="1901" ht="15.75" customHeight="1">
      <c r="A1901" s="1"/>
      <c r="B1901" s="1"/>
      <c r="C1901" s="1"/>
      <c r="D1901" s="1"/>
      <c r="E1901" s="1"/>
      <c r="F1901" s="1"/>
      <c r="G1901" s="1"/>
      <c r="H1901" s="1"/>
      <c r="I1901" s="1"/>
      <c r="J1901" s="1"/>
      <c r="K1901" s="102" t="s">
        <v>3590</v>
      </c>
      <c r="L1901" s="102" t="str">
        <f>I40</f>
        <v>J1a2a1a1a~</v>
      </c>
      <c r="M1901" s="102"/>
      <c r="N1901" s="102"/>
      <c r="O1901" s="105">
        <v>8582505.0</v>
      </c>
      <c r="P1901" s="105">
        <v>8714464.0</v>
      </c>
      <c r="Q1901" s="102" t="s">
        <v>2576</v>
      </c>
      <c r="S1901" s="1"/>
      <c r="T1901" s="1"/>
      <c r="U1901" s="1"/>
      <c r="V1901" s="1"/>
      <c r="W1901" s="1"/>
      <c r="X1901" s="1"/>
      <c r="Y1901" s="1"/>
      <c r="Z1901" s="102"/>
      <c r="AA1901" s="102"/>
      <c r="AB1901" s="1"/>
      <c r="AC1901" s="1"/>
      <c r="AD1901" s="1"/>
      <c r="AE1901" s="1"/>
      <c r="AF1901" s="1"/>
      <c r="AG1901" s="1"/>
    </row>
    <row r="1902" ht="15.75" customHeight="1">
      <c r="A1902" s="1"/>
      <c r="B1902" s="1"/>
      <c r="C1902" s="1"/>
      <c r="D1902" s="1"/>
      <c r="E1902" s="1"/>
      <c r="F1902" s="1"/>
      <c r="G1902" s="1"/>
      <c r="H1902" s="1"/>
      <c r="I1902" s="1"/>
      <c r="J1902" s="1"/>
      <c r="K1902" s="102" t="s">
        <v>3591</v>
      </c>
      <c r="L1902" s="102" t="str">
        <f>I40</f>
        <v>J1a2a1a1a~</v>
      </c>
      <c r="M1902" s="102"/>
      <c r="N1902" s="102"/>
      <c r="O1902" s="105">
        <v>8764586.0</v>
      </c>
      <c r="P1902" s="105">
        <v>8896545.0</v>
      </c>
      <c r="Q1902" s="102" t="s">
        <v>2468</v>
      </c>
      <c r="S1902" s="1"/>
      <c r="T1902" s="1"/>
      <c r="U1902" s="1"/>
      <c r="V1902" s="1"/>
      <c r="W1902" s="1"/>
      <c r="X1902" s="1"/>
      <c r="Y1902" s="1"/>
      <c r="Z1902" s="102"/>
      <c r="AA1902" s="102"/>
      <c r="AB1902" s="1"/>
      <c r="AC1902" s="1"/>
      <c r="AD1902" s="1"/>
      <c r="AE1902" s="1"/>
      <c r="AF1902" s="1"/>
      <c r="AG1902" s="1"/>
    </row>
    <row r="1903" ht="15.75" customHeight="1">
      <c r="A1903" s="1"/>
      <c r="B1903" s="1"/>
      <c r="C1903" s="1"/>
      <c r="D1903" s="1"/>
      <c r="E1903" s="1"/>
      <c r="F1903" s="1"/>
      <c r="G1903" s="1"/>
      <c r="H1903" s="1"/>
      <c r="I1903" s="1"/>
      <c r="J1903" s="1"/>
      <c r="K1903" s="102" t="s">
        <v>3592</v>
      </c>
      <c r="L1903" s="102" t="str">
        <f>I40</f>
        <v>J1a2a1a1a~</v>
      </c>
      <c r="M1903" s="102"/>
      <c r="N1903" s="102"/>
      <c r="O1903" s="105">
        <v>9850068.0</v>
      </c>
      <c r="P1903" s="105">
        <v>1.0012459E7</v>
      </c>
      <c r="Q1903" s="102" t="s">
        <v>2501</v>
      </c>
      <c r="S1903" s="1"/>
      <c r="T1903" s="1"/>
      <c r="U1903" s="1"/>
      <c r="V1903" s="1"/>
      <c r="W1903" s="1"/>
      <c r="X1903" s="1"/>
      <c r="Y1903" s="1"/>
      <c r="Z1903" s="102"/>
      <c r="AA1903" s="102"/>
      <c r="AB1903" s="1"/>
      <c r="AC1903" s="1"/>
      <c r="AD1903" s="1"/>
      <c r="AE1903" s="1"/>
      <c r="AF1903" s="1"/>
      <c r="AG1903" s="1"/>
    </row>
    <row r="1904" ht="15.75" customHeight="1">
      <c r="A1904" s="1"/>
      <c r="B1904" s="1"/>
      <c r="C1904" s="1"/>
      <c r="D1904" s="1"/>
      <c r="E1904" s="1"/>
      <c r="F1904" s="1"/>
      <c r="G1904" s="1"/>
      <c r="H1904" s="1"/>
      <c r="I1904" s="1"/>
      <c r="J1904" s="1"/>
      <c r="K1904" s="102" t="s">
        <v>3593</v>
      </c>
      <c r="L1904" s="102" t="str">
        <f>I40</f>
        <v>J1a2a1a1a~</v>
      </c>
      <c r="M1904" s="102"/>
      <c r="N1904" s="102" t="s">
        <v>3594</v>
      </c>
      <c r="O1904" s="105">
        <v>1.403653E7</v>
      </c>
      <c r="P1904" s="105">
        <v>1.1915824E7</v>
      </c>
      <c r="Q1904" s="102" t="s">
        <v>2439</v>
      </c>
      <c r="S1904" s="1"/>
      <c r="T1904" s="1"/>
      <c r="U1904" s="1"/>
      <c r="V1904" s="1"/>
      <c r="W1904" s="1"/>
      <c r="X1904" s="1"/>
      <c r="Y1904" s="1"/>
      <c r="Z1904" s="102"/>
      <c r="AA1904" s="102"/>
      <c r="AB1904" s="1"/>
      <c r="AC1904" s="1"/>
      <c r="AD1904" s="1"/>
      <c r="AE1904" s="1"/>
      <c r="AF1904" s="1"/>
      <c r="AG1904" s="1"/>
    </row>
    <row r="1905" ht="15.75" customHeight="1">
      <c r="A1905" s="1"/>
      <c r="B1905" s="1"/>
      <c r="C1905" s="1"/>
      <c r="D1905" s="1"/>
      <c r="E1905" s="1"/>
      <c r="F1905" s="1"/>
      <c r="G1905" s="1"/>
      <c r="H1905" s="1"/>
      <c r="I1905" s="1"/>
      <c r="J1905" s="1"/>
      <c r="K1905" s="102" t="s">
        <v>3595</v>
      </c>
      <c r="L1905" s="102" t="str">
        <f>I40</f>
        <v>J1a2a1a1a~</v>
      </c>
      <c r="M1905" s="102"/>
      <c r="N1905" s="102" t="s">
        <v>3596</v>
      </c>
      <c r="O1905" s="105">
        <v>1.4287079E7</v>
      </c>
      <c r="P1905" s="105">
        <v>1.2166373E7</v>
      </c>
      <c r="Q1905" s="102" t="s">
        <v>2514</v>
      </c>
      <c r="S1905" s="1"/>
      <c r="T1905" s="1"/>
      <c r="U1905" s="1"/>
      <c r="V1905" s="1"/>
      <c r="W1905" s="1"/>
      <c r="X1905" s="1"/>
      <c r="Y1905" s="1"/>
      <c r="Z1905" s="102"/>
      <c r="AA1905" s="102"/>
      <c r="AB1905" s="1"/>
      <c r="AC1905" s="1"/>
      <c r="AD1905" s="1"/>
      <c r="AE1905" s="1"/>
      <c r="AF1905" s="1"/>
      <c r="AG1905" s="1"/>
    </row>
    <row r="1906" ht="15.75" customHeight="1">
      <c r="A1906" s="1"/>
      <c r="B1906" s="1"/>
      <c r="C1906" s="1"/>
      <c r="D1906" s="1"/>
      <c r="E1906" s="1"/>
      <c r="F1906" s="1"/>
      <c r="G1906" s="1"/>
      <c r="H1906" s="1"/>
      <c r="I1906" s="1"/>
      <c r="J1906" s="1"/>
      <c r="K1906" s="102" t="s">
        <v>3597</v>
      </c>
      <c r="L1906" s="102" t="str">
        <f>I40</f>
        <v>J1a2a1a1a~</v>
      </c>
      <c r="M1906" s="102"/>
      <c r="N1906" s="102"/>
      <c r="O1906" s="105">
        <v>1.4706572E7</v>
      </c>
      <c r="P1906" s="105">
        <v>1.2594638E7</v>
      </c>
      <c r="Q1906" s="102" t="s">
        <v>2576</v>
      </c>
      <c r="S1906" s="1"/>
      <c r="T1906" s="1"/>
      <c r="U1906" s="1"/>
      <c r="V1906" s="1"/>
      <c r="W1906" s="1"/>
      <c r="X1906" s="1"/>
      <c r="Y1906" s="1"/>
      <c r="Z1906" s="102"/>
      <c r="AA1906" s="102"/>
      <c r="AB1906" s="1"/>
      <c r="AC1906" s="1"/>
      <c r="AD1906" s="1"/>
      <c r="AE1906" s="1"/>
      <c r="AF1906" s="1"/>
      <c r="AG1906" s="1"/>
    </row>
    <row r="1907" ht="15.75" customHeight="1">
      <c r="A1907" s="1"/>
      <c r="B1907" s="1"/>
      <c r="C1907" s="1"/>
      <c r="D1907" s="1"/>
      <c r="E1907" s="1"/>
      <c r="F1907" s="1"/>
      <c r="G1907" s="1"/>
      <c r="H1907" s="1"/>
      <c r="I1907" s="1"/>
      <c r="J1907" s="1"/>
      <c r="K1907" s="102" t="s">
        <v>3598</v>
      </c>
      <c r="L1907" s="102" t="str">
        <f>I40</f>
        <v>J1a2a1a1a~</v>
      </c>
      <c r="M1907" s="102"/>
      <c r="N1907" s="102" t="s">
        <v>3599</v>
      </c>
      <c r="O1907" s="105">
        <v>1.4839674E7</v>
      </c>
      <c r="P1907" s="105">
        <v>1.2727741E7</v>
      </c>
      <c r="Q1907" s="102" t="s">
        <v>2439</v>
      </c>
      <c r="S1907" s="1"/>
      <c r="T1907" s="1"/>
      <c r="U1907" s="1"/>
      <c r="V1907" s="1"/>
      <c r="W1907" s="1"/>
      <c r="X1907" s="1"/>
      <c r="Y1907" s="1"/>
      <c r="Z1907" s="102"/>
      <c r="AA1907" s="102"/>
      <c r="AB1907" s="1"/>
      <c r="AC1907" s="1"/>
      <c r="AD1907" s="1"/>
      <c r="AE1907" s="1"/>
      <c r="AF1907" s="1"/>
      <c r="AG1907" s="1"/>
    </row>
    <row r="1908" ht="15.75" customHeight="1">
      <c r="A1908" s="1"/>
      <c r="B1908" s="1"/>
      <c r="C1908" s="1"/>
      <c r="D1908" s="1"/>
      <c r="E1908" s="1"/>
      <c r="F1908" s="1"/>
      <c r="G1908" s="1"/>
      <c r="H1908" s="1"/>
      <c r="I1908" s="1"/>
      <c r="J1908" s="1"/>
      <c r="K1908" s="102" t="s">
        <v>3600</v>
      </c>
      <c r="L1908" s="102" t="str">
        <f>I40</f>
        <v>J1a2a1a1a~</v>
      </c>
      <c r="M1908" s="102"/>
      <c r="N1908" s="102"/>
      <c r="O1908" s="105">
        <v>1.5025236E7</v>
      </c>
      <c r="P1908" s="105">
        <v>1.2913324E7</v>
      </c>
      <c r="Q1908" s="102" t="s">
        <v>2439</v>
      </c>
      <c r="S1908" s="1"/>
      <c r="T1908" s="1"/>
      <c r="U1908" s="1"/>
      <c r="V1908" s="1"/>
      <c r="W1908" s="1"/>
      <c r="X1908" s="1"/>
      <c r="Y1908" s="1"/>
      <c r="Z1908" s="102"/>
      <c r="AA1908" s="102"/>
      <c r="AB1908" s="1"/>
      <c r="AC1908" s="1"/>
      <c r="AD1908" s="1"/>
      <c r="AE1908" s="1"/>
      <c r="AF1908" s="1"/>
      <c r="AG1908" s="1"/>
    </row>
    <row r="1909" ht="15.75" customHeight="1">
      <c r="A1909" s="1"/>
      <c r="B1909" s="1"/>
      <c r="C1909" s="1"/>
      <c r="D1909" s="1"/>
      <c r="E1909" s="1"/>
      <c r="F1909" s="1"/>
      <c r="G1909" s="1"/>
      <c r="H1909" s="1"/>
      <c r="I1909" s="1"/>
      <c r="J1909" s="1"/>
      <c r="K1909" s="102" t="s">
        <v>3601</v>
      </c>
      <c r="L1909" s="102" t="str">
        <f>I40</f>
        <v>J1a2a1a1a~</v>
      </c>
      <c r="M1909" s="102"/>
      <c r="N1909" s="102"/>
      <c r="O1909" s="105">
        <v>1.5320294E7</v>
      </c>
      <c r="P1909" s="105">
        <v>1.32084E7</v>
      </c>
      <c r="Q1909" s="102" t="s">
        <v>2454</v>
      </c>
      <c r="S1909" s="1"/>
      <c r="T1909" s="1"/>
      <c r="U1909" s="1"/>
      <c r="V1909" s="1"/>
      <c r="W1909" s="1"/>
      <c r="X1909" s="1"/>
      <c r="Y1909" s="1"/>
      <c r="Z1909" s="102"/>
      <c r="AA1909" s="102"/>
      <c r="AB1909" s="1"/>
      <c r="AC1909" s="1"/>
      <c r="AD1909" s="1"/>
      <c r="AE1909" s="1"/>
      <c r="AF1909" s="1"/>
      <c r="AG1909" s="1"/>
    </row>
    <row r="1910" ht="15.75" customHeight="1">
      <c r="A1910" s="1"/>
      <c r="B1910" s="1"/>
      <c r="C1910" s="1"/>
      <c r="D1910" s="1"/>
      <c r="E1910" s="1"/>
      <c r="F1910" s="1"/>
      <c r="G1910" s="1"/>
      <c r="H1910" s="1"/>
      <c r="I1910" s="1"/>
      <c r="J1910" s="1"/>
      <c r="K1910" s="102" t="s">
        <v>3602</v>
      </c>
      <c r="L1910" s="102" t="str">
        <f>I40</f>
        <v>J1a2a1a1a~</v>
      </c>
      <c r="M1910" s="102"/>
      <c r="N1910" s="102"/>
      <c r="O1910" s="105">
        <v>1.5609273E7</v>
      </c>
      <c r="P1910" s="105">
        <v>1.3497393E7</v>
      </c>
      <c r="Q1910" s="102" t="s">
        <v>2501</v>
      </c>
      <c r="S1910" s="1"/>
      <c r="T1910" s="1"/>
      <c r="U1910" s="1"/>
      <c r="V1910" s="1"/>
      <c r="W1910" s="1"/>
      <c r="X1910" s="1"/>
      <c r="Y1910" s="1"/>
      <c r="Z1910" s="102"/>
      <c r="AA1910" s="102"/>
      <c r="AB1910" s="1"/>
      <c r="AC1910" s="1"/>
      <c r="AD1910" s="1"/>
      <c r="AE1910" s="1"/>
      <c r="AF1910" s="1"/>
      <c r="AG1910" s="1"/>
    </row>
    <row r="1911" ht="15.75" customHeight="1">
      <c r="A1911" s="1"/>
      <c r="B1911" s="1"/>
      <c r="C1911" s="1"/>
      <c r="D1911" s="1"/>
      <c r="E1911" s="1"/>
      <c r="F1911" s="1"/>
      <c r="G1911" s="1"/>
      <c r="H1911" s="1"/>
      <c r="I1911" s="1"/>
      <c r="J1911" s="1"/>
      <c r="K1911" s="102" t="s">
        <v>3603</v>
      </c>
      <c r="L1911" s="102" t="str">
        <f>I40</f>
        <v>J1a2a1a1a~</v>
      </c>
      <c r="M1911" s="102"/>
      <c r="N1911" s="102"/>
      <c r="O1911" s="105">
        <v>1.5858521E7</v>
      </c>
      <c r="P1911" s="105">
        <v>1.3746641E7</v>
      </c>
      <c r="Q1911" s="102" t="s">
        <v>2439</v>
      </c>
      <c r="S1911" s="1"/>
      <c r="T1911" s="1"/>
      <c r="U1911" s="1"/>
      <c r="V1911" s="1"/>
      <c r="W1911" s="1"/>
      <c r="X1911" s="1"/>
      <c r="Y1911" s="1"/>
      <c r="Z1911" s="102"/>
      <c r="AA1911" s="102"/>
      <c r="AB1911" s="1"/>
      <c r="AC1911" s="1"/>
      <c r="AD1911" s="1"/>
      <c r="AE1911" s="1"/>
      <c r="AF1911" s="1"/>
      <c r="AG1911" s="1"/>
    </row>
    <row r="1912" ht="15.75" customHeight="1">
      <c r="A1912" s="1"/>
      <c r="B1912" s="1"/>
      <c r="C1912" s="1"/>
      <c r="D1912" s="1"/>
      <c r="E1912" s="1"/>
      <c r="F1912" s="1"/>
      <c r="G1912" s="1"/>
      <c r="H1912" s="1"/>
      <c r="I1912" s="1"/>
      <c r="J1912" s="1"/>
      <c r="K1912" s="102" t="s">
        <v>3604</v>
      </c>
      <c r="L1912" s="102" t="str">
        <f>I40</f>
        <v>J1a2a1a1a~</v>
      </c>
      <c r="M1912" s="102"/>
      <c r="N1912" s="102" t="s">
        <v>3605</v>
      </c>
      <c r="O1912" s="105">
        <v>1.634362E7</v>
      </c>
      <c r="P1912" s="105">
        <v>1.423174E7</v>
      </c>
      <c r="Q1912" s="102" t="s">
        <v>2468</v>
      </c>
      <c r="S1912" s="1"/>
      <c r="T1912" s="1"/>
      <c r="U1912" s="1"/>
      <c r="V1912" s="1"/>
      <c r="W1912" s="1"/>
      <c r="X1912" s="1"/>
      <c r="Y1912" s="1"/>
      <c r="Z1912" s="102"/>
      <c r="AA1912" s="102"/>
      <c r="AB1912" s="1"/>
      <c r="AC1912" s="1"/>
      <c r="AD1912" s="1"/>
      <c r="AE1912" s="1"/>
      <c r="AF1912" s="1"/>
      <c r="AG1912" s="1"/>
    </row>
    <row r="1913" ht="15.75" customHeight="1">
      <c r="A1913" s="1"/>
      <c r="B1913" s="1"/>
      <c r="C1913" s="1"/>
      <c r="D1913" s="1"/>
      <c r="E1913" s="1"/>
      <c r="F1913" s="1"/>
      <c r="G1913" s="1"/>
      <c r="H1913" s="1"/>
      <c r="I1913" s="1"/>
      <c r="J1913" s="1"/>
      <c r="K1913" s="102" t="s">
        <v>3606</v>
      </c>
      <c r="L1913" s="102" t="str">
        <f>I40</f>
        <v>J1a2a1a1a~</v>
      </c>
      <c r="M1913" s="102"/>
      <c r="N1913" s="102"/>
      <c r="O1913" s="105">
        <v>1.6387226E7</v>
      </c>
      <c r="P1913" s="105">
        <v>1.4275346E7</v>
      </c>
      <c r="Q1913" s="102" t="s">
        <v>2533</v>
      </c>
      <c r="S1913" s="1"/>
      <c r="T1913" s="1"/>
      <c r="U1913" s="1"/>
      <c r="V1913" s="1"/>
      <c r="W1913" s="1"/>
      <c r="X1913" s="1"/>
      <c r="Y1913" s="1"/>
      <c r="Z1913" s="102"/>
      <c r="AA1913" s="102"/>
      <c r="AB1913" s="1"/>
      <c r="AC1913" s="1"/>
      <c r="AD1913" s="1"/>
      <c r="AE1913" s="1"/>
      <c r="AF1913" s="1"/>
      <c r="AG1913" s="1"/>
    </row>
    <row r="1914" ht="15.75" customHeight="1">
      <c r="A1914" s="1"/>
      <c r="B1914" s="1"/>
      <c r="C1914" s="1"/>
      <c r="D1914" s="1"/>
      <c r="E1914" s="1"/>
      <c r="F1914" s="1"/>
      <c r="G1914" s="1"/>
      <c r="H1914" s="1"/>
      <c r="I1914" s="1"/>
      <c r="J1914" s="1"/>
      <c r="K1914" s="102" t="s">
        <v>3607</v>
      </c>
      <c r="L1914" s="102" t="str">
        <f>I40</f>
        <v>J1a2a1a1a~</v>
      </c>
      <c r="M1914" s="102"/>
      <c r="N1914" s="102" t="s">
        <v>3608</v>
      </c>
      <c r="O1914" s="105">
        <v>1.6521528E7</v>
      </c>
      <c r="P1914" s="105">
        <v>1.4409648E7</v>
      </c>
      <c r="Q1914" s="102" t="s">
        <v>2468</v>
      </c>
      <c r="S1914" s="1"/>
      <c r="T1914" s="1"/>
      <c r="U1914" s="1"/>
      <c r="V1914" s="1"/>
      <c r="W1914" s="1"/>
      <c r="X1914" s="1"/>
      <c r="Y1914" s="1"/>
      <c r="Z1914" s="102"/>
      <c r="AA1914" s="102"/>
      <c r="AB1914" s="1"/>
      <c r="AC1914" s="1"/>
      <c r="AD1914" s="1"/>
      <c r="AE1914" s="1"/>
      <c r="AF1914" s="1"/>
      <c r="AG1914" s="1"/>
    </row>
    <row r="1915" ht="15.75" customHeight="1">
      <c r="A1915" s="1"/>
      <c r="B1915" s="1"/>
      <c r="C1915" s="1"/>
      <c r="D1915" s="1"/>
      <c r="E1915" s="1"/>
      <c r="F1915" s="1"/>
      <c r="G1915" s="1"/>
      <c r="H1915" s="1"/>
      <c r="I1915" s="1"/>
      <c r="J1915" s="1"/>
      <c r="K1915" s="102" t="s">
        <v>3609</v>
      </c>
      <c r="L1915" s="102" t="str">
        <f>I40</f>
        <v>J1a2a1a1a~</v>
      </c>
      <c r="M1915" s="102"/>
      <c r="N1915" s="102" t="s">
        <v>3610</v>
      </c>
      <c r="O1915" s="105">
        <v>1.6596377E7</v>
      </c>
      <c r="P1915" s="105">
        <v>1.4484497E7</v>
      </c>
      <c r="Q1915" s="102" t="s">
        <v>2533</v>
      </c>
      <c r="S1915" s="1"/>
      <c r="T1915" s="1"/>
      <c r="U1915" s="1"/>
      <c r="V1915" s="1"/>
      <c r="W1915" s="1"/>
      <c r="X1915" s="1"/>
      <c r="Y1915" s="1"/>
      <c r="Z1915" s="102"/>
      <c r="AA1915" s="102"/>
      <c r="AB1915" s="1"/>
      <c r="AC1915" s="1"/>
      <c r="AD1915" s="1"/>
      <c r="AE1915" s="1"/>
      <c r="AF1915" s="1"/>
      <c r="AG1915" s="1"/>
    </row>
    <row r="1916" ht="15.75" customHeight="1">
      <c r="A1916" s="1"/>
      <c r="B1916" s="1"/>
      <c r="C1916" s="1"/>
      <c r="D1916" s="1"/>
      <c r="E1916" s="1"/>
      <c r="F1916" s="1"/>
      <c r="G1916" s="1"/>
      <c r="H1916" s="1"/>
      <c r="I1916" s="1"/>
      <c r="J1916" s="1"/>
      <c r="K1916" s="102" t="s">
        <v>3611</v>
      </c>
      <c r="L1916" s="102" t="str">
        <f>I40</f>
        <v>J1a2a1a1a~</v>
      </c>
      <c r="M1916" s="102"/>
      <c r="N1916" s="102"/>
      <c r="O1916" s="105">
        <v>1.6791055E7</v>
      </c>
      <c r="P1916" s="105">
        <v>1.4679175E7</v>
      </c>
      <c r="Q1916" s="102" t="s">
        <v>2529</v>
      </c>
      <c r="S1916" s="1"/>
      <c r="T1916" s="1"/>
      <c r="U1916" s="1"/>
      <c r="V1916" s="1"/>
      <c r="W1916" s="1"/>
      <c r="X1916" s="1"/>
      <c r="Y1916" s="1"/>
      <c r="Z1916" s="102"/>
      <c r="AA1916" s="102"/>
      <c r="AB1916" s="1"/>
      <c r="AC1916" s="1"/>
      <c r="AD1916" s="1"/>
      <c r="AE1916" s="1"/>
      <c r="AF1916" s="1"/>
      <c r="AG1916" s="1"/>
    </row>
    <row r="1917" ht="15.75" customHeight="1">
      <c r="A1917" s="1"/>
      <c r="B1917" s="1"/>
      <c r="C1917" s="1"/>
      <c r="D1917" s="1"/>
      <c r="E1917" s="1"/>
      <c r="F1917" s="1"/>
      <c r="G1917" s="1"/>
      <c r="H1917" s="1"/>
      <c r="I1917" s="1"/>
      <c r="J1917" s="1"/>
      <c r="K1917" s="102" t="s">
        <v>3612</v>
      </c>
      <c r="L1917" s="102" t="str">
        <f>I40</f>
        <v>J1a2a1a1a~</v>
      </c>
      <c r="M1917" s="102"/>
      <c r="N1917" s="102" t="s">
        <v>3613</v>
      </c>
      <c r="O1917" s="105">
        <v>1.6951156E7</v>
      </c>
      <c r="P1917" s="105">
        <v>1.4839276E7</v>
      </c>
      <c r="Q1917" s="102" t="s">
        <v>2432</v>
      </c>
      <c r="S1917" s="1"/>
      <c r="T1917" s="1"/>
      <c r="U1917" s="1"/>
      <c r="V1917" s="1"/>
      <c r="W1917" s="1"/>
      <c r="X1917" s="1"/>
      <c r="Y1917" s="1"/>
      <c r="Z1917" s="102"/>
      <c r="AA1917" s="102"/>
      <c r="AB1917" s="1"/>
      <c r="AC1917" s="1"/>
      <c r="AD1917" s="1"/>
      <c r="AE1917" s="1"/>
      <c r="AF1917" s="1"/>
      <c r="AG1917" s="1"/>
    </row>
    <row r="1918" ht="15.75" customHeight="1">
      <c r="A1918" s="1"/>
      <c r="B1918" s="1"/>
      <c r="C1918" s="1"/>
      <c r="D1918" s="1"/>
      <c r="E1918" s="1"/>
      <c r="F1918" s="1"/>
      <c r="G1918" s="1"/>
      <c r="H1918" s="1"/>
      <c r="I1918" s="1"/>
      <c r="J1918" s="1"/>
      <c r="K1918" s="102" t="s">
        <v>3614</v>
      </c>
      <c r="L1918" s="102" t="str">
        <f>I40</f>
        <v>J1a2a1a1a~</v>
      </c>
      <c r="M1918" s="102"/>
      <c r="N1918" s="102"/>
      <c r="O1918" s="105">
        <v>1.7008883E7</v>
      </c>
      <c r="P1918" s="105">
        <v>1.4897003E7</v>
      </c>
      <c r="Q1918" s="102" t="s">
        <v>2501</v>
      </c>
      <c r="S1918" s="1"/>
      <c r="T1918" s="1"/>
      <c r="U1918" s="1"/>
      <c r="V1918" s="1"/>
      <c r="W1918" s="1"/>
      <c r="X1918" s="1"/>
      <c r="Y1918" s="1"/>
      <c r="Z1918" s="102"/>
      <c r="AA1918" s="102"/>
      <c r="AB1918" s="1"/>
      <c r="AC1918" s="1"/>
      <c r="AD1918" s="1"/>
      <c r="AE1918" s="1"/>
      <c r="AF1918" s="1"/>
      <c r="AG1918" s="1"/>
    </row>
    <row r="1919" ht="15.75" customHeight="1">
      <c r="A1919" s="1"/>
      <c r="B1919" s="1"/>
      <c r="C1919" s="1"/>
      <c r="D1919" s="1"/>
      <c r="E1919" s="1"/>
      <c r="F1919" s="1"/>
      <c r="G1919" s="1"/>
      <c r="H1919" s="1"/>
      <c r="I1919" s="1"/>
      <c r="J1919" s="1"/>
      <c r="K1919" s="102" t="s">
        <v>3615</v>
      </c>
      <c r="L1919" s="102" t="str">
        <f>I40</f>
        <v>J1a2a1a1a~</v>
      </c>
      <c r="M1919" s="102"/>
      <c r="N1919" s="102" t="s">
        <v>3616</v>
      </c>
      <c r="O1919" s="105">
        <v>1.8076919E7</v>
      </c>
      <c r="P1919" s="105">
        <v>1.5965039E7</v>
      </c>
      <c r="Q1919" s="102" t="s">
        <v>2439</v>
      </c>
      <c r="S1919" s="1"/>
      <c r="T1919" s="1"/>
      <c r="U1919" s="1"/>
      <c r="V1919" s="1"/>
      <c r="W1919" s="1"/>
      <c r="X1919" s="1"/>
      <c r="Y1919" s="1"/>
      <c r="Z1919" s="102"/>
      <c r="AA1919" s="102"/>
      <c r="AB1919" s="1"/>
      <c r="AC1919" s="1"/>
      <c r="AD1919" s="1"/>
      <c r="AE1919" s="1"/>
      <c r="AF1919" s="1"/>
      <c r="AG1919" s="1"/>
    </row>
    <row r="1920" ht="15.75" customHeight="1">
      <c r="A1920" s="1"/>
      <c r="B1920" s="1"/>
      <c r="C1920" s="1"/>
      <c r="D1920" s="1"/>
      <c r="E1920" s="1"/>
      <c r="F1920" s="1"/>
      <c r="G1920" s="1"/>
      <c r="H1920" s="1"/>
      <c r="I1920" s="1"/>
      <c r="J1920" s="1"/>
      <c r="K1920" s="102" t="s">
        <v>3617</v>
      </c>
      <c r="L1920" s="102" t="str">
        <f>I40</f>
        <v>J1a2a1a1a~</v>
      </c>
      <c r="M1920" s="102"/>
      <c r="N1920" s="102" t="s">
        <v>3618</v>
      </c>
      <c r="O1920" s="105">
        <v>1.8112954E7</v>
      </c>
      <c r="P1920" s="105">
        <v>1.6001074E7</v>
      </c>
      <c r="Q1920" s="102" t="s">
        <v>2514</v>
      </c>
      <c r="S1920" s="1"/>
      <c r="T1920" s="1"/>
      <c r="U1920" s="1"/>
      <c r="V1920" s="1"/>
      <c r="W1920" s="1"/>
      <c r="X1920" s="1"/>
      <c r="Y1920" s="1"/>
      <c r="Z1920" s="102"/>
      <c r="AA1920" s="102"/>
      <c r="AB1920" s="1"/>
      <c r="AC1920" s="1"/>
      <c r="AD1920" s="1"/>
      <c r="AE1920" s="1"/>
      <c r="AF1920" s="1"/>
      <c r="AG1920" s="1"/>
    </row>
    <row r="1921" ht="15.75" customHeight="1">
      <c r="A1921" s="1"/>
      <c r="B1921" s="1"/>
      <c r="C1921" s="1"/>
      <c r="D1921" s="1"/>
      <c r="E1921" s="1"/>
      <c r="F1921" s="1"/>
      <c r="G1921" s="1"/>
      <c r="H1921" s="1"/>
      <c r="I1921" s="1"/>
      <c r="J1921" s="1"/>
      <c r="K1921" s="102" t="s">
        <v>3619</v>
      </c>
      <c r="L1921" s="102" t="str">
        <f>I40</f>
        <v>J1a2a1a1a~</v>
      </c>
      <c r="M1921" s="102"/>
      <c r="N1921" s="102"/>
      <c r="O1921" s="105">
        <v>1.881359E7</v>
      </c>
      <c r="P1921" s="105">
        <v>1.670171E7</v>
      </c>
      <c r="Q1921" s="102" t="s">
        <v>2468</v>
      </c>
      <c r="S1921" s="1"/>
      <c r="T1921" s="1"/>
      <c r="U1921" s="1"/>
      <c r="V1921" s="1"/>
      <c r="W1921" s="1"/>
      <c r="X1921" s="1"/>
      <c r="Y1921" s="1"/>
      <c r="Z1921" s="102"/>
      <c r="AA1921" s="102"/>
      <c r="AB1921" s="1"/>
      <c r="AC1921" s="1"/>
      <c r="AD1921" s="1"/>
      <c r="AE1921" s="1"/>
      <c r="AF1921" s="1"/>
      <c r="AG1921" s="1"/>
    </row>
    <row r="1922" ht="15.75" customHeight="1">
      <c r="A1922" s="1"/>
      <c r="B1922" s="1"/>
      <c r="C1922" s="1"/>
      <c r="D1922" s="1"/>
      <c r="E1922" s="1"/>
      <c r="F1922" s="1"/>
      <c r="G1922" s="1"/>
      <c r="H1922" s="1"/>
      <c r="I1922" s="1"/>
      <c r="J1922" s="1"/>
      <c r="K1922" s="102" t="s">
        <v>3620</v>
      </c>
      <c r="L1922" s="102" t="str">
        <f>I40</f>
        <v>J1a2a1a1a~</v>
      </c>
      <c r="M1922" s="102"/>
      <c r="N1922" s="102"/>
      <c r="O1922" s="105">
        <v>1.9057267E7</v>
      </c>
      <c r="P1922" s="105">
        <v>1.6945387E7</v>
      </c>
      <c r="Q1922" s="102" t="s">
        <v>2501</v>
      </c>
      <c r="S1922" s="1"/>
      <c r="T1922" s="1"/>
      <c r="U1922" s="1"/>
      <c r="V1922" s="1"/>
      <c r="W1922" s="1"/>
      <c r="X1922" s="1"/>
      <c r="Y1922" s="1"/>
      <c r="Z1922" s="102"/>
      <c r="AA1922" s="102"/>
      <c r="AB1922" s="1"/>
      <c r="AC1922" s="1"/>
      <c r="AD1922" s="1"/>
      <c r="AE1922" s="1"/>
      <c r="AF1922" s="1"/>
      <c r="AG1922" s="1"/>
    </row>
    <row r="1923" ht="15.75" customHeight="1">
      <c r="A1923" s="1"/>
      <c r="B1923" s="1"/>
      <c r="C1923" s="1"/>
      <c r="D1923" s="1"/>
      <c r="E1923" s="1"/>
      <c r="F1923" s="1"/>
      <c r="G1923" s="1"/>
      <c r="H1923" s="1"/>
      <c r="I1923" s="1"/>
      <c r="J1923" s="1"/>
      <c r="K1923" s="102" t="s">
        <v>3621</v>
      </c>
      <c r="L1923" s="102" t="str">
        <f>I40</f>
        <v>J1a2a1a1a~</v>
      </c>
      <c r="M1923" s="102"/>
      <c r="N1923" s="102" t="s">
        <v>3622</v>
      </c>
      <c r="O1923" s="105">
        <v>1.9393973E7</v>
      </c>
      <c r="P1923" s="105">
        <v>1.7282093E7</v>
      </c>
      <c r="Q1923" s="102" t="s">
        <v>2439</v>
      </c>
      <c r="S1923" s="1"/>
      <c r="T1923" s="1"/>
      <c r="U1923" s="1"/>
      <c r="V1923" s="1"/>
      <c r="W1923" s="1"/>
      <c r="X1923" s="1"/>
      <c r="Y1923" s="1"/>
      <c r="Z1923" s="102"/>
      <c r="AA1923" s="102"/>
      <c r="AB1923" s="1"/>
      <c r="AC1923" s="1"/>
      <c r="AD1923" s="1"/>
      <c r="AE1923" s="1"/>
      <c r="AF1923" s="1"/>
      <c r="AG1923" s="1"/>
    </row>
    <row r="1924" ht="15.75" customHeight="1">
      <c r="A1924" s="1"/>
      <c r="B1924" s="1"/>
      <c r="C1924" s="1"/>
      <c r="D1924" s="1"/>
      <c r="E1924" s="1"/>
      <c r="F1924" s="1"/>
      <c r="G1924" s="1"/>
      <c r="H1924" s="1"/>
      <c r="I1924" s="1"/>
      <c r="J1924" s="1"/>
      <c r="K1924" s="102" t="s">
        <v>3623</v>
      </c>
      <c r="L1924" s="102" t="str">
        <f>I40</f>
        <v>J1a2a1a1a~</v>
      </c>
      <c r="M1924" s="102"/>
      <c r="N1924" s="102"/>
      <c r="O1924" s="105">
        <v>2.131446E7</v>
      </c>
      <c r="P1924" s="105">
        <v>1.9152574E7</v>
      </c>
      <c r="Q1924" s="102" t="s">
        <v>2454</v>
      </c>
      <c r="S1924" s="1"/>
      <c r="T1924" s="1"/>
      <c r="U1924" s="1"/>
      <c r="V1924" s="1"/>
      <c r="W1924" s="1"/>
      <c r="X1924" s="1"/>
      <c r="Y1924" s="1"/>
      <c r="Z1924" s="102"/>
      <c r="AA1924" s="102"/>
      <c r="AB1924" s="1"/>
      <c r="AC1924" s="1"/>
      <c r="AD1924" s="1"/>
      <c r="AE1924" s="1"/>
      <c r="AF1924" s="1"/>
      <c r="AG1924" s="1"/>
    </row>
    <row r="1925" ht="15.75" customHeight="1">
      <c r="A1925" s="1"/>
      <c r="B1925" s="1"/>
      <c r="C1925" s="1"/>
      <c r="D1925" s="1"/>
      <c r="E1925" s="1"/>
      <c r="F1925" s="1"/>
      <c r="G1925" s="1"/>
      <c r="H1925" s="1"/>
      <c r="I1925" s="1"/>
      <c r="J1925" s="1"/>
      <c r="K1925" s="102" t="s">
        <v>3624</v>
      </c>
      <c r="L1925" s="102" t="str">
        <f>I40</f>
        <v>J1a2a1a1a~</v>
      </c>
      <c r="M1925" s="102"/>
      <c r="N1925" s="102"/>
      <c r="O1925" s="105">
        <v>2.1315494E7</v>
      </c>
      <c r="P1925" s="105">
        <v>1.9153608E7</v>
      </c>
      <c r="Q1925" s="102" t="s">
        <v>2501</v>
      </c>
      <c r="S1925" s="1"/>
      <c r="T1925" s="1"/>
      <c r="U1925" s="1"/>
      <c r="V1925" s="1"/>
      <c r="W1925" s="1"/>
      <c r="X1925" s="1"/>
      <c r="Y1925" s="1"/>
      <c r="Z1925" s="102"/>
      <c r="AA1925" s="102"/>
      <c r="AB1925" s="1"/>
      <c r="AC1925" s="1"/>
      <c r="AD1925" s="1"/>
      <c r="AE1925" s="1"/>
      <c r="AF1925" s="1"/>
      <c r="AG1925" s="1"/>
    </row>
    <row r="1926" ht="15.75" customHeight="1">
      <c r="A1926" s="1"/>
      <c r="B1926" s="1"/>
      <c r="C1926" s="1"/>
      <c r="D1926" s="1"/>
      <c r="E1926" s="1"/>
      <c r="F1926" s="1"/>
      <c r="G1926" s="1"/>
      <c r="H1926" s="1"/>
      <c r="I1926" s="1"/>
      <c r="J1926" s="1"/>
      <c r="K1926" s="102" t="s">
        <v>3625</v>
      </c>
      <c r="L1926" s="102" t="str">
        <f>I40</f>
        <v>J1a2a1a1a~</v>
      </c>
      <c r="M1926" s="102"/>
      <c r="N1926" s="102"/>
      <c r="O1926" s="105">
        <v>2.1480103E7</v>
      </c>
      <c r="P1926" s="105">
        <v>1.9318217E7</v>
      </c>
      <c r="Q1926" s="102" t="s">
        <v>2576</v>
      </c>
      <c r="S1926" s="1"/>
      <c r="T1926" s="1"/>
      <c r="U1926" s="1"/>
      <c r="V1926" s="1"/>
      <c r="W1926" s="1"/>
      <c r="X1926" s="1"/>
      <c r="Y1926" s="1"/>
      <c r="Z1926" s="102"/>
      <c r="AA1926" s="102"/>
      <c r="AB1926" s="1"/>
      <c r="AC1926" s="1"/>
      <c r="AD1926" s="1"/>
      <c r="AE1926" s="1"/>
      <c r="AF1926" s="1"/>
      <c r="AG1926" s="1"/>
    </row>
    <row r="1927" ht="15.75" customHeight="1">
      <c r="A1927" s="1"/>
      <c r="B1927" s="1"/>
      <c r="C1927" s="1"/>
      <c r="D1927" s="1"/>
      <c r="E1927" s="1"/>
      <c r="F1927" s="1"/>
      <c r="G1927" s="1"/>
      <c r="H1927" s="1"/>
      <c r="I1927" s="1"/>
      <c r="J1927" s="1"/>
      <c r="K1927" s="102" t="s">
        <v>3626</v>
      </c>
      <c r="L1927" s="102" t="str">
        <f>I40</f>
        <v>J1a2a1a1a~</v>
      </c>
      <c r="M1927" s="102"/>
      <c r="N1927" s="102"/>
      <c r="O1927" s="105">
        <v>2.1811005E7</v>
      </c>
      <c r="P1927" s="105">
        <v>1.9649119E7</v>
      </c>
      <c r="Q1927" s="102" t="s">
        <v>2439</v>
      </c>
      <c r="S1927" s="1"/>
      <c r="T1927" s="1"/>
      <c r="U1927" s="1"/>
      <c r="V1927" s="1"/>
      <c r="W1927" s="1"/>
      <c r="X1927" s="1"/>
      <c r="Y1927" s="1"/>
      <c r="Z1927" s="102"/>
      <c r="AA1927" s="102"/>
      <c r="AB1927" s="1"/>
      <c r="AC1927" s="1"/>
      <c r="AD1927" s="1"/>
      <c r="AE1927" s="1"/>
      <c r="AF1927" s="1"/>
      <c r="AG1927" s="1"/>
    </row>
    <row r="1928" ht="15.75" customHeight="1">
      <c r="A1928" s="1"/>
      <c r="B1928" s="1"/>
      <c r="C1928" s="1"/>
      <c r="D1928" s="1"/>
      <c r="E1928" s="1"/>
      <c r="F1928" s="1"/>
      <c r="G1928" s="1"/>
      <c r="H1928" s="1"/>
      <c r="I1928" s="1"/>
      <c r="J1928" s="1"/>
      <c r="K1928" s="102" t="s">
        <v>3627</v>
      </c>
      <c r="L1928" s="102" t="str">
        <f>I40</f>
        <v>J1a2a1a1a~</v>
      </c>
      <c r="M1928" s="102"/>
      <c r="N1928" s="102"/>
      <c r="O1928" s="105">
        <v>2.1916926E7</v>
      </c>
      <c r="P1928" s="105">
        <v>1.975504E7</v>
      </c>
      <c r="Q1928" s="102" t="s">
        <v>2446</v>
      </c>
      <c r="S1928" s="1"/>
      <c r="T1928" s="1"/>
      <c r="U1928" s="1"/>
      <c r="V1928" s="1"/>
      <c r="W1928" s="1"/>
      <c r="X1928" s="1"/>
      <c r="Y1928" s="1"/>
      <c r="Z1928" s="102"/>
      <c r="AA1928" s="102"/>
      <c r="AB1928" s="1"/>
      <c r="AC1928" s="1"/>
      <c r="AD1928" s="1"/>
      <c r="AE1928" s="1"/>
      <c r="AF1928" s="1"/>
      <c r="AG1928" s="1"/>
    </row>
    <row r="1929" ht="15.75" customHeight="1">
      <c r="A1929" s="1"/>
      <c r="B1929" s="1"/>
      <c r="C1929" s="1"/>
      <c r="D1929" s="1"/>
      <c r="E1929" s="1"/>
      <c r="F1929" s="1"/>
      <c r="G1929" s="1"/>
      <c r="H1929" s="1"/>
      <c r="I1929" s="1"/>
      <c r="J1929" s="1"/>
      <c r="K1929" s="102" t="s">
        <v>3628</v>
      </c>
      <c r="L1929" s="102" t="str">
        <f>I40</f>
        <v>J1a2a1a1a~</v>
      </c>
      <c r="M1929" s="102"/>
      <c r="N1929" s="102"/>
      <c r="O1929" s="105">
        <v>2.1921461E7</v>
      </c>
      <c r="P1929" s="105">
        <v>1.9759575E7</v>
      </c>
      <c r="Q1929" s="102" t="s">
        <v>2529</v>
      </c>
      <c r="S1929" s="1"/>
      <c r="T1929" s="1"/>
      <c r="U1929" s="1"/>
      <c r="V1929" s="1"/>
      <c r="W1929" s="1"/>
      <c r="X1929" s="1"/>
      <c r="Y1929" s="1"/>
      <c r="Z1929" s="102"/>
      <c r="AA1929" s="102"/>
      <c r="AB1929" s="1"/>
      <c r="AC1929" s="1"/>
      <c r="AD1929" s="1"/>
      <c r="AE1929" s="1"/>
      <c r="AF1929" s="1"/>
      <c r="AG1929" s="1"/>
    </row>
    <row r="1930" ht="15.75" customHeight="1">
      <c r="A1930" s="1"/>
      <c r="B1930" s="1"/>
      <c r="C1930" s="1"/>
      <c r="D1930" s="1"/>
      <c r="E1930" s="1"/>
      <c r="F1930" s="1"/>
      <c r="G1930" s="1"/>
      <c r="H1930" s="1"/>
      <c r="I1930" s="1"/>
      <c r="J1930" s="1"/>
      <c r="K1930" s="102" t="s">
        <v>3629</v>
      </c>
      <c r="L1930" s="102" t="str">
        <f>I40</f>
        <v>J1a2a1a1a~</v>
      </c>
      <c r="M1930" s="102"/>
      <c r="N1930" s="102"/>
      <c r="O1930" s="105">
        <v>2.1922257E7</v>
      </c>
      <c r="P1930" s="105">
        <v>1.9760371E7</v>
      </c>
      <c r="Q1930" s="102" t="s">
        <v>2432</v>
      </c>
      <c r="S1930" s="1"/>
      <c r="T1930" s="1"/>
      <c r="U1930" s="1"/>
      <c r="V1930" s="1"/>
      <c r="W1930" s="1"/>
      <c r="X1930" s="1"/>
      <c r="Y1930" s="1"/>
      <c r="Z1930" s="102"/>
      <c r="AA1930" s="102"/>
      <c r="AB1930" s="1"/>
      <c r="AC1930" s="1"/>
      <c r="AD1930" s="1"/>
      <c r="AE1930" s="1"/>
      <c r="AF1930" s="1"/>
      <c r="AG1930" s="1"/>
    </row>
    <row r="1931" ht="15.75" customHeight="1">
      <c r="A1931" s="1"/>
      <c r="B1931" s="1"/>
      <c r="C1931" s="1"/>
      <c r="D1931" s="1"/>
      <c r="E1931" s="1"/>
      <c r="F1931" s="1"/>
      <c r="G1931" s="1"/>
      <c r="H1931" s="1"/>
      <c r="I1931" s="1"/>
      <c r="J1931" s="1"/>
      <c r="K1931" s="102" t="s">
        <v>3630</v>
      </c>
      <c r="L1931" s="102" t="str">
        <f>I40</f>
        <v>J1a2a1a1a~</v>
      </c>
      <c r="M1931" s="102"/>
      <c r="N1931" s="102"/>
      <c r="O1931" s="105">
        <v>2.1954141E7</v>
      </c>
      <c r="P1931" s="105">
        <v>1.9792255E7</v>
      </c>
      <c r="Q1931" s="102" t="s">
        <v>2423</v>
      </c>
      <c r="S1931" s="1"/>
      <c r="T1931" s="1"/>
      <c r="U1931" s="1"/>
      <c r="V1931" s="1"/>
      <c r="W1931" s="1"/>
      <c r="X1931" s="1"/>
      <c r="Y1931" s="1"/>
      <c r="Z1931" s="102"/>
      <c r="AA1931" s="102"/>
      <c r="AB1931" s="1"/>
      <c r="AC1931" s="1"/>
      <c r="AD1931" s="1"/>
      <c r="AE1931" s="1"/>
      <c r="AF1931" s="1"/>
      <c r="AG1931" s="1"/>
    </row>
    <row r="1932" ht="15.75" customHeight="1">
      <c r="A1932" s="1"/>
      <c r="B1932" s="1"/>
      <c r="C1932" s="1"/>
      <c r="D1932" s="1"/>
      <c r="E1932" s="1"/>
      <c r="F1932" s="1"/>
      <c r="G1932" s="1"/>
      <c r="H1932" s="1"/>
      <c r="I1932" s="1"/>
      <c r="J1932" s="1"/>
      <c r="K1932" s="102" t="s">
        <v>3631</v>
      </c>
      <c r="L1932" s="102" t="str">
        <f>I40</f>
        <v>J1a2a1a1a~</v>
      </c>
      <c r="M1932" s="102"/>
      <c r="N1932" s="102"/>
      <c r="O1932" s="105">
        <v>2.1994569E7</v>
      </c>
      <c r="P1932" s="105">
        <v>1.9832683E7</v>
      </c>
      <c r="Q1932" s="102" t="s">
        <v>2529</v>
      </c>
      <c r="S1932" s="1"/>
      <c r="T1932" s="1"/>
      <c r="U1932" s="1"/>
      <c r="V1932" s="1"/>
      <c r="W1932" s="1"/>
      <c r="X1932" s="1"/>
      <c r="Y1932" s="1"/>
      <c r="Z1932" s="102"/>
      <c r="AA1932" s="102"/>
      <c r="AB1932" s="1"/>
      <c r="AC1932" s="1"/>
      <c r="AD1932" s="1"/>
      <c r="AE1932" s="1"/>
      <c r="AF1932" s="1"/>
      <c r="AG1932" s="1"/>
    </row>
    <row r="1933" ht="15.75" customHeight="1">
      <c r="A1933" s="1"/>
      <c r="B1933" s="1"/>
      <c r="C1933" s="1"/>
      <c r="D1933" s="1"/>
      <c r="E1933" s="1"/>
      <c r="F1933" s="1"/>
      <c r="G1933" s="1"/>
      <c r="H1933" s="1"/>
      <c r="I1933" s="1"/>
      <c r="J1933" s="1"/>
      <c r="K1933" s="102" t="s">
        <v>3632</v>
      </c>
      <c r="L1933" s="102" t="str">
        <f>I40</f>
        <v>J1a2a1a1a~</v>
      </c>
      <c r="M1933" s="102"/>
      <c r="N1933" s="102"/>
      <c r="O1933" s="105">
        <v>2.2006007E7</v>
      </c>
      <c r="P1933" s="105">
        <v>1.9844121E7</v>
      </c>
      <c r="Q1933" s="102" t="s">
        <v>2468</v>
      </c>
      <c r="S1933" s="1"/>
      <c r="T1933" s="1"/>
      <c r="U1933" s="1"/>
      <c r="V1933" s="1"/>
      <c r="W1933" s="1"/>
      <c r="X1933" s="1"/>
      <c r="Y1933" s="1"/>
      <c r="Z1933" s="102"/>
      <c r="AA1933" s="102"/>
      <c r="AB1933" s="1"/>
      <c r="AC1933" s="1"/>
      <c r="AD1933" s="1"/>
      <c r="AE1933" s="1"/>
      <c r="AF1933" s="1"/>
      <c r="AG1933" s="1"/>
    </row>
    <row r="1934" ht="15.75" customHeight="1">
      <c r="A1934" s="1"/>
      <c r="B1934" s="1"/>
      <c r="C1934" s="1"/>
      <c r="D1934" s="1"/>
      <c r="E1934" s="1"/>
      <c r="F1934" s="1"/>
      <c r="G1934" s="1"/>
      <c r="H1934" s="1"/>
      <c r="I1934" s="1"/>
      <c r="J1934" s="1"/>
      <c r="K1934" s="102" t="s">
        <v>3633</v>
      </c>
      <c r="L1934" s="102" t="str">
        <f>I40</f>
        <v>J1a2a1a1a~</v>
      </c>
      <c r="M1934" s="102"/>
      <c r="N1934" s="102"/>
      <c r="O1934" s="105">
        <v>2.2216671E7</v>
      </c>
      <c r="P1934" s="105">
        <v>2.0054785E7</v>
      </c>
      <c r="Q1934" s="102" t="s">
        <v>2576</v>
      </c>
      <c r="S1934" s="1"/>
      <c r="T1934" s="1"/>
      <c r="U1934" s="1"/>
      <c r="V1934" s="1"/>
      <c r="W1934" s="1"/>
      <c r="X1934" s="1"/>
      <c r="Y1934" s="1"/>
      <c r="Z1934" s="102"/>
      <c r="AA1934" s="102"/>
      <c r="AB1934" s="1"/>
      <c r="AC1934" s="1"/>
      <c r="AD1934" s="1"/>
      <c r="AE1934" s="1"/>
      <c r="AF1934" s="1"/>
      <c r="AG1934" s="1"/>
    </row>
    <row r="1935" ht="15.75" customHeight="1">
      <c r="A1935" s="1"/>
      <c r="B1935" s="1"/>
      <c r="C1935" s="1"/>
      <c r="D1935" s="1"/>
      <c r="E1935" s="1"/>
      <c r="F1935" s="1"/>
      <c r="G1935" s="1"/>
      <c r="H1935" s="1"/>
      <c r="I1935" s="1"/>
      <c r="J1935" s="1"/>
      <c r="K1935" s="102" t="s">
        <v>3634</v>
      </c>
      <c r="L1935" s="102" t="str">
        <f>I40</f>
        <v>J1a2a1a1a~</v>
      </c>
      <c r="M1935" s="102"/>
      <c r="N1935" s="102"/>
      <c r="O1935" s="105">
        <v>2.2513344E7</v>
      </c>
      <c r="P1935" s="105">
        <v>2.0351458E7</v>
      </c>
      <c r="Q1935" s="102" t="s">
        <v>2446</v>
      </c>
      <c r="S1935" s="1"/>
      <c r="T1935" s="1"/>
      <c r="U1935" s="1"/>
      <c r="V1935" s="1"/>
      <c r="W1935" s="1"/>
      <c r="X1935" s="1"/>
      <c r="Y1935" s="1"/>
      <c r="Z1935" s="102"/>
      <c r="AA1935" s="102"/>
      <c r="AB1935" s="1"/>
      <c r="AC1935" s="1"/>
      <c r="AD1935" s="1"/>
      <c r="AE1935" s="1"/>
      <c r="AF1935" s="1"/>
      <c r="AG1935" s="1"/>
    </row>
    <row r="1936" ht="15.75" customHeight="1">
      <c r="A1936" s="1"/>
      <c r="B1936" s="1"/>
      <c r="C1936" s="1"/>
      <c r="D1936" s="1"/>
      <c r="E1936" s="1"/>
      <c r="F1936" s="1"/>
      <c r="G1936" s="1"/>
      <c r="H1936" s="1"/>
      <c r="I1936" s="1"/>
      <c r="J1936" s="1"/>
      <c r="K1936" s="102" t="s">
        <v>3635</v>
      </c>
      <c r="L1936" s="102" t="str">
        <f>I40</f>
        <v>J1a2a1a1a~</v>
      </c>
      <c r="M1936" s="102"/>
      <c r="N1936" s="102"/>
      <c r="O1936" s="105">
        <v>2.2568885E7</v>
      </c>
      <c r="P1936" s="105">
        <v>2.0406999E7</v>
      </c>
      <c r="Q1936" s="102" t="s">
        <v>2533</v>
      </c>
      <c r="S1936" s="1"/>
      <c r="T1936" s="1"/>
      <c r="U1936" s="1"/>
      <c r="V1936" s="1"/>
      <c r="W1936" s="1"/>
      <c r="X1936" s="1"/>
      <c r="Y1936" s="1"/>
      <c r="Z1936" s="102"/>
      <c r="AA1936" s="102"/>
      <c r="AB1936" s="1"/>
      <c r="AC1936" s="1"/>
      <c r="AD1936" s="1"/>
      <c r="AE1936" s="1"/>
      <c r="AF1936" s="1"/>
      <c r="AG1936" s="1"/>
    </row>
    <row r="1937" ht="15.75" customHeight="1">
      <c r="A1937" s="1"/>
      <c r="B1937" s="1"/>
      <c r="C1937" s="1"/>
      <c r="D1937" s="1"/>
      <c r="E1937" s="1"/>
      <c r="F1937" s="1"/>
      <c r="G1937" s="1"/>
      <c r="H1937" s="1"/>
      <c r="I1937" s="1"/>
      <c r="J1937" s="1"/>
      <c r="K1937" s="102" t="s">
        <v>3636</v>
      </c>
      <c r="L1937" s="102" t="str">
        <f>I40</f>
        <v>J1a2a1a1a~</v>
      </c>
      <c r="M1937" s="102"/>
      <c r="N1937" s="102" t="s">
        <v>3637</v>
      </c>
      <c r="O1937" s="105">
        <v>2.2618751E7</v>
      </c>
      <c r="P1937" s="105">
        <v>2.0456865E7</v>
      </c>
      <c r="Q1937" s="102" t="s">
        <v>2501</v>
      </c>
      <c r="S1937" s="1"/>
      <c r="T1937" s="1"/>
      <c r="U1937" s="1"/>
      <c r="V1937" s="1"/>
      <c r="W1937" s="1"/>
      <c r="X1937" s="1"/>
      <c r="Y1937" s="1"/>
      <c r="Z1937" s="102"/>
      <c r="AA1937" s="102"/>
      <c r="AB1937" s="1"/>
      <c r="AC1937" s="1"/>
      <c r="AD1937" s="1"/>
      <c r="AE1937" s="1"/>
      <c r="AF1937" s="1"/>
      <c r="AG1937" s="1"/>
    </row>
    <row r="1938" ht="15.75" customHeight="1">
      <c r="A1938" s="1"/>
      <c r="B1938" s="1"/>
      <c r="C1938" s="1"/>
      <c r="D1938" s="1"/>
      <c r="E1938" s="1"/>
      <c r="F1938" s="1"/>
      <c r="G1938" s="1"/>
      <c r="H1938" s="1"/>
      <c r="I1938" s="1"/>
      <c r="J1938" s="1"/>
      <c r="K1938" s="102" t="s">
        <v>3638</v>
      </c>
      <c r="L1938" s="102" t="str">
        <f>I40</f>
        <v>J1a2a1a1a~</v>
      </c>
      <c r="M1938" s="102"/>
      <c r="N1938" s="102"/>
      <c r="O1938" s="105">
        <v>2.2631144E7</v>
      </c>
      <c r="P1938" s="105">
        <v>2.0469258E7</v>
      </c>
      <c r="Q1938" s="102" t="s">
        <v>2439</v>
      </c>
      <c r="S1938" s="1"/>
      <c r="T1938" s="1"/>
      <c r="U1938" s="1"/>
      <c r="V1938" s="1"/>
      <c r="W1938" s="1"/>
      <c r="X1938" s="1"/>
      <c r="Y1938" s="1"/>
      <c r="Z1938" s="102"/>
      <c r="AA1938" s="102"/>
      <c r="AB1938" s="1"/>
      <c r="AC1938" s="1"/>
      <c r="AD1938" s="1"/>
      <c r="AE1938" s="1"/>
      <c r="AF1938" s="1"/>
      <c r="AG1938" s="1"/>
    </row>
    <row r="1939" ht="15.75" customHeight="1">
      <c r="A1939" s="1"/>
      <c r="B1939" s="1"/>
      <c r="C1939" s="1"/>
      <c r="D1939" s="1"/>
      <c r="E1939" s="1"/>
      <c r="F1939" s="1"/>
      <c r="G1939" s="1"/>
      <c r="H1939" s="1"/>
      <c r="I1939" s="1"/>
      <c r="J1939" s="1"/>
      <c r="K1939" s="102" t="s">
        <v>3639</v>
      </c>
      <c r="L1939" s="102" t="str">
        <f>I40</f>
        <v>J1a2a1a1a~</v>
      </c>
      <c r="M1939" s="102"/>
      <c r="N1939" s="102"/>
      <c r="O1939" s="105">
        <v>2.2671472E7</v>
      </c>
      <c r="P1939" s="105">
        <v>2.0509586E7</v>
      </c>
      <c r="Q1939" s="102" t="s">
        <v>2501</v>
      </c>
      <c r="S1939" s="1"/>
      <c r="T1939" s="1"/>
      <c r="U1939" s="1"/>
      <c r="V1939" s="1"/>
      <c r="W1939" s="1"/>
      <c r="X1939" s="1"/>
      <c r="Y1939" s="1"/>
      <c r="Z1939" s="102"/>
      <c r="AA1939" s="102"/>
      <c r="AB1939" s="1"/>
      <c r="AC1939" s="1"/>
      <c r="AD1939" s="1"/>
      <c r="AE1939" s="1"/>
      <c r="AF1939" s="1"/>
      <c r="AG1939" s="1"/>
    </row>
    <row r="1940" ht="15.75" customHeight="1">
      <c r="A1940" s="1"/>
      <c r="B1940" s="1"/>
      <c r="C1940" s="1"/>
      <c r="D1940" s="1"/>
      <c r="E1940" s="1"/>
      <c r="F1940" s="1"/>
      <c r="G1940" s="1"/>
      <c r="H1940" s="1"/>
      <c r="I1940" s="1"/>
      <c r="J1940" s="1"/>
      <c r="K1940" s="102" t="s">
        <v>3640</v>
      </c>
      <c r="L1940" s="102" t="str">
        <f>I40</f>
        <v>J1a2a1a1a~</v>
      </c>
      <c r="M1940" s="102"/>
      <c r="N1940" s="102"/>
      <c r="O1940" s="105">
        <v>2.2954196E7</v>
      </c>
      <c r="P1940" s="105">
        <v>2.079231E7</v>
      </c>
      <c r="Q1940" s="102" t="s">
        <v>2529</v>
      </c>
      <c r="S1940" s="1"/>
      <c r="T1940" s="1"/>
      <c r="U1940" s="1"/>
      <c r="V1940" s="1"/>
      <c r="W1940" s="1"/>
      <c r="X1940" s="1"/>
      <c r="Y1940" s="1"/>
      <c r="Z1940" s="102"/>
      <c r="AA1940" s="102"/>
      <c r="AB1940" s="1"/>
      <c r="AC1940" s="1"/>
      <c r="AD1940" s="1"/>
      <c r="AE1940" s="1"/>
      <c r="AF1940" s="1"/>
      <c r="AG1940" s="1"/>
    </row>
    <row r="1941" ht="15.75" customHeight="1">
      <c r="A1941" s="1"/>
      <c r="B1941" s="1"/>
      <c r="C1941" s="1"/>
      <c r="D1941" s="1"/>
      <c r="E1941" s="1"/>
      <c r="F1941" s="1"/>
      <c r="G1941" s="1"/>
      <c r="H1941" s="1"/>
      <c r="I1941" s="1"/>
      <c r="J1941" s="1"/>
      <c r="K1941" s="102" t="s">
        <v>3641</v>
      </c>
      <c r="L1941" s="102" t="str">
        <f>I40</f>
        <v>J1a2a1a1a~</v>
      </c>
      <c r="M1941" s="102"/>
      <c r="N1941" s="102"/>
      <c r="O1941" s="105">
        <v>2.3193748E7</v>
      </c>
      <c r="P1941" s="105">
        <v>2.1031862E7</v>
      </c>
      <c r="Q1941" s="102" t="s">
        <v>2446</v>
      </c>
      <c r="S1941" s="1"/>
      <c r="T1941" s="1"/>
      <c r="U1941" s="1"/>
      <c r="V1941" s="1"/>
      <c r="W1941" s="1"/>
      <c r="X1941" s="1"/>
      <c r="Y1941" s="1"/>
      <c r="Z1941" s="102"/>
      <c r="AA1941" s="102"/>
      <c r="AB1941" s="1"/>
      <c r="AC1941" s="1"/>
      <c r="AD1941" s="1"/>
      <c r="AE1941" s="1"/>
      <c r="AF1941" s="1"/>
      <c r="AG1941" s="1"/>
    </row>
    <row r="1942" ht="15.75" customHeight="1">
      <c r="A1942" s="1"/>
      <c r="B1942" s="1"/>
      <c r="C1942" s="1"/>
      <c r="D1942" s="1"/>
      <c r="E1942" s="1"/>
      <c r="F1942" s="1"/>
      <c r="G1942" s="1"/>
      <c r="H1942" s="1"/>
      <c r="I1942" s="1"/>
      <c r="J1942" s="1"/>
      <c r="K1942" s="102" t="s">
        <v>3642</v>
      </c>
      <c r="L1942" s="102" t="str">
        <f>I40</f>
        <v>J1a2a1a1a~</v>
      </c>
      <c r="M1942" s="102"/>
      <c r="N1942" s="102"/>
      <c r="O1942" s="105">
        <v>2.3265541E7</v>
      </c>
      <c r="P1942" s="105">
        <v>2.1103655E7</v>
      </c>
      <c r="Q1942" s="102" t="s">
        <v>2446</v>
      </c>
      <c r="S1942" s="1"/>
      <c r="T1942" s="1"/>
      <c r="U1942" s="1"/>
      <c r="V1942" s="1"/>
      <c r="W1942" s="1"/>
      <c r="X1942" s="1"/>
      <c r="Y1942" s="1"/>
      <c r="Z1942" s="102"/>
      <c r="AA1942" s="102"/>
      <c r="AB1942" s="1"/>
      <c r="AC1942" s="1"/>
      <c r="AD1942" s="1"/>
      <c r="AE1942" s="1"/>
      <c r="AF1942" s="1"/>
      <c r="AG1942" s="1"/>
    </row>
    <row r="1943" ht="15.75" customHeight="1">
      <c r="A1943" s="1"/>
      <c r="B1943" s="1"/>
      <c r="C1943" s="1"/>
      <c r="D1943" s="1"/>
      <c r="E1943" s="1"/>
      <c r="F1943" s="1"/>
      <c r="G1943" s="1"/>
      <c r="H1943" s="1"/>
      <c r="I1943" s="1"/>
      <c r="J1943" s="1"/>
      <c r="K1943" s="102" t="s">
        <v>3643</v>
      </c>
      <c r="L1943" s="102" t="str">
        <f>I40</f>
        <v>J1a2a1a1a~</v>
      </c>
      <c r="M1943" s="102"/>
      <c r="N1943" s="102"/>
      <c r="O1943" s="105">
        <v>2.3346523E7</v>
      </c>
      <c r="P1943" s="105">
        <v>2.1184637E7</v>
      </c>
      <c r="Q1943" s="102" t="s">
        <v>2439</v>
      </c>
      <c r="S1943" s="1"/>
      <c r="T1943" s="1"/>
      <c r="U1943" s="1"/>
      <c r="V1943" s="1"/>
      <c r="W1943" s="1"/>
      <c r="X1943" s="1"/>
      <c r="Y1943" s="1"/>
      <c r="Z1943" s="102"/>
      <c r="AA1943" s="102"/>
      <c r="AB1943" s="1"/>
      <c r="AC1943" s="1"/>
      <c r="AD1943" s="1"/>
      <c r="AE1943" s="1"/>
      <c r="AF1943" s="1"/>
      <c r="AG1943" s="1"/>
    </row>
    <row r="1944" ht="15.75" customHeight="1">
      <c r="A1944" s="1"/>
      <c r="B1944" s="1"/>
      <c r="C1944" s="1"/>
      <c r="D1944" s="1"/>
      <c r="E1944" s="1"/>
      <c r="F1944" s="1"/>
      <c r="G1944" s="1"/>
      <c r="H1944" s="1"/>
      <c r="I1944" s="1"/>
      <c r="J1944" s="1"/>
      <c r="K1944" s="102" t="s">
        <v>3644</v>
      </c>
      <c r="L1944" s="102" t="str">
        <f>I40</f>
        <v>J1a2a1a1a~</v>
      </c>
      <c r="M1944" s="102"/>
      <c r="N1944" s="102"/>
      <c r="O1944" s="105">
        <v>2.4380006E7</v>
      </c>
      <c r="P1944" s="105">
        <v>2.2233859E7</v>
      </c>
      <c r="Q1944" s="102" t="s">
        <v>2439</v>
      </c>
      <c r="S1944" s="1"/>
      <c r="T1944" s="1"/>
      <c r="U1944" s="1"/>
      <c r="V1944" s="1"/>
      <c r="W1944" s="1"/>
      <c r="X1944" s="1"/>
      <c r="Y1944" s="1"/>
      <c r="Z1944" s="102"/>
      <c r="AA1944" s="102"/>
      <c r="AB1944" s="1"/>
      <c r="AC1944" s="1"/>
      <c r="AD1944" s="1"/>
      <c r="AE1944" s="1"/>
      <c r="AF1944" s="1"/>
      <c r="AG1944" s="1"/>
    </row>
    <row r="1945" ht="15.75" customHeight="1">
      <c r="A1945" s="1"/>
      <c r="B1945" s="1"/>
      <c r="C1945" s="1"/>
      <c r="D1945" s="1"/>
      <c r="E1945" s="1"/>
      <c r="F1945" s="1"/>
      <c r="G1945" s="1"/>
      <c r="H1945" s="1"/>
      <c r="I1945" s="1"/>
      <c r="J1945" s="1"/>
      <c r="K1945" s="102" t="s">
        <v>3645</v>
      </c>
      <c r="L1945" s="102" t="str">
        <f>I40</f>
        <v>J1a2a1a1a~</v>
      </c>
      <c r="M1945" s="102"/>
      <c r="N1945" s="102" t="s">
        <v>3646</v>
      </c>
      <c r="O1945" s="105">
        <v>2.4457592E7</v>
      </c>
      <c r="P1945" s="105">
        <v>2.2311445E7</v>
      </c>
      <c r="Q1945" s="102" t="s">
        <v>2468</v>
      </c>
      <c r="S1945" s="1"/>
      <c r="T1945" s="1"/>
      <c r="U1945" s="1"/>
      <c r="V1945" s="1"/>
      <c r="W1945" s="1"/>
      <c r="X1945" s="1"/>
      <c r="Y1945" s="1"/>
      <c r="Z1945" s="102"/>
      <c r="AA1945" s="102"/>
      <c r="AB1945" s="1"/>
      <c r="AC1945" s="1"/>
      <c r="AD1945" s="1"/>
      <c r="AE1945" s="1"/>
      <c r="AF1945" s="1"/>
      <c r="AG1945" s="1"/>
    </row>
    <row r="1946" ht="15.75" customHeight="1">
      <c r="A1946" s="1"/>
      <c r="B1946" s="1"/>
      <c r="C1946" s="1"/>
      <c r="D1946" s="1"/>
      <c r="E1946" s="1"/>
      <c r="F1946" s="1"/>
      <c r="G1946" s="1"/>
      <c r="H1946" s="1"/>
      <c r="I1946" s="1"/>
      <c r="J1946" s="1"/>
      <c r="K1946" s="102" t="s">
        <v>3647</v>
      </c>
      <c r="L1946" s="102" t="str">
        <f>I40</f>
        <v>J1a2a1a1a~</v>
      </c>
      <c r="M1946" s="102"/>
      <c r="N1946" s="102"/>
      <c r="O1946" s="105">
        <v>4581726.0</v>
      </c>
      <c r="P1946" s="105">
        <v>4713685.0</v>
      </c>
      <c r="Q1946" s="102" t="s">
        <v>2439</v>
      </c>
      <c r="S1946" s="1"/>
      <c r="T1946" s="1"/>
      <c r="U1946" s="1"/>
      <c r="V1946" s="1"/>
      <c r="W1946" s="1"/>
      <c r="X1946" s="1"/>
      <c r="Y1946" s="1"/>
      <c r="Z1946" s="102"/>
      <c r="AA1946" s="102"/>
      <c r="AB1946" s="1"/>
      <c r="AC1946" s="1"/>
      <c r="AD1946" s="1"/>
      <c r="AE1946" s="1"/>
      <c r="AF1946" s="1"/>
      <c r="AG1946" s="1"/>
    </row>
    <row r="1947" ht="15.75" customHeight="1">
      <c r="A1947" s="1"/>
      <c r="B1947" s="1"/>
      <c r="C1947" s="1"/>
      <c r="D1947" s="1"/>
      <c r="E1947" s="1"/>
      <c r="F1947" s="1"/>
      <c r="G1947" s="1"/>
      <c r="H1947" s="1"/>
      <c r="I1947" s="1"/>
      <c r="J1947" s="1"/>
      <c r="K1947" s="102" t="s">
        <v>3648</v>
      </c>
      <c r="L1947" s="102" t="str">
        <f>J41</f>
        <v>J1a2a1a1a1~</v>
      </c>
      <c r="M1947" s="102"/>
      <c r="N1947" s="102"/>
      <c r="O1947" s="105">
        <v>1.8035964E7</v>
      </c>
      <c r="P1947" s="105">
        <v>1.5924084E7</v>
      </c>
      <c r="Q1947" s="102" t="s">
        <v>2439</v>
      </c>
      <c r="S1947" s="1"/>
      <c r="T1947" s="1"/>
      <c r="U1947" s="1"/>
      <c r="V1947" s="1"/>
      <c r="W1947" s="1"/>
      <c r="X1947" s="1"/>
      <c r="Y1947" s="1"/>
      <c r="Z1947" s="102"/>
      <c r="AA1947" s="102"/>
      <c r="AB1947" s="1"/>
      <c r="AC1947" s="1"/>
      <c r="AD1947" s="1"/>
      <c r="AE1947" s="1"/>
      <c r="AF1947" s="1"/>
      <c r="AG1947" s="1"/>
    </row>
    <row r="1948" ht="15.75" customHeight="1">
      <c r="A1948" s="1"/>
      <c r="B1948" s="1"/>
      <c r="C1948" s="1"/>
      <c r="D1948" s="1"/>
      <c r="E1948" s="1"/>
      <c r="F1948" s="1"/>
      <c r="G1948" s="1"/>
      <c r="H1948" s="1"/>
      <c r="I1948" s="1"/>
      <c r="J1948" s="1"/>
      <c r="K1948" s="102" t="s">
        <v>3649</v>
      </c>
      <c r="L1948" s="102" t="str">
        <f>J41</f>
        <v>J1a2a1a1a1~</v>
      </c>
      <c r="M1948" s="102"/>
      <c r="N1948" s="102" t="s">
        <v>3650</v>
      </c>
      <c r="O1948" s="105">
        <v>2.3081807E7</v>
      </c>
      <c r="P1948" s="105">
        <v>2.0919921E7</v>
      </c>
      <c r="Q1948" s="102" t="s">
        <v>2432</v>
      </c>
      <c r="S1948" s="1"/>
      <c r="T1948" s="1"/>
      <c r="U1948" s="1"/>
      <c r="V1948" s="1"/>
      <c r="W1948" s="1"/>
      <c r="X1948" s="1"/>
      <c r="Y1948" s="1"/>
      <c r="Z1948" s="102"/>
      <c r="AA1948" s="102"/>
      <c r="AB1948" s="1"/>
      <c r="AC1948" s="1"/>
      <c r="AD1948" s="1"/>
      <c r="AE1948" s="1"/>
      <c r="AF1948" s="1"/>
      <c r="AG1948" s="1"/>
    </row>
    <row r="1949" ht="15.75" customHeight="1">
      <c r="A1949" s="1"/>
      <c r="B1949" s="1"/>
      <c r="C1949" s="1"/>
      <c r="D1949" s="1"/>
      <c r="E1949" s="1"/>
      <c r="F1949" s="1"/>
      <c r="G1949" s="1"/>
      <c r="H1949" s="1"/>
      <c r="I1949" s="1"/>
      <c r="J1949" s="1"/>
      <c r="K1949" s="102" t="s">
        <v>3651</v>
      </c>
      <c r="L1949" s="102" t="str">
        <f>J41</f>
        <v>J1a2a1a1a1~</v>
      </c>
      <c r="M1949" s="102"/>
      <c r="N1949" s="102"/>
      <c r="O1949" s="105">
        <v>2764262.0</v>
      </c>
      <c r="P1949" s="105">
        <v>2896221.0</v>
      </c>
      <c r="Q1949" s="102" t="s">
        <v>2501</v>
      </c>
      <c r="S1949" s="1"/>
      <c r="T1949" s="1"/>
      <c r="U1949" s="1"/>
      <c r="V1949" s="1"/>
      <c r="W1949" s="1"/>
      <c r="X1949" s="1"/>
      <c r="Y1949" s="1"/>
      <c r="Z1949" s="102"/>
      <c r="AA1949" s="102"/>
      <c r="AB1949" s="1"/>
      <c r="AC1949" s="1"/>
      <c r="AD1949" s="1"/>
      <c r="AE1949" s="1"/>
      <c r="AF1949" s="1"/>
      <c r="AG1949" s="1"/>
    </row>
    <row r="1950" ht="15.75" customHeight="1">
      <c r="A1950" s="1"/>
      <c r="B1950" s="1"/>
      <c r="C1950" s="1"/>
      <c r="D1950" s="1"/>
      <c r="E1950" s="1"/>
      <c r="F1950" s="1"/>
      <c r="G1950" s="1"/>
      <c r="H1950" s="1"/>
      <c r="I1950" s="1"/>
      <c r="J1950" s="1"/>
      <c r="K1950" s="102" t="s">
        <v>3652</v>
      </c>
      <c r="L1950" s="102" t="str">
        <f>J41</f>
        <v>J1a2a1a1a1~</v>
      </c>
      <c r="M1950" s="102"/>
      <c r="N1950" s="102"/>
      <c r="O1950" s="105">
        <v>2794778.0</v>
      </c>
      <c r="P1950" s="105">
        <v>2926737.0</v>
      </c>
      <c r="Q1950" s="102" t="s">
        <v>2514</v>
      </c>
      <c r="S1950" s="1"/>
      <c r="T1950" s="1"/>
      <c r="U1950" s="1"/>
      <c r="V1950" s="1"/>
      <c r="W1950" s="1"/>
      <c r="X1950" s="1"/>
      <c r="Y1950" s="1"/>
      <c r="Z1950" s="102"/>
      <c r="AA1950" s="102"/>
      <c r="AB1950" s="1"/>
      <c r="AC1950" s="1"/>
      <c r="AD1950" s="1"/>
      <c r="AE1950" s="1"/>
      <c r="AF1950" s="1"/>
      <c r="AG1950" s="1"/>
    </row>
    <row r="1951" ht="15.75" customHeight="1">
      <c r="A1951" s="1"/>
      <c r="B1951" s="1"/>
      <c r="C1951" s="1"/>
      <c r="D1951" s="1"/>
      <c r="E1951" s="1"/>
      <c r="F1951" s="1"/>
      <c r="G1951" s="1"/>
      <c r="H1951" s="1"/>
      <c r="I1951" s="1"/>
      <c r="J1951" s="1"/>
      <c r="K1951" s="102" t="s">
        <v>3653</v>
      </c>
      <c r="L1951" s="102" t="str">
        <f>J41</f>
        <v>J1a2a1a1a1~</v>
      </c>
      <c r="M1951" s="102"/>
      <c r="N1951" s="102"/>
      <c r="O1951" s="105">
        <v>2872450.0</v>
      </c>
      <c r="P1951" s="105">
        <v>3004409.0</v>
      </c>
      <c r="Q1951" s="102" t="s">
        <v>2533</v>
      </c>
      <c r="S1951" s="1"/>
      <c r="T1951" s="1"/>
      <c r="U1951" s="1"/>
      <c r="V1951" s="1"/>
      <c r="W1951" s="1"/>
      <c r="X1951" s="1"/>
      <c r="Y1951" s="1"/>
      <c r="Z1951" s="102"/>
      <c r="AA1951" s="102"/>
      <c r="AB1951" s="1"/>
      <c r="AC1951" s="1"/>
      <c r="AD1951" s="1"/>
      <c r="AE1951" s="1"/>
      <c r="AF1951" s="1"/>
      <c r="AG1951" s="1"/>
    </row>
    <row r="1952" ht="15.75" customHeight="1">
      <c r="A1952" s="1"/>
      <c r="B1952" s="1"/>
      <c r="C1952" s="1"/>
      <c r="D1952" s="1"/>
      <c r="E1952" s="1"/>
      <c r="F1952" s="1"/>
      <c r="G1952" s="1"/>
      <c r="H1952" s="1"/>
      <c r="I1952" s="1"/>
      <c r="J1952" s="1"/>
      <c r="K1952" s="102" t="s">
        <v>3654</v>
      </c>
      <c r="L1952" s="102" t="str">
        <f>J41</f>
        <v>J1a2a1a1a1~</v>
      </c>
      <c r="M1952" s="102"/>
      <c r="N1952" s="102"/>
      <c r="O1952" s="105">
        <v>8381928.0</v>
      </c>
      <c r="P1952" s="105">
        <v>8513887.0</v>
      </c>
      <c r="Q1952" s="102" t="s">
        <v>2576</v>
      </c>
      <c r="S1952" s="1"/>
      <c r="T1952" s="1"/>
      <c r="U1952" s="1"/>
      <c r="V1952" s="1"/>
      <c r="W1952" s="1"/>
      <c r="X1952" s="1"/>
      <c r="Y1952" s="1"/>
      <c r="Z1952" s="102"/>
      <c r="AA1952" s="102"/>
      <c r="AB1952" s="1"/>
      <c r="AC1952" s="1"/>
      <c r="AD1952" s="1"/>
      <c r="AE1952" s="1"/>
      <c r="AF1952" s="1"/>
      <c r="AG1952" s="1"/>
    </row>
    <row r="1953" ht="15.75" customHeight="1">
      <c r="A1953" s="1"/>
      <c r="B1953" s="1"/>
      <c r="C1953" s="1"/>
      <c r="D1953" s="1"/>
      <c r="E1953" s="1"/>
      <c r="F1953" s="1"/>
      <c r="G1953" s="1"/>
      <c r="H1953" s="1"/>
      <c r="I1953" s="1"/>
      <c r="J1953" s="1"/>
      <c r="K1953" s="102" t="s">
        <v>3655</v>
      </c>
      <c r="L1953" s="102" t="str">
        <f>J41</f>
        <v>J1a2a1a1a1~</v>
      </c>
      <c r="M1953" s="102"/>
      <c r="N1953" s="102"/>
      <c r="O1953" s="105">
        <v>1.483247E7</v>
      </c>
      <c r="P1953" s="105">
        <v>1.2720537E7</v>
      </c>
      <c r="Q1953" s="102" t="s">
        <v>2529</v>
      </c>
      <c r="S1953" s="1"/>
      <c r="T1953" s="1"/>
      <c r="U1953" s="1"/>
      <c r="V1953" s="1"/>
      <c r="W1953" s="1"/>
      <c r="X1953" s="1"/>
      <c r="Y1953" s="1"/>
      <c r="Z1953" s="102"/>
      <c r="AA1953" s="102"/>
      <c r="AB1953" s="1"/>
      <c r="AC1953" s="1"/>
      <c r="AD1953" s="1"/>
      <c r="AE1953" s="1"/>
      <c r="AF1953" s="1"/>
      <c r="AG1953" s="1"/>
    </row>
    <row r="1954" ht="15.75" customHeight="1">
      <c r="A1954" s="1"/>
      <c r="B1954" s="1"/>
      <c r="C1954" s="1"/>
      <c r="D1954" s="1"/>
      <c r="E1954" s="1"/>
      <c r="F1954" s="1"/>
      <c r="G1954" s="1"/>
      <c r="H1954" s="1"/>
      <c r="I1954" s="1"/>
      <c r="J1954" s="1"/>
      <c r="K1954" s="102" t="s">
        <v>3656</v>
      </c>
      <c r="L1954" s="102" t="str">
        <f>J41</f>
        <v>J1a2a1a1a1~</v>
      </c>
      <c r="M1954" s="102"/>
      <c r="N1954" s="102"/>
      <c r="O1954" s="105">
        <v>1.7392699E7</v>
      </c>
      <c r="P1954" s="105">
        <v>1.5280819E7</v>
      </c>
      <c r="Q1954" s="102" t="s">
        <v>2533</v>
      </c>
      <c r="S1954" s="1"/>
      <c r="T1954" s="1"/>
      <c r="U1954" s="1"/>
      <c r="V1954" s="1"/>
      <c r="W1954" s="1"/>
      <c r="X1954" s="1"/>
      <c r="Y1954" s="1"/>
      <c r="Z1954" s="102"/>
      <c r="AA1954" s="102"/>
      <c r="AB1954" s="1"/>
      <c r="AC1954" s="1"/>
      <c r="AD1954" s="1"/>
      <c r="AE1954" s="1"/>
      <c r="AF1954" s="1"/>
      <c r="AG1954" s="1"/>
    </row>
    <row r="1955" ht="15.75" customHeight="1">
      <c r="A1955" s="1"/>
      <c r="B1955" s="1"/>
      <c r="C1955" s="1"/>
      <c r="D1955" s="1"/>
      <c r="E1955" s="1"/>
      <c r="F1955" s="1"/>
      <c r="G1955" s="1"/>
      <c r="H1955" s="1"/>
      <c r="I1955" s="1"/>
      <c r="J1955" s="1"/>
      <c r="K1955" s="102" t="s">
        <v>3657</v>
      </c>
      <c r="L1955" s="102" t="str">
        <f>J41</f>
        <v>J1a2a1a1a1~</v>
      </c>
      <c r="M1955" s="102"/>
      <c r="N1955" s="102"/>
      <c r="O1955" s="105">
        <v>2.2094929E7</v>
      </c>
      <c r="P1955" s="105">
        <v>1.9933043E7</v>
      </c>
      <c r="Q1955" s="102" t="s">
        <v>2501</v>
      </c>
      <c r="S1955" s="1"/>
      <c r="T1955" s="1"/>
      <c r="U1955" s="1"/>
      <c r="V1955" s="1"/>
      <c r="W1955" s="1"/>
      <c r="X1955" s="1"/>
      <c r="Y1955" s="1"/>
      <c r="Z1955" s="102"/>
      <c r="AA1955" s="102"/>
      <c r="AB1955" s="1"/>
      <c r="AC1955" s="1"/>
      <c r="AD1955" s="1"/>
      <c r="AE1955" s="1"/>
      <c r="AF1955" s="1"/>
      <c r="AG1955" s="1"/>
    </row>
    <row r="1956" ht="15.75" customHeight="1">
      <c r="A1956" s="1"/>
      <c r="B1956" s="1"/>
      <c r="C1956" s="1"/>
      <c r="D1956" s="1"/>
      <c r="E1956" s="1"/>
      <c r="F1956" s="1"/>
      <c r="G1956" s="1"/>
      <c r="H1956" s="1"/>
      <c r="I1956" s="1"/>
      <c r="J1956" s="1"/>
      <c r="K1956" s="102" t="s">
        <v>3658</v>
      </c>
      <c r="L1956" s="102" t="str">
        <f>J41</f>
        <v>J1a2a1a1a1~</v>
      </c>
      <c r="M1956" s="102"/>
      <c r="N1956" s="102"/>
      <c r="O1956" s="105">
        <v>7214165.0</v>
      </c>
      <c r="P1956" s="105">
        <v>7346124.0</v>
      </c>
      <c r="Q1956" s="102" t="s">
        <v>2454</v>
      </c>
      <c r="S1956" s="1"/>
      <c r="T1956" s="1"/>
      <c r="U1956" s="1"/>
      <c r="V1956" s="1"/>
      <c r="W1956" s="1"/>
      <c r="X1956" s="1"/>
      <c r="Y1956" s="1"/>
      <c r="Z1956" s="102"/>
      <c r="AA1956" s="102"/>
      <c r="AB1956" s="1"/>
      <c r="AC1956" s="1"/>
      <c r="AD1956" s="1"/>
      <c r="AE1956" s="1"/>
      <c r="AF1956" s="1"/>
      <c r="AG1956" s="1"/>
    </row>
    <row r="1957" ht="15.75" customHeight="1">
      <c r="A1957" s="1"/>
      <c r="B1957" s="1"/>
      <c r="C1957" s="1"/>
      <c r="D1957" s="1"/>
      <c r="E1957" s="1"/>
      <c r="F1957" s="1"/>
      <c r="G1957" s="1"/>
      <c r="H1957" s="1"/>
      <c r="I1957" s="1"/>
      <c r="J1957" s="1"/>
      <c r="K1957" s="102" t="s">
        <v>3659</v>
      </c>
      <c r="L1957" s="102" t="str">
        <f>I42</f>
        <v>J1a2a1a1b~</v>
      </c>
      <c r="M1957" s="102" t="s">
        <v>3660</v>
      </c>
      <c r="N1957" s="102" t="s">
        <v>3661</v>
      </c>
      <c r="O1957" s="105">
        <v>1.749473E7</v>
      </c>
      <c r="P1957" s="105">
        <v>1.538285E7</v>
      </c>
      <c r="Q1957" s="102" t="s">
        <v>2563</v>
      </c>
      <c r="S1957" s="1"/>
      <c r="T1957" s="1"/>
      <c r="U1957" s="1"/>
      <c r="V1957" s="1"/>
      <c r="W1957" s="1"/>
      <c r="X1957" s="1"/>
      <c r="Y1957" s="1"/>
      <c r="Z1957" s="102"/>
      <c r="AA1957" s="102"/>
      <c r="AB1957" s="1"/>
      <c r="AC1957" s="1"/>
      <c r="AD1957" s="1"/>
      <c r="AE1957" s="1"/>
      <c r="AF1957" s="1"/>
      <c r="AG1957" s="1"/>
    </row>
    <row r="1958" ht="15.75" customHeight="1">
      <c r="A1958" s="1"/>
      <c r="B1958" s="1"/>
      <c r="C1958" s="1"/>
      <c r="D1958" s="1"/>
      <c r="E1958" s="1"/>
      <c r="F1958" s="1"/>
      <c r="G1958" s="1"/>
      <c r="H1958" s="1"/>
      <c r="I1958" s="1"/>
      <c r="J1958" s="1"/>
      <c r="K1958" s="102" t="s">
        <v>3660</v>
      </c>
      <c r="L1958" s="102" t="str">
        <f>I42</f>
        <v>J1a2a1a1b~</v>
      </c>
      <c r="M1958" s="102" t="s">
        <v>3659</v>
      </c>
      <c r="N1958" s="102" t="s">
        <v>3661</v>
      </c>
      <c r="O1958" s="105">
        <v>1.749473E7</v>
      </c>
      <c r="P1958" s="105">
        <v>1.538285E7</v>
      </c>
      <c r="Q1958" s="102" t="s">
        <v>2563</v>
      </c>
      <c r="S1958" s="1"/>
      <c r="T1958" s="1"/>
      <c r="U1958" s="1"/>
      <c r="V1958" s="1"/>
      <c r="W1958" s="1"/>
      <c r="X1958" s="1"/>
      <c r="Y1958" s="1"/>
      <c r="Z1958" s="102"/>
      <c r="AA1958" s="102"/>
      <c r="AB1958" s="1"/>
      <c r="AC1958" s="1"/>
      <c r="AD1958" s="1"/>
      <c r="AE1958" s="1"/>
      <c r="AF1958" s="1"/>
      <c r="AG1958" s="1"/>
    </row>
    <row r="1959" ht="15.75" customHeight="1">
      <c r="A1959" s="1"/>
      <c r="B1959" s="1"/>
      <c r="C1959" s="1"/>
      <c r="D1959" s="1"/>
      <c r="E1959" s="1"/>
      <c r="F1959" s="1"/>
      <c r="G1959" s="1"/>
      <c r="H1959" s="1"/>
      <c r="I1959" s="1"/>
      <c r="J1959" s="1"/>
      <c r="K1959" s="102" t="s">
        <v>3662</v>
      </c>
      <c r="L1959" s="102" t="str">
        <f>I42</f>
        <v>J1a2a1a1b~</v>
      </c>
      <c r="M1959" s="102" t="s">
        <v>3663</v>
      </c>
      <c r="N1959" s="102"/>
      <c r="O1959" s="105">
        <v>1.4488322E7</v>
      </c>
      <c r="P1959" s="105">
        <v>1.2367591E7</v>
      </c>
      <c r="Q1959" s="102" t="s">
        <v>2439</v>
      </c>
      <c r="S1959" s="1"/>
      <c r="T1959" s="1"/>
      <c r="U1959" s="1"/>
      <c r="V1959" s="1"/>
      <c r="W1959" s="1"/>
      <c r="X1959" s="1"/>
      <c r="Y1959" s="1"/>
      <c r="Z1959" s="102"/>
      <c r="AA1959" s="102"/>
      <c r="AB1959" s="1"/>
      <c r="AC1959" s="1"/>
      <c r="AD1959" s="1"/>
      <c r="AE1959" s="1"/>
      <c r="AF1959" s="1"/>
      <c r="AG1959" s="1"/>
    </row>
    <row r="1960" ht="15.75" customHeight="1">
      <c r="A1960" s="1"/>
      <c r="B1960" s="1"/>
      <c r="C1960" s="1"/>
      <c r="D1960" s="1"/>
      <c r="E1960" s="1"/>
      <c r="F1960" s="1"/>
      <c r="G1960" s="1"/>
      <c r="H1960" s="1"/>
      <c r="I1960" s="1"/>
      <c r="J1960" s="1"/>
      <c r="K1960" s="102" t="s">
        <v>3663</v>
      </c>
      <c r="L1960" s="102" t="str">
        <f>I42</f>
        <v>J1a2a1a1b~</v>
      </c>
      <c r="M1960" s="102" t="s">
        <v>3662</v>
      </c>
      <c r="N1960" s="102"/>
      <c r="O1960" s="105">
        <v>1.4488322E7</v>
      </c>
      <c r="P1960" s="105">
        <v>1.2367591E7</v>
      </c>
      <c r="Q1960" s="102" t="s">
        <v>2439</v>
      </c>
      <c r="S1960" s="1"/>
      <c r="T1960" s="1"/>
      <c r="U1960" s="1"/>
      <c r="V1960" s="1"/>
      <c r="W1960" s="1"/>
      <c r="X1960" s="1"/>
      <c r="Y1960" s="1"/>
      <c r="Z1960" s="102"/>
      <c r="AA1960" s="102"/>
      <c r="AB1960" s="1"/>
      <c r="AC1960" s="1"/>
      <c r="AD1960" s="1"/>
      <c r="AE1960" s="1"/>
      <c r="AF1960" s="1"/>
      <c r="AG1960" s="1"/>
    </row>
    <row r="1961" ht="15.75" customHeight="1">
      <c r="A1961" s="1"/>
      <c r="B1961" s="1"/>
      <c r="C1961" s="1"/>
      <c r="D1961" s="1"/>
      <c r="E1961" s="1"/>
      <c r="F1961" s="1"/>
      <c r="G1961" s="1"/>
      <c r="H1961" s="1"/>
      <c r="I1961" s="1"/>
      <c r="J1961" s="1"/>
      <c r="K1961" s="102" t="s">
        <v>3664</v>
      </c>
      <c r="L1961" s="102" t="str">
        <f>I42</f>
        <v>J1a2a1a1b~</v>
      </c>
      <c r="M1961" s="102"/>
      <c r="N1961" s="102" t="s">
        <v>3665</v>
      </c>
      <c r="O1961" s="105">
        <v>2.2863347E7</v>
      </c>
      <c r="P1961" s="105">
        <v>2.0701461E7</v>
      </c>
      <c r="Q1961" s="102" t="s">
        <v>2501</v>
      </c>
      <c r="S1961" s="1"/>
      <c r="T1961" s="1"/>
      <c r="U1961" s="1"/>
      <c r="V1961" s="1"/>
      <c r="W1961" s="1"/>
      <c r="X1961" s="1"/>
      <c r="Y1961" s="1"/>
      <c r="Z1961" s="102"/>
      <c r="AA1961" s="102"/>
      <c r="AB1961" s="1"/>
      <c r="AC1961" s="1"/>
      <c r="AD1961" s="1"/>
      <c r="AE1961" s="1"/>
      <c r="AF1961" s="1"/>
      <c r="AG1961" s="1"/>
    </row>
    <row r="1962" ht="15.75" customHeight="1">
      <c r="A1962" s="1"/>
      <c r="B1962" s="1"/>
      <c r="C1962" s="1"/>
      <c r="D1962" s="1"/>
      <c r="E1962" s="1"/>
      <c r="F1962" s="1"/>
      <c r="G1962" s="1"/>
      <c r="H1962" s="1"/>
      <c r="I1962" s="1"/>
      <c r="J1962" s="1"/>
      <c r="K1962" s="102" t="s">
        <v>3666</v>
      </c>
      <c r="L1962" s="102" t="str">
        <f>I42</f>
        <v>J1a2a1a1b~</v>
      </c>
      <c r="M1962" s="102"/>
      <c r="N1962" s="102" t="s">
        <v>3667</v>
      </c>
      <c r="O1962" s="105">
        <v>1.5650709E7</v>
      </c>
      <c r="P1962" s="105">
        <v>1.3538829E7</v>
      </c>
      <c r="Q1962" s="102" t="s">
        <v>2529</v>
      </c>
      <c r="S1962" s="1"/>
      <c r="T1962" s="1"/>
      <c r="U1962" s="1"/>
      <c r="V1962" s="1"/>
      <c r="W1962" s="1"/>
      <c r="X1962" s="1"/>
      <c r="Y1962" s="1"/>
      <c r="Z1962" s="102"/>
      <c r="AA1962" s="102"/>
      <c r="AB1962" s="1"/>
      <c r="AC1962" s="1"/>
      <c r="AD1962" s="1"/>
      <c r="AE1962" s="1"/>
      <c r="AF1962" s="1"/>
      <c r="AG1962" s="1"/>
    </row>
    <row r="1963" ht="15.75" customHeight="1">
      <c r="A1963" s="1"/>
      <c r="B1963" s="1"/>
      <c r="C1963" s="1"/>
      <c r="D1963" s="1"/>
      <c r="E1963" s="1"/>
      <c r="F1963" s="1"/>
      <c r="G1963" s="1"/>
      <c r="H1963" s="1"/>
      <c r="I1963" s="1"/>
      <c r="J1963" s="1"/>
      <c r="K1963" s="102" t="s">
        <v>3668</v>
      </c>
      <c r="L1963" s="102" t="str">
        <f>I42</f>
        <v>J1a2a1a1b~</v>
      </c>
      <c r="M1963" s="102"/>
      <c r="N1963" s="102" t="s">
        <v>3669</v>
      </c>
      <c r="O1963" s="105">
        <v>1.7029079E7</v>
      </c>
      <c r="P1963" s="105">
        <v>1.4917199E7</v>
      </c>
      <c r="Q1963" s="102" t="s">
        <v>2529</v>
      </c>
      <c r="S1963" s="1"/>
      <c r="T1963" s="1"/>
      <c r="U1963" s="1"/>
      <c r="V1963" s="1"/>
      <c r="W1963" s="1"/>
      <c r="X1963" s="1"/>
      <c r="Y1963" s="1"/>
      <c r="Z1963" s="102"/>
      <c r="AA1963" s="102"/>
      <c r="AB1963" s="1"/>
      <c r="AC1963" s="1"/>
      <c r="AD1963" s="1"/>
      <c r="AE1963" s="1"/>
      <c r="AF1963" s="1"/>
      <c r="AG1963" s="1"/>
    </row>
    <row r="1964" ht="15.75" customHeight="1">
      <c r="A1964" s="1"/>
      <c r="B1964" s="1"/>
      <c r="C1964" s="1"/>
      <c r="D1964" s="1"/>
      <c r="E1964" s="1"/>
      <c r="F1964" s="1"/>
      <c r="G1964" s="1"/>
      <c r="H1964" s="1"/>
      <c r="I1964" s="1"/>
      <c r="J1964" s="1"/>
      <c r="K1964" s="102" t="s">
        <v>3670</v>
      </c>
      <c r="L1964" s="102" t="str">
        <f>I42</f>
        <v>J1a2a1a1b~</v>
      </c>
      <c r="M1964" s="102"/>
      <c r="N1964" s="102" t="s">
        <v>3671</v>
      </c>
      <c r="O1964" s="105">
        <v>6931939.0</v>
      </c>
      <c r="P1964" s="105">
        <v>7063898.0</v>
      </c>
      <c r="Q1964" s="102" t="s">
        <v>2432</v>
      </c>
      <c r="S1964" s="1"/>
      <c r="T1964" s="1"/>
      <c r="U1964" s="1"/>
      <c r="V1964" s="1"/>
      <c r="W1964" s="1"/>
      <c r="X1964" s="1"/>
      <c r="Y1964" s="1"/>
      <c r="Z1964" s="102"/>
      <c r="AA1964" s="102"/>
      <c r="AB1964" s="1"/>
      <c r="AC1964" s="1"/>
      <c r="AD1964" s="1"/>
      <c r="AE1964" s="1"/>
      <c r="AF1964" s="1"/>
      <c r="AG1964" s="1"/>
    </row>
    <row r="1965" ht="15.75" customHeight="1">
      <c r="A1965" s="1"/>
      <c r="B1965" s="1"/>
      <c r="C1965" s="1"/>
      <c r="D1965" s="1"/>
      <c r="E1965" s="1"/>
      <c r="F1965" s="1"/>
      <c r="G1965" s="1"/>
      <c r="H1965" s="1"/>
      <c r="I1965" s="1"/>
      <c r="J1965" s="1"/>
      <c r="K1965" s="102" t="s">
        <v>3672</v>
      </c>
      <c r="L1965" s="102" t="str">
        <f>I42</f>
        <v>J1a2a1a1b~</v>
      </c>
      <c r="M1965" s="102"/>
      <c r="N1965" s="102" t="s">
        <v>3673</v>
      </c>
      <c r="O1965" s="105">
        <v>7055950.0</v>
      </c>
      <c r="P1965" s="105">
        <v>7187909.0</v>
      </c>
      <c r="Q1965" s="102" t="s">
        <v>2446</v>
      </c>
      <c r="S1965" s="1"/>
      <c r="T1965" s="1"/>
      <c r="U1965" s="1"/>
      <c r="V1965" s="1"/>
      <c r="W1965" s="1"/>
      <c r="X1965" s="1"/>
      <c r="Y1965" s="1"/>
      <c r="Z1965" s="102"/>
      <c r="AA1965" s="102"/>
      <c r="AB1965" s="1"/>
      <c r="AC1965" s="1"/>
      <c r="AD1965" s="1"/>
      <c r="AE1965" s="1"/>
      <c r="AF1965" s="1"/>
      <c r="AG1965" s="1"/>
    </row>
    <row r="1966" ht="15.75" customHeight="1">
      <c r="A1966" s="1"/>
      <c r="B1966" s="1"/>
      <c r="C1966" s="1"/>
      <c r="D1966" s="1"/>
      <c r="E1966" s="1"/>
      <c r="F1966" s="1"/>
      <c r="G1966" s="1"/>
      <c r="H1966" s="1"/>
      <c r="I1966" s="1"/>
      <c r="J1966" s="1"/>
      <c r="K1966" s="102" t="s">
        <v>3674</v>
      </c>
      <c r="L1966" s="102" t="str">
        <f>I42</f>
        <v>J1a2a1a1b~</v>
      </c>
      <c r="M1966" s="102"/>
      <c r="N1966" s="102"/>
      <c r="O1966" s="105">
        <v>7106611.0</v>
      </c>
      <c r="P1966" s="105">
        <v>7238570.0</v>
      </c>
      <c r="Q1966" s="102" t="s">
        <v>2529</v>
      </c>
      <c r="S1966" s="1"/>
      <c r="T1966" s="1"/>
      <c r="U1966" s="1"/>
      <c r="V1966" s="1"/>
      <c r="W1966" s="1"/>
      <c r="X1966" s="1"/>
      <c r="Y1966" s="1"/>
      <c r="Z1966" s="102"/>
      <c r="AA1966" s="102"/>
      <c r="AB1966" s="1"/>
      <c r="AC1966" s="1"/>
      <c r="AD1966" s="1"/>
      <c r="AE1966" s="1"/>
      <c r="AF1966" s="1"/>
      <c r="AG1966" s="1"/>
    </row>
    <row r="1967" ht="15.75" customHeight="1">
      <c r="A1967" s="1"/>
      <c r="B1967" s="1"/>
      <c r="C1967" s="1"/>
      <c r="D1967" s="1"/>
      <c r="E1967" s="1"/>
      <c r="F1967" s="1"/>
      <c r="G1967" s="1"/>
      <c r="H1967" s="1"/>
      <c r="I1967" s="1"/>
      <c r="J1967" s="1"/>
      <c r="K1967" s="102" t="s">
        <v>3675</v>
      </c>
      <c r="L1967" s="102" t="str">
        <f>I42</f>
        <v>J1a2a1a1b~</v>
      </c>
      <c r="M1967" s="102"/>
      <c r="N1967" s="102"/>
      <c r="O1967" s="105">
        <v>7323317.0</v>
      </c>
      <c r="P1967" s="105">
        <v>7455276.0</v>
      </c>
      <c r="Q1967" s="102" t="s">
        <v>2563</v>
      </c>
      <c r="S1967" s="1"/>
      <c r="T1967" s="1"/>
      <c r="U1967" s="1"/>
      <c r="V1967" s="1"/>
      <c r="W1967" s="1"/>
      <c r="X1967" s="1"/>
      <c r="Y1967" s="1"/>
      <c r="Z1967" s="102"/>
      <c r="AA1967" s="102"/>
      <c r="AB1967" s="1"/>
      <c r="AC1967" s="1"/>
      <c r="AD1967" s="1"/>
      <c r="AE1967" s="1"/>
      <c r="AF1967" s="1"/>
      <c r="AG1967" s="1"/>
    </row>
    <row r="1968" ht="15.75" customHeight="1">
      <c r="A1968" s="1"/>
      <c r="B1968" s="1"/>
      <c r="C1968" s="1"/>
      <c r="D1968" s="1"/>
      <c r="E1968" s="1"/>
      <c r="F1968" s="1"/>
      <c r="G1968" s="1"/>
      <c r="H1968" s="1"/>
      <c r="I1968" s="1"/>
      <c r="J1968" s="1"/>
      <c r="K1968" s="102" t="s">
        <v>3676</v>
      </c>
      <c r="L1968" s="102" t="str">
        <f>I42</f>
        <v>J1a2a1a1b~</v>
      </c>
      <c r="M1968" s="102"/>
      <c r="N1968" s="102"/>
      <c r="O1968" s="105">
        <v>7330145.0</v>
      </c>
      <c r="P1968" s="105">
        <v>7462104.0</v>
      </c>
      <c r="Q1968" s="102" t="s">
        <v>2439</v>
      </c>
      <c r="S1968" s="1"/>
      <c r="T1968" s="1"/>
      <c r="U1968" s="1"/>
      <c r="V1968" s="1"/>
      <c r="W1968" s="1"/>
      <c r="X1968" s="1"/>
      <c r="Y1968" s="1"/>
      <c r="Z1968" s="102"/>
      <c r="AA1968" s="102"/>
      <c r="AB1968" s="1"/>
      <c r="AC1968" s="1"/>
      <c r="AD1968" s="1"/>
      <c r="AE1968" s="1"/>
      <c r="AF1968" s="1"/>
      <c r="AG1968" s="1"/>
    </row>
    <row r="1969" ht="15.75" customHeight="1">
      <c r="A1969" s="1"/>
      <c r="B1969" s="1"/>
      <c r="C1969" s="1"/>
      <c r="D1969" s="1"/>
      <c r="E1969" s="1"/>
      <c r="F1969" s="1"/>
      <c r="G1969" s="1"/>
      <c r="H1969" s="1"/>
      <c r="I1969" s="1"/>
      <c r="J1969" s="1"/>
      <c r="K1969" s="102" t="s">
        <v>3677</v>
      </c>
      <c r="L1969" s="102" t="str">
        <f>I42</f>
        <v>J1a2a1a1b~</v>
      </c>
      <c r="M1969" s="102"/>
      <c r="N1969" s="102"/>
      <c r="O1969" s="105">
        <v>1.4052631E7</v>
      </c>
      <c r="P1969" s="105">
        <v>1.1931925E7</v>
      </c>
      <c r="Q1969" s="102" t="s">
        <v>2439</v>
      </c>
      <c r="S1969" s="1"/>
      <c r="T1969" s="1"/>
      <c r="U1969" s="1"/>
      <c r="V1969" s="1"/>
      <c r="W1969" s="1"/>
      <c r="X1969" s="1"/>
      <c r="Y1969" s="1"/>
      <c r="Z1969" s="102"/>
      <c r="AA1969" s="102"/>
      <c r="AB1969" s="1"/>
      <c r="AC1969" s="1"/>
      <c r="AD1969" s="1"/>
      <c r="AE1969" s="1"/>
      <c r="AF1969" s="1"/>
      <c r="AG1969" s="1"/>
    </row>
    <row r="1970" ht="15.75" customHeight="1">
      <c r="A1970" s="1"/>
      <c r="B1970" s="1"/>
      <c r="C1970" s="1"/>
      <c r="D1970" s="1"/>
      <c r="E1970" s="1"/>
      <c r="F1970" s="1"/>
      <c r="G1970" s="1"/>
      <c r="H1970" s="1"/>
      <c r="I1970" s="1"/>
      <c r="J1970" s="1"/>
      <c r="K1970" s="102" t="s">
        <v>3678</v>
      </c>
      <c r="L1970" s="102" t="str">
        <f>I42</f>
        <v>J1a2a1a1b~</v>
      </c>
      <c r="M1970" s="102"/>
      <c r="N1970" s="102"/>
      <c r="O1970" s="102">
        <v>1.422946E7</v>
      </c>
      <c r="P1970" s="102">
        <v>1.2108754E7</v>
      </c>
      <c r="Q1970" s="102" t="s">
        <v>2501</v>
      </c>
      <c r="S1970" s="1"/>
      <c r="T1970" s="1"/>
      <c r="U1970" s="1"/>
      <c r="V1970" s="1"/>
      <c r="W1970" s="1"/>
      <c r="X1970" s="1"/>
      <c r="Y1970" s="1"/>
      <c r="Z1970" s="102">
        <v>1.422946E7</v>
      </c>
      <c r="AA1970" s="102"/>
      <c r="AB1970" s="1"/>
      <c r="AC1970" s="1"/>
      <c r="AD1970" s="1"/>
      <c r="AE1970" s="1"/>
      <c r="AF1970" s="1"/>
      <c r="AG1970" s="1"/>
    </row>
    <row r="1971" ht="15.75" customHeight="1">
      <c r="A1971" s="1"/>
      <c r="B1971" s="1"/>
      <c r="C1971" s="1"/>
      <c r="D1971" s="1"/>
      <c r="E1971" s="1"/>
      <c r="F1971" s="1"/>
      <c r="G1971" s="1"/>
      <c r="H1971" s="1"/>
      <c r="I1971" s="1"/>
      <c r="J1971" s="1"/>
      <c r="K1971" s="102" t="s">
        <v>3679</v>
      </c>
      <c r="L1971" s="102" t="str">
        <f>I42</f>
        <v>J1a2a1a1b~</v>
      </c>
      <c r="M1971" s="102"/>
      <c r="N1971" s="102"/>
      <c r="O1971" s="105">
        <v>1.4584346E7</v>
      </c>
      <c r="P1971" s="105">
        <v>1.2472546E7</v>
      </c>
      <c r="Q1971" s="102" t="s">
        <v>2514</v>
      </c>
      <c r="S1971" s="1"/>
      <c r="T1971" s="1"/>
      <c r="U1971" s="1"/>
      <c r="V1971" s="1"/>
      <c r="W1971" s="1"/>
      <c r="X1971" s="1"/>
      <c r="Y1971" s="1"/>
      <c r="Z1971" s="102"/>
      <c r="AA1971" s="102"/>
      <c r="AB1971" s="1"/>
      <c r="AC1971" s="1"/>
      <c r="AD1971" s="1"/>
      <c r="AE1971" s="1"/>
      <c r="AF1971" s="1"/>
      <c r="AG1971" s="1"/>
    </row>
    <row r="1972" ht="15.75" customHeight="1">
      <c r="A1972" s="1"/>
      <c r="B1972" s="1"/>
      <c r="C1972" s="1"/>
      <c r="D1972" s="1"/>
      <c r="E1972" s="1"/>
      <c r="F1972" s="1"/>
      <c r="G1972" s="1"/>
      <c r="H1972" s="1"/>
      <c r="I1972" s="1"/>
      <c r="J1972" s="1"/>
      <c r="K1972" s="102" t="s">
        <v>3680</v>
      </c>
      <c r="L1972" s="102" t="str">
        <f>I42</f>
        <v>J1a2a1a1b~</v>
      </c>
      <c r="M1972" s="102"/>
      <c r="N1972" s="102" t="s">
        <v>3681</v>
      </c>
      <c r="O1972" s="105">
        <v>1.5240103E7</v>
      </c>
      <c r="P1972" s="105">
        <v>1.3128189E7</v>
      </c>
      <c r="Q1972" s="102" t="s">
        <v>2423</v>
      </c>
      <c r="S1972" s="1"/>
      <c r="T1972" s="1"/>
      <c r="U1972" s="1"/>
      <c r="V1972" s="1"/>
      <c r="W1972" s="1"/>
      <c r="X1972" s="1"/>
      <c r="Y1972" s="1"/>
      <c r="Z1972" s="102"/>
      <c r="AA1972" s="102"/>
      <c r="AB1972" s="1"/>
      <c r="AC1972" s="1"/>
      <c r="AD1972" s="1"/>
      <c r="AE1972" s="1"/>
      <c r="AF1972" s="1"/>
      <c r="AG1972" s="1"/>
    </row>
    <row r="1973" ht="15.75" customHeight="1">
      <c r="A1973" s="1"/>
      <c r="B1973" s="1"/>
      <c r="C1973" s="1"/>
      <c r="D1973" s="1"/>
      <c r="E1973" s="1"/>
      <c r="F1973" s="1"/>
      <c r="G1973" s="1"/>
      <c r="H1973" s="1"/>
      <c r="I1973" s="1"/>
      <c r="J1973" s="1"/>
      <c r="K1973" s="102" t="s">
        <v>3682</v>
      </c>
      <c r="L1973" s="102" t="str">
        <f>I42</f>
        <v>J1a2a1a1b~</v>
      </c>
      <c r="M1973" s="102"/>
      <c r="N1973" s="102" t="s">
        <v>3683</v>
      </c>
      <c r="O1973" s="105">
        <v>1.5441561E7</v>
      </c>
      <c r="P1973" s="105">
        <v>1.3329681E7</v>
      </c>
      <c r="Q1973" s="102" t="s">
        <v>2501</v>
      </c>
      <c r="S1973" s="1"/>
      <c r="T1973" s="1"/>
      <c r="U1973" s="1"/>
      <c r="V1973" s="1"/>
      <c r="W1973" s="1"/>
      <c r="X1973" s="1"/>
      <c r="Y1973" s="1"/>
      <c r="Z1973" s="102"/>
      <c r="AA1973" s="102"/>
      <c r="AB1973" s="1"/>
      <c r="AC1973" s="1"/>
      <c r="AD1973" s="1"/>
      <c r="AE1973" s="1"/>
      <c r="AF1973" s="1"/>
      <c r="AG1973" s="1"/>
    </row>
    <row r="1974" ht="15.75" customHeight="1">
      <c r="A1974" s="1"/>
      <c r="B1974" s="1"/>
      <c r="C1974" s="1"/>
      <c r="D1974" s="1"/>
      <c r="E1974" s="1"/>
      <c r="F1974" s="1"/>
      <c r="G1974" s="1"/>
      <c r="H1974" s="1"/>
      <c r="I1974" s="1"/>
      <c r="J1974" s="1"/>
      <c r="K1974" s="102" t="s">
        <v>3684</v>
      </c>
      <c r="L1974" s="102" t="str">
        <f>I42</f>
        <v>J1a2a1a1b~</v>
      </c>
      <c r="M1974" s="102"/>
      <c r="N1974" s="102" t="s">
        <v>3685</v>
      </c>
      <c r="O1974" s="105">
        <v>1.4710271E7</v>
      </c>
      <c r="P1974" s="105">
        <v>1.2598338E7</v>
      </c>
      <c r="Q1974" s="102" t="s">
        <v>2446</v>
      </c>
      <c r="S1974" s="1"/>
      <c r="T1974" s="1"/>
      <c r="U1974" s="1"/>
      <c r="V1974" s="1"/>
      <c r="W1974" s="1"/>
      <c r="X1974" s="1"/>
      <c r="Y1974" s="1"/>
      <c r="Z1974" s="102"/>
      <c r="AA1974" s="102"/>
      <c r="AB1974" s="1"/>
      <c r="AC1974" s="1"/>
      <c r="AD1974" s="1"/>
      <c r="AE1974" s="1"/>
      <c r="AF1974" s="1"/>
      <c r="AG1974" s="1"/>
    </row>
    <row r="1975" ht="15.75" customHeight="1">
      <c r="A1975" s="1"/>
      <c r="B1975" s="1"/>
      <c r="C1975" s="1"/>
      <c r="D1975" s="1"/>
      <c r="E1975" s="1"/>
      <c r="F1975" s="1"/>
      <c r="G1975" s="1"/>
      <c r="H1975" s="1"/>
      <c r="I1975" s="1"/>
      <c r="J1975" s="1"/>
      <c r="K1975" s="102" t="s">
        <v>3686</v>
      </c>
      <c r="L1975" s="102" t="str">
        <f>I42</f>
        <v>J1a2a1a1b~</v>
      </c>
      <c r="M1975" s="102"/>
      <c r="N1975" s="102" t="s">
        <v>3687</v>
      </c>
      <c r="O1975" s="105">
        <v>1.5050472E7</v>
      </c>
      <c r="P1975" s="105">
        <v>1.2938563E7</v>
      </c>
      <c r="Q1975" s="102" t="s">
        <v>2439</v>
      </c>
      <c r="S1975" s="1"/>
      <c r="T1975" s="1"/>
      <c r="U1975" s="1"/>
      <c r="V1975" s="1"/>
      <c r="W1975" s="1"/>
      <c r="X1975" s="1"/>
      <c r="Y1975" s="1"/>
      <c r="Z1975" s="102"/>
      <c r="AA1975" s="102"/>
      <c r="AB1975" s="1"/>
      <c r="AC1975" s="1"/>
      <c r="AD1975" s="1"/>
      <c r="AE1975" s="1"/>
      <c r="AF1975" s="1"/>
      <c r="AG1975" s="1"/>
    </row>
    <row r="1976" ht="15.75" customHeight="1">
      <c r="A1976" s="1"/>
      <c r="B1976" s="1"/>
      <c r="C1976" s="1"/>
      <c r="D1976" s="1"/>
      <c r="E1976" s="1"/>
      <c r="F1976" s="1"/>
      <c r="G1976" s="1"/>
      <c r="H1976" s="1"/>
      <c r="I1976" s="1"/>
      <c r="J1976" s="1"/>
      <c r="K1976" s="102" t="s">
        <v>3688</v>
      </c>
      <c r="L1976" s="102" t="str">
        <f>I42</f>
        <v>J1a2a1a1b~</v>
      </c>
      <c r="M1976" s="102"/>
      <c r="N1976" s="102" t="s">
        <v>3689</v>
      </c>
      <c r="O1976" s="105">
        <v>1.5304272E7</v>
      </c>
      <c r="P1976" s="105">
        <v>1.3192371E7</v>
      </c>
      <c r="Q1976" s="102" t="s">
        <v>2468</v>
      </c>
      <c r="S1976" s="1"/>
      <c r="T1976" s="1"/>
      <c r="U1976" s="1"/>
      <c r="V1976" s="1"/>
      <c r="W1976" s="1"/>
      <c r="X1976" s="1"/>
      <c r="Y1976" s="1"/>
      <c r="Z1976" s="102"/>
      <c r="AA1976" s="102"/>
      <c r="AB1976" s="1"/>
      <c r="AC1976" s="1"/>
      <c r="AD1976" s="1"/>
      <c r="AE1976" s="1"/>
      <c r="AF1976" s="1"/>
      <c r="AG1976" s="1"/>
    </row>
    <row r="1977" ht="15.75" customHeight="1">
      <c r="A1977" s="1"/>
      <c r="B1977" s="1"/>
      <c r="C1977" s="1"/>
      <c r="D1977" s="1"/>
      <c r="E1977" s="1"/>
      <c r="F1977" s="1"/>
      <c r="G1977" s="1"/>
      <c r="H1977" s="1"/>
      <c r="I1977" s="1"/>
      <c r="J1977" s="1"/>
      <c r="K1977" s="102" t="s">
        <v>3690</v>
      </c>
      <c r="L1977" s="102" t="str">
        <f>I42</f>
        <v>J1a2a1a1b~</v>
      </c>
      <c r="M1977" s="102"/>
      <c r="N1977" s="102" t="s">
        <v>3691</v>
      </c>
      <c r="O1977" s="105">
        <v>1.5933839E7</v>
      </c>
      <c r="P1977" s="105">
        <v>1.3821959E7</v>
      </c>
      <c r="Q1977" s="102" t="s">
        <v>2501</v>
      </c>
      <c r="S1977" s="1"/>
      <c r="T1977" s="1"/>
      <c r="U1977" s="1"/>
      <c r="V1977" s="1"/>
      <c r="W1977" s="1"/>
      <c r="X1977" s="1"/>
      <c r="Y1977" s="1"/>
      <c r="Z1977" s="102"/>
      <c r="AA1977" s="102"/>
      <c r="AB1977" s="1"/>
      <c r="AC1977" s="1"/>
      <c r="AD1977" s="1"/>
      <c r="AE1977" s="1"/>
      <c r="AF1977" s="1"/>
      <c r="AG1977" s="1"/>
    </row>
    <row r="1978" ht="15.75" customHeight="1">
      <c r="A1978" s="1"/>
      <c r="B1978" s="1"/>
      <c r="C1978" s="1"/>
      <c r="D1978" s="1"/>
      <c r="E1978" s="1"/>
      <c r="F1978" s="1"/>
      <c r="G1978" s="1"/>
      <c r="H1978" s="1"/>
      <c r="I1978" s="1"/>
      <c r="J1978" s="1"/>
      <c r="K1978" s="102" t="s">
        <v>3692</v>
      </c>
      <c r="L1978" s="102" t="str">
        <f>I42</f>
        <v>J1a2a1a1b~</v>
      </c>
      <c r="M1978" s="102"/>
      <c r="N1978" s="102" t="s">
        <v>3693</v>
      </c>
      <c r="O1978" s="105">
        <v>1.6581869E7</v>
      </c>
      <c r="P1978" s="105">
        <v>1.4469989E7</v>
      </c>
      <c r="Q1978" s="102" t="s">
        <v>2529</v>
      </c>
      <c r="S1978" s="1"/>
      <c r="T1978" s="1"/>
      <c r="U1978" s="1"/>
      <c r="V1978" s="1"/>
      <c r="W1978" s="1"/>
      <c r="X1978" s="1"/>
      <c r="Y1978" s="1"/>
      <c r="Z1978" s="102"/>
      <c r="AA1978" s="102"/>
      <c r="AB1978" s="1"/>
      <c r="AC1978" s="1"/>
      <c r="AD1978" s="1"/>
      <c r="AE1978" s="1"/>
      <c r="AF1978" s="1"/>
      <c r="AG1978" s="1"/>
    </row>
    <row r="1979" ht="15.75" customHeight="1">
      <c r="A1979" s="1"/>
      <c r="B1979" s="1"/>
      <c r="C1979" s="1"/>
      <c r="D1979" s="1"/>
      <c r="E1979" s="1"/>
      <c r="F1979" s="1"/>
      <c r="G1979" s="1"/>
      <c r="H1979" s="1"/>
      <c r="I1979" s="1"/>
      <c r="J1979" s="1"/>
      <c r="K1979" s="102" t="s">
        <v>3694</v>
      </c>
      <c r="L1979" s="102" t="str">
        <f>I42</f>
        <v>J1a2a1a1b~</v>
      </c>
      <c r="M1979" s="102"/>
      <c r="N1979" s="102"/>
      <c r="O1979" s="105">
        <v>1.7031364E7</v>
      </c>
      <c r="P1979" s="105">
        <v>1.4919484E7</v>
      </c>
      <c r="Q1979" s="102" t="s">
        <v>2439</v>
      </c>
      <c r="S1979" s="1"/>
      <c r="T1979" s="1"/>
      <c r="U1979" s="1"/>
      <c r="V1979" s="1"/>
      <c r="W1979" s="1"/>
      <c r="X1979" s="1"/>
      <c r="Y1979" s="1"/>
      <c r="Z1979" s="102"/>
      <c r="AA1979" s="102"/>
      <c r="AB1979" s="1"/>
      <c r="AC1979" s="1"/>
      <c r="AD1979" s="1"/>
      <c r="AE1979" s="1"/>
      <c r="AF1979" s="1"/>
      <c r="AG1979" s="1"/>
    </row>
    <row r="1980" ht="15.75" customHeight="1">
      <c r="A1980" s="1"/>
      <c r="B1980" s="1"/>
      <c r="C1980" s="1"/>
      <c r="D1980" s="1"/>
      <c r="E1980" s="1"/>
      <c r="F1980" s="1"/>
      <c r="G1980" s="1"/>
      <c r="H1980" s="1"/>
      <c r="I1980" s="1"/>
      <c r="J1980" s="1"/>
      <c r="K1980" s="102" t="s">
        <v>3695</v>
      </c>
      <c r="L1980" s="102" t="str">
        <f>I42</f>
        <v>J1a2a1a1b~</v>
      </c>
      <c r="M1980" s="102"/>
      <c r="N1980" s="102" t="s">
        <v>3696</v>
      </c>
      <c r="O1980" s="105">
        <v>1.7188923E7</v>
      </c>
      <c r="P1980" s="105">
        <v>1.5077043E7</v>
      </c>
      <c r="Q1980" s="102" t="s">
        <v>2576</v>
      </c>
      <c r="S1980" s="1"/>
      <c r="T1980" s="1"/>
      <c r="U1980" s="1"/>
      <c r="V1980" s="1"/>
      <c r="W1980" s="1"/>
      <c r="X1980" s="1"/>
      <c r="Y1980" s="1"/>
      <c r="Z1980" s="102"/>
      <c r="AA1980" s="102"/>
      <c r="AB1980" s="1"/>
      <c r="AC1980" s="1"/>
      <c r="AD1980" s="1"/>
      <c r="AE1980" s="1"/>
      <c r="AF1980" s="1"/>
      <c r="AG1980" s="1"/>
    </row>
    <row r="1981" ht="15.75" customHeight="1">
      <c r="A1981" s="1"/>
      <c r="B1981" s="1"/>
      <c r="C1981" s="1"/>
      <c r="D1981" s="1"/>
      <c r="E1981" s="1"/>
      <c r="F1981" s="1"/>
      <c r="G1981" s="1"/>
      <c r="H1981" s="1"/>
      <c r="I1981" s="1"/>
      <c r="J1981" s="1"/>
      <c r="K1981" s="102" t="s">
        <v>3697</v>
      </c>
      <c r="L1981" s="102" t="str">
        <f>I42</f>
        <v>J1a2a1a1b~</v>
      </c>
      <c r="M1981" s="102"/>
      <c r="N1981" s="102" t="s">
        <v>3698</v>
      </c>
      <c r="O1981" s="105">
        <v>1.7421259E7</v>
      </c>
      <c r="P1981" s="105">
        <v>1.5309379E7</v>
      </c>
      <c r="Q1981" s="102" t="s">
        <v>2529</v>
      </c>
      <c r="S1981" s="1"/>
      <c r="T1981" s="1"/>
      <c r="U1981" s="1"/>
      <c r="V1981" s="1"/>
      <c r="W1981" s="1"/>
      <c r="X1981" s="1"/>
      <c r="Y1981" s="1"/>
      <c r="Z1981" s="102"/>
      <c r="AA1981" s="102"/>
      <c r="AB1981" s="1"/>
      <c r="AC1981" s="1"/>
      <c r="AD1981" s="1"/>
      <c r="AE1981" s="1"/>
      <c r="AF1981" s="1"/>
      <c r="AG1981" s="1"/>
    </row>
    <row r="1982" ht="15.75" customHeight="1">
      <c r="A1982" s="1"/>
      <c r="B1982" s="1"/>
      <c r="C1982" s="1"/>
      <c r="D1982" s="1"/>
      <c r="E1982" s="1"/>
      <c r="F1982" s="1"/>
      <c r="G1982" s="1"/>
      <c r="H1982" s="1"/>
      <c r="I1982" s="1"/>
      <c r="J1982" s="1"/>
      <c r="K1982" s="102" t="s">
        <v>3699</v>
      </c>
      <c r="L1982" s="102" t="str">
        <f>I42</f>
        <v>J1a2a1a1b~</v>
      </c>
      <c r="M1982" s="102"/>
      <c r="N1982" s="102" t="s">
        <v>3700</v>
      </c>
      <c r="O1982" s="105">
        <v>1.7656115E7</v>
      </c>
      <c r="P1982" s="105">
        <v>1.5544235E7</v>
      </c>
      <c r="Q1982" s="102" t="s">
        <v>2501</v>
      </c>
      <c r="S1982" s="1"/>
      <c r="T1982" s="1"/>
      <c r="U1982" s="1"/>
      <c r="V1982" s="1"/>
      <c r="W1982" s="1"/>
      <c r="X1982" s="1"/>
      <c r="Y1982" s="1"/>
      <c r="Z1982" s="102"/>
      <c r="AA1982" s="102"/>
      <c r="AB1982" s="1"/>
      <c r="AC1982" s="1"/>
      <c r="AD1982" s="1"/>
      <c r="AE1982" s="1"/>
      <c r="AF1982" s="1"/>
      <c r="AG1982" s="1"/>
    </row>
    <row r="1983" ht="15.75" customHeight="1">
      <c r="A1983" s="1"/>
      <c r="B1983" s="1"/>
      <c r="C1983" s="1"/>
      <c r="D1983" s="1"/>
      <c r="E1983" s="1"/>
      <c r="F1983" s="1"/>
      <c r="G1983" s="1"/>
      <c r="H1983" s="1"/>
      <c r="I1983" s="1"/>
      <c r="J1983" s="1"/>
      <c r="K1983" s="102" t="s">
        <v>3701</v>
      </c>
      <c r="L1983" s="102" t="str">
        <f>I42</f>
        <v>J1a2a1a1b~</v>
      </c>
      <c r="M1983" s="102"/>
      <c r="N1983" s="102" t="s">
        <v>3702</v>
      </c>
      <c r="O1983" s="105">
        <v>1.7790351E7</v>
      </c>
      <c r="P1983" s="105">
        <v>1.5678471E7</v>
      </c>
      <c r="Q1983" s="102" t="s">
        <v>2446</v>
      </c>
      <c r="S1983" s="1"/>
      <c r="T1983" s="1"/>
      <c r="U1983" s="1"/>
      <c r="V1983" s="1"/>
      <c r="W1983" s="1"/>
      <c r="X1983" s="1"/>
      <c r="Y1983" s="1"/>
      <c r="Z1983" s="102"/>
      <c r="AA1983" s="102"/>
      <c r="AB1983" s="1"/>
      <c r="AC1983" s="1"/>
      <c r="AD1983" s="1"/>
      <c r="AE1983" s="1"/>
      <c r="AF1983" s="1"/>
      <c r="AG1983" s="1"/>
    </row>
    <row r="1984" ht="15.75" customHeight="1">
      <c r="A1984" s="1"/>
      <c r="B1984" s="1"/>
      <c r="C1984" s="1"/>
      <c r="D1984" s="1"/>
      <c r="E1984" s="1"/>
      <c r="F1984" s="1"/>
      <c r="G1984" s="1"/>
      <c r="H1984" s="1"/>
      <c r="I1984" s="1"/>
      <c r="J1984" s="1"/>
      <c r="K1984" s="102" t="s">
        <v>3703</v>
      </c>
      <c r="L1984" s="102" t="str">
        <f>I42</f>
        <v>J1a2a1a1b~</v>
      </c>
      <c r="M1984" s="102"/>
      <c r="N1984" s="102" t="s">
        <v>3704</v>
      </c>
      <c r="O1984" s="105">
        <v>1.8072155E7</v>
      </c>
      <c r="P1984" s="105">
        <v>1.5960275E7</v>
      </c>
      <c r="Q1984" s="102" t="s">
        <v>2501</v>
      </c>
      <c r="S1984" s="1"/>
      <c r="T1984" s="1"/>
      <c r="U1984" s="1"/>
      <c r="V1984" s="1"/>
      <c r="W1984" s="1"/>
      <c r="X1984" s="1"/>
      <c r="Y1984" s="1"/>
      <c r="Z1984" s="102"/>
      <c r="AA1984" s="102"/>
      <c r="AB1984" s="1"/>
      <c r="AC1984" s="1"/>
      <c r="AD1984" s="1"/>
      <c r="AE1984" s="1"/>
      <c r="AF1984" s="1"/>
      <c r="AG1984" s="1"/>
    </row>
    <row r="1985" ht="15.75" customHeight="1">
      <c r="A1985" s="1"/>
      <c r="B1985" s="1"/>
      <c r="C1985" s="1"/>
      <c r="D1985" s="1"/>
      <c r="E1985" s="1"/>
      <c r="F1985" s="1"/>
      <c r="G1985" s="1"/>
      <c r="H1985" s="1"/>
      <c r="I1985" s="1"/>
      <c r="J1985" s="1"/>
      <c r="K1985" s="102" t="s">
        <v>3705</v>
      </c>
      <c r="L1985" s="102" t="str">
        <f>I42</f>
        <v>J1a2a1a1b~</v>
      </c>
      <c r="M1985" s="102"/>
      <c r="N1985" s="102" t="s">
        <v>3706</v>
      </c>
      <c r="O1985" s="105">
        <v>1.8642438E7</v>
      </c>
      <c r="P1985" s="105">
        <v>1.6530558E7</v>
      </c>
      <c r="Q1985" s="102" t="s">
        <v>2446</v>
      </c>
      <c r="S1985" s="1"/>
      <c r="T1985" s="1"/>
      <c r="U1985" s="1"/>
      <c r="V1985" s="1"/>
      <c r="W1985" s="1"/>
      <c r="X1985" s="1"/>
      <c r="Y1985" s="1"/>
      <c r="Z1985" s="102"/>
      <c r="AA1985" s="102"/>
      <c r="AB1985" s="1"/>
      <c r="AC1985" s="1"/>
      <c r="AD1985" s="1"/>
      <c r="AE1985" s="1"/>
      <c r="AF1985" s="1"/>
      <c r="AG1985" s="1"/>
    </row>
    <row r="1986" ht="15.75" customHeight="1">
      <c r="A1986" s="1"/>
      <c r="B1986" s="1"/>
      <c r="C1986" s="1"/>
      <c r="D1986" s="1"/>
      <c r="E1986" s="1"/>
      <c r="F1986" s="1"/>
      <c r="G1986" s="1"/>
      <c r="H1986" s="1"/>
      <c r="I1986" s="1"/>
      <c r="J1986" s="1"/>
      <c r="K1986" s="102" t="s">
        <v>3707</v>
      </c>
      <c r="L1986" s="102" t="str">
        <f>I42</f>
        <v>J1a2a1a1b~</v>
      </c>
      <c r="M1986" s="102"/>
      <c r="N1986" s="102" t="s">
        <v>3708</v>
      </c>
      <c r="O1986" s="105">
        <v>1.8960272E7</v>
      </c>
      <c r="P1986" s="105">
        <v>1.6848392E7</v>
      </c>
      <c r="Q1986" s="102" t="s">
        <v>2432</v>
      </c>
      <c r="S1986" s="1"/>
      <c r="T1986" s="1"/>
      <c r="U1986" s="1"/>
      <c r="V1986" s="1"/>
      <c r="W1986" s="1"/>
      <c r="X1986" s="1"/>
      <c r="Y1986" s="1"/>
      <c r="Z1986" s="102"/>
      <c r="AA1986" s="102"/>
      <c r="AB1986" s="1"/>
      <c r="AC1986" s="1"/>
      <c r="AD1986" s="1"/>
      <c r="AE1986" s="1"/>
      <c r="AF1986" s="1"/>
      <c r="AG1986" s="1"/>
    </row>
    <row r="1987" ht="15.75" customHeight="1">
      <c r="A1987" s="1"/>
      <c r="B1987" s="1"/>
      <c r="C1987" s="1"/>
      <c r="D1987" s="1"/>
      <c r="E1987" s="1"/>
      <c r="F1987" s="1"/>
      <c r="G1987" s="1"/>
      <c r="H1987" s="1"/>
      <c r="I1987" s="1"/>
      <c r="J1987" s="1"/>
      <c r="K1987" s="102" t="s">
        <v>3709</v>
      </c>
      <c r="L1987" s="102" t="str">
        <f>I42</f>
        <v>J1a2a1a1b~</v>
      </c>
      <c r="M1987" s="102"/>
      <c r="N1987" s="102" t="s">
        <v>3710</v>
      </c>
      <c r="O1987" s="105">
        <v>1.9003884E7</v>
      </c>
      <c r="P1987" s="105">
        <v>1.6892004E7</v>
      </c>
      <c r="Q1987" s="102" t="s">
        <v>2529</v>
      </c>
      <c r="S1987" s="1"/>
      <c r="T1987" s="1"/>
      <c r="U1987" s="1"/>
      <c r="V1987" s="1"/>
      <c r="W1987" s="1"/>
      <c r="X1987" s="1"/>
      <c r="Y1987" s="1"/>
      <c r="Z1987" s="102"/>
      <c r="AA1987" s="102"/>
      <c r="AB1987" s="1"/>
      <c r="AC1987" s="1"/>
      <c r="AD1987" s="1"/>
      <c r="AE1987" s="1"/>
      <c r="AF1987" s="1"/>
      <c r="AG1987" s="1"/>
    </row>
    <row r="1988" ht="15.75" customHeight="1">
      <c r="A1988" s="1"/>
      <c r="B1988" s="1"/>
      <c r="C1988" s="1"/>
      <c r="D1988" s="1"/>
      <c r="E1988" s="1"/>
      <c r="F1988" s="1"/>
      <c r="G1988" s="1"/>
      <c r="H1988" s="1"/>
      <c r="I1988" s="1"/>
      <c r="J1988" s="1"/>
      <c r="K1988" s="102" t="s">
        <v>3711</v>
      </c>
      <c r="L1988" s="102" t="str">
        <f>I42</f>
        <v>J1a2a1a1b~</v>
      </c>
      <c r="M1988" s="102"/>
      <c r="N1988" s="102" t="s">
        <v>3712</v>
      </c>
      <c r="O1988" s="105">
        <v>1.9443777E7</v>
      </c>
      <c r="P1988" s="105">
        <v>1.7331897E7</v>
      </c>
      <c r="Q1988" s="102" t="s">
        <v>2501</v>
      </c>
      <c r="S1988" s="1"/>
      <c r="T1988" s="1"/>
      <c r="U1988" s="1"/>
      <c r="V1988" s="1"/>
      <c r="W1988" s="1"/>
      <c r="X1988" s="1"/>
      <c r="Y1988" s="1"/>
      <c r="Z1988" s="102"/>
      <c r="AA1988" s="102"/>
      <c r="AB1988" s="1"/>
      <c r="AC1988" s="1"/>
      <c r="AD1988" s="1"/>
      <c r="AE1988" s="1"/>
      <c r="AF1988" s="1"/>
      <c r="AG1988" s="1"/>
    </row>
    <row r="1989" ht="15.75" customHeight="1">
      <c r="A1989" s="1"/>
      <c r="B1989" s="1"/>
      <c r="C1989" s="1"/>
      <c r="D1989" s="1"/>
      <c r="E1989" s="1"/>
      <c r="F1989" s="1"/>
      <c r="G1989" s="1"/>
      <c r="H1989" s="1"/>
      <c r="I1989" s="1"/>
      <c r="J1989" s="1"/>
      <c r="K1989" s="102" t="s">
        <v>3713</v>
      </c>
      <c r="L1989" s="102" t="str">
        <f>I42</f>
        <v>J1a2a1a1b~</v>
      </c>
      <c r="M1989" s="102"/>
      <c r="N1989" s="102" t="s">
        <v>3714</v>
      </c>
      <c r="O1989" s="105">
        <v>1.9450177E7</v>
      </c>
      <c r="P1989" s="105">
        <v>1.7338297E7</v>
      </c>
      <c r="Q1989" s="102" t="s">
        <v>2576</v>
      </c>
      <c r="S1989" s="1"/>
      <c r="T1989" s="1"/>
      <c r="U1989" s="1"/>
      <c r="V1989" s="1"/>
      <c r="W1989" s="1"/>
      <c r="X1989" s="1"/>
      <c r="Y1989" s="1"/>
      <c r="Z1989" s="102"/>
      <c r="AA1989" s="102"/>
      <c r="AB1989" s="1"/>
      <c r="AC1989" s="1"/>
      <c r="AD1989" s="1"/>
      <c r="AE1989" s="1"/>
      <c r="AF1989" s="1"/>
      <c r="AG1989" s="1"/>
    </row>
    <row r="1990" ht="15.75" customHeight="1">
      <c r="A1990" s="1"/>
      <c r="B1990" s="1"/>
      <c r="C1990" s="1"/>
      <c r="D1990" s="1"/>
      <c r="E1990" s="1"/>
      <c r="F1990" s="1"/>
      <c r="G1990" s="1"/>
      <c r="H1990" s="1"/>
      <c r="I1990" s="1"/>
      <c r="J1990" s="1"/>
      <c r="K1990" s="102" t="s">
        <v>3715</v>
      </c>
      <c r="L1990" s="102" t="str">
        <f>I42</f>
        <v>J1a2a1a1b~</v>
      </c>
      <c r="M1990" s="102"/>
      <c r="N1990" s="102"/>
      <c r="O1990" s="105">
        <v>2.1608099E7</v>
      </c>
      <c r="P1990" s="105">
        <v>1.9446213E7</v>
      </c>
      <c r="Q1990" s="102" t="s">
        <v>2501</v>
      </c>
      <c r="S1990" s="1"/>
      <c r="T1990" s="1"/>
      <c r="U1990" s="1"/>
      <c r="V1990" s="1"/>
      <c r="W1990" s="1"/>
      <c r="X1990" s="1"/>
      <c r="Y1990" s="1"/>
      <c r="Z1990" s="102"/>
      <c r="AA1990" s="102"/>
      <c r="AB1990" s="1"/>
      <c r="AC1990" s="1"/>
      <c r="AD1990" s="1"/>
      <c r="AE1990" s="1"/>
      <c r="AF1990" s="1"/>
      <c r="AG1990" s="1"/>
    </row>
    <row r="1991" ht="15.75" customHeight="1">
      <c r="A1991" s="1"/>
      <c r="B1991" s="1"/>
      <c r="C1991" s="1"/>
      <c r="D1991" s="1"/>
      <c r="E1991" s="1"/>
      <c r="F1991" s="1"/>
      <c r="G1991" s="1"/>
      <c r="H1991" s="1"/>
      <c r="I1991" s="1"/>
      <c r="J1991" s="1"/>
      <c r="K1991" s="102" t="s">
        <v>3716</v>
      </c>
      <c r="L1991" s="102" t="str">
        <f>I42</f>
        <v>J1a2a1a1b~</v>
      </c>
      <c r="M1991" s="102"/>
      <c r="N1991" s="102" t="s">
        <v>3717</v>
      </c>
      <c r="O1991" s="105">
        <v>2.276264E7</v>
      </c>
      <c r="P1991" s="105">
        <v>2.0600754E7</v>
      </c>
      <c r="Q1991" s="102" t="s">
        <v>2501</v>
      </c>
      <c r="S1991" s="1"/>
      <c r="T1991" s="1"/>
      <c r="U1991" s="1"/>
      <c r="V1991" s="1"/>
      <c r="W1991" s="1"/>
      <c r="X1991" s="1"/>
      <c r="Y1991" s="1"/>
      <c r="Z1991" s="102"/>
      <c r="AA1991" s="102"/>
      <c r="AB1991" s="1"/>
      <c r="AC1991" s="1"/>
      <c r="AD1991" s="1"/>
      <c r="AE1991" s="1"/>
      <c r="AF1991" s="1"/>
      <c r="AG1991" s="1"/>
    </row>
    <row r="1992" ht="15.75" customHeight="1">
      <c r="A1992" s="1"/>
      <c r="B1992" s="1"/>
      <c r="C1992" s="1"/>
      <c r="D1992" s="1"/>
      <c r="E1992" s="1"/>
      <c r="F1992" s="1"/>
      <c r="G1992" s="1"/>
      <c r="H1992" s="1"/>
      <c r="I1992" s="1"/>
      <c r="J1992" s="1"/>
      <c r="K1992" s="102" t="s">
        <v>3718</v>
      </c>
      <c r="L1992" s="102" t="str">
        <f>I42</f>
        <v>J1a2a1a1b~</v>
      </c>
      <c r="M1992" s="102"/>
      <c r="N1992" s="102" t="s">
        <v>3719</v>
      </c>
      <c r="O1992" s="105">
        <v>2.3241391E7</v>
      </c>
      <c r="P1992" s="105">
        <v>2.1079505E7</v>
      </c>
      <c r="Q1992" s="102" t="s">
        <v>2468</v>
      </c>
      <c r="S1992" s="1"/>
      <c r="T1992" s="1"/>
      <c r="U1992" s="1"/>
      <c r="V1992" s="1"/>
      <c r="W1992" s="1"/>
      <c r="X1992" s="1"/>
      <c r="Y1992" s="1"/>
      <c r="Z1992" s="102"/>
      <c r="AA1992" s="102"/>
      <c r="AB1992" s="1"/>
      <c r="AC1992" s="1"/>
      <c r="AD1992" s="1"/>
      <c r="AE1992" s="1"/>
      <c r="AF1992" s="1"/>
      <c r="AG1992" s="1"/>
    </row>
    <row r="1993" ht="15.75" customHeight="1">
      <c r="A1993" s="1"/>
      <c r="B1993" s="1"/>
      <c r="C1993" s="1"/>
      <c r="D1993" s="1"/>
      <c r="E1993" s="1"/>
      <c r="F1993" s="1"/>
      <c r="G1993" s="1"/>
      <c r="H1993" s="1"/>
      <c r="I1993" s="1"/>
      <c r="J1993" s="1"/>
      <c r="K1993" s="102" t="s">
        <v>3720</v>
      </c>
      <c r="L1993" s="102" t="str">
        <f>I42</f>
        <v>J1a2a1a1b~</v>
      </c>
      <c r="M1993" s="102"/>
      <c r="N1993" s="102" t="s">
        <v>3721</v>
      </c>
      <c r="O1993" s="105">
        <v>1.956265E7</v>
      </c>
      <c r="P1993" s="105">
        <v>1.745077E7</v>
      </c>
      <c r="Q1993" s="102" t="s">
        <v>2501</v>
      </c>
      <c r="S1993" s="1"/>
      <c r="T1993" s="1"/>
      <c r="U1993" s="1"/>
      <c r="V1993" s="1"/>
      <c r="W1993" s="1"/>
      <c r="X1993" s="1"/>
      <c r="Y1993" s="1"/>
      <c r="Z1993" s="102"/>
      <c r="AA1993" s="102"/>
      <c r="AB1993" s="1"/>
      <c r="AC1993" s="1"/>
      <c r="AD1993" s="1"/>
      <c r="AE1993" s="1"/>
      <c r="AF1993" s="1"/>
      <c r="AG1993" s="1"/>
    </row>
    <row r="1994" ht="15.75" customHeight="1">
      <c r="A1994" s="1"/>
      <c r="B1994" s="1"/>
      <c r="C1994" s="1"/>
      <c r="D1994" s="1"/>
      <c r="E1994" s="1"/>
      <c r="F1994" s="1"/>
      <c r="G1994" s="1"/>
      <c r="H1994" s="1"/>
      <c r="I1994" s="1"/>
      <c r="J1994" s="1"/>
      <c r="K1994" s="102" t="s">
        <v>3722</v>
      </c>
      <c r="L1994" s="102" t="str">
        <f>I42</f>
        <v>J1a2a1a1b~</v>
      </c>
      <c r="M1994" s="102"/>
      <c r="N1994" s="102"/>
      <c r="O1994" s="105">
        <v>7140242.0</v>
      </c>
      <c r="P1994" s="105">
        <v>7272201.0</v>
      </c>
      <c r="Q1994" s="102" t="s">
        <v>2423</v>
      </c>
      <c r="S1994" s="1"/>
      <c r="T1994" s="1"/>
      <c r="U1994" s="1"/>
      <c r="V1994" s="1"/>
      <c r="W1994" s="1"/>
      <c r="X1994" s="1"/>
      <c r="Y1994" s="1"/>
      <c r="Z1994" s="102"/>
      <c r="AA1994" s="102"/>
      <c r="AB1994" s="1"/>
      <c r="AC1994" s="1"/>
      <c r="AD1994" s="1"/>
      <c r="AE1994" s="1"/>
      <c r="AF1994" s="1"/>
      <c r="AG1994" s="1"/>
    </row>
    <row r="1995" ht="15.75" customHeight="1">
      <c r="A1995" s="1"/>
      <c r="B1995" s="1"/>
      <c r="C1995" s="1"/>
      <c r="D1995" s="1"/>
      <c r="E1995" s="1"/>
      <c r="F1995" s="1"/>
      <c r="G1995" s="1"/>
      <c r="H1995" s="1"/>
      <c r="I1995" s="1"/>
      <c r="J1995" s="1"/>
      <c r="K1995" s="102" t="s">
        <v>3723</v>
      </c>
      <c r="L1995" s="102" t="str">
        <f>I42</f>
        <v>J1a2a1a1b~</v>
      </c>
      <c r="M1995" s="102"/>
      <c r="N1995" s="102"/>
      <c r="O1995" s="105">
        <v>1.4227519E7</v>
      </c>
      <c r="P1995" s="105">
        <v>1.2106813E7</v>
      </c>
      <c r="Q1995" s="102" t="s">
        <v>2529</v>
      </c>
      <c r="S1995" s="1"/>
      <c r="T1995" s="1"/>
      <c r="U1995" s="1"/>
      <c r="V1995" s="1"/>
      <c r="W1995" s="1"/>
      <c r="X1995" s="1"/>
      <c r="Y1995" s="1"/>
      <c r="Z1995" s="102"/>
      <c r="AA1995" s="102"/>
      <c r="AB1995" s="1"/>
      <c r="AC1995" s="1"/>
      <c r="AD1995" s="1"/>
      <c r="AE1995" s="1"/>
      <c r="AF1995" s="1"/>
      <c r="AG1995" s="1"/>
    </row>
    <row r="1996" ht="15.75" customHeight="1">
      <c r="A1996" s="1"/>
      <c r="B1996" s="1"/>
      <c r="C1996" s="1"/>
      <c r="D1996" s="1"/>
      <c r="E1996" s="1"/>
      <c r="F1996" s="1"/>
      <c r="G1996" s="1"/>
      <c r="H1996" s="1"/>
      <c r="I1996" s="1"/>
      <c r="J1996" s="1"/>
      <c r="K1996" s="102" t="s">
        <v>3724</v>
      </c>
      <c r="L1996" s="102" t="str">
        <f>I42</f>
        <v>J1a2a1a1b~</v>
      </c>
      <c r="M1996" s="102"/>
      <c r="N1996" s="102" t="s">
        <v>3725</v>
      </c>
      <c r="O1996" s="105">
        <v>1.5747972E7</v>
      </c>
      <c r="P1996" s="105">
        <v>1.3636092E7</v>
      </c>
      <c r="Q1996" s="102" t="s">
        <v>2432</v>
      </c>
      <c r="S1996" s="1"/>
      <c r="T1996" s="1"/>
      <c r="U1996" s="1"/>
      <c r="V1996" s="1"/>
      <c r="W1996" s="1"/>
      <c r="X1996" s="1"/>
      <c r="Y1996" s="1"/>
      <c r="Z1996" s="102"/>
      <c r="AA1996" s="102"/>
      <c r="AB1996" s="1"/>
      <c r="AC1996" s="1"/>
      <c r="AD1996" s="1"/>
      <c r="AE1996" s="1"/>
      <c r="AF1996" s="1"/>
      <c r="AG1996" s="1"/>
    </row>
    <row r="1997" ht="15.75" customHeight="1">
      <c r="A1997" s="1"/>
      <c r="B1997" s="1"/>
      <c r="C1997" s="1"/>
      <c r="D1997" s="1"/>
      <c r="E1997" s="1"/>
      <c r="F1997" s="1"/>
      <c r="G1997" s="1"/>
      <c r="H1997" s="1"/>
      <c r="I1997" s="1"/>
      <c r="J1997" s="1"/>
      <c r="K1997" s="102" t="s">
        <v>3726</v>
      </c>
      <c r="L1997" s="102" t="str">
        <f>I42</f>
        <v>J1a2a1a1b~</v>
      </c>
      <c r="M1997" s="102"/>
      <c r="N1997" s="102" t="s">
        <v>3727</v>
      </c>
      <c r="O1997" s="105">
        <v>1.8648663E7</v>
      </c>
      <c r="P1997" s="105">
        <v>1.6536783E7</v>
      </c>
      <c r="Q1997" s="102" t="s">
        <v>2468</v>
      </c>
      <c r="S1997" s="1"/>
      <c r="T1997" s="1"/>
      <c r="U1997" s="1"/>
      <c r="V1997" s="1"/>
      <c r="W1997" s="1"/>
      <c r="X1997" s="1"/>
      <c r="Y1997" s="1"/>
      <c r="Z1997" s="102"/>
      <c r="AA1997" s="102"/>
      <c r="AB1997" s="1"/>
      <c r="AC1997" s="1"/>
      <c r="AD1997" s="1"/>
      <c r="AE1997" s="1"/>
      <c r="AF1997" s="1"/>
      <c r="AG1997" s="1"/>
    </row>
    <row r="1998" ht="15.75" customHeight="1">
      <c r="A1998" s="1"/>
      <c r="B1998" s="1"/>
      <c r="C1998" s="1"/>
      <c r="D1998" s="1"/>
      <c r="E1998" s="1"/>
      <c r="F1998" s="1"/>
      <c r="G1998" s="1"/>
      <c r="H1998" s="1"/>
      <c r="I1998" s="1"/>
      <c r="J1998" s="1"/>
      <c r="K1998" s="102" t="s">
        <v>3728</v>
      </c>
      <c r="L1998" s="102" t="str">
        <f>I42</f>
        <v>J1a2a1a1b~</v>
      </c>
      <c r="M1998" s="102"/>
      <c r="N1998" s="102" t="s">
        <v>3729</v>
      </c>
      <c r="O1998" s="105">
        <v>2.3061583E7</v>
      </c>
      <c r="P1998" s="105">
        <v>2.0899697E7</v>
      </c>
      <c r="Q1998" s="102" t="s">
        <v>2439</v>
      </c>
      <c r="S1998" s="1"/>
      <c r="T1998" s="1"/>
      <c r="U1998" s="1"/>
      <c r="V1998" s="1"/>
      <c r="W1998" s="1"/>
      <c r="X1998" s="1"/>
      <c r="Y1998" s="1"/>
      <c r="Z1998" s="102"/>
      <c r="AA1998" s="102"/>
      <c r="AB1998" s="1"/>
      <c r="AC1998" s="1"/>
      <c r="AD1998" s="1"/>
      <c r="AE1998" s="1"/>
      <c r="AF1998" s="1"/>
      <c r="AG1998" s="1"/>
    </row>
    <row r="1999" ht="15.75" customHeight="1">
      <c r="A1999" s="1"/>
      <c r="B1999" s="1"/>
      <c r="C1999" s="1"/>
      <c r="D1999" s="1"/>
      <c r="E1999" s="1"/>
      <c r="F1999" s="1"/>
      <c r="G1999" s="1"/>
      <c r="H1999" s="1"/>
      <c r="I1999" s="1"/>
      <c r="J1999" s="1"/>
      <c r="K1999" s="102" t="s">
        <v>3730</v>
      </c>
      <c r="L1999" s="102" t="str">
        <f>I42</f>
        <v>J1a2a1a1b~</v>
      </c>
      <c r="M1999" s="102"/>
      <c r="N1999" s="102"/>
      <c r="O1999" s="105">
        <v>1.9036779E7</v>
      </c>
      <c r="P1999" s="105">
        <v>1.6924899E7</v>
      </c>
      <c r="Q1999" s="102" t="s">
        <v>2576</v>
      </c>
      <c r="S1999" s="1"/>
      <c r="T1999" s="1"/>
      <c r="U1999" s="1"/>
      <c r="V1999" s="1"/>
      <c r="W1999" s="1"/>
      <c r="X1999" s="1"/>
      <c r="Y1999" s="1"/>
      <c r="Z1999" s="102"/>
      <c r="AA1999" s="102"/>
      <c r="AB1999" s="1"/>
      <c r="AC1999" s="1"/>
      <c r="AD1999" s="1"/>
      <c r="AE1999" s="1"/>
      <c r="AF1999" s="1"/>
      <c r="AG1999" s="1"/>
    </row>
    <row r="2000" ht="15.75" customHeight="1">
      <c r="A2000" s="1"/>
      <c r="B2000" s="1"/>
      <c r="C2000" s="1"/>
      <c r="D2000" s="1"/>
      <c r="E2000" s="1"/>
      <c r="F2000" s="1"/>
      <c r="G2000" s="1"/>
      <c r="H2000" s="1"/>
      <c r="I2000" s="1"/>
      <c r="J2000" s="1"/>
      <c r="K2000" s="102" t="s">
        <v>3731</v>
      </c>
      <c r="L2000" s="102" t="str">
        <f>H43</f>
        <v>J1a2a1a2</v>
      </c>
      <c r="M2000" s="102" t="s">
        <v>3732</v>
      </c>
      <c r="N2000" s="102" t="s">
        <v>3733</v>
      </c>
      <c r="O2000" s="105">
        <v>1.4486667E7</v>
      </c>
      <c r="P2000" s="105">
        <v>1.2365936E7</v>
      </c>
      <c r="Q2000" s="102" t="s">
        <v>2529</v>
      </c>
      <c r="S2000" s="1"/>
      <c r="T2000" s="1"/>
      <c r="U2000" s="1"/>
      <c r="V2000" s="1"/>
      <c r="W2000" s="1"/>
      <c r="X2000" s="1"/>
      <c r="Y2000" s="1"/>
      <c r="Z2000" s="102"/>
      <c r="AA2000" s="102"/>
      <c r="AB2000" s="1"/>
      <c r="AC2000" s="1"/>
      <c r="AD2000" s="1"/>
      <c r="AE2000" s="1"/>
      <c r="AF2000" s="1"/>
      <c r="AG2000" s="1"/>
    </row>
    <row r="2001" ht="15.75" customHeight="1">
      <c r="A2001" s="1"/>
      <c r="B2001" s="1"/>
      <c r="C2001" s="1"/>
      <c r="D2001" s="1"/>
      <c r="E2001" s="1"/>
      <c r="F2001" s="1"/>
      <c r="G2001" s="1"/>
      <c r="H2001" s="1"/>
      <c r="I2001" s="1"/>
      <c r="J2001" s="1"/>
      <c r="K2001" s="102" t="s">
        <v>3734</v>
      </c>
      <c r="L2001" s="102" t="str">
        <f>H43</f>
        <v>J1a2a1a2</v>
      </c>
      <c r="M2001" s="102" t="s">
        <v>3735</v>
      </c>
      <c r="N2001" s="102" t="s">
        <v>3733</v>
      </c>
      <c r="O2001" s="105">
        <v>1.4486667E7</v>
      </c>
      <c r="P2001" s="105">
        <v>1.2365936E7</v>
      </c>
      <c r="Q2001" s="102" t="s">
        <v>2529</v>
      </c>
      <c r="S2001" s="1"/>
      <c r="T2001" s="1"/>
      <c r="U2001" s="1"/>
      <c r="V2001" s="1"/>
      <c r="W2001" s="1"/>
      <c r="X2001" s="1"/>
      <c r="Y2001" s="1"/>
      <c r="Z2001" s="102"/>
      <c r="AA2001" s="102"/>
      <c r="AB2001" s="1"/>
      <c r="AC2001" s="1"/>
      <c r="AD2001" s="1"/>
      <c r="AE2001" s="1"/>
      <c r="AF2001" s="1"/>
      <c r="AG2001" s="1"/>
    </row>
    <row r="2002" ht="15.75" customHeight="1">
      <c r="A2002" s="1"/>
      <c r="B2002" s="1"/>
      <c r="C2002" s="1"/>
      <c r="D2002" s="1"/>
      <c r="E2002" s="1"/>
      <c r="F2002" s="1"/>
      <c r="G2002" s="1"/>
      <c r="H2002" s="1"/>
      <c r="I2002" s="1"/>
      <c r="J2002" s="1"/>
      <c r="K2002" s="102" t="s">
        <v>3736</v>
      </c>
      <c r="L2002" s="102" t="str">
        <f t="shared" ref="L2002:L2003" si="4">H43</f>
        <v>J1a2a1a2</v>
      </c>
      <c r="M2002" s="102" t="s">
        <v>3737</v>
      </c>
      <c r="N2002" s="102" t="s">
        <v>3733</v>
      </c>
      <c r="O2002" s="105">
        <v>1.4486667E7</v>
      </c>
      <c r="P2002" s="105">
        <v>1.2365936E7</v>
      </c>
      <c r="Q2002" s="102" t="s">
        <v>2529</v>
      </c>
      <c r="S2002" s="1"/>
      <c r="T2002" s="1"/>
      <c r="U2002" s="1"/>
      <c r="V2002" s="1"/>
      <c r="W2002" s="1"/>
      <c r="X2002" s="1"/>
      <c r="Y2002" s="1"/>
      <c r="Z2002" s="102"/>
      <c r="AA2002" s="102"/>
      <c r="AB2002" s="1"/>
      <c r="AC2002" s="1"/>
      <c r="AD2002" s="1"/>
      <c r="AE2002" s="1"/>
      <c r="AF2002" s="1"/>
      <c r="AG2002" s="1"/>
    </row>
    <row r="2003" ht="15.75" customHeight="1">
      <c r="A2003" s="1"/>
      <c r="B2003" s="1"/>
      <c r="C2003" s="1"/>
      <c r="D2003" s="1"/>
      <c r="E2003" s="1"/>
      <c r="F2003" s="1"/>
      <c r="G2003" s="1"/>
      <c r="H2003" s="1"/>
      <c r="I2003" s="1"/>
      <c r="J2003" s="1"/>
      <c r="K2003" s="102" t="s">
        <v>3738</v>
      </c>
      <c r="L2003" s="102" t="str">
        <f t="shared" si="4"/>
        <v>J1a2a1a2~</v>
      </c>
      <c r="M2003" s="102" t="s">
        <v>3739</v>
      </c>
      <c r="N2003" s="102" t="s">
        <v>3740</v>
      </c>
      <c r="O2003" s="105">
        <v>1.4045838E7</v>
      </c>
      <c r="P2003" s="105">
        <v>1.1925132E7</v>
      </c>
      <c r="Q2003" s="102" t="s">
        <v>2501</v>
      </c>
      <c r="S2003" s="1"/>
      <c r="T2003" s="1"/>
      <c r="U2003" s="1"/>
      <c r="V2003" s="1"/>
      <c r="W2003" s="1"/>
      <c r="X2003" s="1"/>
      <c r="Y2003" s="1"/>
      <c r="Z2003" s="102"/>
      <c r="AA2003" s="102"/>
      <c r="AB2003" s="1"/>
      <c r="AC2003" s="1"/>
      <c r="AD2003" s="1"/>
      <c r="AE2003" s="1"/>
      <c r="AF2003" s="1"/>
      <c r="AG2003" s="1"/>
    </row>
    <row r="2004" ht="15.75" customHeight="1">
      <c r="A2004" s="1"/>
      <c r="B2004" s="1"/>
      <c r="C2004" s="1"/>
      <c r="D2004" s="1"/>
      <c r="E2004" s="1"/>
      <c r="F2004" s="1"/>
      <c r="G2004" s="1"/>
      <c r="H2004" s="1"/>
      <c r="I2004" s="1"/>
      <c r="J2004" s="1"/>
      <c r="K2004" s="102" t="s">
        <v>3741</v>
      </c>
      <c r="L2004" s="102" t="str">
        <f>H44</f>
        <v>J1a2a1a2~</v>
      </c>
      <c r="M2004" s="102" t="s">
        <v>3742</v>
      </c>
      <c r="N2004" s="102" t="s">
        <v>3740</v>
      </c>
      <c r="O2004" s="105">
        <v>1.4045838E7</v>
      </c>
      <c r="P2004" s="105">
        <v>1.1925132E7</v>
      </c>
      <c r="Q2004" s="102" t="s">
        <v>2501</v>
      </c>
      <c r="S2004" s="1"/>
      <c r="T2004" s="1"/>
      <c r="U2004" s="1"/>
      <c r="V2004" s="1"/>
      <c r="W2004" s="1"/>
      <c r="X2004" s="1"/>
      <c r="Y2004" s="1"/>
      <c r="Z2004" s="102"/>
      <c r="AA2004" s="102"/>
      <c r="AB2004" s="1"/>
      <c r="AC2004" s="1"/>
      <c r="AD2004" s="1"/>
      <c r="AE2004" s="1"/>
      <c r="AF2004" s="1"/>
      <c r="AG2004" s="1"/>
    </row>
    <row r="2005" ht="15.75" customHeight="1">
      <c r="A2005" s="1"/>
      <c r="B2005" s="1"/>
      <c r="C2005" s="1"/>
      <c r="D2005" s="1"/>
      <c r="E2005" s="1"/>
      <c r="F2005" s="1"/>
      <c r="G2005" s="1"/>
      <c r="H2005" s="1"/>
      <c r="I2005" s="1"/>
      <c r="J2005" s="1"/>
      <c r="K2005" s="102" t="s">
        <v>3743</v>
      </c>
      <c r="L2005" s="102" t="str">
        <f>H44</f>
        <v>J1a2a1a2~</v>
      </c>
      <c r="M2005" s="102" t="s">
        <v>3744</v>
      </c>
      <c r="N2005" s="102" t="s">
        <v>3740</v>
      </c>
      <c r="O2005" s="105">
        <v>1.4045838E7</v>
      </c>
      <c r="P2005" s="105">
        <v>1.1925132E7</v>
      </c>
      <c r="Q2005" s="102" t="s">
        <v>2501</v>
      </c>
      <c r="S2005" s="1"/>
      <c r="T2005" s="1"/>
      <c r="U2005" s="1"/>
      <c r="V2005" s="1"/>
      <c r="W2005" s="1"/>
      <c r="X2005" s="1"/>
      <c r="Y2005" s="1"/>
      <c r="Z2005" s="102"/>
      <c r="AA2005" s="102"/>
      <c r="AB2005" s="1"/>
      <c r="AC2005" s="1"/>
      <c r="AD2005" s="1"/>
      <c r="AE2005" s="1"/>
      <c r="AF2005" s="1"/>
      <c r="AG2005" s="1"/>
    </row>
    <row r="2006" ht="15.75" customHeight="1">
      <c r="A2006" s="1"/>
      <c r="B2006" s="1"/>
      <c r="C2006" s="1"/>
      <c r="D2006" s="1"/>
      <c r="E2006" s="1"/>
      <c r="F2006" s="1"/>
      <c r="G2006" s="1"/>
      <c r="H2006" s="1"/>
      <c r="I2006" s="1"/>
      <c r="J2006" s="1"/>
      <c r="K2006" s="102" t="s">
        <v>3745</v>
      </c>
      <c r="L2006" s="102" t="str">
        <f>H44</f>
        <v>J1a2a1a2~</v>
      </c>
      <c r="M2006" s="102" t="s">
        <v>3746</v>
      </c>
      <c r="N2006" s="102" t="s">
        <v>3747</v>
      </c>
      <c r="O2006" s="105">
        <v>1.5756763E7</v>
      </c>
      <c r="P2006" s="105">
        <v>1.3644883E7</v>
      </c>
      <c r="Q2006" s="102" t="s">
        <v>2529</v>
      </c>
      <c r="S2006" s="1"/>
      <c r="T2006" s="1"/>
      <c r="U2006" s="1"/>
      <c r="V2006" s="1"/>
      <c r="W2006" s="1"/>
      <c r="X2006" s="1"/>
      <c r="Y2006" s="1"/>
      <c r="Z2006" s="102"/>
      <c r="AA2006" s="102"/>
      <c r="AB2006" s="1"/>
      <c r="AC2006" s="1"/>
      <c r="AD2006" s="1"/>
      <c r="AE2006" s="1"/>
      <c r="AF2006" s="1"/>
      <c r="AG2006" s="1"/>
    </row>
    <row r="2007" ht="15.75" customHeight="1">
      <c r="A2007" s="1"/>
      <c r="B2007" s="1"/>
      <c r="C2007" s="1"/>
      <c r="D2007" s="1"/>
      <c r="E2007" s="1"/>
      <c r="F2007" s="1"/>
      <c r="G2007" s="1"/>
      <c r="H2007" s="1"/>
      <c r="I2007" s="1"/>
      <c r="J2007" s="1"/>
      <c r="K2007" s="102" t="s">
        <v>3748</v>
      </c>
      <c r="L2007" s="102" t="str">
        <f>H44</f>
        <v>J1a2a1a2~</v>
      </c>
      <c r="M2007" s="102" t="s">
        <v>3749</v>
      </c>
      <c r="N2007" s="102" t="s">
        <v>3747</v>
      </c>
      <c r="O2007" s="105">
        <v>1.5756763E7</v>
      </c>
      <c r="P2007" s="105">
        <v>1.3644883E7</v>
      </c>
      <c r="Q2007" s="102" t="s">
        <v>2529</v>
      </c>
      <c r="S2007" s="1"/>
      <c r="T2007" s="1"/>
      <c r="U2007" s="1"/>
      <c r="V2007" s="1"/>
      <c r="W2007" s="1"/>
      <c r="X2007" s="1"/>
      <c r="Y2007" s="1"/>
      <c r="Z2007" s="102"/>
      <c r="AA2007" s="102"/>
      <c r="AB2007" s="1"/>
      <c r="AC2007" s="1"/>
      <c r="AD2007" s="1"/>
      <c r="AE2007" s="1"/>
      <c r="AF2007" s="1"/>
      <c r="AG2007" s="1"/>
    </row>
    <row r="2008" ht="15.75" customHeight="1">
      <c r="A2008" s="1"/>
      <c r="B2008" s="1"/>
      <c r="C2008" s="1"/>
      <c r="D2008" s="1"/>
      <c r="E2008" s="1"/>
      <c r="F2008" s="1"/>
      <c r="G2008" s="1"/>
      <c r="H2008" s="1"/>
      <c r="I2008" s="1"/>
      <c r="J2008" s="1"/>
      <c r="K2008" s="102" t="s">
        <v>3750</v>
      </c>
      <c r="L2008" s="102" t="str">
        <f>H44</f>
        <v>J1a2a1a2~</v>
      </c>
      <c r="M2008" s="102" t="s">
        <v>3751</v>
      </c>
      <c r="N2008" s="102" t="s">
        <v>3747</v>
      </c>
      <c r="O2008" s="105">
        <v>1.5756763E7</v>
      </c>
      <c r="P2008" s="105">
        <v>1.3644883E7</v>
      </c>
      <c r="Q2008" s="102" t="s">
        <v>2529</v>
      </c>
      <c r="S2008" s="1"/>
      <c r="T2008" s="1"/>
      <c r="U2008" s="1"/>
      <c r="V2008" s="1"/>
      <c r="W2008" s="1"/>
      <c r="X2008" s="1"/>
      <c r="Y2008" s="1"/>
      <c r="Z2008" s="102"/>
      <c r="AA2008" s="102"/>
      <c r="AB2008" s="1"/>
      <c r="AC2008" s="1"/>
      <c r="AD2008" s="1"/>
      <c r="AE2008" s="1"/>
      <c r="AF2008" s="1"/>
      <c r="AG2008" s="1"/>
    </row>
    <row r="2009" ht="15.75" customHeight="1">
      <c r="A2009" s="1"/>
      <c r="B2009" s="1"/>
      <c r="C2009" s="1"/>
      <c r="D2009" s="1"/>
      <c r="E2009" s="1"/>
      <c r="F2009" s="1"/>
      <c r="G2009" s="1"/>
      <c r="H2009" s="1"/>
      <c r="I2009" s="1"/>
      <c r="J2009" s="1"/>
      <c r="K2009" s="102" t="s">
        <v>3752</v>
      </c>
      <c r="L2009" s="102" t="str">
        <f>H44</f>
        <v>J1a2a1a2~</v>
      </c>
      <c r="M2009" s="102" t="s">
        <v>3753</v>
      </c>
      <c r="N2009" s="102" t="s">
        <v>3754</v>
      </c>
      <c r="O2009" s="105">
        <v>1.5845938E7</v>
      </c>
      <c r="P2009" s="105">
        <v>1.3734058E7</v>
      </c>
      <c r="Q2009" s="102" t="s">
        <v>2563</v>
      </c>
      <c r="S2009" s="1"/>
      <c r="T2009" s="1"/>
      <c r="U2009" s="1"/>
      <c r="V2009" s="1"/>
      <c r="W2009" s="1"/>
      <c r="X2009" s="1"/>
      <c r="Y2009" s="1"/>
      <c r="Z2009" s="102"/>
      <c r="AA2009" s="102"/>
      <c r="AB2009" s="1"/>
      <c r="AC2009" s="1"/>
      <c r="AD2009" s="1"/>
      <c r="AE2009" s="1"/>
      <c r="AF2009" s="1"/>
      <c r="AG2009" s="1"/>
    </row>
    <row r="2010" ht="15.75" customHeight="1">
      <c r="A2010" s="1"/>
      <c r="B2010" s="1"/>
      <c r="C2010" s="1"/>
      <c r="D2010" s="1"/>
      <c r="E2010" s="1"/>
      <c r="F2010" s="1"/>
      <c r="G2010" s="1"/>
      <c r="H2010" s="1"/>
      <c r="I2010" s="1"/>
      <c r="J2010" s="1"/>
      <c r="K2010" s="102" t="s">
        <v>3755</v>
      </c>
      <c r="L2010" s="102" t="str">
        <f>H44</f>
        <v>J1a2a1a2~</v>
      </c>
      <c r="M2010" s="102" t="s">
        <v>3756</v>
      </c>
      <c r="N2010" s="102" t="s">
        <v>3754</v>
      </c>
      <c r="O2010" s="105">
        <v>1.5845938E7</v>
      </c>
      <c r="P2010" s="105">
        <v>1.3734058E7</v>
      </c>
      <c r="Q2010" s="102" t="s">
        <v>2563</v>
      </c>
      <c r="S2010" s="1"/>
      <c r="T2010" s="1"/>
      <c r="U2010" s="1"/>
      <c r="V2010" s="1"/>
      <c r="W2010" s="1"/>
      <c r="X2010" s="1"/>
      <c r="Y2010" s="1"/>
      <c r="Z2010" s="102"/>
      <c r="AA2010" s="102"/>
      <c r="AB2010" s="1"/>
      <c r="AC2010" s="1"/>
      <c r="AD2010" s="1"/>
      <c r="AE2010" s="1"/>
      <c r="AF2010" s="1"/>
      <c r="AG2010" s="1"/>
    </row>
    <row r="2011" ht="15.75" customHeight="1">
      <c r="A2011" s="1"/>
      <c r="B2011" s="1"/>
      <c r="C2011" s="1"/>
      <c r="D2011" s="1"/>
      <c r="E2011" s="1"/>
      <c r="F2011" s="1"/>
      <c r="G2011" s="1"/>
      <c r="H2011" s="1"/>
      <c r="I2011" s="1"/>
      <c r="J2011" s="1"/>
      <c r="K2011" s="102" t="s">
        <v>3757</v>
      </c>
      <c r="L2011" s="102" t="str">
        <f>H44</f>
        <v>J1a2a1a2~</v>
      </c>
      <c r="M2011" s="102" t="s">
        <v>3758</v>
      </c>
      <c r="N2011" s="102" t="s">
        <v>3754</v>
      </c>
      <c r="O2011" s="105">
        <v>1.5845938E7</v>
      </c>
      <c r="P2011" s="105">
        <v>1.3734058E7</v>
      </c>
      <c r="Q2011" s="102" t="s">
        <v>2563</v>
      </c>
      <c r="S2011" s="1"/>
      <c r="T2011" s="1"/>
      <c r="U2011" s="1"/>
      <c r="V2011" s="1"/>
      <c r="W2011" s="1"/>
      <c r="X2011" s="1"/>
      <c r="Y2011" s="1"/>
      <c r="Z2011" s="102"/>
      <c r="AA2011" s="102"/>
      <c r="AB2011" s="1"/>
      <c r="AC2011" s="1"/>
      <c r="AD2011" s="1"/>
      <c r="AE2011" s="1"/>
      <c r="AF2011" s="1"/>
      <c r="AG2011" s="1"/>
    </row>
    <row r="2012" ht="15.75" customHeight="1">
      <c r="A2012" s="1"/>
      <c r="B2012" s="1"/>
      <c r="C2012" s="1"/>
      <c r="D2012" s="1"/>
      <c r="E2012" s="1"/>
      <c r="F2012" s="1"/>
      <c r="G2012" s="1"/>
      <c r="H2012" s="1"/>
      <c r="I2012" s="1"/>
      <c r="J2012" s="1"/>
      <c r="K2012" s="102" t="s">
        <v>3759</v>
      </c>
      <c r="L2012" s="102" t="str">
        <f>H44</f>
        <v>J1a2a1a2~</v>
      </c>
      <c r="M2012" s="102" t="s">
        <v>3760</v>
      </c>
      <c r="N2012" s="102" t="s">
        <v>3761</v>
      </c>
      <c r="O2012" s="105">
        <v>1.6483304E7</v>
      </c>
      <c r="P2012" s="105">
        <v>1.4371424E7</v>
      </c>
      <c r="Q2012" s="102" t="s">
        <v>2439</v>
      </c>
      <c r="S2012" s="1"/>
      <c r="T2012" s="1"/>
      <c r="U2012" s="1"/>
      <c r="V2012" s="1"/>
      <c r="W2012" s="1"/>
      <c r="X2012" s="1"/>
      <c r="Y2012" s="1"/>
      <c r="Z2012" s="102"/>
      <c r="AA2012" s="102"/>
      <c r="AB2012" s="1"/>
      <c r="AC2012" s="1"/>
      <c r="AD2012" s="1"/>
      <c r="AE2012" s="1"/>
      <c r="AF2012" s="1"/>
      <c r="AG2012" s="1"/>
    </row>
    <row r="2013" ht="15.75" customHeight="1">
      <c r="A2013" s="1"/>
      <c r="B2013" s="1"/>
      <c r="C2013" s="1"/>
      <c r="D2013" s="1"/>
      <c r="E2013" s="1"/>
      <c r="F2013" s="1"/>
      <c r="G2013" s="1"/>
      <c r="H2013" s="1"/>
      <c r="I2013" s="1"/>
      <c r="J2013" s="1"/>
      <c r="K2013" s="102" t="s">
        <v>3762</v>
      </c>
      <c r="L2013" s="102" t="str">
        <f>H44</f>
        <v>J1a2a1a2~</v>
      </c>
      <c r="M2013" s="102" t="s">
        <v>3763</v>
      </c>
      <c r="N2013" s="102" t="s">
        <v>3761</v>
      </c>
      <c r="O2013" s="105">
        <v>1.6483304E7</v>
      </c>
      <c r="P2013" s="105">
        <v>1.4371424E7</v>
      </c>
      <c r="Q2013" s="102" t="s">
        <v>2439</v>
      </c>
      <c r="S2013" s="1"/>
      <c r="T2013" s="1"/>
      <c r="U2013" s="1"/>
      <c r="V2013" s="1"/>
      <c r="W2013" s="1"/>
      <c r="X2013" s="1"/>
      <c r="Y2013" s="1"/>
      <c r="Z2013" s="102"/>
      <c r="AA2013" s="102"/>
      <c r="AB2013" s="1"/>
      <c r="AC2013" s="1"/>
      <c r="AD2013" s="1"/>
      <c r="AE2013" s="1"/>
      <c r="AF2013" s="1"/>
      <c r="AG2013" s="1"/>
    </row>
    <row r="2014" ht="15.75" customHeight="1">
      <c r="A2014" s="1"/>
      <c r="B2014" s="1"/>
      <c r="C2014" s="1"/>
      <c r="D2014" s="1"/>
      <c r="E2014" s="1"/>
      <c r="F2014" s="1"/>
      <c r="G2014" s="1"/>
      <c r="H2014" s="1"/>
      <c r="I2014" s="1"/>
      <c r="J2014" s="1"/>
      <c r="K2014" s="102" t="s">
        <v>3764</v>
      </c>
      <c r="L2014" s="102" t="str">
        <f>H44</f>
        <v>J1a2a1a2~</v>
      </c>
      <c r="M2014" s="102" t="s">
        <v>3765</v>
      </c>
      <c r="N2014" s="102" t="s">
        <v>3761</v>
      </c>
      <c r="O2014" s="105">
        <v>1.6483304E7</v>
      </c>
      <c r="P2014" s="105">
        <v>1.4371424E7</v>
      </c>
      <c r="Q2014" s="102" t="s">
        <v>2439</v>
      </c>
      <c r="S2014" s="1"/>
      <c r="T2014" s="1"/>
      <c r="U2014" s="1"/>
      <c r="V2014" s="1"/>
      <c r="W2014" s="1"/>
      <c r="X2014" s="1"/>
      <c r="Y2014" s="1"/>
      <c r="Z2014" s="102"/>
      <c r="AA2014" s="102"/>
      <c r="AB2014" s="1"/>
      <c r="AC2014" s="1"/>
      <c r="AD2014" s="1"/>
      <c r="AE2014" s="1"/>
      <c r="AF2014" s="1"/>
      <c r="AG2014" s="1"/>
    </row>
    <row r="2015" ht="15.75" customHeight="1">
      <c r="A2015" s="1"/>
      <c r="B2015" s="1"/>
      <c r="C2015" s="1"/>
      <c r="D2015" s="1"/>
      <c r="E2015" s="1"/>
      <c r="F2015" s="1"/>
      <c r="G2015" s="1"/>
      <c r="H2015" s="1"/>
      <c r="I2015" s="1"/>
      <c r="J2015" s="1"/>
      <c r="K2015" s="102" t="s">
        <v>3766</v>
      </c>
      <c r="L2015" s="102" t="str">
        <f>H44</f>
        <v>J1a2a1a2~</v>
      </c>
      <c r="M2015" s="102" t="s">
        <v>3767</v>
      </c>
      <c r="N2015" s="102" t="s">
        <v>3761</v>
      </c>
      <c r="O2015" s="105">
        <v>1.6483304E7</v>
      </c>
      <c r="P2015" s="105">
        <v>1.4371424E7</v>
      </c>
      <c r="Q2015" s="102" t="s">
        <v>2439</v>
      </c>
      <c r="S2015" s="1"/>
      <c r="T2015" s="1"/>
      <c r="U2015" s="1"/>
      <c r="V2015" s="1"/>
      <c r="W2015" s="1"/>
      <c r="X2015" s="1"/>
      <c r="Y2015" s="1"/>
      <c r="Z2015" s="102"/>
      <c r="AA2015" s="102"/>
      <c r="AB2015" s="1"/>
      <c r="AC2015" s="1"/>
      <c r="AD2015" s="1"/>
      <c r="AE2015" s="1"/>
      <c r="AF2015" s="1"/>
      <c r="AG2015" s="1"/>
    </row>
    <row r="2016" ht="15.75" customHeight="1">
      <c r="A2016" s="1"/>
      <c r="B2016" s="1"/>
      <c r="C2016" s="1"/>
      <c r="D2016" s="1"/>
      <c r="E2016" s="1"/>
      <c r="F2016" s="1"/>
      <c r="G2016" s="1"/>
      <c r="H2016" s="1"/>
      <c r="I2016" s="1"/>
      <c r="J2016" s="1"/>
      <c r="K2016" s="102" t="s">
        <v>3768</v>
      </c>
      <c r="L2016" s="102" t="str">
        <f>H44</f>
        <v>J1a2a1a2~</v>
      </c>
      <c r="M2016" s="102" t="s">
        <v>3769</v>
      </c>
      <c r="N2016" s="102" t="s">
        <v>3770</v>
      </c>
      <c r="O2016" s="105">
        <v>1.706499E7</v>
      </c>
      <c r="P2016" s="105">
        <v>1.495311E7</v>
      </c>
      <c r="Q2016" s="102" t="s">
        <v>2439</v>
      </c>
      <c r="S2016" s="1"/>
      <c r="T2016" s="1"/>
      <c r="U2016" s="1"/>
      <c r="V2016" s="1"/>
      <c r="W2016" s="1"/>
      <c r="X2016" s="1"/>
      <c r="Y2016" s="1"/>
      <c r="Z2016" s="102"/>
      <c r="AA2016" s="102"/>
      <c r="AB2016" s="1"/>
      <c r="AC2016" s="1"/>
      <c r="AD2016" s="1"/>
      <c r="AE2016" s="1"/>
      <c r="AF2016" s="1"/>
      <c r="AG2016" s="1"/>
    </row>
    <row r="2017" ht="15.75" customHeight="1">
      <c r="A2017" s="1"/>
      <c r="B2017" s="1"/>
      <c r="C2017" s="1"/>
      <c r="D2017" s="1"/>
      <c r="E2017" s="1"/>
      <c r="F2017" s="1"/>
      <c r="G2017" s="1"/>
      <c r="H2017" s="1"/>
      <c r="I2017" s="1"/>
      <c r="J2017" s="1"/>
      <c r="K2017" s="102" t="s">
        <v>3771</v>
      </c>
      <c r="L2017" s="102" t="str">
        <f>H44</f>
        <v>J1a2a1a2~</v>
      </c>
      <c r="M2017" s="102" t="s">
        <v>3772</v>
      </c>
      <c r="N2017" s="102" t="s">
        <v>3770</v>
      </c>
      <c r="O2017" s="105">
        <v>1.706499E7</v>
      </c>
      <c r="P2017" s="105">
        <v>1.495311E7</v>
      </c>
      <c r="Q2017" s="102" t="s">
        <v>2439</v>
      </c>
      <c r="S2017" s="1"/>
      <c r="T2017" s="1"/>
      <c r="U2017" s="1"/>
      <c r="V2017" s="1"/>
      <c r="W2017" s="1"/>
      <c r="X2017" s="1"/>
      <c r="Y2017" s="1"/>
      <c r="Z2017" s="102"/>
      <c r="AA2017" s="102"/>
      <c r="AB2017" s="1"/>
      <c r="AC2017" s="1"/>
      <c r="AD2017" s="1"/>
      <c r="AE2017" s="1"/>
      <c r="AF2017" s="1"/>
      <c r="AG2017" s="1"/>
    </row>
    <row r="2018" ht="15.75" customHeight="1">
      <c r="A2018" s="1"/>
      <c r="B2018" s="1"/>
      <c r="C2018" s="1"/>
      <c r="D2018" s="1"/>
      <c r="E2018" s="1"/>
      <c r="F2018" s="1"/>
      <c r="G2018" s="1"/>
      <c r="H2018" s="1"/>
      <c r="I2018" s="1"/>
      <c r="J2018" s="1"/>
      <c r="K2018" s="102" t="s">
        <v>3773</v>
      </c>
      <c r="L2018" s="102" t="str">
        <f>H44</f>
        <v>J1a2a1a2~</v>
      </c>
      <c r="M2018" s="102" t="s">
        <v>3774</v>
      </c>
      <c r="N2018" s="102" t="s">
        <v>3770</v>
      </c>
      <c r="O2018" s="105">
        <v>1.706499E7</v>
      </c>
      <c r="P2018" s="105">
        <v>1.495311E7</v>
      </c>
      <c r="Q2018" s="102" t="s">
        <v>2439</v>
      </c>
      <c r="S2018" s="1"/>
      <c r="T2018" s="1"/>
      <c r="U2018" s="1"/>
      <c r="V2018" s="1"/>
      <c r="W2018" s="1"/>
      <c r="X2018" s="1"/>
      <c r="Y2018" s="1"/>
      <c r="Z2018" s="102"/>
      <c r="AA2018" s="102"/>
      <c r="AB2018" s="1"/>
      <c r="AC2018" s="1"/>
      <c r="AD2018" s="1"/>
      <c r="AE2018" s="1"/>
      <c r="AF2018" s="1"/>
      <c r="AG2018" s="1"/>
    </row>
    <row r="2019" ht="15.75" customHeight="1">
      <c r="A2019" s="1"/>
      <c r="B2019" s="1"/>
      <c r="C2019" s="1"/>
      <c r="D2019" s="1"/>
      <c r="E2019" s="1"/>
      <c r="F2019" s="1"/>
      <c r="G2019" s="1"/>
      <c r="H2019" s="1"/>
      <c r="I2019" s="1"/>
      <c r="J2019" s="1"/>
      <c r="K2019" s="102" t="s">
        <v>3775</v>
      </c>
      <c r="L2019" s="102" t="str">
        <f>H44</f>
        <v>J1a2a1a2~</v>
      </c>
      <c r="M2019" s="102" t="s">
        <v>3776</v>
      </c>
      <c r="N2019" s="102" t="s">
        <v>3777</v>
      </c>
      <c r="O2019" s="105">
        <v>1.7332717E7</v>
      </c>
      <c r="P2019" s="105">
        <v>1.5220837E7</v>
      </c>
      <c r="Q2019" s="102" t="s">
        <v>2533</v>
      </c>
      <c r="S2019" s="1"/>
      <c r="T2019" s="1"/>
      <c r="U2019" s="1"/>
      <c r="V2019" s="1"/>
      <c r="W2019" s="1"/>
      <c r="X2019" s="1"/>
      <c r="Y2019" s="1"/>
      <c r="Z2019" s="102"/>
      <c r="AA2019" s="102"/>
      <c r="AB2019" s="1"/>
      <c r="AC2019" s="1"/>
      <c r="AD2019" s="1"/>
      <c r="AE2019" s="1"/>
      <c r="AF2019" s="1"/>
      <c r="AG2019" s="1"/>
    </row>
    <row r="2020" ht="15.75" customHeight="1">
      <c r="A2020" s="1"/>
      <c r="B2020" s="1"/>
      <c r="C2020" s="1"/>
      <c r="D2020" s="1"/>
      <c r="E2020" s="1"/>
      <c r="F2020" s="1"/>
      <c r="G2020" s="1"/>
      <c r="H2020" s="1"/>
      <c r="I2020" s="1"/>
      <c r="J2020" s="1"/>
      <c r="K2020" s="102" t="s">
        <v>3778</v>
      </c>
      <c r="L2020" s="102" t="str">
        <f>H44</f>
        <v>J1a2a1a2~</v>
      </c>
      <c r="M2020" s="102" t="s">
        <v>3779</v>
      </c>
      <c r="N2020" s="102" t="s">
        <v>3777</v>
      </c>
      <c r="O2020" s="105">
        <v>1.7332717E7</v>
      </c>
      <c r="P2020" s="105">
        <v>1.5220837E7</v>
      </c>
      <c r="Q2020" s="102" t="s">
        <v>2533</v>
      </c>
      <c r="S2020" s="1"/>
      <c r="T2020" s="1"/>
      <c r="U2020" s="1"/>
      <c r="V2020" s="1"/>
      <c r="W2020" s="1"/>
      <c r="X2020" s="1"/>
      <c r="Y2020" s="1"/>
      <c r="Z2020" s="102"/>
      <c r="AA2020" s="102"/>
      <c r="AB2020" s="1"/>
      <c r="AC2020" s="1"/>
      <c r="AD2020" s="1"/>
      <c r="AE2020" s="1"/>
      <c r="AF2020" s="1"/>
      <c r="AG2020" s="1"/>
    </row>
    <row r="2021" ht="15.75" customHeight="1">
      <c r="A2021" s="1"/>
      <c r="B2021" s="1"/>
      <c r="C2021" s="1"/>
      <c r="D2021" s="1"/>
      <c r="E2021" s="1"/>
      <c r="F2021" s="1"/>
      <c r="G2021" s="1"/>
      <c r="H2021" s="1"/>
      <c r="I2021" s="1"/>
      <c r="J2021" s="1"/>
      <c r="K2021" s="102" t="s">
        <v>3780</v>
      </c>
      <c r="L2021" s="102" t="str">
        <f>H44</f>
        <v>J1a2a1a2~</v>
      </c>
      <c r="M2021" s="102" t="s">
        <v>3781</v>
      </c>
      <c r="N2021" s="102" t="s">
        <v>3777</v>
      </c>
      <c r="O2021" s="105">
        <v>1.7332717E7</v>
      </c>
      <c r="P2021" s="105">
        <v>1.5220837E7</v>
      </c>
      <c r="Q2021" s="102" t="s">
        <v>2533</v>
      </c>
      <c r="S2021" s="1"/>
      <c r="T2021" s="1"/>
      <c r="U2021" s="1"/>
      <c r="V2021" s="1"/>
      <c r="W2021" s="1"/>
      <c r="X2021" s="1"/>
      <c r="Y2021" s="1"/>
      <c r="Z2021" s="102"/>
      <c r="AA2021" s="102"/>
      <c r="AB2021" s="1"/>
      <c r="AC2021" s="1"/>
      <c r="AD2021" s="1"/>
      <c r="AE2021" s="1"/>
      <c r="AF2021" s="1"/>
      <c r="AG2021" s="1"/>
    </row>
    <row r="2022" ht="15.75" customHeight="1">
      <c r="A2022" s="1"/>
      <c r="B2022" s="1"/>
      <c r="C2022" s="1"/>
      <c r="D2022" s="1"/>
      <c r="E2022" s="1"/>
      <c r="F2022" s="1"/>
      <c r="G2022" s="1"/>
      <c r="H2022" s="1"/>
      <c r="I2022" s="1"/>
      <c r="J2022" s="1"/>
      <c r="K2022" s="102" t="s">
        <v>3782</v>
      </c>
      <c r="L2022" s="102" t="str">
        <f>H44</f>
        <v>J1a2a1a2~</v>
      </c>
      <c r="M2022" s="102" t="s">
        <v>3783</v>
      </c>
      <c r="N2022" s="102" t="s">
        <v>3784</v>
      </c>
      <c r="O2022" s="105">
        <v>1.8027024E7</v>
      </c>
      <c r="P2022" s="105">
        <v>1.5915144E7</v>
      </c>
      <c r="Q2022" s="102" t="s">
        <v>2439</v>
      </c>
      <c r="S2022" s="1"/>
      <c r="T2022" s="1"/>
      <c r="U2022" s="1"/>
      <c r="V2022" s="1"/>
      <c r="W2022" s="1"/>
      <c r="X2022" s="1"/>
      <c r="Y2022" s="1"/>
      <c r="Z2022" s="102"/>
      <c r="AA2022" s="102"/>
      <c r="AB2022" s="1"/>
      <c r="AC2022" s="1"/>
      <c r="AD2022" s="1"/>
      <c r="AE2022" s="1"/>
      <c r="AF2022" s="1"/>
      <c r="AG2022" s="1"/>
    </row>
    <row r="2023" ht="15.75" customHeight="1">
      <c r="A2023" s="1"/>
      <c r="B2023" s="1"/>
      <c r="C2023" s="1"/>
      <c r="D2023" s="1"/>
      <c r="E2023" s="1"/>
      <c r="F2023" s="1"/>
      <c r="G2023" s="1"/>
      <c r="H2023" s="1"/>
      <c r="I2023" s="1"/>
      <c r="J2023" s="1"/>
      <c r="K2023" s="102" t="s">
        <v>3785</v>
      </c>
      <c r="L2023" s="102" t="str">
        <f>H44</f>
        <v>J1a2a1a2~</v>
      </c>
      <c r="M2023" s="102" t="s">
        <v>3786</v>
      </c>
      <c r="N2023" s="102" t="s">
        <v>3784</v>
      </c>
      <c r="O2023" s="105">
        <v>1.8027024E7</v>
      </c>
      <c r="P2023" s="105">
        <v>1.5915144E7</v>
      </c>
      <c r="Q2023" s="102" t="s">
        <v>2439</v>
      </c>
      <c r="S2023" s="1"/>
      <c r="T2023" s="1"/>
      <c r="U2023" s="1"/>
      <c r="V2023" s="1"/>
      <c r="W2023" s="1"/>
      <c r="X2023" s="1"/>
      <c r="Y2023" s="1"/>
      <c r="Z2023" s="102"/>
      <c r="AA2023" s="102"/>
      <c r="AB2023" s="1"/>
      <c r="AC2023" s="1"/>
      <c r="AD2023" s="1"/>
      <c r="AE2023" s="1"/>
      <c r="AF2023" s="1"/>
      <c r="AG2023" s="1"/>
    </row>
    <row r="2024" ht="15.75" customHeight="1">
      <c r="A2024" s="1"/>
      <c r="B2024" s="1"/>
      <c r="C2024" s="1"/>
      <c r="D2024" s="1"/>
      <c r="E2024" s="1"/>
      <c r="F2024" s="1"/>
      <c r="G2024" s="1"/>
      <c r="H2024" s="1"/>
      <c r="I2024" s="1"/>
      <c r="J2024" s="1"/>
      <c r="K2024" s="102" t="s">
        <v>3787</v>
      </c>
      <c r="L2024" s="102" t="str">
        <f>H44</f>
        <v>J1a2a1a2~</v>
      </c>
      <c r="M2024" s="102" t="s">
        <v>3788</v>
      </c>
      <c r="N2024" s="102" t="s">
        <v>3784</v>
      </c>
      <c r="O2024" s="105">
        <v>1.8027024E7</v>
      </c>
      <c r="P2024" s="105">
        <v>1.5915144E7</v>
      </c>
      <c r="Q2024" s="102" t="s">
        <v>2439</v>
      </c>
      <c r="S2024" s="1"/>
      <c r="T2024" s="1"/>
      <c r="U2024" s="1"/>
      <c r="V2024" s="1"/>
      <c r="W2024" s="1"/>
      <c r="X2024" s="1"/>
      <c r="Y2024" s="1"/>
      <c r="Z2024" s="102"/>
      <c r="AA2024" s="102"/>
      <c r="AB2024" s="1"/>
      <c r="AC2024" s="1"/>
      <c r="AD2024" s="1"/>
      <c r="AE2024" s="1"/>
      <c r="AF2024" s="1"/>
      <c r="AG2024" s="1"/>
    </row>
    <row r="2025" ht="15.75" customHeight="1">
      <c r="A2025" s="1"/>
      <c r="B2025" s="1"/>
      <c r="C2025" s="1"/>
      <c r="D2025" s="1"/>
      <c r="E2025" s="1"/>
      <c r="F2025" s="1"/>
      <c r="G2025" s="1"/>
      <c r="H2025" s="1"/>
      <c r="I2025" s="1"/>
      <c r="J2025" s="1"/>
      <c r="K2025" s="102" t="s">
        <v>3789</v>
      </c>
      <c r="L2025" s="102" t="str">
        <f>H44</f>
        <v>J1a2a1a2~</v>
      </c>
      <c r="M2025" s="102" t="s">
        <v>3790</v>
      </c>
      <c r="N2025" s="102" t="s">
        <v>3791</v>
      </c>
      <c r="O2025" s="105">
        <v>1.8651366E7</v>
      </c>
      <c r="P2025" s="105">
        <v>1.6539486E7</v>
      </c>
      <c r="Q2025" s="102" t="s">
        <v>2576</v>
      </c>
      <c r="S2025" s="1"/>
      <c r="T2025" s="1"/>
      <c r="U2025" s="1"/>
      <c r="V2025" s="1"/>
      <c r="W2025" s="1"/>
      <c r="X2025" s="1"/>
      <c r="Y2025" s="1"/>
      <c r="Z2025" s="102"/>
      <c r="AA2025" s="102"/>
      <c r="AB2025" s="1"/>
      <c r="AC2025" s="1"/>
      <c r="AD2025" s="1"/>
      <c r="AE2025" s="1"/>
      <c r="AF2025" s="1"/>
      <c r="AG2025" s="1"/>
    </row>
    <row r="2026" ht="15.75" customHeight="1">
      <c r="A2026" s="1"/>
      <c r="B2026" s="1"/>
      <c r="C2026" s="1"/>
      <c r="D2026" s="1"/>
      <c r="E2026" s="1"/>
      <c r="F2026" s="1"/>
      <c r="G2026" s="1"/>
      <c r="H2026" s="1"/>
      <c r="I2026" s="1"/>
      <c r="J2026" s="1"/>
      <c r="K2026" s="102" t="s">
        <v>3792</v>
      </c>
      <c r="L2026" s="102" t="str">
        <f>H44</f>
        <v>J1a2a1a2~</v>
      </c>
      <c r="M2026" s="102" t="s">
        <v>3793</v>
      </c>
      <c r="N2026" s="102" t="s">
        <v>3791</v>
      </c>
      <c r="O2026" s="105">
        <v>1.8651366E7</v>
      </c>
      <c r="P2026" s="105">
        <v>1.6539486E7</v>
      </c>
      <c r="Q2026" s="102" t="s">
        <v>2576</v>
      </c>
      <c r="S2026" s="1"/>
      <c r="T2026" s="1"/>
      <c r="U2026" s="1"/>
      <c r="V2026" s="1"/>
      <c r="W2026" s="1"/>
      <c r="X2026" s="1"/>
      <c r="Y2026" s="1"/>
      <c r="Z2026" s="102"/>
      <c r="AA2026" s="102"/>
      <c r="AB2026" s="1"/>
      <c r="AC2026" s="1"/>
      <c r="AD2026" s="1"/>
      <c r="AE2026" s="1"/>
      <c r="AF2026" s="1"/>
      <c r="AG2026" s="1"/>
    </row>
    <row r="2027" ht="15.75" customHeight="1">
      <c r="A2027" s="1"/>
      <c r="B2027" s="1"/>
      <c r="C2027" s="1"/>
      <c r="D2027" s="1"/>
      <c r="E2027" s="1"/>
      <c r="F2027" s="1"/>
      <c r="G2027" s="1"/>
      <c r="H2027" s="1"/>
      <c r="I2027" s="1"/>
      <c r="J2027" s="1"/>
      <c r="K2027" s="102" t="s">
        <v>3794</v>
      </c>
      <c r="L2027" s="102" t="str">
        <f>H44</f>
        <v>J1a2a1a2~</v>
      </c>
      <c r="M2027" s="102" t="s">
        <v>3795</v>
      </c>
      <c r="N2027" s="102" t="s">
        <v>3791</v>
      </c>
      <c r="O2027" s="105">
        <v>1.8651366E7</v>
      </c>
      <c r="P2027" s="105">
        <v>1.6539486E7</v>
      </c>
      <c r="Q2027" s="102" t="s">
        <v>2576</v>
      </c>
      <c r="S2027" s="1"/>
      <c r="T2027" s="1"/>
      <c r="U2027" s="1"/>
      <c r="V2027" s="1"/>
      <c r="W2027" s="1"/>
      <c r="X2027" s="1"/>
      <c r="Y2027" s="1"/>
      <c r="Z2027" s="102"/>
      <c r="AA2027" s="102"/>
      <c r="AB2027" s="1"/>
      <c r="AC2027" s="1"/>
      <c r="AD2027" s="1"/>
      <c r="AE2027" s="1"/>
      <c r="AF2027" s="1"/>
      <c r="AG2027" s="1"/>
    </row>
    <row r="2028" ht="15.75" customHeight="1">
      <c r="A2028" s="1"/>
      <c r="B2028" s="1"/>
      <c r="C2028" s="1"/>
      <c r="D2028" s="1"/>
      <c r="E2028" s="1"/>
      <c r="F2028" s="1"/>
      <c r="G2028" s="1"/>
      <c r="H2028" s="1"/>
      <c r="I2028" s="1"/>
      <c r="J2028" s="1"/>
      <c r="K2028" s="102" t="s">
        <v>3796</v>
      </c>
      <c r="L2028" s="102" t="str">
        <f>H44</f>
        <v>J1a2a1a2~</v>
      </c>
      <c r="M2028" s="102" t="s">
        <v>3797</v>
      </c>
      <c r="N2028" s="102" t="s">
        <v>3791</v>
      </c>
      <c r="O2028" s="105">
        <v>1.8651366E7</v>
      </c>
      <c r="P2028" s="105">
        <v>1.6539486E7</v>
      </c>
      <c r="Q2028" s="102" t="s">
        <v>2576</v>
      </c>
      <c r="S2028" s="1"/>
      <c r="T2028" s="1"/>
      <c r="U2028" s="1"/>
      <c r="V2028" s="1"/>
      <c r="W2028" s="1"/>
      <c r="X2028" s="1"/>
      <c r="Y2028" s="1"/>
      <c r="Z2028" s="102"/>
      <c r="AA2028" s="102"/>
      <c r="AB2028" s="1"/>
      <c r="AC2028" s="1"/>
      <c r="AD2028" s="1"/>
      <c r="AE2028" s="1"/>
      <c r="AF2028" s="1"/>
      <c r="AG2028" s="1"/>
    </row>
    <row r="2029" ht="15.75" customHeight="1">
      <c r="A2029" s="1"/>
      <c r="B2029" s="1"/>
      <c r="C2029" s="1"/>
      <c r="D2029" s="1"/>
      <c r="E2029" s="1"/>
      <c r="F2029" s="1"/>
      <c r="G2029" s="1"/>
      <c r="H2029" s="1"/>
      <c r="I2029" s="1"/>
      <c r="J2029" s="1"/>
      <c r="K2029" s="102" t="s">
        <v>3798</v>
      </c>
      <c r="L2029" s="102" t="str">
        <f>H44</f>
        <v>J1a2a1a2~</v>
      </c>
      <c r="M2029" s="102" t="s">
        <v>3799</v>
      </c>
      <c r="N2029" s="102" t="s">
        <v>3800</v>
      </c>
      <c r="O2029" s="105">
        <v>1.8718326E7</v>
      </c>
      <c r="P2029" s="105">
        <v>1.6606446E7</v>
      </c>
      <c r="Q2029" s="102" t="s">
        <v>2514</v>
      </c>
      <c r="S2029" s="1"/>
      <c r="T2029" s="1"/>
      <c r="U2029" s="1"/>
      <c r="V2029" s="1"/>
      <c r="W2029" s="1"/>
      <c r="X2029" s="1"/>
      <c r="Y2029" s="1"/>
      <c r="Z2029" s="102"/>
      <c r="AA2029" s="102"/>
      <c r="AB2029" s="1"/>
      <c r="AC2029" s="1"/>
      <c r="AD2029" s="1"/>
      <c r="AE2029" s="1"/>
      <c r="AF2029" s="1"/>
      <c r="AG2029" s="1"/>
    </row>
    <row r="2030" ht="15.75" customHeight="1">
      <c r="A2030" s="1"/>
      <c r="B2030" s="1"/>
      <c r="C2030" s="1"/>
      <c r="D2030" s="1"/>
      <c r="E2030" s="1"/>
      <c r="F2030" s="1"/>
      <c r="G2030" s="1"/>
      <c r="H2030" s="1"/>
      <c r="I2030" s="1"/>
      <c r="J2030" s="1"/>
      <c r="K2030" s="102" t="s">
        <v>3799</v>
      </c>
      <c r="L2030" s="102" t="str">
        <f>H44</f>
        <v>J1a2a1a2~</v>
      </c>
      <c r="M2030" s="102" t="s">
        <v>3798</v>
      </c>
      <c r="N2030" s="102" t="s">
        <v>3800</v>
      </c>
      <c r="O2030" s="105">
        <v>1.8718326E7</v>
      </c>
      <c r="P2030" s="105">
        <v>1.6606446E7</v>
      </c>
      <c r="Q2030" s="102" t="s">
        <v>2514</v>
      </c>
      <c r="S2030" s="1"/>
      <c r="T2030" s="1"/>
      <c r="U2030" s="1"/>
      <c r="V2030" s="1"/>
      <c r="W2030" s="1"/>
      <c r="X2030" s="1"/>
      <c r="Y2030" s="1"/>
      <c r="Z2030" s="102"/>
      <c r="AA2030" s="102"/>
      <c r="AB2030" s="1"/>
      <c r="AC2030" s="1"/>
      <c r="AD2030" s="1"/>
      <c r="AE2030" s="1"/>
      <c r="AF2030" s="1"/>
      <c r="AG2030" s="1"/>
    </row>
    <row r="2031" ht="15.75" customHeight="1">
      <c r="A2031" s="1"/>
      <c r="B2031" s="1"/>
      <c r="C2031" s="1"/>
      <c r="D2031" s="1"/>
      <c r="E2031" s="1"/>
      <c r="F2031" s="1"/>
      <c r="G2031" s="1"/>
      <c r="H2031" s="1"/>
      <c r="I2031" s="1"/>
      <c r="J2031" s="1"/>
      <c r="K2031" s="102" t="s">
        <v>3801</v>
      </c>
      <c r="L2031" s="102" t="str">
        <f>H44</f>
        <v>J1a2a1a2~</v>
      </c>
      <c r="M2031" s="102" t="s">
        <v>3802</v>
      </c>
      <c r="N2031" s="102" t="s">
        <v>3803</v>
      </c>
      <c r="O2031" s="105">
        <v>1.9039296E7</v>
      </c>
      <c r="P2031" s="105">
        <v>1.6927416E7</v>
      </c>
      <c r="Q2031" s="102" t="s">
        <v>2563</v>
      </c>
      <c r="S2031" s="1"/>
      <c r="T2031" s="1"/>
      <c r="U2031" s="1"/>
      <c r="V2031" s="1"/>
      <c r="W2031" s="1"/>
      <c r="X2031" s="1"/>
      <c r="Y2031" s="1"/>
      <c r="Z2031" s="102"/>
      <c r="AA2031" s="102"/>
      <c r="AB2031" s="1"/>
      <c r="AC2031" s="1"/>
      <c r="AD2031" s="1"/>
      <c r="AE2031" s="1"/>
      <c r="AF2031" s="1"/>
      <c r="AG2031" s="1"/>
    </row>
    <row r="2032" ht="15.75" customHeight="1">
      <c r="A2032" s="1"/>
      <c r="B2032" s="1"/>
      <c r="C2032" s="1"/>
      <c r="D2032" s="1"/>
      <c r="E2032" s="1"/>
      <c r="F2032" s="1"/>
      <c r="G2032" s="1"/>
      <c r="H2032" s="1"/>
      <c r="I2032" s="1"/>
      <c r="J2032" s="1"/>
      <c r="K2032" s="102" t="s">
        <v>3804</v>
      </c>
      <c r="L2032" s="102" t="str">
        <f>H44</f>
        <v>J1a2a1a2~</v>
      </c>
      <c r="M2032" s="102" t="s">
        <v>3805</v>
      </c>
      <c r="N2032" s="102" t="s">
        <v>3803</v>
      </c>
      <c r="O2032" s="105">
        <v>1.9039296E7</v>
      </c>
      <c r="P2032" s="105">
        <v>1.6927416E7</v>
      </c>
      <c r="Q2032" s="102" t="s">
        <v>2563</v>
      </c>
      <c r="S2032" s="1"/>
      <c r="T2032" s="1"/>
      <c r="U2032" s="1"/>
      <c r="V2032" s="1"/>
      <c r="W2032" s="1"/>
      <c r="X2032" s="1"/>
      <c r="Y2032" s="1"/>
      <c r="Z2032" s="102"/>
      <c r="AA2032" s="102"/>
      <c r="AB2032" s="1"/>
      <c r="AC2032" s="1"/>
      <c r="AD2032" s="1"/>
      <c r="AE2032" s="1"/>
      <c r="AF2032" s="1"/>
      <c r="AG2032" s="1"/>
    </row>
    <row r="2033" ht="15.75" customHeight="1">
      <c r="A2033" s="1"/>
      <c r="B2033" s="1"/>
      <c r="C2033" s="1"/>
      <c r="D2033" s="1"/>
      <c r="E2033" s="1"/>
      <c r="F2033" s="1"/>
      <c r="G2033" s="1"/>
      <c r="H2033" s="1"/>
      <c r="I2033" s="1"/>
      <c r="J2033" s="1"/>
      <c r="K2033" s="102" t="s">
        <v>3806</v>
      </c>
      <c r="L2033" s="102" t="str">
        <f>H44</f>
        <v>J1a2a1a2~</v>
      </c>
      <c r="M2033" s="102" t="s">
        <v>3807</v>
      </c>
      <c r="N2033" s="102" t="s">
        <v>3803</v>
      </c>
      <c r="O2033" s="105">
        <v>1.9039296E7</v>
      </c>
      <c r="P2033" s="105">
        <v>1.6927416E7</v>
      </c>
      <c r="Q2033" s="102" t="s">
        <v>2563</v>
      </c>
      <c r="S2033" s="1"/>
      <c r="T2033" s="1"/>
      <c r="U2033" s="1"/>
      <c r="V2033" s="1"/>
      <c r="W2033" s="1"/>
      <c r="X2033" s="1"/>
      <c r="Y2033" s="1"/>
      <c r="Z2033" s="102"/>
      <c r="AA2033" s="102"/>
      <c r="AB2033" s="1"/>
      <c r="AC2033" s="1"/>
      <c r="AD2033" s="1"/>
      <c r="AE2033" s="1"/>
      <c r="AF2033" s="1"/>
      <c r="AG2033" s="1"/>
    </row>
    <row r="2034" ht="15.75" customHeight="1">
      <c r="A2034" s="1"/>
      <c r="B2034" s="1"/>
      <c r="C2034" s="1"/>
      <c r="D2034" s="1"/>
      <c r="E2034" s="1"/>
      <c r="F2034" s="1"/>
      <c r="G2034" s="1"/>
      <c r="H2034" s="1"/>
      <c r="I2034" s="1"/>
      <c r="J2034" s="1"/>
      <c r="K2034" s="102" t="s">
        <v>3808</v>
      </c>
      <c r="L2034" s="102" t="str">
        <f>H44</f>
        <v>J1a2a1a2~</v>
      </c>
      <c r="M2034" s="102" t="s">
        <v>3809</v>
      </c>
      <c r="N2034" s="102" t="s">
        <v>3810</v>
      </c>
      <c r="O2034" s="105">
        <v>2.1106819E7</v>
      </c>
      <c r="P2034" s="105">
        <v>1.8944933E7</v>
      </c>
      <c r="Q2034" s="102" t="s">
        <v>2501</v>
      </c>
      <c r="S2034" s="1"/>
      <c r="T2034" s="1"/>
      <c r="U2034" s="1"/>
      <c r="V2034" s="1"/>
      <c r="W2034" s="1"/>
      <c r="X2034" s="1"/>
      <c r="Y2034" s="1"/>
      <c r="Z2034" s="102"/>
      <c r="AA2034" s="102"/>
      <c r="AB2034" s="1"/>
      <c r="AC2034" s="1"/>
      <c r="AD2034" s="1"/>
      <c r="AE2034" s="1"/>
      <c r="AF2034" s="1"/>
      <c r="AG2034" s="1"/>
    </row>
    <row r="2035" ht="15.75" customHeight="1">
      <c r="A2035" s="1"/>
      <c r="B2035" s="1"/>
      <c r="C2035" s="1"/>
      <c r="D2035" s="1"/>
      <c r="E2035" s="1"/>
      <c r="F2035" s="1"/>
      <c r="G2035" s="1"/>
      <c r="H2035" s="1"/>
      <c r="I2035" s="1"/>
      <c r="J2035" s="1"/>
      <c r="K2035" s="102" t="s">
        <v>3809</v>
      </c>
      <c r="L2035" s="102" t="str">
        <f>H44</f>
        <v>J1a2a1a2~</v>
      </c>
      <c r="M2035" s="102" t="s">
        <v>3808</v>
      </c>
      <c r="N2035" s="102" t="s">
        <v>3810</v>
      </c>
      <c r="O2035" s="105">
        <v>2.1106819E7</v>
      </c>
      <c r="P2035" s="105">
        <v>1.8944933E7</v>
      </c>
      <c r="Q2035" s="102" t="s">
        <v>2501</v>
      </c>
      <c r="S2035" s="1"/>
      <c r="T2035" s="1"/>
      <c r="U2035" s="1"/>
      <c r="V2035" s="1"/>
      <c r="W2035" s="1"/>
      <c r="X2035" s="1"/>
      <c r="Y2035" s="1"/>
      <c r="Z2035" s="102"/>
      <c r="AA2035" s="102"/>
      <c r="AB2035" s="1"/>
      <c r="AC2035" s="1"/>
      <c r="AD2035" s="1"/>
      <c r="AE2035" s="1"/>
      <c r="AF2035" s="1"/>
      <c r="AG2035" s="1"/>
    </row>
    <row r="2036" ht="15.75" customHeight="1">
      <c r="A2036" s="1"/>
      <c r="B2036" s="1"/>
      <c r="C2036" s="1"/>
      <c r="D2036" s="1"/>
      <c r="E2036" s="1"/>
      <c r="F2036" s="1"/>
      <c r="G2036" s="1"/>
      <c r="H2036" s="1"/>
      <c r="I2036" s="1"/>
      <c r="J2036" s="1"/>
      <c r="K2036" s="102" t="s">
        <v>3811</v>
      </c>
      <c r="L2036" s="102" t="str">
        <f>H44</f>
        <v>J1a2a1a2~</v>
      </c>
      <c r="M2036" s="102" t="s">
        <v>3812</v>
      </c>
      <c r="N2036" s="102" t="s">
        <v>3813</v>
      </c>
      <c r="O2036" s="105">
        <v>2.1388563E7</v>
      </c>
      <c r="P2036" s="105">
        <v>1.9226677E7</v>
      </c>
      <c r="Q2036" s="102" t="s">
        <v>2514</v>
      </c>
      <c r="S2036" s="1"/>
      <c r="T2036" s="1"/>
      <c r="U2036" s="1"/>
      <c r="V2036" s="1"/>
      <c r="W2036" s="1"/>
      <c r="X2036" s="1"/>
      <c r="Y2036" s="1"/>
      <c r="Z2036" s="102"/>
      <c r="AA2036" s="102"/>
      <c r="AB2036" s="1"/>
      <c r="AC2036" s="1"/>
      <c r="AD2036" s="1"/>
      <c r="AE2036" s="1"/>
      <c r="AF2036" s="1"/>
      <c r="AG2036" s="1"/>
    </row>
    <row r="2037" ht="15.75" customHeight="1">
      <c r="A2037" s="1"/>
      <c r="B2037" s="1"/>
      <c r="C2037" s="1"/>
      <c r="D2037" s="1"/>
      <c r="E2037" s="1"/>
      <c r="F2037" s="1"/>
      <c r="G2037" s="1"/>
      <c r="H2037" s="1"/>
      <c r="I2037" s="1"/>
      <c r="J2037" s="1"/>
      <c r="K2037" s="102" t="s">
        <v>3814</v>
      </c>
      <c r="L2037" s="102" t="str">
        <f>H44</f>
        <v>J1a2a1a2~</v>
      </c>
      <c r="M2037" s="102" t="s">
        <v>3815</v>
      </c>
      <c r="N2037" s="102" t="s">
        <v>3813</v>
      </c>
      <c r="O2037" s="105">
        <v>2.1388563E7</v>
      </c>
      <c r="P2037" s="105">
        <v>1.9226677E7</v>
      </c>
      <c r="Q2037" s="102" t="s">
        <v>2514</v>
      </c>
      <c r="S2037" s="1"/>
      <c r="T2037" s="1"/>
      <c r="U2037" s="1"/>
      <c r="V2037" s="1"/>
      <c r="W2037" s="1"/>
      <c r="X2037" s="1"/>
      <c r="Y2037" s="1"/>
      <c r="Z2037" s="102"/>
      <c r="AA2037" s="102"/>
      <c r="AB2037" s="1"/>
      <c r="AC2037" s="1"/>
      <c r="AD2037" s="1"/>
      <c r="AE2037" s="1"/>
      <c r="AF2037" s="1"/>
      <c r="AG2037" s="1"/>
    </row>
    <row r="2038" ht="15.75" customHeight="1">
      <c r="A2038" s="1"/>
      <c r="B2038" s="1"/>
      <c r="C2038" s="1"/>
      <c r="D2038" s="1"/>
      <c r="E2038" s="1"/>
      <c r="F2038" s="1"/>
      <c r="G2038" s="1"/>
      <c r="H2038" s="1"/>
      <c r="I2038" s="1"/>
      <c r="J2038" s="1"/>
      <c r="K2038" s="102" t="s">
        <v>3816</v>
      </c>
      <c r="L2038" s="102" t="str">
        <f>H44</f>
        <v>J1a2a1a2~</v>
      </c>
      <c r="M2038" s="102" t="s">
        <v>3817</v>
      </c>
      <c r="N2038" s="102" t="s">
        <v>3813</v>
      </c>
      <c r="O2038" s="105">
        <v>2.1388563E7</v>
      </c>
      <c r="P2038" s="105">
        <v>1.9226677E7</v>
      </c>
      <c r="Q2038" s="102" t="s">
        <v>2514</v>
      </c>
      <c r="S2038" s="1"/>
      <c r="T2038" s="1"/>
      <c r="U2038" s="1"/>
      <c r="V2038" s="1"/>
      <c r="W2038" s="1"/>
      <c r="X2038" s="1"/>
      <c r="Y2038" s="1"/>
      <c r="Z2038" s="102"/>
      <c r="AA2038" s="102"/>
      <c r="AB2038" s="1"/>
      <c r="AC2038" s="1"/>
      <c r="AD2038" s="1"/>
      <c r="AE2038" s="1"/>
      <c r="AF2038" s="1"/>
      <c r="AG2038" s="1"/>
    </row>
    <row r="2039" ht="15.75" customHeight="1">
      <c r="A2039" s="1"/>
      <c r="B2039" s="1"/>
      <c r="C2039" s="1"/>
      <c r="D2039" s="1"/>
      <c r="E2039" s="1"/>
      <c r="F2039" s="1"/>
      <c r="G2039" s="1"/>
      <c r="H2039" s="1"/>
      <c r="I2039" s="1"/>
      <c r="J2039" s="1"/>
      <c r="K2039" s="102" t="s">
        <v>3818</v>
      </c>
      <c r="L2039" s="102" t="str">
        <f>H44</f>
        <v>J1a2a1a2~</v>
      </c>
      <c r="M2039" s="102" t="s">
        <v>3819</v>
      </c>
      <c r="N2039" s="102" t="s">
        <v>3820</v>
      </c>
      <c r="O2039" s="105">
        <v>2.1986822E7</v>
      </c>
      <c r="P2039" s="105">
        <v>1.9824936E7</v>
      </c>
      <c r="Q2039" s="102" t="s">
        <v>2576</v>
      </c>
      <c r="S2039" s="1"/>
      <c r="T2039" s="1"/>
      <c r="U2039" s="1"/>
      <c r="V2039" s="1"/>
      <c r="W2039" s="1"/>
      <c r="X2039" s="1"/>
      <c r="Y2039" s="1"/>
      <c r="Z2039" s="102"/>
      <c r="AA2039" s="102"/>
      <c r="AB2039" s="1"/>
      <c r="AC2039" s="1"/>
      <c r="AD2039" s="1"/>
      <c r="AE2039" s="1"/>
      <c r="AF2039" s="1"/>
      <c r="AG2039" s="1"/>
    </row>
    <row r="2040" ht="15.75" customHeight="1">
      <c r="A2040" s="1"/>
      <c r="B2040" s="1"/>
      <c r="C2040" s="1"/>
      <c r="D2040" s="1"/>
      <c r="E2040" s="1"/>
      <c r="F2040" s="1"/>
      <c r="G2040" s="1"/>
      <c r="H2040" s="1"/>
      <c r="I2040" s="1"/>
      <c r="J2040" s="1"/>
      <c r="K2040" s="102" t="s">
        <v>3821</v>
      </c>
      <c r="L2040" s="102" t="str">
        <f>H44</f>
        <v>J1a2a1a2~</v>
      </c>
      <c r="M2040" s="102" t="s">
        <v>3822</v>
      </c>
      <c r="N2040" s="102" t="s">
        <v>3820</v>
      </c>
      <c r="O2040" s="105">
        <v>2.1986822E7</v>
      </c>
      <c r="P2040" s="105">
        <v>1.9824936E7</v>
      </c>
      <c r="Q2040" s="102" t="s">
        <v>2576</v>
      </c>
      <c r="S2040" s="1"/>
      <c r="T2040" s="1"/>
      <c r="U2040" s="1"/>
      <c r="V2040" s="1"/>
      <c r="W2040" s="1"/>
      <c r="X2040" s="1"/>
      <c r="Y2040" s="1"/>
      <c r="Z2040" s="102"/>
      <c r="AA2040" s="102"/>
      <c r="AB2040" s="1"/>
      <c r="AC2040" s="1"/>
      <c r="AD2040" s="1"/>
      <c r="AE2040" s="1"/>
      <c r="AF2040" s="1"/>
      <c r="AG2040" s="1"/>
    </row>
    <row r="2041" ht="15.75" customHeight="1">
      <c r="A2041" s="1"/>
      <c r="B2041" s="1"/>
      <c r="C2041" s="1"/>
      <c r="D2041" s="1"/>
      <c r="E2041" s="1"/>
      <c r="F2041" s="1"/>
      <c r="G2041" s="1"/>
      <c r="H2041" s="1"/>
      <c r="I2041" s="1"/>
      <c r="J2041" s="1"/>
      <c r="K2041" s="102" t="s">
        <v>3823</v>
      </c>
      <c r="L2041" s="102" t="str">
        <f>H44</f>
        <v>J1a2a1a2~</v>
      </c>
      <c r="M2041" s="102" t="s">
        <v>3824</v>
      </c>
      <c r="N2041" s="102" t="s">
        <v>3820</v>
      </c>
      <c r="O2041" s="105">
        <v>2.1986822E7</v>
      </c>
      <c r="P2041" s="105">
        <v>1.9824936E7</v>
      </c>
      <c r="Q2041" s="102" t="s">
        <v>2576</v>
      </c>
      <c r="S2041" s="1"/>
      <c r="T2041" s="1"/>
      <c r="U2041" s="1"/>
      <c r="V2041" s="1"/>
      <c r="W2041" s="1"/>
      <c r="X2041" s="1"/>
      <c r="Y2041" s="1"/>
      <c r="Z2041" s="102"/>
      <c r="AA2041" s="102"/>
      <c r="AB2041" s="1"/>
      <c r="AC2041" s="1"/>
      <c r="AD2041" s="1"/>
      <c r="AE2041" s="1"/>
      <c r="AF2041" s="1"/>
      <c r="AG2041" s="1"/>
    </row>
    <row r="2042" ht="15.75" customHeight="1">
      <c r="A2042" s="1"/>
      <c r="B2042" s="1"/>
      <c r="C2042" s="1"/>
      <c r="D2042" s="1"/>
      <c r="E2042" s="1"/>
      <c r="F2042" s="1"/>
      <c r="G2042" s="1"/>
      <c r="H2042" s="1"/>
      <c r="I2042" s="1"/>
      <c r="J2042" s="1"/>
      <c r="K2042" s="102" t="s">
        <v>3825</v>
      </c>
      <c r="L2042" s="102" t="str">
        <f>H44</f>
        <v>J1a2a1a2~</v>
      </c>
      <c r="M2042" s="102" t="s">
        <v>3826</v>
      </c>
      <c r="N2042" s="102" t="s">
        <v>3827</v>
      </c>
      <c r="O2042" s="105">
        <v>2.3140896E7</v>
      </c>
      <c r="P2042" s="105">
        <v>2.097901E7</v>
      </c>
      <c r="Q2042" s="102" t="s">
        <v>2501</v>
      </c>
      <c r="S2042" s="1"/>
      <c r="T2042" s="1"/>
      <c r="U2042" s="1"/>
      <c r="V2042" s="1"/>
      <c r="W2042" s="1"/>
      <c r="X2042" s="1"/>
      <c r="Y2042" s="1"/>
      <c r="Z2042" s="102"/>
      <c r="AA2042" s="102"/>
      <c r="AB2042" s="1"/>
      <c r="AC2042" s="1"/>
      <c r="AD2042" s="1"/>
      <c r="AE2042" s="1"/>
      <c r="AF2042" s="1"/>
      <c r="AG2042" s="1"/>
    </row>
    <row r="2043" ht="15.75" customHeight="1">
      <c r="A2043" s="1"/>
      <c r="B2043" s="1"/>
      <c r="C2043" s="1"/>
      <c r="D2043" s="1"/>
      <c r="E2043" s="1"/>
      <c r="F2043" s="1"/>
      <c r="G2043" s="1"/>
      <c r="H2043" s="1"/>
      <c r="I2043" s="1"/>
      <c r="J2043" s="1"/>
      <c r="K2043" s="102" t="s">
        <v>3828</v>
      </c>
      <c r="L2043" s="102" t="str">
        <f>H44</f>
        <v>J1a2a1a2~</v>
      </c>
      <c r="M2043" s="102" t="s">
        <v>3829</v>
      </c>
      <c r="N2043" s="102" t="s">
        <v>3827</v>
      </c>
      <c r="O2043" s="105">
        <v>2.3140896E7</v>
      </c>
      <c r="P2043" s="105">
        <v>2.097901E7</v>
      </c>
      <c r="Q2043" s="102" t="s">
        <v>2501</v>
      </c>
      <c r="S2043" s="1"/>
      <c r="T2043" s="1"/>
      <c r="U2043" s="1"/>
      <c r="V2043" s="1"/>
      <c r="W2043" s="1"/>
      <c r="X2043" s="1"/>
      <c r="Y2043" s="1"/>
      <c r="Z2043" s="102"/>
      <c r="AA2043" s="102"/>
      <c r="AB2043" s="1"/>
      <c r="AC2043" s="1"/>
      <c r="AD2043" s="1"/>
      <c r="AE2043" s="1"/>
      <c r="AF2043" s="1"/>
      <c r="AG2043" s="1"/>
    </row>
    <row r="2044" ht="15.75" customHeight="1">
      <c r="A2044" s="1"/>
      <c r="B2044" s="1"/>
      <c r="C2044" s="1"/>
      <c r="D2044" s="1"/>
      <c r="E2044" s="1"/>
      <c r="F2044" s="1"/>
      <c r="G2044" s="1"/>
      <c r="H2044" s="1"/>
      <c r="I2044" s="1"/>
      <c r="J2044" s="1"/>
      <c r="K2044" s="102" t="s">
        <v>3830</v>
      </c>
      <c r="L2044" s="102" t="str">
        <f>H44</f>
        <v>J1a2a1a2~</v>
      </c>
      <c r="M2044" s="102" t="s">
        <v>3831</v>
      </c>
      <c r="N2044" s="102" t="s">
        <v>3827</v>
      </c>
      <c r="O2044" s="105">
        <v>2.3140896E7</v>
      </c>
      <c r="P2044" s="105">
        <v>2.097901E7</v>
      </c>
      <c r="Q2044" s="102" t="s">
        <v>2501</v>
      </c>
      <c r="S2044" s="1"/>
      <c r="T2044" s="1"/>
      <c r="U2044" s="1"/>
      <c r="V2044" s="1"/>
      <c r="W2044" s="1"/>
      <c r="X2044" s="1"/>
      <c r="Y2044" s="1"/>
      <c r="Z2044" s="102"/>
      <c r="AA2044" s="102"/>
      <c r="AB2044" s="1"/>
      <c r="AC2044" s="1"/>
      <c r="AD2044" s="1"/>
      <c r="AE2044" s="1"/>
      <c r="AF2044" s="1"/>
      <c r="AG2044" s="1"/>
    </row>
    <row r="2045" ht="15.75" customHeight="1">
      <c r="A2045" s="1"/>
      <c r="B2045" s="1"/>
      <c r="C2045" s="1"/>
      <c r="D2045" s="1"/>
      <c r="E2045" s="1"/>
      <c r="F2045" s="1"/>
      <c r="G2045" s="1"/>
      <c r="H2045" s="1"/>
      <c r="I2045" s="1"/>
      <c r="J2045" s="1"/>
      <c r="K2045" s="102" t="s">
        <v>3832</v>
      </c>
      <c r="L2045" s="102" t="str">
        <f>H44</f>
        <v>J1a2a1a2~</v>
      </c>
      <c r="M2045" s="102" t="s">
        <v>3833</v>
      </c>
      <c r="N2045" s="102" t="s">
        <v>3834</v>
      </c>
      <c r="O2045" s="105">
        <v>2.3324624E7</v>
      </c>
      <c r="P2045" s="105">
        <v>2.1162738E7</v>
      </c>
      <c r="Q2045" s="102" t="s">
        <v>2501</v>
      </c>
      <c r="S2045" s="1"/>
      <c r="T2045" s="1"/>
      <c r="U2045" s="1"/>
      <c r="V2045" s="1"/>
      <c r="W2045" s="1"/>
      <c r="X2045" s="1"/>
      <c r="Y2045" s="1"/>
      <c r="Z2045" s="102"/>
      <c r="AA2045" s="102"/>
      <c r="AB2045" s="1"/>
      <c r="AC2045" s="1"/>
      <c r="AD2045" s="1"/>
      <c r="AE2045" s="1"/>
      <c r="AF2045" s="1"/>
      <c r="AG2045" s="1"/>
    </row>
    <row r="2046" ht="15.75" customHeight="1">
      <c r="A2046" s="1"/>
      <c r="B2046" s="1"/>
      <c r="C2046" s="1"/>
      <c r="D2046" s="1"/>
      <c r="E2046" s="1"/>
      <c r="F2046" s="1"/>
      <c r="G2046" s="1"/>
      <c r="H2046" s="1"/>
      <c r="I2046" s="1"/>
      <c r="J2046" s="1"/>
      <c r="K2046" s="102" t="s">
        <v>3835</v>
      </c>
      <c r="L2046" s="102" t="str">
        <f>H44</f>
        <v>J1a2a1a2~</v>
      </c>
      <c r="M2046" s="102" t="s">
        <v>3836</v>
      </c>
      <c r="N2046" s="102" t="s">
        <v>3834</v>
      </c>
      <c r="O2046" s="105">
        <v>2.3324624E7</v>
      </c>
      <c r="P2046" s="105">
        <v>2.1162738E7</v>
      </c>
      <c r="Q2046" s="102" t="s">
        <v>2501</v>
      </c>
      <c r="S2046" s="1"/>
      <c r="T2046" s="1"/>
      <c r="U2046" s="1"/>
      <c r="V2046" s="1"/>
      <c r="W2046" s="1"/>
      <c r="X2046" s="1"/>
      <c r="Y2046" s="1"/>
      <c r="Z2046" s="102"/>
      <c r="AA2046" s="102"/>
      <c r="AB2046" s="1"/>
      <c r="AC2046" s="1"/>
      <c r="AD2046" s="1"/>
      <c r="AE2046" s="1"/>
      <c r="AF2046" s="1"/>
      <c r="AG2046" s="1"/>
    </row>
    <row r="2047" ht="15.75" customHeight="1">
      <c r="A2047" s="1"/>
      <c r="B2047" s="1"/>
      <c r="C2047" s="1"/>
      <c r="D2047" s="1"/>
      <c r="E2047" s="1"/>
      <c r="F2047" s="1"/>
      <c r="G2047" s="1"/>
      <c r="H2047" s="1"/>
      <c r="I2047" s="1"/>
      <c r="J2047" s="1"/>
      <c r="K2047" s="102" t="s">
        <v>3837</v>
      </c>
      <c r="L2047" s="102" t="str">
        <f>H44</f>
        <v>J1a2a1a2~</v>
      </c>
      <c r="M2047" s="102" t="s">
        <v>3838</v>
      </c>
      <c r="N2047" s="102" t="s">
        <v>3834</v>
      </c>
      <c r="O2047" s="105">
        <v>2.3324624E7</v>
      </c>
      <c r="P2047" s="105">
        <v>2.1162738E7</v>
      </c>
      <c r="Q2047" s="102" t="s">
        <v>2501</v>
      </c>
      <c r="S2047" s="1"/>
      <c r="T2047" s="1"/>
      <c r="U2047" s="1"/>
      <c r="V2047" s="1"/>
      <c r="W2047" s="1"/>
      <c r="X2047" s="1"/>
      <c r="Y2047" s="1"/>
      <c r="Z2047" s="102"/>
      <c r="AA2047" s="102"/>
      <c r="AB2047" s="1"/>
      <c r="AC2047" s="1"/>
      <c r="AD2047" s="1"/>
      <c r="AE2047" s="1"/>
      <c r="AF2047" s="1"/>
      <c r="AG2047" s="1"/>
    </row>
    <row r="2048" ht="15.75" customHeight="1">
      <c r="A2048" s="1"/>
      <c r="B2048" s="1"/>
      <c r="C2048" s="1"/>
      <c r="D2048" s="1"/>
      <c r="E2048" s="1"/>
      <c r="F2048" s="1"/>
      <c r="G2048" s="1"/>
      <c r="H2048" s="1"/>
      <c r="I2048" s="1"/>
      <c r="J2048" s="1"/>
      <c r="K2048" s="102" t="s">
        <v>3839</v>
      </c>
      <c r="L2048" s="102" t="str">
        <f>H44</f>
        <v>J1a2a1a2~</v>
      </c>
      <c r="M2048" s="102" t="s">
        <v>3840</v>
      </c>
      <c r="N2048" s="102" t="s">
        <v>3841</v>
      </c>
      <c r="O2048" s="105">
        <v>2.8763612E7</v>
      </c>
      <c r="P2048" s="105">
        <v>2.6617465E7</v>
      </c>
      <c r="Q2048" s="102" t="s">
        <v>2501</v>
      </c>
      <c r="S2048" s="1"/>
      <c r="T2048" s="1"/>
      <c r="U2048" s="1"/>
      <c r="V2048" s="1"/>
      <c r="W2048" s="1"/>
      <c r="X2048" s="1"/>
      <c r="Y2048" s="1"/>
      <c r="Z2048" s="102"/>
      <c r="AA2048" s="102"/>
      <c r="AB2048" s="1"/>
      <c r="AC2048" s="1"/>
      <c r="AD2048" s="1"/>
      <c r="AE2048" s="1"/>
      <c r="AF2048" s="1"/>
      <c r="AG2048" s="1"/>
    </row>
    <row r="2049" ht="15.75" customHeight="1">
      <c r="A2049" s="1"/>
      <c r="B2049" s="1"/>
      <c r="C2049" s="1"/>
      <c r="D2049" s="1"/>
      <c r="E2049" s="1"/>
      <c r="F2049" s="1"/>
      <c r="G2049" s="1"/>
      <c r="H2049" s="1"/>
      <c r="I2049" s="1"/>
      <c r="J2049" s="1"/>
      <c r="K2049" s="102" t="s">
        <v>3842</v>
      </c>
      <c r="L2049" s="102" t="str">
        <f>H44</f>
        <v>J1a2a1a2~</v>
      </c>
      <c r="M2049" s="102" t="s">
        <v>3843</v>
      </c>
      <c r="N2049" s="102" t="s">
        <v>3841</v>
      </c>
      <c r="O2049" s="105">
        <v>2.8763612E7</v>
      </c>
      <c r="P2049" s="105">
        <v>2.6617465E7</v>
      </c>
      <c r="Q2049" s="102" t="s">
        <v>2501</v>
      </c>
      <c r="S2049" s="1"/>
      <c r="T2049" s="1"/>
      <c r="U2049" s="1"/>
      <c r="V2049" s="1"/>
      <c r="W2049" s="1"/>
      <c r="X2049" s="1"/>
      <c r="Y2049" s="1"/>
      <c r="Z2049" s="102"/>
      <c r="AA2049" s="102"/>
      <c r="AB2049" s="1"/>
      <c r="AC2049" s="1"/>
      <c r="AD2049" s="1"/>
      <c r="AE2049" s="1"/>
      <c r="AF2049" s="1"/>
      <c r="AG2049" s="1"/>
    </row>
    <row r="2050" ht="15.75" customHeight="1">
      <c r="A2050" s="1"/>
      <c r="B2050" s="1"/>
      <c r="C2050" s="1"/>
      <c r="D2050" s="1"/>
      <c r="E2050" s="1"/>
      <c r="F2050" s="1"/>
      <c r="G2050" s="1"/>
      <c r="H2050" s="1"/>
      <c r="I2050" s="1"/>
      <c r="J2050" s="1"/>
      <c r="K2050" s="102" t="s">
        <v>3844</v>
      </c>
      <c r="L2050" s="102" t="str">
        <f>H44</f>
        <v>J1a2a1a2~</v>
      </c>
      <c r="M2050" s="102" t="s">
        <v>3845</v>
      </c>
      <c r="N2050" s="102" t="s">
        <v>3841</v>
      </c>
      <c r="O2050" s="105">
        <v>2.8763612E7</v>
      </c>
      <c r="P2050" s="105">
        <v>2.6617465E7</v>
      </c>
      <c r="Q2050" s="102" t="s">
        <v>2501</v>
      </c>
      <c r="S2050" s="1"/>
      <c r="T2050" s="1"/>
      <c r="U2050" s="1"/>
      <c r="V2050" s="1"/>
      <c r="W2050" s="1"/>
      <c r="X2050" s="1"/>
      <c r="Y2050" s="1"/>
      <c r="Z2050" s="102"/>
      <c r="AA2050" s="102"/>
      <c r="AB2050" s="1"/>
      <c r="AC2050" s="1"/>
      <c r="AD2050" s="1"/>
      <c r="AE2050" s="1"/>
      <c r="AF2050" s="1"/>
      <c r="AG2050" s="1"/>
    </row>
    <row r="2051" ht="15.75" customHeight="1">
      <c r="A2051" s="1"/>
      <c r="B2051" s="1"/>
      <c r="C2051" s="1"/>
      <c r="D2051" s="1"/>
      <c r="E2051" s="1"/>
      <c r="F2051" s="1"/>
      <c r="G2051" s="1"/>
      <c r="H2051" s="1"/>
      <c r="I2051" s="1"/>
      <c r="J2051" s="1"/>
      <c r="K2051" s="102" t="s">
        <v>3846</v>
      </c>
      <c r="L2051" s="102" t="str">
        <f>H44</f>
        <v>J1a2a1a2~</v>
      </c>
      <c r="M2051" s="102" t="s">
        <v>3847</v>
      </c>
      <c r="N2051" s="102" t="s">
        <v>3848</v>
      </c>
      <c r="O2051" s="105">
        <v>6872976.0</v>
      </c>
      <c r="P2051" s="105">
        <v>7004935.0</v>
      </c>
      <c r="Q2051" s="102" t="s">
        <v>2468</v>
      </c>
      <c r="S2051" s="1"/>
      <c r="T2051" s="1"/>
      <c r="U2051" s="1"/>
      <c r="V2051" s="1"/>
      <c r="W2051" s="1"/>
      <c r="X2051" s="1"/>
      <c r="Y2051" s="1"/>
      <c r="Z2051" s="102"/>
      <c r="AA2051" s="102"/>
      <c r="AB2051" s="1"/>
      <c r="AC2051" s="1"/>
      <c r="AD2051" s="1"/>
      <c r="AE2051" s="1"/>
      <c r="AF2051" s="1"/>
      <c r="AG2051" s="1"/>
    </row>
    <row r="2052" ht="15.75" customHeight="1">
      <c r="A2052" s="1"/>
      <c r="B2052" s="1"/>
      <c r="C2052" s="1"/>
      <c r="D2052" s="1"/>
      <c r="E2052" s="1"/>
      <c r="F2052" s="1"/>
      <c r="G2052" s="1"/>
      <c r="H2052" s="1"/>
      <c r="I2052" s="1"/>
      <c r="J2052" s="1"/>
      <c r="K2052" s="102" t="s">
        <v>3849</v>
      </c>
      <c r="L2052" s="102" t="str">
        <f>H44</f>
        <v>J1a2a1a2~</v>
      </c>
      <c r="M2052" s="102" t="s">
        <v>3850</v>
      </c>
      <c r="N2052" s="102" t="s">
        <v>3848</v>
      </c>
      <c r="O2052" s="105">
        <v>6872976.0</v>
      </c>
      <c r="P2052" s="105">
        <v>7004935.0</v>
      </c>
      <c r="Q2052" s="102" t="s">
        <v>2468</v>
      </c>
      <c r="S2052" s="1"/>
      <c r="T2052" s="1"/>
      <c r="U2052" s="1"/>
      <c r="V2052" s="1"/>
      <c r="W2052" s="1"/>
      <c r="X2052" s="1"/>
      <c r="Y2052" s="1"/>
      <c r="Z2052" s="102"/>
      <c r="AA2052" s="102"/>
      <c r="AB2052" s="1"/>
      <c r="AC2052" s="1"/>
      <c r="AD2052" s="1"/>
      <c r="AE2052" s="1"/>
      <c r="AF2052" s="1"/>
      <c r="AG2052" s="1"/>
    </row>
    <row r="2053" ht="15.75" customHeight="1">
      <c r="A2053" s="1"/>
      <c r="B2053" s="1"/>
      <c r="C2053" s="1"/>
      <c r="D2053" s="1"/>
      <c r="E2053" s="1"/>
      <c r="F2053" s="1"/>
      <c r="G2053" s="1"/>
      <c r="H2053" s="1"/>
      <c r="I2053" s="1"/>
      <c r="J2053" s="1"/>
      <c r="K2053" s="102" t="s">
        <v>3851</v>
      </c>
      <c r="L2053" s="102" t="str">
        <f>H44</f>
        <v>J1a2a1a2~</v>
      </c>
      <c r="M2053" s="102" t="s">
        <v>3852</v>
      </c>
      <c r="N2053" s="102" t="s">
        <v>3848</v>
      </c>
      <c r="O2053" s="105">
        <v>6872976.0</v>
      </c>
      <c r="P2053" s="105">
        <v>7004935.0</v>
      </c>
      <c r="Q2053" s="102" t="s">
        <v>2468</v>
      </c>
      <c r="S2053" s="1"/>
      <c r="T2053" s="1"/>
      <c r="U2053" s="1"/>
      <c r="V2053" s="1"/>
      <c r="W2053" s="1"/>
      <c r="X2053" s="1"/>
      <c r="Y2053" s="1"/>
      <c r="Z2053" s="102"/>
      <c r="AA2053" s="102"/>
      <c r="AB2053" s="1"/>
      <c r="AC2053" s="1"/>
      <c r="AD2053" s="1"/>
      <c r="AE2053" s="1"/>
      <c r="AF2053" s="1"/>
      <c r="AG2053" s="1"/>
    </row>
    <row r="2054" ht="15.75" customHeight="1">
      <c r="A2054" s="1"/>
      <c r="B2054" s="1"/>
      <c r="C2054" s="1"/>
      <c r="D2054" s="1"/>
      <c r="E2054" s="1"/>
      <c r="F2054" s="1"/>
      <c r="G2054" s="1"/>
      <c r="H2054" s="1"/>
      <c r="I2054" s="1"/>
      <c r="J2054" s="1"/>
      <c r="K2054" s="102" t="s">
        <v>3853</v>
      </c>
      <c r="L2054" s="102" t="str">
        <f>H44</f>
        <v>J1a2a1a2~</v>
      </c>
      <c r="M2054" s="102" t="s">
        <v>3854</v>
      </c>
      <c r="N2054" s="102" t="s">
        <v>3855</v>
      </c>
      <c r="O2054" s="105">
        <v>1.8400384E7</v>
      </c>
      <c r="P2054" s="105">
        <v>1.6288504E7</v>
      </c>
      <c r="Q2054" s="102" t="s">
        <v>2501</v>
      </c>
      <c r="S2054" s="1"/>
      <c r="T2054" s="1"/>
      <c r="U2054" s="1"/>
      <c r="V2054" s="1"/>
      <c r="W2054" s="1"/>
      <c r="X2054" s="1"/>
      <c r="Y2054" s="1"/>
      <c r="Z2054" s="102"/>
      <c r="AA2054" s="102"/>
      <c r="AB2054" s="1"/>
      <c r="AC2054" s="1"/>
      <c r="AD2054" s="1"/>
      <c r="AE2054" s="1"/>
      <c r="AF2054" s="1"/>
      <c r="AG2054" s="1"/>
    </row>
    <row r="2055" ht="15.75" customHeight="1">
      <c r="A2055" s="1"/>
      <c r="B2055" s="1"/>
      <c r="C2055" s="1"/>
      <c r="D2055" s="1"/>
      <c r="E2055" s="1"/>
      <c r="F2055" s="1"/>
      <c r="G2055" s="1"/>
      <c r="H2055" s="1"/>
      <c r="I2055" s="1"/>
      <c r="J2055" s="1"/>
      <c r="K2055" s="102" t="s">
        <v>3856</v>
      </c>
      <c r="L2055" s="102" t="str">
        <f>H44</f>
        <v>J1a2a1a2~</v>
      </c>
      <c r="M2055" s="102" t="s">
        <v>3857</v>
      </c>
      <c r="N2055" s="102" t="s">
        <v>3855</v>
      </c>
      <c r="O2055" s="105">
        <v>1.8400384E7</v>
      </c>
      <c r="P2055" s="105">
        <v>1.6288504E7</v>
      </c>
      <c r="Q2055" s="102" t="s">
        <v>2501</v>
      </c>
      <c r="S2055" s="1"/>
      <c r="T2055" s="1"/>
      <c r="U2055" s="1"/>
      <c r="V2055" s="1"/>
      <c r="W2055" s="1"/>
      <c r="X2055" s="1"/>
      <c r="Y2055" s="1"/>
      <c r="Z2055" s="102"/>
      <c r="AA2055" s="102"/>
      <c r="AB2055" s="1"/>
      <c r="AC2055" s="1"/>
      <c r="AD2055" s="1"/>
      <c r="AE2055" s="1"/>
      <c r="AF2055" s="1"/>
      <c r="AG2055" s="1"/>
    </row>
    <row r="2056" ht="15.75" customHeight="1">
      <c r="A2056" s="1"/>
      <c r="B2056" s="1"/>
      <c r="C2056" s="1"/>
      <c r="D2056" s="1"/>
      <c r="E2056" s="1"/>
      <c r="F2056" s="1"/>
      <c r="G2056" s="1"/>
      <c r="H2056" s="1"/>
      <c r="I2056" s="1"/>
      <c r="J2056" s="1"/>
      <c r="K2056" s="102" t="s">
        <v>3858</v>
      </c>
      <c r="L2056" s="102" t="str">
        <f>H44</f>
        <v>J1a2a1a2~</v>
      </c>
      <c r="M2056" s="102" t="s">
        <v>3859</v>
      </c>
      <c r="N2056" s="102" t="s">
        <v>3855</v>
      </c>
      <c r="O2056" s="105">
        <v>1.8400384E7</v>
      </c>
      <c r="P2056" s="105">
        <v>1.6288504E7</v>
      </c>
      <c r="Q2056" s="102" t="s">
        <v>2501</v>
      </c>
      <c r="S2056" s="1"/>
      <c r="T2056" s="1"/>
      <c r="U2056" s="1"/>
      <c r="V2056" s="1"/>
      <c r="W2056" s="1"/>
      <c r="X2056" s="1"/>
      <c r="Y2056" s="1"/>
      <c r="Z2056" s="102"/>
      <c r="AA2056" s="102"/>
      <c r="AB2056" s="1"/>
      <c r="AC2056" s="1"/>
      <c r="AD2056" s="1"/>
      <c r="AE2056" s="1"/>
      <c r="AF2056" s="1"/>
      <c r="AG2056" s="1"/>
    </row>
    <row r="2057" ht="15.75" customHeight="1">
      <c r="A2057" s="1"/>
      <c r="B2057" s="1"/>
      <c r="C2057" s="1"/>
      <c r="D2057" s="1"/>
      <c r="E2057" s="1"/>
      <c r="F2057" s="1"/>
      <c r="G2057" s="1"/>
      <c r="H2057" s="1"/>
      <c r="I2057" s="1"/>
      <c r="J2057" s="1"/>
      <c r="K2057" s="102" t="s">
        <v>3860</v>
      </c>
      <c r="L2057" s="102" t="str">
        <f>H44</f>
        <v>J1a2a1a2~</v>
      </c>
      <c r="M2057" s="102"/>
      <c r="N2057" s="102" t="s">
        <v>3861</v>
      </c>
      <c r="O2057" s="105">
        <v>7914115.0</v>
      </c>
      <c r="P2057" s="105">
        <v>8046074.0</v>
      </c>
      <c r="Q2057" s="102" t="s">
        <v>2423</v>
      </c>
      <c r="S2057" s="1"/>
      <c r="T2057" s="1"/>
      <c r="U2057" s="1"/>
      <c r="V2057" s="1"/>
      <c r="W2057" s="1"/>
      <c r="X2057" s="1"/>
      <c r="Y2057" s="1"/>
      <c r="Z2057" s="102"/>
      <c r="AA2057" s="102"/>
      <c r="AB2057" s="1"/>
      <c r="AC2057" s="1"/>
      <c r="AD2057" s="1"/>
      <c r="AE2057" s="1"/>
      <c r="AF2057" s="1"/>
      <c r="AG2057" s="1"/>
    </row>
    <row r="2058" ht="15.75" customHeight="1">
      <c r="A2058" s="1"/>
      <c r="B2058" s="1"/>
      <c r="C2058" s="1"/>
      <c r="D2058" s="1"/>
      <c r="E2058" s="1"/>
      <c r="F2058" s="1"/>
      <c r="G2058" s="1"/>
      <c r="H2058" s="1"/>
      <c r="I2058" s="1"/>
      <c r="J2058" s="1"/>
      <c r="K2058" s="102" t="s">
        <v>3862</v>
      </c>
      <c r="L2058" s="102" t="str">
        <f>H44</f>
        <v>J1a2a1a2~</v>
      </c>
      <c r="M2058" s="102" t="s">
        <v>3863</v>
      </c>
      <c r="N2058" s="102" t="s">
        <v>3864</v>
      </c>
      <c r="O2058" s="105">
        <v>8416786.0</v>
      </c>
      <c r="P2058" s="105">
        <v>8548745.0</v>
      </c>
      <c r="Q2058" s="102" t="s">
        <v>2439</v>
      </c>
      <c r="S2058" s="1"/>
      <c r="T2058" s="1"/>
      <c r="U2058" s="1"/>
      <c r="V2058" s="1"/>
      <c r="W2058" s="1"/>
      <c r="X2058" s="1"/>
      <c r="Y2058" s="1"/>
      <c r="Z2058" s="102"/>
      <c r="AA2058" s="102"/>
      <c r="AB2058" s="1"/>
      <c r="AC2058" s="1"/>
      <c r="AD2058" s="1"/>
      <c r="AE2058" s="1"/>
      <c r="AF2058" s="1"/>
      <c r="AG2058" s="1"/>
    </row>
    <row r="2059" ht="15.75" customHeight="1">
      <c r="A2059" s="1"/>
      <c r="B2059" s="1"/>
      <c r="C2059" s="1"/>
      <c r="D2059" s="1"/>
      <c r="E2059" s="1"/>
      <c r="F2059" s="1"/>
      <c r="G2059" s="1"/>
      <c r="H2059" s="1"/>
      <c r="I2059" s="1"/>
      <c r="J2059" s="1"/>
      <c r="K2059" s="102" t="s">
        <v>3863</v>
      </c>
      <c r="L2059" s="102" t="str">
        <f>H44</f>
        <v>J1a2a1a2~</v>
      </c>
      <c r="M2059" s="102" t="s">
        <v>3862</v>
      </c>
      <c r="N2059" s="102" t="s">
        <v>3864</v>
      </c>
      <c r="O2059" s="105">
        <v>8416786.0</v>
      </c>
      <c r="P2059" s="105">
        <v>8548745.0</v>
      </c>
      <c r="Q2059" s="102" t="s">
        <v>2439</v>
      </c>
      <c r="S2059" s="1"/>
      <c r="T2059" s="1"/>
      <c r="U2059" s="1"/>
      <c r="V2059" s="1"/>
      <c r="W2059" s="1"/>
      <c r="X2059" s="1"/>
      <c r="Y2059" s="1"/>
      <c r="Z2059" s="102"/>
      <c r="AA2059" s="102"/>
      <c r="AB2059" s="1"/>
      <c r="AC2059" s="1"/>
      <c r="AD2059" s="1"/>
      <c r="AE2059" s="1"/>
      <c r="AF2059" s="1"/>
      <c r="AG2059" s="1"/>
    </row>
    <row r="2060" ht="15.75" customHeight="1">
      <c r="A2060" s="1"/>
      <c r="B2060" s="1"/>
      <c r="C2060" s="1"/>
      <c r="D2060" s="1"/>
      <c r="E2060" s="1"/>
      <c r="F2060" s="1"/>
      <c r="G2060" s="1"/>
      <c r="H2060" s="1"/>
      <c r="I2060" s="1"/>
      <c r="J2060" s="1"/>
      <c r="K2060" s="102" t="s">
        <v>3865</v>
      </c>
      <c r="L2060" s="102" t="str">
        <f>H44</f>
        <v>J1a2a1a2~</v>
      </c>
      <c r="M2060" s="102" t="s">
        <v>3866</v>
      </c>
      <c r="N2060" s="102" t="s">
        <v>3867</v>
      </c>
      <c r="O2060" s="105">
        <v>2.1274966E7</v>
      </c>
      <c r="P2060" s="105">
        <v>1.911308E7</v>
      </c>
      <c r="Q2060" s="102" t="s">
        <v>2501</v>
      </c>
      <c r="S2060" s="1"/>
      <c r="T2060" s="1"/>
      <c r="U2060" s="1"/>
      <c r="V2060" s="1"/>
      <c r="W2060" s="1"/>
      <c r="X2060" s="1"/>
      <c r="Y2060" s="1"/>
      <c r="Z2060" s="102"/>
      <c r="AA2060" s="102"/>
      <c r="AB2060" s="1"/>
      <c r="AC2060" s="1"/>
      <c r="AD2060" s="1"/>
      <c r="AE2060" s="1"/>
      <c r="AF2060" s="1"/>
      <c r="AG2060" s="1"/>
    </row>
    <row r="2061" ht="15.75" customHeight="1">
      <c r="A2061" s="1"/>
      <c r="B2061" s="1"/>
      <c r="C2061" s="1"/>
      <c r="D2061" s="1"/>
      <c r="E2061" s="1"/>
      <c r="F2061" s="1"/>
      <c r="G2061" s="1"/>
      <c r="H2061" s="1"/>
      <c r="I2061" s="1"/>
      <c r="J2061" s="1"/>
      <c r="K2061" s="102" t="s">
        <v>3866</v>
      </c>
      <c r="L2061" s="102" t="str">
        <f>H44</f>
        <v>J1a2a1a2~</v>
      </c>
      <c r="M2061" s="102" t="s">
        <v>3865</v>
      </c>
      <c r="N2061" s="102" t="s">
        <v>3867</v>
      </c>
      <c r="O2061" s="105">
        <v>2.1274966E7</v>
      </c>
      <c r="P2061" s="105">
        <v>1.911308E7</v>
      </c>
      <c r="Q2061" s="102" t="s">
        <v>2501</v>
      </c>
      <c r="S2061" s="1"/>
      <c r="T2061" s="1"/>
      <c r="U2061" s="1"/>
      <c r="V2061" s="1"/>
      <c r="W2061" s="1"/>
      <c r="X2061" s="1"/>
      <c r="Y2061" s="1"/>
      <c r="Z2061" s="102"/>
      <c r="AA2061" s="102"/>
      <c r="AB2061" s="1"/>
      <c r="AC2061" s="1"/>
      <c r="AD2061" s="1"/>
      <c r="AE2061" s="1"/>
      <c r="AF2061" s="1"/>
      <c r="AG2061" s="1"/>
    </row>
    <row r="2062" ht="15.75" customHeight="1">
      <c r="A2062" s="1"/>
      <c r="B2062" s="1"/>
      <c r="C2062" s="1"/>
      <c r="D2062" s="1"/>
      <c r="E2062" s="1"/>
      <c r="F2062" s="1"/>
      <c r="G2062" s="1"/>
      <c r="H2062" s="1"/>
      <c r="I2062" s="1"/>
      <c r="J2062" s="1"/>
      <c r="K2062" s="102" t="s">
        <v>3868</v>
      </c>
      <c r="L2062" s="102" t="str">
        <f>H44</f>
        <v>J1a2a1a2~</v>
      </c>
      <c r="M2062" s="102" t="s">
        <v>3869</v>
      </c>
      <c r="N2062" s="102" t="s">
        <v>3870</v>
      </c>
      <c r="O2062" s="105">
        <v>8613719.0</v>
      </c>
      <c r="P2062" s="105">
        <v>8745678.0</v>
      </c>
      <c r="Q2062" s="102" t="s">
        <v>2468</v>
      </c>
      <c r="S2062" s="1"/>
      <c r="T2062" s="1"/>
      <c r="U2062" s="1"/>
      <c r="V2062" s="1"/>
      <c r="W2062" s="1"/>
      <c r="X2062" s="1"/>
      <c r="Y2062" s="1"/>
      <c r="Z2062" s="102"/>
      <c r="AA2062" s="102"/>
      <c r="AB2062" s="1"/>
      <c r="AC2062" s="1"/>
      <c r="AD2062" s="1"/>
      <c r="AE2062" s="1"/>
      <c r="AF2062" s="1"/>
      <c r="AG2062" s="1"/>
    </row>
    <row r="2063" ht="15.75" customHeight="1">
      <c r="A2063" s="1"/>
      <c r="B2063" s="1"/>
      <c r="C2063" s="1"/>
      <c r="D2063" s="1"/>
      <c r="E2063" s="1"/>
      <c r="F2063" s="1"/>
      <c r="G2063" s="1"/>
      <c r="H2063" s="1"/>
      <c r="I2063" s="1"/>
      <c r="J2063" s="1"/>
      <c r="K2063" s="102" t="s">
        <v>3869</v>
      </c>
      <c r="L2063" s="102" t="str">
        <f>H44</f>
        <v>J1a2a1a2~</v>
      </c>
      <c r="M2063" s="102" t="s">
        <v>3868</v>
      </c>
      <c r="N2063" s="102" t="s">
        <v>3870</v>
      </c>
      <c r="O2063" s="105">
        <v>8613719.0</v>
      </c>
      <c r="P2063" s="105">
        <v>8745678.0</v>
      </c>
      <c r="Q2063" s="102" t="s">
        <v>2468</v>
      </c>
      <c r="S2063" s="1"/>
      <c r="T2063" s="1"/>
      <c r="U2063" s="1"/>
      <c r="V2063" s="1"/>
      <c r="W2063" s="1"/>
      <c r="X2063" s="1"/>
      <c r="Y2063" s="1"/>
      <c r="Z2063" s="102"/>
      <c r="AA2063" s="102"/>
      <c r="AB2063" s="1"/>
      <c r="AC2063" s="1"/>
      <c r="AD2063" s="1"/>
      <c r="AE2063" s="1"/>
      <c r="AF2063" s="1"/>
      <c r="AG2063" s="1"/>
    </row>
    <row r="2064" ht="15.75" customHeight="1">
      <c r="A2064" s="1"/>
      <c r="B2064" s="1"/>
      <c r="C2064" s="1"/>
      <c r="D2064" s="1"/>
      <c r="E2064" s="1"/>
      <c r="F2064" s="1"/>
      <c r="G2064" s="1"/>
      <c r="H2064" s="1"/>
      <c r="I2064" s="1"/>
      <c r="J2064" s="1"/>
      <c r="K2064" s="102" t="s">
        <v>3871</v>
      </c>
      <c r="L2064" s="102" t="str">
        <f>H44</f>
        <v>J1a2a1a2~</v>
      </c>
      <c r="M2064" s="102" t="s">
        <v>3872</v>
      </c>
      <c r="N2064" s="102" t="s">
        <v>3873</v>
      </c>
      <c r="O2064" s="105">
        <v>1.7600958E7</v>
      </c>
      <c r="P2064" s="105">
        <v>1.5489078E7</v>
      </c>
      <c r="Q2064" s="102" t="s">
        <v>2439</v>
      </c>
      <c r="S2064" s="1"/>
      <c r="T2064" s="1"/>
      <c r="U2064" s="1"/>
      <c r="V2064" s="1"/>
      <c r="W2064" s="1"/>
      <c r="X2064" s="1"/>
      <c r="Y2064" s="1"/>
      <c r="Z2064" s="102"/>
      <c r="AA2064" s="102"/>
      <c r="AB2064" s="1"/>
      <c r="AC2064" s="1"/>
      <c r="AD2064" s="1"/>
      <c r="AE2064" s="1"/>
      <c r="AF2064" s="1"/>
      <c r="AG2064" s="1"/>
    </row>
    <row r="2065" ht="15.75" customHeight="1">
      <c r="A2065" s="1"/>
      <c r="B2065" s="1"/>
      <c r="C2065" s="1"/>
      <c r="D2065" s="1"/>
      <c r="E2065" s="1"/>
      <c r="F2065" s="1"/>
      <c r="G2065" s="1"/>
      <c r="H2065" s="1"/>
      <c r="I2065" s="1"/>
      <c r="J2065" s="1"/>
      <c r="K2065" s="102" t="s">
        <v>3872</v>
      </c>
      <c r="L2065" s="102" t="str">
        <f>H44</f>
        <v>J1a2a1a2~</v>
      </c>
      <c r="M2065" s="102" t="s">
        <v>3871</v>
      </c>
      <c r="N2065" s="102" t="s">
        <v>3873</v>
      </c>
      <c r="O2065" s="105">
        <v>1.7600958E7</v>
      </c>
      <c r="P2065" s="105">
        <v>1.5489078E7</v>
      </c>
      <c r="Q2065" s="102" t="s">
        <v>2439</v>
      </c>
      <c r="S2065" s="1"/>
      <c r="T2065" s="1"/>
      <c r="U2065" s="1"/>
      <c r="V2065" s="1"/>
      <c r="W2065" s="1"/>
      <c r="X2065" s="1"/>
      <c r="Y2065" s="1"/>
      <c r="Z2065" s="102"/>
      <c r="AA2065" s="102"/>
      <c r="AB2065" s="1"/>
      <c r="AC2065" s="1"/>
      <c r="AD2065" s="1"/>
      <c r="AE2065" s="1"/>
      <c r="AF2065" s="1"/>
      <c r="AG2065" s="1"/>
    </row>
    <row r="2066" ht="15.75" customHeight="1">
      <c r="A2066" s="1"/>
      <c r="B2066" s="1"/>
      <c r="C2066" s="1"/>
      <c r="D2066" s="1"/>
      <c r="E2066" s="1"/>
      <c r="F2066" s="1"/>
      <c r="G2066" s="1"/>
      <c r="H2066" s="1"/>
      <c r="I2066" s="1"/>
      <c r="J2066" s="1"/>
      <c r="K2066" s="102" t="s">
        <v>3874</v>
      </c>
      <c r="L2066" s="102" t="str">
        <f>H44</f>
        <v>J1a2a1a2~</v>
      </c>
      <c r="M2066" s="102" t="s">
        <v>3875</v>
      </c>
      <c r="N2066" s="102" t="s">
        <v>3876</v>
      </c>
      <c r="O2066" s="105">
        <v>2.3842305E7</v>
      </c>
      <c r="P2066" s="105">
        <v>2.1680419E7</v>
      </c>
      <c r="Q2066" s="102" t="s">
        <v>2576</v>
      </c>
      <c r="S2066" s="1"/>
      <c r="T2066" s="1"/>
      <c r="U2066" s="1"/>
      <c r="V2066" s="1"/>
      <c r="W2066" s="1"/>
      <c r="X2066" s="1"/>
      <c r="Y2066" s="1"/>
      <c r="Z2066" s="102"/>
      <c r="AA2066" s="102"/>
      <c r="AB2066" s="1"/>
      <c r="AC2066" s="1"/>
      <c r="AD2066" s="1"/>
      <c r="AE2066" s="1"/>
      <c r="AF2066" s="1"/>
      <c r="AG2066" s="1"/>
    </row>
    <row r="2067" ht="15.75" customHeight="1">
      <c r="A2067" s="1"/>
      <c r="B2067" s="1"/>
      <c r="C2067" s="1"/>
      <c r="D2067" s="1"/>
      <c r="E2067" s="1"/>
      <c r="F2067" s="1"/>
      <c r="G2067" s="1"/>
      <c r="H2067" s="1"/>
      <c r="I2067" s="1"/>
      <c r="J2067" s="1"/>
      <c r="K2067" s="102" t="s">
        <v>3875</v>
      </c>
      <c r="L2067" s="102" t="str">
        <f>H44</f>
        <v>J1a2a1a2~</v>
      </c>
      <c r="M2067" s="102" t="s">
        <v>3874</v>
      </c>
      <c r="N2067" s="102" t="s">
        <v>3876</v>
      </c>
      <c r="O2067" s="105">
        <v>2.3842305E7</v>
      </c>
      <c r="P2067" s="105">
        <v>2.1680419E7</v>
      </c>
      <c r="Q2067" s="102" t="s">
        <v>2576</v>
      </c>
      <c r="S2067" s="1"/>
      <c r="T2067" s="1"/>
      <c r="U2067" s="1"/>
      <c r="V2067" s="1"/>
      <c r="W2067" s="1"/>
      <c r="X2067" s="1"/>
      <c r="Y2067" s="1"/>
      <c r="Z2067" s="102"/>
      <c r="AA2067" s="102"/>
      <c r="AB2067" s="1"/>
      <c r="AC2067" s="1"/>
      <c r="AD2067" s="1"/>
      <c r="AE2067" s="1"/>
      <c r="AF2067" s="1"/>
      <c r="AG2067" s="1"/>
    </row>
    <row r="2068" ht="15.75" customHeight="1">
      <c r="A2068" s="1"/>
      <c r="B2068" s="1"/>
      <c r="C2068" s="1"/>
      <c r="D2068" s="1"/>
      <c r="E2068" s="1"/>
      <c r="F2068" s="1"/>
      <c r="G2068" s="1"/>
      <c r="H2068" s="1"/>
      <c r="I2068" s="1"/>
      <c r="J2068" s="1"/>
      <c r="K2068" s="102" t="s">
        <v>3877</v>
      </c>
      <c r="L2068" s="102" t="str">
        <f>H44</f>
        <v>J1a2a1a2~</v>
      </c>
      <c r="M2068" s="102"/>
      <c r="N2068" s="102" t="s">
        <v>3878</v>
      </c>
      <c r="O2068" s="105">
        <v>8044947.0</v>
      </c>
      <c r="P2068" s="105">
        <v>8176906.0</v>
      </c>
      <c r="Q2068" s="102" t="s">
        <v>2563</v>
      </c>
      <c r="S2068" s="1"/>
      <c r="T2068" s="1"/>
      <c r="U2068" s="1"/>
      <c r="V2068" s="1"/>
      <c r="W2068" s="1"/>
      <c r="X2068" s="1"/>
      <c r="Y2068" s="1"/>
      <c r="Z2068" s="102"/>
      <c r="AA2068" s="102"/>
      <c r="AB2068" s="1"/>
      <c r="AC2068" s="1"/>
      <c r="AD2068" s="1"/>
      <c r="AE2068" s="1"/>
      <c r="AF2068" s="1"/>
      <c r="AG2068" s="1"/>
    </row>
    <row r="2069" ht="15.75" customHeight="1">
      <c r="A2069" s="1"/>
      <c r="B2069" s="1"/>
      <c r="C2069" s="1"/>
      <c r="D2069" s="1"/>
      <c r="E2069" s="1"/>
      <c r="F2069" s="1"/>
      <c r="G2069" s="1"/>
      <c r="H2069" s="1"/>
      <c r="I2069" s="1"/>
      <c r="J2069" s="1"/>
      <c r="K2069" s="102" t="s">
        <v>3879</v>
      </c>
      <c r="L2069" s="102" t="str">
        <f>H44</f>
        <v>J1a2a1a2~</v>
      </c>
      <c r="M2069" s="102"/>
      <c r="N2069" s="102" t="s">
        <v>3880</v>
      </c>
      <c r="O2069" s="105">
        <v>1.7328152E7</v>
      </c>
      <c r="P2069" s="105">
        <v>1.5216272E7</v>
      </c>
      <c r="Q2069" s="102" t="s">
        <v>2432</v>
      </c>
      <c r="S2069" s="1"/>
      <c r="T2069" s="1"/>
      <c r="U2069" s="1"/>
      <c r="V2069" s="1"/>
      <c r="W2069" s="1"/>
      <c r="X2069" s="1"/>
      <c r="Y2069" s="1"/>
      <c r="Z2069" s="102"/>
      <c r="AA2069" s="102"/>
      <c r="AB2069" s="1"/>
      <c r="AC2069" s="1"/>
      <c r="AD2069" s="1"/>
      <c r="AE2069" s="1"/>
      <c r="AF2069" s="1"/>
      <c r="AG2069" s="1"/>
    </row>
    <row r="2070" ht="15.75" customHeight="1">
      <c r="A2070" s="1"/>
      <c r="B2070" s="1"/>
      <c r="C2070" s="1"/>
      <c r="D2070" s="1"/>
      <c r="E2070" s="1"/>
      <c r="F2070" s="1"/>
      <c r="G2070" s="1"/>
      <c r="H2070" s="1"/>
      <c r="I2070" s="1"/>
      <c r="J2070" s="1"/>
      <c r="K2070" s="102" t="s">
        <v>58</v>
      </c>
      <c r="L2070" s="102" t="str">
        <f t="shared" ref="L2070:L2071" si="5">I45</f>
        <v>J1a2a1a2a</v>
      </c>
      <c r="M2070" s="102"/>
      <c r="N2070" s="102" t="s">
        <v>3881</v>
      </c>
      <c r="O2070" s="105">
        <v>2888657.0</v>
      </c>
      <c r="P2070" s="105">
        <v>3020616.0</v>
      </c>
      <c r="Q2070" s="102" t="s">
        <v>2529</v>
      </c>
      <c r="S2070" s="1"/>
      <c r="T2070" s="1"/>
      <c r="U2070" s="1"/>
      <c r="V2070" s="1"/>
      <c r="W2070" s="1"/>
      <c r="X2070" s="1"/>
      <c r="Y2070" s="1"/>
      <c r="Z2070" s="102"/>
      <c r="AA2070" s="102"/>
      <c r="AB2070" s="1"/>
      <c r="AC2070" s="1"/>
      <c r="AD2070" s="1"/>
      <c r="AE2070" s="1"/>
      <c r="AF2070" s="1"/>
      <c r="AG2070" s="1"/>
    </row>
    <row r="2071" ht="15.75" customHeight="1">
      <c r="A2071" s="1"/>
      <c r="B2071" s="1"/>
      <c r="C2071" s="1"/>
      <c r="D2071" s="1"/>
      <c r="E2071" s="1"/>
      <c r="F2071" s="1"/>
      <c r="G2071" s="1"/>
      <c r="H2071" s="1"/>
      <c r="I2071" s="1"/>
      <c r="J2071" s="1"/>
      <c r="K2071" s="102" t="s">
        <v>3882</v>
      </c>
      <c r="L2071" s="102" t="str">
        <f t="shared" si="5"/>
        <v>J1a2a1a2b</v>
      </c>
      <c r="M2071" s="102" t="s">
        <v>3883</v>
      </c>
      <c r="N2071" s="102" t="s">
        <v>3884</v>
      </c>
      <c r="O2071" s="105">
        <v>6753258.0</v>
      </c>
      <c r="P2071" s="105">
        <v>6885217.0</v>
      </c>
      <c r="Q2071" s="102" t="s">
        <v>2529</v>
      </c>
      <c r="S2071" s="1"/>
      <c r="T2071" s="1"/>
      <c r="U2071" s="1"/>
      <c r="V2071" s="1"/>
      <c r="W2071" s="1"/>
      <c r="X2071" s="1"/>
      <c r="Y2071" s="1"/>
      <c r="Z2071" s="102"/>
      <c r="AA2071" s="102"/>
      <c r="AB2071" s="1"/>
      <c r="AC2071" s="1"/>
      <c r="AD2071" s="1"/>
      <c r="AE2071" s="1"/>
      <c r="AF2071" s="1"/>
      <c r="AG2071" s="1"/>
    </row>
    <row r="2072" ht="15.75" customHeight="1">
      <c r="A2072" s="1"/>
      <c r="B2072" s="1"/>
      <c r="C2072" s="1"/>
      <c r="D2072" s="1"/>
      <c r="E2072" s="1"/>
      <c r="F2072" s="1"/>
      <c r="G2072" s="1"/>
      <c r="H2072" s="1"/>
      <c r="I2072" s="1"/>
      <c r="J2072" s="1"/>
      <c r="K2072" s="102" t="s">
        <v>3883</v>
      </c>
      <c r="L2072" s="102" t="str">
        <f t="shared" ref="L2072:L2074" si="6">I46</f>
        <v>J1a2a1a2b</v>
      </c>
      <c r="M2072" s="102" t="s">
        <v>3882</v>
      </c>
      <c r="N2072" s="102" t="s">
        <v>3884</v>
      </c>
      <c r="O2072" s="105">
        <v>6753258.0</v>
      </c>
      <c r="P2072" s="105">
        <v>6885217.0</v>
      </c>
      <c r="Q2072" s="102" t="s">
        <v>2529</v>
      </c>
      <c r="S2072" s="1"/>
      <c r="T2072" s="1"/>
      <c r="U2072" s="1"/>
      <c r="V2072" s="1"/>
      <c r="W2072" s="1"/>
      <c r="X2072" s="1"/>
      <c r="Y2072" s="1"/>
      <c r="Z2072" s="102">
        <v>6753258.0</v>
      </c>
      <c r="AA2072" s="102" t="s">
        <v>3885</v>
      </c>
      <c r="AB2072" s="1"/>
      <c r="AC2072" s="1"/>
      <c r="AD2072" s="1"/>
      <c r="AE2072" s="1"/>
      <c r="AF2072" s="1"/>
      <c r="AG2072" s="1"/>
    </row>
    <row r="2073" ht="15.75" customHeight="1">
      <c r="A2073" s="1"/>
      <c r="B2073" s="1"/>
      <c r="C2073" s="1"/>
      <c r="D2073" s="1"/>
      <c r="E2073" s="1"/>
      <c r="F2073" s="1"/>
      <c r="G2073" s="1"/>
      <c r="H2073" s="1"/>
      <c r="I2073" s="1"/>
      <c r="J2073" s="1"/>
      <c r="K2073" s="102" t="s">
        <v>62</v>
      </c>
      <c r="L2073" s="102" t="str">
        <f t="shared" si="6"/>
        <v>J1a2a1a2b~</v>
      </c>
      <c r="M2073" s="102"/>
      <c r="N2073" s="102" t="s">
        <v>3886</v>
      </c>
      <c r="O2073" s="105">
        <v>9031181.0</v>
      </c>
      <c r="P2073" s="105">
        <v>9193572.0</v>
      </c>
      <c r="Q2073" s="106" t="s">
        <v>2514</v>
      </c>
      <c r="S2073" s="1"/>
      <c r="T2073" s="1"/>
      <c r="U2073" s="1"/>
      <c r="V2073" s="1"/>
      <c r="W2073" s="1"/>
      <c r="X2073" s="1"/>
      <c r="Y2073" s="1"/>
      <c r="Z2073" s="102"/>
      <c r="AA2073" s="102"/>
      <c r="AB2073" s="1"/>
      <c r="AC2073" s="1"/>
      <c r="AD2073" s="1"/>
      <c r="AE2073" s="1"/>
      <c r="AF2073" s="1"/>
      <c r="AG2073" s="1"/>
    </row>
    <row r="2074" ht="15.75" customHeight="1">
      <c r="A2074" s="1"/>
      <c r="B2074" s="1"/>
      <c r="C2074" s="1"/>
      <c r="D2074" s="1"/>
      <c r="E2074" s="1"/>
      <c r="F2074" s="1"/>
      <c r="G2074" s="1"/>
      <c r="H2074" s="1"/>
      <c r="I2074" s="1"/>
      <c r="J2074" s="1"/>
      <c r="K2074" s="102" t="s">
        <v>3887</v>
      </c>
      <c r="L2074" s="102" t="str">
        <f t="shared" si="6"/>
        <v>J1a2a1a2c~</v>
      </c>
      <c r="M2074" s="102"/>
      <c r="N2074" s="102" t="s">
        <v>3888</v>
      </c>
      <c r="O2074" s="105">
        <v>1.5465507E7</v>
      </c>
      <c r="P2074" s="105">
        <v>1.3353627E7</v>
      </c>
      <c r="Q2074" s="102" t="s">
        <v>2439</v>
      </c>
      <c r="S2074" s="1"/>
      <c r="T2074" s="1"/>
      <c r="U2074" s="1"/>
      <c r="V2074" s="1"/>
      <c r="W2074" s="1"/>
      <c r="X2074" s="1"/>
      <c r="Y2074" s="1"/>
      <c r="Z2074" s="102"/>
      <c r="AA2074" s="102"/>
      <c r="AB2074" s="1"/>
      <c r="AC2074" s="1"/>
      <c r="AD2074" s="1"/>
      <c r="AE2074" s="1"/>
      <c r="AF2074" s="1"/>
      <c r="AG2074" s="1"/>
    </row>
    <row r="2075" ht="15.75" customHeight="1">
      <c r="A2075" s="1"/>
      <c r="B2075" s="1"/>
      <c r="C2075" s="1"/>
      <c r="D2075" s="1"/>
      <c r="E2075" s="1"/>
      <c r="F2075" s="1"/>
      <c r="G2075" s="1"/>
      <c r="H2075" s="1"/>
      <c r="I2075" s="1"/>
      <c r="J2075" s="1"/>
      <c r="K2075" s="102" t="s">
        <v>3889</v>
      </c>
      <c r="L2075" s="102" t="str">
        <f>I48</f>
        <v>J1a2a1a2c~</v>
      </c>
      <c r="M2075" s="102"/>
      <c r="N2075" s="102" t="s">
        <v>3890</v>
      </c>
      <c r="O2075" s="105">
        <v>1.7058575E7</v>
      </c>
      <c r="P2075" s="105">
        <v>1.4946695E7</v>
      </c>
      <c r="Q2075" s="102" t="s">
        <v>2468</v>
      </c>
      <c r="S2075" s="1"/>
      <c r="T2075" s="1"/>
      <c r="U2075" s="1"/>
      <c r="V2075" s="1"/>
      <c r="W2075" s="1"/>
      <c r="X2075" s="1"/>
      <c r="Y2075" s="1"/>
      <c r="Z2075" s="102"/>
      <c r="AA2075" s="102"/>
      <c r="AB2075" s="1"/>
      <c r="AC2075" s="1"/>
      <c r="AD2075" s="1"/>
      <c r="AE2075" s="1"/>
      <c r="AF2075" s="1"/>
      <c r="AG2075" s="1"/>
    </row>
    <row r="2076" ht="15.75" customHeight="1">
      <c r="A2076" s="1"/>
      <c r="B2076" s="1"/>
      <c r="C2076" s="1"/>
      <c r="D2076" s="1"/>
      <c r="E2076" s="1"/>
      <c r="F2076" s="1"/>
      <c r="G2076" s="1"/>
      <c r="H2076" s="1"/>
      <c r="I2076" s="1"/>
      <c r="J2076" s="1"/>
      <c r="K2076" s="102" t="s">
        <v>3891</v>
      </c>
      <c r="L2076" s="102" t="str">
        <f>I48</f>
        <v>J1a2a1a2c~</v>
      </c>
      <c r="M2076" s="102" t="s">
        <v>3892</v>
      </c>
      <c r="N2076" s="102" t="s">
        <v>3893</v>
      </c>
      <c r="O2076" s="105">
        <v>8393759.0</v>
      </c>
      <c r="P2076" s="105">
        <v>8525718.0</v>
      </c>
      <c r="Q2076" s="102" t="s">
        <v>2468</v>
      </c>
      <c r="S2076" s="1"/>
      <c r="T2076" s="1"/>
      <c r="U2076" s="1"/>
      <c r="V2076" s="1"/>
      <c r="W2076" s="1"/>
      <c r="X2076" s="1"/>
      <c r="Y2076" s="1"/>
      <c r="Z2076" s="102"/>
      <c r="AA2076" s="102"/>
      <c r="AB2076" s="1"/>
      <c r="AC2076" s="1"/>
      <c r="AD2076" s="1"/>
      <c r="AE2076" s="1"/>
      <c r="AF2076" s="1"/>
      <c r="AG2076" s="1"/>
    </row>
    <row r="2077" ht="15.75" customHeight="1">
      <c r="A2077" s="1"/>
      <c r="B2077" s="1"/>
      <c r="C2077" s="1"/>
      <c r="D2077" s="1"/>
      <c r="E2077" s="1"/>
      <c r="F2077" s="1"/>
      <c r="G2077" s="1"/>
      <c r="H2077" s="1"/>
      <c r="I2077" s="1"/>
      <c r="J2077" s="1"/>
      <c r="K2077" s="102" t="s">
        <v>3892</v>
      </c>
      <c r="L2077" s="102" t="str">
        <f>I48</f>
        <v>J1a2a1a2c~</v>
      </c>
      <c r="M2077" s="102" t="s">
        <v>3891</v>
      </c>
      <c r="N2077" s="102" t="s">
        <v>3894</v>
      </c>
      <c r="O2077" s="105">
        <v>2.1971214E7</v>
      </c>
      <c r="P2077" s="105">
        <v>1.9809328E7</v>
      </c>
      <c r="Q2077" s="102" t="s">
        <v>2468</v>
      </c>
      <c r="S2077" s="1"/>
      <c r="T2077" s="1"/>
      <c r="U2077" s="1"/>
      <c r="V2077" s="1"/>
      <c r="W2077" s="1"/>
      <c r="X2077" s="1"/>
      <c r="Y2077" s="1"/>
      <c r="Z2077" s="102"/>
      <c r="AA2077" s="102"/>
      <c r="AB2077" s="1"/>
      <c r="AC2077" s="1"/>
      <c r="AD2077" s="1"/>
      <c r="AE2077" s="1"/>
      <c r="AF2077" s="1"/>
      <c r="AG2077" s="1"/>
    </row>
    <row r="2078" ht="15.75" customHeight="1">
      <c r="A2078" s="1"/>
      <c r="B2078" s="1"/>
      <c r="C2078" s="1"/>
      <c r="D2078" s="1"/>
      <c r="E2078" s="1"/>
      <c r="F2078" s="1"/>
      <c r="G2078" s="1"/>
      <c r="H2078" s="1"/>
      <c r="I2078" s="1"/>
      <c r="J2078" s="1"/>
      <c r="K2078" s="102" t="s">
        <v>3895</v>
      </c>
      <c r="L2078" s="102" t="str">
        <f>I48</f>
        <v>J1a2a1a2c~</v>
      </c>
      <c r="M2078" s="102" t="s">
        <v>3896</v>
      </c>
      <c r="N2078" s="102" t="s">
        <v>3897</v>
      </c>
      <c r="O2078" s="105">
        <v>1.8690231E7</v>
      </c>
      <c r="P2078" s="105">
        <v>1.6578351E7</v>
      </c>
      <c r="Q2078" s="102" t="s">
        <v>2468</v>
      </c>
      <c r="S2078" s="1"/>
      <c r="T2078" s="1"/>
      <c r="U2078" s="1"/>
      <c r="V2078" s="1"/>
      <c r="W2078" s="1"/>
      <c r="X2078" s="1"/>
      <c r="Y2078" s="1"/>
      <c r="Z2078" s="102"/>
      <c r="AA2078" s="102"/>
      <c r="AB2078" s="1"/>
      <c r="AC2078" s="1"/>
      <c r="AD2078" s="1"/>
      <c r="AE2078" s="1"/>
      <c r="AF2078" s="1"/>
      <c r="AG2078" s="1"/>
    </row>
    <row r="2079" ht="15.75" customHeight="1">
      <c r="A2079" s="1"/>
      <c r="B2079" s="1"/>
      <c r="C2079" s="1"/>
      <c r="D2079" s="1"/>
      <c r="E2079" s="1"/>
      <c r="F2079" s="1"/>
      <c r="G2079" s="1"/>
      <c r="H2079" s="1"/>
      <c r="I2079" s="1"/>
      <c r="J2079" s="1"/>
      <c r="K2079" s="102" t="s">
        <v>3896</v>
      </c>
      <c r="L2079" s="102" t="str">
        <f>I48</f>
        <v>J1a2a1a2c~</v>
      </c>
      <c r="M2079" s="102" t="s">
        <v>3895</v>
      </c>
      <c r="N2079" s="102" t="s">
        <v>3897</v>
      </c>
      <c r="O2079" s="105">
        <v>1.8690231E7</v>
      </c>
      <c r="P2079" s="105">
        <v>1.6578351E7</v>
      </c>
      <c r="Q2079" s="102" t="s">
        <v>2468</v>
      </c>
      <c r="S2079" s="1"/>
      <c r="T2079" s="1"/>
      <c r="U2079" s="1"/>
      <c r="V2079" s="1"/>
      <c r="W2079" s="1"/>
      <c r="X2079" s="1"/>
      <c r="Y2079" s="1"/>
      <c r="Z2079" s="102"/>
      <c r="AA2079" s="102"/>
      <c r="AB2079" s="1"/>
      <c r="AC2079" s="1"/>
      <c r="AD2079" s="1"/>
      <c r="AE2079" s="1"/>
      <c r="AF2079" s="1"/>
      <c r="AG2079" s="1"/>
    </row>
    <row r="2080" ht="15.75" customHeight="1">
      <c r="A2080" s="1"/>
      <c r="B2080" s="1"/>
      <c r="C2080" s="1"/>
      <c r="D2080" s="1"/>
      <c r="E2080" s="1"/>
      <c r="F2080" s="1"/>
      <c r="G2080" s="1"/>
      <c r="H2080" s="1"/>
      <c r="I2080" s="1"/>
      <c r="J2080" s="1"/>
      <c r="K2080" s="102" t="s">
        <v>3898</v>
      </c>
      <c r="L2080" s="102" t="str">
        <f>I48</f>
        <v>J1a2a1a2c~</v>
      </c>
      <c r="M2080" s="102" t="s">
        <v>3899</v>
      </c>
      <c r="N2080" s="102" t="s">
        <v>3900</v>
      </c>
      <c r="O2080" s="105">
        <v>1.6566686E7</v>
      </c>
      <c r="P2080" s="105">
        <v>1.4454806E7</v>
      </c>
      <c r="Q2080" s="102" t="s">
        <v>2439</v>
      </c>
      <c r="S2080" s="1"/>
      <c r="T2080" s="1"/>
      <c r="U2080" s="1"/>
      <c r="V2080" s="1"/>
      <c r="W2080" s="1"/>
      <c r="X2080" s="1"/>
      <c r="Y2080" s="1"/>
      <c r="Z2080" s="102"/>
      <c r="AA2080" s="102"/>
      <c r="AB2080" s="1"/>
      <c r="AC2080" s="1"/>
      <c r="AD2080" s="1"/>
      <c r="AE2080" s="1"/>
      <c r="AF2080" s="1"/>
      <c r="AG2080" s="1"/>
    </row>
    <row r="2081" ht="15.75" customHeight="1">
      <c r="A2081" s="1"/>
      <c r="B2081" s="1"/>
      <c r="C2081" s="1"/>
      <c r="D2081" s="1"/>
      <c r="E2081" s="1"/>
      <c r="F2081" s="1"/>
      <c r="G2081" s="1"/>
      <c r="H2081" s="1"/>
      <c r="I2081" s="1"/>
      <c r="J2081" s="1"/>
      <c r="K2081" s="102" t="s">
        <v>3899</v>
      </c>
      <c r="L2081" s="102" t="str">
        <f>I48</f>
        <v>J1a2a1a2c~</v>
      </c>
      <c r="M2081" s="102" t="s">
        <v>3898</v>
      </c>
      <c r="N2081" s="102" t="s">
        <v>3900</v>
      </c>
      <c r="O2081" s="105">
        <v>1.6566686E7</v>
      </c>
      <c r="P2081" s="105">
        <v>1.4454806E7</v>
      </c>
      <c r="Q2081" s="102" t="s">
        <v>2439</v>
      </c>
      <c r="S2081" s="1"/>
      <c r="T2081" s="1"/>
      <c r="U2081" s="1"/>
      <c r="V2081" s="1"/>
      <c r="W2081" s="1"/>
      <c r="X2081" s="1"/>
      <c r="Y2081" s="1"/>
      <c r="Z2081" s="102"/>
      <c r="AA2081" s="102"/>
      <c r="AB2081" s="1"/>
      <c r="AC2081" s="1"/>
      <c r="AD2081" s="1"/>
      <c r="AE2081" s="1"/>
      <c r="AF2081" s="1"/>
      <c r="AG2081" s="1"/>
    </row>
    <row r="2082" ht="15.75" customHeight="1">
      <c r="A2082" s="1"/>
      <c r="B2082" s="1"/>
      <c r="C2082" s="1"/>
      <c r="D2082" s="1"/>
      <c r="E2082" s="1"/>
      <c r="F2082" s="1"/>
      <c r="G2082" s="1"/>
      <c r="H2082" s="1"/>
      <c r="I2082" s="1"/>
      <c r="J2082" s="1"/>
      <c r="K2082" s="102" t="s">
        <v>3901</v>
      </c>
      <c r="L2082" s="102" t="str">
        <f>I48</f>
        <v>J1a2a1a2c~</v>
      </c>
      <c r="M2082" s="102" t="s">
        <v>3902</v>
      </c>
      <c r="N2082" s="102" t="s">
        <v>3903</v>
      </c>
      <c r="O2082" s="105">
        <v>1.9165653E7</v>
      </c>
      <c r="P2082" s="105">
        <v>1.7053773E7</v>
      </c>
      <c r="Q2082" s="102" t="s">
        <v>2468</v>
      </c>
      <c r="S2082" s="1"/>
      <c r="T2082" s="1"/>
      <c r="U2082" s="1"/>
      <c r="V2082" s="1"/>
      <c r="W2082" s="1"/>
      <c r="X2082" s="1"/>
      <c r="Y2082" s="1"/>
      <c r="Z2082" s="102"/>
      <c r="AA2082" s="102"/>
      <c r="AB2082" s="1"/>
      <c r="AC2082" s="1"/>
      <c r="AD2082" s="1"/>
      <c r="AE2082" s="1"/>
      <c r="AF2082" s="1"/>
      <c r="AG2082" s="1"/>
    </row>
    <row r="2083" ht="15.75" customHeight="1">
      <c r="A2083" s="1"/>
      <c r="B2083" s="1"/>
      <c r="C2083" s="1"/>
      <c r="D2083" s="1"/>
      <c r="E2083" s="1"/>
      <c r="F2083" s="1"/>
      <c r="G2083" s="1"/>
      <c r="H2083" s="1"/>
      <c r="I2083" s="1"/>
      <c r="J2083" s="1"/>
      <c r="K2083" s="102" t="s">
        <v>3902</v>
      </c>
      <c r="L2083" s="102" t="str">
        <f>I48</f>
        <v>J1a2a1a2c~</v>
      </c>
      <c r="M2083" s="102" t="s">
        <v>3901</v>
      </c>
      <c r="N2083" s="102" t="s">
        <v>3903</v>
      </c>
      <c r="O2083" s="105">
        <v>1.9165653E7</v>
      </c>
      <c r="P2083" s="105">
        <v>1.7053773E7</v>
      </c>
      <c r="Q2083" s="102" t="s">
        <v>2468</v>
      </c>
      <c r="S2083" s="1"/>
      <c r="T2083" s="1"/>
      <c r="U2083" s="1"/>
      <c r="V2083" s="1"/>
      <c r="W2083" s="1"/>
      <c r="X2083" s="1"/>
      <c r="Y2083" s="1"/>
      <c r="Z2083" s="102"/>
      <c r="AA2083" s="102"/>
      <c r="AB2083" s="1"/>
      <c r="AC2083" s="1"/>
      <c r="AD2083" s="1"/>
      <c r="AE2083" s="1"/>
      <c r="AF2083" s="1"/>
      <c r="AG2083" s="1"/>
    </row>
    <row r="2084" ht="15.75" customHeight="1">
      <c r="A2084" s="1"/>
      <c r="B2084" s="1"/>
      <c r="C2084" s="1"/>
      <c r="D2084" s="1"/>
      <c r="E2084" s="1"/>
      <c r="F2084" s="1"/>
      <c r="G2084" s="1"/>
      <c r="H2084" s="1"/>
      <c r="I2084" s="1"/>
      <c r="J2084" s="1"/>
      <c r="K2084" s="102" t="s">
        <v>3904</v>
      </c>
      <c r="L2084" s="102" t="str">
        <f>I48</f>
        <v>J1a2a1a2c~</v>
      </c>
      <c r="M2084" s="102" t="s">
        <v>3905</v>
      </c>
      <c r="N2084" s="102" t="s">
        <v>3906</v>
      </c>
      <c r="O2084" s="105">
        <v>2.1391792E7</v>
      </c>
      <c r="P2084" s="105">
        <v>1.9229906E7</v>
      </c>
      <c r="Q2084" s="102" t="s">
        <v>2439</v>
      </c>
      <c r="S2084" s="1"/>
      <c r="T2084" s="1"/>
      <c r="U2084" s="1"/>
      <c r="V2084" s="1"/>
      <c r="W2084" s="1"/>
      <c r="X2084" s="1"/>
      <c r="Y2084" s="1"/>
      <c r="Z2084" s="102"/>
      <c r="AA2084" s="102"/>
      <c r="AB2084" s="1"/>
      <c r="AC2084" s="1"/>
      <c r="AD2084" s="1"/>
      <c r="AE2084" s="1"/>
      <c r="AF2084" s="1"/>
      <c r="AG2084" s="1"/>
    </row>
    <row r="2085" ht="15.75" customHeight="1">
      <c r="A2085" s="1"/>
      <c r="B2085" s="1"/>
      <c r="C2085" s="1"/>
      <c r="D2085" s="1"/>
      <c r="E2085" s="1"/>
      <c r="F2085" s="1"/>
      <c r="G2085" s="1"/>
      <c r="H2085" s="1"/>
      <c r="I2085" s="1"/>
      <c r="J2085" s="1"/>
      <c r="K2085" s="102" t="s">
        <v>3905</v>
      </c>
      <c r="L2085" s="102" t="str">
        <f>I48</f>
        <v>J1a2a1a2c~</v>
      </c>
      <c r="M2085" s="102" t="s">
        <v>3904</v>
      </c>
      <c r="N2085" s="102" t="s">
        <v>3906</v>
      </c>
      <c r="O2085" s="105">
        <v>2.1391792E7</v>
      </c>
      <c r="P2085" s="105">
        <v>1.9229906E7</v>
      </c>
      <c r="Q2085" s="102" t="s">
        <v>2439</v>
      </c>
      <c r="S2085" s="1"/>
      <c r="T2085" s="1"/>
      <c r="U2085" s="1"/>
      <c r="V2085" s="1"/>
      <c r="W2085" s="1"/>
      <c r="X2085" s="1"/>
      <c r="Y2085" s="1"/>
      <c r="Z2085" s="102"/>
      <c r="AA2085" s="102"/>
      <c r="AB2085" s="1"/>
      <c r="AC2085" s="1"/>
      <c r="AD2085" s="1"/>
      <c r="AE2085" s="1"/>
      <c r="AF2085" s="1"/>
      <c r="AG2085" s="1"/>
    </row>
    <row r="2086" ht="15.75" customHeight="1">
      <c r="A2086" s="1"/>
      <c r="B2086" s="1"/>
      <c r="C2086" s="1"/>
      <c r="D2086" s="1"/>
      <c r="E2086" s="1"/>
      <c r="F2086" s="1"/>
      <c r="G2086" s="1"/>
      <c r="H2086" s="1"/>
      <c r="I2086" s="1"/>
      <c r="J2086" s="1"/>
      <c r="K2086" s="102" t="s">
        <v>3907</v>
      </c>
      <c r="L2086" s="102" t="str">
        <f>I48</f>
        <v>J1a2a1a2c~</v>
      </c>
      <c r="M2086" s="102" t="s">
        <v>3908</v>
      </c>
      <c r="N2086" s="102"/>
      <c r="O2086" s="105">
        <v>2.3779414E7</v>
      </c>
      <c r="P2086" s="105">
        <v>2.1617528E7</v>
      </c>
      <c r="Q2086" s="102" t="s">
        <v>2501</v>
      </c>
      <c r="S2086" s="1"/>
      <c r="T2086" s="1"/>
      <c r="U2086" s="1"/>
      <c r="V2086" s="1"/>
      <c r="W2086" s="1"/>
      <c r="X2086" s="1"/>
      <c r="Y2086" s="1"/>
      <c r="Z2086" s="102"/>
      <c r="AA2086" s="102"/>
      <c r="AB2086" s="1"/>
      <c r="AC2086" s="1"/>
      <c r="AD2086" s="1"/>
      <c r="AE2086" s="1"/>
      <c r="AF2086" s="1"/>
      <c r="AG2086" s="1"/>
    </row>
    <row r="2087" ht="15.75" customHeight="1">
      <c r="A2087" s="1"/>
      <c r="B2087" s="1"/>
      <c r="C2087" s="1"/>
      <c r="D2087" s="1"/>
      <c r="E2087" s="1"/>
      <c r="F2087" s="1"/>
      <c r="G2087" s="1"/>
      <c r="H2087" s="1"/>
      <c r="I2087" s="1"/>
      <c r="J2087" s="1"/>
      <c r="K2087" s="102" t="s">
        <v>3908</v>
      </c>
      <c r="L2087" s="102" t="str">
        <f>I48</f>
        <v>J1a2a1a2c~</v>
      </c>
      <c r="M2087" s="102" t="s">
        <v>3907</v>
      </c>
      <c r="N2087" s="102"/>
      <c r="O2087" s="105">
        <v>2.3779414E7</v>
      </c>
      <c r="P2087" s="105">
        <v>2.1617528E7</v>
      </c>
      <c r="Q2087" s="102" t="s">
        <v>2501</v>
      </c>
      <c r="S2087" s="1"/>
      <c r="T2087" s="1"/>
      <c r="U2087" s="1"/>
      <c r="V2087" s="1"/>
      <c r="W2087" s="1"/>
      <c r="X2087" s="1"/>
      <c r="Y2087" s="1"/>
      <c r="Z2087" s="102"/>
      <c r="AA2087" s="102"/>
      <c r="AB2087" s="1"/>
      <c r="AC2087" s="1"/>
      <c r="AD2087" s="1"/>
      <c r="AE2087" s="1"/>
      <c r="AF2087" s="1"/>
      <c r="AG2087" s="1"/>
    </row>
    <row r="2088" ht="15.75" customHeight="1">
      <c r="A2088" s="1"/>
      <c r="B2088" s="1"/>
      <c r="C2088" s="1"/>
      <c r="D2088" s="1"/>
      <c r="E2088" s="1"/>
      <c r="F2088" s="1"/>
      <c r="G2088" s="1"/>
      <c r="H2088" s="1"/>
      <c r="I2088" s="1"/>
      <c r="J2088" s="1"/>
      <c r="K2088" s="102" t="s">
        <v>3909</v>
      </c>
      <c r="L2088" s="102" t="str">
        <f>I48</f>
        <v>J1a2a1a2c~</v>
      </c>
      <c r="M2088" s="102"/>
      <c r="N2088" s="102" t="s">
        <v>3910</v>
      </c>
      <c r="O2088" s="105">
        <v>2.3277032E7</v>
      </c>
      <c r="P2088" s="105">
        <v>2.1115146E7</v>
      </c>
      <c r="Q2088" s="102" t="s">
        <v>2501</v>
      </c>
      <c r="S2088" s="1"/>
      <c r="T2088" s="1"/>
      <c r="U2088" s="1"/>
      <c r="V2088" s="1"/>
      <c r="W2088" s="1"/>
      <c r="X2088" s="1"/>
      <c r="Y2088" s="1"/>
      <c r="Z2088" s="102"/>
      <c r="AA2088" s="102"/>
      <c r="AB2088" s="1"/>
      <c r="AC2088" s="1"/>
      <c r="AD2088" s="1"/>
      <c r="AE2088" s="1"/>
      <c r="AF2088" s="1"/>
      <c r="AG2088" s="1"/>
    </row>
    <row r="2089" ht="15.75" customHeight="1">
      <c r="A2089" s="1"/>
      <c r="B2089" s="1"/>
      <c r="C2089" s="1"/>
      <c r="D2089" s="1"/>
      <c r="E2089" s="1"/>
      <c r="F2089" s="1"/>
      <c r="G2089" s="1"/>
      <c r="H2089" s="1"/>
      <c r="I2089" s="1"/>
      <c r="J2089" s="1"/>
      <c r="K2089" s="102" t="s">
        <v>3911</v>
      </c>
      <c r="L2089" s="102" t="str">
        <f>I48</f>
        <v>J1a2a1a2c~</v>
      </c>
      <c r="M2089" s="102"/>
      <c r="N2089" s="102" t="s">
        <v>3912</v>
      </c>
      <c r="O2089" s="105">
        <v>1.491711E7</v>
      </c>
      <c r="P2089" s="105">
        <v>1.2805177E7</v>
      </c>
      <c r="Q2089" s="102" t="s">
        <v>2439</v>
      </c>
      <c r="S2089" s="1"/>
      <c r="T2089" s="1"/>
      <c r="U2089" s="1"/>
      <c r="V2089" s="1"/>
      <c r="W2089" s="1"/>
      <c r="X2089" s="1"/>
      <c r="Y2089" s="1"/>
      <c r="Z2089" s="102"/>
      <c r="AA2089" s="102"/>
      <c r="AB2089" s="1"/>
      <c r="AC2089" s="1"/>
      <c r="AD2089" s="1"/>
      <c r="AE2089" s="1"/>
      <c r="AF2089" s="1"/>
      <c r="AG2089" s="1"/>
    </row>
    <row r="2090" ht="15.75" customHeight="1">
      <c r="A2090" s="1"/>
      <c r="B2090" s="1"/>
      <c r="C2090" s="1"/>
      <c r="D2090" s="1"/>
      <c r="E2090" s="1"/>
      <c r="F2090" s="1"/>
      <c r="G2090" s="1"/>
      <c r="H2090" s="1"/>
      <c r="I2090" s="1"/>
      <c r="J2090" s="1"/>
      <c r="K2090" s="102" t="s">
        <v>3913</v>
      </c>
      <c r="L2090" s="102" t="str">
        <f>I48</f>
        <v>J1a2a1a2c~</v>
      </c>
      <c r="M2090" s="102"/>
      <c r="N2090" s="102"/>
      <c r="O2090" s="105">
        <v>8073176.0</v>
      </c>
      <c r="P2090" s="105">
        <v>8205135.0</v>
      </c>
      <c r="Q2090" s="102" t="s">
        <v>3914</v>
      </c>
      <c r="S2090" s="1"/>
      <c r="T2090" s="1"/>
      <c r="U2090" s="1"/>
      <c r="V2090" s="1"/>
      <c r="W2090" s="1"/>
      <c r="X2090" s="1"/>
      <c r="Y2090" s="1"/>
      <c r="Z2090" s="102">
        <v>8073176.0</v>
      </c>
      <c r="AA2090" s="102"/>
      <c r="AB2090" s="1"/>
      <c r="AC2090" s="1"/>
      <c r="AD2090" s="1"/>
      <c r="AE2090" s="1"/>
      <c r="AF2090" s="1"/>
      <c r="AG2090" s="1"/>
    </row>
    <row r="2091" ht="15.75" customHeight="1">
      <c r="A2091" s="1"/>
      <c r="B2091" s="1"/>
      <c r="C2091" s="1"/>
      <c r="D2091" s="1"/>
      <c r="E2091" s="1"/>
      <c r="F2091" s="1"/>
      <c r="G2091" s="1"/>
      <c r="H2091" s="1"/>
      <c r="I2091" s="1"/>
      <c r="J2091" s="1"/>
      <c r="K2091" s="102" t="s">
        <v>3915</v>
      </c>
      <c r="L2091" s="102" t="str">
        <f>I48</f>
        <v>J1a2a1a2c~</v>
      </c>
      <c r="M2091" s="102"/>
      <c r="N2091" s="102" t="s">
        <v>3916</v>
      </c>
      <c r="O2091" s="105">
        <v>2.1770336E7</v>
      </c>
      <c r="P2091" s="105">
        <v>1.960845E7</v>
      </c>
      <c r="Q2091" s="102" t="s">
        <v>2501</v>
      </c>
      <c r="S2091" s="1"/>
      <c r="T2091" s="1"/>
      <c r="U2091" s="1"/>
      <c r="V2091" s="1"/>
      <c r="W2091" s="1"/>
      <c r="X2091" s="1"/>
      <c r="Y2091" s="1"/>
      <c r="Z2091" s="102"/>
      <c r="AA2091" s="102"/>
      <c r="AB2091" s="1"/>
      <c r="AC2091" s="1"/>
      <c r="AD2091" s="1"/>
      <c r="AE2091" s="1"/>
      <c r="AF2091" s="1"/>
      <c r="AG2091" s="1"/>
    </row>
    <row r="2092" ht="15.75" customHeight="1">
      <c r="A2092" s="1"/>
      <c r="B2092" s="1"/>
      <c r="C2092" s="1"/>
      <c r="D2092" s="1"/>
      <c r="E2092" s="1"/>
      <c r="F2092" s="1"/>
      <c r="G2092" s="1"/>
      <c r="H2092" s="1"/>
      <c r="I2092" s="1"/>
      <c r="J2092" s="1"/>
      <c r="K2092" s="102" t="s">
        <v>3917</v>
      </c>
      <c r="L2092" s="102" t="str">
        <f>I48</f>
        <v>J1a2a1a2c~</v>
      </c>
      <c r="M2092" s="102"/>
      <c r="N2092" s="102" t="s">
        <v>3918</v>
      </c>
      <c r="O2092" s="105">
        <v>2.2130103E7</v>
      </c>
      <c r="P2092" s="105">
        <v>1.9968217E7</v>
      </c>
      <c r="Q2092" s="102" t="s">
        <v>2446</v>
      </c>
      <c r="S2092" s="1"/>
      <c r="T2092" s="1"/>
      <c r="U2092" s="1"/>
      <c r="V2092" s="1"/>
      <c r="W2092" s="1"/>
      <c r="X2092" s="1"/>
      <c r="Y2092" s="1"/>
      <c r="Z2092" s="102"/>
      <c r="AA2092" s="102"/>
      <c r="AB2092" s="1"/>
      <c r="AC2092" s="1"/>
      <c r="AD2092" s="1"/>
      <c r="AE2092" s="1"/>
      <c r="AF2092" s="1"/>
      <c r="AG2092" s="1"/>
    </row>
    <row r="2093" ht="15.75" customHeight="1">
      <c r="A2093" s="1"/>
      <c r="B2093" s="1"/>
      <c r="C2093" s="1"/>
      <c r="D2093" s="1"/>
      <c r="E2093" s="1"/>
      <c r="F2093" s="1"/>
      <c r="G2093" s="1"/>
      <c r="H2093" s="1"/>
      <c r="I2093" s="1"/>
      <c r="J2093" s="1"/>
      <c r="K2093" s="102" t="s">
        <v>3919</v>
      </c>
      <c r="L2093" s="102" t="str">
        <f>I48</f>
        <v>J1a2a1a2c~</v>
      </c>
      <c r="M2093" s="102"/>
      <c r="N2093" s="102"/>
      <c r="O2093" s="105">
        <v>1.3931852E7</v>
      </c>
      <c r="P2093" s="105">
        <v>1.1811146E7</v>
      </c>
      <c r="Q2093" s="102" t="s">
        <v>2501</v>
      </c>
      <c r="S2093" s="1"/>
      <c r="T2093" s="1"/>
      <c r="U2093" s="1"/>
      <c r="V2093" s="1"/>
      <c r="W2093" s="1"/>
      <c r="X2093" s="1"/>
      <c r="Y2093" s="1"/>
      <c r="Z2093" s="102"/>
      <c r="AA2093" s="102"/>
      <c r="AB2093" s="1"/>
      <c r="AC2093" s="1"/>
      <c r="AD2093" s="1"/>
      <c r="AE2093" s="1"/>
      <c r="AF2093" s="1"/>
      <c r="AG2093" s="1"/>
    </row>
    <row r="2094" ht="15.75" customHeight="1">
      <c r="A2094" s="1"/>
      <c r="B2094" s="1"/>
      <c r="C2094" s="1"/>
      <c r="D2094" s="1"/>
      <c r="E2094" s="1"/>
      <c r="F2094" s="1"/>
      <c r="G2094" s="1"/>
      <c r="H2094" s="1"/>
      <c r="I2094" s="1"/>
      <c r="J2094" s="1"/>
      <c r="K2094" s="102" t="s">
        <v>3920</v>
      </c>
      <c r="L2094" s="102" t="str">
        <f>I48</f>
        <v>J1a2a1a2c~</v>
      </c>
      <c r="M2094" s="102"/>
      <c r="N2094" s="102"/>
      <c r="O2094" s="105">
        <v>2.2530015E7</v>
      </c>
      <c r="P2094" s="105">
        <v>2.0368129E7</v>
      </c>
      <c r="Q2094" s="102" t="s">
        <v>2501</v>
      </c>
      <c r="S2094" s="1"/>
      <c r="T2094" s="1"/>
      <c r="U2094" s="1"/>
      <c r="V2094" s="1"/>
      <c r="W2094" s="1"/>
      <c r="X2094" s="1"/>
      <c r="Y2094" s="1"/>
      <c r="Z2094" s="102"/>
      <c r="AA2094" s="102"/>
      <c r="AB2094" s="1"/>
      <c r="AC2094" s="1"/>
      <c r="AD2094" s="1"/>
      <c r="AE2094" s="1"/>
      <c r="AF2094" s="1"/>
      <c r="AG2094" s="1"/>
    </row>
    <row r="2095" ht="15.75" customHeight="1">
      <c r="A2095" s="1"/>
      <c r="B2095" s="1"/>
      <c r="C2095" s="1"/>
      <c r="D2095" s="1"/>
      <c r="E2095" s="1"/>
      <c r="F2095" s="1"/>
      <c r="G2095" s="1"/>
      <c r="H2095" s="1"/>
      <c r="I2095" s="1"/>
      <c r="J2095" s="1"/>
      <c r="K2095" s="102" t="s">
        <v>66</v>
      </c>
      <c r="L2095" s="102" t="str">
        <f t="shared" ref="L2095:L2096" si="7">J49</f>
        <v>J1a2a1a2c1</v>
      </c>
      <c r="M2095" s="102"/>
      <c r="N2095" s="102" t="s">
        <v>3921</v>
      </c>
      <c r="O2095" s="105">
        <v>6932171.0</v>
      </c>
      <c r="P2095" s="105">
        <v>7064130.0</v>
      </c>
      <c r="Q2095" s="102" t="s">
        <v>2576</v>
      </c>
      <c r="S2095" s="1"/>
      <c r="T2095" s="1"/>
      <c r="U2095" s="1"/>
      <c r="V2095" s="1"/>
      <c r="W2095" s="1"/>
      <c r="X2095" s="1"/>
      <c r="Y2095" s="1"/>
      <c r="Z2095" s="102"/>
      <c r="AA2095" s="102"/>
      <c r="AB2095" s="1"/>
      <c r="AC2095" s="1"/>
      <c r="AD2095" s="1"/>
      <c r="AE2095" s="1"/>
      <c r="AF2095" s="1"/>
      <c r="AG2095" s="1"/>
    </row>
    <row r="2096" ht="15.75" customHeight="1">
      <c r="A2096" s="1"/>
      <c r="B2096" s="1"/>
      <c r="C2096" s="1"/>
      <c r="D2096" s="1"/>
      <c r="E2096" s="1"/>
      <c r="F2096" s="1"/>
      <c r="G2096" s="1"/>
      <c r="H2096" s="1"/>
      <c r="I2096" s="1"/>
      <c r="J2096" s="1"/>
      <c r="K2096" s="102" t="s">
        <v>3922</v>
      </c>
      <c r="L2096" s="102" t="str">
        <f t="shared" si="7"/>
        <v>J1a2a1a2c1~</v>
      </c>
      <c r="M2096" s="102"/>
      <c r="N2096" s="102" t="s">
        <v>3923</v>
      </c>
      <c r="O2096" s="105">
        <v>1.753433E7</v>
      </c>
      <c r="P2096" s="105">
        <v>1.542245E7</v>
      </c>
      <c r="Q2096" s="102" t="s">
        <v>2432</v>
      </c>
      <c r="S2096" s="1"/>
      <c r="T2096" s="1"/>
      <c r="U2096" s="1"/>
      <c r="V2096" s="1"/>
      <c r="W2096" s="1"/>
      <c r="X2096" s="1"/>
      <c r="Y2096" s="1"/>
      <c r="Z2096" s="102"/>
      <c r="AA2096" s="102"/>
      <c r="AB2096" s="1"/>
      <c r="AC2096" s="1"/>
      <c r="AD2096" s="1"/>
      <c r="AE2096" s="1"/>
      <c r="AF2096" s="1"/>
      <c r="AG2096" s="1"/>
    </row>
    <row r="2097" ht="15.75" customHeight="1">
      <c r="A2097" s="1"/>
      <c r="B2097" s="1"/>
      <c r="C2097" s="1"/>
      <c r="D2097" s="1"/>
      <c r="E2097" s="1"/>
      <c r="F2097" s="1"/>
      <c r="G2097" s="1"/>
      <c r="H2097" s="1"/>
      <c r="I2097" s="1"/>
      <c r="J2097" s="1"/>
      <c r="K2097" s="102" t="s">
        <v>3924</v>
      </c>
      <c r="L2097" s="102" t="str">
        <f>J50</f>
        <v>J1a2a1a2c1~</v>
      </c>
      <c r="M2097" s="102"/>
      <c r="N2097" s="102" t="s">
        <v>3925</v>
      </c>
      <c r="O2097" s="105">
        <v>1.6528614E7</v>
      </c>
      <c r="P2097" s="105">
        <v>1.4416734E7</v>
      </c>
      <c r="Q2097" s="102" t="s">
        <v>2529</v>
      </c>
      <c r="S2097" s="1"/>
      <c r="T2097" s="1"/>
      <c r="U2097" s="1"/>
      <c r="V2097" s="1"/>
      <c r="W2097" s="1"/>
      <c r="X2097" s="1"/>
      <c r="Y2097" s="1"/>
      <c r="Z2097" s="102"/>
      <c r="AA2097" s="102"/>
      <c r="AB2097" s="1"/>
      <c r="AC2097" s="1"/>
      <c r="AD2097" s="1"/>
      <c r="AE2097" s="1"/>
      <c r="AF2097" s="1"/>
      <c r="AG2097" s="1"/>
    </row>
    <row r="2098" ht="15.75" customHeight="1">
      <c r="A2098" s="1"/>
      <c r="B2098" s="1"/>
      <c r="C2098" s="1"/>
      <c r="D2098" s="1"/>
      <c r="E2098" s="1"/>
      <c r="F2098" s="1"/>
      <c r="G2098" s="1"/>
      <c r="H2098" s="1"/>
      <c r="I2098" s="1"/>
      <c r="J2098" s="1"/>
      <c r="K2098" s="102" t="s">
        <v>3926</v>
      </c>
      <c r="L2098" s="102" t="str">
        <f>J50</f>
        <v>J1a2a1a2c1~</v>
      </c>
      <c r="M2098" s="102"/>
      <c r="N2098" s="102" t="s">
        <v>3927</v>
      </c>
      <c r="O2098" s="105">
        <v>1.6364855E7</v>
      </c>
      <c r="P2098" s="105">
        <v>1.4252975E7</v>
      </c>
      <c r="Q2098" s="102" t="s">
        <v>2439</v>
      </c>
      <c r="S2098" s="1"/>
      <c r="T2098" s="1"/>
      <c r="U2098" s="1"/>
      <c r="V2098" s="1"/>
      <c r="W2098" s="1"/>
      <c r="X2098" s="1"/>
      <c r="Y2098" s="1"/>
      <c r="Z2098" s="102"/>
      <c r="AA2098" s="102"/>
      <c r="AB2098" s="1"/>
      <c r="AC2098" s="1"/>
      <c r="AD2098" s="1"/>
      <c r="AE2098" s="1"/>
      <c r="AF2098" s="1"/>
      <c r="AG2098" s="1"/>
    </row>
    <row r="2099" ht="15.75" customHeight="1">
      <c r="A2099" s="1"/>
      <c r="B2099" s="1"/>
      <c r="C2099" s="1"/>
      <c r="D2099" s="1"/>
      <c r="E2099" s="1"/>
      <c r="F2099" s="1"/>
      <c r="G2099" s="1"/>
      <c r="H2099" s="1"/>
      <c r="I2099" s="1"/>
      <c r="J2099" s="1"/>
      <c r="K2099" s="102" t="s">
        <v>3928</v>
      </c>
      <c r="L2099" s="102" t="str">
        <f>J50</f>
        <v>J1a2a1a2c1~</v>
      </c>
      <c r="M2099" s="106" t="s">
        <v>3929</v>
      </c>
      <c r="N2099" s="102" t="s">
        <v>3930</v>
      </c>
      <c r="O2099" s="105">
        <v>7877358.0</v>
      </c>
      <c r="P2099" s="105">
        <v>8009317.0</v>
      </c>
      <c r="Q2099" s="102" t="s">
        <v>2501</v>
      </c>
      <c r="S2099" s="1"/>
      <c r="T2099" s="1"/>
      <c r="U2099" s="1"/>
      <c r="V2099" s="1"/>
      <c r="W2099" s="1"/>
      <c r="X2099" s="1"/>
      <c r="Y2099" s="1"/>
      <c r="Z2099" s="102">
        <v>2.1356711E7</v>
      </c>
      <c r="AA2099" s="102" t="s">
        <v>3929</v>
      </c>
      <c r="AB2099" s="1"/>
      <c r="AC2099" s="1"/>
      <c r="AD2099" s="1"/>
      <c r="AE2099" s="1"/>
      <c r="AF2099" s="1"/>
      <c r="AG2099" s="1"/>
    </row>
    <row r="2100" ht="15.75" customHeight="1">
      <c r="A2100" s="1"/>
      <c r="B2100" s="1"/>
      <c r="C2100" s="1"/>
      <c r="D2100" s="1"/>
      <c r="E2100" s="1"/>
      <c r="F2100" s="1"/>
      <c r="G2100" s="1"/>
      <c r="H2100" s="1"/>
      <c r="I2100" s="1"/>
      <c r="J2100" s="1"/>
      <c r="K2100" s="106" t="s">
        <v>3929</v>
      </c>
      <c r="L2100" s="102" t="str">
        <f>J50</f>
        <v>J1a2a1a2c1~</v>
      </c>
      <c r="M2100" s="102" t="s">
        <v>3928</v>
      </c>
      <c r="N2100" s="102" t="s">
        <v>3930</v>
      </c>
      <c r="O2100" s="105">
        <v>7877358.0</v>
      </c>
      <c r="P2100" s="105">
        <v>8009317.0</v>
      </c>
      <c r="Q2100" s="102" t="s">
        <v>2501</v>
      </c>
      <c r="S2100" s="1"/>
      <c r="T2100" s="1"/>
      <c r="U2100" s="1"/>
      <c r="V2100" s="1"/>
      <c r="W2100" s="1"/>
      <c r="X2100" s="1"/>
      <c r="Y2100" s="1"/>
      <c r="Z2100" s="102"/>
      <c r="AA2100" s="102"/>
      <c r="AB2100" s="1"/>
      <c r="AC2100" s="1"/>
      <c r="AD2100" s="1"/>
      <c r="AE2100" s="1"/>
      <c r="AF2100" s="1"/>
      <c r="AG2100" s="1"/>
    </row>
    <row r="2101" ht="15.75" customHeight="1">
      <c r="A2101" s="1"/>
      <c r="B2101" s="1"/>
      <c r="C2101" s="1"/>
      <c r="D2101" s="1"/>
      <c r="E2101" s="1"/>
      <c r="F2101" s="1"/>
      <c r="G2101" s="1"/>
      <c r="H2101" s="1"/>
      <c r="I2101" s="1"/>
      <c r="J2101" s="1"/>
      <c r="K2101" s="102" t="s">
        <v>3931</v>
      </c>
      <c r="L2101" s="102" t="str">
        <f>J50</f>
        <v>J1a2a1a2c1~</v>
      </c>
      <c r="M2101" s="102" t="s">
        <v>3932</v>
      </c>
      <c r="N2101" s="102" t="s">
        <v>3933</v>
      </c>
      <c r="O2101" s="105">
        <v>1.6970191E7</v>
      </c>
      <c r="P2101" s="105">
        <v>1.4858311E7</v>
      </c>
      <c r="Q2101" s="102" t="s">
        <v>2439</v>
      </c>
      <c r="S2101" s="1"/>
      <c r="T2101" s="1"/>
      <c r="U2101" s="1"/>
      <c r="V2101" s="1"/>
      <c r="W2101" s="1"/>
      <c r="X2101" s="1"/>
      <c r="Y2101" s="1"/>
      <c r="Z2101" s="102"/>
      <c r="AA2101" s="102"/>
      <c r="AB2101" s="1"/>
      <c r="AC2101" s="1"/>
      <c r="AD2101" s="1"/>
      <c r="AE2101" s="1"/>
      <c r="AF2101" s="1"/>
      <c r="AG2101" s="1"/>
    </row>
    <row r="2102" ht="15.75" customHeight="1">
      <c r="A2102" s="1"/>
      <c r="B2102" s="1"/>
      <c r="C2102" s="1"/>
      <c r="D2102" s="1"/>
      <c r="E2102" s="1"/>
      <c r="F2102" s="1"/>
      <c r="G2102" s="1"/>
      <c r="H2102" s="1"/>
      <c r="I2102" s="1"/>
      <c r="J2102" s="1"/>
      <c r="K2102" s="102" t="s">
        <v>3932</v>
      </c>
      <c r="L2102" s="102" t="str">
        <f>J50</f>
        <v>J1a2a1a2c1~</v>
      </c>
      <c r="M2102" s="102" t="s">
        <v>3931</v>
      </c>
      <c r="N2102" s="102" t="s">
        <v>3933</v>
      </c>
      <c r="O2102" s="105">
        <v>1.6970191E7</v>
      </c>
      <c r="P2102" s="105">
        <v>1.4858311E7</v>
      </c>
      <c r="Q2102" s="102" t="s">
        <v>2439</v>
      </c>
      <c r="S2102" s="1"/>
      <c r="T2102" s="1"/>
      <c r="U2102" s="1"/>
      <c r="V2102" s="1"/>
      <c r="W2102" s="1"/>
      <c r="X2102" s="1"/>
      <c r="Y2102" s="1"/>
      <c r="Z2102" s="102"/>
      <c r="AA2102" s="102"/>
      <c r="AB2102" s="1"/>
      <c r="AC2102" s="1"/>
      <c r="AD2102" s="1"/>
      <c r="AE2102" s="1"/>
      <c r="AF2102" s="1"/>
      <c r="AG2102" s="1"/>
    </row>
    <row r="2103" ht="15.75" customHeight="1">
      <c r="A2103" s="1"/>
      <c r="B2103" s="1"/>
      <c r="C2103" s="1"/>
      <c r="D2103" s="1"/>
      <c r="E2103" s="1"/>
      <c r="F2103" s="1"/>
      <c r="G2103" s="1"/>
      <c r="H2103" s="1"/>
      <c r="I2103" s="1"/>
      <c r="J2103" s="1"/>
      <c r="K2103" s="102" t="s">
        <v>3934</v>
      </c>
      <c r="L2103" s="102" t="str">
        <f>J50</f>
        <v>J1a2a1a2c1~</v>
      </c>
      <c r="M2103" s="102" t="s">
        <v>3935</v>
      </c>
      <c r="N2103" s="102" t="s">
        <v>3936</v>
      </c>
      <c r="O2103" s="105">
        <v>2.340165E7</v>
      </c>
      <c r="P2103" s="105">
        <v>2.1239764E7</v>
      </c>
      <c r="Q2103" s="102" t="s">
        <v>2439</v>
      </c>
      <c r="S2103" s="1"/>
      <c r="T2103" s="1"/>
      <c r="U2103" s="1"/>
      <c r="V2103" s="1"/>
      <c r="W2103" s="1"/>
      <c r="X2103" s="1"/>
      <c r="Y2103" s="1"/>
      <c r="Z2103" s="102"/>
      <c r="AA2103" s="102"/>
      <c r="AB2103" s="1"/>
      <c r="AC2103" s="1"/>
      <c r="AD2103" s="1"/>
      <c r="AE2103" s="1"/>
      <c r="AF2103" s="1"/>
      <c r="AG2103" s="1"/>
    </row>
    <row r="2104" ht="15.75" customHeight="1">
      <c r="A2104" s="1"/>
      <c r="B2104" s="1"/>
      <c r="C2104" s="1"/>
      <c r="D2104" s="1"/>
      <c r="E2104" s="1"/>
      <c r="F2104" s="1"/>
      <c r="G2104" s="1"/>
      <c r="H2104" s="1"/>
      <c r="I2104" s="1"/>
      <c r="J2104" s="1"/>
      <c r="K2104" s="102" t="s">
        <v>3935</v>
      </c>
      <c r="L2104" s="102" t="str">
        <f>J50</f>
        <v>J1a2a1a2c1~</v>
      </c>
      <c r="M2104" s="102" t="s">
        <v>3934</v>
      </c>
      <c r="N2104" s="102" t="s">
        <v>3936</v>
      </c>
      <c r="O2104" s="105">
        <v>2.340165E7</v>
      </c>
      <c r="P2104" s="105">
        <v>2.1239764E7</v>
      </c>
      <c r="Q2104" s="102" t="s">
        <v>2439</v>
      </c>
      <c r="S2104" s="1"/>
      <c r="T2104" s="1"/>
      <c r="U2104" s="1"/>
      <c r="V2104" s="1"/>
      <c r="W2104" s="1"/>
      <c r="X2104" s="1"/>
      <c r="Y2104" s="1"/>
      <c r="Z2104" s="102"/>
      <c r="AA2104" s="102"/>
      <c r="AB2104" s="1"/>
      <c r="AC2104" s="1"/>
      <c r="AD2104" s="1"/>
      <c r="AE2104" s="1"/>
      <c r="AF2104" s="1"/>
      <c r="AG2104" s="1"/>
    </row>
    <row r="2105" ht="15.75" customHeight="1">
      <c r="A2105" s="1"/>
      <c r="B2105" s="1"/>
      <c r="C2105" s="1"/>
      <c r="D2105" s="1"/>
      <c r="E2105" s="1"/>
      <c r="F2105" s="1"/>
      <c r="G2105" s="1"/>
      <c r="H2105" s="1"/>
      <c r="I2105" s="1"/>
      <c r="J2105" s="1"/>
      <c r="K2105" s="102" t="s">
        <v>3937</v>
      </c>
      <c r="L2105" s="102" t="str">
        <f>J50</f>
        <v>J1a2a1a2c1~</v>
      </c>
      <c r="M2105" s="102" t="s">
        <v>3938</v>
      </c>
      <c r="N2105" s="102" t="s">
        <v>3939</v>
      </c>
      <c r="O2105" s="105">
        <v>2.2536559E7</v>
      </c>
      <c r="P2105" s="105">
        <v>2.0374673E7</v>
      </c>
      <c r="Q2105" s="102" t="s">
        <v>2454</v>
      </c>
      <c r="S2105" s="1"/>
      <c r="T2105" s="1"/>
      <c r="U2105" s="1"/>
      <c r="V2105" s="1"/>
      <c r="W2105" s="1"/>
      <c r="X2105" s="1"/>
      <c r="Y2105" s="1"/>
      <c r="Z2105" s="102"/>
      <c r="AA2105" s="102"/>
      <c r="AB2105" s="1"/>
      <c r="AC2105" s="1"/>
      <c r="AD2105" s="1"/>
      <c r="AE2105" s="1"/>
      <c r="AF2105" s="1"/>
      <c r="AG2105" s="1"/>
    </row>
    <row r="2106" ht="15.75" customHeight="1">
      <c r="A2106" s="1"/>
      <c r="B2106" s="1"/>
      <c r="C2106" s="1"/>
      <c r="D2106" s="1"/>
      <c r="E2106" s="1"/>
      <c r="F2106" s="1"/>
      <c r="G2106" s="1"/>
      <c r="H2106" s="1"/>
      <c r="I2106" s="1"/>
      <c r="J2106" s="1"/>
      <c r="K2106" s="102" t="s">
        <v>3938</v>
      </c>
      <c r="L2106" s="102" t="str">
        <f>J50</f>
        <v>J1a2a1a2c1~</v>
      </c>
      <c r="M2106" s="102" t="s">
        <v>3937</v>
      </c>
      <c r="N2106" s="102" t="s">
        <v>3939</v>
      </c>
      <c r="O2106" s="105">
        <v>2.2536559E7</v>
      </c>
      <c r="P2106" s="105">
        <v>2.0374673E7</v>
      </c>
      <c r="Q2106" s="102" t="s">
        <v>2454</v>
      </c>
      <c r="S2106" s="1"/>
      <c r="T2106" s="1"/>
      <c r="U2106" s="1"/>
      <c r="V2106" s="1"/>
      <c r="W2106" s="1"/>
      <c r="X2106" s="1"/>
      <c r="Y2106" s="1"/>
      <c r="Z2106" s="102"/>
      <c r="AA2106" s="102"/>
      <c r="AB2106" s="1"/>
      <c r="AC2106" s="1"/>
      <c r="AD2106" s="1"/>
      <c r="AE2106" s="1"/>
      <c r="AF2106" s="1"/>
      <c r="AG2106" s="1"/>
    </row>
    <row r="2107" ht="15.75" customHeight="1">
      <c r="A2107" s="1"/>
      <c r="B2107" s="1"/>
      <c r="C2107" s="1"/>
      <c r="D2107" s="1"/>
      <c r="E2107" s="1"/>
      <c r="F2107" s="1"/>
      <c r="G2107" s="1"/>
      <c r="H2107" s="1"/>
      <c r="I2107" s="1"/>
      <c r="J2107" s="1"/>
      <c r="K2107" s="102" t="s">
        <v>3940</v>
      </c>
      <c r="L2107" s="102" t="str">
        <f>J50</f>
        <v>J1a2a1a2c1~</v>
      </c>
      <c r="M2107" s="102"/>
      <c r="N2107" s="102" t="s">
        <v>3941</v>
      </c>
      <c r="O2107" s="105">
        <v>8669042.0</v>
      </c>
      <c r="P2107" s="105">
        <v>8801001.0</v>
      </c>
      <c r="Q2107" s="102" t="s">
        <v>2529</v>
      </c>
      <c r="S2107" s="1"/>
      <c r="T2107" s="1"/>
      <c r="U2107" s="1"/>
      <c r="V2107" s="1"/>
      <c r="W2107" s="1"/>
      <c r="X2107" s="1"/>
      <c r="Y2107" s="1"/>
      <c r="Z2107" s="102"/>
      <c r="AA2107" s="102"/>
      <c r="AB2107" s="1"/>
      <c r="AC2107" s="1"/>
      <c r="AD2107" s="1"/>
      <c r="AE2107" s="1"/>
      <c r="AF2107" s="1"/>
      <c r="AG2107" s="1"/>
    </row>
    <row r="2108" ht="15.75" customHeight="1">
      <c r="A2108" s="1"/>
      <c r="B2108" s="1"/>
      <c r="C2108" s="1"/>
      <c r="D2108" s="1"/>
      <c r="E2108" s="1"/>
      <c r="F2108" s="1"/>
      <c r="G2108" s="1"/>
      <c r="H2108" s="1"/>
      <c r="I2108" s="1"/>
      <c r="J2108" s="1"/>
      <c r="K2108" s="102" t="s">
        <v>3942</v>
      </c>
      <c r="L2108" s="102" t="str">
        <f>J50</f>
        <v>J1a2a1a2c1~</v>
      </c>
      <c r="M2108" s="102"/>
      <c r="N2108" s="102" t="s">
        <v>3943</v>
      </c>
      <c r="O2108" s="105">
        <v>1.4668247E7</v>
      </c>
      <c r="P2108" s="105">
        <v>1.2556313E7</v>
      </c>
      <c r="Q2108" s="102" t="s">
        <v>2423</v>
      </c>
      <c r="S2108" s="1"/>
      <c r="T2108" s="1"/>
      <c r="U2108" s="1"/>
      <c r="V2108" s="1"/>
      <c r="W2108" s="1"/>
      <c r="X2108" s="1"/>
      <c r="Y2108" s="1"/>
      <c r="Z2108" s="102"/>
      <c r="AA2108" s="102"/>
      <c r="AB2108" s="1"/>
      <c r="AC2108" s="1"/>
      <c r="AD2108" s="1"/>
      <c r="AE2108" s="1"/>
      <c r="AF2108" s="1"/>
      <c r="AG2108" s="1"/>
    </row>
    <row r="2109" ht="15.75" customHeight="1">
      <c r="A2109" s="1"/>
      <c r="B2109" s="1"/>
      <c r="C2109" s="1"/>
      <c r="D2109" s="1"/>
      <c r="E2109" s="1"/>
      <c r="F2109" s="1"/>
      <c r="G2109" s="1"/>
      <c r="H2109" s="1"/>
      <c r="I2109" s="1"/>
      <c r="J2109" s="1"/>
      <c r="K2109" s="102" t="s">
        <v>3944</v>
      </c>
      <c r="L2109" s="102" t="str">
        <f>J50</f>
        <v>J1a2a1a2c1~</v>
      </c>
      <c r="M2109" s="102"/>
      <c r="N2109" s="102" t="s">
        <v>3945</v>
      </c>
      <c r="O2109" s="105">
        <v>8399071.0</v>
      </c>
      <c r="P2109" s="105">
        <v>8531030.0</v>
      </c>
      <c r="Q2109" s="102" t="s">
        <v>2439</v>
      </c>
      <c r="S2109" s="1"/>
      <c r="T2109" s="1"/>
      <c r="U2109" s="1"/>
      <c r="V2109" s="1"/>
      <c r="W2109" s="1"/>
      <c r="X2109" s="1"/>
      <c r="Y2109" s="1"/>
      <c r="Z2109" s="102"/>
      <c r="AA2109" s="102"/>
      <c r="AB2109" s="1"/>
      <c r="AC2109" s="1"/>
      <c r="AD2109" s="1"/>
      <c r="AE2109" s="1"/>
      <c r="AF2109" s="1"/>
      <c r="AG2109" s="1"/>
    </row>
    <row r="2110" ht="15.75" customHeight="1">
      <c r="A2110" s="1"/>
      <c r="B2110" s="1"/>
      <c r="C2110" s="1"/>
      <c r="D2110" s="1"/>
      <c r="E2110" s="1"/>
      <c r="F2110" s="1"/>
      <c r="G2110" s="1"/>
      <c r="H2110" s="1"/>
      <c r="I2110" s="1"/>
      <c r="J2110" s="1"/>
      <c r="K2110" s="102" t="s">
        <v>3946</v>
      </c>
      <c r="L2110" s="102" t="str">
        <f>K51</f>
        <v>J1a2a1a2c1a</v>
      </c>
      <c r="M2110" s="102" t="s">
        <v>3947</v>
      </c>
      <c r="N2110" s="102" t="s">
        <v>3948</v>
      </c>
      <c r="O2110" s="105">
        <v>1.9136821E7</v>
      </c>
      <c r="P2110" s="105">
        <v>1.7024941E7</v>
      </c>
      <c r="Q2110" s="102" t="s">
        <v>2468</v>
      </c>
      <c r="S2110" s="1"/>
      <c r="T2110" s="1"/>
      <c r="U2110" s="1"/>
      <c r="V2110" s="1"/>
      <c r="W2110" s="1"/>
      <c r="X2110" s="1"/>
      <c r="Y2110" s="1"/>
      <c r="Z2110" s="102"/>
      <c r="AA2110" s="102"/>
      <c r="AB2110" s="1"/>
      <c r="AC2110" s="1"/>
      <c r="AD2110" s="1"/>
      <c r="AE2110" s="1"/>
      <c r="AF2110" s="1"/>
      <c r="AG2110" s="1"/>
    </row>
    <row r="2111" ht="15.75" customHeight="1">
      <c r="A2111" s="1"/>
      <c r="B2111" s="1"/>
      <c r="C2111" s="1"/>
      <c r="D2111" s="1"/>
      <c r="E2111" s="1"/>
      <c r="F2111" s="1"/>
      <c r="G2111" s="1"/>
      <c r="H2111" s="1"/>
      <c r="I2111" s="1"/>
      <c r="J2111" s="1"/>
      <c r="K2111" s="102" t="s">
        <v>3947</v>
      </c>
      <c r="L2111" s="102" t="str">
        <f t="shared" ref="L2111:L2112" si="8">K51</f>
        <v>J1a2a1a2c1a</v>
      </c>
      <c r="M2111" s="102" t="s">
        <v>3946</v>
      </c>
      <c r="N2111" s="102" t="s">
        <v>3948</v>
      </c>
      <c r="O2111" s="105">
        <v>1.9136821E7</v>
      </c>
      <c r="P2111" s="105">
        <v>1.7024941E7</v>
      </c>
      <c r="Q2111" s="102" t="s">
        <v>2468</v>
      </c>
      <c r="S2111" s="1"/>
      <c r="T2111" s="1"/>
      <c r="U2111" s="1"/>
      <c r="V2111" s="1"/>
      <c r="W2111" s="1"/>
      <c r="X2111" s="1"/>
      <c r="Y2111" s="1"/>
      <c r="Z2111" s="102"/>
      <c r="AA2111" s="102"/>
      <c r="AB2111" s="1"/>
      <c r="AC2111" s="1"/>
      <c r="AD2111" s="1"/>
      <c r="AE2111" s="1"/>
      <c r="AF2111" s="1"/>
      <c r="AG2111" s="1"/>
    </row>
    <row r="2112" ht="15.75" customHeight="1">
      <c r="A2112" s="1"/>
      <c r="B2112" s="1"/>
      <c r="C2112" s="1"/>
      <c r="D2112" s="1"/>
      <c r="E2112" s="1"/>
      <c r="F2112" s="1"/>
      <c r="G2112" s="1"/>
      <c r="H2112" s="1"/>
      <c r="I2112" s="1"/>
      <c r="J2112" s="1"/>
      <c r="K2112" s="102" t="s">
        <v>3949</v>
      </c>
      <c r="L2112" s="102" t="str">
        <f t="shared" si="8"/>
        <v>J1a2a1a2c1a~</v>
      </c>
      <c r="M2112" s="102"/>
      <c r="N2112" s="102" t="s">
        <v>3950</v>
      </c>
      <c r="O2112" s="105">
        <v>1.766096E7</v>
      </c>
      <c r="P2112" s="105">
        <v>1.554908E7</v>
      </c>
      <c r="Q2112" s="102" t="s">
        <v>2529</v>
      </c>
      <c r="S2112" s="1"/>
      <c r="T2112" s="1"/>
      <c r="U2112" s="1"/>
      <c r="V2112" s="1"/>
      <c r="W2112" s="1"/>
      <c r="X2112" s="1"/>
      <c r="Y2112" s="1"/>
      <c r="Z2112" s="102"/>
      <c r="AA2112" s="102"/>
      <c r="AB2112" s="1"/>
      <c r="AC2112" s="1"/>
      <c r="AD2112" s="1"/>
      <c r="AE2112" s="1"/>
      <c r="AF2112" s="1"/>
      <c r="AG2112" s="1"/>
    </row>
    <row r="2113" ht="15.75" customHeight="1">
      <c r="A2113" s="1"/>
      <c r="B2113" s="1"/>
      <c r="C2113" s="1"/>
      <c r="D2113" s="1"/>
      <c r="E2113" s="1"/>
      <c r="F2113" s="1"/>
      <c r="G2113" s="1"/>
      <c r="H2113" s="1"/>
      <c r="I2113" s="1"/>
      <c r="J2113" s="1"/>
      <c r="K2113" s="102" t="s">
        <v>3951</v>
      </c>
      <c r="L2113" s="102" t="str">
        <f>K52</f>
        <v>J1a2a1a2c1a~</v>
      </c>
      <c r="M2113" s="102"/>
      <c r="N2113" s="102" t="s">
        <v>3952</v>
      </c>
      <c r="O2113" s="105">
        <v>1.645501E7</v>
      </c>
      <c r="P2113" s="105">
        <v>1.434313E7</v>
      </c>
      <c r="Q2113" s="102" t="s">
        <v>2501</v>
      </c>
      <c r="S2113" s="1"/>
      <c r="T2113" s="1"/>
      <c r="U2113" s="1"/>
      <c r="V2113" s="1"/>
      <c r="W2113" s="1"/>
      <c r="X2113" s="1"/>
      <c r="Y2113" s="1"/>
      <c r="Z2113" s="102"/>
      <c r="AA2113" s="102"/>
      <c r="AB2113" s="1"/>
      <c r="AC2113" s="1"/>
      <c r="AD2113" s="1"/>
      <c r="AE2113" s="1"/>
      <c r="AF2113" s="1"/>
      <c r="AG2113" s="1"/>
    </row>
    <row r="2114" ht="15.75" customHeight="1">
      <c r="A2114" s="1"/>
      <c r="B2114" s="1"/>
      <c r="C2114" s="1"/>
      <c r="D2114" s="1"/>
      <c r="E2114" s="1"/>
      <c r="F2114" s="1"/>
      <c r="G2114" s="1"/>
      <c r="H2114" s="1"/>
      <c r="I2114" s="1"/>
      <c r="J2114" s="1"/>
      <c r="K2114" s="102" t="s">
        <v>3953</v>
      </c>
      <c r="L2114" s="102" t="str">
        <f>K52</f>
        <v>J1a2a1a2c1a~</v>
      </c>
      <c r="M2114" s="102"/>
      <c r="N2114" s="102" t="s">
        <v>3954</v>
      </c>
      <c r="O2114" s="105">
        <v>1.4980067E7</v>
      </c>
      <c r="P2114" s="105">
        <v>1.2868143E7</v>
      </c>
      <c r="Q2114" s="102" t="s">
        <v>2468</v>
      </c>
      <c r="S2114" s="1"/>
      <c r="T2114" s="1"/>
      <c r="U2114" s="1"/>
      <c r="V2114" s="1"/>
      <c r="W2114" s="1"/>
      <c r="X2114" s="1"/>
      <c r="Y2114" s="1"/>
      <c r="Z2114" s="102"/>
      <c r="AA2114" s="102"/>
      <c r="AB2114" s="1"/>
      <c r="AC2114" s="1"/>
      <c r="AD2114" s="1"/>
      <c r="AE2114" s="1"/>
      <c r="AF2114" s="1"/>
      <c r="AG2114" s="1"/>
    </row>
    <row r="2115" ht="15.75" customHeight="1">
      <c r="A2115" s="1"/>
      <c r="B2115" s="1"/>
      <c r="C2115" s="1"/>
      <c r="D2115" s="1"/>
      <c r="E2115" s="1"/>
      <c r="F2115" s="1"/>
      <c r="G2115" s="1"/>
      <c r="H2115" s="1"/>
      <c r="I2115" s="1"/>
      <c r="J2115" s="1"/>
      <c r="K2115" s="102" t="s">
        <v>3955</v>
      </c>
      <c r="L2115" s="102" t="str">
        <f>K52</f>
        <v>J1a2a1a2c1a~</v>
      </c>
      <c r="M2115" s="102"/>
      <c r="N2115" s="102" t="s">
        <v>3956</v>
      </c>
      <c r="O2115" s="105">
        <v>2.3383273E7</v>
      </c>
      <c r="P2115" s="105">
        <v>2.1221387E7</v>
      </c>
      <c r="Q2115" s="102" t="s">
        <v>2423</v>
      </c>
      <c r="S2115" s="1"/>
      <c r="T2115" s="1"/>
      <c r="U2115" s="1"/>
      <c r="V2115" s="1"/>
      <c r="W2115" s="1"/>
      <c r="X2115" s="1"/>
      <c r="Y2115" s="1"/>
      <c r="Z2115" s="102"/>
      <c r="AA2115" s="102"/>
      <c r="AB2115" s="1"/>
      <c r="AC2115" s="1"/>
      <c r="AD2115" s="1"/>
      <c r="AE2115" s="1"/>
      <c r="AF2115" s="1"/>
      <c r="AG2115" s="1"/>
    </row>
    <row r="2116" ht="15.75" customHeight="1">
      <c r="A2116" s="1"/>
      <c r="B2116" s="1"/>
      <c r="C2116" s="1"/>
      <c r="D2116" s="1"/>
      <c r="E2116" s="1"/>
      <c r="F2116" s="1"/>
      <c r="G2116" s="1"/>
      <c r="H2116" s="1"/>
      <c r="I2116" s="1"/>
      <c r="J2116" s="1"/>
      <c r="K2116" s="102" t="s">
        <v>3957</v>
      </c>
      <c r="L2116" s="102" t="str">
        <f>K52</f>
        <v>J1a2a1a2c1a~</v>
      </c>
      <c r="M2116" s="102"/>
      <c r="N2116" s="102" t="s">
        <v>3958</v>
      </c>
      <c r="O2116" s="105">
        <v>1.4628879E7</v>
      </c>
      <c r="P2116" s="105">
        <v>1.2516947E7</v>
      </c>
      <c r="Q2116" s="102" t="s">
        <v>2529</v>
      </c>
      <c r="S2116" s="1"/>
      <c r="T2116" s="1"/>
      <c r="U2116" s="1"/>
      <c r="V2116" s="1"/>
      <c r="W2116" s="1"/>
      <c r="X2116" s="1"/>
      <c r="Y2116" s="1"/>
      <c r="Z2116" s="102"/>
      <c r="AA2116" s="102"/>
      <c r="AB2116" s="1"/>
      <c r="AC2116" s="1"/>
      <c r="AD2116" s="1"/>
      <c r="AE2116" s="1"/>
      <c r="AF2116" s="1"/>
      <c r="AG2116" s="1"/>
    </row>
    <row r="2117" ht="15.75" customHeight="1">
      <c r="A2117" s="1"/>
      <c r="B2117" s="1"/>
      <c r="C2117" s="1"/>
      <c r="D2117" s="1"/>
      <c r="E2117" s="1"/>
      <c r="F2117" s="1"/>
      <c r="G2117" s="1"/>
      <c r="H2117" s="1"/>
      <c r="I2117" s="1"/>
      <c r="J2117" s="1"/>
      <c r="K2117" s="102" t="s">
        <v>3959</v>
      </c>
      <c r="L2117" s="102" t="str">
        <f>K52</f>
        <v>J1a2a1a2c1a~</v>
      </c>
      <c r="M2117" s="102"/>
      <c r="N2117" s="102" t="s">
        <v>3960</v>
      </c>
      <c r="O2117" s="105">
        <v>1.8872509E7</v>
      </c>
      <c r="P2117" s="105">
        <v>1.6760629E7</v>
      </c>
      <c r="Q2117" s="102" t="s">
        <v>2439</v>
      </c>
      <c r="S2117" s="1"/>
      <c r="T2117" s="1"/>
      <c r="U2117" s="1"/>
      <c r="V2117" s="1"/>
      <c r="W2117" s="1"/>
      <c r="X2117" s="1"/>
      <c r="Y2117" s="1"/>
      <c r="Z2117" s="102"/>
      <c r="AA2117" s="102"/>
      <c r="AB2117" s="1"/>
      <c r="AC2117" s="1"/>
      <c r="AD2117" s="1"/>
      <c r="AE2117" s="1"/>
      <c r="AF2117" s="1"/>
      <c r="AG2117" s="1"/>
    </row>
    <row r="2118" ht="15.75" customHeight="1">
      <c r="A2118" s="1"/>
      <c r="B2118" s="1"/>
      <c r="C2118" s="1"/>
      <c r="D2118" s="1"/>
      <c r="E2118" s="1"/>
      <c r="F2118" s="1"/>
      <c r="G2118" s="1"/>
      <c r="H2118" s="1"/>
      <c r="I2118" s="1"/>
      <c r="J2118" s="1"/>
      <c r="K2118" s="102" t="s">
        <v>3961</v>
      </c>
      <c r="L2118" s="102" t="str">
        <f>K52</f>
        <v>J1a2a1a2c1a~</v>
      </c>
      <c r="M2118" s="102"/>
      <c r="N2118" s="102"/>
      <c r="O2118" s="105">
        <v>2.3497002E7</v>
      </c>
      <c r="P2118" s="105">
        <v>2.1335116E7</v>
      </c>
      <c r="Q2118" s="102" t="s">
        <v>2529</v>
      </c>
      <c r="S2118" s="1"/>
      <c r="T2118" s="1"/>
      <c r="U2118" s="1"/>
      <c r="V2118" s="1"/>
      <c r="W2118" s="1"/>
      <c r="X2118" s="1"/>
      <c r="Y2118" s="1"/>
      <c r="Z2118" s="102"/>
      <c r="AA2118" s="102"/>
      <c r="AB2118" s="1"/>
      <c r="AC2118" s="1"/>
      <c r="AD2118" s="1"/>
      <c r="AE2118" s="1"/>
      <c r="AF2118" s="1"/>
      <c r="AG2118" s="1"/>
    </row>
    <row r="2119" ht="15.75" customHeight="1">
      <c r="A2119" s="1"/>
      <c r="B2119" s="1"/>
      <c r="C2119" s="1"/>
      <c r="D2119" s="1"/>
      <c r="E2119" s="1"/>
      <c r="F2119" s="1"/>
      <c r="G2119" s="1"/>
      <c r="H2119" s="1"/>
      <c r="I2119" s="1"/>
      <c r="J2119" s="1"/>
      <c r="K2119" s="102" t="s">
        <v>3962</v>
      </c>
      <c r="L2119" s="102" t="str">
        <f>K52</f>
        <v>J1a2a1a2c1a~</v>
      </c>
      <c r="M2119" s="102"/>
      <c r="N2119" s="102" t="s">
        <v>3963</v>
      </c>
      <c r="O2119" s="105">
        <v>1.7525126E7</v>
      </c>
      <c r="P2119" s="105">
        <v>1.5413246E7</v>
      </c>
      <c r="Q2119" s="102" t="s">
        <v>2529</v>
      </c>
      <c r="S2119" s="1"/>
      <c r="T2119" s="1"/>
      <c r="U2119" s="1"/>
      <c r="V2119" s="1"/>
      <c r="W2119" s="1"/>
      <c r="X2119" s="1"/>
      <c r="Y2119" s="1"/>
      <c r="Z2119" s="102"/>
      <c r="AA2119" s="102"/>
      <c r="AB2119" s="1"/>
      <c r="AC2119" s="1"/>
      <c r="AD2119" s="1"/>
      <c r="AE2119" s="1"/>
      <c r="AF2119" s="1"/>
      <c r="AG2119" s="1"/>
    </row>
    <row r="2120" ht="15.75" customHeight="1">
      <c r="A2120" s="1"/>
      <c r="B2120" s="1"/>
      <c r="C2120" s="1"/>
      <c r="D2120" s="1"/>
      <c r="E2120" s="1"/>
      <c r="F2120" s="1"/>
      <c r="G2120" s="1"/>
      <c r="H2120" s="1"/>
      <c r="I2120" s="1"/>
      <c r="J2120" s="1"/>
      <c r="K2120" s="102" t="s">
        <v>3964</v>
      </c>
      <c r="L2120" s="102" t="str">
        <f>K52</f>
        <v>J1a2a1a2c1a~</v>
      </c>
      <c r="M2120" s="102"/>
      <c r="N2120" s="102" t="s">
        <v>3965</v>
      </c>
      <c r="O2120" s="105">
        <v>2.1731783E7</v>
      </c>
      <c r="P2120" s="105">
        <v>1.9569897E7</v>
      </c>
      <c r="Q2120" s="102" t="s">
        <v>2454</v>
      </c>
      <c r="S2120" s="1"/>
      <c r="T2120" s="1"/>
      <c r="U2120" s="1"/>
      <c r="V2120" s="1"/>
      <c r="W2120" s="1"/>
      <c r="X2120" s="1"/>
      <c r="Y2120" s="1"/>
      <c r="Z2120" s="102"/>
      <c r="AA2120" s="102"/>
      <c r="AB2120" s="1"/>
      <c r="AC2120" s="1"/>
      <c r="AD2120" s="1"/>
      <c r="AE2120" s="1"/>
      <c r="AF2120" s="1"/>
      <c r="AG2120" s="1"/>
    </row>
    <row r="2121" ht="15.75" customHeight="1">
      <c r="A2121" s="1"/>
      <c r="B2121" s="1"/>
      <c r="C2121" s="1"/>
      <c r="D2121" s="1"/>
      <c r="E2121" s="1"/>
      <c r="F2121" s="1"/>
      <c r="G2121" s="1"/>
      <c r="H2121" s="1"/>
      <c r="I2121" s="1"/>
      <c r="J2121" s="1"/>
      <c r="K2121" s="102" t="s">
        <v>3966</v>
      </c>
      <c r="L2121" s="102" t="str">
        <f>K52</f>
        <v>J1a2a1a2c1a~</v>
      </c>
      <c r="M2121" s="102"/>
      <c r="N2121" s="102" t="s">
        <v>3967</v>
      </c>
      <c r="O2121" s="105">
        <v>1.575232E7</v>
      </c>
      <c r="P2121" s="105">
        <v>1.364044E7</v>
      </c>
      <c r="Q2121" s="102" t="s">
        <v>2501</v>
      </c>
      <c r="S2121" s="1"/>
      <c r="T2121" s="1"/>
      <c r="U2121" s="1"/>
      <c r="V2121" s="1"/>
      <c r="W2121" s="1"/>
      <c r="X2121" s="1"/>
      <c r="Y2121" s="1"/>
      <c r="Z2121" s="102"/>
      <c r="AA2121" s="102"/>
      <c r="AB2121" s="1"/>
      <c r="AC2121" s="1"/>
      <c r="AD2121" s="1"/>
      <c r="AE2121" s="1"/>
      <c r="AF2121" s="1"/>
      <c r="AG2121" s="1"/>
    </row>
    <row r="2122" ht="15.75" customHeight="1">
      <c r="A2122" s="1"/>
      <c r="B2122" s="1"/>
      <c r="C2122" s="1"/>
      <c r="D2122" s="1"/>
      <c r="E2122" s="1"/>
      <c r="F2122" s="1"/>
      <c r="G2122" s="1"/>
      <c r="H2122" s="1"/>
      <c r="I2122" s="1"/>
      <c r="J2122" s="1"/>
      <c r="K2122" s="102" t="s">
        <v>3968</v>
      </c>
      <c r="L2122" s="102" t="str">
        <f>K52</f>
        <v>J1a2a1a2c1a~</v>
      </c>
      <c r="M2122" s="102"/>
      <c r="N2122" s="102" t="s">
        <v>3969</v>
      </c>
      <c r="O2122" s="105">
        <v>2.3248851E7</v>
      </c>
      <c r="P2122" s="105">
        <v>2.1086965E7</v>
      </c>
      <c r="Q2122" s="102" t="s">
        <v>2468</v>
      </c>
      <c r="S2122" s="1"/>
      <c r="T2122" s="1"/>
      <c r="U2122" s="1"/>
      <c r="V2122" s="1"/>
      <c r="W2122" s="1"/>
      <c r="X2122" s="1"/>
      <c r="Y2122" s="1"/>
      <c r="Z2122" s="102"/>
      <c r="AA2122" s="102"/>
      <c r="AB2122" s="1"/>
      <c r="AC2122" s="1"/>
      <c r="AD2122" s="1"/>
      <c r="AE2122" s="1"/>
      <c r="AF2122" s="1"/>
      <c r="AG2122" s="1"/>
    </row>
    <row r="2123" ht="15.75" customHeight="1">
      <c r="A2123" s="1"/>
      <c r="B2123" s="1"/>
      <c r="C2123" s="1"/>
      <c r="D2123" s="1"/>
      <c r="E2123" s="1"/>
      <c r="F2123" s="1"/>
      <c r="G2123" s="1"/>
      <c r="H2123" s="1"/>
      <c r="I2123" s="1"/>
      <c r="J2123" s="1"/>
      <c r="K2123" s="102" t="s">
        <v>3970</v>
      </c>
      <c r="L2123" s="102" t="str">
        <f>K52</f>
        <v>J1a2a1a2c1a~</v>
      </c>
      <c r="M2123" s="102"/>
      <c r="N2123" s="102" t="s">
        <v>3971</v>
      </c>
      <c r="O2123" s="105">
        <v>1.814993E7</v>
      </c>
      <c r="P2123" s="105">
        <v>1.603805E7</v>
      </c>
      <c r="Q2123" s="102" t="s">
        <v>2468</v>
      </c>
      <c r="S2123" s="1"/>
      <c r="T2123" s="1"/>
      <c r="U2123" s="1"/>
      <c r="V2123" s="1"/>
      <c r="W2123" s="1"/>
      <c r="X2123" s="1"/>
      <c r="Y2123" s="1"/>
      <c r="Z2123" s="102"/>
      <c r="AA2123" s="102"/>
      <c r="AB2123" s="1"/>
      <c r="AC2123" s="1"/>
      <c r="AD2123" s="1"/>
      <c r="AE2123" s="1"/>
      <c r="AF2123" s="1"/>
      <c r="AG2123" s="1"/>
    </row>
    <row r="2124" ht="15.75" customHeight="1">
      <c r="A2124" s="1"/>
      <c r="B2124" s="1"/>
      <c r="C2124" s="1"/>
      <c r="D2124" s="1"/>
      <c r="E2124" s="1"/>
      <c r="F2124" s="1"/>
      <c r="G2124" s="1"/>
      <c r="H2124" s="1"/>
      <c r="I2124" s="1"/>
      <c r="J2124" s="1"/>
      <c r="K2124" s="102" t="s">
        <v>3972</v>
      </c>
      <c r="L2124" s="102" t="str">
        <f>K52</f>
        <v>J1a2a1a2c1a~</v>
      </c>
      <c r="M2124" s="102"/>
      <c r="N2124" s="102"/>
      <c r="O2124" s="105">
        <v>1.9558746E7</v>
      </c>
      <c r="P2124" s="105">
        <v>1.7446866E7</v>
      </c>
      <c r="Q2124" s="102" t="s">
        <v>2529</v>
      </c>
      <c r="S2124" s="1"/>
      <c r="T2124" s="1"/>
      <c r="U2124" s="1"/>
      <c r="V2124" s="1"/>
      <c r="W2124" s="1"/>
      <c r="X2124" s="1"/>
      <c r="Y2124" s="1"/>
      <c r="Z2124" s="102"/>
      <c r="AA2124" s="102"/>
      <c r="AB2124" s="1"/>
      <c r="AC2124" s="1"/>
      <c r="AD2124" s="1"/>
      <c r="AE2124" s="1"/>
      <c r="AF2124" s="1"/>
      <c r="AG2124" s="1"/>
    </row>
    <row r="2125" ht="15.75" customHeight="1">
      <c r="A2125" s="1"/>
      <c r="B2125" s="1"/>
      <c r="C2125" s="1"/>
      <c r="D2125" s="1"/>
      <c r="E2125" s="1"/>
      <c r="F2125" s="1"/>
      <c r="G2125" s="1"/>
      <c r="H2125" s="1"/>
      <c r="I2125" s="1"/>
      <c r="J2125" s="1"/>
      <c r="K2125" s="102" t="s">
        <v>3973</v>
      </c>
      <c r="L2125" s="102" t="str">
        <f>K52</f>
        <v>J1a2a1a2c1a~</v>
      </c>
      <c r="M2125" s="102" t="s">
        <v>3974</v>
      </c>
      <c r="N2125" s="102" t="s">
        <v>3975</v>
      </c>
      <c r="O2125" s="105">
        <v>6716702.0</v>
      </c>
      <c r="P2125" s="105">
        <v>6848661.0</v>
      </c>
      <c r="Q2125" s="102" t="s">
        <v>2446</v>
      </c>
      <c r="S2125" s="1"/>
      <c r="T2125" s="1"/>
      <c r="U2125" s="1"/>
      <c r="V2125" s="1"/>
      <c r="W2125" s="1"/>
      <c r="X2125" s="1"/>
      <c r="Y2125" s="1"/>
      <c r="Z2125" s="102"/>
      <c r="AA2125" s="102"/>
      <c r="AB2125" s="1"/>
      <c r="AC2125" s="1"/>
      <c r="AD2125" s="1"/>
      <c r="AE2125" s="1"/>
      <c r="AF2125" s="1"/>
      <c r="AG2125" s="1"/>
    </row>
    <row r="2126" ht="15.75" customHeight="1">
      <c r="A2126" s="1"/>
      <c r="B2126" s="1"/>
      <c r="C2126" s="1"/>
      <c r="D2126" s="1"/>
      <c r="E2126" s="1"/>
      <c r="F2126" s="1"/>
      <c r="G2126" s="1"/>
      <c r="H2126" s="1"/>
      <c r="I2126" s="1"/>
      <c r="J2126" s="1"/>
      <c r="K2126" s="102" t="s">
        <v>3974</v>
      </c>
      <c r="L2126" s="102" t="str">
        <f>K52</f>
        <v>J1a2a1a2c1a~</v>
      </c>
      <c r="M2126" s="102" t="s">
        <v>3973</v>
      </c>
      <c r="N2126" s="102" t="s">
        <v>3975</v>
      </c>
      <c r="O2126" s="105">
        <v>6716702.0</v>
      </c>
      <c r="P2126" s="105">
        <v>6848661.0</v>
      </c>
      <c r="Q2126" s="102" t="s">
        <v>2446</v>
      </c>
      <c r="S2126" s="1"/>
      <c r="T2126" s="1"/>
      <c r="U2126" s="1"/>
      <c r="V2126" s="1"/>
      <c r="W2126" s="1"/>
      <c r="X2126" s="1"/>
      <c r="Y2126" s="1"/>
      <c r="Z2126" s="102"/>
      <c r="AA2126" s="102"/>
      <c r="AB2126" s="1"/>
      <c r="AC2126" s="1"/>
      <c r="AD2126" s="1"/>
      <c r="AE2126" s="1"/>
      <c r="AF2126" s="1"/>
      <c r="AG2126" s="1"/>
    </row>
    <row r="2127" ht="15.75" customHeight="1">
      <c r="A2127" s="1"/>
      <c r="B2127" s="1"/>
      <c r="C2127" s="1"/>
      <c r="D2127" s="1"/>
      <c r="E2127" s="1"/>
      <c r="F2127" s="1"/>
      <c r="G2127" s="1"/>
      <c r="H2127" s="1"/>
      <c r="I2127" s="1"/>
      <c r="J2127" s="1"/>
      <c r="K2127" s="102" t="s">
        <v>3976</v>
      </c>
      <c r="L2127" s="102" t="str">
        <f>K52</f>
        <v>J1a2a1a2c1a~</v>
      </c>
      <c r="M2127" s="102" t="s">
        <v>3977</v>
      </c>
      <c r="N2127" s="102" t="s">
        <v>3978</v>
      </c>
      <c r="O2127" s="105">
        <v>8666791.0</v>
      </c>
      <c r="P2127" s="105">
        <v>8798750.0</v>
      </c>
      <c r="Q2127" s="102" t="s">
        <v>2501</v>
      </c>
      <c r="S2127" s="1"/>
      <c r="T2127" s="1"/>
      <c r="U2127" s="1"/>
      <c r="V2127" s="1"/>
      <c r="W2127" s="1"/>
      <c r="X2127" s="1"/>
      <c r="Y2127" s="1"/>
      <c r="Z2127" s="102"/>
      <c r="AA2127" s="102"/>
      <c r="AB2127" s="1"/>
      <c r="AC2127" s="1"/>
      <c r="AD2127" s="1"/>
      <c r="AE2127" s="1"/>
      <c r="AF2127" s="1"/>
      <c r="AG2127" s="1"/>
    </row>
    <row r="2128" ht="15.75" customHeight="1">
      <c r="A2128" s="1"/>
      <c r="B2128" s="1"/>
      <c r="C2128" s="1"/>
      <c r="D2128" s="1"/>
      <c r="E2128" s="1"/>
      <c r="F2128" s="1"/>
      <c r="G2128" s="1"/>
      <c r="H2128" s="1"/>
      <c r="I2128" s="1"/>
      <c r="J2128" s="1"/>
      <c r="K2128" s="102" t="s">
        <v>3977</v>
      </c>
      <c r="L2128" s="102" t="str">
        <f>K52</f>
        <v>J1a2a1a2c1a~</v>
      </c>
      <c r="M2128" s="102" t="s">
        <v>3976</v>
      </c>
      <c r="N2128" s="102" t="s">
        <v>3978</v>
      </c>
      <c r="O2128" s="105">
        <v>8666791.0</v>
      </c>
      <c r="P2128" s="105">
        <v>8798750.0</v>
      </c>
      <c r="Q2128" s="102" t="s">
        <v>2501</v>
      </c>
      <c r="S2128" s="1"/>
      <c r="T2128" s="1"/>
      <c r="U2128" s="1"/>
      <c r="V2128" s="1"/>
      <c r="W2128" s="1"/>
      <c r="X2128" s="1"/>
      <c r="Y2128" s="1"/>
      <c r="Z2128" s="102"/>
      <c r="AA2128" s="102"/>
      <c r="AB2128" s="1"/>
      <c r="AC2128" s="1"/>
      <c r="AD2128" s="1"/>
      <c r="AE2128" s="1"/>
      <c r="AF2128" s="1"/>
      <c r="AG2128" s="1"/>
    </row>
    <row r="2129" ht="15.75" customHeight="1">
      <c r="A2129" s="1"/>
      <c r="B2129" s="1"/>
      <c r="C2129" s="1"/>
      <c r="D2129" s="1"/>
      <c r="E2129" s="1"/>
      <c r="F2129" s="1"/>
      <c r="G2129" s="1"/>
      <c r="H2129" s="1"/>
      <c r="I2129" s="1"/>
      <c r="J2129" s="1"/>
      <c r="K2129" s="102" t="s">
        <v>3979</v>
      </c>
      <c r="L2129" s="102" t="str">
        <f>K52</f>
        <v>J1a2a1a2c1a~</v>
      </c>
      <c r="M2129" s="102" t="s">
        <v>3980</v>
      </c>
      <c r="N2129" s="102" t="s">
        <v>3981</v>
      </c>
      <c r="O2129" s="105">
        <v>8847052.0</v>
      </c>
      <c r="P2129" s="105">
        <v>8979011.0</v>
      </c>
      <c r="Q2129" s="102" t="s">
        <v>2501</v>
      </c>
      <c r="S2129" s="1"/>
      <c r="T2129" s="1"/>
      <c r="U2129" s="1"/>
      <c r="V2129" s="1"/>
      <c r="W2129" s="1"/>
      <c r="X2129" s="1"/>
      <c r="Y2129" s="1"/>
      <c r="Z2129" s="102"/>
      <c r="AA2129" s="102"/>
      <c r="AB2129" s="1"/>
      <c r="AC2129" s="1"/>
      <c r="AD2129" s="1"/>
      <c r="AE2129" s="1"/>
      <c r="AF2129" s="1"/>
      <c r="AG2129" s="1"/>
    </row>
    <row r="2130" ht="15.75" customHeight="1">
      <c r="A2130" s="1"/>
      <c r="B2130" s="1"/>
      <c r="C2130" s="1"/>
      <c r="D2130" s="1"/>
      <c r="E2130" s="1"/>
      <c r="F2130" s="1"/>
      <c r="G2130" s="1"/>
      <c r="H2130" s="1"/>
      <c r="I2130" s="1"/>
      <c r="J2130" s="1"/>
      <c r="K2130" s="102" t="s">
        <v>3980</v>
      </c>
      <c r="L2130" s="102" t="str">
        <f>K52</f>
        <v>J1a2a1a2c1a~</v>
      </c>
      <c r="M2130" s="102" t="s">
        <v>3979</v>
      </c>
      <c r="N2130" s="102" t="s">
        <v>3981</v>
      </c>
      <c r="O2130" s="105">
        <v>8847052.0</v>
      </c>
      <c r="P2130" s="105">
        <v>8979011.0</v>
      </c>
      <c r="Q2130" s="102" t="s">
        <v>2501</v>
      </c>
      <c r="S2130" s="1"/>
      <c r="T2130" s="1"/>
      <c r="U2130" s="1"/>
      <c r="V2130" s="1"/>
      <c r="W2130" s="1"/>
      <c r="X2130" s="1"/>
      <c r="Y2130" s="1"/>
      <c r="Z2130" s="102"/>
      <c r="AA2130" s="102"/>
      <c r="AB2130" s="1"/>
      <c r="AC2130" s="1"/>
      <c r="AD2130" s="1"/>
      <c r="AE2130" s="1"/>
      <c r="AF2130" s="1"/>
      <c r="AG2130" s="1"/>
    </row>
    <row r="2131" ht="15.75" customHeight="1">
      <c r="A2131" s="1"/>
      <c r="B2131" s="1"/>
      <c r="C2131" s="1"/>
      <c r="D2131" s="1"/>
      <c r="E2131" s="1"/>
      <c r="F2131" s="1"/>
      <c r="G2131" s="1"/>
      <c r="H2131" s="1"/>
      <c r="I2131" s="1"/>
      <c r="J2131" s="1"/>
      <c r="K2131" s="102" t="s">
        <v>3982</v>
      </c>
      <c r="L2131" s="102" t="str">
        <f>K52</f>
        <v>J1a2a1a2c1a~</v>
      </c>
      <c r="M2131" s="102" t="s">
        <v>3983</v>
      </c>
      <c r="N2131" s="102" t="s">
        <v>3984</v>
      </c>
      <c r="O2131" s="105">
        <v>9758788.0</v>
      </c>
      <c r="P2131" s="105">
        <v>9921179.0</v>
      </c>
      <c r="Q2131" s="102" t="s">
        <v>2501</v>
      </c>
      <c r="S2131" s="1"/>
      <c r="T2131" s="1"/>
      <c r="U2131" s="1"/>
      <c r="V2131" s="1"/>
      <c r="W2131" s="1"/>
      <c r="X2131" s="1"/>
      <c r="Y2131" s="1"/>
      <c r="Z2131" s="102"/>
      <c r="AA2131" s="102"/>
      <c r="AB2131" s="1"/>
      <c r="AC2131" s="1"/>
      <c r="AD2131" s="1"/>
      <c r="AE2131" s="1"/>
      <c r="AF2131" s="1"/>
      <c r="AG2131" s="1"/>
    </row>
    <row r="2132" ht="15.75" customHeight="1">
      <c r="A2132" s="1"/>
      <c r="B2132" s="1"/>
      <c r="C2132" s="1"/>
      <c r="D2132" s="1"/>
      <c r="E2132" s="1"/>
      <c r="F2132" s="1"/>
      <c r="G2132" s="1"/>
      <c r="H2132" s="1"/>
      <c r="I2132" s="1"/>
      <c r="J2132" s="1"/>
      <c r="K2132" s="102" t="s">
        <v>3983</v>
      </c>
      <c r="L2132" s="102" t="str">
        <f>K52</f>
        <v>J1a2a1a2c1a~</v>
      </c>
      <c r="M2132" s="102" t="s">
        <v>3982</v>
      </c>
      <c r="N2132" s="102" t="s">
        <v>3984</v>
      </c>
      <c r="O2132" s="105">
        <v>9758788.0</v>
      </c>
      <c r="P2132" s="105">
        <v>9921179.0</v>
      </c>
      <c r="Q2132" s="102" t="s">
        <v>2501</v>
      </c>
      <c r="S2132" s="1"/>
      <c r="T2132" s="1"/>
      <c r="U2132" s="1"/>
      <c r="V2132" s="1"/>
      <c r="W2132" s="1"/>
      <c r="X2132" s="1"/>
      <c r="Y2132" s="1"/>
      <c r="Z2132" s="102"/>
      <c r="AA2132" s="102"/>
      <c r="AB2132" s="1"/>
      <c r="AC2132" s="1"/>
      <c r="AD2132" s="1"/>
      <c r="AE2132" s="1"/>
      <c r="AF2132" s="1"/>
      <c r="AG2132" s="1"/>
    </row>
    <row r="2133" ht="15.75" customHeight="1">
      <c r="A2133" s="1"/>
      <c r="B2133" s="1"/>
      <c r="C2133" s="1"/>
      <c r="D2133" s="1"/>
      <c r="E2133" s="1"/>
      <c r="F2133" s="1"/>
      <c r="G2133" s="1"/>
      <c r="H2133" s="1"/>
      <c r="I2133" s="1"/>
      <c r="J2133" s="1"/>
      <c r="K2133" s="102" t="s">
        <v>3985</v>
      </c>
      <c r="L2133" s="102" t="str">
        <f>K52</f>
        <v>J1a2a1a2c1a~</v>
      </c>
      <c r="M2133" s="102" t="s">
        <v>3986</v>
      </c>
      <c r="N2133" s="102" t="s">
        <v>3987</v>
      </c>
      <c r="O2133" s="105">
        <v>1.3806772E7</v>
      </c>
      <c r="P2133" s="105">
        <v>1.1686066E7</v>
      </c>
      <c r="Q2133" s="102" t="s">
        <v>2439</v>
      </c>
      <c r="S2133" s="1"/>
      <c r="T2133" s="1"/>
      <c r="U2133" s="1"/>
      <c r="V2133" s="1"/>
      <c r="W2133" s="1"/>
      <c r="X2133" s="1"/>
      <c r="Y2133" s="1"/>
      <c r="Z2133" s="102"/>
      <c r="AA2133" s="102"/>
      <c r="AB2133" s="1"/>
      <c r="AC2133" s="1"/>
      <c r="AD2133" s="1"/>
      <c r="AE2133" s="1"/>
      <c r="AF2133" s="1"/>
      <c r="AG2133" s="1"/>
    </row>
    <row r="2134" ht="15.75" customHeight="1">
      <c r="A2134" s="1"/>
      <c r="B2134" s="1"/>
      <c r="C2134" s="1"/>
      <c r="D2134" s="1"/>
      <c r="E2134" s="1"/>
      <c r="F2134" s="1"/>
      <c r="G2134" s="1"/>
      <c r="H2134" s="1"/>
      <c r="I2134" s="1"/>
      <c r="J2134" s="1"/>
      <c r="K2134" s="102" t="s">
        <v>3986</v>
      </c>
      <c r="L2134" s="102" t="str">
        <f>K52</f>
        <v>J1a2a1a2c1a~</v>
      </c>
      <c r="M2134" s="102" t="s">
        <v>3985</v>
      </c>
      <c r="N2134" s="102" t="s">
        <v>3987</v>
      </c>
      <c r="O2134" s="105">
        <v>1.3806772E7</v>
      </c>
      <c r="P2134" s="105">
        <v>1.1686066E7</v>
      </c>
      <c r="Q2134" s="102" t="s">
        <v>2439</v>
      </c>
      <c r="S2134" s="1"/>
      <c r="T2134" s="1"/>
      <c r="U2134" s="1"/>
      <c r="V2134" s="1"/>
      <c r="W2134" s="1"/>
      <c r="X2134" s="1"/>
      <c r="Y2134" s="1"/>
      <c r="Z2134" s="102"/>
      <c r="AA2134" s="102"/>
      <c r="AB2134" s="1"/>
      <c r="AC2134" s="1"/>
      <c r="AD2134" s="1"/>
      <c r="AE2134" s="1"/>
      <c r="AF2134" s="1"/>
      <c r="AG2134" s="1"/>
    </row>
    <row r="2135" ht="15.75" customHeight="1">
      <c r="A2135" s="1"/>
      <c r="B2135" s="1"/>
      <c r="C2135" s="1"/>
      <c r="D2135" s="1"/>
      <c r="E2135" s="1"/>
      <c r="F2135" s="1"/>
      <c r="G2135" s="1"/>
      <c r="H2135" s="1"/>
      <c r="I2135" s="1"/>
      <c r="J2135" s="1"/>
      <c r="K2135" s="102" t="s">
        <v>3988</v>
      </c>
      <c r="L2135" s="102" t="str">
        <f>K52</f>
        <v>J1a2a1a2c1a~</v>
      </c>
      <c r="M2135" s="102" t="s">
        <v>3989</v>
      </c>
      <c r="N2135" s="102" t="s">
        <v>3990</v>
      </c>
      <c r="O2135" s="105">
        <v>1.4380289E7</v>
      </c>
      <c r="P2135" s="105">
        <v>1.2259585E7</v>
      </c>
      <c r="Q2135" s="102" t="s">
        <v>2501</v>
      </c>
      <c r="S2135" s="1"/>
      <c r="T2135" s="1"/>
      <c r="U2135" s="1"/>
      <c r="V2135" s="1"/>
      <c r="W2135" s="1"/>
      <c r="X2135" s="1"/>
      <c r="Y2135" s="1"/>
      <c r="Z2135" s="102"/>
      <c r="AA2135" s="102"/>
      <c r="AB2135" s="1"/>
      <c r="AC2135" s="1"/>
      <c r="AD2135" s="1"/>
      <c r="AE2135" s="1"/>
      <c r="AF2135" s="1"/>
      <c r="AG2135" s="1"/>
    </row>
    <row r="2136" ht="15.75" customHeight="1">
      <c r="A2136" s="1"/>
      <c r="B2136" s="1"/>
      <c r="C2136" s="1"/>
      <c r="D2136" s="1"/>
      <c r="E2136" s="1"/>
      <c r="F2136" s="1"/>
      <c r="G2136" s="1"/>
      <c r="H2136" s="1"/>
      <c r="I2136" s="1"/>
      <c r="J2136" s="1"/>
      <c r="K2136" s="102" t="s">
        <v>3989</v>
      </c>
      <c r="L2136" s="102" t="str">
        <f>K52</f>
        <v>J1a2a1a2c1a~</v>
      </c>
      <c r="M2136" s="102" t="s">
        <v>3988</v>
      </c>
      <c r="N2136" s="102" t="s">
        <v>3990</v>
      </c>
      <c r="O2136" s="105">
        <v>1.4380289E7</v>
      </c>
      <c r="P2136" s="105">
        <v>1.2259585E7</v>
      </c>
      <c r="Q2136" s="102" t="s">
        <v>2501</v>
      </c>
      <c r="S2136" s="1"/>
      <c r="T2136" s="1"/>
      <c r="U2136" s="1"/>
      <c r="V2136" s="1"/>
      <c r="W2136" s="1"/>
      <c r="X2136" s="1"/>
      <c r="Y2136" s="1"/>
      <c r="Z2136" s="102"/>
      <c r="AA2136" s="102"/>
      <c r="AB2136" s="1"/>
      <c r="AC2136" s="1"/>
      <c r="AD2136" s="1"/>
      <c r="AE2136" s="1"/>
      <c r="AF2136" s="1"/>
      <c r="AG2136" s="1"/>
    </row>
    <row r="2137" ht="15.75" customHeight="1">
      <c r="A2137" s="1"/>
      <c r="B2137" s="1"/>
      <c r="C2137" s="1"/>
      <c r="D2137" s="1"/>
      <c r="E2137" s="1"/>
      <c r="F2137" s="1"/>
      <c r="G2137" s="1"/>
      <c r="H2137" s="1"/>
      <c r="I2137" s="1"/>
      <c r="J2137" s="1"/>
      <c r="K2137" s="102" t="s">
        <v>3991</v>
      </c>
      <c r="L2137" s="102" t="str">
        <f>K52</f>
        <v>J1a2a1a2c1a~</v>
      </c>
      <c r="M2137" s="102" t="s">
        <v>3992</v>
      </c>
      <c r="N2137" s="102" t="s">
        <v>3993</v>
      </c>
      <c r="O2137" s="105">
        <v>1.4405428E7</v>
      </c>
      <c r="P2137" s="105">
        <v>1.2284725E7</v>
      </c>
      <c r="Q2137" s="102" t="s">
        <v>2439</v>
      </c>
      <c r="S2137" s="1"/>
      <c r="T2137" s="1"/>
      <c r="U2137" s="1"/>
      <c r="V2137" s="1"/>
      <c r="W2137" s="1"/>
      <c r="X2137" s="1"/>
      <c r="Y2137" s="1"/>
      <c r="Z2137" s="102"/>
      <c r="AA2137" s="102"/>
      <c r="AB2137" s="1"/>
      <c r="AC2137" s="1"/>
      <c r="AD2137" s="1"/>
      <c r="AE2137" s="1"/>
      <c r="AF2137" s="1"/>
      <c r="AG2137" s="1"/>
    </row>
    <row r="2138" ht="15.75" customHeight="1">
      <c r="A2138" s="1"/>
      <c r="B2138" s="1"/>
      <c r="C2138" s="1"/>
      <c r="D2138" s="1"/>
      <c r="E2138" s="1"/>
      <c r="F2138" s="1"/>
      <c r="G2138" s="1"/>
      <c r="H2138" s="1"/>
      <c r="I2138" s="1"/>
      <c r="J2138" s="1"/>
      <c r="K2138" s="102" t="s">
        <v>3992</v>
      </c>
      <c r="L2138" s="102" t="str">
        <f>K52</f>
        <v>J1a2a1a2c1a~</v>
      </c>
      <c r="M2138" s="102" t="s">
        <v>3991</v>
      </c>
      <c r="N2138" s="102" t="s">
        <v>3993</v>
      </c>
      <c r="O2138" s="105">
        <v>1.4405428E7</v>
      </c>
      <c r="P2138" s="105">
        <v>1.2284725E7</v>
      </c>
      <c r="Q2138" s="102" t="s">
        <v>2439</v>
      </c>
      <c r="S2138" s="1"/>
      <c r="T2138" s="1"/>
      <c r="U2138" s="1"/>
      <c r="V2138" s="1"/>
      <c r="W2138" s="1"/>
      <c r="X2138" s="1"/>
      <c r="Y2138" s="1"/>
      <c r="Z2138" s="102"/>
      <c r="AA2138" s="102"/>
      <c r="AB2138" s="1"/>
      <c r="AC2138" s="1"/>
      <c r="AD2138" s="1"/>
      <c r="AE2138" s="1"/>
      <c r="AF2138" s="1"/>
      <c r="AG2138" s="1"/>
    </row>
    <row r="2139" ht="15.75" customHeight="1">
      <c r="A2139" s="1"/>
      <c r="B2139" s="1"/>
      <c r="C2139" s="1"/>
      <c r="D2139" s="1"/>
      <c r="E2139" s="1"/>
      <c r="F2139" s="1"/>
      <c r="G2139" s="1"/>
      <c r="H2139" s="1"/>
      <c r="I2139" s="1"/>
      <c r="J2139" s="1"/>
      <c r="K2139" s="102" t="s">
        <v>3994</v>
      </c>
      <c r="L2139" s="102" t="str">
        <f>K52</f>
        <v>J1a2a1a2c1a~</v>
      </c>
      <c r="M2139" s="102" t="s">
        <v>3995</v>
      </c>
      <c r="N2139" s="102" t="s">
        <v>3996</v>
      </c>
      <c r="O2139" s="105">
        <v>1.5620119E7</v>
      </c>
      <c r="P2139" s="105">
        <v>1.3508239E7</v>
      </c>
      <c r="Q2139" s="102" t="s">
        <v>2514</v>
      </c>
      <c r="S2139" s="1"/>
      <c r="T2139" s="1"/>
      <c r="U2139" s="1"/>
      <c r="V2139" s="1"/>
      <c r="W2139" s="1"/>
      <c r="X2139" s="1"/>
      <c r="Y2139" s="1"/>
      <c r="Z2139" s="102"/>
      <c r="AA2139" s="102"/>
      <c r="AB2139" s="1"/>
      <c r="AC2139" s="1"/>
      <c r="AD2139" s="1"/>
      <c r="AE2139" s="1"/>
      <c r="AF2139" s="1"/>
      <c r="AG2139" s="1"/>
    </row>
    <row r="2140" ht="15.75" customHeight="1">
      <c r="A2140" s="1"/>
      <c r="B2140" s="1"/>
      <c r="C2140" s="1"/>
      <c r="D2140" s="1"/>
      <c r="E2140" s="1"/>
      <c r="F2140" s="1"/>
      <c r="G2140" s="1"/>
      <c r="H2140" s="1"/>
      <c r="I2140" s="1"/>
      <c r="J2140" s="1"/>
      <c r="K2140" s="102" t="s">
        <v>3995</v>
      </c>
      <c r="L2140" s="102" t="str">
        <f>K52</f>
        <v>J1a2a1a2c1a~</v>
      </c>
      <c r="M2140" s="102" t="s">
        <v>3994</v>
      </c>
      <c r="N2140" s="102" t="s">
        <v>3996</v>
      </c>
      <c r="O2140" s="105">
        <v>1.5620119E7</v>
      </c>
      <c r="P2140" s="105">
        <v>1.3508239E7</v>
      </c>
      <c r="Q2140" s="102" t="s">
        <v>2514</v>
      </c>
      <c r="S2140" s="1"/>
      <c r="T2140" s="1"/>
      <c r="U2140" s="1"/>
      <c r="V2140" s="1"/>
      <c r="W2140" s="1"/>
      <c r="X2140" s="1"/>
      <c r="Y2140" s="1"/>
      <c r="Z2140" s="102"/>
      <c r="AA2140" s="102"/>
      <c r="AB2140" s="1"/>
      <c r="AC2140" s="1"/>
      <c r="AD2140" s="1"/>
      <c r="AE2140" s="1"/>
      <c r="AF2140" s="1"/>
      <c r="AG2140" s="1"/>
    </row>
    <row r="2141" ht="15.75" customHeight="1">
      <c r="A2141" s="1"/>
      <c r="B2141" s="1"/>
      <c r="C2141" s="1"/>
      <c r="D2141" s="1"/>
      <c r="E2141" s="1"/>
      <c r="F2141" s="1"/>
      <c r="G2141" s="1"/>
      <c r="H2141" s="1"/>
      <c r="I2141" s="1"/>
      <c r="J2141" s="1"/>
      <c r="K2141" s="102" t="s">
        <v>3997</v>
      </c>
      <c r="L2141" s="102" t="str">
        <f>K52</f>
        <v>J1a2a1a2c1a~</v>
      </c>
      <c r="M2141" s="102" t="s">
        <v>3998</v>
      </c>
      <c r="N2141" s="102" t="s">
        <v>3999</v>
      </c>
      <c r="O2141" s="105">
        <v>1.6308123E7</v>
      </c>
      <c r="P2141" s="105">
        <v>1.4196243E7</v>
      </c>
      <c r="Q2141" s="102" t="s">
        <v>2468</v>
      </c>
      <c r="S2141" s="1"/>
      <c r="T2141" s="1"/>
      <c r="U2141" s="1"/>
      <c r="V2141" s="1"/>
      <c r="W2141" s="1"/>
      <c r="X2141" s="1"/>
      <c r="Y2141" s="1"/>
      <c r="Z2141" s="102"/>
      <c r="AA2141" s="102"/>
      <c r="AB2141" s="1"/>
      <c r="AC2141" s="1"/>
      <c r="AD2141" s="1"/>
      <c r="AE2141" s="1"/>
      <c r="AF2141" s="1"/>
      <c r="AG2141" s="1"/>
    </row>
    <row r="2142" ht="15.75" customHeight="1">
      <c r="A2142" s="1"/>
      <c r="B2142" s="1"/>
      <c r="C2142" s="1"/>
      <c r="D2142" s="1"/>
      <c r="E2142" s="1"/>
      <c r="F2142" s="1"/>
      <c r="G2142" s="1"/>
      <c r="H2142" s="1"/>
      <c r="I2142" s="1"/>
      <c r="J2142" s="1"/>
      <c r="K2142" s="102" t="s">
        <v>3998</v>
      </c>
      <c r="L2142" s="102" t="str">
        <f>K52</f>
        <v>J1a2a1a2c1a~</v>
      </c>
      <c r="M2142" s="102" t="s">
        <v>3997</v>
      </c>
      <c r="N2142" s="102" t="s">
        <v>3999</v>
      </c>
      <c r="O2142" s="105">
        <v>1.6308123E7</v>
      </c>
      <c r="P2142" s="105">
        <v>1.4196243E7</v>
      </c>
      <c r="Q2142" s="102" t="s">
        <v>2468</v>
      </c>
      <c r="S2142" s="1"/>
      <c r="T2142" s="1"/>
      <c r="U2142" s="1"/>
      <c r="V2142" s="1"/>
      <c r="W2142" s="1"/>
      <c r="X2142" s="1"/>
      <c r="Y2142" s="1"/>
      <c r="Z2142" s="102"/>
      <c r="AA2142" s="102"/>
      <c r="AB2142" s="1"/>
      <c r="AC2142" s="1"/>
      <c r="AD2142" s="1"/>
      <c r="AE2142" s="1"/>
      <c r="AF2142" s="1"/>
      <c r="AG2142" s="1"/>
    </row>
    <row r="2143" ht="15.75" customHeight="1">
      <c r="A2143" s="1"/>
      <c r="B2143" s="1"/>
      <c r="C2143" s="1"/>
      <c r="D2143" s="1"/>
      <c r="E2143" s="1"/>
      <c r="F2143" s="1"/>
      <c r="G2143" s="1"/>
      <c r="H2143" s="1"/>
      <c r="I2143" s="1"/>
      <c r="J2143" s="1"/>
      <c r="K2143" s="102" t="s">
        <v>4000</v>
      </c>
      <c r="L2143" s="102" t="str">
        <f>K52</f>
        <v>J1a2a1a2c1a~</v>
      </c>
      <c r="M2143" s="102" t="s">
        <v>4001</v>
      </c>
      <c r="N2143" s="102" t="s">
        <v>4002</v>
      </c>
      <c r="O2143" s="105">
        <v>1.6960553E7</v>
      </c>
      <c r="P2143" s="105">
        <v>1.4848673E7</v>
      </c>
      <c r="Q2143" s="102" t="s">
        <v>2533</v>
      </c>
      <c r="S2143" s="1"/>
      <c r="T2143" s="1"/>
      <c r="U2143" s="1"/>
      <c r="V2143" s="1"/>
      <c r="W2143" s="1"/>
      <c r="X2143" s="1"/>
      <c r="Y2143" s="1"/>
      <c r="Z2143" s="102"/>
      <c r="AA2143" s="102"/>
      <c r="AB2143" s="1"/>
      <c r="AC2143" s="1"/>
      <c r="AD2143" s="1"/>
      <c r="AE2143" s="1"/>
      <c r="AF2143" s="1"/>
      <c r="AG2143" s="1"/>
    </row>
    <row r="2144" ht="15.75" customHeight="1">
      <c r="A2144" s="1"/>
      <c r="B2144" s="1"/>
      <c r="C2144" s="1"/>
      <c r="D2144" s="1"/>
      <c r="E2144" s="1"/>
      <c r="F2144" s="1"/>
      <c r="G2144" s="1"/>
      <c r="H2144" s="1"/>
      <c r="I2144" s="1"/>
      <c r="J2144" s="1"/>
      <c r="K2144" s="102" t="s">
        <v>4001</v>
      </c>
      <c r="L2144" s="102" t="str">
        <f>K52</f>
        <v>J1a2a1a2c1a~</v>
      </c>
      <c r="M2144" s="102" t="s">
        <v>4000</v>
      </c>
      <c r="N2144" s="102" t="s">
        <v>4002</v>
      </c>
      <c r="O2144" s="105">
        <v>1.6960553E7</v>
      </c>
      <c r="P2144" s="105">
        <v>1.4848673E7</v>
      </c>
      <c r="Q2144" s="102" t="s">
        <v>2533</v>
      </c>
      <c r="S2144" s="1"/>
      <c r="T2144" s="1"/>
      <c r="U2144" s="1"/>
      <c r="V2144" s="1"/>
      <c r="W2144" s="1"/>
      <c r="X2144" s="1"/>
      <c r="Y2144" s="1"/>
      <c r="Z2144" s="102"/>
      <c r="AA2144" s="102"/>
      <c r="AB2144" s="1"/>
      <c r="AC2144" s="1"/>
      <c r="AD2144" s="1"/>
      <c r="AE2144" s="1"/>
      <c r="AF2144" s="1"/>
      <c r="AG2144" s="1"/>
    </row>
    <row r="2145" ht="15.75" customHeight="1">
      <c r="A2145" s="1"/>
      <c r="B2145" s="1"/>
      <c r="C2145" s="1"/>
      <c r="D2145" s="1"/>
      <c r="E2145" s="1"/>
      <c r="F2145" s="1"/>
      <c r="G2145" s="1"/>
      <c r="H2145" s="1"/>
      <c r="I2145" s="1"/>
      <c r="J2145" s="1"/>
      <c r="K2145" s="102" t="s">
        <v>4003</v>
      </c>
      <c r="L2145" s="102" t="str">
        <f>K52</f>
        <v>J1a2a1a2c1a~</v>
      </c>
      <c r="M2145" s="102" t="s">
        <v>4004</v>
      </c>
      <c r="N2145" s="102" t="s">
        <v>4005</v>
      </c>
      <c r="O2145" s="105">
        <v>2.1463278E7</v>
      </c>
      <c r="P2145" s="105">
        <v>1.9301392E7</v>
      </c>
      <c r="Q2145" s="102" t="s">
        <v>2439</v>
      </c>
      <c r="S2145" s="1"/>
      <c r="T2145" s="1"/>
      <c r="U2145" s="1"/>
      <c r="V2145" s="1"/>
      <c r="W2145" s="1"/>
      <c r="X2145" s="1"/>
      <c r="Y2145" s="1"/>
      <c r="Z2145" s="102"/>
      <c r="AA2145" s="102"/>
      <c r="AB2145" s="1"/>
      <c r="AC2145" s="1"/>
      <c r="AD2145" s="1"/>
      <c r="AE2145" s="1"/>
      <c r="AF2145" s="1"/>
      <c r="AG2145" s="1"/>
    </row>
    <row r="2146" ht="15.75" customHeight="1">
      <c r="A2146" s="1"/>
      <c r="B2146" s="1"/>
      <c r="C2146" s="1"/>
      <c r="D2146" s="1"/>
      <c r="E2146" s="1"/>
      <c r="F2146" s="1"/>
      <c r="G2146" s="1"/>
      <c r="H2146" s="1"/>
      <c r="I2146" s="1"/>
      <c r="J2146" s="1"/>
      <c r="K2146" s="102" t="s">
        <v>4004</v>
      </c>
      <c r="L2146" s="102" t="str">
        <f>K52</f>
        <v>J1a2a1a2c1a~</v>
      </c>
      <c r="M2146" s="102" t="s">
        <v>4003</v>
      </c>
      <c r="N2146" s="102" t="s">
        <v>4005</v>
      </c>
      <c r="O2146" s="105">
        <v>2.1463278E7</v>
      </c>
      <c r="P2146" s="105">
        <v>1.9301392E7</v>
      </c>
      <c r="Q2146" s="102" t="s">
        <v>2439</v>
      </c>
      <c r="S2146" s="1"/>
      <c r="T2146" s="1"/>
      <c r="U2146" s="1"/>
      <c r="V2146" s="1"/>
      <c r="W2146" s="1"/>
      <c r="X2146" s="1"/>
      <c r="Y2146" s="1"/>
      <c r="Z2146" s="102"/>
      <c r="AA2146" s="102"/>
      <c r="AB2146" s="1"/>
      <c r="AC2146" s="1"/>
      <c r="AD2146" s="1"/>
      <c r="AE2146" s="1"/>
      <c r="AF2146" s="1"/>
      <c r="AG2146" s="1"/>
    </row>
    <row r="2147" ht="15.75" customHeight="1">
      <c r="A2147" s="1"/>
      <c r="B2147" s="1"/>
      <c r="C2147" s="1"/>
      <c r="D2147" s="1"/>
      <c r="E2147" s="1"/>
      <c r="F2147" s="1"/>
      <c r="G2147" s="1"/>
      <c r="H2147" s="1"/>
      <c r="I2147" s="1"/>
      <c r="J2147" s="1"/>
      <c r="K2147" s="102" t="s">
        <v>4006</v>
      </c>
      <c r="L2147" s="102" t="str">
        <f>K52</f>
        <v>J1a2a1a2c1a~</v>
      </c>
      <c r="M2147" s="102" t="s">
        <v>4007</v>
      </c>
      <c r="N2147" s="102" t="s">
        <v>4008</v>
      </c>
      <c r="O2147" s="105">
        <v>2.1591788E7</v>
      </c>
      <c r="P2147" s="105">
        <v>1.9429902E7</v>
      </c>
      <c r="Q2147" s="102" t="s">
        <v>2439</v>
      </c>
      <c r="S2147" s="1"/>
      <c r="T2147" s="1"/>
      <c r="U2147" s="1"/>
      <c r="V2147" s="1"/>
      <c r="W2147" s="1"/>
      <c r="X2147" s="1"/>
      <c r="Y2147" s="1"/>
      <c r="Z2147" s="102"/>
      <c r="AA2147" s="102"/>
      <c r="AB2147" s="1"/>
      <c r="AC2147" s="1"/>
      <c r="AD2147" s="1"/>
      <c r="AE2147" s="1"/>
      <c r="AF2147" s="1"/>
      <c r="AG2147" s="1"/>
    </row>
    <row r="2148" ht="15.75" customHeight="1">
      <c r="A2148" s="1"/>
      <c r="B2148" s="1"/>
      <c r="C2148" s="1"/>
      <c r="D2148" s="1"/>
      <c r="E2148" s="1"/>
      <c r="F2148" s="1"/>
      <c r="G2148" s="1"/>
      <c r="H2148" s="1"/>
      <c r="I2148" s="1"/>
      <c r="J2148" s="1"/>
      <c r="K2148" s="102" t="s">
        <v>4007</v>
      </c>
      <c r="L2148" s="102" t="str">
        <f>K52</f>
        <v>J1a2a1a2c1a~</v>
      </c>
      <c r="M2148" s="102" t="s">
        <v>4006</v>
      </c>
      <c r="N2148" s="102" t="s">
        <v>4008</v>
      </c>
      <c r="O2148" s="105">
        <v>2.1591788E7</v>
      </c>
      <c r="P2148" s="105">
        <v>1.9429902E7</v>
      </c>
      <c r="Q2148" s="102" t="s">
        <v>2439</v>
      </c>
      <c r="S2148" s="1"/>
      <c r="T2148" s="1"/>
      <c r="U2148" s="1"/>
      <c r="V2148" s="1"/>
      <c r="W2148" s="1"/>
      <c r="X2148" s="1"/>
      <c r="Y2148" s="1"/>
      <c r="Z2148" s="102"/>
      <c r="AA2148" s="102"/>
      <c r="AB2148" s="1"/>
      <c r="AC2148" s="1"/>
      <c r="AD2148" s="1"/>
      <c r="AE2148" s="1"/>
      <c r="AF2148" s="1"/>
      <c r="AG2148" s="1"/>
    </row>
    <row r="2149" ht="15.75" customHeight="1">
      <c r="A2149" s="1"/>
      <c r="B2149" s="1"/>
      <c r="C2149" s="1"/>
      <c r="D2149" s="1"/>
      <c r="E2149" s="1"/>
      <c r="F2149" s="1"/>
      <c r="G2149" s="1"/>
      <c r="H2149" s="1"/>
      <c r="I2149" s="1"/>
      <c r="J2149" s="1"/>
      <c r="K2149" s="102" t="s">
        <v>4009</v>
      </c>
      <c r="L2149" s="102" t="str">
        <f>K52</f>
        <v>J1a2a1a2c1a~</v>
      </c>
      <c r="M2149" s="102" t="s">
        <v>4010</v>
      </c>
      <c r="N2149" s="102" t="s">
        <v>4011</v>
      </c>
      <c r="O2149" s="105">
        <v>2.1612896E7</v>
      </c>
      <c r="P2149" s="105">
        <v>1.945101E7</v>
      </c>
      <c r="Q2149" s="102" t="s">
        <v>2468</v>
      </c>
      <c r="S2149" s="1"/>
      <c r="T2149" s="1"/>
      <c r="U2149" s="1"/>
      <c r="V2149" s="1"/>
      <c r="W2149" s="1"/>
      <c r="X2149" s="1"/>
      <c r="Y2149" s="1"/>
      <c r="Z2149" s="102"/>
      <c r="AA2149" s="102"/>
      <c r="AB2149" s="1"/>
      <c r="AC2149" s="1"/>
      <c r="AD2149" s="1"/>
      <c r="AE2149" s="1"/>
      <c r="AF2149" s="1"/>
      <c r="AG2149" s="1"/>
    </row>
    <row r="2150" ht="15.75" customHeight="1">
      <c r="A2150" s="1"/>
      <c r="B2150" s="1"/>
      <c r="C2150" s="1"/>
      <c r="D2150" s="1"/>
      <c r="E2150" s="1"/>
      <c r="F2150" s="1"/>
      <c r="G2150" s="1"/>
      <c r="H2150" s="1"/>
      <c r="I2150" s="1"/>
      <c r="J2150" s="1"/>
      <c r="K2150" s="102" t="s">
        <v>4010</v>
      </c>
      <c r="L2150" s="102" t="str">
        <f>K52</f>
        <v>J1a2a1a2c1a~</v>
      </c>
      <c r="M2150" s="102" t="s">
        <v>4009</v>
      </c>
      <c r="N2150" s="102" t="s">
        <v>4011</v>
      </c>
      <c r="O2150" s="105">
        <v>2.1612896E7</v>
      </c>
      <c r="P2150" s="105">
        <v>1.945101E7</v>
      </c>
      <c r="Q2150" s="102" t="s">
        <v>2468</v>
      </c>
      <c r="S2150" s="1"/>
      <c r="T2150" s="1"/>
      <c r="U2150" s="1"/>
      <c r="V2150" s="1"/>
      <c r="W2150" s="1"/>
      <c r="X2150" s="1"/>
      <c r="Y2150" s="1"/>
      <c r="Z2150" s="102"/>
      <c r="AA2150" s="102"/>
      <c r="AB2150" s="1"/>
      <c r="AC2150" s="1"/>
      <c r="AD2150" s="1"/>
      <c r="AE2150" s="1"/>
      <c r="AF2150" s="1"/>
      <c r="AG2150" s="1"/>
    </row>
    <row r="2151" ht="15.75" customHeight="1">
      <c r="A2151" s="1"/>
      <c r="B2151" s="1"/>
      <c r="C2151" s="1"/>
      <c r="D2151" s="1"/>
      <c r="E2151" s="1"/>
      <c r="F2151" s="1"/>
      <c r="G2151" s="1"/>
      <c r="H2151" s="1"/>
      <c r="I2151" s="1"/>
      <c r="J2151" s="1"/>
      <c r="K2151" s="102" t="s">
        <v>4012</v>
      </c>
      <c r="L2151" s="102" t="str">
        <f>K52</f>
        <v>J1a2a1a2c1a~</v>
      </c>
      <c r="M2151" s="102" t="s">
        <v>4013</v>
      </c>
      <c r="N2151" s="102" t="s">
        <v>4014</v>
      </c>
      <c r="O2151" s="105">
        <v>7112172.0</v>
      </c>
      <c r="P2151" s="105">
        <v>7244131.0</v>
      </c>
      <c r="Q2151" s="102" t="s">
        <v>2529</v>
      </c>
      <c r="S2151" s="1"/>
      <c r="T2151" s="1"/>
      <c r="U2151" s="1"/>
      <c r="V2151" s="1"/>
      <c r="W2151" s="1"/>
      <c r="X2151" s="1"/>
      <c r="Y2151" s="1"/>
      <c r="Z2151" s="102"/>
      <c r="AA2151" s="102"/>
      <c r="AB2151" s="1"/>
      <c r="AC2151" s="1"/>
      <c r="AD2151" s="1"/>
      <c r="AE2151" s="1"/>
      <c r="AF2151" s="1"/>
      <c r="AG2151" s="1"/>
    </row>
    <row r="2152" ht="15.75" customHeight="1">
      <c r="A2152" s="1"/>
      <c r="B2152" s="1"/>
      <c r="C2152" s="1"/>
      <c r="D2152" s="1"/>
      <c r="E2152" s="1"/>
      <c r="F2152" s="1"/>
      <c r="G2152" s="1"/>
      <c r="H2152" s="1"/>
      <c r="I2152" s="1"/>
      <c r="J2152" s="1"/>
      <c r="K2152" s="102" t="s">
        <v>4013</v>
      </c>
      <c r="L2152" s="102" t="str">
        <f>K52</f>
        <v>J1a2a1a2c1a~</v>
      </c>
      <c r="M2152" s="102" t="s">
        <v>4012</v>
      </c>
      <c r="N2152" s="102" t="s">
        <v>4014</v>
      </c>
      <c r="O2152" s="105">
        <v>7112172.0</v>
      </c>
      <c r="P2152" s="105">
        <v>7244131.0</v>
      </c>
      <c r="Q2152" s="102" t="s">
        <v>2529</v>
      </c>
      <c r="S2152" s="1"/>
      <c r="T2152" s="1"/>
      <c r="U2152" s="1"/>
      <c r="V2152" s="1"/>
      <c r="W2152" s="1"/>
      <c r="X2152" s="1"/>
      <c r="Y2152" s="1"/>
      <c r="Z2152" s="102"/>
      <c r="AA2152" s="102"/>
      <c r="AB2152" s="1"/>
      <c r="AC2152" s="1"/>
      <c r="AD2152" s="1"/>
      <c r="AE2152" s="1"/>
      <c r="AF2152" s="1"/>
      <c r="AG2152" s="1"/>
    </row>
    <row r="2153" ht="15.75" customHeight="1">
      <c r="A2153" s="1"/>
      <c r="B2153" s="1"/>
      <c r="C2153" s="1"/>
      <c r="D2153" s="1"/>
      <c r="E2153" s="1"/>
      <c r="F2153" s="1"/>
      <c r="G2153" s="1"/>
      <c r="H2153" s="1"/>
      <c r="I2153" s="1"/>
      <c r="J2153" s="1"/>
      <c r="K2153" s="102" t="s">
        <v>4015</v>
      </c>
      <c r="L2153" s="102" t="str">
        <f>K52</f>
        <v>J1a2a1a2c1a~</v>
      </c>
      <c r="M2153" s="102" t="s">
        <v>4016</v>
      </c>
      <c r="N2153" s="102" t="s">
        <v>4017</v>
      </c>
      <c r="O2153" s="105">
        <v>7315596.0</v>
      </c>
      <c r="P2153" s="105">
        <v>7447555.0</v>
      </c>
      <c r="Q2153" s="102" t="s">
        <v>2439</v>
      </c>
      <c r="S2153" s="1"/>
      <c r="T2153" s="1"/>
      <c r="U2153" s="1"/>
      <c r="V2153" s="1"/>
      <c r="W2153" s="1"/>
      <c r="X2153" s="1"/>
      <c r="Y2153" s="1"/>
      <c r="Z2153" s="102"/>
      <c r="AA2153" s="102"/>
      <c r="AB2153" s="1"/>
      <c r="AC2153" s="1"/>
      <c r="AD2153" s="1"/>
      <c r="AE2153" s="1"/>
      <c r="AF2153" s="1"/>
      <c r="AG2153" s="1"/>
    </row>
    <row r="2154" ht="15.75" customHeight="1">
      <c r="A2154" s="1"/>
      <c r="B2154" s="1"/>
      <c r="C2154" s="1"/>
      <c r="D2154" s="1"/>
      <c r="E2154" s="1"/>
      <c r="F2154" s="1"/>
      <c r="G2154" s="1"/>
      <c r="H2154" s="1"/>
      <c r="I2154" s="1"/>
      <c r="J2154" s="1"/>
      <c r="K2154" s="102" t="s">
        <v>4016</v>
      </c>
      <c r="L2154" s="102" t="str">
        <f>K52</f>
        <v>J1a2a1a2c1a~</v>
      </c>
      <c r="M2154" s="102" t="s">
        <v>4015</v>
      </c>
      <c r="N2154" s="102" t="s">
        <v>4017</v>
      </c>
      <c r="O2154" s="105">
        <v>7315596.0</v>
      </c>
      <c r="P2154" s="105">
        <v>7447555.0</v>
      </c>
      <c r="Q2154" s="102" t="s">
        <v>2439</v>
      </c>
      <c r="S2154" s="1"/>
      <c r="T2154" s="1"/>
      <c r="U2154" s="1"/>
      <c r="V2154" s="1"/>
      <c r="W2154" s="1"/>
      <c r="X2154" s="1"/>
      <c r="Y2154" s="1"/>
      <c r="Z2154" s="102"/>
      <c r="AA2154" s="102"/>
      <c r="AB2154" s="1"/>
      <c r="AC2154" s="1"/>
      <c r="AD2154" s="1"/>
      <c r="AE2154" s="1"/>
      <c r="AF2154" s="1"/>
      <c r="AG2154" s="1"/>
    </row>
    <row r="2155" ht="15.75" customHeight="1">
      <c r="A2155" s="1"/>
      <c r="B2155" s="1"/>
      <c r="C2155" s="1"/>
      <c r="D2155" s="1"/>
      <c r="E2155" s="1"/>
      <c r="F2155" s="1"/>
      <c r="G2155" s="1"/>
      <c r="H2155" s="1"/>
      <c r="I2155" s="1"/>
      <c r="J2155" s="1"/>
      <c r="K2155" s="102" t="s">
        <v>4018</v>
      </c>
      <c r="L2155" s="102" t="str">
        <f>K52</f>
        <v>J1a2a1a2c1a~</v>
      </c>
      <c r="M2155" s="102" t="s">
        <v>4019</v>
      </c>
      <c r="N2155" s="102" t="s">
        <v>4020</v>
      </c>
      <c r="O2155" s="105">
        <v>7523230.0</v>
      </c>
      <c r="P2155" s="105">
        <v>7655189.0</v>
      </c>
      <c r="Q2155" s="102" t="s">
        <v>2563</v>
      </c>
      <c r="S2155" s="1"/>
      <c r="T2155" s="1"/>
      <c r="U2155" s="1"/>
      <c r="V2155" s="1"/>
      <c r="W2155" s="1"/>
      <c r="X2155" s="1"/>
      <c r="Y2155" s="1"/>
      <c r="Z2155" s="102"/>
      <c r="AA2155" s="102"/>
      <c r="AB2155" s="1"/>
      <c r="AC2155" s="1"/>
      <c r="AD2155" s="1"/>
      <c r="AE2155" s="1"/>
      <c r="AF2155" s="1"/>
      <c r="AG2155" s="1"/>
    </row>
    <row r="2156" ht="15.75" customHeight="1">
      <c r="A2156" s="1"/>
      <c r="B2156" s="1"/>
      <c r="C2156" s="1"/>
      <c r="D2156" s="1"/>
      <c r="E2156" s="1"/>
      <c r="F2156" s="1"/>
      <c r="G2156" s="1"/>
      <c r="H2156" s="1"/>
      <c r="I2156" s="1"/>
      <c r="J2156" s="1"/>
      <c r="K2156" s="102" t="s">
        <v>4019</v>
      </c>
      <c r="L2156" s="102" t="str">
        <f>K52</f>
        <v>J1a2a1a2c1a~</v>
      </c>
      <c r="M2156" s="102" t="s">
        <v>4018</v>
      </c>
      <c r="N2156" s="102" t="s">
        <v>4020</v>
      </c>
      <c r="O2156" s="105">
        <v>7523230.0</v>
      </c>
      <c r="P2156" s="105">
        <v>7655189.0</v>
      </c>
      <c r="Q2156" s="102" t="s">
        <v>2563</v>
      </c>
      <c r="S2156" s="1"/>
      <c r="T2156" s="1"/>
      <c r="U2156" s="1"/>
      <c r="V2156" s="1"/>
      <c r="W2156" s="1"/>
      <c r="X2156" s="1"/>
      <c r="Y2156" s="1"/>
      <c r="Z2156" s="102"/>
      <c r="AA2156" s="102"/>
      <c r="AB2156" s="1"/>
      <c r="AC2156" s="1"/>
      <c r="AD2156" s="1"/>
      <c r="AE2156" s="1"/>
      <c r="AF2156" s="1"/>
      <c r="AG2156" s="1"/>
    </row>
    <row r="2157" ht="15.75" customHeight="1">
      <c r="A2157" s="1"/>
      <c r="B2157" s="1"/>
      <c r="C2157" s="1"/>
      <c r="D2157" s="1"/>
      <c r="E2157" s="1"/>
      <c r="F2157" s="1"/>
      <c r="G2157" s="1"/>
      <c r="H2157" s="1"/>
      <c r="I2157" s="1"/>
      <c r="J2157" s="1"/>
      <c r="K2157" s="102" t="s">
        <v>4021</v>
      </c>
      <c r="L2157" s="102" t="str">
        <f>K52</f>
        <v>J1a2a1a2c1a~</v>
      </c>
      <c r="M2157" s="102" t="s">
        <v>4022</v>
      </c>
      <c r="N2157" s="102" t="s">
        <v>4023</v>
      </c>
      <c r="O2157" s="105">
        <v>1.8982806E7</v>
      </c>
      <c r="P2157" s="105">
        <v>1.6870926E7</v>
      </c>
      <c r="Q2157" s="102" t="s">
        <v>2533</v>
      </c>
      <c r="S2157" s="1"/>
      <c r="T2157" s="1"/>
      <c r="U2157" s="1"/>
      <c r="V2157" s="1"/>
      <c r="W2157" s="1"/>
      <c r="X2157" s="1"/>
      <c r="Y2157" s="1"/>
      <c r="Z2157" s="102"/>
      <c r="AA2157" s="102"/>
      <c r="AB2157" s="1"/>
      <c r="AC2157" s="1"/>
      <c r="AD2157" s="1"/>
      <c r="AE2157" s="1"/>
      <c r="AF2157" s="1"/>
      <c r="AG2157" s="1"/>
    </row>
    <row r="2158" ht="15.75" customHeight="1">
      <c r="A2158" s="1"/>
      <c r="B2158" s="1"/>
      <c r="C2158" s="1"/>
      <c r="D2158" s="1"/>
      <c r="E2158" s="1"/>
      <c r="F2158" s="1"/>
      <c r="G2158" s="1"/>
      <c r="H2158" s="1"/>
      <c r="I2158" s="1"/>
      <c r="J2158" s="1"/>
      <c r="K2158" s="102" t="s">
        <v>4022</v>
      </c>
      <c r="L2158" s="102" t="str">
        <f>K52</f>
        <v>J1a2a1a2c1a~</v>
      </c>
      <c r="M2158" s="102" t="s">
        <v>4021</v>
      </c>
      <c r="N2158" s="102" t="s">
        <v>4023</v>
      </c>
      <c r="O2158" s="105">
        <v>1.8982806E7</v>
      </c>
      <c r="P2158" s="105">
        <v>1.6870926E7</v>
      </c>
      <c r="Q2158" s="102" t="s">
        <v>2533</v>
      </c>
      <c r="S2158" s="1"/>
      <c r="T2158" s="1"/>
      <c r="U2158" s="1"/>
      <c r="V2158" s="1"/>
      <c r="W2158" s="1"/>
      <c r="X2158" s="1"/>
      <c r="Y2158" s="1"/>
      <c r="Z2158" s="102"/>
      <c r="AA2158" s="102"/>
      <c r="AB2158" s="1"/>
      <c r="AC2158" s="1"/>
      <c r="AD2158" s="1"/>
      <c r="AE2158" s="1"/>
      <c r="AF2158" s="1"/>
      <c r="AG2158" s="1"/>
    </row>
    <row r="2159" ht="15.75" customHeight="1">
      <c r="A2159" s="1"/>
      <c r="B2159" s="1"/>
      <c r="C2159" s="1"/>
      <c r="D2159" s="1"/>
      <c r="E2159" s="1"/>
      <c r="F2159" s="1"/>
      <c r="G2159" s="1"/>
      <c r="H2159" s="1"/>
      <c r="I2159" s="1"/>
      <c r="J2159" s="1"/>
      <c r="K2159" s="102" t="s">
        <v>4024</v>
      </c>
      <c r="L2159" s="102" t="str">
        <f>K52</f>
        <v>J1a2a1a2c1a~</v>
      </c>
      <c r="M2159" s="102" t="s">
        <v>4025</v>
      </c>
      <c r="N2159" s="102" t="s">
        <v>4026</v>
      </c>
      <c r="O2159" s="105">
        <v>1.9204555E7</v>
      </c>
      <c r="P2159" s="105">
        <v>1.7092675E7</v>
      </c>
      <c r="Q2159" s="102" t="s">
        <v>2468</v>
      </c>
      <c r="S2159" s="1"/>
      <c r="T2159" s="1"/>
      <c r="U2159" s="1"/>
      <c r="V2159" s="1"/>
      <c r="W2159" s="1"/>
      <c r="X2159" s="1"/>
      <c r="Y2159" s="1"/>
      <c r="Z2159" s="102"/>
      <c r="AA2159" s="102"/>
      <c r="AB2159" s="1"/>
      <c r="AC2159" s="1"/>
      <c r="AD2159" s="1"/>
      <c r="AE2159" s="1"/>
      <c r="AF2159" s="1"/>
      <c r="AG2159" s="1"/>
    </row>
    <row r="2160" ht="15.75" customHeight="1">
      <c r="A2160" s="1"/>
      <c r="B2160" s="1"/>
      <c r="C2160" s="1"/>
      <c r="D2160" s="1"/>
      <c r="E2160" s="1"/>
      <c r="F2160" s="1"/>
      <c r="G2160" s="1"/>
      <c r="H2160" s="1"/>
      <c r="I2160" s="1"/>
      <c r="J2160" s="1"/>
      <c r="K2160" s="102" t="s">
        <v>4025</v>
      </c>
      <c r="L2160" s="102" t="str">
        <f>K52</f>
        <v>J1a2a1a2c1a~</v>
      </c>
      <c r="M2160" s="102" t="s">
        <v>4024</v>
      </c>
      <c r="N2160" s="102" t="s">
        <v>4026</v>
      </c>
      <c r="O2160" s="105">
        <v>1.9204555E7</v>
      </c>
      <c r="P2160" s="105">
        <v>1.7092675E7</v>
      </c>
      <c r="Q2160" s="102" t="s">
        <v>2468</v>
      </c>
      <c r="S2160" s="1"/>
      <c r="T2160" s="1"/>
      <c r="U2160" s="1"/>
      <c r="V2160" s="1"/>
      <c r="W2160" s="1"/>
      <c r="X2160" s="1"/>
      <c r="Y2160" s="1"/>
      <c r="Z2160" s="102"/>
      <c r="AA2160" s="102"/>
      <c r="AB2160" s="1"/>
      <c r="AC2160" s="1"/>
      <c r="AD2160" s="1"/>
      <c r="AE2160" s="1"/>
      <c r="AF2160" s="1"/>
      <c r="AG2160" s="1"/>
    </row>
    <row r="2161" ht="15.75" customHeight="1">
      <c r="A2161" s="1"/>
      <c r="B2161" s="1"/>
      <c r="C2161" s="1"/>
      <c r="D2161" s="1"/>
      <c r="E2161" s="1"/>
      <c r="F2161" s="1"/>
      <c r="G2161" s="1"/>
      <c r="H2161" s="1"/>
      <c r="I2161" s="1"/>
      <c r="J2161" s="1"/>
      <c r="K2161" s="102" t="s">
        <v>4027</v>
      </c>
      <c r="L2161" s="102" t="str">
        <f>K52</f>
        <v>J1a2a1a2c1a~</v>
      </c>
      <c r="M2161" s="102"/>
      <c r="N2161" s="102" t="s">
        <v>4028</v>
      </c>
      <c r="O2161" s="105">
        <v>1.4794737E7</v>
      </c>
      <c r="P2161" s="105">
        <v>1.2682808E7</v>
      </c>
      <c r="Q2161" s="102" t="s">
        <v>2501</v>
      </c>
      <c r="S2161" s="1"/>
      <c r="T2161" s="1"/>
      <c r="U2161" s="1"/>
      <c r="V2161" s="1"/>
      <c r="W2161" s="1"/>
      <c r="X2161" s="1"/>
      <c r="Y2161" s="1"/>
      <c r="Z2161" s="102"/>
      <c r="AA2161" s="102"/>
      <c r="AB2161" s="1"/>
      <c r="AC2161" s="1"/>
      <c r="AD2161" s="1"/>
      <c r="AE2161" s="1"/>
      <c r="AF2161" s="1"/>
      <c r="AG2161" s="1"/>
    </row>
    <row r="2162" ht="15.75" customHeight="1">
      <c r="A2162" s="1"/>
      <c r="B2162" s="1"/>
      <c r="C2162" s="1"/>
      <c r="D2162" s="1"/>
      <c r="E2162" s="1"/>
      <c r="F2162" s="1"/>
      <c r="G2162" s="1"/>
      <c r="H2162" s="1"/>
      <c r="I2162" s="1"/>
      <c r="J2162" s="1"/>
      <c r="K2162" s="102" t="s">
        <v>4029</v>
      </c>
      <c r="L2162" s="102" t="str">
        <f>K52</f>
        <v>J1a2a1a2c1a~</v>
      </c>
      <c r="M2162" s="102"/>
      <c r="N2162" s="102" t="s">
        <v>4030</v>
      </c>
      <c r="O2162" s="105">
        <v>1.7377325E7</v>
      </c>
      <c r="P2162" s="105">
        <v>1.5265445E7</v>
      </c>
      <c r="Q2162" s="102" t="s">
        <v>2576</v>
      </c>
      <c r="S2162" s="1"/>
      <c r="T2162" s="1"/>
      <c r="U2162" s="1"/>
      <c r="V2162" s="1"/>
      <c r="W2162" s="1"/>
      <c r="X2162" s="1"/>
      <c r="Y2162" s="1"/>
      <c r="Z2162" s="102"/>
      <c r="AA2162" s="102"/>
      <c r="AB2162" s="1"/>
      <c r="AC2162" s="1"/>
      <c r="AD2162" s="1"/>
      <c r="AE2162" s="1"/>
      <c r="AF2162" s="1"/>
      <c r="AG2162" s="1"/>
    </row>
    <row r="2163" ht="15.75" customHeight="1">
      <c r="A2163" s="1"/>
      <c r="B2163" s="1"/>
      <c r="C2163" s="1"/>
      <c r="D2163" s="1"/>
      <c r="E2163" s="1"/>
      <c r="F2163" s="1"/>
      <c r="G2163" s="1"/>
      <c r="H2163" s="1"/>
      <c r="I2163" s="1"/>
      <c r="J2163" s="1"/>
      <c r="K2163" s="102" t="s">
        <v>4031</v>
      </c>
      <c r="L2163" s="102" t="str">
        <f>K52</f>
        <v>J1a2a1a2c1a~</v>
      </c>
      <c r="M2163" s="102"/>
      <c r="N2163" s="102" t="s">
        <v>4032</v>
      </c>
      <c r="O2163" s="105">
        <v>1.7498885E7</v>
      </c>
      <c r="P2163" s="105">
        <v>1.5387005E7</v>
      </c>
      <c r="Q2163" s="102" t="s">
        <v>2446</v>
      </c>
      <c r="S2163" s="1"/>
      <c r="T2163" s="1"/>
      <c r="U2163" s="1"/>
      <c r="V2163" s="1"/>
      <c r="W2163" s="1"/>
      <c r="X2163" s="1"/>
      <c r="Y2163" s="1"/>
      <c r="Z2163" s="102"/>
      <c r="AA2163" s="102"/>
      <c r="AB2163" s="1"/>
      <c r="AC2163" s="1"/>
      <c r="AD2163" s="1"/>
      <c r="AE2163" s="1"/>
      <c r="AF2163" s="1"/>
      <c r="AG2163" s="1"/>
    </row>
    <row r="2164" ht="15.75" customHeight="1">
      <c r="A2164" s="1"/>
      <c r="B2164" s="1"/>
      <c r="C2164" s="1"/>
      <c r="D2164" s="1"/>
      <c r="E2164" s="1"/>
      <c r="F2164" s="1"/>
      <c r="G2164" s="1"/>
      <c r="H2164" s="1"/>
      <c r="I2164" s="1"/>
      <c r="J2164" s="1"/>
      <c r="K2164" s="102" t="s">
        <v>4033</v>
      </c>
      <c r="L2164" s="102" t="str">
        <f>K52</f>
        <v>J1a2a1a2c1a~</v>
      </c>
      <c r="M2164" s="102"/>
      <c r="N2164" s="102" t="s">
        <v>4034</v>
      </c>
      <c r="O2164" s="105">
        <v>1.7813203E7</v>
      </c>
      <c r="P2164" s="105">
        <v>1.5701323E7</v>
      </c>
      <c r="Q2164" s="102" t="s">
        <v>2439</v>
      </c>
      <c r="S2164" s="1"/>
      <c r="T2164" s="1"/>
      <c r="U2164" s="1"/>
      <c r="V2164" s="1"/>
      <c r="W2164" s="1"/>
      <c r="X2164" s="1"/>
      <c r="Y2164" s="1"/>
      <c r="Z2164" s="102"/>
      <c r="AA2164" s="102"/>
      <c r="AB2164" s="1"/>
      <c r="AC2164" s="1"/>
      <c r="AD2164" s="1"/>
      <c r="AE2164" s="1"/>
      <c r="AF2164" s="1"/>
      <c r="AG2164" s="1"/>
    </row>
    <row r="2165" ht="15.75" customHeight="1">
      <c r="A2165" s="1"/>
      <c r="B2165" s="1"/>
      <c r="C2165" s="1"/>
      <c r="D2165" s="1"/>
      <c r="E2165" s="1"/>
      <c r="F2165" s="1"/>
      <c r="G2165" s="1"/>
      <c r="H2165" s="1"/>
      <c r="I2165" s="1"/>
      <c r="J2165" s="1"/>
      <c r="K2165" s="102" t="s">
        <v>4035</v>
      </c>
      <c r="L2165" s="102" t="str">
        <f>K52</f>
        <v>J1a2a1a2c1a~</v>
      </c>
      <c r="M2165" s="102"/>
      <c r="N2165" s="102" t="s">
        <v>4036</v>
      </c>
      <c r="O2165" s="105">
        <v>1.8631893E7</v>
      </c>
      <c r="P2165" s="105">
        <v>1.6520013E7</v>
      </c>
      <c r="Q2165" s="102" t="s">
        <v>2432</v>
      </c>
      <c r="S2165" s="1"/>
      <c r="T2165" s="1"/>
      <c r="U2165" s="1"/>
      <c r="V2165" s="1"/>
      <c r="W2165" s="1"/>
      <c r="X2165" s="1"/>
      <c r="Y2165" s="1"/>
      <c r="Z2165" s="102"/>
      <c r="AA2165" s="102"/>
      <c r="AB2165" s="1"/>
      <c r="AC2165" s="1"/>
      <c r="AD2165" s="1"/>
      <c r="AE2165" s="1"/>
      <c r="AF2165" s="1"/>
      <c r="AG2165" s="1"/>
    </row>
    <row r="2166" ht="15.75" customHeight="1">
      <c r="A2166" s="1"/>
      <c r="B2166" s="1"/>
      <c r="C2166" s="1"/>
      <c r="D2166" s="1"/>
      <c r="E2166" s="1"/>
      <c r="F2166" s="1"/>
      <c r="G2166" s="1"/>
      <c r="H2166" s="1"/>
      <c r="I2166" s="1"/>
      <c r="J2166" s="1"/>
      <c r="K2166" s="102" t="s">
        <v>4037</v>
      </c>
      <c r="L2166" s="102" t="str">
        <f>K52</f>
        <v>J1a2a1a2c1a~</v>
      </c>
      <c r="M2166" s="102"/>
      <c r="N2166" s="102" t="s">
        <v>4038</v>
      </c>
      <c r="O2166" s="105">
        <v>1.4315397E7</v>
      </c>
      <c r="P2166" s="105">
        <v>1.2194691E7</v>
      </c>
      <c r="Q2166" s="102" t="s">
        <v>2446</v>
      </c>
      <c r="S2166" s="1"/>
      <c r="T2166" s="1"/>
      <c r="U2166" s="1"/>
      <c r="V2166" s="1"/>
      <c r="W2166" s="1"/>
      <c r="X2166" s="1"/>
      <c r="Y2166" s="1"/>
      <c r="Z2166" s="102"/>
      <c r="AA2166" s="102"/>
      <c r="AB2166" s="1"/>
      <c r="AC2166" s="1"/>
      <c r="AD2166" s="1"/>
      <c r="AE2166" s="1"/>
      <c r="AF2166" s="1"/>
      <c r="AG2166" s="1"/>
    </row>
    <row r="2167" ht="15.75" customHeight="1">
      <c r="A2167" s="1"/>
      <c r="B2167" s="1"/>
      <c r="C2167" s="1"/>
      <c r="D2167" s="1"/>
      <c r="E2167" s="1"/>
      <c r="F2167" s="1"/>
      <c r="G2167" s="1"/>
      <c r="H2167" s="1"/>
      <c r="I2167" s="1"/>
      <c r="J2167" s="1"/>
      <c r="K2167" s="102" t="s">
        <v>4039</v>
      </c>
      <c r="L2167" s="102" t="str">
        <f>K52</f>
        <v>J1a2a1a2c1a~</v>
      </c>
      <c r="M2167" s="102"/>
      <c r="N2167" s="102"/>
      <c r="O2167" s="105">
        <v>1.4230178E7</v>
      </c>
      <c r="P2167" s="105">
        <v>1.2109472E7</v>
      </c>
      <c r="Q2167" s="102" t="s">
        <v>2439</v>
      </c>
      <c r="S2167" s="1"/>
      <c r="T2167" s="1"/>
      <c r="U2167" s="1"/>
      <c r="V2167" s="1"/>
      <c r="W2167" s="1"/>
      <c r="X2167" s="1"/>
      <c r="Y2167" s="1"/>
      <c r="Z2167" s="102"/>
      <c r="AA2167" s="102"/>
      <c r="AB2167" s="1"/>
      <c r="AC2167" s="1"/>
      <c r="AD2167" s="1"/>
      <c r="AE2167" s="1"/>
      <c r="AF2167" s="1"/>
      <c r="AG2167" s="1"/>
    </row>
    <row r="2168" ht="15.75" customHeight="1">
      <c r="A2168" s="1"/>
      <c r="B2168" s="1"/>
      <c r="C2168" s="1"/>
      <c r="D2168" s="1"/>
      <c r="E2168" s="1"/>
      <c r="F2168" s="1"/>
      <c r="G2168" s="1"/>
      <c r="H2168" s="1"/>
      <c r="I2168" s="1"/>
      <c r="J2168" s="1"/>
      <c r="K2168" s="102" t="s">
        <v>74</v>
      </c>
      <c r="L2168" s="102" t="str">
        <f>L53</f>
        <v>J1a2a1a2c1a1</v>
      </c>
      <c r="M2168" s="102"/>
      <c r="N2168" s="102" t="s">
        <v>4040</v>
      </c>
      <c r="O2168" s="105">
        <v>6932106.0</v>
      </c>
      <c r="P2168" s="105">
        <v>7064065.0</v>
      </c>
      <c r="Q2168" s="102" t="s">
        <v>2432</v>
      </c>
      <c r="S2168" s="1"/>
      <c r="T2168" s="1"/>
      <c r="U2168" s="1"/>
      <c r="V2168" s="1"/>
      <c r="W2168" s="1"/>
      <c r="X2168" s="1"/>
      <c r="Y2168" s="1"/>
      <c r="Z2168" s="102"/>
      <c r="AA2168" s="102"/>
      <c r="AB2168" s="1"/>
      <c r="AC2168" s="1"/>
      <c r="AD2168" s="1"/>
      <c r="AE2168" s="1"/>
      <c r="AF2168" s="1"/>
      <c r="AG2168" s="1"/>
    </row>
    <row r="2169" ht="15.75" customHeight="1">
      <c r="A2169" s="1"/>
      <c r="B2169" s="1"/>
      <c r="C2169" s="1"/>
      <c r="D2169" s="1"/>
      <c r="E2169" s="1"/>
      <c r="F2169" s="1"/>
      <c r="G2169" s="1"/>
      <c r="H2169" s="1"/>
      <c r="I2169" s="1"/>
      <c r="J2169" s="1"/>
      <c r="K2169" s="102" t="s">
        <v>76</v>
      </c>
      <c r="L2169" s="102" t="str">
        <f>M54</f>
        <v>J1a2a1a2c1a1a~</v>
      </c>
      <c r="M2169" s="102"/>
      <c r="N2169" s="102"/>
      <c r="O2169" s="105">
        <v>1.9127741E7</v>
      </c>
      <c r="P2169" s="105">
        <v>1.7015861E7</v>
      </c>
      <c r="Q2169" s="102" t="s">
        <v>2533</v>
      </c>
      <c r="S2169" s="1"/>
      <c r="T2169" s="1"/>
      <c r="U2169" s="1"/>
      <c r="V2169" s="1"/>
      <c r="W2169" s="1"/>
      <c r="X2169" s="1"/>
      <c r="Y2169" s="1"/>
      <c r="Z2169" s="102"/>
      <c r="AA2169" s="102"/>
      <c r="AB2169" s="1"/>
      <c r="AC2169" s="1"/>
      <c r="AD2169" s="1"/>
      <c r="AE2169" s="1"/>
      <c r="AF2169" s="1"/>
      <c r="AG2169" s="1"/>
    </row>
    <row r="2170" ht="15.75" customHeight="1">
      <c r="A2170" s="1"/>
      <c r="B2170" s="1"/>
      <c r="C2170" s="1"/>
      <c r="D2170" s="1"/>
      <c r="E2170" s="1"/>
      <c r="F2170" s="1"/>
      <c r="G2170" s="1"/>
      <c r="H2170" s="1"/>
      <c r="I2170" s="1"/>
      <c r="J2170" s="1"/>
      <c r="K2170" s="102" t="s">
        <v>4041</v>
      </c>
      <c r="L2170" s="102" t="str">
        <f>N55</f>
        <v>J1a2a1a2c1a1a1~</v>
      </c>
      <c r="M2170" s="102"/>
      <c r="N2170" s="102" t="s">
        <v>4042</v>
      </c>
      <c r="O2170" s="105">
        <v>2.1628992E7</v>
      </c>
      <c r="P2170" s="105">
        <v>1.9467106E7</v>
      </c>
      <c r="Q2170" s="102" t="s">
        <v>2501</v>
      </c>
      <c r="S2170" s="1"/>
      <c r="T2170" s="1"/>
      <c r="U2170" s="1"/>
      <c r="V2170" s="1"/>
      <c r="W2170" s="1"/>
      <c r="X2170" s="1"/>
      <c r="Y2170" s="1"/>
      <c r="Z2170" s="102"/>
      <c r="AA2170" s="102"/>
      <c r="AB2170" s="1"/>
      <c r="AC2170" s="1"/>
      <c r="AD2170" s="1"/>
      <c r="AE2170" s="1"/>
      <c r="AF2170" s="1"/>
      <c r="AG2170" s="1"/>
    </row>
    <row r="2171" ht="15.75" customHeight="1">
      <c r="A2171" s="1"/>
      <c r="B2171" s="1"/>
      <c r="C2171" s="1"/>
      <c r="D2171" s="1"/>
      <c r="E2171" s="1"/>
      <c r="F2171" s="1"/>
      <c r="G2171" s="1"/>
      <c r="H2171" s="1"/>
      <c r="I2171" s="1"/>
      <c r="J2171" s="1"/>
      <c r="K2171" s="102" t="s">
        <v>4043</v>
      </c>
      <c r="L2171" s="102" t="str">
        <f t="shared" ref="L2171:L2172" si="9">N55</f>
        <v>J1a2a1a2c1a1a1~</v>
      </c>
      <c r="M2171" s="102"/>
      <c r="N2171" s="102" t="s">
        <v>4044</v>
      </c>
      <c r="O2171" s="105">
        <v>1.8633545E7</v>
      </c>
      <c r="P2171" s="105">
        <v>1.6521665E7</v>
      </c>
      <c r="Q2171" s="102" t="s">
        <v>2468</v>
      </c>
      <c r="S2171" s="1"/>
      <c r="T2171" s="1"/>
      <c r="U2171" s="1"/>
      <c r="V2171" s="1"/>
      <c r="W2171" s="1"/>
      <c r="X2171" s="1"/>
      <c r="Y2171" s="1"/>
      <c r="Z2171" s="102"/>
      <c r="AA2171" s="102"/>
      <c r="AB2171" s="1"/>
      <c r="AC2171" s="1"/>
      <c r="AD2171" s="1"/>
      <c r="AE2171" s="1"/>
      <c r="AF2171" s="1"/>
      <c r="AG2171" s="1"/>
    </row>
    <row r="2172" ht="15.75" customHeight="1">
      <c r="A2172" s="1"/>
      <c r="B2172" s="1"/>
      <c r="C2172" s="1"/>
      <c r="D2172" s="1"/>
      <c r="E2172" s="1"/>
      <c r="F2172" s="1"/>
      <c r="G2172" s="1"/>
      <c r="H2172" s="1"/>
      <c r="I2172" s="1"/>
      <c r="J2172" s="1"/>
      <c r="K2172" s="102" t="s">
        <v>80</v>
      </c>
      <c r="L2172" s="102" t="str">
        <f t="shared" si="9"/>
        <v>J1a2a1a2c1a1a2~</v>
      </c>
      <c r="M2172" s="102"/>
      <c r="N2172" s="102" t="s">
        <v>4045</v>
      </c>
      <c r="O2172" s="105">
        <v>6955823.0</v>
      </c>
      <c r="P2172" s="105">
        <v>7087782.0</v>
      </c>
      <c r="Q2172" s="102" t="s">
        <v>2501</v>
      </c>
      <c r="S2172" s="1"/>
      <c r="T2172" s="1"/>
      <c r="U2172" s="1"/>
      <c r="V2172" s="1"/>
      <c r="W2172" s="1"/>
      <c r="X2172" s="1"/>
      <c r="Y2172" s="1"/>
      <c r="Z2172" s="102"/>
      <c r="AA2172" s="102"/>
      <c r="AB2172" s="1"/>
      <c r="AC2172" s="1"/>
      <c r="AD2172" s="1"/>
      <c r="AE2172" s="1"/>
      <c r="AF2172" s="1"/>
      <c r="AG2172" s="1"/>
    </row>
    <row r="2173" ht="15.75" customHeight="1">
      <c r="A2173" s="1"/>
      <c r="B2173" s="1"/>
      <c r="C2173" s="1"/>
      <c r="D2173" s="1"/>
      <c r="E2173" s="1"/>
      <c r="F2173" s="1"/>
      <c r="G2173" s="1"/>
      <c r="H2173" s="1"/>
      <c r="I2173" s="1"/>
      <c r="J2173" s="1"/>
      <c r="K2173" s="102" t="s">
        <v>4046</v>
      </c>
      <c r="L2173" s="102" t="str">
        <f>O57</f>
        <v>J1a2a1a2c1a1a2a~</v>
      </c>
      <c r="M2173" s="102"/>
      <c r="N2173" s="102"/>
      <c r="O2173" s="105">
        <v>8874654.0</v>
      </c>
      <c r="P2173" s="105">
        <v>9006613.0</v>
      </c>
      <c r="Q2173" s="102" t="s">
        <v>2468</v>
      </c>
      <c r="S2173" s="1"/>
      <c r="T2173" s="1"/>
      <c r="U2173" s="1"/>
      <c r="V2173" s="1"/>
      <c r="W2173" s="1"/>
      <c r="X2173" s="1"/>
      <c r="Y2173" s="1"/>
      <c r="Z2173" s="102"/>
      <c r="AA2173" s="102"/>
      <c r="AB2173" s="1"/>
      <c r="AC2173" s="1"/>
      <c r="AD2173" s="1"/>
      <c r="AE2173" s="1"/>
      <c r="AF2173" s="1"/>
      <c r="AG2173" s="1"/>
    </row>
    <row r="2174" ht="15.75" customHeight="1">
      <c r="A2174" s="1"/>
      <c r="B2174" s="1"/>
      <c r="C2174" s="1"/>
      <c r="D2174" s="1"/>
      <c r="E2174" s="1"/>
      <c r="F2174" s="1"/>
      <c r="G2174" s="1"/>
      <c r="H2174" s="1"/>
      <c r="I2174" s="1"/>
      <c r="J2174" s="1"/>
      <c r="K2174" s="102" t="s">
        <v>4047</v>
      </c>
      <c r="L2174" s="102" t="str">
        <f>O57</f>
        <v>J1a2a1a2c1a1a2a~</v>
      </c>
      <c r="M2174" s="102"/>
      <c r="N2174" s="102"/>
      <c r="O2174" s="105">
        <v>1.7321537E7</v>
      </c>
      <c r="P2174" s="105">
        <v>1.5209657E7</v>
      </c>
      <c r="Q2174" s="102" t="s">
        <v>2468</v>
      </c>
      <c r="S2174" s="1"/>
      <c r="T2174" s="1"/>
      <c r="U2174" s="1"/>
      <c r="V2174" s="1"/>
      <c r="W2174" s="1"/>
      <c r="X2174" s="1"/>
      <c r="Y2174" s="1"/>
      <c r="Z2174" s="102"/>
      <c r="AA2174" s="102"/>
      <c r="AB2174" s="1"/>
      <c r="AC2174" s="1"/>
      <c r="AD2174" s="1"/>
      <c r="AE2174" s="1"/>
      <c r="AF2174" s="1"/>
      <c r="AG2174" s="1"/>
    </row>
    <row r="2175" ht="15.75" customHeight="1">
      <c r="A2175" s="1"/>
      <c r="B2175" s="1"/>
      <c r="C2175" s="1"/>
      <c r="D2175" s="1"/>
      <c r="E2175" s="1"/>
      <c r="F2175" s="1"/>
      <c r="G2175" s="1"/>
      <c r="H2175" s="1"/>
      <c r="I2175" s="1"/>
      <c r="J2175" s="1"/>
      <c r="K2175" s="102" t="s">
        <v>4048</v>
      </c>
      <c r="L2175" s="102" t="str">
        <f t="shared" ref="L2175:L2176" si="10">O57</f>
        <v>J1a2a1a2c1a1a2a~</v>
      </c>
      <c r="M2175" s="102"/>
      <c r="N2175" s="102"/>
      <c r="O2175" s="105">
        <v>1.8587738E7</v>
      </c>
      <c r="P2175" s="105">
        <v>1.6475858E7</v>
      </c>
      <c r="Q2175" s="102" t="s">
        <v>2439</v>
      </c>
      <c r="S2175" s="1"/>
      <c r="T2175" s="1"/>
      <c r="U2175" s="1"/>
      <c r="V2175" s="1"/>
      <c r="W2175" s="1"/>
      <c r="X2175" s="1"/>
      <c r="Y2175" s="1"/>
      <c r="Z2175" s="102"/>
      <c r="AA2175" s="102"/>
      <c r="AB2175" s="1"/>
      <c r="AC2175" s="1"/>
      <c r="AD2175" s="1"/>
      <c r="AE2175" s="1"/>
      <c r="AF2175" s="1"/>
      <c r="AG2175" s="1"/>
    </row>
    <row r="2176" ht="15.75" customHeight="1">
      <c r="A2176" s="1"/>
      <c r="B2176" s="1"/>
      <c r="C2176" s="1"/>
      <c r="D2176" s="1"/>
      <c r="E2176" s="1"/>
      <c r="F2176" s="1"/>
      <c r="G2176" s="1"/>
      <c r="H2176" s="1"/>
      <c r="I2176" s="1"/>
      <c r="J2176" s="1"/>
      <c r="K2176" s="102" t="s">
        <v>4049</v>
      </c>
      <c r="L2176" s="102" t="str">
        <f t="shared" si="10"/>
        <v>J1a2a1a2c1a1a2b~</v>
      </c>
      <c r="M2176" s="106" t="s">
        <v>4050</v>
      </c>
      <c r="N2176" s="102" t="s">
        <v>4051</v>
      </c>
      <c r="O2176" s="105">
        <v>1.5485613E7</v>
      </c>
      <c r="P2176" s="105">
        <v>1.3373733E7</v>
      </c>
      <c r="Q2176" s="102" t="s">
        <v>2501</v>
      </c>
      <c r="S2176" s="1"/>
      <c r="T2176" s="1"/>
      <c r="U2176" s="1"/>
      <c r="V2176" s="1"/>
      <c r="W2176" s="1"/>
      <c r="X2176" s="1"/>
      <c r="Y2176" s="1"/>
      <c r="Z2176" s="102"/>
      <c r="AA2176" s="102"/>
      <c r="AB2176" s="1"/>
      <c r="AC2176" s="1"/>
      <c r="AD2176" s="1"/>
      <c r="AE2176" s="1"/>
      <c r="AF2176" s="1"/>
      <c r="AG2176" s="1"/>
    </row>
    <row r="2177" ht="15.75" customHeight="1">
      <c r="A2177" s="1"/>
      <c r="B2177" s="1"/>
      <c r="C2177" s="1"/>
      <c r="D2177" s="1"/>
      <c r="E2177" s="1"/>
      <c r="F2177" s="1"/>
      <c r="G2177" s="1"/>
      <c r="H2177" s="1"/>
      <c r="I2177" s="1"/>
      <c r="J2177" s="1"/>
      <c r="K2177" s="102" t="s">
        <v>4050</v>
      </c>
      <c r="L2177" s="102" t="str">
        <f>O58</f>
        <v>J1a2a1a2c1a1a2b~</v>
      </c>
      <c r="M2177" s="106" t="s">
        <v>4049</v>
      </c>
      <c r="N2177" s="102" t="s">
        <v>4051</v>
      </c>
      <c r="O2177" s="105">
        <v>1.5485613E7</v>
      </c>
      <c r="P2177" s="105">
        <v>1.3373733E7</v>
      </c>
      <c r="Q2177" s="102" t="s">
        <v>2501</v>
      </c>
      <c r="S2177" s="1"/>
      <c r="T2177" s="1"/>
      <c r="U2177" s="1"/>
      <c r="V2177" s="1"/>
      <c r="W2177" s="1"/>
      <c r="X2177" s="1"/>
      <c r="Y2177" s="1"/>
      <c r="Z2177" s="102"/>
      <c r="AA2177" s="102"/>
      <c r="AB2177" s="1"/>
      <c r="AC2177" s="1"/>
      <c r="AD2177" s="1"/>
      <c r="AE2177" s="1"/>
      <c r="AF2177" s="1"/>
      <c r="AG2177" s="1"/>
    </row>
    <row r="2178" ht="15.75" customHeight="1">
      <c r="A2178" s="1"/>
      <c r="B2178" s="1"/>
      <c r="C2178" s="1"/>
      <c r="D2178" s="1"/>
      <c r="E2178" s="1"/>
      <c r="F2178" s="1"/>
      <c r="G2178" s="1"/>
      <c r="H2178" s="1"/>
      <c r="I2178" s="1"/>
      <c r="J2178" s="1"/>
      <c r="K2178" s="102" t="s">
        <v>86</v>
      </c>
      <c r="L2178" s="102" t="str">
        <f t="shared" ref="L2178:L2179" si="11">P59</f>
        <v>J1a2a1a2c1a1a2b1~</v>
      </c>
      <c r="M2178" s="102"/>
      <c r="N2178" s="102"/>
      <c r="O2178" s="105">
        <v>1.9389117E7</v>
      </c>
      <c r="P2178" s="105">
        <v>1.7277237E7</v>
      </c>
      <c r="Q2178" s="102" t="s">
        <v>2446</v>
      </c>
      <c r="S2178" s="1"/>
      <c r="T2178" s="1"/>
      <c r="U2178" s="1"/>
      <c r="V2178" s="1"/>
      <c r="W2178" s="1"/>
      <c r="X2178" s="1"/>
      <c r="Y2178" s="1"/>
      <c r="Z2178" s="102"/>
      <c r="AA2178" s="102"/>
      <c r="AB2178" s="1"/>
      <c r="AC2178" s="1"/>
      <c r="AD2178" s="1"/>
      <c r="AE2178" s="1"/>
      <c r="AF2178" s="1"/>
      <c r="AG2178" s="1"/>
    </row>
    <row r="2179" ht="15.75" customHeight="1">
      <c r="A2179" s="1"/>
      <c r="B2179" s="1"/>
      <c r="C2179" s="1"/>
      <c r="D2179" s="1"/>
      <c r="E2179" s="1"/>
      <c r="F2179" s="1"/>
      <c r="G2179" s="1"/>
      <c r="H2179" s="1"/>
      <c r="I2179" s="1"/>
      <c r="J2179" s="1"/>
      <c r="K2179" s="102" t="s">
        <v>4052</v>
      </c>
      <c r="L2179" s="102" t="str">
        <f t="shared" si="11"/>
        <v>J1a2a1a2c1a1a2bs~</v>
      </c>
      <c r="M2179" s="102"/>
      <c r="N2179" s="102" t="s">
        <v>4053</v>
      </c>
      <c r="O2179" s="105">
        <v>8096568.0</v>
      </c>
      <c r="P2179" s="105">
        <v>8228527.0</v>
      </c>
      <c r="Q2179" s="102" t="s">
        <v>2529</v>
      </c>
      <c r="S2179" s="1"/>
      <c r="T2179" s="1"/>
      <c r="U2179" s="1"/>
      <c r="V2179" s="1"/>
      <c r="W2179" s="1"/>
      <c r="X2179" s="1"/>
      <c r="Y2179" s="1"/>
      <c r="Z2179" s="102"/>
      <c r="AA2179" s="102"/>
      <c r="AB2179" s="1"/>
      <c r="AC2179" s="1"/>
      <c r="AD2179" s="1"/>
      <c r="AE2179" s="1"/>
      <c r="AF2179" s="1"/>
      <c r="AG2179" s="1"/>
    </row>
    <row r="2180" ht="15.75" customHeight="1">
      <c r="A2180" s="1"/>
      <c r="B2180" s="1"/>
      <c r="C2180" s="1"/>
      <c r="D2180" s="1"/>
      <c r="E2180" s="1"/>
      <c r="F2180" s="1"/>
      <c r="G2180" s="1"/>
      <c r="H2180" s="1"/>
      <c r="I2180" s="1"/>
      <c r="J2180" s="1"/>
      <c r="K2180" s="102" t="s">
        <v>4054</v>
      </c>
      <c r="L2180" s="102" t="str">
        <f>P60</f>
        <v>J1a2a1a2c1a1a2bs~</v>
      </c>
      <c r="M2180" s="102"/>
      <c r="N2180" s="102" t="s">
        <v>4055</v>
      </c>
      <c r="O2180" s="105">
        <v>1.8973526E7</v>
      </c>
      <c r="P2180" s="105">
        <v>1.6861646E7</v>
      </c>
      <c r="Q2180" s="102" t="s">
        <v>2501</v>
      </c>
      <c r="S2180" s="1"/>
      <c r="T2180" s="1"/>
      <c r="U2180" s="1"/>
      <c r="V2180" s="1"/>
      <c r="W2180" s="1"/>
      <c r="X2180" s="1"/>
      <c r="Y2180" s="1"/>
      <c r="Z2180" s="102"/>
      <c r="AA2180" s="102"/>
      <c r="AB2180" s="1"/>
      <c r="AC2180" s="1"/>
      <c r="AD2180" s="1"/>
      <c r="AE2180" s="1"/>
      <c r="AF2180" s="1"/>
      <c r="AG2180" s="1"/>
    </row>
    <row r="2181" ht="15.75" customHeight="1">
      <c r="A2181" s="1"/>
      <c r="B2181" s="1"/>
      <c r="C2181" s="1"/>
      <c r="D2181" s="1"/>
      <c r="E2181" s="1"/>
      <c r="F2181" s="1"/>
      <c r="G2181" s="1"/>
      <c r="H2181" s="1"/>
      <c r="I2181" s="1"/>
      <c r="J2181" s="1"/>
      <c r="K2181" s="102" t="s">
        <v>4056</v>
      </c>
      <c r="L2181" s="102" t="str">
        <f>J61</f>
        <v>J1a2a1a2c2~</v>
      </c>
      <c r="M2181" s="102"/>
      <c r="N2181" s="102"/>
      <c r="O2181" s="105">
        <v>1.3208998E7</v>
      </c>
      <c r="P2181" s="105">
        <v>1.1053322E7</v>
      </c>
      <c r="Q2181" s="102" t="s">
        <v>2501</v>
      </c>
      <c r="S2181" s="1"/>
      <c r="T2181" s="1"/>
      <c r="U2181" s="1"/>
      <c r="V2181" s="1"/>
      <c r="W2181" s="1"/>
      <c r="X2181" s="1"/>
      <c r="Y2181" s="1"/>
      <c r="Z2181" s="102"/>
      <c r="AA2181" s="102"/>
      <c r="AB2181" s="1"/>
      <c r="AC2181" s="1"/>
      <c r="AD2181" s="1"/>
      <c r="AE2181" s="1"/>
      <c r="AF2181" s="1"/>
      <c r="AG2181" s="1"/>
    </row>
    <row r="2182" ht="15.75" customHeight="1">
      <c r="A2182" s="1"/>
      <c r="B2182" s="1"/>
      <c r="C2182" s="1"/>
      <c r="D2182" s="1"/>
      <c r="E2182" s="1"/>
      <c r="F2182" s="1"/>
      <c r="G2182" s="1"/>
      <c r="H2182" s="1"/>
      <c r="I2182" s="1"/>
      <c r="J2182" s="1"/>
      <c r="K2182" s="102" t="s">
        <v>4057</v>
      </c>
      <c r="L2182" s="102" t="str">
        <f>J61</f>
        <v>J1a2a1a2c2~</v>
      </c>
      <c r="M2182" s="102" t="s">
        <v>4058</v>
      </c>
      <c r="N2182" s="102"/>
      <c r="O2182" s="105">
        <v>1.4370778E7</v>
      </c>
      <c r="P2182" s="105">
        <v>1.2250074E7</v>
      </c>
      <c r="Q2182" s="102" t="s">
        <v>2439</v>
      </c>
      <c r="S2182" s="1"/>
      <c r="T2182" s="1"/>
      <c r="U2182" s="1"/>
      <c r="V2182" s="1"/>
      <c r="W2182" s="1"/>
      <c r="X2182" s="1"/>
      <c r="Y2182" s="1"/>
      <c r="Z2182" s="102"/>
      <c r="AA2182" s="102"/>
      <c r="AB2182" s="1"/>
      <c r="AC2182" s="1"/>
      <c r="AD2182" s="1"/>
      <c r="AE2182" s="1"/>
      <c r="AF2182" s="1"/>
      <c r="AG2182" s="1"/>
    </row>
    <row r="2183" ht="15.75" customHeight="1">
      <c r="A2183" s="1"/>
      <c r="B2183" s="1"/>
      <c r="C2183" s="1"/>
      <c r="D2183" s="1"/>
      <c r="E2183" s="1"/>
      <c r="F2183" s="1"/>
      <c r="G2183" s="1"/>
      <c r="H2183" s="1"/>
      <c r="I2183" s="1"/>
      <c r="J2183" s="1"/>
      <c r="K2183" s="102" t="s">
        <v>4058</v>
      </c>
      <c r="L2183" s="102" t="str">
        <f>J61</f>
        <v>J1a2a1a2c2~</v>
      </c>
      <c r="M2183" s="102" t="s">
        <v>4057</v>
      </c>
      <c r="N2183" s="102"/>
      <c r="O2183" s="105">
        <v>1.4370778E7</v>
      </c>
      <c r="P2183" s="105">
        <v>1.2250074E7</v>
      </c>
      <c r="Q2183" s="102" t="s">
        <v>2439</v>
      </c>
      <c r="S2183" s="1"/>
      <c r="T2183" s="1"/>
      <c r="U2183" s="1"/>
      <c r="V2183" s="1"/>
      <c r="W2183" s="1"/>
      <c r="X2183" s="1"/>
      <c r="Y2183" s="1"/>
      <c r="Z2183" s="102"/>
      <c r="AA2183" s="102"/>
      <c r="AB2183" s="1"/>
      <c r="AC2183" s="1"/>
      <c r="AD2183" s="1"/>
      <c r="AE2183" s="1"/>
      <c r="AF2183" s="1"/>
      <c r="AG2183" s="1"/>
    </row>
    <row r="2184" ht="15.75" customHeight="1">
      <c r="A2184" s="1"/>
      <c r="B2184" s="1"/>
      <c r="C2184" s="1"/>
      <c r="D2184" s="1"/>
      <c r="E2184" s="1"/>
      <c r="F2184" s="1"/>
      <c r="G2184" s="1"/>
      <c r="H2184" s="1"/>
      <c r="I2184" s="1"/>
      <c r="J2184" s="1"/>
      <c r="K2184" s="102" t="s">
        <v>4059</v>
      </c>
      <c r="L2184" s="102" t="str">
        <f>J61</f>
        <v>J1a2a1a2c2~</v>
      </c>
      <c r="M2184" s="102"/>
      <c r="N2184" s="102"/>
      <c r="O2184" s="105">
        <v>1.5049379E7</v>
      </c>
      <c r="P2184" s="105">
        <v>1.293747E7</v>
      </c>
      <c r="Q2184" s="102" t="s">
        <v>2563</v>
      </c>
      <c r="S2184" s="1"/>
      <c r="T2184" s="1"/>
      <c r="U2184" s="1"/>
      <c r="V2184" s="1"/>
      <c r="W2184" s="1"/>
      <c r="X2184" s="1"/>
      <c r="Y2184" s="1"/>
      <c r="Z2184" s="102"/>
      <c r="AA2184" s="102"/>
      <c r="AB2184" s="1"/>
      <c r="AC2184" s="1"/>
      <c r="AD2184" s="1"/>
      <c r="AE2184" s="1"/>
      <c r="AF2184" s="1"/>
      <c r="AG2184" s="1"/>
    </row>
    <row r="2185" ht="15.75" customHeight="1">
      <c r="A2185" s="1"/>
      <c r="B2185" s="1"/>
      <c r="C2185" s="1"/>
      <c r="D2185" s="1"/>
      <c r="E2185" s="1"/>
      <c r="F2185" s="1"/>
      <c r="G2185" s="1"/>
      <c r="H2185" s="1"/>
      <c r="I2185" s="1"/>
      <c r="J2185" s="1"/>
      <c r="K2185" s="102" t="s">
        <v>4060</v>
      </c>
      <c r="L2185" s="102" t="str">
        <f>J61</f>
        <v>J1a2a1a2c2~</v>
      </c>
      <c r="M2185" s="102"/>
      <c r="N2185" s="102"/>
      <c r="O2185" s="105">
        <v>7136608.0</v>
      </c>
      <c r="P2185" s="105">
        <v>7268567.0</v>
      </c>
      <c r="Q2185" s="102" t="s">
        <v>2468</v>
      </c>
      <c r="S2185" s="1"/>
      <c r="T2185" s="1"/>
      <c r="U2185" s="1"/>
      <c r="V2185" s="1"/>
      <c r="W2185" s="1"/>
      <c r="X2185" s="1"/>
      <c r="Y2185" s="1"/>
      <c r="Z2185" s="102"/>
      <c r="AA2185" s="102"/>
      <c r="AB2185" s="1"/>
      <c r="AC2185" s="1"/>
      <c r="AD2185" s="1"/>
      <c r="AE2185" s="1"/>
      <c r="AF2185" s="1"/>
      <c r="AG2185" s="1"/>
    </row>
    <row r="2186" ht="15.75" customHeight="1">
      <c r="A2186" s="1"/>
      <c r="B2186" s="1"/>
      <c r="C2186" s="1"/>
      <c r="D2186" s="1"/>
      <c r="E2186" s="1"/>
      <c r="F2186" s="1"/>
      <c r="G2186" s="1"/>
      <c r="H2186" s="1"/>
      <c r="I2186" s="1"/>
      <c r="J2186" s="1"/>
      <c r="K2186" s="102" t="s">
        <v>4061</v>
      </c>
      <c r="L2186" s="102" t="str">
        <f>J61</f>
        <v>J1a2a1a2c2~</v>
      </c>
      <c r="M2186" s="102"/>
      <c r="N2186" s="102"/>
      <c r="O2186" s="105">
        <v>7950670.0</v>
      </c>
      <c r="P2186" s="105">
        <v>8082629.0</v>
      </c>
      <c r="Q2186" s="102" t="s">
        <v>2432</v>
      </c>
      <c r="S2186" s="1"/>
      <c r="T2186" s="1"/>
      <c r="U2186" s="1"/>
      <c r="V2186" s="1"/>
      <c r="W2186" s="1"/>
      <c r="X2186" s="1"/>
      <c r="Y2186" s="1"/>
      <c r="Z2186" s="102"/>
      <c r="AA2186" s="102"/>
      <c r="AB2186" s="1"/>
      <c r="AC2186" s="1"/>
      <c r="AD2186" s="1"/>
      <c r="AE2186" s="1"/>
      <c r="AF2186" s="1"/>
      <c r="AG2186" s="1"/>
    </row>
    <row r="2187" ht="15.75" customHeight="1">
      <c r="A2187" s="1"/>
      <c r="B2187" s="1"/>
      <c r="C2187" s="1"/>
      <c r="D2187" s="1"/>
      <c r="E2187" s="1"/>
      <c r="F2187" s="1"/>
      <c r="G2187" s="1"/>
      <c r="H2187" s="1"/>
      <c r="I2187" s="1"/>
      <c r="J2187" s="1"/>
      <c r="K2187" s="102" t="s">
        <v>4062</v>
      </c>
      <c r="L2187" s="102" t="str">
        <f>J61</f>
        <v>J1a2a1a2c2~</v>
      </c>
      <c r="M2187" s="102"/>
      <c r="N2187" s="102"/>
      <c r="O2187" s="105">
        <v>8211122.0</v>
      </c>
      <c r="P2187" s="105">
        <v>8343081.0</v>
      </c>
      <c r="Q2187" s="102" t="s">
        <v>2501</v>
      </c>
      <c r="S2187" s="1"/>
      <c r="T2187" s="1"/>
      <c r="U2187" s="1"/>
      <c r="V2187" s="1"/>
      <c r="W2187" s="1"/>
      <c r="X2187" s="1"/>
      <c r="Y2187" s="1"/>
      <c r="Z2187" s="102"/>
      <c r="AA2187" s="102"/>
      <c r="AB2187" s="1"/>
      <c r="AC2187" s="1"/>
      <c r="AD2187" s="1"/>
      <c r="AE2187" s="1"/>
      <c r="AF2187" s="1"/>
      <c r="AG2187" s="1"/>
    </row>
    <row r="2188" ht="15.75" customHeight="1">
      <c r="A2188" s="1"/>
      <c r="B2188" s="1"/>
      <c r="C2188" s="1"/>
      <c r="D2188" s="1"/>
      <c r="E2188" s="1"/>
      <c r="F2188" s="1"/>
      <c r="G2188" s="1"/>
      <c r="H2188" s="1"/>
      <c r="I2188" s="1"/>
      <c r="J2188" s="1"/>
      <c r="K2188" s="102" t="s">
        <v>4063</v>
      </c>
      <c r="L2188" s="102" t="str">
        <f>J61</f>
        <v>J1a2a1a2c2~</v>
      </c>
      <c r="M2188" s="102"/>
      <c r="N2188" s="102"/>
      <c r="O2188" s="105">
        <v>8993545.0</v>
      </c>
      <c r="P2188" s="105">
        <v>9155936.0</v>
      </c>
      <c r="Q2188" s="102" t="s">
        <v>2514</v>
      </c>
      <c r="S2188" s="1"/>
      <c r="T2188" s="1"/>
      <c r="U2188" s="1"/>
      <c r="V2188" s="1"/>
      <c r="W2188" s="1"/>
      <c r="X2188" s="1"/>
      <c r="Y2188" s="1"/>
      <c r="Z2188" s="102"/>
      <c r="AA2188" s="102"/>
      <c r="AB2188" s="1"/>
      <c r="AC2188" s="1"/>
      <c r="AD2188" s="1"/>
      <c r="AE2188" s="1"/>
      <c r="AF2188" s="1"/>
      <c r="AG2188" s="1"/>
    </row>
    <row r="2189" ht="15.75" customHeight="1">
      <c r="A2189" s="1"/>
      <c r="B2189" s="1"/>
      <c r="C2189" s="1"/>
      <c r="D2189" s="1"/>
      <c r="E2189" s="1"/>
      <c r="F2189" s="1"/>
      <c r="G2189" s="1"/>
      <c r="H2189" s="1"/>
      <c r="I2189" s="1"/>
      <c r="J2189" s="1"/>
      <c r="K2189" s="102" t="s">
        <v>4064</v>
      </c>
      <c r="L2189" s="102" t="str">
        <f>J61</f>
        <v>J1a2a1a2c2~</v>
      </c>
      <c r="M2189" s="102"/>
      <c r="N2189" s="102"/>
      <c r="O2189" s="105">
        <v>9145103.0</v>
      </c>
      <c r="P2189" s="105">
        <v>9307494.0</v>
      </c>
      <c r="Q2189" s="102" t="s">
        <v>2439</v>
      </c>
      <c r="S2189" s="1"/>
      <c r="T2189" s="1"/>
      <c r="U2189" s="1"/>
      <c r="V2189" s="1"/>
      <c r="W2189" s="1"/>
      <c r="X2189" s="1"/>
      <c r="Y2189" s="1"/>
      <c r="Z2189" s="102"/>
      <c r="AA2189" s="102"/>
      <c r="AB2189" s="1"/>
      <c r="AC2189" s="1"/>
      <c r="AD2189" s="1"/>
      <c r="AE2189" s="1"/>
      <c r="AF2189" s="1"/>
      <c r="AG2189" s="1"/>
    </row>
    <row r="2190" ht="15.75" customHeight="1">
      <c r="A2190" s="1"/>
      <c r="B2190" s="1"/>
      <c r="C2190" s="1"/>
      <c r="D2190" s="1"/>
      <c r="E2190" s="1"/>
      <c r="F2190" s="1"/>
      <c r="G2190" s="1"/>
      <c r="H2190" s="1"/>
      <c r="I2190" s="1"/>
      <c r="J2190" s="1"/>
      <c r="K2190" s="102" t="s">
        <v>4065</v>
      </c>
      <c r="L2190" s="102" t="str">
        <f>J61</f>
        <v>J1a2a1a2c2~</v>
      </c>
      <c r="M2190" s="102"/>
      <c r="N2190" s="102"/>
      <c r="O2190" s="105">
        <v>1.4318111E7</v>
      </c>
      <c r="P2190" s="105">
        <v>1.2197405E7</v>
      </c>
      <c r="Q2190" s="102" t="s">
        <v>2439</v>
      </c>
      <c r="S2190" s="1"/>
      <c r="T2190" s="1"/>
      <c r="U2190" s="1"/>
      <c r="V2190" s="1"/>
      <c r="W2190" s="1"/>
      <c r="X2190" s="1"/>
      <c r="Y2190" s="1"/>
      <c r="Z2190" s="102"/>
      <c r="AA2190" s="102"/>
      <c r="AB2190" s="1"/>
      <c r="AC2190" s="1"/>
      <c r="AD2190" s="1"/>
      <c r="AE2190" s="1"/>
      <c r="AF2190" s="1"/>
      <c r="AG2190" s="1"/>
    </row>
    <row r="2191" ht="15.75" customHeight="1">
      <c r="A2191" s="1"/>
      <c r="B2191" s="1"/>
      <c r="C2191" s="1"/>
      <c r="D2191" s="1"/>
      <c r="E2191" s="1"/>
      <c r="F2191" s="1"/>
      <c r="G2191" s="1"/>
      <c r="H2191" s="1"/>
      <c r="I2191" s="1"/>
      <c r="J2191" s="1"/>
      <c r="K2191" s="102" t="s">
        <v>4066</v>
      </c>
      <c r="L2191" s="102" t="str">
        <f>J61</f>
        <v>J1a2a1a2c2~</v>
      </c>
      <c r="M2191" s="102"/>
      <c r="N2191" s="102"/>
      <c r="O2191" s="105">
        <v>1.5386999E7</v>
      </c>
      <c r="P2191" s="105">
        <v>1.3275119E7</v>
      </c>
      <c r="Q2191" s="102" t="s">
        <v>2423</v>
      </c>
      <c r="S2191" s="1"/>
      <c r="T2191" s="1"/>
      <c r="U2191" s="1"/>
      <c r="V2191" s="1"/>
      <c r="W2191" s="1"/>
      <c r="X2191" s="1"/>
      <c r="Y2191" s="1"/>
      <c r="Z2191" s="102"/>
      <c r="AA2191" s="102"/>
      <c r="AB2191" s="1"/>
      <c r="AC2191" s="1"/>
      <c r="AD2191" s="1"/>
      <c r="AE2191" s="1"/>
      <c r="AF2191" s="1"/>
      <c r="AG2191" s="1"/>
    </row>
    <row r="2192" ht="15.75" customHeight="1">
      <c r="A2192" s="1"/>
      <c r="B2192" s="1"/>
      <c r="C2192" s="1"/>
      <c r="D2192" s="1"/>
      <c r="E2192" s="1"/>
      <c r="F2192" s="1"/>
      <c r="G2192" s="1"/>
      <c r="H2192" s="1"/>
      <c r="I2192" s="1"/>
      <c r="J2192" s="1"/>
      <c r="K2192" s="102" t="s">
        <v>4067</v>
      </c>
      <c r="L2192" s="102" t="str">
        <f>J61</f>
        <v>J1a2a1a2c2~</v>
      </c>
      <c r="M2192" s="102"/>
      <c r="N2192" s="102"/>
      <c r="O2192" s="105">
        <v>1.6547249E7</v>
      </c>
      <c r="P2192" s="105">
        <v>1.4435369E7</v>
      </c>
      <c r="Q2192" s="102" t="s">
        <v>2576</v>
      </c>
      <c r="S2192" s="1"/>
      <c r="T2192" s="1"/>
      <c r="U2192" s="1"/>
      <c r="V2192" s="1"/>
      <c r="W2192" s="1"/>
      <c r="X2192" s="1"/>
      <c r="Y2192" s="1"/>
      <c r="Z2192" s="102"/>
      <c r="AA2192" s="102"/>
      <c r="AB2192" s="1"/>
      <c r="AC2192" s="1"/>
      <c r="AD2192" s="1"/>
      <c r="AE2192" s="1"/>
      <c r="AF2192" s="1"/>
      <c r="AG2192" s="1"/>
    </row>
    <row r="2193" ht="15.75" customHeight="1">
      <c r="A2193" s="1"/>
      <c r="B2193" s="1"/>
      <c r="C2193" s="1"/>
      <c r="D2193" s="1"/>
      <c r="E2193" s="1"/>
      <c r="F2193" s="1"/>
      <c r="G2193" s="1"/>
      <c r="H2193" s="1"/>
      <c r="I2193" s="1"/>
      <c r="J2193" s="1"/>
      <c r="K2193" s="102" t="s">
        <v>4068</v>
      </c>
      <c r="L2193" s="102" t="str">
        <f>J61</f>
        <v>J1a2a1a2c2~</v>
      </c>
      <c r="M2193" s="102"/>
      <c r="N2193" s="102"/>
      <c r="O2193" s="105">
        <v>1.8395203E7</v>
      </c>
      <c r="P2193" s="105">
        <v>1.6283323E7</v>
      </c>
      <c r="Q2193" s="102" t="s">
        <v>2439</v>
      </c>
      <c r="S2193" s="1"/>
      <c r="T2193" s="1"/>
      <c r="U2193" s="1"/>
      <c r="V2193" s="1"/>
      <c r="W2193" s="1"/>
      <c r="X2193" s="1"/>
      <c r="Y2193" s="1"/>
      <c r="Z2193" s="102"/>
      <c r="AA2193" s="102"/>
      <c r="AB2193" s="1"/>
      <c r="AC2193" s="1"/>
      <c r="AD2193" s="1"/>
      <c r="AE2193" s="1"/>
      <c r="AF2193" s="1"/>
      <c r="AG2193" s="1"/>
    </row>
    <row r="2194" ht="15.75" customHeight="1">
      <c r="A2194" s="1"/>
      <c r="B2194" s="1"/>
      <c r="C2194" s="1"/>
      <c r="D2194" s="1"/>
      <c r="E2194" s="1"/>
      <c r="F2194" s="1"/>
      <c r="G2194" s="1"/>
      <c r="H2194" s="1"/>
      <c r="I2194" s="1"/>
      <c r="J2194" s="1"/>
      <c r="K2194" s="102" t="s">
        <v>4069</v>
      </c>
      <c r="L2194" s="102" t="str">
        <f>J61</f>
        <v>J1a2a1a2c2~</v>
      </c>
      <c r="M2194" s="102"/>
      <c r="N2194" s="102"/>
      <c r="O2194" s="105">
        <v>1.8871985E7</v>
      </c>
      <c r="P2194" s="105">
        <v>1.6760105E7</v>
      </c>
      <c r="Q2194" s="102" t="s">
        <v>2468</v>
      </c>
      <c r="S2194" s="1"/>
      <c r="T2194" s="1"/>
      <c r="U2194" s="1"/>
      <c r="V2194" s="1"/>
      <c r="W2194" s="1"/>
      <c r="X2194" s="1"/>
      <c r="Y2194" s="1"/>
      <c r="Z2194" s="102"/>
      <c r="AA2194" s="102"/>
      <c r="AB2194" s="1"/>
      <c r="AC2194" s="1"/>
      <c r="AD2194" s="1"/>
      <c r="AE2194" s="1"/>
      <c r="AF2194" s="1"/>
      <c r="AG2194" s="1"/>
    </row>
    <row r="2195" ht="15.75" customHeight="1">
      <c r="A2195" s="1"/>
      <c r="B2195" s="1"/>
      <c r="C2195" s="1"/>
      <c r="D2195" s="1"/>
      <c r="E2195" s="1"/>
      <c r="F2195" s="1"/>
      <c r="G2195" s="1"/>
      <c r="H2195" s="1"/>
      <c r="I2195" s="1"/>
      <c r="J2195" s="1"/>
      <c r="K2195" s="102" t="s">
        <v>4070</v>
      </c>
      <c r="L2195" s="102" t="str">
        <f>J61</f>
        <v>J1a2a1a2c2~</v>
      </c>
      <c r="M2195" s="102"/>
      <c r="N2195" s="102"/>
      <c r="O2195" s="105">
        <v>1.8952641E7</v>
      </c>
      <c r="P2195" s="105">
        <v>1.6840761E7</v>
      </c>
      <c r="Q2195" s="102" t="s">
        <v>2439</v>
      </c>
      <c r="S2195" s="1"/>
      <c r="T2195" s="1"/>
      <c r="U2195" s="1"/>
      <c r="V2195" s="1"/>
      <c r="W2195" s="1"/>
      <c r="X2195" s="1"/>
      <c r="Y2195" s="1"/>
      <c r="Z2195" s="102"/>
      <c r="AA2195" s="102"/>
      <c r="AB2195" s="1"/>
      <c r="AC2195" s="1"/>
      <c r="AD2195" s="1"/>
      <c r="AE2195" s="1"/>
      <c r="AF2195" s="1"/>
      <c r="AG2195" s="1"/>
    </row>
    <row r="2196" ht="15.75" customHeight="1">
      <c r="A2196" s="1"/>
      <c r="B2196" s="1"/>
      <c r="C2196" s="1"/>
      <c r="D2196" s="1"/>
      <c r="E2196" s="1"/>
      <c r="F2196" s="1"/>
      <c r="G2196" s="1"/>
      <c r="H2196" s="1"/>
      <c r="I2196" s="1"/>
      <c r="J2196" s="1"/>
      <c r="K2196" s="102" t="s">
        <v>4071</v>
      </c>
      <c r="L2196" s="102" t="str">
        <f>J61</f>
        <v>J1a2a1a2c2~</v>
      </c>
      <c r="M2196" s="102"/>
      <c r="N2196" s="102" t="s">
        <v>4072</v>
      </c>
      <c r="O2196" s="105">
        <v>1.9145335E7</v>
      </c>
      <c r="P2196" s="105">
        <v>1.7033455E7</v>
      </c>
      <c r="Q2196" s="102" t="s">
        <v>2454</v>
      </c>
      <c r="S2196" s="1"/>
      <c r="T2196" s="1"/>
      <c r="U2196" s="1"/>
      <c r="V2196" s="1"/>
      <c r="W2196" s="1"/>
      <c r="X2196" s="1"/>
      <c r="Y2196" s="1"/>
      <c r="Z2196" s="102"/>
      <c r="AA2196" s="102"/>
      <c r="AB2196" s="1"/>
      <c r="AC2196" s="1"/>
      <c r="AD2196" s="1"/>
      <c r="AE2196" s="1"/>
      <c r="AF2196" s="1"/>
      <c r="AG2196" s="1"/>
    </row>
    <row r="2197" ht="15.75" customHeight="1">
      <c r="A2197" s="1"/>
      <c r="B2197" s="1"/>
      <c r="C2197" s="1"/>
      <c r="D2197" s="1"/>
      <c r="E2197" s="1"/>
      <c r="F2197" s="1"/>
      <c r="G2197" s="1"/>
      <c r="H2197" s="1"/>
      <c r="I2197" s="1"/>
      <c r="J2197" s="1"/>
      <c r="K2197" s="102" t="s">
        <v>4073</v>
      </c>
      <c r="L2197" s="102" t="str">
        <f>J61</f>
        <v>J1a2a1a2c2~</v>
      </c>
      <c r="M2197" s="102"/>
      <c r="N2197" s="102"/>
      <c r="O2197" s="105">
        <v>2.1698873E7</v>
      </c>
      <c r="P2197" s="105">
        <v>1.9536987E7</v>
      </c>
      <c r="Q2197" s="102" t="s">
        <v>2468</v>
      </c>
      <c r="S2197" s="1"/>
      <c r="T2197" s="1"/>
      <c r="U2197" s="1"/>
      <c r="V2197" s="1"/>
      <c r="W2197" s="1"/>
      <c r="X2197" s="1"/>
      <c r="Y2197" s="1"/>
      <c r="Z2197" s="102"/>
      <c r="AA2197" s="102"/>
      <c r="AB2197" s="1"/>
      <c r="AC2197" s="1"/>
      <c r="AD2197" s="1"/>
      <c r="AE2197" s="1"/>
      <c r="AF2197" s="1"/>
      <c r="AG2197" s="1"/>
    </row>
    <row r="2198" ht="15.75" customHeight="1">
      <c r="A2198" s="1"/>
      <c r="B2198" s="1"/>
      <c r="C2198" s="1"/>
      <c r="D2198" s="1"/>
      <c r="E2198" s="1"/>
      <c r="F2198" s="1"/>
      <c r="G2198" s="1"/>
      <c r="H2198" s="1"/>
      <c r="I2198" s="1"/>
      <c r="J2198" s="1"/>
      <c r="K2198" s="102" t="s">
        <v>4074</v>
      </c>
      <c r="L2198" s="102" t="str">
        <f>J61</f>
        <v>J1a2a1a2c2~</v>
      </c>
      <c r="M2198" s="102"/>
      <c r="N2198" s="102"/>
      <c r="O2198" s="105">
        <v>2.1826965E7</v>
      </c>
      <c r="P2198" s="105">
        <v>1.9665079E7</v>
      </c>
      <c r="Q2198" s="102" t="s">
        <v>2468</v>
      </c>
      <c r="S2198" s="1"/>
      <c r="T2198" s="1"/>
      <c r="U2198" s="1"/>
      <c r="V2198" s="1"/>
      <c r="W2198" s="1"/>
      <c r="X2198" s="1"/>
      <c r="Y2198" s="1"/>
      <c r="Z2198" s="102"/>
      <c r="AA2198" s="102"/>
      <c r="AB2198" s="1"/>
      <c r="AC2198" s="1"/>
      <c r="AD2198" s="1"/>
      <c r="AE2198" s="1"/>
      <c r="AF2198" s="1"/>
      <c r="AG2198" s="1"/>
    </row>
    <row r="2199" ht="15.75" customHeight="1">
      <c r="A2199" s="1"/>
      <c r="B2199" s="1"/>
      <c r="C2199" s="1"/>
      <c r="D2199" s="1"/>
      <c r="E2199" s="1"/>
      <c r="F2199" s="1"/>
      <c r="G2199" s="1"/>
      <c r="H2199" s="1"/>
      <c r="I2199" s="1"/>
      <c r="J2199" s="1"/>
      <c r="K2199" s="102" t="s">
        <v>4075</v>
      </c>
      <c r="L2199" s="102" t="str">
        <f>J61</f>
        <v>J1a2a1a2c2~</v>
      </c>
      <c r="M2199" s="102"/>
      <c r="N2199" s="102" t="s">
        <v>4076</v>
      </c>
      <c r="O2199" s="105">
        <v>2.1834507E7</v>
      </c>
      <c r="P2199" s="105">
        <v>1.9672621E7</v>
      </c>
      <c r="Q2199" s="102" t="s">
        <v>2439</v>
      </c>
      <c r="S2199" s="1"/>
      <c r="T2199" s="1"/>
      <c r="U2199" s="1"/>
      <c r="V2199" s="1"/>
      <c r="W2199" s="1"/>
      <c r="X2199" s="1"/>
      <c r="Y2199" s="1"/>
      <c r="Z2199" s="102"/>
      <c r="AA2199" s="102"/>
      <c r="AB2199" s="1"/>
      <c r="AC2199" s="1"/>
      <c r="AD2199" s="1"/>
      <c r="AE2199" s="1"/>
      <c r="AF2199" s="1"/>
      <c r="AG2199" s="1"/>
    </row>
    <row r="2200" ht="15.75" customHeight="1">
      <c r="A2200" s="1"/>
      <c r="B2200" s="1"/>
      <c r="C2200" s="1"/>
      <c r="D2200" s="1"/>
      <c r="E2200" s="1"/>
      <c r="F2200" s="1"/>
      <c r="G2200" s="1"/>
      <c r="H2200" s="1"/>
      <c r="I2200" s="1"/>
      <c r="J2200" s="1"/>
      <c r="K2200" s="102" t="s">
        <v>4077</v>
      </c>
      <c r="L2200" s="102" t="str">
        <f>J61</f>
        <v>J1a2a1a2c2~</v>
      </c>
      <c r="M2200" s="102"/>
      <c r="N2200" s="102"/>
      <c r="O2200" s="105">
        <v>2.2183842E7</v>
      </c>
      <c r="P2200" s="105">
        <v>2.0021956E7</v>
      </c>
      <c r="Q2200" s="102" t="s">
        <v>2501</v>
      </c>
      <c r="S2200" s="1"/>
      <c r="T2200" s="1"/>
      <c r="U2200" s="1"/>
      <c r="V2200" s="1"/>
      <c r="W2200" s="1"/>
      <c r="X2200" s="1"/>
      <c r="Y2200" s="1"/>
      <c r="Z2200" s="102"/>
      <c r="AA2200" s="102"/>
      <c r="AB2200" s="1"/>
      <c r="AC2200" s="1"/>
      <c r="AD2200" s="1"/>
      <c r="AE2200" s="1"/>
      <c r="AF2200" s="1"/>
      <c r="AG2200" s="1"/>
    </row>
    <row r="2201" ht="15.75" customHeight="1">
      <c r="A2201" s="1"/>
      <c r="B2201" s="1"/>
      <c r="C2201" s="1"/>
      <c r="D2201" s="1"/>
      <c r="E2201" s="1"/>
      <c r="F2201" s="1"/>
      <c r="G2201" s="1"/>
      <c r="H2201" s="1"/>
      <c r="I2201" s="1"/>
      <c r="J2201" s="1"/>
      <c r="K2201" s="102" t="s">
        <v>4078</v>
      </c>
      <c r="L2201" s="102" t="str">
        <f>J61</f>
        <v>J1a2a1a2c2~</v>
      </c>
      <c r="M2201" s="102"/>
      <c r="N2201" s="102"/>
      <c r="O2201" s="105">
        <v>2.218455E7</v>
      </c>
      <c r="P2201" s="105">
        <v>2.0022664E7</v>
      </c>
      <c r="Q2201" s="102" t="s">
        <v>2468</v>
      </c>
      <c r="S2201" s="1"/>
      <c r="T2201" s="1"/>
      <c r="U2201" s="1"/>
      <c r="V2201" s="1"/>
      <c r="W2201" s="1"/>
      <c r="X2201" s="1"/>
      <c r="Y2201" s="1"/>
      <c r="Z2201" s="102"/>
      <c r="AA2201" s="102"/>
      <c r="AB2201" s="1"/>
      <c r="AC2201" s="1"/>
      <c r="AD2201" s="1"/>
      <c r="AE2201" s="1"/>
      <c r="AF2201" s="1"/>
      <c r="AG2201" s="1"/>
    </row>
    <row r="2202" ht="15.75" customHeight="1">
      <c r="A2202" s="1"/>
      <c r="B2202" s="1"/>
      <c r="C2202" s="1"/>
      <c r="D2202" s="1"/>
      <c r="E2202" s="1"/>
      <c r="F2202" s="1"/>
      <c r="G2202" s="1"/>
      <c r="H2202" s="1"/>
      <c r="I2202" s="1"/>
      <c r="J2202" s="1"/>
      <c r="K2202" s="102" t="s">
        <v>4079</v>
      </c>
      <c r="L2202" s="102" t="str">
        <f>J61</f>
        <v>J1a2a1a2c2~</v>
      </c>
      <c r="M2202" s="102"/>
      <c r="N2202" s="102"/>
      <c r="O2202" s="105">
        <v>2.2700519E7</v>
      </c>
      <c r="P2202" s="105">
        <v>2.0538633E7</v>
      </c>
      <c r="Q2202" s="102" t="s">
        <v>2501</v>
      </c>
      <c r="S2202" s="1"/>
      <c r="T2202" s="1"/>
      <c r="U2202" s="1"/>
      <c r="V2202" s="1"/>
      <c r="W2202" s="1"/>
      <c r="X2202" s="1"/>
      <c r="Y2202" s="1"/>
      <c r="Z2202" s="102"/>
      <c r="AA2202" s="102"/>
      <c r="AB2202" s="1"/>
      <c r="AC2202" s="1"/>
      <c r="AD2202" s="1"/>
      <c r="AE2202" s="1"/>
      <c r="AF2202" s="1"/>
      <c r="AG2202" s="1"/>
    </row>
    <row r="2203" ht="15.75" customHeight="1">
      <c r="A2203" s="1"/>
      <c r="B2203" s="1"/>
      <c r="C2203" s="1"/>
      <c r="D2203" s="1"/>
      <c r="E2203" s="1"/>
      <c r="F2203" s="1"/>
      <c r="G2203" s="1"/>
      <c r="H2203" s="1"/>
      <c r="I2203" s="1"/>
      <c r="J2203" s="1"/>
      <c r="K2203" s="102" t="s">
        <v>4080</v>
      </c>
      <c r="L2203" s="102" t="str">
        <f>J61</f>
        <v>J1a2a1a2c2~</v>
      </c>
      <c r="M2203" s="102"/>
      <c r="N2203" s="102"/>
      <c r="O2203" s="102">
        <v>2.3475325E7</v>
      </c>
      <c r="P2203" s="102">
        <v>2.1313439E7</v>
      </c>
      <c r="Q2203" s="102" t="s">
        <v>2439</v>
      </c>
      <c r="S2203" s="1"/>
      <c r="T2203" s="1"/>
      <c r="U2203" s="1"/>
      <c r="V2203" s="1"/>
      <c r="W2203" s="1"/>
      <c r="X2203" s="1"/>
      <c r="Y2203" s="1"/>
      <c r="Z2203" s="102">
        <v>2.3475325E7</v>
      </c>
      <c r="AA2203" s="102"/>
      <c r="AB2203" s="1"/>
      <c r="AC2203" s="1"/>
      <c r="AD2203" s="1"/>
      <c r="AE2203" s="1"/>
      <c r="AF2203" s="1"/>
      <c r="AG2203" s="1"/>
    </row>
    <row r="2204" ht="15.75" customHeight="1">
      <c r="A2204" s="1"/>
      <c r="B2204" s="1"/>
      <c r="C2204" s="1"/>
      <c r="D2204" s="1"/>
      <c r="E2204" s="1"/>
      <c r="F2204" s="1"/>
      <c r="G2204" s="1"/>
      <c r="H2204" s="1"/>
      <c r="I2204" s="1"/>
      <c r="J2204" s="1"/>
      <c r="K2204" s="102" t="s">
        <v>4081</v>
      </c>
      <c r="L2204" s="102" t="str">
        <f>J61</f>
        <v>J1a2a1a2c2~</v>
      </c>
      <c r="M2204" s="102"/>
      <c r="N2204" s="102"/>
      <c r="O2204" s="105">
        <v>2.4431205E7</v>
      </c>
      <c r="P2204" s="105">
        <v>2.2285058E7</v>
      </c>
      <c r="Q2204" s="102" t="s">
        <v>2501</v>
      </c>
      <c r="S2204" s="1"/>
      <c r="T2204" s="1"/>
      <c r="U2204" s="1"/>
      <c r="V2204" s="1"/>
      <c r="W2204" s="1"/>
      <c r="X2204" s="1"/>
      <c r="Y2204" s="1"/>
      <c r="Z2204" s="102"/>
      <c r="AA2204" s="102"/>
      <c r="AB2204" s="1"/>
      <c r="AC2204" s="1"/>
      <c r="AD2204" s="1"/>
      <c r="AE2204" s="1"/>
      <c r="AF2204" s="1"/>
      <c r="AG2204" s="1"/>
    </row>
    <row r="2205" ht="15.75" customHeight="1">
      <c r="A2205" s="1"/>
      <c r="B2205" s="1"/>
      <c r="C2205" s="1"/>
      <c r="D2205" s="1"/>
      <c r="E2205" s="1"/>
      <c r="F2205" s="1"/>
      <c r="G2205" s="1"/>
      <c r="H2205" s="1"/>
      <c r="I2205" s="1"/>
      <c r="J2205" s="1"/>
      <c r="K2205" s="102" t="s">
        <v>4082</v>
      </c>
      <c r="L2205" s="102" t="str">
        <f>J61</f>
        <v>J1a2a1a2c2~</v>
      </c>
      <c r="M2205" s="102"/>
      <c r="N2205" s="102"/>
      <c r="O2205" s="105">
        <v>8328281.0</v>
      </c>
      <c r="P2205" s="105">
        <v>8460240.0</v>
      </c>
      <c r="Q2205" s="102" t="s">
        <v>2439</v>
      </c>
      <c r="S2205" s="1"/>
      <c r="T2205" s="1"/>
      <c r="U2205" s="1"/>
      <c r="V2205" s="1"/>
      <c r="W2205" s="1"/>
      <c r="X2205" s="1"/>
      <c r="Y2205" s="1"/>
      <c r="Z2205" s="102"/>
      <c r="AA2205" s="102"/>
      <c r="AB2205" s="1"/>
      <c r="AC2205" s="1"/>
      <c r="AD2205" s="1"/>
      <c r="AE2205" s="1"/>
      <c r="AF2205" s="1"/>
      <c r="AG2205" s="1"/>
    </row>
    <row r="2206" ht="15.75" customHeight="1">
      <c r="A2206" s="1"/>
      <c r="B2206" s="1"/>
      <c r="C2206" s="1"/>
      <c r="D2206" s="1"/>
      <c r="E2206" s="1"/>
      <c r="F2206" s="1"/>
      <c r="G2206" s="1"/>
      <c r="H2206" s="1"/>
      <c r="I2206" s="1"/>
      <c r="J2206" s="1"/>
      <c r="K2206" s="102" t="s">
        <v>4083</v>
      </c>
      <c r="L2206" s="102" t="str">
        <f>J61</f>
        <v>J1a2a1a2c2~</v>
      </c>
      <c r="M2206" s="102"/>
      <c r="N2206" s="102"/>
      <c r="O2206" s="105">
        <v>8481663.0</v>
      </c>
      <c r="P2206" s="105">
        <v>8613622.0</v>
      </c>
      <c r="Q2206" s="102" t="s">
        <v>2468</v>
      </c>
      <c r="S2206" s="1"/>
      <c r="T2206" s="1"/>
      <c r="U2206" s="1"/>
      <c r="V2206" s="1"/>
      <c r="W2206" s="1"/>
      <c r="X2206" s="1"/>
      <c r="Y2206" s="1"/>
      <c r="Z2206" s="102"/>
      <c r="AA2206" s="102"/>
      <c r="AB2206" s="1"/>
      <c r="AC2206" s="1"/>
      <c r="AD2206" s="1"/>
      <c r="AE2206" s="1"/>
      <c r="AF2206" s="1"/>
      <c r="AG2206" s="1"/>
    </row>
    <row r="2207" ht="15.75" customHeight="1">
      <c r="A2207" s="1"/>
      <c r="B2207" s="1"/>
      <c r="C2207" s="1"/>
      <c r="D2207" s="1"/>
      <c r="E2207" s="1"/>
      <c r="F2207" s="1"/>
      <c r="G2207" s="1"/>
      <c r="H2207" s="1"/>
      <c r="I2207" s="1"/>
      <c r="J2207" s="1"/>
      <c r="K2207" s="102" t="s">
        <v>4084</v>
      </c>
      <c r="L2207" s="102" t="str">
        <f>J61</f>
        <v>J1a2a1a2c2~</v>
      </c>
      <c r="M2207" s="102"/>
      <c r="N2207" s="102"/>
      <c r="O2207" s="105">
        <v>1.4249049E7</v>
      </c>
      <c r="P2207" s="105">
        <v>1.2128343E7</v>
      </c>
      <c r="Q2207" s="102" t="s">
        <v>2501</v>
      </c>
      <c r="S2207" s="1"/>
      <c r="T2207" s="1"/>
      <c r="U2207" s="1"/>
      <c r="V2207" s="1"/>
      <c r="W2207" s="1"/>
      <c r="X2207" s="1"/>
      <c r="Y2207" s="1"/>
      <c r="Z2207" s="102"/>
      <c r="AA2207" s="102"/>
      <c r="AB2207" s="1"/>
      <c r="AC2207" s="1"/>
      <c r="AD2207" s="1"/>
      <c r="AE2207" s="1"/>
      <c r="AF2207" s="1"/>
      <c r="AG2207" s="1"/>
    </row>
    <row r="2208" ht="15.75" customHeight="1">
      <c r="A2208" s="1"/>
      <c r="B2208" s="1"/>
      <c r="C2208" s="1"/>
      <c r="D2208" s="1"/>
      <c r="E2208" s="1"/>
      <c r="F2208" s="1"/>
      <c r="G2208" s="1"/>
      <c r="H2208" s="1"/>
      <c r="I2208" s="1"/>
      <c r="J2208" s="1"/>
      <c r="K2208" s="102" t="s">
        <v>4085</v>
      </c>
      <c r="L2208" s="102" t="str">
        <f>J61</f>
        <v>J1a2a1a2c2~</v>
      </c>
      <c r="M2208" s="102"/>
      <c r="N2208" s="102"/>
      <c r="O2208" s="105">
        <v>1.7660124E7</v>
      </c>
      <c r="P2208" s="105">
        <v>1.5548244E7</v>
      </c>
      <c r="Q2208" s="102" t="s">
        <v>2514</v>
      </c>
      <c r="S2208" s="1"/>
      <c r="T2208" s="1"/>
      <c r="U2208" s="1"/>
      <c r="V2208" s="1"/>
      <c r="W2208" s="1"/>
      <c r="X2208" s="1"/>
      <c r="Y2208" s="1"/>
      <c r="Z2208" s="102"/>
      <c r="AA2208" s="102"/>
      <c r="AB2208" s="1"/>
      <c r="AC2208" s="1"/>
      <c r="AD2208" s="1"/>
      <c r="AE2208" s="1"/>
      <c r="AF2208" s="1"/>
      <c r="AG2208" s="1"/>
    </row>
    <row r="2209" ht="15.75" customHeight="1">
      <c r="A2209" s="1"/>
      <c r="B2209" s="1"/>
      <c r="C2209" s="1"/>
      <c r="D2209" s="1"/>
      <c r="E2209" s="1"/>
      <c r="F2209" s="1"/>
      <c r="G2209" s="1"/>
      <c r="H2209" s="1"/>
      <c r="I2209" s="1"/>
      <c r="J2209" s="1"/>
      <c r="K2209" s="102" t="s">
        <v>4086</v>
      </c>
      <c r="L2209" s="102" t="str">
        <f>J61</f>
        <v>J1a2a1a2c2~</v>
      </c>
      <c r="M2209" s="102"/>
      <c r="N2209" s="102"/>
      <c r="O2209" s="105">
        <v>1.8537909E7</v>
      </c>
      <c r="P2209" s="105">
        <v>1.6426029E7</v>
      </c>
      <c r="Q2209" s="102" t="s">
        <v>2576</v>
      </c>
      <c r="S2209" s="1"/>
      <c r="T2209" s="1"/>
      <c r="U2209" s="1"/>
      <c r="V2209" s="1"/>
      <c r="W2209" s="1"/>
      <c r="X2209" s="1"/>
      <c r="Y2209" s="1"/>
      <c r="Z2209" s="102"/>
      <c r="AA2209" s="102"/>
      <c r="AB2209" s="1"/>
      <c r="AC2209" s="1"/>
      <c r="AD2209" s="1"/>
      <c r="AE2209" s="1"/>
      <c r="AF2209" s="1"/>
      <c r="AG2209" s="1"/>
    </row>
    <row r="2210" ht="15.75" customHeight="1">
      <c r="A2210" s="1"/>
      <c r="B2210" s="1"/>
      <c r="C2210" s="1"/>
      <c r="D2210" s="1"/>
      <c r="E2210" s="1"/>
      <c r="F2210" s="1"/>
      <c r="G2210" s="1"/>
      <c r="H2210" s="1"/>
      <c r="I2210" s="1"/>
      <c r="J2210" s="1"/>
      <c r="K2210" s="102" t="s">
        <v>4087</v>
      </c>
      <c r="L2210" s="102" t="str">
        <f>J61</f>
        <v>J1a2a1a2c2~</v>
      </c>
      <c r="M2210" s="102"/>
      <c r="N2210" s="102"/>
      <c r="O2210" s="105">
        <v>1.9343582E7</v>
      </c>
      <c r="P2210" s="105">
        <v>1.7231702E7</v>
      </c>
      <c r="Q2210" s="102" t="s">
        <v>2439</v>
      </c>
      <c r="S2210" s="1"/>
      <c r="T2210" s="1"/>
      <c r="U2210" s="1"/>
      <c r="V2210" s="1"/>
      <c r="W2210" s="1"/>
      <c r="X2210" s="1"/>
      <c r="Y2210" s="1"/>
      <c r="Z2210" s="102"/>
      <c r="AA2210" s="102"/>
      <c r="AB2210" s="1"/>
      <c r="AC2210" s="1"/>
      <c r="AD2210" s="1"/>
      <c r="AE2210" s="1"/>
      <c r="AF2210" s="1"/>
      <c r="AG2210" s="1"/>
    </row>
    <row r="2211" ht="15.75" customHeight="1">
      <c r="A2211" s="1"/>
      <c r="B2211" s="1"/>
      <c r="C2211" s="1"/>
      <c r="D2211" s="1"/>
      <c r="E2211" s="1"/>
      <c r="F2211" s="1"/>
      <c r="G2211" s="1"/>
      <c r="H2211" s="1"/>
      <c r="I2211" s="1"/>
      <c r="J2211" s="1"/>
      <c r="K2211" s="102" t="s">
        <v>4088</v>
      </c>
      <c r="L2211" s="102" t="str">
        <f>J61</f>
        <v>J1a2a1a2c2~</v>
      </c>
      <c r="M2211" s="102"/>
      <c r="N2211" s="102"/>
      <c r="O2211" s="105">
        <v>1.9376988E7</v>
      </c>
      <c r="P2211" s="105">
        <v>1.7265108E7</v>
      </c>
      <c r="Q2211" s="102" t="s">
        <v>2514</v>
      </c>
      <c r="S2211" s="1"/>
      <c r="T2211" s="1"/>
      <c r="U2211" s="1"/>
      <c r="V2211" s="1"/>
      <c r="W2211" s="1"/>
      <c r="X2211" s="1"/>
      <c r="Y2211" s="1"/>
      <c r="Z2211" s="102"/>
      <c r="AA2211" s="102"/>
      <c r="AB2211" s="1"/>
      <c r="AC2211" s="1"/>
      <c r="AD2211" s="1"/>
      <c r="AE2211" s="1"/>
      <c r="AF2211" s="1"/>
      <c r="AG2211" s="1"/>
    </row>
    <row r="2212" ht="15.75" customHeight="1">
      <c r="A2212" s="1"/>
      <c r="B2212" s="1"/>
      <c r="C2212" s="1"/>
      <c r="D2212" s="1"/>
      <c r="E2212" s="1"/>
      <c r="F2212" s="1"/>
      <c r="G2212" s="1"/>
      <c r="H2212" s="1"/>
      <c r="I2212" s="1"/>
      <c r="J2212" s="1"/>
      <c r="K2212" s="102" t="s">
        <v>4089</v>
      </c>
      <c r="L2212" s="102" t="str">
        <f>J61</f>
        <v>J1a2a1a2c2~</v>
      </c>
      <c r="M2212" s="102"/>
      <c r="N2212" s="102"/>
      <c r="O2212" s="105">
        <v>2.1263404E7</v>
      </c>
      <c r="P2212" s="105">
        <v>1.9101518E7</v>
      </c>
      <c r="Q2212" s="102" t="s">
        <v>2529</v>
      </c>
      <c r="S2212" s="1"/>
      <c r="T2212" s="1"/>
      <c r="U2212" s="1"/>
      <c r="V2212" s="1"/>
      <c r="W2212" s="1"/>
      <c r="X2212" s="1"/>
      <c r="Y2212" s="1"/>
      <c r="Z2212" s="102"/>
      <c r="AA2212" s="102"/>
      <c r="AB2212" s="1"/>
      <c r="AC2212" s="1"/>
      <c r="AD2212" s="1"/>
      <c r="AE2212" s="1"/>
      <c r="AF2212" s="1"/>
      <c r="AG2212" s="1"/>
    </row>
    <row r="2213" ht="15.75" customHeight="1">
      <c r="A2213" s="1"/>
      <c r="B2213" s="1"/>
      <c r="C2213" s="1"/>
      <c r="D2213" s="1"/>
      <c r="E2213" s="1"/>
      <c r="F2213" s="1"/>
      <c r="G2213" s="1"/>
      <c r="H2213" s="1"/>
      <c r="I2213" s="1"/>
      <c r="J2213" s="1"/>
      <c r="K2213" s="102" t="s">
        <v>4090</v>
      </c>
      <c r="L2213" s="102" t="str">
        <f>J61</f>
        <v>J1a2a1a2c2~</v>
      </c>
      <c r="M2213" s="102"/>
      <c r="N2213" s="102"/>
      <c r="O2213" s="105">
        <v>2.1331623E7</v>
      </c>
      <c r="P2213" s="105">
        <v>1.9169737E7</v>
      </c>
      <c r="Q2213" s="102" t="s">
        <v>2468</v>
      </c>
      <c r="S2213" s="1"/>
      <c r="T2213" s="1"/>
      <c r="U2213" s="1"/>
      <c r="V2213" s="1"/>
      <c r="W2213" s="1"/>
      <c r="X2213" s="1"/>
      <c r="Y2213" s="1"/>
      <c r="Z2213" s="102"/>
      <c r="AA2213" s="102"/>
      <c r="AB2213" s="1"/>
      <c r="AC2213" s="1"/>
      <c r="AD2213" s="1"/>
      <c r="AE2213" s="1"/>
      <c r="AF2213" s="1"/>
      <c r="AG2213" s="1"/>
    </row>
    <row r="2214" ht="15.75" customHeight="1">
      <c r="A2214" s="1"/>
      <c r="B2214" s="1"/>
      <c r="C2214" s="1"/>
      <c r="D2214" s="1"/>
      <c r="E2214" s="1"/>
      <c r="F2214" s="1"/>
      <c r="G2214" s="1"/>
      <c r="H2214" s="1"/>
      <c r="I2214" s="1"/>
      <c r="J2214" s="1"/>
      <c r="K2214" s="102" t="s">
        <v>4091</v>
      </c>
      <c r="L2214" s="102" t="str">
        <f>J61</f>
        <v>J1a2a1a2c2~</v>
      </c>
      <c r="M2214" s="102"/>
      <c r="N2214" s="102"/>
      <c r="O2214" s="105">
        <v>2.2088018E7</v>
      </c>
      <c r="P2214" s="105">
        <v>1.9926132E7</v>
      </c>
      <c r="Q2214" s="102" t="s">
        <v>2563</v>
      </c>
      <c r="S2214" s="1"/>
      <c r="T2214" s="1"/>
      <c r="U2214" s="1"/>
      <c r="V2214" s="1"/>
      <c r="W2214" s="1"/>
      <c r="X2214" s="1"/>
      <c r="Y2214" s="1"/>
      <c r="Z2214" s="102"/>
      <c r="AA2214" s="102"/>
      <c r="AB2214" s="1"/>
      <c r="AC2214" s="1"/>
      <c r="AD2214" s="1"/>
      <c r="AE2214" s="1"/>
      <c r="AF2214" s="1"/>
      <c r="AG2214" s="1"/>
    </row>
    <row r="2215" ht="15.75" customHeight="1">
      <c r="A2215" s="1"/>
      <c r="B2215" s="1"/>
      <c r="C2215" s="1"/>
      <c r="D2215" s="1"/>
      <c r="E2215" s="1"/>
      <c r="F2215" s="1"/>
      <c r="G2215" s="1"/>
      <c r="H2215" s="1"/>
      <c r="I2215" s="1"/>
      <c r="J2215" s="1"/>
      <c r="K2215" s="102" t="s">
        <v>4092</v>
      </c>
      <c r="L2215" s="102" t="str">
        <f>J61</f>
        <v>J1a2a1a2c2~</v>
      </c>
      <c r="M2215" s="102"/>
      <c r="N2215" s="102"/>
      <c r="O2215" s="105">
        <v>2.2110364E7</v>
      </c>
      <c r="P2215" s="105">
        <v>1.9948478E7</v>
      </c>
      <c r="Q2215" s="102" t="s">
        <v>2501</v>
      </c>
      <c r="S2215" s="1"/>
      <c r="T2215" s="1"/>
      <c r="U2215" s="1"/>
      <c r="V2215" s="1"/>
      <c r="W2215" s="1"/>
      <c r="X2215" s="1"/>
      <c r="Y2215" s="1"/>
      <c r="Z2215" s="102"/>
      <c r="AA2215" s="102"/>
      <c r="AB2215" s="1"/>
      <c r="AC2215" s="1"/>
      <c r="AD2215" s="1"/>
      <c r="AE2215" s="1"/>
      <c r="AF2215" s="1"/>
      <c r="AG2215" s="1"/>
    </row>
    <row r="2216" ht="15.75" customHeight="1">
      <c r="A2216" s="1"/>
      <c r="B2216" s="1"/>
      <c r="C2216" s="1"/>
      <c r="D2216" s="1"/>
      <c r="E2216" s="1"/>
      <c r="F2216" s="1"/>
      <c r="G2216" s="1"/>
      <c r="H2216" s="1"/>
      <c r="I2216" s="1"/>
      <c r="J2216" s="1"/>
      <c r="K2216" s="102" t="s">
        <v>4093</v>
      </c>
      <c r="L2216" s="102" t="str">
        <f>J61</f>
        <v>J1a2a1a2c2~</v>
      </c>
      <c r="M2216" s="102"/>
      <c r="N2216" s="102" t="s">
        <v>4094</v>
      </c>
      <c r="O2216" s="105">
        <v>2.3121663E7</v>
      </c>
      <c r="P2216" s="105">
        <v>2.0959777E7</v>
      </c>
      <c r="Q2216" s="102" t="s">
        <v>2501</v>
      </c>
      <c r="S2216" s="1"/>
      <c r="T2216" s="1"/>
      <c r="U2216" s="1"/>
      <c r="V2216" s="1"/>
      <c r="W2216" s="1"/>
      <c r="X2216" s="1"/>
      <c r="Y2216" s="1"/>
      <c r="Z2216" s="102"/>
      <c r="AA2216" s="102"/>
      <c r="AB2216" s="1"/>
      <c r="AC2216" s="1"/>
      <c r="AD2216" s="1"/>
      <c r="AE2216" s="1"/>
      <c r="AF2216" s="1"/>
      <c r="AG2216" s="1"/>
    </row>
    <row r="2217" ht="15.75" customHeight="1">
      <c r="A2217" s="1"/>
      <c r="B2217" s="1"/>
      <c r="C2217" s="1"/>
      <c r="D2217" s="1"/>
      <c r="E2217" s="1"/>
      <c r="F2217" s="1"/>
      <c r="G2217" s="1"/>
      <c r="H2217" s="1"/>
      <c r="I2217" s="1"/>
      <c r="J2217" s="1"/>
      <c r="K2217" s="102" t="s">
        <v>4095</v>
      </c>
      <c r="L2217" s="102" t="str">
        <f>I62</f>
        <v>J1a2a1a2d~</v>
      </c>
      <c r="M2217" s="102" t="s">
        <v>4096</v>
      </c>
      <c r="N2217" s="102" t="s">
        <v>4097</v>
      </c>
      <c r="O2217" s="105">
        <v>1.6617767E7</v>
      </c>
      <c r="P2217" s="105">
        <v>1.4505887E7</v>
      </c>
      <c r="Q2217" s="102" t="s">
        <v>2501</v>
      </c>
      <c r="S2217" s="1"/>
      <c r="T2217" s="1"/>
      <c r="U2217" s="1"/>
      <c r="V2217" s="1"/>
      <c r="W2217" s="1"/>
      <c r="X2217" s="1"/>
      <c r="Y2217" s="1"/>
      <c r="Z2217" s="102"/>
      <c r="AA2217" s="102"/>
      <c r="AB2217" s="1"/>
      <c r="AC2217" s="1"/>
      <c r="AD2217" s="1"/>
      <c r="AE2217" s="1"/>
      <c r="AF2217" s="1"/>
      <c r="AG2217" s="1"/>
    </row>
    <row r="2218" ht="15.75" customHeight="1">
      <c r="A2218" s="1"/>
      <c r="B2218" s="1"/>
      <c r="C2218" s="1"/>
      <c r="D2218" s="1"/>
      <c r="E2218" s="1"/>
      <c r="F2218" s="1"/>
      <c r="G2218" s="1"/>
      <c r="H2218" s="1"/>
      <c r="I2218" s="1"/>
      <c r="J2218" s="1"/>
      <c r="K2218" s="102" t="s">
        <v>4096</v>
      </c>
      <c r="L2218" s="102" t="str">
        <f>I62</f>
        <v>J1a2a1a2d~</v>
      </c>
      <c r="M2218" s="102" t="s">
        <v>4095</v>
      </c>
      <c r="N2218" s="102" t="s">
        <v>4097</v>
      </c>
      <c r="O2218" s="105">
        <v>1.6617767E7</v>
      </c>
      <c r="P2218" s="105">
        <v>1.4505887E7</v>
      </c>
      <c r="Q2218" s="102" t="s">
        <v>2501</v>
      </c>
      <c r="S2218" s="1"/>
      <c r="T2218" s="1"/>
      <c r="U2218" s="1"/>
      <c r="V2218" s="1"/>
      <c r="W2218" s="1"/>
      <c r="X2218" s="1"/>
      <c r="Y2218" s="1"/>
      <c r="Z2218" s="102"/>
      <c r="AA2218" s="102"/>
      <c r="AB2218" s="1"/>
      <c r="AC2218" s="1"/>
      <c r="AD2218" s="1"/>
      <c r="AE2218" s="1"/>
      <c r="AF2218" s="1"/>
      <c r="AG2218" s="1"/>
    </row>
    <row r="2219" ht="15.75" customHeight="1">
      <c r="A2219" s="1"/>
      <c r="B2219" s="1"/>
      <c r="C2219" s="1"/>
      <c r="D2219" s="1"/>
      <c r="E2219" s="1"/>
      <c r="F2219" s="1"/>
      <c r="G2219" s="1"/>
      <c r="H2219" s="1"/>
      <c r="I2219" s="1"/>
      <c r="J2219" s="1"/>
      <c r="K2219" s="102" t="s">
        <v>4098</v>
      </c>
      <c r="L2219" s="102" t="str">
        <f>I62</f>
        <v>J1a2a1a2d~</v>
      </c>
      <c r="M2219" s="102" t="s">
        <v>4099</v>
      </c>
      <c r="N2219" s="102" t="s">
        <v>4100</v>
      </c>
      <c r="O2219" s="105">
        <v>1.7740828E7</v>
      </c>
      <c r="P2219" s="105">
        <v>1.5628948E7</v>
      </c>
      <c r="Q2219" s="102" t="s">
        <v>2529</v>
      </c>
      <c r="S2219" s="1"/>
      <c r="T2219" s="1"/>
      <c r="U2219" s="1"/>
      <c r="V2219" s="1"/>
      <c r="W2219" s="1"/>
      <c r="X2219" s="1"/>
      <c r="Y2219" s="1"/>
      <c r="Z2219" s="102"/>
      <c r="AA2219" s="102"/>
      <c r="AB2219" s="1"/>
      <c r="AC2219" s="1"/>
      <c r="AD2219" s="1"/>
      <c r="AE2219" s="1"/>
      <c r="AF2219" s="1"/>
      <c r="AG2219" s="1"/>
    </row>
    <row r="2220" ht="15.75" customHeight="1">
      <c r="A2220" s="1"/>
      <c r="B2220" s="1"/>
      <c r="C2220" s="1"/>
      <c r="D2220" s="1"/>
      <c r="E2220" s="1"/>
      <c r="F2220" s="1"/>
      <c r="G2220" s="1"/>
      <c r="H2220" s="1"/>
      <c r="I2220" s="1"/>
      <c r="J2220" s="1"/>
      <c r="K2220" s="102" t="s">
        <v>4099</v>
      </c>
      <c r="L2220" s="102" t="str">
        <f>I62</f>
        <v>J1a2a1a2d~</v>
      </c>
      <c r="M2220" s="102" t="s">
        <v>4098</v>
      </c>
      <c r="N2220" s="102" t="s">
        <v>4100</v>
      </c>
      <c r="O2220" s="105">
        <v>1.7740828E7</v>
      </c>
      <c r="P2220" s="105">
        <v>1.5628948E7</v>
      </c>
      <c r="Q2220" s="102" t="s">
        <v>2529</v>
      </c>
      <c r="S2220" s="1"/>
      <c r="T2220" s="1"/>
      <c r="U2220" s="1"/>
      <c r="V2220" s="1"/>
      <c r="W2220" s="1"/>
      <c r="X2220" s="1"/>
      <c r="Y2220" s="1"/>
      <c r="Z2220" s="102"/>
      <c r="AA2220" s="102"/>
      <c r="AB2220" s="1"/>
      <c r="AC2220" s="1"/>
      <c r="AD2220" s="1"/>
      <c r="AE2220" s="1"/>
      <c r="AF2220" s="1"/>
      <c r="AG2220" s="1"/>
    </row>
    <row r="2221" ht="15.75" customHeight="1">
      <c r="A2221" s="1"/>
      <c r="B2221" s="1"/>
      <c r="C2221" s="1"/>
      <c r="D2221" s="1"/>
      <c r="E2221" s="1"/>
      <c r="F2221" s="1"/>
      <c r="G2221" s="1"/>
      <c r="H2221" s="1"/>
      <c r="I2221" s="1"/>
      <c r="J2221" s="1"/>
      <c r="K2221" s="102" t="s">
        <v>4101</v>
      </c>
      <c r="L2221" s="102" t="str">
        <f>I62</f>
        <v>J1a2a1a2d~</v>
      </c>
      <c r="M2221" s="102" t="s">
        <v>4102</v>
      </c>
      <c r="N2221" s="102" t="s">
        <v>4103</v>
      </c>
      <c r="O2221" s="105">
        <v>1.9434207E7</v>
      </c>
      <c r="P2221" s="105">
        <v>1.7322327E7</v>
      </c>
      <c r="Q2221" s="102" t="s">
        <v>2514</v>
      </c>
      <c r="S2221" s="1"/>
      <c r="T2221" s="1"/>
      <c r="U2221" s="1"/>
      <c r="V2221" s="1"/>
      <c r="W2221" s="1"/>
      <c r="X2221" s="1"/>
      <c r="Y2221" s="1"/>
      <c r="Z2221" s="102"/>
      <c r="AA2221" s="102"/>
      <c r="AB2221" s="1"/>
      <c r="AC2221" s="1"/>
      <c r="AD2221" s="1"/>
      <c r="AE2221" s="1"/>
      <c r="AF2221" s="1"/>
      <c r="AG2221" s="1"/>
    </row>
    <row r="2222" ht="15.75" customHeight="1">
      <c r="A2222" s="1"/>
      <c r="B2222" s="1"/>
      <c r="C2222" s="1"/>
      <c r="D2222" s="1"/>
      <c r="E2222" s="1"/>
      <c r="F2222" s="1"/>
      <c r="G2222" s="1"/>
      <c r="H2222" s="1"/>
      <c r="I2222" s="1"/>
      <c r="J2222" s="1"/>
      <c r="K2222" s="102" t="s">
        <v>4102</v>
      </c>
      <c r="L2222" s="102" t="str">
        <f>I62</f>
        <v>J1a2a1a2d~</v>
      </c>
      <c r="M2222" s="102" t="s">
        <v>4101</v>
      </c>
      <c r="N2222" s="102" t="s">
        <v>4103</v>
      </c>
      <c r="O2222" s="105">
        <v>1.9434207E7</v>
      </c>
      <c r="P2222" s="105">
        <v>1.7322327E7</v>
      </c>
      <c r="Q2222" s="102" t="s">
        <v>2514</v>
      </c>
      <c r="S2222" s="1"/>
      <c r="T2222" s="1"/>
      <c r="U2222" s="1"/>
      <c r="V2222" s="1"/>
      <c r="W2222" s="1"/>
      <c r="X2222" s="1"/>
      <c r="Y2222" s="1"/>
      <c r="Z2222" s="102"/>
      <c r="AA2222" s="102"/>
      <c r="AB2222" s="1"/>
      <c r="AC2222" s="1"/>
      <c r="AD2222" s="1"/>
      <c r="AE2222" s="1"/>
      <c r="AF2222" s="1"/>
      <c r="AG2222" s="1"/>
    </row>
    <row r="2223" ht="15.75" customHeight="1">
      <c r="A2223" s="1"/>
      <c r="B2223" s="1"/>
      <c r="C2223" s="1"/>
      <c r="D2223" s="1"/>
      <c r="E2223" s="1"/>
      <c r="F2223" s="1"/>
      <c r="G2223" s="1"/>
      <c r="H2223" s="1"/>
      <c r="I2223" s="1"/>
      <c r="J2223" s="1"/>
      <c r="K2223" s="102" t="s">
        <v>4104</v>
      </c>
      <c r="L2223" s="102" t="str">
        <f>I62</f>
        <v>J1a2a1a2d~</v>
      </c>
      <c r="M2223" s="102"/>
      <c r="N2223" s="102" t="s">
        <v>4105</v>
      </c>
      <c r="O2223" s="105">
        <v>2.27141E7</v>
      </c>
      <c r="P2223" s="105">
        <v>2.0552214E7</v>
      </c>
      <c r="Q2223" s="102" t="s">
        <v>2439</v>
      </c>
      <c r="S2223" s="1"/>
      <c r="T2223" s="1"/>
      <c r="U2223" s="1"/>
      <c r="V2223" s="1"/>
      <c r="W2223" s="1"/>
      <c r="X2223" s="1"/>
      <c r="Y2223" s="1"/>
      <c r="Z2223" s="102"/>
      <c r="AA2223" s="102"/>
      <c r="AB2223" s="1"/>
      <c r="AC2223" s="1"/>
      <c r="AD2223" s="1"/>
      <c r="AE2223" s="1"/>
      <c r="AF2223" s="1"/>
      <c r="AG2223" s="1"/>
    </row>
    <row r="2224" ht="15.75" customHeight="1">
      <c r="A2224" s="1"/>
      <c r="B2224" s="1"/>
      <c r="C2224" s="1"/>
      <c r="D2224" s="1"/>
      <c r="E2224" s="1"/>
      <c r="F2224" s="1"/>
      <c r="G2224" s="1"/>
      <c r="H2224" s="1"/>
      <c r="I2224" s="1"/>
      <c r="J2224" s="1"/>
      <c r="K2224" s="102" t="s">
        <v>4106</v>
      </c>
      <c r="L2224" s="102" t="str">
        <f>I62</f>
        <v>J1a2a1a2d~</v>
      </c>
      <c r="M2224" s="102" t="s">
        <v>4107</v>
      </c>
      <c r="N2224" s="102" t="s">
        <v>4108</v>
      </c>
      <c r="O2224" s="105">
        <v>2.281884E7</v>
      </c>
      <c r="P2224" s="105">
        <v>2.0656954E7</v>
      </c>
      <c r="Q2224" s="102" t="s">
        <v>2439</v>
      </c>
      <c r="S2224" s="1"/>
      <c r="T2224" s="1"/>
      <c r="U2224" s="1"/>
      <c r="V2224" s="1"/>
      <c r="W2224" s="1"/>
      <c r="X2224" s="1"/>
      <c r="Y2224" s="1"/>
      <c r="Z2224" s="102"/>
      <c r="AA2224" s="102"/>
      <c r="AB2224" s="1"/>
      <c r="AC2224" s="1"/>
      <c r="AD2224" s="1"/>
      <c r="AE2224" s="1"/>
      <c r="AF2224" s="1"/>
      <c r="AG2224" s="1"/>
    </row>
    <row r="2225" ht="15.75" customHeight="1">
      <c r="A2225" s="1"/>
      <c r="B2225" s="1"/>
      <c r="C2225" s="1"/>
      <c r="D2225" s="1"/>
      <c r="E2225" s="1"/>
      <c r="F2225" s="1"/>
      <c r="G2225" s="1"/>
      <c r="H2225" s="1"/>
      <c r="I2225" s="1"/>
      <c r="J2225" s="1"/>
      <c r="K2225" s="102" t="s">
        <v>4107</v>
      </c>
      <c r="L2225" s="102" t="str">
        <f>I62</f>
        <v>J1a2a1a2d~</v>
      </c>
      <c r="M2225" s="102" t="s">
        <v>4106</v>
      </c>
      <c r="N2225" s="102" t="s">
        <v>4108</v>
      </c>
      <c r="O2225" s="105">
        <v>2.281884E7</v>
      </c>
      <c r="P2225" s="105">
        <v>2.0656954E7</v>
      </c>
      <c r="Q2225" s="102" t="s">
        <v>2439</v>
      </c>
      <c r="S2225" s="1"/>
      <c r="T2225" s="1"/>
      <c r="U2225" s="1"/>
      <c r="V2225" s="1"/>
      <c r="W2225" s="1"/>
      <c r="X2225" s="1"/>
      <c r="Y2225" s="1"/>
      <c r="Z2225" s="102"/>
      <c r="AA2225" s="102"/>
      <c r="AB2225" s="1"/>
      <c r="AC2225" s="1"/>
      <c r="AD2225" s="1"/>
      <c r="AE2225" s="1"/>
      <c r="AF2225" s="1"/>
      <c r="AG2225" s="1"/>
    </row>
    <row r="2226" ht="15.75" customHeight="1">
      <c r="A2226" s="1"/>
      <c r="B2226" s="1"/>
      <c r="C2226" s="1"/>
      <c r="D2226" s="1"/>
      <c r="E2226" s="1"/>
      <c r="F2226" s="1"/>
      <c r="G2226" s="1"/>
      <c r="H2226" s="1"/>
      <c r="I2226" s="1"/>
      <c r="J2226" s="1"/>
      <c r="K2226" s="102" t="s">
        <v>4109</v>
      </c>
      <c r="L2226" s="102" t="str">
        <f>I62</f>
        <v>J1a2a1a2d~</v>
      </c>
      <c r="M2226" s="102" t="s">
        <v>4110</v>
      </c>
      <c r="N2226" s="102" t="s">
        <v>4111</v>
      </c>
      <c r="O2226" s="105">
        <v>2.3027051E7</v>
      </c>
      <c r="P2226" s="105">
        <v>2.0865165E7</v>
      </c>
      <c r="Q2226" s="102" t="s">
        <v>2514</v>
      </c>
      <c r="S2226" s="1"/>
      <c r="T2226" s="1"/>
      <c r="U2226" s="1"/>
      <c r="V2226" s="1"/>
      <c r="W2226" s="1"/>
      <c r="X2226" s="1"/>
      <c r="Y2226" s="1"/>
      <c r="Z2226" s="102"/>
      <c r="AA2226" s="102"/>
      <c r="AB2226" s="1"/>
      <c r="AC2226" s="1"/>
      <c r="AD2226" s="1"/>
      <c r="AE2226" s="1"/>
      <c r="AF2226" s="1"/>
      <c r="AG2226" s="1"/>
    </row>
    <row r="2227" ht="15.75" customHeight="1">
      <c r="A2227" s="1"/>
      <c r="B2227" s="1"/>
      <c r="C2227" s="1"/>
      <c r="D2227" s="1"/>
      <c r="E2227" s="1"/>
      <c r="F2227" s="1"/>
      <c r="G2227" s="1"/>
      <c r="H2227" s="1"/>
      <c r="I2227" s="1"/>
      <c r="J2227" s="1"/>
      <c r="K2227" s="102" t="s">
        <v>4110</v>
      </c>
      <c r="L2227" s="102" t="str">
        <f>I62</f>
        <v>J1a2a1a2d~</v>
      </c>
      <c r="M2227" s="102" t="s">
        <v>4109</v>
      </c>
      <c r="N2227" s="102" t="s">
        <v>4111</v>
      </c>
      <c r="O2227" s="105">
        <v>2.3027051E7</v>
      </c>
      <c r="P2227" s="105">
        <v>2.0865165E7</v>
      </c>
      <c r="Q2227" s="102" t="s">
        <v>2514</v>
      </c>
      <c r="S2227" s="1"/>
      <c r="T2227" s="1"/>
      <c r="U2227" s="1"/>
      <c r="V2227" s="1"/>
      <c r="W2227" s="1"/>
      <c r="X2227" s="1"/>
      <c r="Y2227" s="1"/>
      <c r="Z2227" s="102"/>
      <c r="AA2227" s="102"/>
      <c r="AB2227" s="1"/>
      <c r="AC2227" s="1"/>
      <c r="AD2227" s="1"/>
      <c r="AE2227" s="1"/>
      <c r="AF2227" s="1"/>
      <c r="AG2227" s="1"/>
    </row>
    <row r="2228" ht="15.75" customHeight="1">
      <c r="A2228" s="1"/>
      <c r="B2228" s="1"/>
      <c r="C2228" s="1"/>
      <c r="D2228" s="1"/>
      <c r="E2228" s="1"/>
      <c r="F2228" s="1"/>
      <c r="G2228" s="1"/>
      <c r="H2228" s="1"/>
      <c r="I2228" s="1"/>
      <c r="J2228" s="1"/>
      <c r="K2228" s="102" t="s">
        <v>4112</v>
      </c>
      <c r="L2228" s="102" t="str">
        <f>I62</f>
        <v>J1a2a1a2d~</v>
      </c>
      <c r="M2228" s="102" t="s">
        <v>4113</v>
      </c>
      <c r="N2228" s="102" t="s">
        <v>4114</v>
      </c>
      <c r="O2228" s="105">
        <v>8453555.0</v>
      </c>
      <c r="P2228" s="105">
        <v>8585514.0</v>
      </c>
      <c r="Q2228" s="102" t="s">
        <v>2439</v>
      </c>
      <c r="S2228" s="1"/>
      <c r="T2228" s="1"/>
      <c r="U2228" s="1"/>
      <c r="V2228" s="1"/>
      <c r="W2228" s="1"/>
      <c r="X2228" s="1"/>
      <c r="Y2228" s="1"/>
      <c r="Z2228" s="102"/>
      <c r="AA2228" s="102"/>
      <c r="AB2228" s="1"/>
      <c r="AC2228" s="1"/>
      <c r="AD2228" s="1"/>
      <c r="AE2228" s="1"/>
      <c r="AF2228" s="1"/>
      <c r="AG2228" s="1"/>
    </row>
    <row r="2229" ht="15.75" customHeight="1">
      <c r="A2229" s="1"/>
      <c r="B2229" s="1"/>
      <c r="C2229" s="1"/>
      <c r="D2229" s="1"/>
      <c r="E2229" s="1"/>
      <c r="F2229" s="1"/>
      <c r="G2229" s="1"/>
      <c r="H2229" s="1"/>
      <c r="I2229" s="1"/>
      <c r="J2229" s="1"/>
      <c r="K2229" s="102" t="s">
        <v>4113</v>
      </c>
      <c r="L2229" s="102" t="str">
        <f>I62</f>
        <v>J1a2a1a2d~</v>
      </c>
      <c r="M2229" s="102" t="s">
        <v>4112</v>
      </c>
      <c r="N2229" s="102" t="s">
        <v>4114</v>
      </c>
      <c r="O2229" s="105">
        <v>8453555.0</v>
      </c>
      <c r="P2229" s="105">
        <v>8585514.0</v>
      </c>
      <c r="Q2229" s="102" t="s">
        <v>2439</v>
      </c>
      <c r="S2229" s="1"/>
      <c r="T2229" s="1"/>
      <c r="U2229" s="1"/>
      <c r="V2229" s="1"/>
      <c r="W2229" s="1"/>
      <c r="X2229" s="1"/>
      <c r="Y2229" s="1"/>
      <c r="Z2229" s="102"/>
      <c r="AA2229" s="102"/>
      <c r="AB2229" s="1"/>
      <c r="AC2229" s="1"/>
      <c r="AD2229" s="1"/>
      <c r="AE2229" s="1"/>
      <c r="AF2229" s="1"/>
      <c r="AG2229" s="1"/>
    </row>
    <row r="2230" ht="15.75" customHeight="1">
      <c r="A2230" s="1"/>
      <c r="B2230" s="1"/>
      <c r="C2230" s="1"/>
      <c r="D2230" s="1"/>
      <c r="E2230" s="1"/>
      <c r="F2230" s="1"/>
      <c r="G2230" s="1"/>
      <c r="H2230" s="1"/>
      <c r="I2230" s="1"/>
      <c r="J2230" s="1"/>
      <c r="K2230" s="102" t="s">
        <v>4115</v>
      </c>
      <c r="L2230" s="102" t="str">
        <f>I62</f>
        <v>J1a2a1a2d~</v>
      </c>
      <c r="M2230" s="102" t="s">
        <v>4116</v>
      </c>
      <c r="N2230" s="102" t="s">
        <v>4117</v>
      </c>
      <c r="O2230" s="105">
        <v>2.4435821E7</v>
      </c>
      <c r="P2230" s="105">
        <v>2.2289674E7</v>
      </c>
      <c r="Q2230" s="102" t="s">
        <v>2468</v>
      </c>
      <c r="S2230" s="1"/>
      <c r="T2230" s="1"/>
      <c r="U2230" s="1"/>
      <c r="V2230" s="1"/>
      <c r="W2230" s="1"/>
      <c r="X2230" s="1"/>
      <c r="Y2230" s="1"/>
      <c r="Z2230" s="102"/>
      <c r="AA2230" s="102"/>
      <c r="AB2230" s="1"/>
      <c r="AC2230" s="1"/>
      <c r="AD2230" s="1"/>
      <c r="AE2230" s="1"/>
      <c r="AF2230" s="1"/>
      <c r="AG2230" s="1"/>
    </row>
    <row r="2231" ht="15.75" customHeight="1">
      <c r="A2231" s="1"/>
      <c r="B2231" s="1"/>
      <c r="C2231" s="1"/>
      <c r="D2231" s="1"/>
      <c r="E2231" s="1"/>
      <c r="F2231" s="1"/>
      <c r="G2231" s="1"/>
      <c r="H2231" s="1"/>
      <c r="I2231" s="1"/>
      <c r="J2231" s="1"/>
      <c r="K2231" s="102" t="s">
        <v>4116</v>
      </c>
      <c r="L2231" s="102" t="str">
        <f>I62</f>
        <v>J1a2a1a2d~</v>
      </c>
      <c r="M2231" s="102" t="s">
        <v>4115</v>
      </c>
      <c r="N2231" s="102" t="s">
        <v>4117</v>
      </c>
      <c r="O2231" s="105">
        <v>2.4435821E7</v>
      </c>
      <c r="P2231" s="105">
        <v>2.2289674E7</v>
      </c>
      <c r="Q2231" s="102" t="s">
        <v>2468</v>
      </c>
      <c r="S2231" s="1"/>
      <c r="T2231" s="1"/>
      <c r="U2231" s="1"/>
      <c r="V2231" s="1"/>
      <c r="W2231" s="1"/>
      <c r="X2231" s="1"/>
      <c r="Y2231" s="1"/>
      <c r="Z2231" s="102"/>
      <c r="AA2231" s="102"/>
      <c r="AB2231" s="1"/>
      <c r="AC2231" s="1"/>
      <c r="AD2231" s="1"/>
      <c r="AE2231" s="1"/>
      <c r="AF2231" s="1"/>
      <c r="AG2231" s="1"/>
    </row>
    <row r="2232" ht="15.75" customHeight="1">
      <c r="A2232" s="1"/>
      <c r="B2232" s="1"/>
      <c r="C2232" s="1"/>
      <c r="D2232" s="1"/>
      <c r="E2232" s="1"/>
      <c r="F2232" s="1"/>
      <c r="G2232" s="1"/>
      <c r="H2232" s="1"/>
      <c r="I2232" s="1"/>
      <c r="J2232" s="1"/>
      <c r="K2232" s="102" t="s">
        <v>4118</v>
      </c>
      <c r="L2232" s="102" t="str">
        <f>I62</f>
        <v>J1a2a1a2d~</v>
      </c>
      <c r="M2232" s="102" t="s">
        <v>4119</v>
      </c>
      <c r="N2232" s="102" t="s">
        <v>4120</v>
      </c>
      <c r="O2232" s="105">
        <v>9962871.0</v>
      </c>
      <c r="P2232" s="105">
        <v>1.0125262E7</v>
      </c>
      <c r="Q2232" s="102" t="s">
        <v>2529</v>
      </c>
      <c r="S2232" s="1"/>
      <c r="T2232" s="1"/>
      <c r="U2232" s="1"/>
      <c r="V2232" s="1"/>
      <c r="W2232" s="1"/>
      <c r="X2232" s="1"/>
      <c r="Y2232" s="1"/>
      <c r="Z2232" s="102"/>
      <c r="AA2232" s="102"/>
      <c r="AB2232" s="1"/>
      <c r="AC2232" s="1"/>
      <c r="AD2232" s="1"/>
      <c r="AE2232" s="1"/>
      <c r="AF2232" s="1"/>
      <c r="AG2232" s="1"/>
    </row>
    <row r="2233" ht="15.75" customHeight="1">
      <c r="A2233" s="1"/>
      <c r="B2233" s="1"/>
      <c r="C2233" s="1"/>
      <c r="D2233" s="1"/>
      <c r="E2233" s="1"/>
      <c r="F2233" s="1"/>
      <c r="G2233" s="1"/>
      <c r="H2233" s="1"/>
      <c r="I2233" s="1"/>
      <c r="J2233" s="1"/>
      <c r="K2233" s="102" t="s">
        <v>4119</v>
      </c>
      <c r="L2233" s="102" t="str">
        <f>I62</f>
        <v>J1a2a1a2d~</v>
      </c>
      <c r="M2233" s="102" t="s">
        <v>4118</v>
      </c>
      <c r="N2233" s="102" t="s">
        <v>4120</v>
      </c>
      <c r="O2233" s="105">
        <v>9962871.0</v>
      </c>
      <c r="P2233" s="105">
        <v>1.0125262E7</v>
      </c>
      <c r="Q2233" s="102" t="s">
        <v>2529</v>
      </c>
      <c r="S2233" s="1"/>
      <c r="T2233" s="1"/>
      <c r="U2233" s="1"/>
      <c r="V2233" s="1"/>
      <c r="W2233" s="1"/>
      <c r="X2233" s="1"/>
      <c r="Y2233" s="1"/>
      <c r="Z2233" s="102"/>
      <c r="AA2233" s="102"/>
      <c r="AB2233" s="1"/>
      <c r="AC2233" s="1"/>
      <c r="AD2233" s="1"/>
      <c r="AE2233" s="1"/>
      <c r="AF2233" s="1"/>
      <c r="AG2233" s="1"/>
    </row>
    <row r="2234" ht="15.75" customHeight="1">
      <c r="A2234" s="1"/>
      <c r="B2234" s="1"/>
      <c r="C2234" s="1"/>
      <c r="D2234" s="1"/>
      <c r="E2234" s="1"/>
      <c r="F2234" s="1"/>
      <c r="G2234" s="1"/>
      <c r="H2234" s="1"/>
      <c r="I2234" s="1"/>
      <c r="J2234" s="1"/>
      <c r="K2234" s="102" t="s">
        <v>4121</v>
      </c>
      <c r="L2234" s="102" t="str">
        <f>I62</f>
        <v>J1a2a1a2d~</v>
      </c>
      <c r="M2234" s="102" t="s">
        <v>4122</v>
      </c>
      <c r="N2234" s="102" t="s">
        <v>4123</v>
      </c>
      <c r="O2234" s="105">
        <v>1.3209459E7</v>
      </c>
      <c r="P2234" s="105">
        <v>1.1053783E7</v>
      </c>
      <c r="Q2234" s="102" t="s">
        <v>2501</v>
      </c>
      <c r="S2234" s="1"/>
      <c r="T2234" s="1"/>
      <c r="U2234" s="1"/>
      <c r="V2234" s="1"/>
      <c r="W2234" s="1"/>
      <c r="X2234" s="1"/>
      <c r="Y2234" s="1"/>
      <c r="Z2234" s="102"/>
      <c r="AA2234" s="102"/>
      <c r="AB2234" s="1"/>
      <c r="AC2234" s="1"/>
      <c r="AD2234" s="1"/>
      <c r="AE2234" s="1"/>
      <c r="AF2234" s="1"/>
      <c r="AG2234" s="1"/>
    </row>
    <row r="2235" ht="15.75" customHeight="1">
      <c r="A2235" s="1"/>
      <c r="B2235" s="1"/>
      <c r="C2235" s="1"/>
      <c r="D2235" s="1"/>
      <c r="E2235" s="1"/>
      <c r="F2235" s="1"/>
      <c r="G2235" s="1"/>
      <c r="H2235" s="1"/>
      <c r="I2235" s="1"/>
      <c r="J2235" s="1"/>
      <c r="K2235" s="102" t="s">
        <v>4122</v>
      </c>
      <c r="L2235" s="102" t="str">
        <f>I62</f>
        <v>J1a2a1a2d~</v>
      </c>
      <c r="M2235" s="102" t="s">
        <v>4121</v>
      </c>
      <c r="N2235" s="102" t="s">
        <v>4123</v>
      </c>
      <c r="O2235" s="105">
        <v>1.3209459E7</v>
      </c>
      <c r="P2235" s="105">
        <v>1.1053783E7</v>
      </c>
      <c r="Q2235" s="102" t="s">
        <v>2501</v>
      </c>
      <c r="S2235" s="1"/>
      <c r="T2235" s="1"/>
      <c r="U2235" s="1"/>
      <c r="V2235" s="1"/>
      <c r="W2235" s="1"/>
      <c r="X2235" s="1"/>
      <c r="Y2235" s="1"/>
      <c r="Z2235" s="102"/>
      <c r="AA2235" s="102"/>
      <c r="AB2235" s="1"/>
      <c r="AC2235" s="1"/>
      <c r="AD2235" s="1"/>
      <c r="AE2235" s="1"/>
      <c r="AF2235" s="1"/>
      <c r="AG2235" s="1"/>
    </row>
    <row r="2236" ht="15.75" customHeight="1">
      <c r="A2236" s="1"/>
      <c r="B2236" s="1"/>
      <c r="C2236" s="1"/>
      <c r="D2236" s="1"/>
      <c r="E2236" s="1"/>
      <c r="F2236" s="1"/>
      <c r="G2236" s="1"/>
      <c r="H2236" s="1"/>
      <c r="I2236" s="1"/>
      <c r="J2236" s="1"/>
      <c r="K2236" s="102" t="s">
        <v>4124</v>
      </c>
      <c r="L2236" s="102" t="str">
        <f>I62</f>
        <v>J1a2a1a2d~</v>
      </c>
      <c r="M2236" s="102"/>
      <c r="N2236" s="102" t="s">
        <v>4125</v>
      </c>
      <c r="O2236" s="105">
        <v>2.1467879E7</v>
      </c>
      <c r="P2236" s="105">
        <v>1.9305993E7</v>
      </c>
      <c r="Q2236" s="102" t="s">
        <v>2439</v>
      </c>
      <c r="S2236" s="1"/>
      <c r="T2236" s="1"/>
      <c r="U2236" s="1"/>
      <c r="V2236" s="1"/>
      <c r="W2236" s="1"/>
      <c r="X2236" s="1"/>
      <c r="Y2236" s="1"/>
      <c r="Z2236" s="102"/>
      <c r="AA2236" s="102"/>
      <c r="AB2236" s="1"/>
      <c r="AC2236" s="1"/>
      <c r="AD2236" s="1"/>
      <c r="AE2236" s="1"/>
      <c r="AF2236" s="1"/>
      <c r="AG2236" s="1"/>
    </row>
    <row r="2237" ht="15.75" customHeight="1">
      <c r="A2237" s="1"/>
      <c r="B2237" s="1"/>
      <c r="C2237" s="1"/>
      <c r="D2237" s="1"/>
      <c r="E2237" s="1"/>
      <c r="F2237" s="1"/>
      <c r="G2237" s="1"/>
      <c r="H2237" s="1"/>
      <c r="I2237" s="1"/>
      <c r="J2237" s="1"/>
      <c r="K2237" s="102" t="s">
        <v>4126</v>
      </c>
      <c r="L2237" s="102" t="str">
        <f>I62</f>
        <v>J1a2a1a2d~</v>
      </c>
      <c r="M2237" s="102"/>
      <c r="N2237" s="102" t="s">
        <v>4127</v>
      </c>
      <c r="O2237" s="105">
        <v>7575417.0</v>
      </c>
      <c r="P2237" s="105">
        <v>7707376.0</v>
      </c>
      <c r="Q2237" s="102" t="s">
        <v>2501</v>
      </c>
      <c r="S2237" s="1"/>
      <c r="T2237" s="1"/>
      <c r="U2237" s="1"/>
      <c r="V2237" s="1"/>
      <c r="W2237" s="1"/>
      <c r="X2237" s="1"/>
      <c r="Y2237" s="1"/>
      <c r="Z2237" s="102"/>
      <c r="AA2237" s="102"/>
      <c r="AB2237" s="1"/>
      <c r="AC2237" s="1"/>
      <c r="AD2237" s="1"/>
      <c r="AE2237" s="1"/>
      <c r="AF2237" s="1"/>
      <c r="AG2237" s="1"/>
    </row>
    <row r="2238" ht="15.75" customHeight="1">
      <c r="A2238" s="1"/>
      <c r="B2238" s="1"/>
      <c r="C2238" s="1"/>
      <c r="D2238" s="1"/>
      <c r="E2238" s="1"/>
      <c r="F2238" s="1"/>
      <c r="G2238" s="1"/>
      <c r="H2238" s="1"/>
      <c r="I2238" s="1"/>
      <c r="J2238" s="1"/>
      <c r="K2238" s="102" t="s">
        <v>4128</v>
      </c>
      <c r="L2238" s="102" t="str">
        <f>J63</f>
        <v>J1a2a1a2d1~</v>
      </c>
      <c r="M2238" s="102"/>
      <c r="N2238" s="102" t="s">
        <v>4129</v>
      </c>
      <c r="O2238" s="105">
        <v>2888661.0</v>
      </c>
      <c r="P2238" s="105">
        <v>3020620.0</v>
      </c>
      <c r="Q2238" s="102" t="s">
        <v>2468</v>
      </c>
      <c r="S2238" s="1"/>
      <c r="T2238" s="1"/>
      <c r="U2238" s="1"/>
      <c r="V2238" s="1"/>
      <c r="W2238" s="1"/>
      <c r="X2238" s="1"/>
      <c r="Y2238" s="1"/>
      <c r="Z2238" s="102"/>
      <c r="AA2238" s="102"/>
      <c r="AB2238" s="1"/>
      <c r="AC2238" s="1"/>
      <c r="AD2238" s="1"/>
      <c r="AE2238" s="1"/>
      <c r="AF2238" s="1"/>
      <c r="AG2238" s="1"/>
    </row>
    <row r="2239" ht="15.75" customHeight="1">
      <c r="A2239" s="1"/>
      <c r="B2239" s="1"/>
      <c r="C2239" s="1"/>
      <c r="D2239" s="1"/>
      <c r="E2239" s="1"/>
      <c r="F2239" s="1"/>
      <c r="G2239" s="1"/>
      <c r="H2239" s="1"/>
      <c r="I2239" s="1"/>
      <c r="J2239" s="1"/>
      <c r="K2239" s="102" t="s">
        <v>4130</v>
      </c>
      <c r="L2239" s="102" t="str">
        <f>J63</f>
        <v>J1a2a1a2d1~</v>
      </c>
      <c r="M2239" s="102"/>
      <c r="N2239" s="102"/>
      <c r="O2239" s="105">
        <v>1.9109627E7</v>
      </c>
      <c r="P2239" s="105">
        <v>1.6997747E7</v>
      </c>
      <c r="Q2239" s="102" t="s">
        <v>2439</v>
      </c>
      <c r="S2239" s="1"/>
      <c r="T2239" s="1"/>
      <c r="U2239" s="1"/>
      <c r="V2239" s="1"/>
      <c r="W2239" s="1"/>
      <c r="X2239" s="1"/>
      <c r="Y2239" s="1"/>
      <c r="Z2239" s="102"/>
      <c r="AA2239" s="102"/>
      <c r="AB2239" s="1"/>
      <c r="AC2239" s="1"/>
      <c r="AD2239" s="1"/>
      <c r="AE2239" s="1"/>
      <c r="AF2239" s="1"/>
      <c r="AG2239" s="1"/>
    </row>
    <row r="2240" ht="15.75" customHeight="1">
      <c r="A2240" s="1"/>
      <c r="B2240" s="1"/>
      <c r="C2240" s="1"/>
      <c r="D2240" s="1"/>
      <c r="E2240" s="1"/>
      <c r="F2240" s="1"/>
      <c r="G2240" s="1"/>
      <c r="H2240" s="1"/>
      <c r="I2240" s="1"/>
      <c r="J2240" s="1"/>
      <c r="K2240" s="106" t="s">
        <v>4131</v>
      </c>
      <c r="L2240" s="102" t="str">
        <f>J63</f>
        <v>J1a2a1a2d1~</v>
      </c>
      <c r="M2240" s="102" t="s">
        <v>4132</v>
      </c>
      <c r="N2240" s="106" t="s">
        <v>13</v>
      </c>
      <c r="O2240" s="107">
        <v>1.787029E7</v>
      </c>
      <c r="P2240" s="106">
        <v>1.575841E7</v>
      </c>
      <c r="Q2240" s="106" t="s">
        <v>2501</v>
      </c>
      <c r="S2240" s="1"/>
      <c r="T2240" s="1"/>
      <c r="U2240" s="1"/>
      <c r="V2240" s="1"/>
      <c r="W2240" s="1"/>
      <c r="X2240" s="1"/>
      <c r="Y2240" s="1"/>
      <c r="Z2240" s="102"/>
      <c r="AA2240" s="102"/>
      <c r="AB2240" s="1"/>
      <c r="AC2240" s="1"/>
      <c r="AD2240" s="1"/>
      <c r="AE2240" s="1"/>
      <c r="AF2240" s="1"/>
      <c r="AG2240" s="1"/>
    </row>
    <row r="2241" ht="15.75" customHeight="1">
      <c r="A2241" s="1"/>
      <c r="B2241" s="1"/>
      <c r="C2241" s="1"/>
      <c r="D2241" s="1"/>
      <c r="E2241" s="1"/>
      <c r="F2241" s="1"/>
      <c r="G2241" s="1"/>
      <c r="H2241" s="1"/>
      <c r="I2241" s="1"/>
      <c r="J2241" s="1"/>
      <c r="K2241" s="102" t="s">
        <v>4132</v>
      </c>
      <c r="L2241" s="102" t="str">
        <f>J63</f>
        <v>J1a2a1a2d1~</v>
      </c>
      <c r="M2241" s="106" t="s">
        <v>4131</v>
      </c>
      <c r="N2241" s="106" t="s">
        <v>13</v>
      </c>
      <c r="O2241" s="107">
        <v>1.787029E7</v>
      </c>
      <c r="P2241" s="106">
        <v>1.575841E7</v>
      </c>
      <c r="Q2241" s="106" t="s">
        <v>2501</v>
      </c>
      <c r="S2241" s="1"/>
      <c r="T2241" s="1"/>
      <c r="U2241" s="1"/>
      <c r="V2241" s="1"/>
      <c r="W2241" s="1"/>
      <c r="X2241" s="1"/>
      <c r="Y2241" s="1"/>
      <c r="Z2241" s="106" t="s">
        <v>4133</v>
      </c>
      <c r="AA2241" s="102" t="s">
        <v>4131</v>
      </c>
      <c r="AB2241" s="1"/>
      <c r="AC2241" s="1"/>
      <c r="AD2241" s="1"/>
      <c r="AE2241" s="1"/>
      <c r="AF2241" s="1"/>
      <c r="AG2241" s="1"/>
    </row>
    <row r="2242" ht="15.75" customHeight="1">
      <c r="A2242" s="1"/>
      <c r="B2242" s="1"/>
      <c r="C2242" s="1"/>
      <c r="D2242" s="1"/>
      <c r="E2242" s="1"/>
      <c r="F2242" s="1"/>
      <c r="G2242" s="1"/>
      <c r="H2242" s="1"/>
      <c r="I2242" s="1"/>
      <c r="J2242" s="1"/>
      <c r="K2242" s="102" t="s">
        <v>4134</v>
      </c>
      <c r="L2242" s="102" t="str">
        <f>J63</f>
        <v>J1a2a1a2d1~</v>
      </c>
      <c r="M2242" s="102"/>
      <c r="N2242" s="102"/>
      <c r="O2242" s="105">
        <v>6752870.0</v>
      </c>
      <c r="P2242" s="105">
        <v>6884829.0</v>
      </c>
      <c r="Q2242" s="102" t="s">
        <v>2501</v>
      </c>
      <c r="S2242" s="1"/>
      <c r="T2242" s="1"/>
      <c r="U2242" s="1"/>
      <c r="V2242" s="1"/>
      <c r="W2242" s="1"/>
      <c r="X2242" s="1"/>
      <c r="Y2242" s="1"/>
      <c r="Z2242" s="102"/>
      <c r="AA2242" s="102"/>
      <c r="AB2242" s="1"/>
      <c r="AC2242" s="1"/>
      <c r="AD2242" s="1"/>
      <c r="AE2242" s="1"/>
      <c r="AF2242" s="1"/>
      <c r="AG2242" s="1"/>
    </row>
    <row r="2243" ht="15.75" customHeight="1">
      <c r="A2243" s="1"/>
      <c r="B2243" s="1"/>
      <c r="C2243" s="1"/>
      <c r="D2243" s="1"/>
      <c r="E2243" s="1"/>
      <c r="F2243" s="1"/>
      <c r="G2243" s="1"/>
      <c r="H2243" s="1"/>
      <c r="I2243" s="1"/>
      <c r="J2243" s="1"/>
      <c r="K2243" s="102" t="s">
        <v>4135</v>
      </c>
      <c r="L2243" s="102" t="str">
        <f>J63</f>
        <v>J1a2a1a2d1~</v>
      </c>
      <c r="M2243" s="102"/>
      <c r="N2243" s="102"/>
      <c r="O2243" s="105">
        <v>6792296.0</v>
      </c>
      <c r="P2243" s="105">
        <v>6924255.0</v>
      </c>
      <c r="Q2243" s="102" t="s">
        <v>2501</v>
      </c>
      <c r="S2243" s="1"/>
      <c r="T2243" s="1"/>
      <c r="U2243" s="1"/>
      <c r="V2243" s="1"/>
      <c r="W2243" s="1"/>
      <c r="X2243" s="1"/>
      <c r="Y2243" s="1"/>
      <c r="Z2243" s="102"/>
      <c r="AA2243" s="102"/>
      <c r="AB2243" s="1"/>
      <c r="AC2243" s="1"/>
      <c r="AD2243" s="1"/>
      <c r="AE2243" s="1"/>
      <c r="AF2243" s="1"/>
      <c r="AG2243" s="1"/>
    </row>
    <row r="2244" ht="15.75" customHeight="1">
      <c r="A2244" s="1"/>
      <c r="B2244" s="1"/>
      <c r="C2244" s="1"/>
      <c r="D2244" s="1"/>
      <c r="E2244" s="1"/>
      <c r="F2244" s="1"/>
      <c r="G2244" s="1"/>
      <c r="H2244" s="1"/>
      <c r="I2244" s="1"/>
      <c r="J2244" s="1"/>
      <c r="K2244" s="102" t="s">
        <v>4136</v>
      </c>
      <c r="L2244" s="102" t="str">
        <f>J63</f>
        <v>J1a2a1a2d1~</v>
      </c>
      <c r="M2244" s="102"/>
      <c r="N2244" s="102"/>
      <c r="O2244" s="105">
        <v>6842576.0</v>
      </c>
      <c r="P2244" s="105">
        <v>6974535.0</v>
      </c>
      <c r="Q2244" s="102" t="s">
        <v>2432</v>
      </c>
      <c r="S2244" s="1"/>
      <c r="T2244" s="1"/>
      <c r="U2244" s="1"/>
      <c r="V2244" s="1"/>
      <c r="W2244" s="1"/>
      <c r="X2244" s="1"/>
      <c r="Y2244" s="1"/>
      <c r="Z2244" s="102"/>
      <c r="AA2244" s="102"/>
      <c r="AB2244" s="1"/>
      <c r="AC2244" s="1"/>
      <c r="AD2244" s="1"/>
      <c r="AE2244" s="1"/>
      <c r="AF2244" s="1"/>
      <c r="AG2244" s="1"/>
    </row>
    <row r="2245" ht="15.75" customHeight="1">
      <c r="A2245" s="1"/>
      <c r="B2245" s="1"/>
      <c r="C2245" s="1"/>
      <c r="D2245" s="1"/>
      <c r="E2245" s="1"/>
      <c r="F2245" s="1"/>
      <c r="G2245" s="1"/>
      <c r="H2245" s="1"/>
      <c r="I2245" s="1"/>
      <c r="J2245" s="1"/>
      <c r="K2245" s="102" t="s">
        <v>4137</v>
      </c>
      <c r="L2245" s="102" t="str">
        <f>J63</f>
        <v>J1a2a1a2d1~</v>
      </c>
      <c r="M2245" s="102"/>
      <c r="N2245" s="102"/>
      <c r="O2245" s="105">
        <v>7556896.0</v>
      </c>
      <c r="P2245" s="105">
        <v>7688855.0</v>
      </c>
      <c r="Q2245" s="102" t="s">
        <v>2439</v>
      </c>
      <c r="S2245" s="1"/>
      <c r="T2245" s="1"/>
      <c r="U2245" s="1"/>
      <c r="V2245" s="1"/>
      <c r="W2245" s="1"/>
      <c r="X2245" s="1"/>
      <c r="Y2245" s="1"/>
      <c r="Z2245" s="102"/>
      <c r="AA2245" s="102"/>
      <c r="AB2245" s="1"/>
      <c r="AC2245" s="1"/>
      <c r="AD2245" s="1"/>
      <c r="AE2245" s="1"/>
      <c r="AF2245" s="1"/>
      <c r="AG2245" s="1"/>
    </row>
    <row r="2246" ht="15.75" customHeight="1">
      <c r="A2246" s="1"/>
      <c r="B2246" s="1"/>
      <c r="C2246" s="1"/>
      <c r="D2246" s="1"/>
      <c r="E2246" s="1"/>
      <c r="F2246" s="1"/>
      <c r="G2246" s="1"/>
      <c r="H2246" s="1"/>
      <c r="I2246" s="1"/>
      <c r="J2246" s="1"/>
      <c r="K2246" s="102" t="s">
        <v>4138</v>
      </c>
      <c r="L2246" s="102" t="str">
        <f>J63</f>
        <v>J1a2a1a2d1~</v>
      </c>
      <c r="M2246" s="102"/>
      <c r="N2246" s="102"/>
      <c r="O2246" s="105">
        <v>8300434.0</v>
      </c>
      <c r="P2246" s="105">
        <v>8432393.0</v>
      </c>
      <c r="Q2246" s="102" t="s">
        <v>2468</v>
      </c>
      <c r="S2246" s="1"/>
      <c r="T2246" s="1"/>
      <c r="U2246" s="1"/>
      <c r="V2246" s="1"/>
      <c r="W2246" s="1"/>
      <c r="X2246" s="1"/>
      <c r="Y2246" s="1"/>
      <c r="Z2246" s="102"/>
      <c r="AA2246" s="102"/>
      <c r="AB2246" s="1"/>
      <c r="AC2246" s="1"/>
      <c r="AD2246" s="1"/>
      <c r="AE2246" s="1"/>
      <c r="AF2246" s="1"/>
      <c r="AG2246" s="1"/>
    </row>
    <row r="2247" ht="15.75" customHeight="1">
      <c r="A2247" s="1"/>
      <c r="B2247" s="1"/>
      <c r="C2247" s="1"/>
      <c r="D2247" s="1"/>
      <c r="E2247" s="1"/>
      <c r="F2247" s="1"/>
      <c r="G2247" s="1"/>
      <c r="H2247" s="1"/>
      <c r="I2247" s="1"/>
      <c r="J2247" s="1"/>
      <c r="K2247" s="102" t="s">
        <v>4139</v>
      </c>
      <c r="L2247" s="102" t="str">
        <f>J63</f>
        <v>J1a2a1a2d1~</v>
      </c>
      <c r="M2247" s="102"/>
      <c r="N2247" s="102"/>
      <c r="O2247" s="105">
        <v>8351102.0</v>
      </c>
      <c r="P2247" s="105">
        <v>8483061.0</v>
      </c>
      <c r="Q2247" s="102" t="s">
        <v>2576</v>
      </c>
      <c r="S2247" s="1"/>
      <c r="T2247" s="1"/>
      <c r="U2247" s="1"/>
      <c r="V2247" s="1"/>
      <c r="W2247" s="1"/>
      <c r="X2247" s="1"/>
      <c r="Y2247" s="1"/>
      <c r="Z2247" s="102"/>
      <c r="AA2247" s="102"/>
      <c r="AB2247" s="1"/>
      <c r="AC2247" s="1"/>
      <c r="AD2247" s="1"/>
      <c r="AE2247" s="1"/>
      <c r="AF2247" s="1"/>
      <c r="AG2247" s="1"/>
    </row>
    <row r="2248" ht="15.75" customHeight="1">
      <c r="A2248" s="1"/>
      <c r="B2248" s="1"/>
      <c r="C2248" s="1"/>
      <c r="D2248" s="1"/>
      <c r="E2248" s="1"/>
      <c r="F2248" s="1"/>
      <c r="G2248" s="1"/>
      <c r="H2248" s="1"/>
      <c r="I2248" s="1"/>
      <c r="J2248" s="1"/>
      <c r="K2248" s="102" t="s">
        <v>4140</v>
      </c>
      <c r="L2248" s="102" t="str">
        <f>J63</f>
        <v>J1a2a1a2d1~</v>
      </c>
      <c r="M2248" s="102"/>
      <c r="N2248" s="102"/>
      <c r="O2248" s="105">
        <v>8553144.0</v>
      </c>
      <c r="P2248" s="105">
        <v>8685103.0</v>
      </c>
      <c r="Q2248" s="102" t="s">
        <v>2533</v>
      </c>
      <c r="S2248" s="1"/>
      <c r="T2248" s="1"/>
      <c r="U2248" s="1"/>
      <c r="V2248" s="1"/>
      <c r="W2248" s="1"/>
      <c r="X2248" s="1"/>
      <c r="Y2248" s="1"/>
      <c r="Z2248" s="102"/>
      <c r="AA2248" s="102"/>
      <c r="AB2248" s="1"/>
      <c r="AC2248" s="1"/>
      <c r="AD2248" s="1"/>
      <c r="AE2248" s="1"/>
      <c r="AF2248" s="1"/>
      <c r="AG2248" s="1"/>
    </row>
    <row r="2249" ht="15.75" customHeight="1">
      <c r="A2249" s="1"/>
      <c r="B2249" s="1"/>
      <c r="C2249" s="1"/>
      <c r="D2249" s="1"/>
      <c r="E2249" s="1"/>
      <c r="F2249" s="1"/>
      <c r="G2249" s="1"/>
      <c r="H2249" s="1"/>
      <c r="I2249" s="1"/>
      <c r="J2249" s="1"/>
      <c r="K2249" s="102" t="s">
        <v>4141</v>
      </c>
      <c r="L2249" s="102" t="str">
        <f>J63</f>
        <v>J1a2a1a2d1~</v>
      </c>
      <c r="M2249" s="102"/>
      <c r="N2249" s="102"/>
      <c r="O2249" s="105">
        <v>1.426358E7</v>
      </c>
      <c r="P2249" s="105">
        <v>1.2142874E7</v>
      </c>
      <c r="Q2249" s="102" t="s">
        <v>2439</v>
      </c>
      <c r="S2249" s="1"/>
      <c r="T2249" s="1"/>
      <c r="U2249" s="1"/>
      <c r="V2249" s="1"/>
      <c r="W2249" s="1"/>
      <c r="X2249" s="1"/>
      <c r="Y2249" s="1"/>
      <c r="Z2249" s="102"/>
      <c r="AA2249" s="102"/>
      <c r="AB2249" s="1"/>
      <c r="AC2249" s="1"/>
      <c r="AD2249" s="1"/>
      <c r="AE2249" s="1"/>
      <c r="AF2249" s="1"/>
      <c r="AG2249" s="1"/>
    </row>
    <row r="2250" ht="15.75" customHeight="1">
      <c r="A2250" s="1"/>
      <c r="B2250" s="1"/>
      <c r="C2250" s="1"/>
      <c r="D2250" s="1"/>
      <c r="E2250" s="1"/>
      <c r="F2250" s="1"/>
      <c r="G2250" s="1"/>
      <c r="H2250" s="1"/>
      <c r="I2250" s="1"/>
      <c r="J2250" s="1"/>
      <c r="K2250" s="102" t="s">
        <v>4142</v>
      </c>
      <c r="L2250" s="102" t="str">
        <f>J63</f>
        <v>J1a2a1a2d1~</v>
      </c>
      <c r="M2250" s="102"/>
      <c r="N2250" s="102"/>
      <c r="O2250" s="105">
        <v>1.5880327E7</v>
      </c>
      <c r="P2250" s="105">
        <v>1.3768447E7</v>
      </c>
      <c r="Q2250" s="102" t="s">
        <v>2468</v>
      </c>
      <c r="S2250" s="1"/>
      <c r="T2250" s="1"/>
      <c r="U2250" s="1"/>
      <c r="V2250" s="1"/>
      <c r="W2250" s="1"/>
      <c r="X2250" s="1"/>
      <c r="Y2250" s="1"/>
      <c r="Z2250" s="102"/>
      <c r="AA2250" s="102"/>
      <c r="AB2250" s="1"/>
      <c r="AC2250" s="1"/>
      <c r="AD2250" s="1"/>
      <c r="AE2250" s="1"/>
      <c r="AF2250" s="1"/>
      <c r="AG2250" s="1"/>
    </row>
    <row r="2251" ht="15.75" customHeight="1">
      <c r="A2251" s="1"/>
      <c r="B2251" s="1"/>
      <c r="C2251" s="1"/>
      <c r="D2251" s="1"/>
      <c r="E2251" s="1"/>
      <c r="F2251" s="1"/>
      <c r="G2251" s="1"/>
      <c r="H2251" s="1"/>
      <c r="I2251" s="1"/>
      <c r="J2251" s="1"/>
      <c r="K2251" s="102" t="s">
        <v>4143</v>
      </c>
      <c r="L2251" s="102" t="str">
        <f>J63</f>
        <v>J1a2a1a2d1~</v>
      </c>
      <c r="M2251" s="102"/>
      <c r="N2251" s="102"/>
      <c r="O2251" s="105">
        <v>1.6234297E7</v>
      </c>
      <c r="P2251" s="105">
        <v>1.4122417E7</v>
      </c>
      <c r="Q2251" s="102" t="s">
        <v>2529</v>
      </c>
      <c r="S2251" s="1"/>
      <c r="T2251" s="1"/>
      <c r="U2251" s="1"/>
      <c r="V2251" s="1"/>
      <c r="W2251" s="1"/>
      <c r="X2251" s="1"/>
      <c r="Y2251" s="1"/>
      <c r="Z2251" s="102"/>
      <c r="AA2251" s="102"/>
      <c r="AB2251" s="1"/>
      <c r="AC2251" s="1"/>
      <c r="AD2251" s="1"/>
      <c r="AE2251" s="1"/>
      <c r="AF2251" s="1"/>
      <c r="AG2251" s="1"/>
    </row>
    <row r="2252" ht="15.75" customHeight="1">
      <c r="A2252" s="1"/>
      <c r="B2252" s="1"/>
      <c r="C2252" s="1"/>
      <c r="D2252" s="1"/>
      <c r="E2252" s="1"/>
      <c r="F2252" s="1"/>
      <c r="G2252" s="1"/>
      <c r="H2252" s="1"/>
      <c r="I2252" s="1"/>
      <c r="J2252" s="1"/>
      <c r="K2252" s="102" t="s">
        <v>4144</v>
      </c>
      <c r="L2252" s="102" t="str">
        <f>J63</f>
        <v>J1a2a1a2d1~</v>
      </c>
      <c r="M2252" s="102"/>
      <c r="N2252" s="102"/>
      <c r="O2252" s="105">
        <v>1.6328816E7</v>
      </c>
      <c r="P2252" s="105">
        <v>1.4216936E7</v>
      </c>
      <c r="Q2252" s="102" t="s">
        <v>2439</v>
      </c>
      <c r="S2252" s="1"/>
      <c r="T2252" s="1"/>
      <c r="U2252" s="1"/>
      <c r="V2252" s="1"/>
      <c r="W2252" s="1"/>
      <c r="X2252" s="1"/>
      <c r="Y2252" s="1"/>
      <c r="Z2252" s="102"/>
      <c r="AA2252" s="102"/>
      <c r="AB2252" s="1"/>
      <c r="AC2252" s="1"/>
      <c r="AD2252" s="1"/>
      <c r="AE2252" s="1"/>
      <c r="AF2252" s="1"/>
      <c r="AG2252" s="1"/>
    </row>
    <row r="2253" ht="15.75" customHeight="1">
      <c r="A2253" s="1"/>
      <c r="B2253" s="1"/>
      <c r="C2253" s="1"/>
      <c r="D2253" s="1"/>
      <c r="E2253" s="1"/>
      <c r="F2253" s="1"/>
      <c r="G2253" s="1"/>
      <c r="H2253" s="1"/>
      <c r="I2253" s="1"/>
      <c r="J2253" s="1"/>
      <c r="K2253" s="102" t="s">
        <v>4145</v>
      </c>
      <c r="L2253" s="102" t="str">
        <f>J63</f>
        <v>J1a2a1a2d1~</v>
      </c>
      <c r="M2253" s="102"/>
      <c r="N2253" s="102"/>
      <c r="O2253" s="105">
        <v>1.6567065E7</v>
      </c>
      <c r="P2253" s="105">
        <v>1.4455185E7</v>
      </c>
      <c r="Q2253" s="102" t="s">
        <v>2529</v>
      </c>
      <c r="S2253" s="1"/>
      <c r="T2253" s="1"/>
      <c r="U2253" s="1"/>
      <c r="V2253" s="1"/>
      <c r="W2253" s="1"/>
      <c r="X2253" s="1"/>
      <c r="Y2253" s="1"/>
      <c r="Z2253" s="102"/>
      <c r="AA2253" s="102"/>
      <c r="AB2253" s="1"/>
      <c r="AC2253" s="1"/>
      <c r="AD2253" s="1"/>
      <c r="AE2253" s="1"/>
      <c r="AF2253" s="1"/>
      <c r="AG2253" s="1"/>
    </row>
    <row r="2254" ht="15.75" customHeight="1">
      <c r="A2254" s="1"/>
      <c r="B2254" s="1"/>
      <c r="C2254" s="1"/>
      <c r="D2254" s="1"/>
      <c r="E2254" s="1"/>
      <c r="F2254" s="1"/>
      <c r="G2254" s="1"/>
      <c r="H2254" s="1"/>
      <c r="I2254" s="1"/>
      <c r="J2254" s="1"/>
      <c r="K2254" s="102" t="s">
        <v>4146</v>
      </c>
      <c r="L2254" s="102" t="str">
        <f>J63</f>
        <v>J1a2a1a2d1~</v>
      </c>
      <c r="M2254" s="102"/>
      <c r="N2254" s="102"/>
      <c r="O2254" s="105">
        <v>1.7669872E7</v>
      </c>
      <c r="P2254" s="105">
        <v>1.5557992E7</v>
      </c>
      <c r="Q2254" s="102" t="s">
        <v>2501</v>
      </c>
      <c r="S2254" s="1"/>
      <c r="T2254" s="1"/>
      <c r="U2254" s="1"/>
      <c r="V2254" s="1"/>
      <c r="W2254" s="1"/>
      <c r="X2254" s="1"/>
      <c r="Y2254" s="1"/>
      <c r="Z2254" s="102"/>
      <c r="AA2254" s="102"/>
      <c r="AB2254" s="1"/>
      <c r="AC2254" s="1"/>
      <c r="AD2254" s="1"/>
      <c r="AE2254" s="1"/>
      <c r="AF2254" s="1"/>
      <c r="AG2254" s="1"/>
    </row>
    <row r="2255" ht="15.75" customHeight="1">
      <c r="A2255" s="1"/>
      <c r="B2255" s="1"/>
      <c r="C2255" s="1"/>
      <c r="D2255" s="1"/>
      <c r="E2255" s="1"/>
      <c r="F2255" s="1"/>
      <c r="G2255" s="1"/>
      <c r="H2255" s="1"/>
      <c r="I2255" s="1"/>
      <c r="J2255" s="1"/>
      <c r="K2255" s="102" t="s">
        <v>4147</v>
      </c>
      <c r="L2255" s="102" t="str">
        <f>J63</f>
        <v>J1a2a1a2d1~</v>
      </c>
      <c r="M2255" s="102"/>
      <c r="N2255" s="102"/>
      <c r="O2255" s="105">
        <v>1.8175402E7</v>
      </c>
      <c r="P2255" s="105">
        <v>1.6063522E7</v>
      </c>
      <c r="Q2255" s="102" t="s">
        <v>2439</v>
      </c>
      <c r="S2255" s="1"/>
      <c r="T2255" s="1"/>
      <c r="U2255" s="1"/>
      <c r="V2255" s="1"/>
      <c r="W2255" s="1"/>
      <c r="X2255" s="1"/>
      <c r="Y2255" s="1"/>
      <c r="Z2255" s="102"/>
      <c r="AA2255" s="102"/>
      <c r="AB2255" s="1"/>
      <c r="AC2255" s="1"/>
      <c r="AD2255" s="1"/>
      <c r="AE2255" s="1"/>
      <c r="AF2255" s="1"/>
      <c r="AG2255" s="1"/>
    </row>
    <row r="2256" ht="15.75" customHeight="1">
      <c r="A2256" s="1"/>
      <c r="B2256" s="1"/>
      <c r="C2256" s="1"/>
      <c r="D2256" s="1"/>
      <c r="E2256" s="1"/>
      <c r="F2256" s="1"/>
      <c r="G2256" s="1"/>
      <c r="H2256" s="1"/>
      <c r="I2256" s="1"/>
      <c r="J2256" s="1"/>
      <c r="K2256" s="102" t="s">
        <v>4148</v>
      </c>
      <c r="L2256" s="102" t="str">
        <f>J63</f>
        <v>J1a2a1a2d1~</v>
      </c>
      <c r="M2256" s="102"/>
      <c r="N2256" s="102" t="s">
        <v>4149</v>
      </c>
      <c r="O2256" s="105">
        <v>1.9141229E7</v>
      </c>
      <c r="P2256" s="105">
        <v>1.7029349E7</v>
      </c>
      <c r="Q2256" s="102" t="s">
        <v>2501</v>
      </c>
      <c r="S2256" s="1"/>
      <c r="T2256" s="1"/>
      <c r="U2256" s="1"/>
      <c r="V2256" s="1"/>
      <c r="W2256" s="1"/>
      <c r="X2256" s="1"/>
      <c r="Y2256" s="1"/>
      <c r="Z2256" s="102"/>
      <c r="AA2256" s="102"/>
      <c r="AB2256" s="1"/>
      <c r="AC2256" s="1"/>
      <c r="AD2256" s="1"/>
      <c r="AE2256" s="1"/>
      <c r="AF2256" s="1"/>
      <c r="AG2256" s="1"/>
    </row>
    <row r="2257" ht="15.75" customHeight="1">
      <c r="A2257" s="1"/>
      <c r="B2257" s="1"/>
      <c r="C2257" s="1"/>
      <c r="D2257" s="1"/>
      <c r="E2257" s="1"/>
      <c r="F2257" s="1"/>
      <c r="G2257" s="1"/>
      <c r="H2257" s="1"/>
      <c r="I2257" s="1"/>
      <c r="J2257" s="1"/>
      <c r="K2257" s="102" t="s">
        <v>4150</v>
      </c>
      <c r="L2257" s="102" t="str">
        <f>J63</f>
        <v>J1a2a1a2d1~</v>
      </c>
      <c r="M2257" s="102"/>
      <c r="N2257" s="102" t="s">
        <v>4151</v>
      </c>
      <c r="O2257" s="105">
        <v>1.942218E7</v>
      </c>
      <c r="P2257" s="105">
        <v>1.73103E7</v>
      </c>
      <c r="Q2257" s="102" t="s">
        <v>2533</v>
      </c>
      <c r="S2257" s="1"/>
      <c r="T2257" s="1"/>
      <c r="U2257" s="1"/>
      <c r="V2257" s="1"/>
      <c r="W2257" s="1"/>
      <c r="X2257" s="1"/>
      <c r="Y2257" s="1"/>
      <c r="Z2257" s="102"/>
      <c r="AA2257" s="102"/>
      <c r="AB2257" s="1"/>
      <c r="AC2257" s="1"/>
      <c r="AD2257" s="1"/>
      <c r="AE2257" s="1"/>
      <c r="AF2257" s="1"/>
      <c r="AG2257" s="1"/>
    </row>
    <row r="2258" ht="15.75" customHeight="1">
      <c r="A2258" s="1"/>
      <c r="B2258" s="1"/>
      <c r="C2258" s="1"/>
      <c r="D2258" s="1"/>
      <c r="E2258" s="1"/>
      <c r="F2258" s="1"/>
      <c r="G2258" s="1"/>
      <c r="H2258" s="1"/>
      <c r="I2258" s="1"/>
      <c r="J2258" s="1"/>
      <c r="K2258" s="102" t="s">
        <v>4152</v>
      </c>
      <c r="L2258" s="102" t="str">
        <f>J63</f>
        <v>J1a2a1a2d1~</v>
      </c>
      <c r="M2258" s="102"/>
      <c r="N2258" s="102"/>
      <c r="O2258" s="105">
        <v>2.1412975E7</v>
      </c>
      <c r="P2258" s="105">
        <v>1.9251089E7</v>
      </c>
      <c r="Q2258" s="102" t="s">
        <v>2439</v>
      </c>
      <c r="S2258" s="1"/>
      <c r="T2258" s="1"/>
      <c r="U2258" s="1"/>
      <c r="V2258" s="1"/>
      <c r="W2258" s="1"/>
      <c r="X2258" s="1"/>
      <c r="Y2258" s="1"/>
      <c r="Z2258" s="102"/>
      <c r="AA2258" s="102"/>
      <c r="AB2258" s="1"/>
      <c r="AC2258" s="1"/>
      <c r="AD2258" s="1"/>
      <c r="AE2258" s="1"/>
      <c r="AF2258" s="1"/>
      <c r="AG2258" s="1"/>
    </row>
    <row r="2259" ht="15.75" customHeight="1">
      <c r="A2259" s="1"/>
      <c r="B2259" s="1"/>
      <c r="C2259" s="1"/>
      <c r="D2259" s="1"/>
      <c r="E2259" s="1"/>
      <c r="F2259" s="1"/>
      <c r="G2259" s="1"/>
      <c r="H2259" s="1"/>
      <c r="I2259" s="1"/>
      <c r="J2259" s="1"/>
      <c r="K2259" s="102" t="s">
        <v>4153</v>
      </c>
      <c r="L2259" s="102" t="str">
        <f>J63</f>
        <v>J1a2a1a2d1~</v>
      </c>
      <c r="M2259" s="102"/>
      <c r="N2259" s="102"/>
      <c r="O2259" s="105">
        <v>2.1482241E7</v>
      </c>
      <c r="P2259" s="105">
        <v>1.9320355E7</v>
      </c>
      <c r="Q2259" s="102" t="s">
        <v>2576</v>
      </c>
      <c r="S2259" s="1"/>
      <c r="T2259" s="1"/>
      <c r="U2259" s="1"/>
      <c r="V2259" s="1"/>
      <c r="W2259" s="1"/>
      <c r="X2259" s="1"/>
      <c r="Y2259" s="1"/>
      <c r="Z2259" s="102"/>
      <c r="AA2259" s="102"/>
      <c r="AB2259" s="1"/>
      <c r="AC2259" s="1"/>
      <c r="AD2259" s="1"/>
      <c r="AE2259" s="1"/>
      <c r="AF2259" s="1"/>
      <c r="AG2259" s="1"/>
    </row>
    <row r="2260" ht="15.75" customHeight="1">
      <c r="A2260" s="1"/>
      <c r="B2260" s="1"/>
      <c r="C2260" s="1"/>
      <c r="D2260" s="1"/>
      <c r="E2260" s="1"/>
      <c r="F2260" s="1"/>
      <c r="G2260" s="1"/>
      <c r="H2260" s="1"/>
      <c r="I2260" s="1"/>
      <c r="J2260" s="1"/>
      <c r="K2260" s="102" t="s">
        <v>4154</v>
      </c>
      <c r="L2260" s="102" t="str">
        <f>J63</f>
        <v>J1a2a1a2d1~</v>
      </c>
      <c r="M2260" s="102"/>
      <c r="N2260" s="102"/>
      <c r="O2260" s="105">
        <v>2.3195427E7</v>
      </c>
      <c r="P2260" s="105">
        <v>2.1033541E7</v>
      </c>
      <c r="Q2260" s="102" t="s">
        <v>2432</v>
      </c>
      <c r="S2260" s="1"/>
      <c r="T2260" s="1"/>
      <c r="U2260" s="1"/>
      <c r="V2260" s="1"/>
      <c r="W2260" s="1"/>
      <c r="X2260" s="1"/>
      <c r="Y2260" s="1"/>
      <c r="Z2260" s="102"/>
      <c r="AA2260" s="102"/>
      <c r="AB2260" s="1"/>
      <c r="AC2260" s="1"/>
      <c r="AD2260" s="1"/>
      <c r="AE2260" s="1"/>
      <c r="AF2260" s="1"/>
      <c r="AG2260" s="1"/>
    </row>
    <row r="2261" ht="15.75" customHeight="1">
      <c r="A2261" s="1"/>
      <c r="B2261" s="1"/>
      <c r="C2261" s="1"/>
      <c r="D2261" s="1"/>
      <c r="E2261" s="1"/>
      <c r="F2261" s="1"/>
      <c r="G2261" s="1"/>
      <c r="H2261" s="1"/>
      <c r="I2261" s="1"/>
      <c r="J2261" s="1"/>
      <c r="K2261" s="102" t="s">
        <v>4155</v>
      </c>
      <c r="L2261" s="102" t="str">
        <f>J63</f>
        <v>J1a2a1a2d1~</v>
      </c>
      <c r="M2261" s="102"/>
      <c r="N2261" s="102"/>
      <c r="O2261" s="105">
        <v>2.3203621E7</v>
      </c>
      <c r="P2261" s="105">
        <v>2.1041735E7</v>
      </c>
      <c r="Q2261" s="102" t="s">
        <v>2468</v>
      </c>
      <c r="S2261" s="1"/>
      <c r="T2261" s="1"/>
      <c r="U2261" s="1"/>
      <c r="V2261" s="1"/>
      <c r="W2261" s="1"/>
      <c r="X2261" s="1"/>
      <c r="Y2261" s="1"/>
      <c r="Z2261" s="102"/>
      <c r="AA2261" s="102"/>
      <c r="AB2261" s="1"/>
      <c r="AC2261" s="1"/>
      <c r="AD2261" s="1"/>
      <c r="AE2261" s="1"/>
      <c r="AF2261" s="1"/>
      <c r="AG2261" s="1"/>
    </row>
    <row r="2262" ht="15.75" customHeight="1">
      <c r="A2262" s="1"/>
      <c r="B2262" s="1"/>
      <c r="C2262" s="1"/>
      <c r="D2262" s="1"/>
      <c r="E2262" s="1"/>
      <c r="F2262" s="1"/>
      <c r="G2262" s="1"/>
      <c r="H2262" s="1"/>
      <c r="I2262" s="1"/>
      <c r="J2262" s="1"/>
      <c r="K2262" s="102" t="s">
        <v>4156</v>
      </c>
      <c r="L2262" s="102" t="str">
        <f>J63</f>
        <v>J1a2a1a2d1~</v>
      </c>
      <c r="M2262" s="102"/>
      <c r="N2262" s="102" t="s">
        <v>4157</v>
      </c>
      <c r="O2262" s="105">
        <v>2.3597053E7</v>
      </c>
      <c r="P2262" s="105">
        <v>2.1435167E7</v>
      </c>
      <c r="Q2262" s="102" t="s">
        <v>2439</v>
      </c>
      <c r="S2262" s="1"/>
      <c r="T2262" s="1"/>
      <c r="U2262" s="1"/>
      <c r="V2262" s="1"/>
      <c r="W2262" s="1"/>
      <c r="X2262" s="1"/>
      <c r="Y2262" s="1"/>
      <c r="Z2262" s="102"/>
      <c r="AA2262" s="102"/>
      <c r="AB2262" s="1"/>
      <c r="AC2262" s="1"/>
      <c r="AD2262" s="1"/>
      <c r="AE2262" s="1"/>
      <c r="AF2262" s="1"/>
      <c r="AG2262" s="1"/>
    </row>
    <row r="2263" ht="15.75" customHeight="1">
      <c r="A2263" s="1"/>
      <c r="B2263" s="1"/>
      <c r="C2263" s="1"/>
      <c r="D2263" s="1"/>
      <c r="E2263" s="1"/>
      <c r="F2263" s="1"/>
      <c r="G2263" s="1"/>
      <c r="H2263" s="1"/>
      <c r="I2263" s="1"/>
      <c r="J2263" s="1"/>
      <c r="K2263" s="102" t="s">
        <v>4158</v>
      </c>
      <c r="L2263" s="102" t="str">
        <f>J63</f>
        <v>J1a2a1a2d1~</v>
      </c>
      <c r="M2263" s="102"/>
      <c r="N2263" s="102"/>
      <c r="O2263" s="105">
        <v>2.3963604E7</v>
      </c>
      <c r="P2263" s="105">
        <v>2.1817457E7</v>
      </c>
      <c r="Q2263" s="102" t="s">
        <v>2514</v>
      </c>
      <c r="S2263" s="1"/>
      <c r="T2263" s="1"/>
      <c r="U2263" s="1"/>
      <c r="V2263" s="1"/>
      <c r="W2263" s="1"/>
      <c r="X2263" s="1"/>
      <c r="Y2263" s="1"/>
      <c r="Z2263" s="102"/>
      <c r="AA2263" s="102"/>
      <c r="AB2263" s="1"/>
      <c r="AC2263" s="1"/>
      <c r="AD2263" s="1"/>
      <c r="AE2263" s="1"/>
      <c r="AF2263" s="1"/>
      <c r="AG2263" s="1"/>
    </row>
    <row r="2264" ht="15.75" customHeight="1">
      <c r="A2264" s="1"/>
      <c r="B2264" s="1"/>
      <c r="C2264" s="1"/>
      <c r="D2264" s="1"/>
      <c r="E2264" s="1"/>
      <c r="F2264" s="1"/>
      <c r="G2264" s="1"/>
      <c r="H2264" s="1"/>
      <c r="I2264" s="1"/>
      <c r="J2264" s="1"/>
      <c r="K2264" s="102" t="s">
        <v>4159</v>
      </c>
      <c r="L2264" s="102" t="str">
        <f>J63</f>
        <v>J1a2a1a2d1~</v>
      </c>
      <c r="M2264" s="102"/>
      <c r="N2264" s="102"/>
      <c r="O2264" s="105">
        <v>7750744.0</v>
      </c>
      <c r="P2264" s="105">
        <v>7882703.0</v>
      </c>
      <c r="Q2264" s="102" t="s">
        <v>2563</v>
      </c>
      <c r="S2264" s="1"/>
      <c r="T2264" s="1"/>
      <c r="U2264" s="1"/>
      <c r="V2264" s="1"/>
      <c r="W2264" s="1"/>
      <c r="X2264" s="1"/>
      <c r="Y2264" s="1"/>
      <c r="Z2264" s="102"/>
      <c r="AA2264" s="102"/>
      <c r="AB2264" s="1"/>
      <c r="AC2264" s="1"/>
      <c r="AD2264" s="1"/>
      <c r="AE2264" s="1"/>
      <c r="AF2264" s="1"/>
      <c r="AG2264" s="1"/>
    </row>
    <row r="2265" ht="15.75" customHeight="1">
      <c r="A2265" s="1"/>
      <c r="B2265" s="1"/>
      <c r="C2265" s="1"/>
      <c r="D2265" s="1"/>
      <c r="E2265" s="1"/>
      <c r="F2265" s="1"/>
      <c r="G2265" s="1"/>
      <c r="H2265" s="1"/>
      <c r="I2265" s="1"/>
      <c r="J2265" s="1"/>
      <c r="K2265" s="102" t="s">
        <v>4160</v>
      </c>
      <c r="L2265" s="102" t="str">
        <f t="shared" ref="L2265:L2266" si="12">J63</f>
        <v>J1a2a1a2d1~</v>
      </c>
      <c r="M2265" s="102"/>
      <c r="N2265" s="102"/>
      <c r="O2265" s="105">
        <v>1.9254981E7</v>
      </c>
      <c r="P2265" s="105">
        <v>1.7143101E7</v>
      </c>
      <c r="Q2265" s="102" t="s">
        <v>2501</v>
      </c>
      <c r="S2265" s="1"/>
      <c r="T2265" s="1"/>
      <c r="U2265" s="1"/>
      <c r="V2265" s="1"/>
      <c r="W2265" s="1"/>
      <c r="X2265" s="1"/>
      <c r="Y2265" s="1"/>
      <c r="Z2265" s="102"/>
      <c r="AA2265" s="102"/>
      <c r="AB2265" s="1"/>
      <c r="AC2265" s="1"/>
      <c r="AD2265" s="1"/>
      <c r="AE2265" s="1"/>
      <c r="AF2265" s="1"/>
      <c r="AG2265" s="1"/>
    </row>
    <row r="2266" ht="15.75" customHeight="1">
      <c r="A2266" s="1"/>
      <c r="B2266" s="1"/>
      <c r="C2266" s="1"/>
      <c r="D2266" s="1"/>
      <c r="E2266" s="1"/>
      <c r="F2266" s="1"/>
      <c r="G2266" s="1"/>
      <c r="H2266" s="1"/>
      <c r="I2266" s="1"/>
      <c r="J2266" s="1"/>
      <c r="K2266" s="102" t="s">
        <v>4161</v>
      </c>
      <c r="L2266" s="102" t="str">
        <f t="shared" si="12"/>
        <v>J1a2a1a2d2~</v>
      </c>
      <c r="M2266" s="102" t="s">
        <v>4162</v>
      </c>
      <c r="N2266" s="102" t="s">
        <v>4163</v>
      </c>
      <c r="O2266" s="105">
        <v>1.4311197E7</v>
      </c>
      <c r="P2266" s="105">
        <v>1.2190491E7</v>
      </c>
      <c r="Q2266" s="102" t="s">
        <v>2501</v>
      </c>
      <c r="S2266" s="1"/>
      <c r="T2266" s="1"/>
      <c r="U2266" s="1"/>
      <c r="V2266" s="1"/>
      <c r="W2266" s="1"/>
      <c r="X2266" s="1"/>
      <c r="Y2266" s="1"/>
      <c r="Z2266" s="102"/>
      <c r="AA2266" s="102"/>
      <c r="AB2266" s="1"/>
      <c r="AC2266" s="1"/>
      <c r="AD2266" s="1"/>
      <c r="AE2266" s="1"/>
      <c r="AF2266" s="1"/>
      <c r="AG2266" s="1"/>
    </row>
    <row r="2267" ht="15.75" customHeight="1">
      <c r="A2267" s="1"/>
      <c r="B2267" s="1"/>
      <c r="C2267" s="1"/>
      <c r="D2267" s="1"/>
      <c r="E2267" s="1"/>
      <c r="F2267" s="1"/>
      <c r="G2267" s="1"/>
      <c r="H2267" s="1"/>
      <c r="I2267" s="1"/>
      <c r="J2267" s="1"/>
      <c r="K2267" s="102" t="s">
        <v>4164</v>
      </c>
      <c r="L2267" s="102" t="str">
        <f>J64</f>
        <v>J1a2a1a2d2~</v>
      </c>
      <c r="M2267" s="102" t="s">
        <v>4165</v>
      </c>
      <c r="N2267" s="102" t="s">
        <v>4163</v>
      </c>
      <c r="O2267" s="105">
        <v>1.4311197E7</v>
      </c>
      <c r="P2267" s="105">
        <v>1.2190491E7</v>
      </c>
      <c r="Q2267" s="102" t="s">
        <v>2501</v>
      </c>
      <c r="S2267" s="1"/>
      <c r="T2267" s="1"/>
      <c r="U2267" s="1"/>
      <c r="V2267" s="1"/>
      <c r="W2267" s="1"/>
      <c r="X2267" s="1"/>
      <c r="Y2267" s="1"/>
      <c r="Z2267" s="102"/>
      <c r="AA2267" s="102"/>
      <c r="AB2267" s="1"/>
      <c r="AC2267" s="1"/>
      <c r="AD2267" s="1"/>
      <c r="AE2267" s="1"/>
      <c r="AF2267" s="1"/>
      <c r="AG2267" s="1"/>
    </row>
    <row r="2268" ht="15.75" customHeight="1">
      <c r="A2268" s="1"/>
      <c r="B2268" s="1"/>
      <c r="C2268" s="1"/>
      <c r="D2268" s="1"/>
      <c r="E2268" s="1"/>
      <c r="F2268" s="1"/>
      <c r="G2268" s="1"/>
      <c r="H2268" s="1"/>
      <c r="I2268" s="1"/>
      <c r="J2268" s="1"/>
      <c r="K2268" s="102" t="s">
        <v>4166</v>
      </c>
      <c r="L2268" s="102" t="str">
        <f>J64</f>
        <v>J1a2a1a2d2~</v>
      </c>
      <c r="M2268" s="102" t="s">
        <v>4167</v>
      </c>
      <c r="N2268" s="102" t="s">
        <v>4163</v>
      </c>
      <c r="O2268" s="105">
        <v>1.4311197E7</v>
      </c>
      <c r="P2268" s="105">
        <v>1.2190491E7</v>
      </c>
      <c r="Q2268" s="102" t="s">
        <v>2501</v>
      </c>
      <c r="S2268" s="1"/>
      <c r="T2268" s="1"/>
      <c r="U2268" s="1"/>
      <c r="V2268" s="1"/>
      <c r="W2268" s="1"/>
      <c r="X2268" s="1"/>
      <c r="Y2268" s="1"/>
      <c r="Z2268" s="102"/>
      <c r="AA2268" s="102"/>
      <c r="AB2268" s="1"/>
      <c r="AC2268" s="1"/>
      <c r="AD2268" s="1"/>
      <c r="AE2268" s="1"/>
      <c r="AF2268" s="1"/>
      <c r="AG2268" s="1"/>
    </row>
    <row r="2269" ht="15.75" customHeight="1">
      <c r="A2269" s="1"/>
      <c r="B2269" s="1"/>
      <c r="C2269" s="1"/>
      <c r="D2269" s="1"/>
      <c r="E2269" s="1"/>
      <c r="F2269" s="1"/>
      <c r="G2269" s="1"/>
      <c r="H2269" s="1"/>
      <c r="I2269" s="1"/>
      <c r="J2269" s="1"/>
      <c r="K2269" s="102" t="s">
        <v>4168</v>
      </c>
      <c r="L2269" s="102" t="str">
        <f>J64</f>
        <v>J1a2a1a2d2~</v>
      </c>
      <c r="M2269" s="106" t="s">
        <v>4169</v>
      </c>
      <c r="N2269" s="108" t="s">
        <v>4170</v>
      </c>
      <c r="O2269" s="107">
        <v>2.1558671E7</v>
      </c>
      <c r="P2269" s="109">
        <v>1.9396785E7</v>
      </c>
      <c r="Q2269" s="106" t="s">
        <v>2533</v>
      </c>
      <c r="S2269" s="1"/>
      <c r="T2269" s="1"/>
      <c r="U2269" s="1"/>
      <c r="V2269" s="1"/>
      <c r="W2269" s="1"/>
      <c r="X2269" s="1"/>
      <c r="Y2269" s="1"/>
      <c r="Z2269" s="102">
        <v>2.1558671E7</v>
      </c>
      <c r="AA2269" s="102" t="s">
        <v>4169</v>
      </c>
      <c r="AB2269" s="1"/>
      <c r="AC2269" s="1"/>
      <c r="AD2269" s="1"/>
      <c r="AE2269" s="1"/>
      <c r="AF2269" s="1"/>
      <c r="AG2269" s="1"/>
    </row>
    <row r="2270" ht="15.75" customHeight="1">
      <c r="A2270" s="1"/>
      <c r="B2270" s="1"/>
      <c r="C2270" s="1"/>
      <c r="D2270" s="1"/>
      <c r="E2270" s="1"/>
      <c r="F2270" s="1"/>
      <c r="G2270" s="1"/>
      <c r="H2270" s="1"/>
      <c r="I2270" s="1"/>
      <c r="J2270" s="1"/>
      <c r="K2270" s="106" t="s">
        <v>4169</v>
      </c>
      <c r="L2270" s="102" t="str">
        <f>J64</f>
        <v>J1a2a1a2d2~</v>
      </c>
      <c r="M2270" s="102" t="s">
        <v>4168</v>
      </c>
      <c r="N2270" s="108" t="s">
        <v>4170</v>
      </c>
      <c r="O2270" s="107">
        <v>2.1558671E7</v>
      </c>
      <c r="P2270" s="109">
        <v>1.9396785E7</v>
      </c>
      <c r="Q2270" s="106" t="s">
        <v>2533</v>
      </c>
      <c r="S2270" s="1"/>
      <c r="T2270" s="1"/>
      <c r="U2270" s="1"/>
      <c r="V2270" s="1"/>
      <c r="W2270" s="1"/>
      <c r="X2270" s="1"/>
      <c r="Y2270" s="1"/>
      <c r="Z2270" s="102"/>
      <c r="AA2270" s="102"/>
      <c r="AB2270" s="1"/>
      <c r="AC2270" s="1"/>
      <c r="AD2270" s="1"/>
      <c r="AE2270" s="1"/>
      <c r="AF2270" s="1"/>
      <c r="AG2270" s="1"/>
    </row>
    <row r="2271" ht="15.75" customHeight="1">
      <c r="A2271" s="1"/>
      <c r="B2271" s="1"/>
      <c r="C2271" s="1"/>
      <c r="D2271" s="1"/>
      <c r="E2271" s="1"/>
      <c r="F2271" s="1"/>
      <c r="G2271" s="1"/>
      <c r="H2271" s="1"/>
      <c r="I2271" s="1"/>
      <c r="J2271" s="1"/>
      <c r="K2271" s="102" t="s">
        <v>4171</v>
      </c>
      <c r="L2271" s="102" t="str">
        <f>J64</f>
        <v>J1a2a1a2d2~</v>
      </c>
      <c r="M2271" s="102" t="s">
        <v>4172</v>
      </c>
      <c r="N2271" s="102" t="s">
        <v>4173</v>
      </c>
      <c r="O2271" s="105">
        <v>1.40759E7</v>
      </c>
      <c r="P2271" s="105">
        <v>1.1955194E7</v>
      </c>
      <c r="Q2271" s="102" t="s">
        <v>2446</v>
      </c>
      <c r="S2271" s="1"/>
      <c r="T2271" s="1"/>
      <c r="U2271" s="1"/>
      <c r="V2271" s="1"/>
      <c r="W2271" s="1"/>
      <c r="X2271" s="1"/>
      <c r="Y2271" s="1"/>
      <c r="Z2271" s="102"/>
      <c r="AA2271" s="102"/>
      <c r="AB2271" s="1"/>
      <c r="AC2271" s="1"/>
      <c r="AD2271" s="1"/>
      <c r="AE2271" s="1"/>
      <c r="AF2271" s="1"/>
      <c r="AG2271" s="1"/>
    </row>
    <row r="2272" ht="15.75" customHeight="1">
      <c r="A2272" s="1"/>
      <c r="B2272" s="1"/>
      <c r="C2272" s="1"/>
      <c r="D2272" s="1"/>
      <c r="E2272" s="1"/>
      <c r="F2272" s="1"/>
      <c r="G2272" s="1"/>
      <c r="H2272" s="1"/>
      <c r="I2272" s="1"/>
      <c r="J2272" s="1"/>
      <c r="K2272" s="102" t="s">
        <v>4172</v>
      </c>
      <c r="L2272" s="102" t="str">
        <f>J64</f>
        <v>J1a2a1a2d2~</v>
      </c>
      <c r="M2272" s="102" t="s">
        <v>4171</v>
      </c>
      <c r="N2272" s="102" t="s">
        <v>4173</v>
      </c>
      <c r="O2272" s="105">
        <v>1.40759E7</v>
      </c>
      <c r="P2272" s="105">
        <v>1.1955194E7</v>
      </c>
      <c r="Q2272" s="102" t="s">
        <v>2446</v>
      </c>
      <c r="S2272" s="1"/>
      <c r="T2272" s="1"/>
      <c r="U2272" s="1"/>
      <c r="V2272" s="1"/>
      <c r="W2272" s="1"/>
      <c r="X2272" s="1"/>
      <c r="Y2272" s="1"/>
      <c r="Z2272" s="102"/>
      <c r="AA2272" s="102"/>
      <c r="AB2272" s="1"/>
      <c r="AC2272" s="1"/>
      <c r="AD2272" s="1"/>
      <c r="AE2272" s="1"/>
      <c r="AF2272" s="1"/>
      <c r="AG2272" s="1"/>
    </row>
    <row r="2273" ht="15.75" customHeight="1">
      <c r="A2273" s="1"/>
      <c r="B2273" s="1"/>
      <c r="C2273" s="1"/>
      <c r="D2273" s="1"/>
      <c r="E2273" s="1"/>
      <c r="F2273" s="1"/>
      <c r="G2273" s="1"/>
      <c r="H2273" s="1"/>
      <c r="I2273" s="1"/>
      <c r="J2273" s="1"/>
      <c r="K2273" s="102" t="s">
        <v>4174</v>
      </c>
      <c r="L2273" s="102" t="str">
        <f>J64</f>
        <v>J1a2a1a2d2~</v>
      </c>
      <c r="M2273" s="102" t="s">
        <v>4175</v>
      </c>
      <c r="N2273" s="102" t="s">
        <v>4176</v>
      </c>
      <c r="O2273" s="105">
        <v>1.5846373E7</v>
      </c>
      <c r="P2273" s="105">
        <v>1.3734493E7</v>
      </c>
      <c r="Q2273" s="102" t="s">
        <v>2501</v>
      </c>
      <c r="S2273" s="1"/>
      <c r="T2273" s="1"/>
      <c r="U2273" s="1"/>
      <c r="V2273" s="1"/>
      <c r="W2273" s="1"/>
      <c r="X2273" s="1"/>
      <c r="Y2273" s="1"/>
      <c r="Z2273" s="102"/>
      <c r="AA2273" s="102"/>
      <c r="AB2273" s="1"/>
      <c r="AC2273" s="1"/>
      <c r="AD2273" s="1"/>
      <c r="AE2273" s="1"/>
      <c r="AF2273" s="1"/>
      <c r="AG2273" s="1"/>
    </row>
    <row r="2274" ht="15.75" customHeight="1">
      <c r="A2274" s="1"/>
      <c r="B2274" s="1"/>
      <c r="C2274" s="1"/>
      <c r="D2274" s="1"/>
      <c r="E2274" s="1"/>
      <c r="F2274" s="1"/>
      <c r="G2274" s="1"/>
      <c r="H2274" s="1"/>
      <c r="I2274" s="1"/>
      <c r="J2274" s="1"/>
      <c r="K2274" s="102" t="s">
        <v>4177</v>
      </c>
      <c r="L2274" s="102" t="str">
        <f>J64</f>
        <v>J1a2a1a2d2~</v>
      </c>
      <c r="M2274" s="102" t="s">
        <v>4178</v>
      </c>
      <c r="N2274" s="102" t="s">
        <v>4176</v>
      </c>
      <c r="O2274" s="105">
        <v>1.5846373E7</v>
      </c>
      <c r="P2274" s="105">
        <v>1.3734493E7</v>
      </c>
      <c r="Q2274" s="102" t="s">
        <v>2501</v>
      </c>
      <c r="S2274" s="1"/>
      <c r="T2274" s="1"/>
      <c r="U2274" s="1"/>
      <c r="V2274" s="1"/>
      <c r="W2274" s="1"/>
      <c r="X2274" s="1"/>
      <c r="Y2274" s="1"/>
      <c r="Z2274" s="102"/>
      <c r="AA2274" s="102"/>
      <c r="AB2274" s="1"/>
      <c r="AC2274" s="1"/>
      <c r="AD2274" s="1"/>
      <c r="AE2274" s="1"/>
      <c r="AF2274" s="1"/>
      <c r="AG2274" s="1"/>
    </row>
    <row r="2275" ht="15.75" customHeight="1">
      <c r="A2275" s="1"/>
      <c r="B2275" s="1"/>
      <c r="C2275" s="1"/>
      <c r="D2275" s="1"/>
      <c r="E2275" s="1"/>
      <c r="F2275" s="1"/>
      <c r="G2275" s="1"/>
      <c r="H2275" s="1"/>
      <c r="I2275" s="1"/>
      <c r="J2275" s="1"/>
      <c r="K2275" s="102" t="s">
        <v>4179</v>
      </c>
      <c r="L2275" s="102" t="str">
        <f>J64</f>
        <v>J1a2a1a2d2~</v>
      </c>
      <c r="M2275" s="102" t="s">
        <v>4180</v>
      </c>
      <c r="N2275" s="102" t="s">
        <v>4176</v>
      </c>
      <c r="O2275" s="105">
        <v>1.5846373E7</v>
      </c>
      <c r="P2275" s="105">
        <v>1.3734493E7</v>
      </c>
      <c r="Q2275" s="102" t="s">
        <v>2501</v>
      </c>
      <c r="S2275" s="1"/>
      <c r="T2275" s="1"/>
      <c r="U2275" s="1"/>
      <c r="V2275" s="1"/>
      <c r="W2275" s="1"/>
      <c r="X2275" s="1"/>
      <c r="Y2275" s="1"/>
      <c r="Z2275" s="102"/>
      <c r="AA2275" s="102"/>
      <c r="AB2275" s="1"/>
      <c r="AC2275" s="1"/>
      <c r="AD2275" s="1"/>
      <c r="AE2275" s="1"/>
      <c r="AF2275" s="1"/>
      <c r="AG2275" s="1"/>
    </row>
    <row r="2276" ht="15.75" customHeight="1">
      <c r="A2276" s="1"/>
      <c r="B2276" s="1"/>
      <c r="C2276" s="1"/>
      <c r="D2276" s="1"/>
      <c r="E2276" s="1"/>
      <c r="F2276" s="1"/>
      <c r="G2276" s="1"/>
      <c r="H2276" s="1"/>
      <c r="I2276" s="1"/>
      <c r="J2276" s="1"/>
      <c r="K2276" s="102" t="s">
        <v>4181</v>
      </c>
      <c r="L2276" s="102" t="str">
        <f>K65</f>
        <v>J1a2a1a2d2a~</v>
      </c>
      <c r="M2276" s="102"/>
      <c r="N2276" s="102" t="s">
        <v>4182</v>
      </c>
      <c r="O2276" s="105">
        <v>7906347.0</v>
      </c>
      <c r="P2276" s="105">
        <v>8038306.0</v>
      </c>
      <c r="Q2276" s="102" t="s">
        <v>2501</v>
      </c>
      <c r="S2276" s="1"/>
      <c r="T2276" s="1"/>
      <c r="U2276" s="1"/>
      <c r="V2276" s="1"/>
      <c r="W2276" s="1"/>
      <c r="X2276" s="1"/>
      <c r="Y2276" s="1"/>
      <c r="Z2276" s="102"/>
      <c r="AA2276" s="102"/>
      <c r="AB2276" s="1"/>
      <c r="AC2276" s="1"/>
      <c r="AD2276" s="1"/>
      <c r="AE2276" s="1"/>
      <c r="AF2276" s="1"/>
      <c r="AG2276" s="1"/>
    </row>
    <row r="2277" ht="15.75" customHeight="1">
      <c r="A2277" s="1"/>
      <c r="B2277" s="1"/>
      <c r="C2277" s="1"/>
      <c r="D2277" s="1"/>
      <c r="E2277" s="1"/>
      <c r="F2277" s="1"/>
      <c r="G2277" s="1"/>
      <c r="H2277" s="1"/>
      <c r="I2277" s="1"/>
      <c r="J2277" s="1"/>
      <c r="K2277" s="102" t="s">
        <v>4183</v>
      </c>
      <c r="L2277" s="102" t="str">
        <f>K65</f>
        <v>J1a2a1a2d2a~</v>
      </c>
      <c r="M2277" s="102"/>
      <c r="N2277" s="102"/>
      <c r="O2277" s="105">
        <v>1.5424934E7</v>
      </c>
      <c r="P2277" s="105">
        <v>1.3313054E7</v>
      </c>
      <c r="Q2277" s="102" t="s">
        <v>2501</v>
      </c>
      <c r="S2277" s="1"/>
      <c r="T2277" s="1"/>
      <c r="U2277" s="1"/>
      <c r="V2277" s="1"/>
      <c r="W2277" s="1"/>
      <c r="X2277" s="1"/>
      <c r="Y2277" s="1"/>
      <c r="Z2277" s="102"/>
      <c r="AA2277" s="102"/>
      <c r="AB2277" s="1"/>
      <c r="AC2277" s="1"/>
      <c r="AD2277" s="1"/>
      <c r="AE2277" s="1"/>
      <c r="AF2277" s="1"/>
      <c r="AG2277" s="1"/>
    </row>
    <row r="2278" ht="15.75" customHeight="1">
      <c r="A2278" s="1"/>
      <c r="B2278" s="1"/>
      <c r="C2278" s="1"/>
      <c r="D2278" s="1"/>
      <c r="E2278" s="1"/>
      <c r="F2278" s="1"/>
      <c r="G2278" s="1"/>
      <c r="H2278" s="1"/>
      <c r="I2278" s="1"/>
      <c r="J2278" s="1"/>
      <c r="K2278" s="102" t="s">
        <v>4184</v>
      </c>
      <c r="L2278" s="102" t="str">
        <f>K65</f>
        <v>J1a2a1a2d2a~</v>
      </c>
      <c r="M2278" s="102"/>
      <c r="N2278" s="102"/>
      <c r="O2278" s="105">
        <v>7928354.0</v>
      </c>
      <c r="P2278" s="105">
        <v>8060313.0</v>
      </c>
      <c r="Q2278" s="102" t="s">
        <v>2468</v>
      </c>
      <c r="S2278" s="1"/>
      <c r="T2278" s="1"/>
      <c r="U2278" s="1"/>
      <c r="V2278" s="1"/>
      <c r="W2278" s="1"/>
      <c r="X2278" s="1"/>
      <c r="Y2278" s="1"/>
      <c r="Z2278" s="102"/>
      <c r="AA2278" s="102"/>
      <c r="AB2278" s="1"/>
      <c r="AC2278" s="1"/>
      <c r="AD2278" s="1"/>
      <c r="AE2278" s="1"/>
      <c r="AF2278" s="1"/>
      <c r="AG2278" s="1"/>
    </row>
    <row r="2279" ht="15.75" customHeight="1">
      <c r="A2279" s="1"/>
      <c r="B2279" s="1"/>
      <c r="C2279" s="1"/>
      <c r="D2279" s="1"/>
      <c r="E2279" s="1"/>
      <c r="F2279" s="1"/>
      <c r="G2279" s="1"/>
      <c r="H2279" s="1"/>
      <c r="I2279" s="1"/>
      <c r="J2279" s="1"/>
      <c r="K2279" s="102" t="s">
        <v>4185</v>
      </c>
      <c r="L2279" s="102" t="str">
        <f>K65</f>
        <v>J1a2a1a2d2a~</v>
      </c>
      <c r="M2279" s="102"/>
      <c r="N2279" s="102"/>
      <c r="O2279" s="105">
        <v>8224744.0</v>
      </c>
      <c r="P2279" s="105">
        <v>8356703.0</v>
      </c>
      <c r="Q2279" s="102" t="s">
        <v>2501</v>
      </c>
      <c r="S2279" s="1"/>
      <c r="T2279" s="1"/>
      <c r="U2279" s="1"/>
      <c r="V2279" s="1"/>
      <c r="W2279" s="1"/>
      <c r="X2279" s="1"/>
      <c r="Y2279" s="1"/>
      <c r="Z2279" s="102"/>
      <c r="AA2279" s="102"/>
      <c r="AB2279" s="1"/>
      <c r="AC2279" s="1"/>
      <c r="AD2279" s="1"/>
      <c r="AE2279" s="1"/>
      <c r="AF2279" s="1"/>
      <c r="AG2279" s="1"/>
    </row>
    <row r="2280" ht="15.75" customHeight="1">
      <c r="A2280" s="1"/>
      <c r="B2280" s="1"/>
      <c r="C2280" s="1"/>
      <c r="D2280" s="1"/>
      <c r="E2280" s="1"/>
      <c r="F2280" s="1"/>
      <c r="G2280" s="1"/>
      <c r="H2280" s="1"/>
      <c r="I2280" s="1"/>
      <c r="J2280" s="1"/>
      <c r="K2280" s="102" t="s">
        <v>4186</v>
      </c>
      <c r="L2280" s="102" t="str">
        <f>K65</f>
        <v>J1a2a1a2d2a~</v>
      </c>
      <c r="M2280" s="102"/>
      <c r="N2280" s="102"/>
      <c r="O2280" s="105">
        <v>8695241.0</v>
      </c>
      <c r="P2280" s="105">
        <v>8827200.0</v>
      </c>
      <c r="Q2280" s="102" t="s">
        <v>2501</v>
      </c>
      <c r="S2280" s="1"/>
      <c r="T2280" s="1"/>
      <c r="U2280" s="1"/>
      <c r="V2280" s="1"/>
      <c r="W2280" s="1"/>
      <c r="X2280" s="1"/>
      <c r="Y2280" s="1"/>
      <c r="Z2280" s="102"/>
      <c r="AA2280" s="102"/>
      <c r="AB2280" s="1"/>
      <c r="AC2280" s="1"/>
      <c r="AD2280" s="1"/>
      <c r="AE2280" s="1"/>
      <c r="AF2280" s="1"/>
      <c r="AG2280" s="1"/>
    </row>
    <row r="2281" ht="15.75" customHeight="1">
      <c r="A2281" s="1"/>
      <c r="B2281" s="1"/>
      <c r="C2281" s="1"/>
      <c r="D2281" s="1"/>
      <c r="E2281" s="1"/>
      <c r="F2281" s="1"/>
      <c r="G2281" s="1"/>
      <c r="H2281" s="1"/>
      <c r="I2281" s="1"/>
      <c r="J2281" s="1"/>
      <c r="K2281" s="102" t="s">
        <v>4187</v>
      </c>
      <c r="L2281" s="102" t="str">
        <f>K65</f>
        <v>J1a2a1a2d2a~</v>
      </c>
      <c r="M2281" s="102"/>
      <c r="N2281" s="102"/>
      <c r="O2281" s="105">
        <v>1.4803315E7</v>
      </c>
      <c r="P2281" s="105">
        <v>1.2691386E7</v>
      </c>
      <c r="Q2281" s="102" t="s">
        <v>2501</v>
      </c>
      <c r="S2281" s="1"/>
      <c r="T2281" s="1"/>
      <c r="U2281" s="1"/>
      <c r="V2281" s="1"/>
      <c r="W2281" s="1"/>
      <c r="X2281" s="1"/>
      <c r="Y2281" s="1"/>
      <c r="Z2281" s="102"/>
      <c r="AA2281" s="102"/>
      <c r="AB2281" s="1"/>
      <c r="AC2281" s="1"/>
      <c r="AD2281" s="1"/>
      <c r="AE2281" s="1"/>
      <c r="AF2281" s="1"/>
      <c r="AG2281" s="1"/>
    </row>
    <row r="2282" ht="15.75" customHeight="1">
      <c r="A2282" s="1"/>
      <c r="B2282" s="1"/>
      <c r="C2282" s="1"/>
      <c r="D2282" s="1"/>
      <c r="E2282" s="1"/>
      <c r="F2282" s="1"/>
      <c r="G2282" s="1"/>
      <c r="H2282" s="1"/>
      <c r="I2282" s="1"/>
      <c r="J2282" s="1"/>
      <c r="K2282" s="102" t="s">
        <v>4188</v>
      </c>
      <c r="L2282" s="102" t="str">
        <f>K65</f>
        <v>J1a2a1a2d2a~</v>
      </c>
      <c r="M2282" s="102"/>
      <c r="N2282" s="102"/>
      <c r="O2282" s="105">
        <v>1.7742047E7</v>
      </c>
      <c r="P2282" s="105">
        <v>1.5630167E7</v>
      </c>
      <c r="Q2282" s="102" t="s">
        <v>2501</v>
      </c>
      <c r="S2282" s="1"/>
      <c r="T2282" s="1"/>
      <c r="U2282" s="1"/>
      <c r="V2282" s="1"/>
      <c r="W2282" s="1"/>
      <c r="X2282" s="1"/>
      <c r="Y2282" s="1"/>
      <c r="Z2282" s="102"/>
      <c r="AA2282" s="102"/>
      <c r="AB2282" s="1"/>
      <c r="AC2282" s="1"/>
      <c r="AD2282" s="1"/>
      <c r="AE2282" s="1"/>
      <c r="AF2282" s="1"/>
      <c r="AG2282" s="1"/>
    </row>
    <row r="2283" ht="15.75" customHeight="1">
      <c r="A2283" s="1"/>
      <c r="B2283" s="1"/>
      <c r="C2283" s="1"/>
      <c r="D2283" s="1"/>
      <c r="E2283" s="1"/>
      <c r="F2283" s="1"/>
      <c r="G2283" s="1"/>
      <c r="H2283" s="1"/>
      <c r="I2283" s="1"/>
      <c r="J2283" s="1"/>
      <c r="K2283" s="102" t="s">
        <v>4189</v>
      </c>
      <c r="L2283" s="102" t="str">
        <f t="shared" ref="L2283:L2284" si="13">K65</f>
        <v>J1a2a1a2d2a~</v>
      </c>
      <c r="M2283" s="102"/>
      <c r="N2283" s="102"/>
      <c r="O2283" s="105">
        <v>2.12544E7</v>
      </c>
      <c r="P2283" s="105">
        <v>1.9092514E7</v>
      </c>
      <c r="Q2283" s="102" t="s">
        <v>2501</v>
      </c>
      <c r="S2283" s="1"/>
      <c r="T2283" s="1"/>
      <c r="U2283" s="1"/>
      <c r="V2283" s="1"/>
      <c r="W2283" s="1"/>
      <c r="X2283" s="1"/>
      <c r="Y2283" s="1"/>
      <c r="Z2283" s="102"/>
      <c r="AA2283" s="102"/>
      <c r="AB2283" s="1"/>
      <c r="AC2283" s="1"/>
      <c r="AD2283" s="1"/>
      <c r="AE2283" s="1"/>
      <c r="AF2283" s="1"/>
      <c r="AG2283" s="1"/>
    </row>
    <row r="2284" ht="15.75" customHeight="1">
      <c r="A2284" s="1"/>
      <c r="B2284" s="1"/>
      <c r="C2284" s="1"/>
      <c r="D2284" s="1"/>
      <c r="E2284" s="1"/>
      <c r="F2284" s="1"/>
      <c r="G2284" s="1"/>
      <c r="H2284" s="1"/>
      <c r="I2284" s="1"/>
      <c r="J2284" s="1"/>
      <c r="K2284" s="102" t="s">
        <v>4190</v>
      </c>
      <c r="L2284" s="102" t="str">
        <f t="shared" si="13"/>
        <v>J1a2a1a2d2b~</v>
      </c>
      <c r="M2284" s="102" t="s">
        <v>4191</v>
      </c>
      <c r="N2284" s="102" t="s">
        <v>4192</v>
      </c>
      <c r="O2284" s="105">
        <v>1.6172325E7</v>
      </c>
      <c r="P2284" s="105">
        <v>1.4060445E7</v>
      </c>
      <c r="Q2284" s="102" t="s">
        <v>2432</v>
      </c>
      <c r="S2284" s="1"/>
      <c r="T2284" s="1"/>
      <c r="U2284" s="1"/>
      <c r="V2284" s="1"/>
      <c r="W2284" s="1"/>
      <c r="X2284" s="1"/>
      <c r="Y2284" s="1"/>
      <c r="Z2284" s="102"/>
      <c r="AA2284" s="102"/>
      <c r="AB2284" s="1"/>
      <c r="AC2284" s="1"/>
      <c r="AD2284" s="1"/>
      <c r="AE2284" s="1"/>
      <c r="AF2284" s="1"/>
      <c r="AG2284" s="1"/>
    </row>
    <row r="2285" ht="15.75" customHeight="1">
      <c r="A2285" s="1"/>
      <c r="B2285" s="1"/>
      <c r="C2285" s="1"/>
      <c r="D2285" s="1"/>
      <c r="E2285" s="1"/>
      <c r="F2285" s="1"/>
      <c r="G2285" s="1"/>
      <c r="H2285" s="1"/>
      <c r="I2285" s="1"/>
      <c r="J2285" s="1"/>
      <c r="K2285" s="102" t="s">
        <v>4193</v>
      </c>
      <c r="L2285" s="102" t="str">
        <f>K66</f>
        <v>J1a2a1a2d2b~</v>
      </c>
      <c r="M2285" s="102" t="s">
        <v>4194</v>
      </c>
      <c r="N2285" s="102" t="s">
        <v>4192</v>
      </c>
      <c r="O2285" s="105">
        <v>1.6172325E7</v>
      </c>
      <c r="P2285" s="105">
        <v>1.4060445E7</v>
      </c>
      <c r="Q2285" s="102" t="s">
        <v>2432</v>
      </c>
      <c r="S2285" s="1"/>
      <c r="T2285" s="1"/>
      <c r="U2285" s="1"/>
      <c r="V2285" s="1"/>
      <c r="W2285" s="1"/>
      <c r="X2285" s="1"/>
      <c r="Y2285" s="1"/>
      <c r="Z2285" s="102"/>
      <c r="AA2285" s="102"/>
      <c r="AB2285" s="1"/>
      <c r="AC2285" s="1"/>
      <c r="AD2285" s="1"/>
      <c r="AE2285" s="1"/>
      <c r="AF2285" s="1"/>
      <c r="AG2285" s="1"/>
    </row>
    <row r="2286" ht="15.75" customHeight="1">
      <c r="A2286" s="1"/>
      <c r="B2286" s="1"/>
      <c r="C2286" s="1"/>
      <c r="D2286" s="1"/>
      <c r="E2286" s="1"/>
      <c r="F2286" s="1"/>
      <c r="G2286" s="1"/>
      <c r="H2286" s="1"/>
      <c r="I2286" s="1"/>
      <c r="J2286" s="1"/>
      <c r="K2286" s="102" t="s">
        <v>4195</v>
      </c>
      <c r="L2286" s="102" t="str">
        <f>K66</f>
        <v>J1a2a1a2d2b~</v>
      </c>
      <c r="M2286" s="102" t="s">
        <v>4196</v>
      </c>
      <c r="N2286" s="102" t="s">
        <v>4192</v>
      </c>
      <c r="O2286" s="105">
        <v>1.6172325E7</v>
      </c>
      <c r="P2286" s="105">
        <v>1.4060445E7</v>
      </c>
      <c r="Q2286" s="102" t="s">
        <v>2432</v>
      </c>
      <c r="S2286" s="1"/>
      <c r="T2286" s="1"/>
      <c r="U2286" s="1"/>
      <c r="V2286" s="1"/>
      <c r="W2286" s="1"/>
      <c r="X2286" s="1"/>
      <c r="Y2286" s="1"/>
      <c r="Z2286" s="102"/>
      <c r="AA2286" s="102"/>
      <c r="AB2286" s="1"/>
      <c r="AC2286" s="1"/>
      <c r="AD2286" s="1"/>
      <c r="AE2286" s="1"/>
      <c r="AF2286" s="1"/>
      <c r="AG2286" s="1"/>
    </row>
    <row r="2287" ht="15.75" customHeight="1">
      <c r="A2287" s="1"/>
      <c r="B2287" s="1"/>
      <c r="C2287" s="1"/>
      <c r="D2287" s="1"/>
      <c r="E2287" s="1"/>
      <c r="F2287" s="1"/>
      <c r="G2287" s="1"/>
      <c r="H2287" s="1"/>
      <c r="I2287" s="1"/>
      <c r="J2287" s="1"/>
      <c r="K2287" s="102" t="s">
        <v>4197</v>
      </c>
      <c r="L2287" s="102" t="str">
        <f>K66</f>
        <v>J1a2a1a2d2b~</v>
      </c>
      <c r="M2287" s="102" t="s">
        <v>4198</v>
      </c>
      <c r="N2287" s="102" t="s">
        <v>4199</v>
      </c>
      <c r="O2287" s="105">
        <v>1.6174122E7</v>
      </c>
      <c r="P2287" s="105">
        <v>1.4062242E7</v>
      </c>
      <c r="Q2287" s="102" t="s">
        <v>2514</v>
      </c>
      <c r="S2287" s="1"/>
      <c r="T2287" s="1"/>
      <c r="U2287" s="1"/>
      <c r="V2287" s="1"/>
      <c r="W2287" s="1"/>
      <c r="X2287" s="1"/>
      <c r="Y2287" s="1"/>
      <c r="Z2287" s="102"/>
      <c r="AA2287" s="102"/>
      <c r="AB2287" s="1"/>
      <c r="AC2287" s="1"/>
      <c r="AD2287" s="1"/>
      <c r="AE2287" s="1"/>
      <c r="AF2287" s="1"/>
      <c r="AG2287" s="1"/>
    </row>
    <row r="2288" ht="15.75" customHeight="1">
      <c r="A2288" s="1"/>
      <c r="B2288" s="1"/>
      <c r="C2288" s="1"/>
      <c r="D2288" s="1"/>
      <c r="E2288" s="1"/>
      <c r="F2288" s="1"/>
      <c r="G2288" s="1"/>
      <c r="H2288" s="1"/>
      <c r="I2288" s="1"/>
      <c r="J2288" s="1"/>
      <c r="K2288" s="102" t="s">
        <v>4200</v>
      </c>
      <c r="L2288" s="102" t="str">
        <f>K66</f>
        <v>J1a2a1a2d2b~</v>
      </c>
      <c r="M2288" s="102" t="s">
        <v>4201</v>
      </c>
      <c r="N2288" s="102" t="s">
        <v>4199</v>
      </c>
      <c r="O2288" s="105">
        <v>1.6174122E7</v>
      </c>
      <c r="P2288" s="105">
        <v>1.4062242E7</v>
      </c>
      <c r="Q2288" s="102" t="s">
        <v>2514</v>
      </c>
      <c r="S2288" s="1"/>
      <c r="T2288" s="1"/>
      <c r="U2288" s="1"/>
      <c r="V2288" s="1"/>
      <c r="W2288" s="1"/>
      <c r="X2288" s="1"/>
      <c r="Y2288" s="1"/>
      <c r="Z2288" s="102"/>
      <c r="AA2288" s="102"/>
      <c r="AB2288" s="1"/>
      <c r="AC2288" s="1"/>
      <c r="AD2288" s="1"/>
      <c r="AE2288" s="1"/>
      <c r="AF2288" s="1"/>
      <c r="AG2288" s="1"/>
    </row>
    <row r="2289" ht="15.75" customHeight="1">
      <c r="A2289" s="1"/>
      <c r="B2289" s="1"/>
      <c r="C2289" s="1"/>
      <c r="D2289" s="1"/>
      <c r="E2289" s="1"/>
      <c r="F2289" s="1"/>
      <c r="G2289" s="1"/>
      <c r="H2289" s="1"/>
      <c r="I2289" s="1"/>
      <c r="J2289" s="1"/>
      <c r="K2289" s="102" t="s">
        <v>4202</v>
      </c>
      <c r="L2289" s="102" t="str">
        <f>K66</f>
        <v>J1a2a1a2d2b~</v>
      </c>
      <c r="M2289" s="102" t="s">
        <v>4203</v>
      </c>
      <c r="N2289" s="102" t="s">
        <v>4199</v>
      </c>
      <c r="O2289" s="105">
        <v>1.6174122E7</v>
      </c>
      <c r="P2289" s="105">
        <v>1.4062242E7</v>
      </c>
      <c r="Q2289" s="102" t="s">
        <v>2514</v>
      </c>
      <c r="S2289" s="1"/>
      <c r="T2289" s="1"/>
      <c r="U2289" s="1"/>
      <c r="V2289" s="1"/>
      <c r="W2289" s="1"/>
      <c r="X2289" s="1"/>
      <c r="Y2289" s="1"/>
      <c r="Z2289" s="102"/>
      <c r="AA2289" s="102"/>
      <c r="AB2289" s="1"/>
      <c r="AC2289" s="1"/>
      <c r="AD2289" s="1"/>
      <c r="AE2289" s="1"/>
      <c r="AF2289" s="1"/>
      <c r="AG2289" s="1"/>
    </row>
    <row r="2290" ht="15.75" customHeight="1">
      <c r="A2290" s="1"/>
      <c r="B2290" s="1"/>
      <c r="C2290" s="1"/>
      <c r="D2290" s="1"/>
      <c r="E2290" s="1"/>
      <c r="F2290" s="1"/>
      <c r="G2290" s="1"/>
      <c r="H2290" s="1"/>
      <c r="I2290" s="1"/>
      <c r="J2290" s="1"/>
      <c r="K2290" s="102" t="s">
        <v>4204</v>
      </c>
      <c r="L2290" s="102" t="str">
        <f>K66</f>
        <v>J1a2a1a2d2b~</v>
      </c>
      <c r="M2290" s="102" t="s">
        <v>4205</v>
      </c>
      <c r="N2290" s="102" t="s">
        <v>4206</v>
      </c>
      <c r="O2290" s="105">
        <v>2.29196E7</v>
      </c>
      <c r="P2290" s="105">
        <v>2.0757714E7</v>
      </c>
      <c r="Q2290" s="102" t="s">
        <v>2439</v>
      </c>
      <c r="S2290" s="1"/>
      <c r="T2290" s="1"/>
      <c r="U2290" s="1"/>
      <c r="V2290" s="1"/>
      <c r="W2290" s="1"/>
      <c r="X2290" s="1"/>
      <c r="Y2290" s="1"/>
      <c r="Z2290" s="102"/>
      <c r="AA2290" s="102"/>
      <c r="AB2290" s="1"/>
      <c r="AC2290" s="1"/>
      <c r="AD2290" s="1"/>
      <c r="AE2290" s="1"/>
      <c r="AF2290" s="1"/>
      <c r="AG2290" s="1"/>
    </row>
    <row r="2291" ht="15.75" customHeight="1">
      <c r="A2291" s="1"/>
      <c r="B2291" s="1"/>
      <c r="C2291" s="1"/>
      <c r="D2291" s="1"/>
      <c r="E2291" s="1"/>
      <c r="F2291" s="1"/>
      <c r="G2291" s="1"/>
      <c r="H2291" s="1"/>
      <c r="I2291" s="1"/>
      <c r="J2291" s="1"/>
      <c r="K2291" s="102" t="s">
        <v>4207</v>
      </c>
      <c r="L2291" s="102" t="str">
        <f>K66</f>
        <v>J1a2a1a2d2b~</v>
      </c>
      <c r="M2291" s="102" t="s">
        <v>4208</v>
      </c>
      <c r="N2291" s="102" t="s">
        <v>4206</v>
      </c>
      <c r="O2291" s="105">
        <v>2.29196E7</v>
      </c>
      <c r="P2291" s="105">
        <v>2.0757714E7</v>
      </c>
      <c r="Q2291" s="102" t="s">
        <v>2439</v>
      </c>
      <c r="S2291" s="1"/>
      <c r="T2291" s="1"/>
      <c r="U2291" s="1"/>
      <c r="V2291" s="1"/>
      <c r="W2291" s="1"/>
      <c r="X2291" s="1"/>
      <c r="Y2291" s="1"/>
      <c r="Z2291" s="102"/>
      <c r="AA2291" s="102"/>
      <c r="AB2291" s="1"/>
      <c r="AC2291" s="1"/>
      <c r="AD2291" s="1"/>
      <c r="AE2291" s="1"/>
      <c r="AF2291" s="1"/>
      <c r="AG2291" s="1"/>
    </row>
    <row r="2292" ht="15.75" customHeight="1">
      <c r="A2292" s="1"/>
      <c r="B2292" s="1"/>
      <c r="C2292" s="1"/>
      <c r="D2292" s="1"/>
      <c r="E2292" s="1"/>
      <c r="F2292" s="1"/>
      <c r="G2292" s="1"/>
      <c r="H2292" s="1"/>
      <c r="I2292" s="1"/>
      <c r="J2292" s="1"/>
      <c r="K2292" s="102" t="s">
        <v>4209</v>
      </c>
      <c r="L2292" s="102" t="str">
        <f>K66</f>
        <v>J1a2a1a2d2b~</v>
      </c>
      <c r="M2292" s="102" t="s">
        <v>4210</v>
      </c>
      <c r="N2292" s="102" t="s">
        <v>4206</v>
      </c>
      <c r="O2292" s="105">
        <v>2.29196E7</v>
      </c>
      <c r="P2292" s="105">
        <v>2.0757714E7</v>
      </c>
      <c r="Q2292" s="102" t="s">
        <v>2439</v>
      </c>
      <c r="S2292" s="1"/>
      <c r="T2292" s="1"/>
      <c r="U2292" s="1"/>
      <c r="V2292" s="1"/>
      <c r="W2292" s="1"/>
      <c r="X2292" s="1"/>
      <c r="Y2292" s="1"/>
      <c r="Z2292" s="102"/>
      <c r="AA2292" s="102"/>
      <c r="AB2292" s="1"/>
      <c r="AC2292" s="1"/>
      <c r="AD2292" s="1"/>
      <c r="AE2292" s="1"/>
      <c r="AF2292" s="1"/>
      <c r="AG2292" s="1"/>
    </row>
    <row r="2293" ht="15.75" customHeight="1">
      <c r="A2293" s="1"/>
      <c r="B2293" s="1"/>
      <c r="C2293" s="1"/>
      <c r="D2293" s="1"/>
      <c r="E2293" s="1"/>
      <c r="F2293" s="1"/>
      <c r="G2293" s="1"/>
      <c r="H2293" s="1"/>
      <c r="I2293" s="1"/>
      <c r="J2293" s="1"/>
      <c r="K2293" s="102" t="s">
        <v>4211</v>
      </c>
      <c r="L2293" s="102" t="str">
        <f>K66</f>
        <v>J1a2a1a2d2b~</v>
      </c>
      <c r="M2293" s="102" t="s">
        <v>4212</v>
      </c>
      <c r="N2293" s="102" t="s">
        <v>4206</v>
      </c>
      <c r="O2293" s="105">
        <v>2.29196E7</v>
      </c>
      <c r="P2293" s="105">
        <v>2.0757714E7</v>
      </c>
      <c r="Q2293" s="102" t="s">
        <v>2439</v>
      </c>
      <c r="S2293" s="1"/>
      <c r="T2293" s="1"/>
      <c r="U2293" s="1"/>
      <c r="V2293" s="1"/>
      <c r="W2293" s="1"/>
      <c r="X2293" s="1"/>
      <c r="Y2293" s="1"/>
      <c r="Z2293" s="102"/>
      <c r="AA2293" s="102"/>
      <c r="AB2293" s="1"/>
      <c r="AC2293" s="1"/>
      <c r="AD2293" s="1"/>
      <c r="AE2293" s="1"/>
      <c r="AF2293" s="1"/>
      <c r="AG2293" s="1"/>
    </row>
    <row r="2294" ht="15.75" customHeight="1">
      <c r="A2294" s="1"/>
      <c r="B2294" s="1"/>
      <c r="C2294" s="1"/>
      <c r="D2294" s="1"/>
      <c r="E2294" s="1"/>
      <c r="F2294" s="1"/>
      <c r="G2294" s="1"/>
      <c r="H2294" s="1"/>
      <c r="I2294" s="1"/>
      <c r="J2294" s="1"/>
      <c r="K2294" s="102" t="s">
        <v>4213</v>
      </c>
      <c r="L2294" s="102" t="str">
        <f>K66</f>
        <v>J1a2a1a2d2b~</v>
      </c>
      <c r="M2294" s="102" t="s">
        <v>4214</v>
      </c>
      <c r="N2294" s="102" t="s">
        <v>4206</v>
      </c>
      <c r="O2294" s="105">
        <v>2.29196E7</v>
      </c>
      <c r="P2294" s="105">
        <v>2.0757714E7</v>
      </c>
      <c r="Q2294" s="102" t="s">
        <v>2439</v>
      </c>
      <c r="S2294" s="1"/>
      <c r="T2294" s="1"/>
      <c r="U2294" s="1"/>
      <c r="V2294" s="1"/>
      <c r="W2294" s="1"/>
      <c r="X2294" s="1"/>
      <c r="Y2294" s="1"/>
      <c r="Z2294" s="102"/>
      <c r="AA2294" s="102"/>
      <c r="AB2294" s="1"/>
      <c r="AC2294" s="1"/>
      <c r="AD2294" s="1"/>
      <c r="AE2294" s="1"/>
      <c r="AF2294" s="1"/>
      <c r="AG2294" s="1"/>
    </row>
    <row r="2295" ht="15.75" customHeight="1">
      <c r="A2295" s="1"/>
      <c r="B2295" s="1"/>
      <c r="C2295" s="1"/>
      <c r="D2295" s="1"/>
      <c r="E2295" s="1"/>
      <c r="F2295" s="1"/>
      <c r="G2295" s="1"/>
      <c r="H2295" s="1"/>
      <c r="I2295" s="1"/>
      <c r="J2295" s="1"/>
      <c r="K2295" s="102" t="s">
        <v>4215</v>
      </c>
      <c r="L2295" s="102" t="str">
        <f>K66</f>
        <v>J1a2a1a2d2b~</v>
      </c>
      <c r="M2295" s="102" t="s">
        <v>4216</v>
      </c>
      <c r="N2295" s="102" t="s">
        <v>4217</v>
      </c>
      <c r="O2295" s="105">
        <v>2.1854692E7</v>
      </c>
      <c r="P2295" s="105">
        <v>1.9692806E7</v>
      </c>
      <c r="Q2295" s="102" t="s">
        <v>2533</v>
      </c>
      <c r="S2295" s="1"/>
      <c r="T2295" s="1"/>
      <c r="U2295" s="1"/>
      <c r="V2295" s="1"/>
      <c r="W2295" s="1"/>
      <c r="X2295" s="1"/>
      <c r="Y2295" s="1"/>
      <c r="Z2295" s="102"/>
      <c r="AA2295" s="102"/>
      <c r="AB2295" s="1"/>
      <c r="AC2295" s="1"/>
      <c r="AD2295" s="1"/>
      <c r="AE2295" s="1"/>
      <c r="AF2295" s="1"/>
      <c r="AG2295" s="1"/>
    </row>
    <row r="2296" ht="15.75" customHeight="1">
      <c r="A2296" s="1"/>
      <c r="B2296" s="1"/>
      <c r="C2296" s="1"/>
      <c r="D2296" s="1"/>
      <c r="E2296" s="1"/>
      <c r="F2296" s="1"/>
      <c r="G2296" s="1"/>
      <c r="H2296" s="1"/>
      <c r="I2296" s="1"/>
      <c r="J2296" s="1"/>
      <c r="K2296" s="102" t="s">
        <v>4216</v>
      </c>
      <c r="L2296" s="102" t="str">
        <f>K66</f>
        <v>J1a2a1a2d2b~</v>
      </c>
      <c r="M2296" s="102" t="s">
        <v>4215</v>
      </c>
      <c r="N2296" s="102" t="s">
        <v>4217</v>
      </c>
      <c r="O2296" s="105">
        <v>2.1854692E7</v>
      </c>
      <c r="P2296" s="105">
        <v>1.9692806E7</v>
      </c>
      <c r="Q2296" s="102" t="s">
        <v>2533</v>
      </c>
      <c r="S2296" s="1"/>
      <c r="T2296" s="1"/>
      <c r="U2296" s="1"/>
      <c r="V2296" s="1"/>
      <c r="W2296" s="1"/>
      <c r="X2296" s="1"/>
      <c r="Y2296" s="1"/>
      <c r="Z2296" s="102"/>
      <c r="AA2296" s="102"/>
      <c r="AB2296" s="1"/>
      <c r="AC2296" s="1"/>
      <c r="AD2296" s="1"/>
      <c r="AE2296" s="1"/>
      <c r="AF2296" s="1"/>
      <c r="AG2296" s="1"/>
    </row>
    <row r="2297" ht="15.75" customHeight="1">
      <c r="A2297" s="1"/>
      <c r="B2297" s="1"/>
      <c r="C2297" s="1"/>
      <c r="D2297" s="1"/>
      <c r="E2297" s="1"/>
      <c r="F2297" s="1"/>
      <c r="G2297" s="1"/>
      <c r="H2297" s="1"/>
      <c r="I2297" s="1"/>
      <c r="J2297" s="1"/>
      <c r="K2297" s="102" t="s">
        <v>4218</v>
      </c>
      <c r="L2297" s="102" t="str">
        <f>K66</f>
        <v>J1a2a1a2d2b~</v>
      </c>
      <c r="M2297" s="102" t="s">
        <v>4219</v>
      </c>
      <c r="N2297" s="102" t="s">
        <v>4220</v>
      </c>
      <c r="O2297" s="105">
        <v>7995094.0</v>
      </c>
      <c r="P2297" s="105">
        <v>8127053.0</v>
      </c>
      <c r="Q2297" s="102" t="s">
        <v>2501</v>
      </c>
      <c r="S2297" s="1"/>
      <c r="T2297" s="1"/>
      <c r="U2297" s="1"/>
      <c r="V2297" s="1"/>
      <c r="W2297" s="1"/>
      <c r="X2297" s="1"/>
      <c r="Y2297" s="1"/>
      <c r="Z2297" s="102"/>
      <c r="AA2297" s="102"/>
      <c r="AB2297" s="1"/>
      <c r="AC2297" s="1"/>
      <c r="AD2297" s="1"/>
      <c r="AE2297" s="1"/>
      <c r="AF2297" s="1"/>
      <c r="AG2297" s="1"/>
    </row>
    <row r="2298" ht="15.75" customHeight="1">
      <c r="A2298" s="1"/>
      <c r="B2298" s="1"/>
      <c r="C2298" s="1"/>
      <c r="D2298" s="1"/>
      <c r="E2298" s="1"/>
      <c r="F2298" s="1"/>
      <c r="G2298" s="1"/>
      <c r="H2298" s="1"/>
      <c r="I2298" s="1"/>
      <c r="J2298" s="1"/>
      <c r="K2298" s="102" t="s">
        <v>4219</v>
      </c>
      <c r="L2298" s="102" t="str">
        <f>K66</f>
        <v>J1a2a1a2d2b~</v>
      </c>
      <c r="M2298" s="102" t="s">
        <v>4218</v>
      </c>
      <c r="N2298" s="102" t="s">
        <v>4220</v>
      </c>
      <c r="O2298" s="105">
        <v>7995094.0</v>
      </c>
      <c r="P2298" s="105">
        <v>8127053.0</v>
      </c>
      <c r="Q2298" s="102" t="s">
        <v>2501</v>
      </c>
      <c r="S2298" s="1"/>
      <c r="T2298" s="1"/>
      <c r="U2298" s="1"/>
      <c r="V2298" s="1"/>
      <c r="W2298" s="1"/>
      <c r="X2298" s="1"/>
      <c r="Y2298" s="1"/>
      <c r="Z2298" s="102"/>
      <c r="AA2298" s="102"/>
      <c r="AB2298" s="1"/>
      <c r="AC2298" s="1"/>
      <c r="AD2298" s="1"/>
      <c r="AE2298" s="1"/>
      <c r="AF2298" s="1"/>
      <c r="AG2298" s="1"/>
    </row>
    <row r="2299" ht="15.75" customHeight="1">
      <c r="A2299" s="1"/>
      <c r="B2299" s="1"/>
      <c r="C2299" s="1"/>
      <c r="D2299" s="1"/>
      <c r="E2299" s="1"/>
      <c r="F2299" s="1"/>
      <c r="G2299" s="1"/>
      <c r="H2299" s="1"/>
      <c r="I2299" s="1"/>
      <c r="J2299" s="1"/>
      <c r="K2299" s="102" t="s">
        <v>4221</v>
      </c>
      <c r="L2299" s="102" t="str">
        <f>K66</f>
        <v>J1a2a1a2d2b~</v>
      </c>
      <c r="M2299" s="102" t="s">
        <v>4222</v>
      </c>
      <c r="N2299" s="102" t="s">
        <v>4223</v>
      </c>
      <c r="O2299" s="105">
        <v>8655248.0</v>
      </c>
      <c r="P2299" s="105">
        <v>8787207.0</v>
      </c>
      <c r="Q2299" s="102" t="s">
        <v>2439</v>
      </c>
      <c r="S2299" s="1"/>
      <c r="T2299" s="1"/>
      <c r="U2299" s="1"/>
      <c r="V2299" s="1"/>
      <c r="W2299" s="1"/>
      <c r="X2299" s="1"/>
      <c r="Y2299" s="1"/>
      <c r="Z2299" s="102"/>
      <c r="AA2299" s="102"/>
      <c r="AB2299" s="1"/>
      <c r="AC2299" s="1"/>
      <c r="AD2299" s="1"/>
      <c r="AE2299" s="1"/>
      <c r="AF2299" s="1"/>
      <c r="AG2299" s="1"/>
    </row>
    <row r="2300" ht="15.75" customHeight="1">
      <c r="A2300" s="1"/>
      <c r="B2300" s="1"/>
      <c r="C2300" s="1"/>
      <c r="D2300" s="1"/>
      <c r="E2300" s="1"/>
      <c r="F2300" s="1"/>
      <c r="G2300" s="1"/>
      <c r="H2300" s="1"/>
      <c r="I2300" s="1"/>
      <c r="J2300" s="1"/>
      <c r="K2300" s="102" t="s">
        <v>4222</v>
      </c>
      <c r="L2300" s="102" t="str">
        <f>K66</f>
        <v>J1a2a1a2d2b~</v>
      </c>
      <c r="M2300" s="102" t="s">
        <v>4221</v>
      </c>
      <c r="N2300" s="102" t="s">
        <v>4223</v>
      </c>
      <c r="O2300" s="105">
        <v>8655248.0</v>
      </c>
      <c r="P2300" s="105">
        <v>8787207.0</v>
      </c>
      <c r="Q2300" s="102" t="s">
        <v>2439</v>
      </c>
      <c r="S2300" s="1"/>
      <c r="T2300" s="1"/>
      <c r="U2300" s="1"/>
      <c r="V2300" s="1"/>
      <c r="W2300" s="1"/>
      <c r="X2300" s="1"/>
      <c r="Y2300" s="1"/>
      <c r="Z2300" s="102"/>
      <c r="AA2300" s="102"/>
      <c r="AB2300" s="1"/>
      <c r="AC2300" s="1"/>
      <c r="AD2300" s="1"/>
      <c r="AE2300" s="1"/>
      <c r="AF2300" s="1"/>
      <c r="AG2300" s="1"/>
    </row>
    <row r="2301" ht="15.75" customHeight="1">
      <c r="A2301" s="1"/>
      <c r="B2301" s="1"/>
      <c r="C2301" s="1"/>
      <c r="D2301" s="1"/>
      <c r="E2301" s="1"/>
      <c r="F2301" s="1"/>
      <c r="G2301" s="1"/>
      <c r="H2301" s="1"/>
      <c r="I2301" s="1"/>
      <c r="J2301" s="1"/>
      <c r="K2301" s="102" t="s">
        <v>4224</v>
      </c>
      <c r="L2301" s="102" t="str">
        <f>K66</f>
        <v>J1a2a1a2d2b~</v>
      </c>
      <c r="M2301" s="102" t="s">
        <v>4225</v>
      </c>
      <c r="N2301" s="102" t="s">
        <v>4226</v>
      </c>
      <c r="O2301" s="105">
        <v>1.7977179E7</v>
      </c>
      <c r="P2301" s="105">
        <v>1.5865299E7</v>
      </c>
      <c r="Q2301" s="102" t="s">
        <v>2439</v>
      </c>
      <c r="S2301" s="1"/>
      <c r="T2301" s="1"/>
      <c r="U2301" s="1"/>
      <c r="V2301" s="1"/>
      <c r="W2301" s="1"/>
      <c r="X2301" s="1"/>
      <c r="Y2301" s="1"/>
      <c r="Z2301" s="102"/>
      <c r="AA2301" s="102"/>
      <c r="AB2301" s="1"/>
      <c r="AC2301" s="1"/>
      <c r="AD2301" s="1"/>
      <c r="AE2301" s="1"/>
      <c r="AF2301" s="1"/>
      <c r="AG2301" s="1"/>
    </row>
    <row r="2302" ht="15.75" customHeight="1">
      <c r="A2302" s="1"/>
      <c r="B2302" s="1"/>
      <c r="C2302" s="1"/>
      <c r="D2302" s="1"/>
      <c r="E2302" s="1"/>
      <c r="F2302" s="1"/>
      <c r="G2302" s="1"/>
      <c r="H2302" s="1"/>
      <c r="I2302" s="1"/>
      <c r="J2302" s="1"/>
      <c r="K2302" s="102" t="s">
        <v>4227</v>
      </c>
      <c r="L2302" s="102" t="str">
        <f>K66</f>
        <v>J1a2a1a2d2b~</v>
      </c>
      <c r="M2302" s="102" t="s">
        <v>4228</v>
      </c>
      <c r="N2302" s="102" t="s">
        <v>4226</v>
      </c>
      <c r="O2302" s="105">
        <v>1.7977179E7</v>
      </c>
      <c r="P2302" s="105">
        <v>1.5865299E7</v>
      </c>
      <c r="Q2302" s="102" t="s">
        <v>2439</v>
      </c>
      <c r="S2302" s="1"/>
      <c r="T2302" s="1"/>
      <c r="U2302" s="1"/>
      <c r="V2302" s="1"/>
      <c r="W2302" s="1"/>
      <c r="X2302" s="1"/>
      <c r="Y2302" s="1"/>
      <c r="Z2302" s="102"/>
      <c r="AA2302" s="102"/>
      <c r="AB2302" s="1"/>
      <c r="AC2302" s="1"/>
      <c r="AD2302" s="1"/>
      <c r="AE2302" s="1"/>
      <c r="AF2302" s="1"/>
      <c r="AG2302" s="1"/>
    </row>
    <row r="2303" ht="15.75" customHeight="1">
      <c r="A2303" s="1"/>
      <c r="B2303" s="1"/>
      <c r="C2303" s="1"/>
      <c r="D2303" s="1"/>
      <c r="E2303" s="1"/>
      <c r="F2303" s="1"/>
      <c r="G2303" s="1"/>
      <c r="H2303" s="1"/>
      <c r="I2303" s="1"/>
      <c r="J2303" s="1"/>
      <c r="K2303" s="102" t="s">
        <v>4229</v>
      </c>
      <c r="L2303" s="102" t="str">
        <f>K66</f>
        <v>J1a2a1a2d2b~</v>
      </c>
      <c r="M2303" s="102" t="s">
        <v>4230</v>
      </c>
      <c r="N2303" s="102" t="s">
        <v>4226</v>
      </c>
      <c r="O2303" s="105">
        <v>1.7977179E7</v>
      </c>
      <c r="P2303" s="105">
        <v>1.5865299E7</v>
      </c>
      <c r="Q2303" s="102" t="s">
        <v>2439</v>
      </c>
      <c r="S2303" s="1"/>
      <c r="T2303" s="1"/>
      <c r="U2303" s="1"/>
      <c r="V2303" s="1"/>
      <c r="W2303" s="1"/>
      <c r="X2303" s="1"/>
      <c r="Y2303" s="1"/>
      <c r="Z2303" s="102"/>
      <c r="AA2303" s="102"/>
      <c r="AB2303" s="1"/>
      <c r="AC2303" s="1"/>
      <c r="AD2303" s="1"/>
      <c r="AE2303" s="1"/>
      <c r="AF2303" s="1"/>
      <c r="AG2303" s="1"/>
    </row>
    <row r="2304" ht="15.75" customHeight="1">
      <c r="A2304" s="1"/>
      <c r="B2304" s="1"/>
      <c r="C2304" s="1"/>
      <c r="D2304" s="1"/>
      <c r="E2304" s="1"/>
      <c r="F2304" s="1"/>
      <c r="G2304" s="1"/>
      <c r="H2304" s="1"/>
      <c r="I2304" s="1"/>
      <c r="J2304" s="1"/>
      <c r="K2304" s="102" t="s">
        <v>4231</v>
      </c>
      <c r="L2304" s="102" t="str">
        <f>K66</f>
        <v>J1a2a1a2d2b~</v>
      </c>
      <c r="M2304" s="102" t="s">
        <v>4232</v>
      </c>
      <c r="N2304" s="102" t="s">
        <v>4233</v>
      </c>
      <c r="O2304" s="105">
        <v>2.2969366E7</v>
      </c>
      <c r="P2304" s="105">
        <v>2.080748E7</v>
      </c>
      <c r="Q2304" s="102" t="s">
        <v>2446</v>
      </c>
      <c r="S2304" s="1"/>
      <c r="T2304" s="1"/>
      <c r="U2304" s="1"/>
      <c r="V2304" s="1"/>
      <c r="W2304" s="1"/>
      <c r="X2304" s="1"/>
      <c r="Y2304" s="1"/>
      <c r="Z2304" s="102"/>
      <c r="AA2304" s="102"/>
      <c r="AB2304" s="1"/>
      <c r="AC2304" s="1"/>
      <c r="AD2304" s="1"/>
      <c r="AE2304" s="1"/>
      <c r="AF2304" s="1"/>
      <c r="AG2304" s="1"/>
    </row>
    <row r="2305" ht="15.75" customHeight="1">
      <c r="A2305" s="1"/>
      <c r="B2305" s="1"/>
      <c r="C2305" s="1"/>
      <c r="D2305" s="1"/>
      <c r="E2305" s="1"/>
      <c r="F2305" s="1"/>
      <c r="G2305" s="1"/>
      <c r="H2305" s="1"/>
      <c r="I2305" s="1"/>
      <c r="J2305" s="1"/>
      <c r="K2305" s="102" t="s">
        <v>4232</v>
      </c>
      <c r="L2305" s="102" t="str">
        <f>K66</f>
        <v>J1a2a1a2d2b~</v>
      </c>
      <c r="M2305" s="102" t="s">
        <v>4231</v>
      </c>
      <c r="N2305" s="102" t="s">
        <v>4233</v>
      </c>
      <c r="O2305" s="105">
        <v>2.2969366E7</v>
      </c>
      <c r="P2305" s="105">
        <v>2.080748E7</v>
      </c>
      <c r="Q2305" s="102" t="s">
        <v>2446</v>
      </c>
      <c r="S2305" s="1"/>
      <c r="T2305" s="1"/>
      <c r="U2305" s="1"/>
      <c r="V2305" s="1"/>
      <c r="W2305" s="1"/>
      <c r="X2305" s="1"/>
      <c r="Y2305" s="1"/>
      <c r="Z2305" s="102"/>
      <c r="AA2305" s="102"/>
      <c r="AB2305" s="1"/>
      <c r="AC2305" s="1"/>
      <c r="AD2305" s="1"/>
      <c r="AE2305" s="1"/>
      <c r="AF2305" s="1"/>
      <c r="AG2305" s="1"/>
    </row>
    <row r="2306" ht="15.75" customHeight="1">
      <c r="A2306" s="1"/>
      <c r="B2306" s="1"/>
      <c r="C2306" s="1"/>
      <c r="D2306" s="1"/>
      <c r="E2306" s="1"/>
      <c r="F2306" s="1"/>
      <c r="G2306" s="1"/>
      <c r="H2306" s="1"/>
      <c r="I2306" s="1"/>
      <c r="J2306" s="1"/>
      <c r="K2306" s="102" t="s">
        <v>4234</v>
      </c>
      <c r="L2306" s="102" t="str">
        <f>K66</f>
        <v>J1a2a1a2d2b~</v>
      </c>
      <c r="M2306" s="102"/>
      <c r="N2306" s="102" t="s">
        <v>4235</v>
      </c>
      <c r="O2306" s="105">
        <v>7687003.0</v>
      </c>
      <c r="P2306" s="105">
        <v>7818962.0</v>
      </c>
      <c r="Q2306" s="102" t="s">
        <v>2501</v>
      </c>
      <c r="S2306" s="1"/>
      <c r="T2306" s="1"/>
      <c r="U2306" s="1"/>
      <c r="V2306" s="1"/>
      <c r="W2306" s="1"/>
      <c r="X2306" s="1"/>
      <c r="Y2306" s="1"/>
      <c r="Z2306" s="102"/>
      <c r="AA2306" s="102"/>
      <c r="AB2306" s="1"/>
      <c r="AC2306" s="1"/>
      <c r="AD2306" s="1"/>
      <c r="AE2306" s="1"/>
      <c r="AF2306" s="1"/>
      <c r="AG2306" s="1"/>
    </row>
    <row r="2307" ht="15.75" customHeight="1">
      <c r="A2307" s="1"/>
      <c r="B2307" s="1"/>
      <c r="C2307" s="1"/>
      <c r="D2307" s="1"/>
      <c r="E2307" s="1"/>
      <c r="F2307" s="1"/>
      <c r="G2307" s="1"/>
      <c r="H2307" s="1"/>
      <c r="I2307" s="1"/>
      <c r="J2307" s="1"/>
      <c r="K2307" s="102" t="s">
        <v>4236</v>
      </c>
      <c r="L2307" s="102" t="str">
        <f>L67</f>
        <v>J1a2a1a2d2b1~</v>
      </c>
      <c r="M2307" s="102"/>
      <c r="N2307" s="102"/>
      <c r="O2307" s="105">
        <v>7151313.0</v>
      </c>
      <c r="P2307" s="105">
        <v>7283272.0</v>
      </c>
      <c r="Q2307" s="102" t="s">
        <v>2501</v>
      </c>
      <c r="S2307" s="1"/>
      <c r="T2307" s="1"/>
      <c r="U2307" s="1"/>
      <c r="V2307" s="1"/>
      <c r="W2307" s="1"/>
      <c r="X2307" s="1"/>
      <c r="Y2307" s="1"/>
      <c r="Z2307" s="102"/>
      <c r="AA2307" s="102"/>
      <c r="AB2307" s="1"/>
      <c r="AC2307" s="1"/>
      <c r="AD2307" s="1"/>
      <c r="AE2307" s="1"/>
      <c r="AF2307" s="1"/>
      <c r="AG2307" s="1"/>
    </row>
    <row r="2308" ht="15.75" customHeight="1">
      <c r="A2308" s="1"/>
      <c r="B2308" s="1"/>
      <c r="C2308" s="1"/>
      <c r="D2308" s="1"/>
      <c r="E2308" s="1"/>
      <c r="F2308" s="1"/>
      <c r="G2308" s="1"/>
      <c r="H2308" s="1"/>
      <c r="I2308" s="1"/>
      <c r="J2308" s="1"/>
      <c r="K2308" s="102" t="s">
        <v>4237</v>
      </c>
      <c r="L2308" s="102" t="str">
        <f>L67</f>
        <v>J1a2a1a2d2b1~</v>
      </c>
      <c r="M2308" s="102"/>
      <c r="N2308" s="102" t="s">
        <v>4238</v>
      </c>
      <c r="O2308" s="105">
        <v>1.3991091E7</v>
      </c>
      <c r="P2308" s="105">
        <v>1.1870385E7</v>
      </c>
      <c r="Q2308" s="102" t="s">
        <v>2468</v>
      </c>
      <c r="S2308" s="1"/>
      <c r="T2308" s="1"/>
      <c r="U2308" s="1"/>
      <c r="V2308" s="1"/>
      <c r="W2308" s="1"/>
      <c r="X2308" s="1"/>
      <c r="Y2308" s="1"/>
      <c r="Z2308" s="102"/>
      <c r="AA2308" s="102"/>
      <c r="AB2308" s="1"/>
      <c r="AC2308" s="1"/>
      <c r="AD2308" s="1"/>
      <c r="AE2308" s="1"/>
      <c r="AF2308" s="1"/>
      <c r="AG2308" s="1"/>
    </row>
    <row r="2309" ht="15.75" customHeight="1">
      <c r="A2309" s="1"/>
      <c r="B2309" s="1"/>
      <c r="C2309" s="1"/>
      <c r="D2309" s="1"/>
      <c r="E2309" s="1"/>
      <c r="F2309" s="1"/>
      <c r="G2309" s="1"/>
      <c r="H2309" s="1"/>
      <c r="I2309" s="1"/>
      <c r="J2309" s="1"/>
      <c r="K2309" s="102" t="s">
        <v>4239</v>
      </c>
      <c r="L2309" s="102" t="str">
        <f>L67</f>
        <v>J1a2a1a2d2b1~</v>
      </c>
      <c r="M2309" s="102"/>
      <c r="N2309" s="102"/>
      <c r="O2309" s="105">
        <v>1.4298817E7</v>
      </c>
      <c r="P2309" s="105">
        <v>1.2178111E7</v>
      </c>
      <c r="Q2309" s="102" t="s">
        <v>2439</v>
      </c>
      <c r="S2309" s="1"/>
      <c r="T2309" s="1"/>
      <c r="U2309" s="1"/>
      <c r="V2309" s="1"/>
      <c r="W2309" s="1"/>
      <c r="X2309" s="1"/>
      <c r="Y2309" s="1"/>
      <c r="Z2309" s="102"/>
      <c r="AA2309" s="102"/>
      <c r="AB2309" s="1"/>
      <c r="AC2309" s="1"/>
      <c r="AD2309" s="1"/>
      <c r="AE2309" s="1"/>
      <c r="AF2309" s="1"/>
      <c r="AG2309" s="1"/>
    </row>
    <row r="2310" ht="15.75" customHeight="1">
      <c r="A2310" s="1"/>
      <c r="B2310" s="1"/>
      <c r="C2310" s="1"/>
      <c r="D2310" s="1"/>
      <c r="E2310" s="1"/>
      <c r="F2310" s="1"/>
      <c r="G2310" s="1"/>
      <c r="H2310" s="1"/>
      <c r="I2310" s="1"/>
      <c r="J2310" s="1"/>
      <c r="K2310" s="102" t="s">
        <v>4240</v>
      </c>
      <c r="L2310" s="102" t="str">
        <f>L67</f>
        <v>J1a2a1a2d2b1~</v>
      </c>
      <c r="M2310" s="102"/>
      <c r="N2310" s="102"/>
      <c r="O2310" s="105">
        <v>1.4405088E7</v>
      </c>
      <c r="P2310" s="105">
        <v>1.2284385E7</v>
      </c>
      <c r="Q2310" s="102" t="s">
        <v>2468</v>
      </c>
      <c r="S2310" s="1"/>
      <c r="T2310" s="1"/>
      <c r="U2310" s="1"/>
      <c r="V2310" s="1"/>
      <c r="W2310" s="1"/>
      <c r="X2310" s="1"/>
      <c r="Y2310" s="1"/>
      <c r="Z2310" s="102"/>
      <c r="AA2310" s="102"/>
      <c r="AB2310" s="1"/>
      <c r="AC2310" s="1"/>
      <c r="AD2310" s="1"/>
      <c r="AE2310" s="1"/>
      <c r="AF2310" s="1"/>
      <c r="AG2310" s="1"/>
    </row>
    <row r="2311" ht="15.75" customHeight="1">
      <c r="A2311" s="1"/>
      <c r="B2311" s="1"/>
      <c r="C2311" s="1"/>
      <c r="D2311" s="1"/>
      <c r="E2311" s="1"/>
      <c r="F2311" s="1"/>
      <c r="G2311" s="1"/>
      <c r="H2311" s="1"/>
      <c r="I2311" s="1"/>
      <c r="J2311" s="1"/>
      <c r="K2311" s="102" t="s">
        <v>4241</v>
      </c>
      <c r="L2311" s="102" t="str">
        <f>L67</f>
        <v>J1a2a1a2d2b1~</v>
      </c>
      <c r="M2311" s="102"/>
      <c r="N2311" s="102" t="s">
        <v>4242</v>
      </c>
      <c r="O2311" s="105">
        <v>1.5304563E7</v>
      </c>
      <c r="P2311" s="105">
        <v>1.3192662E7</v>
      </c>
      <c r="Q2311" s="102" t="s">
        <v>2576</v>
      </c>
      <c r="S2311" s="1"/>
      <c r="T2311" s="1"/>
      <c r="U2311" s="1"/>
      <c r="V2311" s="1"/>
      <c r="W2311" s="1"/>
      <c r="X2311" s="1"/>
      <c r="Y2311" s="1"/>
      <c r="Z2311" s="102"/>
      <c r="AA2311" s="102"/>
      <c r="AB2311" s="1"/>
      <c r="AC2311" s="1"/>
      <c r="AD2311" s="1"/>
      <c r="AE2311" s="1"/>
      <c r="AF2311" s="1"/>
      <c r="AG2311" s="1"/>
    </row>
    <row r="2312" ht="15.75" customHeight="1">
      <c r="A2312" s="1"/>
      <c r="B2312" s="1"/>
      <c r="C2312" s="1"/>
      <c r="D2312" s="1"/>
      <c r="E2312" s="1"/>
      <c r="F2312" s="1"/>
      <c r="G2312" s="1"/>
      <c r="H2312" s="1"/>
      <c r="I2312" s="1"/>
      <c r="J2312" s="1"/>
      <c r="K2312" s="102" t="s">
        <v>4243</v>
      </c>
      <c r="L2312" s="102" t="str">
        <f>L67</f>
        <v>J1a2a1a2d2b1~</v>
      </c>
      <c r="M2312" s="102"/>
      <c r="N2312" s="102"/>
      <c r="O2312" s="105">
        <v>1.7120918E7</v>
      </c>
      <c r="P2312" s="105">
        <v>1.5009038E7</v>
      </c>
      <c r="Q2312" s="102" t="s">
        <v>2439</v>
      </c>
      <c r="S2312" s="1"/>
      <c r="T2312" s="1"/>
      <c r="U2312" s="1"/>
      <c r="V2312" s="1"/>
      <c r="W2312" s="1"/>
      <c r="X2312" s="1"/>
      <c r="Y2312" s="1"/>
      <c r="Z2312" s="102"/>
      <c r="AA2312" s="102"/>
      <c r="AB2312" s="1"/>
      <c r="AC2312" s="1"/>
      <c r="AD2312" s="1"/>
      <c r="AE2312" s="1"/>
      <c r="AF2312" s="1"/>
      <c r="AG2312" s="1"/>
    </row>
    <row r="2313" ht="15.75" customHeight="1">
      <c r="A2313" s="1"/>
      <c r="B2313" s="1"/>
      <c r="C2313" s="1"/>
      <c r="D2313" s="1"/>
      <c r="E2313" s="1"/>
      <c r="F2313" s="1"/>
      <c r="G2313" s="1"/>
      <c r="H2313" s="1"/>
      <c r="I2313" s="1"/>
      <c r="J2313" s="1"/>
      <c r="K2313" s="106" t="s">
        <v>4244</v>
      </c>
      <c r="L2313" s="102" t="str">
        <f>L67</f>
        <v>J1a2a1a2d2b1~</v>
      </c>
      <c r="M2313" s="102"/>
      <c r="N2313" s="108" t="s">
        <v>4245</v>
      </c>
      <c r="O2313" s="107">
        <v>1.7936466E7</v>
      </c>
      <c r="P2313" s="109">
        <v>1.5824586E7</v>
      </c>
      <c r="Q2313" s="106" t="s">
        <v>2439</v>
      </c>
      <c r="S2313" s="1"/>
      <c r="T2313" s="1"/>
      <c r="U2313" s="1"/>
      <c r="V2313" s="1"/>
      <c r="W2313" s="1"/>
      <c r="X2313" s="1"/>
      <c r="Y2313" s="1"/>
      <c r="Z2313" s="102">
        <v>1.777302E7</v>
      </c>
      <c r="AA2313" s="102"/>
      <c r="AB2313" s="1"/>
      <c r="AC2313" s="1"/>
      <c r="AD2313" s="1"/>
      <c r="AE2313" s="1"/>
      <c r="AF2313" s="1"/>
      <c r="AG2313" s="1"/>
    </row>
    <row r="2314" ht="15.75" customHeight="1">
      <c r="A2314" s="1"/>
      <c r="B2314" s="1"/>
      <c r="C2314" s="1"/>
      <c r="D2314" s="1"/>
      <c r="E2314" s="1"/>
      <c r="F2314" s="1"/>
      <c r="G2314" s="1"/>
      <c r="H2314" s="1"/>
      <c r="I2314" s="1"/>
      <c r="J2314" s="1"/>
      <c r="K2314" s="102" t="s">
        <v>4246</v>
      </c>
      <c r="L2314" s="102" t="str">
        <f>L67</f>
        <v>J1a2a1a2d2b1~</v>
      </c>
      <c r="M2314" s="102"/>
      <c r="N2314" s="102" t="s">
        <v>4247</v>
      </c>
      <c r="O2314" s="105">
        <v>1.9011891E7</v>
      </c>
      <c r="P2314" s="105">
        <v>1.6900011E7</v>
      </c>
      <c r="Q2314" s="102" t="s">
        <v>2563</v>
      </c>
      <c r="S2314" s="1"/>
      <c r="T2314" s="1"/>
      <c r="U2314" s="1"/>
      <c r="V2314" s="1"/>
      <c r="W2314" s="1"/>
      <c r="X2314" s="1"/>
      <c r="Y2314" s="1"/>
      <c r="Z2314" s="102"/>
      <c r="AA2314" s="102"/>
      <c r="AB2314" s="1"/>
      <c r="AC2314" s="1"/>
      <c r="AD2314" s="1"/>
      <c r="AE2314" s="1"/>
      <c r="AF2314" s="1"/>
      <c r="AG2314" s="1"/>
    </row>
    <row r="2315" ht="15.75" customHeight="1">
      <c r="A2315" s="1"/>
      <c r="B2315" s="1"/>
      <c r="C2315" s="1"/>
      <c r="D2315" s="1"/>
      <c r="E2315" s="1"/>
      <c r="F2315" s="1"/>
      <c r="G2315" s="1"/>
      <c r="H2315" s="1"/>
      <c r="I2315" s="1"/>
      <c r="J2315" s="1"/>
      <c r="K2315" s="102" t="s">
        <v>4248</v>
      </c>
      <c r="L2315" s="102" t="str">
        <f>L67</f>
        <v>J1a2a1a2d2b1~</v>
      </c>
      <c r="M2315" s="102"/>
      <c r="N2315" s="102"/>
      <c r="O2315" s="105">
        <v>2.1100464E7</v>
      </c>
      <c r="P2315" s="105">
        <v>1.8938578E7</v>
      </c>
      <c r="Q2315" s="102" t="s">
        <v>2446</v>
      </c>
      <c r="S2315" s="1"/>
      <c r="T2315" s="1"/>
      <c r="U2315" s="1"/>
      <c r="V2315" s="1"/>
      <c r="W2315" s="1"/>
      <c r="X2315" s="1"/>
      <c r="Y2315" s="1"/>
      <c r="Z2315" s="102"/>
      <c r="AA2315" s="102"/>
      <c r="AB2315" s="1"/>
      <c r="AC2315" s="1"/>
      <c r="AD2315" s="1"/>
      <c r="AE2315" s="1"/>
      <c r="AF2315" s="1"/>
      <c r="AG2315" s="1"/>
    </row>
    <row r="2316" ht="15.75" customHeight="1">
      <c r="A2316" s="1"/>
      <c r="B2316" s="1"/>
      <c r="C2316" s="1"/>
      <c r="D2316" s="1"/>
      <c r="E2316" s="1"/>
      <c r="F2316" s="1"/>
      <c r="G2316" s="1"/>
      <c r="H2316" s="1"/>
      <c r="I2316" s="1"/>
      <c r="J2316" s="1"/>
      <c r="K2316" s="102" t="s">
        <v>4249</v>
      </c>
      <c r="L2316" s="102" t="str">
        <f t="shared" ref="L2316:L2317" si="14">L67</f>
        <v>J1a2a1a2d2b1~</v>
      </c>
      <c r="M2316" s="102"/>
      <c r="N2316" s="102" t="s">
        <v>4250</v>
      </c>
      <c r="O2316" s="102">
        <v>7559119.0</v>
      </c>
      <c r="P2316" s="102">
        <v>7691078.0</v>
      </c>
      <c r="Q2316" s="102" t="s">
        <v>2501</v>
      </c>
      <c r="S2316" s="1"/>
      <c r="T2316" s="1"/>
      <c r="U2316" s="1"/>
      <c r="V2316" s="1"/>
      <c r="W2316" s="1"/>
      <c r="X2316" s="1"/>
      <c r="Y2316" s="1"/>
      <c r="Z2316" s="102">
        <v>7559119.0</v>
      </c>
      <c r="AA2316" s="102"/>
      <c r="AB2316" s="1"/>
      <c r="AC2316" s="1"/>
      <c r="AD2316" s="1"/>
      <c r="AE2316" s="1"/>
      <c r="AF2316" s="1"/>
      <c r="AG2316" s="1"/>
    </row>
    <row r="2317" ht="15.75" customHeight="1">
      <c r="A2317" s="1"/>
      <c r="B2317" s="1"/>
      <c r="C2317" s="1"/>
      <c r="D2317" s="1"/>
      <c r="E2317" s="1"/>
      <c r="F2317" s="1"/>
      <c r="G2317" s="1"/>
      <c r="H2317" s="1"/>
      <c r="I2317" s="1"/>
      <c r="J2317" s="1"/>
      <c r="K2317" s="102" t="s">
        <v>4251</v>
      </c>
      <c r="L2317" s="102" t="str">
        <f t="shared" si="14"/>
        <v>J1a2a1a2d2b2~</v>
      </c>
      <c r="M2317" s="102"/>
      <c r="N2317" s="102" t="s">
        <v>4252</v>
      </c>
      <c r="O2317" s="105">
        <v>6765575.0</v>
      </c>
      <c r="P2317" s="105">
        <v>6897534.0</v>
      </c>
      <c r="Q2317" s="102" t="s">
        <v>2439</v>
      </c>
      <c r="S2317" s="1"/>
      <c r="T2317" s="1"/>
      <c r="U2317" s="1"/>
      <c r="V2317" s="1"/>
      <c r="W2317" s="1"/>
      <c r="X2317" s="1"/>
      <c r="Y2317" s="1"/>
      <c r="Z2317" s="102"/>
      <c r="AA2317" s="102"/>
      <c r="AB2317" s="1"/>
      <c r="AC2317" s="1"/>
      <c r="AD2317" s="1"/>
      <c r="AE2317" s="1"/>
      <c r="AF2317" s="1"/>
      <c r="AG2317" s="1"/>
    </row>
    <row r="2318" ht="15.75" customHeight="1">
      <c r="A2318" s="1"/>
      <c r="B2318" s="1"/>
      <c r="C2318" s="1"/>
      <c r="D2318" s="1"/>
      <c r="E2318" s="1"/>
      <c r="F2318" s="1"/>
      <c r="G2318" s="1"/>
      <c r="H2318" s="1"/>
      <c r="I2318" s="1"/>
      <c r="J2318" s="1"/>
      <c r="K2318" s="102" t="s">
        <v>4253</v>
      </c>
      <c r="L2318" s="102" t="str">
        <f>L68</f>
        <v>J1a2a1a2d2b2~</v>
      </c>
      <c r="M2318" s="102" t="s">
        <v>4254</v>
      </c>
      <c r="N2318" s="102" t="s">
        <v>4255</v>
      </c>
      <c r="O2318" s="105">
        <v>1.4594382E7</v>
      </c>
      <c r="P2318" s="105">
        <v>1.2482582E7</v>
      </c>
      <c r="Q2318" s="102" t="s">
        <v>2439</v>
      </c>
      <c r="S2318" s="1"/>
      <c r="T2318" s="1"/>
      <c r="U2318" s="1"/>
      <c r="V2318" s="1"/>
      <c r="W2318" s="1"/>
      <c r="X2318" s="1"/>
      <c r="Y2318" s="1"/>
      <c r="Z2318" s="102"/>
      <c r="AA2318" s="102"/>
      <c r="AB2318" s="1"/>
      <c r="AC2318" s="1"/>
      <c r="AD2318" s="1"/>
      <c r="AE2318" s="1"/>
      <c r="AF2318" s="1"/>
      <c r="AG2318" s="1"/>
    </row>
    <row r="2319" ht="15.75" customHeight="1">
      <c r="A2319" s="1"/>
      <c r="B2319" s="1"/>
      <c r="C2319" s="1"/>
      <c r="D2319" s="1"/>
      <c r="E2319" s="1"/>
      <c r="F2319" s="1"/>
      <c r="G2319" s="1"/>
      <c r="H2319" s="1"/>
      <c r="I2319" s="1"/>
      <c r="J2319" s="1"/>
      <c r="K2319" s="102" t="s">
        <v>4256</v>
      </c>
      <c r="L2319" s="102" t="str">
        <f>L68</f>
        <v>J1a2a1a2d2b2~</v>
      </c>
      <c r="M2319" s="102" t="s">
        <v>4257</v>
      </c>
      <c r="N2319" s="102" t="s">
        <v>4255</v>
      </c>
      <c r="O2319" s="105">
        <v>1.4594382E7</v>
      </c>
      <c r="P2319" s="105">
        <v>1.2482582E7</v>
      </c>
      <c r="Q2319" s="102" t="s">
        <v>2439</v>
      </c>
      <c r="S2319" s="1"/>
      <c r="T2319" s="1"/>
      <c r="U2319" s="1"/>
      <c r="V2319" s="1"/>
      <c r="W2319" s="1"/>
      <c r="X2319" s="1"/>
      <c r="Y2319" s="1"/>
      <c r="Z2319" s="102"/>
      <c r="AA2319" s="102"/>
      <c r="AB2319" s="1"/>
      <c r="AC2319" s="1"/>
      <c r="AD2319" s="1"/>
      <c r="AE2319" s="1"/>
      <c r="AF2319" s="1"/>
      <c r="AG2319" s="1"/>
    </row>
    <row r="2320" ht="15.75" customHeight="1">
      <c r="A2320" s="1"/>
      <c r="B2320" s="1"/>
      <c r="C2320" s="1"/>
      <c r="D2320" s="1"/>
      <c r="E2320" s="1"/>
      <c r="F2320" s="1"/>
      <c r="G2320" s="1"/>
      <c r="H2320" s="1"/>
      <c r="I2320" s="1"/>
      <c r="J2320" s="1"/>
      <c r="K2320" s="102" t="s">
        <v>4258</v>
      </c>
      <c r="L2320" s="102" t="str">
        <f>L68</f>
        <v>J1a2a1a2d2b2~</v>
      </c>
      <c r="M2320" s="102" t="s">
        <v>4259</v>
      </c>
      <c r="N2320" s="102" t="s">
        <v>4255</v>
      </c>
      <c r="O2320" s="105">
        <v>1.4594382E7</v>
      </c>
      <c r="P2320" s="105">
        <v>1.2482582E7</v>
      </c>
      <c r="Q2320" s="102" t="s">
        <v>2439</v>
      </c>
      <c r="S2320" s="1"/>
      <c r="T2320" s="1"/>
      <c r="U2320" s="1"/>
      <c r="V2320" s="1"/>
      <c r="W2320" s="1"/>
      <c r="X2320" s="1"/>
      <c r="Y2320" s="1"/>
      <c r="Z2320" s="102"/>
      <c r="AA2320" s="102"/>
      <c r="AB2320" s="1"/>
      <c r="AC2320" s="1"/>
      <c r="AD2320" s="1"/>
      <c r="AE2320" s="1"/>
      <c r="AF2320" s="1"/>
      <c r="AG2320" s="1"/>
    </row>
    <row r="2321" ht="15.75" customHeight="1">
      <c r="A2321" s="1"/>
      <c r="B2321" s="1"/>
      <c r="C2321" s="1"/>
      <c r="D2321" s="1"/>
      <c r="E2321" s="1"/>
      <c r="F2321" s="1"/>
      <c r="G2321" s="1"/>
      <c r="H2321" s="1"/>
      <c r="I2321" s="1"/>
      <c r="J2321" s="1"/>
      <c r="K2321" s="102" t="s">
        <v>4260</v>
      </c>
      <c r="L2321" s="102" t="str">
        <f>L68</f>
        <v>J1a2a1a2d2b2~</v>
      </c>
      <c r="M2321" s="102" t="s">
        <v>4261</v>
      </c>
      <c r="N2321" s="102" t="s">
        <v>4262</v>
      </c>
      <c r="O2321" s="105">
        <v>1.6704916E7</v>
      </c>
      <c r="P2321" s="105">
        <v>1.4593036E7</v>
      </c>
      <c r="Q2321" s="102" t="s">
        <v>2439</v>
      </c>
      <c r="S2321" s="1"/>
      <c r="T2321" s="1"/>
      <c r="U2321" s="1"/>
      <c r="V2321" s="1"/>
      <c r="W2321" s="1"/>
      <c r="X2321" s="1"/>
      <c r="Y2321" s="1"/>
      <c r="Z2321" s="102"/>
      <c r="AA2321" s="102"/>
      <c r="AB2321" s="1"/>
      <c r="AC2321" s="1"/>
      <c r="AD2321" s="1"/>
      <c r="AE2321" s="1"/>
      <c r="AF2321" s="1"/>
      <c r="AG2321" s="1"/>
    </row>
    <row r="2322" ht="15.75" customHeight="1">
      <c r="A2322" s="1"/>
      <c r="B2322" s="1"/>
      <c r="C2322" s="1"/>
      <c r="D2322" s="1"/>
      <c r="E2322" s="1"/>
      <c r="F2322" s="1"/>
      <c r="G2322" s="1"/>
      <c r="H2322" s="1"/>
      <c r="I2322" s="1"/>
      <c r="J2322" s="1"/>
      <c r="K2322" s="102" t="s">
        <v>4263</v>
      </c>
      <c r="L2322" s="102" t="str">
        <f>L68</f>
        <v>J1a2a1a2d2b2~</v>
      </c>
      <c r="M2322" s="102" t="s">
        <v>4264</v>
      </c>
      <c r="N2322" s="102" t="s">
        <v>4262</v>
      </c>
      <c r="O2322" s="105">
        <v>1.6704916E7</v>
      </c>
      <c r="P2322" s="105">
        <v>1.4593036E7</v>
      </c>
      <c r="Q2322" s="102" t="s">
        <v>2439</v>
      </c>
      <c r="S2322" s="1"/>
      <c r="T2322" s="1"/>
      <c r="U2322" s="1"/>
      <c r="V2322" s="1"/>
      <c r="W2322" s="1"/>
      <c r="X2322" s="1"/>
      <c r="Y2322" s="1"/>
      <c r="Z2322" s="102"/>
      <c r="AA2322" s="102"/>
      <c r="AB2322" s="1"/>
      <c r="AC2322" s="1"/>
      <c r="AD2322" s="1"/>
      <c r="AE2322" s="1"/>
      <c r="AF2322" s="1"/>
      <c r="AG2322" s="1"/>
    </row>
    <row r="2323" ht="15.75" customHeight="1">
      <c r="A2323" s="1"/>
      <c r="B2323" s="1"/>
      <c r="C2323" s="1"/>
      <c r="D2323" s="1"/>
      <c r="E2323" s="1"/>
      <c r="F2323" s="1"/>
      <c r="G2323" s="1"/>
      <c r="H2323" s="1"/>
      <c r="I2323" s="1"/>
      <c r="J2323" s="1"/>
      <c r="K2323" s="102" t="s">
        <v>4265</v>
      </c>
      <c r="L2323" s="102" t="str">
        <f>L68</f>
        <v>J1a2a1a2d2b2~</v>
      </c>
      <c r="M2323" s="102" t="s">
        <v>4266</v>
      </c>
      <c r="N2323" s="102" t="s">
        <v>4262</v>
      </c>
      <c r="O2323" s="105">
        <v>1.6704916E7</v>
      </c>
      <c r="P2323" s="105">
        <v>1.4593036E7</v>
      </c>
      <c r="Q2323" s="102" t="s">
        <v>2439</v>
      </c>
      <c r="S2323" s="1"/>
      <c r="T2323" s="1"/>
      <c r="U2323" s="1"/>
      <c r="V2323" s="1"/>
      <c r="W2323" s="1"/>
      <c r="X2323" s="1"/>
      <c r="Y2323" s="1"/>
      <c r="Z2323" s="102"/>
      <c r="AA2323" s="102"/>
      <c r="AB2323" s="1"/>
      <c r="AC2323" s="1"/>
      <c r="AD2323" s="1"/>
      <c r="AE2323" s="1"/>
      <c r="AF2323" s="1"/>
      <c r="AG2323" s="1"/>
    </row>
    <row r="2324" ht="15.75" customHeight="1">
      <c r="A2324" s="1"/>
      <c r="B2324" s="1"/>
      <c r="C2324" s="1"/>
      <c r="D2324" s="1"/>
      <c r="E2324" s="1"/>
      <c r="F2324" s="1"/>
      <c r="G2324" s="1"/>
      <c r="H2324" s="1"/>
      <c r="I2324" s="1"/>
      <c r="J2324" s="1"/>
      <c r="K2324" s="102" t="s">
        <v>4267</v>
      </c>
      <c r="L2324" s="102" t="str">
        <f>L68</f>
        <v>J1a2a1a2d2b2~</v>
      </c>
      <c r="M2324" s="102" t="s">
        <v>4268</v>
      </c>
      <c r="N2324" s="102" t="s">
        <v>4269</v>
      </c>
      <c r="O2324" s="105">
        <v>1.9198871E7</v>
      </c>
      <c r="P2324" s="105">
        <v>1.7086991E7</v>
      </c>
      <c r="Q2324" s="102" t="s">
        <v>2533</v>
      </c>
      <c r="S2324" s="1"/>
      <c r="T2324" s="1"/>
      <c r="U2324" s="1"/>
      <c r="V2324" s="1"/>
      <c r="W2324" s="1"/>
      <c r="X2324" s="1"/>
      <c r="Y2324" s="1"/>
      <c r="Z2324" s="102"/>
      <c r="AA2324" s="102"/>
      <c r="AB2324" s="1"/>
      <c r="AC2324" s="1"/>
      <c r="AD2324" s="1"/>
      <c r="AE2324" s="1"/>
      <c r="AF2324" s="1"/>
      <c r="AG2324" s="1"/>
    </row>
    <row r="2325" ht="15.75" customHeight="1">
      <c r="A2325" s="1"/>
      <c r="B2325" s="1"/>
      <c r="C2325" s="1"/>
      <c r="D2325" s="1"/>
      <c r="E2325" s="1"/>
      <c r="F2325" s="1"/>
      <c r="G2325" s="1"/>
      <c r="H2325" s="1"/>
      <c r="I2325" s="1"/>
      <c r="J2325" s="1"/>
      <c r="K2325" s="102" t="s">
        <v>4270</v>
      </c>
      <c r="L2325" s="102" t="str">
        <f>L68</f>
        <v>J1a2a1a2d2b2~</v>
      </c>
      <c r="M2325" s="102" t="s">
        <v>4271</v>
      </c>
      <c r="N2325" s="102" t="s">
        <v>4269</v>
      </c>
      <c r="O2325" s="105">
        <v>1.9198871E7</v>
      </c>
      <c r="P2325" s="105">
        <v>1.7086991E7</v>
      </c>
      <c r="Q2325" s="102" t="s">
        <v>2533</v>
      </c>
      <c r="S2325" s="1"/>
      <c r="T2325" s="1"/>
      <c r="U2325" s="1"/>
      <c r="V2325" s="1"/>
      <c r="W2325" s="1"/>
      <c r="X2325" s="1"/>
      <c r="Y2325" s="1"/>
      <c r="Z2325" s="102"/>
      <c r="AA2325" s="102"/>
      <c r="AB2325" s="1"/>
      <c r="AC2325" s="1"/>
      <c r="AD2325" s="1"/>
      <c r="AE2325" s="1"/>
      <c r="AF2325" s="1"/>
      <c r="AG2325" s="1"/>
    </row>
    <row r="2326" ht="15.75" customHeight="1">
      <c r="A2326" s="1"/>
      <c r="B2326" s="1"/>
      <c r="C2326" s="1"/>
      <c r="D2326" s="1"/>
      <c r="E2326" s="1"/>
      <c r="F2326" s="1"/>
      <c r="G2326" s="1"/>
      <c r="H2326" s="1"/>
      <c r="I2326" s="1"/>
      <c r="J2326" s="1"/>
      <c r="K2326" s="102" t="s">
        <v>4272</v>
      </c>
      <c r="L2326" s="102" t="str">
        <f>L68</f>
        <v>J1a2a1a2d2b2~</v>
      </c>
      <c r="M2326" s="102" t="s">
        <v>4273</v>
      </c>
      <c r="N2326" s="102" t="s">
        <v>4269</v>
      </c>
      <c r="O2326" s="105">
        <v>1.9198871E7</v>
      </c>
      <c r="P2326" s="105">
        <v>1.7086991E7</v>
      </c>
      <c r="Q2326" s="102" t="s">
        <v>2533</v>
      </c>
      <c r="S2326" s="1"/>
      <c r="T2326" s="1"/>
      <c r="U2326" s="1"/>
      <c r="V2326" s="1"/>
      <c r="W2326" s="1"/>
      <c r="X2326" s="1"/>
      <c r="Y2326" s="1"/>
      <c r="Z2326" s="102"/>
      <c r="AA2326" s="102"/>
      <c r="AB2326" s="1"/>
      <c r="AC2326" s="1"/>
      <c r="AD2326" s="1"/>
      <c r="AE2326" s="1"/>
      <c r="AF2326" s="1"/>
      <c r="AG2326" s="1"/>
    </row>
    <row r="2327" ht="15.75" customHeight="1">
      <c r="A2327" s="1"/>
      <c r="B2327" s="1"/>
      <c r="C2327" s="1"/>
      <c r="D2327" s="1"/>
      <c r="E2327" s="1"/>
      <c r="F2327" s="1"/>
      <c r="G2327" s="1"/>
      <c r="H2327" s="1"/>
      <c r="I2327" s="1"/>
      <c r="J2327" s="1"/>
      <c r="K2327" s="102" t="s">
        <v>4274</v>
      </c>
      <c r="L2327" s="102" t="str">
        <f>L68</f>
        <v>J1a2a1a2d2b2~</v>
      </c>
      <c r="M2327" s="102" t="s">
        <v>4275</v>
      </c>
      <c r="N2327" s="102" t="s">
        <v>4276</v>
      </c>
      <c r="O2327" s="105">
        <v>2.323596E7</v>
      </c>
      <c r="P2327" s="105">
        <v>2.1074074E7</v>
      </c>
      <c r="Q2327" s="102" t="s">
        <v>2439</v>
      </c>
      <c r="S2327" s="1"/>
      <c r="T2327" s="1"/>
      <c r="U2327" s="1"/>
      <c r="V2327" s="1"/>
      <c r="W2327" s="1"/>
      <c r="X2327" s="1"/>
      <c r="Y2327" s="1"/>
      <c r="Z2327" s="102"/>
      <c r="AA2327" s="102"/>
      <c r="AB2327" s="1"/>
      <c r="AC2327" s="1"/>
      <c r="AD2327" s="1"/>
      <c r="AE2327" s="1"/>
      <c r="AF2327" s="1"/>
      <c r="AG2327" s="1"/>
    </row>
    <row r="2328" ht="15.75" customHeight="1">
      <c r="A2328" s="1"/>
      <c r="B2328" s="1"/>
      <c r="C2328" s="1"/>
      <c r="D2328" s="1"/>
      <c r="E2328" s="1"/>
      <c r="F2328" s="1"/>
      <c r="G2328" s="1"/>
      <c r="H2328" s="1"/>
      <c r="I2328" s="1"/>
      <c r="J2328" s="1"/>
      <c r="K2328" s="102" t="s">
        <v>4277</v>
      </c>
      <c r="L2328" s="102" t="str">
        <f>L68</f>
        <v>J1a2a1a2d2b2~</v>
      </c>
      <c r="M2328" s="102" t="s">
        <v>4278</v>
      </c>
      <c r="N2328" s="102" t="s">
        <v>4276</v>
      </c>
      <c r="O2328" s="105">
        <v>2.323596E7</v>
      </c>
      <c r="P2328" s="105">
        <v>2.1074074E7</v>
      </c>
      <c r="Q2328" s="102" t="s">
        <v>2439</v>
      </c>
      <c r="S2328" s="1"/>
      <c r="T2328" s="1"/>
      <c r="U2328" s="1"/>
      <c r="V2328" s="1"/>
      <c r="W2328" s="1"/>
      <c r="X2328" s="1"/>
      <c r="Y2328" s="1"/>
      <c r="Z2328" s="102"/>
      <c r="AA2328" s="102"/>
      <c r="AB2328" s="1"/>
      <c r="AC2328" s="1"/>
      <c r="AD2328" s="1"/>
      <c r="AE2328" s="1"/>
      <c r="AF2328" s="1"/>
      <c r="AG2328" s="1"/>
    </row>
    <row r="2329" ht="15.75" customHeight="1">
      <c r="A2329" s="1"/>
      <c r="B2329" s="1"/>
      <c r="C2329" s="1"/>
      <c r="D2329" s="1"/>
      <c r="E2329" s="1"/>
      <c r="F2329" s="1"/>
      <c r="G2329" s="1"/>
      <c r="H2329" s="1"/>
      <c r="I2329" s="1"/>
      <c r="J2329" s="1"/>
      <c r="K2329" s="102" t="s">
        <v>4279</v>
      </c>
      <c r="L2329" s="102" t="str">
        <f>L68</f>
        <v>J1a2a1a2d2b2~</v>
      </c>
      <c r="M2329" s="102" t="s">
        <v>4280</v>
      </c>
      <c r="N2329" s="102" t="s">
        <v>4276</v>
      </c>
      <c r="O2329" s="105">
        <v>2.323596E7</v>
      </c>
      <c r="P2329" s="105">
        <v>2.1074074E7</v>
      </c>
      <c r="Q2329" s="102" t="s">
        <v>2439</v>
      </c>
      <c r="S2329" s="1"/>
      <c r="T2329" s="1"/>
      <c r="U2329" s="1"/>
      <c r="V2329" s="1"/>
      <c r="W2329" s="1"/>
      <c r="X2329" s="1"/>
      <c r="Y2329" s="1"/>
      <c r="Z2329" s="102"/>
      <c r="AA2329" s="102"/>
      <c r="AB2329" s="1"/>
      <c r="AC2329" s="1"/>
      <c r="AD2329" s="1"/>
      <c r="AE2329" s="1"/>
      <c r="AF2329" s="1"/>
      <c r="AG2329" s="1"/>
    </row>
    <row r="2330" ht="15.75" customHeight="1">
      <c r="A2330" s="1"/>
      <c r="B2330" s="1"/>
      <c r="C2330" s="1"/>
      <c r="D2330" s="1"/>
      <c r="E2330" s="1"/>
      <c r="F2330" s="1"/>
      <c r="G2330" s="1"/>
      <c r="H2330" s="1"/>
      <c r="I2330" s="1"/>
      <c r="J2330" s="1"/>
      <c r="K2330" s="102" t="s">
        <v>4281</v>
      </c>
      <c r="L2330" s="102" t="str">
        <f>L68</f>
        <v>J1a2a1a2d2b2~</v>
      </c>
      <c r="M2330" s="102" t="s">
        <v>4282</v>
      </c>
      <c r="N2330" s="102" t="s">
        <v>4283</v>
      </c>
      <c r="O2330" s="105">
        <v>2.3479928E7</v>
      </c>
      <c r="P2330" s="105">
        <v>2.1318042E7</v>
      </c>
      <c r="Q2330" s="102" t="s">
        <v>2468</v>
      </c>
      <c r="S2330" s="1"/>
      <c r="T2330" s="1"/>
      <c r="U2330" s="1"/>
      <c r="V2330" s="1"/>
      <c r="W2330" s="1"/>
      <c r="X2330" s="1"/>
      <c r="Y2330" s="1"/>
      <c r="Z2330" s="102"/>
      <c r="AA2330" s="102"/>
      <c r="AB2330" s="1"/>
      <c r="AC2330" s="1"/>
      <c r="AD2330" s="1"/>
      <c r="AE2330" s="1"/>
      <c r="AF2330" s="1"/>
      <c r="AG2330" s="1"/>
    </row>
    <row r="2331" ht="15.75" customHeight="1">
      <c r="A2331" s="1"/>
      <c r="B2331" s="1"/>
      <c r="C2331" s="1"/>
      <c r="D2331" s="1"/>
      <c r="E2331" s="1"/>
      <c r="F2331" s="1"/>
      <c r="G2331" s="1"/>
      <c r="H2331" s="1"/>
      <c r="I2331" s="1"/>
      <c r="J2331" s="1"/>
      <c r="K2331" s="102" t="s">
        <v>4282</v>
      </c>
      <c r="L2331" s="102" t="str">
        <f>L68</f>
        <v>J1a2a1a2d2b2~</v>
      </c>
      <c r="M2331" s="102" t="s">
        <v>4281</v>
      </c>
      <c r="N2331" s="102" t="s">
        <v>4283</v>
      </c>
      <c r="O2331" s="105">
        <v>2.3479928E7</v>
      </c>
      <c r="P2331" s="105">
        <v>2.1318042E7</v>
      </c>
      <c r="Q2331" s="102" t="s">
        <v>2468</v>
      </c>
      <c r="S2331" s="1"/>
      <c r="T2331" s="1"/>
      <c r="U2331" s="1"/>
      <c r="V2331" s="1"/>
      <c r="W2331" s="1"/>
      <c r="X2331" s="1"/>
      <c r="Y2331" s="1"/>
      <c r="Z2331" s="102"/>
      <c r="AA2331" s="102"/>
      <c r="AB2331" s="1"/>
      <c r="AC2331" s="1"/>
      <c r="AD2331" s="1"/>
      <c r="AE2331" s="1"/>
      <c r="AF2331" s="1"/>
      <c r="AG2331" s="1"/>
    </row>
    <row r="2332" ht="15.75" customHeight="1">
      <c r="A2332" s="1"/>
      <c r="B2332" s="1"/>
      <c r="C2332" s="1"/>
      <c r="D2332" s="1"/>
      <c r="E2332" s="1"/>
      <c r="F2332" s="1"/>
      <c r="G2332" s="1"/>
      <c r="H2332" s="1"/>
      <c r="I2332" s="1"/>
      <c r="J2332" s="1"/>
      <c r="K2332" s="102" t="s">
        <v>4284</v>
      </c>
      <c r="L2332" s="102" t="str">
        <f>L68</f>
        <v>J1a2a1a2d2b2~</v>
      </c>
      <c r="M2332" s="102" t="s">
        <v>4285</v>
      </c>
      <c r="N2332" s="102" t="s">
        <v>4286</v>
      </c>
      <c r="O2332" s="105">
        <v>1.4263127E7</v>
      </c>
      <c r="P2332" s="105">
        <v>1.2142421E7</v>
      </c>
      <c r="Q2332" s="102" t="s">
        <v>2446</v>
      </c>
      <c r="S2332" s="1"/>
      <c r="T2332" s="1"/>
      <c r="U2332" s="1"/>
      <c r="V2332" s="1"/>
      <c r="W2332" s="1"/>
      <c r="X2332" s="1"/>
      <c r="Y2332" s="1"/>
      <c r="Z2332" s="102"/>
      <c r="AA2332" s="102"/>
      <c r="AB2332" s="1"/>
      <c r="AC2332" s="1"/>
      <c r="AD2332" s="1"/>
      <c r="AE2332" s="1"/>
      <c r="AF2332" s="1"/>
      <c r="AG2332" s="1"/>
    </row>
    <row r="2333" ht="15.75" customHeight="1">
      <c r="A2333" s="1"/>
      <c r="B2333" s="1"/>
      <c r="C2333" s="1"/>
      <c r="D2333" s="1"/>
      <c r="E2333" s="1"/>
      <c r="F2333" s="1"/>
      <c r="G2333" s="1"/>
      <c r="H2333" s="1"/>
      <c r="I2333" s="1"/>
      <c r="J2333" s="1"/>
      <c r="K2333" s="102" t="s">
        <v>4287</v>
      </c>
      <c r="L2333" s="102" t="str">
        <f>L68</f>
        <v>J1a2a1a2d2b2~</v>
      </c>
      <c r="M2333" s="102" t="s">
        <v>4288</v>
      </c>
      <c r="N2333" s="102" t="s">
        <v>4286</v>
      </c>
      <c r="O2333" s="105">
        <v>1.4263127E7</v>
      </c>
      <c r="P2333" s="105">
        <v>1.2142421E7</v>
      </c>
      <c r="Q2333" s="102" t="s">
        <v>2446</v>
      </c>
      <c r="S2333" s="1"/>
      <c r="T2333" s="1"/>
      <c r="U2333" s="1"/>
      <c r="V2333" s="1"/>
      <c r="W2333" s="1"/>
      <c r="X2333" s="1"/>
      <c r="Y2333" s="1"/>
      <c r="Z2333" s="102"/>
      <c r="AA2333" s="102"/>
      <c r="AB2333" s="1"/>
      <c r="AC2333" s="1"/>
      <c r="AD2333" s="1"/>
      <c r="AE2333" s="1"/>
      <c r="AF2333" s="1"/>
      <c r="AG2333" s="1"/>
    </row>
    <row r="2334" ht="15.75" customHeight="1">
      <c r="A2334" s="1"/>
      <c r="B2334" s="1"/>
      <c r="C2334" s="1"/>
      <c r="D2334" s="1"/>
      <c r="E2334" s="1"/>
      <c r="F2334" s="1"/>
      <c r="G2334" s="1"/>
      <c r="H2334" s="1"/>
      <c r="I2334" s="1"/>
      <c r="J2334" s="1"/>
      <c r="K2334" s="102" t="s">
        <v>4289</v>
      </c>
      <c r="L2334" s="102" t="str">
        <f>L68</f>
        <v>J1a2a1a2d2b2~</v>
      </c>
      <c r="M2334" s="102" t="s">
        <v>4290</v>
      </c>
      <c r="N2334" s="102" t="s">
        <v>4286</v>
      </c>
      <c r="O2334" s="105">
        <v>1.4263127E7</v>
      </c>
      <c r="P2334" s="105">
        <v>1.2142421E7</v>
      </c>
      <c r="Q2334" s="102" t="s">
        <v>2446</v>
      </c>
      <c r="S2334" s="1"/>
      <c r="T2334" s="1"/>
      <c r="U2334" s="1"/>
      <c r="V2334" s="1"/>
      <c r="W2334" s="1"/>
      <c r="X2334" s="1"/>
      <c r="Y2334" s="1"/>
      <c r="Z2334" s="102"/>
      <c r="AA2334" s="102"/>
      <c r="AB2334" s="1"/>
      <c r="AC2334" s="1"/>
      <c r="AD2334" s="1"/>
      <c r="AE2334" s="1"/>
      <c r="AF2334" s="1"/>
      <c r="AG2334" s="1"/>
    </row>
    <row r="2335" ht="15.75" customHeight="1">
      <c r="A2335" s="1"/>
      <c r="B2335" s="1"/>
      <c r="C2335" s="1"/>
      <c r="D2335" s="1"/>
      <c r="E2335" s="1"/>
      <c r="F2335" s="1"/>
      <c r="G2335" s="1"/>
      <c r="H2335" s="1"/>
      <c r="I2335" s="1"/>
      <c r="J2335" s="1"/>
      <c r="K2335" s="102" t="s">
        <v>4291</v>
      </c>
      <c r="L2335" s="102" t="str">
        <f>L68</f>
        <v>J1a2a1a2d2b2~</v>
      </c>
      <c r="M2335" s="102"/>
      <c r="N2335" s="102" t="s">
        <v>4292</v>
      </c>
      <c r="O2335" s="105">
        <v>8149244.0</v>
      </c>
      <c r="P2335" s="105">
        <v>8281203.0</v>
      </c>
      <c r="Q2335" s="102" t="s">
        <v>2468</v>
      </c>
      <c r="S2335" s="1"/>
      <c r="T2335" s="1"/>
      <c r="U2335" s="1"/>
      <c r="V2335" s="1"/>
      <c r="W2335" s="1"/>
      <c r="X2335" s="1"/>
      <c r="Y2335" s="1"/>
      <c r="Z2335" s="102"/>
      <c r="AA2335" s="102"/>
      <c r="AB2335" s="1"/>
      <c r="AC2335" s="1"/>
      <c r="AD2335" s="1"/>
      <c r="AE2335" s="1"/>
      <c r="AF2335" s="1"/>
      <c r="AG2335" s="1"/>
    </row>
    <row r="2336" ht="15.75" customHeight="1">
      <c r="A2336" s="1"/>
      <c r="B2336" s="1"/>
      <c r="C2336" s="1"/>
      <c r="D2336" s="1"/>
      <c r="E2336" s="1"/>
      <c r="F2336" s="1"/>
      <c r="G2336" s="1"/>
      <c r="H2336" s="1"/>
      <c r="I2336" s="1"/>
      <c r="J2336" s="1"/>
      <c r="K2336" s="102" t="s">
        <v>4293</v>
      </c>
      <c r="L2336" s="102" t="str">
        <f>L68</f>
        <v>J1a2a1a2d2b2~</v>
      </c>
      <c r="M2336" s="102"/>
      <c r="N2336" s="102" t="s">
        <v>4294</v>
      </c>
      <c r="O2336" s="105">
        <v>1.3675298E7</v>
      </c>
      <c r="P2336" s="105">
        <v>1.1519622E7</v>
      </c>
      <c r="Q2336" s="102" t="s">
        <v>2439</v>
      </c>
      <c r="S2336" s="1"/>
      <c r="T2336" s="1"/>
      <c r="U2336" s="1"/>
      <c r="V2336" s="1"/>
      <c r="W2336" s="1"/>
      <c r="X2336" s="1"/>
      <c r="Y2336" s="1"/>
      <c r="Z2336" s="102"/>
      <c r="AA2336" s="102"/>
      <c r="AB2336" s="1"/>
      <c r="AC2336" s="1"/>
      <c r="AD2336" s="1"/>
      <c r="AE2336" s="1"/>
      <c r="AF2336" s="1"/>
      <c r="AG2336" s="1"/>
    </row>
    <row r="2337" ht="15.75" customHeight="1">
      <c r="A2337" s="1"/>
      <c r="B2337" s="1"/>
      <c r="C2337" s="1"/>
      <c r="D2337" s="1"/>
      <c r="E2337" s="1"/>
      <c r="F2337" s="1"/>
      <c r="G2337" s="1"/>
      <c r="H2337" s="1"/>
      <c r="I2337" s="1"/>
      <c r="J2337" s="1"/>
      <c r="K2337" s="102" t="s">
        <v>4295</v>
      </c>
      <c r="L2337" s="102" t="str">
        <f>L68</f>
        <v>J1a2a1a2d2b2~</v>
      </c>
      <c r="M2337" s="102" t="s">
        <v>4296</v>
      </c>
      <c r="N2337" s="102" t="s">
        <v>4297</v>
      </c>
      <c r="O2337" s="105">
        <v>7713892.0</v>
      </c>
      <c r="P2337" s="105">
        <v>7845851.0</v>
      </c>
      <c r="Q2337" s="102" t="s">
        <v>2468</v>
      </c>
      <c r="S2337" s="1"/>
      <c r="T2337" s="1"/>
      <c r="U2337" s="1"/>
      <c r="V2337" s="1"/>
      <c r="W2337" s="1"/>
      <c r="X2337" s="1"/>
      <c r="Y2337" s="1"/>
      <c r="Z2337" s="102"/>
      <c r="AA2337" s="102"/>
      <c r="AB2337" s="1"/>
      <c r="AC2337" s="1"/>
      <c r="AD2337" s="1"/>
      <c r="AE2337" s="1"/>
      <c r="AF2337" s="1"/>
      <c r="AG2337" s="1"/>
    </row>
    <row r="2338" ht="15.75" customHeight="1">
      <c r="A2338" s="1"/>
      <c r="B2338" s="1"/>
      <c r="C2338" s="1"/>
      <c r="D2338" s="1"/>
      <c r="E2338" s="1"/>
      <c r="F2338" s="1"/>
      <c r="G2338" s="1"/>
      <c r="H2338" s="1"/>
      <c r="I2338" s="1"/>
      <c r="J2338" s="1"/>
      <c r="K2338" s="102" t="s">
        <v>4298</v>
      </c>
      <c r="L2338" s="102" t="str">
        <f>L68</f>
        <v>J1a2a1a2d2b2~</v>
      </c>
      <c r="M2338" s="102" t="s">
        <v>4299</v>
      </c>
      <c r="N2338" s="102" t="s">
        <v>4297</v>
      </c>
      <c r="O2338" s="105">
        <v>7713892.0</v>
      </c>
      <c r="P2338" s="105">
        <v>7845851.0</v>
      </c>
      <c r="Q2338" s="102" t="s">
        <v>2468</v>
      </c>
      <c r="S2338" s="1"/>
      <c r="T2338" s="1"/>
      <c r="U2338" s="1"/>
      <c r="V2338" s="1"/>
      <c r="W2338" s="1"/>
      <c r="X2338" s="1"/>
      <c r="Y2338" s="1"/>
      <c r="Z2338" s="102"/>
      <c r="AA2338" s="102"/>
      <c r="AB2338" s="1"/>
      <c r="AC2338" s="1"/>
      <c r="AD2338" s="1"/>
      <c r="AE2338" s="1"/>
      <c r="AF2338" s="1"/>
      <c r="AG2338" s="1"/>
    </row>
    <row r="2339" ht="15.75" customHeight="1">
      <c r="A2339" s="1"/>
      <c r="B2339" s="1"/>
      <c r="C2339" s="1"/>
      <c r="D2339" s="1"/>
      <c r="E2339" s="1"/>
      <c r="F2339" s="1"/>
      <c r="G2339" s="1"/>
      <c r="H2339" s="1"/>
      <c r="I2339" s="1"/>
      <c r="J2339" s="1"/>
      <c r="K2339" s="102" t="s">
        <v>4300</v>
      </c>
      <c r="L2339" s="102" t="str">
        <f>L68</f>
        <v>J1a2a1a2d2b2~</v>
      </c>
      <c r="M2339" s="102" t="s">
        <v>4301</v>
      </c>
      <c r="N2339" s="102" t="s">
        <v>4297</v>
      </c>
      <c r="O2339" s="105">
        <v>7713892.0</v>
      </c>
      <c r="P2339" s="105">
        <v>7845851.0</v>
      </c>
      <c r="Q2339" s="102" t="s">
        <v>2468</v>
      </c>
      <c r="S2339" s="1"/>
      <c r="T2339" s="1"/>
      <c r="U2339" s="1"/>
      <c r="V2339" s="1"/>
      <c r="W2339" s="1"/>
      <c r="X2339" s="1"/>
      <c r="Y2339" s="1"/>
      <c r="Z2339" s="102"/>
      <c r="AA2339" s="102"/>
      <c r="AB2339" s="1"/>
      <c r="AC2339" s="1"/>
      <c r="AD2339" s="1"/>
      <c r="AE2339" s="1"/>
      <c r="AF2339" s="1"/>
      <c r="AG2339" s="1"/>
    </row>
    <row r="2340" ht="15.75" customHeight="1">
      <c r="A2340" s="1"/>
      <c r="B2340" s="1"/>
      <c r="C2340" s="1"/>
      <c r="D2340" s="1"/>
      <c r="E2340" s="1"/>
      <c r="F2340" s="1"/>
      <c r="G2340" s="1"/>
      <c r="H2340" s="1"/>
      <c r="I2340" s="1"/>
      <c r="J2340" s="1"/>
      <c r="K2340" s="102" t="s">
        <v>4302</v>
      </c>
      <c r="L2340" s="102" t="str">
        <f>L68</f>
        <v>J1a2a1a2d2b2~</v>
      </c>
      <c r="M2340" s="102" t="s">
        <v>4303</v>
      </c>
      <c r="N2340" s="102" t="s">
        <v>4304</v>
      </c>
      <c r="O2340" s="105">
        <v>8456991.0</v>
      </c>
      <c r="P2340" s="105">
        <v>8588950.0</v>
      </c>
      <c r="Q2340" s="102" t="s">
        <v>2576</v>
      </c>
      <c r="S2340" s="1"/>
      <c r="T2340" s="1"/>
      <c r="U2340" s="1"/>
      <c r="V2340" s="1"/>
      <c r="W2340" s="1"/>
      <c r="X2340" s="1"/>
      <c r="Y2340" s="1"/>
      <c r="Z2340" s="102"/>
      <c r="AA2340" s="102"/>
      <c r="AB2340" s="1"/>
      <c r="AC2340" s="1"/>
      <c r="AD2340" s="1"/>
      <c r="AE2340" s="1"/>
      <c r="AF2340" s="1"/>
      <c r="AG2340" s="1"/>
    </row>
    <row r="2341" ht="15.75" customHeight="1">
      <c r="A2341" s="1"/>
      <c r="B2341" s="1"/>
      <c r="C2341" s="1"/>
      <c r="D2341" s="1"/>
      <c r="E2341" s="1"/>
      <c r="F2341" s="1"/>
      <c r="G2341" s="1"/>
      <c r="H2341" s="1"/>
      <c r="I2341" s="1"/>
      <c r="J2341" s="1"/>
      <c r="K2341" s="102" t="s">
        <v>4303</v>
      </c>
      <c r="L2341" s="102" t="str">
        <f>L68</f>
        <v>J1a2a1a2d2b2~</v>
      </c>
      <c r="M2341" s="102" t="s">
        <v>4302</v>
      </c>
      <c r="N2341" s="102" t="s">
        <v>4304</v>
      </c>
      <c r="O2341" s="105">
        <v>8456991.0</v>
      </c>
      <c r="P2341" s="105">
        <v>8588950.0</v>
      </c>
      <c r="Q2341" s="102" t="s">
        <v>2576</v>
      </c>
      <c r="S2341" s="1"/>
      <c r="T2341" s="1"/>
      <c r="U2341" s="1"/>
      <c r="V2341" s="1"/>
      <c r="W2341" s="1"/>
      <c r="X2341" s="1"/>
      <c r="Y2341" s="1"/>
      <c r="Z2341" s="102"/>
      <c r="AA2341" s="102"/>
      <c r="AB2341" s="1"/>
      <c r="AC2341" s="1"/>
      <c r="AD2341" s="1"/>
      <c r="AE2341" s="1"/>
      <c r="AF2341" s="1"/>
      <c r="AG2341" s="1"/>
    </row>
    <row r="2342" ht="15.75" customHeight="1">
      <c r="A2342" s="1"/>
      <c r="B2342" s="1"/>
      <c r="C2342" s="1"/>
      <c r="D2342" s="1"/>
      <c r="E2342" s="1"/>
      <c r="F2342" s="1"/>
      <c r="G2342" s="1"/>
      <c r="H2342" s="1"/>
      <c r="I2342" s="1"/>
      <c r="J2342" s="1"/>
      <c r="K2342" s="102" t="s">
        <v>4305</v>
      </c>
      <c r="L2342" s="102" t="str">
        <f>L68</f>
        <v>J1a2a1a2d2b2~</v>
      </c>
      <c r="M2342" s="102" t="s">
        <v>4306</v>
      </c>
      <c r="N2342" s="102" t="s">
        <v>4307</v>
      </c>
      <c r="O2342" s="105">
        <v>2.1425521E7</v>
      </c>
      <c r="P2342" s="105">
        <v>1.9263635E7</v>
      </c>
      <c r="Q2342" s="102" t="s">
        <v>2533</v>
      </c>
      <c r="S2342" s="1"/>
      <c r="T2342" s="1"/>
      <c r="U2342" s="1"/>
      <c r="V2342" s="1"/>
      <c r="W2342" s="1"/>
      <c r="X2342" s="1"/>
      <c r="Y2342" s="1"/>
      <c r="Z2342" s="102"/>
      <c r="AA2342" s="102"/>
      <c r="AB2342" s="1"/>
      <c r="AC2342" s="1"/>
      <c r="AD2342" s="1"/>
      <c r="AE2342" s="1"/>
      <c r="AF2342" s="1"/>
      <c r="AG2342" s="1"/>
    </row>
    <row r="2343" ht="15.75" customHeight="1">
      <c r="A2343" s="1"/>
      <c r="B2343" s="1"/>
      <c r="C2343" s="1"/>
      <c r="D2343" s="1"/>
      <c r="E2343" s="1"/>
      <c r="F2343" s="1"/>
      <c r="G2343" s="1"/>
      <c r="H2343" s="1"/>
      <c r="I2343" s="1"/>
      <c r="J2343" s="1"/>
      <c r="K2343" s="102" t="s">
        <v>4306</v>
      </c>
      <c r="L2343" s="102" t="str">
        <f>L68</f>
        <v>J1a2a1a2d2b2~</v>
      </c>
      <c r="M2343" s="102" t="s">
        <v>4305</v>
      </c>
      <c r="N2343" s="102" t="s">
        <v>4307</v>
      </c>
      <c r="O2343" s="105">
        <v>2.1425521E7</v>
      </c>
      <c r="P2343" s="105">
        <v>1.9263635E7</v>
      </c>
      <c r="Q2343" s="102" t="s">
        <v>2533</v>
      </c>
      <c r="S2343" s="1"/>
      <c r="T2343" s="1"/>
      <c r="U2343" s="1"/>
      <c r="V2343" s="1"/>
      <c r="W2343" s="1"/>
      <c r="X2343" s="1"/>
      <c r="Y2343" s="1"/>
      <c r="Z2343" s="102"/>
      <c r="AA2343" s="102"/>
      <c r="AB2343" s="1"/>
      <c r="AC2343" s="1"/>
      <c r="AD2343" s="1"/>
      <c r="AE2343" s="1"/>
      <c r="AF2343" s="1"/>
      <c r="AG2343" s="1"/>
    </row>
    <row r="2344" ht="15.75" customHeight="1">
      <c r="A2344" s="1"/>
      <c r="B2344" s="1"/>
      <c r="C2344" s="1"/>
      <c r="D2344" s="1"/>
      <c r="E2344" s="1"/>
      <c r="F2344" s="1"/>
      <c r="G2344" s="1"/>
      <c r="H2344" s="1"/>
      <c r="I2344" s="1"/>
      <c r="J2344" s="1"/>
      <c r="K2344" s="102" t="s">
        <v>4308</v>
      </c>
      <c r="L2344" s="102" t="str">
        <f>M69</f>
        <v>J1a2a1a2d2b2a~</v>
      </c>
      <c r="M2344" s="102" t="s">
        <v>4309</v>
      </c>
      <c r="N2344" s="102" t="s">
        <v>4310</v>
      </c>
      <c r="O2344" s="105">
        <v>1.5894731E7</v>
      </c>
      <c r="P2344" s="105">
        <v>1.3782851E7</v>
      </c>
      <c r="Q2344" s="102" t="s">
        <v>2454</v>
      </c>
      <c r="S2344" s="1"/>
      <c r="T2344" s="1"/>
      <c r="U2344" s="1"/>
      <c r="V2344" s="1"/>
      <c r="W2344" s="1"/>
      <c r="X2344" s="1"/>
      <c r="Y2344" s="1"/>
      <c r="Z2344" s="102"/>
      <c r="AA2344" s="102"/>
      <c r="AB2344" s="1"/>
      <c r="AC2344" s="1"/>
      <c r="AD2344" s="1"/>
      <c r="AE2344" s="1"/>
      <c r="AF2344" s="1"/>
      <c r="AG2344" s="1"/>
    </row>
    <row r="2345" ht="15.75" customHeight="1">
      <c r="A2345" s="1"/>
      <c r="B2345" s="1"/>
      <c r="C2345" s="1"/>
      <c r="D2345" s="1"/>
      <c r="E2345" s="1"/>
      <c r="F2345" s="1"/>
      <c r="G2345" s="1"/>
      <c r="H2345" s="1"/>
      <c r="I2345" s="1"/>
      <c r="J2345" s="1"/>
      <c r="K2345" s="102" t="s">
        <v>4309</v>
      </c>
      <c r="L2345" s="102" t="str">
        <f>M69</f>
        <v>J1a2a1a2d2b2a~</v>
      </c>
      <c r="M2345" s="102" t="s">
        <v>4308</v>
      </c>
      <c r="N2345" s="102" t="s">
        <v>4310</v>
      </c>
      <c r="O2345" s="105">
        <v>1.5894731E7</v>
      </c>
      <c r="P2345" s="105">
        <v>1.3782851E7</v>
      </c>
      <c r="Q2345" s="102" t="s">
        <v>2454</v>
      </c>
      <c r="S2345" s="1"/>
      <c r="T2345" s="1"/>
      <c r="U2345" s="1"/>
      <c r="V2345" s="1"/>
      <c r="W2345" s="1"/>
      <c r="X2345" s="1"/>
      <c r="Y2345" s="1"/>
      <c r="Z2345" s="102"/>
      <c r="AA2345" s="102"/>
      <c r="AB2345" s="1"/>
      <c r="AC2345" s="1"/>
      <c r="AD2345" s="1"/>
      <c r="AE2345" s="1"/>
      <c r="AF2345" s="1"/>
      <c r="AG2345" s="1"/>
    </row>
    <row r="2346" ht="15.75" customHeight="1">
      <c r="A2346" s="1"/>
      <c r="B2346" s="1"/>
      <c r="C2346" s="1"/>
      <c r="D2346" s="1"/>
      <c r="E2346" s="1"/>
      <c r="F2346" s="1"/>
      <c r="G2346" s="1"/>
      <c r="H2346" s="1"/>
      <c r="I2346" s="1"/>
      <c r="J2346" s="1"/>
      <c r="K2346" s="102" t="s">
        <v>4311</v>
      </c>
      <c r="L2346" s="102" t="str">
        <f>M69</f>
        <v>J1a2a1a2d2b2a~</v>
      </c>
      <c r="M2346" s="102" t="s">
        <v>4312</v>
      </c>
      <c r="N2346" s="102" t="s">
        <v>4313</v>
      </c>
      <c r="O2346" s="105">
        <v>2.3186875E7</v>
      </c>
      <c r="P2346" s="105">
        <v>2.1024989E7</v>
      </c>
      <c r="Q2346" s="102" t="s">
        <v>2454</v>
      </c>
      <c r="S2346" s="1"/>
      <c r="T2346" s="1"/>
      <c r="U2346" s="1"/>
      <c r="V2346" s="1"/>
      <c r="W2346" s="1"/>
      <c r="X2346" s="1"/>
      <c r="Y2346" s="1"/>
      <c r="Z2346" s="102"/>
      <c r="AA2346" s="102"/>
      <c r="AB2346" s="1"/>
      <c r="AC2346" s="1"/>
      <c r="AD2346" s="1"/>
      <c r="AE2346" s="1"/>
      <c r="AF2346" s="1"/>
      <c r="AG2346" s="1"/>
    </row>
    <row r="2347" ht="15.75" customHeight="1">
      <c r="A2347" s="1"/>
      <c r="B2347" s="1"/>
      <c r="C2347" s="1"/>
      <c r="D2347" s="1"/>
      <c r="E2347" s="1"/>
      <c r="F2347" s="1"/>
      <c r="G2347" s="1"/>
      <c r="H2347" s="1"/>
      <c r="I2347" s="1"/>
      <c r="J2347" s="1"/>
      <c r="K2347" s="102" t="s">
        <v>4314</v>
      </c>
      <c r="L2347" s="102" t="str">
        <f>M69</f>
        <v>J1a2a1a2d2b2a~</v>
      </c>
      <c r="M2347" s="102" t="s">
        <v>4315</v>
      </c>
      <c r="N2347" s="102" t="s">
        <v>4313</v>
      </c>
      <c r="O2347" s="105">
        <v>2.3186875E7</v>
      </c>
      <c r="P2347" s="105">
        <v>2.1024989E7</v>
      </c>
      <c r="Q2347" s="102" t="s">
        <v>2454</v>
      </c>
      <c r="S2347" s="1"/>
      <c r="T2347" s="1"/>
      <c r="U2347" s="1"/>
      <c r="V2347" s="1"/>
      <c r="W2347" s="1"/>
      <c r="X2347" s="1"/>
      <c r="Y2347" s="1"/>
      <c r="Z2347" s="102"/>
      <c r="AA2347" s="102"/>
      <c r="AB2347" s="1"/>
      <c r="AC2347" s="1"/>
      <c r="AD2347" s="1"/>
      <c r="AE2347" s="1"/>
      <c r="AF2347" s="1"/>
      <c r="AG2347" s="1"/>
    </row>
    <row r="2348" ht="15.75" customHeight="1">
      <c r="A2348" s="1"/>
      <c r="B2348" s="1"/>
      <c r="C2348" s="1"/>
      <c r="D2348" s="1"/>
      <c r="E2348" s="1"/>
      <c r="F2348" s="1"/>
      <c r="G2348" s="1"/>
      <c r="H2348" s="1"/>
      <c r="I2348" s="1"/>
      <c r="J2348" s="1"/>
      <c r="K2348" s="102" t="s">
        <v>4316</v>
      </c>
      <c r="L2348" s="102" t="str">
        <f>M69</f>
        <v>J1a2a1a2d2b2a~</v>
      </c>
      <c r="M2348" s="102" t="s">
        <v>4317</v>
      </c>
      <c r="N2348" s="102" t="s">
        <v>4313</v>
      </c>
      <c r="O2348" s="105">
        <v>2.3186875E7</v>
      </c>
      <c r="P2348" s="105">
        <v>2.1024989E7</v>
      </c>
      <c r="Q2348" s="102" t="s">
        <v>2454</v>
      </c>
      <c r="S2348" s="1"/>
      <c r="T2348" s="1"/>
      <c r="U2348" s="1"/>
      <c r="V2348" s="1"/>
      <c r="W2348" s="1"/>
      <c r="X2348" s="1"/>
      <c r="Y2348" s="1"/>
      <c r="Z2348" s="102"/>
      <c r="AA2348" s="102"/>
      <c r="AB2348" s="1"/>
      <c r="AC2348" s="1"/>
      <c r="AD2348" s="1"/>
      <c r="AE2348" s="1"/>
      <c r="AF2348" s="1"/>
      <c r="AG2348" s="1"/>
    </row>
    <row r="2349" ht="15.75" customHeight="1">
      <c r="A2349" s="1"/>
      <c r="B2349" s="1"/>
      <c r="C2349" s="1"/>
      <c r="D2349" s="1"/>
      <c r="E2349" s="1"/>
      <c r="F2349" s="1"/>
      <c r="G2349" s="1"/>
      <c r="H2349" s="1"/>
      <c r="I2349" s="1"/>
      <c r="J2349" s="1"/>
      <c r="K2349" s="102" t="s">
        <v>4318</v>
      </c>
      <c r="L2349" s="102" t="str">
        <f>M69</f>
        <v>J1a2a1a2d2b2a~</v>
      </c>
      <c r="M2349" s="102"/>
      <c r="N2349" s="102" t="s">
        <v>4319</v>
      </c>
      <c r="O2349" s="105">
        <v>1.7823404E7</v>
      </c>
      <c r="P2349" s="105">
        <v>1.5711524E7</v>
      </c>
      <c r="Q2349" s="102" t="s">
        <v>2529</v>
      </c>
      <c r="S2349" s="1"/>
      <c r="T2349" s="1"/>
      <c r="U2349" s="1"/>
      <c r="V2349" s="1"/>
      <c r="W2349" s="1"/>
      <c r="X2349" s="1"/>
      <c r="Y2349" s="1"/>
      <c r="Z2349" s="102"/>
      <c r="AA2349" s="102"/>
      <c r="AB2349" s="1"/>
      <c r="AC2349" s="1"/>
      <c r="AD2349" s="1"/>
      <c r="AE2349" s="1"/>
      <c r="AF2349" s="1"/>
      <c r="AG2349" s="1"/>
    </row>
    <row r="2350" ht="15.75" customHeight="1">
      <c r="A2350" s="1"/>
      <c r="B2350" s="1"/>
      <c r="C2350" s="1"/>
      <c r="D2350" s="1"/>
      <c r="E2350" s="1"/>
      <c r="F2350" s="1"/>
      <c r="G2350" s="1"/>
      <c r="H2350" s="1"/>
      <c r="I2350" s="1"/>
      <c r="J2350" s="1"/>
      <c r="K2350" s="102" t="s">
        <v>4320</v>
      </c>
      <c r="L2350" s="102" t="str">
        <f>N70</f>
        <v>J1a2a1a2d2b2a1~</v>
      </c>
      <c r="M2350" s="102" t="s">
        <v>4321</v>
      </c>
      <c r="N2350" s="102"/>
      <c r="O2350" s="105">
        <v>8523003.0</v>
      </c>
      <c r="P2350" s="105">
        <v>8654962.0</v>
      </c>
      <c r="Q2350" s="102" t="s">
        <v>2501</v>
      </c>
      <c r="S2350" s="1"/>
      <c r="T2350" s="1"/>
      <c r="U2350" s="1"/>
      <c r="V2350" s="1"/>
      <c r="W2350" s="1"/>
      <c r="X2350" s="1"/>
      <c r="Y2350" s="1"/>
      <c r="Z2350" s="102"/>
      <c r="AA2350" s="102"/>
      <c r="AB2350" s="1"/>
      <c r="AC2350" s="1"/>
      <c r="AD2350" s="1"/>
      <c r="AE2350" s="1"/>
      <c r="AF2350" s="1"/>
      <c r="AG2350" s="1"/>
    </row>
    <row r="2351" ht="15.75" customHeight="1">
      <c r="A2351" s="1"/>
      <c r="B2351" s="1"/>
      <c r="C2351" s="1"/>
      <c r="D2351" s="1"/>
      <c r="E2351" s="1"/>
      <c r="F2351" s="1"/>
      <c r="G2351" s="1"/>
      <c r="H2351" s="1"/>
      <c r="I2351" s="1"/>
      <c r="J2351" s="1"/>
      <c r="K2351" s="102" t="s">
        <v>4321</v>
      </c>
      <c r="L2351" s="102" t="str">
        <f>N70</f>
        <v>J1a2a1a2d2b2a1~</v>
      </c>
      <c r="M2351" s="102" t="s">
        <v>4320</v>
      </c>
      <c r="N2351" s="102"/>
      <c r="O2351" s="105">
        <v>8523003.0</v>
      </c>
      <c r="P2351" s="105">
        <v>8654962.0</v>
      </c>
      <c r="Q2351" s="102" t="s">
        <v>2501</v>
      </c>
      <c r="S2351" s="1"/>
      <c r="T2351" s="1"/>
      <c r="U2351" s="1"/>
      <c r="V2351" s="1"/>
      <c r="W2351" s="1"/>
      <c r="X2351" s="1"/>
      <c r="Y2351" s="1"/>
      <c r="Z2351" s="102"/>
      <c r="AA2351" s="102"/>
      <c r="AB2351" s="1"/>
      <c r="AC2351" s="1"/>
      <c r="AD2351" s="1"/>
      <c r="AE2351" s="1"/>
      <c r="AF2351" s="1"/>
      <c r="AG2351" s="1"/>
    </row>
    <row r="2352" ht="15.75" customHeight="1">
      <c r="A2352" s="1"/>
      <c r="B2352" s="1"/>
      <c r="C2352" s="1"/>
      <c r="D2352" s="1"/>
      <c r="E2352" s="1"/>
      <c r="F2352" s="1"/>
      <c r="G2352" s="1"/>
      <c r="H2352" s="1"/>
      <c r="I2352" s="1"/>
      <c r="J2352" s="1"/>
      <c r="K2352" s="102" t="s">
        <v>4322</v>
      </c>
      <c r="L2352" s="102" t="str">
        <f>N70</f>
        <v>J1a2a1a2d2b2a1~</v>
      </c>
      <c r="M2352" s="102" t="s">
        <v>4323</v>
      </c>
      <c r="N2352" s="102" t="s">
        <v>4324</v>
      </c>
      <c r="O2352" s="105">
        <v>1.5155318E7</v>
      </c>
      <c r="P2352" s="105">
        <v>1.3043405E7</v>
      </c>
      <c r="Q2352" s="102" t="s">
        <v>2432</v>
      </c>
      <c r="S2352" s="1"/>
      <c r="T2352" s="1"/>
      <c r="U2352" s="1"/>
      <c r="V2352" s="1"/>
      <c r="W2352" s="1"/>
      <c r="X2352" s="1"/>
      <c r="Y2352" s="1"/>
      <c r="Z2352" s="102"/>
      <c r="AA2352" s="102"/>
      <c r="AB2352" s="1"/>
      <c r="AC2352" s="1"/>
      <c r="AD2352" s="1"/>
      <c r="AE2352" s="1"/>
      <c r="AF2352" s="1"/>
      <c r="AG2352" s="1"/>
    </row>
    <row r="2353" ht="15.75" customHeight="1">
      <c r="A2353" s="1"/>
      <c r="B2353" s="1"/>
      <c r="C2353" s="1"/>
      <c r="D2353" s="1"/>
      <c r="E2353" s="1"/>
      <c r="F2353" s="1"/>
      <c r="G2353" s="1"/>
      <c r="H2353" s="1"/>
      <c r="I2353" s="1"/>
      <c r="J2353" s="1"/>
      <c r="K2353" s="102" t="s">
        <v>4323</v>
      </c>
      <c r="L2353" s="102" t="str">
        <f>N70</f>
        <v>J1a2a1a2d2b2a1~</v>
      </c>
      <c r="M2353" s="102" t="s">
        <v>4322</v>
      </c>
      <c r="N2353" s="102" t="s">
        <v>4324</v>
      </c>
      <c r="O2353" s="105">
        <v>1.5155318E7</v>
      </c>
      <c r="P2353" s="105">
        <v>1.3043405E7</v>
      </c>
      <c r="Q2353" s="102" t="s">
        <v>2432</v>
      </c>
      <c r="S2353" s="1"/>
      <c r="T2353" s="1"/>
      <c r="U2353" s="1"/>
      <c r="V2353" s="1"/>
      <c r="W2353" s="1"/>
      <c r="X2353" s="1"/>
      <c r="Y2353" s="1"/>
      <c r="Z2353" s="102"/>
      <c r="AA2353" s="102"/>
      <c r="AB2353" s="1"/>
      <c r="AC2353" s="1"/>
      <c r="AD2353" s="1"/>
      <c r="AE2353" s="1"/>
      <c r="AF2353" s="1"/>
      <c r="AG2353" s="1"/>
    </row>
    <row r="2354" ht="15.75" customHeight="1">
      <c r="A2354" s="1"/>
      <c r="B2354" s="1"/>
      <c r="C2354" s="1"/>
      <c r="D2354" s="1"/>
      <c r="E2354" s="1"/>
      <c r="F2354" s="1"/>
      <c r="G2354" s="1"/>
      <c r="H2354" s="1"/>
      <c r="I2354" s="1"/>
      <c r="J2354" s="1"/>
      <c r="K2354" s="102" t="s">
        <v>4325</v>
      </c>
      <c r="L2354" s="102" t="str">
        <f>N70</f>
        <v>J1a2a1a2d2b2a1~</v>
      </c>
      <c r="M2354" s="102" t="s">
        <v>4326</v>
      </c>
      <c r="N2354" s="102" t="s">
        <v>4327</v>
      </c>
      <c r="O2354" s="105">
        <v>1.5925533E7</v>
      </c>
      <c r="P2354" s="105">
        <v>1.3813653E7</v>
      </c>
      <c r="Q2354" s="102" t="s">
        <v>2514</v>
      </c>
      <c r="S2354" s="1"/>
      <c r="T2354" s="1"/>
      <c r="U2354" s="1"/>
      <c r="V2354" s="1"/>
      <c r="W2354" s="1"/>
      <c r="X2354" s="1"/>
      <c r="Y2354" s="1"/>
      <c r="Z2354" s="102"/>
      <c r="AA2354" s="102"/>
      <c r="AB2354" s="1"/>
      <c r="AC2354" s="1"/>
      <c r="AD2354" s="1"/>
      <c r="AE2354" s="1"/>
      <c r="AF2354" s="1"/>
      <c r="AG2354" s="1"/>
    </row>
    <row r="2355" ht="15.75" customHeight="1">
      <c r="A2355" s="1"/>
      <c r="B2355" s="1"/>
      <c r="C2355" s="1"/>
      <c r="D2355" s="1"/>
      <c r="E2355" s="1"/>
      <c r="F2355" s="1"/>
      <c r="G2355" s="1"/>
      <c r="H2355" s="1"/>
      <c r="I2355" s="1"/>
      <c r="J2355" s="1"/>
      <c r="K2355" s="102" t="s">
        <v>4326</v>
      </c>
      <c r="L2355" s="102" t="str">
        <f>N70</f>
        <v>J1a2a1a2d2b2a1~</v>
      </c>
      <c r="M2355" s="102" t="s">
        <v>4325</v>
      </c>
      <c r="N2355" s="102" t="s">
        <v>4327</v>
      </c>
      <c r="O2355" s="105">
        <v>1.5925533E7</v>
      </c>
      <c r="P2355" s="105">
        <v>1.3813653E7</v>
      </c>
      <c r="Q2355" s="102" t="s">
        <v>2514</v>
      </c>
      <c r="S2355" s="1"/>
      <c r="T2355" s="1"/>
      <c r="U2355" s="1"/>
      <c r="V2355" s="1"/>
      <c r="W2355" s="1"/>
      <c r="X2355" s="1"/>
      <c r="Y2355" s="1"/>
      <c r="Z2355" s="102"/>
      <c r="AA2355" s="102"/>
      <c r="AB2355" s="1"/>
      <c r="AC2355" s="1"/>
      <c r="AD2355" s="1"/>
      <c r="AE2355" s="1"/>
      <c r="AF2355" s="1"/>
      <c r="AG2355" s="1"/>
    </row>
    <row r="2356" ht="15.75" customHeight="1">
      <c r="A2356" s="1"/>
      <c r="B2356" s="1"/>
      <c r="C2356" s="1"/>
      <c r="D2356" s="1"/>
      <c r="E2356" s="1"/>
      <c r="F2356" s="1"/>
      <c r="G2356" s="1"/>
      <c r="H2356" s="1"/>
      <c r="I2356" s="1"/>
      <c r="J2356" s="1"/>
      <c r="K2356" s="102" t="s">
        <v>4328</v>
      </c>
      <c r="L2356" s="102" t="str">
        <f>N70</f>
        <v>J1a2a1a2d2b2a1~</v>
      </c>
      <c r="M2356" s="102"/>
      <c r="N2356" s="102" t="s">
        <v>4329</v>
      </c>
      <c r="O2356" s="105">
        <v>1.8931807E7</v>
      </c>
      <c r="P2356" s="105">
        <v>1.6819927E7</v>
      </c>
      <c r="Q2356" s="102" t="s">
        <v>2533</v>
      </c>
      <c r="S2356" s="1"/>
      <c r="T2356" s="1"/>
      <c r="U2356" s="1"/>
      <c r="V2356" s="1"/>
      <c r="W2356" s="1"/>
      <c r="X2356" s="1"/>
      <c r="Y2356" s="1"/>
      <c r="Z2356" s="102"/>
      <c r="AA2356" s="102"/>
      <c r="AB2356" s="1"/>
      <c r="AC2356" s="1"/>
      <c r="AD2356" s="1"/>
      <c r="AE2356" s="1"/>
      <c r="AF2356" s="1"/>
      <c r="AG2356" s="1"/>
    </row>
    <row r="2357" ht="15.75" customHeight="1">
      <c r="A2357" s="1"/>
      <c r="B2357" s="1"/>
      <c r="C2357" s="1"/>
      <c r="D2357" s="1"/>
      <c r="E2357" s="1"/>
      <c r="F2357" s="1"/>
      <c r="G2357" s="1"/>
      <c r="H2357" s="1"/>
      <c r="I2357" s="1"/>
      <c r="J2357" s="1"/>
      <c r="K2357" s="102" t="s">
        <v>4330</v>
      </c>
      <c r="L2357" s="102" t="str">
        <f>O71</f>
        <v>J1a2a1a2d2b2a1a~</v>
      </c>
      <c r="M2357" s="102" t="s">
        <v>4331</v>
      </c>
      <c r="N2357" s="102" t="s">
        <v>4332</v>
      </c>
      <c r="O2357" s="105">
        <v>1.4402907E7</v>
      </c>
      <c r="P2357" s="105">
        <v>1.2282204E7</v>
      </c>
      <c r="Q2357" s="102" t="s">
        <v>2439</v>
      </c>
      <c r="S2357" s="1"/>
      <c r="T2357" s="1"/>
      <c r="U2357" s="1"/>
      <c r="V2357" s="1"/>
      <c r="W2357" s="1"/>
      <c r="X2357" s="1"/>
      <c r="Y2357" s="1"/>
      <c r="Z2357" s="102"/>
      <c r="AA2357" s="102"/>
      <c r="AB2357" s="1"/>
      <c r="AC2357" s="1"/>
      <c r="AD2357" s="1"/>
      <c r="AE2357" s="1"/>
      <c r="AF2357" s="1"/>
      <c r="AG2357" s="1"/>
    </row>
    <row r="2358" ht="15.75" customHeight="1">
      <c r="A2358" s="1"/>
      <c r="B2358" s="1"/>
      <c r="C2358" s="1"/>
      <c r="D2358" s="1"/>
      <c r="E2358" s="1"/>
      <c r="F2358" s="1"/>
      <c r="G2358" s="1"/>
      <c r="H2358" s="1"/>
      <c r="I2358" s="1"/>
      <c r="J2358" s="1"/>
      <c r="K2358" s="102" t="s">
        <v>4331</v>
      </c>
      <c r="L2358" s="102" t="str">
        <f>O71</f>
        <v>J1a2a1a2d2b2a1a~</v>
      </c>
      <c r="M2358" s="102" t="s">
        <v>4330</v>
      </c>
      <c r="N2358" s="102" t="s">
        <v>4332</v>
      </c>
      <c r="O2358" s="105">
        <v>1.4402907E7</v>
      </c>
      <c r="P2358" s="105">
        <v>1.2282204E7</v>
      </c>
      <c r="Q2358" s="102" t="s">
        <v>2439</v>
      </c>
      <c r="S2358" s="1"/>
      <c r="T2358" s="1"/>
      <c r="U2358" s="1"/>
      <c r="V2358" s="1"/>
      <c r="W2358" s="1"/>
      <c r="X2358" s="1"/>
      <c r="Y2358" s="1"/>
      <c r="Z2358" s="102"/>
      <c r="AA2358" s="102"/>
      <c r="AB2358" s="1"/>
      <c r="AC2358" s="1"/>
      <c r="AD2358" s="1"/>
      <c r="AE2358" s="1"/>
      <c r="AF2358" s="1"/>
      <c r="AG2358" s="1"/>
    </row>
    <row r="2359" ht="15.75" customHeight="1">
      <c r="A2359" s="1"/>
      <c r="B2359" s="1"/>
      <c r="C2359" s="1"/>
      <c r="D2359" s="1"/>
      <c r="E2359" s="1"/>
      <c r="F2359" s="1"/>
      <c r="G2359" s="1"/>
      <c r="H2359" s="1"/>
      <c r="I2359" s="1"/>
      <c r="J2359" s="1"/>
      <c r="K2359" s="102" t="s">
        <v>4333</v>
      </c>
      <c r="L2359" s="102" t="str">
        <f>O71</f>
        <v>J1a2a1a2d2b2a1a~</v>
      </c>
      <c r="M2359" s="102"/>
      <c r="N2359" s="102"/>
      <c r="O2359" s="105">
        <v>1.5986805E7</v>
      </c>
      <c r="P2359" s="105">
        <v>1.3874925E7</v>
      </c>
      <c r="Q2359" s="102" t="s">
        <v>2446</v>
      </c>
      <c r="S2359" s="1"/>
      <c r="T2359" s="1"/>
      <c r="U2359" s="1"/>
      <c r="V2359" s="1"/>
      <c r="W2359" s="1"/>
      <c r="X2359" s="1"/>
      <c r="Y2359" s="1"/>
      <c r="Z2359" s="102"/>
      <c r="AA2359" s="102"/>
      <c r="AB2359" s="1"/>
      <c r="AC2359" s="1"/>
      <c r="AD2359" s="1"/>
      <c r="AE2359" s="1"/>
      <c r="AF2359" s="1"/>
      <c r="AG2359" s="1"/>
    </row>
    <row r="2360" ht="15.75" customHeight="1">
      <c r="A2360" s="1"/>
      <c r="B2360" s="1"/>
      <c r="C2360" s="1"/>
      <c r="D2360" s="1"/>
      <c r="E2360" s="1"/>
      <c r="F2360" s="1"/>
      <c r="G2360" s="1"/>
      <c r="H2360" s="1"/>
      <c r="I2360" s="1"/>
      <c r="J2360" s="1"/>
      <c r="K2360" s="102" t="s">
        <v>4334</v>
      </c>
      <c r="L2360" s="102" t="str">
        <f>O71</f>
        <v>J1a2a1a2d2b2a1a~</v>
      </c>
      <c r="M2360" s="102" t="s">
        <v>4335</v>
      </c>
      <c r="N2360" s="102" t="s">
        <v>4336</v>
      </c>
      <c r="O2360" s="105">
        <v>1.784503E7</v>
      </c>
      <c r="P2360" s="105">
        <v>1.573315E7</v>
      </c>
      <c r="Q2360" s="102" t="s">
        <v>2563</v>
      </c>
      <c r="S2360" s="1"/>
      <c r="T2360" s="1"/>
      <c r="U2360" s="1"/>
      <c r="V2360" s="1"/>
      <c r="W2360" s="1"/>
      <c r="X2360" s="1"/>
      <c r="Y2360" s="1"/>
      <c r="Z2360" s="102"/>
      <c r="AA2360" s="102"/>
      <c r="AB2360" s="1"/>
      <c r="AC2360" s="1"/>
      <c r="AD2360" s="1"/>
      <c r="AE2360" s="1"/>
      <c r="AF2360" s="1"/>
      <c r="AG2360" s="1"/>
    </row>
    <row r="2361" ht="15.75" customHeight="1">
      <c r="A2361" s="1"/>
      <c r="B2361" s="1"/>
      <c r="C2361" s="1"/>
      <c r="D2361" s="1"/>
      <c r="E2361" s="1"/>
      <c r="F2361" s="1"/>
      <c r="G2361" s="1"/>
      <c r="H2361" s="1"/>
      <c r="I2361" s="1"/>
      <c r="J2361" s="1"/>
      <c r="K2361" s="102" t="s">
        <v>4335</v>
      </c>
      <c r="L2361" s="102" t="str">
        <f>O71</f>
        <v>J1a2a1a2d2b2a1a~</v>
      </c>
      <c r="M2361" s="102" t="s">
        <v>4334</v>
      </c>
      <c r="N2361" s="102" t="s">
        <v>4336</v>
      </c>
      <c r="O2361" s="105">
        <v>1.784503E7</v>
      </c>
      <c r="P2361" s="105">
        <v>1.573315E7</v>
      </c>
      <c r="Q2361" s="102" t="s">
        <v>2563</v>
      </c>
      <c r="S2361" s="1"/>
      <c r="T2361" s="1"/>
      <c r="U2361" s="1"/>
      <c r="V2361" s="1"/>
      <c r="W2361" s="1"/>
      <c r="X2361" s="1"/>
      <c r="Y2361" s="1"/>
      <c r="Z2361" s="102"/>
      <c r="AA2361" s="102"/>
      <c r="AB2361" s="1"/>
      <c r="AC2361" s="1"/>
      <c r="AD2361" s="1"/>
      <c r="AE2361" s="1"/>
      <c r="AF2361" s="1"/>
      <c r="AG2361" s="1"/>
    </row>
    <row r="2362" ht="15.75" customHeight="1">
      <c r="A2362" s="1"/>
      <c r="B2362" s="1"/>
      <c r="C2362" s="1"/>
      <c r="D2362" s="1"/>
      <c r="E2362" s="1"/>
      <c r="F2362" s="1"/>
      <c r="G2362" s="1"/>
      <c r="H2362" s="1"/>
      <c r="I2362" s="1"/>
      <c r="J2362" s="1"/>
      <c r="K2362" s="102" t="s">
        <v>4337</v>
      </c>
      <c r="L2362" s="102" t="str">
        <f>O71</f>
        <v>J1a2a1a2d2b2a1a~</v>
      </c>
      <c r="M2362" s="102" t="s">
        <v>4338</v>
      </c>
      <c r="N2362" s="102" t="s">
        <v>4339</v>
      </c>
      <c r="O2362" s="105">
        <v>1.8257258E7</v>
      </c>
      <c r="P2362" s="105">
        <v>1.6145378E7</v>
      </c>
      <c r="Q2362" s="102" t="s">
        <v>2529</v>
      </c>
      <c r="S2362" s="1"/>
      <c r="T2362" s="1"/>
      <c r="U2362" s="1"/>
      <c r="V2362" s="1"/>
      <c r="W2362" s="1"/>
      <c r="X2362" s="1"/>
      <c r="Y2362" s="1"/>
      <c r="Z2362" s="102"/>
      <c r="AA2362" s="102"/>
      <c r="AB2362" s="1"/>
      <c r="AC2362" s="1"/>
      <c r="AD2362" s="1"/>
      <c r="AE2362" s="1"/>
      <c r="AF2362" s="1"/>
      <c r="AG2362" s="1"/>
    </row>
    <row r="2363" ht="15.75" customHeight="1">
      <c r="A2363" s="1"/>
      <c r="B2363" s="1"/>
      <c r="C2363" s="1"/>
      <c r="D2363" s="1"/>
      <c r="E2363" s="1"/>
      <c r="F2363" s="1"/>
      <c r="G2363" s="1"/>
      <c r="H2363" s="1"/>
      <c r="I2363" s="1"/>
      <c r="J2363" s="1"/>
      <c r="K2363" s="102" t="s">
        <v>4338</v>
      </c>
      <c r="L2363" s="102" t="str">
        <f>O71</f>
        <v>J1a2a1a2d2b2a1a~</v>
      </c>
      <c r="M2363" s="102" t="s">
        <v>4337</v>
      </c>
      <c r="N2363" s="102" t="s">
        <v>4339</v>
      </c>
      <c r="O2363" s="105">
        <v>1.8257258E7</v>
      </c>
      <c r="P2363" s="105">
        <v>1.6145378E7</v>
      </c>
      <c r="Q2363" s="102" t="s">
        <v>2529</v>
      </c>
      <c r="S2363" s="1"/>
      <c r="T2363" s="1"/>
      <c r="U2363" s="1"/>
      <c r="V2363" s="1"/>
      <c r="W2363" s="1"/>
      <c r="X2363" s="1"/>
      <c r="Y2363" s="1"/>
      <c r="Z2363" s="102"/>
      <c r="AA2363" s="102"/>
      <c r="AB2363" s="1"/>
      <c r="AC2363" s="1"/>
      <c r="AD2363" s="1"/>
      <c r="AE2363" s="1"/>
      <c r="AF2363" s="1"/>
      <c r="AG2363" s="1"/>
    </row>
    <row r="2364" ht="15.75" customHeight="1">
      <c r="A2364" s="1"/>
      <c r="B2364" s="1"/>
      <c r="C2364" s="1"/>
      <c r="D2364" s="1"/>
      <c r="E2364" s="1"/>
      <c r="F2364" s="1"/>
      <c r="G2364" s="1"/>
      <c r="H2364" s="1"/>
      <c r="I2364" s="1"/>
      <c r="J2364" s="1"/>
      <c r="K2364" s="102" t="s">
        <v>4340</v>
      </c>
      <c r="L2364" s="102" t="str">
        <f>O71</f>
        <v>J1a2a1a2d2b2a1a~</v>
      </c>
      <c r="M2364" s="102" t="s">
        <v>4341</v>
      </c>
      <c r="N2364" s="102" t="s">
        <v>4342</v>
      </c>
      <c r="O2364" s="105">
        <v>2.1491774E7</v>
      </c>
      <c r="P2364" s="105">
        <v>1.9329888E7</v>
      </c>
      <c r="Q2364" s="102" t="s">
        <v>2446</v>
      </c>
      <c r="S2364" s="1"/>
      <c r="T2364" s="1"/>
      <c r="U2364" s="1"/>
      <c r="V2364" s="1"/>
      <c r="W2364" s="1"/>
      <c r="X2364" s="1"/>
      <c r="Y2364" s="1"/>
      <c r="Z2364" s="102"/>
      <c r="AA2364" s="102"/>
      <c r="AB2364" s="1"/>
      <c r="AC2364" s="1"/>
      <c r="AD2364" s="1"/>
      <c r="AE2364" s="1"/>
      <c r="AF2364" s="1"/>
      <c r="AG2364" s="1"/>
    </row>
    <row r="2365" ht="15.75" customHeight="1">
      <c r="A2365" s="1"/>
      <c r="B2365" s="1"/>
      <c r="C2365" s="1"/>
      <c r="D2365" s="1"/>
      <c r="E2365" s="1"/>
      <c r="F2365" s="1"/>
      <c r="G2365" s="1"/>
      <c r="H2365" s="1"/>
      <c r="I2365" s="1"/>
      <c r="J2365" s="1"/>
      <c r="K2365" s="102" t="s">
        <v>4341</v>
      </c>
      <c r="L2365" s="102" t="str">
        <f>O71</f>
        <v>J1a2a1a2d2b2a1a~</v>
      </c>
      <c r="M2365" s="102" t="s">
        <v>4340</v>
      </c>
      <c r="N2365" s="102" t="s">
        <v>4342</v>
      </c>
      <c r="O2365" s="105">
        <v>2.1491774E7</v>
      </c>
      <c r="P2365" s="105">
        <v>1.9329888E7</v>
      </c>
      <c r="Q2365" s="102" t="s">
        <v>2446</v>
      </c>
      <c r="S2365" s="1"/>
      <c r="T2365" s="1"/>
      <c r="U2365" s="1"/>
      <c r="V2365" s="1"/>
      <c r="W2365" s="1"/>
      <c r="X2365" s="1"/>
      <c r="Y2365" s="1"/>
      <c r="Z2365" s="102"/>
      <c r="AA2365" s="102"/>
      <c r="AB2365" s="1"/>
      <c r="AC2365" s="1"/>
      <c r="AD2365" s="1"/>
      <c r="AE2365" s="1"/>
      <c r="AF2365" s="1"/>
      <c r="AG2365" s="1"/>
    </row>
    <row r="2366" ht="15.75" customHeight="1">
      <c r="A2366" s="1"/>
      <c r="B2366" s="1"/>
      <c r="C2366" s="1"/>
      <c r="D2366" s="1"/>
      <c r="E2366" s="1"/>
      <c r="F2366" s="1"/>
      <c r="G2366" s="1"/>
      <c r="H2366" s="1"/>
      <c r="I2366" s="1"/>
      <c r="J2366" s="1"/>
      <c r="K2366" s="102" t="s">
        <v>4343</v>
      </c>
      <c r="L2366" s="102" t="str">
        <f>O71</f>
        <v>J1a2a1a2d2b2a1a~</v>
      </c>
      <c r="M2366" s="102" t="s">
        <v>4344</v>
      </c>
      <c r="N2366" s="102" t="s">
        <v>4345</v>
      </c>
      <c r="O2366" s="105">
        <v>2.2208765E7</v>
      </c>
      <c r="P2366" s="105">
        <v>2.0046879E7</v>
      </c>
      <c r="Q2366" s="102" t="s">
        <v>2501</v>
      </c>
      <c r="S2366" s="1"/>
      <c r="T2366" s="1"/>
      <c r="U2366" s="1"/>
      <c r="V2366" s="1"/>
      <c r="W2366" s="1"/>
      <c r="X2366" s="1"/>
      <c r="Y2366" s="1"/>
      <c r="Z2366" s="102"/>
      <c r="AA2366" s="102"/>
      <c r="AB2366" s="1"/>
      <c r="AC2366" s="1"/>
      <c r="AD2366" s="1"/>
      <c r="AE2366" s="1"/>
      <c r="AF2366" s="1"/>
      <c r="AG2366" s="1"/>
    </row>
    <row r="2367" ht="15.75" customHeight="1">
      <c r="A2367" s="1"/>
      <c r="B2367" s="1"/>
      <c r="C2367" s="1"/>
      <c r="D2367" s="1"/>
      <c r="E2367" s="1"/>
      <c r="F2367" s="1"/>
      <c r="G2367" s="1"/>
      <c r="H2367" s="1"/>
      <c r="I2367" s="1"/>
      <c r="J2367" s="1"/>
      <c r="K2367" s="102" t="s">
        <v>4344</v>
      </c>
      <c r="L2367" s="102" t="str">
        <f>O71</f>
        <v>J1a2a1a2d2b2a1a~</v>
      </c>
      <c r="M2367" s="102" t="s">
        <v>4343</v>
      </c>
      <c r="N2367" s="102" t="s">
        <v>4345</v>
      </c>
      <c r="O2367" s="105">
        <v>2.2208765E7</v>
      </c>
      <c r="P2367" s="105">
        <v>2.0046879E7</v>
      </c>
      <c r="Q2367" s="102" t="s">
        <v>2501</v>
      </c>
      <c r="S2367" s="1"/>
      <c r="T2367" s="1"/>
      <c r="U2367" s="1"/>
      <c r="V2367" s="1"/>
      <c r="W2367" s="1"/>
      <c r="X2367" s="1"/>
      <c r="Y2367" s="1"/>
      <c r="Z2367" s="102"/>
      <c r="AA2367" s="102"/>
      <c r="AB2367" s="1"/>
      <c r="AC2367" s="1"/>
      <c r="AD2367" s="1"/>
      <c r="AE2367" s="1"/>
      <c r="AF2367" s="1"/>
      <c r="AG2367" s="1"/>
    </row>
    <row r="2368" ht="15.75" customHeight="1">
      <c r="A2368" s="1"/>
      <c r="B2368" s="1"/>
      <c r="C2368" s="1"/>
      <c r="D2368" s="1"/>
      <c r="E2368" s="1"/>
      <c r="F2368" s="1"/>
      <c r="G2368" s="1"/>
      <c r="H2368" s="1"/>
      <c r="I2368" s="1"/>
      <c r="J2368" s="1"/>
      <c r="K2368" s="102" t="s">
        <v>4346</v>
      </c>
      <c r="L2368" s="102" t="str">
        <f>O71</f>
        <v>J1a2a1a2d2b2a1a~</v>
      </c>
      <c r="M2368" s="102" t="s">
        <v>4347</v>
      </c>
      <c r="N2368" s="102" t="s">
        <v>4348</v>
      </c>
      <c r="O2368" s="105">
        <v>2.2566462E7</v>
      </c>
      <c r="P2368" s="105">
        <v>2.0404576E7</v>
      </c>
      <c r="Q2368" s="102" t="s">
        <v>2501</v>
      </c>
      <c r="S2368" s="1"/>
      <c r="T2368" s="1"/>
      <c r="U2368" s="1"/>
      <c r="V2368" s="1"/>
      <c r="W2368" s="1"/>
      <c r="X2368" s="1"/>
      <c r="Y2368" s="1"/>
      <c r="Z2368" s="102"/>
      <c r="AA2368" s="102"/>
      <c r="AB2368" s="1"/>
      <c r="AC2368" s="1"/>
      <c r="AD2368" s="1"/>
      <c r="AE2368" s="1"/>
      <c r="AF2368" s="1"/>
      <c r="AG2368" s="1"/>
    </row>
    <row r="2369" ht="15.75" customHeight="1">
      <c r="A2369" s="1"/>
      <c r="B2369" s="1"/>
      <c r="C2369" s="1"/>
      <c r="D2369" s="1"/>
      <c r="E2369" s="1"/>
      <c r="F2369" s="1"/>
      <c r="G2369" s="1"/>
      <c r="H2369" s="1"/>
      <c r="I2369" s="1"/>
      <c r="J2369" s="1"/>
      <c r="K2369" s="102" t="s">
        <v>4347</v>
      </c>
      <c r="L2369" s="102" t="str">
        <f>O71</f>
        <v>J1a2a1a2d2b2a1a~</v>
      </c>
      <c r="M2369" s="102" t="s">
        <v>4346</v>
      </c>
      <c r="N2369" s="102" t="s">
        <v>4348</v>
      </c>
      <c r="O2369" s="105">
        <v>2.2566462E7</v>
      </c>
      <c r="P2369" s="105">
        <v>2.0404576E7</v>
      </c>
      <c r="Q2369" s="102" t="s">
        <v>2501</v>
      </c>
      <c r="S2369" s="1"/>
      <c r="T2369" s="1"/>
      <c r="U2369" s="1"/>
      <c r="V2369" s="1"/>
      <c r="W2369" s="1"/>
      <c r="X2369" s="1"/>
      <c r="Y2369" s="1"/>
      <c r="Z2369" s="102"/>
      <c r="AA2369" s="102"/>
      <c r="AB2369" s="1"/>
      <c r="AC2369" s="1"/>
      <c r="AD2369" s="1"/>
      <c r="AE2369" s="1"/>
      <c r="AF2369" s="1"/>
      <c r="AG2369" s="1"/>
    </row>
    <row r="2370" ht="15.75" customHeight="1">
      <c r="A2370" s="1"/>
      <c r="B2370" s="1"/>
      <c r="C2370" s="1"/>
      <c r="D2370" s="1"/>
      <c r="E2370" s="1"/>
      <c r="F2370" s="1"/>
      <c r="G2370" s="1"/>
      <c r="H2370" s="1"/>
      <c r="I2370" s="1"/>
      <c r="J2370" s="1"/>
      <c r="K2370" s="102" t="s">
        <v>4349</v>
      </c>
      <c r="L2370" s="102" t="str">
        <f>O71</f>
        <v>J1a2a1a2d2b2a1a~</v>
      </c>
      <c r="M2370" s="102" t="s">
        <v>4350</v>
      </c>
      <c r="N2370" s="102"/>
      <c r="O2370" s="105">
        <v>2.357849E7</v>
      </c>
      <c r="P2370" s="105">
        <v>2.1416604E7</v>
      </c>
      <c r="Q2370" s="102" t="s">
        <v>2501</v>
      </c>
      <c r="S2370" s="1"/>
      <c r="T2370" s="1"/>
      <c r="U2370" s="1"/>
      <c r="V2370" s="1"/>
      <c r="W2370" s="1"/>
      <c r="X2370" s="1"/>
      <c r="Y2370" s="1"/>
      <c r="Z2370" s="102"/>
      <c r="AA2370" s="102"/>
      <c r="AB2370" s="1"/>
      <c r="AC2370" s="1"/>
      <c r="AD2370" s="1"/>
      <c r="AE2370" s="1"/>
      <c r="AF2370" s="1"/>
      <c r="AG2370" s="1"/>
    </row>
    <row r="2371" ht="15.75" customHeight="1">
      <c r="A2371" s="1"/>
      <c r="B2371" s="1"/>
      <c r="C2371" s="1"/>
      <c r="D2371" s="1"/>
      <c r="E2371" s="1"/>
      <c r="F2371" s="1"/>
      <c r="G2371" s="1"/>
      <c r="H2371" s="1"/>
      <c r="I2371" s="1"/>
      <c r="J2371" s="1"/>
      <c r="K2371" s="102" t="s">
        <v>4350</v>
      </c>
      <c r="L2371" s="102" t="str">
        <f>O71</f>
        <v>J1a2a1a2d2b2a1a~</v>
      </c>
      <c r="M2371" s="102" t="s">
        <v>4349</v>
      </c>
      <c r="N2371" s="102"/>
      <c r="O2371" s="105">
        <v>2.357849E7</v>
      </c>
      <c r="P2371" s="105">
        <v>2.1416604E7</v>
      </c>
      <c r="Q2371" s="102" t="s">
        <v>2501</v>
      </c>
      <c r="S2371" s="1"/>
      <c r="T2371" s="1"/>
      <c r="U2371" s="1"/>
      <c r="V2371" s="1"/>
      <c r="W2371" s="1"/>
      <c r="X2371" s="1"/>
      <c r="Y2371" s="1"/>
      <c r="Z2371" s="102"/>
      <c r="AA2371" s="102"/>
      <c r="AB2371" s="1"/>
      <c r="AC2371" s="1"/>
      <c r="AD2371" s="1"/>
      <c r="AE2371" s="1"/>
      <c r="AF2371" s="1"/>
      <c r="AG2371" s="1"/>
    </row>
    <row r="2372" ht="15.75" customHeight="1">
      <c r="A2372" s="1"/>
      <c r="B2372" s="1"/>
      <c r="C2372" s="1"/>
      <c r="D2372" s="1"/>
      <c r="E2372" s="1"/>
      <c r="F2372" s="1"/>
      <c r="G2372" s="1"/>
      <c r="H2372" s="1"/>
      <c r="I2372" s="1"/>
      <c r="J2372" s="1"/>
      <c r="K2372" s="102" t="s">
        <v>4351</v>
      </c>
      <c r="L2372" s="102" t="str">
        <f>O71</f>
        <v>J1a2a1a2d2b2a1a~</v>
      </c>
      <c r="M2372" s="102" t="s">
        <v>4352</v>
      </c>
      <c r="N2372" s="102" t="s">
        <v>4353</v>
      </c>
      <c r="O2372" s="105">
        <v>2.4516705E7</v>
      </c>
      <c r="P2372" s="105">
        <v>2.2370558E7</v>
      </c>
      <c r="Q2372" s="102" t="s">
        <v>2439</v>
      </c>
      <c r="S2372" s="1"/>
      <c r="T2372" s="1"/>
      <c r="U2372" s="1"/>
      <c r="V2372" s="1"/>
      <c r="W2372" s="1"/>
      <c r="X2372" s="1"/>
      <c r="Y2372" s="1"/>
      <c r="Z2372" s="102"/>
      <c r="AA2372" s="102"/>
      <c r="AB2372" s="1"/>
      <c r="AC2372" s="1"/>
      <c r="AD2372" s="1"/>
      <c r="AE2372" s="1"/>
      <c r="AF2372" s="1"/>
      <c r="AG2372" s="1"/>
    </row>
    <row r="2373" ht="15.75" customHeight="1">
      <c r="A2373" s="1"/>
      <c r="B2373" s="1"/>
      <c r="C2373" s="1"/>
      <c r="D2373" s="1"/>
      <c r="E2373" s="1"/>
      <c r="F2373" s="1"/>
      <c r="G2373" s="1"/>
      <c r="H2373" s="1"/>
      <c r="I2373" s="1"/>
      <c r="J2373" s="1"/>
      <c r="K2373" s="102" t="s">
        <v>4352</v>
      </c>
      <c r="L2373" s="102" t="str">
        <f>O71</f>
        <v>J1a2a1a2d2b2a1a~</v>
      </c>
      <c r="M2373" s="102" t="s">
        <v>4351</v>
      </c>
      <c r="N2373" s="102" t="s">
        <v>4353</v>
      </c>
      <c r="O2373" s="105">
        <v>2.4516705E7</v>
      </c>
      <c r="P2373" s="105">
        <v>2.2370558E7</v>
      </c>
      <c r="Q2373" s="102" t="s">
        <v>2439</v>
      </c>
      <c r="S2373" s="1"/>
      <c r="T2373" s="1"/>
      <c r="U2373" s="1"/>
      <c r="V2373" s="1"/>
      <c r="W2373" s="1"/>
      <c r="X2373" s="1"/>
      <c r="Y2373" s="1"/>
      <c r="Z2373" s="102"/>
      <c r="AA2373" s="102"/>
      <c r="AB2373" s="1"/>
      <c r="AC2373" s="1"/>
      <c r="AD2373" s="1"/>
      <c r="AE2373" s="1"/>
      <c r="AF2373" s="1"/>
      <c r="AG2373" s="1"/>
    </row>
    <row r="2374" ht="15.75" customHeight="1">
      <c r="A2374" s="1"/>
      <c r="B2374" s="1"/>
      <c r="C2374" s="1"/>
      <c r="D2374" s="1"/>
      <c r="E2374" s="1"/>
      <c r="F2374" s="1"/>
      <c r="G2374" s="1"/>
      <c r="H2374" s="1"/>
      <c r="I2374" s="1"/>
      <c r="J2374" s="1"/>
      <c r="K2374" s="102" t="s">
        <v>4354</v>
      </c>
      <c r="L2374" s="102" t="str">
        <f>O71</f>
        <v>J1a2a1a2d2b2a1a~</v>
      </c>
      <c r="M2374" s="102"/>
      <c r="N2374" s="102" t="s">
        <v>4355</v>
      </c>
      <c r="O2374" s="105">
        <v>1.5936795E7</v>
      </c>
      <c r="P2374" s="105">
        <v>1.3824915E7</v>
      </c>
      <c r="Q2374" s="102" t="s">
        <v>2439</v>
      </c>
      <c r="S2374" s="1"/>
      <c r="T2374" s="1"/>
      <c r="U2374" s="1"/>
      <c r="V2374" s="1"/>
      <c r="W2374" s="1"/>
      <c r="X2374" s="1"/>
      <c r="Y2374" s="1"/>
      <c r="Z2374" s="102"/>
      <c r="AA2374" s="102"/>
      <c r="AB2374" s="1"/>
      <c r="AC2374" s="1"/>
      <c r="AD2374" s="1"/>
      <c r="AE2374" s="1"/>
      <c r="AF2374" s="1"/>
      <c r="AG2374" s="1"/>
    </row>
    <row r="2375" ht="15.75" customHeight="1">
      <c r="A2375" s="1"/>
      <c r="B2375" s="1"/>
      <c r="C2375" s="1"/>
      <c r="D2375" s="1"/>
      <c r="E2375" s="1"/>
      <c r="F2375" s="1"/>
      <c r="G2375" s="1"/>
      <c r="H2375" s="1"/>
      <c r="I2375" s="1"/>
      <c r="J2375" s="1"/>
      <c r="K2375" s="106" t="s">
        <v>4356</v>
      </c>
      <c r="L2375" s="102" t="str">
        <f>P72</f>
        <v>J1a2a1a2d2b2a1a1~</v>
      </c>
      <c r="M2375" s="102"/>
      <c r="N2375" s="108" t="s">
        <v>4357</v>
      </c>
      <c r="O2375" s="108">
        <v>1.911549E7</v>
      </c>
      <c r="P2375" s="109">
        <v>1.700361E7</v>
      </c>
      <c r="Q2375" s="106" t="s">
        <v>2563</v>
      </c>
      <c r="S2375" s="1"/>
      <c r="T2375" s="1"/>
      <c r="U2375" s="1"/>
      <c r="V2375" s="1"/>
      <c r="W2375" s="1"/>
      <c r="X2375" s="1"/>
      <c r="Y2375" s="1"/>
      <c r="Z2375" s="102">
        <v>7660239.0</v>
      </c>
      <c r="AA2375" s="102"/>
      <c r="AB2375" s="1"/>
      <c r="AC2375" s="1"/>
      <c r="AD2375" s="1"/>
      <c r="AE2375" s="1"/>
      <c r="AF2375" s="1"/>
      <c r="AG2375" s="1"/>
    </row>
    <row r="2376" ht="15.75" customHeight="1">
      <c r="A2376" s="1"/>
      <c r="B2376" s="1"/>
      <c r="C2376" s="1"/>
      <c r="D2376" s="1"/>
      <c r="E2376" s="1"/>
      <c r="F2376" s="1"/>
      <c r="G2376" s="1"/>
      <c r="H2376" s="1"/>
      <c r="I2376" s="1"/>
      <c r="J2376" s="1"/>
      <c r="K2376" s="102" t="s">
        <v>4358</v>
      </c>
      <c r="L2376" s="102" t="str">
        <f>P72</f>
        <v>J1a2a1a2d2b2a1a1~</v>
      </c>
      <c r="M2376" s="102" t="s">
        <v>4359</v>
      </c>
      <c r="N2376" s="102"/>
      <c r="O2376" s="105">
        <v>7292729.0</v>
      </c>
      <c r="P2376" s="105">
        <v>7424688.0</v>
      </c>
      <c r="Q2376" s="102" t="s">
        <v>2468</v>
      </c>
      <c r="S2376" s="1"/>
      <c r="T2376" s="1"/>
      <c r="U2376" s="1"/>
      <c r="V2376" s="1"/>
      <c r="W2376" s="1"/>
      <c r="X2376" s="1"/>
      <c r="Y2376" s="1"/>
      <c r="Z2376" s="102"/>
      <c r="AA2376" s="102"/>
      <c r="AB2376" s="1"/>
      <c r="AC2376" s="1"/>
      <c r="AD2376" s="1"/>
      <c r="AE2376" s="1"/>
      <c r="AF2376" s="1"/>
      <c r="AG2376" s="1"/>
    </row>
    <row r="2377" ht="15.75" customHeight="1">
      <c r="A2377" s="1"/>
      <c r="B2377" s="1"/>
      <c r="C2377" s="1"/>
      <c r="D2377" s="1"/>
      <c r="E2377" s="1"/>
      <c r="F2377" s="1"/>
      <c r="G2377" s="1"/>
      <c r="H2377" s="1"/>
      <c r="I2377" s="1"/>
      <c r="J2377" s="1"/>
      <c r="K2377" s="102" t="s">
        <v>4359</v>
      </c>
      <c r="L2377" s="102" t="str">
        <f>P72</f>
        <v>J1a2a1a2d2b2a1a1~</v>
      </c>
      <c r="M2377" s="102" t="s">
        <v>4358</v>
      </c>
      <c r="N2377" s="102"/>
      <c r="O2377" s="105">
        <v>7292729.0</v>
      </c>
      <c r="P2377" s="105">
        <v>7424688.0</v>
      </c>
      <c r="Q2377" s="102" t="s">
        <v>2468</v>
      </c>
      <c r="S2377" s="1"/>
      <c r="T2377" s="1"/>
      <c r="U2377" s="1"/>
      <c r="V2377" s="1"/>
      <c r="W2377" s="1"/>
      <c r="X2377" s="1"/>
      <c r="Y2377" s="1"/>
      <c r="Z2377" s="102"/>
      <c r="AA2377" s="102"/>
      <c r="AB2377" s="1"/>
      <c r="AC2377" s="1"/>
      <c r="AD2377" s="1"/>
      <c r="AE2377" s="1"/>
      <c r="AF2377" s="1"/>
      <c r="AG2377" s="1"/>
    </row>
    <row r="2378" ht="15.75" customHeight="1">
      <c r="A2378" s="1"/>
      <c r="B2378" s="1"/>
      <c r="C2378" s="1"/>
      <c r="D2378" s="1"/>
      <c r="E2378" s="1"/>
      <c r="F2378" s="1"/>
      <c r="G2378" s="1"/>
      <c r="H2378" s="1"/>
      <c r="I2378" s="1"/>
      <c r="J2378" s="1"/>
      <c r="K2378" s="102" t="s">
        <v>4360</v>
      </c>
      <c r="L2378" s="102" t="str">
        <f>P72</f>
        <v>J1a2a1a2d2b2a1a1~</v>
      </c>
      <c r="M2378" s="102" t="s">
        <v>4361</v>
      </c>
      <c r="N2378" s="102" t="s">
        <v>4362</v>
      </c>
      <c r="O2378" s="105">
        <v>1.877031E7</v>
      </c>
      <c r="P2378" s="105">
        <v>1.665843E7</v>
      </c>
      <c r="Q2378" s="102" t="s">
        <v>2533</v>
      </c>
      <c r="S2378" s="1"/>
      <c r="T2378" s="1"/>
      <c r="U2378" s="1"/>
      <c r="V2378" s="1"/>
      <c r="W2378" s="1"/>
      <c r="X2378" s="1"/>
      <c r="Y2378" s="1"/>
      <c r="Z2378" s="102"/>
      <c r="AA2378" s="102"/>
      <c r="AB2378" s="1"/>
      <c r="AC2378" s="1"/>
      <c r="AD2378" s="1"/>
      <c r="AE2378" s="1"/>
      <c r="AF2378" s="1"/>
      <c r="AG2378" s="1"/>
    </row>
    <row r="2379" ht="15.75" customHeight="1">
      <c r="A2379" s="1"/>
      <c r="B2379" s="1"/>
      <c r="C2379" s="1"/>
      <c r="D2379" s="1"/>
      <c r="E2379" s="1"/>
      <c r="F2379" s="1"/>
      <c r="G2379" s="1"/>
      <c r="H2379" s="1"/>
      <c r="I2379" s="1"/>
      <c r="J2379" s="1"/>
      <c r="K2379" s="102" t="s">
        <v>4361</v>
      </c>
      <c r="L2379" s="102" t="str">
        <f>P72</f>
        <v>J1a2a1a2d2b2a1a1~</v>
      </c>
      <c r="M2379" s="102" t="s">
        <v>4360</v>
      </c>
      <c r="N2379" s="102" t="s">
        <v>4362</v>
      </c>
      <c r="O2379" s="105">
        <v>1.877031E7</v>
      </c>
      <c r="P2379" s="105">
        <v>1.665843E7</v>
      </c>
      <c r="Q2379" s="102" t="s">
        <v>2533</v>
      </c>
      <c r="S2379" s="1"/>
      <c r="T2379" s="1"/>
      <c r="U2379" s="1"/>
      <c r="V2379" s="1"/>
      <c r="W2379" s="1"/>
      <c r="X2379" s="1"/>
      <c r="Y2379" s="1"/>
      <c r="Z2379" s="102"/>
      <c r="AA2379" s="102"/>
      <c r="AB2379" s="1"/>
      <c r="AC2379" s="1"/>
      <c r="AD2379" s="1"/>
      <c r="AE2379" s="1"/>
      <c r="AF2379" s="1"/>
      <c r="AG2379" s="1"/>
    </row>
    <row r="2380" ht="15.75" customHeight="1">
      <c r="A2380" s="1"/>
      <c r="B2380" s="1"/>
      <c r="C2380" s="1"/>
      <c r="D2380" s="1"/>
      <c r="E2380" s="1"/>
      <c r="F2380" s="1"/>
      <c r="G2380" s="1"/>
      <c r="H2380" s="1"/>
      <c r="I2380" s="1"/>
      <c r="J2380" s="1"/>
      <c r="K2380" s="102" t="s">
        <v>4363</v>
      </c>
      <c r="L2380" s="102" t="str">
        <f>P72</f>
        <v>J1a2a1a2d2b2a1a1~</v>
      </c>
      <c r="M2380" s="102" t="s">
        <v>4364</v>
      </c>
      <c r="N2380" s="102"/>
      <c r="O2380" s="105">
        <v>2.3978327E7</v>
      </c>
      <c r="P2380" s="105">
        <v>2.183218E7</v>
      </c>
      <c r="Q2380" s="102" t="s">
        <v>2439</v>
      </c>
      <c r="S2380" s="1"/>
      <c r="T2380" s="1"/>
      <c r="U2380" s="1"/>
      <c r="V2380" s="1"/>
      <c r="W2380" s="1"/>
      <c r="X2380" s="1"/>
      <c r="Y2380" s="1"/>
      <c r="Z2380" s="102"/>
      <c r="AA2380" s="102"/>
      <c r="AB2380" s="1"/>
      <c r="AC2380" s="1"/>
      <c r="AD2380" s="1"/>
      <c r="AE2380" s="1"/>
      <c r="AF2380" s="1"/>
      <c r="AG2380" s="1"/>
    </row>
    <row r="2381" ht="15.75" customHeight="1">
      <c r="A2381" s="1"/>
      <c r="B2381" s="1"/>
      <c r="C2381" s="1"/>
      <c r="D2381" s="1"/>
      <c r="E2381" s="1"/>
      <c r="F2381" s="1"/>
      <c r="G2381" s="1"/>
      <c r="H2381" s="1"/>
      <c r="I2381" s="1"/>
      <c r="J2381" s="1"/>
      <c r="K2381" s="102" t="s">
        <v>4364</v>
      </c>
      <c r="L2381" s="102" t="str">
        <f>P72</f>
        <v>J1a2a1a2d2b2a1a1~</v>
      </c>
      <c r="M2381" s="102" t="s">
        <v>4363</v>
      </c>
      <c r="N2381" s="102"/>
      <c r="O2381" s="105">
        <v>2.3978327E7</v>
      </c>
      <c r="P2381" s="105">
        <v>2.183218E7</v>
      </c>
      <c r="Q2381" s="102" t="s">
        <v>2439</v>
      </c>
      <c r="S2381" s="1"/>
      <c r="T2381" s="1"/>
      <c r="U2381" s="1"/>
      <c r="V2381" s="1"/>
      <c r="W2381" s="1"/>
      <c r="X2381" s="1"/>
      <c r="Y2381" s="1"/>
      <c r="Z2381" s="102"/>
      <c r="AA2381" s="102"/>
      <c r="AB2381" s="1"/>
      <c r="AC2381" s="1"/>
      <c r="AD2381" s="1"/>
      <c r="AE2381" s="1"/>
      <c r="AF2381" s="1"/>
      <c r="AG2381" s="1"/>
    </row>
    <row r="2382" ht="15.75" customHeight="1">
      <c r="A2382" s="1"/>
      <c r="B2382" s="1"/>
      <c r="C2382" s="1"/>
      <c r="D2382" s="1"/>
      <c r="E2382" s="1"/>
      <c r="F2382" s="1"/>
      <c r="G2382" s="1"/>
      <c r="H2382" s="1"/>
      <c r="I2382" s="1"/>
      <c r="J2382" s="1"/>
      <c r="K2382" s="102" t="s">
        <v>4365</v>
      </c>
      <c r="L2382" s="102" t="str">
        <f>P72</f>
        <v>J1a2a1a2d2b2a1a1~</v>
      </c>
      <c r="M2382" s="102"/>
      <c r="N2382" s="102" t="s">
        <v>4366</v>
      </c>
      <c r="O2382" s="105">
        <v>2.1627682E7</v>
      </c>
      <c r="P2382" s="105">
        <v>1.9465796E7</v>
      </c>
      <c r="Q2382" s="102" t="s">
        <v>2529</v>
      </c>
      <c r="S2382" s="1"/>
      <c r="T2382" s="1"/>
      <c r="U2382" s="1"/>
      <c r="V2382" s="1"/>
      <c r="W2382" s="1"/>
      <c r="X2382" s="1"/>
      <c r="Y2382" s="1"/>
      <c r="Z2382" s="102"/>
      <c r="AA2382" s="102"/>
      <c r="AB2382" s="1"/>
      <c r="AC2382" s="1"/>
      <c r="AD2382" s="1"/>
      <c r="AE2382" s="1"/>
      <c r="AF2382" s="1"/>
      <c r="AG2382" s="1"/>
    </row>
    <row r="2383" ht="15.75" customHeight="1">
      <c r="A2383" s="1"/>
      <c r="B2383" s="1"/>
      <c r="C2383" s="1"/>
      <c r="D2383" s="1"/>
      <c r="E2383" s="1"/>
      <c r="F2383" s="1"/>
      <c r="G2383" s="1"/>
      <c r="H2383" s="1"/>
      <c r="I2383" s="1"/>
      <c r="J2383" s="1"/>
      <c r="K2383" s="102" t="s">
        <v>4367</v>
      </c>
      <c r="L2383" s="102" t="str">
        <f>O73</f>
        <v>J1a2a1a2d2b2a1b~</v>
      </c>
      <c r="M2383" s="102" t="s">
        <v>4368</v>
      </c>
      <c r="N2383" s="102"/>
      <c r="O2383" s="105">
        <v>1.5968771E7</v>
      </c>
      <c r="P2383" s="105">
        <v>1.3856891E7</v>
      </c>
      <c r="Q2383" s="102" t="s">
        <v>2501</v>
      </c>
      <c r="S2383" s="1"/>
      <c r="T2383" s="1"/>
      <c r="U2383" s="1"/>
      <c r="V2383" s="1"/>
      <c r="W2383" s="1"/>
      <c r="X2383" s="1"/>
      <c r="Y2383" s="1"/>
      <c r="Z2383" s="102"/>
      <c r="AA2383" s="102"/>
      <c r="AB2383" s="1"/>
      <c r="AC2383" s="1"/>
      <c r="AD2383" s="1"/>
      <c r="AE2383" s="1"/>
      <c r="AF2383" s="1"/>
      <c r="AG2383" s="1"/>
    </row>
    <row r="2384" ht="15.75" customHeight="1">
      <c r="A2384" s="1"/>
      <c r="B2384" s="1"/>
      <c r="C2384" s="1"/>
      <c r="D2384" s="1"/>
      <c r="E2384" s="1"/>
      <c r="F2384" s="1"/>
      <c r="G2384" s="1"/>
      <c r="H2384" s="1"/>
      <c r="I2384" s="1"/>
      <c r="J2384" s="1"/>
      <c r="K2384" s="102" t="s">
        <v>4368</v>
      </c>
      <c r="L2384" s="102" t="str">
        <f>O73</f>
        <v>J1a2a1a2d2b2a1b~</v>
      </c>
      <c r="M2384" s="102" t="s">
        <v>4367</v>
      </c>
      <c r="N2384" s="102"/>
      <c r="O2384" s="105">
        <v>1.5968771E7</v>
      </c>
      <c r="P2384" s="105">
        <v>1.3856891E7</v>
      </c>
      <c r="Q2384" s="102" t="s">
        <v>2501</v>
      </c>
      <c r="S2384" s="1"/>
      <c r="T2384" s="1"/>
      <c r="U2384" s="1"/>
      <c r="V2384" s="1"/>
      <c r="W2384" s="1"/>
      <c r="X2384" s="1"/>
      <c r="Y2384" s="1"/>
      <c r="Z2384" s="102"/>
      <c r="AA2384" s="102"/>
      <c r="AB2384" s="1"/>
      <c r="AC2384" s="1"/>
      <c r="AD2384" s="1"/>
      <c r="AE2384" s="1"/>
      <c r="AF2384" s="1"/>
      <c r="AG2384" s="1"/>
    </row>
    <row r="2385" ht="15.75" customHeight="1">
      <c r="A2385" s="1"/>
      <c r="B2385" s="1"/>
      <c r="C2385" s="1"/>
      <c r="D2385" s="1"/>
      <c r="E2385" s="1"/>
      <c r="F2385" s="1"/>
      <c r="G2385" s="1"/>
      <c r="H2385" s="1"/>
      <c r="I2385" s="1"/>
      <c r="J2385" s="1"/>
      <c r="K2385" s="102" t="s">
        <v>4369</v>
      </c>
      <c r="L2385" s="102" t="str">
        <f t="shared" ref="L2385:L2386" si="15">O73</f>
        <v>J1a2a1a2d2b2a1b~</v>
      </c>
      <c r="M2385" s="102"/>
      <c r="N2385" s="102"/>
      <c r="O2385" s="105">
        <v>8603924.0</v>
      </c>
      <c r="P2385" s="105">
        <v>8735883.0</v>
      </c>
      <c r="Q2385" s="102" t="s">
        <v>2529</v>
      </c>
      <c r="S2385" s="1"/>
      <c r="T2385" s="1"/>
      <c r="U2385" s="1"/>
      <c r="V2385" s="1"/>
      <c r="W2385" s="1"/>
      <c r="X2385" s="1"/>
      <c r="Y2385" s="1"/>
      <c r="Z2385" s="102"/>
      <c r="AA2385" s="102"/>
      <c r="AB2385" s="1"/>
      <c r="AC2385" s="1"/>
      <c r="AD2385" s="1"/>
      <c r="AE2385" s="1"/>
      <c r="AF2385" s="1"/>
      <c r="AG2385" s="1"/>
    </row>
    <row r="2386" ht="15.75" customHeight="1">
      <c r="A2386" s="1"/>
      <c r="B2386" s="1"/>
      <c r="C2386" s="1"/>
      <c r="D2386" s="1"/>
      <c r="E2386" s="1"/>
      <c r="F2386" s="1"/>
      <c r="G2386" s="1"/>
      <c r="H2386" s="1"/>
      <c r="I2386" s="1"/>
      <c r="J2386" s="1"/>
      <c r="K2386" s="102" t="s">
        <v>4370</v>
      </c>
      <c r="L2386" s="102" t="str">
        <f t="shared" si="15"/>
        <v>J1a2a1a2d2b2a1c~</v>
      </c>
      <c r="M2386" s="102"/>
      <c r="N2386" s="102" t="s">
        <v>4371</v>
      </c>
      <c r="O2386" s="105">
        <v>1.5655995E7</v>
      </c>
      <c r="P2386" s="105">
        <v>1.3544115E7</v>
      </c>
      <c r="Q2386" s="102" t="s">
        <v>2439</v>
      </c>
      <c r="S2386" s="1"/>
      <c r="T2386" s="1"/>
      <c r="U2386" s="1"/>
      <c r="V2386" s="1"/>
      <c r="W2386" s="1"/>
      <c r="X2386" s="1"/>
      <c r="Y2386" s="1"/>
      <c r="Z2386" s="102"/>
      <c r="AA2386" s="102"/>
      <c r="AB2386" s="1"/>
      <c r="AC2386" s="1"/>
      <c r="AD2386" s="1"/>
      <c r="AE2386" s="1"/>
      <c r="AF2386" s="1"/>
      <c r="AG2386" s="1"/>
    </row>
    <row r="2387" ht="15.75" customHeight="1">
      <c r="A2387" s="1"/>
      <c r="B2387" s="1"/>
      <c r="C2387" s="1"/>
      <c r="D2387" s="1"/>
      <c r="E2387" s="1"/>
      <c r="F2387" s="1"/>
      <c r="G2387" s="1"/>
      <c r="H2387" s="1"/>
      <c r="I2387" s="1"/>
      <c r="J2387" s="1"/>
      <c r="K2387" s="102" t="s">
        <v>4372</v>
      </c>
      <c r="L2387" s="102" t="str">
        <f>O74</f>
        <v>J1a2a1a2d2b2a1c~</v>
      </c>
      <c r="M2387" s="102"/>
      <c r="N2387" s="102"/>
      <c r="O2387" s="105">
        <v>7921738.0</v>
      </c>
      <c r="P2387" s="105">
        <v>8053697.0</v>
      </c>
      <c r="Q2387" s="102" t="s">
        <v>2446</v>
      </c>
      <c r="S2387" s="1"/>
      <c r="T2387" s="1"/>
      <c r="U2387" s="1"/>
      <c r="V2387" s="1"/>
      <c r="W2387" s="1"/>
      <c r="X2387" s="1"/>
      <c r="Y2387" s="1"/>
      <c r="Z2387" s="102"/>
      <c r="AA2387" s="102"/>
      <c r="AB2387" s="1"/>
      <c r="AC2387" s="1"/>
      <c r="AD2387" s="1"/>
      <c r="AE2387" s="1"/>
      <c r="AF2387" s="1"/>
      <c r="AG2387" s="1"/>
    </row>
    <row r="2388" ht="15.75" customHeight="1">
      <c r="A2388" s="1"/>
      <c r="B2388" s="1"/>
      <c r="C2388" s="1"/>
      <c r="D2388" s="1"/>
      <c r="E2388" s="1"/>
      <c r="F2388" s="1"/>
      <c r="G2388" s="1"/>
      <c r="H2388" s="1"/>
      <c r="I2388" s="1"/>
      <c r="J2388" s="1"/>
      <c r="K2388" s="102" t="s">
        <v>4373</v>
      </c>
      <c r="L2388" s="102" t="str">
        <f>O74</f>
        <v>J1a2a1a2d2b2a1c~</v>
      </c>
      <c r="M2388" s="102"/>
      <c r="N2388" s="102" t="s">
        <v>4374</v>
      </c>
      <c r="O2388" s="105">
        <v>8040794.0</v>
      </c>
      <c r="P2388" s="105">
        <v>8172753.0</v>
      </c>
      <c r="Q2388" s="102" t="s">
        <v>2468</v>
      </c>
      <c r="S2388" s="1"/>
      <c r="T2388" s="1"/>
      <c r="U2388" s="1"/>
      <c r="V2388" s="1"/>
      <c r="W2388" s="1"/>
      <c r="X2388" s="1"/>
      <c r="Y2388" s="1"/>
      <c r="Z2388" s="102"/>
      <c r="AA2388" s="102"/>
      <c r="AB2388" s="1"/>
      <c r="AC2388" s="1"/>
      <c r="AD2388" s="1"/>
      <c r="AE2388" s="1"/>
      <c r="AF2388" s="1"/>
      <c r="AG2388" s="1"/>
    </row>
    <row r="2389" ht="15.75" customHeight="1">
      <c r="A2389" s="1"/>
      <c r="B2389" s="1"/>
      <c r="C2389" s="1"/>
      <c r="D2389" s="1"/>
      <c r="E2389" s="1"/>
      <c r="F2389" s="1"/>
      <c r="G2389" s="1"/>
      <c r="H2389" s="1"/>
      <c r="I2389" s="1"/>
      <c r="J2389" s="1"/>
      <c r="K2389" s="102" t="s">
        <v>4375</v>
      </c>
      <c r="L2389" s="102" t="str">
        <f>O74</f>
        <v>J1a2a1a2d2b2a1c~</v>
      </c>
      <c r="M2389" s="102"/>
      <c r="N2389" s="102" t="s">
        <v>4376</v>
      </c>
      <c r="O2389" s="105">
        <v>8395181.0</v>
      </c>
      <c r="P2389" s="105">
        <v>8527140.0</v>
      </c>
      <c r="Q2389" s="102" t="s">
        <v>2432</v>
      </c>
      <c r="S2389" s="1"/>
      <c r="T2389" s="1"/>
      <c r="U2389" s="1"/>
      <c r="V2389" s="1"/>
      <c r="W2389" s="1"/>
      <c r="X2389" s="1"/>
      <c r="Y2389" s="1"/>
      <c r="Z2389" s="102"/>
      <c r="AA2389" s="102"/>
      <c r="AB2389" s="1"/>
      <c r="AC2389" s="1"/>
      <c r="AD2389" s="1"/>
      <c r="AE2389" s="1"/>
      <c r="AF2389" s="1"/>
      <c r="AG2389" s="1"/>
    </row>
    <row r="2390" ht="15.75" customHeight="1">
      <c r="A2390" s="1"/>
      <c r="B2390" s="1"/>
      <c r="C2390" s="1"/>
      <c r="D2390" s="1"/>
      <c r="E2390" s="1"/>
      <c r="F2390" s="1"/>
      <c r="G2390" s="1"/>
      <c r="H2390" s="1"/>
      <c r="I2390" s="1"/>
      <c r="J2390" s="1"/>
      <c r="K2390" s="102" t="s">
        <v>4377</v>
      </c>
      <c r="L2390" s="102" t="str">
        <f>O74</f>
        <v>J1a2a1a2d2b2a1c~</v>
      </c>
      <c r="M2390" s="102"/>
      <c r="N2390" s="102" t="s">
        <v>4378</v>
      </c>
      <c r="O2390" s="105">
        <v>8474709.0</v>
      </c>
      <c r="P2390" s="105">
        <v>8606668.0</v>
      </c>
      <c r="Q2390" s="102" t="s">
        <v>2439</v>
      </c>
      <c r="S2390" s="1"/>
      <c r="T2390" s="1"/>
      <c r="U2390" s="1"/>
      <c r="V2390" s="1"/>
      <c r="W2390" s="1"/>
      <c r="X2390" s="1"/>
      <c r="Y2390" s="1"/>
      <c r="Z2390" s="102"/>
      <c r="AA2390" s="102"/>
      <c r="AB2390" s="1"/>
      <c r="AC2390" s="1"/>
      <c r="AD2390" s="1"/>
      <c r="AE2390" s="1"/>
      <c r="AF2390" s="1"/>
      <c r="AG2390" s="1"/>
    </row>
    <row r="2391" ht="15.75" customHeight="1">
      <c r="A2391" s="1"/>
      <c r="B2391" s="1"/>
      <c r="C2391" s="1"/>
      <c r="D2391" s="1"/>
      <c r="E2391" s="1"/>
      <c r="F2391" s="1"/>
      <c r="G2391" s="1"/>
      <c r="H2391" s="1"/>
      <c r="I2391" s="1"/>
      <c r="J2391" s="1"/>
      <c r="K2391" s="102" t="s">
        <v>4379</v>
      </c>
      <c r="L2391" s="102" t="str">
        <f>P75</f>
        <v>J1a2a1a2d2b2a1c1~</v>
      </c>
      <c r="M2391" s="102"/>
      <c r="N2391" s="102" t="s">
        <v>4380</v>
      </c>
      <c r="O2391" s="105">
        <v>1.4211721E7</v>
      </c>
      <c r="P2391" s="105">
        <v>1.2091015E7</v>
      </c>
      <c r="Q2391" s="102" t="s">
        <v>2501</v>
      </c>
      <c r="S2391" s="1"/>
      <c r="T2391" s="1"/>
      <c r="U2391" s="1"/>
      <c r="V2391" s="1"/>
      <c r="W2391" s="1"/>
      <c r="X2391" s="1"/>
      <c r="Y2391" s="1"/>
      <c r="Z2391" s="102"/>
      <c r="AA2391" s="102"/>
      <c r="AB2391" s="1"/>
      <c r="AC2391" s="1"/>
      <c r="AD2391" s="1"/>
      <c r="AE2391" s="1"/>
      <c r="AF2391" s="1"/>
      <c r="AG2391" s="1"/>
    </row>
    <row r="2392" ht="15.75" customHeight="1">
      <c r="A2392" s="1"/>
      <c r="B2392" s="1"/>
      <c r="C2392" s="1"/>
      <c r="D2392" s="1"/>
      <c r="E2392" s="1"/>
      <c r="F2392" s="1"/>
      <c r="G2392" s="1"/>
      <c r="H2392" s="1"/>
      <c r="I2392" s="1"/>
      <c r="J2392" s="1"/>
      <c r="K2392" s="102" t="s">
        <v>4381</v>
      </c>
      <c r="L2392" s="102" t="str">
        <f>P75</f>
        <v>J1a2a1a2d2b2a1c1~</v>
      </c>
      <c r="M2392" s="102"/>
      <c r="N2392" s="102"/>
      <c r="O2392" s="105">
        <v>7679272.0</v>
      </c>
      <c r="P2392" s="105">
        <v>7811231.0</v>
      </c>
      <c r="Q2392" s="102" t="s">
        <v>2446</v>
      </c>
      <c r="S2392" s="1"/>
      <c r="T2392" s="1"/>
      <c r="U2392" s="1"/>
      <c r="V2392" s="1"/>
      <c r="W2392" s="1"/>
      <c r="X2392" s="1"/>
      <c r="Y2392" s="1"/>
      <c r="Z2392" s="102"/>
      <c r="AA2392" s="102"/>
      <c r="AB2392" s="1"/>
      <c r="AC2392" s="1"/>
      <c r="AD2392" s="1"/>
      <c r="AE2392" s="1"/>
      <c r="AF2392" s="1"/>
      <c r="AG2392" s="1"/>
    </row>
    <row r="2393" ht="15.75" customHeight="1">
      <c r="A2393" s="1"/>
      <c r="B2393" s="1"/>
      <c r="C2393" s="1"/>
      <c r="D2393" s="1"/>
      <c r="E2393" s="1"/>
      <c r="F2393" s="1"/>
      <c r="G2393" s="1"/>
      <c r="H2393" s="1"/>
      <c r="I2393" s="1"/>
      <c r="J2393" s="1"/>
      <c r="K2393" s="102" t="s">
        <v>4382</v>
      </c>
      <c r="L2393" s="102" t="str">
        <f>P75</f>
        <v>J1a2a1a2d2b2a1c1~</v>
      </c>
      <c r="M2393" s="102"/>
      <c r="N2393" s="102" t="s">
        <v>4383</v>
      </c>
      <c r="O2393" s="105">
        <v>8495976.0</v>
      </c>
      <c r="P2393" s="105">
        <v>8627935.0</v>
      </c>
      <c r="Q2393" s="102" t="s">
        <v>2533</v>
      </c>
      <c r="S2393" s="1"/>
      <c r="T2393" s="1"/>
      <c r="U2393" s="1"/>
      <c r="V2393" s="1"/>
      <c r="W2393" s="1"/>
      <c r="X2393" s="1"/>
      <c r="Y2393" s="1"/>
      <c r="Z2393" s="102"/>
      <c r="AA2393" s="102"/>
      <c r="AB2393" s="1"/>
      <c r="AC2393" s="1"/>
      <c r="AD2393" s="1"/>
      <c r="AE2393" s="1"/>
      <c r="AF2393" s="1"/>
      <c r="AG2393" s="1"/>
    </row>
    <row r="2394" ht="15.75" customHeight="1">
      <c r="A2394" s="1"/>
      <c r="B2394" s="1"/>
      <c r="C2394" s="1"/>
      <c r="D2394" s="1"/>
      <c r="E2394" s="1"/>
      <c r="F2394" s="1"/>
      <c r="G2394" s="1"/>
      <c r="H2394" s="1"/>
      <c r="I2394" s="1"/>
      <c r="J2394" s="1"/>
      <c r="K2394" s="102" t="s">
        <v>4384</v>
      </c>
      <c r="L2394" s="102" t="str">
        <f>P75</f>
        <v>J1a2a1a2d2b2a1c1~</v>
      </c>
      <c r="M2394" s="102"/>
      <c r="N2394" s="102"/>
      <c r="O2394" s="105">
        <v>1.4417368E7</v>
      </c>
      <c r="P2394" s="105">
        <v>1.2296665E7</v>
      </c>
      <c r="Q2394" s="102" t="s">
        <v>2501</v>
      </c>
      <c r="S2394" s="1"/>
      <c r="T2394" s="1"/>
      <c r="U2394" s="1"/>
      <c r="V2394" s="1"/>
      <c r="W2394" s="1"/>
      <c r="X2394" s="1"/>
      <c r="Y2394" s="1"/>
      <c r="Z2394" s="102"/>
      <c r="AA2394" s="102"/>
      <c r="AB2394" s="1"/>
      <c r="AC2394" s="1"/>
      <c r="AD2394" s="1"/>
      <c r="AE2394" s="1"/>
      <c r="AF2394" s="1"/>
      <c r="AG2394" s="1"/>
    </row>
    <row r="2395" ht="15.75" customHeight="1">
      <c r="A2395" s="1"/>
      <c r="B2395" s="1"/>
      <c r="C2395" s="1"/>
      <c r="D2395" s="1"/>
      <c r="E2395" s="1"/>
      <c r="F2395" s="1"/>
      <c r="G2395" s="1"/>
      <c r="H2395" s="1"/>
      <c r="I2395" s="1"/>
      <c r="J2395" s="1"/>
      <c r="K2395" s="102" t="s">
        <v>4385</v>
      </c>
      <c r="L2395" s="102" t="str">
        <f>N76</f>
        <v>J1a2a1a2d2b2a2~</v>
      </c>
      <c r="M2395" s="102"/>
      <c r="N2395" s="102"/>
      <c r="O2395" s="105">
        <v>1.6978227E7</v>
      </c>
      <c r="P2395" s="105">
        <v>1.4866347E7</v>
      </c>
      <c r="Q2395" s="102" t="s">
        <v>2576</v>
      </c>
      <c r="S2395" s="1"/>
      <c r="T2395" s="1"/>
      <c r="U2395" s="1"/>
      <c r="V2395" s="1"/>
      <c r="W2395" s="1"/>
      <c r="X2395" s="1"/>
      <c r="Y2395" s="1"/>
      <c r="Z2395" s="102"/>
      <c r="AA2395" s="102"/>
      <c r="AB2395" s="1"/>
      <c r="AC2395" s="1"/>
      <c r="AD2395" s="1"/>
      <c r="AE2395" s="1"/>
      <c r="AF2395" s="1"/>
      <c r="AG2395" s="1"/>
    </row>
    <row r="2396" ht="15.75" customHeight="1">
      <c r="A2396" s="1"/>
      <c r="B2396" s="1"/>
      <c r="C2396" s="1"/>
      <c r="D2396" s="1"/>
      <c r="E2396" s="1"/>
      <c r="F2396" s="1"/>
      <c r="G2396" s="1"/>
      <c r="H2396" s="1"/>
      <c r="I2396" s="1"/>
      <c r="J2396" s="1"/>
      <c r="K2396" s="102" t="s">
        <v>4386</v>
      </c>
      <c r="L2396" s="102" t="str">
        <f>N76</f>
        <v>J1a2a1a2d2b2a2~</v>
      </c>
      <c r="M2396" s="102"/>
      <c r="N2396" s="102"/>
      <c r="O2396" s="105">
        <v>2.8742603E7</v>
      </c>
      <c r="P2396" s="105">
        <v>2.6596456E7</v>
      </c>
      <c r="Q2396" s="102" t="s">
        <v>2501</v>
      </c>
      <c r="S2396" s="1"/>
      <c r="T2396" s="1"/>
      <c r="U2396" s="1"/>
      <c r="V2396" s="1"/>
      <c r="W2396" s="1"/>
      <c r="X2396" s="1"/>
      <c r="Y2396" s="1"/>
      <c r="Z2396" s="102"/>
      <c r="AA2396" s="102"/>
      <c r="AB2396" s="1"/>
      <c r="AC2396" s="1"/>
      <c r="AD2396" s="1"/>
      <c r="AE2396" s="1"/>
      <c r="AF2396" s="1"/>
      <c r="AG2396" s="1"/>
    </row>
    <row r="2397" ht="15.75" customHeight="1">
      <c r="A2397" s="1"/>
      <c r="B2397" s="1"/>
      <c r="C2397" s="1"/>
      <c r="D2397" s="1"/>
      <c r="E2397" s="1"/>
      <c r="F2397" s="1"/>
      <c r="G2397" s="1"/>
      <c r="H2397" s="1"/>
      <c r="I2397" s="1"/>
      <c r="J2397" s="1"/>
      <c r="K2397" s="102" t="s">
        <v>4387</v>
      </c>
      <c r="L2397" s="102" t="str">
        <f>N76</f>
        <v>J1a2a1a2d2b2a2~</v>
      </c>
      <c r="M2397" s="102" t="s">
        <v>4388</v>
      </c>
      <c r="N2397" s="102"/>
      <c r="O2397" s="105">
        <v>1.3963896E7</v>
      </c>
      <c r="P2397" s="105">
        <v>1.184319E7</v>
      </c>
      <c r="Q2397" s="102" t="s">
        <v>2563</v>
      </c>
      <c r="S2397" s="1"/>
      <c r="T2397" s="1"/>
      <c r="U2397" s="1"/>
      <c r="V2397" s="1"/>
      <c r="W2397" s="1"/>
      <c r="X2397" s="1"/>
      <c r="Y2397" s="1"/>
      <c r="Z2397" s="102"/>
      <c r="AA2397" s="102"/>
      <c r="AB2397" s="1"/>
      <c r="AC2397" s="1"/>
      <c r="AD2397" s="1"/>
      <c r="AE2397" s="1"/>
      <c r="AF2397" s="1"/>
      <c r="AG2397" s="1"/>
    </row>
    <row r="2398" ht="15.75" customHeight="1">
      <c r="A2398" s="1"/>
      <c r="B2398" s="1"/>
      <c r="C2398" s="1"/>
      <c r="D2398" s="1"/>
      <c r="E2398" s="1"/>
      <c r="F2398" s="1"/>
      <c r="G2398" s="1"/>
      <c r="H2398" s="1"/>
      <c r="I2398" s="1"/>
      <c r="J2398" s="1"/>
      <c r="K2398" s="102" t="s">
        <v>4388</v>
      </c>
      <c r="L2398" s="102" t="str">
        <f>N76</f>
        <v>J1a2a1a2d2b2a2~</v>
      </c>
      <c r="M2398" s="102" t="s">
        <v>4387</v>
      </c>
      <c r="N2398" s="102"/>
      <c r="O2398" s="105">
        <v>1.3963896E7</v>
      </c>
      <c r="P2398" s="105">
        <v>1.184319E7</v>
      </c>
      <c r="Q2398" s="102" t="s">
        <v>2563</v>
      </c>
      <c r="S2398" s="1"/>
      <c r="T2398" s="1"/>
      <c r="U2398" s="1"/>
      <c r="V2398" s="1"/>
      <c r="W2398" s="1"/>
      <c r="X2398" s="1"/>
      <c r="Y2398" s="1"/>
      <c r="Z2398" s="102"/>
      <c r="AA2398" s="102"/>
      <c r="AB2398" s="1"/>
      <c r="AC2398" s="1"/>
      <c r="AD2398" s="1"/>
      <c r="AE2398" s="1"/>
      <c r="AF2398" s="1"/>
      <c r="AG2398" s="1"/>
    </row>
    <row r="2399" ht="15.75" customHeight="1">
      <c r="A2399" s="1"/>
      <c r="B2399" s="1"/>
      <c r="C2399" s="1"/>
      <c r="D2399" s="1"/>
      <c r="E2399" s="1"/>
      <c r="F2399" s="1"/>
      <c r="G2399" s="1"/>
      <c r="H2399" s="1"/>
      <c r="I2399" s="1"/>
      <c r="J2399" s="1"/>
      <c r="K2399" s="102" t="s">
        <v>4389</v>
      </c>
      <c r="L2399" s="102" t="str">
        <f>N76</f>
        <v>J1a2a1a2d2b2a2~</v>
      </c>
      <c r="M2399" s="102"/>
      <c r="N2399" s="102" t="s">
        <v>4390</v>
      </c>
      <c r="O2399" s="105">
        <v>8347813.0</v>
      </c>
      <c r="P2399" s="105">
        <v>8479772.0</v>
      </c>
      <c r="Q2399" s="102" t="s">
        <v>2468</v>
      </c>
      <c r="S2399" s="1"/>
      <c r="T2399" s="1"/>
      <c r="U2399" s="1"/>
      <c r="V2399" s="1"/>
      <c r="W2399" s="1"/>
      <c r="X2399" s="1"/>
      <c r="Y2399" s="1"/>
      <c r="Z2399" s="102"/>
      <c r="AA2399" s="102"/>
      <c r="AB2399" s="1"/>
      <c r="AC2399" s="1"/>
      <c r="AD2399" s="1"/>
      <c r="AE2399" s="1"/>
      <c r="AF2399" s="1"/>
      <c r="AG2399" s="1"/>
    </row>
    <row r="2400" ht="15.75" customHeight="1">
      <c r="A2400" s="1"/>
      <c r="B2400" s="1"/>
      <c r="C2400" s="1"/>
      <c r="D2400" s="1"/>
      <c r="E2400" s="1"/>
      <c r="F2400" s="1"/>
      <c r="G2400" s="1"/>
      <c r="H2400" s="1"/>
      <c r="I2400" s="1"/>
      <c r="J2400" s="1"/>
      <c r="K2400" s="102" t="s">
        <v>4391</v>
      </c>
      <c r="L2400" s="102" t="str">
        <f>N76</f>
        <v>J1a2a1a2d2b2a2~</v>
      </c>
      <c r="M2400" s="102"/>
      <c r="N2400" s="102" t="s">
        <v>4392</v>
      </c>
      <c r="O2400" s="105">
        <v>1.4913849E7</v>
      </c>
      <c r="P2400" s="105">
        <v>1.2801916E7</v>
      </c>
      <c r="Q2400" s="102" t="s">
        <v>2576</v>
      </c>
      <c r="S2400" s="1"/>
      <c r="T2400" s="1"/>
      <c r="U2400" s="1"/>
      <c r="V2400" s="1"/>
      <c r="W2400" s="1"/>
      <c r="X2400" s="1"/>
      <c r="Y2400" s="1"/>
      <c r="Z2400" s="102"/>
      <c r="AA2400" s="102"/>
      <c r="AB2400" s="1"/>
      <c r="AC2400" s="1"/>
      <c r="AD2400" s="1"/>
      <c r="AE2400" s="1"/>
      <c r="AF2400" s="1"/>
      <c r="AG2400" s="1"/>
    </row>
    <row r="2401" ht="15.75" customHeight="1">
      <c r="A2401" s="1"/>
      <c r="B2401" s="1"/>
      <c r="C2401" s="1"/>
      <c r="D2401" s="1"/>
      <c r="E2401" s="1"/>
      <c r="F2401" s="1"/>
      <c r="G2401" s="1"/>
      <c r="H2401" s="1"/>
      <c r="I2401" s="1"/>
      <c r="J2401" s="1"/>
      <c r="K2401" s="102" t="s">
        <v>4393</v>
      </c>
      <c r="L2401" s="102" t="str">
        <f>N76</f>
        <v>J1a2a1a2d2b2a2~</v>
      </c>
      <c r="M2401" s="102"/>
      <c r="N2401" s="102" t="s">
        <v>4394</v>
      </c>
      <c r="O2401" s="105">
        <v>2.3059934E7</v>
      </c>
      <c r="P2401" s="105">
        <v>2.0898048E7</v>
      </c>
      <c r="Q2401" s="102" t="s">
        <v>2563</v>
      </c>
      <c r="S2401" s="1"/>
      <c r="T2401" s="1"/>
      <c r="U2401" s="1"/>
      <c r="V2401" s="1"/>
      <c r="W2401" s="1"/>
      <c r="X2401" s="1"/>
      <c r="Y2401" s="1"/>
      <c r="Z2401" s="102"/>
      <c r="AA2401" s="102"/>
      <c r="AB2401" s="1"/>
      <c r="AC2401" s="1"/>
      <c r="AD2401" s="1"/>
      <c r="AE2401" s="1"/>
      <c r="AF2401" s="1"/>
      <c r="AG2401" s="1"/>
    </row>
    <row r="2402" ht="15.75" customHeight="1">
      <c r="A2402" s="1"/>
      <c r="B2402" s="1"/>
      <c r="C2402" s="1"/>
      <c r="D2402" s="1"/>
      <c r="E2402" s="1"/>
      <c r="F2402" s="1"/>
      <c r="G2402" s="1"/>
      <c r="H2402" s="1"/>
      <c r="I2402" s="1"/>
      <c r="J2402" s="1"/>
      <c r="K2402" s="102" t="s">
        <v>4395</v>
      </c>
      <c r="L2402" s="102" t="str">
        <f>O77</f>
        <v>J1a2a1a2d2b2a2a~</v>
      </c>
      <c r="M2402" s="102"/>
      <c r="N2402" s="102"/>
      <c r="O2402" s="105">
        <v>2.2140788E7</v>
      </c>
      <c r="P2402" s="105">
        <v>1.9978902E7</v>
      </c>
      <c r="Q2402" s="102" t="s">
        <v>2439</v>
      </c>
      <c r="S2402" s="1"/>
      <c r="T2402" s="1"/>
      <c r="U2402" s="1"/>
      <c r="V2402" s="1"/>
      <c r="W2402" s="1"/>
      <c r="X2402" s="1"/>
      <c r="Y2402" s="1"/>
      <c r="Z2402" s="102"/>
      <c r="AA2402" s="102"/>
      <c r="AB2402" s="1"/>
      <c r="AC2402" s="1"/>
      <c r="AD2402" s="1"/>
      <c r="AE2402" s="1"/>
      <c r="AF2402" s="1"/>
      <c r="AG2402" s="1"/>
    </row>
    <row r="2403" ht="15.75" customHeight="1">
      <c r="A2403" s="1"/>
      <c r="B2403" s="1"/>
      <c r="C2403" s="1"/>
      <c r="D2403" s="1"/>
      <c r="E2403" s="1"/>
      <c r="F2403" s="1"/>
      <c r="G2403" s="1"/>
      <c r="H2403" s="1"/>
      <c r="I2403" s="1"/>
      <c r="J2403" s="1"/>
      <c r="K2403" s="102" t="s">
        <v>4396</v>
      </c>
      <c r="L2403" s="102" t="str">
        <f>O77</f>
        <v>J1a2a1a2d2b2a2a~</v>
      </c>
      <c r="M2403" s="102"/>
      <c r="N2403" s="102"/>
      <c r="O2403" s="105">
        <v>2.3187892E7</v>
      </c>
      <c r="P2403" s="105">
        <v>2.1026006E7</v>
      </c>
      <c r="Q2403" s="102" t="s">
        <v>2533</v>
      </c>
      <c r="S2403" s="1"/>
      <c r="T2403" s="1"/>
      <c r="U2403" s="1"/>
      <c r="V2403" s="1"/>
      <c r="W2403" s="1"/>
      <c r="X2403" s="1"/>
      <c r="Y2403" s="1"/>
      <c r="Z2403" s="102"/>
      <c r="AA2403" s="102"/>
      <c r="AB2403" s="1"/>
      <c r="AC2403" s="1"/>
      <c r="AD2403" s="1"/>
      <c r="AE2403" s="1"/>
      <c r="AF2403" s="1"/>
      <c r="AG2403" s="1"/>
    </row>
    <row r="2404" ht="15.75" customHeight="1">
      <c r="A2404" s="1"/>
      <c r="B2404" s="1"/>
      <c r="C2404" s="1"/>
      <c r="D2404" s="1"/>
      <c r="E2404" s="1"/>
      <c r="F2404" s="1"/>
      <c r="G2404" s="1"/>
      <c r="H2404" s="1"/>
      <c r="I2404" s="1"/>
      <c r="J2404" s="1"/>
      <c r="K2404" s="102" t="s">
        <v>4397</v>
      </c>
      <c r="L2404" s="102" t="str">
        <f>O77</f>
        <v>J1a2a1a2d2b2a2a~</v>
      </c>
      <c r="M2404" s="102"/>
      <c r="N2404" s="102"/>
      <c r="O2404" s="105">
        <v>1.7225684E7</v>
      </c>
      <c r="P2404" s="105">
        <v>1.5113804E7</v>
      </c>
      <c r="Q2404" s="102" t="s">
        <v>2439</v>
      </c>
      <c r="S2404" s="1"/>
      <c r="T2404" s="1"/>
      <c r="U2404" s="1"/>
      <c r="V2404" s="1"/>
      <c r="W2404" s="1"/>
      <c r="X2404" s="1"/>
      <c r="Y2404" s="1"/>
      <c r="Z2404" s="102"/>
      <c r="AA2404" s="102"/>
      <c r="AB2404" s="1"/>
      <c r="AC2404" s="1"/>
      <c r="AD2404" s="1"/>
      <c r="AE2404" s="1"/>
      <c r="AF2404" s="1"/>
      <c r="AG2404" s="1"/>
    </row>
    <row r="2405" ht="15.75" customHeight="1">
      <c r="A2405" s="1"/>
      <c r="B2405" s="1"/>
      <c r="C2405" s="1"/>
      <c r="D2405" s="1"/>
      <c r="E2405" s="1"/>
      <c r="F2405" s="1"/>
      <c r="G2405" s="1"/>
      <c r="H2405" s="1"/>
      <c r="I2405" s="1"/>
      <c r="J2405" s="1"/>
      <c r="K2405" s="102" t="s">
        <v>4398</v>
      </c>
      <c r="L2405" s="102" t="str">
        <f>O77</f>
        <v>J1a2a1a2d2b2a2a~</v>
      </c>
      <c r="M2405" s="102"/>
      <c r="N2405" s="102"/>
      <c r="O2405" s="105">
        <v>2.1346691E7</v>
      </c>
      <c r="P2405" s="105">
        <v>1.9184805E7</v>
      </c>
      <c r="Q2405" s="102" t="s">
        <v>2501</v>
      </c>
      <c r="S2405" s="1"/>
      <c r="T2405" s="1"/>
      <c r="U2405" s="1"/>
      <c r="V2405" s="1"/>
      <c r="W2405" s="1"/>
      <c r="X2405" s="1"/>
      <c r="Y2405" s="1"/>
      <c r="Z2405" s="102"/>
      <c r="AA2405" s="102"/>
      <c r="AB2405" s="1"/>
      <c r="AC2405" s="1"/>
      <c r="AD2405" s="1"/>
      <c r="AE2405" s="1"/>
      <c r="AF2405" s="1"/>
      <c r="AG2405" s="1"/>
    </row>
    <row r="2406" ht="15.75" customHeight="1">
      <c r="A2406" s="1"/>
      <c r="B2406" s="1"/>
      <c r="C2406" s="1"/>
      <c r="D2406" s="1"/>
      <c r="E2406" s="1"/>
      <c r="F2406" s="1"/>
      <c r="G2406" s="1"/>
      <c r="H2406" s="1"/>
      <c r="I2406" s="1"/>
      <c r="J2406" s="1"/>
      <c r="K2406" s="102" t="s">
        <v>4399</v>
      </c>
      <c r="L2406" s="102" t="str">
        <f>O77</f>
        <v>J1a2a1a2d2b2a2a~</v>
      </c>
      <c r="M2406" s="102"/>
      <c r="N2406" s="102"/>
      <c r="O2406" s="105">
        <v>1.7507232E7</v>
      </c>
      <c r="P2406" s="105">
        <v>1.5395352E7</v>
      </c>
      <c r="Q2406" s="102" t="s">
        <v>2446</v>
      </c>
      <c r="S2406" s="1"/>
      <c r="T2406" s="1"/>
      <c r="U2406" s="1"/>
      <c r="V2406" s="1"/>
      <c r="W2406" s="1"/>
      <c r="X2406" s="1"/>
      <c r="Y2406" s="1"/>
      <c r="Z2406" s="102"/>
      <c r="AA2406" s="102"/>
      <c r="AB2406" s="1"/>
      <c r="AC2406" s="1"/>
      <c r="AD2406" s="1"/>
      <c r="AE2406" s="1"/>
      <c r="AF2406" s="1"/>
      <c r="AG2406" s="1"/>
    </row>
    <row r="2407" ht="15.75" customHeight="1">
      <c r="A2407" s="1"/>
      <c r="B2407" s="1"/>
      <c r="C2407" s="1"/>
      <c r="D2407" s="1"/>
      <c r="E2407" s="1"/>
      <c r="F2407" s="1"/>
      <c r="G2407" s="1"/>
      <c r="H2407" s="1"/>
      <c r="I2407" s="1"/>
      <c r="J2407" s="1"/>
      <c r="K2407" s="102" t="s">
        <v>4400</v>
      </c>
      <c r="L2407" s="102" t="str">
        <f>O77</f>
        <v>J1a2a1a2d2b2a2a~</v>
      </c>
      <c r="M2407" s="102"/>
      <c r="N2407" s="102"/>
      <c r="O2407" s="105">
        <v>1.8022654E7</v>
      </c>
      <c r="P2407" s="105">
        <v>1.5910774E7</v>
      </c>
      <c r="Q2407" s="102" t="s">
        <v>2501</v>
      </c>
      <c r="S2407" s="1"/>
      <c r="T2407" s="1"/>
      <c r="U2407" s="1"/>
      <c r="V2407" s="1"/>
      <c r="W2407" s="1"/>
      <c r="X2407" s="1"/>
      <c r="Y2407" s="1"/>
      <c r="Z2407" s="102"/>
      <c r="AA2407" s="102"/>
      <c r="AB2407" s="1"/>
      <c r="AC2407" s="1"/>
      <c r="AD2407" s="1"/>
      <c r="AE2407" s="1"/>
      <c r="AF2407" s="1"/>
      <c r="AG2407" s="1"/>
    </row>
    <row r="2408" ht="15.75" customHeight="1">
      <c r="A2408" s="1"/>
      <c r="B2408" s="1"/>
      <c r="C2408" s="1"/>
      <c r="D2408" s="1"/>
      <c r="E2408" s="1"/>
      <c r="F2408" s="1"/>
      <c r="G2408" s="1"/>
      <c r="H2408" s="1"/>
      <c r="I2408" s="1"/>
      <c r="J2408" s="1"/>
      <c r="K2408" s="102" t="s">
        <v>4401</v>
      </c>
      <c r="L2408" s="102" t="str">
        <f>O77</f>
        <v>J1a2a1a2d2b2a2a~</v>
      </c>
      <c r="M2408" s="102"/>
      <c r="N2408" s="102"/>
      <c r="O2408" s="105">
        <v>1.5535355E7</v>
      </c>
      <c r="P2408" s="105">
        <v>1.3423475E7</v>
      </c>
      <c r="Q2408" s="102" t="s">
        <v>2501</v>
      </c>
      <c r="S2408" s="1"/>
      <c r="T2408" s="1"/>
      <c r="U2408" s="1"/>
      <c r="V2408" s="1"/>
      <c r="W2408" s="1"/>
      <c r="X2408" s="1"/>
      <c r="Y2408" s="1"/>
      <c r="Z2408" s="102"/>
      <c r="AA2408" s="102"/>
      <c r="AB2408" s="1"/>
      <c r="AC2408" s="1"/>
      <c r="AD2408" s="1"/>
      <c r="AE2408" s="1"/>
      <c r="AF2408" s="1"/>
      <c r="AG2408" s="1"/>
    </row>
    <row r="2409" ht="15.75" customHeight="1">
      <c r="A2409" s="1"/>
      <c r="B2409" s="1"/>
      <c r="C2409" s="1"/>
      <c r="D2409" s="1"/>
      <c r="E2409" s="1"/>
      <c r="F2409" s="1"/>
      <c r="G2409" s="1"/>
      <c r="H2409" s="1"/>
      <c r="I2409" s="1"/>
      <c r="J2409" s="1"/>
      <c r="K2409" s="102" t="s">
        <v>4402</v>
      </c>
      <c r="L2409" s="102" t="str">
        <f>O77</f>
        <v>J1a2a1a2d2b2a2a~</v>
      </c>
      <c r="M2409" s="102"/>
      <c r="N2409" s="102"/>
      <c r="O2409" s="105">
        <v>7312497.0</v>
      </c>
      <c r="P2409" s="105">
        <v>7444456.0</v>
      </c>
      <c r="Q2409" s="102" t="s">
        <v>2501</v>
      </c>
      <c r="S2409" s="1"/>
      <c r="T2409" s="1"/>
      <c r="U2409" s="1"/>
      <c r="V2409" s="1"/>
      <c r="W2409" s="1"/>
      <c r="X2409" s="1"/>
      <c r="Y2409" s="1"/>
      <c r="Z2409" s="102"/>
      <c r="AA2409" s="102"/>
      <c r="AB2409" s="1"/>
      <c r="AC2409" s="1"/>
      <c r="AD2409" s="1"/>
      <c r="AE2409" s="1"/>
      <c r="AF2409" s="1"/>
      <c r="AG2409" s="1"/>
    </row>
    <row r="2410" ht="15.75" customHeight="1">
      <c r="A2410" s="1"/>
      <c r="B2410" s="1"/>
      <c r="C2410" s="1"/>
      <c r="D2410" s="1"/>
      <c r="E2410" s="1"/>
      <c r="F2410" s="1"/>
      <c r="G2410" s="1"/>
      <c r="H2410" s="1"/>
      <c r="I2410" s="1"/>
      <c r="J2410" s="1"/>
      <c r="K2410" s="102" t="s">
        <v>4403</v>
      </c>
      <c r="L2410" s="102" t="str">
        <f>O77</f>
        <v>J1a2a1a2d2b2a2a~</v>
      </c>
      <c r="M2410" s="102"/>
      <c r="N2410" s="102"/>
      <c r="O2410" s="105">
        <v>2.2996501E7</v>
      </c>
      <c r="P2410" s="105">
        <v>2.0834615E7</v>
      </c>
      <c r="Q2410" s="102" t="s">
        <v>2446</v>
      </c>
      <c r="S2410" s="1"/>
      <c r="T2410" s="1"/>
      <c r="U2410" s="1"/>
      <c r="V2410" s="1"/>
      <c r="W2410" s="1"/>
      <c r="X2410" s="1"/>
      <c r="Y2410" s="1"/>
      <c r="Z2410" s="102"/>
      <c r="AA2410" s="102"/>
      <c r="AB2410" s="1"/>
      <c r="AC2410" s="1"/>
      <c r="AD2410" s="1"/>
      <c r="AE2410" s="1"/>
      <c r="AF2410" s="1"/>
      <c r="AG2410" s="1"/>
    </row>
    <row r="2411" ht="15.75" customHeight="1">
      <c r="A2411" s="1"/>
      <c r="B2411" s="1"/>
      <c r="C2411" s="1"/>
      <c r="D2411" s="1"/>
      <c r="E2411" s="1"/>
      <c r="F2411" s="1"/>
      <c r="G2411" s="1"/>
      <c r="H2411" s="1"/>
      <c r="I2411" s="1"/>
      <c r="J2411" s="1"/>
      <c r="K2411" s="102" t="s">
        <v>4404</v>
      </c>
      <c r="L2411" s="102" t="str">
        <f>O77</f>
        <v>J1a2a1a2d2b2a2a~</v>
      </c>
      <c r="M2411" s="102"/>
      <c r="N2411" s="102"/>
      <c r="O2411" s="105">
        <v>2.2652066E7</v>
      </c>
      <c r="P2411" s="105">
        <v>2.049018E7</v>
      </c>
      <c r="Q2411" s="102" t="s">
        <v>2501</v>
      </c>
      <c r="S2411" s="1"/>
      <c r="T2411" s="1"/>
      <c r="U2411" s="1"/>
      <c r="V2411" s="1"/>
      <c r="W2411" s="1"/>
      <c r="X2411" s="1"/>
      <c r="Y2411" s="1"/>
      <c r="Z2411" s="102"/>
      <c r="AA2411" s="102"/>
      <c r="AB2411" s="1"/>
      <c r="AC2411" s="1"/>
      <c r="AD2411" s="1"/>
      <c r="AE2411" s="1"/>
      <c r="AF2411" s="1"/>
      <c r="AG2411" s="1"/>
    </row>
    <row r="2412" ht="15.75" customHeight="1">
      <c r="A2412" s="1"/>
      <c r="B2412" s="1"/>
      <c r="C2412" s="1"/>
      <c r="D2412" s="1"/>
      <c r="E2412" s="1"/>
      <c r="F2412" s="1"/>
      <c r="G2412" s="1"/>
      <c r="H2412" s="1"/>
      <c r="I2412" s="1"/>
      <c r="J2412" s="1"/>
      <c r="K2412" s="102" t="s">
        <v>4405</v>
      </c>
      <c r="L2412" s="102" t="str">
        <f>O77</f>
        <v>J1a2a1a2d2b2a2a~</v>
      </c>
      <c r="M2412" s="102"/>
      <c r="N2412" s="102"/>
      <c r="O2412" s="105">
        <v>1.8576611E7</v>
      </c>
      <c r="P2412" s="105">
        <v>1.6464731E7</v>
      </c>
      <c r="Q2412" s="102" t="s">
        <v>2501</v>
      </c>
      <c r="S2412" s="1"/>
      <c r="T2412" s="1"/>
      <c r="U2412" s="1"/>
      <c r="V2412" s="1"/>
      <c r="W2412" s="1"/>
      <c r="X2412" s="1"/>
      <c r="Y2412" s="1"/>
      <c r="Z2412" s="102"/>
      <c r="AA2412" s="102"/>
      <c r="AB2412" s="1"/>
      <c r="AC2412" s="1"/>
      <c r="AD2412" s="1"/>
      <c r="AE2412" s="1"/>
      <c r="AF2412" s="1"/>
      <c r="AG2412" s="1"/>
    </row>
    <row r="2413" ht="15.75" customHeight="1">
      <c r="A2413" s="1"/>
      <c r="B2413" s="1"/>
      <c r="C2413" s="1"/>
      <c r="D2413" s="1"/>
      <c r="E2413" s="1"/>
      <c r="F2413" s="1"/>
      <c r="G2413" s="1"/>
      <c r="H2413" s="1"/>
      <c r="I2413" s="1"/>
      <c r="J2413" s="1"/>
      <c r="K2413" s="102" t="s">
        <v>4406</v>
      </c>
      <c r="L2413" s="102" t="str">
        <f>O77</f>
        <v>J1a2a1a2d2b2a2a~</v>
      </c>
      <c r="M2413" s="102"/>
      <c r="N2413" s="102"/>
      <c r="O2413" s="105">
        <v>1.574732E7</v>
      </c>
      <c r="P2413" s="105">
        <v>1.363544E7</v>
      </c>
      <c r="Q2413" s="102" t="s">
        <v>2514</v>
      </c>
      <c r="S2413" s="1"/>
      <c r="T2413" s="1"/>
      <c r="U2413" s="1"/>
      <c r="V2413" s="1"/>
      <c r="W2413" s="1"/>
      <c r="X2413" s="1"/>
      <c r="Y2413" s="1"/>
      <c r="Z2413" s="102"/>
      <c r="AA2413" s="102"/>
      <c r="AB2413" s="1"/>
      <c r="AC2413" s="1"/>
      <c r="AD2413" s="1"/>
      <c r="AE2413" s="1"/>
      <c r="AF2413" s="1"/>
      <c r="AG2413" s="1"/>
    </row>
    <row r="2414" ht="15.75" customHeight="1">
      <c r="A2414" s="1"/>
      <c r="B2414" s="1"/>
      <c r="C2414" s="1"/>
      <c r="D2414" s="1"/>
      <c r="E2414" s="1"/>
      <c r="F2414" s="1"/>
      <c r="G2414" s="1"/>
      <c r="H2414" s="1"/>
      <c r="I2414" s="1"/>
      <c r="J2414" s="1"/>
      <c r="K2414" s="102" t="s">
        <v>4407</v>
      </c>
      <c r="L2414" s="102" t="str">
        <f>O77</f>
        <v>J1a2a1a2d2b2a2a~</v>
      </c>
      <c r="M2414" s="102"/>
      <c r="N2414" s="102"/>
      <c r="O2414" s="105">
        <v>1.854798E7</v>
      </c>
      <c r="P2414" s="105">
        <v>1.64361E7</v>
      </c>
      <c r="Q2414" s="102" t="s">
        <v>2533</v>
      </c>
      <c r="S2414" s="1"/>
      <c r="T2414" s="1"/>
      <c r="U2414" s="1"/>
      <c r="V2414" s="1"/>
      <c r="W2414" s="1"/>
      <c r="X2414" s="1"/>
      <c r="Y2414" s="1"/>
      <c r="Z2414" s="102"/>
      <c r="AA2414" s="102"/>
      <c r="AB2414" s="1"/>
      <c r="AC2414" s="1"/>
      <c r="AD2414" s="1"/>
      <c r="AE2414" s="1"/>
      <c r="AF2414" s="1"/>
      <c r="AG2414" s="1"/>
    </row>
    <row r="2415" ht="15.75" customHeight="1">
      <c r="A2415" s="1"/>
      <c r="B2415" s="1"/>
      <c r="C2415" s="1"/>
      <c r="D2415" s="1"/>
      <c r="E2415" s="1"/>
      <c r="F2415" s="1"/>
      <c r="G2415" s="1"/>
      <c r="H2415" s="1"/>
      <c r="I2415" s="1"/>
      <c r="J2415" s="1"/>
      <c r="K2415" s="102" t="s">
        <v>4408</v>
      </c>
      <c r="L2415" s="102" t="str">
        <f>O77</f>
        <v>J1a2a1a2d2b2a2a~</v>
      </c>
      <c r="M2415" s="102"/>
      <c r="N2415" s="102"/>
      <c r="O2415" s="105">
        <v>1.4251143E7</v>
      </c>
      <c r="P2415" s="105">
        <v>1.2130437E7</v>
      </c>
      <c r="Q2415" s="102" t="s">
        <v>2468</v>
      </c>
      <c r="S2415" s="1"/>
      <c r="T2415" s="1"/>
      <c r="U2415" s="1"/>
      <c r="V2415" s="1"/>
      <c r="W2415" s="1"/>
      <c r="X2415" s="1"/>
      <c r="Y2415" s="1"/>
      <c r="Z2415" s="102"/>
      <c r="AA2415" s="102"/>
      <c r="AB2415" s="1"/>
      <c r="AC2415" s="1"/>
      <c r="AD2415" s="1"/>
      <c r="AE2415" s="1"/>
      <c r="AF2415" s="1"/>
      <c r="AG2415" s="1"/>
    </row>
    <row r="2416" ht="15.75" customHeight="1">
      <c r="A2416" s="1"/>
      <c r="B2416" s="1"/>
      <c r="C2416" s="1"/>
      <c r="D2416" s="1"/>
      <c r="E2416" s="1"/>
      <c r="F2416" s="1"/>
      <c r="G2416" s="1"/>
      <c r="H2416" s="1"/>
      <c r="I2416" s="1"/>
      <c r="J2416" s="1"/>
      <c r="K2416" s="102" t="s">
        <v>4409</v>
      </c>
      <c r="L2416" s="102" t="str">
        <f>O77</f>
        <v>J1a2a1a2d2b2a2a~</v>
      </c>
      <c r="M2416" s="102"/>
      <c r="N2416" s="102"/>
      <c r="O2416" s="105">
        <v>2.1280482E7</v>
      </c>
      <c r="P2416" s="105">
        <v>1.9118596E7</v>
      </c>
      <c r="Q2416" s="102" t="s">
        <v>2576</v>
      </c>
      <c r="S2416" s="1"/>
      <c r="T2416" s="1"/>
      <c r="U2416" s="1"/>
      <c r="V2416" s="1"/>
      <c r="W2416" s="1"/>
      <c r="X2416" s="1"/>
      <c r="Y2416" s="1"/>
      <c r="Z2416" s="102"/>
      <c r="AA2416" s="102"/>
      <c r="AB2416" s="1"/>
      <c r="AC2416" s="1"/>
      <c r="AD2416" s="1"/>
      <c r="AE2416" s="1"/>
      <c r="AF2416" s="1"/>
      <c r="AG2416" s="1"/>
    </row>
    <row r="2417" ht="15.75" customHeight="1">
      <c r="A2417" s="1"/>
      <c r="B2417" s="1"/>
      <c r="C2417" s="1"/>
      <c r="D2417" s="1"/>
      <c r="E2417" s="1"/>
      <c r="F2417" s="1"/>
      <c r="G2417" s="1"/>
      <c r="H2417" s="1"/>
      <c r="I2417" s="1"/>
      <c r="J2417" s="1"/>
      <c r="K2417" s="102" t="s">
        <v>4410</v>
      </c>
      <c r="L2417" s="102" t="str">
        <f>O77</f>
        <v>J1a2a1a2d2b2a2a~</v>
      </c>
      <c r="M2417" s="102"/>
      <c r="N2417" s="102"/>
      <c r="O2417" s="105">
        <v>2.1149269E7</v>
      </c>
      <c r="P2417" s="105">
        <v>1.8987383E7</v>
      </c>
      <c r="Q2417" s="102" t="s">
        <v>2529</v>
      </c>
      <c r="S2417" s="1"/>
      <c r="T2417" s="1"/>
      <c r="U2417" s="1"/>
      <c r="V2417" s="1"/>
      <c r="W2417" s="1"/>
      <c r="X2417" s="1"/>
      <c r="Y2417" s="1"/>
      <c r="Z2417" s="102"/>
      <c r="AA2417" s="102"/>
      <c r="AB2417" s="1"/>
      <c r="AC2417" s="1"/>
      <c r="AD2417" s="1"/>
      <c r="AE2417" s="1"/>
      <c r="AF2417" s="1"/>
      <c r="AG2417" s="1"/>
    </row>
    <row r="2418" ht="15.75" customHeight="1">
      <c r="A2418" s="1"/>
      <c r="B2418" s="1"/>
      <c r="C2418" s="1"/>
      <c r="D2418" s="1"/>
      <c r="E2418" s="1"/>
      <c r="F2418" s="1"/>
      <c r="G2418" s="1"/>
      <c r="H2418" s="1"/>
      <c r="I2418" s="1"/>
      <c r="J2418" s="1"/>
      <c r="K2418" s="102" t="s">
        <v>4411</v>
      </c>
      <c r="L2418" s="102" t="str">
        <f>P78</f>
        <v>J1a2a1a2d2b2a2a1~</v>
      </c>
      <c r="M2418" s="102"/>
      <c r="N2418" s="102"/>
      <c r="O2418" s="105">
        <v>2.1877154E7</v>
      </c>
      <c r="P2418" s="105">
        <v>1.9715268E7</v>
      </c>
      <c r="Q2418" s="102" t="s">
        <v>2501</v>
      </c>
      <c r="S2418" s="1"/>
      <c r="T2418" s="1"/>
      <c r="U2418" s="1"/>
      <c r="V2418" s="1"/>
      <c r="W2418" s="1"/>
      <c r="X2418" s="1"/>
      <c r="Y2418" s="1"/>
      <c r="Z2418" s="102"/>
      <c r="AA2418" s="102"/>
      <c r="AB2418" s="1"/>
      <c r="AC2418" s="1"/>
      <c r="AD2418" s="1"/>
      <c r="AE2418" s="1"/>
      <c r="AF2418" s="1"/>
      <c r="AG2418" s="1"/>
    </row>
    <row r="2419" ht="15.75" customHeight="1">
      <c r="A2419" s="1"/>
      <c r="B2419" s="1"/>
      <c r="C2419" s="1"/>
      <c r="D2419" s="1"/>
      <c r="E2419" s="1"/>
      <c r="F2419" s="1"/>
      <c r="G2419" s="1"/>
      <c r="H2419" s="1"/>
      <c r="I2419" s="1"/>
      <c r="J2419" s="1"/>
      <c r="K2419" s="102" t="s">
        <v>4412</v>
      </c>
      <c r="L2419" s="102" t="str">
        <f>P78</f>
        <v>J1a2a1a2d2b2a2a1~</v>
      </c>
      <c r="M2419" s="102"/>
      <c r="N2419" s="102"/>
      <c r="O2419" s="105">
        <v>2.1522304E7</v>
      </c>
      <c r="P2419" s="105">
        <v>1.9360418E7</v>
      </c>
      <c r="Q2419" s="102" t="s">
        <v>2563</v>
      </c>
      <c r="S2419" s="1"/>
      <c r="T2419" s="1"/>
      <c r="U2419" s="1"/>
      <c r="V2419" s="1"/>
      <c r="W2419" s="1"/>
      <c r="X2419" s="1"/>
      <c r="Y2419" s="1"/>
      <c r="Z2419" s="102"/>
      <c r="AA2419" s="102"/>
      <c r="AB2419" s="1"/>
      <c r="AC2419" s="1"/>
      <c r="AD2419" s="1"/>
      <c r="AE2419" s="1"/>
      <c r="AF2419" s="1"/>
      <c r="AG2419" s="1"/>
    </row>
    <row r="2420" ht="15.75" customHeight="1">
      <c r="A2420" s="1"/>
      <c r="B2420" s="1"/>
      <c r="C2420" s="1"/>
      <c r="D2420" s="1"/>
      <c r="E2420" s="1"/>
      <c r="F2420" s="1"/>
      <c r="G2420" s="1"/>
      <c r="H2420" s="1"/>
      <c r="I2420" s="1"/>
      <c r="J2420" s="1"/>
      <c r="K2420" s="102" t="s">
        <v>4413</v>
      </c>
      <c r="L2420" s="102" t="str">
        <f>P78</f>
        <v>J1a2a1a2d2b2a2a1~</v>
      </c>
      <c r="M2420" s="102"/>
      <c r="N2420" s="102"/>
      <c r="O2420" s="105">
        <v>2.1352461E7</v>
      </c>
      <c r="P2420" s="105">
        <v>1.9190575E7</v>
      </c>
      <c r="Q2420" s="102" t="s">
        <v>2439</v>
      </c>
      <c r="S2420" s="1"/>
      <c r="T2420" s="1"/>
      <c r="U2420" s="1"/>
      <c r="V2420" s="1"/>
      <c r="W2420" s="1"/>
      <c r="X2420" s="1"/>
      <c r="Y2420" s="1"/>
      <c r="Z2420" s="102"/>
      <c r="AA2420" s="102"/>
      <c r="AB2420" s="1"/>
      <c r="AC2420" s="1"/>
      <c r="AD2420" s="1"/>
      <c r="AE2420" s="1"/>
      <c r="AF2420" s="1"/>
      <c r="AG2420" s="1"/>
    </row>
    <row r="2421" ht="15.75" customHeight="1">
      <c r="A2421" s="1"/>
      <c r="B2421" s="1"/>
      <c r="C2421" s="1"/>
      <c r="D2421" s="1"/>
      <c r="E2421" s="1"/>
      <c r="F2421" s="1"/>
      <c r="G2421" s="1"/>
      <c r="H2421" s="1"/>
      <c r="I2421" s="1"/>
      <c r="J2421" s="1"/>
      <c r="K2421" s="102" t="s">
        <v>4414</v>
      </c>
      <c r="L2421" s="102" t="str">
        <f>P78</f>
        <v>J1a2a1a2d2b2a2a1~</v>
      </c>
      <c r="M2421" s="102"/>
      <c r="N2421" s="102"/>
      <c r="O2421" s="102">
        <v>1.9505851E7</v>
      </c>
      <c r="P2421" s="102">
        <v>1.7393971E7</v>
      </c>
      <c r="Q2421" s="102" t="s">
        <v>2468</v>
      </c>
      <c r="S2421" s="1"/>
      <c r="T2421" s="1"/>
      <c r="U2421" s="1"/>
      <c r="V2421" s="1"/>
      <c r="W2421" s="1"/>
      <c r="X2421" s="1"/>
      <c r="Y2421" s="1"/>
      <c r="Z2421" s="102">
        <v>1.9505851E7</v>
      </c>
      <c r="AA2421" s="102"/>
      <c r="AB2421" s="1"/>
      <c r="AC2421" s="1"/>
      <c r="AD2421" s="1"/>
      <c r="AE2421" s="1"/>
      <c r="AF2421" s="1"/>
      <c r="AG2421" s="1"/>
    </row>
    <row r="2422" ht="15.75" customHeight="1">
      <c r="A2422" s="1"/>
      <c r="B2422" s="1"/>
      <c r="C2422" s="1"/>
      <c r="D2422" s="1"/>
      <c r="E2422" s="1"/>
      <c r="F2422" s="1"/>
      <c r="G2422" s="1"/>
      <c r="H2422" s="1"/>
      <c r="I2422" s="1"/>
      <c r="J2422" s="1"/>
      <c r="K2422" s="102" t="s">
        <v>126</v>
      </c>
      <c r="L2422" s="102" t="str">
        <f t="shared" ref="L2422:L2423" si="16">Q79</f>
        <v>J1a2a1a2d2b2a2a1a~</v>
      </c>
      <c r="M2422" s="102"/>
      <c r="N2422" s="102"/>
      <c r="O2422" s="105">
        <v>6752204.0</v>
      </c>
      <c r="P2422" s="105">
        <v>6884163.0</v>
      </c>
      <c r="Q2422" s="102" t="s">
        <v>2514</v>
      </c>
      <c r="S2422" s="1"/>
      <c r="T2422" s="1"/>
      <c r="U2422" s="1"/>
      <c r="V2422" s="1"/>
      <c r="W2422" s="1"/>
      <c r="X2422" s="1"/>
      <c r="Y2422" s="1"/>
      <c r="Z2422" s="102"/>
      <c r="AA2422" s="102"/>
      <c r="AB2422" s="1"/>
      <c r="AC2422" s="1"/>
      <c r="AD2422" s="1"/>
      <c r="AE2422" s="1"/>
      <c r="AF2422" s="1"/>
      <c r="AG2422" s="1"/>
    </row>
    <row r="2423" ht="15.75" customHeight="1">
      <c r="A2423" s="1"/>
      <c r="B2423" s="1"/>
      <c r="C2423" s="1"/>
      <c r="D2423" s="1"/>
      <c r="E2423" s="1"/>
      <c r="F2423" s="1"/>
      <c r="G2423" s="1"/>
      <c r="H2423" s="1"/>
      <c r="I2423" s="1"/>
      <c r="J2423" s="1"/>
      <c r="K2423" s="102" t="s">
        <v>128</v>
      </c>
      <c r="L2423" s="102" t="str">
        <f t="shared" si="16"/>
        <v>J1a2a1a2d2b2a2a1b~</v>
      </c>
      <c r="M2423" s="102"/>
      <c r="N2423" s="102"/>
      <c r="O2423" s="105">
        <v>1.9036306E7</v>
      </c>
      <c r="P2423" s="105">
        <v>1.6924426E7</v>
      </c>
      <c r="Q2423" s="102" t="s">
        <v>2439</v>
      </c>
      <c r="S2423" s="1"/>
      <c r="T2423" s="1"/>
      <c r="U2423" s="1"/>
      <c r="V2423" s="1"/>
      <c r="W2423" s="1"/>
      <c r="X2423" s="1"/>
      <c r="Y2423" s="1"/>
      <c r="Z2423" s="102"/>
      <c r="AA2423" s="102"/>
      <c r="AB2423" s="1"/>
      <c r="AC2423" s="1"/>
      <c r="AD2423" s="1"/>
      <c r="AE2423" s="1"/>
      <c r="AF2423" s="1"/>
      <c r="AG2423" s="1"/>
    </row>
    <row r="2424" ht="15.75" customHeight="1">
      <c r="A2424" s="1"/>
      <c r="B2424" s="1"/>
      <c r="C2424" s="1"/>
      <c r="D2424" s="1"/>
      <c r="E2424" s="1"/>
      <c r="F2424" s="1"/>
      <c r="G2424" s="1"/>
      <c r="H2424" s="1"/>
      <c r="I2424" s="1"/>
      <c r="J2424" s="1"/>
      <c r="K2424" s="102" t="s">
        <v>4415</v>
      </c>
      <c r="L2424" s="102" t="str">
        <f>O81</f>
        <v>J1a2a1a2d2b2a2b~</v>
      </c>
      <c r="M2424" s="102" t="s">
        <v>4416</v>
      </c>
      <c r="N2424" s="102" t="s">
        <v>4417</v>
      </c>
      <c r="O2424" s="105">
        <v>1.5711053E7</v>
      </c>
      <c r="P2424" s="105">
        <v>1.3599173E7</v>
      </c>
      <c r="Q2424" s="102" t="s">
        <v>2439</v>
      </c>
      <c r="S2424" s="1"/>
      <c r="T2424" s="1"/>
      <c r="U2424" s="1"/>
      <c r="V2424" s="1"/>
      <c r="W2424" s="1"/>
      <c r="X2424" s="1"/>
      <c r="Y2424" s="1"/>
      <c r="Z2424" s="102"/>
      <c r="AA2424" s="102"/>
      <c r="AB2424" s="1"/>
      <c r="AC2424" s="1"/>
      <c r="AD2424" s="1"/>
      <c r="AE2424" s="1"/>
      <c r="AF2424" s="1"/>
      <c r="AG2424" s="1"/>
    </row>
    <row r="2425" ht="15.75" customHeight="1">
      <c r="A2425" s="1"/>
      <c r="B2425" s="1"/>
      <c r="C2425" s="1"/>
      <c r="D2425" s="1"/>
      <c r="E2425" s="1"/>
      <c r="F2425" s="1"/>
      <c r="G2425" s="1"/>
      <c r="H2425" s="1"/>
      <c r="I2425" s="1"/>
      <c r="J2425" s="1"/>
      <c r="K2425" s="102" t="s">
        <v>4418</v>
      </c>
      <c r="L2425" s="102" t="str">
        <f>O81</f>
        <v>J1a2a1a2d2b2a2b~</v>
      </c>
      <c r="M2425" s="102" t="s">
        <v>4419</v>
      </c>
      <c r="N2425" s="102" t="s">
        <v>4417</v>
      </c>
      <c r="O2425" s="105">
        <v>1.5711053E7</v>
      </c>
      <c r="P2425" s="105">
        <v>1.3599173E7</v>
      </c>
      <c r="Q2425" s="102" t="s">
        <v>2439</v>
      </c>
      <c r="S2425" s="1"/>
      <c r="T2425" s="1"/>
      <c r="U2425" s="1"/>
      <c r="V2425" s="1"/>
      <c r="W2425" s="1"/>
      <c r="X2425" s="1"/>
      <c r="Y2425" s="1"/>
      <c r="Z2425" s="102"/>
      <c r="AA2425" s="102"/>
      <c r="AB2425" s="1"/>
      <c r="AC2425" s="1"/>
      <c r="AD2425" s="1"/>
      <c r="AE2425" s="1"/>
      <c r="AF2425" s="1"/>
      <c r="AG2425" s="1"/>
    </row>
    <row r="2426" ht="15.75" customHeight="1">
      <c r="A2426" s="1"/>
      <c r="B2426" s="1"/>
      <c r="C2426" s="1"/>
      <c r="D2426" s="1"/>
      <c r="E2426" s="1"/>
      <c r="F2426" s="1"/>
      <c r="G2426" s="1"/>
      <c r="H2426" s="1"/>
      <c r="I2426" s="1"/>
      <c r="J2426" s="1"/>
      <c r="K2426" s="102" t="s">
        <v>4420</v>
      </c>
      <c r="L2426" s="102" t="str">
        <f>O81</f>
        <v>J1a2a1a2d2b2a2b~</v>
      </c>
      <c r="M2426" s="102" t="s">
        <v>4421</v>
      </c>
      <c r="N2426" s="102" t="s">
        <v>4417</v>
      </c>
      <c r="O2426" s="105">
        <v>1.5711053E7</v>
      </c>
      <c r="P2426" s="105">
        <v>1.3599173E7</v>
      </c>
      <c r="Q2426" s="102" t="s">
        <v>2439</v>
      </c>
      <c r="S2426" s="1"/>
      <c r="T2426" s="1"/>
      <c r="U2426" s="1"/>
      <c r="V2426" s="1"/>
      <c r="W2426" s="1"/>
      <c r="X2426" s="1"/>
      <c r="Y2426" s="1"/>
      <c r="Z2426" s="102"/>
      <c r="AA2426" s="102"/>
      <c r="AB2426" s="1"/>
      <c r="AC2426" s="1"/>
      <c r="AD2426" s="1"/>
      <c r="AE2426" s="1"/>
      <c r="AF2426" s="1"/>
      <c r="AG2426" s="1"/>
    </row>
    <row r="2427" ht="15.75" customHeight="1">
      <c r="A2427" s="1"/>
      <c r="B2427" s="1"/>
      <c r="C2427" s="1"/>
      <c r="D2427" s="1"/>
      <c r="E2427" s="1"/>
      <c r="F2427" s="1"/>
      <c r="G2427" s="1"/>
      <c r="H2427" s="1"/>
      <c r="I2427" s="1"/>
      <c r="J2427" s="1"/>
      <c r="K2427" s="102" t="s">
        <v>4422</v>
      </c>
      <c r="L2427" s="102" t="str">
        <f>O81</f>
        <v>J1a2a1a2d2b2a2b~</v>
      </c>
      <c r="M2427" s="102" t="s">
        <v>4423</v>
      </c>
      <c r="N2427" s="102" t="s">
        <v>4417</v>
      </c>
      <c r="O2427" s="105">
        <v>1.5711053E7</v>
      </c>
      <c r="P2427" s="105">
        <v>1.3599173E7</v>
      </c>
      <c r="Q2427" s="102" t="s">
        <v>2439</v>
      </c>
      <c r="S2427" s="1"/>
      <c r="T2427" s="1"/>
      <c r="U2427" s="1"/>
      <c r="V2427" s="1"/>
      <c r="W2427" s="1"/>
      <c r="X2427" s="1"/>
      <c r="Y2427" s="1"/>
      <c r="Z2427" s="102"/>
      <c r="AA2427" s="102"/>
      <c r="AB2427" s="1"/>
      <c r="AC2427" s="1"/>
      <c r="AD2427" s="1"/>
      <c r="AE2427" s="1"/>
      <c r="AF2427" s="1"/>
      <c r="AG2427" s="1"/>
    </row>
    <row r="2428" ht="15.75" customHeight="1">
      <c r="A2428" s="1"/>
      <c r="B2428" s="1"/>
      <c r="C2428" s="1"/>
      <c r="D2428" s="1"/>
      <c r="E2428" s="1"/>
      <c r="F2428" s="1"/>
      <c r="G2428" s="1"/>
      <c r="H2428" s="1"/>
      <c r="I2428" s="1"/>
      <c r="J2428" s="1"/>
      <c r="K2428" s="102" t="s">
        <v>4424</v>
      </c>
      <c r="L2428" s="102" t="str">
        <f>O81</f>
        <v>J1a2a1a2d2b2a2b~</v>
      </c>
      <c r="M2428" s="106" t="s">
        <v>4425</v>
      </c>
      <c r="N2428" s="102" t="s">
        <v>4426</v>
      </c>
      <c r="O2428" s="105">
        <v>8067523.0</v>
      </c>
      <c r="P2428" s="105">
        <v>8199482.0</v>
      </c>
      <c r="Q2428" s="102" t="s">
        <v>2501</v>
      </c>
      <c r="S2428" s="1"/>
      <c r="T2428" s="1"/>
      <c r="U2428" s="1"/>
      <c r="V2428" s="1"/>
      <c r="W2428" s="1"/>
      <c r="X2428" s="1"/>
      <c r="Y2428" s="1"/>
      <c r="Z2428" s="102"/>
      <c r="AA2428" s="102"/>
      <c r="AB2428" s="1"/>
      <c r="AC2428" s="1"/>
      <c r="AD2428" s="1"/>
      <c r="AE2428" s="1"/>
      <c r="AF2428" s="1"/>
      <c r="AG2428" s="1"/>
    </row>
    <row r="2429" ht="15.75" customHeight="1">
      <c r="A2429" s="1"/>
      <c r="B2429" s="1"/>
      <c r="C2429" s="1"/>
      <c r="D2429" s="1"/>
      <c r="E2429" s="1"/>
      <c r="F2429" s="1"/>
      <c r="G2429" s="1"/>
      <c r="H2429" s="1"/>
      <c r="I2429" s="1"/>
      <c r="J2429" s="1"/>
      <c r="K2429" s="106" t="s">
        <v>4425</v>
      </c>
      <c r="L2429" s="102" t="str">
        <f>O81</f>
        <v>J1a2a1a2d2b2a2b~</v>
      </c>
      <c r="M2429" s="102" t="s">
        <v>4424</v>
      </c>
      <c r="N2429" s="102" t="s">
        <v>4426</v>
      </c>
      <c r="O2429" s="105">
        <v>8067523.0</v>
      </c>
      <c r="P2429" s="105">
        <v>8199482.0</v>
      </c>
      <c r="Q2429" s="102" t="s">
        <v>2501</v>
      </c>
      <c r="S2429" s="1"/>
      <c r="T2429" s="1"/>
      <c r="U2429" s="1"/>
      <c r="V2429" s="1"/>
      <c r="W2429" s="1"/>
      <c r="X2429" s="1"/>
      <c r="Y2429" s="1"/>
      <c r="Z2429" s="102">
        <v>2795670.0</v>
      </c>
      <c r="AA2429" s="102" t="s">
        <v>4427</v>
      </c>
      <c r="AB2429" s="1"/>
      <c r="AC2429" s="1"/>
      <c r="AD2429" s="1"/>
      <c r="AE2429" s="1"/>
      <c r="AF2429" s="1"/>
      <c r="AG2429" s="1"/>
    </row>
    <row r="2430" ht="15.75" customHeight="1">
      <c r="A2430" s="1"/>
      <c r="B2430" s="1"/>
      <c r="C2430" s="1"/>
      <c r="D2430" s="1"/>
      <c r="E2430" s="1"/>
      <c r="F2430" s="1"/>
      <c r="G2430" s="1"/>
      <c r="H2430" s="1"/>
      <c r="I2430" s="1"/>
      <c r="J2430" s="1"/>
      <c r="K2430" s="102" t="s">
        <v>4428</v>
      </c>
      <c r="L2430" s="102" t="str">
        <f>O81</f>
        <v>J1a2a1a2d2b2a2b~</v>
      </c>
      <c r="M2430" s="102" t="s">
        <v>4429</v>
      </c>
      <c r="N2430" s="102"/>
      <c r="O2430" s="105">
        <v>7190823.0</v>
      </c>
      <c r="P2430" s="105">
        <v>7322782.0</v>
      </c>
      <c r="Q2430" s="102" t="s">
        <v>2439</v>
      </c>
      <c r="S2430" s="1"/>
      <c r="T2430" s="1"/>
      <c r="U2430" s="1"/>
      <c r="V2430" s="1"/>
      <c r="W2430" s="1"/>
      <c r="X2430" s="1"/>
      <c r="Y2430" s="1"/>
      <c r="Z2430" s="102"/>
      <c r="AA2430" s="102"/>
      <c r="AB2430" s="1"/>
      <c r="AC2430" s="1"/>
      <c r="AD2430" s="1"/>
      <c r="AE2430" s="1"/>
      <c r="AF2430" s="1"/>
      <c r="AG2430" s="1"/>
    </row>
    <row r="2431" ht="15.75" customHeight="1">
      <c r="A2431" s="1"/>
      <c r="B2431" s="1"/>
      <c r="C2431" s="1"/>
      <c r="D2431" s="1"/>
      <c r="E2431" s="1"/>
      <c r="F2431" s="1"/>
      <c r="G2431" s="1"/>
      <c r="H2431" s="1"/>
      <c r="I2431" s="1"/>
      <c r="J2431" s="1"/>
      <c r="K2431" s="102" t="s">
        <v>4429</v>
      </c>
      <c r="L2431" s="102" t="str">
        <f>O81</f>
        <v>J1a2a1a2d2b2a2b~</v>
      </c>
      <c r="M2431" s="102" t="s">
        <v>4428</v>
      </c>
      <c r="N2431" s="102"/>
      <c r="O2431" s="105">
        <v>7190823.0</v>
      </c>
      <c r="P2431" s="105">
        <v>7322782.0</v>
      </c>
      <c r="Q2431" s="102" t="s">
        <v>2439</v>
      </c>
      <c r="S2431" s="1"/>
      <c r="T2431" s="1"/>
      <c r="U2431" s="1"/>
      <c r="V2431" s="1"/>
      <c r="W2431" s="1"/>
      <c r="X2431" s="1"/>
      <c r="Y2431" s="1"/>
      <c r="Z2431" s="102"/>
      <c r="AA2431" s="102"/>
      <c r="AB2431" s="1"/>
      <c r="AC2431" s="1"/>
      <c r="AD2431" s="1"/>
      <c r="AE2431" s="1"/>
      <c r="AF2431" s="1"/>
      <c r="AG2431" s="1"/>
    </row>
    <row r="2432" ht="15.75" customHeight="1">
      <c r="A2432" s="1"/>
      <c r="B2432" s="1"/>
      <c r="C2432" s="1"/>
      <c r="D2432" s="1"/>
      <c r="E2432" s="1"/>
      <c r="F2432" s="1"/>
      <c r="G2432" s="1"/>
      <c r="H2432" s="1"/>
      <c r="I2432" s="1"/>
      <c r="J2432" s="1"/>
      <c r="K2432" s="102" t="s">
        <v>4430</v>
      </c>
      <c r="L2432" s="102" t="str">
        <f>O81</f>
        <v>J1a2a1a2d2b2a2b~</v>
      </c>
      <c r="M2432" s="102"/>
      <c r="N2432" s="102"/>
      <c r="O2432" s="105">
        <v>8762098.0</v>
      </c>
      <c r="P2432" s="105">
        <v>8894057.0</v>
      </c>
      <c r="Q2432" s="102" t="s">
        <v>2468</v>
      </c>
      <c r="S2432" s="1"/>
      <c r="T2432" s="1"/>
      <c r="U2432" s="1"/>
      <c r="V2432" s="1"/>
      <c r="W2432" s="1"/>
      <c r="X2432" s="1"/>
      <c r="Y2432" s="1"/>
      <c r="Z2432" s="102"/>
      <c r="AA2432" s="102"/>
      <c r="AB2432" s="1"/>
      <c r="AC2432" s="1"/>
      <c r="AD2432" s="1"/>
      <c r="AE2432" s="1"/>
      <c r="AF2432" s="1"/>
      <c r="AG2432" s="1"/>
    </row>
    <row r="2433" ht="15.75" customHeight="1">
      <c r="A2433" s="1"/>
      <c r="B2433" s="1"/>
      <c r="C2433" s="1"/>
      <c r="D2433" s="1"/>
      <c r="E2433" s="1"/>
      <c r="F2433" s="1"/>
      <c r="G2433" s="1"/>
      <c r="H2433" s="1"/>
      <c r="I2433" s="1"/>
      <c r="J2433" s="1"/>
      <c r="K2433" s="102" t="s">
        <v>4431</v>
      </c>
      <c r="L2433" s="102" t="str">
        <f>O81</f>
        <v>J1a2a1a2d2b2a2b~</v>
      </c>
      <c r="M2433" s="102"/>
      <c r="N2433" s="102" t="s">
        <v>4432</v>
      </c>
      <c r="O2433" s="105">
        <v>2830103.0</v>
      </c>
      <c r="P2433" s="105">
        <v>2962062.0</v>
      </c>
      <c r="Q2433" s="102" t="s">
        <v>2529</v>
      </c>
      <c r="S2433" s="1"/>
      <c r="T2433" s="1"/>
      <c r="U2433" s="1"/>
      <c r="V2433" s="1"/>
      <c r="W2433" s="1"/>
      <c r="X2433" s="1"/>
      <c r="Y2433" s="1"/>
      <c r="Z2433" s="102"/>
      <c r="AA2433" s="102"/>
      <c r="AB2433" s="1"/>
      <c r="AC2433" s="1"/>
      <c r="AD2433" s="1"/>
      <c r="AE2433" s="1"/>
      <c r="AF2433" s="1"/>
      <c r="AG2433" s="1"/>
    </row>
    <row r="2434" ht="15.75" customHeight="1">
      <c r="A2434" s="1"/>
      <c r="B2434" s="1"/>
      <c r="C2434" s="1"/>
      <c r="D2434" s="1"/>
      <c r="E2434" s="1"/>
      <c r="F2434" s="1"/>
      <c r="G2434" s="1"/>
      <c r="H2434" s="1"/>
      <c r="I2434" s="1"/>
      <c r="J2434" s="1"/>
      <c r="K2434" s="102" t="s">
        <v>4433</v>
      </c>
      <c r="L2434" s="102" t="str">
        <f>O81</f>
        <v>J1a2a1a2d2b2a2b~</v>
      </c>
      <c r="M2434" s="102"/>
      <c r="N2434" s="102"/>
      <c r="O2434" s="105">
        <v>7145678.0</v>
      </c>
      <c r="P2434" s="105">
        <v>7277637.0</v>
      </c>
      <c r="Q2434" s="102" t="s">
        <v>2501</v>
      </c>
      <c r="S2434" s="1"/>
      <c r="T2434" s="1"/>
      <c r="U2434" s="1"/>
      <c r="V2434" s="1"/>
      <c r="W2434" s="1"/>
      <c r="X2434" s="1"/>
      <c r="Y2434" s="1"/>
      <c r="Z2434" s="102"/>
      <c r="AA2434" s="102"/>
      <c r="AB2434" s="1"/>
      <c r="AC2434" s="1"/>
      <c r="AD2434" s="1"/>
      <c r="AE2434" s="1"/>
      <c r="AF2434" s="1"/>
      <c r="AG2434" s="1"/>
    </row>
    <row r="2435" ht="15.75" customHeight="1">
      <c r="A2435" s="1"/>
      <c r="B2435" s="1"/>
      <c r="C2435" s="1"/>
      <c r="D2435" s="1"/>
      <c r="E2435" s="1"/>
      <c r="F2435" s="1"/>
      <c r="G2435" s="1"/>
      <c r="H2435" s="1"/>
      <c r="I2435" s="1"/>
      <c r="J2435" s="1"/>
      <c r="K2435" s="102" t="s">
        <v>4434</v>
      </c>
      <c r="L2435" s="102" t="str">
        <f>O81</f>
        <v>J1a2a1a2d2b2a2b~</v>
      </c>
      <c r="M2435" s="102"/>
      <c r="N2435" s="102"/>
      <c r="O2435" s="105">
        <v>7189493.0</v>
      </c>
      <c r="P2435" s="105">
        <v>7321452.0</v>
      </c>
      <c r="Q2435" s="102" t="s">
        <v>2514</v>
      </c>
      <c r="S2435" s="1"/>
      <c r="T2435" s="1"/>
      <c r="U2435" s="1"/>
      <c r="V2435" s="1"/>
      <c r="W2435" s="1"/>
      <c r="X2435" s="1"/>
      <c r="Y2435" s="1"/>
      <c r="Z2435" s="102"/>
      <c r="AA2435" s="102"/>
      <c r="AB2435" s="1"/>
      <c r="AC2435" s="1"/>
      <c r="AD2435" s="1"/>
      <c r="AE2435" s="1"/>
      <c r="AF2435" s="1"/>
      <c r="AG2435" s="1"/>
    </row>
    <row r="2436" ht="15.75" customHeight="1">
      <c r="A2436" s="1"/>
      <c r="B2436" s="1"/>
      <c r="C2436" s="1"/>
      <c r="D2436" s="1"/>
      <c r="E2436" s="1"/>
      <c r="F2436" s="1"/>
      <c r="G2436" s="1"/>
      <c r="H2436" s="1"/>
      <c r="I2436" s="1"/>
      <c r="J2436" s="1"/>
      <c r="K2436" s="102" t="s">
        <v>4435</v>
      </c>
      <c r="L2436" s="102" t="str">
        <f>O81</f>
        <v>J1a2a1a2d2b2a2b~</v>
      </c>
      <c r="M2436" s="102"/>
      <c r="N2436" s="102" t="s">
        <v>4436</v>
      </c>
      <c r="O2436" s="105">
        <v>7658510.0</v>
      </c>
      <c r="P2436" s="105">
        <v>7790469.0</v>
      </c>
      <c r="Q2436" s="102" t="s">
        <v>2563</v>
      </c>
      <c r="S2436" s="1"/>
      <c r="T2436" s="1"/>
      <c r="U2436" s="1"/>
      <c r="V2436" s="1"/>
      <c r="W2436" s="1"/>
      <c r="X2436" s="1"/>
      <c r="Y2436" s="1"/>
      <c r="Z2436" s="102"/>
      <c r="AA2436" s="102"/>
      <c r="AB2436" s="1"/>
      <c r="AC2436" s="1"/>
      <c r="AD2436" s="1"/>
      <c r="AE2436" s="1"/>
      <c r="AF2436" s="1"/>
      <c r="AG2436" s="1"/>
    </row>
    <row r="2437" ht="15.75" customHeight="1">
      <c r="A2437" s="1"/>
      <c r="B2437" s="1"/>
      <c r="C2437" s="1"/>
      <c r="D2437" s="1"/>
      <c r="E2437" s="1"/>
      <c r="F2437" s="1"/>
      <c r="G2437" s="1"/>
      <c r="H2437" s="1"/>
      <c r="I2437" s="1"/>
      <c r="J2437" s="1"/>
      <c r="K2437" s="102" t="s">
        <v>4437</v>
      </c>
      <c r="L2437" s="102" t="str">
        <f>O81</f>
        <v>J1a2a1a2d2b2a2b~</v>
      </c>
      <c r="M2437" s="102"/>
      <c r="N2437" s="102" t="s">
        <v>4438</v>
      </c>
      <c r="O2437" s="105">
        <v>7909867.0</v>
      </c>
      <c r="P2437" s="105">
        <v>8041826.0</v>
      </c>
      <c r="Q2437" s="102" t="s">
        <v>2501</v>
      </c>
      <c r="S2437" s="1"/>
      <c r="T2437" s="1"/>
      <c r="U2437" s="1"/>
      <c r="V2437" s="1"/>
      <c r="W2437" s="1"/>
      <c r="X2437" s="1"/>
      <c r="Y2437" s="1"/>
      <c r="Z2437" s="102"/>
      <c r="AA2437" s="102"/>
      <c r="AB2437" s="1"/>
      <c r="AC2437" s="1"/>
      <c r="AD2437" s="1"/>
      <c r="AE2437" s="1"/>
      <c r="AF2437" s="1"/>
      <c r="AG2437" s="1"/>
    </row>
    <row r="2438" ht="15.75" customHeight="1">
      <c r="A2438" s="1"/>
      <c r="B2438" s="1"/>
      <c r="C2438" s="1"/>
      <c r="D2438" s="1"/>
      <c r="E2438" s="1"/>
      <c r="F2438" s="1"/>
      <c r="G2438" s="1"/>
      <c r="H2438" s="1"/>
      <c r="I2438" s="1"/>
      <c r="J2438" s="1"/>
      <c r="K2438" s="102" t="s">
        <v>4439</v>
      </c>
      <c r="L2438" s="102" t="str">
        <f>O81</f>
        <v>J1a2a1a2d2b2a2b~</v>
      </c>
      <c r="M2438" s="102"/>
      <c r="N2438" s="102" t="s">
        <v>4440</v>
      </c>
      <c r="O2438" s="105">
        <v>7937858.0</v>
      </c>
      <c r="P2438" s="105">
        <v>8069817.0</v>
      </c>
      <c r="Q2438" s="102" t="s">
        <v>2501</v>
      </c>
      <c r="S2438" s="1"/>
      <c r="T2438" s="1"/>
      <c r="U2438" s="1"/>
      <c r="V2438" s="1"/>
      <c r="W2438" s="1"/>
      <c r="X2438" s="1"/>
      <c r="Y2438" s="1"/>
      <c r="Z2438" s="102"/>
      <c r="AA2438" s="102"/>
      <c r="AB2438" s="1"/>
      <c r="AC2438" s="1"/>
      <c r="AD2438" s="1"/>
      <c r="AE2438" s="1"/>
      <c r="AF2438" s="1"/>
      <c r="AG2438" s="1"/>
    </row>
    <row r="2439" ht="15.75" customHeight="1">
      <c r="A2439" s="1"/>
      <c r="B2439" s="1"/>
      <c r="C2439" s="1"/>
      <c r="D2439" s="1"/>
      <c r="E2439" s="1"/>
      <c r="F2439" s="1"/>
      <c r="G2439" s="1"/>
      <c r="H2439" s="1"/>
      <c r="I2439" s="1"/>
      <c r="J2439" s="1"/>
      <c r="K2439" s="102" t="s">
        <v>4441</v>
      </c>
      <c r="L2439" s="102" t="str">
        <f>O81</f>
        <v>J1a2a1a2d2b2a2b~</v>
      </c>
      <c r="M2439" s="102"/>
      <c r="N2439" s="102" t="s">
        <v>4442</v>
      </c>
      <c r="O2439" s="105">
        <v>7971217.0</v>
      </c>
      <c r="P2439" s="105">
        <v>8103176.0</v>
      </c>
      <c r="Q2439" s="102" t="s">
        <v>2423</v>
      </c>
      <c r="S2439" s="1"/>
      <c r="T2439" s="1"/>
      <c r="U2439" s="1"/>
      <c r="V2439" s="1"/>
      <c r="W2439" s="1"/>
      <c r="X2439" s="1"/>
      <c r="Y2439" s="1"/>
      <c r="Z2439" s="102"/>
      <c r="AA2439" s="102"/>
      <c r="AB2439" s="1"/>
      <c r="AC2439" s="1"/>
      <c r="AD2439" s="1"/>
      <c r="AE2439" s="1"/>
      <c r="AF2439" s="1"/>
      <c r="AG2439" s="1"/>
    </row>
    <row r="2440" ht="15.75" customHeight="1">
      <c r="A2440" s="1"/>
      <c r="B2440" s="1"/>
      <c r="C2440" s="1"/>
      <c r="D2440" s="1"/>
      <c r="E2440" s="1"/>
      <c r="F2440" s="1"/>
      <c r="G2440" s="1"/>
      <c r="H2440" s="1"/>
      <c r="I2440" s="1"/>
      <c r="J2440" s="1"/>
      <c r="K2440" s="102" t="s">
        <v>4443</v>
      </c>
      <c r="L2440" s="102" t="str">
        <f>O81</f>
        <v>J1a2a1a2d2b2a2b~</v>
      </c>
      <c r="M2440" s="102"/>
      <c r="N2440" s="102" t="s">
        <v>4444</v>
      </c>
      <c r="O2440" s="105">
        <v>8402717.0</v>
      </c>
      <c r="P2440" s="105">
        <v>8534676.0</v>
      </c>
      <c r="Q2440" s="102" t="s">
        <v>2439</v>
      </c>
      <c r="S2440" s="1"/>
      <c r="T2440" s="1"/>
      <c r="U2440" s="1"/>
      <c r="V2440" s="1"/>
      <c r="W2440" s="1"/>
      <c r="X2440" s="1"/>
      <c r="Y2440" s="1"/>
      <c r="Z2440" s="102"/>
      <c r="AA2440" s="102"/>
      <c r="AB2440" s="1"/>
      <c r="AC2440" s="1"/>
      <c r="AD2440" s="1"/>
      <c r="AE2440" s="1"/>
      <c r="AF2440" s="1"/>
      <c r="AG2440" s="1"/>
    </row>
    <row r="2441" ht="15.75" customHeight="1">
      <c r="A2441" s="1"/>
      <c r="B2441" s="1"/>
      <c r="C2441" s="1"/>
      <c r="D2441" s="1"/>
      <c r="E2441" s="1"/>
      <c r="F2441" s="1"/>
      <c r="G2441" s="1"/>
      <c r="H2441" s="1"/>
      <c r="I2441" s="1"/>
      <c r="J2441" s="1"/>
      <c r="K2441" s="102" t="s">
        <v>4445</v>
      </c>
      <c r="L2441" s="102" t="str">
        <f>O81</f>
        <v>J1a2a1a2d2b2a2b~</v>
      </c>
      <c r="M2441" s="102"/>
      <c r="N2441" s="102" t="s">
        <v>4446</v>
      </c>
      <c r="O2441" s="105">
        <v>8578504.0</v>
      </c>
      <c r="P2441" s="105">
        <v>8710463.0</v>
      </c>
      <c r="Q2441" s="102" t="s">
        <v>2468</v>
      </c>
      <c r="S2441" s="1"/>
      <c r="T2441" s="1"/>
      <c r="U2441" s="1"/>
      <c r="V2441" s="1"/>
      <c r="W2441" s="1"/>
      <c r="X2441" s="1"/>
      <c r="Y2441" s="1"/>
      <c r="Z2441" s="102"/>
      <c r="AA2441" s="102"/>
      <c r="AB2441" s="1"/>
      <c r="AC2441" s="1"/>
      <c r="AD2441" s="1"/>
      <c r="AE2441" s="1"/>
      <c r="AF2441" s="1"/>
      <c r="AG2441" s="1"/>
    </row>
    <row r="2442" ht="15.75" customHeight="1">
      <c r="A2442" s="1"/>
      <c r="B2442" s="1"/>
      <c r="C2442" s="1"/>
      <c r="D2442" s="1"/>
      <c r="E2442" s="1"/>
      <c r="F2442" s="1"/>
      <c r="G2442" s="1"/>
      <c r="H2442" s="1"/>
      <c r="I2442" s="1"/>
      <c r="J2442" s="1"/>
      <c r="K2442" s="102" t="s">
        <v>4447</v>
      </c>
      <c r="L2442" s="102" t="str">
        <f>O81</f>
        <v>J1a2a1a2d2b2a2b~</v>
      </c>
      <c r="M2442" s="102"/>
      <c r="N2442" s="102"/>
      <c r="O2442" s="105">
        <v>8616327.0</v>
      </c>
      <c r="P2442" s="105">
        <v>8748286.0</v>
      </c>
      <c r="Q2442" s="102" t="s">
        <v>2439</v>
      </c>
      <c r="S2442" s="1"/>
      <c r="T2442" s="1"/>
      <c r="U2442" s="1"/>
      <c r="V2442" s="1"/>
      <c r="W2442" s="1"/>
      <c r="X2442" s="1"/>
      <c r="Y2442" s="1"/>
      <c r="Z2442" s="102"/>
      <c r="AA2442" s="102"/>
      <c r="AB2442" s="1"/>
      <c r="AC2442" s="1"/>
      <c r="AD2442" s="1"/>
      <c r="AE2442" s="1"/>
      <c r="AF2442" s="1"/>
      <c r="AG2442" s="1"/>
    </row>
    <row r="2443" ht="15.75" customHeight="1">
      <c r="A2443" s="1"/>
      <c r="B2443" s="1"/>
      <c r="C2443" s="1"/>
      <c r="D2443" s="1"/>
      <c r="E2443" s="1"/>
      <c r="F2443" s="1"/>
      <c r="G2443" s="1"/>
      <c r="H2443" s="1"/>
      <c r="I2443" s="1"/>
      <c r="J2443" s="1"/>
      <c r="K2443" s="102" t="s">
        <v>4448</v>
      </c>
      <c r="L2443" s="102" t="str">
        <f>O81</f>
        <v>J1a2a1a2d2b2a2b~</v>
      </c>
      <c r="M2443" s="102"/>
      <c r="N2443" s="102"/>
      <c r="O2443" s="105">
        <v>8786917.0</v>
      </c>
      <c r="P2443" s="105">
        <v>8918876.0</v>
      </c>
      <c r="Q2443" s="102" t="s">
        <v>2576</v>
      </c>
      <c r="S2443" s="1"/>
      <c r="T2443" s="1"/>
      <c r="U2443" s="1"/>
      <c r="V2443" s="1"/>
      <c r="W2443" s="1"/>
      <c r="X2443" s="1"/>
      <c r="Y2443" s="1"/>
      <c r="Z2443" s="102"/>
      <c r="AA2443" s="102"/>
      <c r="AB2443" s="1"/>
      <c r="AC2443" s="1"/>
      <c r="AD2443" s="1"/>
      <c r="AE2443" s="1"/>
      <c r="AF2443" s="1"/>
      <c r="AG2443" s="1"/>
    </row>
    <row r="2444" ht="15.75" customHeight="1">
      <c r="A2444" s="1"/>
      <c r="B2444" s="1"/>
      <c r="C2444" s="1"/>
      <c r="D2444" s="1"/>
      <c r="E2444" s="1"/>
      <c r="F2444" s="1"/>
      <c r="G2444" s="1"/>
      <c r="H2444" s="1"/>
      <c r="I2444" s="1"/>
      <c r="J2444" s="1"/>
      <c r="K2444" s="102" t="s">
        <v>4449</v>
      </c>
      <c r="L2444" s="102" t="str">
        <f>O81</f>
        <v>J1a2a1a2d2b2a2b~</v>
      </c>
      <c r="M2444" s="102"/>
      <c r="N2444" s="102"/>
      <c r="O2444" s="105">
        <v>9160966.0</v>
      </c>
      <c r="P2444" s="105">
        <v>9323357.0</v>
      </c>
      <c r="Q2444" s="102" t="s">
        <v>2576</v>
      </c>
      <c r="S2444" s="1"/>
      <c r="T2444" s="1"/>
      <c r="U2444" s="1"/>
      <c r="V2444" s="1"/>
      <c r="W2444" s="1"/>
      <c r="X2444" s="1"/>
      <c r="Y2444" s="1"/>
      <c r="Z2444" s="102"/>
      <c r="AA2444" s="102"/>
      <c r="AB2444" s="1"/>
      <c r="AC2444" s="1"/>
      <c r="AD2444" s="1"/>
      <c r="AE2444" s="1"/>
      <c r="AF2444" s="1"/>
      <c r="AG2444" s="1"/>
    </row>
    <row r="2445" ht="15.75" customHeight="1">
      <c r="A2445" s="1"/>
      <c r="B2445" s="1"/>
      <c r="C2445" s="1"/>
      <c r="D2445" s="1"/>
      <c r="E2445" s="1"/>
      <c r="F2445" s="1"/>
      <c r="G2445" s="1"/>
      <c r="H2445" s="1"/>
      <c r="I2445" s="1"/>
      <c r="J2445" s="1"/>
      <c r="K2445" s="102" t="s">
        <v>4450</v>
      </c>
      <c r="L2445" s="102" t="str">
        <f>O81</f>
        <v>J1a2a1a2d2b2a2b~</v>
      </c>
      <c r="M2445" s="102"/>
      <c r="N2445" s="102" t="s">
        <v>4451</v>
      </c>
      <c r="O2445" s="105">
        <v>1.4199303E7</v>
      </c>
      <c r="P2445" s="105">
        <v>1.2078597E7</v>
      </c>
      <c r="Q2445" s="102" t="s">
        <v>2446</v>
      </c>
      <c r="S2445" s="1"/>
      <c r="T2445" s="1"/>
      <c r="U2445" s="1"/>
      <c r="V2445" s="1"/>
      <c r="W2445" s="1"/>
      <c r="X2445" s="1"/>
      <c r="Y2445" s="1"/>
      <c r="Z2445" s="102"/>
      <c r="AA2445" s="102"/>
      <c r="AB2445" s="1"/>
      <c r="AC2445" s="1"/>
      <c r="AD2445" s="1"/>
      <c r="AE2445" s="1"/>
      <c r="AF2445" s="1"/>
      <c r="AG2445" s="1"/>
    </row>
    <row r="2446" ht="15.75" customHeight="1">
      <c r="A2446" s="1"/>
      <c r="B2446" s="1"/>
      <c r="C2446" s="1"/>
      <c r="D2446" s="1"/>
      <c r="E2446" s="1"/>
      <c r="F2446" s="1"/>
      <c r="G2446" s="1"/>
      <c r="H2446" s="1"/>
      <c r="I2446" s="1"/>
      <c r="J2446" s="1"/>
      <c r="K2446" s="102" t="s">
        <v>4452</v>
      </c>
      <c r="L2446" s="102" t="str">
        <f>O81</f>
        <v>J1a2a1a2d2b2a2b~</v>
      </c>
      <c r="M2446" s="102"/>
      <c r="N2446" s="102" t="s">
        <v>4453</v>
      </c>
      <c r="O2446" s="105">
        <v>1.4911624E7</v>
      </c>
      <c r="P2446" s="105">
        <v>1.2799691E7</v>
      </c>
      <c r="Q2446" s="102" t="s">
        <v>2439</v>
      </c>
      <c r="S2446" s="1"/>
      <c r="T2446" s="1"/>
      <c r="U2446" s="1"/>
      <c r="V2446" s="1"/>
      <c r="W2446" s="1"/>
      <c r="X2446" s="1"/>
      <c r="Y2446" s="1"/>
      <c r="Z2446" s="102"/>
      <c r="AA2446" s="102"/>
      <c r="AB2446" s="1"/>
      <c r="AC2446" s="1"/>
      <c r="AD2446" s="1"/>
      <c r="AE2446" s="1"/>
      <c r="AF2446" s="1"/>
      <c r="AG2446" s="1"/>
    </row>
    <row r="2447" ht="15.75" customHeight="1">
      <c r="A2447" s="1"/>
      <c r="B2447" s="1"/>
      <c r="C2447" s="1"/>
      <c r="D2447" s="1"/>
      <c r="E2447" s="1"/>
      <c r="F2447" s="1"/>
      <c r="G2447" s="1"/>
      <c r="H2447" s="1"/>
      <c r="I2447" s="1"/>
      <c r="J2447" s="1"/>
      <c r="K2447" s="102" t="s">
        <v>4454</v>
      </c>
      <c r="L2447" s="102" t="str">
        <f>O81</f>
        <v>J1a2a1a2d2b2a2b~</v>
      </c>
      <c r="M2447" s="102"/>
      <c r="N2447" s="102" t="s">
        <v>4455</v>
      </c>
      <c r="O2447" s="105">
        <v>1.5787115E7</v>
      </c>
      <c r="P2447" s="105">
        <v>1.3675235E7</v>
      </c>
      <c r="Q2447" s="102" t="s">
        <v>2529</v>
      </c>
      <c r="S2447" s="1"/>
      <c r="T2447" s="1"/>
      <c r="U2447" s="1"/>
      <c r="V2447" s="1"/>
      <c r="W2447" s="1"/>
      <c r="X2447" s="1"/>
      <c r="Y2447" s="1"/>
      <c r="Z2447" s="102"/>
      <c r="AA2447" s="102"/>
      <c r="AB2447" s="1"/>
      <c r="AC2447" s="1"/>
      <c r="AD2447" s="1"/>
      <c r="AE2447" s="1"/>
      <c r="AF2447" s="1"/>
      <c r="AG2447" s="1"/>
    </row>
    <row r="2448" ht="15.75" customHeight="1">
      <c r="A2448" s="1"/>
      <c r="B2448" s="1"/>
      <c r="C2448" s="1"/>
      <c r="D2448" s="1"/>
      <c r="E2448" s="1"/>
      <c r="F2448" s="1"/>
      <c r="G2448" s="1"/>
      <c r="H2448" s="1"/>
      <c r="I2448" s="1"/>
      <c r="J2448" s="1"/>
      <c r="K2448" s="102" t="s">
        <v>4456</v>
      </c>
      <c r="L2448" s="102" t="str">
        <f>O81</f>
        <v>J1a2a1a2d2b2a2b~</v>
      </c>
      <c r="M2448" s="102"/>
      <c r="N2448" s="102"/>
      <c r="O2448" s="105">
        <v>1.6072536E7</v>
      </c>
      <c r="P2448" s="105">
        <v>1.3960656E7</v>
      </c>
      <c r="Q2448" s="102" t="s">
        <v>2576</v>
      </c>
      <c r="S2448" s="1"/>
      <c r="T2448" s="1"/>
      <c r="U2448" s="1"/>
      <c r="V2448" s="1"/>
      <c r="W2448" s="1"/>
      <c r="X2448" s="1"/>
      <c r="Y2448" s="1"/>
      <c r="Z2448" s="102"/>
      <c r="AA2448" s="102"/>
      <c r="AB2448" s="1"/>
      <c r="AC2448" s="1"/>
      <c r="AD2448" s="1"/>
      <c r="AE2448" s="1"/>
      <c r="AF2448" s="1"/>
      <c r="AG2448" s="1"/>
    </row>
    <row r="2449" ht="15.75" customHeight="1">
      <c r="A2449" s="1"/>
      <c r="B2449" s="1"/>
      <c r="C2449" s="1"/>
      <c r="D2449" s="1"/>
      <c r="E2449" s="1"/>
      <c r="F2449" s="1"/>
      <c r="G2449" s="1"/>
      <c r="H2449" s="1"/>
      <c r="I2449" s="1"/>
      <c r="J2449" s="1"/>
      <c r="K2449" s="102" t="s">
        <v>4457</v>
      </c>
      <c r="L2449" s="102" t="str">
        <f>O81</f>
        <v>J1a2a1a2d2b2a2b~</v>
      </c>
      <c r="M2449" s="102"/>
      <c r="N2449" s="102" t="s">
        <v>4458</v>
      </c>
      <c r="O2449" s="105">
        <v>1.6400659E7</v>
      </c>
      <c r="P2449" s="105">
        <v>1.4288779E7</v>
      </c>
      <c r="Q2449" s="102" t="s">
        <v>2501</v>
      </c>
      <c r="S2449" s="1"/>
      <c r="T2449" s="1"/>
      <c r="U2449" s="1"/>
      <c r="V2449" s="1"/>
      <c r="W2449" s="1"/>
      <c r="X2449" s="1"/>
      <c r="Y2449" s="1"/>
      <c r="Z2449" s="102"/>
      <c r="AA2449" s="102"/>
      <c r="AB2449" s="1"/>
      <c r="AC2449" s="1"/>
      <c r="AD2449" s="1"/>
      <c r="AE2449" s="1"/>
      <c r="AF2449" s="1"/>
      <c r="AG2449" s="1"/>
    </row>
    <row r="2450" ht="15.75" customHeight="1">
      <c r="A2450" s="1"/>
      <c r="B2450" s="1"/>
      <c r="C2450" s="1"/>
      <c r="D2450" s="1"/>
      <c r="E2450" s="1"/>
      <c r="F2450" s="1"/>
      <c r="G2450" s="1"/>
      <c r="H2450" s="1"/>
      <c r="I2450" s="1"/>
      <c r="J2450" s="1"/>
      <c r="K2450" s="102" t="s">
        <v>4459</v>
      </c>
      <c r="L2450" s="102" t="str">
        <f>O81</f>
        <v>J1a2a1a2d2b2a2b~</v>
      </c>
      <c r="M2450" s="102"/>
      <c r="N2450" s="102" t="s">
        <v>4460</v>
      </c>
      <c r="O2450" s="105">
        <v>1.6927721E7</v>
      </c>
      <c r="P2450" s="105">
        <v>1.4815841E7</v>
      </c>
      <c r="Q2450" s="102" t="s">
        <v>2533</v>
      </c>
      <c r="S2450" s="1"/>
      <c r="T2450" s="1"/>
      <c r="U2450" s="1"/>
      <c r="V2450" s="1"/>
      <c r="W2450" s="1"/>
      <c r="X2450" s="1"/>
      <c r="Y2450" s="1"/>
      <c r="Z2450" s="102"/>
      <c r="AA2450" s="102"/>
      <c r="AB2450" s="1"/>
      <c r="AC2450" s="1"/>
      <c r="AD2450" s="1"/>
      <c r="AE2450" s="1"/>
      <c r="AF2450" s="1"/>
      <c r="AG2450" s="1"/>
    </row>
    <row r="2451" ht="15.75" customHeight="1">
      <c r="A2451" s="1"/>
      <c r="B2451" s="1"/>
      <c r="C2451" s="1"/>
      <c r="D2451" s="1"/>
      <c r="E2451" s="1"/>
      <c r="F2451" s="1"/>
      <c r="G2451" s="1"/>
      <c r="H2451" s="1"/>
      <c r="I2451" s="1"/>
      <c r="J2451" s="1"/>
      <c r="K2451" s="102" t="s">
        <v>4461</v>
      </c>
      <c r="L2451" s="102" t="str">
        <f>O81</f>
        <v>J1a2a1a2d2b2a2b~</v>
      </c>
      <c r="M2451" s="102"/>
      <c r="N2451" s="102" t="s">
        <v>4462</v>
      </c>
      <c r="O2451" s="105">
        <v>1.8090579E7</v>
      </c>
      <c r="P2451" s="105">
        <v>1.5978699E7</v>
      </c>
      <c r="Q2451" s="102" t="s">
        <v>2501</v>
      </c>
      <c r="S2451" s="1"/>
      <c r="T2451" s="1"/>
      <c r="U2451" s="1"/>
      <c r="V2451" s="1"/>
      <c r="W2451" s="1"/>
      <c r="X2451" s="1"/>
      <c r="Y2451" s="1"/>
      <c r="Z2451" s="102"/>
      <c r="AA2451" s="102"/>
      <c r="AB2451" s="1"/>
      <c r="AC2451" s="1"/>
      <c r="AD2451" s="1"/>
      <c r="AE2451" s="1"/>
      <c r="AF2451" s="1"/>
      <c r="AG2451" s="1"/>
    </row>
    <row r="2452" ht="15.75" customHeight="1">
      <c r="A2452" s="1"/>
      <c r="B2452" s="1"/>
      <c r="C2452" s="1"/>
      <c r="D2452" s="1"/>
      <c r="E2452" s="1"/>
      <c r="F2452" s="1"/>
      <c r="G2452" s="1"/>
      <c r="H2452" s="1"/>
      <c r="I2452" s="1"/>
      <c r="J2452" s="1"/>
      <c r="K2452" s="102" t="s">
        <v>4463</v>
      </c>
      <c r="L2452" s="102" t="str">
        <f>O81</f>
        <v>J1a2a1a2d2b2a2b~</v>
      </c>
      <c r="M2452" s="102"/>
      <c r="N2452" s="102" t="s">
        <v>4464</v>
      </c>
      <c r="O2452" s="105">
        <v>1.8113783E7</v>
      </c>
      <c r="P2452" s="105">
        <v>1.6001903E7</v>
      </c>
      <c r="Q2452" s="102" t="s">
        <v>2468</v>
      </c>
      <c r="S2452" s="1"/>
      <c r="T2452" s="1"/>
      <c r="U2452" s="1"/>
      <c r="V2452" s="1"/>
      <c r="W2452" s="1"/>
      <c r="X2452" s="1"/>
      <c r="Y2452" s="1"/>
      <c r="Z2452" s="102"/>
      <c r="AA2452" s="102"/>
      <c r="AB2452" s="1"/>
      <c r="AC2452" s="1"/>
      <c r="AD2452" s="1"/>
      <c r="AE2452" s="1"/>
      <c r="AF2452" s="1"/>
      <c r="AG2452" s="1"/>
    </row>
    <row r="2453" ht="15.75" customHeight="1">
      <c r="A2453" s="1"/>
      <c r="B2453" s="1"/>
      <c r="C2453" s="1"/>
      <c r="D2453" s="1"/>
      <c r="E2453" s="1"/>
      <c r="F2453" s="1"/>
      <c r="G2453" s="1"/>
      <c r="H2453" s="1"/>
      <c r="I2453" s="1"/>
      <c r="J2453" s="1"/>
      <c r="K2453" s="102" t="s">
        <v>4465</v>
      </c>
      <c r="L2453" s="102" t="str">
        <f>O81</f>
        <v>J1a2a1a2d2b2a2b~</v>
      </c>
      <c r="M2453" s="102"/>
      <c r="N2453" s="102" t="s">
        <v>4466</v>
      </c>
      <c r="O2453" s="105">
        <v>2.1685242E7</v>
      </c>
      <c r="P2453" s="105">
        <v>1.9523356E7</v>
      </c>
      <c r="Q2453" s="102" t="s">
        <v>2501</v>
      </c>
      <c r="S2453" s="1"/>
      <c r="T2453" s="1"/>
      <c r="U2453" s="1"/>
      <c r="V2453" s="1"/>
      <c r="W2453" s="1"/>
      <c r="X2453" s="1"/>
      <c r="Y2453" s="1"/>
      <c r="Z2453" s="102"/>
      <c r="AA2453" s="102"/>
      <c r="AB2453" s="1"/>
      <c r="AC2453" s="1"/>
      <c r="AD2453" s="1"/>
      <c r="AE2453" s="1"/>
      <c r="AF2453" s="1"/>
      <c r="AG2453" s="1"/>
    </row>
    <row r="2454" ht="15.75" customHeight="1">
      <c r="A2454" s="1"/>
      <c r="B2454" s="1"/>
      <c r="C2454" s="1"/>
      <c r="D2454" s="1"/>
      <c r="E2454" s="1"/>
      <c r="F2454" s="1"/>
      <c r="G2454" s="1"/>
      <c r="H2454" s="1"/>
      <c r="I2454" s="1"/>
      <c r="J2454" s="1"/>
      <c r="K2454" s="102" t="s">
        <v>4467</v>
      </c>
      <c r="L2454" s="102" t="str">
        <f>O81</f>
        <v>J1a2a1a2d2b2a2b~</v>
      </c>
      <c r="M2454" s="102"/>
      <c r="N2454" s="102" t="s">
        <v>4468</v>
      </c>
      <c r="O2454" s="105">
        <v>2.1809302E7</v>
      </c>
      <c r="P2454" s="105">
        <v>1.9647416E7</v>
      </c>
      <c r="Q2454" s="102" t="s">
        <v>2423</v>
      </c>
      <c r="S2454" s="1"/>
      <c r="T2454" s="1"/>
      <c r="U2454" s="1"/>
      <c r="V2454" s="1"/>
      <c r="W2454" s="1"/>
      <c r="X2454" s="1"/>
      <c r="Y2454" s="1"/>
      <c r="Z2454" s="102"/>
      <c r="AA2454" s="102"/>
      <c r="AB2454" s="1"/>
      <c r="AC2454" s="1"/>
      <c r="AD2454" s="1"/>
      <c r="AE2454" s="1"/>
      <c r="AF2454" s="1"/>
      <c r="AG2454" s="1"/>
    </row>
    <row r="2455" ht="15.75" customHeight="1">
      <c r="A2455" s="1"/>
      <c r="B2455" s="1"/>
      <c r="C2455" s="1"/>
      <c r="D2455" s="1"/>
      <c r="E2455" s="1"/>
      <c r="F2455" s="1"/>
      <c r="G2455" s="1"/>
      <c r="H2455" s="1"/>
      <c r="I2455" s="1"/>
      <c r="J2455" s="1"/>
      <c r="K2455" s="102" t="s">
        <v>4469</v>
      </c>
      <c r="L2455" s="102" t="str">
        <f>O81</f>
        <v>J1a2a1a2d2b2a2b~</v>
      </c>
      <c r="M2455" s="102"/>
      <c r="N2455" s="102" t="s">
        <v>4470</v>
      </c>
      <c r="O2455" s="105">
        <v>2.1897379E7</v>
      </c>
      <c r="P2455" s="105">
        <v>1.9735493E7</v>
      </c>
      <c r="Q2455" s="102" t="s">
        <v>2529</v>
      </c>
      <c r="S2455" s="1"/>
      <c r="T2455" s="1"/>
      <c r="U2455" s="1"/>
      <c r="V2455" s="1"/>
      <c r="W2455" s="1"/>
      <c r="X2455" s="1"/>
      <c r="Y2455" s="1"/>
      <c r="Z2455" s="102"/>
      <c r="AA2455" s="102"/>
      <c r="AB2455" s="1"/>
      <c r="AC2455" s="1"/>
      <c r="AD2455" s="1"/>
      <c r="AE2455" s="1"/>
      <c r="AF2455" s="1"/>
      <c r="AG2455" s="1"/>
    </row>
    <row r="2456" ht="15.75" customHeight="1">
      <c r="A2456" s="1"/>
      <c r="B2456" s="1"/>
      <c r="C2456" s="1"/>
      <c r="D2456" s="1"/>
      <c r="E2456" s="1"/>
      <c r="F2456" s="1"/>
      <c r="G2456" s="1"/>
      <c r="H2456" s="1"/>
      <c r="I2456" s="1"/>
      <c r="J2456" s="1"/>
      <c r="K2456" s="102" t="s">
        <v>4471</v>
      </c>
      <c r="L2456" s="102" t="str">
        <f>O81</f>
        <v>J1a2a1a2d2b2a2b~</v>
      </c>
      <c r="M2456" s="102"/>
      <c r="N2456" s="102" t="s">
        <v>4472</v>
      </c>
      <c r="O2456" s="105">
        <v>2.2700712E7</v>
      </c>
      <c r="P2456" s="105">
        <v>2.0538826E7</v>
      </c>
      <c r="Q2456" s="102" t="s">
        <v>2529</v>
      </c>
      <c r="S2456" s="1"/>
      <c r="T2456" s="1"/>
      <c r="U2456" s="1"/>
      <c r="V2456" s="1"/>
      <c r="W2456" s="1"/>
      <c r="X2456" s="1"/>
      <c r="Y2456" s="1"/>
      <c r="Z2456" s="102"/>
      <c r="AA2456" s="102"/>
      <c r="AB2456" s="1"/>
      <c r="AC2456" s="1"/>
      <c r="AD2456" s="1"/>
      <c r="AE2456" s="1"/>
      <c r="AF2456" s="1"/>
      <c r="AG2456" s="1"/>
    </row>
    <row r="2457" ht="15.75" customHeight="1">
      <c r="A2457" s="1"/>
      <c r="B2457" s="1"/>
      <c r="C2457" s="1"/>
      <c r="D2457" s="1"/>
      <c r="E2457" s="1"/>
      <c r="F2457" s="1"/>
      <c r="G2457" s="1"/>
      <c r="H2457" s="1"/>
      <c r="I2457" s="1"/>
      <c r="J2457" s="1"/>
      <c r="K2457" s="102" t="s">
        <v>4473</v>
      </c>
      <c r="L2457" s="102" t="str">
        <f>O81</f>
        <v>J1a2a1a2d2b2a2b~</v>
      </c>
      <c r="M2457" s="102"/>
      <c r="N2457" s="102"/>
      <c r="O2457" s="105">
        <v>2.3966791E7</v>
      </c>
      <c r="P2457" s="105">
        <v>2.1820644E7</v>
      </c>
      <c r="Q2457" s="102" t="s">
        <v>2446</v>
      </c>
      <c r="S2457" s="1"/>
      <c r="T2457" s="1"/>
      <c r="U2457" s="1"/>
      <c r="V2457" s="1"/>
      <c r="W2457" s="1"/>
      <c r="X2457" s="1"/>
      <c r="Y2457" s="1"/>
      <c r="Z2457" s="102"/>
      <c r="AA2457" s="102"/>
      <c r="AB2457" s="1"/>
      <c r="AC2457" s="1"/>
      <c r="AD2457" s="1"/>
      <c r="AE2457" s="1"/>
      <c r="AF2457" s="1"/>
      <c r="AG2457" s="1"/>
    </row>
    <row r="2458" ht="15.75" customHeight="1">
      <c r="A2458" s="1"/>
      <c r="B2458" s="1"/>
      <c r="C2458" s="1"/>
      <c r="D2458" s="1"/>
      <c r="E2458" s="1"/>
      <c r="F2458" s="1"/>
      <c r="G2458" s="1"/>
      <c r="H2458" s="1"/>
      <c r="I2458" s="1"/>
      <c r="J2458" s="1"/>
      <c r="K2458" s="102" t="s">
        <v>4474</v>
      </c>
      <c r="L2458" s="102" t="str">
        <f>O81</f>
        <v>J1a2a1a2d2b2a2b~</v>
      </c>
      <c r="M2458" s="102"/>
      <c r="N2458" s="102"/>
      <c r="O2458" s="105">
        <v>1.4115322E7</v>
      </c>
      <c r="P2458" s="105">
        <v>1.1994616E7</v>
      </c>
      <c r="Q2458" s="102" t="s">
        <v>2454</v>
      </c>
      <c r="S2458" s="1"/>
      <c r="T2458" s="1"/>
      <c r="U2458" s="1"/>
      <c r="V2458" s="1"/>
      <c r="W2458" s="1"/>
      <c r="X2458" s="1"/>
      <c r="Y2458" s="1"/>
      <c r="Z2458" s="102"/>
      <c r="AA2458" s="102"/>
      <c r="AB2458" s="1"/>
      <c r="AC2458" s="1"/>
      <c r="AD2458" s="1"/>
      <c r="AE2458" s="1"/>
      <c r="AF2458" s="1"/>
      <c r="AG2458" s="1"/>
    </row>
    <row r="2459" ht="15.75" customHeight="1">
      <c r="A2459" s="1"/>
      <c r="B2459" s="1"/>
      <c r="C2459" s="1"/>
      <c r="D2459" s="1"/>
      <c r="E2459" s="1"/>
      <c r="F2459" s="1"/>
      <c r="G2459" s="1"/>
      <c r="H2459" s="1"/>
      <c r="I2459" s="1"/>
      <c r="J2459" s="1"/>
      <c r="K2459" s="102" t="s">
        <v>4475</v>
      </c>
      <c r="L2459" s="102" t="str">
        <f>P82</f>
        <v>J1a2a1a2d2b2a2b1~</v>
      </c>
      <c r="M2459" s="102"/>
      <c r="N2459" s="102" t="s">
        <v>4476</v>
      </c>
      <c r="O2459" s="105">
        <v>8179220.0</v>
      </c>
      <c r="P2459" s="105">
        <v>8311179.0</v>
      </c>
      <c r="Q2459" s="102" t="s">
        <v>2576</v>
      </c>
      <c r="S2459" s="1"/>
      <c r="T2459" s="1"/>
      <c r="U2459" s="1"/>
      <c r="V2459" s="1"/>
      <c r="W2459" s="1"/>
      <c r="X2459" s="1"/>
      <c r="Y2459" s="1"/>
      <c r="Z2459" s="102"/>
      <c r="AA2459" s="102"/>
      <c r="AB2459" s="1"/>
      <c r="AC2459" s="1"/>
      <c r="AD2459" s="1"/>
      <c r="AE2459" s="1"/>
      <c r="AF2459" s="1"/>
      <c r="AG2459" s="1"/>
    </row>
    <row r="2460" ht="15.75" customHeight="1">
      <c r="A2460" s="1"/>
      <c r="B2460" s="1"/>
      <c r="C2460" s="1"/>
      <c r="D2460" s="1"/>
      <c r="E2460" s="1"/>
      <c r="F2460" s="1"/>
      <c r="G2460" s="1"/>
      <c r="H2460" s="1"/>
      <c r="I2460" s="1"/>
      <c r="J2460" s="1"/>
      <c r="K2460" s="102" t="s">
        <v>4477</v>
      </c>
      <c r="L2460" s="102" t="str">
        <f>P82</f>
        <v>J1a2a1a2d2b2a2b1~</v>
      </c>
      <c r="M2460" s="102"/>
      <c r="N2460" s="102" t="s">
        <v>4478</v>
      </c>
      <c r="O2460" s="105">
        <v>2.1931022E7</v>
      </c>
      <c r="P2460" s="105">
        <v>1.9769136E7</v>
      </c>
      <c r="Q2460" s="102" t="s">
        <v>2501</v>
      </c>
      <c r="S2460" s="1"/>
      <c r="T2460" s="1"/>
      <c r="U2460" s="1"/>
      <c r="V2460" s="1"/>
      <c r="W2460" s="1"/>
      <c r="X2460" s="1"/>
      <c r="Y2460" s="1"/>
      <c r="Z2460" s="102"/>
      <c r="AA2460" s="102"/>
      <c r="AB2460" s="1"/>
      <c r="AC2460" s="1"/>
      <c r="AD2460" s="1"/>
      <c r="AE2460" s="1"/>
      <c r="AF2460" s="1"/>
      <c r="AG2460" s="1"/>
    </row>
    <row r="2461" ht="15.75" customHeight="1">
      <c r="A2461" s="1"/>
      <c r="B2461" s="1"/>
      <c r="C2461" s="1"/>
      <c r="D2461" s="1"/>
      <c r="E2461" s="1"/>
      <c r="F2461" s="1"/>
      <c r="G2461" s="1"/>
      <c r="H2461" s="1"/>
      <c r="I2461" s="1"/>
      <c r="J2461" s="1"/>
      <c r="K2461" s="102" t="s">
        <v>4479</v>
      </c>
      <c r="L2461" s="102" t="str">
        <f>P82</f>
        <v>J1a2a1a2d2b2a2b1~</v>
      </c>
      <c r="M2461" s="102"/>
      <c r="N2461" s="102" t="s">
        <v>4480</v>
      </c>
      <c r="O2461" s="105">
        <v>2.2180033E7</v>
      </c>
      <c r="P2461" s="105">
        <v>2.0018147E7</v>
      </c>
      <c r="Q2461" s="102" t="s">
        <v>2454</v>
      </c>
      <c r="S2461" s="1"/>
      <c r="T2461" s="1"/>
      <c r="U2461" s="1"/>
      <c r="V2461" s="1"/>
      <c r="W2461" s="1"/>
      <c r="X2461" s="1"/>
      <c r="Y2461" s="1"/>
      <c r="Z2461" s="102"/>
      <c r="AA2461" s="102"/>
      <c r="AB2461" s="1"/>
      <c r="AC2461" s="1"/>
      <c r="AD2461" s="1"/>
      <c r="AE2461" s="1"/>
      <c r="AF2461" s="1"/>
      <c r="AG2461" s="1"/>
    </row>
    <row r="2462" ht="15.75" customHeight="1">
      <c r="A2462" s="1"/>
      <c r="B2462" s="1"/>
      <c r="C2462" s="1"/>
      <c r="D2462" s="1"/>
      <c r="E2462" s="1"/>
      <c r="F2462" s="1"/>
      <c r="G2462" s="1"/>
      <c r="H2462" s="1"/>
      <c r="I2462" s="1"/>
      <c r="J2462" s="1"/>
      <c r="K2462" s="102" t="s">
        <v>4481</v>
      </c>
      <c r="L2462" s="102" t="str">
        <f>P82</f>
        <v>J1a2a1a2d2b2a2b1~</v>
      </c>
      <c r="M2462" s="102"/>
      <c r="N2462" s="102" t="s">
        <v>4482</v>
      </c>
      <c r="O2462" s="105">
        <v>2.218008E7</v>
      </c>
      <c r="P2462" s="105">
        <v>2.0018194E7</v>
      </c>
      <c r="Q2462" s="102" t="s">
        <v>2576</v>
      </c>
      <c r="S2462" s="1"/>
      <c r="T2462" s="1"/>
      <c r="U2462" s="1"/>
      <c r="V2462" s="1"/>
      <c r="W2462" s="1"/>
      <c r="X2462" s="1"/>
      <c r="Y2462" s="1"/>
      <c r="Z2462" s="102"/>
      <c r="AA2462" s="102"/>
      <c r="AB2462" s="1"/>
      <c r="AC2462" s="1"/>
      <c r="AD2462" s="1"/>
      <c r="AE2462" s="1"/>
      <c r="AF2462" s="1"/>
      <c r="AG2462" s="1"/>
    </row>
    <row r="2463" ht="15.75" customHeight="1">
      <c r="A2463" s="1"/>
      <c r="B2463" s="1"/>
      <c r="C2463" s="1"/>
      <c r="D2463" s="1"/>
      <c r="E2463" s="1"/>
      <c r="F2463" s="1"/>
      <c r="G2463" s="1"/>
      <c r="H2463" s="1"/>
      <c r="I2463" s="1"/>
      <c r="J2463" s="1"/>
      <c r="K2463" s="102" t="s">
        <v>4483</v>
      </c>
      <c r="L2463" s="102" t="str">
        <f t="shared" ref="L2463:L2464" si="17">P82</f>
        <v>J1a2a1a2d2b2a2b1~</v>
      </c>
      <c r="M2463" s="102"/>
      <c r="N2463" s="102" t="s">
        <v>4484</v>
      </c>
      <c r="O2463" s="105">
        <v>2.2606445E7</v>
      </c>
      <c r="P2463" s="105">
        <v>2.0444559E7</v>
      </c>
      <c r="Q2463" s="102" t="s">
        <v>2501</v>
      </c>
      <c r="S2463" s="1"/>
      <c r="T2463" s="1"/>
      <c r="U2463" s="1"/>
      <c r="V2463" s="1"/>
      <c r="W2463" s="1"/>
      <c r="X2463" s="1"/>
      <c r="Y2463" s="1"/>
      <c r="Z2463" s="102"/>
      <c r="AA2463" s="102"/>
      <c r="AB2463" s="1"/>
      <c r="AC2463" s="1"/>
      <c r="AD2463" s="1"/>
      <c r="AE2463" s="1"/>
      <c r="AF2463" s="1"/>
      <c r="AG2463" s="1"/>
    </row>
    <row r="2464" ht="15.75" customHeight="1">
      <c r="A2464" s="1"/>
      <c r="B2464" s="1"/>
      <c r="C2464" s="1"/>
      <c r="D2464" s="1"/>
      <c r="E2464" s="1"/>
      <c r="F2464" s="1"/>
      <c r="G2464" s="1"/>
      <c r="H2464" s="1"/>
      <c r="I2464" s="1"/>
      <c r="J2464" s="1"/>
      <c r="K2464" s="102" t="s">
        <v>134</v>
      </c>
      <c r="L2464" s="102" t="str">
        <f t="shared" si="17"/>
        <v>J1a2a1a2d2b2a2b2~</v>
      </c>
      <c r="M2464" s="102"/>
      <c r="N2464" s="102"/>
      <c r="O2464" s="105">
        <v>2.3024998E7</v>
      </c>
      <c r="P2464" s="105">
        <v>2.0863112E7</v>
      </c>
      <c r="Q2464" s="102" t="s">
        <v>2439</v>
      </c>
      <c r="S2464" s="1"/>
      <c r="T2464" s="1"/>
      <c r="U2464" s="1"/>
      <c r="V2464" s="1"/>
      <c r="W2464" s="1"/>
      <c r="X2464" s="1"/>
      <c r="Y2464" s="1"/>
      <c r="Z2464" s="102"/>
      <c r="AA2464" s="102"/>
      <c r="AB2464" s="1"/>
      <c r="AC2464" s="1"/>
      <c r="AD2464" s="1"/>
      <c r="AE2464" s="1"/>
      <c r="AF2464" s="1"/>
      <c r="AG2464" s="1"/>
    </row>
    <row r="2465" ht="15.75" customHeight="1">
      <c r="A2465" s="1"/>
      <c r="B2465" s="1"/>
      <c r="C2465" s="1"/>
      <c r="D2465" s="1"/>
      <c r="E2465" s="1"/>
      <c r="F2465" s="1"/>
      <c r="G2465" s="1"/>
      <c r="H2465" s="1"/>
      <c r="I2465" s="1"/>
      <c r="J2465" s="1"/>
      <c r="K2465" s="102" t="s">
        <v>4485</v>
      </c>
      <c r="L2465" s="102" t="str">
        <f>O84</f>
        <v>J1a2a1a2d2b2a2c~</v>
      </c>
      <c r="M2465" s="102"/>
      <c r="N2465" s="102"/>
      <c r="O2465" s="105">
        <v>1.4713707E7</v>
      </c>
      <c r="P2465" s="105">
        <v>1.2601774E7</v>
      </c>
      <c r="Q2465" s="102" t="s">
        <v>2439</v>
      </c>
      <c r="S2465" s="1"/>
      <c r="T2465" s="1"/>
      <c r="U2465" s="1"/>
      <c r="V2465" s="1"/>
      <c r="W2465" s="1"/>
      <c r="X2465" s="1"/>
      <c r="Y2465" s="1"/>
      <c r="Z2465" s="102"/>
      <c r="AA2465" s="102"/>
      <c r="AB2465" s="1"/>
      <c r="AC2465" s="1"/>
      <c r="AD2465" s="1"/>
      <c r="AE2465" s="1"/>
      <c r="AF2465" s="1"/>
      <c r="AG2465" s="1"/>
    </row>
    <row r="2466" ht="15.75" customHeight="1">
      <c r="A2466" s="1"/>
      <c r="B2466" s="1"/>
      <c r="C2466" s="1"/>
      <c r="D2466" s="1"/>
      <c r="E2466" s="1"/>
      <c r="F2466" s="1"/>
      <c r="G2466" s="1"/>
      <c r="H2466" s="1"/>
      <c r="I2466" s="1"/>
      <c r="J2466" s="1"/>
      <c r="K2466" s="102" t="s">
        <v>4486</v>
      </c>
      <c r="L2466" s="102" t="str">
        <f>O84</f>
        <v>J1a2a1a2d2b2a2c~</v>
      </c>
      <c r="M2466" s="102"/>
      <c r="N2466" s="102"/>
      <c r="O2466" s="105">
        <v>6979194.0</v>
      </c>
      <c r="P2466" s="105">
        <v>7111153.0</v>
      </c>
      <c r="Q2466" s="102" t="s">
        <v>2468</v>
      </c>
      <c r="S2466" s="1"/>
      <c r="T2466" s="1"/>
      <c r="U2466" s="1"/>
      <c r="V2466" s="1"/>
      <c r="W2466" s="1"/>
      <c r="X2466" s="1"/>
      <c r="Y2466" s="1"/>
      <c r="Z2466" s="102"/>
      <c r="AA2466" s="102"/>
      <c r="AB2466" s="1"/>
      <c r="AC2466" s="1"/>
      <c r="AD2466" s="1"/>
      <c r="AE2466" s="1"/>
      <c r="AF2466" s="1"/>
      <c r="AG2466" s="1"/>
    </row>
    <row r="2467" ht="15.75" customHeight="1">
      <c r="A2467" s="1"/>
      <c r="B2467" s="1"/>
      <c r="C2467" s="1"/>
      <c r="D2467" s="1"/>
      <c r="E2467" s="1"/>
      <c r="F2467" s="1"/>
      <c r="G2467" s="1"/>
      <c r="H2467" s="1"/>
      <c r="I2467" s="1"/>
      <c r="J2467" s="1"/>
      <c r="K2467" s="102" t="s">
        <v>4487</v>
      </c>
      <c r="L2467" s="102" t="str">
        <f>O84</f>
        <v>J1a2a1a2d2b2a2c~</v>
      </c>
      <c r="M2467" s="102"/>
      <c r="N2467" s="102"/>
      <c r="O2467" s="105">
        <v>1.9163246E7</v>
      </c>
      <c r="P2467" s="105">
        <v>1.7051366E7</v>
      </c>
      <c r="Q2467" s="102" t="s">
        <v>2529</v>
      </c>
      <c r="S2467" s="1"/>
      <c r="T2467" s="1"/>
      <c r="U2467" s="1"/>
      <c r="V2467" s="1"/>
      <c r="W2467" s="1"/>
      <c r="X2467" s="1"/>
      <c r="Y2467" s="1"/>
      <c r="Z2467" s="102"/>
      <c r="AA2467" s="102"/>
      <c r="AB2467" s="1"/>
      <c r="AC2467" s="1"/>
      <c r="AD2467" s="1"/>
      <c r="AE2467" s="1"/>
      <c r="AF2467" s="1"/>
      <c r="AG2467" s="1"/>
    </row>
    <row r="2468" ht="15.75" customHeight="1">
      <c r="A2468" s="1"/>
      <c r="B2468" s="1"/>
      <c r="C2468" s="1"/>
      <c r="D2468" s="1"/>
      <c r="E2468" s="1"/>
      <c r="F2468" s="1"/>
      <c r="G2468" s="1"/>
      <c r="H2468" s="1"/>
      <c r="I2468" s="1"/>
      <c r="J2468" s="1"/>
      <c r="K2468" s="102" t="s">
        <v>4488</v>
      </c>
      <c r="L2468" s="102" t="str">
        <f>O84</f>
        <v>J1a2a1a2d2b2a2c~</v>
      </c>
      <c r="M2468" s="102"/>
      <c r="N2468" s="102"/>
      <c r="O2468" s="105">
        <v>2.3361477E7</v>
      </c>
      <c r="P2468" s="105">
        <v>2.1199591E7</v>
      </c>
      <c r="Q2468" s="102" t="s">
        <v>2563</v>
      </c>
      <c r="S2468" s="1"/>
      <c r="T2468" s="1"/>
      <c r="U2468" s="1"/>
      <c r="V2468" s="1"/>
      <c r="W2468" s="1"/>
      <c r="X2468" s="1"/>
      <c r="Y2468" s="1"/>
      <c r="Z2468" s="102"/>
      <c r="AA2468" s="102"/>
      <c r="AB2468" s="1"/>
      <c r="AC2468" s="1"/>
      <c r="AD2468" s="1"/>
      <c r="AE2468" s="1"/>
      <c r="AF2468" s="1"/>
      <c r="AG2468" s="1"/>
    </row>
    <row r="2469" ht="15.75" customHeight="1">
      <c r="A2469" s="1"/>
      <c r="B2469" s="1"/>
      <c r="C2469" s="1"/>
      <c r="D2469" s="1"/>
      <c r="E2469" s="1"/>
      <c r="F2469" s="1"/>
      <c r="G2469" s="1"/>
      <c r="H2469" s="1"/>
      <c r="I2469" s="1"/>
      <c r="J2469" s="1"/>
      <c r="K2469" s="102" t="s">
        <v>4489</v>
      </c>
      <c r="L2469" s="102" t="str">
        <f>O84</f>
        <v>J1a2a1a2d2b2a2c~</v>
      </c>
      <c r="M2469" s="102"/>
      <c r="N2469" s="102"/>
      <c r="O2469" s="105">
        <v>1.8145595E7</v>
      </c>
      <c r="P2469" s="105">
        <v>1.6033715E7</v>
      </c>
      <c r="Q2469" s="102" t="s">
        <v>2514</v>
      </c>
      <c r="S2469" s="1"/>
      <c r="T2469" s="1"/>
      <c r="U2469" s="1"/>
      <c r="V2469" s="1"/>
      <c r="W2469" s="1"/>
      <c r="X2469" s="1"/>
      <c r="Y2469" s="1"/>
      <c r="Z2469" s="102"/>
      <c r="AA2469" s="102"/>
      <c r="AB2469" s="1"/>
      <c r="AC2469" s="1"/>
      <c r="AD2469" s="1"/>
      <c r="AE2469" s="1"/>
      <c r="AF2469" s="1"/>
      <c r="AG2469" s="1"/>
    </row>
    <row r="2470" ht="15.75" customHeight="1">
      <c r="A2470" s="1"/>
      <c r="B2470" s="1"/>
      <c r="C2470" s="1"/>
      <c r="D2470" s="1"/>
      <c r="E2470" s="1"/>
      <c r="F2470" s="1"/>
      <c r="G2470" s="1"/>
      <c r="H2470" s="1"/>
      <c r="I2470" s="1"/>
      <c r="J2470" s="1"/>
      <c r="K2470" s="102" t="s">
        <v>4490</v>
      </c>
      <c r="L2470" s="102" t="str">
        <f>O84</f>
        <v>J1a2a1a2d2b2a2c~</v>
      </c>
      <c r="M2470" s="102"/>
      <c r="N2470" s="102"/>
      <c r="O2470" s="105">
        <v>1.7721089E7</v>
      </c>
      <c r="P2470" s="105">
        <v>1.5609209E7</v>
      </c>
      <c r="Q2470" s="102" t="s">
        <v>2533</v>
      </c>
      <c r="S2470" s="1"/>
      <c r="T2470" s="1"/>
      <c r="U2470" s="1"/>
      <c r="V2470" s="1"/>
      <c r="W2470" s="1"/>
      <c r="X2470" s="1"/>
      <c r="Y2470" s="1"/>
      <c r="Z2470" s="102"/>
      <c r="AA2470" s="102"/>
      <c r="AB2470" s="1"/>
      <c r="AC2470" s="1"/>
      <c r="AD2470" s="1"/>
      <c r="AE2470" s="1"/>
      <c r="AF2470" s="1"/>
      <c r="AG2470" s="1"/>
    </row>
    <row r="2471" ht="15.75" customHeight="1">
      <c r="A2471" s="1"/>
      <c r="B2471" s="1"/>
      <c r="C2471" s="1"/>
      <c r="D2471" s="1"/>
      <c r="E2471" s="1"/>
      <c r="F2471" s="1"/>
      <c r="G2471" s="1"/>
      <c r="H2471" s="1"/>
      <c r="I2471" s="1"/>
      <c r="J2471" s="1"/>
      <c r="K2471" s="102" t="s">
        <v>4491</v>
      </c>
      <c r="L2471" s="102" t="str">
        <f>O84</f>
        <v>J1a2a1a2d2b2a2c~</v>
      </c>
      <c r="M2471" s="102"/>
      <c r="N2471" s="102"/>
      <c r="O2471" s="105">
        <v>1.4689744E7</v>
      </c>
      <c r="P2471" s="105">
        <v>1.257781E7</v>
      </c>
      <c r="Q2471" s="102" t="s">
        <v>2514</v>
      </c>
      <c r="S2471" s="1"/>
      <c r="T2471" s="1"/>
      <c r="U2471" s="1"/>
      <c r="V2471" s="1"/>
      <c r="W2471" s="1"/>
      <c r="X2471" s="1"/>
      <c r="Y2471" s="1"/>
      <c r="Z2471" s="102"/>
      <c r="AA2471" s="102"/>
      <c r="AB2471" s="1"/>
      <c r="AC2471" s="1"/>
      <c r="AD2471" s="1"/>
      <c r="AE2471" s="1"/>
      <c r="AF2471" s="1"/>
      <c r="AG2471" s="1"/>
    </row>
    <row r="2472" ht="15.75" customHeight="1">
      <c r="A2472" s="1"/>
      <c r="B2472" s="1"/>
      <c r="C2472" s="1"/>
      <c r="D2472" s="1"/>
      <c r="E2472" s="1"/>
      <c r="F2472" s="1"/>
      <c r="G2472" s="1"/>
      <c r="H2472" s="1"/>
      <c r="I2472" s="1"/>
      <c r="J2472" s="1"/>
      <c r="K2472" s="102" t="s">
        <v>4492</v>
      </c>
      <c r="L2472" s="102" t="str">
        <f>O84</f>
        <v>J1a2a1a2d2b2a2c~</v>
      </c>
      <c r="M2472" s="102"/>
      <c r="N2472" s="102"/>
      <c r="O2472" s="105">
        <v>7066421.0</v>
      </c>
      <c r="P2472" s="105">
        <v>7198380.0</v>
      </c>
      <c r="Q2472" s="102" t="s">
        <v>2501</v>
      </c>
      <c r="S2472" s="1"/>
      <c r="T2472" s="1"/>
      <c r="U2472" s="1"/>
      <c r="V2472" s="1"/>
      <c r="W2472" s="1"/>
      <c r="X2472" s="1"/>
      <c r="Y2472" s="1"/>
      <c r="Z2472" s="102"/>
      <c r="AA2472" s="102"/>
      <c r="AB2472" s="1"/>
      <c r="AC2472" s="1"/>
      <c r="AD2472" s="1"/>
      <c r="AE2472" s="1"/>
      <c r="AF2472" s="1"/>
      <c r="AG2472" s="1"/>
    </row>
    <row r="2473" ht="15.75" customHeight="1">
      <c r="A2473" s="1"/>
      <c r="B2473" s="1"/>
      <c r="C2473" s="1"/>
      <c r="D2473" s="1"/>
      <c r="E2473" s="1"/>
      <c r="F2473" s="1"/>
      <c r="G2473" s="1"/>
      <c r="H2473" s="1"/>
      <c r="I2473" s="1"/>
      <c r="J2473" s="1"/>
      <c r="K2473" s="102" t="s">
        <v>4493</v>
      </c>
      <c r="L2473" s="102" t="str">
        <f>O84</f>
        <v>J1a2a1a2d2b2a2c~</v>
      </c>
      <c r="M2473" s="102"/>
      <c r="N2473" s="102"/>
      <c r="O2473" s="105">
        <v>1.5892394E7</v>
      </c>
      <c r="P2473" s="105">
        <v>1.3780514E7</v>
      </c>
      <c r="Q2473" s="102" t="s">
        <v>2501</v>
      </c>
      <c r="S2473" s="1"/>
      <c r="T2473" s="1"/>
      <c r="U2473" s="1"/>
      <c r="V2473" s="1"/>
      <c r="W2473" s="1"/>
      <c r="X2473" s="1"/>
      <c r="Y2473" s="1"/>
      <c r="Z2473" s="102"/>
      <c r="AA2473" s="102"/>
      <c r="AB2473" s="1"/>
      <c r="AC2473" s="1"/>
      <c r="AD2473" s="1"/>
      <c r="AE2473" s="1"/>
      <c r="AF2473" s="1"/>
      <c r="AG2473" s="1"/>
    </row>
    <row r="2474" ht="15.75" customHeight="1">
      <c r="A2474" s="1"/>
      <c r="B2474" s="1"/>
      <c r="C2474" s="1"/>
      <c r="D2474" s="1"/>
      <c r="E2474" s="1"/>
      <c r="F2474" s="1"/>
      <c r="G2474" s="1"/>
      <c r="H2474" s="1"/>
      <c r="I2474" s="1"/>
      <c r="J2474" s="1"/>
      <c r="K2474" s="102" t="s">
        <v>4494</v>
      </c>
      <c r="L2474" s="102" t="str">
        <f>O84</f>
        <v>J1a2a1a2d2b2a2c~</v>
      </c>
      <c r="M2474" s="102"/>
      <c r="N2474" s="102"/>
      <c r="O2474" s="105">
        <v>1.8785161E7</v>
      </c>
      <c r="P2474" s="105">
        <v>1.6673281E7</v>
      </c>
      <c r="Q2474" s="102" t="s">
        <v>2468</v>
      </c>
      <c r="S2474" s="1"/>
      <c r="T2474" s="1"/>
      <c r="U2474" s="1"/>
      <c r="V2474" s="1"/>
      <c r="W2474" s="1"/>
      <c r="X2474" s="1"/>
      <c r="Y2474" s="1"/>
      <c r="Z2474" s="102"/>
      <c r="AA2474" s="102"/>
      <c r="AB2474" s="1"/>
      <c r="AC2474" s="1"/>
      <c r="AD2474" s="1"/>
      <c r="AE2474" s="1"/>
      <c r="AF2474" s="1"/>
      <c r="AG2474" s="1"/>
    </row>
    <row r="2475" ht="15.75" customHeight="1">
      <c r="A2475" s="1"/>
      <c r="B2475" s="1"/>
      <c r="C2475" s="1"/>
      <c r="D2475" s="1"/>
      <c r="E2475" s="1"/>
      <c r="F2475" s="1"/>
      <c r="G2475" s="1"/>
      <c r="H2475" s="1"/>
      <c r="I2475" s="1"/>
      <c r="J2475" s="1"/>
      <c r="K2475" s="102" t="s">
        <v>4495</v>
      </c>
      <c r="L2475" s="102" t="str">
        <f>P85</f>
        <v>J1a2a1a2d2b2a2c1~</v>
      </c>
      <c r="M2475" s="102"/>
      <c r="N2475" s="102"/>
      <c r="O2475" s="105">
        <v>2.3238388E7</v>
      </c>
      <c r="P2475" s="105">
        <v>2.1076502E7</v>
      </c>
      <c r="Q2475" s="102" t="s">
        <v>2468</v>
      </c>
      <c r="S2475" s="1"/>
      <c r="T2475" s="1"/>
      <c r="U2475" s="1"/>
      <c r="V2475" s="1"/>
      <c r="W2475" s="1"/>
      <c r="X2475" s="1"/>
      <c r="Y2475" s="1"/>
      <c r="Z2475" s="102"/>
      <c r="AA2475" s="102"/>
      <c r="AB2475" s="1"/>
      <c r="AC2475" s="1"/>
      <c r="AD2475" s="1"/>
      <c r="AE2475" s="1"/>
      <c r="AF2475" s="1"/>
      <c r="AG2475" s="1"/>
    </row>
    <row r="2476" ht="15.75" customHeight="1">
      <c r="A2476" s="1"/>
      <c r="B2476" s="1"/>
      <c r="C2476" s="1"/>
      <c r="D2476" s="1"/>
      <c r="E2476" s="1"/>
      <c r="F2476" s="1"/>
      <c r="G2476" s="1"/>
      <c r="H2476" s="1"/>
      <c r="I2476" s="1"/>
      <c r="J2476" s="1"/>
      <c r="K2476" s="102" t="s">
        <v>4496</v>
      </c>
      <c r="L2476" s="102" t="str">
        <f>P85</f>
        <v>J1a2a1a2d2b2a2c1~</v>
      </c>
      <c r="M2476" s="102"/>
      <c r="N2476" s="102"/>
      <c r="O2476" s="105">
        <v>1.8249464E7</v>
      </c>
      <c r="P2476" s="105">
        <v>1.6137584E7</v>
      </c>
      <c r="Q2476" s="102" t="s">
        <v>2563</v>
      </c>
      <c r="S2476" s="1"/>
      <c r="T2476" s="1"/>
      <c r="U2476" s="1"/>
      <c r="V2476" s="1"/>
      <c r="W2476" s="1"/>
      <c r="X2476" s="1"/>
      <c r="Y2476" s="1"/>
      <c r="Z2476" s="102"/>
      <c r="AA2476" s="102"/>
      <c r="AB2476" s="1"/>
      <c r="AC2476" s="1"/>
      <c r="AD2476" s="1"/>
      <c r="AE2476" s="1"/>
      <c r="AF2476" s="1"/>
      <c r="AG2476" s="1"/>
    </row>
    <row r="2477" ht="15.75" customHeight="1">
      <c r="A2477" s="1"/>
      <c r="B2477" s="1"/>
      <c r="C2477" s="1"/>
      <c r="D2477" s="1"/>
      <c r="E2477" s="1"/>
      <c r="F2477" s="1"/>
      <c r="G2477" s="1"/>
      <c r="H2477" s="1"/>
      <c r="I2477" s="1"/>
      <c r="J2477" s="1"/>
      <c r="K2477" s="102" t="s">
        <v>4497</v>
      </c>
      <c r="L2477" s="102" t="str">
        <f>M86</f>
        <v>J1a2a1a2d2b2b~</v>
      </c>
      <c r="M2477" s="102" t="s">
        <v>4498</v>
      </c>
      <c r="N2477" s="102" t="s">
        <v>4499</v>
      </c>
      <c r="O2477" s="105">
        <v>1.9124399E7</v>
      </c>
      <c r="P2477" s="105">
        <v>1.7012519E7</v>
      </c>
      <c r="Q2477" s="102" t="s">
        <v>2529</v>
      </c>
      <c r="S2477" s="1"/>
      <c r="T2477" s="1"/>
      <c r="U2477" s="1"/>
      <c r="V2477" s="1"/>
      <c r="W2477" s="1"/>
      <c r="X2477" s="1"/>
      <c r="Y2477" s="1"/>
      <c r="Z2477" s="102"/>
      <c r="AA2477" s="102"/>
      <c r="AB2477" s="1"/>
      <c r="AC2477" s="1"/>
      <c r="AD2477" s="1"/>
      <c r="AE2477" s="1"/>
      <c r="AF2477" s="1"/>
      <c r="AG2477" s="1"/>
    </row>
    <row r="2478" ht="15.75" customHeight="1">
      <c r="A2478" s="1"/>
      <c r="B2478" s="1"/>
      <c r="C2478" s="1"/>
      <c r="D2478" s="1"/>
      <c r="E2478" s="1"/>
      <c r="F2478" s="1"/>
      <c r="G2478" s="1"/>
      <c r="H2478" s="1"/>
      <c r="I2478" s="1"/>
      <c r="J2478" s="1"/>
      <c r="K2478" s="102" t="s">
        <v>4498</v>
      </c>
      <c r="L2478" s="102" t="str">
        <f>M86</f>
        <v>J1a2a1a2d2b2b~</v>
      </c>
      <c r="M2478" s="102" t="s">
        <v>4497</v>
      </c>
      <c r="N2478" s="102" t="s">
        <v>4499</v>
      </c>
      <c r="O2478" s="105">
        <v>1.9124399E7</v>
      </c>
      <c r="P2478" s="105">
        <v>1.7012519E7</v>
      </c>
      <c r="Q2478" s="102" t="s">
        <v>2529</v>
      </c>
      <c r="S2478" s="1"/>
      <c r="T2478" s="1"/>
      <c r="U2478" s="1"/>
      <c r="V2478" s="1"/>
      <c r="W2478" s="1"/>
      <c r="X2478" s="1"/>
      <c r="Y2478" s="1"/>
      <c r="Z2478" s="102"/>
      <c r="AA2478" s="102"/>
      <c r="AB2478" s="1"/>
      <c r="AC2478" s="1"/>
      <c r="AD2478" s="1"/>
      <c r="AE2478" s="1"/>
      <c r="AF2478" s="1"/>
      <c r="AG2478" s="1"/>
    </row>
    <row r="2479" ht="15.75" customHeight="1">
      <c r="A2479" s="1"/>
      <c r="B2479" s="1"/>
      <c r="C2479" s="1"/>
      <c r="D2479" s="1"/>
      <c r="E2479" s="1"/>
      <c r="F2479" s="1"/>
      <c r="G2479" s="1"/>
      <c r="H2479" s="1"/>
      <c r="I2479" s="1"/>
      <c r="J2479" s="1"/>
      <c r="K2479" s="102" t="s">
        <v>4500</v>
      </c>
      <c r="L2479" s="102" t="str">
        <f>N87</f>
        <v>J1a2a1a2d2b2b1~</v>
      </c>
      <c r="M2479" s="102" t="s">
        <v>4501</v>
      </c>
      <c r="N2479" s="102" t="s">
        <v>4502</v>
      </c>
      <c r="O2479" s="105">
        <v>1.5269464E7</v>
      </c>
      <c r="P2479" s="105">
        <v>1.3157553E7</v>
      </c>
      <c r="Q2479" s="102" t="s">
        <v>2501</v>
      </c>
      <c r="S2479" s="1"/>
      <c r="T2479" s="1"/>
      <c r="U2479" s="1"/>
      <c r="V2479" s="1"/>
      <c r="W2479" s="1"/>
      <c r="X2479" s="1"/>
      <c r="Y2479" s="1"/>
      <c r="Z2479" s="102"/>
      <c r="AA2479" s="102"/>
      <c r="AB2479" s="1"/>
      <c r="AC2479" s="1"/>
      <c r="AD2479" s="1"/>
      <c r="AE2479" s="1"/>
      <c r="AF2479" s="1"/>
      <c r="AG2479" s="1"/>
    </row>
    <row r="2480" ht="15.75" customHeight="1">
      <c r="A2480" s="1"/>
      <c r="B2480" s="1"/>
      <c r="C2480" s="1"/>
      <c r="D2480" s="1"/>
      <c r="E2480" s="1"/>
      <c r="F2480" s="1"/>
      <c r="G2480" s="1"/>
      <c r="H2480" s="1"/>
      <c r="I2480" s="1"/>
      <c r="J2480" s="1"/>
      <c r="K2480" s="102" t="s">
        <v>4501</v>
      </c>
      <c r="L2480" s="102" t="str">
        <f>N87</f>
        <v>J1a2a1a2d2b2b1~</v>
      </c>
      <c r="M2480" s="102" t="s">
        <v>4500</v>
      </c>
      <c r="N2480" s="102" t="s">
        <v>4502</v>
      </c>
      <c r="O2480" s="105">
        <v>1.5269464E7</v>
      </c>
      <c r="P2480" s="105">
        <v>1.3157553E7</v>
      </c>
      <c r="Q2480" s="102" t="s">
        <v>2501</v>
      </c>
      <c r="S2480" s="1"/>
      <c r="T2480" s="1"/>
      <c r="U2480" s="1"/>
      <c r="V2480" s="1"/>
      <c r="W2480" s="1"/>
      <c r="X2480" s="1"/>
      <c r="Y2480" s="1"/>
      <c r="Z2480" s="102"/>
      <c r="AA2480" s="102"/>
      <c r="AB2480" s="1"/>
      <c r="AC2480" s="1"/>
      <c r="AD2480" s="1"/>
      <c r="AE2480" s="1"/>
      <c r="AF2480" s="1"/>
      <c r="AG2480" s="1"/>
    </row>
    <row r="2481" ht="15.75" customHeight="1">
      <c r="A2481" s="1"/>
      <c r="B2481" s="1"/>
      <c r="C2481" s="1"/>
      <c r="D2481" s="1"/>
      <c r="E2481" s="1"/>
      <c r="F2481" s="1"/>
      <c r="G2481" s="1"/>
      <c r="H2481" s="1"/>
      <c r="I2481" s="1"/>
      <c r="J2481" s="1"/>
      <c r="K2481" s="102" t="s">
        <v>4503</v>
      </c>
      <c r="L2481" s="102" t="str">
        <f>N87</f>
        <v>J1a2a1a2d2b2b1~</v>
      </c>
      <c r="M2481" s="102"/>
      <c r="N2481" s="102"/>
      <c r="O2481" s="105">
        <v>1.4015287E7</v>
      </c>
      <c r="P2481" s="105">
        <v>1.1894581E7</v>
      </c>
      <c r="Q2481" s="102" t="s">
        <v>2454</v>
      </c>
      <c r="S2481" s="1"/>
      <c r="T2481" s="1"/>
      <c r="U2481" s="1"/>
      <c r="V2481" s="1"/>
      <c r="W2481" s="1"/>
      <c r="X2481" s="1"/>
      <c r="Y2481" s="1"/>
      <c r="Z2481" s="102"/>
      <c r="AA2481" s="102"/>
      <c r="AB2481" s="1"/>
      <c r="AC2481" s="1"/>
      <c r="AD2481" s="1"/>
      <c r="AE2481" s="1"/>
      <c r="AF2481" s="1"/>
      <c r="AG2481" s="1"/>
    </row>
    <row r="2482" ht="15.75" customHeight="1">
      <c r="A2482" s="1"/>
      <c r="B2482" s="1"/>
      <c r="C2482" s="1"/>
      <c r="D2482" s="1"/>
      <c r="E2482" s="1"/>
      <c r="F2482" s="1"/>
      <c r="G2482" s="1"/>
      <c r="H2482" s="1"/>
      <c r="I2482" s="1"/>
      <c r="J2482" s="1"/>
      <c r="K2482" s="102" t="s">
        <v>4504</v>
      </c>
      <c r="L2482" s="102" t="str">
        <f>N87</f>
        <v>J1a2a1a2d2b2b1~</v>
      </c>
      <c r="M2482" s="102"/>
      <c r="N2482" s="102"/>
      <c r="O2482" s="105">
        <v>1.4032256E7</v>
      </c>
      <c r="P2482" s="105">
        <v>1.191155E7</v>
      </c>
      <c r="Q2482" s="102" t="s">
        <v>2529</v>
      </c>
      <c r="S2482" s="1"/>
      <c r="T2482" s="1"/>
      <c r="U2482" s="1"/>
      <c r="V2482" s="1"/>
      <c r="W2482" s="1"/>
      <c r="X2482" s="1"/>
      <c r="Y2482" s="1"/>
      <c r="Z2482" s="102"/>
      <c r="AA2482" s="102"/>
      <c r="AB2482" s="1"/>
      <c r="AC2482" s="1"/>
      <c r="AD2482" s="1"/>
      <c r="AE2482" s="1"/>
      <c r="AF2482" s="1"/>
      <c r="AG2482" s="1"/>
    </row>
    <row r="2483" ht="15.75" customHeight="1">
      <c r="A2483" s="1"/>
      <c r="B2483" s="1"/>
      <c r="C2483" s="1"/>
      <c r="D2483" s="1"/>
      <c r="E2483" s="1"/>
      <c r="F2483" s="1"/>
      <c r="G2483" s="1"/>
      <c r="H2483" s="1"/>
      <c r="I2483" s="1"/>
      <c r="J2483" s="1"/>
      <c r="K2483" s="102" t="s">
        <v>4505</v>
      </c>
      <c r="L2483" s="102" t="str">
        <f>N87</f>
        <v>J1a2a1a2d2b2b1~</v>
      </c>
      <c r="M2483" s="102"/>
      <c r="N2483" s="102" t="s">
        <v>4506</v>
      </c>
      <c r="O2483" s="105">
        <v>8068666.0</v>
      </c>
      <c r="P2483" s="105">
        <v>8200625.0</v>
      </c>
      <c r="Q2483" s="102" t="s">
        <v>2514</v>
      </c>
      <c r="S2483" s="1"/>
      <c r="T2483" s="1"/>
      <c r="U2483" s="1"/>
      <c r="V2483" s="1"/>
      <c r="W2483" s="1"/>
      <c r="X2483" s="1"/>
      <c r="Y2483" s="1"/>
      <c r="Z2483" s="102"/>
      <c r="AA2483" s="102"/>
      <c r="AB2483" s="1"/>
      <c r="AC2483" s="1"/>
      <c r="AD2483" s="1"/>
      <c r="AE2483" s="1"/>
      <c r="AF2483" s="1"/>
      <c r="AG2483" s="1"/>
    </row>
    <row r="2484" ht="15.75" customHeight="1">
      <c r="A2484" s="1"/>
      <c r="B2484" s="1"/>
      <c r="C2484" s="1"/>
      <c r="D2484" s="1"/>
      <c r="E2484" s="1"/>
      <c r="F2484" s="1"/>
      <c r="G2484" s="1"/>
      <c r="H2484" s="1"/>
      <c r="I2484" s="1"/>
      <c r="J2484" s="1"/>
      <c r="K2484" s="102" t="s">
        <v>4507</v>
      </c>
      <c r="L2484" s="102" t="str">
        <f>O88</f>
        <v>J1a2a1a2d2b2b1a~</v>
      </c>
      <c r="M2484" s="106" t="s">
        <v>4508</v>
      </c>
      <c r="N2484" s="102"/>
      <c r="O2484" s="105">
        <v>2.161204E7</v>
      </c>
      <c r="P2484" s="105">
        <v>1.9450154E7</v>
      </c>
      <c r="Q2484" s="102" t="s">
        <v>2501</v>
      </c>
      <c r="S2484" s="1"/>
      <c r="T2484" s="1"/>
      <c r="U2484" s="1"/>
      <c r="V2484" s="1"/>
      <c r="W2484" s="1"/>
      <c r="X2484" s="1"/>
      <c r="Y2484" s="1"/>
      <c r="Z2484" s="102"/>
      <c r="AA2484" s="102"/>
      <c r="AB2484" s="1"/>
      <c r="AC2484" s="1"/>
      <c r="AD2484" s="1"/>
      <c r="AE2484" s="1"/>
      <c r="AF2484" s="1"/>
      <c r="AG2484" s="1"/>
    </row>
    <row r="2485" ht="15.75" customHeight="1">
      <c r="A2485" s="1"/>
      <c r="B2485" s="1"/>
      <c r="C2485" s="1"/>
      <c r="D2485" s="1"/>
      <c r="E2485" s="1"/>
      <c r="F2485" s="1"/>
      <c r="G2485" s="1"/>
      <c r="H2485" s="1"/>
      <c r="I2485" s="1"/>
      <c r="J2485" s="1"/>
      <c r="K2485" s="106" t="s">
        <v>4508</v>
      </c>
      <c r="L2485" s="102" t="str">
        <f>O88</f>
        <v>J1a2a1a2d2b2b1a~</v>
      </c>
      <c r="M2485" s="102" t="s">
        <v>4507</v>
      </c>
      <c r="N2485" s="102"/>
      <c r="O2485" s="105">
        <v>2.161204E7</v>
      </c>
      <c r="P2485" s="105">
        <v>1.9450154E7</v>
      </c>
      <c r="Q2485" s="102" t="s">
        <v>2501</v>
      </c>
      <c r="S2485" s="1"/>
      <c r="T2485" s="1"/>
      <c r="U2485" s="1"/>
      <c r="V2485" s="1"/>
      <c r="W2485" s="1"/>
      <c r="X2485" s="1"/>
      <c r="Y2485" s="1"/>
      <c r="Z2485" s="102">
        <v>8232346.0</v>
      </c>
      <c r="AA2485" s="102"/>
      <c r="AB2485" s="1"/>
      <c r="AC2485" s="1"/>
      <c r="AD2485" s="1"/>
      <c r="AE2485" s="1"/>
      <c r="AF2485" s="1"/>
      <c r="AG2485" s="1"/>
    </row>
    <row r="2486" ht="15.75" customHeight="1">
      <c r="A2486" s="1"/>
      <c r="B2486" s="1"/>
      <c r="C2486" s="1"/>
      <c r="D2486" s="1"/>
      <c r="E2486" s="1"/>
      <c r="F2486" s="1"/>
      <c r="G2486" s="1"/>
      <c r="H2486" s="1"/>
      <c r="I2486" s="1"/>
      <c r="J2486" s="1"/>
      <c r="K2486" s="102" t="s">
        <v>4509</v>
      </c>
      <c r="L2486" s="102" t="str">
        <f>O88</f>
        <v>J1a2a1a2d2b2b1a~</v>
      </c>
      <c r="M2486" s="102"/>
      <c r="N2486" s="102" t="s">
        <v>4510</v>
      </c>
      <c r="O2486" s="105">
        <v>1.4317598E7</v>
      </c>
      <c r="P2486" s="105">
        <v>1.2196892E7</v>
      </c>
      <c r="Q2486" s="102" t="s">
        <v>2446</v>
      </c>
      <c r="S2486" s="1"/>
      <c r="T2486" s="1"/>
      <c r="U2486" s="1"/>
      <c r="V2486" s="1"/>
      <c r="W2486" s="1"/>
      <c r="X2486" s="1"/>
      <c r="Y2486" s="1"/>
      <c r="Z2486" s="102"/>
      <c r="AA2486" s="102"/>
      <c r="AB2486" s="1"/>
      <c r="AC2486" s="1"/>
      <c r="AD2486" s="1"/>
      <c r="AE2486" s="1"/>
      <c r="AF2486" s="1"/>
      <c r="AG2486" s="1"/>
    </row>
    <row r="2487" ht="15.75" customHeight="1">
      <c r="A2487" s="1"/>
      <c r="B2487" s="1"/>
      <c r="C2487" s="1"/>
      <c r="D2487" s="1"/>
      <c r="E2487" s="1"/>
      <c r="F2487" s="1"/>
      <c r="G2487" s="1"/>
      <c r="H2487" s="1"/>
      <c r="I2487" s="1"/>
      <c r="J2487" s="1"/>
      <c r="K2487" s="102" t="s">
        <v>4511</v>
      </c>
      <c r="L2487" s="102" t="str">
        <f>O88</f>
        <v>J1a2a1a2d2b2b1a~</v>
      </c>
      <c r="M2487" s="102"/>
      <c r="N2487" s="102" t="s">
        <v>4512</v>
      </c>
      <c r="O2487" s="105">
        <v>1.8240486E7</v>
      </c>
      <c r="P2487" s="105">
        <v>1.6128606E7</v>
      </c>
      <c r="Q2487" s="102" t="s">
        <v>2446</v>
      </c>
      <c r="S2487" s="1"/>
      <c r="T2487" s="1"/>
      <c r="U2487" s="1"/>
      <c r="V2487" s="1"/>
      <c r="W2487" s="1"/>
      <c r="X2487" s="1"/>
      <c r="Y2487" s="1"/>
      <c r="Z2487" s="102"/>
      <c r="AA2487" s="102"/>
      <c r="AB2487" s="1"/>
      <c r="AC2487" s="1"/>
      <c r="AD2487" s="1"/>
      <c r="AE2487" s="1"/>
      <c r="AF2487" s="1"/>
      <c r="AG2487" s="1"/>
    </row>
    <row r="2488" ht="15.75" customHeight="1">
      <c r="A2488" s="1"/>
      <c r="B2488" s="1"/>
      <c r="C2488" s="1"/>
      <c r="D2488" s="1"/>
      <c r="E2488" s="1"/>
      <c r="F2488" s="1"/>
      <c r="G2488" s="1"/>
      <c r="H2488" s="1"/>
      <c r="I2488" s="1"/>
      <c r="J2488" s="1"/>
      <c r="K2488" s="102" t="s">
        <v>4513</v>
      </c>
      <c r="L2488" s="102" t="str">
        <f>O88</f>
        <v>J1a2a1a2d2b2b1a~</v>
      </c>
      <c r="M2488" s="102"/>
      <c r="N2488" s="102" t="s">
        <v>4514</v>
      </c>
      <c r="O2488" s="105">
        <v>1.4291832E7</v>
      </c>
      <c r="P2488" s="105">
        <v>1.2171126E7</v>
      </c>
      <c r="Q2488" s="102" t="s">
        <v>2529</v>
      </c>
      <c r="S2488" s="1"/>
      <c r="T2488" s="1"/>
      <c r="U2488" s="1"/>
      <c r="V2488" s="1"/>
      <c r="W2488" s="1"/>
      <c r="X2488" s="1"/>
      <c r="Y2488" s="1"/>
      <c r="Z2488" s="102"/>
      <c r="AA2488" s="102"/>
      <c r="AB2488" s="1"/>
      <c r="AC2488" s="1"/>
      <c r="AD2488" s="1"/>
      <c r="AE2488" s="1"/>
      <c r="AF2488" s="1"/>
      <c r="AG2488" s="1"/>
    </row>
    <row r="2489" ht="15.75" customHeight="1">
      <c r="A2489" s="1"/>
      <c r="B2489" s="1"/>
      <c r="C2489" s="1"/>
      <c r="D2489" s="1"/>
      <c r="E2489" s="1"/>
      <c r="F2489" s="1"/>
      <c r="G2489" s="1"/>
      <c r="H2489" s="1"/>
      <c r="I2489" s="1"/>
      <c r="J2489" s="1"/>
      <c r="K2489" s="102" t="s">
        <v>4515</v>
      </c>
      <c r="L2489" s="102" t="str">
        <f>O88</f>
        <v>J1a2a1a2d2b2b1a~</v>
      </c>
      <c r="M2489" s="102"/>
      <c r="N2489" s="102"/>
      <c r="O2489" s="105">
        <v>7005908.0</v>
      </c>
      <c r="P2489" s="105">
        <v>7137867.0</v>
      </c>
      <c r="Q2489" s="102" t="s">
        <v>2468</v>
      </c>
      <c r="S2489" s="1"/>
      <c r="T2489" s="1"/>
      <c r="U2489" s="1"/>
      <c r="V2489" s="1"/>
      <c r="W2489" s="1"/>
      <c r="X2489" s="1"/>
      <c r="Y2489" s="1"/>
      <c r="Z2489" s="102"/>
      <c r="AA2489" s="102"/>
      <c r="AB2489" s="1"/>
      <c r="AC2489" s="1"/>
      <c r="AD2489" s="1"/>
      <c r="AE2489" s="1"/>
      <c r="AF2489" s="1"/>
      <c r="AG2489" s="1"/>
    </row>
    <row r="2490" ht="15.75" customHeight="1">
      <c r="A2490" s="1"/>
      <c r="B2490" s="1"/>
      <c r="C2490" s="1"/>
      <c r="D2490" s="1"/>
      <c r="E2490" s="1"/>
      <c r="F2490" s="1"/>
      <c r="G2490" s="1"/>
      <c r="H2490" s="1"/>
      <c r="I2490" s="1"/>
      <c r="J2490" s="1"/>
      <c r="K2490" s="102" t="s">
        <v>4516</v>
      </c>
      <c r="L2490" s="102" t="str">
        <f>O88</f>
        <v>J1a2a1a2d2b2b1a~</v>
      </c>
      <c r="M2490" s="102"/>
      <c r="N2490" s="102"/>
      <c r="O2490" s="105">
        <v>2.2183971E7</v>
      </c>
      <c r="P2490" s="105">
        <v>2.0022085E7</v>
      </c>
      <c r="Q2490" s="102" t="s">
        <v>2501</v>
      </c>
      <c r="S2490" s="1"/>
      <c r="T2490" s="1"/>
      <c r="U2490" s="1"/>
      <c r="V2490" s="1"/>
      <c r="W2490" s="1"/>
      <c r="X2490" s="1"/>
      <c r="Y2490" s="1"/>
      <c r="Z2490" s="102"/>
      <c r="AA2490" s="102"/>
      <c r="AB2490" s="1"/>
      <c r="AC2490" s="1"/>
      <c r="AD2490" s="1"/>
      <c r="AE2490" s="1"/>
      <c r="AF2490" s="1"/>
      <c r="AG2490" s="1"/>
    </row>
    <row r="2491" ht="15.75" customHeight="1">
      <c r="A2491" s="1"/>
      <c r="B2491" s="1"/>
      <c r="C2491" s="1"/>
      <c r="D2491" s="1"/>
      <c r="E2491" s="1"/>
      <c r="F2491" s="1"/>
      <c r="G2491" s="1"/>
      <c r="H2491" s="1"/>
      <c r="I2491" s="1"/>
      <c r="J2491" s="1"/>
      <c r="K2491" s="102" t="s">
        <v>4517</v>
      </c>
      <c r="L2491" s="102" t="str">
        <f>O88</f>
        <v>J1a2a1a2d2b2b1a~</v>
      </c>
      <c r="M2491" s="102"/>
      <c r="N2491" s="102" t="s">
        <v>4518</v>
      </c>
      <c r="O2491" s="105">
        <v>6924269.0</v>
      </c>
      <c r="P2491" s="105">
        <v>7056228.0</v>
      </c>
      <c r="Q2491" s="102" t="s">
        <v>2501</v>
      </c>
      <c r="S2491" s="1"/>
      <c r="T2491" s="1"/>
      <c r="U2491" s="1"/>
      <c r="V2491" s="1"/>
      <c r="W2491" s="1"/>
      <c r="X2491" s="1"/>
      <c r="Y2491" s="1"/>
      <c r="Z2491" s="102"/>
      <c r="AA2491" s="102"/>
      <c r="AB2491" s="1"/>
      <c r="AC2491" s="1"/>
      <c r="AD2491" s="1"/>
      <c r="AE2491" s="1"/>
      <c r="AF2491" s="1"/>
      <c r="AG2491" s="1"/>
    </row>
    <row r="2492" ht="15.75" customHeight="1">
      <c r="A2492" s="1"/>
      <c r="B2492" s="1"/>
      <c r="C2492" s="1"/>
      <c r="D2492" s="1"/>
      <c r="E2492" s="1"/>
      <c r="F2492" s="1"/>
      <c r="G2492" s="1"/>
      <c r="H2492" s="1"/>
      <c r="I2492" s="1"/>
      <c r="J2492" s="1"/>
      <c r="K2492" s="102" t="s">
        <v>4519</v>
      </c>
      <c r="L2492" s="102" t="str">
        <f>O88</f>
        <v>J1a2a1a2d2b2b1a~</v>
      </c>
      <c r="M2492" s="102"/>
      <c r="N2492" s="102"/>
      <c r="O2492" s="105">
        <v>1.4840234E7</v>
      </c>
      <c r="P2492" s="105">
        <v>1.2728301E7</v>
      </c>
      <c r="Q2492" s="102" t="s">
        <v>2576</v>
      </c>
      <c r="S2492" s="1"/>
      <c r="T2492" s="1"/>
      <c r="U2492" s="1"/>
      <c r="V2492" s="1"/>
      <c r="W2492" s="1"/>
      <c r="X2492" s="1"/>
      <c r="Y2492" s="1"/>
      <c r="Z2492" s="102"/>
      <c r="AA2492" s="102"/>
      <c r="AB2492" s="1"/>
      <c r="AC2492" s="1"/>
      <c r="AD2492" s="1"/>
      <c r="AE2492" s="1"/>
      <c r="AF2492" s="1"/>
      <c r="AG2492" s="1"/>
    </row>
    <row r="2493" ht="15.75" customHeight="1">
      <c r="A2493" s="1"/>
      <c r="B2493" s="1"/>
      <c r="C2493" s="1"/>
      <c r="D2493" s="1"/>
      <c r="E2493" s="1"/>
      <c r="F2493" s="1"/>
      <c r="G2493" s="1"/>
      <c r="H2493" s="1"/>
      <c r="I2493" s="1"/>
      <c r="J2493" s="1"/>
      <c r="K2493" s="102" t="s">
        <v>4520</v>
      </c>
      <c r="L2493" s="102" t="str">
        <f>O88</f>
        <v>J1a2a1a2d2b2b1a~</v>
      </c>
      <c r="M2493" s="102"/>
      <c r="N2493" s="102"/>
      <c r="O2493" s="105">
        <v>6891875.0</v>
      </c>
      <c r="P2493" s="105">
        <v>7023834.0</v>
      </c>
      <c r="Q2493" s="102" t="s">
        <v>2501</v>
      </c>
      <c r="S2493" s="1"/>
      <c r="T2493" s="1"/>
      <c r="U2493" s="1"/>
      <c r="V2493" s="1"/>
      <c r="W2493" s="1"/>
      <c r="X2493" s="1"/>
      <c r="Y2493" s="1"/>
      <c r="Z2493" s="102"/>
      <c r="AA2493" s="102"/>
      <c r="AB2493" s="1"/>
      <c r="AC2493" s="1"/>
      <c r="AD2493" s="1"/>
      <c r="AE2493" s="1"/>
      <c r="AF2493" s="1"/>
      <c r="AG2493" s="1"/>
    </row>
    <row r="2494" ht="15.75" customHeight="1">
      <c r="A2494" s="1"/>
      <c r="B2494" s="1"/>
      <c r="C2494" s="1"/>
      <c r="D2494" s="1"/>
      <c r="E2494" s="1"/>
      <c r="F2494" s="1"/>
      <c r="G2494" s="1"/>
      <c r="H2494" s="1"/>
      <c r="I2494" s="1"/>
      <c r="J2494" s="1"/>
      <c r="K2494" s="102" t="s">
        <v>4521</v>
      </c>
      <c r="L2494" s="102" t="str">
        <f>O88</f>
        <v>J1a2a1a2d2b2b1a~</v>
      </c>
      <c r="M2494" s="102"/>
      <c r="N2494" s="102"/>
      <c r="O2494" s="105">
        <v>2.2933432E7</v>
      </c>
      <c r="P2494" s="105">
        <v>2.0771546E7</v>
      </c>
      <c r="Q2494" s="102" t="s">
        <v>2439</v>
      </c>
      <c r="S2494" s="1"/>
      <c r="T2494" s="1"/>
      <c r="U2494" s="1"/>
      <c r="V2494" s="1"/>
      <c r="W2494" s="1"/>
      <c r="X2494" s="1"/>
      <c r="Y2494" s="1"/>
      <c r="Z2494" s="102"/>
      <c r="AA2494" s="102"/>
      <c r="AB2494" s="1"/>
      <c r="AC2494" s="1"/>
      <c r="AD2494" s="1"/>
      <c r="AE2494" s="1"/>
      <c r="AF2494" s="1"/>
      <c r="AG2494" s="1"/>
    </row>
    <row r="2495" ht="15.75" customHeight="1">
      <c r="A2495" s="1"/>
      <c r="B2495" s="1"/>
      <c r="C2495" s="1"/>
      <c r="D2495" s="1"/>
      <c r="E2495" s="1"/>
      <c r="F2495" s="1"/>
      <c r="G2495" s="1"/>
      <c r="H2495" s="1"/>
      <c r="I2495" s="1"/>
      <c r="J2495" s="1"/>
      <c r="K2495" s="102" t="s">
        <v>4522</v>
      </c>
      <c r="L2495" s="102" t="str">
        <f>O88</f>
        <v>J1a2a1a2d2b2b1a~</v>
      </c>
      <c r="M2495" s="102"/>
      <c r="N2495" s="102"/>
      <c r="O2495" s="105">
        <v>1.9340812E7</v>
      </c>
      <c r="P2495" s="105">
        <v>1.7228932E7</v>
      </c>
      <c r="Q2495" s="102" t="s">
        <v>2423</v>
      </c>
      <c r="S2495" s="1"/>
      <c r="T2495" s="1"/>
      <c r="U2495" s="1"/>
      <c r="V2495" s="1"/>
      <c r="W2495" s="1"/>
      <c r="X2495" s="1"/>
      <c r="Y2495" s="1"/>
      <c r="Z2495" s="102"/>
      <c r="AA2495" s="102"/>
      <c r="AB2495" s="1"/>
      <c r="AC2495" s="1"/>
      <c r="AD2495" s="1"/>
      <c r="AE2495" s="1"/>
      <c r="AF2495" s="1"/>
      <c r="AG2495" s="1"/>
    </row>
    <row r="2496" ht="15.75" customHeight="1">
      <c r="A2496" s="1"/>
      <c r="B2496" s="1"/>
      <c r="C2496" s="1"/>
      <c r="D2496" s="1"/>
      <c r="E2496" s="1"/>
      <c r="F2496" s="1"/>
      <c r="G2496" s="1"/>
      <c r="H2496" s="1"/>
      <c r="I2496" s="1"/>
      <c r="J2496" s="1"/>
      <c r="K2496" s="102" t="s">
        <v>4523</v>
      </c>
      <c r="L2496" s="102" t="str">
        <f>O88</f>
        <v>J1a2a1a2d2b2b1a~</v>
      </c>
      <c r="M2496" s="102"/>
      <c r="N2496" s="102" t="s">
        <v>4524</v>
      </c>
      <c r="O2496" s="105">
        <v>1.8709891E7</v>
      </c>
      <c r="P2496" s="105">
        <v>1.6598011E7</v>
      </c>
      <c r="Q2496" s="102" t="s">
        <v>2446</v>
      </c>
      <c r="S2496" s="1"/>
      <c r="T2496" s="1"/>
      <c r="U2496" s="1"/>
      <c r="V2496" s="1"/>
      <c r="W2496" s="1"/>
      <c r="X2496" s="1"/>
      <c r="Y2496" s="1"/>
      <c r="Z2496" s="102"/>
      <c r="AA2496" s="102"/>
      <c r="AB2496" s="1"/>
      <c r="AC2496" s="1"/>
      <c r="AD2496" s="1"/>
      <c r="AE2496" s="1"/>
      <c r="AF2496" s="1"/>
      <c r="AG2496" s="1"/>
    </row>
    <row r="2497" ht="15.75" customHeight="1">
      <c r="A2497" s="1"/>
      <c r="B2497" s="1"/>
      <c r="C2497" s="1"/>
      <c r="D2497" s="1"/>
      <c r="E2497" s="1"/>
      <c r="F2497" s="1"/>
      <c r="G2497" s="1"/>
      <c r="H2497" s="1"/>
      <c r="I2497" s="1"/>
      <c r="J2497" s="1"/>
      <c r="K2497" s="102" t="s">
        <v>4525</v>
      </c>
      <c r="L2497" s="102" t="str">
        <f>O88</f>
        <v>J1a2a1a2d2b2b1a~</v>
      </c>
      <c r="M2497" s="102"/>
      <c r="N2497" s="102" t="s">
        <v>4526</v>
      </c>
      <c r="O2497" s="105">
        <v>1.9286059E7</v>
      </c>
      <c r="P2497" s="105">
        <v>1.7174179E7</v>
      </c>
      <c r="Q2497" s="102" t="s">
        <v>2439</v>
      </c>
      <c r="S2497" s="1"/>
      <c r="T2497" s="1"/>
      <c r="U2497" s="1"/>
      <c r="V2497" s="1"/>
      <c r="W2497" s="1"/>
      <c r="X2497" s="1"/>
      <c r="Y2497" s="1"/>
      <c r="Z2497" s="102"/>
      <c r="AA2497" s="102"/>
      <c r="AB2497" s="1"/>
      <c r="AC2497" s="1"/>
      <c r="AD2497" s="1"/>
      <c r="AE2497" s="1"/>
      <c r="AF2497" s="1"/>
      <c r="AG2497" s="1"/>
    </row>
    <row r="2498" ht="15.75" customHeight="1">
      <c r="A2498" s="1"/>
      <c r="B2498" s="1"/>
      <c r="C2498" s="1"/>
      <c r="D2498" s="1"/>
      <c r="E2498" s="1"/>
      <c r="F2498" s="1"/>
      <c r="G2498" s="1"/>
      <c r="H2498" s="1"/>
      <c r="I2498" s="1"/>
      <c r="J2498" s="1"/>
      <c r="K2498" s="102" t="s">
        <v>4527</v>
      </c>
      <c r="L2498" s="102" t="str">
        <f>O88</f>
        <v>J1a2a1a2d2b2b1a~</v>
      </c>
      <c r="M2498" s="102"/>
      <c r="N2498" s="102"/>
      <c r="O2498" s="105">
        <v>1.4303663E7</v>
      </c>
      <c r="P2498" s="105">
        <v>1.2182957E7</v>
      </c>
      <c r="Q2498" s="102" t="s">
        <v>2533</v>
      </c>
      <c r="S2498" s="1"/>
      <c r="T2498" s="1"/>
      <c r="U2498" s="1"/>
      <c r="V2498" s="1"/>
      <c r="W2498" s="1"/>
      <c r="X2498" s="1"/>
      <c r="Y2498" s="1"/>
      <c r="Z2498" s="102"/>
      <c r="AA2498" s="102"/>
      <c r="AB2498" s="1"/>
      <c r="AC2498" s="1"/>
      <c r="AD2498" s="1"/>
      <c r="AE2498" s="1"/>
      <c r="AF2498" s="1"/>
      <c r="AG2498" s="1"/>
    </row>
    <row r="2499" ht="15.75" customHeight="1">
      <c r="A2499" s="1"/>
      <c r="B2499" s="1"/>
      <c r="C2499" s="1"/>
      <c r="D2499" s="1"/>
      <c r="E2499" s="1"/>
      <c r="F2499" s="1"/>
      <c r="G2499" s="1"/>
      <c r="H2499" s="1"/>
      <c r="I2499" s="1"/>
      <c r="J2499" s="1"/>
      <c r="K2499" s="102" t="s">
        <v>4528</v>
      </c>
      <c r="L2499" s="102" t="str">
        <f>O88</f>
        <v>J1a2a1a2d2b2b1a~</v>
      </c>
      <c r="M2499" s="102"/>
      <c r="N2499" s="102" t="s">
        <v>4529</v>
      </c>
      <c r="O2499" s="105">
        <v>1.6934052E7</v>
      </c>
      <c r="P2499" s="105">
        <v>1.4822172E7</v>
      </c>
      <c r="Q2499" s="102" t="s">
        <v>2468</v>
      </c>
      <c r="S2499" s="1"/>
      <c r="T2499" s="1"/>
      <c r="U2499" s="1"/>
      <c r="V2499" s="1"/>
      <c r="W2499" s="1"/>
      <c r="X2499" s="1"/>
      <c r="Y2499" s="1"/>
      <c r="Z2499" s="102"/>
      <c r="AA2499" s="102"/>
      <c r="AB2499" s="1"/>
      <c r="AC2499" s="1"/>
      <c r="AD2499" s="1"/>
      <c r="AE2499" s="1"/>
      <c r="AF2499" s="1"/>
      <c r="AG2499" s="1"/>
    </row>
    <row r="2500" ht="15.75" customHeight="1">
      <c r="A2500" s="1"/>
      <c r="B2500" s="1"/>
      <c r="C2500" s="1"/>
      <c r="D2500" s="1"/>
      <c r="E2500" s="1"/>
      <c r="F2500" s="1"/>
      <c r="G2500" s="1"/>
      <c r="H2500" s="1"/>
      <c r="I2500" s="1"/>
      <c r="J2500" s="1"/>
      <c r="K2500" s="102" t="s">
        <v>4530</v>
      </c>
      <c r="L2500" s="102" t="str">
        <f>O88</f>
        <v>J1a2a1a2d2b2b1a~</v>
      </c>
      <c r="M2500" s="102"/>
      <c r="N2500" s="102"/>
      <c r="O2500" s="105">
        <v>1.7744875E7</v>
      </c>
      <c r="P2500" s="105">
        <v>1.5632995E7</v>
      </c>
      <c r="Q2500" s="102" t="s">
        <v>2468</v>
      </c>
      <c r="S2500" s="1"/>
      <c r="T2500" s="1"/>
      <c r="U2500" s="1"/>
      <c r="V2500" s="1"/>
      <c r="W2500" s="1"/>
      <c r="X2500" s="1"/>
      <c r="Y2500" s="1"/>
      <c r="Z2500" s="102"/>
      <c r="AA2500" s="102"/>
      <c r="AB2500" s="1"/>
      <c r="AC2500" s="1"/>
      <c r="AD2500" s="1"/>
      <c r="AE2500" s="1"/>
      <c r="AF2500" s="1"/>
      <c r="AG2500" s="1"/>
    </row>
    <row r="2501" ht="15.75" customHeight="1">
      <c r="A2501" s="1"/>
      <c r="B2501" s="1"/>
      <c r="C2501" s="1"/>
      <c r="D2501" s="1"/>
      <c r="E2501" s="1"/>
      <c r="F2501" s="1"/>
      <c r="G2501" s="1"/>
      <c r="H2501" s="1"/>
      <c r="I2501" s="1"/>
      <c r="J2501" s="1"/>
      <c r="K2501" s="102" t="s">
        <v>4531</v>
      </c>
      <c r="L2501" s="102" t="str">
        <f>O88</f>
        <v>J1a2a1a2d2b2b1a~</v>
      </c>
      <c r="M2501" s="102"/>
      <c r="N2501" s="102" t="s">
        <v>4532</v>
      </c>
      <c r="O2501" s="105">
        <v>2.3483097E7</v>
      </c>
      <c r="P2501" s="105">
        <v>2.1321211E7</v>
      </c>
      <c r="Q2501" s="102" t="s">
        <v>2423</v>
      </c>
      <c r="S2501" s="1"/>
      <c r="T2501" s="1"/>
      <c r="U2501" s="1"/>
      <c r="V2501" s="1"/>
      <c r="W2501" s="1"/>
      <c r="X2501" s="1"/>
      <c r="Y2501" s="1"/>
      <c r="Z2501" s="102"/>
      <c r="AA2501" s="102"/>
      <c r="AB2501" s="1"/>
      <c r="AC2501" s="1"/>
      <c r="AD2501" s="1"/>
      <c r="AE2501" s="1"/>
      <c r="AF2501" s="1"/>
      <c r="AG2501" s="1"/>
    </row>
    <row r="2502" ht="15.75" customHeight="1">
      <c r="A2502" s="1"/>
      <c r="B2502" s="1"/>
      <c r="C2502" s="1"/>
      <c r="D2502" s="1"/>
      <c r="E2502" s="1"/>
      <c r="F2502" s="1"/>
      <c r="G2502" s="1"/>
      <c r="H2502" s="1"/>
      <c r="I2502" s="1"/>
      <c r="J2502" s="1"/>
      <c r="K2502" s="102" t="s">
        <v>4533</v>
      </c>
      <c r="L2502" s="102" t="str">
        <f>O88</f>
        <v>J1a2a1a2d2b2b1a~</v>
      </c>
      <c r="M2502" s="102"/>
      <c r="N2502" s="102" t="s">
        <v>4534</v>
      </c>
      <c r="O2502" s="105">
        <v>1.8709892E7</v>
      </c>
      <c r="P2502" s="105">
        <v>1.6598012E7</v>
      </c>
      <c r="Q2502" s="102" t="s">
        <v>2432</v>
      </c>
      <c r="S2502" s="1"/>
      <c r="T2502" s="1"/>
      <c r="U2502" s="1"/>
      <c r="V2502" s="1"/>
      <c r="W2502" s="1"/>
      <c r="X2502" s="1"/>
      <c r="Y2502" s="1"/>
      <c r="Z2502" s="102"/>
      <c r="AA2502" s="102"/>
      <c r="AB2502" s="1"/>
      <c r="AC2502" s="1"/>
      <c r="AD2502" s="1"/>
      <c r="AE2502" s="1"/>
      <c r="AF2502" s="1"/>
      <c r="AG2502" s="1"/>
    </row>
    <row r="2503" ht="15.75" customHeight="1">
      <c r="A2503" s="1"/>
      <c r="B2503" s="1"/>
      <c r="C2503" s="1"/>
      <c r="D2503" s="1"/>
      <c r="E2503" s="1"/>
      <c r="F2503" s="1"/>
      <c r="G2503" s="1"/>
      <c r="H2503" s="1"/>
      <c r="I2503" s="1"/>
      <c r="J2503" s="1"/>
      <c r="K2503" s="102" t="s">
        <v>4535</v>
      </c>
      <c r="L2503" s="102" t="str">
        <f>O88</f>
        <v>J1a2a1a2d2b2b1a~</v>
      </c>
      <c r="M2503" s="102"/>
      <c r="N2503" s="102" t="s">
        <v>4536</v>
      </c>
      <c r="O2503" s="105">
        <v>1.7183757E7</v>
      </c>
      <c r="P2503" s="105">
        <v>1.5071877E7</v>
      </c>
      <c r="Q2503" s="102" t="s">
        <v>2501</v>
      </c>
      <c r="S2503" s="1"/>
      <c r="T2503" s="1"/>
      <c r="U2503" s="1"/>
      <c r="V2503" s="1"/>
      <c r="W2503" s="1"/>
      <c r="X2503" s="1"/>
      <c r="Y2503" s="1"/>
      <c r="Z2503" s="102"/>
      <c r="AA2503" s="102"/>
      <c r="AB2503" s="1"/>
      <c r="AC2503" s="1"/>
      <c r="AD2503" s="1"/>
      <c r="AE2503" s="1"/>
      <c r="AF2503" s="1"/>
      <c r="AG2503" s="1"/>
    </row>
    <row r="2504" ht="15.75" customHeight="1">
      <c r="A2504" s="1"/>
      <c r="B2504" s="1"/>
      <c r="C2504" s="1"/>
      <c r="D2504" s="1"/>
      <c r="E2504" s="1"/>
      <c r="F2504" s="1"/>
      <c r="G2504" s="1"/>
      <c r="H2504" s="1"/>
      <c r="I2504" s="1"/>
      <c r="J2504" s="1"/>
      <c r="K2504" s="102" t="s">
        <v>4537</v>
      </c>
      <c r="L2504" s="102" t="str">
        <f>O88</f>
        <v>J1a2a1a2d2b2b1a~</v>
      </c>
      <c r="M2504" s="102"/>
      <c r="N2504" s="102" t="s">
        <v>4538</v>
      </c>
      <c r="O2504" s="105">
        <v>2.1270572E7</v>
      </c>
      <c r="P2504" s="105">
        <v>1.9108686E7</v>
      </c>
      <c r="Q2504" s="102" t="s">
        <v>2533</v>
      </c>
      <c r="S2504" s="1"/>
      <c r="T2504" s="1"/>
      <c r="U2504" s="1"/>
      <c r="V2504" s="1"/>
      <c r="W2504" s="1"/>
      <c r="X2504" s="1"/>
      <c r="Y2504" s="1"/>
      <c r="Z2504" s="102"/>
      <c r="AA2504" s="102"/>
      <c r="AB2504" s="1"/>
      <c r="AC2504" s="1"/>
      <c r="AD2504" s="1"/>
      <c r="AE2504" s="1"/>
      <c r="AF2504" s="1"/>
      <c r="AG2504" s="1"/>
    </row>
    <row r="2505" ht="15.75" customHeight="1">
      <c r="A2505" s="1"/>
      <c r="B2505" s="1"/>
      <c r="C2505" s="1"/>
      <c r="D2505" s="1"/>
      <c r="E2505" s="1"/>
      <c r="F2505" s="1"/>
      <c r="G2505" s="1"/>
      <c r="H2505" s="1"/>
      <c r="I2505" s="1"/>
      <c r="J2505" s="1"/>
      <c r="K2505" s="102" t="s">
        <v>4539</v>
      </c>
      <c r="L2505" s="102" t="str">
        <f>O88</f>
        <v>J1a2a1a2d2b2b1a~</v>
      </c>
      <c r="M2505" s="102"/>
      <c r="N2505" s="102"/>
      <c r="O2505" s="105">
        <v>2.2794672E7</v>
      </c>
      <c r="P2505" s="105">
        <v>2.0632786E7</v>
      </c>
      <c r="Q2505" s="102" t="s">
        <v>2576</v>
      </c>
      <c r="S2505" s="1"/>
      <c r="T2505" s="1"/>
      <c r="U2505" s="1"/>
      <c r="V2505" s="1"/>
      <c r="W2505" s="1"/>
      <c r="X2505" s="1"/>
      <c r="Y2505" s="1"/>
      <c r="Z2505" s="102"/>
      <c r="AA2505" s="102"/>
      <c r="AB2505" s="1"/>
      <c r="AC2505" s="1"/>
      <c r="AD2505" s="1"/>
      <c r="AE2505" s="1"/>
      <c r="AF2505" s="1"/>
      <c r="AG2505" s="1"/>
    </row>
    <row r="2506" ht="15.75" customHeight="1">
      <c r="A2506" s="1"/>
      <c r="B2506" s="1"/>
      <c r="C2506" s="1"/>
      <c r="D2506" s="1"/>
      <c r="E2506" s="1"/>
      <c r="F2506" s="1"/>
      <c r="G2506" s="1"/>
      <c r="H2506" s="1"/>
      <c r="I2506" s="1"/>
      <c r="J2506" s="1"/>
      <c r="K2506" s="102" t="s">
        <v>4540</v>
      </c>
      <c r="L2506" s="102" t="str">
        <f>O88</f>
        <v>J1a2a1a2d2b2b1a~</v>
      </c>
      <c r="M2506" s="102"/>
      <c r="N2506" s="102"/>
      <c r="O2506" s="105">
        <v>1.3960753E7</v>
      </c>
      <c r="P2506" s="105">
        <v>1.1840047E7</v>
      </c>
      <c r="Q2506" s="102" t="s">
        <v>2446</v>
      </c>
      <c r="S2506" s="1"/>
      <c r="T2506" s="1"/>
      <c r="U2506" s="1"/>
      <c r="V2506" s="1"/>
      <c r="W2506" s="1"/>
      <c r="X2506" s="1"/>
      <c r="Y2506" s="1"/>
      <c r="Z2506" s="102"/>
      <c r="AA2506" s="102"/>
      <c r="AB2506" s="1"/>
      <c r="AC2506" s="1"/>
      <c r="AD2506" s="1"/>
      <c r="AE2506" s="1"/>
      <c r="AF2506" s="1"/>
      <c r="AG2506" s="1"/>
    </row>
    <row r="2507" ht="15.75" customHeight="1">
      <c r="A2507" s="1"/>
      <c r="B2507" s="1"/>
      <c r="C2507" s="1"/>
      <c r="D2507" s="1"/>
      <c r="E2507" s="1"/>
      <c r="F2507" s="1"/>
      <c r="G2507" s="1"/>
      <c r="H2507" s="1"/>
      <c r="I2507" s="1"/>
      <c r="J2507" s="1"/>
      <c r="K2507" s="102" t="s">
        <v>4541</v>
      </c>
      <c r="L2507" s="102" t="str">
        <f>O88</f>
        <v>J1a2a1a2d2b2b1a~</v>
      </c>
      <c r="M2507" s="102"/>
      <c r="N2507" s="102"/>
      <c r="O2507" s="105">
        <v>1.4148844E7</v>
      </c>
      <c r="P2507" s="105">
        <v>1.2028138E7</v>
      </c>
      <c r="Q2507" s="102" t="s">
        <v>2432</v>
      </c>
      <c r="S2507" s="1"/>
      <c r="T2507" s="1"/>
      <c r="U2507" s="1"/>
      <c r="V2507" s="1"/>
      <c r="W2507" s="1"/>
      <c r="X2507" s="1"/>
      <c r="Y2507" s="1"/>
      <c r="Z2507" s="102"/>
      <c r="AA2507" s="102"/>
      <c r="AB2507" s="1"/>
      <c r="AC2507" s="1"/>
      <c r="AD2507" s="1"/>
      <c r="AE2507" s="1"/>
      <c r="AF2507" s="1"/>
      <c r="AG2507" s="1"/>
    </row>
    <row r="2508" ht="15.75" customHeight="1">
      <c r="A2508" s="1"/>
      <c r="B2508" s="1"/>
      <c r="C2508" s="1"/>
      <c r="D2508" s="1"/>
      <c r="E2508" s="1"/>
      <c r="F2508" s="1"/>
      <c r="G2508" s="1"/>
      <c r="H2508" s="1"/>
      <c r="I2508" s="1"/>
      <c r="J2508" s="1"/>
      <c r="K2508" s="102" t="s">
        <v>4542</v>
      </c>
      <c r="L2508" s="102" t="str">
        <f>O88</f>
        <v>J1a2a1a2d2b2b1a~</v>
      </c>
      <c r="M2508" s="102"/>
      <c r="N2508" s="102" t="s">
        <v>4543</v>
      </c>
      <c r="O2508" s="105">
        <v>1.5395501E7</v>
      </c>
      <c r="P2508" s="105">
        <v>1.3283621E7</v>
      </c>
      <c r="Q2508" s="102" t="s">
        <v>2446</v>
      </c>
      <c r="S2508" s="1"/>
      <c r="T2508" s="1"/>
      <c r="U2508" s="1"/>
      <c r="V2508" s="1"/>
      <c r="W2508" s="1"/>
      <c r="X2508" s="1"/>
      <c r="Y2508" s="1"/>
      <c r="Z2508" s="102"/>
      <c r="AA2508" s="102"/>
      <c r="AB2508" s="1"/>
      <c r="AC2508" s="1"/>
      <c r="AD2508" s="1"/>
      <c r="AE2508" s="1"/>
      <c r="AF2508" s="1"/>
      <c r="AG2508" s="1"/>
    </row>
    <row r="2509" ht="15.75" customHeight="1">
      <c r="A2509" s="1"/>
      <c r="B2509" s="1"/>
      <c r="C2509" s="1"/>
      <c r="D2509" s="1"/>
      <c r="E2509" s="1"/>
      <c r="F2509" s="1"/>
      <c r="G2509" s="1"/>
      <c r="H2509" s="1"/>
      <c r="I2509" s="1"/>
      <c r="J2509" s="1"/>
      <c r="K2509" s="102" t="s">
        <v>4544</v>
      </c>
      <c r="L2509" s="102" t="str">
        <f>O88</f>
        <v>J1a2a1a2d2b2b1a~</v>
      </c>
      <c r="M2509" s="102"/>
      <c r="N2509" s="102"/>
      <c r="O2509" s="105">
        <v>7293466.0</v>
      </c>
      <c r="P2509" s="105">
        <v>7425425.0</v>
      </c>
      <c r="Q2509" s="102" t="s">
        <v>2501</v>
      </c>
      <c r="S2509" s="1"/>
      <c r="T2509" s="1"/>
      <c r="U2509" s="1"/>
      <c r="V2509" s="1"/>
      <c r="W2509" s="1"/>
      <c r="X2509" s="1"/>
      <c r="Y2509" s="1"/>
      <c r="Z2509" s="102"/>
      <c r="AA2509" s="102"/>
      <c r="AB2509" s="1"/>
      <c r="AC2509" s="1"/>
      <c r="AD2509" s="1"/>
      <c r="AE2509" s="1"/>
      <c r="AF2509" s="1"/>
      <c r="AG2509" s="1"/>
    </row>
    <row r="2510" ht="15.75" customHeight="1">
      <c r="A2510" s="1"/>
      <c r="B2510" s="1"/>
      <c r="C2510" s="1"/>
      <c r="D2510" s="1"/>
      <c r="E2510" s="1"/>
      <c r="F2510" s="1"/>
      <c r="G2510" s="1"/>
      <c r="H2510" s="1"/>
      <c r="I2510" s="1"/>
      <c r="J2510" s="1"/>
      <c r="K2510" s="102" t="s">
        <v>4545</v>
      </c>
      <c r="L2510" s="102" t="str">
        <f>O88</f>
        <v>J1a2a1a2d2b2b1a~</v>
      </c>
      <c r="M2510" s="102"/>
      <c r="N2510" s="102" t="s">
        <v>4546</v>
      </c>
      <c r="O2510" s="105">
        <v>2.3089375E7</v>
      </c>
      <c r="P2510" s="105">
        <v>2.0927489E7</v>
      </c>
      <c r="Q2510" s="102" t="s">
        <v>2501</v>
      </c>
      <c r="S2510" s="1"/>
      <c r="T2510" s="1"/>
      <c r="U2510" s="1"/>
      <c r="V2510" s="1"/>
      <c r="W2510" s="1"/>
      <c r="X2510" s="1"/>
      <c r="Y2510" s="1"/>
      <c r="Z2510" s="102"/>
      <c r="AA2510" s="102"/>
      <c r="AB2510" s="1"/>
      <c r="AC2510" s="1"/>
      <c r="AD2510" s="1"/>
      <c r="AE2510" s="1"/>
      <c r="AF2510" s="1"/>
      <c r="AG2510" s="1"/>
    </row>
    <row r="2511" ht="15.75" customHeight="1">
      <c r="A2511" s="1"/>
      <c r="B2511" s="1"/>
      <c r="C2511" s="1"/>
      <c r="D2511" s="1"/>
      <c r="E2511" s="1"/>
      <c r="F2511" s="1"/>
      <c r="G2511" s="1"/>
      <c r="H2511" s="1"/>
      <c r="I2511" s="1"/>
      <c r="J2511" s="1"/>
      <c r="K2511" s="102" t="s">
        <v>4547</v>
      </c>
      <c r="L2511" s="102" t="str">
        <f>O88</f>
        <v>J1a2a1a2d2b2b1a~</v>
      </c>
      <c r="M2511" s="102"/>
      <c r="N2511" s="102" t="s">
        <v>4548</v>
      </c>
      <c r="O2511" s="105">
        <v>1.7787311E7</v>
      </c>
      <c r="P2511" s="105">
        <v>1.5675431E7</v>
      </c>
      <c r="Q2511" s="102" t="s">
        <v>2533</v>
      </c>
      <c r="S2511" s="1"/>
      <c r="T2511" s="1"/>
      <c r="U2511" s="1"/>
      <c r="V2511" s="1"/>
      <c r="W2511" s="1"/>
      <c r="X2511" s="1"/>
      <c r="Y2511" s="1"/>
      <c r="Z2511" s="102"/>
      <c r="AA2511" s="102"/>
      <c r="AB2511" s="1"/>
      <c r="AC2511" s="1"/>
      <c r="AD2511" s="1"/>
      <c r="AE2511" s="1"/>
      <c r="AF2511" s="1"/>
      <c r="AG2511" s="1"/>
    </row>
    <row r="2512" ht="15.75" customHeight="1">
      <c r="A2512" s="1"/>
      <c r="B2512" s="1"/>
      <c r="C2512" s="1"/>
      <c r="D2512" s="1"/>
      <c r="E2512" s="1"/>
      <c r="F2512" s="1"/>
      <c r="G2512" s="1"/>
      <c r="H2512" s="1"/>
      <c r="I2512" s="1"/>
      <c r="J2512" s="1"/>
      <c r="K2512" s="102" t="s">
        <v>4549</v>
      </c>
      <c r="L2512" s="102" t="str">
        <f>O88</f>
        <v>J1a2a1a2d2b2b1a~</v>
      </c>
      <c r="M2512" s="102"/>
      <c r="N2512" s="102"/>
      <c r="O2512" s="105">
        <v>2790557.0</v>
      </c>
      <c r="P2512" s="105">
        <v>2922516.0</v>
      </c>
      <c r="Q2512" s="102" t="s">
        <v>2576</v>
      </c>
      <c r="S2512" s="1"/>
      <c r="T2512" s="1"/>
      <c r="U2512" s="1"/>
      <c r="V2512" s="1"/>
      <c r="W2512" s="1"/>
      <c r="X2512" s="1"/>
      <c r="Y2512" s="1"/>
      <c r="Z2512" s="102"/>
      <c r="AA2512" s="102"/>
      <c r="AB2512" s="1"/>
      <c r="AC2512" s="1"/>
      <c r="AD2512" s="1"/>
      <c r="AE2512" s="1"/>
      <c r="AF2512" s="1"/>
      <c r="AG2512" s="1"/>
    </row>
    <row r="2513" ht="15.75" customHeight="1">
      <c r="A2513" s="1"/>
      <c r="B2513" s="1"/>
      <c r="C2513" s="1"/>
      <c r="D2513" s="1"/>
      <c r="E2513" s="1"/>
      <c r="F2513" s="1"/>
      <c r="G2513" s="1"/>
      <c r="H2513" s="1"/>
      <c r="I2513" s="1"/>
      <c r="J2513" s="1"/>
      <c r="K2513" s="102" t="s">
        <v>4550</v>
      </c>
      <c r="L2513" s="102" t="str">
        <f>O88</f>
        <v>J1a2a1a2d2b2b1a~</v>
      </c>
      <c r="M2513" s="102"/>
      <c r="N2513" s="102"/>
      <c r="O2513" s="105">
        <v>2.3409282E7</v>
      </c>
      <c r="P2513" s="105">
        <v>2.1247396E7</v>
      </c>
      <c r="Q2513" s="102" t="s">
        <v>2446</v>
      </c>
      <c r="S2513" s="1"/>
      <c r="T2513" s="1"/>
      <c r="U2513" s="1"/>
      <c r="V2513" s="1"/>
      <c r="W2513" s="1"/>
      <c r="X2513" s="1"/>
      <c r="Y2513" s="1"/>
      <c r="Z2513" s="102"/>
      <c r="AA2513" s="102"/>
      <c r="AB2513" s="1"/>
      <c r="AC2513" s="1"/>
      <c r="AD2513" s="1"/>
      <c r="AE2513" s="1"/>
      <c r="AF2513" s="1"/>
      <c r="AG2513" s="1"/>
    </row>
    <row r="2514" ht="15.75" customHeight="1">
      <c r="A2514" s="1"/>
      <c r="B2514" s="1"/>
      <c r="C2514" s="1"/>
      <c r="D2514" s="1"/>
      <c r="E2514" s="1"/>
      <c r="F2514" s="1"/>
      <c r="G2514" s="1"/>
      <c r="H2514" s="1"/>
      <c r="I2514" s="1"/>
      <c r="J2514" s="1"/>
      <c r="K2514" s="102" t="s">
        <v>4551</v>
      </c>
      <c r="L2514" s="102" t="str">
        <f>P89</f>
        <v>J1a2a1a2d2b2b1a1~</v>
      </c>
      <c r="M2514" s="102"/>
      <c r="N2514" s="102"/>
      <c r="O2514" s="105">
        <v>1.7880167E7</v>
      </c>
      <c r="P2514" s="105">
        <v>1.5768287E7</v>
      </c>
      <c r="Q2514" s="102" t="s">
        <v>2529</v>
      </c>
      <c r="S2514" s="1"/>
      <c r="T2514" s="1"/>
      <c r="U2514" s="1"/>
      <c r="V2514" s="1"/>
      <c r="W2514" s="1"/>
      <c r="X2514" s="1"/>
      <c r="Y2514" s="1"/>
      <c r="Z2514" s="102"/>
      <c r="AA2514" s="102"/>
      <c r="AB2514" s="1"/>
      <c r="AC2514" s="1"/>
      <c r="AD2514" s="1"/>
      <c r="AE2514" s="1"/>
      <c r="AF2514" s="1"/>
      <c r="AG2514" s="1"/>
    </row>
    <row r="2515" ht="15.75" customHeight="1">
      <c r="A2515" s="1"/>
      <c r="B2515" s="1"/>
      <c r="C2515" s="1"/>
      <c r="D2515" s="1"/>
      <c r="E2515" s="1"/>
      <c r="F2515" s="1"/>
      <c r="G2515" s="1"/>
      <c r="H2515" s="1"/>
      <c r="I2515" s="1"/>
      <c r="J2515" s="1"/>
      <c r="K2515" s="102" t="s">
        <v>4552</v>
      </c>
      <c r="L2515" s="102" t="str">
        <f t="shared" ref="L2515:L2517" si="18">P89</f>
        <v>J1a2a1a2d2b2b1a1~</v>
      </c>
      <c r="M2515" s="102"/>
      <c r="N2515" s="102"/>
      <c r="O2515" s="105">
        <v>1.4426316E7</v>
      </c>
      <c r="P2515" s="105">
        <v>1.2305591E7</v>
      </c>
      <c r="Q2515" s="102" t="s">
        <v>2468</v>
      </c>
      <c r="S2515" s="1"/>
      <c r="T2515" s="1"/>
      <c r="U2515" s="1"/>
      <c r="V2515" s="1"/>
      <c r="W2515" s="1"/>
      <c r="X2515" s="1"/>
      <c r="Y2515" s="1"/>
      <c r="Z2515" s="102"/>
      <c r="AA2515" s="102"/>
      <c r="AB2515" s="1"/>
      <c r="AC2515" s="1"/>
      <c r="AD2515" s="1"/>
      <c r="AE2515" s="1"/>
      <c r="AF2515" s="1"/>
      <c r="AG2515" s="1"/>
    </row>
    <row r="2516" ht="15.75" customHeight="1">
      <c r="A2516" s="1"/>
      <c r="B2516" s="1"/>
      <c r="C2516" s="1"/>
      <c r="D2516" s="1"/>
      <c r="E2516" s="1"/>
      <c r="F2516" s="1"/>
      <c r="G2516" s="1"/>
      <c r="H2516" s="1"/>
      <c r="I2516" s="1"/>
      <c r="J2516" s="1"/>
      <c r="K2516" s="102" t="s">
        <v>148</v>
      </c>
      <c r="L2516" s="102" t="str">
        <f t="shared" si="18"/>
        <v>J1a2a1a2d2b2b1a2~</v>
      </c>
      <c r="M2516" s="102"/>
      <c r="N2516" s="102"/>
      <c r="O2516" s="105">
        <v>1.4013978E7</v>
      </c>
      <c r="P2516" s="105">
        <v>1.1893272E7</v>
      </c>
      <c r="Q2516" s="102" t="s">
        <v>2529</v>
      </c>
      <c r="S2516" s="1"/>
      <c r="T2516" s="1"/>
      <c r="U2516" s="1"/>
      <c r="V2516" s="1"/>
      <c r="W2516" s="1"/>
      <c r="X2516" s="1"/>
      <c r="Y2516" s="1"/>
      <c r="Z2516" s="102"/>
      <c r="AA2516" s="102"/>
      <c r="AB2516" s="1"/>
      <c r="AC2516" s="1"/>
      <c r="AD2516" s="1"/>
      <c r="AE2516" s="1"/>
      <c r="AF2516" s="1"/>
      <c r="AG2516" s="1"/>
    </row>
    <row r="2517" ht="15.75" customHeight="1">
      <c r="A2517" s="1"/>
      <c r="B2517" s="1"/>
      <c r="C2517" s="1"/>
      <c r="D2517" s="1"/>
      <c r="E2517" s="1"/>
      <c r="F2517" s="1"/>
      <c r="G2517" s="1"/>
      <c r="H2517" s="1"/>
      <c r="I2517" s="1"/>
      <c r="J2517" s="1"/>
      <c r="K2517" s="102" t="s">
        <v>4553</v>
      </c>
      <c r="L2517" s="102" t="str">
        <f t="shared" si="18"/>
        <v>J1a2a1a2d2b2b1a3~</v>
      </c>
      <c r="M2517" s="102"/>
      <c r="N2517" s="102"/>
      <c r="O2517" s="105">
        <v>1.8805026E7</v>
      </c>
      <c r="P2517" s="105">
        <v>1.6693146E7</v>
      </c>
      <c r="Q2517" s="102" t="s">
        <v>2439</v>
      </c>
      <c r="S2517" s="1"/>
      <c r="T2517" s="1"/>
      <c r="U2517" s="1"/>
      <c r="V2517" s="1"/>
      <c r="W2517" s="1"/>
      <c r="X2517" s="1"/>
      <c r="Y2517" s="1"/>
      <c r="Z2517" s="102"/>
      <c r="AA2517" s="102"/>
      <c r="AB2517" s="1"/>
      <c r="AC2517" s="1"/>
      <c r="AD2517" s="1"/>
      <c r="AE2517" s="1"/>
      <c r="AF2517" s="1"/>
      <c r="AG2517" s="1"/>
    </row>
    <row r="2518" ht="15.75" customHeight="1">
      <c r="A2518" s="1"/>
      <c r="B2518" s="1"/>
      <c r="C2518" s="1"/>
      <c r="D2518" s="1"/>
      <c r="E2518" s="1"/>
      <c r="F2518" s="1"/>
      <c r="G2518" s="1"/>
      <c r="H2518" s="1"/>
      <c r="I2518" s="1"/>
      <c r="J2518" s="1"/>
      <c r="K2518" s="102" t="s">
        <v>4554</v>
      </c>
      <c r="L2518" s="102" t="str">
        <f t="shared" ref="L2518:L2520" si="19">P91</f>
        <v>J1a2a1a2d2b2b1a3~</v>
      </c>
      <c r="M2518" s="102"/>
      <c r="N2518" s="102"/>
      <c r="O2518" s="105">
        <v>1.7237615E7</v>
      </c>
      <c r="P2518" s="105">
        <v>1.5125735E7</v>
      </c>
      <c r="Q2518" s="102" t="s">
        <v>2529</v>
      </c>
      <c r="S2518" s="1"/>
      <c r="T2518" s="1"/>
      <c r="U2518" s="1"/>
      <c r="V2518" s="1"/>
      <c r="W2518" s="1"/>
      <c r="X2518" s="1"/>
      <c r="Y2518" s="1"/>
      <c r="Z2518" s="102"/>
      <c r="AA2518" s="102"/>
      <c r="AB2518" s="1"/>
      <c r="AC2518" s="1"/>
      <c r="AD2518" s="1"/>
      <c r="AE2518" s="1"/>
      <c r="AF2518" s="1"/>
      <c r="AG2518" s="1"/>
    </row>
    <row r="2519" ht="15.75" customHeight="1">
      <c r="A2519" s="1"/>
      <c r="B2519" s="1"/>
      <c r="C2519" s="1"/>
      <c r="D2519" s="1"/>
      <c r="E2519" s="1"/>
      <c r="F2519" s="1"/>
      <c r="G2519" s="1"/>
      <c r="H2519" s="1"/>
      <c r="I2519" s="1"/>
      <c r="J2519" s="1"/>
      <c r="K2519" s="102" t="s">
        <v>4555</v>
      </c>
      <c r="L2519" s="102" t="str">
        <f t="shared" si="19"/>
        <v>J1a2a1a2d2b2b1a4~</v>
      </c>
      <c r="M2519" s="102"/>
      <c r="N2519" s="102"/>
      <c r="O2519" s="105">
        <v>2.1189593E7</v>
      </c>
      <c r="P2519" s="105">
        <v>1.9027707E7</v>
      </c>
      <c r="Q2519" s="102" t="s">
        <v>2468</v>
      </c>
      <c r="S2519" s="1"/>
      <c r="T2519" s="1"/>
      <c r="U2519" s="1"/>
      <c r="V2519" s="1"/>
      <c r="W2519" s="1"/>
      <c r="X2519" s="1"/>
      <c r="Y2519" s="1"/>
      <c r="Z2519" s="102"/>
      <c r="AA2519" s="102"/>
      <c r="AB2519" s="1"/>
      <c r="AC2519" s="1"/>
      <c r="AD2519" s="1"/>
      <c r="AE2519" s="1"/>
      <c r="AF2519" s="1"/>
      <c r="AG2519" s="1"/>
    </row>
    <row r="2520" ht="15.75" customHeight="1">
      <c r="A2520" s="1"/>
      <c r="B2520" s="1"/>
      <c r="C2520" s="1"/>
      <c r="D2520" s="1"/>
      <c r="E2520" s="1"/>
      <c r="F2520" s="1"/>
      <c r="G2520" s="1"/>
      <c r="H2520" s="1"/>
      <c r="I2520" s="1"/>
      <c r="J2520" s="1"/>
      <c r="K2520" s="102" t="s">
        <v>4556</v>
      </c>
      <c r="L2520" s="102" t="str">
        <f t="shared" si="19"/>
        <v>J1a2a1a2d2b2b1a5~</v>
      </c>
      <c r="M2520" s="102"/>
      <c r="N2520" s="102"/>
      <c r="O2520" s="105">
        <v>1.4067058E7</v>
      </c>
      <c r="P2520" s="105">
        <v>1.1946352E7</v>
      </c>
      <c r="Q2520" s="102" t="s">
        <v>2533</v>
      </c>
      <c r="S2520" s="1"/>
      <c r="T2520" s="1"/>
      <c r="U2520" s="1"/>
      <c r="V2520" s="1"/>
      <c r="W2520" s="1"/>
      <c r="X2520" s="1"/>
      <c r="Y2520" s="1"/>
      <c r="Z2520" s="102"/>
      <c r="AA2520" s="102"/>
      <c r="AB2520" s="1"/>
      <c r="AC2520" s="1"/>
      <c r="AD2520" s="1"/>
      <c r="AE2520" s="1"/>
      <c r="AF2520" s="1"/>
      <c r="AG2520" s="1"/>
    </row>
    <row r="2521" ht="15.75" customHeight="1">
      <c r="A2521" s="1"/>
      <c r="B2521" s="1"/>
      <c r="C2521" s="1"/>
      <c r="D2521" s="1"/>
      <c r="E2521" s="1"/>
      <c r="F2521" s="1"/>
      <c r="G2521" s="1"/>
      <c r="H2521" s="1"/>
      <c r="I2521" s="1"/>
      <c r="J2521" s="1"/>
      <c r="K2521" s="102" t="s">
        <v>4557</v>
      </c>
      <c r="L2521" s="102" t="str">
        <f t="shared" ref="L2521:L2523" si="20">P93</f>
        <v>J1a2a1a2d2b2b1a5~</v>
      </c>
      <c r="M2521" s="102"/>
      <c r="N2521" s="102"/>
      <c r="O2521" s="105">
        <v>1.7089676E7</v>
      </c>
      <c r="P2521" s="105">
        <v>1.4977796E7</v>
      </c>
      <c r="Q2521" s="102" t="s">
        <v>2533</v>
      </c>
      <c r="S2521" s="1"/>
      <c r="T2521" s="1"/>
      <c r="U2521" s="1"/>
      <c r="V2521" s="1"/>
      <c r="W2521" s="1"/>
      <c r="X2521" s="1"/>
      <c r="Y2521" s="1"/>
      <c r="Z2521" s="102"/>
      <c r="AA2521" s="102"/>
      <c r="AB2521" s="1"/>
      <c r="AC2521" s="1"/>
      <c r="AD2521" s="1"/>
      <c r="AE2521" s="1"/>
      <c r="AF2521" s="1"/>
      <c r="AG2521" s="1"/>
    </row>
    <row r="2522" ht="15.75" customHeight="1">
      <c r="A2522" s="1"/>
      <c r="B2522" s="1"/>
      <c r="C2522" s="1"/>
      <c r="D2522" s="1"/>
      <c r="E2522" s="1"/>
      <c r="F2522" s="1"/>
      <c r="G2522" s="1"/>
      <c r="H2522" s="1"/>
      <c r="I2522" s="1"/>
      <c r="J2522" s="1"/>
      <c r="K2522" s="102" t="s">
        <v>4558</v>
      </c>
      <c r="L2522" s="102" t="str">
        <f t="shared" si="20"/>
        <v>J1a2a1a2d2b2b1a6~</v>
      </c>
      <c r="M2522" s="102"/>
      <c r="N2522" s="102"/>
      <c r="O2522" s="105">
        <v>1.50576E7</v>
      </c>
      <c r="P2522" s="105">
        <v>1.2945692E7</v>
      </c>
      <c r="Q2522" s="102" t="s">
        <v>2439</v>
      </c>
      <c r="S2522" s="1"/>
      <c r="T2522" s="1"/>
      <c r="U2522" s="1"/>
      <c r="V2522" s="1"/>
      <c r="W2522" s="1"/>
      <c r="X2522" s="1"/>
      <c r="Y2522" s="1"/>
      <c r="Z2522" s="102"/>
      <c r="AA2522" s="102"/>
      <c r="AB2522" s="1"/>
      <c r="AC2522" s="1"/>
      <c r="AD2522" s="1"/>
      <c r="AE2522" s="1"/>
      <c r="AF2522" s="1"/>
      <c r="AG2522" s="1"/>
    </row>
    <row r="2523" ht="15.75" customHeight="1">
      <c r="A2523" s="1"/>
      <c r="B2523" s="1"/>
      <c r="C2523" s="1"/>
      <c r="D2523" s="1"/>
      <c r="E2523" s="1"/>
      <c r="F2523" s="1"/>
      <c r="G2523" s="1"/>
      <c r="H2523" s="1"/>
      <c r="I2523" s="1"/>
      <c r="J2523" s="1"/>
      <c r="K2523" s="102" t="s">
        <v>4559</v>
      </c>
      <c r="L2523" s="102" t="str">
        <f t="shared" si="20"/>
        <v>J1a2a1a2d2b2b1a7~</v>
      </c>
      <c r="M2523" s="102"/>
      <c r="N2523" s="102"/>
      <c r="O2523" s="105">
        <v>2.1842848E7</v>
      </c>
      <c r="P2523" s="105">
        <v>1.9680962E7</v>
      </c>
      <c r="Q2523" s="102" t="s">
        <v>2529</v>
      </c>
      <c r="S2523" s="1"/>
      <c r="T2523" s="1"/>
      <c r="U2523" s="1"/>
      <c r="V2523" s="1"/>
      <c r="W2523" s="1"/>
      <c r="X2523" s="1"/>
      <c r="Y2523" s="1"/>
      <c r="Z2523" s="102"/>
      <c r="AA2523" s="102"/>
      <c r="AB2523" s="1"/>
      <c r="AC2523" s="1"/>
      <c r="AD2523" s="1"/>
      <c r="AE2523" s="1"/>
      <c r="AF2523" s="1"/>
      <c r="AG2523" s="1"/>
    </row>
    <row r="2524" ht="15.75" customHeight="1">
      <c r="A2524" s="1"/>
      <c r="B2524" s="1"/>
      <c r="C2524" s="1"/>
      <c r="D2524" s="1"/>
      <c r="E2524" s="1"/>
      <c r="F2524" s="1"/>
      <c r="G2524" s="1"/>
      <c r="H2524" s="1"/>
      <c r="I2524" s="1"/>
      <c r="J2524" s="1"/>
      <c r="K2524" s="102" t="s">
        <v>4560</v>
      </c>
      <c r="L2524" s="102" t="str">
        <f>P95</f>
        <v>J1a2a1a2d2b2b1a7~</v>
      </c>
      <c r="M2524" s="102"/>
      <c r="N2524" s="102"/>
      <c r="O2524" s="105">
        <v>2.212117E7</v>
      </c>
      <c r="P2524" s="105">
        <v>1.9959284E7</v>
      </c>
      <c r="Q2524" s="102" t="s">
        <v>2432</v>
      </c>
      <c r="S2524" s="1"/>
      <c r="T2524" s="1"/>
      <c r="U2524" s="1"/>
      <c r="V2524" s="1"/>
      <c r="W2524" s="1"/>
      <c r="X2524" s="1"/>
      <c r="Y2524" s="1"/>
      <c r="Z2524" s="102"/>
      <c r="AA2524" s="102"/>
      <c r="AB2524" s="1"/>
      <c r="AC2524" s="1"/>
      <c r="AD2524" s="1"/>
      <c r="AE2524" s="1"/>
      <c r="AF2524" s="1"/>
      <c r="AG2524" s="1"/>
    </row>
    <row r="2525" ht="15.75" customHeight="1">
      <c r="A2525" s="1"/>
      <c r="B2525" s="1"/>
      <c r="C2525" s="1"/>
      <c r="D2525" s="1"/>
      <c r="E2525" s="1"/>
      <c r="F2525" s="1"/>
      <c r="G2525" s="1"/>
      <c r="H2525" s="1"/>
      <c r="I2525" s="1"/>
      <c r="J2525" s="1"/>
      <c r="K2525" s="102" t="s">
        <v>4561</v>
      </c>
      <c r="L2525" s="102" t="str">
        <f>P95</f>
        <v>J1a2a1a2d2b2b1a7~</v>
      </c>
      <c r="M2525" s="102"/>
      <c r="N2525" s="102"/>
      <c r="O2525" s="105">
        <v>1.8725037E7</v>
      </c>
      <c r="P2525" s="105">
        <v>1.6613157E7</v>
      </c>
      <c r="Q2525" s="102" t="s">
        <v>2533</v>
      </c>
      <c r="S2525" s="1"/>
      <c r="T2525" s="1"/>
      <c r="U2525" s="1"/>
      <c r="V2525" s="1"/>
      <c r="W2525" s="1"/>
      <c r="X2525" s="1"/>
      <c r="Y2525" s="1"/>
      <c r="Z2525" s="102"/>
      <c r="AA2525" s="102"/>
      <c r="AB2525" s="1"/>
      <c r="AC2525" s="1"/>
      <c r="AD2525" s="1"/>
      <c r="AE2525" s="1"/>
      <c r="AF2525" s="1"/>
      <c r="AG2525" s="1"/>
    </row>
    <row r="2526" ht="15.75" customHeight="1">
      <c r="A2526" s="1"/>
      <c r="B2526" s="1"/>
      <c r="C2526" s="1"/>
      <c r="D2526" s="1"/>
      <c r="E2526" s="1"/>
      <c r="F2526" s="1"/>
      <c r="G2526" s="1"/>
      <c r="H2526" s="1"/>
      <c r="I2526" s="1"/>
      <c r="J2526" s="1"/>
      <c r="K2526" s="102" t="s">
        <v>4562</v>
      </c>
      <c r="L2526" s="102" t="str">
        <f>P95</f>
        <v>J1a2a1a2d2b2b1a7~</v>
      </c>
      <c r="M2526" s="102"/>
      <c r="N2526" s="102"/>
      <c r="O2526" s="105">
        <v>1.6086658E7</v>
      </c>
      <c r="P2526" s="105">
        <v>1.3974778E7</v>
      </c>
      <c r="Q2526" s="102" t="s">
        <v>2439</v>
      </c>
      <c r="S2526" s="1"/>
      <c r="T2526" s="1"/>
      <c r="U2526" s="1"/>
      <c r="V2526" s="1"/>
      <c r="W2526" s="1"/>
      <c r="X2526" s="1"/>
      <c r="Y2526" s="1"/>
      <c r="Z2526" s="102"/>
      <c r="AA2526" s="102"/>
      <c r="AB2526" s="1"/>
      <c r="AC2526" s="1"/>
      <c r="AD2526" s="1"/>
      <c r="AE2526" s="1"/>
      <c r="AF2526" s="1"/>
      <c r="AG2526" s="1"/>
    </row>
    <row r="2527" ht="15.75" customHeight="1">
      <c r="A2527" s="1"/>
      <c r="B2527" s="1"/>
      <c r="C2527" s="1"/>
      <c r="D2527" s="1"/>
      <c r="E2527" s="1"/>
      <c r="F2527" s="1"/>
      <c r="G2527" s="1"/>
      <c r="H2527" s="1"/>
      <c r="I2527" s="1"/>
      <c r="J2527" s="1"/>
      <c r="K2527" s="102" t="s">
        <v>4563</v>
      </c>
      <c r="L2527" s="102" t="str">
        <f>P95</f>
        <v>J1a2a1a2d2b2b1a7~</v>
      </c>
      <c r="M2527" s="102"/>
      <c r="N2527" s="102"/>
      <c r="O2527" s="105">
        <v>1.9393295E7</v>
      </c>
      <c r="P2527" s="105">
        <v>1.7281415E7</v>
      </c>
      <c r="Q2527" s="102" t="s">
        <v>2468</v>
      </c>
      <c r="S2527" s="1"/>
      <c r="T2527" s="1"/>
      <c r="U2527" s="1"/>
      <c r="V2527" s="1"/>
      <c r="W2527" s="1"/>
      <c r="X2527" s="1"/>
      <c r="Y2527" s="1"/>
      <c r="Z2527" s="102"/>
      <c r="AA2527" s="102"/>
      <c r="AB2527" s="1"/>
      <c r="AC2527" s="1"/>
      <c r="AD2527" s="1"/>
      <c r="AE2527" s="1"/>
      <c r="AF2527" s="1"/>
      <c r="AG2527" s="1"/>
    </row>
    <row r="2528" ht="15.75" customHeight="1">
      <c r="A2528" s="1"/>
      <c r="B2528" s="1"/>
      <c r="C2528" s="1"/>
      <c r="D2528" s="1"/>
      <c r="E2528" s="1"/>
      <c r="F2528" s="1"/>
      <c r="G2528" s="1"/>
      <c r="H2528" s="1"/>
      <c r="I2528" s="1"/>
      <c r="J2528" s="1"/>
      <c r="K2528" s="102" t="s">
        <v>4564</v>
      </c>
      <c r="L2528" s="102" t="str">
        <f>N96</f>
        <v>J1a2a1a2d2b2b2~</v>
      </c>
      <c r="M2528" s="102" t="s">
        <v>4565</v>
      </c>
      <c r="N2528" s="102" t="s">
        <v>4566</v>
      </c>
      <c r="O2528" s="105">
        <v>2.3246065E7</v>
      </c>
      <c r="P2528" s="105">
        <v>2.1084179E7</v>
      </c>
      <c r="Q2528" s="102" t="s">
        <v>2439</v>
      </c>
      <c r="S2528" s="1"/>
      <c r="T2528" s="1"/>
      <c r="U2528" s="1"/>
      <c r="V2528" s="1"/>
      <c r="W2528" s="1"/>
      <c r="X2528" s="1"/>
      <c r="Y2528" s="1"/>
      <c r="Z2528" s="102"/>
      <c r="AA2528" s="102"/>
      <c r="AB2528" s="1"/>
      <c r="AC2528" s="1"/>
      <c r="AD2528" s="1"/>
      <c r="AE2528" s="1"/>
      <c r="AF2528" s="1"/>
      <c r="AG2528" s="1"/>
    </row>
    <row r="2529" ht="15.75" customHeight="1">
      <c r="A2529" s="1"/>
      <c r="B2529" s="1"/>
      <c r="C2529" s="1"/>
      <c r="D2529" s="1"/>
      <c r="E2529" s="1"/>
      <c r="F2529" s="1"/>
      <c r="G2529" s="1"/>
      <c r="H2529" s="1"/>
      <c r="I2529" s="1"/>
      <c r="J2529" s="1"/>
      <c r="K2529" s="102" t="s">
        <v>4565</v>
      </c>
      <c r="L2529" s="102" t="str">
        <f>N96</f>
        <v>J1a2a1a2d2b2b2~</v>
      </c>
      <c r="M2529" s="102" t="s">
        <v>4564</v>
      </c>
      <c r="N2529" s="102" t="s">
        <v>4566</v>
      </c>
      <c r="O2529" s="105">
        <v>2.3246065E7</v>
      </c>
      <c r="P2529" s="105">
        <v>2.1084179E7</v>
      </c>
      <c r="Q2529" s="102" t="s">
        <v>2439</v>
      </c>
      <c r="S2529" s="1"/>
      <c r="T2529" s="1"/>
      <c r="U2529" s="1"/>
      <c r="V2529" s="1"/>
      <c r="W2529" s="1"/>
      <c r="X2529" s="1"/>
      <c r="Y2529" s="1"/>
      <c r="Z2529" s="102"/>
      <c r="AA2529" s="102"/>
      <c r="AB2529" s="1"/>
      <c r="AC2529" s="1"/>
      <c r="AD2529" s="1"/>
      <c r="AE2529" s="1"/>
      <c r="AF2529" s="1"/>
      <c r="AG2529" s="1"/>
    </row>
    <row r="2530" ht="15.75" customHeight="1">
      <c r="A2530" s="1"/>
      <c r="B2530" s="1"/>
      <c r="C2530" s="1"/>
      <c r="D2530" s="1"/>
      <c r="E2530" s="1"/>
      <c r="F2530" s="1"/>
      <c r="G2530" s="1"/>
      <c r="H2530" s="1"/>
      <c r="I2530" s="1"/>
      <c r="J2530" s="1"/>
      <c r="K2530" s="102" t="s">
        <v>4567</v>
      </c>
      <c r="L2530" s="102" t="str">
        <f>N96</f>
        <v>J1a2a1a2d2b2b2~</v>
      </c>
      <c r="M2530" s="102" t="s">
        <v>4568</v>
      </c>
      <c r="N2530" s="102" t="s">
        <v>4569</v>
      </c>
      <c r="O2530" s="105">
        <v>2.2977007E7</v>
      </c>
      <c r="P2530" s="105">
        <v>2.0815121E7</v>
      </c>
      <c r="Q2530" s="102" t="s">
        <v>2468</v>
      </c>
      <c r="S2530" s="1"/>
      <c r="T2530" s="1"/>
      <c r="U2530" s="1"/>
      <c r="V2530" s="1"/>
      <c r="W2530" s="1"/>
      <c r="X2530" s="1"/>
      <c r="Y2530" s="1"/>
      <c r="Z2530" s="102"/>
      <c r="AA2530" s="102"/>
      <c r="AB2530" s="1"/>
      <c r="AC2530" s="1"/>
      <c r="AD2530" s="1"/>
      <c r="AE2530" s="1"/>
      <c r="AF2530" s="1"/>
      <c r="AG2530" s="1"/>
    </row>
    <row r="2531" ht="15.75" customHeight="1">
      <c r="A2531" s="1"/>
      <c r="B2531" s="1"/>
      <c r="C2531" s="1"/>
      <c r="D2531" s="1"/>
      <c r="E2531" s="1"/>
      <c r="F2531" s="1"/>
      <c r="G2531" s="1"/>
      <c r="H2531" s="1"/>
      <c r="I2531" s="1"/>
      <c r="J2531" s="1"/>
      <c r="K2531" s="102" t="s">
        <v>4568</v>
      </c>
      <c r="L2531" s="102" t="str">
        <f>N96</f>
        <v>J1a2a1a2d2b2b2~</v>
      </c>
      <c r="M2531" s="102" t="s">
        <v>4567</v>
      </c>
      <c r="N2531" s="102" t="s">
        <v>4569</v>
      </c>
      <c r="O2531" s="105">
        <v>2.2977007E7</v>
      </c>
      <c r="P2531" s="105">
        <v>2.0815121E7</v>
      </c>
      <c r="Q2531" s="102" t="s">
        <v>2468</v>
      </c>
      <c r="S2531" s="1"/>
      <c r="T2531" s="1"/>
      <c r="U2531" s="1"/>
      <c r="V2531" s="1"/>
      <c r="W2531" s="1"/>
      <c r="X2531" s="1"/>
      <c r="Y2531" s="1"/>
      <c r="Z2531" s="102"/>
      <c r="AA2531" s="102"/>
      <c r="AB2531" s="1"/>
      <c r="AC2531" s="1"/>
      <c r="AD2531" s="1"/>
      <c r="AE2531" s="1"/>
      <c r="AF2531" s="1"/>
      <c r="AG2531" s="1"/>
    </row>
    <row r="2532" ht="15.75" customHeight="1">
      <c r="A2532" s="1"/>
      <c r="B2532" s="1"/>
      <c r="C2532" s="1"/>
      <c r="D2532" s="1"/>
      <c r="E2532" s="1"/>
      <c r="F2532" s="1"/>
      <c r="G2532" s="1"/>
      <c r="H2532" s="1"/>
      <c r="I2532" s="1"/>
      <c r="J2532" s="1"/>
      <c r="K2532" s="102" t="s">
        <v>4570</v>
      </c>
      <c r="L2532" s="102" t="str">
        <f>N96</f>
        <v>J1a2a1a2d2b2b2~</v>
      </c>
      <c r="M2532" s="102"/>
      <c r="N2532" s="102" t="s">
        <v>4571</v>
      </c>
      <c r="O2532" s="105">
        <v>1.323872E7</v>
      </c>
      <c r="P2532" s="105">
        <v>1.1083044E7</v>
      </c>
      <c r="Q2532" s="102" t="s">
        <v>2446</v>
      </c>
      <c r="S2532" s="1"/>
      <c r="T2532" s="1"/>
      <c r="U2532" s="1"/>
      <c r="V2532" s="1"/>
      <c r="W2532" s="1"/>
      <c r="X2532" s="1"/>
      <c r="Y2532" s="1"/>
      <c r="Z2532" s="102"/>
      <c r="AA2532" s="102"/>
      <c r="AB2532" s="1"/>
      <c r="AC2532" s="1"/>
      <c r="AD2532" s="1"/>
      <c r="AE2532" s="1"/>
      <c r="AF2532" s="1"/>
      <c r="AG2532" s="1"/>
    </row>
    <row r="2533" ht="15.75" customHeight="1">
      <c r="A2533" s="1"/>
      <c r="B2533" s="1"/>
      <c r="C2533" s="1"/>
      <c r="D2533" s="1"/>
      <c r="E2533" s="1"/>
      <c r="F2533" s="1"/>
      <c r="G2533" s="1"/>
      <c r="H2533" s="1"/>
      <c r="I2533" s="1"/>
      <c r="J2533" s="1"/>
      <c r="K2533" s="102" t="s">
        <v>4572</v>
      </c>
      <c r="L2533" s="102" t="str">
        <f>O97</f>
        <v>J1a2a1a2d2b2b2a~</v>
      </c>
      <c r="M2533" s="102"/>
      <c r="N2533" s="102" t="s">
        <v>4573</v>
      </c>
      <c r="O2533" s="105">
        <v>1.5999177E7</v>
      </c>
      <c r="P2533" s="105">
        <v>1.3887297E7</v>
      </c>
      <c r="Q2533" s="102" t="s">
        <v>2501</v>
      </c>
      <c r="S2533" s="1"/>
      <c r="T2533" s="1"/>
      <c r="U2533" s="1"/>
      <c r="V2533" s="1"/>
      <c r="W2533" s="1"/>
      <c r="X2533" s="1"/>
      <c r="Y2533" s="1"/>
      <c r="Z2533" s="102">
        <v>1.5999177E7</v>
      </c>
      <c r="AA2533" s="102"/>
      <c r="AB2533" s="1"/>
      <c r="AC2533" s="1"/>
      <c r="AD2533" s="1"/>
      <c r="AE2533" s="1"/>
      <c r="AF2533" s="1"/>
      <c r="AG2533" s="1"/>
    </row>
    <row r="2534" ht="15.75" customHeight="1">
      <c r="A2534" s="1"/>
      <c r="B2534" s="1"/>
      <c r="C2534" s="1"/>
      <c r="D2534" s="1"/>
      <c r="E2534" s="1"/>
      <c r="F2534" s="1"/>
      <c r="G2534" s="1"/>
      <c r="H2534" s="1"/>
      <c r="I2534" s="1"/>
      <c r="J2534" s="1"/>
      <c r="K2534" s="102" t="s">
        <v>4574</v>
      </c>
      <c r="L2534" s="102" t="str">
        <f>O97</f>
        <v>J1a2a1a2d2b2b2a~</v>
      </c>
      <c r="M2534" s="102"/>
      <c r="N2534" s="102"/>
      <c r="O2534" s="105">
        <v>1.8113093E7</v>
      </c>
      <c r="P2534" s="105">
        <v>1.6001213E7</v>
      </c>
      <c r="Q2534" s="102" t="s">
        <v>2454</v>
      </c>
      <c r="S2534" s="1"/>
      <c r="T2534" s="1"/>
      <c r="U2534" s="1"/>
      <c r="V2534" s="1"/>
      <c r="W2534" s="1"/>
      <c r="X2534" s="1"/>
      <c r="Y2534" s="1"/>
      <c r="Z2534" s="102">
        <v>1.8113093E7</v>
      </c>
      <c r="AA2534" s="102"/>
      <c r="AB2534" s="1"/>
      <c r="AC2534" s="1"/>
      <c r="AD2534" s="1"/>
      <c r="AE2534" s="1"/>
      <c r="AF2534" s="1"/>
      <c r="AG2534" s="1"/>
    </row>
    <row r="2535" ht="15.75" customHeight="1">
      <c r="A2535" s="1"/>
      <c r="B2535" s="1"/>
      <c r="C2535" s="1"/>
      <c r="D2535" s="1"/>
      <c r="E2535" s="1"/>
      <c r="F2535" s="1"/>
      <c r="G2535" s="1"/>
      <c r="H2535" s="1"/>
      <c r="I2535" s="1"/>
      <c r="J2535" s="1"/>
      <c r="K2535" s="102" t="s">
        <v>4575</v>
      </c>
      <c r="L2535" s="102" t="str">
        <f t="shared" ref="L2535:L2536" si="21">O97</f>
        <v>J1a2a1a2d2b2b2a~</v>
      </c>
      <c r="M2535" s="102"/>
      <c r="N2535" s="102" t="s">
        <v>4576</v>
      </c>
      <c r="O2535" s="105">
        <v>2.2969963E7</v>
      </c>
      <c r="P2535" s="105">
        <v>2.0808077E7</v>
      </c>
      <c r="Q2535" s="102" t="s">
        <v>2432</v>
      </c>
      <c r="S2535" s="1"/>
      <c r="T2535" s="1"/>
      <c r="U2535" s="1"/>
      <c r="V2535" s="1"/>
      <c r="W2535" s="1"/>
      <c r="X2535" s="1"/>
      <c r="Y2535" s="1"/>
      <c r="Z2535" s="102">
        <v>2.2969963E7</v>
      </c>
      <c r="AA2535" s="102"/>
      <c r="AB2535" s="1"/>
      <c r="AC2535" s="1"/>
      <c r="AD2535" s="1"/>
      <c r="AE2535" s="1"/>
      <c r="AF2535" s="1"/>
      <c r="AG2535" s="1"/>
    </row>
    <row r="2536" ht="15.75" customHeight="1">
      <c r="A2536" s="1"/>
      <c r="B2536" s="1"/>
      <c r="C2536" s="1"/>
      <c r="D2536" s="1"/>
      <c r="E2536" s="1"/>
      <c r="F2536" s="1"/>
      <c r="G2536" s="1"/>
      <c r="H2536" s="1"/>
      <c r="I2536" s="1"/>
      <c r="J2536" s="1"/>
      <c r="K2536" s="102" t="s">
        <v>4577</v>
      </c>
      <c r="L2536" s="102" t="str">
        <f t="shared" si="21"/>
        <v>J1a2a1a2d2b2b2b~</v>
      </c>
      <c r="M2536" s="102"/>
      <c r="N2536" s="102"/>
      <c r="O2536" s="105">
        <v>1.4665822E7</v>
      </c>
      <c r="P2536" s="105">
        <v>1.2553888E7</v>
      </c>
      <c r="Q2536" s="102" t="s">
        <v>2439</v>
      </c>
      <c r="S2536" s="1"/>
      <c r="T2536" s="1"/>
      <c r="U2536" s="1"/>
      <c r="V2536" s="1"/>
      <c r="W2536" s="1"/>
      <c r="X2536" s="1"/>
      <c r="Y2536" s="1"/>
      <c r="Z2536" s="102">
        <v>1.4665822E7</v>
      </c>
      <c r="AA2536" s="102"/>
      <c r="AB2536" s="1"/>
      <c r="AC2536" s="1"/>
      <c r="AD2536" s="1"/>
      <c r="AE2536" s="1"/>
      <c r="AF2536" s="1"/>
      <c r="AG2536" s="1"/>
    </row>
    <row r="2537" ht="15.75" customHeight="1">
      <c r="A2537" s="1"/>
      <c r="B2537" s="1"/>
      <c r="C2537" s="1"/>
      <c r="D2537" s="1"/>
      <c r="E2537" s="1"/>
      <c r="F2537" s="1"/>
      <c r="G2537" s="1"/>
      <c r="H2537" s="1"/>
      <c r="I2537" s="1"/>
      <c r="J2537" s="1"/>
      <c r="K2537" s="106" t="s">
        <v>4578</v>
      </c>
      <c r="L2537" s="102" t="str">
        <f>O98</f>
        <v>J1a2a1a2d2b2b2b~</v>
      </c>
      <c r="M2537" s="102"/>
      <c r="N2537" s="102"/>
      <c r="O2537" s="109">
        <v>1.494954E7</v>
      </c>
      <c r="P2537" s="106">
        <v>1.2837614E7</v>
      </c>
      <c r="Q2537" s="106" t="s">
        <v>2529</v>
      </c>
      <c r="S2537" s="1"/>
      <c r="T2537" s="1"/>
      <c r="U2537" s="1"/>
      <c r="V2537" s="1"/>
      <c r="W2537" s="1"/>
      <c r="X2537" s="1"/>
      <c r="Y2537" s="1"/>
      <c r="Z2537" s="102">
        <v>7144465.0</v>
      </c>
      <c r="AA2537" s="102"/>
      <c r="AB2537" s="1"/>
      <c r="AC2537" s="1"/>
      <c r="AD2537" s="1"/>
      <c r="AE2537" s="1"/>
      <c r="AF2537" s="1"/>
      <c r="AG2537" s="1"/>
    </row>
    <row r="2538" ht="15.75" customHeight="1">
      <c r="A2538" s="1"/>
      <c r="B2538" s="1"/>
      <c r="C2538" s="1"/>
      <c r="D2538" s="1"/>
      <c r="E2538" s="1"/>
      <c r="F2538" s="1"/>
      <c r="G2538" s="1"/>
      <c r="H2538" s="1"/>
      <c r="I2538" s="1"/>
      <c r="J2538" s="1"/>
      <c r="K2538" s="102" t="s">
        <v>4579</v>
      </c>
      <c r="L2538" s="102" t="str">
        <f>O98</f>
        <v>J1a2a1a2d2b2b2b~</v>
      </c>
      <c r="M2538" s="102"/>
      <c r="N2538" s="102"/>
      <c r="O2538" s="105">
        <v>1.5564377E7</v>
      </c>
      <c r="P2538" s="105">
        <v>1.3452497E7</v>
      </c>
      <c r="Q2538" s="102" t="s">
        <v>2468</v>
      </c>
      <c r="S2538" s="1"/>
      <c r="T2538" s="1"/>
      <c r="U2538" s="1"/>
      <c r="V2538" s="1"/>
      <c r="W2538" s="1"/>
      <c r="X2538" s="1"/>
      <c r="Y2538" s="1"/>
      <c r="Z2538" s="102">
        <v>1.5564377E7</v>
      </c>
      <c r="AA2538" s="102"/>
      <c r="AB2538" s="1"/>
      <c r="AC2538" s="1"/>
      <c r="AD2538" s="1"/>
      <c r="AE2538" s="1"/>
      <c r="AF2538" s="1"/>
      <c r="AG2538" s="1"/>
    </row>
    <row r="2539" ht="15.75" customHeight="1">
      <c r="A2539" s="1"/>
      <c r="B2539" s="1"/>
      <c r="C2539" s="1"/>
      <c r="D2539" s="1"/>
      <c r="E2539" s="1"/>
      <c r="F2539" s="1"/>
      <c r="G2539" s="1"/>
      <c r="H2539" s="1"/>
      <c r="I2539" s="1"/>
      <c r="J2539" s="1"/>
      <c r="K2539" s="102" t="s">
        <v>4580</v>
      </c>
      <c r="L2539" s="102" t="str">
        <f>O98</f>
        <v>J1a2a1a2d2b2b2b~</v>
      </c>
      <c r="M2539" s="102"/>
      <c r="N2539" s="102" t="s">
        <v>4581</v>
      </c>
      <c r="O2539" s="105">
        <v>1.7371323E7</v>
      </c>
      <c r="P2539" s="105">
        <v>1.5259443E7</v>
      </c>
      <c r="Q2539" s="102" t="s">
        <v>2576</v>
      </c>
      <c r="S2539" s="1"/>
      <c r="T2539" s="1"/>
      <c r="U2539" s="1"/>
      <c r="V2539" s="1"/>
      <c r="W2539" s="1"/>
      <c r="X2539" s="1"/>
      <c r="Y2539" s="1"/>
      <c r="Z2539" s="102">
        <v>1.7371323E7</v>
      </c>
      <c r="AA2539" s="102"/>
      <c r="AB2539" s="1"/>
      <c r="AC2539" s="1"/>
      <c r="AD2539" s="1"/>
      <c r="AE2539" s="1"/>
      <c r="AF2539" s="1"/>
      <c r="AG2539" s="1"/>
    </row>
    <row r="2540" ht="15.75" customHeight="1">
      <c r="A2540" s="1"/>
      <c r="B2540" s="1"/>
      <c r="C2540" s="1"/>
      <c r="D2540" s="1"/>
      <c r="E2540" s="1"/>
      <c r="F2540" s="1"/>
      <c r="G2540" s="1"/>
      <c r="H2540" s="1"/>
      <c r="I2540" s="1"/>
      <c r="J2540" s="1"/>
      <c r="K2540" s="102" t="s">
        <v>4582</v>
      </c>
      <c r="L2540" s="102" t="str">
        <f t="shared" ref="L2540:L2541" si="22">O98</f>
        <v>J1a2a1a2d2b2b2b~</v>
      </c>
      <c r="M2540" s="102"/>
      <c r="N2540" s="102" t="s">
        <v>4583</v>
      </c>
      <c r="O2540" s="105">
        <v>2.1355334E7</v>
      </c>
      <c r="P2540" s="105">
        <v>1.9193448E7</v>
      </c>
      <c r="Q2540" s="102" t="s">
        <v>2454</v>
      </c>
      <c r="S2540" s="1"/>
      <c r="T2540" s="1"/>
      <c r="U2540" s="1"/>
      <c r="V2540" s="1"/>
      <c r="W2540" s="1"/>
      <c r="X2540" s="1"/>
      <c r="Y2540" s="1"/>
      <c r="Z2540" s="102">
        <v>2.1355334E7</v>
      </c>
      <c r="AA2540" s="102"/>
      <c r="AB2540" s="1"/>
      <c r="AC2540" s="1"/>
      <c r="AD2540" s="1"/>
      <c r="AE2540" s="1"/>
      <c r="AF2540" s="1"/>
      <c r="AG2540" s="1"/>
    </row>
    <row r="2541" ht="15.75" customHeight="1">
      <c r="A2541" s="1"/>
      <c r="B2541" s="1"/>
      <c r="C2541" s="1"/>
      <c r="D2541" s="1"/>
      <c r="E2541" s="1"/>
      <c r="F2541" s="1"/>
      <c r="G2541" s="1"/>
      <c r="H2541" s="1"/>
      <c r="I2541" s="1"/>
      <c r="J2541" s="1"/>
      <c r="K2541" s="102" t="s">
        <v>4584</v>
      </c>
      <c r="L2541" s="102" t="str">
        <f t="shared" si="22"/>
        <v>J1a2a1a2d2b2b2c~</v>
      </c>
      <c r="M2541" s="102" t="s">
        <v>4585</v>
      </c>
      <c r="N2541" s="102" t="s">
        <v>4586</v>
      </c>
      <c r="O2541" s="105">
        <v>2.2957408E7</v>
      </c>
      <c r="P2541" s="105">
        <v>2.0795522E7</v>
      </c>
      <c r="Q2541" s="102" t="s">
        <v>2501</v>
      </c>
      <c r="S2541" s="1"/>
      <c r="T2541" s="1"/>
      <c r="U2541" s="1"/>
      <c r="V2541" s="1"/>
      <c r="W2541" s="1"/>
      <c r="X2541" s="1"/>
      <c r="Y2541" s="1"/>
      <c r="Z2541" s="102"/>
      <c r="AA2541" s="102"/>
      <c r="AB2541" s="1"/>
      <c r="AC2541" s="1"/>
      <c r="AD2541" s="1"/>
      <c r="AE2541" s="1"/>
      <c r="AF2541" s="1"/>
      <c r="AG2541" s="1"/>
    </row>
    <row r="2542" ht="15.75" customHeight="1">
      <c r="A2542" s="1"/>
      <c r="B2542" s="1"/>
      <c r="C2542" s="1"/>
      <c r="D2542" s="1"/>
      <c r="E2542" s="1"/>
      <c r="F2542" s="1"/>
      <c r="G2542" s="1"/>
      <c r="H2542" s="1"/>
      <c r="I2542" s="1"/>
      <c r="J2542" s="1"/>
      <c r="K2542" s="102" t="s">
        <v>4587</v>
      </c>
      <c r="L2542" s="102" t="str">
        <f>O99</f>
        <v>J1a2a1a2d2b2b2c~</v>
      </c>
      <c r="M2542" s="102" t="s">
        <v>4588</v>
      </c>
      <c r="N2542" s="102" t="s">
        <v>4586</v>
      </c>
      <c r="O2542" s="105">
        <v>2.2957408E7</v>
      </c>
      <c r="P2542" s="105">
        <v>2.0795522E7</v>
      </c>
      <c r="Q2542" s="102" t="s">
        <v>2501</v>
      </c>
      <c r="S2542" s="1"/>
      <c r="T2542" s="1"/>
      <c r="U2542" s="1"/>
      <c r="V2542" s="1"/>
      <c r="W2542" s="1"/>
      <c r="X2542" s="1"/>
      <c r="Y2542" s="1"/>
      <c r="Z2542" s="102"/>
      <c r="AA2542" s="102"/>
      <c r="AB2542" s="1"/>
      <c r="AC2542" s="1"/>
      <c r="AD2542" s="1"/>
      <c r="AE2542" s="1"/>
      <c r="AF2542" s="1"/>
      <c r="AG2542" s="1"/>
    </row>
    <row r="2543" ht="15.75" customHeight="1">
      <c r="A2543" s="1"/>
      <c r="B2543" s="1"/>
      <c r="C2543" s="1"/>
      <c r="D2543" s="1"/>
      <c r="E2543" s="1"/>
      <c r="F2543" s="1"/>
      <c r="G2543" s="1"/>
      <c r="H2543" s="1"/>
      <c r="I2543" s="1"/>
      <c r="J2543" s="1"/>
      <c r="K2543" s="102" t="s">
        <v>4589</v>
      </c>
      <c r="L2543" s="102" t="str">
        <f>O99</f>
        <v>J1a2a1a2d2b2b2c~</v>
      </c>
      <c r="M2543" s="102" t="s">
        <v>4590</v>
      </c>
      <c r="N2543" s="102" t="s">
        <v>4586</v>
      </c>
      <c r="O2543" s="105">
        <v>2.2957408E7</v>
      </c>
      <c r="P2543" s="105">
        <v>2.0795522E7</v>
      </c>
      <c r="Q2543" s="102" t="s">
        <v>2501</v>
      </c>
      <c r="S2543" s="1"/>
      <c r="T2543" s="1"/>
      <c r="U2543" s="1"/>
      <c r="V2543" s="1"/>
      <c r="W2543" s="1"/>
      <c r="X2543" s="1"/>
      <c r="Y2543" s="1"/>
      <c r="Z2543" s="102"/>
      <c r="AA2543" s="102"/>
      <c r="AB2543" s="1"/>
      <c r="AC2543" s="1"/>
      <c r="AD2543" s="1"/>
      <c r="AE2543" s="1"/>
      <c r="AF2543" s="1"/>
      <c r="AG2543" s="1"/>
    </row>
    <row r="2544" ht="15.75" customHeight="1">
      <c r="A2544" s="1"/>
      <c r="B2544" s="1"/>
      <c r="C2544" s="1"/>
      <c r="D2544" s="1"/>
      <c r="E2544" s="1"/>
      <c r="F2544" s="1"/>
      <c r="G2544" s="1"/>
      <c r="H2544" s="1"/>
      <c r="I2544" s="1"/>
      <c r="J2544" s="1"/>
      <c r="K2544" s="102" t="s">
        <v>4591</v>
      </c>
      <c r="L2544" s="102" t="str">
        <f>P100</f>
        <v>J1a2a1a2d2b2b2c1~</v>
      </c>
      <c r="M2544" s="102"/>
      <c r="N2544" s="102"/>
      <c r="O2544" s="105">
        <v>8258542.0</v>
      </c>
      <c r="P2544" s="105">
        <v>8390501.0</v>
      </c>
      <c r="Q2544" s="102" t="s">
        <v>2439</v>
      </c>
      <c r="S2544" s="1"/>
      <c r="T2544" s="1"/>
      <c r="U2544" s="1"/>
      <c r="V2544" s="1"/>
      <c r="W2544" s="1"/>
      <c r="X2544" s="1"/>
      <c r="Y2544" s="1"/>
      <c r="Z2544" s="102"/>
      <c r="AA2544" s="102"/>
      <c r="AB2544" s="1"/>
      <c r="AC2544" s="1"/>
      <c r="AD2544" s="1"/>
      <c r="AE2544" s="1"/>
      <c r="AF2544" s="1"/>
      <c r="AG2544" s="1"/>
    </row>
    <row r="2545" ht="15.75" customHeight="1">
      <c r="A2545" s="1"/>
      <c r="B2545" s="1"/>
      <c r="C2545" s="1"/>
      <c r="D2545" s="1"/>
      <c r="E2545" s="1"/>
      <c r="F2545" s="1"/>
      <c r="G2545" s="1"/>
      <c r="H2545" s="1"/>
      <c r="I2545" s="1"/>
      <c r="J2545" s="1"/>
      <c r="K2545" s="102" t="s">
        <v>4592</v>
      </c>
      <c r="L2545" s="102" t="str">
        <f>P100</f>
        <v>J1a2a1a2d2b2b2c1~</v>
      </c>
      <c r="M2545" s="102"/>
      <c r="N2545" s="102"/>
      <c r="O2545" s="105">
        <v>1.656388E7</v>
      </c>
      <c r="P2545" s="105">
        <v>1.4452E7</v>
      </c>
      <c r="Q2545" s="102" t="s">
        <v>2533</v>
      </c>
      <c r="S2545" s="1"/>
      <c r="T2545" s="1"/>
      <c r="U2545" s="1"/>
      <c r="V2545" s="1"/>
      <c r="W2545" s="1"/>
      <c r="X2545" s="1"/>
      <c r="Y2545" s="1"/>
      <c r="Z2545" s="102"/>
      <c r="AA2545" s="102"/>
      <c r="AB2545" s="1"/>
      <c r="AC2545" s="1"/>
      <c r="AD2545" s="1"/>
      <c r="AE2545" s="1"/>
      <c r="AF2545" s="1"/>
      <c r="AG2545" s="1"/>
    </row>
    <row r="2546" ht="15.75" customHeight="1">
      <c r="A2546" s="1"/>
      <c r="B2546" s="1"/>
      <c r="C2546" s="1"/>
      <c r="D2546" s="1"/>
      <c r="E2546" s="1"/>
      <c r="F2546" s="1"/>
      <c r="G2546" s="1"/>
      <c r="H2546" s="1"/>
      <c r="I2546" s="1"/>
      <c r="J2546" s="1"/>
      <c r="K2546" s="102" t="s">
        <v>4593</v>
      </c>
      <c r="L2546" s="102" t="str">
        <f>P100</f>
        <v>J1a2a1a2d2b2b2c1~</v>
      </c>
      <c r="M2546" s="102"/>
      <c r="N2546" s="102"/>
      <c r="O2546" s="105">
        <v>1.9223655E7</v>
      </c>
      <c r="P2546" s="105">
        <v>1.7111775E7</v>
      </c>
      <c r="Q2546" s="102" t="s">
        <v>2468</v>
      </c>
      <c r="S2546" s="1"/>
      <c r="T2546" s="1"/>
      <c r="U2546" s="1"/>
      <c r="V2546" s="1"/>
      <c r="W2546" s="1"/>
      <c r="X2546" s="1"/>
      <c r="Y2546" s="1"/>
      <c r="Z2546" s="102"/>
      <c r="AA2546" s="102"/>
      <c r="AB2546" s="1"/>
      <c r="AC2546" s="1"/>
      <c r="AD2546" s="1"/>
      <c r="AE2546" s="1"/>
      <c r="AF2546" s="1"/>
      <c r="AG2546" s="1"/>
    </row>
    <row r="2547" ht="15.75" customHeight="1">
      <c r="A2547" s="1"/>
      <c r="B2547" s="1"/>
      <c r="C2547" s="1"/>
      <c r="D2547" s="1"/>
      <c r="E2547" s="1"/>
      <c r="F2547" s="1"/>
      <c r="G2547" s="1"/>
      <c r="H2547" s="1"/>
      <c r="I2547" s="1"/>
      <c r="J2547" s="1"/>
      <c r="K2547" s="102" t="s">
        <v>4594</v>
      </c>
      <c r="L2547" s="102" t="str">
        <f>P100</f>
        <v>J1a2a1a2d2b2b2c1~</v>
      </c>
      <c r="M2547" s="102"/>
      <c r="N2547" s="102"/>
      <c r="O2547" s="105">
        <v>1.9289689E7</v>
      </c>
      <c r="P2547" s="105">
        <v>1.7177809E7</v>
      </c>
      <c r="Q2547" s="102" t="s">
        <v>2529</v>
      </c>
      <c r="S2547" s="1"/>
      <c r="T2547" s="1"/>
      <c r="U2547" s="1"/>
      <c r="V2547" s="1"/>
      <c r="W2547" s="1"/>
      <c r="X2547" s="1"/>
      <c r="Y2547" s="1"/>
      <c r="Z2547" s="102"/>
      <c r="AA2547" s="102"/>
      <c r="AB2547" s="1"/>
      <c r="AC2547" s="1"/>
      <c r="AD2547" s="1"/>
      <c r="AE2547" s="1"/>
      <c r="AF2547" s="1"/>
      <c r="AG2547" s="1"/>
    </row>
    <row r="2548" ht="15.75" customHeight="1">
      <c r="A2548" s="1"/>
      <c r="B2548" s="1"/>
      <c r="C2548" s="1"/>
      <c r="D2548" s="1"/>
      <c r="E2548" s="1"/>
      <c r="F2548" s="1"/>
      <c r="G2548" s="1"/>
      <c r="H2548" s="1"/>
      <c r="I2548" s="1"/>
      <c r="J2548" s="1"/>
      <c r="K2548" s="102" t="s">
        <v>4595</v>
      </c>
      <c r="L2548" s="102" t="str">
        <f t="shared" ref="L2548:L2549" si="23">P100</f>
        <v>J1a2a1a2d2b2b2c1~</v>
      </c>
      <c r="M2548" s="102"/>
      <c r="N2548" s="102"/>
      <c r="O2548" s="105">
        <v>2.151494E7</v>
      </c>
      <c r="P2548" s="105">
        <v>1.9353054E7</v>
      </c>
      <c r="Q2548" s="102" t="s">
        <v>2501</v>
      </c>
      <c r="S2548" s="1"/>
      <c r="T2548" s="1"/>
      <c r="U2548" s="1"/>
      <c r="V2548" s="1"/>
      <c r="W2548" s="1"/>
      <c r="X2548" s="1"/>
      <c r="Y2548" s="1"/>
      <c r="Z2548" s="102"/>
      <c r="AA2548" s="102"/>
      <c r="AB2548" s="1"/>
      <c r="AC2548" s="1"/>
      <c r="AD2548" s="1"/>
      <c r="AE2548" s="1"/>
      <c r="AF2548" s="1"/>
      <c r="AG2548" s="1"/>
    </row>
    <row r="2549" ht="15.75" customHeight="1">
      <c r="A2549" s="1"/>
      <c r="B2549" s="1"/>
      <c r="C2549" s="1"/>
      <c r="D2549" s="1"/>
      <c r="E2549" s="1"/>
      <c r="F2549" s="1"/>
      <c r="G2549" s="1"/>
      <c r="H2549" s="1"/>
      <c r="I2549" s="1"/>
      <c r="J2549" s="1"/>
      <c r="K2549" s="102" t="s">
        <v>4596</v>
      </c>
      <c r="L2549" s="102" t="str">
        <f t="shared" si="23"/>
        <v>J1a2a1a2d2b2b2c2~</v>
      </c>
      <c r="M2549" s="102" t="s">
        <v>4597</v>
      </c>
      <c r="N2549" s="102" t="s">
        <v>4598</v>
      </c>
      <c r="O2549" s="105">
        <v>1.7488274E7</v>
      </c>
      <c r="P2549" s="105">
        <v>1.5376394E7</v>
      </c>
      <c r="Q2549" s="102" t="s">
        <v>2514</v>
      </c>
      <c r="S2549" s="1"/>
      <c r="T2549" s="1"/>
      <c r="U2549" s="1"/>
      <c r="V2549" s="1"/>
      <c r="W2549" s="1"/>
      <c r="X2549" s="1"/>
      <c r="Y2549" s="1"/>
      <c r="Z2549" s="102"/>
      <c r="AA2549" s="102"/>
      <c r="AB2549" s="1"/>
      <c r="AC2549" s="1"/>
      <c r="AD2549" s="1"/>
      <c r="AE2549" s="1"/>
      <c r="AF2549" s="1"/>
      <c r="AG2549" s="1"/>
    </row>
    <row r="2550" ht="15.75" customHeight="1">
      <c r="A2550" s="1"/>
      <c r="B2550" s="1"/>
      <c r="C2550" s="1"/>
      <c r="D2550" s="1"/>
      <c r="E2550" s="1"/>
      <c r="F2550" s="1"/>
      <c r="G2550" s="1"/>
      <c r="H2550" s="1"/>
      <c r="I2550" s="1"/>
      <c r="J2550" s="1"/>
      <c r="K2550" s="102" t="s">
        <v>4599</v>
      </c>
      <c r="L2550" s="102" t="str">
        <f>P101</f>
        <v>J1a2a1a2d2b2b2c2~</v>
      </c>
      <c r="M2550" s="102" t="s">
        <v>4600</v>
      </c>
      <c r="N2550" s="102" t="s">
        <v>4598</v>
      </c>
      <c r="O2550" s="105">
        <v>1.7488274E7</v>
      </c>
      <c r="P2550" s="105">
        <v>1.5376394E7</v>
      </c>
      <c r="Q2550" s="102" t="s">
        <v>2514</v>
      </c>
      <c r="S2550" s="1"/>
      <c r="T2550" s="1"/>
      <c r="U2550" s="1"/>
      <c r="V2550" s="1"/>
      <c r="W2550" s="1"/>
      <c r="X2550" s="1"/>
      <c r="Y2550" s="1"/>
      <c r="Z2550" s="102"/>
      <c r="AA2550" s="102"/>
      <c r="AB2550" s="1"/>
      <c r="AC2550" s="1"/>
      <c r="AD2550" s="1"/>
      <c r="AE2550" s="1"/>
      <c r="AF2550" s="1"/>
      <c r="AG2550" s="1"/>
    </row>
    <row r="2551" ht="15.75" customHeight="1">
      <c r="A2551" s="1"/>
      <c r="B2551" s="1"/>
      <c r="C2551" s="1"/>
      <c r="D2551" s="1"/>
      <c r="E2551" s="1"/>
      <c r="F2551" s="1"/>
      <c r="G2551" s="1"/>
      <c r="H2551" s="1"/>
      <c r="I2551" s="1"/>
      <c r="J2551" s="1"/>
      <c r="K2551" s="102" t="s">
        <v>4601</v>
      </c>
      <c r="L2551" s="102" t="str">
        <f>P101</f>
        <v>J1a2a1a2d2b2b2c2~</v>
      </c>
      <c r="M2551" s="102" t="s">
        <v>4602</v>
      </c>
      <c r="N2551" s="102" t="s">
        <v>4598</v>
      </c>
      <c r="O2551" s="105">
        <v>1.7488274E7</v>
      </c>
      <c r="P2551" s="105">
        <v>1.5376394E7</v>
      </c>
      <c r="Q2551" s="102" t="s">
        <v>2514</v>
      </c>
      <c r="S2551" s="1"/>
      <c r="T2551" s="1"/>
      <c r="U2551" s="1"/>
      <c r="V2551" s="1"/>
      <c r="W2551" s="1"/>
      <c r="X2551" s="1"/>
      <c r="Y2551" s="1"/>
      <c r="Z2551" s="102"/>
      <c r="AA2551" s="102"/>
      <c r="AB2551" s="1"/>
      <c r="AC2551" s="1"/>
      <c r="AD2551" s="1"/>
      <c r="AE2551" s="1"/>
      <c r="AF2551" s="1"/>
      <c r="AG2551" s="1"/>
    </row>
    <row r="2552" ht="15.75" customHeight="1">
      <c r="A2552" s="1"/>
      <c r="B2552" s="1"/>
      <c r="C2552" s="1"/>
      <c r="D2552" s="1"/>
      <c r="E2552" s="1"/>
      <c r="F2552" s="1"/>
      <c r="G2552" s="1"/>
      <c r="H2552" s="1"/>
      <c r="I2552" s="1"/>
      <c r="J2552" s="1"/>
      <c r="K2552" s="102" t="s">
        <v>4603</v>
      </c>
      <c r="L2552" s="102" t="str">
        <f>P101</f>
        <v>J1a2a1a2d2b2b2c2~</v>
      </c>
      <c r="M2552" s="102" t="s">
        <v>4604</v>
      </c>
      <c r="N2552" s="102" t="s">
        <v>4605</v>
      </c>
      <c r="O2552" s="105">
        <v>8026880.0</v>
      </c>
      <c r="P2552" s="105">
        <v>8158839.0</v>
      </c>
      <c r="Q2552" s="102" t="s">
        <v>2501</v>
      </c>
      <c r="S2552" s="1"/>
      <c r="T2552" s="1"/>
      <c r="U2552" s="1"/>
      <c r="V2552" s="1"/>
      <c r="W2552" s="1"/>
      <c r="X2552" s="1"/>
      <c r="Y2552" s="1"/>
      <c r="Z2552" s="102"/>
      <c r="AA2552" s="102"/>
      <c r="AB2552" s="1"/>
      <c r="AC2552" s="1"/>
      <c r="AD2552" s="1"/>
      <c r="AE2552" s="1"/>
      <c r="AF2552" s="1"/>
      <c r="AG2552" s="1"/>
    </row>
    <row r="2553" ht="15.75" customHeight="1">
      <c r="A2553" s="1"/>
      <c r="B2553" s="1"/>
      <c r="C2553" s="1"/>
      <c r="D2553" s="1"/>
      <c r="E2553" s="1"/>
      <c r="F2553" s="1"/>
      <c r="G2553" s="1"/>
      <c r="H2553" s="1"/>
      <c r="I2553" s="1"/>
      <c r="J2553" s="1"/>
      <c r="K2553" s="102" t="s">
        <v>4606</v>
      </c>
      <c r="L2553" s="102" t="str">
        <f>P101</f>
        <v>J1a2a1a2d2b2b2c2~</v>
      </c>
      <c r="M2553" s="102" t="s">
        <v>4607</v>
      </c>
      <c r="N2553" s="102" t="s">
        <v>4605</v>
      </c>
      <c r="O2553" s="105">
        <v>8026880.0</v>
      </c>
      <c r="P2553" s="105">
        <v>8158839.0</v>
      </c>
      <c r="Q2553" s="102" t="s">
        <v>2501</v>
      </c>
      <c r="S2553" s="1"/>
      <c r="T2553" s="1"/>
      <c r="U2553" s="1"/>
      <c r="V2553" s="1"/>
      <c r="W2553" s="1"/>
      <c r="X2553" s="1"/>
      <c r="Y2553" s="1"/>
      <c r="Z2553" s="102"/>
      <c r="AA2553" s="102"/>
      <c r="AB2553" s="1"/>
      <c r="AC2553" s="1"/>
      <c r="AD2553" s="1"/>
      <c r="AE2553" s="1"/>
      <c r="AF2553" s="1"/>
      <c r="AG2553" s="1"/>
    </row>
    <row r="2554" ht="15.75" customHeight="1">
      <c r="A2554" s="1"/>
      <c r="B2554" s="1"/>
      <c r="C2554" s="1"/>
      <c r="D2554" s="1"/>
      <c r="E2554" s="1"/>
      <c r="F2554" s="1"/>
      <c r="G2554" s="1"/>
      <c r="H2554" s="1"/>
      <c r="I2554" s="1"/>
      <c r="J2554" s="1"/>
      <c r="K2554" s="102" t="s">
        <v>4608</v>
      </c>
      <c r="L2554" s="102" t="str">
        <f>P101</f>
        <v>J1a2a1a2d2b2b2c2~</v>
      </c>
      <c r="M2554" s="102" t="s">
        <v>4609</v>
      </c>
      <c r="N2554" s="102" t="s">
        <v>4605</v>
      </c>
      <c r="O2554" s="105">
        <v>8026880.0</v>
      </c>
      <c r="P2554" s="105">
        <v>8158839.0</v>
      </c>
      <c r="Q2554" s="102" t="s">
        <v>2501</v>
      </c>
      <c r="S2554" s="1"/>
      <c r="T2554" s="1"/>
      <c r="U2554" s="1"/>
      <c r="V2554" s="1"/>
      <c r="W2554" s="1"/>
      <c r="X2554" s="1"/>
      <c r="Y2554" s="1"/>
      <c r="Z2554" s="102"/>
      <c r="AA2554" s="102"/>
      <c r="AB2554" s="1"/>
      <c r="AC2554" s="1"/>
      <c r="AD2554" s="1"/>
      <c r="AE2554" s="1"/>
      <c r="AF2554" s="1"/>
      <c r="AG2554" s="1"/>
    </row>
    <row r="2555" ht="15.75" customHeight="1">
      <c r="A2555" s="1"/>
      <c r="B2555" s="1"/>
      <c r="C2555" s="1"/>
      <c r="D2555" s="1"/>
      <c r="E2555" s="1"/>
      <c r="F2555" s="1"/>
      <c r="G2555" s="1"/>
      <c r="H2555" s="1"/>
      <c r="I2555" s="1"/>
      <c r="J2555" s="1"/>
      <c r="K2555" s="102" t="s">
        <v>4610</v>
      </c>
      <c r="L2555" s="102" t="str">
        <f>P101</f>
        <v>J1a2a1a2d2b2b2c2~</v>
      </c>
      <c r="M2555" s="102" t="s">
        <v>4611</v>
      </c>
      <c r="N2555" s="102" t="s">
        <v>4612</v>
      </c>
      <c r="O2555" s="105">
        <v>1.5105331E7</v>
      </c>
      <c r="P2555" s="105">
        <v>1.2993419E7</v>
      </c>
      <c r="Q2555" s="102" t="s">
        <v>2468</v>
      </c>
      <c r="S2555" s="1"/>
      <c r="T2555" s="1"/>
      <c r="U2555" s="1"/>
      <c r="V2555" s="1"/>
      <c r="W2555" s="1"/>
      <c r="X2555" s="1"/>
      <c r="Y2555" s="1"/>
      <c r="Z2555" s="102"/>
      <c r="AA2555" s="102"/>
      <c r="AB2555" s="1"/>
      <c r="AC2555" s="1"/>
      <c r="AD2555" s="1"/>
      <c r="AE2555" s="1"/>
      <c r="AF2555" s="1"/>
      <c r="AG2555" s="1"/>
    </row>
    <row r="2556" ht="15.75" customHeight="1">
      <c r="A2556" s="1"/>
      <c r="B2556" s="1"/>
      <c r="C2556" s="1"/>
      <c r="D2556" s="1"/>
      <c r="E2556" s="1"/>
      <c r="F2556" s="1"/>
      <c r="G2556" s="1"/>
      <c r="H2556" s="1"/>
      <c r="I2556" s="1"/>
      <c r="J2556" s="1"/>
      <c r="K2556" s="102" t="s">
        <v>4613</v>
      </c>
      <c r="L2556" s="102" t="str">
        <f>P101</f>
        <v>J1a2a1a2d2b2b2c2~</v>
      </c>
      <c r="M2556" s="102" t="s">
        <v>4614</v>
      </c>
      <c r="N2556" s="102" t="s">
        <v>4612</v>
      </c>
      <c r="O2556" s="105">
        <v>1.5105331E7</v>
      </c>
      <c r="P2556" s="105">
        <v>1.2993419E7</v>
      </c>
      <c r="Q2556" s="102" t="s">
        <v>2468</v>
      </c>
      <c r="S2556" s="1"/>
      <c r="T2556" s="1"/>
      <c r="U2556" s="1"/>
      <c r="V2556" s="1"/>
      <c r="W2556" s="1"/>
      <c r="X2556" s="1"/>
      <c r="Y2556" s="1"/>
      <c r="Z2556" s="102"/>
      <c r="AA2556" s="102"/>
      <c r="AB2556" s="1"/>
      <c r="AC2556" s="1"/>
      <c r="AD2556" s="1"/>
      <c r="AE2556" s="1"/>
      <c r="AF2556" s="1"/>
      <c r="AG2556" s="1"/>
    </row>
    <row r="2557" ht="15.75" customHeight="1">
      <c r="A2557" s="1"/>
      <c r="B2557" s="1"/>
      <c r="C2557" s="1"/>
      <c r="D2557" s="1"/>
      <c r="E2557" s="1"/>
      <c r="F2557" s="1"/>
      <c r="G2557" s="1"/>
      <c r="H2557" s="1"/>
      <c r="I2557" s="1"/>
      <c r="J2557" s="1"/>
      <c r="K2557" s="102" t="s">
        <v>4615</v>
      </c>
      <c r="L2557" s="102" t="str">
        <f>P101</f>
        <v>J1a2a1a2d2b2b2c2~</v>
      </c>
      <c r="M2557" s="102" t="s">
        <v>4616</v>
      </c>
      <c r="N2557" s="102" t="s">
        <v>4612</v>
      </c>
      <c r="O2557" s="105">
        <v>1.5105331E7</v>
      </c>
      <c r="P2557" s="105">
        <v>1.2993419E7</v>
      </c>
      <c r="Q2557" s="102" t="s">
        <v>2468</v>
      </c>
      <c r="S2557" s="1"/>
      <c r="T2557" s="1"/>
      <c r="U2557" s="1"/>
      <c r="V2557" s="1"/>
      <c r="W2557" s="1"/>
      <c r="X2557" s="1"/>
      <c r="Y2557" s="1"/>
      <c r="Z2557" s="102"/>
      <c r="AA2557" s="102"/>
      <c r="AB2557" s="1"/>
      <c r="AC2557" s="1"/>
      <c r="AD2557" s="1"/>
      <c r="AE2557" s="1"/>
      <c r="AF2557" s="1"/>
      <c r="AG2557" s="1"/>
    </row>
    <row r="2558" ht="15.75" customHeight="1">
      <c r="A2558" s="1"/>
      <c r="B2558" s="1"/>
      <c r="C2558" s="1"/>
      <c r="D2558" s="1"/>
      <c r="E2558" s="1"/>
      <c r="F2558" s="1"/>
      <c r="G2558" s="1"/>
      <c r="H2558" s="1"/>
      <c r="I2558" s="1"/>
      <c r="J2558" s="1"/>
      <c r="K2558" s="102" t="s">
        <v>4617</v>
      </c>
      <c r="L2558" s="102" t="str">
        <f>P101</f>
        <v>J1a2a1a2d2b2b2c2~</v>
      </c>
      <c r="M2558" s="102" t="s">
        <v>4618</v>
      </c>
      <c r="N2558" s="102" t="s">
        <v>4619</v>
      </c>
      <c r="O2558" s="105">
        <v>8479126.0</v>
      </c>
      <c r="P2558" s="105">
        <v>8611085.0</v>
      </c>
      <c r="Q2558" s="102" t="s">
        <v>2439</v>
      </c>
      <c r="S2558" s="1"/>
      <c r="T2558" s="1"/>
      <c r="U2558" s="1"/>
      <c r="V2558" s="1"/>
      <c r="W2558" s="1"/>
      <c r="X2558" s="1"/>
      <c r="Y2558" s="1"/>
      <c r="Z2558" s="102"/>
      <c r="AA2558" s="102"/>
      <c r="AB2558" s="1"/>
      <c r="AC2558" s="1"/>
      <c r="AD2558" s="1"/>
      <c r="AE2558" s="1"/>
      <c r="AF2558" s="1"/>
      <c r="AG2558" s="1"/>
    </row>
    <row r="2559" ht="15.75" customHeight="1">
      <c r="A2559" s="1"/>
      <c r="B2559" s="1"/>
      <c r="C2559" s="1"/>
      <c r="D2559" s="1"/>
      <c r="E2559" s="1"/>
      <c r="F2559" s="1"/>
      <c r="G2559" s="1"/>
      <c r="H2559" s="1"/>
      <c r="I2559" s="1"/>
      <c r="J2559" s="1"/>
      <c r="K2559" s="102" t="s">
        <v>4620</v>
      </c>
      <c r="L2559" s="102" t="str">
        <f>P101</f>
        <v>J1a2a1a2d2b2b2c2~</v>
      </c>
      <c r="M2559" s="102" t="s">
        <v>4621</v>
      </c>
      <c r="N2559" s="102" t="s">
        <v>4619</v>
      </c>
      <c r="O2559" s="105">
        <v>8479126.0</v>
      </c>
      <c r="P2559" s="105">
        <v>8611085.0</v>
      </c>
      <c r="Q2559" s="102" t="s">
        <v>2439</v>
      </c>
      <c r="S2559" s="1"/>
      <c r="T2559" s="1"/>
      <c r="U2559" s="1"/>
      <c r="V2559" s="1"/>
      <c r="W2559" s="1"/>
      <c r="X2559" s="1"/>
      <c r="Y2559" s="1"/>
      <c r="Z2559" s="102"/>
      <c r="AA2559" s="102"/>
      <c r="AB2559" s="1"/>
      <c r="AC2559" s="1"/>
      <c r="AD2559" s="1"/>
      <c r="AE2559" s="1"/>
      <c r="AF2559" s="1"/>
      <c r="AG2559" s="1"/>
    </row>
    <row r="2560" ht="15.75" customHeight="1">
      <c r="A2560" s="1"/>
      <c r="B2560" s="1"/>
      <c r="C2560" s="1"/>
      <c r="D2560" s="1"/>
      <c r="E2560" s="1"/>
      <c r="F2560" s="1"/>
      <c r="G2560" s="1"/>
      <c r="H2560" s="1"/>
      <c r="I2560" s="1"/>
      <c r="J2560" s="1"/>
      <c r="K2560" s="102" t="s">
        <v>4622</v>
      </c>
      <c r="L2560" s="102" t="str">
        <f>P101</f>
        <v>J1a2a1a2d2b2b2c2~</v>
      </c>
      <c r="M2560" s="102" t="s">
        <v>4623</v>
      </c>
      <c r="N2560" s="102" t="s">
        <v>4619</v>
      </c>
      <c r="O2560" s="105">
        <v>8479126.0</v>
      </c>
      <c r="P2560" s="105">
        <v>8611085.0</v>
      </c>
      <c r="Q2560" s="102" t="s">
        <v>2439</v>
      </c>
      <c r="S2560" s="1"/>
      <c r="T2560" s="1"/>
      <c r="U2560" s="1"/>
      <c r="V2560" s="1"/>
      <c r="W2560" s="1"/>
      <c r="X2560" s="1"/>
      <c r="Y2560" s="1"/>
      <c r="Z2560" s="102"/>
      <c r="AA2560" s="102"/>
      <c r="AB2560" s="1"/>
      <c r="AC2560" s="1"/>
      <c r="AD2560" s="1"/>
      <c r="AE2560" s="1"/>
      <c r="AF2560" s="1"/>
      <c r="AG2560" s="1"/>
    </row>
    <row r="2561" ht="15.75" customHeight="1">
      <c r="A2561" s="1"/>
      <c r="B2561" s="1"/>
      <c r="C2561" s="1"/>
      <c r="D2561" s="1"/>
      <c r="E2561" s="1"/>
      <c r="F2561" s="1"/>
      <c r="G2561" s="1"/>
      <c r="H2561" s="1"/>
      <c r="I2561" s="1"/>
      <c r="J2561" s="1"/>
      <c r="K2561" s="102" t="s">
        <v>4624</v>
      </c>
      <c r="L2561" s="102" t="str">
        <f>P101</f>
        <v>J1a2a1a2d2b2b2c2~</v>
      </c>
      <c r="M2561" s="102" t="s">
        <v>4625</v>
      </c>
      <c r="N2561" s="102"/>
      <c r="O2561" s="105">
        <v>2.3496994E7</v>
      </c>
      <c r="P2561" s="105">
        <v>2.1335108E7</v>
      </c>
      <c r="Q2561" s="102" t="s">
        <v>2529</v>
      </c>
      <c r="S2561" s="1"/>
      <c r="T2561" s="1"/>
      <c r="U2561" s="1"/>
      <c r="V2561" s="1"/>
      <c r="W2561" s="1"/>
      <c r="X2561" s="1"/>
      <c r="Y2561" s="1"/>
      <c r="Z2561" s="102"/>
      <c r="AA2561" s="102"/>
      <c r="AB2561" s="1"/>
      <c r="AC2561" s="1"/>
      <c r="AD2561" s="1"/>
      <c r="AE2561" s="1"/>
      <c r="AF2561" s="1"/>
      <c r="AG2561" s="1"/>
    </row>
    <row r="2562" ht="15.75" customHeight="1">
      <c r="A2562" s="1"/>
      <c r="B2562" s="1"/>
      <c r="C2562" s="1"/>
      <c r="D2562" s="1"/>
      <c r="E2562" s="1"/>
      <c r="F2562" s="1"/>
      <c r="G2562" s="1"/>
      <c r="H2562" s="1"/>
      <c r="I2562" s="1"/>
      <c r="J2562" s="1"/>
      <c r="K2562" s="102" t="s">
        <v>4626</v>
      </c>
      <c r="L2562" s="102" t="str">
        <f>P101</f>
        <v>J1a2a1a2d2b2b2c2~</v>
      </c>
      <c r="M2562" s="102" t="s">
        <v>4627</v>
      </c>
      <c r="N2562" s="102"/>
      <c r="O2562" s="105">
        <v>2.3496994E7</v>
      </c>
      <c r="P2562" s="105">
        <v>2.1335108E7</v>
      </c>
      <c r="Q2562" s="102" t="s">
        <v>2529</v>
      </c>
      <c r="S2562" s="1"/>
      <c r="T2562" s="1"/>
      <c r="U2562" s="1"/>
      <c r="V2562" s="1"/>
      <c r="W2562" s="1"/>
      <c r="X2562" s="1"/>
      <c r="Y2562" s="1"/>
      <c r="Z2562" s="102"/>
      <c r="AA2562" s="102"/>
      <c r="AB2562" s="1"/>
      <c r="AC2562" s="1"/>
      <c r="AD2562" s="1"/>
      <c r="AE2562" s="1"/>
      <c r="AF2562" s="1"/>
      <c r="AG2562" s="1"/>
    </row>
    <row r="2563" ht="15.75" customHeight="1">
      <c r="A2563" s="1"/>
      <c r="B2563" s="1"/>
      <c r="C2563" s="1"/>
      <c r="D2563" s="1"/>
      <c r="E2563" s="1"/>
      <c r="F2563" s="1"/>
      <c r="G2563" s="1"/>
      <c r="H2563" s="1"/>
      <c r="I2563" s="1"/>
      <c r="J2563" s="1"/>
      <c r="K2563" s="102" t="s">
        <v>4628</v>
      </c>
      <c r="L2563" s="102" t="str">
        <f>P101</f>
        <v>J1a2a1a2d2b2b2c2~</v>
      </c>
      <c r="M2563" s="102" t="s">
        <v>4629</v>
      </c>
      <c r="N2563" s="102"/>
      <c r="O2563" s="105">
        <v>2.3496994E7</v>
      </c>
      <c r="P2563" s="105">
        <v>2.1335108E7</v>
      </c>
      <c r="Q2563" s="102" t="s">
        <v>2529</v>
      </c>
      <c r="S2563" s="1"/>
      <c r="T2563" s="1"/>
      <c r="U2563" s="1"/>
      <c r="V2563" s="1"/>
      <c r="W2563" s="1"/>
      <c r="X2563" s="1"/>
      <c r="Y2563" s="1"/>
      <c r="Z2563" s="102"/>
      <c r="AA2563" s="102"/>
      <c r="AB2563" s="1"/>
      <c r="AC2563" s="1"/>
      <c r="AD2563" s="1"/>
      <c r="AE2563" s="1"/>
      <c r="AF2563" s="1"/>
      <c r="AG2563" s="1"/>
    </row>
    <row r="2564" ht="15.75" customHeight="1">
      <c r="A2564" s="1"/>
      <c r="B2564" s="1"/>
      <c r="C2564" s="1"/>
      <c r="D2564" s="1"/>
      <c r="E2564" s="1"/>
      <c r="F2564" s="1"/>
      <c r="G2564" s="1"/>
      <c r="H2564" s="1"/>
      <c r="I2564" s="1"/>
      <c r="J2564" s="1"/>
      <c r="K2564" s="102" t="s">
        <v>4630</v>
      </c>
      <c r="L2564" s="102" t="str">
        <f>P101</f>
        <v>J1a2a1a2d2b2b2c2~</v>
      </c>
      <c r="M2564" s="102" t="s">
        <v>4631</v>
      </c>
      <c r="N2564" s="102"/>
      <c r="O2564" s="105">
        <v>9005710.0</v>
      </c>
      <c r="P2564" s="105">
        <v>9168101.0</v>
      </c>
      <c r="Q2564" s="102" t="s">
        <v>2423</v>
      </c>
      <c r="S2564" s="1"/>
      <c r="T2564" s="1"/>
      <c r="U2564" s="1"/>
      <c r="V2564" s="1"/>
      <c r="W2564" s="1"/>
      <c r="X2564" s="1"/>
      <c r="Y2564" s="1"/>
      <c r="Z2564" s="102"/>
      <c r="AA2564" s="102"/>
      <c r="AB2564" s="1"/>
      <c r="AC2564" s="1"/>
      <c r="AD2564" s="1"/>
      <c r="AE2564" s="1"/>
      <c r="AF2564" s="1"/>
      <c r="AG2564" s="1"/>
    </row>
    <row r="2565" ht="15.75" customHeight="1">
      <c r="A2565" s="1"/>
      <c r="B2565" s="1"/>
      <c r="C2565" s="1"/>
      <c r="D2565" s="1"/>
      <c r="E2565" s="1"/>
      <c r="F2565" s="1"/>
      <c r="G2565" s="1"/>
      <c r="H2565" s="1"/>
      <c r="I2565" s="1"/>
      <c r="J2565" s="1"/>
      <c r="K2565" s="102" t="s">
        <v>4632</v>
      </c>
      <c r="L2565" s="102" t="str">
        <f>P101</f>
        <v>J1a2a1a2d2b2b2c2~</v>
      </c>
      <c r="M2565" s="102" t="s">
        <v>4633</v>
      </c>
      <c r="N2565" s="102"/>
      <c r="O2565" s="105">
        <v>9005710.0</v>
      </c>
      <c r="P2565" s="105">
        <v>9168101.0</v>
      </c>
      <c r="Q2565" s="102" t="s">
        <v>2423</v>
      </c>
      <c r="S2565" s="1"/>
      <c r="T2565" s="1"/>
      <c r="U2565" s="1"/>
      <c r="V2565" s="1"/>
      <c r="W2565" s="1"/>
      <c r="X2565" s="1"/>
      <c r="Y2565" s="1"/>
      <c r="Z2565" s="102"/>
      <c r="AA2565" s="102"/>
      <c r="AB2565" s="1"/>
      <c r="AC2565" s="1"/>
      <c r="AD2565" s="1"/>
      <c r="AE2565" s="1"/>
      <c r="AF2565" s="1"/>
      <c r="AG2565" s="1"/>
    </row>
    <row r="2566" ht="15.75" customHeight="1">
      <c r="A2566" s="1"/>
      <c r="B2566" s="1"/>
      <c r="C2566" s="1"/>
      <c r="D2566" s="1"/>
      <c r="E2566" s="1"/>
      <c r="F2566" s="1"/>
      <c r="G2566" s="1"/>
      <c r="H2566" s="1"/>
      <c r="I2566" s="1"/>
      <c r="J2566" s="1"/>
      <c r="K2566" s="102" t="s">
        <v>4634</v>
      </c>
      <c r="L2566" s="102" t="str">
        <f>P101</f>
        <v>J1a2a1a2d2b2b2c2~</v>
      </c>
      <c r="M2566" s="102" t="s">
        <v>4635</v>
      </c>
      <c r="N2566" s="102"/>
      <c r="O2566" s="105">
        <v>9005710.0</v>
      </c>
      <c r="P2566" s="105">
        <v>9168101.0</v>
      </c>
      <c r="Q2566" s="102" t="s">
        <v>2423</v>
      </c>
      <c r="S2566" s="1"/>
      <c r="T2566" s="1"/>
      <c r="U2566" s="1"/>
      <c r="V2566" s="1"/>
      <c r="W2566" s="1"/>
      <c r="X2566" s="1"/>
      <c r="Y2566" s="1"/>
      <c r="Z2566" s="102"/>
      <c r="AA2566" s="102"/>
      <c r="AB2566" s="1"/>
      <c r="AC2566" s="1"/>
      <c r="AD2566" s="1"/>
      <c r="AE2566" s="1"/>
      <c r="AF2566" s="1"/>
      <c r="AG2566" s="1"/>
    </row>
    <row r="2567" ht="15.75" customHeight="1">
      <c r="A2567" s="1"/>
      <c r="B2567" s="1"/>
      <c r="C2567" s="1"/>
      <c r="D2567" s="1"/>
      <c r="E2567" s="1"/>
      <c r="F2567" s="1"/>
      <c r="G2567" s="1"/>
      <c r="H2567" s="1"/>
      <c r="I2567" s="1"/>
      <c r="J2567" s="1"/>
      <c r="K2567" s="102" t="s">
        <v>4636</v>
      </c>
      <c r="L2567" s="102" t="str">
        <f>P101</f>
        <v>J1a2a1a2d2b2b2c2~</v>
      </c>
      <c r="M2567" s="102" t="s">
        <v>4637</v>
      </c>
      <c r="N2567" s="102" t="s">
        <v>4638</v>
      </c>
      <c r="O2567" s="105">
        <v>2.3032423E7</v>
      </c>
      <c r="P2567" s="105">
        <v>2.0870537E7</v>
      </c>
      <c r="Q2567" s="102" t="s">
        <v>2501</v>
      </c>
      <c r="S2567" s="1"/>
      <c r="T2567" s="1"/>
      <c r="U2567" s="1"/>
      <c r="V2567" s="1"/>
      <c r="W2567" s="1"/>
      <c r="X2567" s="1"/>
      <c r="Y2567" s="1"/>
      <c r="Z2567" s="102"/>
      <c r="AA2567" s="102"/>
      <c r="AB2567" s="1"/>
      <c r="AC2567" s="1"/>
      <c r="AD2567" s="1"/>
      <c r="AE2567" s="1"/>
      <c r="AF2567" s="1"/>
      <c r="AG2567" s="1"/>
    </row>
    <row r="2568" ht="15.75" customHeight="1">
      <c r="A2568" s="1"/>
      <c r="B2568" s="1"/>
      <c r="C2568" s="1"/>
      <c r="D2568" s="1"/>
      <c r="E2568" s="1"/>
      <c r="F2568" s="1"/>
      <c r="G2568" s="1"/>
      <c r="H2568" s="1"/>
      <c r="I2568" s="1"/>
      <c r="J2568" s="1"/>
      <c r="K2568" s="102" t="s">
        <v>4637</v>
      </c>
      <c r="L2568" s="102" t="str">
        <f>P101</f>
        <v>J1a2a1a2d2b2b2c2~</v>
      </c>
      <c r="M2568" s="102" t="s">
        <v>4636</v>
      </c>
      <c r="N2568" s="102" t="s">
        <v>4638</v>
      </c>
      <c r="O2568" s="105">
        <v>2.3032423E7</v>
      </c>
      <c r="P2568" s="105">
        <v>2.0870537E7</v>
      </c>
      <c r="Q2568" s="102" t="s">
        <v>2501</v>
      </c>
      <c r="S2568" s="1"/>
      <c r="T2568" s="1"/>
      <c r="U2568" s="1"/>
      <c r="V2568" s="1"/>
      <c r="W2568" s="1"/>
      <c r="X2568" s="1"/>
      <c r="Y2568" s="1"/>
      <c r="Z2568" s="102"/>
      <c r="AA2568" s="102"/>
      <c r="AB2568" s="1"/>
      <c r="AC2568" s="1"/>
      <c r="AD2568" s="1"/>
      <c r="AE2568" s="1"/>
      <c r="AF2568" s="1"/>
      <c r="AG2568" s="1"/>
    </row>
    <row r="2569" ht="15.75" customHeight="1">
      <c r="A2569" s="1"/>
      <c r="B2569" s="1"/>
      <c r="C2569" s="1"/>
      <c r="D2569" s="1"/>
      <c r="E2569" s="1"/>
      <c r="F2569" s="1"/>
      <c r="G2569" s="1"/>
      <c r="H2569" s="1"/>
      <c r="I2569" s="1"/>
      <c r="J2569" s="1"/>
      <c r="K2569" s="102" t="s">
        <v>4639</v>
      </c>
      <c r="L2569" s="102" t="str">
        <f>P101</f>
        <v>J1a2a1a2d2b2b2c2~</v>
      </c>
      <c r="M2569" s="102"/>
      <c r="N2569" s="102" t="s">
        <v>4640</v>
      </c>
      <c r="O2569" s="105">
        <v>1.5140129E7</v>
      </c>
      <c r="P2569" s="105">
        <v>1.3028216E7</v>
      </c>
      <c r="Q2569" s="102" t="s">
        <v>2501</v>
      </c>
      <c r="S2569" s="1"/>
      <c r="T2569" s="1"/>
      <c r="U2569" s="1"/>
      <c r="V2569" s="1"/>
      <c r="W2569" s="1"/>
      <c r="X2569" s="1"/>
      <c r="Y2569" s="1"/>
      <c r="Z2569" s="102"/>
      <c r="AA2569" s="102"/>
      <c r="AB2569" s="1"/>
      <c r="AC2569" s="1"/>
      <c r="AD2569" s="1"/>
      <c r="AE2569" s="1"/>
      <c r="AF2569" s="1"/>
      <c r="AG2569" s="1"/>
    </row>
    <row r="2570" ht="15.75" customHeight="1">
      <c r="A2570" s="1"/>
      <c r="B2570" s="1"/>
      <c r="C2570" s="1"/>
      <c r="D2570" s="1"/>
      <c r="E2570" s="1"/>
      <c r="F2570" s="1"/>
      <c r="G2570" s="1"/>
      <c r="H2570" s="1"/>
      <c r="I2570" s="1"/>
      <c r="J2570" s="1"/>
      <c r="K2570" s="102" t="s">
        <v>4641</v>
      </c>
      <c r="L2570" s="102" t="str">
        <f>P101</f>
        <v>J1a2a1a2d2b2b2c2~</v>
      </c>
      <c r="M2570" s="102"/>
      <c r="N2570" s="102" t="s">
        <v>4642</v>
      </c>
      <c r="O2570" s="105">
        <v>1.8600836E7</v>
      </c>
      <c r="P2570" s="105">
        <v>1.6488956E7</v>
      </c>
      <c r="Q2570" s="102" t="s">
        <v>2468</v>
      </c>
      <c r="S2570" s="1"/>
      <c r="T2570" s="1"/>
      <c r="U2570" s="1"/>
      <c r="V2570" s="1"/>
      <c r="W2570" s="1"/>
      <c r="X2570" s="1"/>
      <c r="Y2570" s="1"/>
      <c r="Z2570" s="102"/>
      <c r="AA2570" s="102"/>
      <c r="AB2570" s="1"/>
      <c r="AC2570" s="1"/>
      <c r="AD2570" s="1"/>
      <c r="AE2570" s="1"/>
      <c r="AF2570" s="1"/>
      <c r="AG2570" s="1"/>
    </row>
    <row r="2571" ht="15.75" customHeight="1">
      <c r="A2571" s="1"/>
      <c r="B2571" s="1"/>
      <c r="C2571" s="1"/>
      <c r="D2571" s="1"/>
      <c r="E2571" s="1"/>
      <c r="F2571" s="1"/>
      <c r="G2571" s="1"/>
      <c r="H2571" s="1"/>
      <c r="I2571" s="1"/>
      <c r="J2571" s="1"/>
      <c r="K2571" s="102" t="s">
        <v>4643</v>
      </c>
      <c r="L2571" s="102" t="str">
        <f>P101</f>
        <v>J1a2a1a2d2b2b2c2~</v>
      </c>
      <c r="M2571" s="102"/>
      <c r="N2571" s="102" t="s">
        <v>4644</v>
      </c>
      <c r="O2571" s="105">
        <v>1.8641773E7</v>
      </c>
      <c r="P2571" s="105">
        <v>1.6529893E7</v>
      </c>
      <c r="Q2571" s="102" t="s">
        <v>2439</v>
      </c>
      <c r="S2571" s="1"/>
      <c r="T2571" s="1"/>
      <c r="U2571" s="1"/>
      <c r="V2571" s="1"/>
      <c r="W2571" s="1"/>
      <c r="X2571" s="1"/>
      <c r="Y2571" s="1"/>
      <c r="Z2571" s="102"/>
      <c r="AA2571" s="102"/>
      <c r="AB2571" s="1"/>
      <c r="AC2571" s="1"/>
      <c r="AD2571" s="1"/>
      <c r="AE2571" s="1"/>
      <c r="AF2571" s="1"/>
      <c r="AG2571" s="1"/>
    </row>
    <row r="2572" ht="15.75" customHeight="1">
      <c r="A2572" s="1"/>
      <c r="B2572" s="1"/>
      <c r="C2572" s="1"/>
      <c r="D2572" s="1"/>
      <c r="E2572" s="1"/>
      <c r="F2572" s="1"/>
      <c r="G2572" s="1"/>
      <c r="H2572" s="1"/>
      <c r="I2572" s="1"/>
      <c r="J2572" s="1"/>
      <c r="K2572" s="102" t="s">
        <v>4645</v>
      </c>
      <c r="L2572" s="102" t="str">
        <f>Q102</f>
        <v>J1a2a1a2d2b2b2c2a~</v>
      </c>
      <c r="M2572" s="102" t="s">
        <v>4646</v>
      </c>
      <c r="N2572" s="102" t="s">
        <v>4647</v>
      </c>
      <c r="O2572" s="105">
        <v>7737112.0</v>
      </c>
      <c r="P2572" s="105">
        <v>7869071.0</v>
      </c>
      <c r="Q2572" s="102" t="s">
        <v>2446</v>
      </c>
      <c r="S2572" s="1"/>
      <c r="T2572" s="1"/>
      <c r="U2572" s="1"/>
      <c r="V2572" s="1"/>
      <c r="W2572" s="1"/>
      <c r="X2572" s="1"/>
      <c r="Y2572" s="1"/>
      <c r="Z2572" s="102"/>
      <c r="AA2572" s="102"/>
      <c r="AB2572" s="1"/>
      <c r="AC2572" s="1"/>
      <c r="AD2572" s="1"/>
      <c r="AE2572" s="1"/>
      <c r="AF2572" s="1"/>
      <c r="AG2572" s="1"/>
    </row>
    <row r="2573" ht="15.75" customHeight="1">
      <c r="A2573" s="1"/>
      <c r="B2573" s="1"/>
      <c r="C2573" s="1"/>
      <c r="D2573" s="1"/>
      <c r="E2573" s="1"/>
      <c r="F2573" s="1"/>
      <c r="G2573" s="1"/>
      <c r="H2573" s="1"/>
      <c r="I2573" s="1"/>
      <c r="J2573" s="1"/>
      <c r="K2573" s="102" t="s">
        <v>4646</v>
      </c>
      <c r="L2573" s="102" t="str">
        <f>Q102</f>
        <v>J1a2a1a2d2b2b2c2a~</v>
      </c>
      <c r="M2573" s="102" t="s">
        <v>4645</v>
      </c>
      <c r="N2573" s="102" t="s">
        <v>4647</v>
      </c>
      <c r="O2573" s="105">
        <v>7737112.0</v>
      </c>
      <c r="P2573" s="105">
        <v>7869071.0</v>
      </c>
      <c r="Q2573" s="102" t="s">
        <v>2446</v>
      </c>
      <c r="S2573" s="1"/>
      <c r="T2573" s="1"/>
      <c r="U2573" s="1"/>
      <c r="V2573" s="1"/>
      <c r="W2573" s="1"/>
      <c r="X2573" s="1"/>
      <c r="Y2573" s="1"/>
      <c r="Z2573" s="102"/>
      <c r="AA2573" s="102"/>
      <c r="AB2573" s="1"/>
      <c r="AC2573" s="1"/>
      <c r="AD2573" s="1"/>
      <c r="AE2573" s="1"/>
      <c r="AF2573" s="1"/>
      <c r="AG2573" s="1"/>
    </row>
    <row r="2574" ht="15.75" customHeight="1">
      <c r="A2574" s="1"/>
      <c r="B2574" s="1"/>
      <c r="C2574" s="1"/>
      <c r="D2574" s="1"/>
      <c r="E2574" s="1"/>
      <c r="F2574" s="1"/>
      <c r="G2574" s="1"/>
      <c r="H2574" s="1"/>
      <c r="I2574" s="1"/>
      <c r="J2574" s="1"/>
      <c r="K2574" s="106" t="s">
        <v>4648</v>
      </c>
      <c r="L2574" s="102" t="str">
        <f>Q102</f>
        <v>J1a2a1a2d2b2b2c2a~</v>
      </c>
      <c r="M2574" s="102" t="s">
        <v>4649</v>
      </c>
      <c r="N2574" s="102" t="s">
        <v>4650</v>
      </c>
      <c r="O2574" s="105">
        <v>2.1287064E7</v>
      </c>
      <c r="P2574" s="105">
        <v>1.9125178E7</v>
      </c>
      <c r="Q2574" s="102" t="s">
        <v>2533</v>
      </c>
      <c r="S2574" s="1"/>
      <c r="T2574" s="1"/>
      <c r="U2574" s="1"/>
      <c r="V2574" s="1"/>
      <c r="W2574" s="1"/>
      <c r="X2574" s="1"/>
      <c r="Y2574" s="1"/>
      <c r="Z2574" s="102">
        <v>6898269.0</v>
      </c>
      <c r="AA2574" s="102" t="s">
        <v>4651</v>
      </c>
      <c r="AB2574" s="1"/>
      <c r="AC2574" s="1"/>
      <c r="AD2574" s="1"/>
      <c r="AE2574" s="1"/>
      <c r="AF2574" s="1"/>
      <c r="AG2574" s="1"/>
    </row>
    <row r="2575" ht="15.75" customHeight="1">
      <c r="A2575" s="1"/>
      <c r="B2575" s="1"/>
      <c r="C2575" s="1"/>
      <c r="D2575" s="1"/>
      <c r="E2575" s="1"/>
      <c r="F2575" s="1"/>
      <c r="G2575" s="1"/>
      <c r="H2575" s="1"/>
      <c r="I2575" s="1"/>
      <c r="J2575" s="1"/>
      <c r="K2575" s="102" t="s">
        <v>4652</v>
      </c>
      <c r="L2575" s="102" t="str">
        <f>Q102</f>
        <v>J1a2a1a2d2b2b2c2a~</v>
      </c>
      <c r="M2575" s="106" t="s">
        <v>4653</v>
      </c>
      <c r="N2575" s="102" t="s">
        <v>4650</v>
      </c>
      <c r="O2575" s="105">
        <v>2.1287064E7</v>
      </c>
      <c r="P2575" s="105">
        <v>1.9125178E7</v>
      </c>
      <c r="Q2575" s="102" t="s">
        <v>2533</v>
      </c>
      <c r="S2575" s="1"/>
      <c r="T2575" s="1"/>
      <c r="U2575" s="1"/>
      <c r="V2575" s="1"/>
      <c r="W2575" s="1"/>
      <c r="X2575" s="1"/>
      <c r="Y2575" s="1"/>
      <c r="Z2575" s="102"/>
      <c r="AA2575" s="102"/>
      <c r="AB2575" s="1"/>
      <c r="AC2575" s="1"/>
      <c r="AD2575" s="1"/>
      <c r="AE2575" s="1"/>
      <c r="AF2575" s="1"/>
      <c r="AG2575" s="1"/>
    </row>
    <row r="2576" ht="15.75" customHeight="1">
      <c r="A2576" s="1"/>
      <c r="B2576" s="1"/>
      <c r="C2576" s="1"/>
      <c r="D2576" s="1"/>
      <c r="E2576" s="1"/>
      <c r="F2576" s="1"/>
      <c r="G2576" s="1"/>
      <c r="H2576" s="1"/>
      <c r="I2576" s="1"/>
      <c r="J2576" s="1"/>
      <c r="K2576" s="102" t="s">
        <v>4654</v>
      </c>
      <c r="L2576" s="102" t="str">
        <f>Q102</f>
        <v>J1a2a1a2d2b2b2c2a~</v>
      </c>
      <c r="M2576" s="106" t="s">
        <v>4655</v>
      </c>
      <c r="N2576" s="102" t="s">
        <v>4650</v>
      </c>
      <c r="O2576" s="105">
        <v>2.1287064E7</v>
      </c>
      <c r="P2576" s="105">
        <v>1.9125178E7</v>
      </c>
      <c r="Q2576" s="102" t="s">
        <v>2533</v>
      </c>
      <c r="S2576" s="1"/>
      <c r="T2576" s="1"/>
      <c r="U2576" s="1"/>
      <c r="V2576" s="1"/>
      <c r="W2576" s="1"/>
      <c r="X2576" s="1"/>
      <c r="Y2576" s="1"/>
      <c r="Z2576" s="102"/>
      <c r="AA2576" s="102"/>
      <c r="AB2576" s="1"/>
      <c r="AC2576" s="1"/>
      <c r="AD2576" s="1"/>
      <c r="AE2576" s="1"/>
      <c r="AF2576" s="1"/>
      <c r="AG2576" s="1"/>
    </row>
    <row r="2577" ht="15.75" customHeight="1">
      <c r="A2577" s="1"/>
      <c r="B2577" s="1"/>
      <c r="C2577" s="1"/>
      <c r="D2577" s="1"/>
      <c r="E2577" s="1"/>
      <c r="F2577" s="1"/>
      <c r="G2577" s="1"/>
      <c r="H2577" s="1"/>
      <c r="I2577" s="1"/>
      <c r="J2577" s="1"/>
      <c r="K2577" s="102" t="s">
        <v>4656</v>
      </c>
      <c r="L2577" s="102" t="str">
        <f>Q102</f>
        <v>J1a2a1a2d2b2b2c2a~</v>
      </c>
      <c r="M2577" s="102" t="s">
        <v>4657</v>
      </c>
      <c r="N2577" s="102"/>
      <c r="O2577" s="105">
        <v>8481671.0</v>
      </c>
      <c r="P2577" s="105">
        <v>8613630.0</v>
      </c>
      <c r="Q2577" s="102" t="s">
        <v>2446</v>
      </c>
      <c r="S2577" s="1"/>
      <c r="T2577" s="1"/>
      <c r="U2577" s="1"/>
      <c r="V2577" s="1"/>
      <c r="W2577" s="1"/>
      <c r="X2577" s="1"/>
      <c r="Y2577" s="1"/>
      <c r="Z2577" s="102"/>
      <c r="AA2577" s="102"/>
      <c r="AB2577" s="1"/>
      <c r="AC2577" s="1"/>
      <c r="AD2577" s="1"/>
      <c r="AE2577" s="1"/>
      <c r="AF2577" s="1"/>
      <c r="AG2577" s="1"/>
    </row>
    <row r="2578" ht="15.75" customHeight="1">
      <c r="A2578" s="1"/>
      <c r="B2578" s="1"/>
      <c r="C2578" s="1"/>
      <c r="D2578" s="1"/>
      <c r="E2578" s="1"/>
      <c r="F2578" s="1"/>
      <c r="G2578" s="1"/>
      <c r="H2578" s="1"/>
      <c r="I2578" s="1"/>
      <c r="J2578" s="1"/>
      <c r="K2578" s="102" t="s">
        <v>4658</v>
      </c>
      <c r="L2578" s="102" t="str">
        <f>Q102</f>
        <v>J1a2a1a2d2b2b2c2a~</v>
      </c>
      <c r="M2578" s="102" t="s">
        <v>4659</v>
      </c>
      <c r="N2578" s="102"/>
      <c r="O2578" s="105">
        <v>8481671.0</v>
      </c>
      <c r="P2578" s="105">
        <v>8613630.0</v>
      </c>
      <c r="Q2578" s="102" t="s">
        <v>2446</v>
      </c>
      <c r="S2578" s="1"/>
      <c r="T2578" s="1"/>
      <c r="U2578" s="1"/>
      <c r="V2578" s="1"/>
      <c r="W2578" s="1"/>
      <c r="X2578" s="1"/>
      <c r="Y2578" s="1"/>
      <c r="Z2578" s="102"/>
      <c r="AA2578" s="102"/>
      <c r="AB2578" s="1"/>
      <c r="AC2578" s="1"/>
      <c r="AD2578" s="1"/>
      <c r="AE2578" s="1"/>
      <c r="AF2578" s="1"/>
      <c r="AG2578" s="1"/>
    </row>
    <row r="2579" ht="15.75" customHeight="1">
      <c r="A2579" s="1"/>
      <c r="B2579" s="1"/>
      <c r="C2579" s="1"/>
      <c r="D2579" s="1"/>
      <c r="E2579" s="1"/>
      <c r="F2579" s="1"/>
      <c r="G2579" s="1"/>
      <c r="H2579" s="1"/>
      <c r="I2579" s="1"/>
      <c r="J2579" s="1"/>
      <c r="K2579" s="102" t="s">
        <v>4660</v>
      </c>
      <c r="L2579" s="102" t="str">
        <f>Q102</f>
        <v>J1a2a1a2d2b2b2c2a~</v>
      </c>
      <c r="M2579" s="102" t="s">
        <v>4661</v>
      </c>
      <c r="N2579" s="102"/>
      <c r="O2579" s="105">
        <v>8481671.0</v>
      </c>
      <c r="P2579" s="105">
        <v>8613630.0</v>
      </c>
      <c r="Q2579" s="102" t="s">
        <v>2446</v>
      </c>
      <c r="S2579" s="1"/>
      <c r="T2579" s="1"/>
      <c r="U2579" s="1"/>
      <c r="V2579" s="1"/>
      <c r="W2579" s="1"/>
      <c r="X2579" s="1"/>
      <c r="Y2579" s="1"/>
      <c r="Z2579" s="102"/>
      <c r="AA2579" s="102"/>
      <c r="AB2579" s="1"/>
      <c r="AC2579" s="1"/>
      <c r="AD2579" s="1"/>
      <c r="AE2579" s="1"/>
      <c r="AF2579" s="1"/>
      <c r="AG2579" s="1"/>
    </row>
    <row r="2580" ht="15.75" customHeight="1">
      <c r="A2580" s="1"/>
      <c r="B2580" s="1"/>
      <c r="C2580" s="1"/>
      <c r="D2580" s="1"/>
      <c r="E2580" s="1"/>
      <c r="F2580" s="1"/>
      <c r="G2580" s="1"/>
      <c r="H2580" s="1"/>
      <c r="I2580" s="1"/>
      <c r="J2580" s="1"/>
      <c r="K2580" s="102" t="s">
        <v>4662</v>
      </c>
      <c r="L2580" s="102" t="str">
        <f>Q102</f>
        <v>J1a2a1a2d2b2b2c2a~</v>
      </c>
      <c r="M2580" s="106" t="s">
        <v>4663</v>
      </c>
      <c r="N2580" s="102" t="s">
        <v>4664</v>
      </c>
      <c r="O2580" s="105">
        <v>2.2026142E7</v>
      </c>
      <c r="P2580" s="105">
        <v>1.9864256E7</v>
      </c>
      <c r="Q2580" s="102" t="s">
        <v>2501</v>
      </c>
      <c r="S2580" s="1"/>
      <c r="T2580" s="1"/>
      <c r="U2580" s="1"/>
      <c r="V2580" s="1"/>
      <c r="W2580" s="1"/>
      <c r="X2580" s="1"/>
      <c r="Y2580" s="1"/>
      <c r="Z2580" s="102"/>
      <c r="AA2580" s="102"/>
      <c r="AB2580" s="1"/>
      <c r="AC2580" s="1"/>
      <c r="AD2580" s="1"/>
      <c r="AE2580" s="1"/>
      <c r="AF2580" s="1"/>
      <c r="AG2580" s="1"/>
    </row>
    <row r="2581" ht="15.75" customHeight="1">
      <c r="A2581" s="1"/>
      <c r="B2581" s="1"/>
      <c r="C2581" s="1"/>
      <c r="D2581" s="1"/>
      <c r="E2581" s="1"/>
      <c r="F2581" s="1"/>
      <c r="G2581" s="1"/>
      <c r="H2581" s="1"/>
      <c r="I2581" s="1"/>
      <c r="J2581" s="1"/>
      <c r="K2581" s="102" t="s">
        <v>4665</v>
      </c>
      <c r="L2581" s="102" t="str">
        <f>Q102</f>
        <v>J1a2a1a2d2b2b2c2a~</v>
      </c>
      <c r="M2581" s="106" t="s">
        <v>4666</v>
      </c>
      <c r="N2581" s="102" t="s">
        <v>4664</v>
      </c>
      <c r="O2581" s="105">
        <v>2.2026142E7</v>
      </c>
      <c r="P2581" s="105">
        <v>1.9864256E7</v>
      </c>
      <c r="Q2581" s="102" t="s">
        <v>2501</v>
      </c>
      <c r="S2581" s="1"/>
      <c r="T2581" s="1"/>
      <c r="U2581" s="1"/>
      <c r="V2581" s="1"/>
      <c r="W2581" s="1"/>
      <c r="X2581" s="1"/>
      <c r="Y2581" s="1"/>
      <c r="Z2581" s="102"/>
      <c r="AA2581" s="102"/>
      <c r="AB2581" s="1"/>
      <c r="AC2581" s="1"/>
      <c r="AD2581" s="1"/>
      <c r="AE2581" s="1"/>
      <c r="AF2581" s="1"/>
      <c r="AG2581" s="1"/>
    </row>
    <row r="2582" ht="15.75" customHeight="1">
      <c r="A2582" s="1"/>
      <c r="B2582" s="1"/>
      <c r="C2582" s="1"/>
      <c r="D2582" s="1"/>
      <c r="E2582" s="1"/>
      <c r="F2582" s="1"/>
      <c r="G2582" s="1"/>
      <c r="H2582" s="1"/>
      <c r="I2582" s="1"/>
      <c r="J2582" s="1"/>
      <c r="K2582" s="106" t="s">
        <v>4667</v>
      </c>
      <c r="L2582" s="102" t="str">
        <f>Q102</f>
        <v>J1a2a1a2d2b2b2c2a~</v>
      </c>
      <c r="M2582" s="102" t="s">
        <v>4668</v>
      </c>
      <c r="N2582" s="102" t="s">
        <v>4664</v>
      </c>
      <c r="O2582" s="105">
        <v>2.2026142E7</v>
      </c>
      <c r="P2582" s="105">
        <v>1.9864256E7</v>
      </c>
      <c r="Q2582" s="102" t="s">
        <v>2501</v>
      </c>
      <c r="S2582" s="1"/>
      <c r="T2582" s="1"/>
      <c r="U2582" s="1"/>
      <c r="V2582" s="1"/>
      <c r="W2582" s="1"/>
      <c r="X2582" s="1"/>
      <c r="Y2582" s="1"/>
      <c r="Z2582" s="102">
        <v>1.7141529E7</v>
      </c>
      <c r="AA2582" s="102" t="s">
        <v>4669</v>
      </c>
      <c r="AB2582" s="1"/>
      <c r="AC2582" s="1"/>
      <c r="AD2582" s="1"/>
      <c r="AE2582" s="1"/>
      <c r="AF2582" s="1"/>
      <c r="AG2582" s="1"/>
    </row>
    <row r="2583" ht="15.75" customHeight="1">
      <c r="A2583" s="1"/>
      <c r="B2583" s="1"/>
      <c r="C2583" s="1"/>
      <c r="D2583" s="1"/>
      <c r="E2583" s="1"/>
      <c r="F2583" s="1"/>
      <c r="G2583" s="1"/>
      <c r="H2583" s="1"/>
      <c r="I2583" s="1"/>
      <c r="J2583" s="1"/>
      <c r="K2583" s="102" t="s">
        <v>4670</v>
      </c>
      <c r="L2583" s="102" t="str">
        <f>Q102</f>
        <v>J1a2a1a2d2b2b2c2a~</v>
      </c>
      <c r="M2583" s="106" t="s">
        <v>4671</v>
      </c>
      <c r="N2583" s="102" t="s">
        <v>4672</v>
      </c>
      <c r="O2583" s="105">
        <v>1.6757719E7</v>
      </c>
      <c r="P2583" s="105">
        <v>1.4645839E7</v>
      </c>
      <c r="Q2583" s="102" t="s">
        <v>2439</v>
      </c>
      <c r="S2583" s="1"/>
      <c r="T2583" s="1"/>
      <c r="U2583" s="1"/>
      <c r="V2583" s="1"/>
      <c r="W2583" s="1"/>
      <c r="X2583" s="1"/>
      <c r="Y2583" s="1"/>
      <c r="Z2583" s="102"/>
      <c r="AA2583" s="102"/>
      <c r="AB2583" s="1"/>
      <c r="AC2583" s="1"/>
      <c r="AD2583" s="1"/>
      <c r="AE2583" s="1"/>
      <c r="AF2583" s="1"/>
      <c r="AG2583" s="1"/>
    </row>
    <row r="2584" ht="15.75" customHeight="1">
      <c r="A2584" s="1"/>
      <c r="B2584" s="1"/>
      <c r="C2584" s="1"/>
      <c r="D2584" s="1"/>
      <c r="E2584" s="1"/>
      <c r="F2584" s="1"/>
      <c r="G2584" s="1"/>
      <c r="H2584" s="1"/>
      <c r="I2584" s="1"/>
      <c r="J2584" s="1"/>
      <c r="K2584" s="102" t="s">
        <v>4673</v>
      </c>
      <c r="L2584" s="102" t="str">
        <f>Q102</f>
        <v>J1a2a1a2d2b2b2c2a~</v>
      </c>
      <c r="M2584" s="106" t="s">
        <v>4674</v>
      </c>
      <c r="N2584" s="102" t="s">
        <v>4672</v>
      </c>
      <c r="O2584" s="105">
        <v>1.6757719E7</v>
      </c>
      <c r="P2584" s="105">
        <v>1.4645839E7</v>
      </c>
      <c r="Q2584" s="102" t="s">
        <v>2439</v>
      </c>
      <c r="S2584" s="1"/>
      <c r="T2584" s="1"/>
      <c r="U2584" s="1"/>
      <c r="V2584" s="1"/>
      <c r="W2584" s="1"/>
      <c r="X2584" s="1"/>
      <c r="Y2584" s="1"/>
      <c r="Z2584" s="102"/>
      <c r="AA2584" s="102"/>
      <c r="AB2584" s="1"/>
      <c r="AC2584" s="1"/>
      <c r="AD2584" s="1"/>
      <c r="AE2584" s="1"/>
      <c r="AF2584" s="1"/>
      <c r="AG2584" s="1"/>
    </row>
    <row r="2585" ht="15.75" customHeight="1">
      <c r="A2585" s="1"/>
      <c r="B2585" s="1"/>
      <c r="C2585" s="1"/>
      <c r="D2585" s="1"/>
      <c r="E2585" s="1"/>
      <c r="F2585" s="1"/>
      <c r="G2585" s="1"/>
      <c r="H2585" s="1"/>
      <c r="I2585" s="1"/>
      <c r="J2585" s="1"/>
      <c r="K2585" s="106" t="s">
        <v>4675</v>
      </c>
      <c r="L2585" s="102" t="str">
        <f>Q102</f>
        <v>J1a2a1a2d2b2b2c2a~</v>
      </c>
      <c r="M2585" s="102" t="s">
        <v>4676</v>
      </c>
      <c r="N2585" s="102" t="s">
        <v>4672</v>
      </c>
      <c r="O2585" s="105">
        <v>1.6757719E7</v>
      </c>
      <c r="P2585" s="105">
        <v>1.4645839E7</v>
      </c>
      <c r="Q2585" s="102" t="s">
        <v>2439</v>
      </c>
      <c r="S2585" s="1"/>
      <c r="T2585" s="1"/>
      <c r="U2585" s="1"/>
      <c r="V2585" s="1"/>
      <c r="W2585" s="1"/>
      <c r="X2585" s="1"/>
      <c r="Y2585" s="1"/>
      <c r="Z2585" s="102">
        <v>1.3670312E7</v>
      </c>
      <c r="AA2585" s="102" t="s">
        <v>4677</v>
      </c>
      <c r="AB2585" s="1"/>
      <c r="AC2585" s="1"/>
      <c r="AD2585" s="1"/>
      <c r="AE2585" s="1"/>
      <c r="AF2585" s="1"/>
      <c r="AG2585" s="1"/>
    </row>
    <row r="2586" ht="15.75" customHeight="1">
      <c r="A2586" s="1"/>
      <c r="B2586" s="1"/>
      <c r="C2586" s="1"/>
      <c r="D2586" s="1"/>
      <c r="E2586" s="1"/>
      <c r="F2586" s="1"/>
      <c r="G2586" s="1"/>
      <c r="H2586" s="1"/>
      <c r="I2586" s="1"/>
      <c r="J2586" s="1"/>
      <c r="K2586" s="102" t="s">
        <v>4678</v>
      </c>
      <c r="L2586" s="102" t="str">
        <f>Q102</f>
        <v>J1a2a1a2d2b2b2c2a~</v>
      </c>
      <c r="M2586" s="102" t="s">
        <v>4679</v>
      </c>
      <c r="N2586" s="102" t="s">
        <v>4680</v>
      </c>
      <c r="O2586" s="105">
        <v>1.621822E7</v>
      </c>
      <c r="P2586" s="105">
        <v>1.410634E7</v>
      </c>
      <c r="Q2586" s="102" t="s">
        <v>2439</v>
      </c>
      <c r="S2586" s="1"/>
      <c r="T2586" s="1"/>
      <c r="U2586" s="1"/>
      <c r="V2586" s="1"/>
      <c r="W2586" s="1"/>
      <c r="X2586" s="1"/>
      <c r="Y2586" s="1"/>
      <c r="Z2586" s="102"/>
      <c r="AA2586" s="102"/>
      <c r="AB2586" s="1"/>
      <c r="AC2586" s="1"/>
      <c r="AD2586" s="1"/>
      <c r="AE2586" s="1"/>
      <c r="AF2586" s="1"/>
      <c r="AG2586" s="1"/>
    </row>
    <row r="2587" ht="15.75" customHeight="1">
      <c r="A2587" s="1"/>
      <c r="B2587" s="1"/>
      <c r="C2587" s="1"/>
      <c r="D2587" s="1"/>
      <c r="E2587" s="1"/>
      <c r="F2587" s="1"/>
      <c r="G2587" s="1"/>
      <c r="H2587" s="1"/>
      <c r="I2587" s="1"/>
      <c r="J2587" s="1"/>
      <c r="K2587" s="102" t="s">
        <v>4681</v>
      </c>
      <c r="L2587" s="102" t="str">
        <f>Q102</f>
        <v>J1a2a1a2d2b2b2c2a~</v>
      </c>
      <c r="M2587" s="102" t="s">
        <v>4682</v>
      </c>
      <c r="N2587" s="102" t="s">
        <v>4680</v>
      </c>
      <c r="O2587" s="105">
        <v>1.621822E7</v>
      </c>
      <c r="P2587" s="105">
        <v>1.410634E7</v>
      </c>
      <c r="Q2587" s="102" t="s">
        <v>2439</v>
      </c>
      <c r="S2587" s="1"/>
      <c r="T2587" s="1"/>
      <c r="U2587" s="1"/>
      <c r="V2587" s="1"/>
      <c r="W2587" s="1"/>
      <c r="X2587" s="1"/>
      <c r="Y2587" s="1"/>
      <c r="Z2587" s="102"/>
      <c r="AA2587" s="102"/>
      <c r="AB2587" s="1"/>
      <c r="AC2587" s="1"/>
      <c r="AD2587" s="1"/>
      <c r="AE2587" s="1"/>
      <c r="AF2587" s="1"/>
      <c r="AG2587" s="1"/>
    </row>
    <row r="2588" ht="15.75" customHeight="1">
      <c r="A2588" s="1"/>
      <c r="B2588" s="1"/>
      <c r="C2588" s="1"/>
      <c r="D2588" s="1"/>
      <c r="E2588" s="1"/>
      <c r="F2588" s="1"/>
      <c r="G2588" s="1"/>
      <c r="H2588" s="1"/>
      <c r="I2588" s="1"/>
      <c r="J2588" s="1"/>
      <c r="K2588" s="102" t="s">
        <v>4683</v>
      </c>
      <c r="L2588" s="102" t="str">
        <f>Q102</f>
        <v>J1a2a1a2d2b2b2c2a~</v>
      </c>
      <c r="M2588" s="102" t="s">
        <v>4684</v>
      </c>
      <c r="N2588" s="102" t="s">
        <v>4680</v>
      </c>
      <c r="O2588" s="105">
        <v>1.621822E7</v>
      </c>
      <c r="P2588" s="105">
        <v>1.410634E7</v>
      </c>
      <c r="Q2588" s="102" t="s">
        <v>2439</v>
      </c>
      <c r="S2588" s="1"/>
      <c r="T2588" s="1"/>
      <c r="U2588" s="1"/>
      <c r="V2588" s="1"/>
      <c r="W2588" s="1"/>
      <c r="X2588" s="1"/>
      <c r="Y2588" s="1"/>
      <c r="Z2588" s="102"/>
      <c r="AA2588" s="102"/>
      <c r="AB2588" s="1"/>
      <c r="AC2588" s="1"/>
      <c r="AD2588" s="1"/>
      <c r="AE2588" s="1"/>
      <c r="AF2588" s="1"/>
      <c r="AG2588" s="1"/>
    </row>
    <row r="2589" ht="15.75" customHeight="1">
      <c r="A2589" s="1"/>
      <c r="B2589" s="1"/>
      <c r="C2589" s="1"/>
      <c r="D2589" s="1"/>
      <c r="E2589" s="1"/>
      <c r="F2589" s="1"/>
      <c r="G2589" s="1"/>
      <c r="H2589" s="1"/>
      <c r="I2589" s="1"/>
      <c r="J2589" s="1"/>
      <c r="K2589" s="102" t="s">
        <v>4685</v>
      </c>
      <c r="L2589" s="102" t="str">
        <f>Q102</f>
        <v>J1a2a1a2d2b2b2c2a~</v>
      </c>
      <c r="M2589" s="102" t="s">
        <v>4686</v>
      </c>
      <c r="N2589" s="102"/>
      <c r="O2589" s="105">
        <v>1.4253667E7</v>
      </c>
      <c r="P2589" s="105">
        <v>1.2132961E7</v>
      </c>
      <c r="Q2589" s="102" t="s">
        <v>2446</v>
      </c>
      <c r="S2589" s="1"/>
      <c r="T2589" s="1"/>
      <c r="U2589" s="1"/>
      <c r="V2589" s="1"/>
      <c r="W2589" s="1"/>
      <c r="X2589" s="1"/>
      <c r="Y2589" s="1"/>
      <c r="Z2589" s="102"/>
      <c r="AA2589" s="102"/>
      <c r="AB2589" s="1"/>
      <c r="AC2589" s="1"/>
      <c r="AD2589" s="1"/>
      <c r="AE2589" s="1"/>
      <c r="AF2589" s="1"/>
      <c r="AG2589" s="1"/>
    </row>
    <row r="2590" ht="15.75" customHeight="1">
      <c r="A2590" s="1"/>
      <c r="B2590" s="1"/>
      <c r="C2590" s="1"/>
      <c r="D2590" s="1"/>
      <c r="E2590" s="1"/>
      <c r="F2590" s="1"/>
      <c r="G2590" s="1"/>
      <c r="H2590" s="1"/>
      <c r="I2590" s="1"/>
      <c r="J2590" s="1"/>
      <c r="K2590" s="102" t="s">
        <v>4687</v>
      </c>
      <c r="L2590" s="102" t="str">
        <f>Q102</f>
        <v>J1a2a1a2d2b2b2c2a~</v>
      </c>
      <c r="M2590" s="102" t="s">
        <v>4688</v>
      </c>
      <c r="N2590" s="102"/>
      <c r="O2590" s="105">
        <v>1.4253667E7</v>
      </c>
      <c r="P2590" s="105">
        <v>1.2132961E7</v>
      </c>
      <c r="Q2590" s="102" t="s">
        <v>2446</v>
      </c>
      <c r="S2590" s="1"/>
      <c r="T2590" s="1"/>
      <c r="U2590" s="1"/>
      <c r="V2590" s="1"/>
      <c r="W2590" s="1"/>
      <c r="X2590" s="1"/>
      <c r="Y2590" s="1"/>
      <c r="Z2590" s="102"/>
      <c r="AA2590" s="102"/>
      <c r="AB2590" s="1"/>
      <c r="AC2590" s="1"/>
      <c r="AD2590" s="1"/>
      <c r="AE2590" s="1"/>
      <c r="AF2590" s="1"/>
      <c r="AG2590" s="1"/>
    </row>
    <row r="2591" ht="15.75" customHeight="1">
      <c r="A2591" s="1"/>
      <c r="B2591" s="1"/>
      <c r="C2591" s="1"/>
      <c r="D2591" s="1"/>
      <c r="E2591" s="1"/>
      <c r="F2591" s="1"/>
      <c r="G2591" s="1"/>
      <c r="H2591" s="1"/>
      <c r="I2591" s="1"/>
      <c r="J2591" s="1"/>
      <c r="K2591" s="102" t="s">
        <v>4689</v>
      </c>
      <c r="L2591" s="102" t="str">
        <f>Q102</f>
        <v>J1a2a1a2d2b2b2c2a~</v>
      </c>
      <c r="M2591" s="102" t="s">
        <v>4690</v>
      </c>
      <c r="N2591" s="102"/>
      <c r="O2591" s="105">
        <v>1.4253667E7</v>
      </c>
      <c r="P2591" s="105">
        <v>1.2132961E7</v>
      </c>
      <c r="Q2591" s="102" t="s">
        <v>2446</v>
      </c>
      <c r="S2591" s="1"/>
      <c r="T2591" s="1"/>
      <c r="U2591" s="1"/>
      <c r="V2591" s="1"/>
      <c r="W2591" s="1"/>
      <c r="X2591" s="1"/>
      <c r="Y2591" s="1"/>
      <c r="Z2591" s="102"/>
      <c r="AA2591" s="102"/>
      <c r="AB2591" s="1"/>
      <c r="AC2591" s="1"/>
      <c r="AD2591" s="1"/>
      <c r="AE2591" s="1"/>
      <c r="AF2591" s="1"/>
      <c r="AG2591" s="1"/>
    </row>
    <row r="2592" ht="15.75" customHeight="1">
      <c r="A2592" s="1"/>
      <c r="B2592" s="1"/>
      <c r="C2592" s="1"/>
      <c r="D2592" s="1"/>
      <c r="E2592" s="1"/>
      <c r="F2592" s="1"/>
      <c r="G2592" s="1"/>
      <c r="H2592" s="1"/>
      <c r="I2592" s="1"/>
      <c r="J2592" s="1"/>
      <c r="K2592" s="102" t="s">
        <v>4691</v>
      </c>
      <c r="L2592" s="102" t="str">
        <f>Q102</f>
        <v>J1a2a1a2d2b2b2c2a~</v>
      </c>
      <c r="M2592" s="102" t="s">
        <v>4692</v>
      </c>
      <c r="N2592" s="102"/>
      <c r="O2592" s="105">
        <v>1.4102079E7</v>
      </c>
      <c r="P2592" s="105">
        <v>1.1981373E7</v>
      </c>
      <c r="Q2592" s="102" t="s">
        <v>2533</v>
      </c>
      <c r="S2592" s="1"/>
      <c r="T2592" s="1"/>
      <c r="U2592" s="1"/>
      <c r="V2592" s="1"/>
      <c r="W2592" s="1"/>
      <c r="X2592" s="1"/>
      <c r="Y2592" s="1"/>
      <c r="Z2592" s="102"/>
      <c r="AA2592" s="102"/>
      <c r="AB2592" s="1"/>
      <c r="AC2592" s="1"/>
      <c r="AD2592" s="1"/>
      <c r="AE2592" s="1"/>
      <c r="AF2592" s="1"/>
      <c r="AG2592" s="1"/>
    </row>
    <row r="2593" ht="15.75" customHeight="1">
      <c r="A2593" s="1"/>
      <c r="B2593" s="1"/>
      <c r="C2593" s="1"/>
      <c r="D2593" s="1"/>
      <c r="E2593" s="1"/>
      <c r="F2593" s="1"/>
      <c r="G2593" s="1"/>
      <c r="H2593" s="1"/>
      <c r="I2593" s="1"/>
      <c r="J2593" s="1"/>
      <c r="K2593" s="102" t="s">
        <v>4693</v>
      </c>
      <c r="L2593" s="102" t="str">
        <f>Q102</f>
        <v>J1a2a1a2d2b2b2c2a~</v>
      </c>
      <c r="M2593" s="102" t="s">
        <v>4694</v>
      </c>
      <c r="N2593" s="102"/>
      <c r="O2593" s="105">
        <v>1.4102079E7</v>
      </c>
      <c r="P2593" s="105">
        <v>1.1981373E7</v>
      </c>
      <c r="Q2593" s="102" t="s">
        <v>2533</v>
      </c>
      <c r="S2593" s="1"/>
      <c r="T2593" s="1"/>
      <c r="U2593" s="1"/>
      <c r="V2593" s="1"/>
      <c r="W2593" s="1"/>
      <c r="X2593" s="1"/>
      <c r="Y2593" s="1"/>
      <c r="Z2593" s="102"/>
      <c r="AA2593" s="102"/>
      <c r="AB2593" s="1"/>
      <c r="AC2593" s="1"/>
      <c r="AD2593" s="1"/>
      <c r="AE2593" s="1"/>
      <c r="AF2593" s="1"/>
      <c r="AG2593" s="1"/>
    </row>
    <row r="2594" ht="15.75" customHeight="1">
      <c r="A2594" s="1"/>
      <c r="B2594" s="1"/>
      <c r="C2594" s="1"/>
      <c r="D2594" s="1"/>
      <c r="E2594" s="1"/>
      <c r="F2594" s="1"/>
      <c r="G2594" s="1"/>
      <c r="H2594" s="1"/>
      <c r="I2594" s="1"/>
      <c r="J2594" s="1"/>
      <c r="K2594" s="102" t="s">
        <v>4695</v>
      </c>
      <c r="L2594" s="102" t="str">
        <f>Q102</f>
        <v>J1a2a1a2d2b2b2c2a~</v>
      </c>
      <c r="M2594" s="102" t="s">
        <v>4696</v>
      </c>
      <c r="N2594" s="102"/>
      <c r="O2594" s="105">
        <v>1.4102079E7</v>
      </c>
      <c r="P2594" s="105">
        <v>1.1981373E7</v>
      </c>
      <c r="Q2594" s="102" t="s">
        <v>2533</v>
      </c>
      <c r="S2594" s="1"/>
      <c r="T2594" s="1"/>
      <c r="U2594" s="1"/>
      <c r="V2594" s="1"/>
      <c r="W2594" s="1"/>
      <c r="X2594" s="1"/>
      <c r="Y2594" s="1"/>
      <c r="Z2594" s="102"/>
      <c r="AA2594" s="102"/>
      <c r="AB2594" s="1"/>
      <c r="AC2594" s="1"/>
      <c r="AD2594" s="1"/>
      <c r="AE2594" s="1"/>
      <c r="AF2594" s="1"/>
      <c r="AG2594" s="1"/>
    </row>
    <row r="2595" ht="15.75" customHeight="1">
      <c r="A2595" s="1"/>
      <c r="B2595" s="1"/>
      <c r="C2595" s="1"/>
      <c r="D2595" s="1"/>
      <c r="E2595" s="1"/>
      <c r="F2595" s="1"/>
      <c r="G2595" s="1"/>
      <c r="H2595" s="1"/>
      <c r="I2595" s="1"/>
      <c r="J2595" s="1"/>
      <c r="K2595" s="102" t="s">
        <v>4697</v>
      </c>
      <c r="L2595" s="102" t="str">
        <f>Q102</f>
        <v>J1a2a1a2d2b2b2c2a~</v>
      </c>
      <c r="M2595" s="102" t="s">
        <v>4698</v>
      </c>
      <c r="N2595" s="102" t="s">
        <v>4699</v>
      </c>
      <c r="O2595" s="105">
        <v>2709209.0</v>
      </c>
      <c r="P2595" s="105">
        <v>2841168.0</v>
      </c>
      <c r="Q2595" s="102" t="s">
        <v>2529</v>
      </c>
      <c r="S2595" s="1"/>
      <c r="T2595" s="1"/>
      <c r="U2595" s="1"/>
      <c r="V2595" s="1"/>
      <c r="W2595" s="1"/>
      <c r="X2595" s="1"/>
      <c r="Y2595" s="1"/>
      <c r="Z2595" s="102"/>
      <c r="AA2595" s="102"/>
      <c r="AB2595" s="1"/>
      <c r="AC2595" s="1"/>
      <c r="AD2595" s="1"/>
      <c r="AE2595" s="1"/>
      <c r="AF2595" s="1"/>
      <c r="AG2595" s="1"/>
    </row>
    <row r="2596" ht="15.75" customHeight="1">
      <c r="A2596" s="1"/>
      <c r="B2596" s="1"/>
      <c r="C2596" s="1"/>
      <c r="D2596" s="1"/>
      <c r="E2596" s="1"/>
      <c r="F2596" s="1"/>
      <c r="G2596" s="1"/>
      <c r="H2596" s="1"/>
      <c r="I2596" s="1"/>
      <c r="J2596" s="1"/>
      <c r="K2596" s="102" t="s">
        <v>4698</v>
      </c>
      <c r="L2596" s="102" t="str">
        <f>Q102</f>
        <v>J1a2a1a2d2b2b2c2a~</v>
      </c>
      <c r="M2596" s="102" t="s">
        <v>4697</v>
      </c>
      <c r="N2596" s="102" t="s">
        <v>4699</v>
      </c>
      <c r="O2596" s="105">
        <v>2709209.0</v>
      </c>
      <c r="P2596" s="105">
        <v>2841168.0</v>
      </c>
      <c r="Q2596" s="102" t="s">
        <v>2529</v>
      </c>
      <c r="S2596" s="1"/>
      <c r="T2596" s="1"/>
      <c r="U2596" s="1"/>
      <c r="V2596" s="1"/>
      <c r="W2596" s="1"/>
      <c r="X2596" s="1"/>
      <c r="Y2596" s="1"/>
      <c r="Z2596" s="102"/>
      <c r="AA2596" s="102"/>
      <c r="AB2596" s="1"/>
      <c r="AC2596" s="1"/>
      <c r="AD2596" s="1"/>
      <c r="AE2596" s="1"/>
      <c r="AF2596" s="1"/>
      <c r="AG2596" s="1"/>
    </row>
    <row r="2597" ht="15.75" customHeight="1">
      <c r="A2597" s="1"/>
      <c r="B2597" s="1"/>
      <c r="C2597" s="1"/>
      <c r="D2597" s="1"/>
      <c r="E2597" s="1"/>
      <c r="F2597" s="1"/>
      <c r="G2597" s="1"/>
      <c r="H2597" s="1"/>
      <c r="I2597" s="1"/>
      <c r="J2597" s="1"/>
      <c r="K2597" s="102" t="s">
        <v>4700</v>
      </c>
      <c r="L2597" s="102" t="str">
        <f>Q102</f>
        <v>J1a2a1a2d2b2b2c2a~</v>
      </c>
      <c r="M2597" s="102"/>
      <c r="N2597" s="102" t="s">
        <v>4701</v>
      </c>
      <c r="O2597" s="105">
        <v>7751938.0</v>
      </c>
      <c r="P2597" s="105">
        <v>7883897.0</v>
      </c>
      <c r="Q2597" s="102" t="s">
        <v>2446</v>
      </c>
      <c r="S2597" s="1"/>
      <c r="T2597" s="1"/>
      <c r="U2597" s="1"/>
      <c r="V2597" s="1"/>
      <c r="W2597" s="1"/>
      <c r="X2597" s="1"/>
      <c r="Y2597" s="1"/>
      <c r="Z2597" s="102"/>
      <c r="AA2597" s="102"/>
      <c r="AB2597" s="1"/>
      <c r="AC2597" s="1"/>
      <c r="AD2597" s="1"/>
      <c r="AE2597" s="1"/>
      <c r="AF2597" s="1"/>
      <c r="AG2597" s="1"/>
    </row>
    <row r="2598" ht="15.75" customHeight="1">
      <c r="A2598" s="1"/>
      <c r="B2598" s="1"/>
      <c r="C2598" s="1"/>
      <c r="D2598" s="1"/>
      <c r="E2598" s="1"/>
      <c r="F2598" s="1"/>
      <c r="G2598" s="1"/>
      <c r="H2598" s="1"/>
      <c r="I2598" s="1"/>
      <c r="J2598" s="1"/>
      <c r="K2598" s="102" t="s">
        <v>4702</v>
      </c>
      <c r="L2598" s="102" t="str">
        <f>Q102</f>
        <v>J1a2a1a2d2b2b2c2a~</v>
      </c>
      <c r="M2598" s="102"/>
      <c r="N2598" s="102" t="s">
        <v>4703</v>
      </c>
      <c r="O2598" s="105">
        <v>1.6229055E7</v>
      </c>
      <c r="P2598" s="105">
        <v>1.4117175E7</v>
      </c>
      <c r="Q2598" s="102" t="s">
        <v>2501</v>
      </c>
      <c r="S2598" s="1"/>
      <c r="T2598" s="1"/>
      <c r="U2598" s="1"/>
      <c r="V2598" s="1"/>
      <c r="W2598" s="1"/>
      <c r="X2598" s="1"/>
      <c r="Y2598" s="1"/>
      <c r="Z2598" s="102"/>
      <c r="AA2598" s="102"/>
      <c r="AB2598" s="1"/>
      <c r="AC2598" s="1"/>
      <c r="AD2598" s="1"/>
      <c r="AE2598" s="1"/>
      <c r="AF2598" s="1"/>
      <c r="AG2598" s="1"/>
    </row>
    <row r="2599" ht="15.75" customHeight="1">
      <c r="A2599" s="1"/>
      <c r="B2599" s="1"/>
      <c r="C2599" s="1"/>
      <c r="D2599" s="1"/>
      <c r="E2599" s="1"/>
      <c r="F2599" s="1"/>
      <c r="G2599" s="1"/>
      <c r="H2599" s="1"/>
      <c r="I2599" s="1"/>
      <c r="J2599" s="1"/>
      <c r="K2599" s="102" t="s">
        <v>4704</v>
      </c>
      <c r="L2599" s="102" t="str">
        <f>Q102</f>
        <v>J1a2a1a2d2b2b2c2a~</v>
      </c>
      <c r="M2599" s="102"/>
      <c r="N2599" s="102" t="s">
        <v>4705</v>
      </c>
      <c r="O2599" s="105">
        <v>1.7205362E7</v>
      </c>
      <c r="P2599" s="105">
        <v>1.5093482E7</v>
      </c>
      <c r="Q2599" s="102" t="s">
        <v>2439</v>
      </c>
      <c r="S2599" s="1"/>
      <c r="T2599" s="1"/>
      <c r="U2599" s="1"/>
      <c r="V2599" s="1"/>
      <c r="W2599" s="1"/>
      <c r="X2599" s="1"/>
      <c r="Y2599" s="1"/>
      <c r="Z2599" s="102"/>
      <c r="AA2599" s="102"/>
      <c r="AB2599" s="1"/>
      <c r="AC2599" s="1"/>
      <c r="AD2599" s="1"/>
      <c r="AE2599" s="1"/>
      <c r="AF2599" s="1"/>
      <c r="AG2599" s="1"/>
    </row>
    <row r="2600" ht="15.75" customHeight="1">
      <c r="A2600" s="1"/>
      <c r="B2600" s="1"/>
      <c r="C2600" s="1"/>
      <c r="D2600" s="1"/>
      <c r="E2600" s="1"/>
      <c r="F2600" s="1"/>
      <c r="G2600" s="1"/>
      <c r="H2600" s="1"/>
      <c r="I2600" s="1"/>
      <c r="J2600" s="1"/>
      <c r="K2600" s="102" t="s">
        <v>4706</v>
      </c>
      <c r="L2600" s="102" t="str">
        <f>Q102</f>
        <v>J1a2a1a2d2b2b2c2a~</v>
      </c>
      <c r="M2600" s="102" t="s">
        <v>4707</v>
      </c>
      <c r="N2600" s="102" t="s">
        <v>4708</v>
      </c>
      <c r="O2600" s="105">
        <v>1.7690375E7</v>
      </c>
      <c r="P2600" s="105">
        <v>1.5578495E7</v>
      </c>
      <c r="Q2600" s="102" t="s">
        <v>2446</v>
      </c>
      <c r="S2600" s="1"/>
      <c r="T2600" s="1"/>
      <c r="U2600" s="1"/>
      <c r="V2600" s="1"/>
      <c r="W2600" s="1"/>
      <c r="X2600" s="1"/>
      <c r="Y2600" s="1"/>
      <c r="Z2600" s="102"/>
      <c r="AA2600" s="102"/>
      <c r="AB2600" s="1"/>
      <c r="AC2600" s="1"/>
      <c r="AD2600" s="1"/>
      <c r="AE2600" s="1"/>
      <c r="AF2600" s="1"/>
      <c r="AG2600" s="1"/>
    </row>
    <row r="2601" ht="15.75" customHeight="1">
      <c r="A2601" s="1"/>
      <c r="B2601" s="1"/>
      <c r="C2601" s="1"/>
      <c r="D2601" s="1"/>
      <c r="E2601" s="1"/>
      <c r="F2601" s="1"/>
      <c r="G2601" s="1"/>
      <c r="H2601" s="1"/>
      <c r="I2601" s="1"/>
      <c r="J2601" s="1"/>
      <c r="K2601" s="102" t="s">
        <v>4707</v>
      </c>
      <c r="L2601" s="102" t="str">
        <f>Q102</f>
        <v>J1a2a1a2d2b2b2c2a~</v>
      </c>
      <c r="M2601" s="102" t="s">
        <v>4706</v>
      </c>
      <c r="N2601" s="102" t="s">
        <v>4708</v>
      </c>
      <c r="O2601" s="105">
        <v>1.7690375E7</v>
      </c>
      <c r="P2601" s="105">
        <v>1.5578495E7</v>
      </c>
      <c r="Q2601" s="102" t="s">
        <v>2446</v>
      </c>
      <c r="S2601" s="1"/>
      <c r="T2601" s="1"/>
      <c r="U2601" s="1"/>
      <c r="V2601" s="1"/>
      <c r="W2601" s="1"/>
      <c r="X2601" s="1"/>
      <c r="Y2601" s="1"/>
      <c r="Z2601" s="102"/>
      <c r="AA2601" s="102"/>
      <c r="AB2601" s="1"/>
      <c r="AC2601" s="1"/>
      <c r="AD2601" s="1"/>
      <c r="AE2601" s="1"/>
      <c r="AF2601" s="1"/>
      <c r="AG2601" s="1"/>
    </row>
    <row r="2602" ht="15.75" customHeight="1">
      <c r="A2602" s="1"/>
      <c r="B2602" s="1"/>
      <c r="C2602" s="1"/>
      <c r="D2602" s="1"/>
      <c r="E2602" s="1"/>
      <c r="F2602" s="1"/>
      <c r="G2602" s="1"/>
      <c r="H2602" s="1"/>
      <c r="I2602" s="1"/>
      <c r="J2602" s="1"/>
      <c r="K2602" s="106" t="s">
        <v>4709</v>
      </c>
      <c r="L2602" s="102" t="str">
        <f>Q102</f>
        <v>J1a2a1a2d2b2b2c2a~</v>
      </c>
      <c r="M2602" s="102"/>
      <c r="N2602" s="108" t="s">
        <v>4710</v>
      </c>
      <c r="O2602" s="107">
        <v>2.2961014E7</v>
      </c>
      <c r="P2602" s="109">
        <v>2.0799128E7</v>
      </c>
      <c r="Q2602" s="106" t="s">
        <v>2533</v>
      </c>
      <c r="S2602" s="1"/>
      <c r="T2602" s="1"/>
      <c r="U2602" s="1"/>
      <c r="V2602" s="1"/>
      <c r="W2602" s="1"/>
      <c r="X2602" s="1"/>
      <c r="Y2602" s="1"/>
      <c r="Z2602" s="102"/>
      <c r="AA2602" s="102"/>
      <c r="AB2602" s="1"/>
      <c r="AC2602" s="1"/>
      <c r="AD2602" s="1"/>
      <c r="AE2602" s="1"/>
      <c r="AF2602" s="1"/>
      <c r="AG2602" s="1"/>
    </row>
    <row r="2603" ht="15.75" customHeight="1">
      <c r="A2603" s="1"/>
      <c r="B2603" s="1"/>
      <c r="C2603" s="1"/>
      <c r="D2603" s="1"/>
      <c r="E2603" s="1"/>
      <c r="F2603" s="1"/>
      <c r="G2603" s="1"/>
      <c r="H2603" s="1"/>
      <c r="I2603" s="1"/>
      <c r="J2603" s="1"/>
      <c r="K2603" s="102" t="s">
        <v>4711</v>
      </c>
      <c r="L2603" s="102" t="str">
        <f>Q102</f>
        <v>J1a2a1a2d2b2b2c2a~</v>
      </c>
      <c r="M2603" s="102" t="s">
        <v>4712</v>
      </c>
      <c r="N2603" s="102" t="s">
        <v>4713</v>
      </c>
      <c r="O2603" s="105">
        <v>2.3207674E7</v>
      </c>
      <c r="P2603" s="105">
        <v>2.1045788E7</v>
      </c>
      <c r="Q2603" s="102" t="s">
        <v>2423</v>
      </c>
      <c r="S2603" s="1"/>
      <c r="T2603" s="1"/>
      <c r="U2603" s="1"/>
      <c r="V2603" s="1"/>
      <c r="W2603" s="1"/>
      <c r="X2603" s="1"/>
      <c r="Y2603" s="1"/>
      <c r="Z2603" s="102"/>
      <c r="AA2603" s="102"/>
      <c r="AB2603" s="1"/>
      <c r="AC2603" s="1"/>
      <c r="AD2603" s="1"/>
      <c r="AE2603" s="1"/>
      <c r="AF2603" s="1"/>
      <c r="AG2603" s="1"/>
    </row>
    <row r="2604" ht="15.75" customHeight="1">
      <c r="A2604" s="1"/>
      <c r="B2604" s="1"/>
      <c r="C2604" s="1"/>
      <c r="D2604" s="1"/>
      <c r="E2604" s="1"/>
      <c r="F2604" s="1"/>
      <c r="G2604" s="1"/>
      <c r="H2604" s="1"/>
      <c r="I2604" s="1"/>
      <c r="J2604" s="1"/>
      <c r="K2604" s="102" t="s">
        <v>4712</v>
      </c>
      <c r="L2604" s="102" t="str">
        <f>Q102</f>
        <v>J1a2a1a2d2b2b2c2a~</v>
      </c>
      <c r="M2604" s="102" t="s">
        <v>4711</v>
      </c>
      <c r="N2604" s="102" t="s">
        <v>4713</v>
      </c>
      <c r="O2604" s="105">
        <v>2.3207674E7</v>
      </c>
      <c r="P2604" s="105">
        <v>2.1045788E7</v>
      </c>
      <c r="Q2604" s="102" t="s">
        <v>2423</v>
      </c>
      <c r="S2604" s="1"/>
      <c r="T2604" s="1"/>
      <c r="U2604" s="1"/>
      <c r="V2604" s="1"/>
      <c r="W2604" s="1"/>
      <c r="X2604" s="1"/>
      <c r="Y2604" s="1"/>
      <c r="Z2604" s="102"/>
      <c r="AA2604" s="102"/>
      <c r="AB2604" s="1"/>
      <c r="AC2604" s="1"/>
      <c r="AD2604" s="1"/>
      <c r="AE2604" s="1"/>
      <c r="AF2604" s="1"/>
      <c r="AG2604" s="1"/>
    </row>
    <row r="2605" ht="15.75" customHeight="1">
      <c r="A2605" s="1"/>
      <c r="B2605" s="1"/>
      <c r="C2605" s="1"/>
      <c r="D2605" s="1"/>
      <c r="E2605" s="1"/>
      <c r="F2605" s="1"/>
      <c r="G2605" s="1"/>
      <c r="H2605" s="1"/>
      <c r="I2605" s="1"/>
      <c r="J2605" s="1"/>
      <c r="K2605" s="102" t="s">
        <v>4714</v>
      </c>
      <c r="L2605" s="102" t="str">
        <f>Q102</f>
        <v>J1a2a1a2d2b2b2c2a~</v>
      </c>
      <c r="M2605" s="102" t="s">
        <v>4715</v>
      </c>
      <c r="N2605" s="102" t="s">
        <v>4716</v>
      </c>
      <c r="O2605" s="105">
        <v>7833897.0</v>
      </c>
      <c r="P2605" s="105">
        <v>7965856.0</v>
      </c>
      <c r="Q2605" s="102" t="s">
        <v>2446</v>
      </c>
      <c r="S2605" s="1"/>
      <c r="T2605" s="1"/>
      <c r="U2605" s="1"/>
      <c r="V2605" s="1"/>
      <c r="W2605" s="1"/>
      <c r="X2605" s="1"/>
      <c r="Y2605" s="1"/>
      <c r="Z2605" s="102"/>
      <c r="AA2605" s="102"/>
      <c r="AB2605" s="1"/>
      <c r="AC2605" s="1"/>
      <c r="AD2605" s="1"/>
      <c r="AE2605" s="1"/>
      <c r="AF2605" s="1"/>
      <c r="AG2605" s="1"/>
    </row>
    <row r="2606" ht="15.75" customHeight="1">
      <c r="A2606" s="1"/>
      <c r="B2606" s="1"/>
      <c r="C2606" s="1"/>
      <c r="D2606" s="1"/>
      <c r="E2606" s="1"/>
      <c r="F2606" s="1"/>
      <c r="G2606" s="1"/>
      <c r="H2606" s="1"/>
      <c r="I2606" s="1"/>
      <c r="J2606" s="1"/>
      <c r="K2606" s="102" t="s">
        <v>4715</v>
      </c>
      <c r="L2606" s="102" t="str">
        <f>Q102</f>
        <v>J1a2a1a2d2b2b2c2a~</v>
      </c>
      <c r="M2606" s="102" t="s">
        <v>4714</v>
      </c>
      <c r="N2606" s="102" t="s">
        <v>4716</v>
      </c>
      <c r="O2606" s="105">
        <v>7833897.0</v>
      </c>
      <c r="P2606" s="105">
        <v>7965856.0</v>
      </c>
      <c r="Q2606" s="102" t="s">
        <v>2446</v>
      </c>
      <c r="S2606" s="1"/>
      <c r="T2606" s="1"/>
      <c r="U2606" s="1"/>
      <c r="V2606" s="1"/>
      <c r="W2606" s="1"/>
      <c r="X2606" s="1"/>
      <c r="Y2606" s="1"/>
      <c r="Z2606" s="102"/>
      <c r="AA2606" s="102"/>
      <c r="AB2606" s="1"/>
      <c r="AC2606" s="1"/>
      <c r="AD2606" s="1"/>
      <c r="AE2606" s="1"/>
      <c r="AF2606" s="1"/>
      <c r="AG2606" s="1"/>
    </row>
    <row r="2607" ht="15.75" customHeight="1">
      <c r="A2607" s="1"/>
      <c r="B2607" s="1"/>
      <c r="C2607" s="1"/>
      <c r="D2607" s="1"/>
      <c r="E2607" s="1"/>
      <c r="F2607" s="1"/>
      <c r="G2607" s="1"/>
      <c r="H2607" s="1"/>
      <c r="I2607" s="1"/>
      <c r="J2607" s="1"/>
      <c r="K2607" s="102" t="s">
        <v>4717</v>
      </c>
      <c r="L2607" s="102" t="str">
        <f>Q102</f>
        <v>J1a2a1a2d2b2b2c2a~</v>
      </c>
      <c r="M2607" s="102" t="s">
        <v>4718</v>
      </c>
      <c r="N2607" s="102" t="s">
        <v>4719</v>
      </c>
      <c r="O2607" s="105">
        <v>1.7652477E7</v>
      </c>
      <c r="P2607" s="105">
        <v>1.5540597E7</v>
      </c>
      <c r="Q2607" s="102" t="s">
        <v>2533</v>
      </c>
      <c r="S2607" s="1"/>
      <c r="T2607" s="1"/>
      <c r="U2607" s="1"/>
      <c r="V2607" s="1"/>
      <c r="W2607" s="1"/>
      <c r="X2607" s="1"/>
      <c r="Y2607" s="1"/>
      <c r="Z2607" s="102"/>
      <c r="AA2607" s="102"/>
      <c r="AB2607" s="1"/>
      <c r="AC2607" s="1"/>
      <c r="AD2607" s="1"/>
      <c r="AE2607" s="1"/>
      <c r="AF2607" s="1"/>
      <c r="AG2607" s="1"/>
    </row>
    <row r="2608" ht="15.75" customHeight="1">
      <c r="A2608" s="1"/>
      <c r="B2608" s="1"/>
      <c r="C2608" s="1"/>
      <c r="D2608" s="1"/>
      <c r="E2608" s="1"/>
      <c r="F2608" s="1"/>
      <c r="G2608" s="1"/>
      <c r="H2608" s="1"/>
      <c r="I2608" s="1"/>
      <c r="J2608" s="1"/>
      <c r="K2608" s="102" t="s">
        <v>4718</v>
      </c>
      <c r="L2608" s="102" t="str">
        <f>Q102</f>
        <v>J1a2a1a2d2b2b2c2a~</v>
      </c>
      <c r="M2608" s="102" t="s">
        <v>4717</v>
      </c>
      <c r="N2608" s="102" t="s">
        <v>4719</v>
      </c>
      <c r="O2608" s="105">
        <v>1.7652477E7</v>
      </c>
      <c r="P2608" s="105">
        <v>1.5540597E7</v>
      </c>
      <c r="Q2608" s="102" t="s">
        <v>2533</v>
      </c>
      <c r="S2608" s="1"/>
      <c r="T2608" s="1"/>
      <c r="U2608" s="1"/>
      <c r="V2608" s="1"/>
      <c r="W2608" s="1"/>
      <c r="X2608" s="1"/>
      <c r="Y2608" s="1"/>
      <c r="Z2608" s="102"/>
      <c r="AA2608" s="102"/>
      <c r="AB2608" s="1"/>
      <c r="AC2608" s="1"/>
      <c r="AD2608" s="1"/>
      <c r="AE2608" s="1"/>
      <c r="AF2608" s="1"/>
      <c r="AG2608" s="1"/>
    </row>
    <row r="2609" ht="15.75" customHeight="1">
      <c r="A2609" s="1"/>
      <c r="B2609" s="1"/>
      <c r="C2609" s="1"/>
      <c r="D2609" s="1"/>
      <c r="E2609" s="1"/>
      <c r="F2609" s="1"/>
      <c r="G2609" s="1"/>
      <c r="H2609" s="1"/>
      <c r="I2609" s="1"/>
      <c r="J2609" s="1"/>
      <c r="K2609" s="102" t="s">
        <v>4720</v>
      </c>
      <c r="L2609" s="102" t="str">
        <f>Q102</f>
        <v>J1a2a1a2d2b2b2c2a~</v>
      </c>
      <c r="M2609" s="102" t="s">
        <v>4721</v>
      </c>
      <c r="N2609" s="102" t="s">
        <v>4722</v>
      </c>
      <c r="O2609" s="105">
        <v>1.4933771E7</v>
      </c>
      <c r="P2609" s="105">
        <v>1.2821836E7</v>
      </c>
      <c r="Q2609" s="102" t="s">
        <v>2563</v>
      </c>
      <c r="S2609" s="1"/>
      <c r="T2609" s="1"/>
      <c r="U2609" s="1"/>
      <c r="V2609" s="1"/>
      <c r="W2609" s="1"/>
      <c r="X2609" s="1"/>
      <c r="Y2609" s="1"/>
      <c r="Z2609" s="102"/>
      <c r="AA2609" s="102"/>
      <c r="AB2609" s="1"/>
      <c r="AC2609" s="1"/>
      <c r="AD2609" s="1"/>
      <c r="AE2609" s="1"/>
      <c r="AF2609" s="1"/>
      <c r="AG2609" s="1"/>
    </row>
    <row r="2610" ht="15.75" customHeight="1">
      <c r="A2610" s="1"/>
      <c r="B2610" s="1"/>
      <c r="C2610" s="1"/>
      <c r="D2610" s="1"/>
      <c r="E2610" s="1"/>
      <c r="F2610" s="1"/>
      <c r="G2610" s="1"/>
      <c r="H2610" s="1"/>
      <c r="I2610" s="1"/>
      <c r="J2610" s="1"/>
      <c r="K2610" s="102" t="s">
        <v>4721</v>
      </c>
      <c r="L2610" s="102" t="str">
        <f>Q102</f>
        <v>J1a2a1a2d2b2b2c2a~</v>
      </c>
      <c r="M2610" s="102" t="s">
        <v>4720</v>
      </c>
      <c r="N2610" s="102" t="s">
        <v>4722</v>
      </c>
      <c r="O2610" s="105">
        <v>1.4933771E7</v>
      </c>
      <c r="P2610" s="105">
        <v>1.2821836E7</v>
      </c>
      <c r="Q2610" s="102" t="s">
        <v>2563</v>
      </c>
      <c r="S2610" s="1"/>
      <c r="T2610" s="1"/>
      <c r="U2610" s="1"/>
      <c r="V2610" s="1"/>
      <c r="W2610" s="1"/>
      <c r="X2610" s="1"/>
      <c r="Y2610" s="1"/>
      <c r="Z2610" s="102"/>
      <c r="AA2610" s="102"/>
      <c r="AB2610" s="1"/>
      <c r="AC2610" s="1"/>
      <c r="AD2610" s="1"/>
      <c r="AE2610" s="1"/>
      <c r="AF2610" s="1"/>
      <c r="AG2610" s="1"/>
    </row>
    <row r="2611" ht="15.75" customHeight="1">
      <c r="A2611" s="1"/>
      <c r="B2611" s="1"/>
      <c r="C2611" s="1"/>
      <c r="D2611" s="1"/>
      <c r="E2611" s="1"/>
      <c r="F2611" s="1"/>
      <c r="G2611" s="1"/>
      <c r="H2611" s="1"/>
      <c r="I2611" s="1"/>
      <c r="J2611" s="1"/>
      <c r="K2611" s="102" t="s">
        <v>4723</v>
      </c>
      <c r="L2611" s="102" t="str">
        <f>Q102</f>
        <v>J1a2a1a2d2b2b2c2a~</v>
      </c>
      <c r="M2611" s="102"/>
      <c r="N2611" s="102" t="s">
        <v>4724</v>
      </c>
      <c r="O2611" s="105">
        <v>1.4739764E7</v>
      </c>
      <c r="P2611" s="105">
        <v>1.2627832E7</v>
      </c>
      <c r="Q2611" s="102" t="s">
        <v>2501</v>
      </c>
      <c r="S2611" s="1"/>
      <c r="T2611" s="1"/>
      <c r="U2611" s="1"/>
      <c r="V2611" s="1"/>
      <c r="W2611" s="1"/>
      <c r="X2611" s="1"/>
      <c r="Y2611" s="1"/>
      <c r="Z2611" s="102"/>
      <c r="AA2611" s="102"/>
      <c r="AB2611" s="1"/>
      <c r="AC2611" s="1"/>
      <c r="AD2611" s="1"/>
      <c r="AE2611" s="1"/>
      <c r="AF2611" s="1"/>
      <c r="AG2611" s="1"/>
    </row>
    <row r="2612" ht="15.75" customHeight="1">
      <c r="A2612" s="1"/>
      <c r="B2612" s="1"/>
      <c r="C2612" s="1"/>
      <c r="D2612" s="1"/>
      <c r="E2612" s="1"/>
      <c r="F2612" s="1"/>
      <c r="G2612" s="1"/>
      <c r="H2612" s="1"/>
      <c r="I2612" s="1"/>
      <c r="J2612" s="1"/>
      <c r="K2612" s="102" t="s">
        <v>4725</v>
      </c>
      <c r="L2612" s="102" t="str">
        <f>Q102</f>
        <v>J1a2a1a2d2b2b2c2a~</v>
      </c>
      <c r="M2612" s="102"/>
      <c r="N2612" s="102" t="s">
        <v>4726</v>
      </c>
      <c r="O2612" s="105">
        <v>2.3094025E7</v>
      </c>
      <c r="P2612" s="105">
        <v>2.0932139E7</v>
      </c>
      <c r="Q2612" s="102" t="s">
        <v>2468</v>
      </c>
      <c r="S2612" s="1"/>
      <c r="T2612" s="1"/>
      <c r="U2612" s="1"/>
      <c r="V2612" s="1"/>
      <c r="W2612" s="1"/>
      <c r="X2612" s="1"/>
      <c r="Y2612" s="1"/>
      <c r="Z2612" s="102"/>
      <c r="AA2612" s="102"/>
      <c r="AB2612" s="1"/>
      <c r="AC2612" s="1"/>
      <c r="AD2612" s="1"/>
      <c r="AE2612" s="1"/>
      <c r="AF2612" s="1"/>
      <c r="AG2612" s="1"/>
    </row>
    <row r="2613" ht="15.75" customHeight="1">
      <c r="A2613" s="1"/>
      <c r="B2613" s="1"/>
      <c r="C2613" s="1"/>
      <c r="D2613" s="1"/>
      <c r="E2613" s="1"/>
      <c r="F2613" s="1"/>
      <c r="G2613" s="1"/>
      <c r="H2613" s="1"/>
      <c r="I2613" s="1"/>
      <c r="J2613" s="1"/>
      <c r="K2613" s="102" t="s">
        <v>4727</v>
      </c>
      <c r="L2613" s="102" t="str">
        <f>R103</f>
        <v>J1a2a1a2d2b2b2c2a1~</v>
      </c>
      <c r="M2613" s="102" t="s">
        <v>4728</v>
      </c>
      <c r="N2613" s="102" t="s">
        <v>4729</v>
      </c>
      <c r="O2613" s="102">
        <v>7154231.0</v>
      </c>
      <c r="P2613" s="102">
        <v>7286190.0</v>
      </c>
      <c r="Q2613" s="102" t="s">
        <v>2439</v>
      </c>
      <c r="S2613" s="1"/>
      <c r="T2613" s="1"/>
      <c r="U2613" s="1"/>
      <c r="V2613" s="1"/>
      <c r="W2613" s="1"/>
      <c r="X2613" s="1"/>
      <c r="Y2613" s="1"/>
      <c r="Z2613" s="102">
        <v>7154231.0</v>
      </c>
      <c r="AA2613" s="102"/>
      <c r="AB2613" s="1"/>
      <c r="AC2613" s="1"/>
      <c r="AD2613" s="1"/>
      <c r="AE2613" s="1"/>
      <c r="AF2613" s="1"/>
      <c r="AG2613" s="1"/>
    </row>
    <row r="2614" ht="15.75" customHeight="1">
      <c r="A2614" s="1"/>
      <c r="B2614" s="1"/>
      <c r="C2614" s="1"/>
      <c r="D2614" s="1"/>
      <c r="E2614" s="1"/>
      <c r="F2614" s="1"/>
      <c r="G2614" s="1"/>
      <c r="H2614" s="1"/>
      <c r="I2614" s="1"/>
      <c r="J2614" s="1"/>
      <c r="K2614" s="102" t="s">
        <v>4728</v>
      </c>
      <c r="L2614" s="102" t="str">
        <f>R103</f>
        <v>J1a2a1a2d2b2b2c2a1~</v>
      </c>
      <c r="M2614" s="102" t="s">
        <v>4727</v>
      </c>
      <c r="N2614" s="102" t="s">
        <v>4729</v>
      </c>
      <c r="O2614" s="102">
        <v>7154231.0</v>
      </c>
      <c r="P2614" s="102">
        <v>7286190.0</v>
      </c>
      <c r="Q2614" s="102" t="s">
        <v>2439</v>
      </c>
      <c r="S2614" s="1"/>
      <c r="T2614" s="1"/>
      <c r="U2614" s="1"/>
      <c r="V2614" s="1"/>
      <c r="W2614" s="1"/>
      <c r="X2614" s="1"/>
      <c r="Y2614" s="1"/>
      <c r="Z2614" s="102">
        <v>7154231.0</v>
      </c>
      <c r="AA2614" s="102"/>
      <c r="AB2614" s="1"/>
      <c r="AC2614" s="1"/>
      <c r="AD2614" s="1"/>
      <c r="AE2614" s="1"/>
      <c r="AF2614" s="1"/>
      <c r="AG2614" s="1"/>
    </row>
    <row r="2615" ht="15.75" customHeight="1">
      <c r="A2615" s="1"/>
      <c r="B2615" s="1"/>
      <c r="C2615" s="1"/>
      <c r="D2615" s="1"/>
      <c r="E2615" s="1"/>
      <c r="F2615" s="1"/>
      <c r="G2615" s="1"/>
      <c r="H2615" s="1"/>
      <c r="I2615" s="1"/>
      <c r="J2615" s="1"/>
      <c r="K2615" s="102" t="s">
        <v>4730</v>
      </c>
      <c r="L2615" s="102" t="str">
        <f>R103</f>
        <v>J1a2a1a2d2b2b2c2a1~</v>
      </c>
      <c r="M2615" s="102"/>
      <c r="N2615" s="102" t="s">
        <v>4731</v>
      </c>
      <c r="O2615" s="102">
        <v>8671586.0</v>
      </c>
      <c r="P2615" s="102">
        <v>8803545.0</v>
      </c>
      <c r="Q2615" s="102" t="s">
        <v>2533</v>
      </c>
      <c r="S2615" s="1"/>
      <c r="T2615" s="1"/>
      <c r="U2615" s="1"/>
      <c r="V2615" s="1"/>
      <c r="W2615" s="1"/>
      <c r="X2615" s="1"/>
      <c r="Y2615" s="1"/>
      <c r="Z2615" s="102">
        <v>8671586.0</v>
      </c>
      <c r="AA2615" s="102"/>
      <c r="AB2615" s="1"/>
      <c r="AC2615" s="1"/>
      <c r="AD2615" s="1"/>
      <c r="AE2615" s="1"/>
      <c r="AF2615" s="1"/>
      <c r="AG2615" s="1"/>
    </row>
    <row r="2616" ht="15.75" customHeight="1">
      <c r="A2616" s="1"/>
      <c r="B2616" s="1"/>
      <c r="C2616" s="1"/>
      <c r="D2616" s="1"/>
      <c r="E2616" s="1"/>
      <c r="F2616" s="1"/>
      <c r="G2616" s="1"/>
      <c r="H2616" s="1"/>
      <c r="I2616" s="1"/>
      <c r="J2616" s="1"/>
      <c r="K2616" s="102" t="s">
        <v>4732</v>
      </c>
      <c r="L2616" s="102" t="str">
        <f>R103</f>
        <v>J1a2a1a2d2b2b2c2a1~</v>
      </c>
      <c r="M2616" s="102"/>
      <c r="N2616" s="102" t="s">
        <v>4733</v>
      </c>
      <c r="O2616" s="102">
        <v>7850439.0</v>
      </c>
      <c r="P2616" s="102">
        <v>7982398.0</v>
      </c>
      <c r="Q2616" s="102" t="s">
        <v>2454</v>
      </c>
      <c r="S2616" s="1"/>
      <c r="T2616" s="1"/>
      <c r="U2616" s="1"/>
      <c r="V2616" s="1"/>
      <c r="W2616" s="1"/>
      <c r="X2616" s="1"/>
      <c r="Y2616" s="1"/>
      <c r="Z2616" s="102">
        <v>7850439.0</v>
      </c>
      <c r="AA2616" s="102"/>
      <c r="AB2616" s="1"/>
      <c r="AC2616" s="1"/>
      <c r="AD2616" s="1"/>
      <c r="AE2616" s="1"/>
      <c r="AF2616" s="1"/>
      <c r="AG2616" s="1"/>
    </row>
    <row r="2617" ht="15.75" customHeight="1">
      <c r="A2617" s="1"/>
      <c r="B2617" s="1"/>
      <c r="C2617" s="1"/>
      <c r="D2617" s="1"/>
      <c r="E2617" s="1"/>
      <c r="F2617" s="1"/>
      <c r="G2617" s="1"/>
      <c r="H2617" s="1"/>
      <c r="I2617" s="1"/>
      <c r="J2617" s="1"/>
      <c r="K2617" s="102" t="s">
        <v>4734</v>
      </c>
      <c r="L2617" s="102" t="str">
        <f>R103</f>
        <v>J1a2a1a2d2b2b2c2a1~</v>
      </c>
      <c r="M2617" s="102"/>
      <c r="N2617" s="102" t="s">
        <v>4735</v>
      </c>
      <c r="O2617" s="102">
        <v>8368410.0</v>
      </c>
      <c r="P2617" s="102">
        <v>8500369.0</v>
      </c>
      <c r="Q2617" s="102" t="s">
        <v>2439</v>
      </c>
      <c r="S2617" s="1"/>
      <c r="T2617" s="1"/>
      <c r="U2617" s="1"/>
      <c r="V2617" s="1"/>
      <c r="W2617" s="1"/>
      <c r="X2617" s="1"/>
      <c r="Y2617" s="1"/>
      <c r="Z2617" s="102">
        <v>8368410.0</v>
      </c>
      <c r="AA2617" s="102"/>
      <c r="AB2617" s="1"/>
      <c r="AC2617" s="1"/>
      <c r="AD2617" s="1"/>
      <c r="AE2617" s="1"/>
      <c r="AF2617" s="1"/>
      <c r="AG2617" s="1"/>
    </row>
    <row r="2618" ht="15.75" customHeight="1">
      <c r="A2618" s="1"/>
      <c r="B2618" s="1"/>
      <c r="C2618" s="1"/>
      <c r="D2618" s="1"/>
      <c r="E2618" s="1"/>
      <c r="F2618" s="1"/>
      <c r="G2618" s="1"/>
      <c r="H2618" s="1"/>
      <c r="I2618" s="1"/>
      <c r="J2618" s="1"/>
      <c r="K2618" s="102" t="s">
        <v>4736</v>
      </c>
      <c r="L2618" s="102" t="str">
        <f>R103</f>
        <v>J1a2a1a2d2b2b2c2a1~</v>
      </c>
      <c r="M2618" s="102"/>
      <c r="N2618" s="102" t="s">
        <v>4737</v>
      </c>
      <c r="O2618" s="102">
        <v>1.4365726E7</v>
      </c>
      <c r="P2618" s="102">
        <v>1.2245021E7</v>
      </c>
      <c r="Q2618" s="102" t="s">
        <v>2514</v>
      </c>
      <c r="S2618" s="1"/>
      <c r="T2618" s="1"/>
      <c r="U2618" s="1"/>
      <c r="V2618" s="1"/>
      <c r="W2618" s="1"/>
      <c r="X2618" s="1"/>
      <c r="Y2618" s="1"/>
      <c r="Z2618" s="102">
        <v>1.4365726E7</v>
      </c>
      <c r="AA2618" s="102"/>
      <c r="AB2618" s="1"/>
      <c r="AC2618" s="1"/>
      <c r="AD2618" s="1"/>
      <c r="AE2618" s="1"/>
      <c r="AF2618" s="1"/>
      <c r="AG2618" s="1"/>
    </row>
    <row r="2619" ht="15.75" customHeight="1">
      <c r="A2619" s="1"/>
      <c r="B2619" s="1"/>
      <c r="C2619" s="1"/>
      <c r="D2619" s="1"/>
      <c r="E2619" s="1"/>
      <c r="F2619" s="1"/>
      <c r="G2619" s="1"/>
      <c r="H2619" s="1"/>
      <c r="I2619" s="1"/>
      <c r="J2619" s="1"/>
      <c r="K2619" s="102" t="s">
        <v>4738</v>
      </c>
      <c r="L2619" s="102" t="str">
        <f>S104</f>
        <v>J1a2a1a2d2b2b2c2a1a~</v>
      </c>
      <c r="M2619" s="102"/>
      <c r="N2619" s="102"/>
      <c r="O2619" s="105">
        <v>1.6813494E7</v>
      </c>
      <c r="P2619" s="105">
        <v>1.4701614E7</v>
      </c>
      <c r="Q2619" s="102" t="s">
        <v>2468</v>
      </c>
      <c r="S2619" s="1"/>
      <c r="T2619" s="1"/>
      <c r="U2619" s="1"/>
      <c r="V2619" s="1"/>
      <c r="W2619" s="1"/>
      <c r="X2619" s="1"/>
      <c r="Y2619" s="1"/>
      <c r="Z2619" s="102"/>
      <c r="AA2619" s="102"/>
      <c r="AB2619" s="1"/>
      <c r="AC2619" s="1"/>
      <c r="AD2619" s="1"/>
      <c r="AE2619" s="1"/>
      <c r="AF2619" s="1"/>
      <c r="AG2619" s="1"/>
    </row>
    <row r="2620" ht="15.75" customHeight="1">
      <c r="A2620" s="1"/>
      <c r="B2620" s="1"/>
      <c r="C2620" s="1"/>
      <c r="D2620" s="1"/>
      <c r="E2620" s="1"/>
      <c r="F2620" s="1"/>
      <c r="G2620" s="1"/>
      <c r="H2620" s="1"/>
      <c r="I2620" s="1"/>
      <c r="J2620" s="1"/>
      <c r="K2620" s="102" t="s">
        <v>4739</v>
      </c>
      <c r="L2620" s="102" t="str">
        <f>S104</f>
        <v>J1a2a1a2d2b2b2c2a1a~</v>
      </c>
      <c r="M2620" s="102"/>
      <c r="N2620" s="102"/>
      <c r="O2620" s="105">
        <v>1.8174428E7</v>
      </c>
      <c r="P2620" s="105">
        <v>1.6062548E7</v>
      </c>
      <c r="Q2620" s="102" t="s">
        <v>2529</v>
      </c>
      <c r="S2620" s="1"/>
      <c r="T2620" s="1"/>
      <c r="U2620" s="1"/>
      <c r="V2620" s="1"/>
      <c r="W2620" s="1"/>
      <c r="X2620" s="1"/>
      <c r="Y2620" s="1"/>
      <c r="Z2620" s="102"/>
      <c r="AA2620" s="102"/>
      <c r="AB2620" s="1"/>
      <c r="AC2620" s="1"/>
      <c r="AD2620" s="1"/>
      <c r="AE2620" s="1"/>
      <c r="AF2620" s="1"/>
      <c r="AG2620" s="1"/>
    </row>
    <row r="2621" ht="15.75" customHeight="1">
      <c r="A2621" s="1"/>
      <c r="B2621" s="1"/>
      <c r="C2621" s="1"/>
      <c r="D2621" s="1"/>
      <c r="E2621" s="1"/>
      <c r="F2621" s="1"/>
      <c r="G2621" s="1"/>
      <c r="H2621" s="1"/>
      <c r="I2621" s="1"/>
      <c r="J2621" s="1"/>
      <c r="K2621" s="102" t="s">
        <v>4740</v>
      </c>
      <c r="L2621" s="102" t="str">
        <f>S104</f>
        <v>J1a2a1a2d2b2b2c2a1a~</v>
      </c>
      <c r="M2621" s="102"/>
      <c r="N2621" s="102"/>
      <c r="O2621" s="105">
        <v>2.2166427E7</v>
      </c>
      <c r="P2621" s="105">
        <v>2.0004541E7</v>
      </c>
      <c r="Q2621" s="102" t="s">
        <v>2563</v>
      </c>
      <c r="S2621" s="1"/>
      <c r="T2621" s="1"/>
      <c r="U2621" s="1"/>
      <c r="V2621" s="1"/>
      <c r="W2621" s="1"/>
      <c r="X2621" s="1"/>
      <c r="Y2621" s="1"/>
      <c r="Z2621" s="102"/>
      <c r="AA2621" s="102"/>
      <c r="AB2621" s="1"/>
      <c r="AC2621" s="1"/>
      <c r="AD2621" s="1"/>
      <c r="AE2621" s="1"/>
      <c r="AF2621" s="1"/>
      <c r="AG2621" s="1"/>
    </row>
    <row r="2622" ht="15.75" customHeight="1">
      <c r="A2622" s="1"/>
      <c r="B2622" s="1"/>
      <c r="C2622" s="1"/>
      <c r="D2622" s="1"/>
      <c r="E2622" s="1"/>
      <c r="F2622" s="1"/>
      <c r="G2622" s="1"/>
      <c r="H2622" s="1"/>
      <c r="I2622" s="1"/>
      <c r="J2622" s="1"/>
      <c r="K2622" s="102" t="s">
        <v>4741</v>
      </c>
      <c r="L2622" s="102" t="str">
        <f>S104</f>
        <v>J1a2a1a2d2b2b2c2a1a~</v>
      </c>
      <c r="M2622" s="102"/>
      <c r="N2622" s="102"/>
      <c r="O2622" s="105">
        <v>2.260556E7</v>
      </c>
      <c r="P2622" s="105">
        <v>2.0443674E7</v>
      </c>
      <c r="Q2622" s="102" t="s">
        <v>2529</v>
      </c>
      <c r="S2622" s="1"/>
      <c r="T2622" s="1"/>
      <c r="U2622" s="1"/>
      <c r="V2622" s="1"/>
      <c r="W2622" s="1"/>
      <c r="X2622" s="1"/>
      <c r="Y2622" s="1"/>
      <c r="Z2622" s="102"/>
      <c r="AA2622" s="102"/>
      <c r="AB2622" s="1"/>
      <c r="AC2622" s="1"/>
      <c r="AD2622" s="1"/>
      <c r="AE2622" s="1"/>
      <c r="AF2622" s="1"/>
      <c r="AG2622" s="1"/>
    </row>
    <row r="2623" ht="15.75" customHeight="1">
      <c r="A2623" s="1"/>
      <c r="B2623" s="1"/>
      <c r="C2623" s="1"/>
      <c r="D2623" s="1"/>
      <c r="E2623" s="1"/>
      <c r="F2623" s="1"/>
      <c r="G2623" s="1"/>
      <c r="H2623" s="1"/>
      <c r="I2623" s="1"/>
      <c r="J2623" s="1"/>
      <c r="K2623" s="102" t="s">
        <v>4742</v>
      </c>
      <c r="L2623" s="102" t="str">
        <f>S104</f>
        <v>J1a2a1a2d2b2b2c2a1a~</v>
      </c>
      <c r="M2623" s="102"/>
      <c r="N2623" s="102"/>
      <c r="O2623" s="105">
        <v>2.4003746E7</v>
      </c>
      <c r="P2623" s="105">
        <v>2.1857599E7</v>
      </c>
      <c r="Q2623" s="102" t="s">
        <v>2439</v>
      </c>
      <c r="S2623" s="1"/>
      <c r="T2623" s="1"/>
      <c r="U2623" s="1"/>
      <c r="V2623" s="1"/>
      <c r="W2623" s="1"/>
      <c r="X2623" s="1"/>
      <c r="Y2623" s="1"/>
      <c r="Z2623" s="102"/>
      <c r="AA2623" s="102"/>
      <c r="AB2623" s="1"/>
      <c r="AC2623" s="1"/>
      <c r="AD2623" s="1"/>
      <c r="AE2623" s="1"/>
      <c r="AF2623" s="1"/>
      <c r="AG2623" s="1"/>
    </row>
    <row r="2624" ht="15.75" customHeight="1">
      <c r="A2624" s="1"/>
      <c r="B2624" s="1"/>
      <c r="C2624" s="1"/>
      <c r="D2624" s="1"/>
      <c r="E2624" s="1"/>
      <c r="F2624" s="1"/>
      <c r="G2624" s="1"/>
      <c r="H2624" s="1"/>
      <c r="I2624" s="1"/>
      <c r="J2624" s="1"/>
      <c r="K2624" s="102" t="s">
        <v>4743</v>
      </c>
      <c r="L2624" s="102" t="str">
        <f>Q105</f>
        <v>J1a2a1a2d2b2b2c2b~</v>
      </c>
      <c r="M2624" s="102" t="s">
        <v>4744</v>
      </c>
      <c r="N2624" s="102"/>
      <c r="O2624" s="105">
        <v>7083228.0</v>
      </c>
      <c r="P2624" s="105">
        <v>7215187.0</v>
      </c>
      <c r="Q2624" s="102" t="s">
        <v>2501</v>
      </c>
      <c r="S2624" s="1"/>
      <c r="T2624" s="1"/>
      <c r="U2624" s="1"/>
      <c r="V2624" s="1"/>
      <c r="W2624" s="1"/>
      <c r="X2624" s="1"/>
      <c r="Y2624" s="1"/>
      <c r="Z2624" s="102"/>
      <c r="AA2624" s="102"/>
      <c r="AB2624" s="1"/>
      <c r="AC2624" s="1"/>
      <c r="AD2624" s="1"/>
      <c r="AE2624" s="1"/>
      <c r="AF2624" s="1"/>
      <c r="AG2624" s="1"/>
    </row>
    <row r="2625" ht="15.75" customHeight="1">
      <c r="A2625" s="1"/>
      <c r="B2625" s="1"/>
      <c r="C2625" s="1"/>
      <c r="D2625" s="1"/>
      <c r="E2625" s="1"/>
      <c r="F2625" s="1"/>
      <c r="G2625" s="1"/>
      <c r="H2625" s="1"/>
      <c r="I2625" s="1"/>
      <c r="J2625" s="1"/>
      <c r="K2625" s="102" t="s">
        <v>4745</v>
      </c>
      <c r="L2625" s="102" t="str">
        <f>Q105</f>
        <v>J1a2a1a2d2b2b2c2b~</v>
      </c>
      <c r="M2625" s="102" t="s">
        <v>4746</v>
      </c>
      <c r="N2625" s="102"/>
      <c r="O2625" s="105">
        <v>7083228.0</v>
      </c>
      <c r="P2625" s="105">
        <v>7215187.0</v>
      </c>
      <c r="Q2625" s="102" t="s">
        <v>2501</v>
      </c>
      <c r="S2625" s="1"/>
      <c r="T2625" s="1"/>
      <c r="U2625" s="1"/>
      <c r="V2625" s="1"/>
      <c r="W2625" s="1"/>
      <c r="X2625" s="1"/>
      <c r="Y2625" s="1"/>
      <c r="Z2625" s="102"/>
      <c r="AA2625" s="102"/>
      <c r="AB2625" s="1"/>
      <c r="AC2625" s="1"/>
      <c r="AD2625" s="1"/>
      <c r="AE2625" s="1"/>
      <c r="AF2625" s="1"/>
      <c r="AG2625" s="1"/>
    </row>
    <row r="2626" ht="15.75" customHeight="1">
      <c r="A2626" s="1"/>
      <c r="B2626" s="1"/>
      <c r="C2626" s="1"/>
      <c r="D2626" s="1"/>
      <c r="E2626" s="1"/>
      <c r="F2626" s="1"/>
      <c r="G2626" s="1"/>
      <c r="H2626" s="1"/>
      <c r="I2626" s="1"/>
      <c r="J2626" s="1"/>
      <c r="K2626" s="102" t="s">
        <v>4747</v>
      </c>
      <c r="L2626" s="102" t="str">
        <f>Q105</f>
        <v>J1a2a1a2d2b2b2c2b~</v>
      </c>
      <c r="M2626" s="102" t="s">
        <v>4748</v>
      </c>
      <c r="N2626" s="102"/>
      <c r="O2626" s="105">
        <v>7083228.0</v>
      </c>
      <c r="P2626" s="105">
        <v>7215187.0</v>
      </c>
      <c r="Q2626" s="102" t="s">
        <v>2501</v>
      </c>
      <c r="S2626" s="1"/>
      <c r="T2626" s="1"/>
      <c r="U2626" s="1"/>
      <c r="V2626" s="1"/>
      <c r="W2626" s="1"/>
      <c r="X2626" s="1"/>
      <c r="Y2626" s="1"/>
      <c r="Z2626" s="102"/>
      <c r="AA2626" s="102"/>
      <c r="AB2626" s="1"/>
      <c r="AC2626" s="1"/>
      <c r="AD2626" s="1"/>
      <c r="AE2626" s="1"/>
      <c r="AF2626" s="1"/>
      <c r="AG2626" s="1"/>
    </row>
    <row r="2627" ht="15.75" customHeight="1">
      <c r="A2627" s="1"/>
      <c r="B2627" s="1"/>
      <c r="C2627" s="1"/>
      <c r="D2627" s="1"/>
      <c r="E2627" s="1"/>
      <c r="F2627" s="1"/>
      <c r="G2627" s="1"/>
      <c r="H2627" s="1"/>
      <c r="I2627" s="1"/>
      <c r="J2627" s="1"/>
      <c r="K2627" s="102" t="s">
        <v>4749</v>
      </c>
      <c r="L2627" s="102" t="str">
        <f>Q105</f>
        <v>J1a2a1a2d2b2b2c2b~</v>
      </c>
      <c r="M2627" s="102"/>
      <c r="N2627" s="102"/>
      <c r="O2627" s="105">
        <v>9101555.0</v>
      </c>
      <c r="P2627" s="105">
        <v>9263946.0</v>
      </c>
      <c r="Q2627" s="102" t="s">
        <v>2423</v>
      </c>
      <c r="S2627" s="1"/>
      <c r="T2627" s="1"/>
      <c r="U2627" s="1"/>
      <c r="V2627" s="1"/>
      <c r="W2627" s="1"/>
      <c r="X2627" s="1"/>
      <c r="Y2627" s="1"/>
      <c r="Z2627" s="102"/>
      <c r="AA2627" s="102"/>
      <c r="AB2627" s="1"/>
      <c r="AC2627" s="1"/>
      <c r="AD2627" s="1"/>
      <c r="AE2627" s="1"/>
      <c r="AF2627" s="1"/>
      <c r="AG2627" s="1"/>
    </row>
    <row r="2628" ht="15.75" customHeight="1">
      <c r="A2628" s="1"/>
      <c r="B2628" s="1"/>
      <c r="C2628" s="1"/>
      <c r="D2628" s="1"/>
      <c r="E2628" s="1"/>
      <c r="F2628" s="1"/>
      <c r="G2628" s="1"/>
      <c r="H2628" s="1"/>
      <c r="I2628" s="1"/>
      <c r="J2628" s="1"/>
      <c r="K2628" s="102" t="s">
        <v>4750</v>
      </c>
      <c r="L2628" s="102" t="str">
        <f>Q105</f>
        <v>J1a2a1a2d2b2b2c2b~</v>
      </c>
      <c r="M2628" s="102" t="s">
        <v>4751</v>
      </c>
      <c r="N2628" s="102" t="s">
        <v>4752</v>
      </c>
      <c r="O2628" s="105">
        <v>1.5689762E7</v>
      </c>
      <c r="P2628" s="105">
        <v>1.3577882E7</v>
      </c>
      <c r="Q2628" s="102" t="s">
        <v>2501</v>
      </c>
      <c r="S2628" s="1"/>
      <c r="T2628" s="1"/>
      <c r="U2628" s="1"/>
      <c r="V2628" s="1"/>
      <c r="W2628" s="1"/>
      <c r="X2628" s="1"/>
      <c r="Y2628" s="1"/>
      <c r="Z2628" s="102"/>
      <c r="AA2628" s="102"/>
      <c r="AB2628" s="1"/>
      <c r="AC2628" s="1"/>
      <c r="AD2628" s="1"/>
      <c r="AE2628" s="1"/>
      <c r="AF2628" s="1"/>
      <c r="AG2628" s="1"/>
    </row>
    <row r="2629" ht="15.75" customHeight="1">
      <c r="A2629" s="1"/>
      <c r="B2629" s="1"/>
      <c r="C2629" s="1"/>
      <c r="D2629" s="1"/>
      <c r="E2629" s="1"/>
      <c r="F2629" s="1"/>
      <c r="G2629" s="1"/>
      <c r="H2629" s="1"/>
      <c r="I2629" s="1"/>
      <c r="J2629" s="1"/>
      <c r="K2629" s="102" t="s">
        <v>4751</v>
      </c>
      <c r="L2629" s="102" t="str">
        <f>Q105</f>
        <v>J1a2a1a2d2b2b2c2b~</v>
      </c>
      <c r="M2629" s="102" t="s">
        <v>4750</v>
      </c>
      <c r="N2629" s="102" t="s">
        <v>4752</v>
      </c>
      <c r="O2629" s="105">
        <v>1.5689762E7</v>
      </c>
      <c r="P2629" s="105">
        <v>1.3577882E7</v>
      </c>
      <c r="Q2629" s="102" t="s">
        <v>2501</v>
      </c>
      <c r="S2629" s="1"/>
      <c r="T2629" s="1"/>
      <c r="U2629" s="1"/>
      <c r="V2629" s="1"/>
      <c r="W2629" s="1"/>
      <c r="X2629" s="1"/>
      <c r="Y2629" s="1"/>
      <c r="Z2629" s="102"/>
      <c r="AA2629" s="102"/>
      <c r="AB2629" s="1"/>
      <c r="AC2629" s="1"/>
      <c r="AD2629" s="1"/>
      <c r="AE2629" s="1"/>
      <c r="AF2629" s="1"/>
      <c r="AG2629" s="1"/>
    </row>
    <row r="2630" ht="15.75" customHeight="1">
      <c r="A2630" s="1"/>
      <c r="B2630" s="1"/>
      <c r="C2630" s="1"/>
      <c r="D2630" s="1"/>
      <c r="E2630" s="1"/>
      <c r="F2630" s="1"/>
      <c r="G2630" s="1"/>
      <c r="H2630" s="1"/>
      <c r="I2630" s="1"/>
      <c r="J2630" s="1"/>
      <c r="K2630" s="102" t="s">
        <v>4753</v>
      </c>
      <c r="L2630" s="102" t="str">
        <f>Q105</f>
        <v>J1a2a1a2d2b2b2c2b~</v>
      </c>
      <c r="M2630" s="102"/>
      <c r="N2630" s="102" t="s">
        <v>4754</v>
      </c>
      <c r="O2630" s="105">
        <v>1.6600316E7</v>
      </c>
      <c r="P2630" s="105">
        <v>1.4488436E7</v>
      </c>
      <c r="Q2630" s="102" t="s">
        <v>2533</v>
      </c>
      <c r="S2630" s="1"/>
      <c r="T2630" s="1"/>
      <c r="U2630" s="1"/>
      <c r="V2630" s="1"/>
      <c r="W2630" s="1"/>
      <c r="X2630" s="1"/>
      <c r="Y2630" s="1"/>
      <c r="Z2630" s="102"/>
      <c r="AA2630" s="102"/>
      <c r="AB2630" s="1"/>
      <c r="AC2630" s="1"/>
      <c r="AD2630" s="1"/>
      <c r="AE2630" s="1"/>
      <c r="AF2630" s="1"/>
      <c r="AG2630" s="1"/>
    </row>
    <row r="2631" ht="15.75" customHeight="1">
      <c r="A2631" s="1"/>
      <c r="B2631" s="1"/>
      <c r="C2631" s="1"/>
      <c r="D2631" s="1"/>
      <c r="E2631" s="1"/>
      <c r="F2631" s="1"/>
      <c r="G2631" s="1"/>
      <c r="H2631" s="1"/>
      <c r="I2631" s="1"/>
      <c r="J2631" s="1"/>
      <c r="K2631" s="102" t="s">
        <v>4755</v>
      </c>
      <c r="L2631" s="102" t="str">
        <f>Q105</f>
        <v>J1a2a1a2d2b2b2c2b~</v>
      </c>
      <c r="M2631" s="102"/>
      <c r="N2631" s="102"/>
      <c r="O2631" s="105">
        <v>1.6766952E7</v>
      </c>
      <c r="P2631" s="105">
        <v>1.4655072E7</v>
      </c>
      <c r="Q2631" s="102" t="s">
        <v>2439</v>
      </c>
      <c r="S2631" s="1"/>
      <c r="T2631" s="1"/>
      <c r="U2631" s="1"/>
      <c r="V2631" s="1"/>
      <c r="W2631" s="1"/>
      <c r="X2631" s="1"/>
      <c r="Y2631" s="1"/>
      <c r="Z2631" s="102"/>
      <c r="AA2631" s="102"/>
      <c r="AB2631" s="1"/>
      <c r="AC2631" s="1"/>
      <c r="AD2631" s="1"/>
      <c r="AE2631" s="1"/>
      <c r="AF2631" s="1"/>
      <c r="AG2631" s="1"/>
    </row>
    <row r="2632" ht="15.75" customHeight="1">
      <c r="A2632" s="1"/>
      <c r="B2632" s="1"/>
      <c r="C2632" s="1"/>
      <c r="D2632" s="1"/>
      <c r="E2632" s="1"/>
      <c r="F2632" s="1"/>
      <c r="G2632" s="1"/>
      <c r="H2632" s="1"/>
      <c r="I2632" s="1"/>
      <c r="J2632" s="1"/>
      <c r="K2632" s="102" t="s">
        <v>4756</v>
      </c>
      <c r="L2632" s="102" t="str">
        <f>Q105</f>
        <v>J1a2a1a2d2b2b2c2b~</v>
      </c>
      <c r="M2632" s="102"/>
      <c r="N2632" s="102" t="s">
        <v>4757</v>
      </c>
      <c r="O2632" s="105">
        <v>1.7638001E7</v>
      </c>
      <c r="P2632" s="105">
        <v>1.5526121E7</v>
      </c>
      <c r="Q2632" s="102" t="s">
        <v>2439</v>
      </c>
      <c r="S2632" s="1"/>
      <c r="T2632" s="1"/>
      <c r="U2632" s="1"/>
      <c r="V2632" s="1"/>
      <c r="W2632" s="1"/>
      <c r="X2632" s="1"/>
      <c r="Y2632" s="1"/>
      <c r="Z2632" s="102"/>
      <c r="AA2632" s="102"/>
      <c r="AB2632" s="1"/>
      <c r="AC2632" s="1"/>
      <c r="AD2632" s="1"/>
      <c r="AE2632" s="1"/>
      <c r="AF2632" s="1"/>
      <c r="AG2632" s="1"/>
    </row>
    <row r="2633" ht="15.75" customHeight="1">
      <c r="A2633" s="1"/>
      <c r="B2633" s="1"/>
      <c r="C2633" s="1"/>
      <c r="D2633" s="1"/>
      <c r="E2633" s="1"/>
      <c r="F2633" s="1"/>
      <c r="G2633" s="1"/>
      <c r="H2633" s="1"/>
      <c r="I2633" s="1"/>
      <c r="J2633" s="1"/>
      <c r="K2633" s="102" t="s">
        <v>4758</v>
      </c>
      <c r="L2633" s="102" t="str">
        <f>Q105</f>
        <v>J1a2a1a2d2b2b2c2b~</v>
      </c>
      <c r="M2633" s="102"/>
      <c r="N2633" s="102" t="s">
        <v>4759</v>
      </c>
      <c r="O2633" s="105">
        <v>2.1345633E7</v>
      </c>
      <c r="P2633" s="105">
        <v>1.9183747E7</v>
      </c>
      <c r="Q2633" s="102" t="s">
        <v>2468</v>
      </c>
      <c r="S2633" s="1"/>
      <c r="T2633" s="1"/>
      <c r="U2633" s="1"/>
      <c r="V2633" s="1"/>
      <c r="W2633" s="1"/>
      <c r="X2633" s="1"/>
      <c r="Y2633" s="1"/>
      <c r="Z2633" s="102"/>
      <c r="AA2633" s="102"/>
      <c r="AB2633" s="1"/>
      <c r="AC2633" s="1"/>
      <c r="AD2633" s="1"/>
      <c r="AE2633" s="1"/>
      <c r="AF2633" s="1"/>
      <c r="AG2633" s="1"/>
    </row>
    <row r="2634" ht="15.75" customHeight="1">
      <c r="A2634" s="1"/>
      <c r="B2634" s="1"/>
      <c r="C2634" s="1"/>
      <c r="D2634" s="1"/>
      <c r="E2634" s="1"/>
      <c r="F2634" s="1"/>
      <c r="G2634" s="1"/>
      <c r="H2634" s="1"/>
      <c r="I2634" s="1"/>
      <c r="J2634" s="1"/>
      <c r="K2634" s="102" t="s">
        <v>4760</v>
      </c>
      <c r="L2634" s="102" t="str">
        <f>Q105</f>
        <v>J1a2a1a2d2b2b2c2b~</v>
      </c>
      <c r="M2634" s="102"/>
      <c r="N2634" s="102" t="s">
        <v>4761</v>
      </c>
      <c r="O2634" s="105">
        <v>2.136371E7</v>
      </c>
      <c r="P2634" s="105">
        <v>1.9201824E7</v>
      </c>
      <c r="Q2634" s="102" t="s">
        <v>2501</v>
      </c>
      <c r="S2634" s="1"/>
      <c r="T2634" s="1"/>
      <c r="U2634" s="1"/>
      <c r="V2634" s="1"/>
      <c r="W2634" s="1"/>
      <c r="X2634" s="1"/>
      <c r="Y2634" s="1"/>
      <c r="Z2634" s="102"/>
      <c r="AA2634" s="102"/>
      <c r="AB2634" s="1"/>
      <c r="AC2634" s="1"/>
      <c r="AD2634" s="1"/>
      <c r="AE2634" s="1"/>
      <c r="AF2634" s="1"/>
      <c r="AG2634" s="1"/>
    </row>
    <row r="2635" ht="15.75" customHeight="1">
      <c r="A2635" s="1"/>
      <c r="B2635" s="1"/>
      <c r="C2635" s="1"/>
      <c r="D2635" s="1"/>
      <c r="E2635" s="1"/>
      <c r="F2635" s="1"/>
      <c r="G2635" s="1"/>
      <c r="H2635" s="1"/>
      <c r="I2635" s="1"/>
      <c r="J2635" s="1"/>
      <c r="K2635" s="102" t="s">
        <v>4762</v>
      </c>
      <c r="L2635" s="102" t="str">
        <f>Q105</f>
        <v>J1a2a1a2d2b2b2c2b~</v>
      </c>
      <c r="M2635" s="102" t="s">
        <v>4763</v>
      </c>
      <c r="N2635" s="102" t="s">
        <v>4764</v>
      </c>
      <c r="O2635" s="105">
        <v>1.5572408E7</v>
      </c>
      <c r="P2635" s="105">
        <v>1.3460528E7</v>
      </c>
      <c r="Q2635" s="102" t="s">
        <v>2533</v>
      </c>
      <c r="S2635" s="1"/>
      <c r="T2635" s="1"/>
      <c r="U2635" s="1"/>
      <c r="V2635" s="1"/>
      <c r="W2635" s="1"/>
      <c r="X2635" s="1"/>
      <c r="Y2635" s="1"/>
      <c r="Z2635" s="102"/>
      <c r="AA2635" s="102"/>
      <c r="AB2635" s="1"/>
      <c r="AC2635" s="1"/>
      <c r="AD2635" s="1"/>
      <c r="AE2635" s="1"/>
      <c r="AF2635" s="1"/>
      <c r="AG2635" s="1"/>
    </row>
    <row r="2636" ht="15.75" customHeight="1">
      <c r="A2636" s="1"/>
      <c r="B2636" s="1"/>
      <c r="C2636" s="1"/>
      <c r="D2636" s="1"/>
      <c r="E2636" s="1"/>
      <c r="F2636" s="1"/>
      <c r="G2636" s="1"/>
      <c r="H2636" s="1"/>
      <c r="I2636" s="1"/>
      <c r="J2636" s="1"/>
      <c r="K2636" s="102" t="s">
        <v>4763</v>
      </c>
      <c r="L2636" s="102" t="str">
        <f>Q105</f>
        <v>J1a2a1a2d2b2b2c2b~</v>
      </c>
      <c r="M2636" s="102" t="s">
        <v>4762</v>
      </c>
      <c r="N2636" s="102" t="s">
        <v>4764</v>
      </c>
      <c r="O2636" s="105">
        <v>1.5572408E7</v>
      </c>
      <c r="P2636" s="105">
        <v>1.3460528E7</v>
      </c>
      <c r="Q2636" s="102" t="s">
        <v>2533</v>
      </c>
      <c r="S2636" s="1"/>
      <c r="T2636" s="1"/>
      <c r="U2636" s="1"/>
      <c r="V2636" s="1"/>
      <c r="W2636" s="1"/>
      <c r="X2636" s="1"/>
      <c r="Y2636" s="1"/>
      <c r="Z2636" s="102"/>
      <c r="AA2636" s="102"/>
      <c r="AB2636" s="1"/>
      <c r="AC2636" s="1"/>
      <c r="AD2636" s="1"/>
      <c r="AE2636" s="1"/>
      <c r="AF2636" s="1"/>
      <c r="AG2636" s="1"/>
    </row>
    <row r="2637" ht="15.75" customHeight="1">
      <c r="A2637" s="1"/>
      <c r="B2637" s="1"/>
      <c r="C2637" s="1"/>
      <c r="D2637" s="1"/>
      <c r="E2637" s="1"/>
      <c r="F2637" s="1"/>
      <c r="G2637" s="1"/>
      <c r="H2637" s="1"/>
      <c r="I2637" s="1"/>
      <c r="J2637" s="1"/>
      <c r="K2637" s="102" t="s">
        <v>4765</v>
      </c>
      <c r="L2637" s="102" t="str">
        <f>Q105</f>
        <v>J1a2a1a2d2b2b2c2b~</v>
      </c>
      <c r="M2637" s="102"/>
      <c r="N2637" s="102" t="s">
        <v>4766</v>
      </c>
      <c r="O2637" s="105">
        <v>2.1500341E7</v>
      </c>
      <c r="P2637" s="105">
        <v>1.9338455E7</v>
      </c>
      <c r="Q2637" s="102" t="s">
        <v>2529</v>
      </c>
      <c r="S2637" s="1"/>
      <c r="T2637" s="1"/>
      <c r="U2637" s="1"/>
      <c r="V2637" s="1"/>
      <c r="W2637" s="1"/>
      <c r="X2637" s="1"/>
      <c r="Y2637" s="1"/>
      <c r="Z2637" s="102"/>
      <c r="AA2637" s="102"/>
      <c r="AB2637" s="1"/>
      <c r="AC2637" s="1"/>
      <c r="AD2637" s="1"/>
      <c r="AE2637" s="1"/>
      <c r="AF2637" s="1"/>
      <c r="AG2637" s="1"/>
    </row>
    <row r="2638" ht="15.75" customHeight="1">
      <c r="A2638" s="1"/>
      <c r="B2638" s="1"/>
      <c r="C2638" s="1"/>
      <c r="D2638" s="1"/>
      <c r="E2638" s="1"/>
      <c r="F2638" s="1"/>
      <c r="G2638" s="1"/>
      <c r="H2638" s="1"/>
      <c r="I2638" s="1"/>
      <c r="J2638" s="1"/>
      <c r="K2638" s="102" t="s">
        <v>4767</v>
      </c>
      <c r="L2638" s="102" t="str">
        <f>R106</f>
        <v>J1a2a1a2d2b2b2c2b1~</v>
      </c>
      <c r="M2638" s="102"/>
      <c r="N2638" s="102" t="s">
        <v>4768</v>
      </c>
      <c r="O2638" s="105">
        <v>1.9171882E7</v>
      </c>
      <c r="P2638" s="105">
        <v>1.7060002E7</v>
      </c>
      <c r="Q2638" s="102" t="s">
        <v>2446</v>
      </c>
      <c r="S2638" s="1"/>
      <c r="T2638" s="1"/>
      <c r="U2638" s="1"/>
      <c r="V2638" s="1"/>
      <c r="W2638" s="1"/>
      <c r="X2638" s="1"/>
      <c r="Y2638" s="1"/>
      <c r="Z2638" s="102"/>
      <c r="AA2638" s="102"/>
      <c r="AB2638" s="1"/>
      <c r="AC2638" s="1"/>
      <c r="AD2638" s="1"/>
      <c r="AE2638" s="1"/>
      <c r="AF2638" s="1"/>
      <c r="AG2638" s="1"/>
    </row>
    <row r="2639" ht="15.75" customHeight="1">
      <c r="A2639" s="1"/>
      <c r="B2639" s="1"/>
      <c r="C2639" s="1"/>
      <c r="D2639" s="1"/>
      <c r="E2639" s="1"/>
      <c r="F2639" s="1"/>
      <c r="G2639" s="1"/>
      <c r="H2639" s="1"/>
      <c r="I2639" s="1"/>
      <c r="J2639" s="1"/>
      <c r="K2639" s="102" t="s">
        <v>4769</v>
      </c>
      <c r="L2639" s="102" t="str">
        <f>R106</f>
        <v>J1a2a1a2d2b2b2c2b1~</v>
      </c>
      <c r="M2639" s="102"/>
      <c r="N2639" s="102" t="s">
        <v>4770</v>
      </c>
      <c r="O2639" s="105">
        <v>1.956683E7</v>
      </c>
      <c r="P2639" s="105">
        <v>1.745495E7</v>
      </c>
      <c r="Q2639" s="102" t="s">
        <v>2514</v>
      </c>
      <c r="S2639" s="1"/>
      <c r="T2639" s="1"/>
      <c r="U2639" s="1"/>
      <c r="V2639" s="1"/>
      <c r="W2639" s="1"/>
      <c r="X2639" s="1"/>
      <c r="Y2639" s="1"/>
      <c r="Z2639" s="102"/>
      <c r="AA2639" s="102"/>
      <c r="AB2639" s="1"/>
      <c r="AC2639" s="1"/>
      <c r="AD2639" s="1"/>
      <c r="AE2639" s="1"/>
      <c r="AF2639" s="1"/>
      <c r="AG2639" s="1"/>
    </row>
    <row r="2640" ht="15.75" customHeight="1">
      <c r="A2640" s="1"/>
      <c r="B2640" s="1"/>
      <c r="C2640" s="1"/>
      <c r="D2640" s="1"/>
      <c r="E2640" s="1"/>
      <c r="F2640" s="1"/>
      <c r="G2640" s="1"/>
      <c r="H2640" s="1"/>
      <c r="I2640" s="1"/>
      <c r="J2640" s="1"/>
      <c r="K2640" s="102" t="s">
        <v>183</v>
      </c>
      <c r="L2640" s="102" t="str">
        <f>S107</f>
        <v>J1a2a1a2d2b2b2c2b1a~</v>
      </c>
      <c r="M2640" s="102"/>
      <c r="N2640" s="102" t="s">
        <v>4771</v>
      </c>
      <c r="O2640" s="105">
        <v>7804235.0</v>
      </c>
      <c r="P2640" s="105">
        <v>7936194.0</v>
      </c>
      <c r="Q2640" s="102" t="s">
        <v>2423</v>
      </c>
      <c r="S2640" s="1"/>
      <c r="T2640" s="1"/>
      <c r="U2640" s="1"/>
      <c r="V2640" s="1"/>
      <c r="W2640" s="1"/>
      <c r="X2640" s="1"/>
      <c r="Y2640" s="1"/>
      <c r="Z2640" s="102"/>
      <c r="AA2640" s="102"/>
      <c r="AB2640" s="1"/>
      <c r="AC2640" s="1"/>
      <c r="AD2640" s="1"/>
      <c r="AE2640" s="1"/>
      <c r="AF2640" s="1"/>
      <c r="AG2640" s="1"/>
    </row>
    <row r="2641" ht="15.75" customHeight="1">
      <c r="A2641" s="1"/>
      <c r="B2641" s="1"/>
      <c r="C2641" s="1"/>
      <c r="D2641" s="1"/>
      <c r="E2641" s="1"/>
      <c r="F2641" s="1"/>
      <c r="G2641" s="1"/>
      <c r="H2641" s="1"/>
      <c r="I2641" s="1"/>
      <c r="J2641" s="1"/>
      <c r="K2641" s="102" t="s">
        <v>4772</v>
      </c>
      <c r="L2641" s="102" t="str">
        <f>T108</f>
        <v>J1a2a1a2d2b2b2c2b1a1~</v>
      </c>
      <c r="M2641" s="102" t="s">
        <v>4773</v>
      </c>
      <c r="N2641" s="102"/>
      <c r="O2641" s="105">
        <v>2747020.0</v>
      </c>
      <c r="P2641" s="105">
        <v>2878979.0</v>
      </c>
      <c r="Q2641" s="102" t="s">
        <v>2439</v>
      </c>
      <c r="S2641" s="1"/>
      <c r="T2641" s="1"/>
      <c r="U2641" s="1"/>
      <c r="V2641" s="1"/>
      <c r="W2641" s="1"/>
      <c r="X2641" s="1"/>
      <c r="Y2641" s="1"/>
      <c r="Z2641" s="102"/>
      <c r="AA2641" s="102"/>
      <c r="AB2641" s="1"/>
      <c r="AC2641" s="1"/>
      <c r="AD2641" s="1"/>
      <c r="AE2641" s="1"/>
      <c r="AF2641" s="1"/>
      <c r="AG2641" s="1"/>
    </row>
    <row r="2642" ht="15.75" customHeight="1">
      <c r="A2642" s="1"/>
      <c r="B2642" s="1"/>
      <c r="C2642" s="1"/>
      <c r="D2642" s="1"/>
      <c r="E2642" s="1"/>
      <c r="F2642" s="1"/>
      <c r="G2642" s="1"/>
      <c r="H2642" s="1"/>
      <c r="I2642" s="1"/>
      <c r="J2642" s="1"/>
      <c r="K2642" s="102" t="s">
        <v>4773</v>
      </c>
      <c r="L2642" s="102" t="str">
        <f>T108</f>
        <v>J1a2a1a2d2b2b2c2b1a1~</v>
      </c>
      <c r="M2642" s="102" t="s">
        <v>4772</v>
      </c>
      <c r="N2642" s="102"/>
      <c r="O2642" s="105">
        <v>2747020.0</v>
      </c>
      <c r="P2642" s="105">
        <v>2878979.0</v>
      </c>
      <c r="Q2642" s="102" t="s">
        <v>2439</v>
      </c>
      <c r="S2642" s="1"/>
      <c r="T2642" s="1"/>
      <c r="U2642" s="1"/>
      <c r="V2642" s="1"/>
      <c r="W2642" s="1"/>
      <c r="X2642" s="1"/>
      <c r="Y2642" s="1"/>
      <c r="Z2642" s="102"/>
      <c r="AA2642" s="102"/>
      <c r="AB2642" s="1"/>
      <c r="AC2642" s="1"/>
      <c r="AD2642" s="1"/>
      <c r="AE2642" s="1"/>
      <c r="AF2642" s="1"/>
      <c r="AG2642" s="1"/>
    </row>
    <row r="2643" ht="15.75" customHeight="1">
      <c r="A2643" s="1"/>
      <c r="B2643" s="1"/>
      <c r="C2643" s="1"/>
      <c r="D2643" s="1"/>
      <c r="E2643" s="1"/>
      <c r="F2643" s="1"/>
      <c r="G2643" s="1"/>
      <c r="H2643" s="1"/>
      <c r="I2643" s="1"/>
      <c r="J2643" s="1"/>
      <c r="K2643" s="102" t="s">
        <v>4774</v>
      </c>
      <c r="L2643" s="102" t="str">
        <f t="shared" ref="L2643:L2644" si="24">T108</f>
        <v>J1a2a1a2d2b2b2c2b1a1~</v>
      </c>
      <c r="M2643" s="102"/>
      <c r="N2643" s="102"/>
      <c r="O2643" s="105">
        <v>7739429.0</v>
      </c>
      <c r="P2643" s="105">
        <v>7871388.0</v>
      </c>
      <c r="Q2643" s="102" t="s">
        <v>2439</v>
      </c>
      <c r="S2643" s="1"/>
      <c r="T2643" s="1"/>
      <c r="U2643" s="1"/>
      <c r="V2643" s="1"/>
      <c r="W2643" s="1"/>
      <c r="X2643" s="1"/>
      <c r="Y2643" s="1"/>
      <c r="Z2643" s="102"/>
      <c r="AA2643" s="102"/>
      <c r="AB2643" s="1"/>
      <c r="AC2643" s="1"/>
      <c r="AD2643" s="1"/>
      <c r="AE2643" s="1"/>
      <c r="AF2643" s="1"/>
      <c r="AG2643" s="1"/>
    </row>
    <row r="2644" ht="15.75" customHeight="1">
      <c r="A2644" s="1"/>
      <c r="B2644" s="1"/>
      <c r="C2644" s="1"/>
      <c r="D2644" s="1"/>
      <c r="E2644" s="1"/>
      <c r="F2644" s="1"/>
      <c r="G2644" s="1"/>
      <c r="H2644" s="1"/>
      <c r="I2644" s="1"/>
      <c r="J2644" s="1"/>
      <c r="K2644" s="102" t="s">
        <v>4775</v>
      </c>
      <c r="L2644" s="102" t="str">
        <f t="shared" si="24"/>
        <v>J1a2a1a2d2b2b2c2b1a2~</v>
      </c>
      <c r="M2644" s="102"/>
      <c r="N2644" s="102" t="s">
        <v>4776</v>
      </c>
      <c r="O2644" s="105">
        <v>1.7275594E7</v>
      </c>
      <c r="P2644" s="105">
        <v>1.5163714E7</v>
      </c>
      <c r="Q2644" s="102" t="s">
        <v>2439</v>
      </c>
      <c r="S2644" s="1"/>
      <c r="T2644" s="1"/>
      <c r="U2644" s="1"/>
      <c r="V2644" s="1"/>
      <c r="W2644" s="1"/>
      <c r="X2644" s="1"/>
      <c r="Y2644" s="1"/>
      <c r="Z2644" s="102"/>
      <c r="AA2644" s="102"/>
      <c r="AB2644" s="1"/>
      <c r="AC2644" s="1"/>
      <c r="AD2644" s="1"/>
      <c r="AE2644" s="1"/>
      <c r="AF2644" s="1"/>
      <c r="AG2644" s="1"/>
    </row>
    <row r="2645" ht="15.75" customHeight="1">
      <c r="A2645" s="1"/>
      <c r="B2645" s="1"/>
      <c r="C2645" s="1"/>
      <c r="D2645" s="1"/>
      <c r="E2645" s="1"/>
      <c r="F2645" s="1"/>
      <c r="G2645" s="1"/>
      <c r="H2645" s="1"/>
      <c r="I2645" s="1"/>
      <c r="J2645" s="1"/>
      <c r="K2645" s="102" t="s">
        <v>4777</v>
      </c>
      <c r="L2645" s="102" t="str">
        <f>T109</f>
        <v>J1a2a1a2d2b2b2c2b1a2~</v>
      </c>
      <c r="M2645" s="102"/>
      <c r="N2645" s="102"/>
      <c r="O2645" s="105">
        <v>2.3740869E7</v>
      </c>
      <c r="P2645" s="105">
        <v>2.1578983E7</v>
      </c>
      <c r="Q2645" s="102" t="s">
        <v>2529</v>
      </c>
      <c r="S2645" s="1"/>
      <c r="T2645" s="1"/>
      <c r="U2645" s="1"/>
      <c r="V2645" s="1"/>
      <c r="W2645" s="1"/>
      <c r="X2645" s="1"/>
      <c r="Y2645" s="1"/>
      <c r="Z2645" s="102"/>
      <c r="AA2645" s="102"/>
      <c r="AB2645" s="1"/>
      <c r="AC2645" s="1"/>
      <c r="AD2645" s="1"/>
      <c r="AE2645" s="1"/>
      <c r="AF2645" s="1"/>
      <c r="AG2645" s="1"/>
    </row>
    <row r="2646" ht="15.75" customHeight="1">
      <c r="A2646" s="1"/>
      <c r="B2646" s="1"/>
      <c r="C2646" s="1"/>
      <c r="D2646" s="1"/>
      <c r="E2646" s="1"/>
      <c r="F2646" s="1"/>
      <c r="G2646" s="1"/>
      <c r="H2646" s="1"/>
      <c r="I2646" s="1"/>
      <c r="J2646" s="1"/>
      <c r="K2646" s="102" t="s">
        <v>189</v>
      </c>
      <c r="L2646" s="102" t="str">
        <f>U110</f>
        <v>J1a2a1a2d2b2b2c2b1a2a~</v>
      </c>
      <c r="M2646" s="102"/>
      <c r="N2646" s="102"/>
      <c r="O2646" s="105">
        <v>1.4340276E7</v>
      </c>
      <c r="P2646" s="105">
        <v>1.2219571E7</v>
      </c>
      <c r="Q2646" s="102" t="s">
        <v>2533</v>
      </c>
      <c r="S2646" s="1"/>
      <c r="T2646" s="1"/>
      <c r="U2646" s="1"/>
      <c r="V2646" s="1"/>
      <c r="W2646" s="1"/>
      <c r="X2646" s="1"/>
      <c r="Y2646" s="1"/>
      <c r="Z2646" s="102"/>
      <c r="AA2646" s="102"/>
      <c r="AB2646" s="1"/>
      <c r="AC2646" s="1"/>
      <c r="AD2646" s="1"/>
      <c r="AE2646" s="1"/>
      <c r="AF2646" s="1"/>
      <c r="AG2646" s="1"/>
    </row>
    <row r="2647" ht="15.75" customHeight="1">
      <c r="A2647" s="1"/>
      <c r="B2647" s="1"/>
      <c r="C2647" s="1"/>
      <c r="D2647" s="1"/>
      <c r="E2647" s="1"/>
      <c r="F2647" s="1"/>
      <c r="G2647" s="1"/>
      <c r="H2647" s="1"/>
      <c r="I2647" s="1"/>
      <c r="J2647" s="1"/>
      <c r="K2647" s="102" t="s">
        <v>191</v>
      </c>
      <c r="L2647" s="102" t="str">
        <f>V111</f>
        <v>J1a2a1a2d2b2b2c2b1a2a1~</v>
      </c>
      <c r="M2647" s="102"/>
      <c r="N2647" s="102"/>
      <c r="O2647" s="105">
        <v>7179766.0</v>
      </c>
      <c r="P2647" s="105">
        <v>7311725.0</v>
      </c>
      <c r="Q2647" s="102" t="s">
        <v>2576</v>
      </c>
      <c r="S2647" s="1"/>
      <c r="T2647" s="1"/>
      <c r="U2647" s="1"/>
      <c r="V2647" s="1"/>
      <c r="W2647" s="1"/>
      <c r="X2647" s="1"/>
      <c r="Y2647" s="1"/>
      <c r="Z2647" s="102"/>
      <c r="AA2647" s="102"/>
      <c r="AB2647" s="1"/>
      <c r="AC2647" s="1"/>
      <c r="AD2647" s="1"/>
      <c r="AE2647" s="1"/>
      <c r="AF2647" s="1"/>
      <c r="AG2647" s="1"/>
    </row>
    <row r="2648" ht="15.75" customHeight="1">
      <c r="A2648" s="1"/>
      <c r="B2648" s="1"/>
      <c r="C2648" s="1"/>
      <c r="D2648" s="1"/>
      <c r="E2648" s="1"/>
      <c r="F2648" s="1"/>
      <c r="G2648" s="1"/>
      <c r="H2648" s="1"/>
      <c r="I2648" s="1"/>
      <c r="J2648" s="1"/>
      <c r="K2648" s="102" t="s">
        <v>4778</v>
      </c>
      <c r="L2648" s="102" t="str">
        <f>R112</f>
        <v>J1a2a1a2d2b2b2c2b2~</v>
      </c>
      <c r="M2648" s="102" t="s">
        <v>4779</v>
      </c>
      <c r="N2648" s="102" t="s">
        <v>4780</v>
      </c>
      <c r="O2648" s="105">
        <v>1.4338283E7</v>
      </c>
      <c r="P2648" s="105">
        <v>1.2217578E7</v>
      </c>
      <c r="Q2648" s="102" t="s">
        <v>2439</v>
      </c>
      <c r="S2648" s="1"/>
      <c r="T2648" s="1"/>
      <c r="U2648" s="1"/>
      <c r="V2648" s="1"/>
      <c r="W2648" s="1"/>
      <c r="X2648" s="1"/>
      <c r="Y2648" s="1"/>
      <c r="Z2648" s="102"/>
      <c r="AA2648" s="102"/>
      <c r="AB2648" s="1"/>
      <c r="AC2648" s="1"/>
      <c r="AD2648" s="1"/>
      <c r="AE2648" s="1"/>
      <c r="AF2648" s="1"/>
      <c r="AG2648" s="1"/>
    </row>
    <row r="2649" ht="15.75" customHeight="1">
      <c r="A2649" s="1"/>
      <c r="B2649" s="1"/>
      <c r="C2649" s="1"/>
      <c r="D2649" s="1"/>
      <c r="E2649" s="1"/>
      <c r="F2649" s="1"/>
      <c r="G2649" s="1"/>
      <c r="H2649" s="1"/>
      <c r="I2649" s="1"/>
      <c r="J2649" s="1"/>
      <c r="K2649" s="102" t="s">
        <v>4781</v>
      </c>
      <c r="L2649" s="102" t="str">
        <f>R112</f>
        <v>J1a2a1a2d2b2b2c2b2~</v>
      </c>
      <c r="M2649" s="102" t="s">
        <v>4782</v>
      </c>
      <c r="N2649" s="102" t="s">
        <v>4780</v>
      </c>
      <c r="O2649" s="105">
        <v>1.4338283E7</v>
      </c>
      <c r="P2649" s="105">
        <v>1.2217578E7</v>
      </c>
      <c r="Q2649" s="102" t="s">
        <v>2439</v>
      </c>
      <c r="S2649" s="1"/>
      <c r="T2649" s="1"/>
      <c r="U2649" s="1"/>
      <c r="V2649" s="1"/>
      <c r="W2649" s="1"/>
      <c r="X2649" s="1"/>
      <c r="Y2649" s="1"/>
      <c r="Z2649" s="102"/>
      <c r="AA2649" s="102"/>
      <c r="AB2649" s="1"/>
      <c r="AC2649" s="1"/>
      <c r="AD2649" s="1"/>
      <c r="AE2649" s="1"/>
      <c r="AF2649" s="1"/>
      <c r="AG2649" s="1"/>
    </row>
    <row r="2650" ht="15.75" customHeight="1">
      <c r="A2650" s="1"/>
      <c r="B2650" s="1"/>
      <c r="C2650" s="1"/>
      <c r="D2650" s="1"/>
      <c r="E2650" s="1"/>
      <c r="F2650" s="1"/>
      <c r="G2650" s="1"/>
      <c r="H2650" s="1"/>
      <c r="I2650" s="1"/>
      <c r="J2650" s="1"/>
      <c r="K2650" s="102" t="s">
        <v>4783</v>
      </c>
      <c r="L2650" s="102" t="str">
        <f>R112</f>
        <v>J1a2a1a2d2b2b2c2b2~</v>
      </c>
      <c r="M2650" s="102" t="s">
        <v>4784</v>
      </c>
      <c r="N2650" s="102" t="s">
        <v>4780</v>
      </c>
      <c r="O2650" s="105">
        <v>1.4338283E7</v>
      </c>
      <c r="P2650" s="105">
        <v>1.2217578E7</v>
      </c>
      <c r="Q2650" s="102" t="s">
        <v>2439</v>
      </c>
      <c r="S2650" s="1"/>
      <c r="T2650" s="1"/>
      <c r="U2650" s="1"/>
      <c r="V2650" s="1"/>
      <c r="W2650" s="1"/>
      <c r="X2650" s="1"/>
      <c r="Y2650" s="1"/>
      <c r="Z2650" s="102"/>
      <c r="AA2650" s="102"/>
      <c r="AB2650" s="1"/>
      <c r="AC2650" s="1"/>
      <c r="AD2650" s="1"/>
      <c r="AE2650" s="1"/>
      <c r="AF2650" s="1"/>
      <c r="AG2650" s="1"/>
    </row>
    <row r="2651" ht="15.75" customHeight="1">
      <c r="A2651" s="1"/>
      <c r="B2651" s="1"/>
      <c r="C2651" s="1"/>
      <c r="D2651" s="1"/>
      <c r="E2651" s="1"/>
      <c r="F2651" s="1"/>
      <c r="G2651" s="1"/>
      <c r="H2651" s="1"/>
      <c r="I2651" s="1"/>
      <c r="J2651" s="1"/>
      <c r="K2651" s="102" t="s">
        <v>4785</v>
      </c>
      <c r="L2651" s="102" t="str">
        <f>R112</f>
        <v>J1a2a1a2d2b2b2c2b2~</v>
      </c>
      <c r="M2651" s="102" t="s">
        <v>4786</v>
      </c>
      <c r="N2651" s="102" t="s">
        <v>4780</v>
      </c>
      <c r="O2651" s="105">
        <v>1.4338283E7</v>
      </c>
      <c r="P2651" s="105">
        <v>1.2217578E7</v>
      </c>
      <c r="Q2651" s="102" t="s">
        <v>2439</v>
      </c>
      <c r="S2651" s="1"/>
      <c r="T2651" s="1"/>
      <c r="U2651" s="1"/>
      <c r="V2651" s="1"/>
      <c r="W2651" s="1"/>
      <c r="X2651" s="1"/>
      <c r="Y2651" s="1"/>
      <c r="Z2651" s="102"/>
      <c r="AA2651" s="102"/>
      <c r="AB2651" s="1"/>
      <c r="AC2651" s="1"/>
      <c r="AD2651" s="1"/>
      <c r="AE2651" s="1"/>
      <c r="AF2651" s="1"/>
      <c r="AG2651" s="1"/>
    </row>
    <row r="2652" ht="15.75" customHeight="1">
      <c r="A2652" s="1"/>
      <c r="B2652" s="1"/>
      <c r="C2652" s="1"/>
      <c r="D2652" s="1"/>
      <c r="E2652" s="1"/>
      <c r="F2652" s="1"/>
      <c r="G2652" s="1"/>
      <c r="H2652" s="1"/>
      <c r="I2652" s="1"/>
      <c r="J2652" s="1"/>
      <c r="K2652" s="102" t="s">
        <v>4787</v>
      </c>
      <c r="L2652" s="102" t="str">
        <f>R112</f>
        <v>J1a2a1a2d2b2b2c2b2~</v>
      </c>
      <c r="M2652" s="102" t="s">
        <v>4788</v>
      </c>
      <c r="N2652" s="102" t="s">
        <v>4789</v>
      </c>
      <c r="O2652" s="105">
        <v>1.6424043E7</v>
      </c>
      <c r="P2652" s="105">
        <v>1.4312163E7</v>
      </c>
      <c r="Q2652" s="102" t="s">
        <v>2446</v>
      </c>
      <c r="S2652" s="1"/>
      <c r="T2652" s="1"/>
      <c r="U2652" s="1"/>
      <c r="V2652" s="1"/>
      <c r="W2652" s="1"/>
      <c r="X2652" s="1"/>
      <c r="Y2652" s="1"/>
      <c r="Z2652" s="102"/>
      <c r="AA2652" s="102"/>
      <c r="AB2652" s="1"/>
      <c r="AC2652" s="1"/>
      <c r="AD2652" s="1"/>
      <c r="AE2652" s="1"/>
      <c r="AF2652" s="1"/>
      <c r="AG2652" s="1"/>
    </row>
    <row r="2653" ht="15.75" customHeight="1">
      <c r="A2653" s="1"/>
      <c r="B2653" s="1"/>
      <c r="C2653" s="1"/>
      <c r="D2653" s="1"/>
      <c r="E2653" s="1"/>
      <c r="F2653" s="1"/>
      <c r="G2653" s="1"/>
      <c r="H2653" s="1"/>
      <c r="I2653" s="1"/>
      <c r="J2653" s="1"/>
      <c r="K2653" s="102" t="s">
        <v>4788</v>
      </c>
      <c r="L2653" s="102" t="str">
        <f>R112</f>
        <v>J1a2a1a2d2b2b2c2b2~</v>
      </c>
      <c r="M2653" s="102" t="s">
        <v>4787</v>
      </c>
      <c r="N2653" s="102" t="s">
        <v>4789</v>
      </c>
      <c r="O2653" s="105">
        <v>1.6424043E7</v>
      </c>
      <c r="P2653" s="105">
        <v>1.4312163E7</v>
      </c>
      <c r="Q2653" s="102" t="s">
        <v>2446</v>
      </c>
      <c r="S2653" s="1"/>
      <c r="T2653" s="1"/>
      <c r="U2653" s="1"/>
      <c r="V2653" s="1"/>
      <c r="W2653" s="1"/>
      <c r="X2653" s="1"/>
      <c r="Y2653" s="1"/>
      <c r="Z2653" s="102"/>
      <c r="AA2653" s="102"/>
      <c r="AB2653" s="1"/>
      <c r="AC2653" s="1"/>
      <c r="AD2653" s="1"/>
      <c r="AE2653" s="1"/>
      <c r="AF2653" s="1"/>
      <c r="AG2653" s="1"/>
    </row>
    <row r="2654" ht="15.75" customHeight="1">
      <c r="A2654" s="1"/>
      <c r="B2654" s="1"/>
      <c r="C2654" s="1"/>
      <c r="D2654" s="1"/>
      <c r="E2654" s="1"/>
      <c r="F2654" s="1"/>
      <c r="G2654" s="1"/>
      <c r="H2654" s="1"/>
      <c r="I2654" s="1"/>
      <c r="J2654" s="1"/>
      <c r="K2654" s="102" t="s">
        <v>4790</v>
      </c>
      <c r="L2654" s="102" t="str">
        <f>R112</f>
        <v>J1a2a1a2d2b2b2c2b2~</v>
      </c>
      <c r="M2654" s="102" t="s">
        <v>4791</v>
      </c>
      <c r="N2654" s="102" t="s">
        <v>4792</v>
      </c>
      <c r="O2654" s="105">
        <v>1.7028627E7</v>
      </c>
      <c r="P2654" s="105">
        <v>1.4916747E7</v>
      </c>
      <c r="Q2654" s="102" t="s">
        <v>2501</v>
      </c>
      <c r="S2654" s="1"/>
      <c r="T2654" s="1"/>
      <c r="U2654" s="1"/>
      <c r="V2654" s="1"/>
      <c r="W2654" s="1"/>
      <c r="X2654" s="1"/>
      <c r="Y2654" s="1"/>
      <c r="Z2654" s="102"/>
      <c r="AA2654" s="102"/>
      <c r="AB2654" s="1"/>
      <c r="AC2654" s="1"/>
      <c r="AD2654" s="1"/>
      <c r="AE2654" s="1"/>
      <c r="AF2654" s="1"/>
      <c r="AG2654" s="1"/>
    </row>
    <row r="2655" ht="15.75" customHeight="1">
      <c r="A2655" s="1"/>
      <c r="B2655" s="1"/>
      <c r="C2655" s="1"/>
      <c r="D2655" s="1"/>
      <c r="E2655" s="1"/>
      <c r="F2655" s="1"/>
      <c r="G2655" s="1"/>
      <c r="H2655" s="1"/>
      <c r="I2655" s="1"/>
      <c r="J2655" s="1"/>
      <c r="K2655" s="102" t="s">
        <v>4793</v>
      </c>
      <c r="L2655" s="102" t="str">
        <f>R112</f>
        <v>J1a2a1a2d2b2b2c2b2~</v>
      </c>
      <c r="M2655" s="102" t="s">
        <v>4794</v>
      </c>
      <c r="N2655" s="102" t="s">
        <v>4792</v>
      </c>
      <c r="O2655" s="105">
        <v>1.7028627E7</v>
      </c>
      <c r="P2655" s="105">
        <v>1.4916747E7</v>
      </c>
      <c r="Q2655" s="102" t="s">
        <v>2501</v>
      </c>
      <c r="S2655" s="1"/>
      <c r="T2655" s="1"/>
      <c r="U2655" s="1"/>
      <c r="V2655" s="1"/>
      <c r="W2655" s="1"/>
      <c r="X2655" s="1"/>
      <c r="Y2655" s="1"/>
      <c r="Z2655" s="102"/>
      <c r="AA2655" s="102"/>
      <c r="AB2655" s="1"/>
      <c r="AC2655" s="1"/>
      <c r="AD2655" s="1"/>
      <c r="AE2655" s="1"/>
      <c r="AF2655" s="1"/>
      <c r="AG2655" s="1"/>
    </row>
    <row r="2656" ht="15.75" customHeight="1">
      <c r="A2656" s="1"/>
      <c r="B2656" s="1"/>
      <c r="C2656" s="1"/>
      <c r="D2656" s="1"/>
      <c r="E2656" s="1"/>
      <c r="F2656" s="1"/>
      <c r="G2656" s="1"/>
      <c r="H2656" s="1"/>
      <c r="I2656" s="1"/>
      <c r="J2656" s="1"/>
      <c r="K2656" s="102" t="s">
        <v>4795</v>
      </c>
      <c r="L2656" s="102" t="str">
        <f>R112</f>
        <v>J1a2a1a2d2b2b2c2b2~</v>
      </c>
      <c r="M2656" s="102" t="s">
        <v>4796</v>
      </c>
      <c r="N2656" s="102" t="s">
        <v>4792</v>
      </c>
      <c r="O2656" s="105">
        <v>1.7028627E7</v>
      </c>
      <c r="P2656" s="105">
        <v>1.4916747E7</v>
      </c>
      <c r="Q2656" s="102" t="s">
        <v>2501</v>
      </c>
      <c r="S2656" s="1"/>
      <c r="T2656" s="1"/>
      <c r="U2656" s="1"/>
      <c r="V2656" s="1"/>
      <c r="W2656" s="1"/>
      <c r="X2656" s="1"/>
      <c r="Y2656" s="1"/>
      <c r="Z2656" s="102"/>
      <c r="AA2656" s="102"/>
      <c r="AB2656" s="1"/>
      <c r="AC2656" s="1"/>
      <c r="AD2656" s="1"/>
      <c r="AE2656" s="1"/>
      <c r="AF2656" s="1"/>
      <c r="AG2656" s="1"/>
    </row>
    <row r="2657" ht="15.75" customHeight="1">
      <c r="A2657" s="1"/>
      <c r="B2657" s="1"/>
      <c r="C2657" s="1"/>
      <c r="D2657" s="1"/>
      <c r="E2657" s="1"/>
      <c r="F2657" s="1"/>
      <c r="G2657" s="1"/>
      <c r="H2657" s="1"/>
      <c r="I2657" s="1"/>
      <c r="J2657" s="1"/>
      <c r="K2657" s="102" t="s">
        <v>4797</v>
      </c>
      <c r="L2657" s="102" t="str">
        <f>R112</f>
        <v>J1a2a1a2d2b2b2c2b2~</v>
      </c>
      <c r="M2657" s="102" t="s">
        <v>4798</v>
      </c>
      <c r="N2657" s="102"/>
      <c r="O2657" s="105">
        <v>1.8147815E7</v>
      </c>
      <c r="P2657" s="105">
        <v>1.6035935E7</v>
      </c>
      <c r="Q2657" s="102" t="s">
        <v>2501</v>
      </c>
      <c r="S2657" s="1"/>
      <c r="T2657" s="1"/>
      <c r="U2657" s="1"/>
      <c r="V2657" s="1"/>
      <c r="W2657" s="1"/>
      <c r="X2657" s="1"/>
      <c r="Y2657" s="1"/>
      <c r="Z2657" s="102"/>
      <c r="AA2657" s="102"/>
      <c r="AB2657" s="1"/>
      <c r="AC2657" s="1"/>
      <c r="AD2657" s="1"/>
      <c r="AE2657" s="1"/>
      <c r="AF2657" s="1"/>
      <c r="AG2657" s="1"/>
    </row>
    <row r="2658" ht="15.75" customHeight="1">
      <c r="A2658" s="1"/>
      <c r="B2658" s="1"/>
      <c r="C2658" s="1"/>
      <c r="D2658" s="1"/>
      <c r="E2658" s="1"/>
      <c r="F2658" s="1"/>
      <c r="G2658" s="1"/>
      <c r="H2658" s="1"/>
      <c r="I2658" s="1"/>
      <c r="J2658" s="1"/>
      <c r="K2658" s="102" t="s">
        <v>4799</v>
      </c>
      <c r="L2658" s="102" t="str">
        <f>R112</f>
        <v>J1a2a1a2d2b2b2c2b2~</v>
      </c>
      <c r="M2658" s="102" t="s">
        <v>4800</v>
      </c>
      <c r="N2658" s="102"/>
      <c r="O2658" s="105">
        <v>1.8147815E7</v>
      </c>
      <c r="P2658" s="105">
        <v>1.6035935E7</v>
      </c>
      <c r="Q2658" s="102" t="s">
        <v>2501</v>
      </c>
      <c r="S2658" s="1"/>
      <c r="T2658" s="1"/>
      <c r="U2658" s="1"/>
      <c r="V2658" s="1"/>
      <c r="W2658" s="1"/>
      <c r="X2658" s="1"/>
      <c r="Y2658" s="1"/>
      <c r="Z2658" s="102"/>
      <c r="AA2658" s="102"/>
      <c r="AB2658" s="1"/>
      <c r="AC2658" s="1"/>
      <c r="AD2658" s="1"/>
      <c r="AE2658" s="1"/>
      <c r="AF2658" s="1"/>
      <c r="AG2658" s="1"/>
    </row>
    <row r="2659" ht="15.75" customHeight="1">
      <c r="A2659" s="1"/>
      <c r="B2659" s="1"/>
      <c r="C2659" s="1"/>
      <c r="D2659" s="1"/>
      <c r="E2659" s="1"/>
      <c r="F2659" s="1"/>
      <c r="G2659" s="1"/>
      <c r="H2659" s="1"/>
      <c r="I2659" s="1"/>
      <c r="J2659" s="1"/>
      <c r="K2659" s="102" t="s">
        <v>4801</v>
      </c>
      <c r="L2659" s="102" t="str">
        <f>R112</f>
        <v>J1a2a1a2d2b2b2c2b2~</v>
      </c>
      <c r="M2659" s="102" t="s">
        <v>4802</v>
      </c>
      <c r="N2659" s="102"/>
      <c r="O2659" s="105">
        <v>1.8147815E7</v>
      </c>
      <c r="P2659" s="105">
        <v>1.6035935E7</v>
      </c>
      <c r="Q2659" s="102" t="s">
        <v>2501</v>
      </c>
      <c r="S2659" s="1"/>
      <c r="T2659" s="1"/>
      <c r="U2659" s="1"/>
      <c r="V2659" s="1"/>
      <c r="W2659" s="1"/>
      <c r="X2659" s="1"/>
      <c r="Y2659" s="1"/>
      <c r="Z2659" s="102"/>
      <c r="AA2659" s="102"/>
      <c r="AB2659" s="1"/>
      <c r="AC2659" s="1"/>
      <c r="AD2659" s="1"/>
      <c r="AE2659" s="1"/>
      <c r="AF2659" s="1"/>
      <c r="AG2659" s="1"/>
    </row>
    <row r="2660" ht="15.75" customHeight="1">
      <c r="A2660" s="1"/>
      <c r="B2660" s="1"/>
      <c r="C2660" s="1"/>
      <c r="D2660" s="1"/>
      <c r="E2660" s="1"/>
      <c r="F2660" s="1"/>
      <c r="G2660" s="1"/>
      <c r="H2660" s="1"/>
      <c r="I2660" s="1"/>
      <c r="J2660" s="1"/>
      <c r="K2660" s="102" t="s">
        <v>4803</v>
      </c>
      <c r="L2660" s="102" t="str">
        <f>R112</f>
        <v>J1a2a1a2d2b2b2c2b2~</v>
      </c>
      <c r="M2660" s="102" t="s">
        <v>4804</v>
      </c>
      <c r="N2660" s="102" t="s">
        <v>4805</v>
      </c>
      <c r="O2660" s="105">
        <v>1.9483861E7</v>
      </c>
      <c r="P2660" s="105">
        <v>1.7371981E7</v>
      </c>
      <c r="Q2660" s="102" t="s">
        <v>2468</v>
      </c>
      <c r="S2660" s="1"/>
      <c r="T2660" s="1"/>
      <c r="U2660" s="1"/>
      <c r="V2660" s="1"/>
      <c r="W2660" s="1"/>
      <c r="X2660" s="1"/>
      <c r="Y2660" s="1"/>
      <c r="Z2660" s="102"/>
      <c r="AA2660" s="102"/>
      <c r="AB2660" s="1"/>
      <c r="AC2660" s="1"/>
      <c r="AD2660" s="1"/>
      <c r="AE2660" s="1"/>
      <c r="AF2660" s="1"/>
      <c r="AG2660" s="1"/>
    </row>
    <row r="2661" ht="15.75" customHeight="1">
      <c r="A2661" s="1"/>
      <c r="B2661" s="1"/>
      <c r="C2661" s="1"/>
      <c r="D2661" s="1"/>
      <c r="E2661" s="1"/>
      <c r="F2661" s="1"/>
      <c r="G2661" s="1"/>
      <c r="H2661" s="1"/>
      <c r="I2661" s="1"/>
      <c r="J2661" s="1"/>
      <c r="K2661" s="102" t="s">
        <v>4806</v>
      </c>
      <c r="L2661" s="102" t="str">
        <f>R112</f>
        <v>J1a2a1a2d2b2b2c2b2~</v>
      </c>
      <c r="M2661" s="102" t="s">
        <v>4807</v>
      </c>
      <c r="N2661" s="102" t="s">
        <v>4805</v>
      </c>
      <c r="O2661" s="105">
        <v>1.9483861E7</v>
      </c>
      <c r="P2661" s="105">
        <v>1.7371981E7</v>
      </c>
      <c r="Q2661" s="102" t="s">
        <v>2468</v>
      </c>
      <c r="S2661" s="1"/>
      <c r="T2661" s="1"/>
      <c r="U2661" s="1"/>
      <c r="V2661" s="1"/>
      <c r="W2661" s="1"/>
      <c r="X2661" s="1"/>
      <c r="Y2661" s="1"/>
      <c r="Z2661" s="102"/>
      <c r="AA2661" s="102"/>
      <c r="AB2661" s="1"/>
      <c r="AC2661" s="1"/>
      <c r="AD2661" s="1"/>
      <c r="AE2661" s="1"/>
      <c r="AF2661" s="1"/>
      <c r="AG2661" s="1"/>
    </row>
    <row r="2662" ht="15.75" customHeight="1">
      <c r="A2662" s="1"/>
      <c r="B2662" s="1"/>
      <c r="C2662" s="1"/>
      <c r="D2662" s="1"/>
      <c r="E2662" s="1"/>
      <c r="F2662" s="1"/>
      <c r="G2662" s="1"/>
      <c r="H2662" s="1"/>
      <c r="I2662" s="1"/>
      <c r="J2662" s="1"/>
      <c r="K2662" s="102" t="s">
        <v>4808</v>
      </c>
      <c r="L2662" s="102" t="str">
        <f>R112</f>
        <v>J1a2a1a2d2b2b2c2b2~</v>
      </c>
      <c r="M2662" s="102" t="s">
        <v>4809</v>
      </c>
      <c r="N2662" s="102" t="s">
        <v>4805</v>
      </c>
      <c r="O2662" s="105">
        <v>1.9483861E7</v>
      </c>
      <c r="P2662" s="105">
        <v>1.7371981E7</v>
      </c>
      <c r="Q2662" s="102" t="s">
        <v>2468</v>
      </c>
      <c r="S2662" s="1"/>
      <c r="T2662" s="1"/>
      <c r="U2662" s="1"/>
      <c r="V2662" s="1"/>
      <c r="W2662" s="1"/>
      <c r="X2662" s="1"/>
      <c r="Y2662" s="1"/>
      <c r="Z2662" s="102"/>
      <c r="AA2662" s="102"/>
      <c r="AB2662" s="1"/>
      <c r="AC2662" s="1"/>
      <c r="AD2662" s="1"/>
      <c r="AE2662" s="1"/>
      <c r="AF2662" s="1"/>
      <c r="AG2662" s="1"/>
    </row>
    <row r="2663" ht="15.75" customHeight="1">
      <c r="A2663" s="1"/>
      <c r="B2663" s="1"/>
      <c r="C2663" s="1"/>
      <c r="D2663" s="1"/>
      <c r="E2663" s="1"/>
      <c r="F2663" s="1"/>
      <c r="G2663" s="1"/>
      <c r="H2663" s="1"/>
      <c r="I2663" s="1"/>
      <c r="J2663" s="1"/>
      <c r="K2663" s="102" t="s">
        <v>4810</v>
      </c>
      <c r="L2663" s="102" t="str">
        <f>S113</f>
        <v>J1a2a1a2d2b2b2c2b2a~</v>
      </c>
      <c r="M2663" s="106" t="s">
        <v>4811</v>
      </c>
      <c r="N2663" s="102" t="s">
        <v>4812</v>
      </c>
      <c r="O2663" s="105">
        <v>1.8601193E7</v>
      </c>
      <c r="P2663" s="105">
        <v>1.6489313E7</v>
      </c>
      <c r="Q2663" s="102" t="s">
        <v>2533</v>
      </c>
      <c r="S2663" s="1"/>
      <c r="T2663" s="1"/>
      <c r="U2663" s="1"/>
      <c r="V2663" s="1"/>
      <c r="W2663" s="1"/>
      <c r="X2663" s="1"/>
      <c r="Y2663" s="1"/>
      <c r="Z2663" s="102"/>
      <c r="AA2663" s="102"/>
      <c r="AB2663" s="1"/>
      <c r="AC2663" s="1"/>
      <c r="AD2663" s="1"/>
      <c r="AE2663" s="1"/>
      <c r="AF2663" s="1"/>
      <c r="AG2663" s="1"/>
    </row>
    <row r="2664" ht="15.75" customHeight="1">
      <c r="A2664" s="1"/>
      <c r="B2664" s="1"/>
      <c r="C2664" s="1"/>
      <c r="D2664" s="1"/>
      <c r="E2664" s="1"/>
      <c r="F2664" s="1"/>
      <c r="G2664" s="1"/>
      <c r="H2664" s="1"/>
      <c r="I2664" s="1"/>
      <c r="J2664" s="1"/>
      <c r="K2664" s="106" t="s">
        <v>4811</v>
      </c>
      <c r="L2664" s="102" t="str">
        <f>S113</f>
        <v>J1a2a1a2d2b2b2c2b2a~</v>
      </c>
      <c r="M2664" s="102" t="s">
        <v>4810</v>
      </c>
      <c r="N2664" s="102" t="s">
        <v>4812</v>
      </c>
      <c r="O2664" s="105">
        <v>1.8601193E7</v>
      </c>
      <c r="P2664" s="105">
        <v>1.6489313E7</v>
      </c>
      <c r="Q2664" s="102" t="s">
        <v>2533</v>
      </c>
      <c r="S2664" s="1"/>
      <c r="T2664" s="1"/>
      <c r="U2664" s="1"/>
      <c r="V2664" s="1"/>
      <c r="W2664" s="1"/>
      <c r="X2664" s="1"/>
      <c r="Y2664" s="1"/>
      <c r="Z2664" s="102"/>
      <c r="AA2664" s="102"/>
      <c r="AB2664" s="1"/>
      <c r="AC2664" s="1"/>
      <c r="AD2664" s="1"/>
      <c r="AE2664" s="1"/>
      <c r="AF2664" s="1"/>
      <c r="AG2664" s="1"/>
    </row>
    <row r="2665" ht="15.75" customHeight="1">
      <c r="A2665" s="1"/>
      <c r="B2665" s="1"/>
      <c r="C2665" s="1"/>
      <c r="D2665" s="1"/>
      <c r="E2665" s="1"/>
      <c r="F2665" s="1"/>
      <c r="G2665" s="1"/>
      <c r="H2665" s="1"/>
      <c r="I2665" s="1"/>
      <c r="J2665" s="1"/>
      <c r="K2665" s="102" t="s">
        <v>4813</v>
      </c>
      <c r="L2665" s="102" t="str">
        <f>S113</f>
        <v>J1a2a1a2d2b2b2c2b2a~</v>
      </c>
      <c r="M2665" s="102" t="s">
        <v>4814</v>
      </c>
      <c r="N2665" s="102" t="s">
        <v>4815</v>
      </c>
      <c r="O2665" s="105">
        <v>2.1826202E7</v>
      </c>
      <c r="P2665" s="105">
        <v>1.9664316E7</v>
      </c>
      <c r="Q2665" s="102" t="s">
        <v>2439</v>
      </c>
      <c r="S2665" s="1"/>
      <c r="T2665" s="1"/>
      <c r="U2665" s="1"/>
      <c r="V2665" s="1"/>
      <c r="W2665" s="1"/>
      <c r="X2665" s="1"/>
      <c r="Y2665" s="1"/>
      <c r="Z2665" s="102"/>
      <c r="AA2665" s="102"/>
      <c r="AB2665" s="1"/>
      <c r="AC2665" s="1"/>
      <c r="AD2665" s="1"/>
      <c r="AE2665" s="1"/>
      <c r="AF2665" s="1"/>
      <c r="AG2665" s="1"/>
    </row>
    <row r="2666" ht="15.75" customHeight="1">
      <c r="A2666" s="1"/>
      <c r="B2666" s="1"/>
      <c r="C2666" s="1"/>
      <c r="D2666" s="1"/>
      <c r="E2666" s="1"/>
      <c r="F2666" s="1"/>
      <c r="G2666" s="1"/>
      <c r="H2666" s="1"/>
      <c r="I2666" s="1"/>
      <c r="J2666" s="1"/>
      <c r="K2666" s="102" t="s">
        <v>4816</v>
      </c>
      <c r="L2666" s="102" t="str">
        <f>S113</f>
        <v>J1a2a1a2d2b2b2c2b2a~</v>
      </c>
      <c r="M2666" s="102" t="s">
        <v>4817</v>
      </c>
      <c r="N2666" s="102" t="s">
        <v>4815</v>
      </c>
      <c r="O2666" s="105">
        <v>2.1826202E7</v>
      </c>
      <c r="P2666" s="105">
        <v>1.9664316E7</v>
      </c>
      <c r="Q2666" s="102" t="s">
        <v>2439</v>
      </c>
      <c r="S2666" s="1"/>
      <c r="T2666" s="1"/>
      <c r="U2666" s="1"/>
      <c r="V2666" s="1"/>
      <c r="W2666" s="1"/>
      <c r="X2666" s="1"/>
      <c r="Y2666" s="1"/>
      <c r="Z2666" s="102"/>
      <c r="AA2666" s="102"/>
      <c r="AB2666" s="1"/>
      <c r="AC2666" s="1"/>
      <c r="AD2666" s="1"/>
      <c r="AE2666" s="1"/>
      <c r="AF2666" s="1"/>
      <c r="AG2666" s="1"/>
    </row>
    <row r="2667" ht="15.75" customHeight="1">
      <c r="A2667" s="1"/>
      <c r="B2667" s="1"/>
      <c r="C2667" s="1"/>
      <c r="D2667" s="1"/>
      <c r="E2667" s="1"/>
      <c r="F2667" s="1"/>
      <c r="G2667" s="1"/>
      <c r="H2667" s="1"/>
      <c r="I2667" s="1"/>
      <c r="J2667" s="1"/>
      <c r="K2667" s="102" t="s">
        <v>4818</v>
      </c>
      <c r="L2667" s="102" t="str">
        <f>S113</f>
        <v>J1a2a1a2d2b2b2c2b2a~</v>
      </c>
      <c r="M2667" s="102" t="s">
        <v>4819</v>
      </c>
      <c r="N2667" s="102" t="s">
        <v>4815</v>
      </c>
      <c r="O2667" s="105">
        <v>2.1826202E7</v>
      </c>
      <c r="P2667" s="105">
        <v>1.9664316E7</v>
      </c>
      <c r="Q2667" s="102" t="s">
        <v>2439</v>
      </c>
      <c r="S2667" s="1"/>
      <c r="T2667" s="1"/>
      <c r="U2667" s="1"/>
      <c r="V2667" s="1"/>
      <c r="W2667" s="1"/>
      <c r="X2667" s="1"/>
      <c r="Y2667" s="1"/>
      <c r="Z2667" s="102"/>
      <c r="AA2667" s="102"/>
      <c r="AB2667" s="1"/>
      <c r="AC2667" s="1"/>
      <c r="AD2667" s="1"/>
      <c r="AE2667" s="1"/>
      <c r="AF2667" s="1"/>
      <c r="AG2667" s="1"/>
    </row>
    <row r="2668" ht="15.75" customHeight="1">
      <c r="A2668" s="1"/>
      <c r="B2668" s="1"/>
      <c r="C2668" s="1"/>
      <c r="D2668" s="1"/>
      <c r="E2668" s="1"/>
      <c r="F2668" s="1"/>
      <c r="G2668" s="1"/>
      <c r="H2668" s="1"/>
      <c r="I2668" s="1"/>
      <c r="J2668" s="1"/>
      <c r="K2668" s="102" t="s">
        <v>4820</v>
      </c>
      <c r="L2668" s="102" t="str">
        <f>T114</f>
        <v>J1a2a1a2d2b2b2c2b2a1~</v>
      </c>
      <c r="M2668" s="102" t="s">
        <v>4821</v>
      </c>
      <c r="N2668" s="102"/>
      <c r="O2668" s="105">
        <v>2.444304E7</v>
      </c>
      <c r="P2668" s="105">
        <v>2.2296893E7</v>
      </c>
      <c r="Q2668" s="102" t="s">
        <v>2529</v>
      </c>
      <c r="S2668" s="1"/>
      <c r="T2668" s="1"/>
      <c r="U2668" s="1"/>
      <c r="V2668" s="1"/>
      <c r="W2668" s="1"/>
      <c r="X2668" s="1"/>
      <c r="Y2668" s="1"/>
      <c r="Z2668" s="102"/>
      <c r="AA2668" s="102"/>
      <c r="AB2668" s="1"/>
      <c r="AC2668" s="1"/>
      <c r="AD2668" s="1"/>
      <c r="AE2668" s="1"/>
      <c r="AF2668" s="1"/>
      <c r="AG2668" s="1"/>
    </row>
    <row r="2669" ht="15.75" customHeight="1">
      <c r="A2669" s="1"/>
      <c r="B2669" s="1"/>
      <c r="C2669" s="1"/>
      <c r="D2669" s="1"/>
      <c r="E2669" s="1"/>
      <c r="F2669" s="1"/>
      <c r="G2669" s="1"/>
      <c r="H2669" s="1"/>
      <c r="I2669" s="1"/>
      <c r="J2669" s="1"/>
      <c r="K2669" s="102" t="s">
        <v>4822</v>
      </c>
      <c r="L2669" s="102" t="str">
        <f>T114</f>
        <v>J1a2a1a2d2b2b2c2b2a1~</v>
      </c>
      <c r="M2669" s="102" t="s">
        <v>4823</v>
      </c>
      <c r="N2669" s="102"/>
      <c r="O2669" s="105">
        <v>2.444304E7</v>
      </c>
      <c r="P2669" s="105">
        <v>2.2296893E7</v>
      </c>
      <c r="Q2669" s="102" t="s">
        <v>2529</v>
      </c>
      <c r="S2669" s="1"/>
      <c r="T2669" s="1"/>
      <c r="U2669" s="1"/>
      <c r="V2669" s="1"/>
      <c r="W2669" s="1"/>
      <c r="X2669" s="1"/>
      <c r="Y2669" s="1"/>
      <c r="Z2669" s="102"/>
      <c r="AA2669" s="102"/>
      <c r="AB2669" s="1"/>
      <c r="AC2669" s="1"/>
      <c r="AD2669" s="1"/>
      <c r="AE2669" s="1"/>
      <c r="AF2669" s="1"/>
      <c r="AG2669" s="1"/>
    </row>
    <row r="2670" ht="15.75" customHeight="1">
      <c r="A2670" s="1"/>
      <c r="B2670" s="1"/>
      <c r="C2670" s="1"/>
      <c r="D2670" s="1"/>
      <c r="E2670" s="1"/>
      <c r="F2670" s="1"/>
      <c r="G2670" s="1"/>
      <c r="H2670" s="1"/>
      <c r="I2670" s="1"/>
      <c r="J2670" s="1"/>
      <c r="K2670" s="102" t="s">
        <v>4824</v>
      </c>
      <c r="L2670" s="102" t="str">
        <f>T114</f>
        <v>J1a2a1a2d2b2b2c2b2a1~</v>
      </c>
      <c r="M2670" s="102" t="s">
        <v>4825</v>
      </c>
      <c r="N2670" s="102"/>
      <c r="O2670" s="105">
        <v>2.444304E7</v>
      </c>
      <c r="P2670" s="105">
        <v>2.2296893E7</v>
      </c>
      <c r="Q2670" s="102" t="s">
        <v>2529</v>
      </c>
      <c r="S2670" s="1"/>
      <c r="T2670" s="1"/>
      <c r="U2670" s="1"/>
      <c r="V2670" s="1"/>
      <c r="W2670" s="1"/>
      <c r="X2670" s="1"/>
      <c r="Y2670" s="1"/>
      <c r="Z2670" s="102"/>
      <c r="AA2670" s="102"/>
      <c r="AB2670" s="1"/>
      <c r="AC2670" s="1"/>
      <c r="AD2670" s="1"/>
      <c r="AE2670" s="1"/>
      <c r="AF2670" s="1"/>
      <c r="AG2670" s="1"/>
    </row>
    <row r="2671" ht="15.75" customHeight="1">
      <c r="A2671" s="1"/>
      <c r="B2671" s="1"/>
      <c r="C2671" s="1"/>
      <c r="D2671" s="1"/>
      <c r="E2671" s="1"/>
      <c r="F2671" s="1"/>
      <c r="G2671" s="1"/>
      <c r="H2671" s="1"/>
      <c r="I2671" s="1"/>
      <c r="J2671" s="1"/>
      <c r="K2671" s="102" t="s">
        <v>4826</v>
      </c>
      <c r="L2671" s="102" t="str">
        <f>U115</f>
        <v>J1a2a1a2d2b2b2c2b2a1a~</v>
      </c>
      <c r="M2671" s="102" t="s">
        <v>4827</v>
      </c>
      <c r="N2671" s="102"/>
      <c r="O2671" s="105">
        <v>1.8721287E7</v>
      </c>
      <c r="P2671" s="105">
        <v>1.6609407E7</v>
      </c>
      <c r="Q2671" s="102" t="s">
        <v>2468</v>
      </c>
      <c r="S2671" s="1"/>
      <c r="T2671" s="1"/>
      <c r="U2671" s="1"/>
      <c r="V2671" s="1"/>
      <c r="W2671" s="1"/>
      <c r="X2671" s="1"/>
      <c r="Y2671" s="1"/>
      <c r="Z2671" s="102"/>
      <c r="AA2671" s="102"/>
      <c r="AB2671" s="1"/>
      <c r="AC2671" s="1"/>
      <c r="AD2671" s="1"/>
      <c r="AE2671" s="1"/>
      <c r="AF2671" s="1"/>
      <c r="AG2671" s="1"/>
    </row>
    <row r="2672" ht="15.75" customHeight="1">
      <c r="A2672" s="1"/>
      <c r="B2672" s="1"/>
      <c r="C2672" s="1"/>
      <c r="D2672" s="1"/>
      <c r="E2672" s="1"/>
      <c r="F2672" s="1"/>
      <c r="G2672" s="1"/>
      <c r="H2672" s="1"/>
      <c r="I2672" s="1"/>
      <c r="J2672" s="1"/>
      <c r="K2672" s="102" t="s">
        <v>4827</v>
      </c>
      <c r="L2672" s="102" t="str">
        <f>U115</f>
        <v>J1a2a1a2d2b2b2c2b2a1a~</v>
      </c>
      <c r="M2672" s="102" t="s">
        <v>4826</v>
      </c>
      <c r="N2672" s="102"/>
      <c r="O2672" s="105">
        <v>1.8721287E7</v>
      </c>
      <c r="P2672" s="105">
        <v>1.6609407E7</v>
      </c>
      <c r="Q2672" s="102" t="s">
        <v>2468</v>
      </c>
      <c r="S2672" s="1"/>
      <c r="T2672" s="1"/>
      <c r="U2672" s="1"/>
      <c r="V2672" s="1"/>
      <c r="W2672" s="1"/>
      <c r="X2672" s="1"/>
      <c r="Y2672" s="1"/>
      <c r="Z2672" s="102"/>
      <c r="AA2672" s="102"/>
      <c r="AB2672" s="1"/>
      <c r="AC2672" s="1"/>
      <c r="AD2672" s="1"/>
      <c r="AE2672" s="1"/>
      <c r="AF2672" s="1"/>
      <c r="AG2672" s="1"/>
    </row>
    <row r="2673" ht="15.75" customHeight="1">
      <c r="A2673" s="1"/>
      <c r="B2673" s="1"/>
      <c r="C2673" s="1"/>
      <c r="D2673" s="1"/>
      <c r="E2673" s="1"/>
      <c r="F2673" s="1"/>
      <c r="G2673" s="1"/>
      <c r="H2673" s="1"/>
      <c r="I2673" s="1"/>
      <c r="J2673" s="1"/>
      <c r="K2673" s="102" t="s">
        <v>4828</v>
      </c>
      <c r="L2673" s="102" t="str">
        <f>U115</f>
        <v>J1a2a1a2d2b2b2c2b2a1a~</v>
      </c>
      <c r="M2673" s="102" t="s">
        <v>4829</v>
      </c>
      <c r="N2673" s="102"/>
      <c r="O2673" s="105">
        <v>2.1290824E7</v>
      </c>
      <c r="P2673" s="105">
        <v>1.9128938E7</v>
      </c>
      <c r="Q2673" s="102" t="s">
        <v>2446</v>
      </c>
      <c r="S2673" s="1"/>
      <c r="T2673" s="1"/>
      <c r="U2673" s="1"/>
      <c r="V2673" s="1"/>
      <c r="W2673" s="1"/>
      <c r="X2673" s="1"/>
      <c r="Y2673" s="1"/>
      <c r="Z2673" s="102"/>
      <c r="AA2673" s="102"/>
      <c r="AB2673" s="1"/>
      <c r="AC2673" s="1"/>
      <c r="AD2673" s="1"/>
      <c r="AE2673" s="1"/>
      <c r="AF2673" s="1"/>
      <c r="AG2673" s="1"/>
    </row>
    <row r="2674" ht="15.75" customHeight="1">
      <c r="A2674" s="1"/>
      <c r="B2674" s="1"/>
      <c r="C2674" s="1"/>
      <c r="D2674" s="1"/>
      <c r="E2674" s="1"/>
      <c r="F2674" s="1"/>
      <c r="G2674" s="1"/>
      <c r="H2674" s="1"/>
      <c r="I2674" s="1"/>
      <c r="J2674" s="1"/>
      <c r="K2674" s="102" t="s">
        <v>4829</v>
      </c>
      <c r="L2674" s="102" t="str">
        <f>U115</f>
        <v>J1a2a1a2d2b2b2c2b2a1a~</v>
      </c>
      <c r="M2674" s="102" t="s">
        <v>4828</v>
      </c>
      <c r="N2674" s="102"/>
      <c r="O2674" s="105">
        <v>2.1290824E7</v>
      </c>
      <c r="P2674" s="105">
        <v>1.9128938E7</v>
      </c>
      <c r="Q2674" s="102" t="s">
        <v>2446</v>
      </c>
      <c r="S2674" s="1"/>
      <c r="T2674" s="1"/>
      <c r="U2674" s="1"/>
      <c r="V2674" s="1"/>
      <c r="W2674" s="1"/>
      <c r="X2674" s="1"/>
      <c r="Y2674" s="1"/>
      <c r="Z2674" s="102"/>
      <c r="AA2674" s="102"/>
      <c r="AB2674" s="1"/>
      <c r="AC2674" s="1"/>
      <c r="AD2674" s="1"/>
      <c r="AE2674" s="1"/>
      <c r="AF2674" s="1"/>
      <c r="AG2674" s="1"/>
    </row>
    <row r="2675" ht="15.75" customHeight="1">
      <c r="A2675" s="1"/>
      <c r="B2675" s="1"/>
      <c r="C2675" s="1"/>
      <c r="D2675" s="1"/>
      <c r="E2675" s="1"/>
      <c r="F2675" s="1"/>
      <c r="G2675" s="1"/>
      <c r="H2675" s="1"/>
      <c r="I2675" s="1"/>
      <c r="J2675" s="1"/>
      <c r="K2675" s="102" t="s">
        <v>4830</v>
      </c>
      <c r="L2675" s="102" t="str">
        <f>U115</f>
        <v>J1a2a1a2d2b2b2c2b2a1a~</v>
      </c>
      <c r="M2675" s="102" t="s">
        <v>4831</v>
      </c>
      <c r="N2675" s="102"/>
      <c r="O2675" s="105">
        <v>2.1293492E7</v>
      </c>
      <c r="P2675" s="105">
        <v>1.9131606E7</v>
      </c>
      <c r="Q2675" s="102" t="s">
        <v>2514</v>
      </c>
      <c r="S2675" s="1"/>
      <c r="T2675" s="1"/>
      <c r="U2675" s="1"/>
      <c r="V2675" s="1"/>
      <c r="W2675" s="1"/>
      <c r="X2675" s="1"/>
      <c r="Y2675" s="1"/>
      <c r="Z2675" s="102"/>
      <c r="AA2675" s="102"/>
      <c r="AB2675" s="1"/>
      <c r="AC2675" s="1"/>
      <c r="AD2675" s="1"/>
      <c r="AE2675" s="1"/>
      <c r="AF2675" s="1"/>
      <c r="AG2675" s="1"/>
    </row>
    <row r="2676" ht="15.75" customHeight="1">
      <c r="A2676" s="1"/>
      <c r="B2676" s="1"/>
      <c r="C2676" s="1"/>
      <c r="D2676" s="1"/>
      <c r="E2676" s="1"/>
      <c r="F2676" s="1"/>
      <c r="G2676" s="1"/>
      <c r="H2676" s="1"/>
      <c r="I2676" s="1"/>
      <c r="J2676" s="1"/>
      <c r="K2676" s="102" t="s">
        <v>4831</v>
      </c>
      <c r="L2676" s="102" t="str">
        <f>U115</f>
        <v>J1a2a1a2d2b2b2c2b2a1a~</v>
      </c>
      <c r="M2676" s="102" t="s">
        <v>4830</v>
      </c>
      <c r="N2676" s="102"/>
      <c r="O2676" s="105">
        <v>2.1293492E7</v>
      </c>
      <c r="P2676" s="105">
        <v>1.9131606E7</v>
      </c>
      <c r="Q2676" s="102" t="s">
        <v>2514</v>
      </c>
      <c r="S2676" s="1"/>
      <c r="T2676" s="1"/>
      <c r="U2676" s="1"/>
      <c r="V2676" s="1"/>
      <c r="W2676" s="1"/>
      <c r="X2676" s="1"/>
      <c r="Y2676" s="1"/>
      <c r="Z2676" s="102"/>
      <c r="AA2676" s="102"/>
      <c r="AB2676" s="1"/>
      <c r="AC2676" s="1"/>
      <c r="AD2676" s="1"/>
      <c r="AE2676" s="1"/>
      <c r="AF2676" s="1"/>
      <c r="AG2676" s="1"/>
    </row>
    <row r="2677" ht="15.75" customHeight="1">
      <c r="A2677" s="1"/>
      <c r="B2677" s="1"/>
      <c r="C2677" s="1"/>
      <c r="D2677" s="1"/>
      <c r="E2677" s="1"/>
      <c r="F2677" s="1"/>
      <c r="G2677" s="1"/>
      <c r="H2677" s="1"/>
      <c r="I2677" s="1"/>
      <c r="J2677" s="1"/>
      <c r="K2677" s="102" t="s">
        <v>4832</v>
      </c>
      <c r="L2677" s="102" t="str">
        <f>U115</f>
        <v>J1a2a1a2d2b2b2c2b2a1a~</v>
      </c>
      <c r="M2677" s="102" t="s">
        <v>4833</v>
      </c>
      <c r="N2677" s="102"/>
      <c r="O2677" s="105">
        <v>2.3960949E7</v>
      </c>
      <c r="P2677" s="105">
        <v>2.1814802E7</v>
      </c>
      <c r="Q2677" s="102" t="s">
        <v>2533</v>
      </c>
      <c r="S2677" s="1"/>
      <c r="T2677" s="1"/>
      <c r="U2677" s="1"/>
      <c r="V2677" s="1"/>
      <c r="W2677" s="1"/>
      <c r="X2677" s="1"/>
      <c r="Y2677" s="1"/>
      <c r="Z2677" s="102"/>
      <c r="AA2677" s="102"/>
      <c r="AB2677" s="1"/>
      <c r="AC2677" s="1"/>
      <c r="AD2677" s="1"/>
      <c r="AE2677" s="1"/>
      <c r="AF2677" s="1"/>
      <c r="AG2677" s="1"/>
    </row>
    <row r="2678" ht="15.75" customHeight="1">
      <c r="A2678" s="1"/>
      <c r="B2678" s="1"/>
      <c r="C2678" s="1"/>
      <c r="D2678" s="1"/>
      <c r="E2678" s="1"/>
      <c r="F2678" s="1"/>
      <c r="G2678" s="1"/>
      <c r="H2678" s="1"/>
      <c r="I2678" s="1"/>
      <c r="J2678" s="1"/>
      <c r="K2678" s="102" t="s">
        <v>4833</v>
      </c>
      <c r="L2678" s="102" t="str">
        <f t="shared" ref="L2678:L2679" si="25">U115</f>
        <v>J1a2a1a2d2b2b2c2b2a1a~</v>
      </c>
      <c r="M2678" s="102" t="s">
        <v>4832</v>
      </c>
      <c r="N2678" s="102"/>
      <c r="O2678" s="105">
        <v>2.3960949E7</v>
      </c>
      <c r="P2678" s="105">
        <v>2.1814802E7</v>
      </c>
      <c r="Q2678" s="102" t="s">
        <v>2533</v>
      </c>
      <c r="S2678" s="1"/>
      <c r="T2678" s="1"/>
      <c r="U2678" s="1"/>
      <c r="V2678" s="1"/>
      <c r="W2678" s="1"/>
      <c r="X2678" s="1"/>
      <c r="Y2678" s="1"/>
      <c r="Z2678" s="102"/>
      <c r="AA2678" s="102"/>
      <c r="AB2678" s="1"/>
      <c r="AC2678" s="1"/>
      <c r="AD2678" s="1"/>
      <c r="AE2678" s="1"/>
      <c r="AF2678" s="1"/>
      <c r="AG2678" s="1"/>
    </row>
    <row r="2679" ht="15.75" customHeight="1">
      <c r="A2679" s="1"/>
      <c r="B2679" s="1"/>
      <c r="C2679" s="1"/>
      <c r="D2679" s="1"/>
      <c r="E2679" s="1"/>
      <c r="F2679" s="1"/>
      <c r="G2679" s="1"/>
      <c r="H2679" s="1"/>
      <c r="I2679" s="1"/>
      <c r="J2679" s="1"/>
      <c r="K2679" s="102" t="s">
        <v>4834</v>
      </c>
      <c r="L2679" s="102" t="str">
        <f t="shared" si="25"/>
        <v>J1a2a1a2d2b2b2c2b2a1b~</v>
      </c>
      <c r="M2679" s="102"/>
      <c r="N2679" s="102"/>
      <c r="O2679" s="105">
        <v>7524979.0</v>
      </c>
      <c r="P2679" s="105">
        <v>7656938.0</v>
      </c>
      <c r="Q2679" s="102" t="s">
        <v>2529</v>
      </c>
      <c r="S2679" s="1"/>
      <c r="T2679" s="1"/>
      <c r="U2679" s="1"/>
      <c r="V2679" s="1"/>
      <c r="W2679" s="1"/>
      <c r="X2679" s="1"/>
      <c r="Y2679" s="1"/>
      <c r="Z2679" s="102"/>
      <c r="AA2679" s="102"/>
      <c r="AB2679" s="1"/>
      <c r="AC2679" s="1"/>
      <c r="AD2679" s="1"/>
      <c r="AE2679" s="1"/>
      <c r="AF2679" s="1"/>
      <c r="AG2679" s="1"/>
    </row>
    <row r="2680" ht="15.75" customHeight="1">
      <c r="A2680" s="1"/>
      <c r="B2680" s="1"/>
      <c r="C2680" s="1"/>
      <c r="D2680" s="1"/>
      <c r="E2680" s="1"/>
      <c r="F2680" s="1"/>
      <c r="G2680" s="1"/>
      <c r="H2680" s="1"/>
      <c r="I2680" s="1"/>
      <c r="J2680" s="1"/>
      <c r="K2680" s="102" t="s">
        <v>4835</v>
      </c>
      <c r="L2680" s="102" t="str">
        <f>U116</f>
        <v>J1a2a1a2d2b2b2c2b2a1b~</v>
      </c>
      <c r="M2680" s="102"/>
      <c r="N2680" s="102"/>
      <c r="O2680" s="105">
        <v>1.5987026E7</v>
      </c>
      <c r="P2680" s="105">
        <v>1.3875146E7</v>
      </c>
      <c r="Q2680" s="102" t="s">
        <v>2423</v>
      </c>
      <c r="S2680" s="1"/>
      <c r="T2680" s="1"/>
      <c r="U2680" s="1"/>
      <c r="V2680" s="1"/>
      <c r="W2680" s="1"/>
      <c r="X2680" s="1"/>
      <c r="Y2680" s="1"/>
      <c r="Z2680" s="102"/>
      <c r="AA2680" s="102"/>
      <c r="AB2680" s="1"/>
      <c r="AC2680" s="1"/>
      <c r="AD2680" s="1"/>
      <c r="AE2680" s="1"/>
      <c r="AF2680" s="1"/>
      <c r="AG2680" s="1"/>
    </row>
    <row r="2681" ht="15.75" customHeight="1">
      <c r="A2681" s="1"/>
      <c r="B2681" s="1"/>
      <c r="C2681" s="1"/>
      <c r="D2681" s="1"/>
      <c r="E2681" s="1"/>
      <c r="F2681" s="1"/>
      <c r="G2681" s="1"/>
      <c r="H2681" s="1"/>
      <c r="I2681" s="1"/>
      <c r="J2681" s="1"/>
      <c r="K2681" s="102" t="s">
        <v>4836</v>
      </c>
      <c r="L2681" s="102" t="str">
        <f>U116</f>
        <v>J1a2a1a2d2b2b2c2b2a1b~</v>
      </c>
      <c r="M2681" s="102"/>
      <c r="N2681" s="102"/>
      <c r="O2681" s="105">
        <v>2.151865E7</v>
      </c>
      <c r="P2681" s="105">
        <v>1.9356764E7</v>
      </c>
      <c r="Q2681" s="102" t="s">
        <v>2514</v>
      </c>
      <c r="S2681" s="1"/>
      <c r="T2681" s="1"/>
      <c r="U2681" s="1"/>
      <c r="V2681" s="1"/>
      <c r="W2681" s="1"/>
      <c r="X2681" s="1"/>
      <c r="Y2681" s="1"/>
      <c r="Z2681" s="102"/>
      <c r="AA2681" s="102"/>
      <c r="AB2681" s="1"/>
      <c r="AC2681" s="1"/>
      <c r="AD2681" s="1"/>
      <c r="AE2681" s="1"/>
      <c r="AF2681" s="1"/>
      <c r="AG2681" s="1"/>
    </row>
    <row r="2682" ht="15.75" customHeight="1">
      <c r="A2682" s="1"/>
      <c r="B2682" s="1"/>
      <c r="C2682" s="1"/>
      <c r="D2682" s="1"/>
      <c r="E2682" s="1"/>
      <c r="F2682" s="1"/>
      <c r="G2682" s="1"/>
      <c r="H2682" s="1"/>
      <c r="I2682" s="1"/>
      <c r="J2682" s="1"/>
      <c r="K2682" s="102" t="s">
        <v>203</v>
      </c>
      <c r="L2682" s="102" t="str">
        <f>T117</f>
        <v>J1a2a1a2d2b2b2c2b2a2~</v>
      </c>
      <c r="M2682" s="102"/>
      <c r="N2682" s="102"/>
      <c r="O2682" s="105">
        <v>2.2785619E7</v>
      </c>
      <c r="P2682" s="105">
        <v>2.0623733E7</v>
      </c>
      <c r="Q2682" s="102" t="s">
        <v>2501</v>
      </c>
      <c r="S2682" s="1"/>
      <c r="T2682" s="1"/>
      <c r="U2682" s="1"/>
      <c r="V2682" s="1"/>
      <c r="W2682" s="1"/>
      <c r="X2682" s="1"/>
      <c r="Y2682" s="1"/>
      <c r="Z2682" s="102"/>
      <c r="AA2682" s="102"/>
      <c r="AB2682" s="1"/>
      <c r="AC2682" s="1"/>
      <c r="AD2682" s="1"/>
      <c r="AE2682" s="1"/>
      <c r="AF2682" s="1"/>
      <c r="AG2682" s="1"/>
    </row>
    <row r="2683" ht="15.75" customHeight="1">
      <c r="A2683" s="1"/>
      <c r="B2683" s="1"/>
      <c r="C2683" s="1"/>
      <c r="D2683" s="1"/>
      <c r="E2683" s="1"/>
      <c r="F2683" s="1"/>
      <c r="G2683" s="1"/>
      <c r="H2683" s="1"/>
      <c r="I2683" s="1"/>
      <c r="J2683" s="1"/>
      <c r="K2683" s="102" t="s">
        <v>4837</v>
      </c>
      <c r="L2683" s="102" t="str">
        <f>U118</f>
        <v>J1a2a1a2d2b2b2c2b2a2a~</v>
      </c>
      <c r="M2683" s="102" t="s">
        <v>4838</v>
      </c>
      <c r="N2683" s="102"/>
      <c r="O2683" s="105">
        <v>1.547003E7</v>
      </c>
      <c r="P2683" s="105">
        <v>1.335815E7</v>
      </c>
      <c r="Q2683" s="102" t="s">
        <v>2468</v>
      </c>
      <c r="S2683" s="1"/>
      <c r="T2683" s="1"/>
      <c r="U2683" s="1"/>
      <c r="V2683" s="1"/>
      <c r="W2683" s="1"/>
      <c r="X2683" s="1"/>
      <c r="Y2683" s="1"/>
      <c r="Z2683" s="102"/>
      <c r="AA2683" s="102"/>
      <c r="AB2683" s="1"/>
      <c r="AC2683" s="1"/>
      <c r="AD2683" s="1"/>
      <c r="AE2683" s="1"/>
      <c r="AF2683" s="1"/>
      <c r="AG2683" s="1"/>
    </row>
    <row r="2684" ht="15.75" customHeight="1">
      <c r="A2684" s="1"/>
      <c r="B2684" s="1"/>
      <c r="C2684" s="1"/>
      <c r="D2684" s="1"/>
      <c r="E2684" s="1"/>
      <c r="F2684" s="1"/>
      <c r="G2684" s="1"/>
      <c r="H2684" s="1"/>
      <c r="I2684" s="1"/>
      <c r="J2684" s="1"/>
      <c r="K2684" s="102" t="s">
        <v>4838</v>
      </c>
      <c r="L2684" s="102" t="str">
        <f>U118</f>
        <v>J1a2a1a2d2b2b2c2b2a2a~</v>
      </c>
      <c r="M2684" s="102" t="s">
        <v>4837</v>
      </c>
      <c r="N2684" s="102"/>
      <c r="O2684" s="105">
        <v>1.547003E7</v>
      </c>
      <c r="P2684" s="105">
        <v>1.335815E7</v>
      </c>
      <c r="Q2684" s="102" t="s">
        <v>2468</v>
      </c>
      <c r="S2684" s="1"/>
      <c r="T2684" s="1"/>
      <c r="U2684" s="1"/>
      <c r="V2684" s="1"/>
      <c r="W2684" s="1"/>
      <c r="X2684" s="1"/>
      <c r="Y2684" s="1"/>
      <c r="Z2684" s="102"/>
      <c r="AA2684" s="102"/>
      <c r="AB2684" s="1"/>
      <c r="AC2684" s="1"/>
      <c r="AD2684" s="1"/>
      <c r="AE2684" s="1"/>
      <c r="AF2684" s="1"/>
      <c r="AG2684" s="1"/>
    </row>
    <row r="2685" ht="15.75" customHeight="1">
      <c r="A2685" s="1"/>
      <c r="B2685" s="1"/>
      <c r="C2685" s="1"/>
      <c r="D2685" s="1"/>
      <c r="E2685" s="1"/>
      <c r="F2685" s="1"/>
      <c r="G2685" s="1"/>
      <c r="H2685" s="1"/>
      <c r="I2685" s="1"/>
      <c r="J2685" s="1"/>
      <c r="K2685" s="102" t="s">
        <v>4839</v>
      </c>
      <c r="L2685" s="102" t="str">
        <f>U118</f>
        <v>J1a2a1a2d2b2b2c2b2a2a~</v>
      </c>
      <c r="M2685" s="102"/>
      <c r="N2685" s="102"/>
      <c r="O2685" s="105">
        <v>1.6324762E7</v>
      </c>
      <c r="P2685" s="105">
        <v>1.4212882E7</v>
      </c>
      <c r="Q2685" s="102" t="s">
        <v>2501</v>
      </c>
      <c r="S2685" s="1"/>
      <c r="T2685" s="1"/>
      <c r="U2685" s="1"/>
      <c r="V2685" s="1"/>
      <c r="W2685" s="1"/>
      <c r="X2685" s="1"/>
      <c r="Y2685" s="1"/>
      <c r="Z2685" s="102"/>
      <c r="AA2685" s="102"/>
      <c r="AB2685" s="1"/>
      <c r="AC2685" s="1"/>
      <c r="AD2685" s="1"/>
      <c r="AE2685" s="1"/>
      <c r="AF2685" s="1"/>
      <c r="AG2685" s="1"/>
    </row>
    <row r="2686" ht="15.75" customHeight="1">
      <c r="A2686" s="1"/>
      <c r="B2686" s="1"/>
      <c r="C2686" s="1"/>
      <c r="D2686" s="1"/>
      <c r="E2686" s="1"/>
      <c r="F2686" s="1"/>
      <c r="G2686" s="1"/>
      <c r="H2686" s="1"/>
      <c r="I2686" s="1"/>
      <c r="J2686" s="1"/>
      <c r="K2686" s="102" t="s">
        <v>4840</v>
      </c>
      <c r="L2686" s="102" t="str">
        <f t="shared" ref="L2686:L2687" si="26">U118</f>
        <v>J1a2a1a2d2b2b2c2b2a2a~</v>
      </c>
      <c r="M2686" s="102"/>
      <c r="N2686" s="102"/>
      <c r="O2686" s="105">
        <v>2.3369197E7</v>
      </c>
      <c r="P2686" s="105">
        <v>2.1207311E7</v>
      </c>
      <c r="Q2686" s="102" t="s">
        <v>2468</v>
      </c>
      <c r="S2686" s="1"/>
      <c r="T2686" s="1"/>
      <c r="U2686" s="1"/>
      <c r="V2686" s="1"/>
      <c r="W2686" s="1"/>
      <c r="X2686" s="1"/>
      <c r="Y2686" s="1"/>
      <c r="Z2686" s="102"/>
      <c r="AA2686" s="102"/>
      <c r="AB2686" s="1"/>
      <c r="AC2686" s="1"/>
      <c r="AD2686" s="1"/>
      <c r="AE2686" s="1"/>
      <c r="AF2686" s="1"/>
      <c r="AG2686" s="1"/>
    </row>
    <row r="2687" ht="15.75" customHeight="1">
      <c r="A2687" s="1"/>
      <c r="B2687" s="1"/>
      <c r="C2687" s="1"/>
      <c r="D2687" s="1"/>
      <c r="E2687" s="1"/>
      <c r="F2687" s="1"/>
      <c r="G2687" s="1"/>
      <c r="H2687" s="1"/>
      <c r="I2687" s="1"/>
      <c r="J2687" s="1"/>
      <c r="K2687" s="102" t="s">
        <v>4841</v>
      </c>
      <c r="L2687" s="102" t="str">
        <f t="shared" si="26"/>
        <v>J1a2a1a2d2b2b2c2b2a2b~</v>
      </c>
      <c r="M2687" s="102"/>
      <c r="N2687" s="102"/>
      <c r="O2687" s="105">
        <v>1.9566915E7</v>
      </c>
      <c r="P2687" s="105">
        <v>1.7455035E7</v>
      </c>
      <c r="Q2687" s="102" t="s">
        <v>2446</v>
      </c>
      <c r="S2687" s="1"/>
      <c r="T2687" s="1"/>
      <c r="U2687" s="1"/>
      <c r="V2687" s="1"/>
      <c r="W2687" s="1"/>
      <c r="X2687" s="1"/>
      <c r="Y2687" s="1"/>
      <c r="Z2687" s="102"/>
      <c r="AA2687" s="102"/>
      <c r="AB2687" s="1"/>
      <c r="AC2687" s="1"/>
      <c r="AD2687" s="1"/>
      <c r="AE2687" s="1"/>
      <c r="AF2687" s="1"/>
      <c r="AG2687" s="1"/>
    </row>
    <row r="2688" ht="15.75" customHeight="1">
      <c r="A2688" s="1"/>
      <c r="B2688" s="1"/>
      <c r="C2688" s="1"/>
      <c r="D2688" s="1"/>
      <c r="E2688" s="1"/>
      <c r="F2688" s="1"/>
      <c r="G2688" s="1"/>
      <c r="H2688" s="1"/>
      <c r="I2688" s="1"/>
      <c r="J2688" s="1"/>
      <c r="K2688" s="102" t="s">
        <v>4842</v>
      </c>
      <c r="L2688" s="102" t="str">
        <f>U119</f>
        <v>J1a2a1a2d2b2b2c2b2a2b~</v>
      </c>
      <c r="M2688" s="102"/>
      <c r="N2688" s="102"/>
      <c r="O2688" s="105">
        <v>2.3755462E7</v>
      </c>
      <c r="P2688" s="105">
        <v>2.1593576E7</v>
      </c>
      <c r="Q2688" s="102" t="s">
        <v>2533</v>
      </c>
      <c r="S2688" s="1"/>
      <c r="T2688" s="1"/>
      <c r="U2688" s="1"/>
      <c r="V2688" s="1"/>
      <c r="W2688" s="1"/>
      <c r="X2688" s="1"/>
      <c r="Y2688" s="1"/>
      <c r="Z2688" s="102"/>
      <c r="AA2688" s="102"/>
      <c r="AB2688" s="1"/>
      <c r="AC2688" s="1"/>
      <c r="AD2688" s="1"/>
      <c r="AE2688" s="1"/>
      <c r="AF2688" s="1"/>
      <c r="AG2688" s="1"/>
    </row>
    <row r="2689" ht="15.75" customHeight="1">
      <c r="A2689" s="1"/>
      <c r="B2689" s="1"/>
      <c r="C2689" s="1"/>
      <c r="D2689" s="1"/>
      <c r="E2689" s="1"/>
      <c r="F2689" s="1"/>
      <c r="G2689" s="1"/>
      <c r="H2689" s="1"/>
      <c r="I2689" s="1"/>
      <c r="J2689" s="1"/>
      <c r="K2689" s="102" t="s">
        <v>4843</v>
      </c>
      <c r="L2689" s="102" t="str">
        <f>V120</f>
        <v>J1a2a1a2d2b2b2c2b2a2b1~</v>
      </c>
      <c r="M2689" s="102"/>
      <c r="N2689" s="102"/>
      <c r="O2689" s="105">
        <v>7787679.0</v>
      </c>
      <c r="P2689" s="105">
        <v>7919638.0</v>
      </c>
      <c r="Q2689" s="102" t="s">
        <v>2501</v>
      </c>
      <c r="S2689" s="1"/>
      <c r="T2689" s="1"/>
      <c r="U2689" s="1"/>
      <c r="V2689" s="1"/>
      <c r="W2689" s="1"/>
      <c r="X2689" s="1"/>
      <c r="Y2689" s="1"/>
      <c r="Z2689" s="102"/>
      <c r="AA2689" s="102"/>
      <c r="AB2689" s="1"/>
      <c r="AC2689" s="1"/>
      <c r="AD2689" s="1"/>
      <c r="AE2689" s="1"/>
      <c r="AF2689" s="1"/>
      <c r="AG2689" s="1"/>
    </row>
    <row r="2690" ht="15.75" customHeight="1">
      <c r="A2690" s="1"/>
      <c r="B2690" s="1"/>
      <c r="C2690" s="1"/>
      <c r="D2690" s="1"/>
      <c r="E2690" s="1"/>
      <c r="F2690" s="1"/>
      <c r="G2690" s="1"/>
      <c r="H2690" s="1"/>
      <c r="I2690" s="1"/>
      <c r="J2690" s="1"/>
      <c r="K2690" s="102" t="s">
        <v>4844</v>
      </c>
      <c r="L2690" s="102" t="str">
        <f>V120</f>
        <v>J1a2a1a2d2b2b2c2b2a2b1~</v>
      </c>
      <c r="M2690" s="102"/>
      <c r="N2690" s="102"/>
      <c r="O2690" s="105">
        <v>1.4277758E7</v>
      </c>
      <c r="P2690" s="105">
        <v>1.2157052E7</v>
      </c>
      <c r="Q2690" s="102" t="s">
        <v>2533</v>
      </c>
      <c r="S2690" s="1"/>
      <c r="T2690" s="1"/>
      <c r="U2690" s="1"/>
      <c r="V2690" s="1"/>
      <c r="W2690" s="1"/>
      <c r="X2690" s="1"/>
      <c r="Y2690" s="1"/>
      <c r="Z2690" s="102"/>
      <c r="AA2690" s="102"/>
      <c r="AB2690" s="1"/>
      <c r="AC2690" s="1"/>
      <c r="AD2690" s="1"/>
      <c r="AE2690" s="1"/>
      <c r="AF2690" s="1"/>
      <c r="AG2690" s="1"/>
    </row>
    <row r="2691" ht="15.75" customHeight="1">
      <c r="A2691" s="1"/>
      <c r="B2691" s="1"/>
      <c r="C2691" s="1"/>
      <c r="D2691" s="1"/>
      <c r="E2691" s="1"/>
      <c r="F2691" s="1"/>
      <c r="G2691" s="1"/>
      <c r="H2691" s="1"/>
      <c r="I2691" s="1"/>
      <c r="J2691" s="1"/>
      <c r="K2691" s="102" t="s">
        <v>4845</v>
      </c>
      <c r="L2691" s="102" t="str">
        <f>V120</f>
        <v>J1a2a1a2d2b2b2c2b2a2b1~</v>
      </c>
      <c r="M2691" s="102"/>
      <c r="N2691" s="102"/>
      <c r="O2691" s="105">
        <v>1.5357326E7</v>
      </c>
      <c r="P2691" s="105">
        <v>1.3245445E7</v>
      </c>
      <c r="Q2691" s="102" t="s">
        <v>2501</v>
      </c>
      <c r="S2691" s="1"/>
      <c r="T2691" s="1"/>
      <c r="U2691" s="1"/>
      <c r="V2691" s="1"/>
      <c r="W2691" s="1"/>
      <c r="X2691" s="1"/>
      <c r="Y2691" s="1"/>
      <c r="Z2691" s="102"/>
      <c r="AA2691" s="102"/>
      <c r="AB2691" s="1"/>
      <c r="AC2691" s="1"/>
      <c r="AD2691" s="1"/>
      <c r="AE2691" s="1"/>
      <c r="AF2691" s="1"/>
      <c r="AG2691" s="1"/>
    </row>
    <row r="2692" ht="15.75" customHeight="1">
      <c r="A2692" s="1"/>
      <c r="B2692" s="1"/>
      <c r="C2692" s="1"/>
      <c r="D2692" s="1"/>
      <c r="E2692" s="1"/>
      <c r="F2692" s="1"/>
      <c r="G2692" s="1"/>
      <c r="H2692" s="1"/>
      <c r="I2692" s="1"/>
      <c r="J2692" s="1"/>
      <c r="K2692" s="102" t="s">
        <v>4846</v>
      </c>
      <c r="L2692" s="102" t="str">
        <f>V120</f>
        <v>J1a2a1a2d2b2b2c2b2a2b1~</v>
      </c>
      <c r="M2692" s="102"/>
      <c r="N2692" s="102"/>
      <c r="O2692" s="105">
        <v>1.6968062E7</v>
      </c>
      <c r="P2692" s="105">
        <v>1.4856182E7</v>
      </c>
      <c r="Q2692" s="102" t="s">
        <v>2439</v>
      </c>
      <c r="S2692" s="1"/>
      <c r="T2692" s="1"/>
      <c r="U2692" s="1"/>
      <c r="V2692" s="1"/>
      <c r="W2692" s="1"/>
      <c r="X2692" s="1"/>
      <c r="Y2692" s="1"/>
      <c r="Z2692" s="102"/>
      <c r="AA2692" s="102"/>
      <c r="AB2692" s="1"/>
      <c r="AC2692" s="1"/>
      <c r="AD2692" s="1"/>
      <c r="AE2692" s="1"/>
      <c r="AF2692" s="1"/>
      <c r="AG2692" s="1"/>
    </row>
    <row r="2693" ht="15.75" customHeight="1">
      <c r="A2693" s="1"/>
      <c r="B2693" s="1"/>
      <c r="C2693" s="1"/>
      <c r="D2693" s="1"/>
      <c r="E2693" s="1"/>
      <c r="F2693" s="1"/>
      <c r="G2693" s="1"/>
      <c r="H2693" s="1"/>
      <c r="I2693" s="1"/>
      <c r="J2693" s="1"/>
      <c r="K2693" s="102" t="s">
        <v>4847</v>
      </c>
      <c r="L2693" s="102" t="str">
        <f>V120</f>
        <v>J1a2a1a2d2b2b2c2b2a2b1~</v>
      </c>
      <c r="M2693" s="102"/>
      <c r="N2693" s="102"/>
      <c r="O2693" s="105">
        <v>2.1845686E7</v>
      </c>
      <c r="P2693" s="105">
        <v>1.96838E7</v>
      </c>
      <c r="Q2693" s="102" t="s">
        <v>2501</v>
      </c>
      <c r="S2693" s="1"/>
      <c r="T2693" s="1"/>
      <c r="U2693" s="1"/>
      <c r="V2693" s="1"/>
      <c r="W2693" s="1"/>
      <c r="X2693" s="1"/>
      <c r="Y2693" s="1"/>
      <c r="Z2693" s="102"/>
      <c r="AA2693" s="102"/>
      <c r="AB2693" s="1"/>
      <c r="AC2693" s="1"/>
      <c r="AD2693" s="1"/>
      <c r="AE2693" s="1"/>
      <c r="AF2693" s="1"/>
      <c r="AG2693" s="1"/>
    </row>
    <row r="2694" ht="15.75" customHeight="1">
      <c r="A2694" s="1"/>
      <c r="B2694" s="1"/>
      <c r="C2694" s="1"/>
      <c r="D2694" s="1"/>
      <c r="E2694" s="1"/>
      <c r="F2694" s="1"/>
      <c r="G2694" s="1"/>
      <c r="H2694" s="1"/>
      <c r="I2694" s="1"/>
      <c r="J2694" s="1"/>
      <c r="K2694" s="102" t="s">
        <v>4848</v>
      </c>
      <c r="L2694" s="102" t="str">
        <f>V120</f>
        <v>J1a2a1a2d2b2b2c2b2a2b1~</v>
      </c>
      <c r="M2694" s="102"/>
      <c r="N2694" s="102"/>
      <c r="O2694" s="105">
        <v>2.188088E7</v>
      </c>
      <c r="P2694" s="105">
        <v>1.9718994E7</v>
      </c>
      <c r="Q2694" s="102" t="s">
        <v>2533</v>
      </c>
      <c r="S2694" s="1"/>
      <c r="T2694" s="1"/>
      <c r="U2694" s="1"/>
      <c r="V2694" s="1"/>
      <c r="W2694" s="1"/>
      <c r="X2694" s="1"/>
      <c r="Y2694" s="1"/>
      <c r="Z2694" s="102"/>
      <c r="AA2694" s="102"/>
      <c r="AB2694" s="1"/>
      <c r="AC2694" s="1"/>
      <c r="AD2694" s="1"/>
      <c r="AE2694" s="1"/>
      <c r="AF2694" s="1"/>
      <c r="AG2694" s="1"/>
    </row>
    <row r="2695" ht="15.75" customHeight="1">
      <c r="A2695" s="1"/>
      <c r="B2695" s="1"/>
      <c r="C2695" s="1"/>
      <c r="D2695" s="1"/>
      <c r="E2695" s="1"/>
      <c r="F2695" s="1"/>
      <c r="G2695" s="1"/>
      <c r="H2695" s="1"/>
      <c r="I2695" s="1"/>
      <c r="J2695" s="1"/>
      <c r="K2695" s="102" t="s">
        <v>4849</v>
      </c>
      <c r="L2695" s="102" t="str">
        <f>T121</f>
        <v>J1a2a1a2d2b2b2c2b2a3~</v>
      </c>
      <c r="M2695" s="102" t="s">
        <v>4850</v>
      </c>
      <c r="N2695" s="102"/>
      <c r="O2695" s="105">
        <v>8049227.0</v>
      </c>
      <c r="P2695" s="105">
        <v>8181186.0</v>
      </c>
      <c r="Q2695" s="102" t="s">
        <v>2439</v>
      </c>
      <c r="S2695" s="1"/>
      <c r="T2695" s="1"/>
      <c r="U2695" s="1"/>
      <c r="V2695" s="1"/>
      <c r="W2695" s="1"/>
      <c r="X2695" s="1"/>
      <c r="Y2695" s="1"/>
      <c r="Z2695" s="102"/>
      <c r="AA2695" s="102"/>
      <c r="AB2695" s="1"/>
      <c r="AC2695" s="1"/>
      <c r="AD2695" s="1"/>
      <c r="AE2695" s="1"/>
      <c r="AF2695" s="1"/>
      <c r="AG2695" s="1"/>
    </row>
    <row r="2696" ht="15.75" customHeight="1">
      <c r="A2696" s="1"/>
      <c r="B2696" s="1"/>
      <c r="C2696" s="1"/>
      <c r="D2696" s="1"/>
      <c r="E2696" s="1"/>
      <c r="F2696" s="1"/>
      <c r="G2696" s="1"/>
      <c r="H2696" s="1"/>
      <c r="I2696" s="1"/>
      <c r="J2696" s="1"/>
      <c r="K2696" s="102" t="s">
        <v>4850</v>
      </c>
      <c r="L2696" s="102" t="str">
        <f>T121</f>
        <v>J1a2a1a2d2b2b2c2b2a3~</v>
      </c>
      <c r="M2696" s="102" t="s">
        <v>4849</v>
      </c>
      <c r="N2696" s="102"/>
      <c r="O2696" s="105">
        <v>8049227.0</v>
      </c>
      <c r="P2696" s="105">
        <v>8181186.0</v>
      </c>
      <c r="Q2696" s="102" t="s">
        <v>2439</v>
      </c>
      <c r="S2696" s="1"/>
      <c r="T2696" s="1"/>
      <c r="U2696" s="1"/>
      <c r="V2696" s="1"/>
      <c r="W2696" s="1"/>
      <c r="X2696" s="1"/>
      <c r="Y2696" s="1"/>
      <c r="Z2696" s="102"/>
      <c r="AA2696" s="102"/>
      <c r="AB2696" s="1"/>
      <c r="AC2696" s="1"/>
      <c r="AD2696" s="1"/>
      <c r="AE2696" s="1"/>
      <c r="AF2696" s="1"/>
      <c r="AG2696" s="1"/>
    </row>
    <row r="2697" ht="15.75" customHeight="1">
      <c r="A2697" s="1"/>
      <c r="B2697" s="1"/>
      <c r="C2697" s="1"/>
      <c r="D2697" s="1"/>
      <c r="E2697" s="1"/>
      <c r="F2697" s="1"/>
      <c r="G2697" s="1"/>
      <c r="H2697" s="1"/>
      <c r="I2697" s="1"/>
      <c r="J2697" s="1"/>
      <c r="K2697" s="102" t="s">
        <v>4851</v>
      </c>
      <c r="L2697" s="102" t="str">
        <f>T121</f>
        <v>J1a2a1a2d2b2b2c2b2a3~</v>
      </c>
      <c r="M2697" s="102"/>
      <c r="N2697" s="102"/>
      <c r="O2697" s="105">
        <v>1.6385585E7</v>
      </c>
      <c r="P2697" s="105">
        <v>1.4273705E7</v>
      </c>
      <c r="Q2697" s="102" t="s">
        <v>2529</v>
      </c>
      <c r="S2697" s="1"/>
      <c r="T2697" s="1"/>
      <c r="U2697" s="1"/>
      <c r="V2697" s="1"/>
      <c r="W2697" s="1"/>
      <c r="X2697" s="1"/>
      <c r="Y2697" s="1"/>
      <c r="Z2697" s="102"/>
      <c r="AA2697" s="102"/>
      <c r="AB2697" s="1"/>
      <c r="AC2697" s="1"/>
      <c r="AD2697" s="1"/>
      <c r="AE2697" s="1"/>
      <c r="AF2697" s="1"/>
      <c r="AG2697" s="1"/>
    </row>
    <row r="2698" ht="15.75" customHeight="1">
      <c r="A2698" s="1"/>
      <c r="B2698" s="1"/>
      <c r="C2698" s="1"/>
      <c r="D2698" s="1"/>
      <c r="E2698" s="1"/>
      <c r="F2698" s="1"/>
      <c r="G2698" s="1"/>
      <c r="H2698" s="1"/>
      <c r="I2698" s="1"/>
      <c r="J2698" s="1"/>
      <c r="K2698" s="102" t="s">
        <v>4852</v>
      </c>
      <c r="L2698" s="102" t="str">
        <f t="shared" ref="L2698:L2699" si="27">T121</f>
        <v>J1a2a1a2d2b2b2c2b2a3~</v>
      </c>
      <c r="M2698" s="102"/>
      <c r="N2698" s="102"/>
      <c r="O2698" s="105">
        <v>1.7792934E7</v>
      </c>
      <c r="P2698" s="105">
        <v>1.5681054E7</v>
      </c>
      <c r="Q2698" s="102" t="s">
        <v>2501</v>
      </c>
      <c r="S2698" s="1"/>
      <c r="T2698" s="1"/>
      <c r="U2698" s="1"/>
      <c r="V2698" s="1"/>
      <c r="W2698" s="1"/>
      <c r="X2698" s="1"/>
      <c r="Y2698" s="1"/>
      <c r="Z2698" s="102"/>
      <c r="AA2698" s="102"/>
      <c r="AB2698" s="1"/>
      <c r="AC2698" s="1"/>
      <c r="AD2698" s="1"/>
      <c r="AE2698" s="1"/>
      <c r="AF2698" s="1"/>
      <c r="AG2698" s="1"/>
    </row>
    <row r="2699" ht="15.75" customHeight="1">
      <c r="A2699" s="1"/>
      <c r="B2699" s="1"/>
      <c r="C2699" s="1"/>
      <c r="D2699" s="1"/>
      <c r="E2699" s="1"/>
      <c r="F2699" s="1"/>
      <c r="G2699" s="1"/>
      <c r="H2699" s="1"/>
      <c r="I2699" s="1"/>
      <c r="J2699" s="1"/>
      <c r="K2699" s="102" t="s">
        <v>213</v>
      </c>
      <c r="L2699" s="102" t="str">
        <f t="shared" si="27"/>
        <v>J1a2a1a2d2b2b2c2b2a4~</v>
      </c>
      <c r="M2699" s="102"/>
      <c r="N2699" s="102"/>
      <c r="O2699" s="105">
        <v>2795723.0</v>
      </c>
      <c r="P2699" s="105">
        <v>2927682.0</v>
      </c>
      <c r="Q2699" s="102" t="s">
        <v>2439</v>
      </c>
      <c r="S2699" s="1"/>
      <c r="T2699" s="1"/>
      <c r="U2699" s="1"/>
      <c r="V2699" s="1"/>
      <c r="W2699" s="1"/>
      <c r="X2699" s="1"/>
      <c r="Y2699" s="1"/>
      <c r="Z2699" s="102"/>
      <c r="AA2699" s="102"/>
      <c r="AB2699" s="1"/>
      <c r="AC2699" s="1"/>
      <c r="AD2699" s="1"/>
      <c r="AE2699" s="1"/>
      <c r="AF2699" s="1"/>
      <c r="AG2699" s="1"/>
    </row>
    <row r="2700" ht="15.75" customHeight="1">
      <c r="A2700" s="1"/>
      <c r="B2700" s="1"/>
      <c r="C2700" s="1"/>
      <c r="D2700" s="1"/>
      <c r="E2700" s="1"/>
      <c r="F2700" s="1"/>
      <c r="G2700" s="1"/>
      <c r="H2700" s="1"/>
      <c r="I2700" s="1"/>
      <c r="J2700" s="1"/>
      <c r="K2700" s="102" t="s">
        <v>4853</v>
      </c>
      <c r="L2700" s="102" t="str">
        <f>U123</f>
        <v>J1a2a1a2d2b2b2c2b2a4a~</v>
      </c>
      <c r="M2700" s="102"/>
      <c r="N2700" s="102"/>
      <c r="O2700" s="105">
        <v>2750571.0</v>
      </c>
      <c r="P2700" s="105">
        <v>2882530.0</v>
      </c>
      <c r="Q2700" s="102" t="s">
        <v>2576</v>
      </c>
      <c r="S2700" s="1"/>
      <c r="T2700" s="1"/>
      <c r="U2700" s="1"/>
      <c r="V2700" s="1"/>
      <c r="W2700" s="1"/>
      <c r="X2700" s="1"/>
      <c r="Y2700" s="1"/>
      <c r="Z2700" s="102"/>
      <c r="AA2700" s="102"/>
      <c r="AB2700" s="1"/>
      <c r="AC2700" s="1"/>
      <c r="AD2700" s="1"/>
      <c r="AE2700" s="1"/>
      <c r="AF2700" s="1"/>
      <c r="AG2700" s="1"/>
    </row>
    <row r="2701" ht="15.75" customHeight="1">
      <c r="A2701" s="1"/>
      <c r="B2701" s="1"/>
      <c r="C2701" s="1"/>
      <c r="D2701" s="1"/>
      <c r="E2701" s="1"/>
      <c r="F2701" s="1"/>
      <c r="G2701" s="1"/>
      <c r="H2701" s="1"/>
      <c r="I2701" s="1"/>
      <c r="J2701" s="1"/>
      <c r="K2701" s="102" t="s">
        <v>4854</v>
      </c>
      <c r="L2701" s="102" t="str">
        <f>U123</f>
        <v>J1a2a1a2d2b2b2c2b2a4a~</v>
      </c>
      <c r="M2701" s="102"/>
      <c r="N2701" s="102" t="s">
        <v>4855</v>
      </c>
      <c r="O2701" s="105">
        <v>6958210.0</v>
      </c>
      <c r="P2701" s="105">
        <v>7090169.0</v>
      </c>
      <c r="Q2701" s="102" t="s">
        <v>2501</v>
      </c>
      <c r="S2701" s="1"/>
      <c r="T2701" s="1"/>
      <c r="U2701" s="1"/>
      <c r="V2701" s="1"/>
      <c r="W2701" s="1"/>
      <c r="X2701" s="1"/>
      <c r="Y2701" s="1"/>
      <c r="Z2701" s="102"/>
      <c r="AA2701" s="102"/>
      <c r="AB2701" s="1"/>
      <c r="AC2701" s="1"/>
      <c r="AD2701" s="1"/>
      <c r="AE2701" s="1"/>
      <c r="AF2701" s="1"/>
      <c r="AG2701" s="1"/>
    </row>
    <row r="2702" ht="15.75" customHeight="1">
      <c r="A2702" s="1"/>
      <c r="B2702" s="1"/>
      <c r="C2702" s="1"/>
      <c r="D2702" s="1"/>
      <c r="E2702" s="1"/>
      <c r="F2702" s="1"/>
      <c r="G2702" s="1"/>
      <c r="H2702" s="1"/>
      <c r="I2702" s="1"/>
      <c r="J2702" s="1"/>
      <c r="K2702" s="102" t="s">
        <v>4856</v>
      </c>
      <c r="L2702" s="102" t="str">
        <f>U123</f>
        <v>J1a2a1a2d2b2b2c2b2a4a~</v>
      </c>
      <c r="M2702" s="102"/>
      <c r="N2702" s="102"/>
      <c r="O2702" s="105">
        <v>1.4833479E7</v>
      </c>
      <c r="P2702" s="105">
        <v>1.2721546E7</v>
      </c>
      <c r="Q2702" s="102" t="s">
        <v>2529</v>
      </c>
      <c r="S2702" s="1"/>
      <c r="T2702" s="1"/>
      <c r="U2702" s="1"/>
      <c r="V2702" s="1"/>
      <c r="W2702" s="1"/>
      <c r="X2702" s="1"/>
      <c r="Y2702" s="1"/>
      <c r="Z2702" s="102"/>
      <c r="AA2702" s="102"/>
      <c r="AB2702" s="1"/>
      <c r="AC2702" s="1"/>
      <c r="AD2702" s="1"/>
      <c r="AE2702" s="1"/>
      <c r="AF2702" s="1"/>
      <c r="AG2702" s="1"/>
    </row>
    <row r="2703" ht="15.75" customHeight="1">
      <c r="A2703" s="1"/>
      <c r="B2703" s="1"/>
      <c r="C2703" s="1"/>
      <c r="D2703" s="1"/>
      <c r="E2703" s="1"/>
      <c r="F2703" s="1"/>
      <c r="G2703" s="1"/>
      <c r="H2703" s="1"/>
      <c r="I2703" s="1"/>
      <c r="J2703" s="1"/>
      <c r="K2703" s="102" t="s">
        <v>4857</v>
      </c>
      <c r="L2703" s="102" t="str">
        <f>U123</f>
        <v>J1a2a1a2d2b2b2c2b2a4a~</v>
      </c>
      <c r="M2703" s="102"/>
      <c r="N2703" s="102"/>
      <c r="O2703" s="105">
        <v>1.7978995E7</v>
      </c>
      <c r="P2703" s="105">
        <v>1.5867115E7</v>
      </c>
      <c r="Q2703" s="102" t="s">
        <v>2439</v>
      </c>
      <c r="S2703" s="1"/>
      <c r="T2703" s="1"/>
      <c r="U2703" s="1"/>
      <c r="V2703" s="1"/>
      <c r="W2703" s="1"/>
      <c r="X2703" s="1"/>
      <c r="Y2703" s="1"/>
      <c r="Z2703" s="102"/>
      <c r="AA2703" s="102"/>
      <c r="AB2703" s="1"/>
      <c r="AC2703" s="1"/>
      <c r="AD2703" s="1"/>
      <c r="AE2703" s="1"/>
      <c r="AF2703" s="1"/>
      <c r="AG2703" s="1"/>
    </row>
    <row r="2704" ht="15.75" customHeight="1">
      <c r="A2704" s="1"/>
      <c r="B2704" s="1"/>
      <c r="C2704" s="1"/>
      <c r="D2704" s="1"/>
      <c r="E2704" s="1"/>
      <c r="F2704" s="1"/>
      <c r="G2704" s="1"/>
      <c r="H2704" s="1"/>
      <c r="I2704" s="1"/>
      <c r="J2704" s="1"/>
      <c r="K2704" s="102" t="s">
        <v>4858</v>
      </c>
      <c r="L2704" s="102" t="str">
        <f>S124</f>
        <v>J1a2a1a2d2b2b2c2b2b~</v>
      </c>
      <c r="M2704" s="102"/>
      <c r="N2704" s="102"/>
      <c r="O2704" s="105">
        <v>9807611.0</v>
      </c>
      <c r="P2704" s="105">
        <v>9970002.0</v>
      </c>
      <c r="Q2704" s="102" t="s">
        <v>2468</v>
      </c>
      <c r="S2704" s="1"/>
      <c r="T2704" s="1"/>
      <c r="U2704" s="1"/>
      <c r="V2704" s="1"/>
      <c r="W2704" s="1"/>
      <c r="X2704" s="1"/>
      <c r="Y2704" s="1"/>
      <c r="Z2704" s="102"/>
      <c r="AA2704" s="102"/>
      <c r="AB2704" s="1"/>
      <c r="AC2704" s="1"/>
      <c r="AD2704" s="1"/>
      <c r="AE2704" s="1"/>
      <c r="AF2704" s="1"/>
      <c r="AG2704" s="1"/>
    </row>
    <row r="2705" ht="15.75" customHeight="1">
      <c r="A2705" s="1"/>
      <c r="B2705" s="1"/>
      <c r="C2705" s="1"/>
      <c r="D2705" s="1"/>
      <c r="E2705" s="1"/>
      <c r="F2705" s="1"/>
      <c r="G2705" s="1"/>
      <c r="H2705" s="1"/>
      <c r="I2705" s="1"/>
      <c r="J2705" s="1"/>
      <c r="K2705" s="102" t="s">
        <v>4859</v>
      </c>
      <c r="L2705" s="102" t="str">
        <f>S124</f>
        <v>J1a2a1a2d2b2b2c2b2b~</v>
      </c>
      <c r="M2705" s="102"/>
      <c r="N2705" s="102"/>
      <c r="O2705" s="105">
        <v>2.1358046E7</v>
      </c>
      <c r="P2705" s="105">
        <v>1.919616E7</v>
      </c>
      <c r="Q2705" s="102" t="s">
        <v>2501</v>
      </c>
      <c r="S2705" s="1"/>
      <c r="T2705" s="1"/>
      <c r="U2705" s="1"/>
      <c r="V2705" s="1"/>
      <c r="W2705" s="1"/>
      <c r="X2705" s="1"/>
      <c r="Y2705" s="1"/>
      <c r="Z2705" s="102"/>
      <c r="AA2705" s="102"/>
      <c r="AB2705" s="1"/>
      <c r="AC2705" s="1"/>
      <c r="AD2705" s="1"/>
      <c r="AE2705" s="1"/>
      <c r="AF2705" s="1"/>
      <c r="AG2705" s="1"/>
    </row>
    <row r="2706" ht="15.75" customHeight="1">
      <c r="A2706" s="1"/>
      <c r="B2706" s="1"/>
      <c r="C2706" s="1"/>
      <c r="D2706" s="1"/>
      <c r="E2706" s="1"/>
      <c r="F2706" s="1"/>
      <c r="G2706" s="1"/>
      <c r="H2706" s="1"/>
      <c r="I2706" s="1"/>
      <c r="J2706" s="1"/>
      <c r="K2706" s="102" t="s">
        <v>219</v>
      </c>
      <c r="L2706" s="102" t="str">
        <f>T125</f>
        <v>J1a2a1a2d2b2b2c2b2b1~</v>
      </c>
      <c r="M2706" s="102"/>
      <c r="N2706" s="102"/>
      <c r="O2706" s="105">
        <v>2.3134653E7</v>
      </c>
      <c r="P2706" s="105">
        <v>2.0972767E7</v>
      </c>
      <c r="Q2706" s="102" t="s">
        <v>2529</v>
      </c>
      <c r="S2706" s="1"/>
      <c r="T2706" s="1"/>
      <c r="U2706" s="1"/>
      <c r="V2706" s="1"/>
      <c r="W2706" s="1"/>
      <c r="X2706" s="1"/>
      <c r="Y2706" s="1"/>
      <c r="Z2706" s="102"/>
      <c r="AA2706" s="102"/>
      <c r="AB2706" s="1"/>
      <c r="AC2706" s="1"/>
      <c r="AD2706" s="1"/>
      <c r="AE2706" s="1"/>
      <c r="AF2706" s="1"/>
      <c r="AG2706" s="1"/>
    </row>
    <row r="2707" ht="15.75" customHeight="1">
      <c r="A2707" s="1"/>
      <c r="B2707" s="1"/>
      <c r="C2707" s="1"/>
      <c r="D2707" s="1"/>
      <c r="E2707" s="1"/>
      <c r="F2707" s="1"/>
      <c r="G2707" s="1"/>
      <c r="H2707" s="1"/>
      <c r="I2707" s="1"/>
      <c r="J2707" s="1"/>
      <c r="K2707" s="102" t="s">
        <v>221</v>
      </c>
      <c r="L2707" s="102" t="str">
        <f>U126</f>
        <v>J1a2a1a2d2b2b2c2b2b1a~</v>
      </c>
      <c r="M2707" s="102"/>
      <c r="N2707" s="102"/>
      <c r="O2707" s="105">
        <v>9808315.0</v>
      </c>
      <c r="P2707" s="105">
        <v>9970706.0</v>
      </c>
      <c r="Q2707" s="102" t="s">
        <v>2576</v>
      </c>
      <c r="S2707" s="1"/>
      <c r="T2707" s="1"/>
      <c r="U2707" s="1"/>
      <c r="V2707" s="1"/>
      <c r="W2707" s="1"/>
      <c r="X2707" s="1"/>
      <c r="Y2707" s="1"/>
      <c r="Z2707" s="102"/>
      <c r="AA2707" s="102"/>
      <c r="AB2707" s="1"/>
      <c r="AC2707" s="1"/>
      <c r="AD2707" s="1"/>
      <c r="AE2707" s="1"/>
      <c r="AF2707" s="1"/>
      <c r="AG2707" s="1"/>
    </row>
    <row r="2708" ht="15.75" customHeight="1">
      <c r="A2708" s="1"/>
      <c r="B2708" s="1"/>
      <c r="C2708" s="1"/>
      <c r="D2708" s="1"/>
      <c r="E2708" s="1"/>
      <c r="F2708" s="1"/>
      <c r="G2708" s="1"/>
      <c r="H2708" s="1"/>
      <c r="I2708" s="1"/>
      <c r="J2708" s="1"/>
      <c r="K2708" s="102" t="s">
        <v>4860</v>
      </c>
      <c r="L2708" s="102" t="str">
        <f>Q127</f>
        <v>J1a2a1a2d2b2b2c2c~</v>
      </c>
      <c r="M2708" s="102" t="s">
        <v>4861</v>
      </c>
      <c r="N2708" s="102" t="s">
        <v>4862</v>
      </c>
      <c r="O2708" s="105">
        <v>2.2203194E7</v>
      </c>
      <c r="P2708" s="105">
        <v>2.0041308E7</v>
      </c>
      <c r="Q2708" s="102" t="s">
        <v>2533</v>
      </c>
      <c r="S2708" s="1"/>
      <c r="T2708" s="1"/>
      <c r="U2708" s="1"/>
      <c r="V2708" s="1"/>
      <c r="W2708" s="1"/>
      <c r="X2708" s="1"/>
      <c r="Y2708" s="1"/>
      <c r="Z2708" s="102"/>
      <c r="AA2708" s="102"/>
      <c r="AB2708" s="1"/>
      <c r="AC2708" s="1"/>
      <c r="AD2708" s="1"/>
      <c r="AE2708" s="1"/>
      <c r="AF2708" s="1"/>
      <c r="AG2708" s="1"/>
    </row>
    <row r="2709" ht="15.75" customHeight="1">
      <c r="A2709" s="1"/>
      <c r="B2709" s="1"/>
      <c r="C2709" s="1"/>
      <c r="D2709" s="1"/>
      <c r="E2709" s="1"/>
      <c r="F2709" s="1"/>
      <c r="G2709" s="1"/>
      <c r="H2709" s="1"/>
      <c r="I2709" s="1"/>
      <c r="J2709" s="1"/>
      <c r="K2709" s="102" t="s">
        <v>4861</v>
      </c>
      <c r="L2709" s="102" t="str">
        <f>Q127</f>
        <v>J1a2a1a2d2b2b2c2c~</v>
      </c>
      <c r="M2709" s="102" t="s">
        <v>4860</v>
      </c>
      <c r="N2709" s="102" t="s">
        <v>4862</v>
      </c>
      <c r="O2709" s="105">
        <v>2.2203194E7</v>
      </c>
      <c r="P2709" s="105">
        <v>2.0041308E7</v>
      </c>
      <c r="Q2709" s="102" t="s">
        <v>2533</v>
      </c>
      <c r="S2709" s="1"/>
      <c r="T2709" s="1"/>
      <c r="U2709" s="1"/>
      <c r="V2709" s="1"/>
      <c r="W2709" s="1"/>
      <c r="X2709" s="1"/>
      <c r="Y2709" s="1"/>
      <c r="Z2709" s="102"/>
      <c r="AA2709" s="102"/>
      <c r="AB2709" s="1"/>
      <c r="AC2709" s="1"/>
      <c r="AD2709" s="1"/>
      <c r="AE2709" s="1"/>
      <c r="AF2709" s="1"/>
      <c r="AG2709" s="1"/>
    </row>
    <row r="2710" ht="15.75" customHeight="1">
      <c r="A2710" s="1"/>
      <c r="B2710" s="1"/>
      <c r="C2710" s="1"/>
      <c r="D2710" s="1"/>
      <c r="E2710" s="1"/>
      <c r="F2710" s="1"/>
      <c r="G2710" s="1"/>
      <c r="H2710" s="1"/>
      <c r="I2710" s="1"/>
      <c r="J2710" s="1"/>
      <c r="K2710" s="102" t="s">
        <v>4863</v>
      </c>
      <c r="L2710" s="102" t="str">
        <f>R128</f>
        <v>J1a2a1a2d2b2b2c2c1~</v>
      </c>
      <c r="M2710" s="102" t="s">
        <v>4864</v>
      </c>
      <c r="N2710" s="102" t="s">
        <v>4865</v>
      </c>
      <c r="O2710" s="105">
        <v>2762310.0</v>
      </c>
      <c r="P2710" s="105">
        <v>2894269.0</v>
      </c>
      <c r="Q2710" s="102" t="s">
        <v>2454</v>
      </c>
      <c r="S2710" s="1"/>
      <c r="T2710" s="1"/>
      <c r="U2710" s="1"/>
      <c r="V2710" s="1"/>
      <c r="W2710" s="1"/>
      <c r="X2710" s="1"/>
      <c r="Y2710" s="1"/>
      <c r="Z2710" s="102"/>
      <c r="AA2710" s="102"/>
      <c r="AB2710" s="1"/>
      <c r="AC2710" s="1"/>
      <c r="AD2710" s="1"/>
      <c r="AE2710" s="1"/>
      <c r="AF2710" s="1"/>
      <c r="AG2710" s="1"/>
    </row>
    <row r="2711" ht="15.75" customHeight="1">
      <c r="A2711" s="1"/>
      <c r="B2711" s="1"/>
      <c r="C2711" s="1"/>
      <c r="D2711" s="1"/>
      <c r="E2711" s="1"/>
      <c r="F2711" s="1"/>
      <c r="G2711" s="1"/>
      <c r="H2711" s="1"/>
      <c r="I2711" s="1"/>
      <c r="J2711" s="1"/>
      <c r="K2711" s="102" t="s">
        <v>4866</v>
      </c>
      <c r="L2711" s="102" t="str">
        <f>R128</f>
        <v>J1a2a1a2d2b2b2c2c1~</v>
      </c>
      <c r="M2711" s="102" t="s">
        <v>4867</v>
      </c>
      <c r="N2711" s="102" t="s">
        <v>4865</v>
      </c>
      <c r="O2711" s="105">
        <v>2762310.0</v>
      </c>
      <c r="P2711" s="105">
        <v>2894269.0</v>
      </c>
      <c r="Q2711" s="102" t="s">
        <v>2454</v>
      </c>
      <c r="S2711" s="1"/>
      <c r="T2711" s="1"/>
      <c r="U2711" s="1"/>
      <c r="V2711" s="1"/>
      <c r="W2711" s="1"/>
      <c r="X2711" s="1"/>
      <c r="Y2711" s="1"/>
      <c r="Z2711" s="102"/>
      <c r="AA2711" s="102"/>
      <c r="AB2711" s="1"/>
      <c r="AC2711" s="1"/>
      <c r="AD2711" s="1"/>
      <c r="AE2711" s="1"/>
      <c r="AF2711" s="1"/>
      <c r="AG2711" s="1"/>
    </row>
    <row r="2712" ht="15.75" customHeight="1">
      <c r="A2712" s="1"/>
      <c r="B2712" s="1"/>
      <c r="C2712" s="1"/>
      <c r="D2712" s="1"/>
      <c r="E2712" s="1"/>
      <c r="F2712" s="1"/>
      <c r="G2712" s="1"/>
      <c r="H2712" s="1"/>
      <c r="I2712" s="1"/>
      <c r="J2712" s="1"/>
      <c r="K2712" s="102" t="s">
        <v>4868</v>
      </c>
      <c r="L2712" s="102" t="str">
        <f>R128</f>
        <v>J1a2a1a2d2b2b2c2c1~</v>
      </c>
      <c r="M2712" s="102" t="s">
        <v>4869</v>
      </c>
      <c r="N2712" s="102" t="s">
        <v>4865</v>
      </c>
      <c r="O2712" s="105">
        <v>2762310.0</v>
      </c>
      <c r="P2712" s="105">
        <v>2894269.0</v>
      </c>
      <c r="Q2712" s="102" t="s">
        <v>2454</v>
      </c>
      <c r="S2712" s="1"/>
      <c r="T2712" s="1"/>
      <c r="U2712" s="1"/>
      <c r="V2712" s="1"/>
      <c r="W2712" s="1"/>
      <c r="X2712" s="1"/>
      <c r="Y2712" s="1"/>
      <c r="Z2712" s="102"/>
      <c r="AA2712" s="102"/>
      <c r="AB2712" s="1"/>
      <c r="AC2712" s="1"/>
      <c r="AD2712" s="1"/>
      <c r="AE2712" s="1"/>
      <c r="AF2712" s="1"/>
      <c r="AG2712" s="1"/>
    </row>
    <row r="2713" ht="15.75" customHeight="1">
      <c r="A2713" s="1"/>
      <c r="B2713" s="1"/>
      <c r="C2713" s="1"/>
      <c r="D2713" s="1"/>
      <c r="E2713" s="1"/>
      <c r="F2713" s="1"/>
      <c r="G2713" s="1"/>
      <c r="H2713" s="1"/>
      <c r="I2713" s="1"/>
      <c r="J2713" s="1"/>
      <c r="K2713" s="102" t="s">
        <v>4870</v>
      </c>
      <c r="L2713" s="102" t="str">
        <f>R128</f>
        <v>J1a2a1a2d2b2b2c2c1~</v>
      </c>
      <c r="M2713" s="102" t="s">
        <v>4871</v>
      </c>
      <c r="N2713" s="102" t="s">
        <v>4872</v>
      </c>
      <c r="O2713" s="105">
        <v>7683129.0</v>
      </c>
      <c r="P2713" s="105">
        <v>7815088.0</v>
      </c>
      <c r="Q2713" s="102" t="s">
        <v>2576</v>
      </c>
      <c r="S2713" s="1"/>
      <c r="T2713" s="1"/>
      <c r="U2713" s="1"/>
      <c r="V2713" s="1"/>
      <c r="W2713" s="1"/>
      <c r="X2713" s="1"/>
      <c r="Y2713" s="1"/>
      <c r="Z2713" s="102"/>
      <c r="AA2713" s="102"/>
      <c r="AB2713" s="1"/>
      <c r="AC2713" s="1"/>
      <c r="AD2713" s="1"/>
      <c r="AE2713" s="1"/>
      <c r="AF2713" s="1"/>
      <c r="AG2713" s="1"/>
    </row>
    <row r="2714" ht="15.75" customHeight="1">
      <c r="A2714" s="1"/>
      <c r="B2714" s="1"/>
      <c r="C2714" s="1"/>
      <c r="D2714" s="1"/>
      <c r="E2714" s="1"/>
      <c r="F2714" s="1"/>
      <c r="G2714" s="1"/>
      <c r="H2714" s="1"/>
      <c r="I2714" s="1"/>
      <c r="J2714" s="1"/>
      <c r="K2714" s="102" t="s">
        <v>4871</v>
      </c>
      <c r="L2714" s="102" t="str">
        <f>R128</f>
        <v>J1a2a1a2d2b2b2c2c1~</v>
      </c>
      <c r="M2714" s="102" t="s">
        <v>4870</v>
      </c>
      <c r="N2714" s="102" t="s">
        <v>4872</v>
      </c>
      <c r="O2714" s="105">
        <v>7683129.0</v>
      </c>
      <c r="P2714" s="105">
        <v>7815088.0</v>
      </c>
      <c r="Q2714" s="102" t="s">
        <v>2576</v>
      </c>
      <c r="S2714" s="1"/>
      <c r="T2714" s="1"/>
      <c r="U2714" s="1"/>
      <c r="V2714" s="1"/>
      <c r="W2714" s="1"/>
      <c r="X2714" s="1"/>
      <c r="Y2714" s="1"/>
      <c r="Z2714" s="102"/>
      <c r="AA2714" s="102"/>
      <c r="AB2714" s="1"/>
      <c r="AC2714" s="1"/>
      <c r="AD2714" s="1"/>
      <c r="AE2714" s="1"/>
      <c r="AF2714" s="1"/>
      <c r="AG2714" s="1"/>
    </row>
    <row r="2715" ht="15.75" customHeight="1">
      <c r="A2715" s="1"/>
      <c r="B2715" s="1"/>
      <c r="C2715" s="1"/>
      <c r="D2715" s="1"/>
      <c r="E2715" s="1"/>
      <c r="F2715" s="1"/>
      <c r="G2715" s="1"/>
      <c r="H2715" s="1"/>
      <c r="I2715" s="1"/>
      <c r="J2715" s="1"/>
      <c r="K2715" s="102" t="s">
        <v>4873</v>
      </c>
      <c r="L2715" s="102" t="str">
        <f>S129</f>
        <v>J1a2a1a2d2b2b2c2c1a~</v>
      </c>
      <c r="M2715" s="102" t="s">
        <v>4874</v>
      </c>
      <c r="N2715" s="102"/>
      <c r="O2715" s="105">
        <v>1.4488989E7</v>
      </c>
      <c r="P2715" s="105">
        <v>1.2368258E7</v>
      </c>
      <c r="Q2715" s="102" t="s">
        <v>2423</v>
      </c>
      <c r="S2715" s="1"/>
      <c r="T2715" s="1"/>
      <c r="U2715" s="1"/>
      <c r="V2715" s="1"/>
      <c r="W2715" s="1"/>
      <c r="X2715" s="1"/>
      <c r="Y2715" s="1"/>
      <c r="Z2715" s="102"/>
      <c r="AA2715" s="102"/>
      <c r="AB2715" s="1"/>
      <c r="AC2715" s="1"/>
      <c r="AD2715" s="1"/>
      <c r="AE2715" s="1"/>
      <c r="AF2715" s="1"/>
      <c r="AG2715" s="1"/>
    </row>
    <row r="2716" ht="15.75" customHeight="1">
      <c r="A2716" s="1"/>
      <c r="B2716" s="1"/>
      <c r="C2716" s="1"/>
      <c r="D2716" s="1"/>
      <c r="E2716" s="1"/>
      <c r="F2716" s="1"/>
      <c r="G2716" s="1"/>
      <c r="H2716" s="1"/>
      <c r="I2716" s="1"/>
      <c r="J2716" s="1"/>
      <c r="K2716" s="102" t="s">
        <v>4874</v>
      </c>
      <c r="L2716" s="102" t="str">
        <f>S129</f>
        <v>J1a2a1a2d2b2b2c2c1a~</v>
      </c>
      <c r="M2716" s="102" t="s">
        <v>4873</v>
      </c>
      <c r="N2716" s="102"/>
      <c r="O2716" s="105">
        <v>1.4488989E7</v>
      </c>
      <c r="P2716" s="105">
        <v>1.2368258E7</v>
      </c>
      <c r="Q2716" s="102" t="s">
        <v>2423</v>
      </c>
      <c r="S2716" s="1"/>
      <c r="T2716" s="1"/>
      <c r="U2716" s="1"/>
      <c r="V2716" s="1"/>
      <c r="W2716" s="1"/>
      <c r="X2716" s="1"/>
      <c r="Y2716" s="1"/>
      <c r="Z2716" s="102"/>
      <c r="AA2716" s="102"/>
      <c r="AB2716" s="1"/>
      <c r="AC2716" s="1"/>
      <c r="AD2716" s="1"/>
      <c r="AE2716" s="1"/>
      <c r="AF2716" s="1"/>
      <c r="AG2716" s="1"/>
    </row>
    <row r="2717" ht="15.75" customHeight="1">
      <c r="A2717" s="1"/>
      <c r="B2717" s="1"/>
      <c r="C2717" s="1"/>
      <c r="D2717" s="1"/>
      <c r="E2717" s="1"/>
      <c r="F2717" s="1"/>
      <c r="G2717" s="1"/>
      <c r="H2717" s="1"/>
      <c r="I2717" s="1"/>
      <c r="J2717" s="1"/>
      <c r="K2717" s="106" t="s">
        <v>4875</v>
      </c>
      <c r="L2717" s="102" t="str">
        <f>S129</f>
        <v>J1a2a1a2d2b2b2c2c1a~</v>
      </c>
      <c r="M2717" s="102"/>
      <c r="N2717" s="102"/>
      <c r="O2717" s="107">
        <v>1.7414883E7</v>
      </c>
      <c r="P2717" s="109">
        <v>1.5303003E7</v>
      </c>
      <c r="Q2717" s="106" t="s">
        <v>2514</v>
      </c>
      <c r="S2717" s="1"/>
      <c r="T2717" s="1"/>
      <c r="U2717" s="1"/>
      <c r="V2717" s="1"/>
      <c r="W2717" s="1"/>
      <c r="X2717" s="1"/>
      <c r="Y2717" s="1"/>
      <c r="Z2717" s="102"/>
      <c r="AA2717" s="102"/>
      <c r="AB2717" s="1"/>
      <c r="AC2717" s="1"/>
      <c r="AD2717" s="1"/>
      <c r="AE2717" s="1"/>
      <c r="AF2717" s="1"/>
      <c r="AG2717" s="1"/>
    </row>
    <row r="2718" ht="15.75" customHeight="1">
      <c r="A2718" s="1"/>
      <c r="B2718" s="1"/>
      <c r="C2718" s="1"/>
      <c r="D2718" s="1"/>
      <c r="E2718" s="1"/>
      <c r="F2718" s="1"/>
      <c r="G2718" s="1"/>
      <c r="H2718" s="1"/>
      <c r="I2718" s="1"/>
      <c r="J2718" s="1"/>
      <c r="K2718" s="102" t="s">
        <v>4876</v>
      </c>
      <c r="L2718" s="102" t="str">
        <f>S129</f>
        <v>J1a2a1a2d2b2b2c2c1a~</v>
      </c>
      <c r="M2718" s="102"/>
      <c r="N2718" s="102" t="s">
        <v>4877</v>
      </c>
      <c r="O2718" s="105">
        <v>1.3832942E7</v>
      </c>
      <c r="P2718" s="105">
        <v>1.1712236E7</v>
      </c>
      <c r="Q2718" s="102" t="s">
        <v>2439</v>
      </c>
      <c r="S2718" s="1"/>
      <c r="T2718" s="1"/>
      <c r="U2718" s="1"/>
      <c r="V2718" s="1"/>
      <c r="W2718" s="1"/>
      <c r="X2718" s="1"/>
      <c r="Y2718" s="1"/>
      <c r="Z2718" s="102"/>
      <c r="AA2718" s="102"/>
      <c r="AB2718" s="1"/>
      <c r="AC2718" s="1"/>
      <c r="AD2718" s="1"/>
      <c r="AE2718" s="1"/>
      <c r="AF2718" s="1"/>
      <c r="AG2718" s="1"/>
    </row>
    <row r="2719" ht="15.75" customHeight="1">
      <c r="A2719" s="1"/>
      <c r="B2719" s="1"/>
      <c r="C2719" s="1"/>
      <c r="D2719" s="1"/>
      <c r="E2719" s="1"/>
      <c r="F2719" s="1"/>
      <c r="G2719" s="1"/>
      <c r="H2719" s="1"/>
      <c r="I2719" s="1"/>
      <c r="J2719" s="1"/>
      <c r="K2719" s="102" t="s">
        <v>4878</v>
      </c>
      <c r="L2719" s="102" t="str">
        <f>S129</f>
        <v>J1a2a1a2d2b2b2c2c1a~</v>
      </c>
      <c r="M2719" s="102"/>
      <c r="N2719" s="102"/>
      <c r="O2719" s="105">
        <v>1.7692172E7</v>
      </c>
      <c r="P2719" s="105">
        <v>1.5580292E7</v>
      </c>
      <c r="Q2719" s="102" t="s">
        <v>2501</v>
      </c>
      <c r="S2719" s="1"/>
      <c r="T2719" s="1"/>
      <c r="U2719" s="1"/>
      <c r="V2719" s="1"/>
      <c r="W2719" s="1"/>
      <c r="X2719" s="1"/>
      <c r="Y2719" s="1"/>
      <c r="Z2719" s="102"/>
      <c r="AA2719" s="102"/>
      <c r="AB2719" s="1"/>
      <c r="AC2719" s="1"/>
      <c r="AD2719" s="1"/>
      <c r="AE2719" s="1"/>
      <c r="AF2719" s="1"/>
      <c r="AG2719" s="1"/>
    </row>
    <row r="2720" ht="15.75" customHeight="1">
      <c r="A2720" s="1"/>
      <c r="B2720" s="1"/>
      <c r="C2720" s="1"/>
      <c r="D2720" s="1"/>
      <c r="E2720" s="1"/>
      <c r="F2720" s="1"/>
      <c r="G2720" s="1"/>
      <c r="H2720" s="1"/>
      <c r="I2720" s="1"/>
      <c r="J2720" s="1"/>
      <c r="K2720" s="102" t="s">
        <v>4879</v>
      </c>
      <c r="L2720" s="102" t="str">
        <f>T130</f>
        <v>J1a2a1a2d2b2b2c2c1a1~</v>
      </c>
      <c r="M2720" s="102" t="s">
        <v>4880</v>
      </c>
      <c r="N2720" s="102" t="s">
        <v>4881</v>
      </c>
      <c r="O2720" s="105">
        <v>8355073.0</v>
      </c>
      <c r="P2720" s="105">
        <v>8487032.0</v>
      </c>
      <c r="Q2720" s="102" t="s">
        <v>2501</v>
      </c>
      <c r="S2720" s="1"/>
      <c r="T2720" s="1"/>
      <c r="U2720" s="1"/>
      <c r="V2720" s="1"/>
      <c r="W2720" s="1"/>
      <c r="X2720" s="1"/>
      <c r="Y2720" s="1"/>
      <c r="Z2720" s="102"/>
      <c r="AA2720" s="102"/>
      <c r="AB2720" s="1"/>
      <c r="AC2720" s="1"/>
      <c r="AD2720" s="1"/>
      <c r="AE2720" s="1"/>
      <c r="AF2720" s="1"/>
      <c r="AG2720" s="1"/>
    </row>
    <row r="2721" ht="15.75" customHeight="1">
      <c r="A2721" s="1"/>
      <c r="B2721" s="1"/>
      <c r="C2721" s="1"/>
      <c r="D2721" s="1"/>
      <c r="E2721" s="1"/>
      <c r="F2721" s="1"/>
      <c r="G2721" s="1"/>
      <c r="H2721" s="1"/>
      <c r="I2721" s="1"/>
      <c r="J2721" s="1"/>
      <c r="K2721" s="102" t="s">
        <v>4882</v>
      </c>
      <c r="L2721" s="102" t="str">
        <f>T130</f>
        <v>J1a2a1a2d2b2b2c2c1a1~</v>
      </c>
      <c r="M2721" s="102" t="s">
        <v>4883</v>
      </c>
      <c r="N2721" s="102" t="s">
        <v>4881</v>
      </c>
      <c r="O2721" s="105">
        <v>8355073.0</v>
      </c>
      <c r="P2721" s="105">
        <v>8487032.0</v>
      </c>
      <c r="Q2721" s="102" t="s">
        <v>2501</v>
      </c>
      <c r="S2721" s="1"/>
      <c r="T2721" s="1"/>
      <c r="U2721" s="1"/>
      <c r="V2721" s="1"/>
      <c r="W2721" s="1"/>
      <c r="X2721" s="1"/>
      <c r="Y2721" s="1"/>
      <c r="Z2721" s="102"/>
      <c r="AA2721" s="102"/>
      <c r="AB2721" s="1"/>
      <c r="AC2721" s="1"/>
      <c r="AD2721" s="1"/>
      <c r="AE2721" s="1"/>
      <c r="AF2721" s="1"/>
      <c r="AG2721" s="1"/>
    </row>
    <row r="2722" ht="15.75" customHeight="1">
      <c r="A2722" s="1"/>
      <c r="B2722" s="1"/>
      <c r="C2722" s="1"/>
      <c r="D2722" s="1"/>
      <c r="E2722" s="1"/>
      <c r="F2722" s="1"/>
      <c r="G2722" s="1"/>
      <c r="H2722" s="1"/>
      <c r="I2722" s="1"/>
      <c r="J2722" s="1"/>
      <c r="K2722" s="102" t="s">
        <v>4884</v>
      </c>
      <c r="L2722" s="102" t="str">
        <f>T130</f>
        <v>J1a2a1a2d2b2b2c2c1a1~</v>
      </c>
      <c r="M2722" s="102" t="s">
        <v>4885</v>
      </c>
      <c r="N2722" s="102" t="s">
        <v>4881</v>
      </c>
      <c r="O2722" s="105">
        <v>8355073.0</v>
      </c>
      <c r="P2722" s="105">
        <v>8487032.0</v>
      </c>
      <c r="Q2722" s="102" t="s">
        <v>2501</v>
      </c>
      <c r="S2722" s="1"/>
      <c r="T2722" s="1"/>
      <c r="U2722" s="1"/>
      <c r="V2722" s="1"/>
      <c r="W2722" s="1"/>
      <c r="X2722" s="1"/>
      <c r="Y2722" s="1"/>
      <c r="Z2722" s="102"/>
      <c r="AA2722" s="102"/>
      <c r="AB2722" s="1"/>
      <c r="AC2722" s="1"/>
      <c r="AD2722" s="1"/>
      <c r="AE2722" s="1"/>
      <c r="AF2722" s="1"/>
      <c r="AG2722" s="1"/>
    </row>
    <row r="2723" ht="15.75" customHeight="1">
      <c r="A2723" s="1"/>
      <c r="B2723" s="1"/>
      <c r="C2723" s="1"/>
      <c r="D2723" s="1"/>
      <c r="E2723" s="1"/>
      <c r="F2723" s="1"/>
      <c r="G2723" s="1"/>
      <c r="H2723" s="1"/>
      <c r="I2723" s="1"/>
      <c r="J2723" s="1"/>
      <c r="K2723" s="102" t="s">
        <v>4886</v>
      </c>
      <c r="L2723" s="102" t="str">
        <f>T130</f>
        <v>J1a2a1a2d2b2b2c2c1a1~</v>
      </c>
      <c r="M2723" s="102" t="s">
        <v>4887</v>
      </c>
      <c r="N2723" s="102"/>
      <c r="O2723" s="105">
        <v>9106806.0</v>
      </c>
      <c r="P2723" s="105">
        <v>9269197.0</v>
      </c>
      <c r="Q2723" s="102" t="s">
        <v>2439</v>
      </c>
      <c r="S2723" s="1"/>
      <c r="T2723" s="1"/>
      <c r="U2723" s="1"/>
      <c r="V2723" s="1"/>
      <c r="W2723" s="1"/>
      <c r="X2723" s="1"/>
      <c r="Y2723" s="1"/>
      <c r="Z2723" s="102"/>
      <c r="AA2723" s="102"/>
      <c r="AB2723" s="1"/>
      <c r="AC2723" s="1"/>
      <c r="AD2723" s="1"/>
      <c r="AE2723" s="1"/>
      <c r="AF2723" s="1"/>
      <c r="AG2723" s="1"/>
    </row>
    <row r="2724" ht="15.75" customHeight="1">
      <c r="A2724" s="1"/>
      <c r="B2724" s="1"/>
      <c r="C2724" s="1"/>
      <c r="D2724" s="1"/>
      <c r="E2724" s="1"/>
      <c r="F2724" s="1"/>
      <c r="G2724" s="1"/>
      <c r="H2724" s="1"/>
      <c r="I2724" s="1"/>
      <c r="J2724" s="1"/>
      <c r="K2724" s="102" t="s">
        <v>4887</v>
      </c>
      <c r="L2724" s="102" t="str">
        <f>T130</f>
        <v>J1a2a1a2d2b2b2c2c1a1~</v>
      </c>
      <c r="M2724" s="102" t="s">
        <v>4886</v>
      </c>
      <c r="N2724" s="102"/>
      <c r="O2724" s="105">
        <v>9106806.0</v>
      </c>
      <c r="P2724" s="105">
        <v>9269197.0</v>
      </c>
      <c r="Q2724" s="102" t="s">
        <v>2439</v>
      </c>
      <c r="S2724" s="1"/>
      <c r="T2724" s="1"/>
      <c r="U2724" s="1"/>
      <c r="V2724" s="1"/>
      <c r="W2724" s="1"/>
      <c r="X2724" s="1"/>
      <c r="Y2724" s="1"/>
      <c r="Z2724" s="102"/>
      <c r="AA2724" s="102"/>
      <c r="AB2724" s="1"/>
      <c r="AC2724" s="1"/>
      <c r="AD2724" s="1"/>
      <c r="AE2724" s="1"/>
      <c r="AF2724" s="1"/>
      <c r="AG2724" s="1"/>
    </row>
    <row r="2725" ht="15.75" customHeight="1">
      <c r="A2725" s="1"/>
      <c r="B2725" s="1"/>
      <c r="C2725" s="1"/>
      <c r="D2725" s="1"/>
      <c r="E2725" s="1"/>
      <c r="F2725" s="1"/>
      <c r="G2725" s="1"/>
      <c r="H2725" s="1"/>
      <c r="I2725" s="1"/>
      <c r="J2725" s="1"/>
      <c r="K2725" s="102" t="s">
        <v>4888</v>
      </c>
      <c r="L2725" s="102" t="str">
        <f>T130</f>
        <v>J1a2a1a2d2b2b2c2c1a1~</v>
      </c>
      <c r="M2725" s="102" t="s">
        <v>4889</v>
      </c>
      <c r="N2725" s="102"/>
      <c r="O2725" s="105">
        <v>1.4308607E7</v>
      </c>
      <c r="P2725" s="105">
        <v>1.2187901E7</v>
      </c>
      <c r="Q2725" s="102" t="s">
        <v>2439</v>
      </c>
      <c r="S2725" s="1"/>
      <c r="T2725" s="1"/>
      <c r="U2725" s="1"/>
      <c r="V2725" s="1"/>
      <c r="W2725" s="1"/>
      <c r="X2725" s="1"/>
      <c r="Y2725" s="1"/>
      <c r="Z2725" s="102"/>
      <c r="AA2725" s="102"/>
      <c r="AB2725" s="1"/>
      <c r="AC2725" s="1"/>
      <c r="AD2725" s="1"/>
      <c r="AE2725" s="1"/>
      <c r="AF2725" s="1"/>
      <c r="AG2725" s="1"/>
    </row>
    <row r="2726" ht="15.75" customHeight="1">
      <c r="A2726" s="1"/>
      <c r="B2726" s="1"/>
      <c r="C2726" s="1"/>
      <c r="D2726" s="1"/>
      <c r="E2726" s="1"/>
      <c r="F2726" s="1"/>
      <c r="G2726" s="1"/>
      <c r="H2726" s="1"/>
      <c r="I2726" s="1"/>
      <c r="J2726" s="1"/>
      <c r="K2726" s="102" t="s">
        <v>4889</v>
      </c>
      <c r="L2726" s="102" t="str">
        <f>T130</f>
        <v>J1a2a1a2d2b2b2c2c1a1~</v>
      </c>
      <c r="M2726" s="102" t="s">
        <v>4888</v>
      </c>
      <c r="N2726" s="102"/>
      <c r="O2726" s="105">
        <v>1.4308607E7</v>
      </c>
      <c r="P2726" s="105">
        <v>1.2187901E7</v>
      </c>
      <c r="Q2726" s="102" t="s">
        <v>2439</v>
      </c>
      <c r="S2726" s="1"/>
      <c r="T2726" s="1"/>
      <c r="U2726" s="1"/>
      <c r="V2726" s="1"/>
      <c r="W2726" s="1"/>
      <c r="X2726" s="1"/>
      <c r="Y2726" s="1"/>
      <c r="Z2726" s="102"/>
      <c r="AA2726" s="102"/>
      <c r="AB2726" s="1"/>
      <c r="AC2726" s="1"/>
      <c r="AD2726" s="1"/>
      <c r="AE2726" s="1"/>
      <c r="AF2726" s="1"/>
      <c r="AG2726" s="1"/>
    </row>
    <row r="2727" ht="15.75" customHeight="1">
      <c r="A2727" s="1"/>
      <c r="B2727" s="1"/>
      <c r="C2727" s="1"/>
      <c r="D2727" s="1"/>
      <c r="E2727" s="1"/>
      <c r="F2727" s="1"/>
      <c r="G2727" s="1"/>
      <c r="H2727" s="1"/>
      <c r="I2727" s="1"/>
      <c r="J2727" s="1"/>
      <c r="K2727" s="102" t="s">
        <v>4890</v>
      </c>
      <c r="L2727" s="102" t="str">
        <f>T130</f>
        <v>J1a2a1a2d2b2b2c2c1a1~</v>
      </c>
      <c r="M2727" s="102" t="s">
        <v>4891</v>
      </c>
      <c r="N2727" s="102"/>
      <c r="O2727" s="105">
        <v>1.7225214E7</v>
      </c>
      <c r="P2727" s="105">
        <v>1.5113334E7</v>
      </c>
      <c r="Q2727" s="102" t="s">
        <v>2563</v>
      </c>
      <c r="S2727" s="1"/>
      <c r="T2727" s="1"/>
      <c r="U2727" s="1"/>
      <c r="V2727" s="1"/>
      <c r="W2727" s="1"/>
      <c r="X2727" s="1"/>
      <c r="Y2727" s="1"/>
      <c r="Z2727" s="102"/>
      <c r="AA2727" s="102"/>
      <c r="AB2727" s="1"/>
      <c r="AC2727" s="1"/>
      <c r="AD2727" s="1"/>
      <c r="AE2727" s="1"/>
      <c r="AF2727" s="1"/>
      <c r="AG2727" s="1"/>
    </row>
    <row r="2728" ht="15.75" customHeight="1">
      <c r="A2728" s="1"/>
      <c r="B2728" s="1"/>
      <c r="C2728" s="1"/>
      <c r="D2728" s="1"/>
      <c r="E2728" s="1"/>
      <c r="F2728" s="1"/>
      <c r="G2728" s="1"/>
      <c r="H2728" s="1"/>
      <c r="I2728" s="1"/>
      <c r="J2728" s="1"/>
      <c r="K2728" s="102" t="s">
        <v>4891</v>
      </c>
      <c r="L2728" s="102" t="str">
        <f>T130</f>
        <v>J1a2a1a2d2b2b2c2c1a1~</v>
      </c>
      <c r="M2728" s="102" t="s">
        <v>4890</v>
      </c>
      <c r="N2728" s="102"/>
      <c r="O2728" s="105">
        <v>1.7225214E7</v>
      </c>
      <c r="P2728" s="105">
        <v>1.5113334E7</v>
      </c>
      <c r="Q2728" s="102" t="s">
        <v>2563</v>
      </c>
      <c r="S2728" s="1"/>
      <c r="T2728" s="1"/>
      <c r="U2728" s="1"/>
      <c r="V2728" s="1"/>
      <c r="W2728" s="1"/>
      <c r="X2728" s="1"/>
      <c r="Y2728" s="1"/>
      <c r="Z2728" s="102"/>
      <c r="AA2728" s="102"/>
      <c r="AB2728" s="1"/>
      <c r="AC2728" s="1"/>
      <c r="AD2728" s="1"/>
      <c r="AE2728" s="1"/>
      <c r="AF2728" s="1"/>
      <c r="AG2728" s="1"/>
    </row>
    <row r="2729" ht="15.75" customHeight="1">
      <c r="A2729" s="1"/>
      <c r="B2729" s="1"/>
      <c r="C2729" s="1"/>
      <c r="D2729" s="1"/>
      <c r="E2729" s="1"/>
      <c r="F2729" s="1"/>
      <c r="G2729" s="1"/>
      <c r="H2729" s="1"/>
      <c r="I2729" s="1"/>
      <c r="J2729" s="1"/>
      <c r="K2729" s="106" t="s">
        <v>4892</v>
      </c>
      <c r="L2729" s="102" t="str">
        <f>T130</f>
        <v>J1a2a1a2d2b2b2c2c1a1~</v>
      </c>
      <c r="M2729" s="102" t="s">
        <v>4893</v>
      </c>
      <c r="N2729" s="102"/>
      <c r="O2729" s="105">
        <v>2.1560896E7</v>
      </c>
      <c r="P2729" s="105">
        <v>1.939901E7</v>
      </c>
      <c r="Q2729" s="102" t="s">
        <v>2514</v>
      </c>
      <c r="S2729" s="1"/>
      <c r="T2729" s="1"/>
      <c r="U2729" s="1"/>
      <c r="V2729" s="1"/>
      <c r="W2729" s="1"/>
      <c r="X2729" s="1"/>
      <c r="Y2729" s="1"/>
      <c r="Z2729" s="102" t="s">
        <v>4894</v>
      </c>
      <c r="AA2729" s="102"/>
      <c r="AB2729" s="1"/>
      <c r="AC2729" s="1"/>
      <c r="AD2729" s="1"/>
      <c r="AE2729" s="1"/>
      <c r="AF2729" s="1"/>
      <c r="AG2729" s="1"/>
    </row>
    <row r="2730" ht="15.75" customHeight="1">
      <c r="A2730" s="1"/>
      <c r="B2730" s="1"/>
      <c r="C2730" s="1"/>
      <c r="D2730" s="1"/>
      <c r="E2730" s="1"/>
      <c r="F2730" s="1"/>
      <c r="G2730" s="1"/>
      <c r="H2730" s="1"/>
      <c r="I2730" s="1"/>
      <c r="J2730" s="1"/>
      <c r="K2730" s="102" t="s">
        <v>4893</v>
      </c>
      <c r="L2730" s="102" t="str">
        <f t="shared" ref="L2730:L2731" si="28">T130</f>
        <v>J1a2a1a2d2b2b2c2c1a1~</v>
      </c>
      <c r="M2730" s="106" t="s">
        <v>4892</v>
      </c>
      <c r="N2730" s="102"/>
      <c r="O2730" s="105">
        <v>2.1560896E7</v>
      </c>
      <c r="P2730" s="105">
        <v>1.939901E7</v>
      </c>
      <c r="Q2730" s="102" t="s">
        <v>2514</v>
      </c>
      <c r="S2730" s="1"/>
      <c r="T2730" s="1"/>
      <c r="U2730" s="1"/>
      <c r="V2730" s="1"/>
      <c r="W2730" s="1"/>
      <c r="X2730" s="1"/>
      <c r="Y2730" s="1"/>
      <c r="Z2730" s="102"/>
      <c r="AA2730" s="102"/>
      <c r="AB2730" s="1"/>
      <c r="AC2730" s="1"/>
      <c r="AD2730" s="1"/>
      <c r="AE2730" s="1"/>
      <c r="AF2730" s="1"/>
      <c r="AG2730" s="1"/>
    </row>
    <row r="2731" ht="15.75" customHeight="1">
      <c r="A2731" s="1"/>
      <c r="B2731" s="1"/>
      <c r="C2731" s="1"/>
      <c r="D2731" s="1"/>
      <c r="E2731" s="1"/>
      <c r="F2731" s="1"/>
      <c r="G2731" s="1"/>
      <c r="H2731" s="1"/>
      <c r="I2731" s="1"/>
      <c r="J2731" s="1"/>
      <c r="K2731" s="102" t="s">
        <v>4895</v>
      </c>
      <c r="L2731" s="102" t="str">
        <f t="shared" si="28"/>
        <v>J1a2a1a2d2b2b2c2c1a2~</v>
      </c>
      <c r="M2731" s="102"/>
      <c r="N2731" s="102"/>
      <c r="O2731" s="105">
        <v>1.7956481E7</v>
      </c>
      <c r="P2731" s="105">
        <v>1.5844601E7</v>
      </c>
      <c r="Q2731" s="102" t="s">
        <v>2533</v>
      </c>
      <c r="S2731" s="1"/>
      <c r="T2731" s="1"/>
      <c r="U2731" s="1"/>
      <c r="V2731" s="1"/>
      <c r="W2731" s="1"/>
      <c r="X2731" s="1"/>
      <c r="Y2731" s="1"/>
      <c r="Z2731" s="102"/>
      <c r="AA2731" s="102"/>
      <c r="AB2731" s="1"/>
      <c r="AC2731" s="1"/>
      <c r="AD2731" s="1"/>
      <c r="AE2731" s="1"/>
      <c r="AF2731" s="1"/>
      <c r="AG2731" s="1"/>
    </row>
    <row r="2732" ht="15.75" customHeight="1">
      <c r="A2732" s="1"/>
      <c r="B2732" s="1"/>
      <c r="C2732" s="1"/>
      <c r="D2732" s="1"/>
      <c r="E2732" s="1"/>
      <c r="F2732" s="1"/>
      <c r="G2732" s="1"/>
      <c r="H2732" s="1"/>
      <c r="I2732" s="1"/>
      <c r="J2732" s="1"/>
      <c r="K2732" s="102" t="s">
        <v>4896</v>
      </c>
      <c r="L2732" s="102" t="str">
        <f>T131</f>
        <v>J1a2a1a2d2b2b2c2c1a2~</v>
      </c>
      <c r="M2732" s="102"/>
      <c r="N2732" s="102"/>
      <c r="O2732" s="105">
        <v>7691162.0</v>
      </c>
      <c r="P2732" s="105">
        <v>7823121.0</v>
      </c>
      <c r="Q2732" s="102" t="s">
        <v>2439</v>
      </c>
      <c r="S2732" s="1"/>
      <c r="T2732" s="1"/>
      <c r="U2732" s="1"/>
      <c r="V2732" s="1"/>
      <c r="W2732" s="1"/>
      <c r="X2732" s="1"/>
      <c r="Y2732" s="1"/>
      <c r="Z2732" s="102"/>
      <c r="AA2732" s="102"/>
      <c r="AB2732" s="1"/>
      <c r="AC2732" s="1"/>
      <c r="AD2732" s="1"/>
      <c r="AE2732" s="1"/>
      <c r="AF2732" s="1"/>
      <c r="AG2732" s="1"/>
    </row>
    <row r="2733" ht="15.75" customHeight="1">
      <c r="A2733" s="1"/>
      <c r="B2733" s="1"/>
      <c r="C2733" s="1"/>
      <c r="D2733" s="1"/>
      <c r="E2733" s="1"/>
      <c r="F2733" s="1"/>
      <c r="G2733" s="1"/>
      <c r="H2733" s="1"/>
      <c r="I2733" s="1"/>
      <c r="J2733" s="1"/>
      <c r="K2733" s="102" t="s">
        <v>4897</v>
      </c>
      <c r="L2733" s="102" t="str">
        <f t="shared" ref="L2733:L2734" si="29">T131</f>
        <v>J1a2a1a2d2b2b2c2c1a2~</v>
      </c>
      <c r="M2733" s="102"/>
      <c r="N2733" s="102"/>
      <c r="O2733" s="105">
        <v>1.9060702E7</v>
      </c>
      <c r="P2733" s="105">
        <v>1.6948822E7</v>
      </c>
      <c r="Q2733" s="102" t="s">
        <v>2468</v>
      </c>
      <c r="S2733" s="1"/>
      <c r="T2733" s="1"/>
      <c r="U2733" s="1"/>
      <c r="V2733" s="1"/>
      <c r="W2733" s="1"/>
      <c r="X2733" s="1"/>
      <c r="Y2733" s="1"/>
      <c r="Z2733" s="102"/>
      <c r="AA2733" s="102"/>
      <c r="AB2733" s="1"/>
      <c r="AC2733" s="1"/>
      <c r="AD2733" s="1"/>
      <c r="AE2733" s="1"/>
      <c r="AF2733" s="1"/>
      <c r="AG2733" s="1"/>
    </row>
    <row r="2734" ht="15.75" customHeight="1">
      <c r="A2734" s="1"/>
      <c r="B2734" s="1"/>
      <c r="C2734" s="1"/>
      <c r="D2734" s="1"/>
      <c r="E2734" s="1"/>
      <c r="F2734" s="1"/>
      <c r="G2734" s="1"/>
      <c r="H2734" s="1"/>
      <c r="I2734" s="1"/>
      <c r="J2734" s="1"/>
      <c r="K2734" s="102" t="s">
        <v>4898</v>
      </c>
      <c r="L2734" s="102" t="str">
        <f t="shared" si="29"/>
        <v>J1a2a1a2d2b2b2c2c1a3~</v>
      </c>
      <c r="M2734" s="102"/>
      <c r="N2734" s="102" t="s">
        <v>4899</v>
      </c>
      <c r="O2734" s="105">
        <v>8463721.0</v>
      </c>
      <c r="P2734" s="105">
        <v>8595680.0</v>
      </c>
      <c r="Q2734" s="102" t="s">
        <v>2439</v>
      </c>
      <c r="S2734" s="1"/>
      <c r="T2734" s="1"/>
      <c r="U2734" s="1"/>
      <c r="V2734" s="1"/>
      <c r="W2734" s="1"/>
      <c r="X2734" s="1"/>
      <c r="Y2734" s="1"/>
      <c r="Z2734" s="102"/>
      <c r="AA2734" s="102"/>
      <c r="AB2734" s="1"/>
      <c r="AC2734" s="1"/>
      <c r="AD2734" s="1"/>
      <c r="AE2734" s="1"/>
      <c r="AF2734" s="1"/>
      <c r="AG2734" s="1"/>
    </row>
    <row r="2735" ht="15.75" customHeight="1">
      <c r="A2735" s="1"/>
      <c r="B2735" s="1"/>
      <c r="C2735" s="1"/>
      <c r="D2735" s="1"/>
      <c r="E2735" s="1"/>
      <c r="F2735" s="1"/>
      <c r="G2735" s="1"/>
      <c r="H2735" s="1"/>
      <c r="I2735" s="1"/>
      <c r="J2735" s="1"/>
      <c r="K2735" s="102" t="s">
        <v>4900</v>
      </c>
      <c r="L2735" s="102" t="str">
        <f>T132</f>
        <v>J1a2a1a2d2b2b2c2c1a3~</v>
      </c>
      <c r="M2735" s="102"/>
      <c r="N2735" s="102"/>
      <c r="O2735" s="105">
        <v>1.5311509E7</v>
      </c>
      <c r="P2735" s="105">
        <v>1.3199614E7</v>
      </c>
      <c r="Q2735" s="102" t="s">
        <v>2439</v>
      </c>
      <c r="S2735" s="1"/>
      <c r="T2735" s="1"/>
      <c r="U2735" s="1"/>
      <c r="V2735" s="1"/>
      <c r="W2735" s="1"/>
      <c r="X2735" s="1"/>
      <c r="Y2735" s="1"/>
      <c r="Z2735" s="102"/>
      <c r="AA2735" s="102"/>
      <c r="AB2735" s="1"/>
      <c r="AC2735" s="1"/>
      <c r="AD2735" s="1"/>
      <c r="AE2735" s="1"/>
      <c r="AF2735" s="1"/>
      <c r="AG2735" s="1"/>
    </row>
    <row r="2736" ht="15.75" customHeight="1">
      <c r="A2736" s="1"/>
      <c r="B2736" s="1"/>
      <c r="C2736" s="1"/>
      <c r="D2736" s="1"/>
      <c r="E2736" s="1"/>
      <c r="F2736" s="1"/>
      <c r="G2736" s="1"/>
      <c r="H2736" s="1"/>
      <c r="I2736" s="1"/>
      <c r="J2736" s="1"/>
      <c r="K2736" s="102" t="s">
        <v>4901</v>
      </c>
      <c r="L2736" s="102" t="str">
        <f>T132</f>
        <v>J1a2a1a2d2b2b2c2c1a3~</v>
      </c>
      <c r="M2736" s="102"/>
      <c r="N2736" s="102"/>
      <c r="O2736" s="105">
        <v>1.7404956E7</v>
      </c>
      <c r="P2736" s="105">
        <v>1.5293076E7</v>
      </c>
      <c r="Q2736" s="102" t="s">
        <v>2439</v>
      </c>
      <c r="S2736" s="1"/>
      <c r="T2736" s="1"/>
      <c r="U2736" s="1"/>
      <c r="V2736" s="1"/>
      <c r="W2736" s="1"/>
      <c r="X2736" s="1"/>
      <c r="Y2736" s="1"/>
      <c r="Z2736" s="102"/>
      <c r="AA2736" s="102"/>
      <c r="AB2736" s="1"/>
      <c r="AC2736" s="1"/>
      <c r="AD2736" s="1"/>
      <c r="AE2736" s="1"/>
      <c r="AF2736" s="1"/>
      <c r="AG2736" s="1"/>
    </row>
    <row r="2737" ht="15.75" customHeight="1">
      <c r="A2737" s="1"/>
      <c r="B2737" s="1"/>
      <c r="C2737" s="1"/>
      <c r="D2737" s="1"/>
      <c r="E2737" s="1"/>
      <c r="F2737" s="1"/>
      <c r="G2737" s="1"/>
      <c r="H2737" s="1"/>
      <c r="I2737" s="1"/>
      <c r="J2737" s="1"/>
      <c r="K2737" s="102" t="s">
        <v>4902</v>
      </c>
      <c r="L2737" s="102" t="str">
        <f>T132</f>
        <v>J1a2a1a2d2b2b2c2c1a3~</v>
      </c>
      <c r="M2737" s="102"/>
      <c r="N2737" s="102"/>
      <c r="O2737" s="105">
        <v>1.7738039E7</v>
      </c>
      <c r="P2737" s="105">
        <v>1.5626159E7</v>
      </c>
      <c r="Q2737" s="102" t="s">
        <v>2439</v>
      </c>
      <c r="S2737" s="1"/>
      <c r="T2737" s="1"/>
      <c r="U2737" s="1"/>
      <c r="V2737" s="1"/>
      <c r="W2737" s="1"/>
      <c r="X2737" s="1"/>
      <c r="Y2737" s="1"/>
      <c r="Z2737" s="102"/>
      <c r="AA2737" s="102"/>
      <c r="AB2737" s="1"/>
      <c r="AC2737" s="1"/>
      <c r="AD2737" s="1"/>
      <c r="AE2737" s="1"/>
      <c r="AF2737" s="1"/>
      <c r="AG2737" s="1"/>
    </row>
    <row r="2738" ht="15.75" customHeight="1">
      <c r="A2738" s="1"/>
      <c r="B2738" s="1"/>
      <c r="C2738" s="1"/>
      <c r="D2738" s="1"/>
      <c r="E2738" s="1"/>
      <c r="F2738" s="1"/>
      <c r="G2738" s="1"/>
      <c r="H2738" s="1"/>
      <c r="I2738" s="1"/>
      <c r="J2738" s="1"/>
      <c r="K2738" s="102" t="s">
        <v>4903</v>
      </c>
      <c r="L2738" s="102" t="str">
        <f>T132</f>
        <v>J1a2a1a2d2b2b2c2c1a3~</v>
      </c>
      <c r="M2738" s="102"/>
      <c r="N2738" s="102"/>
      <c r="O2738" s="105">
        <v>1.773818E7</v>
      </c>
      <c r="P2738" s="105">
        <v>1.56263E7</v>
      </c>
      <c r="Q2738" s="102" t="s">
        <v>2576</v>
      </c>
      <c r="S2738" s="1"/>
      <c r="T2738" s="1"/>
      <c r="U2738" s="1"/>
      <c r="V2738" s="1"/>
      <c r="W2738" s="1"/>
      <c r="X2738" s="1"/>
      <c r="Y2738" s="1"/>
      <c r="Z2738" s="102"/>
      <c r="AA2738" s="102"/>
      <c r="AB2738" s="1"/>
      <c r="AC2738" s="1"/>
      <c r="AD2738" s="1"/>
      <c r="AE2738" s="1"/>
      <c r="AF2738" s="1"/>
      <c r="AG2738" s="1"/>
    </row>
    <row r="2739" ht="15.75" customHeight="1">
      <c r="A2739" s="1"/>
      <c r="B2739" s="1"/>
      <c r="C2739" s="1"/>
      <c r="D2739" s="1"/>
      <c r="E2739" s="1"/>
      <c r="F2739" s="1"/>
      <c r="G2739" s="1"/>
      <c r="H2739" s="1"/>
      <c r="I2739" s="1"/>
      <c r="J2739" s="1"/>
      <c r="K2739" s="102" t="s">
        <v>4904</v>
      </c>
      <c r="L2739" s="102" t="str">
        <f>P133</f>
        <v>J1a2a1a2d2b2b2c3~</v>
      </c>
      <c r="M2739" s="102" t="s">
        <v>4905</v>
      </c>
      <c r="N2739" s="102" t="s">
        <v>4906</v>
      </c>
      <c r="O2739" s="105">
        <v>8630196.0</v>
      </c>
      <c r="P2739" s="105">
        <v>8762155.0</v>
      </c>
      <c r="Q2739" s="102" t="s">
        <v>2501</v>
      </c>
      <c r="S2739" s="1"/>
      <c r="T2739" s="1"/>
      <c r="U2739" s="1"/>
      <c r="V2739" s="1"/>
      <c r="W2739" s="1"/>
      <c r="X2739" s="1"/>
      <c r="Y2739" s="1"/>
      <c r="Z2739" s="102"/>
      <c r="AA2739" s="102"/>
      <c r="AB2739" s="1"/>
      <c r="AC2739" s="1"/>
      <c r="AD2739" s="1"/>
      <c r="AE2739" s="1"/>
      <c r="AF2739" s="1"/>
      <c r="AG2739" s="1"/>
    </row>
    <row r="2740" ht="15.75" customHeight="1">
      <c r="A2740" s="1"/>
      <c r="B2740" s="1"/>
      <c r="C2740" s="1"/>
      <c r="D2740" s="1"/>
      <c r="E2740" s="1"/>
      <c r="F2740" s="1"/>
      <c r="G2740" s="1"/>
      <c r="H2740" s="1"/>
      <c r="I2740" s="1"/>
      <c r="J2740" s="1"/>
      <c r="K2740" s="102" t="s">
        <v>4905</v>
      </c>
      <c r="L2740" s="102" t="str">
        <f>P133</f>
        <v>J1a2a1a2d2b2b2c3~</v>
      </c>
      <c r="M2740" s="102" t="s">
        <v>4904</v>
      </c>
      <c r="N2740" s="102" t="s">
        <v>4906</v>
      </c>
      <c r="O2740" s="105">
        <v>8630196.0</v>
      </c>
      <c r="P2740" s="105">
        <v>8762155.0</v>
      </c>
      <c r="Q2740" s="102" t="s">
        <v>2501</v>
      </c>
      <c r="S2740" s="1"/>
      <c r="T2740" s="1"/>
      <c r="U2740" s="1"/>
      <c r="V2740" s="1"/>
      <c r="W2740" s="1"/>
      <c r="X2740" s="1"/>
      <c r="Y2740" s="1"/>
      <c r="Z2740" s="102"/>
      <c r="AA2740" s="102"/>
      <c r="AB2740" s="1"/>
      <c r="AC2740" s="1"/>
      <c r="AD2740" s="1"/>
      <c r="AE2740" s="1"/>
      <c r="AF2740" s="1"/>
      <c r="AG2740" s="1"/>
    </row>
    <row r="2741" ht="15.75" customHeight="1">
      <c r="A2741" s="1"/>
      <c r="B2741" s="1"/>
      <c r="C2741" s="1"/>
      <c r="D2741" s="1"/>
      <c r="E2741" s="1"/>
      <c r="F2741" s="1"/>
      <c r="G2741" s="1"/>
      <c r="H2741" s="1"/>
      <c r="I2741" s="1"/>
      <c r="J2741" s="1"/>
      <c r="K2741" s="102" t="s">
        <v>4907</v>
      </c>
      <c r="L2741" s="102" t="str">
        <f>P133</f>
        <v>J1a2a1a2d2b2b2c3~</v>
      </c>
      <c r="M2741" s="102" t="s">
        <v>4908</v>
      </c>
      <c r="N2741" s="102" t="s">
        <v>4909</v>
      </c>
      <c r="O2741" s="105">
        <v>1.6193493E7</v>
      </c>
      <c r="P2741" s="105">
        <v>1.4081613E7</v>
      </c>
      <c r="Q2741" s="102" t="s">
        <v>2533</v>
      </c>
      <c r="S2741" s="1"/>
      <c r="T2741" s="1"/>
      <c r="U2741" s="1"/>
      <c r="V2741" s="1"/>
      <c r="W2741" s="1"/>
      <c r="X2741" s="1"/>
      <c r="Y2741" s="1"/>
      <c r="Z2741" s="102"/>
      <c r="AA2741" s="102"/>
      <c r="AB2741" s="1"/>
      <c r="AC2741" s="1"/>
      <c r="AD2741" s="1"/>
      <c r="AE2741" s="1"/>
      <c r="AF2741" s="1"/>
      <c r="AG2741" s="1"/>
    </row>
    <row r="2742" ht="15.75" customHeight="1">
      <c r="A2742" s="1"/>
      <c r="B2742" s="1"/>
      <c r="C2742" s="1"/>
      <c r="D2742" s="1"/>
      <c r="E2742" s="1"/>
      <c r="F2742" s="1"/>
      <c r="G2742" s="1"/>
      <c r="H2742" s="1"/>
      <c r="I2742" s="1"/>
      <c r="J2742" s="1"/>
      <c r="K2742" s="102" t="s">
        <v>4908</v>
      </c>
      <c r="L2742" s="102" t="str">
        <f>P133</f>
        <v>J1a2a1a2d2b2b2c3~</v>
      </c>
      <c r="M2742" s="102" t="s">
        <v>4907</v>
      </c>
      <c r="N2742" s="102" t="s">
        <v>4909</v>
      </c>
      <c r="O2742" s="105">
        <v>1.6193493E7</v>
      </c>
      <c r="P2742" s="105">
        <v>1.4081613E7</v>
      </c>
      <c r="Q2742" s="102" t="s">
        <v>2533</v>
      </c>
      <c r="S2742" s="1"/>
      <c r="T2742" s="1"/>
      <c r="U2742" s="1"/>
      <c r="V2742" s="1"/>
      <c r="W2742" s="1"/>
      <c r="X2742" s="1"/>
      <c r="Y2742" s="1"/>
      <c r="Z2742" s="102"/>
      <c r="AA2742" s="102"/>
      <c r="AB2742" s="1"/>
      <c r="AC2742" s="1"/>
      <c r="AD2742" s="1"/>
      <c r="AE2742" s="1"/>
      <c r="AF2742" s="1"/>
      <c r="AG2742" s="1"/>
    </row>
    <row r="2743" ht="15.75" customHeight="1">
      <c r="A2743" s="1"/>
      <c r="B2743" s="1"/>
      <c r="C2743" s="1"/>
      <c r="D2743" s="1"/>
      <c r="E2743" s="1"/>
      <c r="F2743" s="1"/>
      <c r="G2743" s="1"/>
      <c r="H2743" s="1"/>
      <c r="I2743" s="1"/>
      <c r="J2743" s="1"/>
      <c r="K2743" s="102" t="s">
        <v>4910</v>
      </c>
      <c r="L2743" s="102" t="str">
        <f>Q134</f>
        <v>J1a2a1a2d2b2b2c3a~</v>
      </c>
      <c r="M2743" s="102"/>
      <c r="N2743" s="102"/>
      <c r="O2743" s="105">
        <v>2.2166523E7</v>
      </c>
      <c r="P2743" s="105">
        <v>2.0004637E7</v>
      </c>
      <c r="Q2743" s="102" t="s">
        <v>2454</v>
      </c>
      <c r="S2743" s="1"/>
      <c r="T2743" s="1"/>
      <c r="U2743" s="1"/>
      <c r="V2743" s="1"/>
      <c r="W2743" s="1"/>
      <c r="X2743" s="1"/>
      <c r="Y2743" s="1"/>
      <c r="Z2743" s="102"/>
      <c r="AA2743" s="102"/>
      <c r="AB2743" s="1"/>
      <c r="AC2743" s="1"/>
      <c r="AD2743" s="1"/>
      <c r="AE2743" s="1"/>
      <c r="AF2743" s="1"/>
      <c r="AG2743" s="1"/>
    </row>
    <row r="2744" ht="15.75" customHeight="1">
      <c r="A2744" s="1"/>
      <c r="B2744" s="1"/>
      <c r="C2744" s="1"/>
      <c r="D2744" s="1"/>
      <c r="E2744" s="1"/>
      <c r="F2744" s="1"/>
      <c r="G2744" s="1"/>
      <c r="H2744" s="1"/>
      <c r="I2744" s="1"/>
      <c r="J2744" s="1"/>
      <c r="K2744" s="102" t="s">
        <v>4911</v>
      </c>
      <c r="L2744" s="102" t="str">
        <f>Q134</f>
        <v>J1a2a1a2d2b2b2c3a~</v>
      </c>
      <c r="M2744" s="102" t="s">
        <v>4912</v>
      </c>
      <c r="N2744" s="102"/>
      <c r="O2744" s="105">
        <v>9796768.0</v>
      </c>
      <c r="P2744" s="105">
        <v>9959159.0</v>
      </c>
      <c r="Q2744" s="102" t="s">
        <v>2439</v>
      </c>
      <c r="S2744" s="1"/>
      <c r="T2744" s="1"/>
      <c r="U2744" s="1"/>
      <c r="V2744" s="1"/>
      <c r="W2744" s="1"/>
      <c r="X2744" s="1"/>
      <c r="Y2744" s="1"/>
      <c r="Z2744" s="102"/>
      <c r="AA2744" s="102"/>
      <c r="AB2744" s="1"/>
      <c r="AC2744" s="1"/>
      <c r="AD2744" s="1"/>
      <c r="AE2744" s="1"/>
      <c r="AF2744" s="1"/>
      <c r="AG2744" s="1"/>
    </row>
    <row r="2745" ht="15.75" customHeight="1">
      <c r="A2745" s="1"/>
      <c r="B2745" s="1"/>
      <c r="C2745" s="1"/>
      <c r="D2745" s="1"/>
      <c r="E2745" s="1"/>
      <c r="F2745" s="1"/>
      <c r="G2745" s="1"/>
      <c r="H2745" s="1"/>
      <c r="I2745" s="1"/>
      <c r="J2745" s="1"/>
      <c r="K2745" s="102" t="s">
        <v>4912</v>
      </c>
      <c r="L2745" s="102" t="str">
        <f>Q134</f>
        <v>J1a2a1a2d2b2b2c3a~</v>
      </c>
      <c r="M2745" s="102" t="s">
        <v>4911</v>
      </c>
      <c r="N2745" s="102"/>
      <c r="O2745" s="105">
        <v>9796768.0</v>
      </c>
      <c r="P2745" s="105">
        <v>9959159.0</v>
      </c>
      <c r="Q2745" s="102" t="s">
        <v>2439</v>
      </c>
      <c r="S2745" s="1"/>
      <c r="T2745" s="1"/>
      <c r="U2745" s="1"/>
      <c r="V2745" s="1"/>
      <c r="W2745" s="1"/>
      <c r="X2745" s="1"/>
      <c r="Y2745" s="1"/>
      <c r="Z2745" s="102"/>
      <c r="AA2745" s="102"/>
      <c r="AB2745" s="1"/>
      <c r="AC2745" s="1"/>
      <c r="AD2745" s="1"/>
      <c r="AE2745" s="1"/>
      <c r="AF2745" s="1"/>
      <c r="AG2745" s="1"/>
    </row>
    <row r="2746" ht="15.75" customHeight="1">
      <c r="A2746" s="1"/>
      <c r="B2746" s="1"/>
      <c r="C2746" s="1"/>
      <c r="D2746" s="1"/>
      <c r="E2746" s="1"/>
      <c r="F2746" s="1"/>
      <c r="G2746" s="1"/>
      <c r="H2746" s="1"/>
      <c r="I2746" s="1"/>
      <c r="J2746" s="1"/>
      <c r="K2746" s="102" t="s">
        <v>4913</v>
      </c>
      <c r="L2746" s="102" t="str">
        <f>Q134</f>
        <v>J1a2a1a2d2b2b2c3a~</v>
      </c>
      <c r="M2746" s="102"/>
      <c r="N2746" s="102"/>
      <c r="O2746" s="105">
        <v>2.3983319E7</v>
      </c>
      <c r="P2746" s="105">
        <v>2.1837172E7</v>
      </c>
      <c r="Q2746" s="102" t="s">
        <v>2501</v>
      </c>
      <c r="S2746" s="1"/>
      <c r="T2746" s="1"/>
      <c r="U2746" s="1"/>
      <c r="V2746" s="1"/>
      <c r="W2746" s="1"/>
      <c r="X2746" s="1"/>
      <c r="Y2746" s="1"/>
      <c r="Z2746" s="102"/>
      <c r="AA2746" s="102"/>
      <c r="AB2746" s="1"/>
      <c r="AC2746" s="1"/>
      <c r="AD2746" s="1"/>
      <c r="AE2746" s="1"/>
      <c r="AF2746" s="1"/>
      <c r="AG2746" s="1"/>
    </row>
    <row r="2747" ht="15.75" customHeight="1">
      <c r="A2747" s="1"/>
      <c r="B2747" s="1"/>
      <c r="C2747" s="1"/>
      <c r="D2747" s="1"/>
      <c r="E2747" s="1"/>
      <c r="F2747" s="1"/>
      <c r="G2747" s="1"/>
      <c r="H2747" s="1"/>
      <c r="I2747" s="1"/>
      <c r="J2747" s="1"/>
      <c r="K2747" s="102" t="s">
        <v>4914</v>
      </c>
      <c r="L2747" s="102" t="str">
        <f>Q134</f>
        <v>J1a2a1a2d2b2b2c3a~</v>
      </c>
      <c r="M2747" s="102"/>
      <c r="N2747" s="102"/>
      <c r="O2747" s="105">
        <v>7077780.0</v>
      </c>
      <c r="P2747" s="105">
        <v>7209739.0</v>
      </c>
      <c r="Q2747" s="102" t="s">
        <v>2468</v>
      </c>
      <c r="S2747" s="1"/>
      <c r="T2747" s="1"/>
      <c r="U2747" s="1"/>
      <c r="V2747" s="1"/>
      <c r="W2747" s="1"/>
      <c r="X2747" s="1"/>
      <c r="Y2747" s="1"/>
      <c r="Z2747" s="102"/>
      <c r="AA2747" s="102"/>
      <c r="AB2747" s="1"/>
      <c r="AC2747" s="1"/>
      <c r="AD2747" s="1"/>
      <c r="AE2747" s="1"/>
      <c r="AF2747" s="1"/>
      <c r="AG2747" s="1"/>
    </row>
    <row r="2748" ht="15.75" customHeight="1">
      <c r="A2748" s="1"/>
      <c r="B2748" s="1"/>
      <c r="C2748" s="1"/>
      <c r="D2748" s="1"/>
      <c r="E2748" s="1"/>
      <c r="F2748" s="1"/>
      <c r="G2748" s="1"/>
      <c r="H2748" s="1"/>
      <c r="I2748" s="1"/>
      <c r="J2748" s="1"/>
      <c r="K2748" s="102" t="s">
        <v>4915</v>
      </c>
      <c r="L2748" s="102" t="str">
        <f>Q134</f>
        <v>J1a2a1a2d2b2b2c3a~</v>
      </c>
      <c r="M2748" s="102"/>
      <c r="N2748" s="102"/>
      <c r="O2748" s="105">
        <v>7137345.0</v>
      </c>
      <c r="P2748" s="105">
        <v>7269304.0</v>
      </c>
      <c r="Q2748" s="102" t="s">
        <v>2439</v>
      </c>
      <c r="S2748" s="1"/>
      <c r="T2748" s="1"/>
      <c r="U2748" s="1"/>
      <c r="V2748" s="1"/>
      <c r="W2748" s="1"/>
      <c r="X2748" s="1"/>
      <c r="Y2748" s="1"/>
      <c r="Z2748" s="102"/>
      <c r="AA2748" s="102"/>
      <c r="AB2748" s="1"/>
      <c r="AC2748" s="1"/>
      <c r="AD2748" s="1"/>
      <c r="AE2748" s="1"/>
      <c r="AF2748" s="1"/>
      <c r="AG2748" s="1"/>
    </row>
    <row r="2749" ht="15.75" customHeight="1">
      <c r="A2749" s="1"/>
      <c r="B2749" s="1"/>
      <c r="C2749" s="1"/>
      <c r="D2749" s="1"/>
      <c r="E2749" s="1"/>
      <c r="F2749" s="1"/>
      <c r="G2749" s="1"/>
      <c r="H2749" s="1"/>
      <c r="I2749" s="1"/>
      <c r="J2749" s="1"/>
      <c r="K2749" s="102" t="s">
        <v>4916</v>
      </c>
      <c r="L2749" s="102" t="str">
        <f>Q134</f>
        <v>J1a2a1a2d2b2b2c3a~</v>
      </c>
      <c r="M2749" s="102"/>
      <c r="N2749" s="102"/>
      <c r="O2749" s="105">
        <v>7542499.0</v>
      </c>
      <c r="P2749" s="105">
        <v>7674458.0</v>
      </c>
      <c r="Q2749" s="102" t="s">
        <v>2501</v>
      </c>
      <c r="S2749" s="1"/>
      <c r="T2749" s="1"/>
      <c r="U2749" s="1"/>
      <c r="V2749" s="1"/>
      <c r="W2749" s="1"/>
      <c r="X2749" s="1"/>
      <c r="Y2749" s="1"/>
      <c r="Z2749" s="102"/>
      <c r="AA2749" s="102"/>
      <c r="AB2749" s="1"/>
      <c r="AC2749" s="1"/>
      <c r="AD2749" s="1"/>
      <c r="AE2749" s="1"/>
      <c r="AF2749" s="1"/>
      <c r="AG2749" s="1"/>
    </row>
    <row r="2750" ht="15.75" customHeight="1">
      <c r="A2750" s="1"/>
      <c r="B2750" s="1"/>
      <c r="C2750" s="1"/>
      <c r="D2750" s="1"/>
      <c r="E2750" s="1"/>
      <c r="F2750" s="1"/>
      <c r="G2750" s="1"/>
      <c r="H2750" s="1"/>
      <c r="I2750" s="1"/>
      <c r="J2750" s="1"/>
      <c r="K2750" s="102" t="s">
        <v>4917</v>
      </c>
      <c r="L2750" s="102" t="str">
        <f>Q134</f>
        <v>J1a2a1a2d2b2b2c3a~</v>
      </c>
      <c r="M2750" s="102"/>
      <c r="N2750" s="102"/>
      <c r="O2750" s="105">
        <v>7915934.0</v>
      </c>
      <c r="P2750" s="105">
        <v>8047893.0</v>
      </c>
      <c r="Q2750" s="102" t="s">
        <v>2529</v>
      </c>
      <c r="S2750" s="1"/>
      <c r="T2750" s="1"/>
      <c r="U2750" s="1"/>
      <c r="V2750" s="1"/>
      <c r="W2750" s="1"/>
      <c r="X2750" s="1"/>
      <c r="Y2750" s="1"/>
      <c r="Z2750" s="102"/>
      <c r="AA2750" s="102"/>
      <c r="AB2750" s="1"/>
      <c r="AC2750" s="1"/>
      <c r="AD2750" s="1"/>
      <c r="AE2750" s="1"/>
      <c r="AF2750" s="1"/>
      <c r="AG2750" s="1"/>
    </row>
    <row r="2751" ht="15.75" customHeight="1">
      <c r="A2751" s="1"/>
      <c r="B2751" s="1"/>
      <c r="C2751" s="1"/>
      <c r="D2751" s="1"/>
      <c r="E2751" s="1"/>
      <c r="F2751" s="1"/>
      <c r="G2751" s="1"/>
      <c r="H2751" s="1"/>
      <c r="I2751" s="1"/>
      <c r="J2751" s="1"/>
      <c r="K2751" s="102" t="s">
        <v>4918</v>
      </c>
      <c r="L2751" s="102" t="str">
        <f>Q134</f>
        <v>J1a2a1a2d2b2b2c3a~</v>
      </c>
      <c r="M2751" s="102"/>
      <c r="N2751" s="102"/>
      <c r="O2751" s="105">
        <v>1.4092837E7</v>
      </c>
      <c r="P2751" s="105">
        <v>1.1972131E7</v>
      </c>
      <c r="Q2751" s="102" t="s">
        <v>2439</v>
      </c>
      <c r="S2751" s="1"/>
      <c r="T2751" s="1"/>
      <c r="U2751" s="1"/>
      <c r="V2751" s="1"/>
      <c r="W2751" s="1"/>
      <c r="X2751" s="1"/>
      <c r="Y2751" s="1"/>
      <c r="Z2751" s="102"/>
      <c r="AA2751" s="102"/>
      <c r="AB2751" s="1"/>
      <c r="AC2751" s="1"/>
      <c r="AD2751" s="1"/>
      <c r="AE2751" s="1"/>
      <c r="AF2751" s="1"/>
      <c r="AG2751" s="1"/>
    </row>
    <row r="2752" ht="15.75" customHeight="1">
      <c r="A2752" s="1"/>
      <c r="B2752" s="1"/>
      <c r="C2752" s="1"/>
      <c r="D2752" s="1"/>
      <c r="E2752" s="1"/>
      <c r="F2752" s="1"/>
      <c r="G2752" s="1"/>
      <c r="H2752" s="1"/>
      <c r="I2752" s="1"/>
      <c r="J2752" s="1"/>
      <c r="K2752" s="102" t="s">
        <v>4919</v>
      </c>
      <c r="L2752" s="102" t="str">
        <f>Q134</f>
        <v>J1a2a1a2d2b2b2c3a~</v>
      </c>
      <c r="M2752" s="102"/>
      <c r="N2752" s="102"/>
      <c r="O2752" s="105">
        <v>1.5718332E7</v>
      </c>
      <c r="P2752" s="105">
        <v>1.3606452E7</v>
      </c>
      <c r="Q2752" s="102" t="s">
        <v>2432</v>
      </c>
      <c r="S2752" s="1"/>
      <c r="T2752" s="1"/>
      <c r="U2752" s="1"/>
      <c r="V2752" s="1"/>
      <c r="W2752" s="1"/>
      <c r="X2752" s="1"/>
      <c r="Y2752" s="1"/>
      <c r="Z2752" s="102"/>
      <c r="AA2752" s="102"/>
      <c r="AB2752" s="1"/>
      <c r="AC2752" s="1"/>
      <c r="AD2752" s="1"/>
      <c r="AE2752" s="1"/>
      <c r="AF2752" s="1"/>
      <c r="AG2752" s="1"/>
    </row>
    <row r="2753" ht="15.75" customHeight="1">
      <c r="A2753" s="1"/>
      <c r="B2753" s="1"/>
      <c r="C2753" s="1"/>
      <c r="D2753" s="1"/>
      <c r="E2753" s="1"/>
      <c r="F2753" s="1"/>
      <c r="G2753" s="1"/>
      <c r="H2753" s="1"/>
      <c r="I2753" s="1"/>
      <c r="J2753" s="1"/>
      <c r="K2753" s="102" t="s">
        <v>4920</v>
      </c>
      <c r="L2753" s="102" t="str">
        <f>Q134</f>
        <v>J1a2a1a2d2b2b2c3a~</v>
      </c>
      <c r="M2753" s="102"/>
      <c r="N2753" s="102"/>
      <c r="O2753" s="105">
        <v>1.6199139E7</v>
      </c>
      <c r="P2753" s="105">
        <v>1.4087259E7</v>
      </c>
      <c r="Q2753" s="102" t="s">
        <v>2501</v>
      </c>
      <c r="S2753" s="1"/>
      <c r="T2753" s="1"/>
      <c r="U2753" s="1"/>
      <c r="V2753" s="1"/>
      <c r="W2753" s="1"/>
      <c r="X2753" s="1"/>
      <c r="Y2753" s="1"/>
      <c r="Z2753" s="102"/>
      <c r="AA2753" s="102"/>
      <c r="AB2753" s="1"/>
      <c r="AC2753" s="1"/>
      <c r="AD2753" s="1"/>
      <c r="AE2753" s="1"/>
      <c r="AF2753" s="1"/>
      <c r="AG2753" s="1"/>
    </row>
    <row r="2754" ht="15.75" customHeight="1">
      <c r="A2754" s="1"/>
      <c r="B2754" s="1"/>
      <c r="C2754" s="1"/>
      <c r="D2754" s="1"/>
      <c r="E2754" s="1"/>
      <c r="F2754" s="1"/>
      <c r="G2754" s="1"/>
      <c r="H2754" s="1"/>
      <c r="I2754" s="1"/>
      <c r="J2754" s="1"/>
      <c r="K2754" s="102" t="s">
        <v>4921</v>
      </c>
      <c r="L2754" s="102" t="str">
        <f>Q134</f>
        <v>J1a2a1a2d2b2b2c3a~</v>
      </c>
      <c r="M2754" s="102"/>
      <c r="N2754" s="102"/>
      <c r="O2754" s="105">
        <v>1.7203578E7</v>
      </c>
      <c r="P2754" s="105">
        <v>1.5091698E7</v>
      </c>
      <c r="Q2754" s="102" t="s">
        <v>2439</v>
      </c>
      <c r="S2754" s="1"/>
      <c r="T2754" s="1"/>
      <c r="U2754" s="1"/>
      <c r="V2754" s="1"/>
      <c r="W2754" s="1"/>
      <c r="X2754" s="1"/>
      <c r="Y2754" s="1"/>
      <c r="Z2754" s="102"/>
      <c r="AA2754" s="102"/>
      <c r="AB2754" s="1"/>
      <c r="AC2754" s="1"/>
      <c r="AD2754" s="1"/>
      <c r="AE2754" s="1"/>
      <c r="AF2754" s="1"/>
      <c r="AG2754" s="1"/>
    </row>
    <row r="2755" ht="15.75" customHeight="1">
      <c r="A2755" s="1"/>
      <c r="B2755" s="1"/>
      <c r="C2755" s="1"/>
      <c r="D2755" s="1"/>
      <c r="E2755" s="1"/>
      <c r="F2755" s="1"/>
      <c r="G2755" s="1"/>
      <c r="H2755" s="1"/>
      <c r="I2755" s="1"/>
      <c r="J2755" s="1"/>
      <c r="K2755" s="102" t="s">
        <v>4922</v>
      </c>
      <c r="L2755" s="102" t="str">
        <f>Q134</f>
        <v>J1a2a1a2d2b2b2c3a~</v>
      </c>
      <c r="M2755" s="102"/>
      <c r="N2755" s="102"/>
      <c r="O2755" s="105">
        <v>1.7330275E7</v>
      </c>
      <c r="P2755" s="105">
        <v>1.5218395E7</v>
      </c>
      <c r="Q2755" s="102" t="s">
        <v>2439</v>
      </c>
      <c r="S2755" s="1"/>
      <c r="T2755" s="1"/>
      <c r="U2755" s="1"/>
      <c r="V2755" s="1"/>
      <c r="W2755" s="1"/>
      <c r="X2755" s="1"/>
      <c r="Y2755" s="1"/>
      <c r="Z2755" s="102"/>
      <c r="AA2755" s="102"/>
      <c r="AB2755" s="1"/>
      <c r="AC2755" s="1"/>
      <c r="AD2755" s="1"/>
      <c r="AE2755" s="1"/>
      <c r="AF2755" s="1"/>
      <c r="AG2755" s="1"/>
    </row>
    <row r="2756" ht="15.75" customHeight="1">
      <c r="A2756" s="1"/>
      <c r="B2756" s="1"/>
      <c r="C2756" s="1"/>
      <c r="D2756" s="1"/>
      <c r="E2756" s="1"/>
      <c r="F2756" s="1"/>
      <c r="G2756" s="1"/>
      <c r="H2756" s="1"/>
      <c r="I2756" s="1"/>
      <c r="J2756" s="1"/>
      <c r="K2756" s="102" t="s">
        <v>4923</v>
      </c>
      <c r="L2756" s="102" t="str">
        <f>Q134</f>
        <v>J1a2a1a2d2b2b2c3a~</v>
      </c>
      <c r="M2756" s="102"/>
      <c r="N2756" s="102"/>
      <c r="O2756" s="105">
        <v>1.8559061E7</v>
      </c>
      <c r="P2756" s="105">
        <v>1.6447181E7</v>
      </c>
      <c r="Q2756" s="102" t="s">
        <v>2454</v>
      </c>
      <c r="S2756" s="1"/>
      <c r="T2756" s="1"/>
      <c r="U2756" s="1"/>
      <c r="V2756" s="1"/>
      <c r="W2756" s="1"/>
      <c r="X2756" s="1"/>
      <c r="Y2756" s="1"/>
      <c r="Z2756" s="102"/>
      <c r="AA2756" s="102"/>
      <c r="AB2756" s="1"/>
      <c r="AC2756" s="1"/>
      <c r="AD2756" s="1"/>
      <c r="AE2756" s="1"/>
      <c r="AF2756" s="1"/>
      <c r="AG2756" s="1"/>
    </row>
    <row r="2757" ht="15.75" customHeight="1">
      <c r="A2757" s="1"/>
      <c r="B2757" s="1"/>
      <c r="C2757" s="1"/>
      <c r="D2757" s="1"/>
      <c r="E2757" s="1"/>
      <c r="F2757" s="1"/>
      <c r="G2757" s="1"/>
      <c r="H2757" s="1"/>
      <c r="I2757" s="1"/>
      <c r="J2757" s="1"/>
      <c r="K2757" s="102" t="s">
        <v>4924</v>
      </c>
      <c r="L2757" s="102" t="str">
        <f>Q134</f>
        <v>J1a2a1a2d2b2b2c3a~</v>
      </c>
      <c r="M2757" s="102"/>
      <c r="N2757" s="102"/>
      <c r="O2757" s="105">
        <v>1.8717032E7</v>
      </c>
      <c r="P2757" s="105">
        <v>1.6605152E7</v>
      </c>
      <c r="Q2757" s="102" t="s">
        <v>2468</v>
      </c>
      <c r="S2757" s="1"/>
      <c r="T2757" s="1"/>
      <c r="U2757" s="1"/>
      <c r="V2757" s="1"/>
      <c r="W2757" s="1"/>
      <c r="X2757" s="1"/>
      <c r="Y2757" s="1"/>
      <c r="Z2757" s="102"/>
      <c r="AA2757" s="102"/>
      <c r="AB2757" s="1"/>
      <c r="AC2757" s="1"/>
      <c r="AD2757" s="1"/>
      <c r="AE2757" s="1"/>
      <c r="AF2757" s="1"/>
      <c r="AG2757" s="1"/>
    </row>
    <row r="2758" ht="15.75" customHeight="1">
      <c r="A2758" s="1"/>
      <c r="B2758" s="1"/>
      <c r="C2758" s="1"/>
      <c r="D2758" s="1"/>
      <c r="E2758" s="1"/>
      <c r="F2758" s="1"/>
      <c r="G2758" s="1"/>
      <c r="H2758" s="1"/>
      <c r="I2758" s="1"/>
      <c r="J2758" s="1"/>
      <c r="K2758" s="102" t="s">
        <v>4925</v>
      </c>
      <c r="L2758" s="102" t="str">
        <f>Q134</f>
        <v>J1a2a1a2d2b2b2c3a~</v>
      </c>
      <c r="M2758" s="102"/>
      <c r="N2758" s="102"/>
      <c r="O2758" s="105">
        <v>1.9214281E7</v>
      </c>
      <c r="P2758" s="105">
        <v>1.7102401E7</v>
      </c>
      <c r="Q2758" s="102" t="s">
        <v>2446</v>
      </c>
      <c r="S2758" s="1"/>
      <c r="T2758" s="1"/>
      <c r="U2758" s="1"/>
      <c r="V2758" s="1"/>
      <c r="W2758" s="1"/>
      <c r="X2758" s="1"/>
      <c r="Y2758" s="1"/>
      <c r="Z2758" s="102"/>
      <c r="AA2758" s="102"/>
      <c r="AB2758" s="1"/>
      <c r="AC2758" s="1"/>
      <c r="AD2758" s="1"/>
      <c r="AE2758" s="1"/>
      <c r="AF2758" s="1"/>
      <c r="AG2758" s="1"/>
    </row>
    <row r="2759" ht="15.75" customHeight="1">
      <c r="A2759" s="1"/>
      <c r="B2759" s="1"/>
      <c r="C2759" s="1"/>
      <c r="D2759" s="1"/>
      <c r="E2759" s="1"/>
      <c r="F2759" s="1"/>
      <c r="G2759" s="1"/>
      <c r="H2759" s="1"/>
      <c r="I2759" s="1"/>
      <c r="J2759" s="1"/>
      <c r="K2759" s="102" t="s">
        <v>4926</v>
      </c>
      <c r="L2759" s="102" t="str">
        <f>Q134</f>
        <v>J1a2a1a2d2b2b2c3a~</v>
      </c>
      <c r="M2759" s="102"/>
      <c r="N2759" s="102"/>
      <c r="O2759" s="105">
        <v>1.9316566E7</v>
      </c>
      <c r="P2759" s="105">
        <v>1.7204686E7</v>
      </c>
      <c r="Q2759" s="102" t="s">
        <v>2529</v>
      </c>
      <c r="S2759" s="1"/>
      <c r="T2759" s="1"/>
      <c r="U2759" s="1"/>
      <c r="V2759" s="1"/>
      <c r="W2759" s="1"/>
      <c r="X2759" s="1"/>
      <c r="Y2759" s="1"/>
      <c r="Z2759" s="102"/>
      <c r="AA2759" s="102"/>
      <c r="AB2759" s="1"/>
      <c r="AC2759" s="1"/>
      <c r="AD2759" s="1"/>
      <c r="AE2759" s="1"/>
      <c r="AF2759" s="1"/>
      <c r="AG2759" s="1"/>
    </row>
    <row r="2760" ht="15.75" customHeight="1">
      <c r="A2760" s="1"/>
      <c r="B2760" s="1"/>
      <c r="C2760" s="1"/>
      <c r="D2760" s="1"/>
      <c r="E2760" s="1"/>
      <c r="F2760" s="1"/>
      <c r="G2760" s="1"/>
      <c r="H2760" s="1"/>
      <c r="I2760" s="1"/>
      <c r="J2760" s="1"/>
      <c r="K2760" s="102" t="s">
        <v>4927</v>
      </c>
      <c r="L2760" s="102" t="str">
        <f>Q134</f>
        <v>J1a2a1a2d2b2b2c3a~</v>
      </c>
      <c r="M2760" s="102"/>
      <c r="N2760" s="102"/>
      <c r="O2760" s="105">
        <v>2.1368999E7</v>
      </c>
      <c r="P2760" s="105">
        <v>1.9207113E7</v>
      </c>
      <c r="Q2760" s="102" t="s">
        <v>2432</v>
      </c>
      <c r="S2760" s="1"/>
      <c r="T2760" s="1"/>
      <c r="U2760" s="1"/>
      <c r="V2760" s="1"/>
      <c r="W2760" s="1"/>
      <c r="X2760" s="1"/>
      <c r="Y2760" s="1"/>
      <c r="Z2760" s="102"/>
      <c r="AA2760" s="102"/>
      <c r="AB2760" s="1"/>
      <c r="AC2760" s="1"/>
      <c r="AD2760" s="1"/>
      <c r="AE2760" s="1"/>
      <c r="AF2760" s="1"/>
      <c r="AG2760" s="1"/>
    </row>
    <row r="2761" ht="15.75" customHeight="1">
      <c r="A2761" s="1"/>
      <c r="B2761" s="1"/>
      <c r="C2761" s="1"/>
      <c r="D2761" s="1"/>
      <c r="E2761" s="1"/>
      <c r="F2761" s="1"/>
      <c r="G2761" s="1"/>
      <c r="H2761" s="1"/>
      <c r="I2761" s="1"/>
      <c r="J2761" s="1"/>
      <c r="K2761" s="102" t="s">
        <v>4928</v>
      </c>
      <c r="L2761" s="102" t="str">
        <f>Q134</f>
        <v>J1a2a1a2d2b2b2c3a~</v>
      </c>
      <c r="M2761" s="102"/>
      <c r="N2761" s="102" t="s">
        <v>4929</v>
      </c>
      <c r="O2761" s="105">
        <v>2.2139383E7</v>
      </c>
      <c r="P2761" s="105">
        <v>1.9977497E7</v>
      </c>
      <c r="Q2761" s="102" t="s">
        <v>2501</v>
      </c>
      <c r="S2761" s="1"/>
      <c r="T2761" s="1"/>
      <c r="U2761" s="1"/>
      <c r="V2761" s="1"/>
      <c r="W2761" s="1"/>
      <c r="X2761" s="1"/>
      <c r="Y2761" s="1"/>
      <c r="Z2761" s="102"/>
      <c r="AA2761" s="102"/>
      <c r="AB2761" s="1"/>
      <c r="AC2761" s="1"/>
      <c r="AD2761" s="1"/>
      <c r="AE2761" s="1"/>
      <c r="AF2761" s="1"/>
      <c r="AG2761" s="1"/>
    </row>
    <row r="2762" ht="15.75" customHeight="1">
      <c r="A2762" s="1"/>
      <c r="B2762" s="1"/>
      <c r="C2762" s="1"/>
      <c r="D2762" s="1"/>
      <c r="E2762" s="1"/>
      <c r="F2762" s="1"/>
      <c r="G2762" s="1"/>
      <c r="H2762" s="1"/>
      <c r="I2762" s="1"/>
      <c r="J2762" s="1"/>
      <c r="K2762" s="102" t="s">
        <v>4930</v>
      </c>
      <c r="L2762" s="102" t="str">
        <f>Q134</f>
        <v>J1a2a1a2d2b2b2c3a~</v>
      </c>
      <c r="M2762" s="102"/>
      <c r="N2762" s="102"/>
      <c r="O2762" s="105">
        <v>2.2583561E7</v>
      </c>
      <c r="P2762" s="105">
        <v>2.0421675E7</v>
      </c>
      <c r="Q2762" s="102" t="s">
        <v>2529</v>
      </c>
      <c r="S2762" s="1"/>
      <c r="T2762" s="1"/>
      <c r="U2762" s="1"/>
      <c r="V2762" s="1"/>
      <c r="W2762" s="1"/>
      <c r="X2762" s="1"/>
      <c r="Y2762" s="1"/>
      <c r="Z2762" s="102"/>
      <c r="AA2762" s="102"/>
      <c r="AB2762" s="1"/>
      <c r="AC2762" s="1"/>
      <c r="AD2762" s="1"/>
      <c r="AE2762" s="1"/>
      <c r="AF2762" s="1"/>
      <c r="AG2762" s="1"/>
    </row>
    <row r="2763" ht="15.75" customHeight="1">
      <c r="A2763" s="1"/>
      <c r="B2763" s="1"/>
      <c r="C2763" s="1"/>
      <c r="D2763" s="1"/>
      <c r="E2763" s="1"/>
      <c r="F2763" s="1"/>
      <c r="G2763" s="1"/>
      <c r="H2763" s="1"/>
      <c r="I2763" s="1"/>
      <c r="J2763" s="1"/>
      <c r="K2763" s="102" t="s">
        <v>4931</v>
      </c>
      <c r="L2763" s="102" t="str">
        <f>Q134</f>
        <v>J1a2a1a2d2b2b2c3a~</v>
      </c>
      <c r="M2763" s="102"/>
      <c r="N2763" s="102"/>
      <c r="O2763" s="105">
        <v>2.2816564E7</v>
      </c>
      <c r="P2763" s="105">
        <v>2.0654678E7</v>
      </c>
      <c r="Q2763" s="102" t="s">
        <v>2454</v>
      </c>
      <c r="S2763" s="1"/>
      <c r="T2763" s="1"/>
      <c r="U2763" s="1"/>
      <c r="V2763" s="1"/>
      <c r="W2763" s="1"/>
      <c r="X2763" s="1"/>
      <c r="Y2763" s="1"/>
      <c r="Z2763" s="102"/>
      <c r="AA2763" s="102"/>
      <c r="AB2763" s="1"/>
      <c r="AC2763" s="1"/>
      <c r="AD2763" s="1"/>
      <c r="AE2763" s="1"/>
      <c r="AF2763" s="1"/>
      <c r="AG2763" s="1"/>
    </row>
    <row r="2764" ht="15.75" customHeight="1">
      <c r="A2764" s="1"/>
      <c r="B2764" s="1"/>
      <c r="C2764" s="1"/>
      <c r="D2764" s="1"/>
      <c r="E2764" s="1"/>
      <c r="F2764" s="1"/>
      <c r="G2764" s="1"/>
      <c r="H2764" s="1"/>
      <c r="I2764" s="1"/>
      <c r="J2764" s="1"/>
      <c r="K2764" s="102" t="s">
        <v>4932</v>
      </c>
      <c r="L2764" s="102" t="str">
        <f>Q134</f>
        <v>J1a2a1a2d2b2b2c3a~</v>
      </c>
      <c r="M2764" s="102"/>
      <c r="N2764" s="102"/>
      <c r="O2764" s="105">
        <v>2.3433272E7</v>
      </c>
      <c r="P2764" s="105">
        <v>2.1271386E7</v>
      </c>
      <c r="Q2764" s="102" t="s">
        <v>2501</v>
      </c>
      <c r="S2764" s="1"/>
      <c r="T2764" s="1"/>
      <c r="U2764" s="1"/>
      <c r="V2764" s="1"/>
      <c r="W2764" s="1"/>
      <c r="X2764" s="1"/>
      <c r="Y2764" s="1"/>
      <c r="Z2764" s="102"/>
      <c r="AA2764" s="102"/>
      <c r="AB2764" s="1"/>
      <c r="AC2764" s="1"/>
      <c r="AD2764" s="1"/>
      <c r="AE2764" s="1"/>
      <c r="AF2764" s="1"/>
      <c r="AG2764" s="1"/>
    </row>
    <row r="2765" ht="15.75" customHeight="1">
      <c r="A2765" s="1"/>
      <c r="B2765" s="1"/>
      <c r="C2765" s="1"/>
      <c r="D2765" s="1"/>
      <c r="E2765" s="1"/>
      <c r="F2765" s="1"/>
      <c r="G2765" s="1"/>
      <c r="H2765" s="1"/>
      <c r="I2765" s="1"/>
      <c r="J2765" s="1"/>
      <c r="K2765" s="102" t="s">
        <v>4933</v>
      </c>
      <c r="L2765" s="102" t="str">
        <f>R135</f>
        <v>J1a2a1a2d2b2b2c3a1~</v>
      </c>
      <c r="M2765" s="102"/>
      <c r="N2765" s="102"/>
      <c r="O2765" s="105">
        <v>7963415.0</v>
      </c>
      <c r="P2765" s="105">
        <v>8095374.0</v>
      </c>
      <c r="Q2765" s="102" t="s">
        <v>2529</v>
      </c>
      <c r="S2765" s="1"/>
      <c r="T2765" s="1"/>
      <c r="U2765" s="1"/>
      <c r="V2765" s="1"/>
      <c r="W2765" s="1"/>
      <c r="X2765" s="1"/>
      <c r="Y2765" s="1"/>
      <c r="Z2765" s="102"/>
      <c r="AA2765" s="102"/>
      <c r="AB2765" s="1"/>
      <c r="AC2765" s="1"/>
      <c r="AD2765" s="1"/>
      <c r="AE2765" s="1"/>
      <c r="AF2765" s="1"/>
      <c r="AG2765" s="1"/>
    </row>
    <row r="2766" ht="15.75" customHeight="1">
      <c r="A2766" s="1"/>
      <c r="B2766" s="1"/>
      <c r="C2766" s="1"/>
      <c r="D2766" s="1"/>
      <c r="E2766" s="1"/>
      <c r="F2766" s="1"/>
      <c r="G2766" s="1"/>
      <c r="H2766" s="1"/>
      <c r="I2766" s="1"/>
      <c r="J2766" s="1"/>
      <c r="K2766" s="102" t="s">
        <v>4934</v>
      </c>
      <c r="L2766" s="102" t="str">
        <f>R135</f>
        <v>J1a2a1a2d2b2b2c3a1~</v>
      </c>
      <c r="M2766" s="102"/>
      <c r="N2766" s="102"/>
      <c r="O2766" s="105">
        <v>8020838.0</v>
      </c>
      <c r="P2766" s="105">
        <v>8152797.0</v>
      </c>
      <c r="Q2766" s="102" t="s">
        <v>2439</v>
      </c>
      <c r="S2766" s="1"/>
      <c r="T2766" s="1"/>
      <c r="U2766" s="1"/>
      <c r="V2766" s="1"/>
      <c r="W2766" s="1"/>
      <c r="X2766" s="1"/>
      <c r="Y2766" s="1"/>
      <c r="Z2766" s="102"/>
      <c r="AA2766" s="102"/>
      <c r="AB2766" s="1"/>
      <c r="AC2766" s="1"/>
      <c r="AD2766" s="1"/>
      <c r="AE2766" s="1"/>
      <c r="AF2766" s="1"/>
      <c r="AG2766" s="1"/>
    </row>
    <row r="2767" ht="15.75" customHeight="1">
      <c r="A2767" s="1"/>
      <c r="B2767" s="1"/>
      <c r="C2767" s="1"/>
      <c r="D2767" s="1"/>
      <c r="E2767" s="1"/>
      <c r="F2767" s="1"/>
      <c r="G2767" s="1"/>
      <c r="H2767" s="1"/>
      <c r="I2767" s="1"/>
      <c r="J2767" s="1"/>
      <c r="K2767" s="102" t="s">
        <v>4935</v>
      </c>
      <c r="L2767" s="102" t="str">
        <f>R135</f>
        <v>J1a2a1a2d2b2b2c3a1~</v>
      </c>
      <c r="M2767" s="102"/>
      <c r="N2767" s="102"/>
      <c r="O2767" s="105">
        <v>9443297.0</v>
      </c>
      <c r="P2767" s="105">
        <v>9605688.0</v>
      </c>
      <c r="Q2767" s="102" t="s">
        <v>2514</v>
      </c>
      <c r="S2767" s="1"/>
      <c r="T2767" s="1"/>
      <c r="U2767" s="1"/>
      <c r="V2767" s="1"/>
      <c r="W2767" s="1"/>
      <c r="X2767" s="1"/>
      <c r="Y2767" s="1"/>
      <c r="Z2767" s="102"/>
      <c r="AA2767" s="102"/>
      <c r="AB2767" s="1"/>
      <c r="AC2767" s="1"/>
      <c r="AD2767" s="1"/>
      <c r="AE2767" s="1"/>
      <c r="AF2767" s="1"/>
      <c r="AG2767" s="1"/>
    </row>
    <row r="2768" ht="15.75" customHeight="1">
      <c r="A2768" s="1"/>
      <c r="B2768" s="1"/>
      <c r="C2768" s="1"/>
      <c r="D2768" s="1"/>
      <c r="E2768" s="1"/>
      <c r="F2768" s="1"/>
      <c r="G2768" s="1"/>
      <c r="H2768" s="1"/>
      <c r="I2768" s="1"/>
      <c r="J2768" s="1"/>
      <c r="K2768" s="102" t="s">
        <v>4936</v>
      </c>
      <c r="L2768" s="102" t="str">
        <f>R135</f>
        <v>J1a2a1a2d2b2b2c3a1~</v>
      </c>
      <c r="M2768" s="102"/>
      <c r="N2768" s="102"/>
      <c r="O2768" s="105">
        <v>1.476688E7</v>
      </c>
      <c r="P2768" s="105">
        <v>1.2654949E7</v>
      </c>
      <c r="Q2768" s="102" t="s">
        <v>2501</v>
      </c>
      <c r="S2768" s="1"/>
      <c r="T2768" s="1"/>
      <c r="U2768" s="1"/>
      <c r="V2768" s="1"/>
      <c r="W2768" s="1"/>
      <c r="X2768" s="1"/>
      <c r="Y2768" s="1"/>
      <c r="Z2768" s="102"/>
      <c r="AA2768" s="102"/>
      <c r="AB2768" s="1"/>
      <c r="AC2768" s="1"/>
      <c r="AD2768" s="1"/>
      <c r="AE2768" s="1"/>
      <c r="AF2768" s="1"/>
      <c r="AG2768" s="1"/>
    </row>
    <row r="2769" ht="15.75" customHeight="1">
      <c r="A2769" s="1"/>
      <c r="B2769" s="1"/>
      <c r="C2769" s="1"/>
      <c r="D2769" s="1"/>
      <c r="E2769" s="1"/>
      <c r="F2769" s="1"/>
      <c r="G2769" s="1"/>
      <c r="H2769" s="1"/>
      <c r="I2769" s="1"/>
      <c r="J2769" s="1"/>
      <c r="K2769" s="102" t="s">
        <v>4937</v>
      </c>
      <c r="L2769" s="102" t="str">
        <f>R135</f>
        <v>J1a2a1a2d2b2b2c3a1~</v>
      </c>
      <c r="M2769" s="102"/>
      <c r="N2769" s="102"/>
      <c r="O2769" s="105">
        <v>2.3651769E7</v>
      </c>
      <c r="P2769" s="105">
        <v>2.1489883E7</v>
      </c>
      <c r="Q2769" s="102" t="s">
        <v>2468</v>
      </c>
      <c r="S2769" s="1"/>
      <c r="T2769" s="1"/>
      <c r="U2769" s="1"/>
      <c r="V2769" s="1"/>
      <c r="W2769" s="1"/>
      <c r="X2769" s="1"/>
      <c r="Y2769" s="1"/>
      <c r="Z2769" s="102"/>
      <c r="AA2769" s="102"/>
      <c r="AB2769" s="1"/>
      <c r="AC2769" s="1"/>
      <c r="AD2769" s="1"/>
      <c r="AE2769" s="1"/>
      <c r="AF2769" s="1"/>
      <c r="AG2769" s="1"/>
    </row>
    <row r="2770" ht="15.75" customHeight="1">
      <c r="A2770" s="1"/>
      <c r="B2770" s="1"/>
      <c r="C2770" s="1"/>
      <c r="D2770" s="1"/>
      <c r="E2770" s="1"/>
      <c r="F2770" s="1"/>
      <c r="G2770" s="1"/>
      <c r="H2770" s="1"/>
      <c r="I2770" s="1"/>
      <c r="J2770" s="1"/>
      <c r="K2770" s="102" t="s">
        <v>4938</v>
      </c>
      <c r="L2770" s="102" t="str">
        <f>Q136</f>
        <v>J1a2a1a2d2b2b2c3b~</v>
      </c>
      <c r="M2770" s="102" t="s">
        <v>4939</v>
      </c>
      <c r="N2770" s="102" t="s">
        <v>4940</v>
      </c>
      <c r="O2770" s="105">
        <v>6680972.0</v>
      </c>
      <c r="P2770" s="105">
        <v>6812931.0</v>
      </c>
      <c r="Q2770" s="102" t="s">
        <v>2529</v>
      </c>
      <c r="S2770" s="1"/>
      <c r="T2770" s="1"/>
      <c r="U2770" s="1"/>
      <c r="V2770" s="1"/>
      <c r="W2770" s="1"/>
      <c r="X2770" s="1"/>
      <c r="Y2770" s="1"/>
      <c r="Z2770" s="102"/>
      <c r="AA2770" s="102"/>
      <c r="AB2770" s="1"/>
      <c r="AC2770" s="1"/>
      <c r="AD2770" s="1"/>
      <c r="AE2770" s="1"/>
      <c r="AF2770" s="1"/>
      <c r="AG2770" s="1"/>
    </row>
    <row r="2771" ht="15.75" customHeight="1">
      <c r="A2771" s="1"/>
      <c r="B2771" s="1"/>
      <c r="C2771" s="1"/>
      <c r="D2771" s="1"/>
      <c r="E2771" s="1"/>
      <c r="F2771" s="1"/>
      <c r="G2771" s="1"/>
      <c r="H2771" s="1"/>
      <c r="I2771" s="1"/>
      <c r="J2771" s="1"/>
      <c r="K2771" s="102" t="s">
        <v>4939</v>
      </c>
      <c r="L2771" s="102" t="str">
        <f>Q136</f>
        <v>J1a2a1a2d2b2b2c3b~</v>
      </c>
      <c r="M2771" s="102" t="s">
        <v>4938</v>
      </c>
      <c r="N2771" s="102" t="s">
        <v>4940</v>
      </c>
      <c r="O2771" s="105">
        <v>6680972.0</v>
      </c>
      <c r="P2771" s="105">
        <v>6812931.0</v>
      </c>
      <c r="Q2771" s="102" t="s">
        <v>2529</v>
      </c>
      <c r="S2771" s="1"/>
      <c r="T2771" s="1"/>
      <c r="U2771" s="1"/>
      <c r="V2771" s="1"/>
      <c r="W2771" s="1"/>
      <c r="X2771" s="1"/>
      <c r="Y2771" s="1"/>
      <c r="Z2771" s="102"/>
      <c r="AA2771" s="102"/>
      <c r="AB2771" s="1"/>
      <c r="AC2771" s="1"/>
      <c r="AD2771" s="1"/>
      <c r="AE2771" s="1"/>
      <c r="AF2771" s="1"/>
      <c r="AG2771" s="1"/>
    </row>
    <row r="2772" ht="15.75" customHeight="1">
      <c r="A2772" s="1"/>
      <c r="B2772" s="1"/>
      <c r="C2772" s="1"/>
      <c r="D2772" s="1"/>
      <c r="E2772" s="1"/>
      <c r="F2772" s="1"/>
      <c r="G2772" s="1"/>
      <c r="H2772" s="1"/>
      <c r="I2772" s="1"/>
      <c r="J2772" s="1"/>
      <c r="K2772" s="102" t="s">
        <v>4941</v>
      </c>
      <c r="L2772" s="102" t="str">
        <f>Q136</f>
        <v>J1a2a1a2d2b2b2c3b~</v>
      </c>
      <c r="M2772" s="102" t="s">
        <v>4942</v>
      </c>
      <c r="N2772" s="102" t="s">
        <v>4943</v>
      </c>
      <c r="O2772" s="105">
        <v>6752160.0</v>
      </c>
      <c r="P2772" s="105">
        <v>6884119.0</v>
      </c>
      <c r="Q2772" s="102" t="s">
        <v>2468</v>
      </c>
      <c r="S2772" s="1"/>
      <c r="T2772" s="1"/>
      <c r="U2772" s="1"/>
      <c r="V2772" s="1"/>
      <c r="W2772" s="1"/>
      <c r="X2772" s="1"/>
      <c r="Y2772" s="1"/>
      <c r="Z2772" s="102"/>
      <c r="AA2772" s="102"/>
      <c r="AB2772" s="1"/>
      <c r="AC2772" s="1"/>
      <c r="AD2772" s="1"/>
      <c r="AE2772" s="1"/>
      <c r="AF2772" s="1"/>
      <c r="AG2772" s="1"/>
    </row>
    <row r="2773" ht="15.75" customHeight="1">
      <c r="A2773" s="1"/>
      <c r="B2773" s="1"/>
      <c r="C2773" s="1"/>
      <c r="D2773" s="1"/>
      <c r="E2773" s="1"/>
      <c r="F2773" s="1"/>
      <c r="G2773" s="1"/>
      <c r="H2773" s="1"/>
      <c r="I2773" s="1"/>
      <c r="J2773" s="1"/>
      <c r="K2773" s="102" t="s">
        <v>4942</v>
      </c>
      <c r="L2773" s="102" t="str">
        <f>Q136</f>
        <v>J1a2a1a2d2b2b2c3b~</v>
      </c>
      <c r="M2773" s="102" t="s">
        <v>4941</v>
      </c>
      <c r="N2773" s="102" t="s">
        <v>4943</v>
      </c>
      <c r="O2773" s="105">
        <v>6752160.0</v>
      </c>
      <c r="P2773" s="105">
        <v>6884119.0</v>
      </c>
      <c r="Q2773" s="102" t="s">
        <v>2468</v>
      </c>
      <c r="S2773" s="1"/>
      <c r="T2773" s="1"/>
      <c r="U2773" s="1"/>
      <c r="V2773" s="1"/>
      <c r="W2773" s="1"/>
      <c r="X2773" s="1"/>
      <c r="Y2773" s="1"/>
      <c r="Z2773" s="102"/>
      <c r="AA2773" s="102"/>
      <c r="AB2773" s="1"/>
      <c r="AC2773" s="1"/>
      <c r="AD2773" s="1"/>
      <c r="AE2773" s="1"/>
      <c r="AF2773" s="1"/>
      <c r="AG2773" s="1"/>
    </row>
    <row r="2774" ht="15.75" customHeight="1">
      <c r="A2774" s="1"/>
      <c r="B2774" s="1"/>
      <c r="C2774" s="1"/>
      <c r="D2774" s="1"/>
      <c r="E2774" s="1"/>
      <c r="F2774" s="1"/>
      <c r="G2774" s="1"/>
      <c r="H2774" s="1"/>
      <c r="I2774" s="1"/>
      <c r="J2774" s="1"/>
      <c r="K2774" s="102" t="s">
        <v>4944</v>
      </c>
      <c r="L2774" s="102" t="str">
        <f>Q136</f>
        <v>J1a2a1a2d2b2b2c3b~</v>
      </c>
      <c r="M2774" s="106" t="s">
        <v>4945</v>
      </c>
      <c r="N2774" s="102" t="s">
        <v>4946</v>
      </c>
      <c r="O2774" s="105">
        <v>6982569.0</v>
      </c>
      <c r="P2774" s="105">
        <v>7114528.0</v>
      </c>
      <c r="Q2774" s="102" t="s">
        <v>2501</v>
      </c>
      <c r="S2774" s="1"/>
      <c r="T2774" s="1"/>
      <c r="U2774" s="1"/>
      <c r="V2774" s="1"/>
      <c r="W2774" s="1"/>
      <c r="X2774" s="1"/>
      <c r="Y2774" s="1"/>
      <c r="Z2774" s="102"/>
      <c r="AA2774" s="102"/>
      <c r="AB2774" s="1"/>
      <c r="AC2774" s="1"/>
      <c r="AD2774" s="1"/>
      <c r="AE2774" s="1"/>
      <c r="AF2774" s="1"/>
      <c r="AG2774" s="1"/>
    </row>
    <row r="2775" ht="15.75" customHeight="1">
      <c r="A2775" s="1"/>
      <c r="B2775" s="1"/>
      <c r="C2775" s="1"/>
      <c r="D2775" s="1"/>
      <c r="E2775" s="1"/>
      <c r="F2775" s="1"/>
      <c r="G2775" s="1"/>
      <c r="H2775" s="1"/>
      <c r="I2775" s="1"/>
      <c r="J2775" s="1"/>
      <c r="K2775" s="106" t="s">
        <v>4945</v>
      </c>
      <c r="L2775" s="102" t="str">
        <f>Q136</f>
        <v>J1a2a1a2d2b2b2c3b~</v>
      </c>
      <c r="M2775" s="102" t="s">
        <v>4944</v>
      </c>
      <c r="N2775" s="102" t="s">
        <v>4946</v>
      </c>
      <c r="O2775" s="105">
        <v>6982569.0</v>
      </c>
      <c r="P2775" s="105">
        <v>7114528.0</v>
      </c>
      <c r="Q2775" s="102" t="s">
        <v>2501</v>
      </c>
      <c r="S2775" s="1"/>
      <c r="T2775" s="1"/>
      <c r="U2775" s="1"/>
      <c r="V2775" s="1"/>
      <c r="W2775" s="1"/>
      <c r="X2775" s="1"/>
      <c r="Y2775" s="1"/>
      <c r="Z2775" s="102"/>
      <c r="AA2775" s="102"/>
      <c r="AB2775" s="1"/>
      <c r="AC2775" s="1"/>
      <c r="AD2775" s="1"/>
      <c r="AE2775" s="1"/>
      <c r="AF2775" s="1"/>
      <c r="AG2775" s="1"/>
    </row>
    <row r="2776" ht="15.75" customHeight="1">
      <c r="A2776" s="1"/>
      <c r="B2776" s="1"/>
      <c r="C2776" s="1"/>
      <c r="D2776" s="1"/>
      <c r="E2776" s="1"/>
      <c r="F2776" s="1"/>
      <c r="G2776" s="1"/>
      <c r="H2776" s="1"/>
      <c r="I2776" s="1"/>
      <c r="J2776" s="1"/>
      <c r="K2776" s="102" t="s">
        <v>4947</v>
      </c>
      <c r="L2776" s="102" t="str">
        <f>Q136</f>
        <v>J1a2a1a2d2b2b2c3b~</v>
      </c>
      <c r="M2776" s="102" t="s">
        <v>4948</v>
      </c>
      <c r="N2776" s="102" t="s">
        <v>4949</v>
      </c>
      <c r="O2776" s="105">
        <v>7661462.0</v>
      </c>
      <c r="P2776" s="105">
        <v>7793421.0</v>
      </c>
      <c r="Q2776" s="102" t="s">
        <v>2514</v>
      </c>
      <c r="S2776" s="1"/>
      <c r="T2776" s="1"/>
      <c r="U2776" s="1"/>
      <c r="V2776" s="1"/>
      <c r="W2776" s="1"/>
      <c r="X2776" s="1"/>
      <c r="Y2776" s="1"/>
      <c r="Z2776" s="102"/>
      <c r="AA2776" s="102"/>
      <c r="AB2776" s="1"/>
      <c r="AC2776" s="1"/>
      <c r="AD2776" s="1"/>
      <c r="AE2776" s="1"/>
      <c r="AF2776" s="1"/>
      <c r="AG2776" s="1"/>
    </row>
    <row r="2777" ht="15.75" customHeight="1">
      <c r="A2777" s="1"/>
      <c r="B2777" s="1"/>
      <c r="C2777" s="1"/>
      <c r="D2777" s="1"/>
      <c r="E2777" s="1"/>
      <c r="F2777" s="1"/>
      <c r="G2777" s="1"/>
      <c r="H2777" s="1"/>
      <c r="I2777" s="1"/>
      <c r="J2777" s="1"/>
      <c r="K2777" s="102" t="s">
        <v>4948</v>
      </c>
      <c r="L2777" s="102" t="str">
        <f>Q136</f>
        <v>J1a2a1a2d2b2b2c3b~</v>
      </c>
      <c r="M2777" s="102" t="s">
        <v>4947</v>
      </c>
      <c r="N2777" s="102" t="s">
        <v>4949</v>
      </c>
      <c r="O2777" s="105">
        <v>7661462.0</v>
      </c>
      <c r="P2777" s="105">
        <v>7793421.0</v>
      </c>
      <c r="Q2777" s="102" t="s">
        <v>2514</v>
      </c>
      <c r="S2777" s="1"/>
      <c r="T2777" s="1"/>
      <c r="U2777" s="1"/>
      <c r="V2777" s="1"/>
      <c r="W2777" s="1"/>
      <c r="X2777" s="1"/>
      <c r="Y2777" s="1"/>
      <c r="Z2777" s="102"/>
      <c r="AA2777" s="102"/>
      <c r="AB2777" s="1"/>
      <c r="AC2777" s="1"/>
      <c r="AD2777" s="1"/>
      <c r="AE2777" s="1"/>
      <c r="AF2777" s="1"/>
      <c r="AG2777" s="1"/>
    </row>
    <row r="2778" ht="15.75" customHeight="1">
      <c r="A2778" s="1"/>
      <c r="B2778" s="1"/>
      <c r="C2778" s="1"/>
      <c r="D2778" s="1"/>
      <c r="E2778" s="1"/>
      <c r="F2778" s="1"/>
      <c r="G2778" s="1"/>
      <c r="H2778" s="1"/>
      <c r="I2778" s="1"/>
      <c r="J2778" s="1"/>
      <c r="K2778" s="102" t="s">
        <v>4950</v>
      </c>
      <c r="L2778" s="102" t="str">
        <f>Q136</f>
        <v>J1a2a1a2d2b2b2c3b~</v>
      </c>
      <c r="M2778" s="102" t="s">
        <v>4951</v>
      </c>
      <c r="N2778" s="102" t="s">
        <v>4952</v>
      </c>
      <c r="O2778" s="105">
        <v>8041743.0</v>
      </c>
      <c r="P2778" s="105">
        <v>8173702.0</v>
      </c>
      <c r="Q2778" s="102" t="s">
        <v>2468</v>
      </c>
      <c r="S2778" s="1"/>
      <c r="T2778" s="1"/>
      <c r="U2778" s="1"/>
      <c r="V2778" s="1"/>
      <c r="W2778" s="1"/>
      <c r="X2778" s="1"/>
      <c r="Y2778" s="1"/>
      <c r="Z2778" s="102"/>
      <c r="AA2778" s="102"/>
      <c r="AB2778" s="1"/>
      <c r="AC2778" s="1"/>
      <c r="AD2778" s="1"/>
      <c r="AE2778" s="1"/>
      <c r="AF2778" s="1"/>
      <c r="AG2778" s="1"/>
    </row>
    <row r="2779" ht="15.75" customHeight="1">
      <c r="A2779" s="1"/>
      <c r="B2779" s="1"/>
      <c r="C2779" s="1"/>
      <c r="D2779" s="1"/>
      <c r="E2779" s="1"/>
      <c r="F2779" s="1"/>
      <c r="G2779" s="1"/>
      <c r="H2779" s="1"/>
      <c r="I2779" s="1"/>
      <c r="J2779" s="1"/>
      <c r="K2779" s="102" t="s">
        <v>4951</v>
      </c>
      <c r="L2779" s="102" t="str">
        <f>Q136</f>
        <v>J1a2a1a2d2b2b2c3b~</v>
      </c>
      <c r="M2779" s="102" t="s">
        <v>4950</v>
      </c>
      <c r="N2779" s="102" t="s">
        <v>4952</v>
      </c>
      <c r="O2779" s="105">
        <v>8041743.0</v>
      </c>
      <c r="P2779" s="105">
        <v>8173702.0</v>
      </c>
      <c r="Q2779" s="102" t="s">
        <v>2468</v>
      </c>
      <c r="S2779" s="1"/>
      <c r="T2779" s="1"/>
      <c r="U2779" s="1"/>
      <c r="V2779" s="1"/>
      <c r="W2779" s="1"/>
      <c r="X2779" s="1"/>
      <c r="Y2779" s="1"/>
      <c r="Z2779" s="102"/>
      <c r="AA2779" s="102"/>
      <c r="AB2779" s="1"/>
      <c r="AC2779" s="1"/>
      <c r="AD2779" s="1"/>
      <c r="AE2779" s="1"/>
      <c r="AF2779" s="1"/>
      <c r="AG2779" s="1"/>
    </row>
    <row r="2780" ht="15.75" customHeight="1">
      <c r="A2780" s="1"/>
      <c r="B2780" s="1"/>
      <c r="C2780" s="1"/>
      <c r="D2780" s="1"/>
      <c r="E2780" s="1"/>
      <c r="F2780" s="1"/>
      <c r="G2780" s="1"/>
      <c r="H2780" s="1"/>
      <c r="I2780" s="1"/>
      <c r="J2780" s="1"/>
      <c r="K2780" s="102" t="s">
        <v>4953</v>
      </c>
      <c r="L2780" s="102" t="str">
        <f>Q136</f>
        <v>J1a2a1a2d2b2b2c3b~</v>
      </c>
      <c r="M2780" s="102" t="s">
        <v>4954</v>
      </c>
      <c r="N2780" s="102" t="s">
        <v>4955</v>
      </c>
      <c r="O2780" s="105">
        <v>8046416.0</v>
      </c>
      <c r="P2780" s="105">
        <v>8178375.0</v>
      </c>
      <c r="Q2780" s="102" t="s">
        <v>2454</v>
      </c>
      <c r="S2780" s="1"/>
      <c r="T2780" s="1"/>
      <c r="U2780" s="1"/>
      <c r="V2780" s="1"/>
      <c r="W2780" s="1"/>
      <c r="X2780" s="1"/>
      <c r="Y2780" s="1"/>
      <c r="Z2780" s="102"/>
      <c r="AA2780" s="102"/>
      <c r="AB2780" s="1"/>
      <c r="AC2780" s="1"/>
      <c r="AD2780" s="1"/>
      <c r="AE2780" s="1"/>
      <c r="AF2780" s="1"/>
      <c r="AG2780" s="1"/>
    </row>
    <row r="2781" ht="15.75" customHeight="1">
      <c r="A2781" s="1"/>
      <c r="B2781" s="1"/>
      <c r="C2781" s="1"/>
      <c r="D2781" s="1"/>
      <c r="E2781" s="1"/>
      <c r="F2781" s="1"/>
      <c r="G2781" s="1"/>
      <c r="H2781" s="1"/>
      <c r="I2781" s="1"/>
      <c r="J2781" s="1"/>
      <c r="K2781" s="102" t="s">
        <v>4954</v>
      </c>
      <c r="L2781" s="102" t="str">
        <f>Q136</f>
        <v>J1a2a1a2d2b2b2c3b~</v>
      </c>
      <c r="M2781" s="102" t="s">
        <v>4953</v>
      </c>
      <c r="N2781" s="102" t="s">
        <v>4955</v>
      </c>
      <c r="O2781" s="105">
        <v>8046416.0</v>
      </c>
      <c r="P2781" s="105">
        <v>8178375.0</v>
      </c>
      <c r="Q2781" s="102" t="s">
        <v>2454</v>
      </c>
      <c r="S2781" s="1"/>
      <c r="T2781" s="1"/>
      <c r="U2781" s="1"/>
      <c r="V2781" s="1"/>
      <c r="W2781" s="1"/>
      <c r="X2781" s="1"/>
      <c r="Y2781" s="1"/>
      <c r="Z2781" s="102"/>
      <c r="AA2781" s="102"/>
      <c r="AB2781" s="1"/>
      <c r="AC2781" s="1"/>
      <c r="AD2781" s="1"/>
      <c r="AE2781" s="1"/>
      <c r="AF2781" s="1"/>
      <c r="AG2781" s="1"/>
    </row>
    <row r="2782" ht="15.75" customHeight="1">
      <c r="A2782" s="1"/>
      <c r="B2782" s="1"/>
      <c r="C2782" s="1"/>
      <c r="D2782" s="1"/>
      <c r="E2782" s="1"/>
      <c r="F2782" s="1"/>
      <c r="G2782" s="1"/>
      <c r="H2782" s="1"/>
      <c r="I2782" s="1"/>
      <c r="J2782" s="1"/>
      <c r="K2782" s="102" t="s">
        <v>4956</v>
      </c>
      <c r="L2782" s="102" t="str">
        <f>Q136</f>
        <v>J1a2a1a2d2b2b2c3b~</v>
      </c>
      <c r="M2782" s="102" t="s">
        <v>4957</v>
      </c>
      <c r="N2782" s="102" t="s">
        <v>4958</v>
      </c>
      <c r="O2782" s="105">
        <v>1.4310153E7</v>
      </c>
      <c r="P2782" s="105">
        <v>1.2189447E7</v>
      </c>
      <c r="Q2782" s="102" t="s">
        <v>2439</v>
      </c>
      <c r="S2782" s="1"/>
      <c r="T2782" s="1"/>
      <c r="U2782" s="1"/>
      <c r="V2782" s="1"/>
      <c r="W2782" s="1"/>
      <c r="X2782" s="1"/>
      <c r="Y2782" s="1"/>
      <c r="Z2782" s="102"/>
      <c r="AA2782" s="102"/>
      <c r="AB2782" s="1"/>
      <c r="AC2782" s="1"/>
      <c r="AD2782" s="1"/>
      <c r="AE2782" s="1"/>
      <c r="AF2782" s="1"/>
      <c r="AG2782" s="1"/>
    </row>
    <row r="2783" ht="15.75" customHeight="1">
      <c r="A2783" s="1"/>
      <c r="B2783" s="1"/>
      <c r="C2783" s="1"/>
      <c r="D2783" s="1"/>
      <c r="E2783" s="1"/>
      <c r="F2783" s="1"/>
      <c r="G2783" s="1"/>
      <c r="H2783" s="1"/>
      <c r="I2783" s="1"/>
      <c r="J2783" s="1"/>
      <c r="K2783" s="102" t="s">
        <v>4957</v>
      </c>
      <c r="L2783" s="102" t="str">
        <f>Q136</f>
        <v>J1a2a1a2d2b2b2c3b~</v>
      </c>
      <c r="M2783" s="102" t="s">
        <v>4956</v>
      </c>
      <c r="N2783" s="102" t="s">
        <v>4958</v>
      </c>
      <c r="O2783" s="105">
        <v>1.4310153E7</v>
      </c>
      <c r="P2783" s="105">
        <v>1.2189447E7</v>
      </c>
      <c r="Q2783" s="102" t="s">
        <v>2439</v>
      </c>
      <c r="S2783" s="1"/>
      <c r="T2783" s="1"/>
      <c r="U2783" s="1"/>
      <c r="V2783" s="1"/>
      <c r="W2783" s="1"/>
      <c r="X2783" s="1"/>
      <c r="Y2783" s="1"/>
      <c r="Z2783" s="102"/>
      <c r="AA2783" s="102"/>
      <c r="AB2783" s="1"/>
      <c r="AC2783" s="1"/>
      <c r="AD2783" s="1"/>
      <c r="AE2783" s="1"/>
      <c r="AF2783" s="1"/>
      <c r="AG2783" s="1"/>
    </row>
    <row r="2784" ht="15.75" customHeight="1">
      <c r="A2784" s="1"/>
      <c r="B2784" s="1"/>
      <c r="C2784" s="1"/>
      <c r="D2784" s="1"/>
      <c r="E2784" s="1"/>
      <c r="F2784" s="1"/>
      <c r="G2784" s="1"/>
      <c r="H2784" s="1"/>
      <c r="I2784" s="1"/>
      <c r="J2784" s="1"/>
      <c r="K2784" s="102" t="s">
        <v>4959</v>
      </c>
      <c r="L2784" s="102" t="str">
        <f>Q136</f>
        <v>J1a2a1a2d2b2b2c3b~</v>
      </c>
      <c r="M2784" s="102" t="s">
        <v>4960</v>
      </c>
      <c r="N2784" s="102" t="s">
        <v>4961</v>
      </c>
      <c r="O2784" s="105">
        <v>1.4427204E7</v>
      </c>
      <c r="P2784" s="105">
        <v>1.2306479E7</v>
      </c>
      <c r="Q2784" s="102" t="s">
        <v>2501</v>
      </c>
      <c r="S2784" s="1"/>
      <c r="T2784" s="1"/>
      <c r="U2784" s="1"/>
      <c r="V2784" s="1"/>
      <c r="W2784" s="1"/>
      <c r="X2784" s="1"/>
      <c r="Y2784" s="1"/>
      <c r="Z2784" s="102"/>
      <c r="AA2784" s="102"/>
      <c r="AB2784" s="1"/>
      <c r="AC2784" s="1"/>
      <c r="AD2784" s="1"/>
      <c r="AE2784" s="1"/>
      <c r="AF2784" s="1"/>
      <c r="AG2784" s="1"/>
    </row>
    <row r="2785" ht="15.75" customHeight="1">
      <c r="A2785" s="1"/>
      <c r="B2785" s="1"/>
      <c r="C2785" s="1"/>
      <c r="D2785" s="1"/>
      <c r="E2785" s="1"/>
      <c r="F2785" s="1"/>
      <c r="G2785" s="1"/>
      <c r="H2785" s="1"/>
      <c r="I2785" s="1"/>
      <c r="J2785" s="1"/>
      <c r="K2785" s="102" t="s">
        <v>4960</v>
      </c>
      <c r="L2785" s="102" t="str">
        <f>Q136</f>
        <v>J1a2a1a2d2b2b2c3b~</v>
      </c>
      <c r="M2785" s="102" t="s">
        <v>4959</v>
      </c>
      <c r="N2785" s="102" t="s">
        <v>4961</v>
      </c>
      <c r="O2785" s="105">
        <v>1.4427204E7</v>
      </c>
      <c r="P2785" s="105">
        <v>1.2306479E7</v>
      </c>
      <c r="Q2785" s="102" t="s">
        <v>2501</v>
      </c>
      <c r="S2785" s="1"/>
      <c r="T2785" s="1"/>
      <c r="U2785" s="1"/>
      <c r="V2785" s="1"/>
      <c r="W2785" s="1"/>
      <c r="X2785" s="1"/>
      <c r="Y2785" s="1"/>
      <c r="Z2785" s="102"/>
      <c r="AA2785" s="102"/>
      <c r="AB2785" s="1"/>
      <c r="AC2785" s="1"/>
      <c r="AD2785" s="1"/>
      <c r="AE2785" s="1"/>
      <c r="AF2785" s="1"/>
      <c r="AG2785" s="1"/>
    </row>
    <row r="2786" ht="15.75" customHeight="1">
      <c r="A2786" s="1"/>
      <c r="B2786" s="1"/>
      <c r="C2786" s="1"/>
      <c r="D2786" s="1"/>
      <c r="E2786" s="1"/>
      <c r="F2786" s="1"/>
      <c r="G2786" s="1"/>
      <c r="H2786" s="1"/>
      <c r="I2786" s="1"/>
      <c r="J2786" s="1"/>
      <c r="K2786" s="102" t="s">
        <v>4962</v>
      </c>
      <c r="L2786" s="102" t="str">
        <f>Q136</f>
        <v>J1a2a1a2d2b2b2c3b~</v>
      </c>
      <c r="M2786" s="102" t="s">
        <v>4963</v>
      </c>
      <c r="N2786" s="102" t="s">
        <v>4964</v>
      </c>
      <c r="O2786" s="105">
        <v>1.4503378E7</v>
      </c>
      <c r="P2786" s="105">
        <v>1.2391583E7</v>
      </c>
      <c r="Q2786" s="102" t="s">
        <v>2501</v>
      </c>
      <c r="S2786" s="1"/>
      <c r="T2786" s="1"/>
      <c r="U2786" s="1"/>
      <c r="V2786" s="1"/>
      <c r="W2786" s="1"/>
      <c r="X2786" s="1"/>
      <c r="Y2786" s="1"/>
      <c r="Z2786" s="102"/>
      <c r="AA2786" s="102"/>
      <c r="AB2786" s="1"/>
      <c r="AC2786" s="1"/>
      <c r="AD2786" s="1"/>
      <c r="AE2786" s="1"/>
      <c r="AF2786" s="1"/>
      <c r="AG2786" s="1"/>
    </row>
    <row r="2787" ht="15.75" customHeight="1">
      <c r="A2787" s="1"/>
      <c r="B2787" s="1"/>
      <c r="C2787" s="1"/>
      <c r="D2787" s="1"/>
      <c r="E2787" s="1"/>
      <c r="F2787" s="1"/>
      <c r="G2787" s="1"/>
      <c r="H2787" s="1"/>
      <c r="I2787" s="1"/>
      <c r="J2787" s="1"/>
      <c r="K2787" s="102" t="s">
        <v>4963</v>
      </c>
      <c r="L2787" s="102" t="str">
        <f>Q136</f>
        <v>J1a2a1a2d2b2b2c3b~</v>
      </c>
      <c r="M2787" s="102" t="s">
        <v>4962</v>
      </c>
      <c r="N2787" s="102" t="s">
        <v>4964</v>
      </c>
      <c r="O2787" s="105">
        <v>1.4503378E7</v>
      </c>
      <c r="P2787" s="105">
        <v>1.2391583E7</v>
      </c>
      <c r="Q2787" s="102" t="s">
        <v>2501</v>
      </c>
      <c r="S2787" s="1"/>
      <c r="T2787" s="1"/>
      <c r="U2787" s="1"/>
      <c r="V2787" s="1"/>
      <c r="W2787" s="1"/>
      <c r="X2787" s="1"/>
      <c r="Y2787" s="1"/>
      <c r="Z2787" s="102"/>
      <c r="AA2787" s="102"/>
      <c r="AB2787" s="1"/>
      <c r="AC2787" s="1"/>
      <c r="AD2787" s="1"/>
      <c r="AE2787" s="1"/>
      <c r="AF2787" s="1"/>
      <c r="AG2787" s="1"/>
    </row>
    <row r="2788" ht="15.75" customHeight="1">
      <c r="A2788" s="1"/>
      <c r="B2788" s="1"/>
      <c r="C2788" s="1"/>
      <c r="D2788" s="1"/>
      <c r="E2788" s="1"/>
      <c r="F2788" s="1"/>
      <c r="G2788" s="1"/>
      <c r="H2788" s="1"/>
      <c r="I2788" s="1"/>
      <c r="J2788" s="1"/>
      <c r="K2788" s="102" t="s">
        <v>4965</v>
      </c>
      <c r="L2788" s="102" t="str">
        <f>Q136</f>
        <v>J1a2a1a2d2b2b2c3b~</v>
      </c>
      <c r="M2788" s="102" t="s">
        <v>4966</v>
      </c>
      <c r="N2788" s="102" t="s">
        <v>4967</v>
      </c>
      <c r="O2788" s="105">
        <v>1.4509214E7</v>
      </c>
      <c r="P2788" s="105">
        <v>1.2397419E7</v>
      </c>
      <c r="Q2788" s="102" t="s">
        <v>2529</v>
      </c>
      <c r="S2788" s="1"/>
      <c r="T2788" s="1"/>
      <c r="U2788" s="1"/>
      <c r="V2788" s="1"/>
      <c r="W2788" s="1"/>
      <c r="X2788" s="1"/>
      <c r="Y2788" s="1"/>
      <c r="Z2788" s="102"/>
      <c r="AA2788" s="102"/>
      <c r="AB2788" s="1"/>
      <c r="AC2788" s="1"/>
      <c r="AD2788" s="1"/>
      <c r="AE2788" s="1"/>
      <c r="AF2788" s="1"/>
      <c r="AG2788" s="1"/>
    </row>
    <row r="2789" ht="15.75" customHeight="1">
      <c r="A2789" s="1"/>
      <c r="B2789" s="1"/>
      <c r="C2789" s="1"/>
      <c r="D2789" s="1"/>
      <c r="E2789" s="1"/>
      <c r="F2789" s="1"/>
      <c r="G2789" s="1"/>
      <c r="H2789" s="1"/>
      <c r="I2789" s="1"/>
      <c r="J2789" s="1"/>
      <c r="K2789" s="102" t="s">
        <v>4966</v>
      </c>
      <c r="L2789" s="102" t="str">
        <f>Q136</f>
        <v>J1a2a1a2d2b2b2c3b~</v>
      </c>
      <c r="M2789" s="102" t="s">
        <v>4965</v>
      </c>
      <c r="N2789" s="102" t="s">
        <v>4967</v>
      </c>
      <c r="O2789" s="105">
        <v>1.4509214E7</v>
      </c>
      <c r="P2789" s="105">
        <v>1.2397419E7</v>
      </c>
      <c r="Q2789" s="102" t="s">
        <v>2529</v>
      </c>
      <c r="S2789" s="1"/>
      <c r="T2789" s="1"/>
      <c r="U2789" s="1"/>
      <c r="V2789" s="1"/>
      <c r="W2789" s="1"/>
      <c r="X2789" s="1"/>
      <c r="Y2789" s="1"/>
      <c r="Z2789" s="102"/>
      <c r="AA2789" s="102"/>
      <c r="AB2789" s="1"/>
      <c r="AC2789" s="1"/>
      <c r="AD2789" s="1"/>
      <c r="AE2789" s="1"/>
      <c r="AF2789" s="1"/>
      <c r="AG2789" s="1"/>
    </row>
    <row r="2790" ht="15.75" customHeight="1">
      <c r="A2790" s="1"/>
      <c r="B2790" s="1"/>
      <c r="C2790" s="1"/>
      <c r="D2790" s="1"/>
      <c r="E2790" s="1"/>
      <c r="F2790" s="1"/>
      <c r="G2790" s="1"/>
      <c r="H2790" s="1"/>
      <c r="I2790" s="1"/>
      <c r="J2790" s="1"/>
      <c r="K2790" s="102" t="s">
        <v>4968</v>
      </c>
      <c r="L2790" s="102" t="str">
        <f>Q136</f>
        <v>J1a2a1a2d2b2b2c3b~</v>
      </c>
      <c r="M2790" s="102" t="s">
        <v>4969</v>
      </c>
      <c r="N2790" s="102" t="s">
        <v>4970</v>
      </c>
      <c r="O2790" s="105">
        <v>1.5054842E7</v>
      </c>
      <c r="P2790" s="105">
        <v>1.2942933E7</v>
      </c>
      <c r="Q2790" s="102" t="s">
        <v>2446</v>
      </c>
      <c r="S2790" s="1"/>
      <c r="T2790" s="1"/>
      <c r="U2790" s="1"/>
      <c r="V2790" s="1"/>
      <c r="W2790" s="1"/>
      <c r="X2790" s="1"/>
      <c r="Y2790" s="1"/>
      <c r="Z2790" s="102"/>
      <c r="AA2790" s="102"/>
      <c r="AB2790" s="1"/>
      <c r="AC2790" s="1"/>
      <c r="AD2790" s="1"/>
      <c r="AE2790" s="1"/>
      <c r="AF2790" s="1"/>
      <c r="AG2790" s="1"/>
    </row>
    <row r="2791" ht="15.75" customHeight="1">
      <c r="A2791" s="1"/>
      <c r="B2791" s="1"/>
      <c r="C2791" s="1"/>
      <c r="D2791" s="1"/>
      <c r="E2791" s="1"/>
      <c r="F2791" s="1"/>
      <c r="G2791" s="1"/>
      <c r="H2791" s="1"/>
      <c r="I2791" s="1"/>
      <c r="J2791" s="1"/>
      <c r="K2791" s="102" t="s">
        <v>4969</v>
      </c>
      <c r="L2791" s="102" t="str">
        <f>Q136</f>
        <v>J1a2a1a2d2b2b2c3b~</v>
      </c>
      <c r="M2791" s="102" t="s">
        <v>4968</v>
      </c>
      <c r="N2791" s="102" t="s">
        <v>4970</v>
      </c>
      <c r="O2791" s="105">
        <v>1.5054842E7</v>
      </c>
      <c r="P2791" s="105">
        <v>1.2942933E7</v>
      </c>
      <c r="Q2791" s="102" t="s">
        <v>2446</v>
      </c>
      <c r="S2791" s="1"/>
      <c r="T2791" s="1"/>
      <c r="U2791" s="1"/>
      <c r="V2791" s="1"/>
      <c r="W2791" s="1"/>
      <c r="X2791" s="1"/>
      <c r="Y2791" s="1"/>
      <c r="Z2791" s="102"/>
      <c r="AA2791" s="102"/>
      <c r="AB2791" s="1"/>
      <c r="AC2791" s="1"/>
      <c r="AD2791" s="1"/>
      <c r="AE2791" s="1"/>
      <c r="AF2791" s="1"/>
      <c r="AG2791" s="1"/>
    </row>
    <row r="2792" ht="15.75" customHeight="1">
      <c r="A2792" s="1"/>
      <c r="B2792" s="1"/>
      <c r="C2792" s="1"/>
      <c r="D2792" s="1"/>
      <c r="E2792" s="1"/>
      <c r="F2792" s="1"/>
      <c r="G2792" s="1"/>
      <c r="H2792" s="1"/>
      <c r="I2792" s="1"/>
      <c r="J2792" s="1"/>
      <c r="K2792" s="102" t="s">
        <v>4971</v>
      </c>
      <c r="L2792" s="102" t="str">
        <f>Q136</f>
        <v>J1a2a1a2d2b2b2c3b~</v>
      </c>
      <c r="M2792" s="102" t="s">
        <v>4972</v>
      </c>
      <c r="N2792" s="102" t="s">
        <v>4973</v>
      </c>
      <c r="O2792" s="105">
        <v>1.5055504E7</v>
      </c>
      <c r="P2792" s="105">
        <v>1.2943596E7</v>
      </c>
      <c r="Q2792" s="102" t="s">
        <v>2446</v>
      </c>
      <c r="S2792" s="1"/>
      <c r="T2792" s="1"/>
      <c r="U2792" s="1"/>
      <c r="V2792" s="1"/>
      <c r="W2792" s="1"/>
      <c r="X2792" s="1"/>
      <c r="Y2792" s="1"/>
      <c r="Z2792" s="102"/>
      <c r="AA2792" s="102"/>
      <c r="AB2792" s="1"/>
      <c r="AC2792" s="1"/>
      <c r="AD2792" s="1"/>
      <c r="AE2792" s="1"/>
      <c r="AF2792" s="1"/>
      <c r="AG2792" s="1"/>
    </row>
    <row r="2793" ht="15.75" customHeight="1">
      <c r="A2793" s="1"/>
      <c r="B2793" s="1"/>
      <c r="C2793" s="1"/>
      <c r="D2793" s="1"/>
      <c r="E2793" s="1"/>
      <c r="F2793" s="1"/>
      <c r="G2793" s="1"/>
      <c r="H2793" s="1"/>
      <c r="I2793" s="1"/>
      <c r="J2793" s="1"/>
      <c r="K2793" s="102" t="s">
        <v>4972</v>
      </c>
      <c r="L2793" s="102" t="str">
        <f>Q136</f>
        <v>J1a2a1a2d2b2b2c3b~</v>
      </c>
      <c r="M2793" s="102" t="s">
        <v>4971</v>
      </c>
      <c r="N2793" s="102" t="s">
        <v>4973</v>
      </c>
      <c r="O2793" s="105">
        <v>1.5055504E7</v>
      </c>
      <c r="P2793" s="105">
        <v>1.2943596E7</v>
      </c>
      <c r="Q2793" s="102" t="s">
        <v>2446</v>
      </c>
      <c r="S2793" s="1"/>
      <c r="T2793" s="1"/>
      <c r="U2793" s="1"/>
      <c r="V2793" s="1"/>
      <c r="W2793" s="1"/>
      <c r="X2793" s="1"/>
      <c r="Y2793" s="1"/>
      <c r="Z2793" s="102"/>
      <c r="AA2793" s="102"/>
      <c r="AB2793" s="1"/>
      <c r="AC2793" s="1"/>
      <c r="AD2793" s="1"/>
      <c r="AE2793" s="1"/>
      <c r="AF2793" s="1"/>
      <c r="AG2793" s="1"/>
    </row>
    <row r="2794" ht="15.75" customHeight="1">
      <c r="A2794" s="1"/>
      <c r="B2794" s="1"/>
      <c r="C2794" s="1"/>
      <c r="D2794" s="1"/>
      <c r="E2794" s="1"/>
      <c r="F2794" s="1"/>
      <c r="G2794" s="1"/>
      <c r="H2794" s="1"/>
      <c r="I2794" s="1"/>
      <c r="J2794" s="1"/>
      <c r="K2794" s="102" t="s">
        <v>4974</v>
      </c>
      <c r="L2794" s="102" t="str">
        <f>Q136</f>
        <v>J1a2a1a2d2b2b2c3b~</v>
      </c>
      <c r="M2794" s="102" t="s">
        <v>4975</v>
      </c>
      <c r="N2794" s="102" t="s">
        <v>4976</v>
      </c>
      <c r="O2794" s="105">
        <v>1.573189E7</v>
      </c>
      <c r="P2794" s="105">
        <v>1.362001E7</v>
      </c>
      <c r="Q2794" s="102" t="s">
        <v>2533</v>
      </c>
      <c r="S2794" s="1"/>
      <c r="T2794" s="1"/>
      <c r="U2794" s="1"/>
      <c r="V2794" s="1"/>
      <c r="W2794" s="1"/>
      <c r="X2794" s="1"/>
      <c r="Y2794" s="1"/>
      <c r="Z2794" s="102"/>
      <c r="AA2794" s="102"/>
      <c r="AB2794" s="1"/>
      <c r="AC2794" s="1"/>
      <c r="AD2794" s="1"/>
      <c r="AE2794" s="1"/>
      <c r="AF2794" s="1"/>
      <c r="AG2794" s="1"/>
    </row>
    <row r="2795" ht="15.75" customHeight="1">
      <c r="A2795" s="1"/>
      <c r="B2795" s="1"/>
      <c r="C2795" s="1"/>
      <c r="D2795" s="1"/>
      <c r="E2795" s="1"/>
      <c r="F2795" s="1"/>
      <c r="G2795" s="1"/>
      <c r="H2795" s="1"/>
      <c r="I2795" s="1"/>
      <c r="J2795" s="1"/>
      <c r="K2795" s="102" t="s">
        <v>4975</v>
      </c>
      <c r="L2795" s="102" t="str">
        <f>Q136</f>
        <v>J1a2a1a2d2b2b2c3b~</v>
      </c>
      <c r="M2795" s="102" t="s">
        <v>4974</v>
      </c>
      <c r="N2795" s="102" t="s">
        <v>4976</v>
      </c>
      <c r="O2795" s="105">
        <v>1.573189E7</v>
      </c>
      <c r="P2795" s="105">
        <v>1.362001E7</v>
      </c>
      <c r="Q2795" s="102" t="s">
        <v>2533</v>
      </c>
      <c r="S2795" s="1"/>
      <c r="T2795" s="1"/>
      <c r="U2795" s="1"/>
      <c r="V2795" s="1"/>
      <c r="W2795" s="1"/>
      <c r="X2795" s="1"/>
      <c r="Y2795" s="1"/>
      <c r="Z2795" s="102"/>
      <c r="AA2795" s="102"/>
      <c r="AB2795" s="1"/>
      <c r="AC2795" s="1"/>
      <c r="AD2795" s="1"/>
      <c r="AE2795" s="1"/>
      <c r="AF2795" s="1"/>
      <c r="AG2795" s="1"/>
    </row>
    <row r="2796" ht="15.75" customHeight="1">
      <c r="A2796" s="1"/>
      <c r="B2796" s="1"/>
      <c r="C2796" s="1"/>
      <c r="D2796" s="1"/>
      <c r="E2796" s="1"/>
      <c r="F2796" s="1"/>
      <c r="G2796" s="1"/>
      <c r="H2796" s="1"/>
      <c r="I2796" s="1"/>
      <c r="J2796" s="1"/>
      <c r="K2796" s="102" t="s">
        <v>4977</v>
      </c>
      <c r="L2796" s="102" t="str">
        <f>Q136</f>
        <v>J1a2a1a2d2b2b2c3b~</v>
      </c>
      <c r="M2796" s="102" t="s">
        <v>4978</v>
      </c>
      <c r="N2796" s="102" t="s">
        <v>4979</v>
      </c>
      <c r="O2796" s="105">
        <v>1.5816261E7</v>
      </c>
      <c r="P2796" s="105">
        <v>1.3704381E7</v>
      </c>
      <c r="Q2796" s="102" t="s">
        <v>2563</v>
      </c>
      <c r="S2796" s="1"/>
      <c r="T2796" s="1"/>
      <c r="U2796" s="1"/>
      <c r="V2796" s="1"/>
      <c r="W2796" s="1"/>
      <c r="X2796" s="1"/>
      <c r="Y2796" s="1"/>
      <c r="Z2796" s="102"/>
      <c r="AA2796" s="102"/>
      <c r="AB2796" s="1"/>
      <c r="AC2796" s="1"/>
      <c r="AD2796" s="1"/>
      <c r="AE2796" s="1"/>
      <c r="AF2796" s="1"/>
      <c r="AG2796" s="1"/>
    </row>
    <row r="2797" ht="15.75" customHeight="1">
      <c r="A2797" s="1"/>
      <c r="B2797" s="1"/>
      <c r="C2797" s="1"/>
      <c r="D2797" s="1"/>
      <c r="E2797" s="1"/>
      <c r="F2797" s="1"/>
      <c r="G2797" s="1"/>
      <c r="H2797" s="1"/>
      <c r="I2797" s="1"/>
      <c r="J2797" s="1"/>
      <c r="K2797" s="102" t="s">
        <v>4978</v>
      </c>
      <c r="L2797" s="102" t="str">
        <f>Q136</f>
        <v>J1a2a1a2d2b2b2c3b~</v>
      </c>
      <c r="M2797" s="102" t="s">
        <v>4977</v>
      </c>
      <c r="N2797" s="102" t="s">
        <v>4979</v>
      </c>
      <c r="O2797" s="105">
        <v>1.5816261E7</v>
      </c>
      <c r="P2797" s="105">
        <v>1.3704381E7</v>
      </c>
      <c r="Q2797" s="102" t="s">
        <v>2563</v>
      </c>
      <c r="S2797" s="1"/>
      <c r="T2797" s="1"/>
      <c r="U2797" s="1"/>
      <c r="V2797" s="1"/>
      <c r="W2797" s="1"/>
      <c r="X2797" s="1"/>
      <c r="Y2797" s="1"/>
      <c r="Z2797" s="102"/>
      <c r="AA2797" s="102"/>
      <c r="AB2797" s="1"/>
      <c r="AC2797" s="1"/>
      <c r="AD2797" s="1"/>
      <c r="AE2797" s="1"/>
      <c r="AF2797" s="1"/>
      <c r="AG2797" s="1"/>
    </row>
    <row r="2798" ht="15.75" customHeight="1">
      <c r="A2798" s="1"/>
      <c r="B2798" s="1"/>
      <c r="C2798" s="1"/>
      <c r="D2798" s="1"/>
      <c r="E2798" s="1"/>
      <c r="F2798" s="1"/>
      <c r="G2798" s="1"/>
      <c r="H2798" s="1"/>
      <c r="I2798" s="1"/>
      <c r="J2798" s="1"/>
      <c r="K2798" s="102" t="s">
        <v>4980</v>
      </c>
      <c r="L2798" s="102" t="str">
        <f>Q136</f>
        <v>J1a2a1a2d2b2b2c3b~</v>
      </c>
      <c r="M2798" s="102" t="s">
        <v>4981</v>
      </c>
      <c r="N2798" s="102"/>
      <c r="O2798" s="105">
        <v>1.6084036E7</v>
      </c>
      <c r="P2798" s="105">
        <v>1.3972156E7</v>
      </c>
      <c r="Q2798" s="102" t="s">
        <v>2446</v>
      </c>
      <c r="S2798" s="1"/>
      <c r="T2798" s="1"/>
      <c r="U2798" s="1"/>
      <c r="V2798" s="1"/>
      <c r="W2798" s="1"/>
      <c r="X2798" s="1"/>
      <c r="Y2798" s="1"/>
      <c r="Z2798" s="102"/>
      <c r="AA2798" s="102"/>
      <c r="AB2798" s="1"/>
      <c r="AC2798" s="1"/>
      <c r="AD2798" s="1"/>
      <c r="AE2798" s="1"/>
      <c r="AF2798" s="1"/>
      <c r="AG2798" s="1"/>
    </row>
    <row r="2799" ht="15.75" customHeight="1">
      <c r="A2799" s="1"/>
      <c r="B2799" s="1"/>
      <c r="C2799" s="1"/>
      <c r="D2799" s="1"/>
      <c r="E2799" s="1"/>
      <c r="F2799" s="1"/>
      <c r="G2799" s="1"/>
      <c r="H2799" s="1"/>
      <c r="I2799" s="1"/>
      <c r="J2799" s="1"/>
      <c r="K2799" s="102" t="s">
        <v>4981</v>
      </c>
      <c r="L2799" s="102" t="str">
        <f>Q136</f>
        <v>J1a2a1a2d2b2b2c3b~</v>
      </c>
      <c r="M2799" s="102" t="s">
        <v>4980</v>
      </c>
      <c r="N2799" s="102"/>
      <c r="O2799" s="105">
        <v>1.6084036E7</v>
      </c>
      <c r="P2799" s="105">
        <v>1.3972156E7</v>
      </c>
      <c r="Q2799" s="102" t="s">
        <v>2446</v>
      </c>
      <c r="S2799" s="1"/>
      <c r="T2799" s="1"/>
      <c r="U2799" s="1"/>
      <c r="V2799" s="1"/>
      <c r="W2799" s="1"/>
      <c r="X2799" s="1"/>
      <c r="Y2799" s="1"/>
      <c r="Z2799" s="102"/>
      <c r="AA2799" s="102"/>
      <c r="AB2799" s="1"/>
      <c r="AC2799" s="1"/>
      <c r="AD2799" s="1"/>
      <c r="AE2799" s="1"/>
      <c r="AF2799" s="1"/>
      <c r="AG2799" s="1"/>
    </row>
    <row r="2800" ht="15.75" customHeight="1">
      <c r="A2800" s="1"/>
      <c r="B2800" s="1"/>
      <c r="C2800" s="1"/>
      <c r="D2800" s="1"/>
      <c r="E2800" s="1"/>
      <c r="F2800" s="1"/>
      <c r="G2800" s="1"/>
      <c r="H2800" s="1"/>
      <c r="I2800" s="1"/>
      <c r="J2800" s="1"/>
      <c r="K2800" s="102" t="s">
        <v>4982</v>
      </c>
      <c r="L2800" s="102" t="str">
        <f>Q136</f>
        <v>J1a2a1a2d2b2b2c3b~</v>
      </c>
      <c r="M2800" s="102" t="s">
        <v>4983</v>
      </c>
      <c r="N2800" s="102" t="s">
        <v>4984</v>
      </c>
      <c r="O2800" s="105">
        <v>1.6247089E7</v>
      </c>
      <c r="P2800" s="105">
        <v>1.4135209E7</v>
      </c>
      <c r="Q2800" s="102" t="s">
        <v>2563</v>
      </c>
      <c r="S2800" s="1"/>
      <c r="T2800" s="1"/>
      <c r="U2800" s="1"/>
      <c r="V2800" s="1"/>
      <c r="W2800" s="1"/>
      <c r="X2800" s="1"/>
      <c r="Y2800" s="1"/>
      <c r="Z2800" s="102"/>
      <c r="AA2800" s="102"/>
      <c r="AB2800" s="1"/>
      <c r="AC2800" s="1"/>
      <c r="AD2800" s="1"/>
      <c r="AE2800" s="1"/>
      <c r="AF2800" s="1"/>
      <c r="AG2800" s="1"/>
    </row>
    <row r="2801" ht="15.75" customHeight="1">
      <c r="A2801" s="1"/>
      <c r="B2801" s="1"/>
      <c r="C2801" s="1"/>
      <c r="D2801" s="1"/>
      <c r="E2801" s="1"/>
      <c r="F2801" s="1"/>
      <c r="G2801" s="1"/>
      <c r="H2801" s="1"/>
      <c r="I2801" s="1"/>
      <c r="J2801" s="1"/>
      <c r="K2801" s="102" t="s">
        <v>4983</v>
      </c>
      <c r="L2801" s="102" t="str">
        <f>Q136</f>
        <v>J1a2a1a2d2b2b2c3b~</v>
      </c>
      <c r="M2801" s="102" t="s">
        <v>4982</v>
      </c>
      <c r="N2801" s="102" t="s">
        <v>4984</v>
      </c>
      <c r="O2801" s="105">
        <v>1.6247089E7</v>
      </c>
      <c r="P2801" s="105">
        <v>1.4135209E7</v>
      </c>
      <c r="Q2801" s="102" t="s">
        <v>2563</v>
      </c>
      <c r="S2801" s="1"/>
      <c r="T2801" s="1"/>
      <c r="U2801" s="1"/>
      <c r="V2801" s="1"/>
      <c r="W2801" s="1"/>
      <c r="X2801" s="1"/>
      <c r="Y2801" s="1"/>
      <c r="Z2801" s="102"/>
      <c r="AA2801" s="102"/>
      <c r="AB2801" s="1"/>
      <c r="AC2801" s="1"/>
      <c r="AD2801" s="1"/>
      <c r="AE2801" s="1"/>
      <c r="AF2801" s="1"/>
      <c r="AG2801" s="1"/>
    </row>
    <row r="2802" ht="15.75" customHeight="1">
      <c r="A2802" s="1"/>
      <c r="B2802" s="1"/>
      <c r="C2802" s="1"/>
      <c r="D2802" s="1"/>
      <c r="E2802" s="1"/>
      <c r="F2802" s="1"/>
      <c r="G2802" s="1"/>
      <c r="H2802" s="1"/>
      <c r="I2802" s="1"/>
      <c r="J2802" s="1"/>
      <c r="K2802" s="102" t="s">
        <v>4985</v>
      </c>
      <c r="L2802" s="102" t="str">
        <f>Q136</f>
        <v>J1a2a1a2d2b2b2c3b~</v>
      </c>
      <c r="M2802" s="102" t="s">
        <v>4986</v>
      </c>
      <c r="N2802" s="102" t="s">
        <v>4987</v>
      </c>
      <c r="O2802" s="105">
        <v>1.6379906E7</v>
      </c>
      <c r="P2802" s="105">
        <v>1.4268026E7</v>
      </c>
      <c r="Q2802" s="102" t="s">
        <v>2514</v>
      </c>
      <c r="S2802" s="1"/>
      <c r="T2802" s="1"/>
      <c r="U2802" s="1"/>
      <c r="V2802" s="1"/>
      <c r="W2802" s="1"/>
      <c r="X2802" s="1"/>
      <c r="Y2802" s="1"/>
      <c r="Z2802" s="102"/>
      <c r="AA2802" s="102"/>
      <c r="AB2802" s="1"/>
      <c r="AC2802" s="1"/>
      <c r="AD2802" s="1"/>
      <c r="AE2802" s="1"/>
      <c r="AF2802" s="1"/>
      <c r="AG2802" s="1"/>
    </row>
    <row r="2803" ht="15.75" customHeight="1">
      <c r="A2803" s="1"/>
      <c r="B2803" s="1"/>
      <c r="C2803" s="1"/>
      <c r="D2803" s="1"/>
      <c r="E2803" s="1"/>
      <c r="F2803" s="1"/>
      <c r="G2803" s="1"/>
      <c r="H2803" s="1"/>
      <c r="I2803" s="1"/>
      <c r="J2803" s="1"/>
      <c r="K2803" s="102" t="s">
        <v>4986</v>
      </c>
      <c r="L2803" s="102" t="str">
        <f>Q136</f>
        <v>J1a2a1a2d2b2b2c3b~</v>
      </c>
      <c r="M2803" s="102" t="s">
        <v>4985</v>
      </c>
      <c r="N2803" s="102" t="s">
        <v>4987</v>
      </c>
      <c r="O2803" s="105">
        <v>1.6379906E7</v>
      </c>
      <c r="P2803" s="105">
        <v>1.4268026E7</v>
      </c>
      <c r="Q2803" s="102" t="s">
        <v>2514</v>
      </c>
      <c r="S2803" s="1"/>
      <c r="T2803" s="1"/>
      <c r="U2803" s="1"/>
      <c r="V2803" s="1"/>
      <c r="W2803" s="1"/>
      <c r="X2803" s="1"/>
      <c r="Y2803" s="1"/>
      <c r="Z2803" s="102"/>
      <c r="AA2803" s="102"/>
      <c r="AB2803" s="1"/>
      <c r="AC2803" s="1"/>
      <c r="AD2803" s="1"/>
      <c r="AE2803" s="1"/>
      <c r="AF2803" s="1"/>
      <c r="AG2803" s="1"/>
    </row>
    <row r="2804" ht="15.75" customHeight="1">
      <c r="A2804" s="1"/>
      <c r="B2804" s="1"/>
      <c r="C2804" s="1"/>
      <c r="D2804" s="1"/>
      <c r="E2804" s="1"/>
      <c r="F2804" s="1"/>
      <c r="G2804" s="1"/>
      <c r="H2804" s="1"/>
      <c r="I2804" s="1"/>
      <c r="J2804" s="1"/>
      <c r="K2804" s="102" t="s">
        <v>4988</v>
      </c>
      <c r="L2804" s="102" t="str">
        <f>Q136</f>
        <v>J1a2a1a2d2b2b2c3b~</v>
      </c>
      <c r="M2804" s="102" t="s">
        <v>4989</v>
      </c>
      <c r="N2804" s="102" t="s">
        <v>4990</v>
      </c>
      <c r="O2804" s="105">
        <v>1.658164E7</v>
      </c>
      <c r="P2804" s="105">
        <v>1.446976E7</v>
      </c>
      <c r="Q2804" s="102" t="s">
        <v>2563</v>
      </c>
      <c r="S2804" s="1"/>
      <c r="T2804" s="1"/>
      <c r="U2804" s="1"/>
      <c r="V2804" s="1"/>
      <c r="W2804" s="1"/>
      <c r="X2804" s="1"/>
      <c r="Y2804" s="1"/>
      <c r="Z2804" s="102"/>
      <c r="AA2804" s="102"/>
      <c r="AB2804" s="1"/>
      <c r="AC2804" s="1"/>
      <c r="AD2804" s="1"/>
      <c r="AE2804" s="1"/>
      <c r="AF2804" s="1"/>
      <c r="AG2804" s="1"/>
    </row>
    <row r="2805" ht="15.75" customHeight="1">
      <c r="A2805" s="1"/>
      <c r="B2805" s="1"/>
      <c r="C2805" s="1"/>
      <c r="D2805" s="1"/>
      <c r="E2805" s="1"/>
      <c r="F2805" s="1"/>
      <c r="G2805" s="1"/>
      <c r="H2805" s="1"/>
      <c r="I2805" s="1"/>
      <c r="J2805" s="1"/>
      <c r="K2805" s="102" t="s">
        <v>4989</v>
      </c>
      <c r="L2805" s="102" t="str">
        <f>Q136</f>
        <v>J1a2a1a2d2b2b2c3b~</v>
      </c>
      <c r="M2805" s="102" t="s">
        <v>4988</v>
      </c>
      <c r="N2805" s="102" t="s">
        <v>4990</v>
      </c>
      <c r="O2805" s="105">
        <v>1.658164E7</v>
      </c>
      <c r="P2805" s="105">
        <v>1.446976E7</v>
      </c>
      <c r="Q2805" s="102" t="s">
        <v>2563</v>
      </c>
      <c r="S2805" s="1"/>
      <c r="T2805" s="1"/>
      <c r="U2805" s="1"/>
      <c r="V2805" s="1"/>
      <c r="W2805" s="1"/>
      <c r="X2805" s="1"/>
      <c r="Y2805" s="1"/>
      <c r="Z2805" s="102"/>
      <c r="AA2805" s="102"/>
      <c r="AB2805" s="1"/>
      <c r="AC2805" s="1"/>
      <c r="AD2805" s="1"/>
      <c r="AE2805" s="1"/>
      <c r="AF2805" s="1"/>
      <c r="AG2805" s="1"/>
    </row>
    <row r="2806" ht="15.75" customHeight="1">
      <c r="A2806" s="1"/>
      <c r="B2806" s="1"/>
      <c r="C2806" s="1"/>
      <c r="D2806" s="1"/>
      <c r="E2806" s="1"/>
      <c r="F2806" s="1"/>
      <c r="G2806" s="1"/>
      <c r="H2806" s="1"/>
      <c r="I2806" s="1"/>
      <c r="J2806" s="1"/>
      <c r="K2806" s="102" t="s">
        <v>4991</v>
      </c>
      <c r="L2806" s="102" t="str">
        <f>Q136</f>
        <v>J1a2a1a2d2b2b2c3b~</v>
      </c>
      <c r="M2806" s="102" t="s">
        <v>4992</v>
      </c>
      <c r="N2806" s="102" t="s">
        <v>4993</v>
      </c>
      <c r="O2806" s="105">
        <v>1.6696799E7</v>
      </c>
      <c r="P2806" s="105">
        <v>1.4584919E7</v>
      </c>
      <c r="Q2806" s="102" t="s">
        <v>2533</v>
      </c>
      <c r="S2806" s="1"/>
      <c r="T2806" s="1"/>
      <c r="U2806" s="1"/>
      <c r="V2806" s="1"/>
      <c r="W2806" s="1"/>
      <c r="X2806" s="1"/>
      <c r="Y2806" s="1"/>
      <c r="Z2806" s="102"/>
      <c r="AA2806" s="102"/>
      <c r="AB2806" s="1"/>
      <c r="AC2806" s="1"/>
      <c r="AD2806" s="1"/>
      <c r="AE2806" s="1"/>
      <c r="AF2806" s="1"/>
      <c r="AG2806" s="1"/>
    </row>
    <row r="2807" ht="15.75" customHeight="1">
      <c r="A2807" s="1"/>
      <c r="B2807" s="1"/>
      <c r="C2807" s="1"/>
      <c r="D2807" s="1"/>
      <c r="E2807" s="1"/>
      <c r="F2807" s="1"/>
      <c r="G2807" s="1"/>
      <c r="H2807" s="1"/>
      <c r="I2807" s="1"/>
      <c r="J2807" s="1"/>
      <c r="K2807" s="102" t="s">
        <v>4992</v>
      </c>
      <c r="L2807" s="102" t="str">
        <f>Q136</f>
        <v>J1a2a1a2d2b2b2c3b~</v>
      </c>
      <c r="M2807" s="102" t="s">
        <v>4991</v>
      </c>
      <c r="N2807" s="102" t="s">
        <v>4993</v>
      </c>
      <c r="O2807" s="105">
        <v>1.6696799E7</v>
      </c>
      <c r="P2807" s="105">
        <v>1.4584919E7</v>
      </c>
      <c r="Q2807" s="102" t="s">
        <v>2533</v>
      </c>
      <c r="S2807" s="1"/>
      <c r="T2807" s="1"/>
      <c r="U2807" s="1"/>
      <c r="V2807" s="1"/>
      <c r="W2807" s="1"/>
      <c r="X2807" s="1"/>
      <c r="Y2807" s="1"/>
      <c r="Z2807" s="102"/>
      <c r="AA2807" s="102"/>
      <c r="AB2807" s="1"/>
      <c r="AC2807" s="1"/>
      <c r="AD2807" s="1"/>
      <c r="AE2807" s="1"/>
      <c r="AF2807" s="1"/>
      <c r="AG2807" s="1"/>
    </row>
    <row r="2808" ht="15.75" customHeight="1">
      <c r="A2808" s="1"/>
      <c r="B2808" s="1"/>
      <c r="C2808" s="1"/>
      <c r="D2808" s="1"/>
      <c r="E2808" s="1"/>
      <c r="F2808" s="1"/>
      <c r="G2808" s="1"/>
      <c r="H2808" s="1"/>
      <c r="I2808" s="1"/>
      <c r="J2808" s="1"/>
      <c r="K2808" s="102" t="s">
        <v>4994</v>
      </c>
      <c r="L2808" s="102" t="str">
        <f>Q136</f>
        <v>J1a2a1a2d2b2b2c3b~</v>
      </c>
      <c r="M2808" s="102" t="s">
        <v>4995</v>
      </c>
      <c r="N2808" s="102" t="s">
        <v>4996</v>
      </c>
      <c r="O2808" s="105">
        <v>1.7505918E7</v>
      </c>
      <c r="P2808" s="105">
        <v>1.5394038E7</v>
      </c>
      <c r="Q2808" s="102" t="s">
        <v>2501</v>
      </c>
      <c r="S2808" s="1"/>
      <c r="T2808" s="1"/>
      <c r="U2808" s="1"/>
      <c r="V2808" s="1"/>
      <c r="W2808" s="1"/>
      <c r="X2808" s="1"/>
      <c r="Y2808" s="1"/>
      <c r="Z2808" s="102"/>
      <c r="AA2808" s="102"/>
      <c r="AB2808" s="1"/>
      <c r="AC2808" s="1"/>
      <c r="AD2808" s="1"/>
      <c r="AE2808" s="1"/>
      <c r="AF2808" s="1"/>
      <c r="AG2808" s="1"/>
    </row>
    <row r="2809" ht="15.75" customHeight="1">
      <c r="A2809" s="1"/>
      <c r="B2809" s="1"/>
      <c r="C2809" s="1"/>
      <c r="D2809" s="1"/>
      <c r="E2809" s="1"/>
      <c r="F2809" s="1"/>
      <c r="G2809" s="1"/>
      <c r="H2809" s="1"/>
      <c r="I2809" s="1"/>
      <c r="J2809" s="1"/>
      <c r="K2809" s="102" t="s">
        <v>4995</v>
      </c>
      <c r="L2809" s="102" t="str">
        <f>Q136</f>
        <v>J1a2a1a2d2b2b2c3b~</v>
      </c>
      <c r="M2809" s="102" t="s">
        <v>4994</v>
      </c>
      <c r="N2809" s="102" t="s">
        <v>4996</v>
      </c>
      <c r="O2809" s="105">
        <v>1.7505918E7</v>
      </c>
      <c r="P2809" s="105">
        <v>1.5394038E7</v>
      </c>
      <c r="Q2809" s="102" t="s">
        <v>2501</v>
      </c>
      <c r="S2809" s="1"/>
      <c r="T2809" s="1"/>
      <c r="U2809" s="1"/>
      <c r="V2809" s="1"/>
      <c r="W2809" s="1"/>
      <c r="X2809" s="1"/>
      <c r="Y2809" s="1"/>
      <c r="Z2809" s="102"/>
      <c r="AA2809" s="102"/>
      <c r="AB2809" s="1"/>
      <c r="AC2809" s="1"/>
      <c r="AD2809" s="1"/>
      <c r="AE2809" s="1"/>
      <c r="AF2809" s="1"/>
      <c r="AG2809" s="1"/>
    </row>
    <row r="2810" ht="15.75" customHeight="1">
      <c r="A2810" s="1"/>
      <c r="B2810" s="1"/>
      <c r="C2810" s="1"/>
      <c r="D2810" s="1"/>
      <c r="E2810" s="1"/>
      <c r="F2810" s="1"/>
      <c r="G2810" s="1"/>
      <c r="H2810" s="1"/>
      <c r="I2810" s="1"/>
      <c r="J2810" s="1"/>
      <c r="K2810" s="102" t="s">
        <v>4997</v>
      </c>
      <c r="L2810" s="102" t="str">
        <f>Q136</f>
        <v>J1a2a1a2d2b2b2c3b~</v>
      </c>
      <c r="M2810" s="102" t="s">
        <v>4998</v>
      </c>
      <c r="N2810" s="102" t="s">
        <v>4999</v>
      </c>
      <c r="O2810" s="105">
        <v>1.7602637E7</v>
      </c>
      <c r="P2810" s="105">
        <v>1.5490757E7</v>
      </c>
      <c r="Q2810" s="102" t="s">
        <v>2501</v>
      </c>
      <c r="S2810" s="1"/>
      <c r="T2810" s="1"/>
      <c r="U2810" s="1"/>
      <c r="V2810" s="1"/>
      <c r="W2810" s="1"/>
      <c r="X2810" s="1"/>
      <c r="Y2810" s="1"/>
      <c r="Z2810" s="102"/>
      <c r="AA2810" s="102"/>
      <c r="AB2810" s="1"/>
      <c r="AC2810" s="1"/>
      <c r="AD2810" s="1"/>
      <c r="AE2810" s="1"/>
      <c r="AF2810" s="1"/>
      <c r="AG2810" s="1"/>
    </row>
    <row r="2811" ht="15.75" customHeight="1">
      <c r="A2811" s="1"/>
      <c r="B2811" s="1"/>
      <c r="C2811" s="1"/>
      <c r="D2811" s="1"/>
      <c r="E2811" s="1"/>
      <c r="F2811" s="1"/>
      <c r="G2811" s="1"/>
      <c r="H2811" s="1"/>
      <c r="I2811" s="1"/>
      <c r="J2811" s="1"/>
      <c r="K2811" s="102" t="s">
        <v>4998</v>
      </c>
      <c r="L2811" s="102" t="str">
        <f>Q136</f>
        <v>J1a2a1a2d2b2b2c3b~</v>
      </c>
      <c r="M2811" s="102" t="s">
        <v>4997</v>
      </c>
      <c r="N2811" s="102" t="s">
        <v>4999</v>
      </c>
      <c r="O2811" s="105">
        <v>1.7602637E7</v>
      </c>
      <c r="P2811" s="105">
        <v>1.5490757E7</v>
      </c>
      <c r="Q2811" s="102" t="s">
        <v>2501</v>
      </c>
      <c r="S2811" s="1"/>
      <c r="T2811" s="1"/>
      <c r="U2811" s="1"/>
      <c r="V2811" s="1"/>
      <c r="W2811" s="1"/>
      <c r="X2811" s="1"/>
      <c r="Y2811" s="1"/>
      <c r="Z2811" s="102"/>
      <c r="AA2811" s="102"/>
      <c r="AB2811" s="1"/>
      <c r="AC2811" s="1"/>
      <c r="AD2811" s="1"/>
      <c r="AE2811" s="1"/>
      <c r="AF2811" s="1"/>
      <c r="AG2811" s="1"/>
    </row>
    <row r="2812" ht="15.75" customHeight="1">
      <c r="A2812" s="1"/>
      <c r="B2812" s="1"/>
      <c r="C2812" s="1"/>
      <c r="D2812" s="1"/>
      <c r="E2812" s="1"/>
      <c r="F2812" s="1"/>
      <c r="G2812" s="1"/>
      <c r="H2812" s="1"/>
      <c r="I2812" s="1"/>
      <c r="J2812" s="1"/>
      <c r="K2812" s="102" t="s">
        <v>5000</v>
      </c>
      <c r="L2812" s="102" t="str">
        <f>Q136</f>
        <v>J1a2a1a2d2b2b2c3b~</v>
      </c>
      <c r="M2812" s="102" t="s">
        <v>5001</v>
      </c>
      <c r="N2812" s="102" t="s">
        <v>5002</v>
      </c>
      <c r="O2812" s="105">
        <v>1.8814339E7</v>
      </c>
      <c r="P2812" s="105">
        <v>1.6702459E7</v>
      </c>
      <c r="Q2812" s="102" t="s">
        <v>2439</v>
      </c>
      <c r="S2812" s="1"/>
      <c r="T2812" s="1"/>
      <c r="U2812" s="1"/>
      <c r="V2812" s="1"/>
      <c r="W2812" s="1"/>
      <c r="X2812" s="1"/>
      <c r="Y2812" s="1"/>
      <c r="Z2812" s="102"/>
      <c r="AA2812" s="102"/>
      <c r="AB2812" s="1"/>
      <c r="AC2812" s="1"/>
      <c r="AD2812" s="1"/>
      <c r="AE2812" s="1"/>
      <c r="AF2812" s="1"/>
      <c r="AG2812" s="1"/>
    </row>
    <row r="2813" ht="15.75" customHeight="1">
      <c r="A2813" s="1"/>
      <c r="B2813" s="1"/>
      <c r="C2813" s="1"/>
      <c r="D2813" s="1"/>
      <c r="E2813" s="1"/>
      <c r="F2813" s="1"/>
      <c r="G2813" s="1"/>
      <c r="H2813" s="1"/>
      <c r="I2813" s="1"/>
      <c r="J2813" s="1"/>
      <c r="K2813" s="102" t="s">
        <v>5001</v>
      </c>
      <c r="L2813" s="102" t="str">
        <f>Q136</f>
        <v>J1a2a1a2d2b2b2c3b~</v>
      </c>
      <c r="M2813" s="102" t="s">
        <v>5000</v>
      </c>
      <c r="N2813" s="102" t="s">
        <v>5002</v>
      </c>
      <c r="O2813" s="105">
        <v>1.8814339E7</v>
      </c>
      <c r="P2813" s="105">
        <v>1.6702459E7</v>
      </c>
      <c r="Q2813" s="102" t="s">
        <v>2439</v>
      </c>
      <c r="S2813" s="1"/>
      <c r="T2813" s="1"/>
      <c r="U2813" s="1"/>
      <c r="V2813" s="1"/>
      <c r="W2813" s="1"/>
      <c r="X2813" s="1"/>
      <c r="Y2813" s="1"/>
      <c r="Z2813" s="102"/>
      <c r="AA2813" s="102"/>
      <c r="AB2813" s="1"/>
      <c r="AC2813" s="1"/>
      <c r="AD2813" s="1"/>
      <c r="AE2813" s="1"/>
      <c r="AF2813" s="1"/>
      <c r="AG2813" s="1"/>
    </row>
    <row r="2814" ht="15.75" customHeight="1">
      <c r="A2814" s="1"/>
      <c r="B2814" s="1"/>
      <c r="C2814" s="1"/>
      <c r="D2814" s="1"/>
      <c r="E2814" s="1"/>
      <c r="F2814" s="1"/>
      <c r="G2814" s="1"/>
      <c r="H2814" s="1"/>
      <c r="I2814" s="1"/>
      <c r="J2814" s="1"/>
      <c r="K2814" s="102" t="s">
        <v>5003</v>
      </c>
      <c r="L2814" s="102" t="str">
        <f>Q136</f>
        <v>J1a2a1a2d2b2b2c3b~</v>
      </c>
      <c r="M2814" s="102" t="s">
        <v>5004</v>
      </c>
      <c r="N2814" s="102" t="s">
        <v>5005</v>
      </c>
      <c r="O2814" s="105">
        <v>1.9422877E7</v>
      </c>
      <c r="P2814" s="105">
        <v>1.7310997E7</v>
      </c>
      <c r="Q2814" s="102" t="s">
        <v>2533</v>
      </c>
      <c r="S2814" s="1"/>
      <c r="T2814" s="1"/>
      <c r="U2814" s="1"/>
      <c r="V2814" s="1"/>
      <c r="W2814" s="1"/>
      <c r="X2814" s="1"/>
      <c r="Y2814" s="1"/>
      <c r="Z2814" s="102"/>
      <c r="AA2814" s="102"/>
      <c r="AB2814" s="1"/>
      <c r="AC2814" s="1"/>
      <c r="AD2814" s="1"/>
      <c r="AE2814" s="1"/>
      <c r="AF2814" s="1"/>
      <c r="AG2814" s="1"/>
    </row>
    <row r="2815" ht="15.75" customHeight="1">
      <c r="A2815" s="1"/>
      <c r="B2815" s="1"/>
      <c r="C2815" s="1"/>
      <c r="D2815" s="1"/>
      <c r="E2815" s="1"/>
      <c r="F2815" s="1"/>
      <c r="G2815" s="1"/>
      <c r="H2815" s="1"/>
      <c r="I2815" s="1"/>
      <c r="J2815" s="1"/>
      <c r="K2815" s="102" t="s">
        <v>5004</v>
      </c>
      <c r="L2815" s="102" t="str">
        <f>Q136</f>
        <v>J1a2a1a2d2b2b2c3b~</v>
      </c>
      <c r="M2815" s="102" t="s">
        <v>5003</v>
      </c>
      <c r="N2815" s="102" t="s">
        <v>5005</v>
      </c>
      <c r="O2815" s="105">
        <v>1.9422877E7</v>
      </c>
      <c r="P2815" s="105">
        <v>1.7310997E7</v>
      </c>
      <c r="Q2815" s="102" t="s">
        <v>2533</v>
      </c>
      <c r="S2815" s="1"/>
      <c r="T2815" s="1"/>
      <c r="U2815" s="1"/>
      <c r="V2815" s="1"/>
      <c r="W2815" s="1"/>
      <c r="X2815" s="1"/>
      <c r="Y2815" s="1"/>
      <c r="Z2815" s="102"/>
      <c r="AA2815" s="102"/>
      <c r="AB2815" s="1"/>
      <c r="AC2815" s="1"/>
      <c r="AD2815" s="1"/>
      <c r="AE2815" s="1"/>
      <c r="AF2815" s="1"/>
      <c r="AG2815" s="1"/>
    </row>
    <row r="2816" ht="15.75" customHeight="1">
      <c r="A2816" s="1"/>
      <c r="B2816" s="1"/>
      <c r="C2816" s="1"/>
      <c r="D2816" s="1"/>
      <c r="E2816" s="1"/>
      <c r="F2816" s="1"/>
      <c r="G2816" s="1"/>
      <c r="H2816" s="1"/>
      <c r="I2816" s="1"/>
      <c r="J2816" s="1"/>
      <c r="K2816" s="102" t="s">
        <v>5006</v>
      </c>
      <c r="L2816" s="102" t="str">
        <f>Q136</f>
        <v>J1a2a1a2d2b2b2c3b~</v>
      </c>
      <c r="M2816" s="102" t="s">
        <v>5007</v>
      </c>
      <c r="N2816" s="102"/>
      <c r="O2816" s="105">
        <v>2.1045191E7</v>
      </c>
      <c r="P2816" s="105">
        <v>1.8883305E7</v>
      </c>
      <c r="Q2816" s="102" t="s">
        <v>2529</v>
      </c>
      <c r="S2816" s="1"/>
      <c r="T2816" s="1"/>
      <c r="U2816" s="1"/>
      <c r="V2816" s="1"/>
      <c r="W2816" s="1"/>
      <c r="X2816" s="1"/>
      <c r="Y2816" s="1"/>
      <c r="Z2816" s="102"/>
      <c r="AA2816" s="102"/>
      <c r="AB2816" s="1"/>
      <c r="AC2816" s="1"/>
      <c r="AD2816" s="1"/>
      <c r="AE2816" s="1"/>
      <c r="AF2816" s="1"/>
      <c r="AG2816" s="1"/>
    </row>
    <row r="2817" ht="15.75" customHeight="1">
      <c r="A2817" s="1"/>
      <c r="B2817" s="1"/>
      <c r="C2817" s="1"/>
      <c r="D2817" s="1"/>
      <c r="E2817" s="1"/>
      <c r="F2817" s="1"/>
      <c r="G2817" s="1"/>
      <c r="H2817" s="1"/>
      <c r="I2817" s="1"/>
      <c r="J2817" s="1"/>
      <c r="K2817" s="102" t="s">
        <v>5007</v>
      </c>
      <c r="L2817" s="102" t="str">
        <f>Q136</f>
        <v>J1a2a1a2d2b2b2c3b~</v>
      </c>
      <c r="M2817" s="102" t="s">
        <v>5006</v>
      </c>
      <c r="N2817" s="102"/>
      <c r="O2817" s="105">
        <v>2.1045191E7</v>
      </c>
      <c r="P2817" s="105">
        <v>1.8883305E7</v>
      </c>
      <c r="Q2817" s="102" t="s">
        <v>2529</v>
      </c>
      <c r="S2817" s="1"/>
      <c r="T2817" s="1"/>
      <c r="U2817" s="1"/>
      <c r="V2817" s="1"/>
      <c r="W2817" s="1"/>
      <c r="X2817" s="1"/>
      <c r="Y2817" s="1"/>
      <c r="Z2817" s="102"/>
      <c r="AA2817" s="102"/>
      <c r="AB2817" s="1"/>
      <c r="AC2817" s="1"/>
      <c r="AD2817" s="1"/>
      <c r="AE2817" s="1"/>
      <c r="AF2817" s="1"/>
      <c r="AG2817" s="1"/>
    </row>
    <row r="2818" ht="15.75" customHeight="1">
      <c r="A2818" s="1"/>
      <c r="B2818" s="1"/>
      <c r="C2818" s="1"/>
      <c r="D2818" s="1"/>
      <c r="E2818" s="1"/>
      <c r="F2818" s="1"/>
      <c r="G2818" s="1"/>
      <c r="H2818" s="1"/>
      <c r="I2818" s="1"/>
      <c r="J2818" s="1"/>
      <c r="K2818" s="102" t="s">
        <v>5008</v>
      </c>
      <c r="L2818" s="102" t="str">
        <f>Q136</f>
        <v>J1a2a1a2d2b2b2c3b~</v>
      </c>
      <c r="M2818" s="102" t="s">
        <v>5009</v>
      </c>
      <c r="N2818" s="102" t="s">
        <v>5010</v>
      </c>
      <c r="O2818" s="105">
        <v>2.1063094E7</v>
      </c>
      <c r="P2818" s="105">
        <v>1.8901208E7</v>
      </c>
      <c r="Q2818" s="102" t="s">
        <v>2439</v>
      </c>
      <c r="S2818" s="1"/>
      <c r="T2818" s="1"/>
      <c r="U2818" s="1"/>
      <c r="V2818" s="1"/>
      <c r="W2818" s="1"/>
      <c r="X2818" s="1"/>
      <c r="Y2818" s="1"/>
      <c r="Z2818" s="102"/>
      <c r="AA2818" s="102"/>
      <c r="AB2818" s="1"/>
      <c r="AC2818" s="1"/>
      <c r="AD2818" s="1"/>
      <c r="AE2818" s="1"/>
      <c r="AF2818" s="1"/>
      <c r="AG2818" s="1"/>
    </row>
    <row r="2819" ht="15.75" customHeight="1">
      <c r="A2819" s="1"/>
      <c r="B2819" s="1"/>
      <c r="C2819" s="1"/>
      <c r="D2819" s="1"/>
      <c r="E2819" s="1"/>
      <c r="F2819" s="1"/>
      <c r="G2819" s="1"/>
      <c r="H2819" s="1"/>
      <c r="I2819" s="1"/>
      <c r="J2819" s="1"/>
      <c r="K2819" s="102" t="s">
        <v>5009</v>
      </c>
      <c r="L2819" s="102" t="str">
        <f>Q136</f>
        <v>J1a2a1a2d2b2b2c3b~</v>
      </c>
      <c r="M2819" s="102" t="s">
        <v>5008</v>
      </c>
      <c r="N2819" s="102" t="s">
        <v>5010</v>
      </c>
      <c r="O2819" s="105">
        <v>2.1063094E7</v>
      </c>
      <c r="P2819" s="105">
        <v>1.8901208E7</v>
      </c>
      <c r="Q2819" s="102" t="s">
        <v>2439</v>
      </c>
      <c r="S2819" s="1"/>
      <c r="T2819" s="1"/>
      <c r="U2819" s="1"/>
      <c r="V2819" s="1"/>
      <c r="W2819" s="1"/>
      <c r="X2819" s="1"/>
      <c r="Y2819" s="1"/>
      <c r="Z2819" s="102"/>
      <c r="AA2819" s="102"/>
      <c r="AB2819" s="1"/>
      <c r="AC2819" s="1"/>
      <c r="AD2819" s="1"/>
      <c r="AE2819" s="1"/>
      <c r="AF2819" s="1"/>
      <c r="AG2819" s="1"/>
    </row>
    <row r="2820" ht="15.75" customHeight="1">
      <c r="A2820" s="1"/>
      <c r="B2820" s="1"/>
      <c r="C2820" s="1"/>
      <c r="D2820" s="1"/>
      <c r="E2820" s="1"/>
      <c r="F2820" s="1"/>
      <c r="G2820" s="1"/>
      <c r="H2820" s="1"/>
      <c r="I2820" s="1"/>
      <c r="J2820" s="1"/>
      <c r="K2820" s="102" t="s">
        <v>5011</v>
      </c>
      <c r="L2820" s="102" t="str">
        <f>Q136</f>
        <v>J1a2a1a2d2b2b2c3b~</v>
      </c>
      <c r="M2820" s="102" t="s">
        <v>5012</v>
      </c>
      <c r="N2820" s="102" t="s">
        <v>5013</v>
      </c>
      <c r="O2820" s="105">
        <v>2.1581427E7</v>
      </c>
      <c r="P2820" s="105">
        <v>1.9419541E7</v>
      </c>
      <c r="Q2820" s="102" t="s">
        <v>2514</v>
      </c>
      <c r="S2820" s="1"/>
      <c r="T2820" s="1"/>
      <c r="U2820" s="1"/>
      <c r="V2820" s="1"/>
      <c r="W2820" s="1"/>
      <c r="X2820" s="1"/>
      <c r="Y2820" s="1"/>
      <c r="Z2820" s="102"/>
      <c r="AA2820" s="102"/>
      <c r="AB2820" s="1"/>
      <c r="AC2820" s="1"/>
      <c r="AD2820" s="1"/>
      <c r="AE2820" s="1"/>
      <c r="AF2820" s="1"/>
      <c r="AG2820" s="1"/>
    </row>
    <row r="2821" ht="15.75" customHeight="1">
      <c r="A2821" s="1"/>
      <c r="B2821" s="1"/>
      <c r="C2821" s="1"/>
      <c r="D2821" s="1"/>
      <c r="E2821" s="1"/>
      <c r="F2821" s="1"/>
      <c r="G2821" s="1"/>
      <c r="H2821" s="1"/>
      <c r="I2821" s="1"/>
      <c r="J2821" s="1"/>
      <c r="K2821" s="102" t="s">
        <v>5012</v>
      </c>
      <c r="L2821" s="102" t="str">
        <f>Q136</f>
        <v>J1a2a1a2d2b2b2c3b~</v>
      </c>
      <c r="M2821" s="102" t="s">
        <v>5011</v>
      </c>
      <c r="N2821" s="102" t="s">
        <v>5013</v>
      </c>
      <c r="O2821" s="105">
        <v>2.1581427E7</v>
      </c>
      <c r="P2821" s="105">
        <v>1.9419541E7</v>
      </c>
      <c r="Q2821" s="102" t="s">
        <v>2514</v>
      </c>
      <c r="S2821" s="1"/>
      <c r="T2821" s="1"/>
      <c r="U2821" s="1"/>
      <c r="V2821" s="1"/>
      <c r="W2821" s="1"/>
      <c r="X2821" s="1"/>
      <c r="Y2821" s="1"/>
      <c r="Z2821" s="102"/>
      <c r="AA2821" s="102"/>
      <c r="AB2821" s="1"/>
      <c r="AC2821" s="1"/>
      <c r="AD2821" s="1"/>
      <c r="AE2821" s="1"/>
      <c r="AF2821" s="1"/>
      <c r="AG2821" s="1"/>
    </row>
    <row r="2822" ht="15.75" customHeight="1">
      <c r="A2822" s="1"/>
      <c r="B2822" s="1"/>
      <c r="C2822" s="1"/>
      <c r="D2822" s="1"/>
      <c r="E2822" s="1"/>
      <c r="F2822" s="1"/>
      <c r="G2822" s="1"/>
      <c r="H2822" s="1"/>
      <c r="I2822" s="1"/>
      <c r="J2822" s="1"/>
      <c r="K2822" s="102" t="s">
        <v>5014</v>
      </c>
      <c r="L2822" s="102" t="str">
        <f>Q136</f>
        <v>J1a2a1a2d2b2b2c3b~</v>
      </c>
      <c r="M2822" s="102" t="s">
        <v>5015</v>
      </c>
      <c r="N2822" s="102" t="s">
        <v>5016</v>
      </c>
      <c r="O2822" s="105">
        <v>2.2686854E7</v>
      </c>
      <c r="P2822" s="105">
        <v>2.0524968E7</v>
      </c>
      <c r="Q2822" s="102" t="s">
        <v>2529</v>
      </c>
      <c r="S2822" s="1"/>
      <c r="T2822" s="1"/>
      <c r="U2822" s="1"/>
      <c r="V2822" s="1"/>
      <c r="W2822" s="1"/>
      <c r="X2822" s="1"/>
      <c r="Y2822" s="1"/>
      <c r="Z2822" s="102"/>
      <c r="AA2822" s="102"/>
      <c r="AB2822" s="1"/>
      <c r="AC2822" s="1"/>
      <c r="AD2822" s="1"/>
      <c r="AE2822" s="1"/>
      <c r="AF2822" s="1"/>
      <c r="AG2822" s="1"/>
    </row>
    <row r="2823" ht="15.75" customHeight="1">
      <c r="A2823" s="1"/>
      <c r="B2823" s="1"/>
      <c r="C2823" s="1"/>
      <c r="D2823" s="1"/>
      <c r="E2823" s="1"/>
      <c r="F2823" s="1"/>
      <c r="G2823" s="1"/>
      <c r="H2823" s="1"/>
      <c r="I2823" s="1"/>
      <c r="J2823" s="1"/>
      <c r="K2823" s="102" t="s">
        <v>5015</v>
      </c>
      <c r="L2823" s="102" t="str">
        <f>Q136</f>
        <v>J1a2a1a2d2b2b2c3b~</v>
      </c>
      <c r="M2823" s="102" t="s">
        <v>5014</v>
      </c>
      <c r="N2823" s="102" t="s">
        <v>5016</v>
      </c>
      <c r="O2823" s="105">
        <v>2.2686854E7</v>
      </c>
      <c r="P2823" s="105">
        <v>2.0524968E7</v>
      </c>
      <c r="Q2823" s="102" t="s">
        <v>2529</v>
      </c>
      <c r="S2823" s="1"/>
      <c r="T2823" s="1"/>
      <c r="U2823" s="1"/>
      <c r="V2823" s="1"/>
      <c r="W2823" s="1"/>
      <c r="X2823" s="1"/>
      <c r="Y2823" s="1"/>
      <c r="Z2823" s="102"/>
      <c r="AA2823" s="102"/>
      <c r="AB2823" s="1"/>
      <c r="AC2823" s="1"/>
      <c r="AD2823" s="1"/>
      <c r="AE2823" s="1"/>
      <c r="AF2823" s="1"/>
      <c r="AG2823" s="1"/>
    </row>
    <row r="2824" ht="15.75" customHeight="1">
      <c r="A2824" s="1"/>
      <c r="B2824" s="1"/>
      <c r="C2824" s="1"/>
      <c r="D2824" s="1"/>
      <c r="E2824" s="1"/>
      <c r="F2824" s="1"/>
      <c r="G2824" s="1"/>
      <c r="H2824" s="1"/>
      <c r="I2824" s="1"/>
      <c r="J2824" s="1"/>
      <c r="K2824" s="102" t="s">
        <v>5017</v>
      </c>
      <c r="L2824" s="102" t="str">
        <f>Q136</f>
        <v>J1a2a1a2d2b2b2c3b~</v>
      </c>
      <c r="M2824" s="102" t="s">
        <v>5018</v>
      </c>
      <c r="N2824" s="102" t="s">
        <v>5019</v>
      </c>
      <c r="O2824" s="105">
        <v>2.3015566E7</v>
      </c>
      <c r="P2824" s="105">
        <v>2.085368E7</v>
      </c>
      <c r="Q2824" s="102" t="s">
        <v>2468</v>
      </c>
      <c r="S2824" s="1"/>
      <c r="T2824" s="1"/>
      <c r="U2824" s="1"/>
      <c r="V2824" s="1"/>
      <c r="W2824" s="1"/>
      <c r="X2824" s="1"/>
      <c r="Y2824" s="1"/>
      <c r="Z2824" s="102"/>
      <c r="AA2824" s="102"/>
      <c r="AB2824" s="1"/>
      <c r="AC2824" s="1"/>
      <c r="AD2824" s="1"/>
      <c r="AE2824" s="1"/>
      <c r="AF2824" s="1"/>
      <c r="AG2824" s="1"/>
    </row>
    <row r="2825" ht="15.75" customHeight="1">
      <c r="A2825" s="1"/>
      <c r="B2825" s="1"/>
      <c r="C2825" s="1"/>
      <c r="D2825" s="1"/>
      <c r="E2825" s="1"/>
      <c r="F2825" s="1"/>
      <c r="G2825" s="1"/>
      <c r="H2825" s="1"/>
      <c r="I2825" s="1"/>
      <c r="J2825" s="1"/>
      <c r="K2825" s="102" t="s">
        <v>5018</v>
      </c>
      <c r="L2825" s="102" t="str">
        <f>Q136</f>
        <v>J1a2a1a2d2b2b2c3b~</v>
      </c>
      <c r="M2825" s="102" t="s">
        <v>5017</v>
      </c>
      <c r="N2825" s="102" t="s">
        <v>5019</v>
      </c>
      <c r="O2825" s="105">
        <v>2.3015566E7</v>
      </c>
      <c r="P2825" s="105">
        <v>2.085368E7</v>
      </c>
      <c r="Q2825" s="102" t="s">
        <v>2468</v>
      </c>
      <c r="S2825" s="1"/>
      <c r="T2825" s="1"/>
      <c r="U2825" s="1"/>
      <c r="V2825" s="1"/>
      <c r="W2825" s="1"/>
      <c r="X2825" s="1"/>
      <c r="Y2825" s="1"/>
      <c r="Z2825" s="102"/>
      <c r="AA2825" s="102"/>
      <c r="AB2825" s="1"/>
      <c r="AC2825" s="1"/>
      <c r="AD2825" s="1"/>
      <c r="AE2825" s="1"/>
      <c r="AF2825" s="1"/>
      <c r="AG2825" s="1"/>
    </row>
    <row r="2826" ht="15.75" customHeight="1">
      <c r="A2826" s="1"/>
      <c r="B2826" s="1"/>
      <c r="C2826" s="1"/>
      <c r="D2826" s="1"/>
      <c r="E2826" s="1"/>
      <c r="F2826" s="1"/>
      <c r="G2826" s="1"/>
      <c r="H2826" s="1"/>
      <c r="I2826" s="1"/>
      <c r="J2826" s="1"/>
      <c r="K2826" s="102" t="s">
        <v>5020</v>
      </c>
      <c r="L2826" s="102" t="str">
        <f>Q136</f>
        <v>J1a2a1a2d2b2b2c3b~</v>
      </c>
      <c r="M2826" s="102" t="s">
        <v>5021</v>
      </c>
      <c r="N2826" s="102"/>
      <c r="O2826" s="105">
        <v>2.3639477E7</v>
      </c>
      <c r="P2826" s="105">
        <v>2.1477591E7</v>
      </c>
      <c r="Q2826" s="102" t="s">
        <v>2514</v>
      </c>
      <c r="S2826" s="1"/>
      <c r="T2826" s="1"/>
      <c r="U2826" s="1"/>
      <c r="V2826" s="1"/>
      <c r="W2826" s="1"/>
      <c r="X2826" s="1"/>
      <c r="Y2826" s="1"/>
      <c r="Z2826" s="102"/>
      <c r="AA2826" s="102"/>
      <c r="AB2826" s="1"/>
      <c r="AC2826" s="1"/>
      <c r="AD2826" s="1"/>
      <c r="AE2826" s="1"/>
      <c r="AF2826" s="1"/>
      <c r="AG2826" s="1"/>
    </row>
    <row r="2827" ht="15.75" customHeight="1">
      <c r="A2827" s="1"/>
      <c r="B2827" s="1"/>
      <c r="C2827" s="1"/>
      <c r="D2827" s="1"/>
      <c r="E2827" s="1"/>
      <c r="F2827" s="1"/>
      <c r="G2827" s="1"/>
      <c r="H2827" s="1"/>
      <c r="I2827" s="1"/>
      <c r="J2827" s="1"/>
      <c r="K2827" s="102" t="s">
        <v>5021</v>
      </c>
      <c r="L2827" s="102" t="str">
        <f>Q136</f>
        <v>J1a2a1a2d2b2b2c3b~</v>
      </c>
      <c r="M2827" s="102" t="s">
        <v>5020</v>
      </c>
      <c r="N2827" s="102"/>
      <c r="O2827" s="105">
        <v>2.3639477E7</v>
      </c>
      <c r="P2827" s="105">
        <v>2.1477591E7</v>
      </c>
      <c r="Q2827" s="102" t="s">
        <v>2514</v>
      </c>
      <c r="S2827" s="1"/>
      <c r="T2827" s="1"/>
      <c r="U2827" s="1"/>
      <c r="V2827" s="1"/>
      <c r="W2827" s="1"/>
      <c r="X2827" s="1"/>
      <c r="Y2827" s="1"/>
      <c r="Z2827" s="102"/>
      <c r="AA2827" s="102"/>
      <c r="AB2827" s="1"/>
      <c r="AC2827" s="1"/>
      <c r="AD2827" s="1"/>
      <c r="AE2827" s="1"/>
      <c r="AF2827" s="1"/>
      <c r="AG2827" s="1"/>
    </row>
    <row r="2828" ht="15.75" customHeight="1">
      <c r="A2828" s="1"/>
      <c r="B2828" s="1"/>
      <c r="C2828" s="1"/>
      <c r="D2828" s="1"/>
      <c r="E2828" s="1"/>
      <c r="F2828" s="1"/>
      <c r="G2828" s="1"/>
      <c r="H2828" s="1"/>
      <c r="I2828" s="1"/>
      <c r="J2828" s="1"/>
      <c r="K2828" s="102" t="s">
        <v>5022</v>
      </c>
      <c r="L2828" s="102" t="str">
        <f>Q136</f>
        <v>J1a2a1a2d2b2b2c3b~</v>
      </c>
      <c r="M2828" s="102"/>
      <c r="N2828" s="102" t="s">
        <v>5023</v>
      </c>
      <c r="O2828" s="105">
        <v>1.5973956E7</v>
      </c>
      <c r="P2828" s="105">
        <v>1.3862076E7</v>
      </c>
      <c r="Q2828" s="102" t="s">
        <v>2533</v>
      </c>
      <c r="S2828" s="1"/>
      <c r="T2828" s="1"/>
      <c r="U2828" s="1"/>
      <c r="V2828" s="1"/>
      <c r="W2828" s="1"/>
      <c r="X2828" s="1"/>
      <c r="Y2828" s="1"/>
      <c r="Z2828" s="102"/>
      <c r="AA2828" s="102"/>
      <c r="AB2828" s="1"/>
      <c r="AC2828" s="1"/>
      <c r="AD2828" s="1"/>
      <c r="AE2828" s="1"/>
      <c r="AF2828" s="1"/>
      <c r="AG2828" s="1"/>
    </row>
    <row r="2829" ht="15.75" customHeight="1">
      <c r="A2829" s="1"/>
      <c r="B2829" s="1"/>
      <c r="C2829" s="1"/>
      <c r="D2829" s="1"/>
      <c r="E2829" s="1"/>
      <c r="F2829" s="1"/>
      <c r="G2829" s="1"/>
      <c r="H2829" s="1"/>
      <c r="I2829" s="1"/>
      <c r="J2829" s="1"/>
      <c r="K2829" s="102" t="s">
        <v>5024</v>
      </c>
      <c r="L2829" s="102" t="str">
        <f>Q136</f>
        <v>J1a2a1a2d2b2b2c3b~</v>
      </c>
      <c r="M2829" s="102"/>
      <c r="N2829" s="102" t="s">
        <v>5025</v>
      </c>
      <c r="O2829" s="105">
        <v>1.5973973E7</v>
      </c>
      <c r="P2829" s="105">
        <v>1.3862093E7</v>
      </c>
      <c r="Q2829" s="102" t="s">
        <v>2501</v>
      </c>
      <c r="S2829" s="1"/>
      <c r="T2829" s="1"/>
      <c r="U2829" s="1"/>
      <c r="V2829" s="1"/>
      <c r="W2829" s="1"/>
      <c r="X2829" s="1"/>
      <c r="Y2829" s="1"/>
      <c r="Z2829" s="102"/>
      <c r="AA2829" s="102"/>
      <c r="AB2829" s="1"/>
      <c r="AC2829" s="1"/>
      <c r="AD2829" s="1"/>
      <c r="AE2829" s="1"/>
      <c r="AF2829" s="1"/>
      <c r="AG2829" s="1"/>
    </row>
    <row r="2830" ht="15.75" customHeight="1">
      <c r="A2830" s="1"/>
      <c r="B2830" s="1"/>
      <c r="C2830" s="1"/>
      <c r="D2830" s="1"/>
      <c r="E2830" s="1"/>
      <c r="F2830" s="1"/>
      <c r="G2830" s="1"/>
      <c r="H2830" s="1"/>
      <c r="I2830" s="1"/>
      <c r="J2830" s="1"/>
      <c r="K2830" s="102" t="s">
        <v>5026</v>
      </c>
      <c r="L2830" s="102" t="str">
        <f>R137</f>
        <v>J1a2a1a2d2b2b2c3b1~</v>
      </c>
      <c r="M2830" s="102" t="s">
        <v>5027</v>
      </c>
      <c r="N2830" s="102" t="s">
        <v>5028</v>
      </c>
      <c r="O2830" s="105">
        <v>2727122.0</v>
      </c>
      <c r="P2830" s="105">
        <v>2859081.0</v>
      </c>
      <c r="Q2830" s="102" t="s">
        <v>2514</v>
      </c>
      <c r="S2830" s="1"/>
      <c r="T2830" s="1"/>
      <c r="U2830" s="1"/>
      <c r="V2830" s="1"/>
      <c r="W2830" s="1"/>
      <c r="X2830" s="1"/>
      <c r="Y2830" s="1"/>
      <c r="Z2830" s="102"/>
      <c r="AA2830" s="102"/>
      <c r="AB2830" s="1"/>
      <c r="AC2830" s="1"/>
      <c r="AD2830" s="1"/>
      <c r="AE2830" s="1"/>
      <c r="AF2830" s="1"/>
      <c r="AG2830" s="1"/>
    </row>
    <row r="2831" ht="15.75" customHeight="1">
      <c r="A2831" s="1"/>
      <c r="B2831" s="1"/>
      <c r="C2831" s="1"/>
      <c r="D2831" s="1"/>
      <c r="E2831" s="1"/>
      <c r="F2831" s="1"/>
      <c r="G2831" s="1"/>
      <c r="H2831" s="1"/>
      <c r="I2831" s="1"/>
      <c r="J2831" s="1"/>
      <c r="K2831" s="102" t="s">
        <v>5029</v>
      </c>
      <c r="L2831" s="102" t="str">
        <f>R137</f>
        <v>J1a2a1a2d2b2b2c3b1~</v>
      </c>
      <c r="M2831" s="102" t="s">
        <v>5030</v>
      </c>
      <c r="N2831" s="102" t="s">
        <v>5028</v>
      </c>
      <c r="O2831" s="105">
        <v>2727122.0</v>
      </c>
      <c r="P2831" s="105">
        <v>2859081.0</v>
      </c>
      <c r="Q2831" s="102" t="s">
        <v>2514</v>
      </c>
      <c r="S2831" s="1"/>
      <c r="T2831" s="1"/>
      <c r="U2831" s="1"/>
      <c r="V2831" s="1"/>
      <c r="W2831" s="1"/>
      <c r="X2831" s="1"/>
      <c r="Y2831" s="1"/>
      <c r="Z2831" s="102"/>
      <c r="AA2831" s="102"/>
      <c r="AB2831" s="1"/>
      <c r="AC2831" s="1"/>
      <c r="AD2831" s="1"/>
      <c r="AE2831" s="1"/>
      <c r="AF2831" s="1"/>
      <c r="AG2831" s="1"/>
    </row>
    <row r="2832" ht="15.75" customHeight="1">
      <c r="A2832" s="1"/>
      <c r="B2832" s="1"/>
      <c r="C2832" s="1"/>
      <c r="D2832" s="1"/>
      <c r="E2832" s="1"/>
      <c r="F2832" s="1"/>
      <c r="G2832" s="1"/>
      <c r="H2832" s="1"/>
      <c r="I2832" s="1"/>
      <c r="J2832" s="1"/>
      <c r="K2832" s="102" t="s">
        <v>5031</v>
      </c>
      <c r="L2832" s="102" t="str">
        <f>R137</f>
        <v>J1a2a1a2d2b2b2c3b1~</v>
      </c>
      <c r="M2832" s="102" t="s">
        <v>5032</v>
      </c>
      <c r="N2832" s="102" t="s">
        <v>5028</v>
      </c>
      <c r="O2832" s="105">
        <v>2727122.0</v>
      </c>
      <c r="P2832" s="105">
        <v>2859081.0</v>
      </c>
      <c r="Q2832" s="102" t="s">
        <v>2514</v>
      </c>
      <c r="S2832" s="1"/>
      <c r="T2832" s="1"/>
      <c r="U2832" s="1"/>
      <c r="V2832" s="1"/>
      <c r="W2832" s="1"/>
      <c r="X2832" s="1"/>
      <c r="Y2832" s="1"/>
      <c r="Z2832" s="102"/>
      <c r="AA2832" s="102"/>
      <c r="AB2832" s="1"/>
      <c r="AC2832" s="1"/>
      <c r="AD2832" s="1"/>
      <c r="AE2832" s="1"/>
      <c r="AF2832" s="1"/>
      <c r="AG2832" s="1"/>
    </row>
    <row r="2833" ht="15.75" customHeight="1">
      <c r="A2833" s="1"/>
      <c r="B2833" s="1"/>
      <c r="C2833" s="1"/>
      <c r="D2833" s="1"/>
      <c r="E2833" s="1"/>
      <c r="F2833" s="1"/>
      <c r="G2833" s="1"/>
      <c r="H2833" s="1"/>
      <c r="I2833" s="1"/>
      <c r="J2833" s="1"/>
      <c r="K2833" s="102" t="s">
        <v>5033</v>
      </c>
      <c r="L2833" s="102" t="str">
        <f>R137</f>
        <v>J1a2a1a2d2b2b2c3b1~</v>
      </c>
      <c r="M2833" s="102" t="s">
        <v>5034</v>
      </c>
      <c r="N2833" s="102" t="s">
        <v>5035</v>
      </c>
      <c r="O2833" s="105">
        <v>7540002.0</v>
      </c>
      <c r="P2833" s="105">
        <v>7671961.0</v>
      </c>
      <c r="Q2833" s="102" t="s">
        <v>2501</v>
      </c>
      <c r="S2833" s="1"/>
      <c r="T2833" s="1"/>
      <c r="U2833" s="1"/>
      <c r="V2833" s="1"/>
      <c r="W2833" s="1"/>
      <c r="X2833" s="1"/>
      <c r="Y2833" s="1"/>
      <c r="Z2833" s="102"/>
      <c r="AA2833" s="102"/>
      <c r="AB2833" s="1"/>
      <c r="AC2833" s="1"/>
      <c r="AD2833" s="1"/>
      <c r="AE2833" s="1"/>
      <c r="AF2833" s="1"/>
      <c r="AG2833" s="1"/>
    </row>
    <row r="2834" ht="15.75" customHeight="1">
      <c r="A2834" s="1"/>
      <c r="B2834" s="1"/>
      <c r="C2834" s="1"/>
      <c r="D2834" s="1"/>
      <c r="E2834" s="1"/>
      <c r="F2834" s="1"/>
      <c r="G2834" s="1"/>
      <c r="H2834" s="1"/>
      <c r="I2834" s="1"/>
      <c r="J2834" s="1"/>
      <c r="K2834" s="102" t="s">
        <v>5036</v>
      </c>
      <c r="L2834" s="102" t="str">
        <f>R137</f>
        <v>J1a2a1a2d2b2b2c3b1~</v>
      </c>
      <c r="M2834" s="102" t="s">
        <v>5037</v>
      </c>
      <c r="N2834" s="102" t="s">
        <v>5035</v>
      </c>
      <c r="O2834" s="105">
        <v>7540002.0</v>
      </c>
      <c r="P2834" s="105">
        <v>7671961.0</v>
      </c>
      <c r="Q2834" s="102" t="s">
        <v>2501</v>
      </c>
      <c r="S2834" s="1"/>
      <c r="T2834" s="1"/>
      <c r="U2834" s="1"/>
      <c r="V2834" s="1"/>
      <c r="W2834" s="1"/>
      <c r="X2834" s="1"/>
      <c r="Y2834" s="1"/>
      <c r="Z2834" s="102"/>
      <c r="AA2834" s="102"/>
      <c r="AB2834" s="1"/>
      <c r="AC2834" s="1"/>
      <c r="AD2834" s="1"/>
      <c r="AE2834" s="1"/>
      <c r="AF2834" s="1"/>
      <c r="AG2834" s="1"/>
    </row>
    <row r="2835" ht="15.75" customHeight="1">
      <c r="A2835" s="1"/>
      <c r="B2835" s="1"/>
      <c r="C2835" s="1"/>
      <c r="D2835" s="1"/>
      <c r="E2835" s="1"/>
      <c r="F2835" s="1"/>
      <c r="G2835" s="1"/>
      <c r="H2835" s="1"/>
      <c r="I2835" s="1"/>
      <c r="J2835" s="1"/>
      <c r="K2835" s="102" t="s">
        <v>5038</v>
      </c>
      <c r="L2835" s="102" t="str">
        <f>R137</f>
        <v>J1a2a1a2d2b2b2c3b1~</v>
      </c>
      <c r="M2835" s="102" t="s">
        <v>5039</v>
      </c>
      <c r="N2835" s="102" t="s">
        <v>5035</v>
      </c>
      <c r="O2835" s="105">
        <v>7540002.0</v>
      </c>
      <c r="P2835" s="105">
        <v>7671961.0</v>
      </c>
      <c r="Q2835" s="102" t="s">
        <v>2501</v>
      </c>
      <c r="S2835" s="1"/>
      <c r="T2835" s="1"/>
      <c r="U2835" s="1"/>
      <c r="V2835" s="1"/>
      <c r="W2835" s="1"/>
      <c r="X2835" s="1"/>
      <c r="Y2835" s="1"/>
      <c r="Z2835" s="102"/>
      <c r="AA2835" s="102"/>
      <c r="AB2835" s="1"/>
      <c r="AC2835" s="1"/>
      <c r="AD2835" s="1"/>
      <c r="AE2835" s="1"/>
      <c r="AF2835" s="1"/>
      <c r="AG2835" s="1"/>
    </row>
    <row r="2836" ht="15.75" customHeight="1">
      <c r="A2836" s="1"/>
      <c r="B2836" s="1"/>
      <c r="C2836" s="1"/>
      <c r="D2836" s="1"/>
      <c r="E2836" s="1"/>
      <c r="F2836" s="1"/>
      <c r="G2836" s="1"/>
      <c r="H2836" s="1"/>
      <c r="I2836" s="1"/>
      <c r="J2836" s="1"/>
      <c r="K2836" s="102" t="s">
        <v>5040</v>
      </c>
      <c r="L2836" s="102" t="str">
        <f>R137</f>
        <v>J1a2a1a2d2b2b2c3b1~</v>
      </c>
      <c r="M2836" s="102" t="s">
        <v>5041</v>
      </c>
      <c r="N2836" s="102" t="s">
        <v>5042</v>
      </c>
      <c r="O2836" s="105">
        <v>1.5261544E7</v>
      </c>
      <c r="P2836" s="105">
        <v>1.3149628E7</v>
      </c>
      <c r="Q2836" s="102" t="s">
        <v>2576</v>
      </c>
      <c r="S2836" s="1"/>
      <c r="T2836" s="1"/>
      <c r="U2836" s="1"/>
      <c r="V2836" s="1"/>
      <c r="W2836" s="1"/>
      <c r="X2836" s="1"/>
      <c r="Y2836" s="1"/>
      <c r="Z2836" s="102"/>
      <c r="AA2836" s="102"/>
      <c r="AB2836" s="1"/>
      <c r="AC2836" s="1"/>
      <c r="AD2836" s="1"/>
      <c r="AE2836" s="1"/>
      <c r="AF2836" s="1"/>
      <c r="AG2836" s="1"/>
    </row>
    <row r="2837" ht="15.75" customHeight="1">
      <c r="A2837" s="1"/>
      <c r="B2837" s="1"/>
      <c r="C2837" s="1"/>
      <c r="D2837" s="1"/>
      <c r="E2837" s="1"/>
      <c r="F2837" s="1"/>
      <c r="G2837" s="1"/>
      <c r="H2837" s="1"/>
      <c r="I2837" s="1"/>
      <c r="J2837" s="1"/>
      <c r="K2837" s="102" t="s">
        <v>5043</v>
      </c>
      <c r="L2837" s="102" t="str">
        <f>R137</f>
        <v>J1a2a1a2d2b2b2c3b1~</v>
      </c>
      <c r="M2837" s="102" t="s">
        <v>5044</v>
      </c>
      <c r="N2837" s="102" t="s">
        <v>5042</v>
      </c>
      <c r="O2837" s="105">
        <v>1.5261544E7</v>
      </c>
      <c r="P2837" s="105">
        <v>1.3149628E7</v>
      </c>
      <c r="Q2837" s="102" t="s">
        <v>2576</v>
      </c>
      <c r="S2837" s="1"/>
      <c r="T2837" s="1"/>
      <c r="U2837" s="1"/>
      <c r="V2837" s="1"/>
      <c r="W2837" s="1"/>
      <c r="X2837" s="1"/>
      <c r="Y2837" s="1"/>
      <c r="Z2837" s="102"/>
      <c r="AA2837" s="102"/>
      <c r="AB2837" s="1"/>
      <c r="AC2837" s="1"/>
      <c r="AD2837" s="1"/>
      <c r="AE2837" s="1"/>
      <c r="AF2837" s="1"/>
      <c r="AG2837" s="1"/>
    </row>
    <row r="2838" ht="15.75" customHeight="1">
      <c r="A2838" s="1"/>
      <c r="B2838" s="1"/>
      <c r="C2838" s="1"/>
      <c r="D2838" s="1"/>
      <c r="E2838" s="1"/>
      <c r="F2838" s="1"/>
      <c r="G2838" s="1"/>
      <c r="H2838" s="1"/>
      <c r="I2838" s="1"/>
      <c r="J2838" s="1"/>
      <c r="K2838" s="102" t="s">
        <v>5045</v>
      </c>
      <c r="L2838" s="102" t="str">
        <f>R137</f>
        <v>J1a2a1a2d2b2b2c3b1~</v>
      </c>
      <c r="M2838" s="102" t="s">
        <v>5046</v>
      </c>
      <c r="N2838" s="102" t="s">
        <v>5042</v>
      </c>
      <c r="O2838" s="105">
        <v>1.5261544E7</v>
      </c>
      <c r="P2838" s="105">
        <v>1.3149628E7</v>
      </c>
      <c r="Q2838" s="102" t="s">
        <v>2576</v>
      </c>
      <c r="S2838" s="1"/>
      <c r="T2838" s="1"/>
      <c r="U2838" s="1"/>
      <c r="V2838" s="1"/>
      <c r="W2838" s="1"/>
      <c r="X2838" s="1"/>
      <c r="Y2838" s="1"/>
      <c r="Z2838" s="102"/>
      <c r="AA2838" s="102"/>
      <c r="AB2838" s="1"/>
      <c r="AC2838" s="1"/>
      <c r="AD2838" s="1"/>
      <c r="AE2838" s="1"/>
      <c r="AF2838" s="1"/>
      <c r="AG2838" s="1"/>
    </row>
    <row r="2839" ht="15.75" customHeight="1">
      <c r="A2839" s="1"/>
      <c r="B2839" s="1"/>
      <c r="C2839" s="1"/>
      <c r="D2839" s="1"/>
      <c r="E2839" s="1"/>
      <c r="F2839" s="1"/>
      <c r="G2839" s="1"/>
      <c r="H2839" s="1"/>
      <c r="I2839" s="1"/>
      <c r="J2839" s="1"/>
      <c r="K2839" s="102" t="s">
        <v>5047</v>
      </c>
      <c r="L2839" s="102" t="str">
        <f>R137</f>
        <v>J1a2a1a2d2b2b2c3b1~</v>
      </c>
      <c r="M2839" s="102" t="s">
        <v>5048</v>
      </c>
      <c r="N2839" s="102" t="s">
        <v>5049</v>
      </c>
      <c r="O2839" s="105">
        <v>1.944579E7</v>
      </c>
      <c r="P2839" s="105">
        <v>1.733391E7</v>
      </c>
      <c r="Q2839" s="102" t="s">
        <v>2446</v>
      </c>
      <c r="S2839" s="1"/>
      <c r="T2839" s="1"/>
      <c r="U2839" s="1"/>
      <c r="V2839" s="1"/>
      <c r="W2839" s="1"/>
      <c r="X2839" s="1"/>
      <c r="Y2839" s="1"/>
      <c r="Z2839" s="102"/>
      <c r="AA2839" s="102"/>
      <c r="AB2839" s="1"/>
      <c r="AC2839" s="1"/>
      <c r="AD2839" s="1"/>
      <c r="AE2839" s="1"/>
      <c r="AF2839" s="1"/>
      <c r="AG2839" s="1"/>
    </row>
    <row r="2840" ht="15.75" customHeight="1">
      <c r="A2840" s="1"/>
      <c r="B2840" s="1"/>
      <c r="C2840" s="1"/>
      <c r="D2840" s="1"/>
      <c r="E2840" s="1"/>
      <c r="F2840" s="1"/>
      <c r="G2840" s="1"/>
      <c r="H2840" s="1"/>
      <c r="I2840" s="1"/>
      <c r="J2840" s="1"/>
      <c r="K2840" s="102" t="s">
        <v>5050</v>
      </c>
      <c r="L2840" s="102" t="str">
        <f>R137</f>
        <v>J1a2a1a2d2b2b2c3b1~</v>
      </c>
      <c r="M2840" s="102" t="s">
        <v>5051</v>
      </c>
      <c r="N2840" s="102" t="s">
        <v>5049</v>
      </c>
      <c r="O2840" s="105">
        <v>1.944579E7</v>
      </c>
      <c r="P2840" s="105">
        <v>1.733391E7</v>
      </c>
      <c r="Q2840" s="102" t="s">
        <v>2446</v>
      </c>
      <c r="S2840" s="1"/>
      <c r="T2840" s="1"/>
      <c r="U2840" s="1"/>
      <c r="V2840" s="1"/>
      <c r="W2840" s="1"/>
      <c r="X2840" s="1"/>
      <c r="Y2840" s="1"/>
      <c r="Z2840" s="102"/>
      <c r="AA2840" s="102"/>
      <c r="AB2840" s="1"/>
      <c r="AC2840" s="1"/>
      <c r="AD2840" s="1"/>
      <c r="AE2840" s="1"/>
      <c r="AF2840" s="1"/>
      <c r="AG2840" s="1"/>
    </row>
    <row r="2841" ht="15.75" customHeight="1">
      <c r="A2841" s="1"/>
      <c r="B2841" s="1"/>
      <c r="C2841" s="1"/>
      <c r="D2841" s="1"/>
      <c r="E2841" s="1"/>
      <c r="F2841" s="1"/>
      <c r="G2841" s="1"/>
      <c r="H2841" s="1"/>
      <c r="I2841" s="1"/>
      <c r="J2841" s="1"/>
      <c r="K2841" s="102" t="s">
        <v>5052</v>
      </c>
      <c r="L2841" s="102" t="str">
        <f>R137</f>
        <v>J1a2a1a2d2b2b2c3b1~</v>
      </c>
      <c r="M2841" s="102" t="s">
        <v>5053</v>
      </c>
      <c r="N2841" s="102" t="s">
        <v>5049</v>
      </c>
      <c r="O2841" s="105">
        <v>1.944579E7</v>
      </c>
      <c r="P2841" s="105">
        <v>1.733391E7</v>
      </c>
      <c r="Q2841" s="102" t="s">
        <v>2446</v>
      </c>
      <c r="S2841" s="1"/>
      <c r="T2841" s="1"/>
      <c r="U2841" s="1"/>
      <c r="V2841" s="1"/>
      <c r="W2841" s="1"/>
      <c r="X2841" s="1"/>
      <c r="Y2841" s="1"/>
      <c r="Z2841" s="102"/>
      <c r="AA2841" s="102"/>
      <c r="AB2841" s="1"/>
      <c r="AC2841" s="1"/>
      <c r="AD2841" s="1"/>
      <c r="AE2841" s="1"/>
      <c r="AF2841" s="1"/>
      <c r="AG2841" s="1"/>
    </row>
    <row r="2842" ht="15.75" customHeight="1">
      <c r="A2842" s="1"/>
      <c r="B2842" s="1"/>
      <c r="C2842" s="1"/>
      <c r="D2842" s="1"/>
      <c r="E2842" s="1"/>
      <c r="F2842" s="1"/>
      <c r="G2842" s="1"/>
      <c r="H2842" s="1"/>
      <c r="I2842" s="1"/>
      <c r="J2842" s="1"/>
      <c r="K2842" s="102" t="s">
        <v>5054</v>
      </c>
      <c r="L2842" s="102" t="str">
        <f>R137</f>
        <v>J1a2a1a2d2b2b2c3b1~</v>
      </c>
      <c r="M2842" s="102" t="s">
        <v>5055</v>
      </c>
      <c r="N2842" s="102"/>
      <c r="O2842" s="105">
        <v>2.0833091E7</v>
      </c>
      <c r="P2842" s="105">
        <v>1.8671205E7</v>
      </c>
      <c r="Q2842" s="102" t="s">
        <v>2501</v>
      </c>
      <c r="S2842" s="1"/>
      <c r="T2842" s="1"/>
      <c r="U2842" s="1"/>
      <c r="V2842" s="1"/>
      <c r="W2842" s="1"/>
      <c r="X2842" s="1"/>
      <c r="Y2842" s="1"/>
      <c r="Z2842" s="102"/>
      <c r="AA2842" s="102"/>
      <c r="AB2842" s="1"/>
      <c r="AC2842" s="1"/>
      <c r="AD2842" s="1"/>
      <c r="AE2842" s="1"/>
      <c r="AF2842" s="1"/>
      <c r="AG2842" s="1"/>
    </row>
    <row r="2843" ht="15.75" customHeight="1">
      <c r="A2843" s="1"/>
      <c r="B2843" s="1"/>
      <c r="C2843" s="1"/>
      <c r="D2843" s="1"/>
      <c r="E2843" s="1"/>
      <c r="F2843" s="1"/>
      <c r="G2843" s="1"/>
      <c r="H2843" s="1"/>
      <c r="I2843" s="1"/>
      <c r="J2843" s="1"/>
      <c r="K2843" s="102" t="s">
        <v>5056</v>
      </c>
      <c r="L2843" s="102" t="str">
        <f>R137</f>
        <v>J1a2a1a2d2b2b2c3b1~</v>
      </c>
      <c r="M2843" s="102" t="s">
        <v>5057</v>
      </c>
      <c r="N2843" s="102"/>
      <c r="O2843" s="105">
        <v>2.0833091E7</v>
      </c>
      <c r="P2843" s="105">
        <v>1.8671205E7</v>
      </c>
      <c r="Q2843" s="102" t="s">
        <v>2501</v>
      </c>
      <c r="S2843" s="1"/>
      <c r="T2843" s="1"/>
      <c r="U2843" s="1"/>
      <c r="V2843" s="1"/>
      <c r="W2843" s="1"/>
      <c r="X2843" s="1"/>
      <c r="Y2843" s="1"/>
      <c r="Z2843" s="102"/>
      <c r="AA2843" s="102"/>
      <c r="AB2843" s="1"/>
      <c r="AC2843" s="1"/>
      <c r="AD2843" s="1"/>
      <c r="AE2843" s="1"/>
      <c r="AF2843" s="1"/>
      <c r="AG2843" s="1"/>
    </row>
    <row r="2844" ht="15.75" customHeight="1">
      <c r="A2844" s="1"/>
      <c r="B2844" s="1"/>
      <c r="C2844" s="1"/>
      <c r="D2844" s="1"/>
      <c r="E2844" s="1"/>
      <c r="F2844" s="1"/>
      <c r="G2844" s="1"/>
      <c r="H2844" s="1"/>
      <c r="I2844" s="1"/>
      <c r="J2844" s="1"/>
      <c r="K2844" s="102" t="s">
        <v>5058</v>
      </c>
      <c r="L2844" s="102" t="str">
        <f>R137</f>
        <v>J1a2a1a2d2b2b2c3b1~</v>
      </c>
      <c r="M2844" s="102" t="s">
        <v>5059</v>
      </c>
      <c r="N2844" s="102"/>
      <c r="O2844" s="105">
        <v>2.0833091E7</v>
      </c>
      <c r="P2844" s="105">
        <v>1.8671205E7</v>
      </c>
      <c r="Q2844" s="102" t="s">
        <v>2501</v>
      </c>
      <c r="S2844" s="1"/>
      <c r="T2844" s="1"/>
      <c r="U2844" s="1"/>
      <c r="V2844" s="1"/>
      <c r="W2844" s="1"/>
      <c r="X2844" s="1"/>
      <c r="Y2844" s="1"/>
      <c r="Z2844" s="102"/>
      <c r="AA2844" s="102"/>
      <c r="AB2844" s="1"/>
      <c r="AC2844" s="1"/>
      <c r="AD2844" s="1"/>
      <c r="AE2844" s="1"/>
      <c r="AF2844" s="1"/>
      <c r="AG2844" s="1"/>
    </row>
    <row r="2845" ht="15.75" customHeight="1">
      <c r="A2845" s="1"/>
      <c r="B2845" s="1"/>
      <c r="C2845" s="1"/>
      <c r="D2845" s="1"/>
      <c r="E2845" s="1"/>
      <c r="F2845" s="1"/>
      <c r="G2845" s="1"/>
      <c r="H2845" s="1"/>
      <c r="I2845" s="1"/>
      <c r="J2845" s="1"/>
      <c r="K2845" s="102" t="s">
        <v>5060</v>
      </c>
      <c r="L2845" s="102" t="str">
        <f>R137</f>
        <v>J1a2a1a2d2b2b2c3b1~</v>
      </c>
      <c r="M2845" s="102" t="s">
        <v>5061</v>
      </c>
      <c r="N2845" s="102"/>
      <c r="O2845" s="105">
        <v>2.2537962E7</v>
      </c>
      <c r="P2845" s="105">
        <v>2.0376076E7</v>
      </c>
      <c r="Q2845" s="102" t="s">
        <v>2423</v>
      </c>
      <c r="S2845" s="1"/>
      <c r="T2845" s="1"/>
      <c r="U2845" s="1"/>
      <c r="V2845" s="1"/>
      <c r="W2845" s="1"/>
      <c r="X2845" s="1"/>
      <c r="Y2845" s="1"/>
      <c r="Z2845" s="102"/>
      <c r="AA2845" s="102"/>
      <c r="AB2845" s="1"/>
      <c r="AC2845" s="1"/>
      <c r="AD2845" s="1"/>
      <c r="AE2845" s="1"/>
      <c r="AF2845" s="1"/>
      <c r="AG2845" s="1"/>
    </row>
    <row r="2846" ht="15.75" customHeight="1">
      <c r="A2846" s="1"/>
      <c r="B2846" s="1"/>
      <c r="C2846" s="1"/>
      <c r="D2846" s="1"/>
      <c r="E2846" s="1"/>
      <c r="F2846" s="1"/>
      <c r="G2846" s="1"/>
      <c r="H2846" s="1"/>
      <c r="I2846" s="1"/>
      <c r="J2846" s="1"/>
      <c r="K2846" s="102" t="s">
        <v>5061</v>
      </c>
      <c r="L2846" s="102" t="str">
        <f>R137</f>
        <v>J1a2a1a2d2b2b2c3b1~</v>
      </c>
      <c r="M2846" s="102" t="s">
        <v>5060</v>
      </c>
      <c r="N2846" s="102"/>
      <c r="O2846" s="105">
        <v>2.2537962E7</v>
      </c>
      <c r="P2846" s="105">
        <v>2.0376076E7</v>
      </c>
      <c r="Q2846" s="102" t="s">
        <v>2423</v>
      </c>
      <c r="S2846" s="1"/>
      <c r="T2846" s="1"/>
      <c r="U2846" s="1"/>
      <c r="V2846" s="1"/>
      <c r="W2846" s="1"/>
      <c r="X2846" s="1"/>
      <c r="Y2846" s="1"/>
      <c r="Z2846" s="102"/>
      <c r="AA2846" s="102"/>
      <c r="AB2846" s="1"/>
      <c r="AC2846" s="1"/>
      <c r="AD2846" s="1"/>
      <c r="AE2846" s="1"/>
      <c r="AF2846" s="1"/>
      <c r="AG2846" s="1"/>
    </row>
    <row r="2847" ht="15.75" customHeight="1">
      <c r="A2847" s="1"/>
      <c r="B2847" s="1"/>
      <c r="C2847" s="1"/>
      <c r="D2847" s="1"/>
      <c r="E2847" s="1"/>
      <c r="F2847" s="1"/>
      <c r="G2847" s="1"/>
      <c r="H2847" s="1"/>
      <c r="I2847" s="1"/>
      <c r="J2847" s="1"/>
      <c r="K2847" s="102" t="s">
        <v>5062</v>
      </c>
      <c r="L2847" s="102" t="str">
        <f>R137</f>
        <v>J1a2a1a2d2b2b2c3b1~</v>
      </c>
      <c r="M2847" s="102" t="s">
        <v>5063</v>
      </c>
      <c r="N2847" s="102" t="s">
        <v>5064</v>
      </c>
      <c r="O2847" s="105">
        <v>2.3123646E7</v>
      </c>
      <c r="P2847" s="105">
        <v>2.096176E7</v>
      </c>
      <c r="Q2847" s="102" t="s">
        <v>2501</v>
      </c>
      <c r="S2847" s="1"/>
      <c r="T2847" s="1"/>
      <c r="U2847" s="1"/>
      <c r="V2847" s="1"/>
      <c r="W2847" s="1"/>
      <c r="X2847" s="1"/>
      <c r="Y2847" s="1"/>
      <c r="Z2847" s="102"/>
      <c r="AA2847" s="102"/>
      <c r="AB2847" s="1"/>
      <c r="AC2847" s="1"/>
      <c r="AD2847" s="1"/>
      <c r="AE2847" s="1"/>
      <c r="AF2847" s="1"/>
      <c r="AG2847" s="1"/>
    </row>
    <row r="2848" ht="15.75" customHeight="1">
      <c r="A2848" s="1"/>
      <c r="B2848" s="1"/>
      <c r="C2848" s="1"/>
      <c r="D2848" s="1"/>
      <c r="E2848" s="1"/>
      <c r="F2848" s="1"/>
      <c r="G2848" s="1"/>
      <c r="H2848" s="1"/>
      <c r="I2848" s="1"/>
      <c r="J2848" s="1"/>
      <c r="K2848" s="102" t="s">
        <v>5065</v>
      </c>
      <c r="L2848" s="102" t="str">
        <f>R137</f>
        <v>J1a2a1a2d2b2b2c3b1~</v>
      </c>
      <c r="M2848" s="102" t="s">
        <v>5066</v>
      </c>
      <c r="N2848" s="102" t="s">
        <v>5064</v>
      </c>
      <c r="O2848" s="105">
        <v>2.3123646E7</v>
      </c>
      <c r="P2848" s="105">
        <v>2.096176E7</v>
      </c>
      <c r="Q2848" s="102" t="s">
        <v>2501</v>
      </c>
      <c r="S2848" s="1"/>
      <c r="T2848" s="1"/>
      <c r="U2848" s="1"/>
      <c r="V2848" s="1"/>
      <c r="W2848" s="1"/>
      <c r="X2848" s="1"/>
      <c r="Y2848" s="1"/>
      <c r="Z2848" s="102"/>
      <c r="AA2848" s="102"/>
      <c r="AB2848" s="1"/>
      <c r="AC2848" s="1"/>
      <c r="AD2848" s="1"/>
      <c r="AE2848" s="1"/>
      <c r="AF2848" s="1"/>
      <c r="AG2848" s="1"/>
    </row>
    <row r="2849" ht="15.75" customHeight="1">
      <c r="A2849" s="1"/>
      <c r="B2849" s="1"/>
      <c r="C2849" s="1"/>
      <c r="D2849" s="1"/>
      <c r="E2849" s="1"/>
      <c r="F2849" s="1"/>
      <c r="G2849" s="1"/>
      <c r="H2849" s="1"/>
      <c r="I2849" s="1"/>
      <c r="J2849" s="1"/>
      <c r="K2849" s="102" t="s">
        <v>5067</v>
      </c>
      <c r="L2849" s="102" t="str">
        <f>R137</f>
        <v>J1a2a1a2d2b2b2c3b1~</v>
      </c>
      <c r="M2849" s="102" t="s">
        <v>5068</v>
      </c>
      <c r="N2849" s="102" t="s">
        <v>5064</v>
      </c>
      <c r="O2849" s="105">
        <v>2.3123646E7</v>
      </c>
      <c r="P2849" s="105">
        <v>2.096176E7</v>
      </c>
      <c r="Q2849" s="102" t="s">
        <v>2501</v>
      </c>
      <c r="S2849" s="1"/>
      <c r="T2849" s="1"/>
      <c r="U2849" s="1"/>
      <c r="V2849" s="1"/>
      <c r="W2849" s="1"/>
      <c r="X2849" s="1"/>
      <c r="Y2849" s="1"/>
      <c r="Z2849" s="102"/>
      <c r="AA2849" s="102"/>
      <c r="AB2849" s="1"/>
      <c r="AC2849" s="1"/>
      <c r="AD2849" s="1"/>
      <c r="AE2849" s="1"/>
      <c r="AF2849" s="1"/>
      <c r="AG2849" s="1"/>
    </row>
    <row r="2850" ht="15.75" customHeight="1">
      <c r="A2850" s="1"/>
      <c r="B2850" s="1"/>
      <c r="C2850" s="1"/>
      <c r="D2850" s="1"/>
      <c r="E2850" s="1"/>
      <c r="F2850" s="1"/>
      <c r="G2850" s="1"/>
      <c r="H2850" s="1"/>
      <c r="I2850" s="1"/>
      <c r="J2850" s="1"/>
      <c r="K2850" s="102" t="s">
        <v>5069</v>
      </c>
      <c r="L2850" s="102" t="str">
        <f>R137</f>
        <v>J1a2a1a2d2b2b2c3b1~</v>
      </c>
      <c r="M2850" s="102"/>
      <c r="N2850" s="102"/>
      <c r="O2850" s="105">
        <v>2.183215E7</v>
      </c>
      <c r="P2850" s="105">
        <v>1.9670264E7</v>
      </c>
      <c r="Q2850" s="102" t="s">
        <v>2501</v>
      </c>
      <c r="S2850" s="1"/>
      <c r="T2850" s="1"/>
      <c r="U2850" s="1"/>
      <c r="V2850" s="1"/>
      <c r="W2850" s="1"/>
      <c r="X2850" s="1"/>
      <c r="Y2850" s="1"/>
      <c r="Z2850" s="102"/>
      <c r="AA2850" s="102"/>
      <c r="AB2850" s="1"/>
      <c r="AC2850" s="1"/>
      <c r="AD2850" s="1"/>
      <c r="AE2850" s="1"/>
      <c r="AF2850" s="1"/>
      <c r="AG2850" s="1"/>
    </row>
    <row r="2851" ht="15.75" customHeight="1">
      <c r="A2851" s="1"/>
      <c r="B2851" s="1"/>
      <c r="C2851" s="1"/>
      <c r="D2851" s="1"/>
      <c r="E2851" s="1"/>
      <c r="F2851" s="1"/>
      <c r="G2851" s="1"/>
      <c r="H2851" s="1"/>
      <c r="I2851" s="1"/>
      <c r="J2851" s="1"/>
      <c r="K2851" s="102" t="s">
        <v>5070</v>
      </c>
      <c r="L2851" s="102" t="str">
        <f>R137</f>
        <v>J1a2a1a2d2b2b2c3b1~</v>
      </c>
      <c r="M2851" s="102"/>
      <c r="N2851" s="102" t="s">
        <v>5071</v>
      </c>
      <c r="O2851" s="105">
        <v>1.7544869E7</v>
      </c>
      <c r="P2851" s="105">
        <v>1.5432989E7</v>
      </c>
      <c r="Q2851" s="102" t="s">
        <v>2514</v>
      </c>
      <c r="S2851" s="1"/>
      <c r="T2851" s="1"/>
      <c r="U2851" s="1"/>
      <c r="V2851" s="1"/>
      <c r="W2851" s="1"/>
      <c r="X2851" s="1"/>
      <c r="Y2851" s="1"/>
      <c r="Z2851" s="102"/>
      <c r="AA2851" s="102"/>
      <c r="AB2851" s="1"/>
      <c r="AC2851" s="1"/>
      <c r="AD2851" s="1"/>
      <c r="AE2851" s="1"/>
      <c r="AF2851" s="1"/>
      <c r="AG2851" s="1"/>
    </row>
    <row r="2852" ht="15.75" customHeight="1">
      <c r="A2852" s="1"/>
      <c r="B2852" s="1"/>
      <c r="C2852" s="1"/>
      <c r="D2852" s="1"/>
      <c r="E2852" s="1"/>
      <c r="F2852" s="1"/>
      <c r="G2852" s="1"/>
      <c r="H2852" s="1"/>
      <c r="I2852" s="1"/>
      <c r="J2852" s="1"/>
      <c r="K2852" s="102" t="s">
        <v>5024</v>
      </c>
      <c r="L2852" s="102" t="str">
        <f>R137</f>
        <v>J1a2a1a2d2b2b2c3b1~</v>
      </c>
      <c r="M2852" s="102"/>
      <c r="N2852" s="102" t="s">
        <v>5025</v>
      </c>
      <c r="O2852" s="105">
        <v>1.5973973E7</v>
      </c>
      <c r="P2852" s="105">
        <v>1.3862093E7</v>
      </c>
      <c r="Q2852" s="102" t="s">
        <v>2501</v>
      </c>
      <c r="S2852" s="1"/>
      <c r="T2852" s="1"/>
      <c r="U2852" s="1"/>
      <c r="V2852" s="1"/>
      <c r="W2852" s="1"/>
      <c r="X2852" s="1"/>
      <c r="Y2852" s="1"/>
      <c r="Z2852" s="102"/>
      <c r="AA2852" s="102"/>
      <c r="AB2852" s="1"/>
      <c r="AC2852" s="1"/>
      <c r="AD2852" s="1"/>
      <c r="AE2852" s="1"/>
      <c r="AF2852" s="1"/>
      <c r="AG2852" s="1"/>
    </row>
    <row r="2853" ht="15.75" customHeight="1">
      <c r="A2853" s="1"/>
      <c r="B2853" s="1"/>
      <c r="C2853" s="1"/>
      <c r="D2853" s="1"/>
      <c r="E2853" s="1"/>
      <c r="F2853" s="1"/>
      <c r="G2853" s="1"/>
      <c r="H2853" s="1"/>
      <c r="I2853" s="1"/>
      <c r="J2853" s="1"/>
      <c r="K2853" s="102" t="s">
        <v>5072</v>
      </c>
      <c r="L2853" s="102" t="str">
        <f>S138</f>
        <v>J1a2a1a2d2b2b2c3b1a~</v>
      </c>
      <c r="M2853" s="102" t="s">
        <v>5073</v>
      </c>
      <c r="N2853" s="102" t="s">
        <v>5074</v>
      </c>
      <c r="O2853" s="105">
        <v>6862901.0</v>
      </c>
      <c r="P2853" s="105">
        <v>6994860.0</v>
      </c>
      <c r="Q2853" s="102" t="s">
        <v>2501</v>
      </c>
      <c r="S2853" s="1"/>
      <c r="T2853" s="1"/>
      <c r="U2853" s="1"/>
      <c r="V2853" s="1"/>
      <c r="W2853" s="1"/>
      <c r="X2853" s="1"/>
      <c r="Y2853" s="1"/>
      <c r="Z2853" s="102"/>
      <c r="AA2853" s="102"/>
      <c r="AB2853" s="1"/>
      <c r="AC2853" s="1"/>
      <c r="AD2853" s="1"/>
      <c r="AE2853" s="1"/>
      <c r="AF2853" s="1"/>
      <c r="AG2853" s="1"/>
    </row>
    <row r="2854" ht="15.75" customHeight="1">
      <c r="A2854" s="1"/>
      <c r="B2854" s="1"/>
      <c r="C2854" s="1"/>
      <c r="D2854" s="1"/>
      <c r="E2854" s="1"/>
      <c r="F2854" s="1"/>
      <c r="G2854" s="1"/>
      <c r="H2854" s="1"/>
      <c r="I2854" s="1"/>
      <c r="J2854" s="1"/>
      <c r="K2854" s="102" t="s">
        <v>5073</v>
      </c>
      <c r="L2854" s="102" t="str">
        <f>S138</f>
        <v>J1a2a1a2d2b2b2c3b1a~</v>
      </c>
      <c r="M2854" s="102" t="s">
        <v>5072</v>
      </c>
      <c r="N2854" s="102" t="s">
        <v>5074</v>
      </c>
      <c r="O2854" s="105">
        <v>6862901.0</v>
      </c>
      <c r="P2854" s="105">
        <v>6994860.0</v>
      </c>
      <c r="Q2854" s="102" t="s">
        <v>2501</v>
      </c>
      <c r="S2854" s="1"/>
      <c r="T2854" s="1"/>
      <c r="U2854" s="1"/>
      <c r="V2854" s="1"/>
      <c r="W2854" s="1"/>
      <c r="X2854" s="1"/>
      <c r="Y2854" s="1"/>
      <c r="Z2854" s="102"/>
      <c r="AA2854" s="102"/>
      <c r="AB2854" s="1"/>
      <c r="AC2854" s="1"/>
      <c r="AD2854" s="1"/>
      <c r="AE2854" s="1"/>
      <c r="AF2854" s="1"/>
      <c r="AG2854" s="1"/>
    </row>
    <row r="2855" ht="15.75" customHeight="1">
      <c r="A2855" s="1"/>
      <c r="B2855" s="1"/>
      <c r="C2855" s="1"/>
      <c r="D2855" s="1"/>
      <c r="E2855" s="1"/>
      <c r="F2855" s="1"/>
      <c r="G2855" s="1"/>
      <c r="H2855" s="1"/>
      <c r="I2855" s="1"/>
      <c r="J2855" s="1"/>
      <c r="K2855" s="102" t="s">
        <v>5075</v>
      </c>
      <c r="L2855" s="102" t="str">
        <f>S138</f>
        <v>J1a2a1a2d2b2b2c3b1a~</v>
      </c>
      <c r="M2855" s="102" t="s">
        <v>5076</v>
      </c>
      <c r="N2855" s="102" t="s">
        <v>5077</v>
      </c>
      <c r="O2855" s="105">
        <v>1.9010578E7</v>
      </c>
      <c r="P2855" s="105">
        <v>1.6898698E7</v>
      </c>
      <c r="Q2855" s="102" t="s">
        <v>2439</v>
      </c>
      <c r="S2855" s="1"/>
      <c r="T2855" s="1"/>
      <c r="U2855" s="1"/>
      <c r="V2855" s="1"/>
      <c r="W2855" s="1"/>
      <c r="X2855" s="1"/>
      <c r="Y2855" s="1"/>
      <c r="Z2855" s="102"/>
      <c r="AA2855" s="102"/>
      <c r="AB2855" s="1"/>
      <c r="AC2855" s="1"/>
      <c r="AD2855" s="1"/>
      <c r="AE2855" s="1"/>
      <c r="AF2855" s="1"/>
      <c r="AG2855" s="1"/>
    </row>
    <row r="2856" ht="15.75" customHeight="1">
      <c r="A2856" s="1"/>
      <c r="B2856" s="1"/>
      <c r="C2856" s="1"/>
      <c r="D2856" s="1"/>
      <c r="E2856" s="1"/>
      <c r="F2856" s="1"/>
      <c r="G2856" s="1"/>
      <c r="H2856" s="1"/>
      <c r="I2856" s="1"/>
      <c r="J2856" s="1"/>
      <c r="K2856" s="102" t="s">
        <v>5076</v>
      </c>
      <c r="L2856" s="102" t="str">
        <f>S138</f>
        <v>J1a2a1a2d2b2b2c3b1a~</v>
      </c>
      <c r="M2856" s="102" t="s">
        <v>5075</v>
      </c>
      <c r="N2856" s="102" t="s">
        <v>5077</v>
      </c>
      <c r="O2856" s="105">
        <v>1.9010578E7</v>
      </c>
      <c r="P2856" s="105">
        <v>1.6898698E7</v>
      </c>
      <c r="Q2856" s="102" t="s">
        <v>2439</v>
      </c>
      <c r="S2856" s="1"/>
      <c r="T2856" s="1"/>
      <c r="U2856" s="1"/>
      <c r="V2856" s="1"/>
      <c r="W2856" s="1"/>
      <c r="X2856" s="1"/>
      <c r="Y2856" s="1"/>
      <c r="Z2856" s="102"/>
      <c r="AA2856" s="102"/>
      <c r="AB2856" s="1"/>
      <c r="AC2856" s="1"/>
      <c r="AD2856" s="1"/>
      <c r="AE2856" s="1"/>
      <c r="AF2856" s="1"/>
      <c r="AG2856" s="1"/>
    </row>
    <row r="2857" ht="15.75" customHeight="1">
      <c r="A2857" s="1"/>
      <c r="B2857" s="1"/>
      <c r="C2857" s="1"/>
      <c r="D2857" s="1"/>
      <c r="E2857" s="1"/>
      <c r="F2857" s="1"/>
      <c r="G2857" s="1"/>
      <c r="H2857" s="1"/>
      <c r="I2857" s="1"/>
      <c r="J2857" s="1"/>
      <c r="K2857" s="102" t="s">
        <v>5078</v>
      </c>
      <c r="L2857" s="102" t="str">
        <f>S138</f>
        <v>J1a2a1a2d2b2b2c3b1a~</v>
      </c>
      <c r="M2857" s="102"/>
      <c r="N2857" s="102" t="s">
        <v>5079</v>
      </c>
      <c r="O2857" s="105">
        <v>2.8622689E7</v>
      </c>
      <c r="P2857" s="105">
        <v>2.6476542E7</v>
      </c>
      <c r="Q2857" s="102" t="s">
        <v>2454</v>
      </c>
      <c r="S2857" s="1"/>
      <c r="T2857" s="1"/>
      <c r="U2857" s="1"/>
      <c r="V2857" s="1"/>
      <c r="W2857" s="1"/>
      <c r="X2857" s="1"/>
      <c r="Y2857" s="1"/>
      <c r="Z2857" s="102"/>
      <c r="AA2857" s="102"/>
      <c r="AB2857" s="1"/>
      <c r="AC2857" s="1"/>
      <c r="AD2857" s="1"/>
      <c r="AE2857" s="1"/>
      <c r="AF2857" s="1"/>
      <c r="AG2857" s="1"/>
    </row>
    <row r="2858" ht="15.75" customHeight="1">
      <c r="A2858" s="1"/>
      <c r="B2858" s="1"/>
      <c r="C2858" s="1"/>
      <c r="D2858" s="1"/>
      <c r="E2858" s="1"/>
      <c r="F2858" s="1"/>
      <c r="G2858" s="1"/>
      <c r="H2858" s="1"/>
      <c r="I2858" s="1"/>
      <c r="J2858" s="1"/>
      <c r="K2858" s="102" t="s">
        <v>5080</v>
      </c>
      <c r="L2858" s="102" t="str">
        <f>S138</f>
        <v>J1a2a1a2d2b2b2c3b1a~</v>
      </c>
      <c r="M2858" s="102"/>
      <c r="N2858" s="102"/>
      <c r="O2858" s="105">
        <v>2.3204713E7</v>
      </c>
      <c r="P2858" s="105">
        <v>2.1042827E7</v>
      </c>
      <c r="Q2858" s="102" t="s">
        <v>2439</v>
      </c>
      <c r="S2858" s="1"/>
      <c r="T2858" s="1"/>
      <c r="U2858" s="1"/>
      <c r="V2858" s="1"/>
      <c r="W2858" s="1"/>
      <c r="X2858" s="1"/>
      <c r="Y2858" s="1"/>
      <c r="Z2858" s="102"/>
      <c r="AA2858" s="102"/>
      <c r="AB2858" s="1"/>
      <c r="AC2858" s="1"/>
      <c r="AD2858" s="1"/>
      <c r="AE2858" s="1"/>
      <c r="AF2858" s="1"/>
      <c r="AG2858" s="1"/>
    </row>
    <row r="2859" ht="15.75" customHeight="1">
      <c r="A2859" s="1"/>
      <c r="B2859" s="1"/>
      <c r="C2859" s="1"/>
      <c r="D2859" s="1"/>
      <c r="E2859" s="1"/>
      <c r="F2859" s="1"/>
      <c r="G2859" s="1"/>
      <c r="H2859" s="1"/>
      <c r="I2859" s="1"/>
      <c r="J2859" s="1"/>
      <c r="K2859" s="102" t="s">
        <v>5081</v>
      </c>
      <c r="L2859" s="102" t="str">
        <f>S138</f>
        <v>J1a2a1a2d2b2b2c3b1a~</v>
      </c>
      <c r="M2859" s="102"/>
      <c r="N2859" s="102" t="s">
        <v>5082</v>
      </c>
      <c r="O2859" s="105">
        <v>1.6008399E7</v>
      </c>
      <c r="P2859" s="105">
        <v>1.3896519E7</v>
      </c>
      <c r="Q2859" s="102" t="s">
        <v>2468</v>
      </c>
      <c r="S2859" s="1"/>
      <c r="T2859" s="1"/>
      <c r="U2859" s="1"/>
      <c r="V2859" s="1"/>
      <c r="W2859" s="1"/>
      <c r="X2859" s="1"/>
      <c r="Y2859" s="1"/>
      <c r="Z2859" s="102"/>
      <c r="AA2859" s="102"/>
      <c r="AB2859" s="1"/>
      <c r="AC2859" s="1"/>
      <c r="AD2859" s="1"/>
      <c r="AE2859" s="1"/>
      <c r="AF2859" s="1"/>
      <c r="AG2859" s="1"/>
    </row>
    <row r="2860" ht="15.75" customHeight="1">
      <c r="A2860" s="1"/>
      <c r="B2860" s="1"/>
      <c r="C2860" s="1"/>
      <c r="D2860" s="1"/>
      <c r="E2860" s="1"/>
      <c r="F2860" s="1"/>
      <c r="G2860" s="1"/>
      <c r="H2860" s="1"/>
      <c r="I2860" s="1"/>
      <c r="J2860" s="1"/>
      <c r="K2860" s="102" t="s">
        <v>5083</v>
      </c>
      <c r="L2860" s="102" t="str">
        <f>R139</f>
        <v>J1a2a1a2d2b2b2c3b2~</v>
      </c>
      <c r="M2860" s="102" t="s">
        <v>5084</v>
      </c>
      <c r="N2860" s="102"/>
      <c r="O2860" s="105">
        <v>8069401.0</v>
      </c>
      <c r="P2860" s="105">
        <v>8201360.0</v>
      </c>
      <c r="Q2860" s="102" t="s">
        <v>2529</v>
      </c>
      <c r="S2860" s="1"/>
      <c r="T2860" s="1"/>
      <c r="U2860" s="1"/>
      <c r="V2860" s="1"/>
      <c r="W2860" s="1"/>
      <c r="X2860" s="1"/>
      <c r="Y2860" s="1"/>
      <c r="Z2860" s="102"/>
      <c r="AA2860" s="102"/>
      <c r="AB2860" s="1"/>
      <c r="AC2860" s="1"/>
      <c r="AD2860" s="1"/>
      <c r="AE2860" s="1"/>
      <c r="AF2860" s="1"/>
      <c r="AG2860" s="1"/>
    </row>
    <row r="2861" ht="15.75" customHeight="1">
      <c r="A2861" s="1"/>
      <c r="B2861" s="1"/>
      <c r="C2861" s="1"/>
      <c r="D2861" s="1"/>
      <c r="E2861" s="1"/>
      <c r="F2861" s="1"/>
      <c r="G2861" s="1"/>
      <c r="H2861" s="1"/>
      <c r="I2861" s="1"/>
      <c r="J2861" s="1"/>
      <c r="K2861" s="102" t="s">
        <v>5084</v>
      </c>
      <c r="L2861" s="102" t="str">
        <f>R139</f>
        <v>J1a2a1a2d2b2b2c3b2~</v>
      </c>
      <c r="M2861" s="102" t="s">
        <v>5083</v>
      </c>
      <c r="N2861" s="102"/>
      <c r="O2861" s="105">
        <v>8069401.0</v>
      </c>
      <c r="P2861" s="105">
        <v>8201360.0</v>
      </c>
      <c r="Q2861" s="102" t="s">
        <v>2529</v>
      </c>
      <c r="S2861" s="1"/>
      <c r="T2861" s="1"/>
      <c r="U2861" s="1"/>
      <c r="V2861" s="1"/>
      <c r="W2861" s="1"/>
      <c r="X2861" s="1"/>
      <c r="Y2861" s="1"/>
      <c r="Z2861" s="102"/>
      <c r="AA2861" s="102"/>
      <c r="AB2861" s="1"/>
      <c r="AC2861" s="1"/>
      <c r="AD2861" s="1"/>
      <c r="AE2861" s="1"/>
      <c r="AF2861" s="1"/>
      <c r="AG2861" s="1"/>
    </row>
    <row r="2862" ht="15.75" customHeight="1">
      <c r="A2862" s="1"/>
      <c r="B2862" s="1"/>
      <c r="C2862" s="1"/>
      <c r="D2862" s="1"/>
      <c r="E2862" s="1"/>
      <c r="F2862" s="1"/>
      <c r="G2862" s="1"/>
      <c r="H2862" s="1"/>
      <c r="I2862" s="1"/>
      <c r="J2862" s="1"/>
      <c r="K2862" s="102" t="s">
        <v>5085</v>
      </c>
      <c r="L2862" s="102" t="str">
        <f>R139</f>
        <v>J1a2a1a2d2b2b2c3b2~</v>
      </c>
      <c r="M2862" s="102" t="s">
        <v>5086</v>
      </c>
      <c r="N2862" s="102"/>
      <c r="O2862" s="105">
        <v>1.4200563E7</v>
      </c>
      <c r="P2862" s="105">
        <v>1.2079857E7</v>
      </c>
      <c r="Q2862" s="102" t="s">
        <v>2576</v>
      </c>
      <c r="S2862" s="1"/>
      <c r="T2862" s="1"/>
      <c r="U2862" s="1"/>
      <c r="V2862" s="1"/>
      <c r="W2862" s="1"/>
      <c r="X2862" s="1"/>
      <c r="Y2862" s="1"/>
      <c r="Z2862" s="102"/>
      <c r="AA2862" s="102"/>
      <c r="AB2862" s="1"/>
      <c r="AC2862" s="1"/>
      <c r="AD2862" s="1"/>
      <c r="AE2862" s="1"/>
      <c r="AF2862" s="1"/>
      <c r="AG2862" s="1"/>
    </row>
    <row r="2863" ht="15.75" customHeight="1">
      <c r="A2863" s="1"/>
      <c r="B2863" s="1"/>
      <c r="C2863" s="1"/>
      <c r="D2863" s="1"/>
      <c r="E2863" s="1"/>
      <c r="F2863" s="1"/>
      <c r="G2863" s="1"/>
      <c r="H2863" s="1"/>
      <c r="I2863" s="1"/>
      <c r="J2863" s="1"/>
      <c r="K2863" s="102" t="s">
        <v>5086</v>
      </c>
      <c r="L2863" s="102" t="str">
        <f>R139</f>
        <v>J1a2a1a2d2b2b2c3b2~</v>
      </c>
      <c r="M2863" s="102" t="s">
        <v>5085</v>
      </c>
      <c r="N2863" s="102"/>
      <c r="O2863" s="105">
        <v>1.4200563E7</v>
      </c>
      <c r="P2863" s="105">
        <v>1.2079857E7</v>
      </c>
      <c r="Q2863" s="102" t="s">
        <v>2576</v>
      </c>
      <c r="S2863" s="1"/>
      <c r="T2863" s="1"/>
      <c r="U2863" s="1"/>
      <c r="V2863" s="1"/>
      <c r="W2863" s="1"/>
      <c r="X2863" s="1"/>
      <c r="Y2863" s="1"/>
      <c r="Z2863" s="102"/>
      <c r="AA2863" s="102"/>
      <c r="AB2863" s="1"/>
      <c r="AC2863" s="1"/>
      <c r="AD2863" s="1"/>
      <c r="AE2863" s="1"/>
      <c r="AF2863" s="1"/>
      <c r="AG2863" s="1"/>
    </row>
    <row r="2864" ht="15.75" customHeight="1">
      <c r="A2864" s="1"/>
      <c r="B2864" s="1"/>
      <c r="C2864" s="1"/>
      <c r="D2864" s="1"/>
      <c r="E2864" s="1"/>
      <c r="F2864" s="1"/>
      <c r="G2864" s="1"/>
      <c r="H2864" s="1"/>
      <c r="I2864" s="1"/>
      <c r="J2864" s="1"/>
      <c r="K2864" s="102" t="s">
        <v>5087</v>
      </c>
      <c r="L2864" s="102" t="str">
        <f>R139</f>
        <v>J1a2a1a2d2b2b2c3b2~</v>
      </c>
      <c r="M2864" s="102" t="s">
        <v>5088</v>
      </c>
      <c r="N2864" s="102"/>
      <c r="O2864" s="105">
        <v>1.5333897E7</v>
      </c>
      <c r="P2864" s="105">
        <v>1.3222015E7</v>
      </c>
      <c r="Q2864" s="102" t="s">
        <v>2501</v>
      </c>
      <c r="S2864" s="1"/>
      <c r="T2864" s="1"/>
      <c r="U2864" s="1"/>
      <c r="V2864" s="1"/>
      <c r="W2864" s="1"/>
      <c r="X2864" s="1"/>
      <c r="Y2864" s="1"/>
      <c r="Z2864" s="102"/>
      <c r="AA2864" s="102"/>
      <c r="AB2864" s="1"/>
      <c r="AC2864" s="1"/>
      <c r="AD2864" s="1"/>
      <c r="AE2864" s="1"/>
      <c r="AF2864" s="1"/>
      <c r="AG2864" s="1"/>
    </row>
    <row r="2865" ht="15.75" customHeight="1">
      <c r="A2865" s="1"/>
      <c r="B2865" s="1"/>
      <c r="C2865" s="1"/>
      <c r="D2865" s="1"/>
      <c r="E2865" s="1"/>
      <c r="F2865" s="1"/>
      <c r="G2865" s="1"/>
      <c r="H2865" s="1"/>
      <c r="I2865" s="1"/>
      <c r="J2865" s="1"/>
      <c r="K2865" s="102" t="s">
        <v>5088</v>
      </c>
      <c r="L2865" s="102" t="str">
        <f>R139</f>
        <v>J1a2a1a2d2b2b2c3b2~</v>
      </c>
      <c r="M2865" s="102" t="s">
        <v>5087</v>
      </c>
      <c r="N2865" s="102"/>
      <c r="O2865" s="105">
        <v>1.5333897E7</v>
      </c>
      <c r="P2865" s="105">
        <v>1.3222015E7</v>
      </c>
      <c r="Q2865" s="102" t="s">
        <v>2501</v>
      </c>
      <c r="S2865" s="1"/>
      <c r="T2865" s="1"/>
      <c r="U2865" s="1"/>
      <c r="V2865" s="1"/>
      <c r="W2865" s="1"/>
      <c r="X2865" s="1"/>
      <c r="Y2865" s="1"/>
      <c r="Z2865" s="102"/>
      <c r="AA2865" s="102"/>
      <c r="AB2865" s="1"/>
      <c r="AC2865" s="1"/>
      <c r="AD2865" s="1"/>
      <c r="AE2865" s="1"/>
      <c r="AF2865" s="1"/>
      <c r="AG2865" s="1"/>
    </row>
    <row r="2866" ht="15.75" customHeight="1">
      <c r="A2866" s="1"/>
      <c r="B2866" s="1"/>
      <c r="C2866" s="1"/>
      <c r="D2866" s="1"/>
      <c r="E2866" s="1"/>
      <c r="F2866" s="1"/>
      <c r="G2866" s="1"/>
      <c r="H2866" s="1"/>
      <c r="I2866" s="1"/>
      <c r="J2866" s="1"/>
      <c r="K2866" s="102" t="s">
        <v>5089</v>
      </c>
      <c r="L2866" s="102" t="str">
        <f>R139</f>
        <v>J1a2a1a2d2b2b2c3b2~</v>
      </c>
      <c r="M2866" s="102" t="s">
        <v>5090</v>
      </c>
      <c r="N2866" s="102"/>
      <c r="O2866" s="105">
        <v>1.5779723E7</v>
      </c>
      <c r="P2866" s="105">
        <v>1.3667843E7</v>
      </c>
      <c r="Q2866" s="102" t="s">
        <v>2468</v>
      </c>
      <c r="S2866" s="1"/>
      <c r="T2866" s="1"/>
      <c r="U2866" s="1"/>
      <c r="V2866" s="1"/>
      <c r="W2866" s="1"/>
      <c r="X2866" s="1"/>
      <c r="Y2866" s="1"/>
      <c r="Z2866" s="102"/>
      <c r="AA2866" s="102"/>
      <c r="AB2866" s="1"/>
      <c r="AC2866" s="1"/>
      <c r="AD2866" s="1"/>
      <c r="AE2866" s="1"/>
      <c r="AF2866" s="1"/>
      <c r="AG2866" s="1"/>
    </row>
    <row r="2867" ht="15.75" customHeight="1">
      <c r="A2867" s="1"/>
      <c r="B2867" s="1"/>
      <c r="C2867" s="1"/>
      <c r="D2867" s="1"/>
      <c r="E2867" s="1"/>
      <c r="F2867" s="1"/>
      <c r="G2867" s="1"/>
      <c r="H2867" s="1"/>
      <c r="I2867" s="1"/>
      <c r="J2867" s="1"/>
      <c r="K2867" s="102" t="s">
        <v>5090</v>
      </c>
      <c r="L2867" s="102" t="str">
        <f t="shared" ref="L2867:L2868" si="30">R139</f>
        <v>J1a2a1a2d2b2b2c3b2~</v>
      </c>
      <c r="M2867" s="102" t="s">
        <v>5089</v>
      </c>
      <c r="N2867" s="102"/>
      <c r="O2867" s="105">
        <v>1.5779723E7</v>
      </c>
      <c r="P2867" s="105">
        <v>1.3667843E7</v>
      </c>
      <c r="Q2867" s="102" t="s">
        <v>2468</v>
      </c>
      <c r="S2867" s="1"/>
      <c r="T2867" s="1"/>
      <c r="U2867" s="1"/>
      <c r="V2867" s="1"/>
      <c r="W2867" s="1"/>
      <c r="X2867" s="1"/>
      <c r="Y2867" s="1"/>
      <c r="Z2867" s="102"/>
      <c r="AA2867" s="102"/>
      <c r="AB2867" s="1"/>
      <c r="AC2867" s="1"/>
      <c r="AD2867" s="1"/>
      <c r="AE2867" s="1"/>
      <c r="AF2867" s="1"/>
      <c r="AG2867" s="1"/>
    </row>
    <row r="2868" ht="15.75" customHeight="1">
      <c r="A2868" s="1"/>
      <c r="B2868" s="1"/>
      <c r="C2868" s="1"/>
      <c r="D2868" s="1"/>
      <c r="E2868" s="1"/>
      <c r="F2868" s="1"/>
      <c r="G2868" s="1"/>
      <c r="H2868" s="1"/>
      <c r="I2868" s="1"/>
      <c r="J2868" s="1"/>
      <c r="K2868" s="102" t="s">
        <v>5091</v>
      </c>
      <c r="L2868" s="102" t="str">
        <f t="shared" si="30"/>
        <v>J1a2a1a2d2b2b2c3b3~</v>
      </c>
      <c r="M2868" s="102" t="s">
        <v>5092</v>
      </c>
      <c r="N2868" s="102"/>
      <c r="O2868" s="105">
        <v>2810893.0</v>
      </c>
      <c r="P2868" s="105">
        <v>2942852.0</v>
      </c>
      <c r="Q2868" s="102" t="s">
        <v>2446</v>
      </c>
      <c r="S2868" s="1"/>
      <c r="T2868" s="1"/>
      <c r="U2868" s="1"/>
      <c r="V2868" s="1"/>
      <c r="W2868" s="1"/>
      <c r="X2868" s="1"/>
      <c r="Y2868" s="1"/>
      <c r="Z2868" s="102"/>
      <c r="AA2868" s="102"/>
      <c r="AB2868" s="1"/>
      <c r="AC2868" s="1"/>
      <c r="AD2868" s="1"/>
      <c r="AE2868" s="1"/>
      <c r="AF2868" s="1"/>
      <c r="AG2868" s="1"/>
    </row>
    <row r="2869" ht="15.75" customHeight="1">
      <c r="A2869" s="1"/>
      <c r="B2869" s="1"/>
      <c r="C2869" s="1"/>
      <c r="D2869" s="1"/>
      <c r="E2869" s="1"/>
      <c r="F2869" s="1"/>
      <c r="G2869" s="1"/>
      <c r="H2869" s="1"/>
      <c r="I2869" s="1"/>
      <c r="J2869" s="1"/>
      <c r="K2869" s="102" t="s">
        <v>5092</v>
      </c>
      <c r="L2869" s="102" t="str">
        <f>R140</f>
        <v>J1a2a1a2d2b2b2c3b3~</v>
      </c>
      <c r="M2869" s="102" t="s">
        <v>5091</v>
      </c>
      <c r="N2869" s="102"/>
      <c r="O2869" s="105">
        <v>1.4322605E7</v>
      </c>
      <c r="P2869" s="105">
        <v>1.2201899E7</v>
      </c>
      <c r="Q2869" s="102" t="s">
        <v>2432</v>
      </c>
      <c r="S2869" s="1"/>
      <c r="T2869" s="1"/>
      <c r="U2869" s="1"/>
      <c r="V2869" s="1"/>
      <c r="W2869" s="1"/>
      <c r="X2869" s="1"/>
      <c r="Y2869" s="1"/>
      <c r="Z2869" s="102"/>
      <c r="AA2869" s="102"/>
      <c r="AB2869" s="1"/>
      <c r="AC2869" s="1"/>
      <c r="AD2869" s="1"/>
      <c r="AE2869" s="1"/>
      <c r="AF2869" s="1"/>
      <c r="AG2869" s="1"/>
    </row>
    <row r="2870" ht="15.75" customHeight="1">
      <c r="A2870" s="1"/>
      <c r="B2870" s="1"/>
      <c r="C2870" s="1"/>
      <c r="D2870" s="1"/>
      <c r="E2870" s="1"/>
      <c r="F2870" s="1"/>
      <c r="G2870" s="1"/>
      <c r="H2870" s="1"/>
      <c r="I2870" s="1"/>
      <c r="J2870" s="1"/>
      <c r="K2870" s="102" t="s">
        <v>5093</v>
      </c>
      <c r="L2870" s="102" t="str">
        <f>R140</f>
        <v>J1a2a1a2d2b2b2c3b3~</v>
      </c>
      <c r="M2870" s="102" t="s">
        <v>5094</v>
      </c>
      <c r="N2870" s="102"/>
      <c r="O2870" s="105">
        <v>2880601.0</v>
      </c>
      <c r="P2870" s="105">
        <v>3012560.0</v>
      </c>
      <c r="Q2870" s="102" t="s">
        <v>2576</v>
      </c>
      <c r="S2870" s="1"/>
      <c r="T2870" s="1"/>
      <c r="U2870" s="1"/>
      <c r="V2870" s="1"/>
      <c r="W2870" s="1"/>
      <c r="X2870" s="1"/>
      <c r="Y2870" s="1"/>
      <c r="Z2870" s="102"/>
      <c r="AA2870" s="102"/>
      <c r="AB2870" s="1"/>
      <c r="AC2870" s="1"/>
      <c r="AD2870" s="1"/>
      <c r="AE2870" s="1"/>
      <c r="AF2870" s="1"/>
      <c r="AG2870" s="1"/>
    </row>
    <row r="2871" ht="15.75" customHeight="1">
      <c r="A2871" s="1"/>
      <c r="B2871" s="1"/>
      <c r="C2871" s="1"/>
      <c r="D2871" s="1"/>
      <c r="E2871" s="1"/>
      <c r="F2871" s="1"/>
      <c r="G2871" s="1"/>
      <c r="H2871" s="1"/>
      <c r="I2871" s="1"/>
      <c r="J2871" s="1"/>
      <c r="K2871" s="102" t="s">
        <v>5094</v>
      </c>
      <c r="L2871" s="102" t="str">
        <f>R140</f>
        <v>J1a2a1a2d2b2b2c3b3~</v>
      </c>
      <c r="M2871" s="102" t="s">
        <v>5093</v>
      </c>
      <c r="N2871" s="102"/>
      <c r="O2871" s="105">
        <v>2880601.0</v>
      </c>
      <c r="P2871" s="105">
        <v>3012560.0</v>
      </c>
      <c r="Q2871" s="102" t="s">
        <v>2576</v>
      </c>
      <c r="S2871" s="1"/>
      <c r="T2871" s="1"/>
      <c r="U2871" s="1"/>
      <c r="V2871" s="1"/>
      <c r="W2871" s="1"/>
      <c r="X2871" s="1"/>
      <c r="Y2871" s="1"/>
      <c r="Z2871" s="102"/>
      <c r="AA2871" s="102"/>
      <c r="AB2871" s="1"/>
      <c r="AC2871" s="1"/>
      <c r="AD2871" s="1"/>
      <c r="AE2871" s="1"/>
      <c r="AF2871" s="1"/>
      <c r="AG2871" s="1"/>
    </row>
    <row r="2872" ht="15.75" customHeight="1">
      <c r="A2872" s="1"/>
      <c r="B2872" s="1"/>
      <c r="C2872" s="1"/>
      <c r="D2872" s="1"/>
      <c r="E2872" s="1"/>
      <c r="F2872" s="1"/>
      <c r="G2872" s="1"/>
      <c r="H2872" s="1"/>
      <c r="I2872" s="1"/>
      <c r="J2872" s="1"/>
      <c r="K2872" s="102" t="s">
        <v>5095</v>
      </c>
      <c r="L2872" s="102" t="str">
        <f>R140</f>
        <v>J1a2a1a2d2b2b2c3b3~</v>
      </c>
      <c r="M2872" s="102" t="s">
        <v>5096</v>
      </c>
      <c r="N2872" s="102"/>
      <c r="O2872" s="105">
        <v>7674578.0</v>
      </c>
      <c r="P2872" s="105">
        <v>7806537.0</v>
      </c>
      <c r="Q2872" s="102" t="s">
        <v>2501</v>
      </c>
      <c r="S2872" s="1"/>
      <c r="T2872" s="1"/>
      <c r="U2872" s="1"/>
      <c r="V2872" s="1"/>
      <c r="W2872" s="1"/>
      <c r="X2872" s="1"/>
      <c r="Y2872" s="1"/>
      <c r="Z2872" s="102"/>
      <c r="AA2872" s="102"/>
      <c r="AB2872" s="1"/>
      <c r="AC2872" s="1"/>
      <c r="AD2872" s="1"/>
      <c r="AE2872" s="1"/>
      <c r="AF2872" s="1"/>
      <c r="AG2872" s="1"/>
    </row>
    <row r="2873" ht="15.75" customHeight="1">
      <c r="A2873" s="1"/>
      <c r="B2873" s="1"/>
      <c r="C2873" s="1"/>
      <c r="D2873" s="1"/>
      <c r="E2873" s="1"/>
      <c r="F2873" s="1"/>
      <c r="G2873" s="1"/>
      <c r="H2873" s="1"/>
      <c r="I2873" s="1"/>
      <c r="J2873" s="1"/>
      <c r="K2873" s="102" t="s">
        <v>5096</v>
      </c>
      <c r="L2873" s="102" t="str">
        <f>R140</f>
        <v>J1a2a1a2d2b2b2c3b3~</v>
      </c>
      <c r="M2873" s="102" t="s">
        <v>5095</v>
      </c>
      <c r="N2873" s="102"/>
      <c r="O2873" s="105">
        <v>7674578.0</v>
      </c>
      <c r="P2873" s="105">
        <v>7806537.0</v>
      </c>
      <c r="Q2873" s="102" t="s">
        <v>2501</v>
      </c>
      <c r="S2873" s="1"/>
      <c r="T2873" s="1"/>
      <c r="U2873" s="1"/>
      <c r="V2873" s="1"/>
      <c r="W2873" s="1"/>
      <c r="X2873" s="1"/>
      <c r="Y2873" s="1"/>
      <c r="Z2873" s="102"/>
      <c r="AA2873" s="102"/>
      <c r="AB2873" s="1"/>
      <c r="AC2873" s="1"/>
      <c r="AD2873" s="1"/>
      <c r="AE2873" s="1"/>
      <c r="AF2873" s="1"/>
      <c r="AG2873" s="1"/>
    </row>
    <row r="2874" ht="15.75" customHeight="1">
      <c r="A2874" s="1"/>
      <c r="B2874" s="1"/>
      <c r="C2874" s="1"/>
      <c r="D2874" s="1"/>
      <c r="E2874" s="1"/>
      <c r="F2874" s="1"/>
      <c r="G2874" s="1"/>
      <c r="H2874" s="1"/>
      <c r="I2874" s="1"/>
      <c r="J2874" s="1"/>
      <c r="K2874" s="102" t="s">
        <v>5097</v>
      </c>
      <c r="L2874" s="102" t="str">
        <f>R140</f>
        <v>J1a2a1a2d2b2b2c3b3~</v>
      </c>
      <c r="M2874" s="102" t="s">
        <v>5098</v>
      </c>
      <c r="N2874" s="102"/>
      <c r="O2874" s="105">
        <v>8524404.0</v>
      </c>
      <c r="P2874" s="105">
        <v>8656363.0</v>
      </c>
      <c r="Q2874" s="102" t="s">
        <v>2439</v>
      </c>
      <c r="S2874" s="1"/>
      <c r="T2874" s="1"/>
      <c r="U2874" s="1"/>
      <c r="V2874" s="1"/>
      <c r="W2874" s="1"/>
      <c r="X2874" s="1"/>
      <c r="Y2874" s="1"/>
      <c r="Z2874" s="102"/>
      <c r="AA2874" s="102"/>
      <c r="AB2874" s="1"/>
      <c r="AC2874" s="1"/>
      <c r="AD2874" s="1"/>
      <c r="AE2874" s="1"/>
      <c r="AF2874" s="1"/>
      <c r="AG2874" s="1"/>
    </row>
    <row r="2875" ht="15.75" customHeight="1">
      <c r="A2875" s="1"/>
      <c r="B2875" s="1"/>
      <c r="C2875" s="1"/>
      <c r="D2875" s="1"/>
      <c r="E2875" s="1"/>
      <c r="F2875" s="1"/>
      <c r="G2875" s="1"/>
      <c r="H2875" s="1"/>
      <c r="I2875" s="1"/>
      <c r="J2875" s="1"/>
      <c r="K2875" s="102" t="s">
        <v>5098</v>
      </c>
      <c r="L2875" s="102" t="str">
        <f>R140</f>
        <v>J1a2a1a2d2b2b2c3b3~</v>
      </c>
      <c r="M2875" s="102" t="s">
        <v>5097</v>
      </c>
      <c r="N2875" s="102"/>
      <c r="O2875" s="105">
        <v>8524404.0</v>
      </c>
      <c r="P2875" s="105">
        <v>8656363.0</v>
      </c>
      <c r="Q2875" s="102" t="s">
        <v>2439</v>
      </c>
      <c r="S2875" s="1"/>
      <c r="T2875" s="1"/>
      <c r="U2875" s="1"/>
      <c r="V2875" s="1"/>
      <c r="W2875" s="1"/>
      <c r="X2875" s="1"/>
      <c r="Y2875" s="1"/>
      <c r="Z2875" s="102"/>
      <c r="AA2875" s="102"/>
      <c r="AB2875" s="1"/>
      <c r="AC2875" s="1"/>
      <c r="AD2875" s="1"/>
      <c r="AE2875" s="1"/>
      <c r="AF2875" s="1"/>
      <c r="AG2875" s="1"/>
    </row>
    <row r="2876" ht="15.75" customHeight="1">
      <c r="A2876" s="1"/>
      <c r="B2876" s="1"/>
      <c r="C2876" s="1"/>
      <c r="D2876" s="1"/>
      <c r="E2876" s="1"/>
      <c r="F2876" s="1"/>
      <c r="G2876" s="1"/>
      <c r="H2876" s="1"/>
      <c r="I2876" s="1"/>
      <c r="J2876" s="1"/>
      <c r="K2876" s="102" t="s">
        <v>5099</v>
      </c>
      <c r="L2876" s="102" t="str">
        <f>R140</f>
        <v>J1a2a1a2d2b2b2c3b3~</v>
      </c>
      <c r="M2876" s="102" t="s">
        <v>5100</v>
      </c>
      <c r="N2876" s="102"/>
      <c r="O2876" s="105">
        <v>1.8007092E7</v>
      </c>
      <c r="P2876" s="105">
        <v>1.5895212E7</v>
      </c>
      <c r="Q2876" s="102" t="s">
        <v>2423</v>
      </c>
      <c r="S2876" s="1"/>
      <c r="T2876" s="1"/>
      <c r="U2876" s="1"/>
      <c r="V2876" s="1"/>
      <c r="W2876" s="1"/>
      <c r="X2876" s="1"/>
      <c r="Y2876" s="1"/>
      <c r="Z2876" s="102"/>
      <c r="AA2876" s="102"/>
      <c r="AB2876" s="1"/>
      <c r="AC2876" s="1"/>
      <c r="AD2876" s="1"/>
      <c r="AE2876" s="1"/>
      <c r="AF2876" s="1"/>
      <c r="AG2876" s="1"/>
    </row>
    <row r="2877" ht="15.75" customHeight="1">
      <c r="A2877" s="1"/>
      <c r="B2877" s="1"/>
      <c r="C2877" s="1"/>
      <c r="D2877" s="1"/>
      <c r="E2877" s="1"/>
      <c r="F2877" s="1"/>
      <c r="G2877" s="1"/>
      <c r="H2877" s="1"/>
      <c r="I2877" s="1"/>
      <c r="J2877" s="1"/>
      <c r="K2877" s="102" t="s">
        <v>5100</v>
      </c>
      <c r="L2877" s="102" t="str">
        <f>R140</f>
        <v>J1a2a1a2d2b2b2c3b3~</v>
      </c>
      <c r="M2877" s="102" t="s">
        <v>5099</v>
      </c>
      <c r="N2877" s="102"/>
      <c r="O2877" s="105">
        <v>1.8007092E7</v>
      </c>
      <c r="P2877" s="105">
        <v>1.5895212E7</v>
      </c>
      <c r="Q2877" s="102" t="s">
        <v>2423</v>
      </c>
      <c r="S2877" s="1"/>
      <c r="T2877" s="1"/>
      <c r="U2877" s="1"/>
      <c r="V2877" s="1"/>
      <c r="W2877" s="1"/>
      <c r="X2877" s="1"/>
      <c r="Y2877" s="1"/>
      <c r="Z2877" s="102"/>
      <c r="AA2877" s="102"/>
      <c r="AB2877" s="1"/>
      <c r="AC2877" s="1"/>
      <c r="AD2877" s="1"/>
      <c r="AE2877" s="1"/>
      <c r="AF2877" s="1"/>
      <c r="AG2877" s="1"/>
    </row>
    <row r="2878" ht="15.75" customHeight="1">
      <c r="A2878" s="1"/>
      <c r="B2878" s="1"/>
      <c r="C2878" s="1"/>
      <c r="D2878" s="1"/>
      <c r="E2878" s="1"/>
      <c r="F2878" s="1"/>
      <c r="G2878" s="1"/>
      <c r="H2878" s="1"/>
      <c r="I2878" s="1"/>
      <c r="J2878" s="1"/>
      <c r="K2878" s="102" t="s">
        <v>5101</v>
      </c>
      <c r="L2878" s="102" t="str">
        <f>R140</f>
        <v>J1a2a1a2d2b2b2c3b3~</v>
      </c>
      <c r="M2878" s="102" t="s">
        <v>5102</v>
      </c>
      <c r="N2878" s="102"/>
      <c r="O2878" s="105">
        <v>2.1991029E7</v>
      </c>
      <c r="P2878" s="105">
        <v>1.9829143E7</v>
      </c>
      <c r="Q2878" s="102" t="s">
        <v>2468</v>
      </c>
      <c r="S2878" s="1"/>
      <c r="T2878" s="1"/>
      <c r="U2878" s="1"/>
      <c r="V2878" s="1"/>
      <c r="W2878" s="1"/>
      <c r="X2878" s="1"/>
      <c r="Y2878" s="1"/>
      <c r="Z2878" s="102"/>
      <c r="AA2878" s="102"/>
      <c r="AB2878" s="1"/>
      <c r="AC2878" s="1"/>
      <c r="AD2878" s="1"/>
      <c r="AE2878" s="1"/>
      <c r="AF2878" s="1"/>
      <c r="AG2878" s="1"/>
    </row>
    <row r="2879" ht="15.75" customHeight="1">
      <c r="A2879" s="1"/>
      <c r="B2879" s="1"/>
      <c r="C2879" s="1"/>
      <c r="D2879" s="1"/>
      <c r="E2879" s="1"/>
      <c r="F2879" s="1"/>
      <c r="G2879" s="1"/>
      <c r="H2879" s="1"/>
      <c r="I2879" s="1"/>
      <c r="J2879" s="1"/>
      <c r="K2879" s="102" t="s">
        <v>5102</v>
      </c>
      <c r="L2879" s="102" t="str">
        <f>R140</f>
        <v>J1a2a1a2d2b2b2c3b3~</v>
      </c>
      <c r="M2879" s="102" t="s">
        <v>5101</v>
      </c>
      <c r="N2879" s="102"/>
      <c r="O2879" s="105">
        <v>2.1991029E7</v>
      </c>
      <c r="P2879" s="105">
        <v>1.9829143E7</v>
      </c>
      <c r="Q2879" s="102" t="s">
        <v>2468</v>
      </c>
      <c r="S2879" s="1"/>
      <c r="T2879" s="1"/>
      <c r="U2879" s="1"/>
      <c r="V2879" s="1"/>
      <c r="W2879" s="1"/>
      <c r="X2879" s="1"/>
      <c r="Y2879" s="1"/>
      <c r="Z2879" s="102"/>
      <c r="AA2879" s="102"/>
      <c r="AB2879" s="1"/>
      <c r="AC2879" s="1"/>
      <c r="AD2879" s="1"/>
      <c r="AE2879" s="1"/>
      <c r="AF2879" s="1"/>
      <c r="AG2879" s="1"/>
    </row>
    <row r="2880" ht="15.75" customHeight="1">
      <c r="A2880" s="1"/>
      <c r="B2880" s="1"/>
      <c r="C2880" s="1"/>
      <c r="D2880" s="1"/>
      <c r="E2880" s="1"/>
      <c r="F2880" s="1"/>
      <c r="G2880" s="1"/>
      <c r="H2880" s="1"/>
      <c r="I2880" s="1"/>
      <c r="J2880" s="1"/>
      <c r="K2880" s="102" t="s">
        <v>5103</v>
      </c>
      <c r="L2880" s="102" t="str">
        <f>R140</f>
        <v>J1a2a1a2d2b2b2c3b3~</v>
      </c>
      <c r="M2880" s="102" t="s">
        <v>5104</v>
      </c>
      <c r="N2880" s="102"/>
      <c r="O2880" s="105">
        <v>2.3769129E7</v>
      </c>
      <c r="P2880" s="105">
        <v>2.1607243E7</v>
      </c>
      <c r="Q2880" s="102" t="s">
        <v>2454</v>
      </c>
      <c r="S2880" s="1"/>
      <c r="T2880" s="1"/>
      <c r="U2880" s="1"/>
      <c r="V2880" s="1"/>
      <c r="W2880" s="1"/>
      <c r="X2880" s="1"/>
      <c r="Y2880" s="1"/>
      <c r="Z2880" s="102"/>
      <c r="AA2880" s="102"/>
      <c r="AB2880" s="1"/>
      <c r="AC2880" s="1"/>
      <c r="AD2880" s="1"/>
      <c r="AE2880" s="1"/>
      <c r="AF2880" s="1"/>
      <c r="AG2880" s="1"/>
    </row>
    <row r="2881" ht="15.75" customHeight="1">
      <c r="A2881" s="1"/>
      <c r="B2881" s="1"/>
      <c r="C2881" s="1"/>
      <c r="D2881" s="1"/>
      <c r="E2881" s="1"/>
      <c r="F2881" s="1"/>
      <c r="G2881" s="1"/>
      <c r="H2881" s="1"/>
      <c r="I2881" s="1"/>
      <c r="J2881" s="1"/>
      <c r="K2881" s="102" t="s">
        <v>5104</v>
      </c>
      <c r="L2881" s="102" t="str">
        <f>R140</f>
        <v>J1a2a1a2d2b2b2c3b3~</v>
      </c>
      <c r="M2881" s="102" t="s">
        <v>5103</v>
      </c>
      <c r="N2881" s="102"/>
      <c r="O2881" s="105">
        <v>2.3769129E7</v>
      </c>
      <c r="P2881" s="105">
        <v>2.1607243E7</v>
      </c>
      <c r="Q2881" s="102" t="s">
        <v>2454</v>
      </c>
      <c r="S2881" s="1"/>
      <c r="T2881" s="1"/>
      <c r="U2881" s="1"/>
      <c r="V2881" s="1"/>
      <c r="W2881" s="1"/>
      <c r="X2881" s="1"/>
      <c r="Y2881" s="1"/>
      <c r="Z2881" s="102"/>
      <c r="AA2881" s="102"/>
      <c r="AB2881" s="1"/>
      <c r="AC2881" s="1"/>
      <c r="AD2881" s="1"/>
      <c r="AE2881" s="1"/>
      <c r="AF2881" s="1"/>
      <c r="AG2881" s="1"/>
    </row>
    <row r="2882" ht="15.75" customHeight="1">
      <c r="A2882" s="1"/>
      <c r="B2882" s="1"/>
      <c r="C2882" s="1"/>
      <c r="D2882" s="1"/>
      <c r="E2882" s="1"/>
      <c r="F2882" s="1"/>
      <c r="G2882" s="1"/>
      <c r="H2882" s="1"/>
      <c r="I2882" s="1"/>
      <c r="J2882" s="1"/>
      <c r="K2882" s="102" t="s">
        <v>5105</v>
      </c>
      <c r="L2882" s="102" t="str">
        <f>S141</f>
        <v>J1a2a1a2d2b2b2c3b3a~</v>
      </c>
      <c r="M2882" s="102" t="s">
        <v>5106</v>
      </c>
      <c r="N2882" s="102"/>
      <c r="O2882" s="105">
        <v>8237711.0</v>
      </c>
      <c r="P2882" s="105">
        <v>8369670.0</v>
      </c>
      <c r="Q2882" s="102" t="s">
        <v>2468</v>
      </c>
      <c r="S2882" s="1"/>
      <c r="T2882" s="1"/>
      <c r="U2882" s="1"/>
      <c r="V2882" s="1"/>
      <c r="W2882" s="1"/>
      <c r="X2882" s="1"/>
      <c r="Y2882" s="1"/>
      <c r="Z2882" s="102"/>
      <c r="AA2882" s="102"/>
      <c r="AB2882" s="1"/>
      <c r="AC2882" s="1"/>
      <c r="AD2882" s="1"/>
      <c r="AE2882" s="1"/>
      <c r="AF2882" s="1"/>
      <c r="AG2882" s="1"/>
    </row>
    <row r="2883" ht="15.75" customHeight="1">
      <c r="A2883" s="1"/>
      <c r="B2883" s="1"/>
      <c r="C2883" s="1"/>
      <c r="D2883" s="1"/>
      <c r="E2883" s="1"/>
      <c r="F2883" s="1"/>
      <c r="G2883" s="1"/>
      <c r="H2883" s="1"/>
      <c r="I2883" s="1"/>
      <c r="J2883" s="1"/>
      <c r="K2883" s="102" t="s">
        <v>5106</v>
      </c>
      <c r="L2883" s="102" t="str">
        <f>S141</f>
        <v>J1a2a1a2d2b2b2c3b3a~</v>
      </c>
      <c r="M2883" s="102" t="s">
        <v>5105</v>
      </c>
      <c r="N2883" s="102"/>
      <c r="O2883" s="105">
        <v>8237711.0</v>
      </c>
      <c r="P2883" s="105">
        <v>8369670.0</v>
      </c>
      <c r="Q2883" s="102" t="s">
        <v>2468</v>
      </c>
      <c r="S2883" s="1"/>
      <c r="T2883" s="1"/>
      <c r="U2883" s="1"/>
      <c r="V2883" s="1"/>
      <c r="W2883" s="1"/>
      <c r="X2883" s="1"/>
      <c r="Y2883" s="1"/>
      <c r="Z2883" s="102"/>
      <c r="AA2883" s="102"/>
      <c r="AB2883" s="1"/>
      <c r="AC2883" s="1"/>
      <c r="AD2883" s="1"/>
      <c r="AE2883" s="1"/>
      <c r="AF2883" s="1"/>
      <c r="AG2883" s="1"/>
    </row>
    <row r="2884" ht="15.75" customHeight="1">
      <c r="A2884" s="1"/>
      <c r="B2884" s="1"/>
      <c r="C2884" s="1"/>
      <c r="D2884" s="1"/>
      <c r="E2884" s="1"/>
      <c r="F2884" s="1"/>
      <c r="G2884" s="1"/>
      <c r="H2884" s="1"/>
      <c r="I2884" s="1"/>
      <c r="J2884" s="1"/>
      <c r="K2884" s="102" t="s">
        <v>5107</v>
      </c>
      <c r="L2884" s="102" t="str">
        <f>T142</f>
        <v>J1a2a1a2d2b2b2c3b3a1~</v>
      </c>
      <c r="M2884" s="102" t="s">
        <v>5108</v>
      </c>
      <c r="N2884" s="102"/>
      <c r="O2884" s="105">
        <v>9967822.0</v>
      </c>
      <c r="P2884" s="105">
        <v>1.0130213E7</v>
      </c>
      <c r="Q2884" s="102" t="s">
        <v>2501</v>
      </c>
      <c r="S2884" s="1"/>
      <c r="T2884" s="1"/>
      <c r="U2884" s="1"/>
      <c r="V2884" s="1"/>
      <c r="W2884" s="1"/>
      <c r="X2884" s="1"/>
      <c r="Y2884" s="1"/>
      <c r="Z2884" s="102"/>
      <c r="AA2884" s="102"/>
      <c r="AB2884" s="1"/>
      <c r="AC2884" s="1"/>
      <c r="AD2884" s="1"/>
      <c r="AE2884" s="1"/>
      <c r="AF2884" s="1"/>
      <c r="AG2884" s="1"/>
    </row>
    <row r="2885" ht="15.75" customHeight="1">
      <c r="A2885" s="1"/>
      <c r="B2885" s="1"/>
      <c r="C2885" s="1"/>
      <c r="D2885" s="1"/>
      <c r="E2885" s="1"/>
      <c r="F2885" s="1"/>
      <c r="G2885" s="1"/>
      <c r="H2885" s="1"/>
      <c r="I2885" s="1"/>
      <c r="J2885" s="1"/>
      <c r="K2885" s="102" t="s">
        <v>5108</v>
      </c>
      <c r="L2885" s="102" t="str">
        <f>T142</f>
        <v>J1a2a1a2d2b2b2c3b3a1~</v>
      </c>
      <c r="M2885" s="102" t="s">
        <v>5107</v>
      </c>
      <c r="N2885" s="102"/>
      <c r="O2885" s="105">
        <v>9967822.0</v>
      </c>
      <c r="P2885" s="105">
        <v>1.0130213E7</v>
      </c>
      <c r="Q2885" s="102" t="s">
        <v>2501</v>
      </c>
      <c r="S2885" s="1"/>
      <c r="T2885" s="1"/>
      <c r="U2885" s="1"/>
      <c r="V2885" s="1"/>
      <c r="W2885" s="1"/>
      <c r="X2885" s="1"/>
      <c r="Y2885" s="1"/>
      <c r="Z2885" s="102"/>
      <c r="AA2885" s="102"/>
      <c r="AB2885" s="1"/>
      <c r="AC2885" s="1"/>
      <c r="AD2885" s="1"/>
      <c r="AE2885" s="1"/>
      <c r="AF2885" s="1"/>
      <c r="AG2885" s="1"/>
    </row>
    <row r="2886" ht="15.75" customHeight="1">
      <c r="A2886" s="1"/>
      <c r="B2886" s="1"/>
      <c r="C2886" s="1"/>
      <c r="D2886" s="1"/>
      <c r="E2886" s="1"/>
      <c r="F2886" s="1"/>
      <c r="G2886" s="1"/>
      <c r="H2886" s="1"/>
      <c r="I2886" s="1"/>
      <c r="J2886" s="1"/>
      <c r="K2886" s="102" t="s">
        <v>5109</v>
      </c>
      <c r="L2886" s="102" t="str">
        <f>T142</f>
        <v>J1a2a1a2d2b2b2c3b3a1~</v>
      </c>
      <c r="M2886" s="102"/>
      <c r="N2886" s="102"/>
      <c r="O2886" s="105">
        <v>1.8220949E7</v>
      </c>
      <c r="P2886" s="105">
        <v>1.6109069E7</v>
      </c>
      <c r="Q2886" s="102" t="s">
        <v>2529</v>
      </c>
      <c r="S2886" s="1"/>
      <c r="T2886" s="1"/>
      <c r="U2886" s="1"/>
      <c r="V2886" s="1"/>
      <c r="W2886" s="1"/>
      <c r="X2886" s="1"/>
      <c r="Y2886" s="1"/>
      <c r="Z2886" s="102"/>
      <c r="AA2886" s="102"/>
      <c r="AB2886" s="1"/>
      <c r="AC2886" s="1"/>
      <c r="AD2886" s="1"/>
      <c r="AE2886" s="1"/>
      <c r="AF2886" s="1"/>
      <c r="AG2886" s="1"/>
    </row>
    <row r="2887" ht="15.75" customHeight="1">
      <c r="A2887" s="1"/>
      <c r="B2887" s="1"/>
      <c r="C2887" s="1"/>
      <c r="D2887" s="1"/>
      <c r="E2887" s="1"/>
      <c r="F2887" s="1"/>
      <c r="G2887" s="1"/>
      <c r="H2887" s="1"/>
      <c r="I2887" s="1"/>
      <c r="J2887" s="1"/>
      <c r="K2887" s="102" t="s">
        <v>5110</v>
      </c>
      <c r="L2887" s="102" t="str">
        <f>S143</f>
        <v>J1a2a1a2d2b2b2c3b3b~</v>
      </c>
      <c r="M2887" s="102" t="s">
        <v>5111</v>
      </c>
      <c r="N2887" s="102"/>
      <c r="O2887" s="105">
        <v>1.7030877E7</v>
      </c>
      <c r="P2887" s="105">
        <v>1.4918997E7</v>
      </c>
      <c r="Q2887" s="102" t="s">
        <v>2468</v>
      </c>
      <c r="S2887" s="1"/>
      <c r="T2887" s="1"/>
      <c r="U2887" s="1"/>
      <c r="V2887" s="1"/>
      <c r="W2887" s="1"/>
      <c r="X2887" s="1"/>
      <c r="Y2887" s="1"/>
      <c r="Z2887" s="102"/>
      <c r="AA2887" s="102"/>
      <c r="AB2887" s="1"/>
      <c r="AC2887" s="1"/>
      <c r="AD2887" s="1"/>
      <c r="AE2887" s="1"/>
      <c r="AF2887" s="1"/>
      <c r="AG2887" s="1"/>
    </row>
    <row r="2888" ht="15.75" customHeight="1">
      <c r="A2888" s="1"/>
      <c r="B2888" s="1"/>
      <c r="C2888" s="1"/>
      <c r="D2888" s="1"/>
      <c r="E2888" s="1"/>
      <c r="F2888" s="1"/>
      <c r="G2888" s="1"/>
      <c r="H2888" s="1"/>
      <c r="I2888" s="1"/>
      <c r="J2888" s="1"/>
      <c r="K2888" s="102" t="s">
        <v>5111</v>
      </c>
      <c r="L2888" s="102" t="str">
        <f>S143</f>
        <v>J1a2a1a2d2b2b2c3b3b~</v>
      </c>
      <c r="M2888" s="102" t="s">
        <v>5110</v>
      </c>
      <c r="N2888" s="102"/>
      <c r="O2888" s="105">
        <v>1.7030877E7</v>
      </c>
      <c r="P2888" s="105">
        <v>1.4918997E7</v>
      </c>
      <c r="Q2888" s="102" t="s">
        <v>2468</v>
      </c>
      <c r="S2888" s="1"/>
      <c r="T2888" s="1"/>
      <c r="U2888" s="1"/>
      <c r="V2888" s="1"/>
      <c r="W2888" s="1"/>
      <c r="X2888" s="1"/>
      <c r="Y2888" s="1"/>
      <c r="Z2888" s="102"/>
      <c r="AA2888" s="102"/>
      <c r="AB2888" s="1"/>
      <c r="AC2888" s="1"/>
      <c r="AD2888" s="1"/>
      <c r="AE2888" s="1"/>
      <c r="AF2888" s="1"/>
      <c r="AG2888" s="1"/>
    </row>
    <row r="2889" ht="15.75" customHeight="1">
      <c r="A2889" s="1"/>
      <c r="B2889" s="1"/>
      <c r="C2889" s="1"/>
      <c r="D2889" s="1"/>
      <c r="E2889" s="1"/>
      <c r="F2889" s="1"/>
      <c r="G2889" s="1"/>
      <c r="H2889" s="1"/>
      <c r="I2889" s="1"/>
      <c r="J2889" s="1"/>
      <c r="K2889" s="102" t="s">
        <v>5112</v>
      </c>
      <c r="L2889" s="102" t="str">
        <f>S143</f>
        <v>J1a2a1a2d2b2b2c3b3b~</v>
      </c>
      <c r="M2889" s="102" t="s">
        <v>5113</v>
      </c>
      <c r="N2889" s="102"/>
      <c r="O2889" s="105">
        <v>1.7291901E7</v>
      </c>
      <c r="P2889" s="105">
        <v>1.5180021E7</v>
      </c>
      <c r="Q2889" s="102" t="s">
        <v>2439</v>
      </c>
      <c r="S2889" s="1"/>
      <c r="T2889" s="1"/>
      <c r="U2889" s="1"/>
      <c r="V2889" s="1"/>
      <c r="W2889" s="1"/>
      <c r="X2889" s="1"/>
      <c r="Y2889" s="1"/>
      <c r="Z2889" s="102"/>
      <c r="AA2889" s="102"/>
      <c r="AB2889" s="1"/>
      <c r="AC2889" s="1"/>
      <c r="AD2889" s="1"/>
      <c r="AE2889" s="1"/>
      <c r="AF2889" s="1"/>
      <c r="AG2889" s="1"/>
    </row>
    <row r="2890" ht="15.75" customHeight="1">
      <c r="A2890" s="1"/>
      <c r="B2890" s="1"/>
      <c r="C2890" s="1"/>
      <c r="D2890" s="1"/>
      <c r="E2890" s="1"/>
      <c r="F2890" s="1"/>
      <c r="G2890" s="1"/>
      <c r="H2890" s="1"/>
      <c r="I2890" s="1"/>
      <c r="J2890" s="1"/>
      <c r="K2890" s="102" t="s">
        <v>5113</v>
      </c>
      <c r="L2890" s="102" t="str">
        <f>S143</f>
        <v>J1a2a1a2d2b2b2c3b3b~</v>
      </c>
      <c r="M2890" s="102" t="s">
        <v>5112</v>
      </c>
      <c r="N2890" s="102"/>
      <c r="O2890" s="105">
        <v>1.7291901E7</v>
      </c>
      <c r="P2890" s="105">
        <v>1.5180021E7</v>
      </c>
      <c r="Q2890" s="102" t="s">
        <v>2439</v>
      </c>
      <c r="S2890" s="1"/>
      <c r="T2890" s="1"/>
      <c r="U2890" s="1"/>
      <c r="V2890" s="1"/>
      <c r="W2890" s="1"/>
      <c r="X2890" s="1"/>
      <c r="Y2890" s="1"/>
      <c r="Z2890" s="102"/>
      <c r="AA2890" s="102"/>
      <c r="AB2890" s="1"/>
      <c r="AC2890" s="1"/>
      <c r="AD2890" s="1"/>
      <c r="AE2890" s="1"/>
      <c r="AF2890" s="1"/>
      <c r="AG2890" s="1"/>
    </row>
    <row r="2891" ht="15.75" customHeight="1">
      <c r="A2891" s="1"/>
      <c r="B2891" s="1"/>
      <c r="C2891" s="1"/>
      <c r="D2891" s="1"/>
      <c r="E2891" s="1"/>
      <c r="F2891" s="1"/>
      <c r="G2891" s="1"/>
      <c r="H2891" s="1"/>
      <c r="I2891" s="1"/>
      <c r="J2891" s="1"/>
      <c r="K2891" s="102" t="s">
        <v>5114</v>
      </c>
      <c r="L2891" s="102" t="str">
        <f>S143</f>
        <v>J1a2a1a2d2b2b2c3b3b~</v>
      </c>
      <c r="M2891" s="102" t="s">
        <v>5115</v>
      </c>
      <c r="N2891" s="102"/>
      <c r="O2891" s="105">
        <v>1.7595861E7</v>
      </c>
      <c r="P2891" s="105">
        <v>1.5483981E7</v>
      </c>
      <c r="Q2891" s="102" t="s">
        <v>2468</v>
      </c>
      <c r="S2891" s="1"/>
      <c r="T2891" s="1"/>
      <c r="U2891" s="1"/>
      <c r="V2891" s="1"/>
      <c r="W2891" s="1"/>
      <c r="X2891" s="1"/>
      <c r="Y2891" s="1"/>
      <c r="Z2891" s="102"/>
      <c r="AA2891" s="102"/>
      <c r="AB2891" s="1"/>
      <c r="AC2891" s="1"/>
      <c r="AD2891" s="1"/>
      <c r="AE2891" s="1"/>
      <c r="AF2891" s="1"/>
      <c r="AG2891" s="1"/>
    </row>
    <row r="2892" ht="15.75" customHeight="1">
      <c r="A2892" s="1"/>
      <c r="B2892" s="1"/>
      <c r="C2892" s="1"/>
      <c r="D2892" s="1"/>
      <c r="E2892" s="1"/>
      <c r="F2892" s="1"/>
      <c r="G2892" s="1"/>
      <c r="H2892" s="1"/>
      <c r="I2892" s="1"/>
      <c r="J2892" s="1"/>
      <c r="K2892" s="102" t="s">
        <v>5115</v>
      </c>
      <c r="L2892" s="102" t="str">
        <f>S143</f>
        <v>J1a2a1a2d2b2b2c3b3b~</v>
      </c>
      <c r="M2892" s="102" t="s">
        <v>5114</v>
      </c>
      <c r="N2892" s="102"/>
      <c r="O2892" s="105">
        <v>1.7595861E7</v>
      </c>
      <c r="P2892" s="105">
        <v>1.5483981E7</v>
      </c>
      <c r="Q2892" s="102" t="s">
        <v>2468</v>
      </c>
      <c r="S2892" s="1"/>
      <c r="T2892" s="1"/>
      <c r="U2892" s="1"/>
      <c r="V2892" s="1"/>
      <c r="W2892" s="1"/>
      <c r="X2892" s="1"/>
      <c r="Y2892" s="1"/>
      <c r="Z2892" s="102"/>
      <c r="AA2892" s="102"/>
      <c r="AB2892" s="1"/>
      <c r="AC2892" s="1"/>
      <c r="AD2892" s="1"/>
      <c r="AE2892" s="1"/>
      <c r="AF2892" s="1"/>
      <c r="AG2892" s="1"/>
    </row>
    <row r="2893" ht="15.75" customHeight="1">
      <c r="A2893" s="1"/>
      <c r="B2893" s="1"/>
      <c r="C2893" s="1"/>
      <c r="D2893" s="1"/>
      <c r="E2893" s="1"/>
      <c r="F2893" s="1"/>
      <c r="G2893" s="1"/>
      <c r="H2893" s="1"/>
      <c r="I2893" s="1"/>
      <c r="J2893" s="1"/>
      <c r="K2893" s="102" t="s">
        <v>5116</v>
      </c>
      <c r="L2893" s="102" t="str">
        <f>Q144</f>
        <v>J1a2a1a2d2b2b2c3c~</v>
      </c>
      <c r="M2893" s="102"/>
      <c r="N2893" s="102" t="s">
        <v>5117</v>
      </c>
      <c r="O2893" s="105">
        <v>1.7552649E7</v>
      </c>
      <c r="P2893" s="105">
        <v>1.5440769E7</v>
      </c>
      <c r="Q2893" s="102" t="s">
        <v>2468</v>
      </c>
      <c r="S2893" s="1"/>
      <c r="T2893" s="1"/>
      <c r="U2893" s="1"/>
      <c r="V2893" s="1"/>
      <c r="W2893" s="1"/>
      <c r="X2893" s="1"/>
      <c r="Y2893" s="1"/>
      <c r="Z2893" s="102"/>
      <c r="AA2893" s="102"/>
      <c r="AB2893" s="1"/>
      <c r="AC2893" s="1"/>
      <c r="AD2893" s="1"/>
      <c r="AE2893" s="1"/>
      <c r="AF2893" s="1"/>
      <c r="AG2893" s="1"/>
    </row>
    <row r="2894" ht="15.75" customHeight="1">
      <c r="A2894" s="1"/>
      <c r="B2894" s="1"/>
      <c r="C2894" s="1"/>
      <c r="D2894" s="1"/>
      <c r="E2894" s="1"/>
      <c r="F2894" s="1"/>
      <c r="G2894" s="1"/>
      <c r="H2894" s="1"/>
      <c r="I2894" s="1"/>
      <c r="J2894" s="1"/>
      <c r="K2894" s="102" t="s">
        <v>5118</v>
      </c>
      <c r="L2894" s="102" t="str">
        <f>Q144</f>
        <v>J1a2a1a2d2b2b2c3c~</v>
      </c>
      <c r="M2894" s="102"/>
      <c r="N2894" s="102"/>
      <c r="O2894" s="105">
        <v>1.8226023E7</v>
      </c>
      <c r="P2894" s="105">
        <v>1.6114143E7</v>
      </c>
      <c r="Q2894" s="102" t="s">
        <v>2468</v>
      </c>
      <c r="S2894" s="1"/>
      <c r="T2894" s="1"/>
      <c r="U2894" s="1"/>
      <c r="V2894" s="1"/>
      <c r="W2894" s="1"/>
      <c r="X2894" s="1"/>
      <c r="Y2894" s="1"/>
      <c r="Z2894" s="102"/>
      <c r="AA2894" s="102"/>
      <c r="AB2894" s="1"/>
      <c r="AC2894" s="1"/>
      <c r="AD2894" s="1"/>
      <c r="AE2894" s="1"/>
      <c r="AF2894" s="1"/>
      <c r="AG2894" s="1"/>
    </row>
    <row r="2895" ht="15.75" customHeight="1">
      <c r="A2895" s="1"/>
      <c r="B2895" s="1"/>
      <c r="C2895" s="1"/>
      <c r="D2895" s="1"/>
      <c r="E2895" s="1"/>
      <c r="F2895" s="1"/>
      <c r="G2895" s="1"/>
      <c r="H2895" s="1"/>
      <c r="I2895" s="1"/>
      <c r="J2895" s="1"/>
      <c r="K2895" s="102" t="s">
        <v>5119</v>
      </c>
      <c r="L2895" s="102" t="str">
        <f>Q144</f>
        <v>J1a2a1a2d2b2b2c3c~</v>
      </c>
      <c r="M2895" s="102"/>
      <c r="N2895" s="102"/>
      <c r="O2895" s="105">
        <v>2.2791156E7</v>
      </c>
      <c r="P2895" s="105">
        <v>2.062927E7</v>
      </c>
      <c r="Q2895" s="102" t="s">
        <v>2432</v>
      </c>
      <c r="S2895" s="1"/>
      <c r="T2895" s="1"/>
      <c r="U2895" s="1"/>
      <c r="V2895" s="1"/>
      <c r="W2895" s="1"/>
      <c r="X2895" s="1"/>
      <c r="Y2895" s="1"/>
      <c r="Z2895" s="102"/>
      <c r="AA2895" s="102"/>
      <c r="AB2895" s="1"/>
      <c r="AC2895" s="1"/>
      <c r="AD2895" s="1"/>
      <c r="AE2895" s="1"/>
      <c r="AF2895" s="1"/>
      <c r="AG2895" s="1"/>
    </row>
    <row r="2896" ht="15.75" customHeight="1">
      <c r="A2896" s="1"/>
      <c r="B2896" s="1"/>
      <c r="C2896" s="1"/>
      <c r="D2896" s="1"/>
      <c r="E2896" s="1"/>
      <c r="F2896" s="1"/>
      <c r="G2896" s="1"/>
      <c r="H2896" s="1"/>
      <c r="I2896" s="1"/>
      <c r="J2896" s="1"/>
      <c r="K2896" s="102" t="s">
        <v>5120</v>
      </c>
      <c r="L2896" s="102" t="str">
        <f>Q144</f>
        <v>J1a2a1a2d2b2b2c3c~</v>
      </c>
      <c r="M2896" s="102"/>
      <c r="N2896" s="102"/>
      <c r="O2896" s="105">
        <v>2.2831232E7</v>
      </c>
      <c r="P2896" s="105">
        <v>2.0669346E7</v>
      </c>
      <c r="Q2896" s="102" t="s">
        <v>2468</v>
      </c>
      <c r="S2896" s="1"/>
      <c r="T2896" s="1"/>
      <c r="U2896" s="1"/>
      <c r="V2896" s="1"/>
      <c r="W2896" s="1"/>
      <c r="X2896" s="1"/>
      <c r="Y2896" s="1"/>
      <c r="Z2896" s="102"/>
      <c r="AA2896" s="102"/>
      <c r="AB2896" s="1"/>
      <c r="AC2896" s="1"/>
      <c r="AD2896" s="1"/>
      <c r="AE2896" s="1"/>
      <c r="AF2896" s="1"/>
      <c r="AG2896" s="1"/>
    </row>
    <row r="2897" ht="15.75" customHeight="1">
      <c r="A2897" s="1"/>
      <c r="B2897" s="1"/>
      <c r="C2897" s="1"/>
      <c r="D2897" s="1"/>
      <c r="E2897" s="1"/>
      <c r="F2897" s="1"/>
      <c r="G2897" s="1"/>
      <c r="H2897" s="1"/>
      <c r="I2897" s="1"/>
      <c r="J2897" s="1"/>
      <c r="K2897" s="102" t="s">
        <v>5121</v>
      </c>
      <c r="L2897" s="102" t="str">
        <f>Q144</f>
        <v>J1a2a1a2d2b2b2c3c~</v>
      </c>
      <c r="M2897" s="102"/>
      <c r="N2897" s="102"/>
      <c r="O2897" s="105">
        <v>2.3314195E7</v>
      </c>
      <c r="P2897" s="105">
        <v>2.1152309E7</v>
      </c>
      <c r="Q2897" s="102" t="s">
        <v>2468</v>
      </c>
      <c r="S2897" s="1"/>
      <c r="T2897" s="1"/>
      <c r="U2897" s="1"/>
      <c r="V2897" s="1"/>
      <c r="W2897" s="1"/>
      <c r="X2897" s="1"/>
      <c r="Y2897" s="1"/>
      <c r="Z2897" s="102"/>
      <c r="AA2897" s="102"/>
      <c r="AB2897" s="1"/>
      <c r="AC2897" s="1"/>
      <c r="AD2897" s="1"/>
      <c r="AE2897" s="1"/>
      <c r="AF2897" s="1"/>
      <c r="AG2897" s="1"/>
    </row>
    <row r="2898" ht="15.75" customHeight="1">
      <c r="A2898" s="1"/>
      <c r="B2898" s="1"/>
      <c r="C2898" s="1"/>
      <c r="D2898" s="1"/>
      <c r="E2898" s="1"/>
      <c r="F2898" s="1"/>
      <c r="G2898" s="1"/>
      <c r="H2898" s="1"/>
      <c r="I2898" s="1"/>
      <c r="J2898" s="1"/>
      <c r="K2898" s="102" t="s">
        <v>5122</v>
      </c>
      <c r="L2898" s="102" t="str">
        <f>P145</f>
        <v>J1a2a1a2d2b2b2c4~</v>
      </c>
      <c r="M2898" s="102" t="s">
        <v>5123</v>
      </c>
      <c r="N2898" s="102" t="s">
        <v>5124</v>
      </c>
      <c r="O2898" s="105">
        <v>2.2797639E7</v>
      </c>
      <c r="P2898" s="105">
        <v>2.0635753E7</v>
      </c>
      <c r="Q2898" s="102" t="s">
        <v>2501</v>
      </c>
      <c r="S2898" s="1"/>
      <c r="T2898" s="1"/>
      <c r="U2898" s="1"/>
      <c r="V2898" s="1"/>
      <c r="W2898" s="1"/>
      <c r="X2898" s="1"/>
      <c r="Y2898" s="1"/>
      <c r="Z2898" s="102"/>
      <c r="AA2898" s="102"/>
      <c r="AB2898" s="1"/>
      <c r="AC2898" s="1"/>
      <c r="AD2898" s="1"/>
      <c r="AE2898" s="1"/>
      <c r="AF2898" s="1"/>
      <c r="AG2898" s="1"/>
    </row>
    <row r="2899" ht="15.75" customHeight="1">
      <c r="A2899" s="1"/>
      <c r="B2899" s="1"/>
      <c r="C2899" s="1"/>
      <c r="D2899" s="1"/>
      <c r="E2899" s="1"/>
      <c r="F2899" s="1"/>
      <c r="G2899" s="1"/>
      <c r="H2899" s="1"/>
      <c r="I2899" s="1"/>
      <c r="J2899" s="1"/>
      <c r="K2899" s="102" t="s">
        <v>5125</v>
      </c>
      <c r="L2899" s="102" t="str">
        <f>P145</f>
        <v>J1a2a1a2d2b2b2c4~</v>
      </c>
      <c r="M2899" s="102" t="s">
        <v>5126</v>
      </c>
      <c r="N2899" s="102" t="s">
        <v>5124</v>
      </c>
      <c r="O2899" s="105">
        <v>2.2797639E7</v>
      </c>
      <c r="P2899" s="105">
        <v>2.0635753E7</v>
      </c>
      <c r="Q2899" s="102" t="s">
        <v>2501</v>
      </c>
      <c r="S2899" s="1"/>
      <c r="T2899" s="1"/>
      <c r="U2899" s="1"/>
      <c r="V2899" s="1"/>
      <c r="W2899" s="1"/>
      <c r="X2899" s="1"/>
      <c r="Y2899" s="1"/>
      <c r="Z2899" s="102"/>
      <c r="AA2899" s="102"/>
      <c r="AB2899" s="1"/>
      <c r="AC2899" s="1"/>
      <c r="AD2899" s="1"/>
      <c r="AE2899" s="1"/>
      <c r="AF2899" s="1"/>
      <c r="AG2899" s="1"/>
    </row>
    <row r="2900" ht="15.75" customHeight="1">
      <c r="A2900" s="1"/>
      <c r="B2900" s="1"/>
      <c r="C2900" s="1"/>
      <c r="D2900" s="1"/>
      <c r="E2900" s="1"/>
      <c r="F2900" s="1"/>
      <c r="G2900" s="1"/>
      <c r="H2900" s="1"/>
      <c r="I2900" s="1"/>
      <c r="J2900" s="1"/>
      <c r="K2900" s="102" t="s">
        <v>5127</v>
      </c>
      <c r="L2900" s="102" t="str">
        <f>P145</f>
        <v>J1a2a1a2d2b2b2c4~</v>
      </c>
      <c r="M2900" s="102" t="s">
        <v>5128</v>
      </c>
      <c r="N2900" s="102" t="s">
        <v>5124</v>
      </c>
      <c r="O2900" s="105">
        <v>2.2797639E7</v>
      </c>
      <c r="P2900" s="105">
        <v>2.0635753E7</v>
      </c>
      <c r="Q2900" s="102" t="s">
        <v>2501</v>
      </c>
      <c r="S2900" s="1"/>
      <c r="T2900" s="1"/>
      <c r="U2900" s="1"/>
      <c r="V2900" s="1"/>
      <c r="W2900" s="1"/>
      <c r="X2900" s="1"/>
      <c r="Y2900" s="1"/>
      <c r="Z2900" s="102"/>
      <c r="AA2900" s="102"/>
      <c r="AB2900" s="1"/>
      <c r="AC2900" s="1"/>
      <c r="AD2900" s="1"/>
      <c r="AE2900" s="1"/>
      <c r="AF2900" s="1"/>
      <c r="AG2900" s="1"/>
    </row>
    <row r="2901" ht="15.75" customHeight="1">
      <c r="A2901" s="1"/>
      <c r="B2901" s="1"/>
      <c r="C2901" s="1"/>
      <c r="D2901" s="1"/>
      <c r="E2901" s="1"/>
      <c r="F2901" s="1"/>
      <c r="G2901" s="1"/>
      <c r="H2901" s="1"/>
      <c r="I2901" s="1"/>
      <c r="J2901" s="1"/>
      <c r="K2901" s="102" t="s">
        <v>5129</v>
      </c>
      <c r="L2901" s="102" t="str">
        <f>P145</f>
        <v>J1a2a1a2d2b2b2c4~</v>
      </c>
      <c r="M2901" s="102" t="s">
        <v>5130</v>
      </c>
      <c r="N2901" s="102" t="s">
        <v>5131</v>
      </c>
      <c r="O2901" s="105">
        <v>9879005.0</v>
      </c>
      <c r="P2901" s="105">
        <v>1.0041396E7</v>
      </c>
      <c r="Q2901" s="102" t="s">
        <v>2501</v>
      </c>
      <c r="S2901" s="1"/>
      <c r="T2901" s="1"/>
      <c r="U2901" s="1"/>
      <c r="V2901" s="1"/>
      <c r="W2901" s="1"/>
      <c r="X2901" s="1"/>
      <c r="Y2901" s="1"/>
      <c r="Z2901" s="102"/>
      <c r="AA2901" s="102"/>
      <c r="AB2901" s="1"/>
      <c r="AC2901" s="1"/>
      <c r="AD2901" s="1"/>
      <c r="AE2901" s="1"/>
      <c r="AF2901" s="1"/>
      <c r="AG2901" s="1"/>
    </row>
    <row r="2902" ht="15.75" customHeight="1">
      <c r="A2902" s="1"/>
      <c r="B2902" s="1"/>
      <c r="C2902" s="1"/>
      <c r="D2902" s="1"/>
      <c r="E2902" s="1"/>
      <c r="F2902" s="1"/>
      <c r="G2902" s="1"/>
      <c r="H2902" s="1"/>
      <c r="I2902" s="1"/>
      <c r="J2902" s="1"/>
      <c r="K2902" s="102" t="s">
        <v>5130</v>
      </c>
      <c r="L2902" s="102" t="str">
        <f>P145</f>
        <v>J1a2a1a2d2b2b2c4~</v>
      </c>
      <c r="M2902" s="102" t="s">
        <v>5129</v>
      </c>
      <c r="N2902" s="102" t="s">
        <v>5131</v>
      </c>
      <c r="O2902" s="105">
        <v>9879005.0</v>
      </c>
      <c r="P2902" s="105">
        <v>1.0041396E7</v>
      </c>
      <c r="Q2902" s="102" t="s">
        <v>2501</v>
      </c>
      <c r="S2902" s="1"/>
      <c r="T2902" s="1"/>
      <c r="U2902" s="1"/>
      <c r="V2902" s="1"/>
      <c r="W2902" s="1"/>
      <c r="X2902" s="1"/>
      <c r="Y2902" s="1"/>
      <c r="Z2902" s="102"/>
      <c r="AA2902" s="102"/>
      <c r="AB2902" s="1"/>
      <c r="AC2902" s="1"/>
      <c r="AD2902" s="1"/>
      <c r="AE2902" s="1"/>
      <c r="AF2902" s="1"/>
      <c r="AG2902" s="1"/>
    </row>
    <row r="2903" ht="15.75" customHeight="1">
      <c r="A2903" s="1"/>
      <c r="B2903" s="1"/>
      <c r="C2903" s="1"/>
      <c r="D2903" s="1"/>
      <c r="E2903" s="1"/>
      <c r="F2903" s="1"/>
      <c r="G2903" s="1"/>
      <c r="H2903" s="1"/>
      <c r="I2903" s="1"/>
      <c r="J2903" s="1"/>
      <c r="K2903" s="102" t="s">
        <v>5132</v>
      </c>
      <c r="L2903" s="102" t="str">
        <f>P145</f>
        <v>J1a2a1a2d2b2b2c4~</v>
      </c>
      <c r="M2903" s="102"/>
      <c r="N2903" s="102" t="s">
        <v>5133</v>
      </c>
      <c r="O2903" s="105">
        <v>9021137.0</v>
      </c>
      <c r="P2903" s="105">
        <v>9183528.0</v>
      </c>
      <c r="Q2903" s="102" t="s">
        <v>2529</v>
      </c>
      <c r="S2903" s="1"/>
      <c r="T2903" s="1"/>
      <c r="U2903" s="1"/>
      <c r="V2903" s="1"/>
      <c r="W2903" s="1"/>
      <c r="X2903" s="1"/>
      <c r="Y2903" s="1"/>
      <c r="Z2903" s="102"/>
      <c r="AA2903" s="102"/>
      <c r="AB2903" s="1"/>
      <c r="AC2903" s="1"/>
      <c r="AD2903" s="1"/>
      <c r="AE2903" s="1"/>
      <c r="AF2903" s="1"/>
      <c r="AG2903" s="1"/>
    </row>
    <row r="2904" ht="15.75" customHeight="1">
      <c r="A2904" s="1"/>
      <c r="B2904" s="1"/>
      <c r="C2904" s="1"/>
      <c r="D2904" s="1"/>
      <c r="E2904" s="1"/>
      <c r="F2904" s="1"/>
      <c r="G2904" s="1"/>
      <c r="H2904" s="1"/>
      <c r="I2904" s="1"/>
      <c r="J2904" s="1"/>
      <c r="K2904" s="102" t="s">
        <v>5134</v>
      </c>
      <c r="L2904" s="102" t="str">
        <f>Q146</f>
        <v>J1a2a1a2d2b2b2c4a~</v>
      </c>
      <c r="M2904" s="102"/>
      <c r="N2904" s="102" t="s">
        <v>5135</v>
      </c>
      <c r="O2904" s="105">
        <v>1.4082213E7</v>
      </c>
      <c r="P2904" s="105">
        <v>1.1961507E7</v>
      </c>
      <c r="Q2904" s="102" t="s">
        <v>2501</v>
      </c>
      <c r="S2904" s="1"/>
      <c r="T2904" s="1"/>
      <c r="U2904" s="1"/>
      <c r="V2904" s="1"/>
      <c r="W2904" s="1"/>
      <c r="X2904" s="1"/>
      <c r="Y2904" s="1"/>
      <c r="Z2904" s="102"/>
      <c r="AA2904" s="102"/>
      <c r="AB2904" s="1"/>
      <c r="AC2904" s="1"/>
      <c r="AD2904" s="1"/>
      <c r="AE2904" s="1"/>
      <c r="AF2904" s="1"/>
      <c r="AG2904" s="1"/>
    </row>
    <row r="2905" ht="15.75" customHeight="1">
      <c r="A2905" s="1"/>
      <c r="B2905" s="1"/>
      <c r="C2905" s="1"/>
      <c r="D2905" s="1"/>
      <c r="E2905" s="1"/>
      <c r="F2905" s="1"/>
      <c r="G2905" s="1"/>
      <c r="H2905" s="1"/>
      <c r="I2905" s="1"/>
      <c r="J2905" s="1"/>
      <c r="K2905" s="102" t="s">
        <v>5136</v>
      </c>
      <c r="L2905" s="102" t="str">
        <f>Q146</f>
        <v>J1a2a1a2d2b2b2c4a~</v>
      </c>
      <c r="M2905" s="102"/>
      <c r="N2905" s="102" t="s">
        <v>5137</v>
      </c>
      <c r="O2905" s="105">
        <v>1.6704165E7</v>
      </c>
      <c r="P2905" s="105">
        <v>1.4592285E7</v>
      </c>
      <c r="Q2905" s="102" t="s">
        <v>2529</v>
      </c>
      <c r="S2905" s="1"/>
      <c r="T2905" s="1"/>
      <c r="U2905" s="1"/>
      <c r="V2905" s="1"/>
      <c r="W2905" s="1"/>
      <c r="X2905" s="1"/>
      <c r="Y2905" s="1"/>
      <c r="Z2905" s="102"/>
      <c r="AA2905" s="102"/>
      <c r="AB2905" s="1"/>
      <c r="AC2905" s="1"/>
      <c r="AD2905" s="1"/>
      <c r="AE2905" s="1"/>
      <c r="AF2905" s="1"/>
      <c r="AG2905" s="1"/>
    </row>
    <row r="2906" ht="15.75" customHeight="1">
      <c r="A2906" s="1"/>
      <c r="B2906" s="1"/>
      <c r="C2906" s="1"/>
      <c r="D2906" s="1"/>
      <c r="E2906" s="1"/>
      <c r="F2906" s="1"/>
      <c r="G2906" s="1"/>
      <c r="H2906" s="1"/>
      <c r="I2906" s="1"/>
      <c r="J2906" s="1"/>
      <c r="K2906" s="102" t="s">
        <v>5138</v>
      </c>
      <c r="L2906" s="102" t="str">
        <f>Q146</f>
        <v>J1a2a1a2d2b2b2c4a~</v>
      </c>
      <c r="M2906" s="102"/>
      <c r="N2906" s="102" t="s">
        <v>5139</v>
      </c>
      <c r="O2906" s="105">
        <v>1.7436401E7</v>
      </c>
      <c r="P2906" s="105">
        <v>1.5324521E7</v>
      </c>
      <c r="Q2906" s="102" t="s">
        <v>2432</v>
      </c>
      <c r="S2906" s="1"/>
      <c r="T2906" s="1"/>
      <c r="U2906" s="1"/>
      <c r="V2906" s="1"/>
      <c r="W2906" s="1"/>
      <c r="X2906" s="1"/>
      <c r="Y2906" s="1"/>
      <c r="Z2906" s="102"/>
      <c r="AA2906" s="102"/>
      <c r="AB2906" s="1"/>
      <c r="AC2906" s="1"/>
      <c r="AD2906" s="1"/>
      <c r="AE2906" s="1"/>
      <c r="AF2906" s="1"/>
      <c r="AG2906" s="1"/>
    </row>
    <row r="2907" ht="15.75" customHeight="1">
      <c r="A2907" s="1"/>
      <c r="B2907" s="1"/>
      <c r="C2907" s="1"/>
      <c r="D2907" s="1"/>
      <c r="E2907" s="1"/>
      <c r="F2907" s="1"/>
      <c r="G2907" s="1"/>
      <c r="H2907" s="1"/>
      <c r="I2907" s="1"/>
      <c r="J2907" s="1"/>
      <c r="K2907" s="102" t="s">
        <v>5140</v>
      </c>
      <c r="L2907" s="102" t="str">
        <f>Q146</f>
        <v>J1a2a1a2d2b2b2c4a~</v>
      </c>
      <c r="M2907" s="102"/>
      <c r="N2907" s="102" t="s">
        <v>5141</v>
      </c>
      <c r="O2907" s="105">
        <v>1.8956577E7</v>
      </c>
      <c r="P2907" s="105">
        <v>1.6844697E7</v>
      </c>
      <c r="Q2907" s="102" t="s">
        <v>2432</v>
      </c>
      <c r="S2907" s="1"/>
      <c r="T2907" s="1"/>
      <c r="U2907" s="1"/>
      <c r="V2907" s="1"/>
      <c r="W2907" s="1"/>
      <c r="X2907" s="1"/>
      <c r="Y2907" s="1"/>
      <c r="Z2907" s="102"/>
      <c r="AA2907" s="102"/>
      <c r="AB2907" s="1"/>
      <c r="AC2907" s="1"/>
      <c r="AD2907" s="1"/>
      <c r="AE2907" s="1"/>
      <c r="AF2907" s="1"/>
      <c r="AG2907" s="1"/>
    </row>
    <row r="2908" ht="15.75" customHeight="1">
      <c r="A2908" s="1"/>
      <c r="B2908" s="1"/>
      <c r="C2908" s="1"/>
      <c r="D2908" s="1"/>
      <c r="E2908" s="1"/>
      <c r="F2908" s="1"/>
      <c r="G2908" s="1"/>
      <c r="H2908" s="1"/>
      <c r="I2908" s="1"/>
      <c r="J2908" s="1"/>
      <c r="K2908" s="102" t="s">
        <v>5142</v>
      </c>
      <c r="L2908" s="102" t="str">
        <f>Q146</f>
        <v>J1a2a1a2d2b2b2c4a~</v>
      </c>
      <c r="M2908" s="102"/>
      <c r="N2908" s="102" t="s">
        <v>5143</v>
      </c>
      <c r="O2908" s="105">
        <v>1.8984479E7</v>
      </c>
      <c r="P2908" s="105">
        <v>1.6872599E7</v>
      </c>
      <c r="Q2908" s="102" t="s">
        <v>2563</v>
      </c>
      <c r="S2908" s="1"/>
      <c r="T2908" s="1"/>
      <c r="U2908" s="1"/>
      <c r="V2908" s="1"/>
      <c r="W2908" s="1"/>
      <c r="X2908" s="1"/>
      <c r="Y2908" s="1"/>
      <c r="Z2908" s="102"/>
      <c r="AA2908" s="102"/>
      <c r="AB2908" s="1"/>
      <c r="AC2908" s="1"/>
      <c r="AD2908" s="1"/>
      <c r="AE2908" s="1"/>
      <c r="AF2908" s="1"/>
      <c r="AG2908" s="1"/>
    </row>
    <row r="2909" ht="15.75" customHeight="1">
      <c r="A2909" s="1"/>
      <c r="B2909" s="1"/>
      <c r="C2909" s="1"/>
      <c r="D2909" s="1"/>
      <c r="E2909" s="1"/>
      <c r="F2909" s="1"/>
      <c r="G2909" s="1"/>
      <c r="H2909" s="1"/>
      <c r="I2909" s="1"/>
      <c r="J2909" s="1"/>
      <c r="K2909" s="102" t="s">
        <v>5144</v>
      </c>
      <c r="L2909" s="102" t="str">
        <f>Q146</f>
        <v>J1a2a1a2d2b2b2c4a~</v>
      </c>
      <c r="M2909" s="102"/>
      <c r="N2909" s="102" t="s">
        <v>5145</v>
      </c>
      <c r="O2909" s="105">
        <v>2.1757959E7</v>
      </c>
      <c r="P2909" s="105">
        <v>1.9596073E7</v>
      </c>
      <c r="Q2909" s="102" t="s">
        <v>2454</v>
      </c>
      <c r="S2909" s="1"/>
      <c r="T2909" s="1"/>
      <c r="U2909" s="1"/>
      <c r="V2909" s="1"/>
      <c r="W2909" s="1"/>
      <c r="X2909" s="1"/>
      <c r="Y2909" s="1"/>
      <c r="Z2909" s="102"/>
      <c r="AA2909" s="102"/>
      <c r="AB2909" s="1"/>
      <c r="AC2909" s="1"/>
      <c r="AD2909" s="1"/>
      <c r="AE2909" s="1"/>
      <c r="AF2909" s="1"/>
      <c r="AG2909" s="1"/>
    </row>
    <row r="2910" ht="15.75" customHeight="1">
      <c r="A2910" s="1"/>
      <c r="B2910" s="1"/>
      <c r="C2910" s="1"/>
      <c r="D2910" s="1"/>
      <c r="E2910" s="1"/>
      <c r="F2910" s="1"/>
      <c r="G2910" s="1"/>
      <c r="H2910" s="1"/>
      <c r="I2910" s="1"/>
      <c r="J2910" s="1"/>
      <c r="K2910" s="102" t="s">
        <v>5146</v>
      </c>
      <c r="L2910" s="102" t="str">
        <f>R147</f>
        <v>J1a2a1a2d2b2b2c4a1~</v>
      </c>
      <c r="M2910" s="102"/>
      <c r="N2910" s="102" t="s">
        <v>5147</v>
      </c>
      <c r="O2910" s="105">
        <v>1.4368521E7</v>
      </c>
      <c r="P2910" s="105">
        <v>1.2247817E7</v>
      </c>
      <c r="Q2910" s="102" t="s">
        <v>2501</v>
      </c>
      <c r="S2910" s="1"/>
      <c r="T2910" s="1"/>
      <c r="U2910" s="1"/>
      <c r="V2910" s="1"/>
      <c r="W2910" s="1"/>
      <c r="X2910" s="1"/>
      <c r="Y2910" s="1"/>
      <c r="Z2910" s="102"/>
      <c r="AA2910" s="102"/>
      <c r="AB2910" s="1"/>
      <c r="AC2910" s="1"/>
      <c r="AD2910" s="1"/>
      <c r="AE2910" s="1"/>
      <c r="AF2910" s="1"/>
      <c r="AG2910" s="1"/>
    </row>
    <row r="2911" ht="15.75" customHeight="1">
      <c r="A2911" s="1"/>
      <c r="B2911" s="1"/>
      <c r="C2911" s="1"/>
      <c r="D2911" s="1"/>
      <c r="E2911" s="1"/>
      <c r="F2911" s="1"/>
      <c r="G2911" s="1"/>
      <c r="H2911" s="1"/>
      <c r="I2911" s="1"/>
      <c r="J2911" s="1"/>
      <c r="K2911" s="102" t="s">
        <v>5148</v>
      </c>
      <c r="L2911" s="102" t="str">
        <f>R147</f>
        <v>J1a2a1a2d2b2b2c4a1~</v>
      </c>
      <c r="M2911" s="102" t="s">
        <v>5149</v>
      </c>
      <c r="N2911" s="102" t="s">
        <v>5150</v>
      </c>
      <c r="O2911" s="105">
        <v>1.7510269E7</v>
      </c>
      <c r="P2911" s="105">
        <v>1.5398389E7</v>
      </c>
      <c r="Q2911" s="102" t="s">
        <v>2533</v>
      </c>
      <c r="S2911" s="1"/>
      <c r="T2911" s="1"/>
      <c r="U2911" s="1"/>
      <c r="V2911" s="1"/>
      <c r="W2911" s="1"/>
      <c r="X2911" s="1"/>
      <c r="Y2911" s="1"/>
      <c r="Z2911" s="102"/>
      <c r="AA2911" s="102"/>
      <c r="AB2911" s="1"/>
      <c r="AC2911" s="1"/>
      <c r="AD2911" s="1"/>
      <c r="AE2911" s="1"/>
      <c r="AF2911" s="1"/>
      <c r="AG2911" s="1"/>
    </row>
    <row r="2912" ht="15.75" customHeight="1">
      <c r="A2912" s="1"/>
      <c r="B2912" s="1"/>
      <c r="C2912" s="1"/>
      <c r="D2912" s="1"/>
      <c r="E2912" s="1"/>
      <c r="F2912" s="1"/>
      <c r="G2912" s="1"/>
      <c r="H2912" s="1"/>
      <c r="I2912" s="1"/>
      <c r="J2912" s="1"/>
      <c r="K2912" s="102" t="s">
        <v>5149</v>
      </c>
      <c r="L2912" s="102" t="str">
        <f>R147</f>
        <v>J1a2a1a2d2b2b2c4a1~</v>
      </c>
      <c r="M2912" s="102" t="s">
        <v>5148</v>
      </c>
      <c r="N2912" s="102" t="s">
        <v>5150</v>
      </c>
      <c r="O2912" s="105">
        <v>1.7510269E7</v>
      </c>
      <c r="P2912" s="105">
        <v>1.5398389E7</v>
      </c>
      <c r="Q2912" s="102" t="s">
        <v>2533</v>
      </c>
      <c r="S2912" s="1"/>
      <c r="T2912" s="1"/>
      <c r="U2912" s="1"/>
      <c r="V2912" s="1"/>
      <c r="W2912" s="1"/>
      <c r="X2912" s="1"/>
      <c r="Y2912" s="1"/>
      <c r="Z2912" s="102"/>
      <c r="AA2912" s="102"/>
      <c r="AB2912" s="1"/>
      <c r="AC2912" s="1"/>
      <c r="AD2912" s="1"/>
      <c r="AE2912" s="1"/>
      <c r="AF2912" s="1"/>
      <c r="AG2912" s="1"/>
    </row>
    <row r="2913" ht="15.75" customHeight="1">
      <c r="A2913" s="1"/>
      <c r="B2913" s="1"/>
      <c r="C2913" s="1"/>
      <c r="D2913" s="1"/>
      <c r="E2913" s="1"/>
      <c r="F2913" s="1"/>
      <c r="G2913" s="1"/>
      <c r="H2913" s="1"/>
      <c r="I2913" s="1"/>
      <c r="J2913" s="1"/>
      <c r="K2913" s="102" t="s">
        <v>5151</v>
      </c>
      <c r="L2913" s="102" t="str">
        <f>R147</f>
        <v>J1a2a1a2d2b2b2c4a1~</v>
      </c>
      <c r="M2913" s="102"/>
      <c r="N2913" s="102"/>
      <c r="O2913" s="105">
        <v>8791775.0</v>
      </c>
      <c r="P2913" s="105">
        <v>8923734.0</v>
      </c>
      <c r="Q2913" s="102" t="s">
        <v>2501</v>
      </c>
      <c r="S2913" s="1"/>
      <c r="T2913" s="1"/>
      <c r="U2913" s="1"/>
      <c r="V2913" s="1"/>
      <c r="W2913" s="1"/>
      <c r="X2913" s="1"/>
      <c r="Y2913" s="1"/>
      <c r="Z2913" s="102"/>
      <c r="AA2913" s="102"/>
      <c r="AB2913" s="1"/>
      <c r="AC2913" s="1"/>
      <c r="AD2913" s="1"/>
      <c r="AE2913" s="1"/>
      <c r="AF2913" s="1"/>
      <c r="AG2913" s="1"/>
    </row>
    <row r="2914" ht="15.75" customHeight="1">
      <c r="A2914" s="1"/>
      <c r="B2914" s="1"/>
      <c r="C2914" s="1"/>
      <c r="D2914" s="1"/>
      <c r="E2914" s="1"/>
      <c r="F2914" s="1"/>
      <c r="G2914" s="1"/>
      <c r="H2914" s="1"/>
      <c r="I2914" s="1"/>
      <c r="J2914" s="1"/>
      <c r="K2914" s="102" t="s">
        <v>5152</v>
      </c>
      <c r="L2914" s="102" t="str">
        <f>R147</f>
        <v>J1a2a1a2d2b2b2c4a1~</v>
      </c>
      <c r="M2914" s="102"/>
      <c r="N2914" s="102"/>
      <c r="O2914" s="105">
        <v>1.9036898E7</v>
      </c>
      <c r="P2914" s="105">
        <v>1.6925018E7</v>
      </c>
      <c r="Q2914" s="102" t="s">
        <v>2454</v>
      </c>
      <c r="S2914" s="1"/>
      <c r="T2914" s="1"/>
      <c r="U2914" s="1"/>
      <c r="V2914" s="1"/>
      <c r="W2914" s="1"/>
      <c r="X2914" s="1"/>
      <c r="Y2914" s="1"/>
      <c r="Z2914" s="102"/>
      <c r="AA2914" s="102"/>
      <c r="AB2914" s="1"/>
      <c r="AC2914" s="1"/>
      <c r="AD2914" s="1"/>
      <c r="AE2914" s="1"/>
      <c r="AF2914" s="1"/>
      <c r="AG2914" s="1"/>
    </row>
    <row r="2915" ht="15.75" customHeight="1">
      <c r="A2915" s="1"/>
      <c r="B2915" s="1"/>
      <c r="C2915" s="1"/>
      <c r="D2915" s="1"/>
      <c r="E2915" s="1"/>
      <c r="F2915" s="1"/>
      <c r="G2915" s="1"/>
      <c r="H2915" s="1"/>
      <c r="I2915" s="1"/>
      <c r="J2915" s="1"/>
      <c r="K2915" s="102" t="s">
        <v>5153</v>
      </c>
      <c r="L2915" s="102" t="str">
        <f>S148</f>
        <v>J1a2a1a2d2b2b2c4a1a~</v>
      </c>
      <c r="M2915" s="102" t="s">
        <v>5154</v>
      </c>
      <c r="N2915" s="102" t="s">
        <v>5155</v>
      </c>
      <c r="O2915" s="105">
        <v>1.4242408E7</v>
      </c>
      <c r="P2915" s="105">
        <v>1.2121702E7</v>
      </c>
      <c r="Q2915" s="102" t="s">
        <v>2468</v>
      </c>
      <c r="S2915" s="1"/>
      <c r="T2915" s="1"/>
      <c r="U2915" s="1"/>
      <c r="V2915" s="1"/>
      <c r="W2915" s="1"/>
      <c r="X2915" s="1"/>
      <c r="Y2915" s="1"/>
      <c r="Z2915" s="102"/>
      <c r="AA2915" s="102"/>
      <c r="AB2915" s="1"/>
      <c r="AC2915" s="1"/>
      <c r="AD2915" s="1"/>
      <c r="AE2915" s="1"/>
      <c r="AF2915" s="1"/>
      <c r="AG2915" s="1"/>
    </row>
    <row r="2916" ht="15.75" customHeight="1">
      <c r="A2916" s="1"/>
      <c r="B2916" s="1"/>
      <c r="C2916" s="1"/>
      <c r="D2916" s="1"/>
      <c r="E2916" s="1"/>
      <c r="F2916" s="1"/>
      <c r="G2916" s="1"/>
      <c r="H2916" s="1"/>
      <c r="I2916" s="1"/>
      <c r="J2916" s="1"/>
      <c r="K2916" s="102" t="s">
        <v>5156</v>
      </c>
      <c r="L2916" s="102" t="str">
        <f>S148</f>
        <v>J1a2a1a2d2b2b2c4a1a~</v>
      </c>
      <c r="M2916" s="102" t="s">
        <v>5157</v>
      </c>
      <c r="N2916" s="102" t="s">
        <v>5155</v>
      </c>
      <c r="O2916" s="105">
        <v>1.4242408E7</v>
      </c>
      <c r="P2916" s="105">
        <v>1.2121702E7</v>
      </c>
      <c r="Q2916" s="102" t="s">
        <v>2468</v>
      </c>
      <c r="S2916" s="1"/>
      <c r="T2916" s="1"/>
      <c r="U2916" s="1"/>
      <c r="V2916" s="1"/>
      <c r="W2916" s="1"/>
      <c r="X2916" s="1"/>
      <c r="Y2916" s="1"/>
      <c r="Z2916" s="102"/>
      <c r="AA2916" s="102"/>
      <c r="AB2916" s="1"/>
      <c r="AC2916" s="1"/>
      <c r="AD2916" s="1"/>
      <c r="AE2916" s="1"/>
      <c r="AF2916" s="1"/>
      <c r="AG2916" s="1"/>
    </row>
    <row r="2917" ht="15.75" customHeight="1">
      <c r="A2917" s="1"/>
      <c r="B2917" s="1"/>
      <c r="C2917" s="1"/>
      <c r="D2917" s="1"/>
      <c r="E2917" s="1"/>
      <c r="F2917" s="1"/>
      <c r="G2917" s="1"/>
      <c r="H2917" s="1"/>
      <c r="I2917" s="1"/>
      <c r="J2917" s="1"/>
      <c r="K2917" s="102" t="s">
        <v>5158</v>
      </c>
      <c r="L2917" s="102" t="str">
        <f>S148</f>
        <v>J1a2a1a2d2b2b2c4a1a~</v>
      </c>
      <c r="M2917" s="102" t="s">
        <v>5159</v>
      </c>
      <c r="N2917" s="102" t="s">
        <v>5155</v>
      </c>
      <c r="O2917" s="105">
        <v>1.4242408E7</v>
      </c>
      <c r="P2917" s="105">
        <v>1.2121702E7</v>
      </c>
      <c r="Q2917" s="102" t="s">
        <v>2468</v>
      </c>
      <c r="S2917" s="1"/>
      <c r="T2917" s="1"/>
      <c r="U2917" s="1"/>
      <c r="V2917" s="1"/>
      <c r="W2917" s="1"/>
      <c r="X2917" s="1"/>
      <c r="Y2917" s="1"/>
      <c r="Z2917" s="102"/>
      <c r="AA2917" s="102"/>
      <c r="AB2917" s="1"/>
      <c r="AC2917" s="1"/>
      <c r="AD2917" s="1"/>
      <c r="AE2917" s="1"/>
      <c r="AF2917" s="1"/>
      <c r="AG2917" s="1"/>
    </row>
    <row r="2918" ht="15.75" customHeight="1">
      <c r="A2918" s="1"/>
      <c r="B2918" s="1"/>
      <c r="C2918" s="1"/>
      <c r="D2918" s="1"/>
      <c r="E2918" s="1"/>
      <c r="F2918" s="1"/>
      <c r="G2918" s="1"/>
      <c r="H2918" s="1"/>
      <c r="I2918" s="1"/>
      <c r="J2918" s="1"/>
      <c r="K2918" s="102" t="s">
        <v>5160</v>
      </c>
      <c r="L2918" s="102" t="str">
        <f>S148</f>
        <v>J1a2a1a2d2b2b2c4a1a~</v>
      </c>
      <c r="M2918" s="102"/>
      <c r="N2918" s="102"/>
      <c r="O2918" s="105">
        <v>7537778.0</v>
      </c>
      <c r="P2918" s="105">
        <v>7669737.0</v>
      </c>
      <c r="Q2918" s="102" t="s">
        <v>2439</v>
      </c>
      <c r="S2918" s="1"/>
      <c r="T2918" s="1"/>
      <c r="U2918" s="1"/>
      <c r="V2918" s="1"/>
      <c r="W2918" s="1"/>
      <c r="X2918" s="1"/>
      <c r="Y2918" s="1"/>
      <c r="Z2918" s="102"/>
      <c r="AA2918" s="102"/>
      <c r="AB2918" s="1"/>
      <c r="AC2918" s="1"/>
      <c r="AD2918" s="1"/>
      <c r="AE2918" s="1"/>
      <c r="AF2918" s="1"/>
      <c r="AG2918" s="1"/>
    </row>
    <row r="2919" ht="15.75" customHeight="1">
      <c r="A2919" s="1"/>
      <c r="B2919" s="1"/>
      <c r="C2919" s="1"/>
      <c r="D2919" s="1"/>
      <c r="E2919" s="1"/>
      <c r="F2919" s="1"/>
      <c r="G2919" s="1"/>
      <c r="H2919" s="1"/>
      <c r="I2919" s="1"/>
      <c r="J2919" s="1"/>
      <c r="K2919" s="102" t="s">
        <v>5161</v>
      </c>
      <c r="L2919" s="102" t="str">
        <f>T149</f>
        <v>J1a2a1a2d2b2b2c4a1a1~</v>
      </c>
      <c r="M2919" s="102"/>
      <c r="N2919" s="102" t="s">
        <v>5162</v>
      </c>
      <c r="O2919" s="105">
        <v>1.8201442E7</v>
      </c>
      <c r="P2919" s="105">
        <v>1.6089562E7</v>
      </c>
      <c r="Q2919" s="102" t="s">
        <v>2439</v>
      </c>
      <c r="S2919" s="1"/>
      <c r="T2919" s="1"/>
      <c r="U2919" s="1"/>
      <c r="V2919" s="1"/>
      <c r="W2919" s="1"/>
      <c r="X2919" s="1"/>
      <c r="Y2919" s="1"/>
      <c r="Z2919" s="102"/>
      <c r="AA2919" s="102"/>
      <c r="AB2919" s="1"/>
      <c r="AC2919" s="1"/>
      <c r="AD2919" s="1"/>
      <c r="AE2919" s="1"/>
      <c r="AF2919" s="1"/>
      <c r="AG2919" s="1"/>
    </row>
    <row r="2920" ht="15.75" customHeight="1">
      <c r="A2920" s="1"/>
      <c r="B2920" s="1"/>
      <c r="C2920" s="1"/>
      <c r="D2920" s="1"/>
      <c r="E2920" s="1"/>
      <c r="F2920" s="1"/>
      <c r="G2920" s="1"/>
      <c r="H2920" s="1"/>
      <c r="I2920" s="1"/>
      <c r="J2920" s="1"/>
      <c r="K2920" s="102" t="s">
        <v>5163</v>
      </c>
      <c r="L2920" s="102" t="str">
        <f>T149</f>
        <v>J1a2a1a2d2b2b2c4a1a1~</v>
      </c>
      <c r="M2920" s="102" t="s">
        <v>5164</v>
      </c>
      <c r="N2920" s="102"/>
      <c r="O2920" s="105">
        <v>8877852.0</v>
      </c>
      <c r="P2920" s="105">
        <v>9009811.0</v>
      </c>
      <c r="Q2920" s="106" t="s">
        <v>2576</v>
      </c>
      <c r="S2920" s="1"/>
      <c r="T2920" s="1"/>
      <c r="U2920" s="1"/>
      <c r="V2920" s="1"/>
      <c r="W2920" s="1"/>
      <c r="X2920" s="1"/>
      <c r="Y2920" s="1"/>
      <c r="Z2920" s="102">
        <v>8877852.0</v>
      </c>
      <c r="AA2920" s="102"/>
      <c r="AB2920" s="1"/>
      <c r="AC2920" s="1"/>
      <c r="AD2920" s="1"/>
      <c r="AE2920" s="1"/>
      <c r="AF2920" s="1"/>
      <c r="AG2920" s="1"/>
    </row>
    <row r="2921" ht="15.75" customHeight="1">
      <c r="A2921" s="1"/>
      <c r="B2921" s="1"/>
      <c r="C2921" s="1"/>
      <c r="D2921" s="1"/>
      <c r="E2921" s="1"/>
      <c r="F2921" s="1"/>
      <c r="G2921" s="1"/>
      <c r="H2921" s="1"/>
      <c r="I2921" s="1"/>
      <c r="J2921" s="1"/>
      <c r="K2921" s="102" t="s">
        <v>5164</v>
      </c>
      <c r="L2921" s="102" t="str">
        <f>T149</f>
        <v>J1a2a1a2d2b2b2c4a1a1~</v>
      </c>
      <c r="M2921" s="102" t="s">
        <v>5163</v>
      </c>
      <c r="N2921" s="102"/>
      <c r="O2921" s="105">
        <v>8877852.0</v>
      </c>
      <c r="P2921" s="105">
        <v>9009811.0</v>
      </c>
      <c r="Q2921" s="102" t="s">
        <v>2529</v>
      </c>
      <c r="S2921" s="1"/>
      <c r="T2921" s="1"/>
      <c r="U2921" s="1"/>
      <c r="V2921" s="1"/>
      <c r="W2921" s="1"/>
      <c r="X2921" s="1"/>
      <c r="Y2921" s="1"/>
      <c r="Z2921" s="102">
        <v>8877852.0</v>
      </c>
      <c r="AA2921" s="102"/>
      <c r="AB2921" s="1"/>
      <c r="AC2921" s="1"/>
      <c r="AD2921" s="1"/>
      <c r="AE2921" s="1"/>
      <c r="AF2921" s="1"/>
      <c r="AG2921" s="1"/>
    </row>
    <row r="2922" ht="15.75" customHeight="1">
      <c r="A2922" s="1"/>
      <c r="B2922" s="1"/>
      <c r="C2922" s="1"/>
      <c r="D2922" s="1"/>
      <c r="E2922" s="1"/>
      <c r="F2922" s="1"/>
      <c r="G2922" s="1"/>
      <c r="H2922" s="1"/>
      <c r="I2922" s="1"/>
      <c r="J2922" s="1"/>
      <c r="K2922" s="102" t="s">
        <v>269</v>
      </c>
      <c r="L2922" s="102" t="str">
        <f t="shared" ref="L2922:L2923" si="31">U150</f>
        <v>J1a2a1a2d2b2b2c4a1a1a~</v>
      </c>
      <c r="M2922" s="102"/>
      <c r="N2922" s="102" t="s">
        <v>5165</v>
      </c>
      <c r="O2922" s="105">
        <v>1.7358345E7</v>
      </c>
      <c r="P2922" s="105">
        <v>1.5246465E7</v>
      </c>
      <c r="Q2922" s="102" t="s">
        <v>2576</v>
      </c>
      <c r="S2922" s="1"/>
      <c r="T2922" s="1"/>
      <c r="U2922" s="1"/>
      <c r="V2922" s="1"/>
      <c r="W2922" s="1"/>
      <c r="X2922" s="1"/>
      <c r="Y2922" s="1"/>
      <c r="Z2922" s="102"/>
      <c r="AA2922" s="102"/>
      <c r="AB2922" s="1"/>
      <c r="AC2922" s="1"/>
      <c r="AD2922" s="1"/>
      <c r="AE2922" s="1"/>
      <c r="AF2922" s="1"/>
      <c r="AG2922" s="1"/>
    </row>
    <row r="2923" ht="15.75" customHeight="1">
      <c r="A2923" s="1"/>
      <c r="B2923" s="1"/>
      <c r="C2923" s="1"/>
      <c r="D2923" s="1"/>
      <c r="E2923" s="1"/>
      <c r="F2923" s="1"/>
      <c r="G2923" s="1"/>
      <c r="H2923" s="1"/>
      <c r="I2923" s="1"/>
      <c r="J2923" s="1"/>
      <c r="K2923" s="102" t="s">
        <v>5166</v>
      </c>
      <c r="L2923" s="102" t="str">
        <f t="shared" si="31"/>
        <v>J1a2a1a2d2b2b2c4a1a1b~</v>
      </c>
      <c r="M2923" s="102" t="s">
        <v>5167</v>
      </c>
      <c r="N2923" s="102" t="s">
        <v>5168</v>
      </c>
      <c r="O2923" s="105">
        <v>1.7620209E7</v>
      </c>
      <c r="P2923" s="105">
        <v>1.5508329E7</v>
      </c>
      <c r="Q2923" s="102" t="s">
        <v>2439</v>
      </c>
      <c r="S2923" s="1"/>
      <c r="T2923" s="1"/>
      <c r="U2923" s="1"/>
      <c r="V2923" s="1"/>
      <c r="W2923" s="1"/>
      <c r="X2923" s="1"/>
      <c r="Y2923" s="1"/>
      <c r="Z2923" s="102"/>
      <c r="AA2923" s="102"/>
      <c r="AB2923" s="1"/>
      <c r="AC2923" s="1"/>
      <c r="AD2923" s="1"/>
      <c r="AE2923" s="1"/>
      <c r="AF2923" s="1"/>
      <c r="AG2923" s="1"/>
    </row>
    <row r="2924" ht="15.75" customHeight="1">
      <c r="A2924" s="1"/>
      <c r="B2924" s="1"/>
      <c r="C2924" s="1"/>
      <c r="D2924" s="1"/>
      <c r="E2924" s="1"/>
      <c r="F2924" s="1"/>
      <c r="G2924" s="1"/>
      <c r="H2924" s="1"/>
      <c r="I2924" s="1"/>
      <c r="J2924" s="1"/>
      <c r="K2924" s="102" t="s">
        <v>5167</v>
      </c>
      <c r="L2924" s="102" t="str">
        <f>U151</f>
        <v>J1a2a1a2d2b2b2c4a1a1b~</v>
      </c>
      <c r="M2924" s="102" t="s">
        <v>5166</v>
      </c>
      <c r="N2924" s="102" t="s">
        <v>5168</v>
      </c>
      <c r="O2924" s="105">
        <v>1.7620209E7</v>
      </c>
      <c r="P2924" s="105">
        <v>1.5508329E7</v>
      </c>
      <c r="Q2924" s="102" t="s">
        <v>2439</v>
      </c>
      <c r="S2924" s="1"/>
      <c r="T2924" s="1"/>
      <c r="U2924" s="1"/>
      <c r="V2924" s="1"/>
      <c r="W2924" s="1"/>
      <c r="X2924" s="1"/>
      <c r="Y2924" s="1"/>
      <c r="Z2924" s="102">
        <v>1.7620209E7</v>
      </c>
      <c r="AA2924" s="102"/>
      <c r="AB2924" s="1"/>
      <c r="AC2924" s="1"/>
      <c r="AD2924" s="1"/>
      <c r="AE2924" s="1"/>
      <c r="AF2924" s="1"/>
      <c r="AG2924" s="1"/>
    </row>
    <row r="2925" ht="15.75" customHeight="1">
      <c r="A2925" s="1"/>
      <c r="B2925" s="1"/>
      <c r="C2925" s="1"/>
      <c r="D2925" s="1"/>
      <c r="E2925" s="1"/>
      <c r="F2925" s="1"/>
      <c r="G2925" s="1"/>
      <c r="H2925" s="1"/>
      <c r="I2925" s="1"/>
      <c r="J2925" s="1"/>
      <c r="K2925" s="102" t="s">
        <v>5169</v>
      </c>
      <c r="L2925" s="102" t="str">
        <f>U151</f>
        <v>J1a2a1a2d2b2b2c4a1a1b~</v>
      </c>
      <c r="M2925" s="102"/>
      <c r="N2925" s="102"/>
      <c r="O2925" s="105">
        <v>2.2866214E7</v>
      </c>
      <c r="P2925" s="105">
        <v>2.0704328E7</v>
      </c>
      <c r="Q2925" s="102" t="s">
        <v>2529</v>
      </c>
      <c r="S2925" s="1"/>
      <c r="T2925" s="1"/>
      <c r="U2925" s="1"/>
      <c r="V2925" s="1"/>
      <c r="W2925" s="1"/>
      <c r="X2925" s="1"/>
      <c r="Y2925" s="1"/>
      <c r="Z2925" s="102"/>
      <c r="AA2925" s="102"/>
      <c r="AB2925" s="1"/>
      <c r="AC2925" s="1"/>
      <c r="AD2925" s="1"/>
      <c r="AE2925" s="1"/>
      <c r="AF2925" s="1"/>
      <c r="AG2925" s="1"/>
    </row>
    <row r="2926" ht="15.75" customHeight="1">
      <c r="A2926" s="1"/>
      <c r="B2926" s="1"/>
      <c r="C2926" s="1"/>
      <c r="D2926" s="1"/>
      <c r="E2926" s="1"/>
      <c r="F2926" s="1"/>
      <c r="G2926" s="1"/>
      <c r="H2926" s="1"/>
      <c r="I2926" s="1"/>
      <c r="J2926" s="1"/>
      <c r="K2926" s="102" t="s">
        <v>5170</v>
      </c>
      <c r="L2926" s="102" t="str">
        <f>U151</f>
        <v>J1a2a1a2d2b2b2c4a1a1b~</v>
      </c>
      <c r="M2926" s="102"/>
      <c r="N2926" s="102"/>
      <c r="O2926" s="105">
        <v>1.7442846E7</v>
      </c>
      <c r="P2926" s="105">
        <v>1.5330966E7</v>
      </c>
      <c r="Q2926" s="102" t="s">
        <v>2439</v>
      </c>
      <c r="S2926" s="1"/>
      <c r="T2926" s="1"/>
      <c r="U2926" s="1"/>
      <c r="V2926" s="1"/>
      <c r="W2926" s="1"/>
      <c r="X2926" s="1"/>
      <c r="Y2926" s="1"/>
      <c r="Z2926" s="102"/>
      <c r="AA2926" s="102"/>
      <c r="AB2926" s="1"/>
      <c r="AC2926" s="1"/>
      <c r="AD2926" s="1"/>
      <c r="AE2926" s="1"/>
      <c r="AF2926" s="1"/>
      <c r="AG2926" s="1"/>
    </row>
    <row r="2927" ht="15.75" customHeight="1">
      <c r="A2927" s="1"/>
      <c r="B2927" s="1"/>
      <c r="C2927" s="1"/>
      <c r="D2927" s="1"/>
      <c r="E2927" s="1"/>
      <c r="F2927" s="1"/>
      <c r="G2927" s="1"/>
      <c r="H2927" s="1"/>
      <c r="I2927" s="1"/>
      <c r="J2927" s="1"/>
      <c r="K2927" s="102" t="s">
        <v>5171</v>
      </c>
      <c r="L2927" s="102" t="str">
        <f>U151</f>
        <v>J1a2a1a2d2b2b2c4a1a1b~</v>
      </c>
      <c r="M2927" s="102"/>
      <c r="N2927" s="102"/>
      <c r="O2927" s="105">
        <v>1.4301648E7</v>
      </c>
      <c r="P2927" s="105">
        <v>1.2180942E7</v>
      </c>
      <c r="Q2927" s="102" t="s">
        <v>2439</v>
      </c>
      <c r="S2927" s="1"/>
      <c r="T2927" s="1"/>
      <c r="U2927" s="1"/>
      <c r="V2927" s="1"/>
      <c r="W2927" s="1"/>
      <c r="X2927" s="1"/>
      <c r="Y2927" s="1"/>
      <c r="Z2927" s="102"/>
      <c r="AA2927" s="102"/>
      <c r="AB2927" s="1"/>
      <c r="AC2927" s="1"/>
      <c r="AD2927" s="1"/>
      <c r="AE2927" s="1"/>
      <c r="AF2927" s="1"/>
      <c r="AG2927" s="1"/>
    </row>
    <row r="2928" ht="15.75" customHeight="1">
      <c r="A2928" s="1"/>
      <c r="B2928" s="1"/>
      <c r="C2928" s="1"/>
      <c r="D2928" s="1"/>
      <c r="E2928" s="1"/>
      <c r="F2928" s="1"/>
      <c r="G2928" s="1"/>
      <c r="H2928" s="1"/>
      <c r="I2928" s="1"/>
      <c r="J2928" s="1"/>
      <c r="K2928" s="102" t="s">
        <v>5172</v>
      </c>
      <c r="L2928" s="102" t="str">
        <f>U151</f>
        <v>J1a2a1a2d2b2b2c4a1a1b~</v>
      </c>
      <c r="M2928" s="102"/>
      <c r="N2928" s="102" t="s">
        <v>5173</v>
      </c>
      <c r="O2928" s="105">
        <v>1.4040348E7</v>
      </c>
      <c r="P2928" s="105">
        <v>1.1919642E7</v>
      </c>
      <c r="Q2928" s="102" t="s">
        <v>2501</v>
      </c>
      <c r="S2928" s="1"/>
      <c r="T2928" s="1"/>
      <c r="U2928" s="1"/>
      <c r="V2928" s="1"/>
      <c r="W2928" s="1"/>
      <c r="X2928" s="1"/>
      <c r="Y2928" s="1"/>
      <c r="Z2928" s="102"/>
      <c r="AA2928" s="102"/>
      <c r="AB2928" s="1"/>
      <c r="AC2928" s="1"/>
      <c r="AD2928" s="1"/>
      <c r="AE2928" s="1"/>
      <c r="AF2928" s="1"/>
      <c r="AG2928" s="1"/>
    </row>
    <row r="2929" ht="15.75" customHeight="1">
      <c r="A2929" s="1"/>
      <c r="B2929" s="1"/>
      <c r="C2929" s="1"/>
      <c r="D2929" s="1"/>
      <c r="E2929" s="1"/>
      <c r="F2929" s="1"/>
      <c r="G2929" s="1"/>
      <c r="H2929" s="1"/>
      <c r="I2929" s="1"/>
      <c r="J2929" s="1"/>
      <c r="K2929" s="102" t="s">
        <v>5174</v>
      </c>
      <c r="L2929" s="102" t="str">
        <f>U151</f>
        <v>J1a2a1a2d2b2b2c4a1a1b~</v>
      </c>
      <c r="M2929" s="102"/>
      <c r="N2929" s="102"/>
      <c r="O2929" s="105">
        <v>2.3268048E7</v>
      </c>
      <c r="P2929" s="105">
        <v>2.1106162E7</v>
      </c>
      <c r="Q2929" s="102" t="s">
        <v>2454</v>
      </c>
      <c r="S2929" s="1"/>
      <c r="T2929" s="1"/>
      <c r="U2929" s="1"/>
      <c r="V2929" s="1"/>
      <c r="W2929" s="1"/>
      <c r="X2929" s="1"/>
      <c r="Y2929" s="1"/>
      <c r="Z2929" s="102"/>
      <c r="AA2929" s="102"/>
      <c r="AB2929" s="1"/>
      <c r="AC2929" s="1"/>
      <c r="AD2929" s="1"/>
      <c r="AE2929" s="1"/>
      <c r="AF2929" s="1"/>
      <c r="AG2929" s="1"/>
    </row>
    <row r="2930" ht="15.75" customHeight="1">
      <c r="A2930" s="1"/>
      <c r="B2930" s="1"/>
      <c r="C2930" s="1"/>
      <c r="D2930" s="1"/>
      <c r="E2930" s="1"/>
      <c r="F2930" s="1"/>
      <c r="G2930" s="1"/>
      <c r="H2930" s="1"/>
      <c r="I2930" s="1"/>
      <c r="J2930" s="1"/>
      <c r="K2930" s="102" t="s">
        <v>5175</v>
      </c>
      <c r="L2930" s="102" t="str">
        <f t="shared" ref="L2930:L2931" si="32">U151</f>
        <v>J1a2a1a2d2b2b2c4a1a1b~</v>
      </c>
      <c r="M2930" s="102"/>
      <c r="N2930" s="102" t="s">
        <v>5176</v>
      </c>
      <c r="O2930" s="105">
        <v>6908140.0</v>
      </c>
      <c r="P2930" s="105">
        <v>7040099.0</v>
      </c>
      <c r="Q2930" s="102" t="s">
        <v>2439</v>
      </c>
      <c r="S2930" s="1"/>
      <c r="T2930" s="1"/>
      <c r="U2930" s="1"/>
      <c r="V2930" s="1"/>
      <c r="W2930" s="1"/>
      <c r="X2930" s="1"/>
      <c r="Y2930" s="1"/>
      <c r="Z2930" s="102"/>
      <c r="AA2930" s="102"/>
      <c r="AB2930" s="1"/>
      <c r="AC2930" s="1"/>
      <c r="AD2930" s="1"/>
      <c r="AE2930" s="1"/>
      <c r="AF2930" s="1"/>
      <c r="AG2930" s="1"/>
    </row>
    <row r="2931" ht="15.75" customHeight="1">
      <c r="A2931" s="1"/>
      <c r="B2931" s="1"/>
      <c r="C2931" s="1"/>
      <c r="D2931" s="1"/>
      <c r="E2931" s="1"/>
      <c r="F2931" s="1"/>
      <c r="G2931" s="1"/>
      <c r="H2931" s="1"/>
      <c r="I2931" s="1"/>
      <c r="J2931" s="1"/>
      <c r="K2931" s="102" t="s">
        <v>5177</v>
      </c>
      <c r="L2931" s="102" t="str">
        <f t="shared" si="32"/>
        <v>J1a2a1a2d2b2b2c4a1a1c~</v>
      </c>
      <c r="M2931" s="102"/>
      <c r="N2931" s="102"/>
      <c r="O2931" s="105">
        <v>2.2039764E7</v>
      </c>
      <c r="P2931" s="105">
        <v>1.9877878E7</v>
      </c>
      <c r="Q2931" s="102" t="s">
        <v>2468</v>
      </c>
      <c r="S2931" s="1"/>
      <c r="T2931" s="1"/>
      <c r="U2931" s="1"/>
      <c r="V2931" s="1"/>
      <c r="W2931" s="1"/>
      <c r="X2931" s="1"/>
      <c r="Y2931" s="1"/>
      <c r="Z2931" s="102"/>
      <c r="AA2931" s="102"/>
      <c r="AB2931" s="1"/>
      <c r="AC2931" s="1"/>
      <c r="AD2931" s="1"/>
      <c r="AE2931" s="1"/>
      <c r="AF2931" s="1"/>
      <c r="AG2931" s="1"/>
    </row>
    <row r="2932" ht="15.75" customHeight="1">
      <c r="A2932" s="1"/>
      <c r="B2932" s="1"/>
      <c r="C2932" s="1"/>
      <c r="D2932" s="1"/>
      <c r="E2932" s="1"/>
      <c r="F2932" s="1"/>
      <c r="G2932" s="1"/>
      <c r="H2932" s="1"/>
      <c r="I2932" s="1"/>
      <c r="J2932" s="1"/>
      <c r="K2932" s="102" t="s">
        <v>5178</v>
      </c>
      <c r="L2932" s="102" t="str">
        <f>U152</f>
        <v>J1a2a1a2d2b2b2c4a1a1c~</v>
      </c>
      <c r="M2932" s="102"/>
      <c r="N2932" s="102"/>
      <c r="O2932" s="105">
        <v>1.4244313E7</v>
      </c>
      <c r="P2932" s="105">
        <v>1.2123607E7</v>
      </c>
      <c r="Q2932" s="102" t="s">
        <v>2454</v>
      </c>
      <c r="S2932" s="1"/>
      <c r="T2932" s="1"/>
      <c r="U2932" s="1"/>
      <c r="V2932" s="1"/>
      <c r="W2932" s="1"/>
      <c r="X2932" s="1"/>
      <c r="Y2932" s="1"/>
      <c r="Z2932" s="102"/>
      <c r="AA2932" s="102"/>
      <c r="AB2932" s="1"/>
      <c r="AC2932" s="1"/>
      <c r="AD2932" s="1"/>
      <c r="AE2932" s="1"/>
      <c r="AF2932" s="1"/>
      <c r="AG2932" s="1"/>
    </row>
    <row r="2933" ht="15.75" customHeight="1">
      <c r="A2933" s="1"/>
      <c r="B2933" s="1"/>
      <c r="C2933" s="1"/>
      <c r="D2933" s="1"/>
      <c r="E2933" s="1"/>
      <c r="F2933" s="1"/>
      <c r="G2933" s="1"/>
      <c r="H2933" s="1"/>
      <c r="I2933" s="1"/>
      <c r="J2933" s="1"/>
      <c r="K2933" s="102" t="s">
        <v>5179</v>
      </c>
      <c r="L2933" s="102" t="str">
        <f>U152</f>
        <v>J1a2a1a2d2b2b2c4a1a1c~</v>
      </c>
      <c r="M2933" s="102"/>
      <c r="N2933" s="102"/>
      <c r="O2933" s="105">
        <v>7272513.0</v>
      </c>
      <c r="P2933" s="105">
        <v>7404472.0</v>
      </c>
      <c r="Q2933" s="102" t="s">
        <v>2439</v>
      </c>
      <c r="S2933" s="1"/>
      <c r="T2933" s="1"/>
      <c r="U2933" s="1"/>
      <c r="V2933" s="1"/>
      <c r="W2933" s="1"/>
      <c r="X2933" s="1"/>
      <c r="Y2933" s="1"/>
      <c r="Z2933" s="102"/>
      <c r="AA2933" s="102"/>
      <c r="AB2933" s="1"/>
      <c r="AC2933" s="1"/>
      <c r="AD2933" s="1"/>
      <c r="AE2933" s="1"/>
      <c r="AF2933" s="1"/>
      <c r="AG2933" s="1"/>
    </row>
    <row r="2934" ht="15.75" customHeight="1">
      <c r="A2934" s="1"/>
      <c r="B2934" s="1"/>
      <c r="C2934" s="1"/>
      <c r="D2934" s="1"/>
      <c r="E2934" s="1"/>
      <c r="F2934" s="1"/>
      <c r="G2934" s="1"/>
      <c r="H2934" s="1"/>
      <c r="I2934" s="1"/>
      <c r="J2934" s="1"/>
      <c r="K2934" s="102" t="s">
        <v>5180</v>
      </c>
      <c r="L2934" s="102" t="str">
        <f>Q153</f>
        <v>J1a2a1a2d2b2b2c4b~</v>
      </c>
      <c r="M2934" s="102" t="s">
        <v>5181</v>
      </c>
      <c r="N2934" s="102" t="s">
        <v>5182</v>
      </c>
      <c r="O2934" s="105">
        <v>1.4022682E7</v>
      </c>
      <c r="P2934" s="105">
        <v>1.1901976E7</v>
      </c>
      <c r="Q2934" s="102" t="s">
        <v>2533</v>
      </c>
      <c r="S2934" s="1"/>
      <c r="T2934" s="1"/>
      <c r="U2934" s="1"/>
      <c r="V2934" s="1"/>
      <c r="W2934" s="1"/>
      <c r="X2934" s="1"/>
      <c r="Y2934" s="1"/>
      <c r="Z2934" s="102"/>
      <c r="AA2934" s="102"/>
      <c r="AB2934" s="1"/>
      <c r="AC2934" s="1"/>
      <c r="AD2934" s="1"/>
      <c r="AE2934" s="1"/>
      <c r="AF2934" s="1"/>
      <c r="AG2934" s="1"/>
    </row>
    <row r="2935" ht="15.75" customHeight="1">
      <c r="A2935" s="1"/>
      <c r="B2935" s="1"/>
      <c r="C2935" s="1"/>
      <c r="D2935" s="1"/>
      <c r="E2935" s="1"/>
      <c r="F2935" s="1"/>
      <c r="G2935" s="1"/>
      <c r="H2935" s="1"/>
      <c r="I2935" s="1"/>
      <c r="J2935" s="1"/>
      <c r="K2935" s="102" t="s">
        <v>5181</v>
      </c>
      <c r="L2935" s="102" t="str">
        <f>Q153</f>
        <v>J1a2a1a2d2b2b2c4b~</v>
      </c>
      <c r="M2935" s="102" t="s">
        <v>5180</v>
      </c>
      <c r="N2935" s="102" t="s">
        <v>5182</v>
      </c>
      <c r="O2935" s="105">
        <v>1.4022682E7</v>
      </c>
      <c r="P2935" s="105">
        <v>1.1901976E7</v>
      </c>
      <c r="Q2935" s="102" t="s">
        <v>2533</v>
      </c>
      <c r="S2935" s="1"/>
      <c r="T2935" s="1"/>
      <c r="U2935" s="1"/>
      <c r="V2935" s="1"/>
      <c r="W2935" s="1"/>
      <c r="X2935" s="1"/>
      <c r="Y2935" s="1"/>
      <c r="Z2935" s="102"/>
      <c r="AA2935" s="102"/>
      <c r="AB2935" s="1"/>
      <c r="AC2935" s="1"/>
      <c r="AD2935" s="1"/>
      <c r="AE2935" s="1"/>
      <c r="AF2935" s="1"/>
      <c r="AG2935" s="1"/>
    </row>
    <row r="2936" ht="15.75" customHeight="1">
      <c r="A2936" s="1"/>
      <c r="B2936" s="1"/>
      <c r="C2936" s="1"/>
      <c r="D2936" s="1"/>
      <c r="E2936" s="1"/>
      <c r="F2936" s="1"/>
      <c r="G2936" s="1"/>
      <c r="H2936" s="1"/>
      <c r="I2936" s="1"/>
      <c r="J2936" s="1"/>
      <c r="K2936" s="102" t="s">
        <v>5183</v>
      </c>
      <c r="L2936" s="102" t="str">
        <f>Q153</f>
        <v>J1a2a1a2d2b2b2c4b~</v>
      </c>
      <c r="M2936" s="102" t="s">
        <v>5184</v>
      </c>
      <c r="N2936" s="102" t="s">
        <v>5185</v>
      </c>
      <c r="O2936" s="105">
        <v>7786996.0</v>
      </c>
      <c r="P2936" s="105">
        <v>7918955.0</v>
      </c>
      <c r="Q2936" s="102" t="s">
        <v>2446</v>
      </c>
      <c r="S2936" s="1"/>
      <c r="T2936" s="1"/>
      <c r="U2936" s="1"/>
      <c r="V2936" s="1"/>
      <c r="W2936" s="1"/>
      <c r="X2936" s="1"/>
      <c r="Y2936" s="1"/>
      <c r="Z2936" s="102"/>
      <c r="AA2936" s="102"/>
      <c r="AB2936" s="1"/>
      <c r="AC2936" s="1"/>
      <c r="AD2936" s="1"/>
      <c r="AE2936" s="1"/>
      <c r="AF2936" s="1"/>
      <c r="AG2936" s="1"/>
    </row>
    <row r="2937" ht="15.75" customHeight="1">
      <c r="A2937" s="1"/>
      <c r="B2937" s="1"/>
      <c r="C2937" s="1"/>
      <c r="D2937" s="1"/>
      <c r="E2937" s="1"/>
      <c r="F2937" s="1"/>
      <c r="G2937" s="1"/>
      <c r="H2937" s="1"/>
      <c r="I2937" s="1"/>
      <c r="J2937" s="1"/>
      <c r="K2937" s="102" t="s">
        <v>5186</v>
      </c>
      <c r="L2937" s="102" t="str">
        <f>Q153</f>
        <v>J1a2a1a2d2b2b2c4b~</v>
      </c>
      <c r="M2937" s="102" t="s">
        <v>5187</v>
      </c>
      <c r="N2937" s="102" t="s">
        <v>5185</v>
      </c>
      <c r="O2937" s="105">
        <v>7786996.0</v>
      </c>
      <c r="P2937" s="105">
        <v>7918955.0</v>
      </c>
      <c r="Q2937" s="102" t="s">
        <v>2446</v>
      </c>
      <c r="S2937" s="1"/>
      <c r="T2937" s="1"/>
      <c r="U2937" s="1"/>
      <c r="V2937" s="1"/>
      <c r="W2937" s="1"/>
      <c r="X2937" s="1"/>
      <c r="Y2937" s="1"/>
      <c r="Z2937" s="102"/>
      <c r="AA2937" s="102"/>
      <c r="AB2937" s="1"/>
      <c r="AC2937" s="1"/>
      <c r="AD2937" s="1"/>
      <c r="AE2937" s="1"/>
      <c r="AF2937" s="1"/>
      <c r="AG2937" s="1"/>
    </row>
    <row r="2938" ht="15.75" customHeight="1">
      <c r="A2938" s="1"/>
      <c r="B2938" s="1"/>
      <c r="C2938" s="1"/>
      <c r="D2938" s="1"/>
      <c r="E2938" s="1"/>
      <c r="F2938" s="1"/>
      <c r="G2938" s="1"/>
      <c r="H2938" s="1"/>
      <c r="I2938" s="1"/>
      <c r="J2938" s="1"/>
      <c r="K2938" s="102" t="s">
        <v>5188</v>
      </c>
      <c r="L2938" s="102" t="str">
        <f>Q153</f>
        <v>J1a2a1a2d2b2b2c4b~</v>
      </c>
      <c r="M2938" s="102" t="s">
        <v>5189</v>
      </c>
      <c r="N2938" s="102" t="s">
        <v>5185</v>
      </c>
      <c r="O2938" s="105">
        <v>7786996.0</v>
      </c>
      <c r="P2938" s="105">
        <v>7918955.0</v>
      </c>
      <c r="Q2938" s="102" t="s">
        <v>2446</v>
      </c>
      <c r="S2938" s="1"/>
      <c r="T2938" s="1"/>
      <c r="U2938" s="1"/>
      <c r="V2938" s="1"/>
      <c r="W2938" s="1"/>
      <c r="X2938" s="1"/>
      <c r="Y2938" s="1"/>
      <c r="Z2938" s="102"/>
      <c r="AA2938" s="102"/>
      <c r="AB2938" s="1"/>
      <c r="AC2938" s="1"/>
      <c r="AD2938" s="1"/>
      <c r="AE2938" s="1"/>
      <c r="AF2938" s="1"/>
      <c r="AG2938" s="1"/>
    </row>
    <row r="2939" ht="15.75" customHeight="1">
      <c r="A2939" s="1"/>
      <c r="B2939" s="1"/>
      <c r="C2939" s="1"/>
      <c r="D2939" s="1"/>
      <c r="E2939" s="1"/>
      <c r="F2939" s="1"/>
      <c r="G2939" s="1"/>
      <c r="H2939" s="1"/>
      <c r="I2939" s="1"/>
      <c r="J2939" s="1"/>
      <c r="K2939" s="102" t="s">
        <v>5190</v>
      </c>
      <c r="L2939" s="102" t="str">
        <f>Q153</f>
        <v>J1a2a1a2d2b2b2c4b~</v>
      </c>
      <c r="M2939" s="102"/>
      <c r="N2939" s="102" t="s">
        <v>5191</v>
      </c>
      <c r="O2939" s="105">
        <v>8432091.0</v>
      </c>
      <c r="P2939" s="105">
        <v>8564050.0</v>
      </c>
      <c r="Q2939" s="102" t="s">
        <v>2501</v>
      </c>
      <c r="S2939" s="1"/>
      <c r="T2939" s="1"/>
      <c r="U2939" s="1"/>
      <c r="V2939" s="1"/>
      <c r="W2939" s="1"/>
      <c r="X2939" s="1"/>
      <c r="Y2939" s="1"/>
      <c r="Z2939" s="102"/>
      <c r="AA2939" s="102"/>
      <c r="AB2939" s="1"/>
      <c r="AC2939" s="1"/>
      <c r="AD2939" s="1"/>
      <c r="AE2939" s="1"/>
      <c r="AF2939" s="1"/>
      <c r="AG2939" s="1"/>
    </row>
    <row r="2940" ht="15.75" customHeight="1">
      <c r="A2940" s="1"/>
      <c r="B2940" s="1"/>
      <c r="C2940" s="1"/>
      <c r="D2940" s="1"/>
      <c r="E2940" s="1"/>
      <c r="F2940" s="1"/>
      <c r="G2940" s="1"/>
      <c r="H2940" s="1"/>
      <c r="I2940" s="1"/>
      <c r="J2940" s="1"/>
      <c r="K2940" s="102" t="s">
        <v>5192</v>
      </c>
      <c r="L2940" s="102" t="str">
        <f>R154</f>
        <v>J1a2a1a2d2b2b2c4b1~</v>
      </c>
      <c r="M2940" s="102" t="s">
        <v>5193</v>
      </c>
      <c r="N2940" s="102" t="s">
        <v>5194</v>
      </c>
      <c r="O2940" s="105">
        <v>2.1130832E7</v>
      </c>
      <c r="P2940" s="105">
        <v>1.8968946E7</v>
      </c>
      <c r="Q2940" s="102" t="s">
        <v>2514</v>
      </c>
      <c r="S2940" s="1"/>
      <c r="T2940" s="1"/>
      <c r="U2940" s="1"/>
      <c r="V2940" s="1"/>
      <c r="W2940" s="1"/>
      <c r="X2940" s="1"/>
      <c r="Y2940" s="1"/>
      <c r="Z2940" s="102"/>
      <c r="AA2940" s="102"/>
      <c r="AB2940" s="1"/>
      <c r="AC2940" s="1"/>
      <c r="AD2940" s="1"/>
      <c r="AE2940" s="1"/>
      <c r="AF2940" s="1"/>
      <c r="AG2940" s="1"/>
    </row>
    <row r="2941" ht="15.75" customHeight="1">
      <c r="A2941" s="1"/>
      <c r="B2941" s="1"/>
      <c r="C2941" s="1"/>
      <c r="D2941" s="1"/>
      <c r="E2941" s="1"/>
      <c r="F2941" s="1"/>
      <c r="G2941" s="1"/>
      <c r="H2941" s="1"/>
      <c r="I2941" s="1"/>
      <c r="J2941" s="1"/>
      <c r="K2941" s="102" t="s">
        <v>5193</v>
      </c>
      <c r="L2941" s="102" t="str">
        <f>R154</f>
        <v>J1a2a1a2d2b2b2c4b1~</v>
      </c>
      <c r="M2941" s="102" t="s">
        <v>5192</v>
      </c>
      <c r="N2941" s="102" t="s">
        <v>5194</v>
      </c>
      <c r="O2941" s="105">
        <v>2.1130832E7</v>
      </c>
      <c r="P2941" s="105">
        <v>1.8968946E7</v>
      </c>
      <c r="Q2941" s="102" t="s">
        <v>2514</v>
      </c>
      <c r="S2941" s="1"/>
      <c r="T2941" s="1"/>
      <c r="U2941" s="1"/>
      <c r="V2941" s="1"/>
      <c r="W2941" s="1"/>
      <c r="X2941" s="1"/>
      <c r="Y2941" s="1"/>
      <c r="Z2941" s="102"/>
      <c r="AA2941" s="102"/>
      <c r="AB2941" s="1"/>
      <c r="AC2941" s="1"/>
      <c r="AD2941" s="1"/>
      <c r="AE2941" s="1"/>
      <c r="AF2941" s="1"/>
      <c r="AG2941" s="1"/>
    </row>
    <row r="2942" ht="15.75" customHeight="1">
      <c r="A2942" s="1"/>
      <c r="B2942" s="1"/>
      <c r="C2942" s="1"/>
      <c r="D2942" s="1"/>
      <c r="E2942" s="1"/>
      <c r="F2942" s="1"/>
      <c r="G2942" s="1"/>
      <c r="H2942" s="1"/>
      <c r="I2942" s="1"/>
      <c r="J2942" s="1"/>
      <c r="K2942" s="102" t="s">
        <v>5195</v>
      </c>
      <c r="L2942" s="102" t="str">
        <f>S155</f>
        <v>J1a2a1a2d2b2b2c4b1a~</v>
      </c>
      <c r="M2942" s="102"/>
      <c r="N2942" s="102"/>
      <c r="O2942" s="105">
        <v>2.114176E7</v>
      </c>
      <c r="P2942" s="105">
        <v>1.8979874E7</v>
      </c>
      <c r="Q2942" s="102" t="s">
        <v>2514</v>
      </c>
      <c r="S2942" s="1"/>
      <c r="T2942" s="1"/>
      <c r="U2942" s="1"/>
      <c r="V2942" s="1"/>
      <c r="W2942" s="1"/>
      <c r="X2942" s="1"/>
      <c r="Y2942" s="1"/>
      <c r="Z2942" s="102"/>
      <c r="AA2942" s="102"/>
      <c r="AB2942" s="1"/>
      <c r="AC2942" s="1"/>
      <c r="AD2942" s="1"/>
      <c r="AE2942" s="1"/>
      <c r="AF2942" s="1"/>
      <c r="AG2942" s="1"/>
    </row>
    <row r="2943" ht="15.75" customHeight="1">
      <c r="A2943" s="1"/>
      <c r="B2943" s="1"/>
      <c r="C2943" s="1"/>
      <c r="D2943" s="1"/>
      <c r="E2943" s="1"/>
      <c r="F2943" s="1"/>
      <c r="G2943" s="1"/>
      <c r="H2943" s="1"/>
      <c r="I2943" s="1"/>
      <c r="J2943" s="1"/>
      <c r="K2943" s="102" t="s">
        <v>5196</v>
      </c>
      <c r="L2943" s="102" t="str">
        <f>S155</f>
        <v>J1a2a1a2d2b2b2c4b1a~</v>
      </c>
      <c r="M2943" s="102"/>
      <c r="N2943" s="102"/>
      <c r="O2943" s="105">
        <v>2.1223245E7</v>
      </c>
      <c r="P2943" s="105">
        <v>1.9061359E7</v>
      </c>
      <c r="Q2943" s="102" t="s">
        <v>2576</v>
      </c>
      <c r="S2943" s="1"/>
      <c r="T2943" s="1"/>
      <c r="U2943" s="1"/>
      <c r="V2943" s="1"/>
      <c r="W2943" s="1"/>
      <c r="X2943" s="1"/>
      <c r="Y2943" s="1"/>
      <c r="Z2943" s="102"/>
      <c r="AA2943" s="102"/>
      <c r="AB2943" s="1"/>
      <c r="AC2943" s="1"/>
      <c r="AD2943" s="1"/>
      <c r="AE2943" s="1"/>
      <c r="AF2943" s="1"/>
      <c r="AG2943" s="1"/>
    </row>
    <row r="2944" ht="15.75" customHeight="1">
      <c r="A2944" s="1"/>
      <c r="B2944" s="1"/>
      <c r="C2944" s="1"/>
      <c r="D2944" s="1"/>
      <c r="E2944" s="1"/>
      <c r="F2944" s="1"/>
      <c r="G2944" s="1"/>
      <c r="H2944" s="1"/>
      <c r="I2944" s="1"/>
      <c r="J2944" s="1"/>
      <c r="K2944" s="102" t="s">
        <v>5197</v>
      </c>
      <c r="L2944" s="102" t="str">
        <f>S155</f>
        <v>J1a2a1a2d2b2b2c4b1a~</v>
      </c>
      <c r="M2944" s="102"/>
      <c r="N2944" s="102"/>
      <c r="O2944" s="105">
        <v>2.2654903E7</v>
      </c>
      <c r="P2944" s="105">
        <v>2.0493017E7</v>
      </c>
      <c r="Q2944" s="102" t="s">
        <v>2501</v>
      </c>
      <c r="S2944" s="1"/>
      <c r="T2944" s="1"/>
      <c r="U2944" s="1"/>
      <c r="V2944" s="1"/>
      <c r="W2944" s="1"/>
      <c r="X2944" s="1"/>
      <c r="Y2944" s="1"/>
      <c r="Z2944" s="102"/>
      <c r="AA2944" s="102"/>
      <c r="AB2944" s="1"/>
      <c r="AC2944" s="1"/>
      <c r="AD2944" s="1"/>
      <c r="AE2944" s="1"/>
      <c r="AF2944" s="1"/>
      <c r="AG2944" s="1"/>
    </row>
    <row r="2945" ht="15.75" customHeight="1">
      <c r="A2945" s="1"/>
      <c r="B2945" s="1"/>
      <c r="C2945" s="1"/>
      <c r="D2945" s="1"/>
      <c r="E2945" s="1"/>
      <c r="F2945" s="1"/>
      <c r="G2945" s="1"/>
      <c r="H2945" s="1"/>
      <c r="I2945" s="1"/>
      <c r="J2945" s="1"/>
      <c r="K2945" s="102" t="s">
        <v>5198</v>
      </c>
      <c r="L2945" s="102" t="str">
        <f>S155</f>
        <v>J1a2a1a2d2b2b2c4b1a~</v>
      </c>
      <c r="M2945" s="102"/>
      <c r="N2945" s="102"/>
      <c r="O2945" s="105">
        <v>2.3257966E7</v>
      </c>
      <c r="P2945" s="105">
        <v>2.109608E7</v>
      </c>
      <c r="Q2945" s="102" t="s">
        <v>2423</v>
      </c>
      <c r="S2945" s="1"/>
      <c r="T2945" s="1"/>
      <c r="U2945" s="1"/>
      <c r="V2945" s="1"/>
      <c r="W2945" s="1"/>
      <c r="X2945" s="1"/>
      <c r="Y2945" s="1"/>
      <c r="Z2945" s="102"/>
      <c r="AA2945" s="102"/>
      <c r="AB2945" s="1"/>
      <c r="AC2945" s="1"/>
      <c r="AD2945" s="1"/>
      <c r="AE2945" s="1"/>
      <c r="AF2945" s="1"/>
      <c r="AG2945" s="1"/>
    </row>
    <row r="2946" ht="15.75" customHeight="1">
      <c r="A2946" s="1"/>
      <c r="B2946" s="1"/>
      <c r="C2946" s="1"/>
      <c r="D2946" s="1"/>
      <c r="E2946" s="1"/>
      <c r="F2946" s="1"/>
      <c r="G2946" s="1"/>
      <c r="H2946" s="1"/>
      <c r="I2946" s="1"/>
      <c r="J2946" s="1"/>
      <c r="K2946" s="102" t="s">
        <v>5199</v>
      </c>
      <c r="L2946" s="102" t="str">
        <f t="shared" ref="L2946:L2947" si="33">S155</f>
        <v>J1a2a1a2d2b2b2c4b1a~</v>
      </c>
      <c r="M2946" s="102"/>
      <c r="N2946" s="102"/>
      <c r="O2946" s="105">
        <v>2.3505267E7</v>
      </c>
      <c r="P2946" s="105">
        <v>2.1343381E7</v>
      </c>
      <c r="Q2946" s="102" t="s">
        <v>2468</v>
      </c>
      <c r="S2946" s="1"/>
      <c r="T2946" s="1"/>
      <c r="U2946" s="1"/>
      <c r="V2946" s="1"/>
      <c r="W2946" s="1"/>
      <c r="X2946" s="1"/>
      <c r="Y2946" s="1"/>
      <c r="Z2946" s="102"/>
      <c r="AA2946" s="102"/>
      <c r="AB2946" s="1"/>
      <c r="AC2946" s="1"/>
      <c r="AD2946" s="1"/>
      <c r="AE2946" s="1"/>
      <c r="AF2946" s="1"/>
      <c r="AG2946" s="1"/>
    </row>
    <row r="2947" ht="15.75" customHeight="1">
      <c r="A2947" s="1"/>
      <c r="B2947" s="1"/>
      <c r="C2947" s="1"/>
      <c r="D2947" s="1"/>
      <c r="E2947" s="1"/>
      <c r="F2947" s="1"/>
      <c r="G2947" s="1"/>
      <c r="H2947" s="1"/>
      <c r="I2947" s="1"/>
      <c r="J2947" s="1"/>
      <c r="K2947" s="102" t="s">
        <v>5200</v>
      </c>
      <c r="L2947" s="102" t="str">
        <f t="shared" si="33"/>
        <v>J1a2a1a2d2b2b2c4b1b~</v>
      </c>
      <c r="M2947" s="102"/>
      <c r="N2947" s="102"/>
      <c r="O2947" s="105">
        <v>1.6499303E7</v>
      </c>
      <c r="P2947" s="105">
        <v>1.4387423E7</v>
      </c>
      <c r="Q2947" s="102" t="s">
        <v>2563</v>
      </c>
      <c r="S2947" s="1"/>
      <c r="T2947" s="1"/>
      <c r="U2947" s="1"/>
      <c r="V2947" s="1"/>
      <c r="W2947" s="1"/>
      <c r="X2947" s="1"/>
      <c r="Y2947" s="1"/>
      <c r="Z2947" s="102"/>
      <c r="AA2947" s="102"/>
      <c r="AB2947" s="1"/>
      <c r="AC2947" s="1"/>
      <c r="AD2947" s="1"/>
      <c r="AE2947" s="1"/>
      <c r="AF2947" s="1"/>
      <c r="AG2947" s="1"/>
    </row>
    <row r="2948" ht="15.75" customHeight="1">
      <c r="A2948" s="1"/>
      <c r="B2948" s="1"/>
      <c r="C2948" s="1"/>
      <c r="D2948" s="1"/>
      <c r="E2948" s="1"/>
      <c r="F2948" s="1"/>
      <c r="G2948" s="1"/>
      <c r="H2948" s="1"/>
      <c r="I2948" s="1"/>
      <c r="J2948" s="1"/>
      <c r="K2948" s="102" t="s">
        <v>5201</v>
      </c>
      <c r="L2948" s="102" t="str">
        <f>S156</f>
        <v>J1a2a1a2d2b2b2c4b1b~</v>
      </c>
      <c r="M2948" s="102"/>
      <c r="N2948" s="102" t="s">
        <v>5202</v>
      </c>
      <c r="O2948" s="105">
        <v>1.7098718E7</v>
      </c>
      <c r="P2948" s="105">
        <v>1.4986838E7</v>
      </c>
      <c r="Q2948" s="102" t="s">
        <v>2576</v>
      </c>
      <c r="S2948" s="1"/>
      <c r="T2948" s="1"/>
      <c r="U2948" s="1"/>
      <c r="V2948" s="1"/>
      <c r="W2948" s="1"/>
      <c r="X2948" s="1"/>
      <c r="Y2948" s="1"/>
      <c r="Z2948" s="102"/>
      <c r="AA2948" s="102"/>
      <c r="AB2948" s="1"/>
      <c r="AC2948" s="1"/>
      <c r="AD2948" s="1"/>
      <c r="AE2948" s="1"/>
      <c r="AF2948" s="1"/>
      <c r="AG2948" s="1"/>
    </row>
    <row r="2949" ht="15.75" customHeight="1">
      <c r="A2949" s="1"/>
      <c r="B2949" s="1"/>
      <c r="C2949" s="1"/>
      <c r="D2949" s="1"/>
      <c r="E2949" s="1"/>
      <c r="F2949" s="1"/>
      <c r="G2949" s="1"/>
      <c r="H2949" s="1"/>
      <c r="I2949" s="1"/>
      <c r="J2949" s="1"/>
      <c r="K2949" s="102" t="s">
        <v>5203</v>
      </c>
      <c r="L2949" s="102" t="str">
        <f>S156</f>
        <v>J1a2a1a2d2b2b2c4b1b~</v>
      </c>
      <c r="M2949" s="102"/>
      <c r="N2949" s="102" t="s">
        <v>5204</v>
      </c>
      <c r="O2949" s="105">
        <v>1.7280269E7</v>
      </c>
      <c r="P2949" s="105">
        <v>1.5168389E7</v>
      </c>
      <c r="Q2949" s="102" t="s">
        <v>2533</v>
      </c>
      <c r="S2949" s="1"/>
      <c r="T2949" s="1"/>
      <c r="U2949" s="1"/>
      <c r="V2949" s="1"/>
      <c r="W2949" s="1"/>
      <c r="X2949" s="1"/>
      <c r="Y2949" s="1"/>
      <c r="Z2949" s="102"/>
      <c r="AA2949" s="102"/>
      <c r="AB2949" s="1"/>
      <c r="AC2949" s="1"/>
      <c r="AD2949" s="1"/>
      <c r="AE2949" s="1"/>
      <c r="AF2949" s="1"/>
      <c r="AG2949" s="1"/>
    </row>
    <row r="2950" ht="15.75" customHeight="1">
      <c r="A2950" s="1"/>
      <c r="B2950" s="1"/>
      <c r="C2950" s="1"/>
      <c r="D2950" s="1"/>
      <c r="E2950" s="1"/>
      <c r="F2950" s="1"/>
      <c r="G2950" s="1"/>
      <c r="H2950" s="1"/>
      <c r="I2950" s="1"/>
      <c r="J2950" s="1"/>
      <c r="K2950" s="102" t="s">
        <v>5205</v>
      </c>
      <c r="L2950" s="102" t="str">
        <f>S156</f>
        <v>J1a2a1a2d2b2b2c4b1b~</v>
      </c>
      <c r="M2950" s="102"/>
      <c r="N2950" s="102"/>
      <c r="O2950" s="105">
        <v>2.2011475E7</v>
      </c>
      <c r="P2950" s="105">
        <v>1.9849589E7</v>
      </c>
      <c r="Q2950" s="102" t="s">
        <v>2468</v>
      </c>
      <c r="S2950" s="1"/>
      <c r="T2950" s="1"/>
      <c r="U2950" s="1"/>
      <c r="V2950" s="1"/>
      <c r="W2950" s="1"/>
      <c r="X2950" s="1"/>
      <c r="Y2950" s="1"/>
      <c r="Z2950" s="102"/>
      <c r="AA2950" s="102"/>
      <c r="AB2950" s="1"/>
      <c r="AC2950" s="1"/>
      <c r="AD2950" s="1"/>
      <c r="AE2950" s="1"/>
      <c r="AF2950" s="1"/>
      <c r="AG2950" s="1"/>
    </row>
    <row r="2951" ht="15.75" customHeight="1">
      <c r="A2951" s="1"/>
      <c r="B2951" s="1"/>
      <c r="C2951" s="1"/>
      <c r="D2951" s="1"/>
      <c r="E2951" s="1"/>
      <c r="F2951" s="1"/>
      <c r="G2951" s="1"/>
      <c r="H2951" s="1"/>
      <c r="I2951" s="1"/>
      <c r="J2951" s="1"/>
      <c r="K2951" s="102" t="s">
        <v>5206</v>
      </c>
      <c r="L2951" s="102" t="str">
        <f>T157</f>
        <v>J1a2a1a2d2b2b2c4b1b1~</v>
      </c>
      <c r="M2951" s="102" t="s">
        <v>5207</v>
      </c>
      <c r="N2951" s="102" t="s">
        <v>5208</v>
      </c>
      <c r="O2951" s="105">
        <v>1.6212441E7</v>
      </c>
      <c r="P2951" s="105">
        <v>1.4100561E7</v>
      </c>
      <c r="Q2951" s="102" t="s">
        <v>2439</v>
      </c>
      <c r="S2951" s="1"/>
      <c r="T2951" s="1"/>
      <c r="U2951" s="1"/>
      <c r="V2951" s="1"/>
      <c r="W2951" s="1"/>
      <c r="X2951" s="1"/>
      <c r="Y2951" s="1"/>
      <c r="Z2951" s="102"/>
      <c r="AA2951" s="102"/>
      <c r="AB2951" s="1"/>
      <c r="AC2951" s="1"/>
      <c r="AD2951" s="1"/>
      <c r="AE2951" s="1"/>
      <c r="AF2951" s="1"/>
      <c r="AG2951" s="1"/>
    </row>
    <row r="2952" ht="15.75" customHeight="1">
      <c r="A2952" s="1"/>
      <c r="B2952" s="1"/>
      <c r="C2952" s="1"/>
      <c r="D2952" s="1"/>
      <c r="E2952" s="1"/>
      <c r="F2952" s="1"/>
      <c r="G2952" s="1"/>
      <c r="H2952" s="1"/>
      <c r="I2952" s="1"/>
      <c r="J2952" s="1"/>
      <c r="K2952" s="102" t="s">
        <v>5207</v>
      </c>
      <c r="L2952" s="102" t="str">
        <f>T157</f>
        <v>J1a2a1a2d2b2b2c4b1b1~</v>
      </c>
      <c r="M2952" s="102" t="s">
        <v>5206</v>
      </c>
      <c r="N2952" s="102" t="s">
        <v>5208</v>
      </c>
      <c r="O2952" s="105">
        <v>1.6212441E7</v>
      </c>
      <c r="P2952" s="105">
        <v>1.4100561E7</v>
      </c>
      <c r="Q2952" s="102" t="s">
        <v>2439</v>
      </c>
      <c r="S2952" s="1"/>
      <c r="T2952" s="1"/>
      <c r="U2952" s="1"/>
      <c r="V2952" s="1"/>
      <c r="W2952" s="1"/>
      <c r="X2952" s="1"/>
      <c r="Y2952" s="1"/>
      <c r="Z2952" s="102"/>
      <c r="AA2952" s="102"/>
      <c r="AB2952" s="1"/>
      <c r="AC2952" s="1"/>
      <c r="AD2952" s="1"/>
      <c r="AE2952" s="1"/>
      <c r="AF2952" s="1"/>
      <c r="AG2952" s="1"/>
    </row>
    <row r="2953" ht="15.75" customHeight="1">
      <c r="A2953" s="1"/>
      <c r="B2953" s="1"/>
      <c r="C2953" s="1"/>
      <c r="D2953" s="1"/>
      <c r="E2953" s="1"/>
      <c r="F2953" s="1"/>
      <c r="G2953" s="1"/>
      <c r="H2953" s="1"/>
      <c r="I2953" s="1"/>
      <c r="J2953" s="1"/>
      <c r="K2953" s="102" t="s">
        <v>5209</v>
      </c>
      <c r="L2953" s="102" t="str">
        <f>U158</f>
        <v>J1a2a1a2d2b2b2c4b1b1a~</v>
      </c>
      <c r="M2953" s="102"/>
      <c r="N2953" s="102" t="s">
        <v>5210</v>
      </c>
      <c r="O2953" s="105">
        <v>2.1432399E7</v>
      </c>
      <c r="P2953" s="105">
        <v>1.9270513E7</v>
      </c>
      <c r="Q2953" s="102" t="s">
        <v>2423</v>
      </c>
      <c r="S2953" s="1"/>
      <c r="T2953" s="1"/>
      <c r="U2953" s="1"/>
      <c r="V2953" s="1"/>
      <c r="W2953" s="1"/>
      <c r="X2953" s="1"/>
      <c r="Y2953" s="1"/>
      <c r="Z2953" s="102"/>
      <c r="AA2953" s="102"/>
      <c r="AB2953" s="1"/>
      <c r="AC2953" s="1"/>
      <c r="AD2953" s="1"/>
      <c r="AE2953" s="1"/>
      <c r="AF2953" s="1"/>
      <c r="AG2953" s="1"/>
    </row>
    <row r="2954" ht="15.75" customHeight="1">
      <c r="A2954" s="1"/>
      <c r="B2954" s="1"/>
      <c r="C2954" s="1"/>
      <c r="D2954" s="1"/>
      <c r="E2954" s="1"/>
      <c r="F2954" s="1"/>
      <c r="G2954" s="1"/>
      <c r="H2954" s="1"/>
      <c r="I2954" s="1"/>
      <c r="J2954" s="1"/>
      <c r="K2954" s="102" t="s">
        <v>5211</v>
      </c>
      <c r="L2954" s="102" t="str">
        <f>U158</f>
        <v>J1a2a1a2d2b2b2c4b1b1a~</v>
      </c>
      <c r="M2954" s="102"/>
      <c r="N2954" s="102" t="s">
        <v>5212</v>
      </c>
      <c r="O2954" s="105">
        <v>2.193683E7</v>
      </c>
      <c r="P2954" s="105">
        <v>1.9774944E7</v>
      </c>
      <c r="Q2954" s="102" t="s">
        <v>2439</v>
      </c>
      <c r="S2954" s="1"/>
      <c r="T2954" s="1"/>
      <c r="U2954" s="1"/>
      <c r="V2954" s="1"/>
      <c r="W2954" s="1"/>
      <c r="X2954" s="1"/>
      <c r="Y2954" s="1"/>
      <c r="Z2954" s="102"/>
      <c r="AA2954" s="102"/>
      <c r="AB2954" s="1"/>
      <c r="AC2954" s="1"/>
      <c r="AD2954" s="1"/>
      <c r="AE2954" s="1"/>
      <c r="AF2954" s="1"/>
      <c r="AG2954" s="1"/>
    </row>
    <row r="2955" ht="15.75" customHeight="1">
      <c r="A2955" s="1"/>
      <c r="B2955" s="1"/>
      <c r="C2955" s="1"/>
      <c r="D2955" s="1"/>
      <c r="E2955" s="1"/>
      <c r="F2955" s="1"/>
      <c r="G2955" s="1"/>
      <c r="H2955" s="1"/>
      <c r="I2955" s="1"/>
      <c r="J2955" s="1"/>
      <c r="K2955" s="102" t="s">
        <v>5213</v>
      </c>
      <c r="L2955" s="102" t="str">
        <f>T159</f>
        <v>J1a2a1a2d2b2b2c4b1b2~</v>
      </c>
      <c r="M2955" s="102"/>
      <c r="N2955" s="102"/>
      <c r="O2955" s="105">
        <v>7372476.0</v>
      </c>
      <c r="P2955" s="105">
        <v>7504435.0</v>
      </c>
      <c r="Q2955" s="102" t="s">
        <v>2468</v>
      </c>
      <c r="S2955" s="1"/>
      <c r="T2955" s="1"/>
      <c r="U2955" s="1"/>
      <c r="V2955" s="1"/>
      <c r="W2955" s="1"/>
      <c r="X2955" s="1"/>
      <c r="Y2955" s="1"/>
      <c r="Z2955" s="102"/>
      <c r="AA2955" s="102"/>
      <c r="AB2955" s="1"/>
      <c r="AC2955" s="1"/>
      <c r="AD2955" s="1"/>
      <c r="AE2955" s="1"/>
      <c r="AF2955" s="1"/>
      <c r="AG2955" s="1"/>
    </row>
    <row r="2956" ht="15.75" customHeight="1">
      <c r="A2956" s="1"/>
      <c r="B2956" s="1"/>
      <c r="C2956" s="1"/>
      <c r="D2956" s="1"/>
      <c r="E2956" s="1"/>
      <c r="F2956" s="1"/>
      <c r="G2956" s="1"/>
      <c r="H2956" s="1"/>
      <c r="I2956" s="1"/>
      <c r="J2956" s="1"/>
      <c r="K2956" s="102" t="s">
        <v>5214</v>
      </c>
      <c r="L2956" s="102" t="str">
        <f>T159</f>
        <v>J1a2a1a2d2b2b2c4b1b2~</v>
      </c>
      <c r="M2956" s="102"/>
      <c r="N2956" s="102"/>
      <c r="O2956" s="105">
        <v>7405493.0</v>
      </c>
      <c r="P2956" s="105">
        <v>7537452.0</v>
      </c>
      <c r="Q2956" s="102" t="s">
        <v>2514</v>
      </c>
      <c r="S2956" s="1"/>
      <c r="T2956" s="1"/>
      <c r="U2956" s="1"/>
      <c r="V2956" s="1"/>
      <c r="W2956" s="1"/>
      <c r="X2956" s="1"/>
      <c r="Y2956" s="1"/>
      <c r="Z2956" s="102"/>
      <c r="AA2956" s="102"/>
      <c r="AB2956" s="1"/>
      <c r="AC2956" s="1"/>
      <c r="AD2956" s="1"/>
      <c r="AE2956" s="1"/>
      <c r="AF2956" s="1"/>
      <c r="AG2956" s="1"/>
    </row>
    <row r="2957" ht="15.75" customHeight="1">
      <c r="A2957" s="1"/>
      <c r="B2957" s="1"/>
      <c r="C2957" s="1"/>
      <c r="D2957" s="1"/>
      <c r="E2957" s="1"/>
      <c r="F2957" s="1"/>
      <c r="G2957" s="1"/>
      <c r="H2957" s="1"/>
      <c r="I2957" s="1"/>
      <c r="J2957" s="1"/>
      <c r="K2957" s="102" t="s">
        <v>5215</v>
      </c>
      <c r="L2957" s="102" t="str">
        <f>T159</f>
        <v>J1a2a1a2d2b2b2c4b1b2~</v>
      </c>
      <c r="M2957" s="102"/>
      <c r="N2957" s="102"/>
      <c r="O2957" s="105">
        <v>1.4280971E7</v>
      </c>
      <c r="P2957" s="105">
        <v>1.2160265E7</v>
      </c>
      <c r="Q2957" s="102" t="s">
        <v>2529</v>
      </c>
      <c r="S2957" s="1"/>
      <c r="T2957" s="1"/>
      <c r="U2957" s="1"/>
      <c r="V2957" s="1"/>
      <c r="W2957" s="1"/>
      <c r="X2957" s="1"/>
      <c r="Y2957" s="1"/>
      <c r="Z2957" s="102"/>
      <c r="AA2957" s="102"/>
      <c r="AB2957" s="1"/>
      <c r="AC2957" s="1"/>
      <c r="AD2957" s="1"/>
      <c r="AE2957" s="1"/>
      <c r="AF2957" s="1"/>
      <c r="AG2957" s="1"/>
    </row>
    <row r="2958" ht="15.75" customHeight="1">
      <c r="A2958" s="1"/>
      <c r="B2958" s="1"/>
      <c r="C2958" s="1"/>
      <c r="D2958" s="1"/>
      <c r="E2958" s="1"/>
      <c r="F2958" s="1"/>
      <c r="G2958" s="1"/>
      <c r="H2958" s="1"/>
      <c r="I2958" s="1"/>
      <c r="J2958" s="1"/>
      <c r="K2958" s="102" t="s">
        <v>5216</v>
      </c>
      <c r="L2958" s="102" t="str">
        <f>T159</f>
        <v>J1a2a1a2d2b2b2c4b1b2~</v>
      </c>
      <c r="M2958" s="102"/>
      <c r="N2958" s="102"/>
      <c r="O2958" s="105">
        <v>1.6922962E7</v>
      </c>
      <c r="P2958" s="105">
        <v>1.4811082E7</v>
      </c>
      <c r="Q2958" s="102" t="s">
        <v>2439</v>
      </c>
      <c r="S2958" s="1"/>
      <c r="T2958" s="1"/>
      <c r="U2958" s="1"/>
      <c r="V2958" s="1"/>
      <c r="W2958" s="1"/>
      <c r="X2958" s="1"/>
      <c r="Y2958" s="1"/>
      <c r="Z2958" s="102"/>
      <c r="AA2958" s="102"/>
      <c r="AB2958" s="1"/>
      <c r="AC2958" s="1"/>
      <c r="AD2958" s="1"/>
      <c r="AE2958" s="1"/>
      <c r="AF2958" s="1"/>
      <c r="AG2958" s="1"/>
    </row>
    <row r="2959" ht="15.75" customHeight="1">
      <c r="A2959" s="1"/>
      <c r="B2959" s="1"/>
      <c r="C2959" s="1"/>
      <c r="D2959" s="1"/>
      <c r="E2959" s="1"/>
      <c r="F2959" s="1"/>
      <c r="G2959" s="1"/>
      <c r="H2959" s="1"/>
      <c r="I2959" s="1"/>
      <c r="J2959" s="1"/>
      <c r="K2959" s="102" t="s">
        <v>5217</v>
      </c>
      <c r="L2959" s="102" t="str">
        <f>T159</f>
        <v>J1a2a1a2d2b2b2c4b1b2~</v>
      </c>
      <c r="M2959" s="102"/>
      <c r="N2959" s="102"/>
      <c r="O2959" s="105">
        <v>1.8085106E7</v>
      </c>
      <c r="P2959" s="105">
        <v>1.5973226E7</v>
      </c>
      <c r="Q2959" s="102" t="s">
        <v>2529</v>
      </c>
      <c r="S2959" s="1"/>
      <c r="T2959" s="1"/>
      <c r="U2959" s="1"/>
      <c r="V2959" s="1"/>
      <c r="W2959" s="1"/>
      <c r="X2959" s="1"/>
      <c r="Y2959" s="1"/>
      <c r="Z2959" s="102"/>
      <c r="AA2959" s="102"/>
      <c r="AB2959" s="1"/>
      <c r="AC2959" s="1"/>
      <c r="AD2959" s="1"/>
      <c r="AE2959" s="1"/>
      <c r="AF2959" s="1"/>
      <c r="AG2959" s="1"/>
    </row>
    <row r="2960" ht="15.75" customHeight="1">
      <c r="A2960" s="1"/>
      <c r="B2960" s="1"/>
      <c r="C2960" s="1"/>
      <c r="D2960" s="1"/>
      <c r="E2960" s="1"/>
      <c r="F2960" s="1"/>
      <c r="G2960" s="1"/>
      <c r="H2960" s="1"/>
      <c r="I2960" s="1"/>
      <c r="J2960" s="1"/>
      <c r="K2960" s="102" t="s">
        <v>5218</v>
      </c>
      <c r="L2960" s="102" t="str">
        <f>T159</f>
        <v>J1a2a1a2d2b2b2c4b1b2~</v>
      </c>
      <c r="M2960" s="102"/>
      <c r="N2960" s="102"/>
      <c r="O2960" s="105">
        <v>1.8911922E7</v>
      </c>
      <c r="P2960" s="105">
        <v>1.6800042E7</v>
      </c>
      <c r="Q2960" s="102" t="s">
        <v>2501</v>
      </c>
      <c r="S2960" s="1"/>
      <c r="T2960" s="1"/>
      <c r="U2960" s="1"/>
      <c r="V2960" s="1"/>
      <c r="W2960" s="1"/>
      <c r="X2960" s="1"/>
      <c r="Y2960" s="1"/>
      <c r="Z2960" s="102"/>
      <c r="AA2960" s="102"/>
      <c r="AB2960" s="1"/>
      <c r="AC2960" s="1"/>
      <c r="AD2960" s="1"/>
      <c r="AE2960" s="1"/>
      <c r="AF2960" s="1"/>
      <c r="AG2960" s="1"/>
    </row>
    <row r="2961" ht="15.75" customHeight="1">
      <c r="A2961" s="1"/>
      <c r="B2961" s="1"/>
      <c r="C2961" s="1"/>
      <c r="D2961" s="1"/>
      <c r="E2961" s="1"/>
      <c r="F2961" s="1"/>
      <c r="G2961" s="1"/>
      <c r="H2961" s="1"/>
      <c r="I2961" s="1"/>
      <c r="J2961" s="1"/>
      <c r="K2961" s="102" t="s">
        <v>5219</v>
      </c>
      <c r="L2961" s="102" t="str">
        <f>T159</f>
        <v>J1a2a1a2d2b2b2c4b1b2~</v>
      </c>
      <c r="M2961" s="102"/>
      <c r="N2961" s="102"/>
      <c r="O2961" s="105">
        <v>2.2208651E7</v>
      </c>
      <c r="P2961" s="105">
        <v>2.0046765E7</v>
      </c>
      <c r="Q2961" s="102" t="s">
        <v>2439</v>
      </c>
      <c r="S2961" s="1"/>
      <c r="T2961" s="1"/>
      <c r="U2961" s="1"/>
      <c r="V2961" s="1"/>
      <c r="W2961" s="1"/>
      <c r="X2961" s="1"/>
      <c r="Y2961" s="1"/>
      <c r="Z2961" s="102"/>
      <c r="AA2961" s="102"/>
      <c r="AB2961" s="1"/>
      <c r="AC2961" s="1"/>
      <c r="AD2961" s="1"/>
      <c r="AE2961" s="1"/>
      <c r="AF2961" s="1"/>
      <c r="AG2961" s="1"/>
    </row>
    <row r="2962" ht="15.75" customHeight="1">
      <c r="A2962" s="1"/>
      <c r="B2962" s="1"/>
      <c r="C2962" s="1"/>
      <c r="D2962" s="1"/>
      <c r="E2962" s="1"/>
      <c r="F2962" s="1"/>
      <c r="G2962" s="1"/>
      <c r="H2962" s="1"/>
      <c r="I2962" s="1"/>
      <c r="J2962" s="1"/>
      <c r="K2962" s="102" t="s">
        <v>5220</v>
      </c>
      <c r="L2962" s="102" t="str">
        <f t="shared" ref="L2962:L2963" si="34">T159</f>
        <v>J1a2a1a2d2b2b2c4b1b2~</v>
      </c>
      <c r="M2962" s="102"/>
      <c r="N2962" s="102"/>
      <c r="O2962" s="105">
        <v>2.309065E7</v>
      </c>
      <c r="P2962" s="105">
        <v>2.0928764E7</v>
      </c>
      <c r="Q2962" s="102" t="s">
        <v>2439</v>
      </c>
      <c r="S2962" s="1"/>
      <c r="T2962" s="1"/>
      <c r="U2962" s="1"/>
      <c r="V2962" s="1"/>
      <c r="W2962" s="1"/>
      <c r="X2962" s="1"/>
      <c r="Y2962" s="1"/>
      <c r="Z2962" s="102"/>
      <c r="AA2962" s="102"/>
      <c r="AB2962" s="1"/>
      <c r="AC2962" s="1"/>
      <c r="AD2962" s="1"/>
      <c r="AE2962" s="1"/>
      <c r="AF2962" s="1"/>
      <c r="AG2962" s="1"/>
    </row>
    <row r="2963" ht="15.75" customHeight="1">
      <c r="A2963" s="1"/>
      <c r="B2963" s="1"/>
      <c r="C2963" s="1"/>
      <c r="D2963" s="1"/>
      <c r="E2963" s="1"/>
      <c r="F2963" s="1"/>
      <c r="G2963" s="1"/>
      <c r="H2963" s="1"/>
      <c r="I2963" s="1"/>
      <c r="J2963" s="1"/>
      <c r="K2963" s="102" t="s">
        <v>5221</v>
      </c>
      <c r="L2963" s="102" t="str">
        <f t="shared" si="34"/>
        <v>J1a2a1a2d2b2b2c4b1b3~</v>
      </c>
      <c r="M2963" s="102"/>
      <c r="N2963" s="102"/>
      <c r="O2963" s="105">
        <v>1.4744469E7</v>
      </c>
      <c r="P2963" s="105">
        <v>1.2632538E7</v>
      </c>
      <c r="Q2963" s="102" t="s">
        <v>2439</v>
      </c>
      <c r="S2963" s="1"/>
      <c r="T2963" s="1"/>
      <c r="U2963" s="1"/>
      <c r="V2963" s="1"/>
      <c r="W2963" s="1"/>
      <c r="X2963" s="1"/>
      <c r="Y2963" s="1"/>
      <c r="Z2963" s="102"/>
      <c r="AA2963" s="102"/>
      <c r="AB2963" s="1"/>
      <c r="AC2963" s="1"/>
      <c r="AD2963" s="1"/>
      <c r="AE2963" s="1"/>
      <c r="AF2963" s="1"/>
      <c r="AG2963" s="1"/>
    </row>
    <row r="2964" ht="15.75" customHeight="1">
      <c r="A2964" s="1"/>
      <c r="B2964" s="1"/>
      <c r="C2964" s="1"/>
      <c r="D2964" s="1"/>
      <c r="E2964" s="1"/>
      <c r="F2964" s="1"/>
      <c r="G2964" s="1"/>
      <c r="H2964" s="1"/>
      <c r="I2964" s="1"/>
      <c r="J2964" s="1"/>
      <c r="K2964" s="102" t="s">
        <v>5222</v>
      </c>
      <c r="L2964" s="102" t="str">
        <f>T160</f>
        <v>J1a2a1a2d2b2b2c4b1b3~</v>
      </c>
      <c r="M2964" s="102"/>
      <c r="N2964" s="102"/>
      <c r="O2964" s="105">
        <v>1.5122927E7</v>
      </c>
      <c r="P2964" s="105">
        <v>1.3011014E7</v>
      </c>
      <c r="Q2964" s="102" t="s">
        <v>2468</v>
      </c>
      <c r="S2964" s="1"/>
      <c r="T2964" s="1"/>
      <c r="U2964" s="1"/>
      <c r="V2964" s="1"/>
      <c r="W2964" s="1"/>
      <c r="X2964" s="1"/>
      <c r="Y2964" s="1"/>
      <c r="Z2964" s="102"/>
      <c r="AA2964" s="102"/>
      <c r="AB2964" s="1"/>
      <c r="AC2964" s="1"/>
      <c r="AD2964" s="1"/>
      <c r="AE2964" s="1"/>
      <c r="AF2964" s="1"/>
      <c r="AG2964" s="1"/>
    </row>
    <row r="2965" ht="15.75" customHeight="1">
      <c r="A2965" s="1"/>
      <c r="B2965" s="1"/>
      <c r="C2965" s="1"/>
      <c r="D2965" s="1"/>
      <c r="E2965" s="1"/>
      <c r="F2965" s="1"/>
      <c r="G2965" s="1"/>
      <c r="H2965" s="1"/>
      <c r="I2965" s="1"/>
      <c r="J2965" s="1"/>
      <c r="K2965" s="102" t="s">
        <v>5223</v>
      </c>
      <c r="L2965" s="102" t="str">
        <f>T160</f>
        <v>J1a2a1a2d2b2b2c4b1b3~</v>
      </c>
      <c r="M2965" s="102"/>
      <c r="N2965" s="102"/>
      <c r="O2965" s="105">
        <v>1.5612643E7</v>
      </c>
      <c r="P2965" s="105">
        <v>1.3500763E7</v>
      </c>
      <c r="Q2965" s="102" t="s">
        <v>2439</v>
      </c>
      <c r="S2965" s="1"/>
      <c r="T2965" s="1"/>
      <c r="U2965" s="1"/>
      <c r="V2965" s="1"/>
      <c r="W2965" s="1"/>
      <c r="X2965" s="1"/>
      <c r="Y2965" s="1"/>
      <c r="Z2965" s="102"/>
      <c r="AA2965" s="102"/>
      <c r="AB2965" s="1"/>
      <c r="AC2965" s="1"/>
      <c r="AD2965" s="1"/>
      <c r="AE2965" s="1"/>
      <c r="AF2965" s="1"/>
      <c r="AG2965" s="1"/>
    </row>
    <row r="2966" ht="15.75" customHeight="1">
      <c r="A2966" s="1"/>
      <c r="B2966" s="1"/>
      <c r="C2966" s="1"/>
      <c r="D2966" s="1"/>
      <c r="E2966" s="1"/>
      <c r="F2966" s="1"/>
      <c r="G2966" s="1"/>
      <c r="H2966" s="1"/>
      <c r="I2966" s="1"/>
      <c r="J2966" s="1"/>
      <c r="K2966" s="102" t="s">
        <v>5224</v>
      </c>
      <c r="L2966" s="102" t="str">
        <f>T160</f>
        <v>J1a2a1a2d2b2b2c4b1b3~</v>
      </c>
      <c r="M2966" s="102"/>
      <c r="N2966" s="102"/>
      <c r="O2966" s="105">
        <v>1.6252933E7</v>
      </c>
      <c r="P2966" s="105">
        <v>1.4141053E7</v>
      </c>
      <c r="Q2966" s="102" t="s">
        <v>2501</v>
      </c>
      <c r="S2966" s="1"/>
      <c r="T2966" s="1"/>
      <c r="U2966" s="1"/>
      <c r="V2966" s="1"/>
      <c r="W2966" s="1"/>
      <c r="X2966" s="1"/>
      <c r="Y2966" s="1"/>
      <c r="Z2966" s="102"/>
      <c r="AA2966" s="102"/>
      <c r="AB2966" s="1"/>
      <c r="AC2966" s="1"/>
      <c r="AD2966" s="1"/>
      <c r="AE2966" s="1"/>
      <c r="AF2966" s="1"/>
      <c r="AG2966" s="1"/>
    </row>
    <row r="2967" ht="15.75" customHeight="1">
      <c r="A2967" s="1"/>
      <c r="B2967" s="1"/>
      <c r="C2967" s="1"/>
      <c r="D2967" s="1"/>
      <c r="E2967" s="1"/>
      <c r="F2967" s="1"/>
      <c r="G2967" s="1"/>
      <c r="H2967" s="1"/>
      <c r="I2967" s="1"/>
      <c r="J2967" s="1"/>
      <c r="K2967" s="106" t="s">
        <v>5225</v>
      </c>
      <c r="L2967" s="102" t="str">
        <f>S161</f>
        <v>J1a2a1a2d2b2b2c4b1c~</v>
      </c>
      <c r="M2967" s="102" t="s">
        <v>5226</v>
      </c>
      <c r="N2967" s="102" t="s">
        <v>5227</v>
      </c>
      <c r="O2967" s="105">
        <v>2.1255026E7</v>
      </c>
      <c r="P2967" s="105">
        <v>1.909314E7</v>
      </c>
      <c r="Q2967" s="102" t="s">
        <v>2468</v>
      </c>
      <c r="S2967" s="1"/>
      <c r="T2967" s="1"/>
      <c r="U2967" s="1"/>
      <c r="V2967" s="1"/>
      <c r="W2967" s="1"/>
      <c r="X2967" s="1"/>
      <c r="Y2967" s="1"/>
      <c r="Z2967" s="102">
        <v>2.4501451E7</v>
      </c>
      <c r="AA2967" s="102"/>
      <c r="AB2967" s="1"/>
      <c r="AC2967" s="1"/>
      <c r="AD2967" s="1"/>
      <c r="AE2967" s="1"/>
      <c r="AF2967" s="1"/>
      <c r="AG2967" s="1"/>
    </row>
    <row r="2968" ht="15.75" customHeight="1">
      <c r="A2968" s="1"/>
      <c r="B2968" s="1"/>
      <c r="C2968" s="1"/>
      <c r="D2968" s="1"/>
      <c r="E2968" s="1"/>
      <c r="F2968" s="1"/>
      <c r="G2968" s="1"/>
      <c r="H2968" s="1"/>
      <c r="I2968" s="1"/>
      <c r="J2968" s="1"/>
      <c r="K2968" s="102" t="s">
        <v>5226</v>
      </c>
      <c r="L2968" s="102" t="str">
        <f>S161</f>
        <v>J1a2a1a2d2b2b2c4b1c~</v>
      </c>
      <c r="M2968" s="106" t="s">
        <v>5225</v>
      </c>
      <c r="N2968" s="102" t="s">
        <v>5227</v>
      </c>
      <c r="O2968" s="105">
        <v>2.1255026E7</v>
      </c>
      <c r="P2968" s="105">
        <v>1.909314E7</v>
      </c>
      <c r="Q2968" s="102" t="s">
        <v>2468</v>
      </c>
      <c r="S2968" s="1"/>
      <c r="T2968" s="1"/>
      <c r="U2968" s="1"/>
      <c r="V2968" s="1"/>
      <c r="W2968" s="1"/>
      <c r="X2968" s="1"/>
      <c r="Y2968" s="1"/>
      <c r="Z2968" s="102"/>
      <c r="AA2968" s="102"/>
      <c r="AB2968" s="1"/>
      <c r="AC2968" s="1"/>
      <c r="AD2968" s="1"/>
      <c r="AE2968" s="1"/>
      <c r="AF2968" s="1"/>
      <c r="AG2968" s="1"/>
    </row>
    <row r="2969" ht="15.75" customHeight="1">
      <c r="A2969" s="1"/>
      <c r="B2969" s="1"/>
      <c r="C2969" s="1"/>
      <c r="D2969" s="1"/>
      <c r="E2969" s="1"/>
      <c r="F2969" s="1"/>
      <c r="G2969" s="1"/>
      <c r="H2969" s="1"/>
      <c r="I2969" s="1"/>
      <c r="J2969" s="1"/>
      <c r="K2969" s="102" t="s">
        <v>5228</v>
      </c>
      <c r="L2969" s="102" t="str">
        <f>T162</f>
        <v>J1a2a1a2d2b2b2c4b1c1~</v>
      </c>
      <c r="M2969" s="102" t="s">
        <v>5229</v>
      </c>
      <c r="N2969" s="102" t="s">
        <v>5230</v>
      </c>
      <c r="O2969" s="105">
        <v>1.4518173E7</v>
      </c>
      <c r="P2969" s="105">
        <v>1.2406374E7</v>
      </c>
      <c r="Q2969" s="102" t="s">
        <v>2576</v>
      </c>
      <c r="S2969" s="1"/>
      <c r="T2969" s="1"/>
      <c r="U2969" s="1"/>
      <c r="V2969" s="1"/>
      <c r="W2969" s="1"/>
      <c r="X2969" s="1"/>
      <c r="Y2969" s="1"/>
      <c r="Z2969" s="102"/>
      <c r="AA2969" s="102"/>
      <c r="AB2969" s="1"/>
      <c r="AC2969" s="1"/>
      <c r="AD2969" s="1"/>
      <c r="AE2969" s="1"/>
      <c r="AF2969" s="1"/>
      <c r="AG2969" s="1"/>
    </row>
    <row r="2970" ht="15.75" customHeight="1">
      <c r="A2970" s="1"/>
      <c r="B2970" s="1"/>
      <c r="C2970" s="1"/>
      <c r="D2970" s="1"/>
      <c r="E2970" s="1"/>
      <c r="F2970" s="1"/>
      <c r="G2970" s="1"/>
      <c r="H2970" s="1"/>
      <c r="I2970" s="1"/>
      <c r="J2970" s="1"/>
      <c r="K2970" s="102" t="s">
        <v>5229</v>
      </c>
      <c r="L2970" s="102" t="str">
        <f>T162</f>
        <v>J1a2a1a2d2b2b2c4b1c1~</v>
      </c>
      <c r="M2970" s="102" t="s">
        <v>5228</v>
      </c>
      <c r="N2970" s="102" t="s">
        <v>5230</v>
      </c>
      <c r="O2970" s="105">
        <v>1.4518173E7</v>
      </c>
      <c r="P2970" s="105">
        <v>1.2406374E7</v>
      </c>
      <c r="Q2970" s="102" t="s">
        <v>2576</v>
      </c>
      <c r="S2970" s="1"/>
      <c r="T2970" s="1"/>
      <c r="U2970" s="1"/>
      <c r="V2970" s="1"/>
      <c r="W2970" s="1"/>
      <c r="X2970" s="1"/>
      <c r="Y2970" s="1"/>
      <c r="Z2970" s="102"/>
      <c r="AA2970" s="102"/>
      <c r="AB2970" s="1"/>
      <c r="AC2970" s="1"/>
      <c r="AD2970" s="1"/>
      <c r="AE2970" s="1"/>
      <c r="AF2970" s="1"/>
      <c r="AG2970" s="1"/>
    </row>
    <row r="2971" ht="15.75" customHeight="1">
      <c r="A2971" s="1"/>
      <c r="B2971" s="1"/>
      <c r="C2971" s="1"/>
      <c r="D2971" s="1"/>
      <c r="E2971" s="1"/>
      <c r="F2971" s="1"/>
      <c r="G2971" s="1"/>
      <c r="H2971" s="1"/>
      <c r="I2971" s="1"/>
      <c r="J2971" s="1"/>
      <c r="K2971" s="102" t="s">
        <v>5231</v>
      </c>
      <c r="L2971" s="102" t="str">
        <f>T162</f>
        <v>J1a2a1a2d2b2b2c4b1c1~</v>
      </c>
      <c r="M2971" s="102" t="s">
        <v>5232</v>
      </c>
      <c r="N2971" s="102" t="s">
        <v>5233</v>
      </c>
      <c r="O2971" s="105">
        <v>1.5458505E7</v>
      </c>
      <c r="P2971" s="105">
        <v>1.3346625E7</v>
      </c>
      <c r="Q2971" s="102" t="s">
        <v>2501</v>
      </c>
      <c r="S2971" s="1"/>
      <c r="T2971" s="1"/>
      <c r="U2971" s="1"/>
      <c r="V2971" s="1"/>
      <c r="W2971" s="1"/>
      <c r="X2971" s="1"/>
      <c r="Y2971" s="1"/>
      <c r="Z2971" s="102"/>
      <c r="AA2971" s="102"/>
      <c r="AB2971" s="1"/>
      <c r="AC2971" s="1"/>
      <c r="AD2971" s="1"/>
      <c r="AE2971" s="1"/>
      <c r="AF2971" s="1"/>
      <c r="AG2971" s="1"/>
    </row>
    <row r="2972" ht="15.75" customHeight="1">
      <c r="A2972" s="1"/>
      <c r="B2972" s="1"/>
      <c r="C2972" s="1"/>
      <c r="D2972" s="1"/>
      <c r="E2972" s="1"/>
      <c r="F2972" s="1"/>
      <c r="G2972" s="1"/>
      <c r="H2972" s="1"/>
      <c r="I2972" s="1"/>
      <c r="J2972" s="1"/>
      <c r="K2972" s="102" t="s">
        <v>5232</v>
      </c>
      <c r="L2972" s="102" t="str">
        <f>T162</f>
        <v>J1a2a1a2d2b2b2c4b1c1~</v>
      </c>
      <c r="M2972" s="102" t="s">
        <v>5231</v>
      </c>
      <c r="N2972" s="102" t="s">
        <v>5233</v>
      </c>
      <c r="O2972" s="105">
        <v>1.5458505E7</v>
      </c>
      <c r="P2972" s="105">
        <v>1.3346625E7</v>
      </c>
      <c r="Q2972" s="102" t="s">
        <v>2501</v>
      </c>
      <c r="S2972" s="1"/>
      <c r="T2972" s="1"/>
      <c r="U2972" s="1"/>
      <c r="V2972" s="1"/>
      <c r="W2972" s="1"/>
      <c r="X2972" s="1"/>
      <c r="Y2972" s="1"/>
      <c r="Z2972" s="102"/>
      <c r="AA2972" s="102"/>
      <c r="AB2972" s="1"/>
      <c r="AC2972" s="1"/>
      <c r="AD2972" s="1"/>
      <c r="AE2972" s="1"/>
      <c r="AF2972" s="1"/>
      <c r="AG2972" s="1"/>
    </row>
    <row r="2973" ht="15.75" customHeight="1">
      <c r="A2973" s="1"/>
      <c r="B2973" s="1"/>
      <c r="C2973" s="1"/>
      <c r="D2973" s="1"/>
      <c r="E2973" s="1"/>
      <c r="F2973" s="1"/>
      <c r="G2973" s="1"/>
      <c r="H2973" s="1"/>
      <c r="I2973" s="1"/>
      <c r="J2973" s="1"/>
      <c r="K2973" s="102" t="s">
        <v>5234</v>
      </c>
      <c r="L2973" s="102" t="str">
        <f>T162</f>
        <v>J1a2a1a2d2b2b2c4b1c1~</v>
      </c>
      <c r="M2973" s="102" t="s">
        <v>5235</v>
      </c>
      <c r="N2973" s="102" t="s">
        <v>5236</v>
      </c>
      <c r="O2973" s="105">
        <v>2.3331601E7</v>
      </c>
      <c r="P2973" s="105">
        <v>2.1169715E7</v>
      </c>
      <c r="Q2973" s="102" t="s">
        <v>2439</v>
      </c>
      <c r="S2973" s="1"/>
      <c r="T2973" s="1"/>
      <c r="U2973" s="1"/>
      <c r="V2973" s="1"/>
      <c r="W2973" s="1"/>
      <c r="X2973" s="1"/>
      <c r="Y2973" s="1"/>
      <c r="Z2973" s="102"/>
      <c r="AA2973" s="102"/>
      <c r="AB2973" s="1"/>
      <c r="AC2973" s="1"/>
      <c r="AD2973" s="1"/>
      <c r="AE2973" s="1"/>
      <c r="AF2973" s="1"/>
      <c r="AG2973" s="1"/>
    </row>
    <row r="2974" ht="15.75" customHeight="1">
      <c r="A2974" s="1"/>
      <c r="B2974" s="1"/>
      <c r="C2974" s="1"/>
      <c r="D2974" s="1"/>
      <c r="E2974" s="1"/>
      <c r="F2974" s="1"/>
      <c r="G2974" s="1"/>
      <c r="H2974" s="1"/>
      <c r="I2974" s="1"/>
      <c r="J2974" s="1"/>
      <c r="K2974" s="102" t="s">
        <v>5235</v>
      </c>
      <c r="L2974" s="102" t="str">
        <f>T162</f>
        <v>J1a2a1a2d2b2b2c4b1c1~</v>
      </c>
      <c r="M2974" s="102" t="s">
        <v>5234</v>
      </c>
      <c r="N2974" s="102" t="s">
        <v>5236</v>
      </c>
      <c r="O2974" s="105">
        <v>2.3331601E7</v>
      </c>
      <c r="P2974" s="105">
        <v>2.1169715E7</v>
      </c>
      <c r="Q2974" s="102" t="s">
        <v>2439</v>
      </c>
      <c r="S2974" s="1"/>
      <c r="T2974" s="1"/>
      <c r="U2974" s="1"/>
      <c r="V2974" s="1"/>
      <c r="W2974" s="1"/>
      <c r="X2974" s="1"/>
      <c r="Y2974" s="1"/>
      <c r="Z2974" s="102"/>
      <c r="AA2974" s="102"/>
      <c r="AB2974" s="1"/>
      <c r="AC2974" s="1"/>
      <c r="AD2974" s="1"/>
      <c r="AE2974" s="1"/>
      <c r="AF2974" s="1"/>
      <c r="AG2974" s="1"/>
    </row>
    <row r="2975" ht="15.75" customHeight="1">
      <c r="A2975" s="1"/>
      <c r="B2975" s="1"/>
      <c r="C2975" s="1"/>
      <c r="D2975" s="1"/>
      <c r="E2975" s="1"/>
      <c r="F2975" s="1"/>
      <c r="G2975" s="1"/>
      <c r="H2975" s="1"/>
      <c r="I2975" s="1"/>
      <c r="J2975" s="1"/>
      <c r="K2975" s="102" t="s">
        <v>5237</v>
      </c>
      <c r="L2975" s="102" t="str">
        <f>T162</f>
        <v>J1a2a1a2d2b2b2c4b1c1~</v>
      </c>
      <c r="M2975" s="102"/>
      <c r="N2975" s="102" t="s">
        <v>5238</v>
      </c>
      <c r="O2975" s="105">
        <v>2.319874E7</v>
      </c>
      <c r="P2975" s="105">
        <v>2.1036854E7</v>
      </c>
      <c r="Q2975" s="102" t="s">
        <v>2563</v>
      </c>
      <c r="S2975" s="1"/>
      <c r="T2975" s="1"/>
      <c r="U2975" s="1"/>
      <c r="V2975" s="1"/>
      <c r="W2975" s="1"/>
      <c r="X2975" s="1"/>
      <c r="Y2975" s="1"/>
      <c r="Z2975" s="102"/>
      <c r="AA2975" s="102"/>
      <c r="AB2975" s="1"/>
      <c r="AC2975" s="1"/>
      <c r="AD2975" s="1"/>
      <c r="AE2975" s="1"/>
      <c r="AF2975" s="1"/>
      <c r="AG2975" s="1"/>
    </row>
    <row r="2976" ht="15.75" customHeight="1">
      <c r="A2976" s="1"/>
      <c r="B2976" s="1"/>
      <c r="C2976" s="1"/>
      <c r="D2976" s="1"/>
      <c r="E2976" s="1"/>
      <c r="F2976" s="1"/>
      <c r="G2976" s="1"/>
      <c r="H2976" s="1"/>
      <c r="I2976" s="1"/>
      <c r="J2976" s="1"/>
      <c r="K2976" s="102" t="s">
        <v>5239</v>
      </c>
      <c r="L2976" s="102" t="str">
        <f>T162</f>
        <v>J1a2a1a2d2b2b2c4b1c1~</v>
      </c>
      <c r="M2976" s="102"/>
      <c r="N2976" s="102"/>
      <c r="O2976" s="105">
        <v>2.8595172E7</v>
      </c>
      <c r="P2976" s="105">
        <v>2.6449025E7</v>
      </c>
      <c r="Q2976" s="102" t="s">
        <v>2529</v>
      </c>
      <c r="S2976" s="1"/>
      <c r="T2976" s="1"/>
      <c r="U2976" s="1"/>
      <c r="V2976" s="1"/>
      <c r="W2976" s="1"/>
      <c r="X2976" s="1"/>
      <c r="Y2976" s="1"/>
      <c r="Z2976" s="102"/>
      <c r="AA2976" s="102"/>
      <c r="AB2976" s="1"/>
      <c r="AC2976" s="1"/>
      <c r="AD2976" s="1"/>
      <c r="AE2976" s="1"/>
      <c r="AF2976" s="1"/>
      <c r="AG2976" s="1"/>
    </row>
    <row r="2977" ht="15.75" customHeight="1">
      <c r="A2977" s="1"/>
      <c r="B2977" s="1"/>
      <c r="C2977" s="1"/>
      <c r="D2977" s="1"/>
      <c r="E2977" s="1"/>
      <c r="F2977" s="1"/>
      <c r="G2977" s="1"/>
      <c r="H2977" s="1"/>
      <c r="I2977" s="1"/>
      <c r="J2977" s="1"/>
      <c r="K2977" s="102" t="s">
        <v>5240</v>
      </c>
      <c r="L2977" s="102" t="str">
        <f t="shared" ref="L2977:L2979" si="35">T162</f>
        <v>J1a2a1a2d2b2b2c4b1c1~</v>
      </c>
      <c r="M2977" s="102"/>
      <c r="N2977" s="102" t="s">
        <v>5241</v>
      </c>
      <c r="O2977" s="105">
        <v>1.5111238E7</v>
      </c>
      <c r="P2977" s="105">
        <v>1.2999325E7</v>
      </c>
      <c r="Q2977" s="102" t="s">
        <v>2563</v>
      </c>
      <c r="S2977" s="1"/>
      <c r="T2977" s="1"/>
      <c r="U2977" s="1"/>
      <c r="V2977" s="1"/>
      <c r="W2977" s="1"/>
      <c r="X2977" s="1"/>
      <c r="Y2977" s="1"/>
      <c r="Z2977" s="102"/>
      <c r="AA2977" s="102"/>
      <c r="AB2977" s="1"/>
      <c r="AC2977" s="1"/>
      <c r="AD2977" s="1"/>
      <c r="AE2977" s="1"/>
      <c r="AF2977" s="1"/>
      <c r="AG2977" s="1"/>
    </row>
    <row r="2978" ht="15.75" customHeight="1">
      <c r="A2978" s="1"/>
      <c r="B2978" s="1"/>
      <c r="C2978" s="1"/>
      <c r="D2978" s="1"/>
      <c r="E2978" s="1"/>
      <c r="F2978" s="1"/>
      <c r="G2978" s="1"/>
      <c r="H2978" s="1"/>
      <c r="I2978" s="1"/>
      <c r="J2978" s="1"/>
      <c r="K2978" s="102" t="s">
        <v>295</v>
      </c>
      <c r="L2978" s="102" t="str">
        <f t="shared" si="35"/>
        <v>J1a2a1a2d2b2b2c4b1c2~</v>
      </c>
      <c r="M2978" s="102"/>
      <c r="N2978" s="102" t="s">
        <v>5242</v>
      </c>
      <c r="O2978" s="105">
        <v>1.5737446E7</v>
      </c>
      <c r="P2978" s="105">
        <v>1.3625566E7</v>
      </c>
      <c r="Q2978" s="102" t="s">
        <v>2468</v>
      </c>
      <c r="S2978" s="1"/>
      <c r="T2978" s="1"/>
      <c r="U2978" s="1"/>
      <c r="V2978" s="1"/>
      <c r="W2978" s="1"/>
      <c r="X2978" s="1"/>
      <c r="Y2978" s="1"/>
      <c r="Z2978" s="102"/>
      <c r="AA2978" s="102"/>
      <c r="AB2978" s="1"/>
      <c r="AC2978" s="1"/>
      <c r="AD2978" s="1"/>
      <c r="AE2978" s="1"/>
      <c r="AF2978" s="1"/>
      <c r="AG2978" s="1"/>
    </row>
    <row r="2979" ht="15.75" customHeight="1">
      <c r="A2979" s="1"/>
      <c r="B2979" s="1"/>
      <c r="C2979" s="1"/>
      <c r="D2979" s="1"/>
      <c r="E2979" s="1"/>
      <c r="F2979" s="1"/>
      <c r="G2979" s="1"/>
      <c r="H2979" s="1"/>
      <c r="I2979" s="1"/>
      <c r="J2979" s="1"/>
      <c r="K2979" s="102" t="s">
        <v>5243</v>
      </c>
      <c r="L2979" s="102" t="str">
        <f t="shared" si="35"/>
        <v>J1a2a1a2d2b2b2c4b1c3~</v>
      </c>
      <c r="M2979" s="102"/>
      <c r="N2979" s="102" t="s">
        <v>5244</v>
      </c>
      <c r="O2979" s="105">
        <v>2.3290441E7</v>
      </c>
      <c r="P2979" s="105">
        <v>2.1128555E7</v>
      </c>
      <c r="Q2979" s="102" t="s">
        <v>2501</v>
      </c>
      <c r="S2979" s="1"/>
      <c r="T2979" s="1"/>
      <c r="U2979" s="1"/>
      <c r="V2979" s="1"/>
      <c r="W2979" s="1"/>
      <c r="X2979" s="1"/>
      <c r="Y2979" s="1"/>
      <c r="Z2979" s="102"/>
      <c r="AA2979" s="102"/>
      <c r="AB2979" s="1"/>
      <c r="AC2979" s="1"/>
      <c r="AD2979" s="1"/>
      <c r="AE2979" s="1"/>
      <c r="AF2979" s="1"/>
      <c r="AG2979" s="1"/>
    </row>
    <row r="2980" ht="15.75" customHeight="1">
      <c r="A2980" s="1"/>
      <c r="B2980" s="1"/>
      <c r="C2980" s="1"/>
      <c r="D2980" s="1"/>
      <c r="E2980" s="1"/>
      <c r="F2980" s="1"/>
      <c r="G2980" s="1"/>
      <c r="H2980" s="1"/>
      <c r="I2980" s="1"/>
      <c r="J2980" s="1"/>
      <c r="K2980" s="102" t="s">
        <v>5245</v>
      </c>
      <c r="L2980" s="102" t="str">
        <f>T164</f>
        <v>J1a2a1a2d2b2b2c4b1c3~</v>
      </c>
      <c r="M2980" s="102" t="s">
        <v>5246</v>
      </c>
      <c r="N2980" s="102" t="s">
        <v>5247</v>
      </c>
      <c r="O2980" s="105">
        <v>1.7820697E7</v>
      </c>
      <c r="P2980" s="105">
        <v>1.5708817E7</v>
      </c>
      <c r="Q2980" s="102" t="s">
        <v>2501</v>
      </c>
      <c r="S2980" s="1"/>
      <c r="T2980" s="1"/>
      <c r="U2980" s="1"/>
      <c r="V2980" s="1"/>
      <c r="W2980" s="1"/>
      <c r="X2980" s="1"/>
      <c r="Y2980" s="1"/>
      <c r="Z2980" s="102"/>
      <c r="AA2980" s="102"/>
      <c r="AB2980" s="1"/>
      <c r="AC2980" s="1"/>
      <c r="AD2980" s="1"/>
      <c r="AE2980" s="1"/>
      <c r="AF2980" s="1"/>
      <c r="AG2980" s="1"/>
    </row>
    <row r="2981" ht="15.75" customHeight="1">
      <c r="A2981" s="1"/>
      <c r="B2981" s="1"/>
      <c r="C2981" s="1"/>
      <c r="D2981" s="1"/>
      <c r="E2981" s="1"/>
      <c r="F2981" s="1"/>
      <c r="G2981" s="1"/>
      <c r="H2981" s="1"/>
      <c r="I2981" s="1"/>
      <c r="J2981" s="1"/>
      <c r="K2981" s="102" t="s">
        <v>5246</v>
      </c>
      <c r="L2981" s="102" t="str">
        <f>T164</f>
        <v>J1a2a1a2d2b2b2c4b1c3~</v>
      </c>
      <c r="M2981" s="102" t="s">
        <v>5245</v>
      </c>
      <c r="N2981" s="102" t="s">
        <v>5247</v>
      </c>
      <c r="O2981" s="105">
        <v>1.7820697E7</v>
      </c>
      <c r="P2981" s="105">
        <v>1.5708817E7</v>
      </c>
      <c r="Q2981" s="102" t="s">
        <v>2501</v>
      </c>
      <c r="S2981" s="1"/>
      <c r="T2981" s="1"/>
      <c r="U2981" s="1"/>
      <c r="V2981" s="1"/>
      <c r="W2981" s="1"/>
      <c r="X2981" s="1"/>
      <c r="Y2981" s="1"/>
      <c r="Z2981" s="102"/>
      <c r="AA2981" s="102"/>
      <c r="AB2981" s="1"/>
      <c r="AC2981" s="1"/>
      <c r="AD2981" s="1"/>
      <c r="AE2981" s="1"/>
      <c r="AF2981" s="1"/>
      <c r="AG2981" s="1"/>
    </row>
    <row r="2982" ht="15.75" customHeight="1">
      <c r="A2982" s="1"/>
      <c r="B2982" s="1"/>
      <c r="C2982" s="1"/>
      <c r="D2982" s="1"/>
      <c r="E2982" s="1"/>
      <c r="F2982" s="1"/>
      <c r="G2982" s="1"/>
      <c r="H2982" s="1"/>
      <c r="I2982" s="1"/>
      <c r="J2982" s="1"/>
      <c r="K2982" s="102" t="s">
        <v>5248</v>
      </c>
      <c r="L2982" s="102" t="str">
        <f>T164</f>
        <v>J1a2a1a2d2b2b2c4b1c3~</v>
      </c>
      <c r="M2982" s="102"/>
      <c r="N2982" s="102"/>
      <c r="O2982" s="105">
        <v>7324044.0</v>
      </c>
      <c r="P2982" s="105">
        <v>7456003.0</v>
      </c>
      <c r="Q2982" s="102" t="s">
        <v>2439</v>
      </c>
      <c r="S2982" s="1"/>
      <c r="T2982" s="1"/>
      <c r="U2982" s="1"/>
      <c r="V2982" s="1"/>
      <c r="W2982" s="1"/>
      <c r="X2982" s="1"/>
      <c r="Y2982" s="1"/>
      <c r="Z2982" s="102"/>
      <c r="AA2982" s="102"/>
      <c r="AB2982" s="1"/>
      <c r="AC2982" s="1"/>
      <c r="AD2982" s="1"/>
      <c r="AE2982" s="1"/>
      <c r="AF2982" s="1"/>
      <c r="AG2982" s="1"/>
    </row>
    <row r="2983" ht="15.75" customHeight="1">
      <c r="A2983" s="1"/>
      <c r="B2983" s="1"/>
      <c r="C2983" s="1"/>
      <c r="D2983" s="1"/>
      <c r="E2983" s="1"/>
      <c r="F2983" s="1"/>
      <c r="G2983" s="1"/>
      <c r="H2983" s="1"/>
      <c r="I2983" s="1"/>
      <c r="J2983" s="1"/>
      <c r="K2983" s="102" t="s">
        <v>295</v>
      </c>
      <c r="L2983" s="102" t="str">
        <f>T164</f>
        <v>J1a2a1a2d2b2b2c4b1c3~</v>
      </c>
      <c r="M2983" s="102"/>
      <c r="N2983" s="102" t="s">
        <v>5242</v>
      </c>
      <c r="O2983" s="105">
        <v>1.5737446E7</v>
      </c>
      <c r="P2983" s="105">
        <v>1.3625566E7</v>
      </c>
      <c r="Q2983" s="102" t="s">
        <v>2468</v>
      </c>
      <c r="S2983" s="1"/>
      <c r="T2983" s="1"/>
      <c r="U2983" s="1"/>
      <c r="V2983" s="1"/>
      <c r="W2983" s="1"/>
      <c r="X2983" s="1"/>
      <c r="Y2983" s="1"/>
      <c r="Z2983" s="102"/>
      <c r="AA2983" s="102"/>
      <c r="AB2983" s="1"/>
      <c r="AC2983" s="1"/>
      <c r="AD2983" s="1"/>
      <c r="AE2983" s="1"/>
      <c r="AF2983" s="1"/>
      <c r="AG2983" s="1"/>
    </row>
    <row r="2984" ht="15.75" customHeight="1">
      <c r="A2984" s="1"/>
      <c r="B2984" s="1"/>
      <c r="C2984" s="1"/>
      <c r="D2984" s="1"/>
      <c r="E2984" s="1"/>
      <c r="F2984" s="1"/>
      <c r="G2984" s="1"/>
      <c r="H2984" s="1"/>
      <c r="I2984" s="1"/>
      <c r="J2984" s="1"/>
      <c r="K2984" s="102" t="s">
        <v>5249</v>
      </c>
      <c r="L2984" s="102" t="str">
        <f>U165</f>
        <v>J1a2a1a2d2b2b2c4b1c3a~</v>
      </c>
      <c r="M2984" s="102" t="s">
        <v>5250</v>
      </c>
      <c r="N2984" s="102" t="s">
        <v>5251</v>
      </c>
      <c r="O2984" s="105">
        <v>8333626.0</v>
      </c>
      <c r="P2984" s="105">
        <v>8465585.0</v>
      </c>
      <c r="Q2984" s="102" t="s">
        <v>2432</v>
      </c>
      <c r="S2984" s="1"/>
      <c r="T2984" s="1"/>
      <c r="U2984" s="1"/>
      <c r="V2984" s="1"/>
      <c r="W2984" s="1"/>
      <c r="X2984" s="1"/>
      <c r="Y2984" s="1"/>
      <c r="Z2984" s="102"/>
      <c r="AA2984" s="102"/>
      <c r="AB2984" s="1"/>
      <c r="AC2984" s="1"/>
      <c r="AD2984" s="1"/>
      <c r="AE2984" s="1"/>
      <c r="AF2984" s="1"/>
      <c r="AG2984" s="1"/>
    </row>
    <row r="2985" ht="15.75" customHeight="1">
      <c r="A2985" s="1"/>
      <c r="B2985" s="1"/>
      <c r="C2985" s="1"/>
      <c r="D2985" s="1"/>
      <c r="E2985" s="1"/>
      <c r="F2985" s="1"/>
      <c r="G2985" s="1"/>
      <c r="H2985" s="1"/>
      <c r="I2985" s="1"/>
      <c r="J2985" s="1"/>
      <c r="K2985" s="102" t="s">
        <v>5250</v>
      </c>
      <c r="L2985" s="102" t="str">
        <f>U165</f>
        <v>J1a2a1a2d2b2b2c4b1c3a~</v>
      </c>
      <c r="M2985" s="102" t="s">
        <v>5249</v>
      </c>
      <c r="N2985" s="102" t="s">
        <v>5251</v>
      </c>
      <c r="O2985" s="105">
        <v>8333626.0</v>
      </c>
      <c r="P2985" s="105">
        <v>8465585.0</v>
      </c>
      <c r="Q2985" s="102" t="s">
        <v>2432</v>
      </c>
      <c r="S2985" s="1"/>
      <c r="T2985" s="1"/>
      <c r="U2985" s="1"/>
      <c r="V2985" s="1"/>
      <c r="W2985" s="1"/>
      <c r="X2985" s="1"/>
      <c r="Y2985" s="1"/>
      <c r="Z2985" s="102"/>
      <c r="AA2985" s="102"/>
      <c r="AB2985" s="1"/>
      <c r="AC2985" s="1"/>
      <c r="AD2985" s="1"/>
      <c r="AE2985" s="1"/>
      <c r="AF2985" s="1"/>
      <c r="AG2985" s="1"/>
    </row>
    <row r="2986" ht="15.75" customHeight="1">
      <c r="A2986" s="1"/>
      <c r="B2986" s="1"/>
      <c r="C2986" s="1"/>
      <c r="D2986" s="1"/>
      <c r="E2986" s="1"/>
      <c r="F2986" s="1"/>
      <c r="G2986" s="1"/>
      <c r="H2986" s="1"/>
      <c r="I2986" s="1"/>
      <c r="J2986" s="1"/>
      <c r="K2986" s="102" t="s">
        <v>5252</v>
      </c>
      <c r="L2986" s="102" t="str">
        <f>V166</f>
        <v>J1a2a1a2d2b2b2c4b1c3a1~</v>
      </c>
      <c r="M2986" s="102" t="s">
        <v>5253</v>
      </c>
      <c r="N2986" s="102" t="s">
        <v>5254</v>
      </c>
      <c r="O2986" s="105">
        <v>8594243.0</v>
      </c>
      <c r="P2986" s="105">
        <v>8726202.0</v>
      </c>
      <c r="Q2986" s="102" t="s">
        <v>2501</v>
      </c>
      <c r="S2986" s="1"/>
      <c r="T2986" s="1"/>
      <c r="U2986" s="1"/>
      <c r="V2986" s="1"/>
      <c r="W2986" s="1"/>
      <c r="X2986" s="1"/>
      <c r="Y2986" s="1"/>
      <c r="Z2986" s="102"/>
      <c r="AA2986" s="102"/>
      <c r="AB2986" s="1"/>
      <c r="AC2986" s="1"/>
      <c r="AD2986" s="1"/>
      <c r="AE2986" s="1"/>
      <c r="AF2986" s="1"/>
      <c r="AG2986" s="1"/>
    </row>
    <row r="2987" ht="15.75" customHeight="1">
      <c r="A2987" s="1"/>
      <c r="B2987" s="1"/>
      <c r="C2987" s="1"/>
      <c r="D2987" s="1"/>
      <c r="E2987" s="1"/>
      <c r="F2987" s="1"/>
      <c r="G2987" s="1"/>
      <c r="H2987" s="1"/>
      <c r="I2987" s="1"/>
      <c r="J2987" s="1"/>
      <c r="K2987" s="102" t="s">
        <v>5253</v>
      </c>
      <c r="L2987" s="102" t="str">
        <f>V166</f>
        <v>J1a2a1a2d2b2b2c4b1c3a1~</v>
      </c>
      <c r="M2987" s="102" t="s">
        <v>5252</v>
      </c>
      <c r="N2987" s="102" t="s">
        <v>5254</v>
      </c>
      <c r="O2987" s="105">
        <v>8594243.0</v>
      </c>
      <c r="P2987" s="105">
        <v>8726202.0</v>
      </c>
      <c r="Q2987" s="102" t="s">
        <v>2501</v>
      </c>
      <c r="S2987" s="1"/>
      <c r="T2987" s="1"/>
      <c r="U2987" s="1"/>
      <c r="V2987" s="1"/>
      <c r="W2987" s="1"/>
      <c r="X2987" s="1"/>
      <c r="Y2987" s="1"/>
      <c r="Z2987" s="102"/>
      <c r="AA2987" s="102"/>
      <c r="AB2987" s="1"/>
      <c r="AC2987" s="1"/>
      <c r="AD2987" s="1"/>
      <c r="AE2987" s="1"/>
      <c r="AF2987" s="1"/>
      <c r="AG2987" s="1"/>
    </row>
    <row r="2988" ht="15.75" customHeight="1">
      <c r="A2988" s="1"/>
      <c r="B2988" s="1"/>
      <c r="C2988" s="1"/>
      <c r="D2988" s="1"/>
      <c r="E2988" s="1"/>
      <c r="F2988" s="1"/>
      <c r="G2988" s="1"/>
      <c r="H2988" s="1"/>
      <c r="I2988" s="1"/>
      <c r="J2988" s="1"/>
      <c r="K2988" s="102" t="s">
        <v>5255</v>
      </c>
      <c r="L2988" s="102" t="str">
        <f>V166</f>
        <v>J1a2a1a2d2b2b2c4b1c3a1~</v>
      </c>
      <c r="M2988" s="102"/>
      <c r="N2988" s="102" t="s">
        <v>5256</v>
      </c>
      <c r="O2988" s="105">
        <v>6733196.0</v>
      </c>
      <c r="P2988" s="105">
        <v>6865155.0</v>
      </c>
      <c r="Q2988" s="102" t="s">
        <v>2529</v>
      </c>
      <c r="S2988" s="1"/>
      <c r="T2988" s="1"/>
      <c r="U2988" s="1"/>
      <c r="V2988" s="1"/>
      <c r="W2988" s="1"/>
      <c r="X2988" s="1"/>
      <c r="Y2988" s="1"/>
      <c r="Z2988" s="102"/>
      <c r="AA2988" s="102"/>
      <c r="AB2988" s="1"/>
      <c r="AC2988" s="1"/>
      <c r="AD2988" s="1"/>
      <c r="AE2988" s="1"/>
      <c r="AF2988" s="1"/>
      <c r="AG2988" s="1"/>
    </row>
    <row r="2989" ht="15.75" customHeight="1">
      <c r="A2989" s="1"/>
      <c r="B2989" s="1"/>
      <c r="C2989" s="1"/>
      <c r="D2989" s="1"/>
      <c r="E2989" s="1"/>
      <c r="F2989" s="1"/>
      <c r="G2989" s="1"/>
      <c r="H2989" s="1"/>
      <c r="I2989" s="1"/>
      <c r="J2989" s="1"/>
      <c r="K2989" s="102" t="s">
        <v>5248</v>
      </c>
      <c r="L2989" s="102" t="str">
        <f>V166</f>
        <v>J1a2a1a2d2b2b2c4b1c3a1~</v>
      </c>
      <c r="M2989" s="102"/>
      <c r="N2989" s="102"/>
      <c r="O2989" s="105">
        <v>7324044.0</v>
      </c>
      <c r="P2989" s="105">
        <v>7456003.0</v>
      </c>
      <c r="Q2989" s="102" t="s">
        <v>2439</v>
      </c>
      <c r="S2989" s="1"/>
      <c r="T2989" s="1"/>
      <c r="U2989" s="1"/>
      <c r="V2989" s="1"/>
      <c r="W2989" s="1"/>
      <c r="X2989" s="1"/>
      <c r="Y2989" s="1"/>
      <c r="Z2989" s="102"/>
      <c r="AA2989" s="102"/>
      <c r="AB2989" s="1"/>
      <c r="AC2989" s="1"/>
      <c r="AD2989" s="1"/>
      <c r="AE2989" s="1"/>
      <c r="AF2989" s="1"/>
      <c r="AG2989" s="1"/>
    </row>
    <row r="2990" ht="15.75" customHeight="1">
      <c r="A2990" s="1"/>
      <c r="B2990" s="1"/>
      <c r="C2990" s="1"/>
      <c r="D2990" s="1"/>
      <c r="E2990" s="1"/>
      <c r="F2990" s="1"/>
      <c r="G2990" s="1"/>
      <c r="H2990" s="1"/>
      <c r="I2990" s="1"/>
      <c r="J2990" s="1"/>
      <c r="K2990" s="102" t="s">
        <v>5257</v>
      </c>
      <c r="L2990" s="102" t="str">
        <f>V166</f>
        <v>J1a2a1a2d2b2b2c4b1c3a1~</v>
      </c>
      <c r="M2990" s="102"/>
      <c r="N2990" s="102" t="s">
        <v>5258</v>
      </c>
      <c r="O2990" s="105">
        <v>1.5747672E7</v>
      </c>
      <c r="P2990" s="105">
        <v>1.3635792E7</v>
      </c>
      <c r="Q2990" s="102" t="s">
        <v>2501</v>
      </c>
      <c r="S2990" s="1"/>
      <c r="T2990" s="1"/>
      <c r="U2990" s="1"/>
      <c r="V2990" s="1"/>
      <c r="W2990" s="1"/>
      <c r="X2990" s="1"/>
      <c r="Y2990" s="1"/>
      <c r="Z2990" s="102"/>
      <c r="AA2990" s="102"/>
      <c r="AB2990" s="1"/>
      <c r="AC2990" s="1"/>
      <c r="AD2990" s="1"/>
      <c r="AE2990" s="1"/>
      <c r="AF2990" s="1"/>
      <c r="AG2990" s="1"/>
    </row>
    <row r="2991" ht="15.75" customHeight="1">
      <c r="A2991" s="1"/>
      <c r="B2991" s="1"/>
      <c r="C2991" s="1"/>
      <c r="D2991" s="1"/>
      <c r="E2991" s="1"/>
      <c r="F2991" s="1"/>
      <c r="G2991" s="1"/>
      <c r="H2991" s="1"/>
      <c r="I2991" s="1"/>
      <c r="J2991" s="1"/>
      <c r="K2991" s="102" t="s">
        <v>5259</v>
      </c>
      <c r="L2991" s="102" t="str">
        <f>W167</f>
        <v>J1a2a1a2d2b2b2c4b1c3a1a~</v>
      </c>
      <c r="M2991" s="102"/>
      <c r="N2991" s="102" t="s">
        <v>5260</v>
      </c>
      <c r="O2991" s="105">
        <v>8088426.0</v>
      </c>
      <c r="P2991" s="105">
        <v>8220385.0</v>
      </c>
      <c r="Q2991" s="102" t="s">
        <v>2468</v>
      </c>
      <c r="S2991" s="1"/>
      <c r="T2991" s="1"/>
      <c r="U2991" s="1"/>
      <c r="V2991" s="1"/>
      <c r="W2991" s="1"/>
      <c r="X2991" s="1"/>
      <c r="Y2991" s="1"/>
      <c r="Z2991" s="102"/>
      <c r="AA2991" s="102"/>
      <c r="AB2991" s="1"/>
      <c r="AC2991" s="1"/>
      <c r="AD2991" s="1"/>
      <c r="AE2991" s="1"/>
      <c r="AF2991" s="1"/>
      <c r="AG2991" s="1"/>
    </row>
    <row r="2992" ht="15.75" customHeight="1">
      <c r="A2992" s="1"/>
      <c r="B2992" s="1"/>
      <c r="C2992" s="1"/>
      <c r="D2992" s="1"/>
      <c r="E2992" s="1"/>
      <c r="F2992" s="1"/>
      <c r="G2992" s="1"/>
      <c r="H2992" s="1"/>
      <c r="I2992" s="1"/>
      <c r="J2992" s="1"/>
      <c r="K2992" s="102" t="s">
        <v>5261</v>
      </c>
      <c r="L2992" s="102" t="str">
        <f>W167</f>
        <v>J1a2a1a2d2b2b2c4b1c3a1a~</v>
      </c>
      <c r="M2992" s="102"/>
      <c r="N2992" s="102" t="s">
        <v>5262</v>
      </c>
      <c r="O2992" s="105">
        <v>1.7595623E7</v>
      </c>
      <c r="P2992" s="105">
        <v>1.5483743E7</v>
      </c>
      <c r="Q2992" s="102" t="s">
        <v>2439</v>
      </c>
      <c r="S2992" s="1"/>
      <c r="T2992" s="1"/>
      <c r="U2992" s="1"/>
      <c r="V2992" s="1"/>
      <c r="W2992" s="1"/>
      <c r="X2992" s="1"/>
      <c r="Y2992" s="1"/>
      <c r="Z2992" s="102"/>
      <c r="AA2992" s="102"/>
      <c r="AB2992" s="1"/>
      <c r="AC2992" s="1"/>
      <c r="AD2992" s="1"/>
      <c r="AE2992" s="1"/>
      <c r="AF2992" s="1"/>
      <c r="AG2992" s="1"/>
    </row>
    <row r="2993" ht="15.75" customHeight="1">
      <c r="A2993" s="1"/>
      <c r="B2993" s="1"/>
      <c r="C2993" s="1"/>
      <c r="D2993" s="1"/>
      <c r="E2993" s="1"/>
      <c r="F2993" s="1"/>
      <c r="G2993" s="1"/>
      <c r="H2993" s="1"/>
      <c r="I2993" s="1"/>
      <c r="J2993" s="1"/>
      <c r="K2993" s="102" t="s">
        <v>5263</v>
      </c>
      <c r="L2993" s="102" t="str">
        <f>W167</f>
        <v>J1a2a1a2d2b2b2c4b1c3a1a~</v>
      </c>
      <c r="M2993" s="102"/>
      <c r="N2993" s="102" t="s">
        <v>5264</v>
      </c>
      <c r="O2993" s="105">
        <v>2.1769232E7</v>
      </c>
      <c r="P2993" s="105">
        <v>1.9607346E7</v>
      </c>
      <c r="Q2993" s="102" t="s">
        <v>2423</v>
      </c>
      <c r="S2993" s="1"/>
      <c r="T2993" s="1"/>
      <c r="U2993" s="1"/>
      <c r="V2993" s="1"/>
      <c r="W2993" s="1"/>
      <c r="X2993" s="1"/>
      <c r="Y2993" s="1"/>
      <c r="Z2993" s="102"/>
      <c r="AA2993" s="102"/>
      <c r="AB2993" s="1"/>
      <c r="AC2993" s="1"/>
      <c r="AD2993" s="1"/>
      <c r="AE2993" s="1"/>
      <c r="AF2993" s="1"/>
      <c r="AG2993" s="1"/>
    </row>
    <row r="2994" ht="15.75" customHeight="1">
      <c r="A2994" s="1"/>
      <c r="B2994" s="1"/>
      <c r="C2994" s="1"/>
      <c r="D2994" s="1"/>
      <c r="E2994" s="1"/>
      <c r="F2994" s="1"/>
      <c r="G2994" s="1"/>
      <c r="H2994" s="1"/>
      <c r="I2994" s="1"/>
      <c r="J2994" s="1"/>
      <c r="K2994" s="102" t="s">
        <v>5265</v>
      </c>
      <c r="L2994" s="102" t="str">
        <f>W167</f>
        <v>J1a2a1a2d2b2b2c4b1c3a1a~</v>
      </c>
      <c r="M2994" s="102"/>
      <c r="N2994" s="102" t="s">
        <v>5266</v>
      </c>
      <c r="O2994" s="105">
        <v>2.3031309E7</v>
      </c>
      <c r="P2994" s="105">
        <v>2.0869423E7</v>
      </c>
      <c r="Q2994" s="102" t="s">
        <v>2501</v>
      </c>
      <c r="S2994" s="1"/>
      <c r="T2994" s="1"/>
      <c r="U2994" s="1"/>
      <c r="V2994" s="1"/>
      <c r="W2994" s="1"/>
      <c r="X2994" s="1"/>
      <c r="Y2994" s="1"/>
      <c r="Z2994" s="102"/>
      <c r="AA2994" s="102"/>
      <c r="AB2994" s="1"/>
      <c r="AC2994" s="1"/>
      <c r="AD2994" s="1"/>
      <c r="AE2994" s="1"/>
      <c r="AF2994" s="1"/>
      <c r="AG2994" s="1"/>
    </row>
    <row r="2995" ht="15.75" customHeight="1">
      <c r="A2995" s="1"/>
      <c r="B2995" s="1"/>
      <c r="C2995" s="1"/>
      <c r="D2995" s="1"/>
      <c r="E2995" s="1"/>
      <c r="F2995" s="1"/>
      <c r="G2995" s="1"/>
      <c r="H2995" s="1"/>
      <c r="I2995" s="1"/>
      <c r="J2995" s="1"/>
      <c r="K2995" s="102" t="s">
        <v>5267</v>
      </c>
      <c r="L2995" s="102" t="str">
        <f>X168</f>
        <v>J1a2a1a2d2b2b2c4b1c3a1a1~</v>
      </c>
      <c r="M2995" s="102"/>
      <c r="N2995" s="102"/>
      <c r="O2995" s="105">
        <v>9765375.0</v>
      </c>
      <c r="P2995" s="105">
        <v>9927766.0</v>
      </c>
      <c r="Q2995" s="102" t="s">
        <v>2514</v>
      </c>
      <c r="S2995" s="1"/>
      <c r="T2995" s="1"/>
      <c r="U2995" s="1"/>
      <c r="V2995" s="1"/>
      <c r="W2995" s="1"/>
      <c r="X2995" s="1"/>
      <c r="Y2995" s="1"/>
      <c r="Z2995" s="102"/>
      <c r="AA2995" s="102"/>
      <c r="AB2995" s="1"/>
      <c r="AC2995" s="1"/>
      <c r="AD2995" s="1"/>
      <c r="AE2995" s="1"/>
      <c r="AF2995" s="1"/>
      <c r="AG2995" s="1"/>
    </row>
    <row r="2996" ht="15.75" customHeight="1">
      <c r="A2996" s="1"/>
      <c r="B2996" s="1"/>
      <c r="C2996" s="1"/>
      <c r="D2996" s="1"/>
      <c r="E2996" s="1"/>
      <c r="F2996" s="1"/>
      <c r="G2996" s="1"/>
      <c r="H2996" s="1"/>
      <c r="I2996" s="1"/>
      <c r="J2996" s="1"/>
      <c r="K2996" s="102" t="s">
        <v>5268</v>
      </c>
      <c r="L2996" s="102" t="str">
        <f>X168</f>
        <v>J1a2a1a2d2b2b2c4b1c3a1a1~</v>
      </c>
      <c r="M2996" s="102"/>
      <c r="N2996" s="102"/>
      <c r="O2996" s="105">
        <v>1.6527442E7</v>
      </c>
      <c r="P2996" s="105">
        <v>1.4415562E7</v>
      </c>
      <c r="Q2996" s="102" t="s">
        <v>2529</v>
      </c>
      <c r="S2996" s="1"/>
      <c r="T2996" s="1"/>
      <c r="U2996" s="1"/>
      <c r="V2996" s="1"/>
      <c r="W2996" s="1"/>
      <c r="X2996" s="1"/>
      <c r="Y2996" s="1"/>
      <c r="Z2996" s="102"/>
      <c r="AA2996" s="102"/>
      <c r="AB2996" s="1"/>
      <c r="AC2996" s="1"/>
      <c r="AD2996" s="1"/>
      <c r="AE2996" s="1"/>
      <c r="AF2996" s="1"/>
      <c r="AG2996" s="1"/>
    </row>
    <row r="2997" ht="15.75" customHeight="1">
      <c r="A2997" s="1"/>
      <c r="B2997" s="1"/>
      <c r="C2997" s="1"/>
      <c r="D2997" s="1"/>
      <c r="E2997" s="1"/>
      <c r="F2997" s="1"/>
      <c r="G2997" s="1"/>
      <c r="H2997" s="1"/>
      <c r="I2997" s="1"/>
      <c r="J2997" s="1"/>
      <c r="K2997" s="102" t="s">
        <v>5269</v>
      </c>
      <c r="L2997" s="102" t="str">
        <f>X168</f>
        <v>J1a2a1a2d2b2b2c4b1c3a1a1~</v>
      </c>
      <c r="M2997" s="102"/>
      <c r="N2997" s="102"/>
      <c r="O2997" s="105">
        <v>1.7960029E7</v>
      </c>
      <c r="P2997" s="105">
        <v>1.5848149E7</v>
      </c>
      <c r="Q2997" s="102" t="s">
        <v>2439</v>
      </c>
      <c r="S2997" s="1"/>
      <c r="T2997" s="1"/>
      <c r="U2997" s="1"/>
      <c r="V2997" s="1"/>
      <c r="W2997" s="1"/>
      <c r="X2997" s="1"/>
      <c r="Y2997" s="1"/>
      <c r="Z2997" s="102"/>
      <c r="AA2997" s="102"/>
      <c r="AB2997" s="1"/>
      <c r="AC2997" s="1"/>
      <c r="AD2997" s="1"/>
      <c r="AE2997" s="1"/>
      <c r="AF2997" s="1"/>
      <c r="AG2997" s="1"/>
    </row>
    <row r="2998" ht="15.75" customHeight="1">
      <c r="A2998" s="1"/>
      <c r="B2998" s="1"/>
      <c r="C2998" s="1"/>
      <c r="D2998" s="1"/>
      <c r="E2998" s="1"/>
      <c r="F2998" s="1"/>
      <c r="G2998" s="1"/>
      <c r="H2998" s="1"/>
      <c r="I2998" s="1"/>
      <c r="J2998" s="1"/>
      <c r="K2998" s="102" t="s">
        <v>5270</v>
      </c>
      <c r="L2998" s="102" t="str">
        <f>W169</f>
        <v>J1a2a1a2d2b2b2c4b1c3a1b~</v>
      </c>
      <c r="M2998" s="102" t="s">
        <v>5271</v>
      </c>
      <c r="N2998" s="102" t="s">
        <v>5272</v>
      </c>
      <c r="O2998" s="105">
        <v>8261195.0</v>
      </c>
      <c r="P2998" s="105">
        <v>8393154.0</v>
      </c>
      <c r="Q2998" s="102" t="s">
        <v>2454</v>
      </c>
      <c r="S2998" s="1"/>
      <c r="T2998" s="1"/>
      <c r="U2998" s="1"/>
      <c r="V2998" s="1"/>
      <c r="W2998" s="1"/>
      <c r="X2998" s="1"/>
      <c r="Y2998" s="1"/>
      <c r="Z2998" s="102"/>
      <c r="AA2998" s="102"/>
      <c r="AB2998" s="1"/>
      <c r="AC2998" s="1"/>
      <c r="AD2998" s="1"/>
      <c r="AE2998" s="1"/>
      <c r="AF2998" s="1"/>
      <c r="AG2998" s="1"/>
    </row>
    <row r="2999" ht="15.75" customHeight="1">
      <c r="A2999" s="1"/>
      <c r="B2999" s="1"/>
      <c r="C2999" s="1"/>
      <c r="D2999" s="1"/>
      <c r="E2999" s="1"/>
      <c r="F2999" s="1"/>
      <c r="G2999" s="1"/>
      <c r="H2999" s="1"/>
      <c r="I2999" s="1"/>
      <c r="J2999" s="1"/>
      <c r="K2999" s="102" t="s">
        <v>5271</v>
      </c>
      <c r="L2999" s="102" t="str">
        <f>W169</f>
        <v>J1a2a1a2d2b2b2c4b1c3a1b~</v>
      </c>
      <c r="M2999" s="102" t="s">
        <v>5270</v>
      </c>
      <c r="N2999" s="102" t="s">
        <v>5272</v>
      </c>
      <c r="O2999" s="105">
        <v>8261195.0</v>
      </c>
      <c r="P2999" s="105">
        <v>8393154.0</v>
      </c>
      <c r="Q2999" s="102" t="s">
        <v>2454</v>
      </c>
      <c r="S2999" s="1"/>
      <c r="T2999" s="1"/>
      <c r="U2999" s="1"/>
      <c r="V2999" s="1"/>
      <c r="W2999" s="1"/>
      <c r="X2999" s="1"/>
      <c r="Y2999" s="1"/>
      <c r="Z2999" s="102"/>
      <c r="AA2999" s="102"/>
      <c r="AB2999" s="1"/>
      <c r="AC2999" s="1"/>
      <c r="AD2999" s="1"/>
      <c r="AE2999" s="1"/>
      <c r="AF2999" s="1"/>
      <c r="AG2999" s="1"/>
    </row>
    <row r="3000" ht="15.75" customHeight="1">
      <c r="A3000" s="1"/>
      <c r="B3000" s="1"/>
      <c r="C3000" s="1"/>
      <c r="D3000" s="1"/>
      <c r="E3000" s="1"/>
      <c r="F3000" s="1"/>
      <c r="G3000" s="1"/>
      <c r="H3000" s="1"/>
      <c r="I3000" s="1"/>
      <c r="J3000" s="1"/>
      <c r="K3000" s="102" t="s">
        <v>5273</v>
      </c>
      <c r="L3000" s="102" t="str">
        <f>W169</f>
        <v>J1a2a1a2d2b2b2c4b1c3a1b~</v>
      </c>
      <c r="M3000" s="102"/>
      <c r="N3000" s="102"/>
      <c r="O3000" s="105">
        <v>7386441.0</v>
      </c>
      <c r="P3000" s="105">
        <v>7518400.0</v>
      </c>
      <c r="Q3000" s="102" t="s">
        <v>2446</v>
      </c>
      <c r="S3000" s="1"/>
      <c r="T3000" s="1"/>
      <c r="U3000" s="1"/>
      <c r="V3000" s="1"/>
      <c r="W3000" s="1"/>
      <c r="X3000" s="1"/>
      <c r="Y3000" s="1"/>
      <c r="Z3000" s="102"/>
      <c r="AA3000" s="102"/>
      <c r="AB3000" s="1"/>
      <c r="AC3000" s="1"/>
      <c r="AD3000" s="1"/>
      <c r="AE3000" s="1"/>
      <c r="AF3000" s="1"/>
      <c r="AG3000" s="1"/>
    </row>
    <row r="3001" ht="15.75" customHeight="1">
      <c r="A3001" s="1"/>
      <c r="B3001" s="1"/>
      <c r="C3001" s="1"/>
      <c r="D3001" s="1"/>
      <c r="E3001" s="1"/>
      <c r="F3001" s="1"/>
      <c r="G3001" s="1"/>
      <c r="H3001" s="1"/>
      <c r="I3001" s="1"/>
      <c r="J3001" s="1"/>
      <c r="K3001" s="102" t="s">
        <v>5274</v>
      </c>
      <c r="L3001" s="102" t="str">
        <f>W169</f>
        <v>J1a2a1a2d2b2b2c4b1c3a1b~</v>
      </c>
      <c r="M3001" s="102"/>
      <c r="N3001" s="102"/>
      <c r="O3001" s="105">
        <v>1.7045082E7</v>
      </c>
      <c r="P3001" s="105">
        <v>1.4933202E7</v>
      </c>
      <c r="Q3001" s="102" t="s">
        <v>2501</v>
      </c>
      <c r="S3001" s="1"/>
      <c r="T3001" s="1"/>
      <c r="U3001" s="1"/>
      <c r="V3001" s="1"/>
      <c r="W3001" s="1"/>
      <c r="X3001" s="1"/>
      <c r="Y3001" s="1"/>
      <c r="Z3001" s="102"/>
      <c r="AA3001" s="102"/>
      <c r="AB3001" s="1"/>
      <c r="AC3001" s="1"/>
      <c r="AD3001" s="1"/>
      <c r="AE3001" s="1"/>
      <c r="AF3001" s="1"/>
      <c r="AG3001" s="1"/>
    </row>
    <row r="3002" ht="15.75" customHeight="1">
      <c r="A3002" s="1"/>
      <c r="B3002" s="1"/>
      <c r="C3002" s="1"/>
      <c r="D3002" s="1"/>
      <c r="E3002" s="1"/>
      <c r="F3002" s="1"/>
      <c r="G3002" s="1"/>
      <c r="H3002" s="1"/>
      <c r="I3002" s="1"/>
      <c r="J3002" s="1"/>
      <c r="K3002" s="102" t="s">
        <v>5275</v>
      </c>
      <c r="L3002" s="102" t="str">
        <f>W169</f>
        <v>J1a2a1a2d2b2b2c4b1c3a1b~</v>
      </c>
      <c r="M3002" s="102"/>
      <c r="N3002" s="102"/>
      <c r="O3002" s="105">
        <v>2.1217512E7</v>
      </c>
      <c r="P3002" s="105">
        <v>1.9055626E7</v>
      </c>
      <c r="Q3002" s="102" t="s">
        <v>2468</v>
      </c>
      <c r="S3002" s="1"/>
      <c r="T3002" s="1"/>
      <c r="U3002" s="1"/>
      <c r="V3002" s="1"/>
      <c r="W3002" s="1"/>
      <c r="X3002" s="1"/>
      <c r="Y3002" s="1"/>
      <c r="Z3002" s="102"/>
      <c r="AA3002" s="102"/>
      <c r="AB3002" s="1"/>
      <c r="AC3002" s="1"/>
      <c r="AD3002" s="1"/>
      <c r="AE3002" s="1"/>
      <c r="AF3002" s="1"/>
      <c r="AG3002" s="1"/>
    </row>
    <row r="3003" ht="15.75" customHeight="1">
      <c r="A3003" s="1"/>
      <c r="B3003" s="1"/>
      <c r="C3003" s="1"/>
      <c r="D3003" s="1"/>
      <c r="E3003" s="1"/>
      <c r="F3003" s="1"/>
      <c r="G3003" s="1"/>
      <c r="H3003" s="1"/>
      <c r="I3003" s="1"/>
      <c r="J3003" s="1"/>
      <c r="K3003" s="102" t="s">
        <v>309</v>
      </c>
      <c r="L3003" s="102" t="str">
        <f>X170</f>
        <v>J1a2a1a2d2b2b2c4b1c3a1b1~</v>
      </c>
      <c r="M3003" s="102"/>
      <c r="N3003" s="102"/>
      <c r="O3003" s="105">
        <v>1.6701807E7</v>
      </c>
      <c r="P3003" s="105">
        <v>1.4589927E7</v>
      </c>
      <c r="Q3003" s="102" t="s">
        <v>2446</v>
      </c>
      <c r="S3003" s="1"/>
      <c r="T3003" s="1"/>
      <c r="U3003" s="1"/>
      <c r="V3003" s="1"/>
      <c r="W3003" s="1"/>
      <c r="X3003" s="1"/>
      <c r="Y3003" s="1"/>
      <c r="Z3003" s="102"/>
      <c r="AA3003" s="102"/>
      <c r="AB3003" s="1"/>
      <c r="AC3003" s="1"/>
      <c r="AD3003" s="1"/>
      <c r="AE3003" s="1"/>
      <c r="AF3003" s="1"/>
      <c r="AG3003" s="1"/>
    </row>
    <row r="3004" ht="15.75" customHeight="1">
      <c r="A3004" s="1"/>
      <c r="B3004" s="1"/>
      <c r="C3004" s="1"/>
      <c r="D3004" s="1"/>
      <c r="E3004" s="1"/>
      <c r="F3004" s="1"/>
      <c r="G3004" s="1"/>
      <c r="H3004" s="1"/>
      <c r="I3004" s="1"/>
      <c r="J3004" s="1"/>
      <c r="K3004" s="102" t="s">
        <v>311</v>
      </c>
      <c r="L3004" s="102" t="str">
        <f t="shared" ref="L3004:L3005" si="36">T171</f>
        <v>J1a2a1a2d2b2b2c4b1c4~</v>
      </c>
      <c r="M3004" s="102"/>
      <c r="N3004" s="102"/>
      <c r="O3004" s="105">
        <v>1.5644809E7</v>
      </c>
      <c r="P3004" s="105">
        <v>1.3532929E7</v>
      </c>
      <c r="Q3004" s="102" t="s">
        <v>2454</v>
      </c>
      <c r="S3004" s="1"/>
      <c r="T3004" s="1"/>
      <c r="U3004" s="1"/>
      <c r="V3004" s="1"/>
      <c r="W3004" s="1"/>
      <c r="X3004" s="1"/>
      <c r="Y3004" s="1"/>
      <c r="Z3004" s="102"/>
      <c r="AA3004" s="102"/>
      <c r="AB3004" s="1"/>
      <c r="AC3004" s="1"/>
      <c r="AD3004" s="1"/>
      <c r="AE3004" s="1"/>
      <c r="AF3004" s="1"/>
      <c r="AG3004" s="1"/>
    </row>
    <row r="3005" ht="15.75" customHeight="1">
      <c r="A3005" s="1"/>
      <c r="B3005" s="1"/>
      <c r="C3005" s="1"/>
      <c r="D3005" s="1"/>
      <c r="E3005" s="1"/>
      <c r="F3005" s="1"/>
      <c r="G3005" s="1"/>
      <c r="H3005" s="1"/>
      <c r="I3005" s="1"/>
      <c r="J3005" s="1"/>
      <c r="K3005" s="102" t="s">
        <v>5276</v>
      </c>
      <c r="L3005" s="102" t="str">
        <f t="shared" si="36"/>
        <v>J1a2a1a2d2b2b2c4b1c5~</v>
      </c>
      <c r="M3005" s="102" t="s">
        <v>5277</v>
      </c>
      <c r="N3005" s="102" t="s">
        <v>5278</v>
      </c>
      <c r="O3005" s="105">
        <v>8750991.0</v>
      </c>
      <c r="P3005" s="105">
        <v>8882950.0</v>
      </c>
      <c r="Q3005" s="102" t="s">
        <v>2439</v>
      </c>
      <c r="S3005" s="1"/>
      <c r="T3005" s="1"/>
      <c r="U3005" s="1"/>
      <c r="V3005" s="1"/>
      <c r="W3005" s="1"/>
      <c r="X3005" s="1"/>
      <c r="Y3005" s="1"/>
      <c r="Z3005" s="102"/>
      <c r="AA3005" s="102"/>
      <c r="AB3005" s="1"/>
      <c r="AC3005" s="1"/>
      <c r="AD3005" s="1"/>
      <c r="AE3005" s="1"/>
      <c r="AF3005" s="1"/>
      <c r="AG3005" s="1"/>
    </row>
    <row r="3006" ht="15.75" customHeight="1">
      <c r="A3006" s="1"/>
      <c r="B3006" s="1"/>
      <c r="C3006" s="1"/>
      <c r="D3006" s="1"/>
      <c r="E3006" s="1"/>
      <c r="F3006" s="1"/>
      <c r="G3006" s="1"/>
      <c r="H3006" s="1"/>
      <c r="I3006" s="1"/>
      <c r="J3006" s="1"/>
      <c r="K3006" s="102" t="s">
        <v>5277</v>
      </c>
      <c r="L3006" s="102" t="str">
        <f>T172</f>
        <v>J1a2a1a2d2b2b2c4b1c5~</v>
      </c>
      <c r="M3006" s="102" t="s">
        <v>5276</v>
      </c>
      <c r="N3006" s="102" t="s">
        <v>5278</v>
      </c>
      <c r="O3006" s="105">
        <v>8750991.0</v>
      </c>
      <c r="P3006" s="105">
        <v>8882950.0</v>
      </c>
      <c r="Q3006" s="102" t="s">
        <v>2439</v>
      </c>
      <c r="S3006" s="1"/>
      <c r="T3006" s="1"/>
      <c r="U3006" s="1"/>
      <c r="V3006" s="1"/>
      <c r="W3006" s="1"/>
      <c r="X3006" s="1"/>
      <c r="Y3006" s="1"/>
      <c r="Z3006" s="102"/>
      <c r="AA3006" s="102"/>
      <c r="AB3006" s="1"/>
      <c r="AC3006" s="1"/>
      <c r="AD3006" s="1"/>
      <c r="AE3006" s="1"/>
      <c r="AF3006" s="1"/>
      <c r="AG3006" s="1"/>
    </row>
    <row r="3007" ht="15.75" customHeight="1">
      <c r="A3007" s="1"/>
      <c r="B3007" s="1"/>
      <c r="C3007" s="1"/>
      <c r="D3007" s="1"/>
      <c r="E3007" s="1"/>
      <c r="F3007" s="1"/>
      <c r="G3007" s="1"/>
      <c r="H3007" s="1"/>
      <c r="I3007" s="1"/>
      <c r="J3007" s="1"/>
      <c r="K3007" s="102" t="s">
        <v>5279</v>
      </c>
      <c r="L3007" s="102" t="str">
        <f>T172</f>
        <v>J1a2a1a2d2b2b2c4b1c5~</v>
      </c>
      <c r="M3007" s="102" t="s">
        <v>5280</v>
      </c>
      <c r="N3007" s="102" t="s">
        <v>5281</v>
      </c>
      <c r="O3007" s="105">
        <v>1.6759912E7</v>
      </c>
      <c r="P3007" s="105">
        <v>1.4648032E7</v>
      </c>
      <c r="Q3007" s="102" t="s">
        <v>2439</v>
      </c>
      <c r="S3007" s="1"/>
      <c r="T3007" s="1"/>
      <c r="U3007" s="1"/>
      <c r="V3007" s="1"/>
      <c r="W3007" s="1"/>
      <c r="X3007" s="1"/>
      <c r="Y3007" s="1"/>
      <c r="Z3007" s="102"/>
      <c r="AA3007" s="102"/>
      <c r="AB3007" s="1"/>
      <c r="AC3007" s="1"/>
      <c r="AD3007" s="1"/>
      <c r="AE3007" s="1"/>
      <c r="AF3007" s="1"/>
      <c r="AG3007" s="1"/>
    </row>
    <row r="3008" ht="15.75" customHeight="1">
      <c r="A3008" s="1"/>
      <c r="B3008" s="1"/>
      <c r="C3008" s="1"/>
      <c r="D3008" s="1"/>
      <c r="E3008" s="1"/>
      <c r="F3008" s="1"/>
      <c r="G3008" s="1"/>
      <c r="H3008" s="1"/>
      <c r="I3008" s="1"/>
      <c r="J3008" s="1"/>
      <c r="K3008" s="102" t="s">
        <v>5280</v>
      </c>
      <c r="L3008" s="102" t="str">
        <f>T172</f>
        <v>J1a2a1a2d2b2b2c4b1c5~</v>
      </c>
      <c r="M3008" s="102" t="s">
        <v>5279</v>
      </c>
      <c r="N3008" s="102" t="s">
        <v>5281</v>
      </c>
      <c r="O3008" s="105">
        <v>1.6759912E7</v>
      </c>
      <c r="P3008" s="105">
        <v>1.4648032E7</v>
      </c>
      <c r="Q3008" s="102" t="s">
        <v>2439</v>
      </c>
      <c r="S3008" s="1"/>
      <c r="T3008" s="1"/>
      <c r="U3008" s="1"/>
      <c r="V3008" s="1"/>
      <c r="W3008" s="1"/>
      <c r="X3008" s="1"/>
      <c r="Y3008" s="1"/>
      <c r="Z3008" s="102"/>
      <c r="AA3008" s="102"/>
      <c r="AB3008" s="1"/>
      <c r="AC3008" s="1"/>
      <c r="AD3008" s="1"/>
      <c r="AE3008" s="1"/>
      <c r="AF3008" s="1"/>
      <c r="AG3008" s="1"/>
    </row>
    <row r="3009" ht="15.75" customHeight="1">
      <c r="A3009" s="1"/>
      <c r="B3009" s="1"/>
      <c r="C3009" s="1"/>
      <c r="D3009" s="1"/>
      <c r="E3009" s="1"/>
      <c r="F3009" s="1"/>
      <c r="G3009" s="1"/>
      <c r="H3009" s="1"/>
      <c r="I3009" s="1"/>
      <c r="J3009" s="1"/>
      <c r="K3009" s="102" t="s">
        <v>5282</v>
      </c>
      <c r="L3009" s="102" t="str">
        <f>T172</f>
        <v>J1a2a1a2d2b2b2c4b1c5~</v>
      </c>
      <c r="M3009" s="102" t="s">
        <v>5283</v>
      </c>
      <c r="N3009" s="102" t="s">
        <v>5284</v>
      </c>
      <c r="O3009" s="105">
        <v>2.15156E7</v>
      </c>
      <c r="P3009" s="105">
        <v>1.9353714E7</v>
      </c>
      <c r="Q3009" s="102" t="s">
        <v>2533</v>
      </c>
      <c r="S3009" s="1"/>
      <c r="T3009" s="1"/>
      <c r="U3009" s="1"/>
      <c r="V3009" s="1"/>
      <c r="W3009" s="1"/>
      <c r="X3009" s="1"/>
      <c r="Y3009" s="1"/>
      <c r="Z3009" s="102"/>
      <c r="AA3009" s="102"/>
      <c r="AB3009" s="1"/>
      <c r="AC3009" s="1"/>
      <c r="AD3009" s="1"/>
      <c r="AE3009" s="1"/>
      <c r="AF3009" s="1"/>
      <c r="AG3009" s="1"/>
    </row>
    <row r="3010" ht="15.75" customHeight="1">
      <c r="A3010" s="1"/>
      <c r="B3010" s="1"/>
      <c r="C3010" s="1"/>
      <c r="D3010" s="1"/>
      <c r="E3010" s="1"/>
      <c r="F3010" s="1"/>
      <c r="G3010" s="1"/>
      <c r="H3010" s="1"/>
      <c r="I3010" s="1"/>
      <c r="J3010" s="1"/>
      <c r="K3010" s="102" t="s">
        <v>5283</v>
      </c>
      <c r="L3010" s="102" t="str">
        <f>T172</f>
        <v>J1a2a1a2d2b2b2c4b1c5~</v>
      </c>
      <c r="M3010" s="102" t="s">
        <v>5282</v>
      </c>
      <c r="N3010" s="102" t="s">
        <v>5284</v>
      </c>
      <c r="O3010" s="105">
        <v>2.15156E7</v>
      </c>
      <c r="P3010" s="105">
        <v>1.9353714E7</v>
      </c>
      <c r="Q3010" s="102" t="s">
        <v>2533</v>
      </c>
      <c r="S3010" s="1"/>
      <c r="T3010" s="1"/>
      <c r="U3010" s="1"/>
      <c r="V3010" s="1"/>
      <c r="W3010" s="1"/>
      <c r="X3010" s="1"/>
      <c r="Y3010" s="1"/>
      <c r="Z3010" s="102"/>
      <c r="AA3010" s="102"/>
      <c r="AB3010" s="1"/>
      <c r="AC3010" s="1"/>
      <c r="AD3010" s="1"/>
      <c r="AE3010" s="1"/>
      <c r="AF3010" s="1"/>
      <c r="AG3010" s="1"/>
    </row>
    <row r="3011" ht="15.75" customHeight="1">
      <c r="A3011" s="1"/>
      <c r="B3011" s="1"/>
      <c r="C3011" s="1"/>
      <c r="D3011" s="1"/>
      <c r="E3011" s="1"/>
      <c r="F3011" s="1"/>
      <c r="G3011" s="1"/>
      <c r="H3011" s="1"/>
      <c r="I3011" s="1"/>
      <c r="J3011" s="1"/>
      <c r="K3011" s="102" t="s">
        <v>5285</v>
      </c>
      <c r="L3011" s="102" t="str">
        <f>T172</f>
        <v>J1a2a1a2d2b2b2c4b1c5~</v>
      </c>
      <c r="M3011" s="102"/>
      <c r="N3011" s="102" t="s">
        <v>5286</v>
      </c>
      <c r="O3011" s="105">
        <v>8345246.0</v>
      </c>
      <c r="P3011" s="105">
        <v>8477205.0</v>
      </c>
      <c r="Q3011" s="102" t="s">
        <v>2446</v>
      </c>
      <c r="S3011" s="1"/>
      <c r="T3011" s="1"/>
      <c r="U3011" s="1"/>
      <c r="V3011" s="1"/>
      <c r="W3011" s="1"/>
      <c r="X3011" s="1"/>
      <c r="Y3011" s="1"/>
      <c r="Z3011" s="102"/>
      <c r="AA3011" s="102"/>
      <c r="AB3011" s="1"/>
      <c r="AC3011" s="1"/>
      <c r="AD3011" s="1"/>
      <c r="AE3011" s="1"/>
      <c r="AF3011" s="1"/>
      <c r="AG3011" s="1"/>
    </row>
    <row r="3012" ht="15.75" customHeight="1">
      <c r="A3012" s="1"/>
      <c r="B3012" s="1"/>
      <c r="C3012" s="1"/>
      <c r="D3012" s="1"/>
      <c r="E3012" s="1"/>
      <c r="F3012" s="1"/>
      <c r="G3012" s="1"/>
      <c r="H3012" s="1"/>
      <c r="I3012" s="1"/>
      <c r="J3012" s="1"/>
      <c r="K3012" s="102" t="s">
        <v>5287</v>
      </c>
      <c r="L3012" s="102" t="str">
        <f>T172</f>
        <v>J1a2a1a2d2b2b2c4b1c5~</v>
      </c>
      <c r="M3012" s="102"/>
      <c r="N3012" s="102" t="s">
        <v>5288</v>
      </c>
      <c r="O3012" s="105">
        <v>1.4679286E7</v>
      </c>
      <c r="P3012" s="105">
        <v>1.2567352E7</v>
      </c>
      <c r="Q3012" s="102" t="s">
        <v>2468</v>
      </c>
      <c r="S3012" s="1"/>
      <c r="T3012" s="1"/>
      <c r="U3012" s="1"/>
      <c r="V3012" s="1"/>
      <c r="W3012" s="1"/>
      <c r="X3012" s="1"/>
      <c r="Y3012" s="1"/>
      <c r="Z3012" s="102"/>
      <c r="AA3012" s="102"/>
      <c r="AB3012" s="1"/>
      <c r="AC3012" s="1"/>
      <c r="AD3012" s="1"/>
      <c r="AE3012" s="1"/>
      <c r="AF3012" s="1"/>
      <c r="AG3012" s="1"/>
    </row>
    <row r="3013" ht="15.75" customHeight="1">
      <c r="A3013" s="1"/>
      <c r="B3013" s="1"/>
      <c r="C3013" s="1"/>
      <c r="D3013" s="1"/>
      <c r="E3013" s="1"/>
      <c r="F3013" s="1"/>
      <c r="G3013" s="1"/>
      <c r="H3013" s="1"/>
      <c r="I3013" s="1"/>
      <c r="J3013" s="1"/>
      <c r="K3013" s="102" t="s">
        <v>5289</v>
      </c>
      <c r="L3013" s="102" t="str">
        <f>T172</f>
        <v>J1a2a1a2d2b2b2c4b1c5~</v>
      </c>
      <c r="M3013" s="102"/>
      <c r="N3013" s="102" t="s">
        <v>5290</v>
      </c>
      <c r="O3013" s="105">
        <v>1.7226224E7</v>
      </c>
      <c r="P3013" s="105">
        <v>1.5114344E7</v>
      </c>
      <c r="Q3013" s="102" t="s">
        <v>2432</v>
      </c>
      <c r="S3013" s="1"/>
      <c r="T3013" s="1"/>
      <c r="U3013" s="1"/>
      <c r="V3013" s="1"/>
      <c r="W3013" s="1"/>
      <c r="X3013" s="1"/>
      <c r="Y3013" s="1"/>
      <c r="Z3013" s="102"/>
      <c r="AA3013" s="102"/>
      <c r="AB3013" s="1"/>
      <c r="AC3013" s="1"/>
      <c r="AD3013" s="1"/>
      <c r="AE3013" s="1"/>
      <c r="AF3013" s="1"/>
      <c r="AG3013" s="1"/>
    </row>
    <row r="3014" ht="15.75" customHeight="1">
      <c r="A3014" s="1"/>
      <c r="B3014" s="1"/>
      <c r="C3014" s="1"/>
      <c r="D3014" s="1"/>
      <c r="E3014" s="1"/>
      <c r="F3014" s="1"/>
      <c r="G3014" s="1"/>
      <c r="H3014" s="1"/>
      <c r="I3014" s="1"/>
      <c r="J3014" s="1"/>
      <c r="K3014" s="102" t="s">
        <v>5291</v>
      </c>
      <c r="L3014" s="102" t="str">
        <f>T172</f>
        <v>J1a2a1a2d2b2b2c4b1c5~</v>
      </c>
      <c r="M3014" s="102"/>
      <c r="N3014" s="102" t="s">
        <v>5292</v>
      </c>
      <c r="O3014" s="105">
        <v>1.5478908E7</v>
      </c>
      <c r="P3014" s="105">
        <v>1.3367028E7</v>
      </c>
      <c r="Q3014" s="102" t="s">
        <v>2468</v>
      </c>
      <c r="S3014" s="1"/>
      <c r="T3014" s="1"/>
      <c r="U3014" s="1"/>
      <c r="V3014" s="1"/>
      <c r="W3014" s="1"/>
      <c r="X3014" s="1"/>
      <c r="Y3014" s="1"/>
      <c r="Z3014" s="102"/>
      <c r="AA3014" s="102"/>
      <c r="AB3014" s="1"/>
      <c r="AC3014" s="1"/>
      <c r="AD3014" s="1"/>
      <c r="AE3014" s="1"/>
      <c r="AF3014" s="1"/>
      <c r="AG3014" s="1"/>
    </row>
    <row r="3015" ht="15.75" customHeight="1">
      <c r="A3015" s="1"/>
      <c r="B3015" s="1"/>
      <c r="C3015" s="1"/>
      <c r="D3015" s="1"/>
      <c r="E3015" s="1"/>
      <c r="F3015" s="1"/>
      <c r="G3015" s="1"/>
      <c r="H3015" s="1"/>
      <c r="I3015" s="1"/>
      <c r="J3015" s="1"/>
      <c r="K3015" s="102" t="s">
        <v>5293</v>
      </c>
      <c r="L3015" s="102" t="str">
        <f>T172</f>
        <v>J1a2a1a2d2b2b2c4b1c5~</v>
      </c>
      <c r="M3015" s="102"/>
      <c r="N3015" s="102" t="s">
        <v>5294</v>
      </c>
      <c r="O3015" s="105">
        <v>1.7420963E7</v>
      </c>
      <c r="P3015" s="105">
        <v>1.5309083E7</v>
      </c>
      <c r="Q3015" s="102" t="s">
        <v>2439</v>
      </c>
      <c r="S3015" s="1"/>
      <c r="T3015" s="1"/>
      <c r="U3015" s="1"/>
      <c r="V3015" s="1"/>
      <c r="W3015" s="1"/>
      <c r="X3015" s="1"/>
      <c r="Y3015" s="1"/>
      <c r="Z3015" s="102"/>
      <c r="AA3015" s="102"/>
      <c r="AB3015" s="1"/>
      <c r="AC3015" s="1"/>
      <c r="AD3015" s="1"/>
      <c r="AE3015" s="1"/>
      <c r="AF3015" s="1"/>
      <c r="AG3015" s="1"/>
    </row>
    <row r="3016" ht="15.75" customHeight="1">
      <c r="A3016" s="1"/>
      <c r="B3016" s="1"/>
      <c r="C3016" s="1"/>
      <c r="D3016" s="1"/>
      <c r="E3016" s="1"/>
      <c r="F3016" s="1"/>
      <c r="G3016" s="1"/>
      <c r="H3016" s="1"/>
      <c r="I3016" s="1"/>
      <c r="J3016" s="1"/>
      <c r="K3016" s="102" t="s">
        <v>5295</v>
      </c>
      <c r="L3016" s="102" t="str">
        <f>U173</f>
        <v>J1a2a1a2d2b2b2c4b1c5a~</v>
      </c>
      <c r="M3016" s="102" t="s">
        <v>5296</v>
      </c>
      <c r="N3016" s="102"/>
      <c r="O3016" s="105">
        <v>8910897.0</v>
      </c>
      <c r="P3016" s="105">
        <v>9042856.0</v>
      </c>
      <c r="Q3016" s="102" t="s">
        <v>2501</v>
      </c>
      <c r="S3016" s="1"/>
      <c r="T3016" s="1"/>
      <c r="U3016" s="1"/>
      <c r="V3016" s="1"/>
      <c r="W3016" s="1"/>
      <c r="X3016" s="1"/>
      <c r="Y3016" s="1"/>
      <c r="Z3016" s="102"/>
      <c r="AA3016" s="102"/>
      <c r="AB3016" s="1"/>
      <c r="AC3016" s="1"/>
      <c r="AD3016" s="1"/>
      <c r="AE3016" s="1"/>
      <c r="AF3016" s="1"/>
      <c r="AG3016" s="1"/>
    </row>
    <row r="3017" ht="15.75" customHeight="1">
      <c r="A3017" s="1"/>
      <c r="B3017" s="1"/>
      <c r="C3017" s="1"/>
      <c r="D3017" s="1"/>
      <c r="E3017" s="1"/>
      <c r="F3017" s="1"/>
      <c r="G3017" s="1"/>
      <c r="H3017" s="1"/>
      <c r="I3017" s="1"/>
      <c r="J3017" s="1"/>
      <c r="K3017" s="102" t="s">
        <v>5296</v>
      </c>
      <c r="L3017" s="102" t="str">
        <f>U173</f>
        <v>J1a2a1a2d2b2b2c4b1c5a~</v>
      </c>
      <c r="M3017" s="102" t="s">
        <v>5295</v>
      </c>
      <c r="N3017" s="102"/>
      <c r="O3017" s="105">
        <v>8910897.0</v>
      </c>
      <c r="P3017" s="105">
        <v>9042856.0</v>
      </c>
      <c r="Q3017" s="102" t="s">
        <v>2501</v>
      </c>
      <c r="S3017" s="1"/>
      <c r="T3017" s="1"/>
      <c r="U3017" s="1"/>
      <c r="V3017" s="1"/>
      <c r="W3017" s="1"/>
      <c r="X3017" s="1"/>
      <c r="Y3017" s="1"/>
      <c r="Z3017" s="102"/>
      <c r="AA3017" s="102"/>
      <c r="AB3017" s="1"/>
      <c r="AC3017" s="1"/>
      <c r="AD3017" s="1"/>
      <c r="AE3017" s="1"/>
      <c r="AF3017" s="1"/>
      <c r="AG3017" s="1"/>
    </row>
    <row r="3018" ht="15.75" customHeight="1">
      <c r="A3018" s="1"/>
      <c r="B3018" s="1"/>
      <c r="C3018" s="1"/>
      <c r="D3018" s="1"/>
      <c r="E3018" s="1"/>
      <c r="F3018" s="1"/>
      <c r="G3018" s="1"/>
      <c r="H3018" s="1"/>
      <c r="I3018" s="1"/>
      <c r="J3018" s="1"/>
      <c r="K3018" s="102" t="s">
        <v>5297</v>
      </c>
      <c r="L3018" s="102" t="str">
        <f>U173</f>
        <v>J1a2a1a2d2b2b2c4b1c5a~</v>
      </c>
      <c r="M3018" s="102" t="s">
        <v>5298</v>
      </c>
      <c r="N3018" s="102" t="s">
        <v>5299</v>
      </c>
      <c r="O3018" s="105">
        <v>1.7254424E7</v>
      </c>
      <c r="P3018" s="105">
        <v>1.5142544E7</v>
      </c>
      <c r="Q3018" s="102" t="s">
        <v>2439</v>
      </c>
      <c r="S3018" s="1"/>
      <c r="T3018" s="1"/>
      <c r="U3018" s="1"/>
      <c r="V3018" s="1"/>
      <c r="W3018" s="1"/>
      <c r="X3018" s="1"/>
      <c r="Y3018" s="1"/>
      <c r="Z3018" s="102"/>
      <c r="AA3018" s="102"/>
      <c r="AB3018" s="1"/>
      <c r="AC3018" s="1"/>
      <c r="AD3018" s="1"/>
      <c r="AE3018" s="1"/>
      <c r="AF3018" s="1"/>
      <c r="AG3018" s="1"/>
    </row>
    <row r="3019" ht="15.75" customHeight="1">
      <c r="A3019" s="1"/>
      <c r="B3019" s="1"/>
      <c r="C3019" s="1"/>
      <c r="D3019" s="1"/>
      <c r="E3019" s="1"/>
      <c r="F3019" s="1"/>
      <c r="G3019" s="1"/>
      <c r="H3019" s="1"/>
      <c r="I3019" s="1"/>
      <c r="J3019" s="1"/>
      <c r="K3019" s="102" t="s">
        <v>5298</v>
      </c>
      <c r="L3019" s="102" t="str">
        <f>U173</f>
        <v>J1a2a1a2d2b2b2c4b1c5a~</v>
      </c>
      <c r="M3019" s="102" t="s">
        <v>5297</v>
      </c>
      <c r="N3019" s="102" t="s">
        <v>5299</v>
      </c>
      <c r="O3019" s="105">
        <v>1.7254424E7</v>
      </c>
      <c r="P3019" s="105">
        <v>1.5142544E7</v>
      </c>
      <c r="Q3019" s="102" t="s">
        <v>2439</v>
      </c>
      <c r="S3019" s="1"/>
      <c r="T3019" s="1"/>
      <c r="U3019" s="1"/>
      <c r="V3019" s="1"/>
      <c r="W3019" s="1"/>
      <c r="X3019" s="1"/>
      <c r="Y3019" s="1"/>
      <c r="Z3019" s="102"/>
      <c r="AA3019" s="102"/>
      <c r="AB3019" s="1"/>
      <c r="AC3019" s="1"/>
      <c r="AD3019" s="1"/>
      <c r="AE3019" s="1"/>
      <c r="AF3019" s="1"/>
      <c r="AG3019" s="1"/>
    </row>
    <row r="3020" ht="15.75" customHeight="1">
      <c r="A3020" s="1"/>
      <c r="B3020" s="1"/>
      <c r="C3020" s="1"/>
      <c r="D3020" s="1"/>
      <c r="E3020" s="1"/>
      <c r="F3020" s="1"/>
      <c r="G3020" s="1"/>
      <c r="H3020" s="1"/>
      <c r="I3020" s="1"/>
      <c r="J3020" s="1"/>
      <c r="K3020" s="102" t="s">
        <v>5300</v>
      </c>
      <c r="L3020" s="102" t="str">
        <f>U173</f>
        <v>J1a2a1a2d2b2b2c4b1c5a~</v>
      </c>
      <c r="M3020" s="102"/>
      <c r="N3020" s="102" t="s">
        <v>5301</v>
      </c>
      <c r="O3020" s="105">
        <v>1.6287525E7</v>
      </c>
      <c r="P3020" s="105">
        <v>1.4175645E7</v>
      </c>
      <c r="Q3020" s="102" t="s">
        <v>2468</v>
      </c>
      <c r="S3020" s="1"/>
      <c r="T3020" s="1"/>
      <c r="U3020" s="1"/>
      <c r="V3020" s="1"/>
      <c r="W3020" s="1"/>
      <c r="X3020" s="1"/>
      <c r="Y3020" s="1"/>
      <c r="Z3020" s="102"/>
      <c r="AA3020" s="102"/>
      <c r="AB3020" s="1"/>
      <c r="AC3020" s="1"/>
      <c r="AD3020" s="1"/>
      <c r="AE3020" s="1"/>
      <c r="AF3020" s="1"/>
      <c r="AG3020" s="1"/>
    </row>
    <row r="3021" ht="15.75" customHeight="1">
      <c r="A3021" s="1"/>
      <c r="B3021" s="1"/>
      <c r="C3021" s="1"/>
      <c r="D3021" s="1"/>
      <c r="E3021" s="1"/>
      <c r="F3021" s="1"/>
      <c r="G3021" s="1"/>
      <c r="H3021" s="1"/>
      <c r="I3021" s="1"/>
      <c r="J3021" s="1"/>
      <c r="K3021" s="106" t="s">
        <v>5302</v>
      </c>
      <c r="L3021" s="102" t="str">
        <f>V174</f>
        <v>J1a2a1a2d2b2b2c4b1c5a1~</v>
      </c>
      <c r="M3021" s="106" t="s">
        <v>5303</v>
      </c>
      <c r="N3021" s="102"/>
      <c r="O3021" s="107">
        <v>2.2254665E7</v>
      </c>
      <c r="P3021" s="109">
        <v>2.0092779E7</v>
      </c>
      <c r="Q3021" s="106" t="s">
        <v>2576</v>
      </c>
      <c r="S3021" s="1"/>
      <c r="T3021" s="1"/>
      <c r="U3021" s="1"/>
      <c r="V3021" s="1"/>
      <c r="W3021" s="1"/>
      <c r="X3021" s="1"/>
      <c r="Y3021" s="1"/>
      <c r="Z3021" s="102">
        <v>1.8755308E7</v>
      </c>
      <c r="AA3021" s="102" t="s">
        <v>5304</v>
      </c>
      <c r="AB3021" s="1"/>
      <c r="AC3021" s="1"/>
      <c r="AD3021" s="1"/>
      <c r="AE3021" s="1"/>
      <c r="AF3021" s="1"/>
      <c r="AG3021" s="1"/>
    </row>
    <row r="3022" ht="15.75" customHeight="1">
      <c r="A3022" s="1"/>
      <c r="B3022" s="1"/>
      <c r="C3022" s="1"/>
      <c r="D3022" s="1"/>
      <c r="E3022" s="1"/>
      <c r="F3022" s="1"/>
      <c r="G3022" s="1"/>
      <c r="H3022" s="1"/>
      <c r="I3022" s="1"/>
      <c r="J3022" s="1"/>
      <c r="K3022" s="106" t="s">
        <v>5303</v>
      </c>
      <c r="L3022" s="102" t="str">
        <f>V174</f>
        <v>J1a2a1a2d2b2b2c4b1c5a1~</v>
      </c>
      <c r="M3022" s="106" t="s">
        <v>5302</v>
      </c>
      <c r="N3022" s="106" t="s">
        <v>13</v>
      </c>
      <c r="O3022" s="107">
        <v>2.2254665E7</v>
      </c>
      <c r="P3022" s="109">
        <v>2.0092779E7</v>
      </c>
      <c r="Q3022" s="106" t="s">
        <v>2576</v>
      </c>
      <c r="S3022" s="1"/>
      <c r="T3022" s="1"/>
      <c r="U3022" s="1"/>
      <c r="V3022" s="1"/>
      <c r="W3022" s="1"/>
      <c r="X3022" s="1"/>
      <c r="Y3022" s="1"/>
      <c r="Z3022" s="102"/>
      <c r="AA3022" s="102"/>
      <c r="AB3022" s="1"/>
      <c r="AC3022" s="1"/>
      <c r="AD3022" s="1"/>
      <c r="AE3022" s="1"/>
      <c r="AF3022" s="1"/>
      <c r="AG3022" s="1"/>
    </row>
    <row r="3023" ht="15.75" customHeight="1">
      <c r="A3023" s="1"/>
      <c r="B3023" s="1"/>
      <c r="C3023" s="1"/>
      <c r="D3023" s="1"/>
      <c r="E3023" s="1"/>
      <c r="F3023" s="1"/>
      <c r="G3023" s="1"/>
      <c r="H3023" s="1"/>
      <c r="I3023" s="1"/>
      <c r="J3023" s="1"/>
      <c r="K3023" s="102" t="s">
        <v>319</v>
      </c>
      <c r="L3023" s="102" t="str">
        <f>W175</f>
        <v>J1a2a1a2d2b2b2c4b1c5a1a~</v>
      </c>
      <c r="M3023" s="102"/>
      <c r="N3023" s="102" t="s">
        <v>5305</v>
      </c>
      <c r="O3023" s="105">
        <v>1.625055E7</v>
      </c>
      <c r="P3023" s="105">
        <v>1.413867E7</v>
      </c>
      <c r="Q3023" s="102" t="s">
        <v>2468</v>
      </c>
      <c r="S3023" s="1"/>
      <c r="T3023" s="1"/>
      <c r="U3023" s="1"/>
      <c r="V3023" s="1"/>
      <c r="W3023" s="1"/>
      <c r="X3023" s="1"/>
      <c r="Y3023" s="1"/>
      <c r="Z3023" s="102"/>
      <c r="AA3023" s="102"/>
      <c r="AB3023" s="1"/>
      <c r="AC3023" s="1"/>
      <c r="AD3023" s="1"/>
      <c r="AE3023" s="1"/>
      <c r="AF3023" s="1"/>
      <c r="AG3023" s="1"/>
    </row>
    <row r="3024" ht="15.75" customHeight="1">
      <c r="A3024" s="1"/>
      <c r="B3024" s="1"/>
      <c r="C3024" s="1"/>
      <c r="D3024" s="1"/>
      <c r="E3024" s="1"/>
      <c r="F3024" s="1"/>
      <c r="G3024" s="1"/>
      <c r="H3024" s="1"/>
      <c r="I3024" s="1"/>
      <c r="J3024" s="1"/>
      <c r="K3024" s="102" t="s">
        <v>5306</v>
      </c>
      <c r="L3024" s="102" t="str">
        <f>X176</f>
        <v>J1a2a1a2d2b2b2c4b1c5a1a1~</v>
      </c>
      <c r="M3024" s="102"/>
      <c r="N3024" s="102" t="s">
        <v>5307</v>
      </c>
      <c r="O3024" s="105">
        <v>2822953.0</v>
      </c>
      <c r="P3024" s="105">
        <v>2954912.0</v>
      </c>
      <c r="Q3024" s="102" t="s">
        <v>2563</v>
      </c>
      <c r="S3024" s="1"/>
      <c r="T3024" s="1"/>
      <c r="U3024" s="1"/>
      <c r="V3024" s="1"/>
      <c r="W3024" s="1"/>
      <c r="X3024" s="1"/>
      <c r="Y3024" s="1"/>
      <c r="Z3024" s="102"/>
      <c r="AA3024" s="102"/>
      <c r="AB3024" s="1"/>
      <c r="AC3024" s="1"/>
      <c r="AD3024" s="1"/>
      <c r="AE3024" s="1"/>
      <c r="AF3024" s="1"/>
      <c r="AG3024" s="1"/>
    </row>
    <row r="3025" ht="15.75" customHeight="1">
      <c r="A3025" s="1"/>
      <c r="B3025" s="1"/>
      <c r="C3025" s="1"/>
      <c r="D3025" s="1"/>
      <c r="E3025" s="1"/>
      <c r="F3025" s="1"/>
      <c r="G3025" s="1"/>
      <c r="H3025" s="1"/>
      <c r="I3025" s="1"/>
      <c r="J3025" s="1"/>
      <c r="K3025" s="102" t="s">
        <v>5308</v>
      </c>
      <c r="L3025" s="102" t="str">
        <f t="shared" ref="L3025:L3026" si="37">X176</f>
        <v>J1a2a1a2d2b2b2c4b1c5a1a1~</v>
      </c>
      <c r="M3025" s="102"/>
      <c r="N3025" s="102" t="s">
        <v>5309</v>
      </c>
      <c r="O3025" s="105">
        <v>2825503.0</v>
      </c>
      <c r="P3025" s="105">
        <v>2957462.0</v>
      </c>
      <c r="Q3025" s="102" t="s">
        <v>2501</v>
      </c>
      <c r="S3025" s="1"/>
      <c r="T3025" s="1"/>
      <c r="U3025" s="1"/>
      <c r="V3025" s="1"/>
      <c r="W3025" s="1"/>
      <c r="X3025" s="1"/>
      <c r="Y3025" s="1"/>
      <c r="Z3025" s="102"/>
      <c r="AA3025" s="102"/>
      <c r="AB3025" s="1"/>
      <c r="AC3025" s="1"/>
      <c r="AD3025" s="1"/>
      <c r="AE3025" s="1"/>
      <c r="AF3025" s="1"/>
      <c r="AG3025" s="1"/>
    </row>
    <row r="3026" ht="15.75" customHeight="1">
      <c r="A3026" s="1"/>
      <c r="B3026" s="1"/>
      <c r="C3026" s="1"/>
      <c r="D3026" s="1"/>
      <c r="E3026" s="1"/>
      <c r="F3026" s="1"/>
      <c r="G3026" s="1"/>
      <c r="H3026" s="1"/>
      <c r="I3026" s="1"/>
      <c r="J3026" s="1"/>
      <c r="K3026" s="102" t="s">
        <v>5310</v>
      </c>
      <c r="L3026" s="102" t="str">
        <f t="shared" si="37"/>
        <v>J1a2a1a2d2b2b2c4b1c5a1a2~</v>
      </c>
      <c r="M3026" s="102"/>
      <c r="N3026" s="102"/>
      <c r="O3026" s="105">
        <v>1.7528857E7</v>
      </c>
      <c r="P3026" s="105">
        <v>1.5416977E7</v>
      </c>
      <c r="Q3026" s="102" t="s">
        <v>2439</v>
      </c>
      <c r="S3026" s="1"/>
      <c r="T3026" s="1"/>
      <c r="U3026" s="1"/>
      <c r="V3026" s="1"/>
      <c r="W3026" s="1"/>
      <c r="X3026" s="1"/>
      <c r="Y3026" s="1"/>
      <c r="Z3026" s="102"/>
      <c r="AA3026" s="102"/>
      <c r="AB3026" s="1"/>
      <c r="AC3026" s="1"/>
      <c r="AD3026" s="1"/>
      <c r="AE3026" s="1"/>
      <c r="AF3026" s="1"/>
      <c r="AG3026" s="1"/>
    </row>
    <row r="3027" ht="15.75" customHeight="1">
      <c r="A3027" s="1"/>
      <c r="B3027" s="1"/>
      <c r="C3027" s="1"/>
      <c r="D3027" s="1"/>
      <c r="E3027" s="1"/>
      <c r="F3027" s="1"/>
      <c r="G3027" s="1"/>
      <c r="H3027" s="1"/>
      <c r="I3027" s="1"/>
      <c r="J3027" s="1"/>
      <c r="K3027" s="102" t="s">
        <v>5311</v>
      </c>
      <c r="L3027" s="102" t="str">
        <f>X177</f>
        <v>J1a2a1a2d2b2b2c4b1c5a1a2~</v>
      </c>
      <c r="M3027" s="102"/>
      <c r="N3027" s="102" t="s">
        <v>5312</v>
      </c>
      <c r="O3027" s="102">
        <v>1.7251585E7</v>
      </c>
      <c r="P3027" s="102">
        <v>1.5139705E7</v>
      </c>
      <c r="Q3027" s="102" t="s">
        <v>2454</v>
      </c>
      <c r="S3027" s="1"/>
      <c r="T3027" s="1"/>
      <c r="U3027" s="1"/>
      <c r="V3027" s="1"/>
      <c r="W3027" s="1"/>
      <c r="X3027" s="1"/>
      <c r="Y3027" s="1"/>
      <c r="Z3027" s="102">
        <v>1.7251585E7</v>
      </c>
      <c r="AA3027" s="102" t="s">
        <v>5313</v>
      </c>
      <c r="AB3027" s="1"/>
      <c r="AC3027" s="1"/>
      <c r="AD3027" s="1"/>
      <c r="AE3027" s="1"/>
      <c r="AF3027" s="1"/>
      <c r="AG3027" s="1"/>
    </row>
    <row r="3028" ht="15.75" customHeight="1">
      <c r="A3028" s="1"/>
      <c r="B3028" s="1"/>
      <c r="C3028" s="1"/>
      <c r="D3028" s="1"/>
      <c r="E3028" s="1"/>
      <c r="F3028" s="1"/>
      <c r="G3028" s="1"/>
      <c r="H3028" s="1"/>
      <c r="I3028" s="1"/>
      <c r="J3028" s="1"/>
      <c r="K3028" s="102" t="s">
        <v>325</v>
      </c>
      <c r="L3028" s="102" t="str">
        <f>Y178</f>
        <v>J1a2a1a2d2b2b2c4b1c5a1a2a~</v>
      </c>
      <c r="M3028" s="102"/>
      <c r="N3028" s="102"/>
      <c r="O3028" s="105">
        <v>2.1810112E7</v>
      </c>
      <c r="P3028" s="105">
        <v>1.9648226E7</v>
      </c>
      <c r="Q3028" s="102" t="s">
        <v>2454</v>
      </c>
      <c r="S3028" s="1"/>
      <c r="T3028" s="1"/>
      <c r="U3028" s="1"/>
      <c r="V3028" s="1"/>
      <c r="W3028" s="1"/>
      <c r="X3028" s="1"/>
      <c r="Y3028" s="1"/>
      <c r="Z3028" s="102"/>
      <c r="AA3028" s="102"/>
      <c r="AB3028" s="1"/>
      <c r="AC3028" s="1"/>
      <c r="AD3028" s="1"/>
      <c r="AE3028" s="1"/>
      <c r="AF3028" s="1"/>
      <c r="AG3028" s="1"/>
    </row>
    <row r="3029" ht="15.75" customHeight="1">
      <c r="A3029" s="1"/>
      <c r="B3029" s="1"/>
      <c r="C3029" s="1"/>
      <c r="D3029" s="1"/>
      <c r="E3029" s="1"/>
      <c r="F3029" s="1"/>
      <c r="G3029" s="1"/>
      <c r="H3029" s="1"/>
      <c r="I3029" s="1"/>
      <c r="J3029" s="1"/>
      <c r="K3029" s="102" t="s">
        <v>327</v>
      </c>
      <c r="L3029" s="102" t="str">
        <f>Z179</f>
        <v>J1a2a1a2d2b2b2c4b1c5a1a2a1~</v>
      </c>
      <c r="M3029" s="102"/>
      <c r="N3029" s="102"/>
      <c r="O3029" s="105">
        <v>1.4312354E7</v>
      </c>
      <c r="P3029" s="105">
        <v>1.2191648E7</v>
      </c>
      <c r="Q3029" s="102" t="s">
        <v>2446</v>
      </c>
      <c r="S3029" s="1"/>
      <c r="T3029" s="1"/>
      <c r="U3029" s="1"/>
      <c r="V3029" s="1"/>
      <c r="W3029" s="1"/>
      <c r="X3029" s="1"/>
      <c r="Y3029" s="1"/>
      <c r="Z3029" s="102"/>
      <c r="AA3029" s="102"/>
      <c r="AB3029" s="1"/>
      <c r="AC3029" s="1"/>
      <c r="AD3029" s="1"/>
      <c r="AE3029" s="1"/>
      <c r="AF3029" s="1"/>
      <c r="AG3029" s="1"/>
    </row>
    <row r="3030" ht="15.75" customHeight="1">
      <c r="A3030" s="1"/>
      <c r="B3030" s="1"/>
      <c r="C3030" s="1"/>
      <c r="D3030" s="1"/>
      <c r="E3030" s="1"/>
      <c r="F3030" s="1"/>
      <c r="G3030" s="1"/>
      <c r="H3030" s="1"/>
      <c r="I3030" s="1"/>
      <c r="J3030" s="1"/>
      <c r="K3030" s="102" t="s">
        <v>5314</v>
      </c>
      <c r="L3030" s="102" t="str">
        <f>AA180</f>
        <v>J1a2a1a2d2b2b2c4b1c5a1a2a1a~</v>
      </c>
      <c r="M3030" s="102"/>
      <c r="N3030" s="102"/>
      <c r="O3030" s="105">
        <v>9814649.0</v>
      </c>
      <c r="P3030" s="105">
        <v>9977040.0</v>
      </c>
      <c r="Q3030" s="102" t="s">
        <v>2439</v>
      </c>
      <c r="S3030" s="1"/>
      <c r="T3030" s="1"/>
      <c r="U3030" s="1"/>
      <c r="V3030" s="1"/>
      <c r="W3030" s="1"/>
      <c r="X3030" s="1"/>
      <c r="Y3030" s="1"/>
      <c r="Z3030" s="102"/>
      <c r="AA3030" s="102"/>
      <c r="AB3030" s="1"/>
      <c r="AC3030" s="1"/>
      <c r="AD3030" s="1"/>
      <c r="AE3030" s="1"/>
      <c r="AF3030" s="1"/>
      <c r="AG3030" s="1"/>
    </row>
    <row r="3031" ht="15.75" customHeight="1">
      <c r="A3031" s="1"/>
      <c r="B3031" s="1"/>
      <c r="C3031" s="1"/>
      <c r="D3031" s="1"/>
      <c r="E3031" s="1"/>
      <c r="F3031" s="1"/>
      <c r="G3031" s="1"/>
      <c r="H3031" s="1"/>
      <c r="I3031" s="1"/>
      <c r="J3031" s="1"/>
      <c r="K3031" s="102" t="s">
        <v>5315</v>
      </c>
      <c r="L3031" s="102" t="str">
        <f>AA180</f>
        <v>J1a2a1a2d2b2b2c4b1c5a1a2a1a~</v>
      </c>
      <c r="M3031" s="102"/>
      <c r="N3031" s="102"/>
      <c r="O3031" s="105">
        <v>1.5712656E7</v>
      </c>
      <c r="P3031" s="105">
        <v>1.3600776E7</v>
      </c>
      <c r="Q3031" s="102" t="s">
        <v>2439</v>
      </c>
      <c r="S3031" s="1"/>
      <c r="T3031" s="1"/>
      <c r="U3031" s="1"/>
      <c r="V3031" s="1"/>
      <c r="W3031" s="1"/>
      <c r="X3031" s="1"/>
      <c r="Y3031" s="1"/>
      <c r="Z3031" s="102"/>
      <c r="AA3031" s="102"/>
      <c r="AB3031" s="1"/>
      <c r="AC3031" s="1"/>
      <c r="AD3031" s="1"/>
      <c r="AE3031" s="1"/>
      <c r="AF3031" s="1"/>
      <c r="AG3031" s="1"/>
    </row>
    <row r="3032" ht="15.75" customHeight="1">
      <c r="A3032" s="1"/>
      <c r="B3032" s="1"/>
      <c r="C3032" s="1"/>
      <c r="D3032" s="1"/>
      <c r="E3032" s="1"/>
      <c r="F3032" s="1"/>
      <c r="G3032" s="1"/>
      <c r="H3032" s="1"/>
      <c r="I3032" s="1"/>
      <c r="J3032" s="1"/>
      <c r="K3032" s="102" t="s">
        <v>5316</v>
      </c>
      <c r="L3032" s="102" t="str">
        <f>AA180</f>
        <v>J1a2a1a2d2b2b2c4b1c5a1a2a1a~</v>
      </c>
      <c r="M3032" s="102"/>
      <c r="N3032" s="102"/>
      <c r="O3032" s="105">
        <v>2.3112058E7</v>
      </c>
      <c r="P3032" s="105">
        <v>2.0950172E7</v>
      </c>
      <c r="Q3032" s="102" t="s">
        <v>2514</v>
      </c>
      <c r="S3032" s="1"/>
      <c r="T3032" s="1"/>
      <c r="U3032" s="1"/>
      <c r="V3032" s="1"/>
      <c r="W3032" s="1"/>
      <c r="X3032" s="1"/>
      <c r="Y3032" s="1"/>
      <c r="Z3032" s="102"/>
      <c r="AA3032" s="102"/>
      <c r="AB3032" s="1"/>
      <c r="AC3032" s="1"/>
      <c r="AD3032" s="1"/>
      <c r="AE3032" s="1"/>
      <c r="AF3032" s="1"/>
      <c r="AG3032" s="1"/>
    </row>
    <row r="3033" ht="15.75" customHeight="1">
      <c r="A3033" s="1"/>
      <c r="B3033" s="1"/>
      <c r="C3033" s="1"/>
      <c r="D3033" s="1"/>
      <c r="E3033" s="1"/>
      <c r="F3033" s="1"/>
      <c r="G3033" s="1"/>
      <c r="H3033" s="1"/>
      <c r="I3033" s="1"/>
      <c r="J3033" s="1"/>
      <c r="K3033" s="102" t="s">
        <v>5317</v>
      </c>
      <c r="L3033" s="102" t="str">
        <f t="shared" ref="L3033:L3034" si="38">AA180</f>
        <v>J1a2a1a2d2b2b2c4b1c5a1a2a1a~</v>
      </c>
      <c r="M3033" s="102"/>
      <c r="N3033" s="102"/>
      <c r="O3033" s="105">
        <v>2.3296505E7</v>
      </c>
      <c r="P3033" s="105">
        <v>2.1134619E7</v>
      </c>
      <c r="Q3033" s="102" t="s">
        <v>2501</v>
      </c>
      <c r="S3033" s="1"/>
      <c r="T3033" s="1"/>
      <c r="U3033" s="1"/>
      <c r="V3033" s="1"/>
      <c r="W3033" s="1"/>
      <c r="X3033" s="1"/>
      <c r="Y3033" s="1"/>
      <c r="Z3033" s="102"/>
      <c r="AA3033" s="102"/>
      <c r="AB3033" s="1"/>
      <c r="AC3033" s="1"/>
      <c r="AD3033" s="1"/>
      <c r="AE3033" s="1"/>
      <c r="AF3033" s="1"/>
      <c r="AG3033" s="1"/>
    </row>
    <row r="3034" ht="15.75" customHeight="1">
      <c r="A3034" s="1"/>
      <c r="B3034" s="1"/>
      <c r="C3034" s="1"/>
      <c r="D3034" s="1"/>
      <c r="E3034" s="1"/>
      <c r="F3034" s="1"/>
      <c r="G3034" s="1"/>
      <c r="H3034" s="1"/>
      <c r="I3034" s="1"/>
      <c r="J3034" s="1"/>
      <c r="K3034" s="102" t="s">
        <v>5318</v>
      </c>
      <c r="L3034" s="102" t="str">
        <f t="shared" si="38"/>
        <v>J1a2a1a2d2b2b2c4b1c5a1a2a1b~</v>
      </c>
      <c r="M3034" s="102" t="s">
        <v>5319</v>
      </c>
      <c r="N3034" s="102" t="s">
        <v>5320</v>
      </c>
      <c r="O3034" s="105">
        <v>8054133.0</v>
      </c>
      <c r="P3034" s="105">
        <v>8186092.0</v>
      </c>
      <c r="Q3034" s="102" t="s">
        <v>2529</v>
      </c>
      <c r="S3034" s="1"/>
      <c r="T3034" s="1"/>
      <c r="U3034" s="1"/>
      <c r="V3034" s="1"/>
      <c r="W3034" s="1"/>
      <c r="X3034" s="1"/>
      <c r="Y3034" s="1"/>
      <c r="Z3034" s="102"/>
      <c r="AA3034" s="102"/>
      <c r="AB3034" s="1"/>
      <c r="AC3034" s="1"/>
      <c r="AD3034" s="1"/>
      <c r="AE3034" s="1"/>
      <c r="AF3034" s="1"/>
      <c r="AG3034" s="1"/>
    </row>
    <row r="3035" ht="15.75" customHeight="1">
      <c r="A3035" s="1"/>
      <c r="B3035" s="1"/>
      <c r="C3035" s="1"/>
      <c r="D3035" s="1"/>
      <c r="E3035" s="1"/>
      <c r="F3035" s="1"/>
      <c r="G3035" s="1"/>
      <c r="H3035" s="1"/>
      <c r="I3035" s="1"/>
      <c r="J3035" s="1"/>
      <c r="K3035" s="102" t="s">
        <v>5319</v>
      </c>
      <c r="L3035" s="102" t="str">
        <f>AA181</f>
        <v>J1a2a1a2d2b2b2c4b1c5a1a2a1b~</v>
      </c>
      <c r="M3035" s="102" t="s">
        <v>5318</v>
      </c>
      <c r="N3035" s="102" t="s">
        <v>5320</v>
      </c>
      <c r="O3035" s="105">
        <v>8054133.0</v>
      </c>
      <c r="P3035" s="105">
        <v>8186092.0</v>
      </c>
      <c r="Q3035" s="102" t="s">
        <v>2529</v>
      </c>
      <c r="S3035" s="1"/>
      <c r="T3035" s="1"/>
      <c r="U3035" s="1"/>
      <c r="V3035" s="1"/>
      <c r="W3035" s="1"/>
      <c r="X3035" s="1"/>
      <c r="Y3035" s="1"/>
      <c r="Z3035" s="102"/>
      <c r="AA3035" s="102"/>
      <c r="AB3035" s="1"/>
      <c r="AC3035" s="1"/>
      <c r="AD3035" s="1"/>
      <c r="AE3035" s="1"/>
      <c r="AF3035" s="1"/>
      <c r="AG3035" s="1"/>
    </row>
    <row r="3036" ht="15.75" customHeight="1">
      <c r="A3036" s="1"/>
      <c r="B3036" s="1"/>
      <c r="C3036" s="1"/>
      <c r="D3036" s="1"/>
      <c r="E3036" s="1"/>
      <c r="F3036" s="1"/>
      <c r="G3036" s="1"/>
      <c r="H3036" s="1"/>
      <c r="I3036" s="1"/>
      <c r="J3036" s="1"/>
      <c r="K3036" s="102" t="s">
        <v>5321</v>
      </c>
      <c r="L3036" s="102" t="str">
        <f>AA181</f>
        <v>J1a2a1a2d2b2b2c4b1c5a1a2a1b~</v>
      </c>
      <c r="M3036" s="102" t="s">
        <v>5322</v>
      </c>
      <c r="N3036" s="102" t="s">
        <v>5323</v>
      </c>
      <c r="O3036" s="105">
        <v>6742740.0</v>
      </c>
      <c r="P3036" s="105">
        <v>6874699.0</v>
      </c>
      <c r="Q3036" s="102" t="s">
        <v>2533</v>
      </c>
      <c r="S3036" s="1"/>
      <c r="T3036" s="1"/>
      <c r="U3036" s="1"/>
      <c r="V3036" s="1"/>
      <c r="W3036" s="1"/>
      <c r="X3036" s="1"/>
      <c r="Y3036" s="1"/>
      <c r="Z3036" s="102"/>
      <c r="AA3036" s="102"/>
      <c r="AB3036" s="1"/>
      <c r="AC3036" s="1"/>
      <c r="AD3036" s="1"/>
      <c r="AE3036" s="1"/>
      <c r="AF3036" s="1"/>
      <c r="AG3036" s="1"/>
    </row>
    <row r="3037" ht="15.75" customHeight="1">
      <c r="A3037" s="1"/>
      <c r="B3037" s="1"/>
      <c r="C3037" s="1"/>
      <c r="D3037" s="1"/>
      <c r="E3037" s="1"/>
      <c r="F3037" s="1"/>
      <c r="G3037" s="1"/>
      <c r="H3037" s="1"/>
      <c r="I3037" s="1"/>
      <c r="J3037" s="1"/>
      <c r="K3037" s="102" t="s">
        <v>5322</v>
      </c>
      <c r="L3037" s="102" t="str">
        <f>AA181</f>
        <v>J1a2a1a2d2b2b2c4b1c5a1a2a1b~</v>
      </c>
      <c r="M3037" s="102" t="s">
        <v>5321</v>
      </c>
      <c r="N3037" s="102" t="s">
        <v>5323</v>
      </c>
      <c r="O3037" s="105">
        <v>6742740.0</v>
      </c>
      <c r="P3037" s="105">
        <v>6874699.0</v>
      </c>
      <c r="Q3037" s="102" t="s">
        <v>2533</v>
      </c>
      <c r="S3037" s="1"/>
      <c r="T3037" s="1"/>
      <c r="U3037" s="1"/>
      <c r="V3037" s="1"/>
      <c r="W3037" s="1"/>
      <c r="X3037" s="1"/>
      <c r="Y3037" s="1"/>
      <c r="Z3037" s="102"/>
      <c r="AA3037" s="102"/>
      <c r="AB3037" s="1"/>
      <c r="AC3037" s="1"/>
      <c r="AD3037" s="1"/>
      <c r="AE3037" s="1"/>
      <c r="AF3037" s="1"/>
      <c r="AG3037" s="1"/>
    </row>
    <row r="3038" ht="15.75" customHeight="1">
      <c r="A3038" s="1"/>
      <c r="B3038" s="1"/>
      <c r="C3038" s="1"/>
      <c r="D3038" s="1"/>
      <c r="E3038" s="1"/>
      <c r="F3038" s="1"/>
      <c r="G3038" s="1"/>
      <c r="H3038" s="1"/>
      <c r="I3038" s="1"/>
      <c r="J3038" s="1"/>
      <c r="K3038" s="102" t="s">
        <v>5324</v>
      </c>
      <c r="L3038" s="102" t="str">
        <f>AA181</f>
        <v>J1a2a1a2d2b2b2c4b1c5a1a2a1b~</v>
      </c>
      <c r="M3038" s="102" t="s">
        <v>5325</v>
      </c>
      <c r="N3038" s="102"/>
      <c r="O3038" s="105">
        <v>9898230.0</v>
      </c>
      <c r="P3038" s="105">
        <v>1.0060621E7</v>
      </c>
      <c r="Q3038" s="102" t="s">
        <v>2533</v>
      </c>
      <c r="S3038" s="1"/>
      <c r="T3038" s="1"/>
      <c r="U3038" s="1"/>
      <c r="V3038" s="1"/>
      <c r="W3038" s="1"/>
      <c r="X3038" s="1"/>
      <c r="Y3038" s="1"/>
      <c r="Z3038" s="102"/>
      <c r="AA3038" s="102"/>
      <c r="AB3038" s="1"/>
      <c r="AC3038" s="1"/>
      <c r="AD3038" s="1"/>
      <c r="AE3038" s="1"/>
      <c r="AF3038" s="1"/>
      <c r="AG3038" s="1"/>
    </row>
    <row r="3039" ht="15.75" customHeight="1">
      <c r="A3039" s="1"/>
      <c r="B3039" s="1"/>
      <c r="C3039" s="1"/>
      <c r="D3039" s="1"/>
      <c r="E3039" s="1"/>
      <c r="F3039" s="1"/>
      <c r="G3039" s="1"/>
      <c r="H3039" s="1"/>
      <c r="I3039" s="1"/>
      <c r="J3039" s="1"/>
      <c r="K3039" s="102" t="s">
        <v>5325</v>
      </c>
      <c r="L3039" s="102" t="str">
        <f>AA181</f>
        <v>J1a2a1a2d2b2b2c4b1c5a1a2a1b~</v>
      </c>
      <c r="M3039" s="102" t="s">
        <v>5324</v>
      </c>
      <c r="N3039" s="102"/>
      <c r="O3039" s="105">
        <v>9898230.0</v>
      </c>
      <c r="P3039" s="105">
        <v>1.0060621E7</v>
      </c>
      <c r="Q3039" s="102" t="s">
        <v>2533</v>
      </c>
      <c r="S3039" s="1"/>
      <c r="T3039" s="1"/>
      <c r="U3039" s="1"/>
      <c r="V3039" s="1"/>
      <c r="W3039" s="1"/>
      <c r="X3039" s="1"/>
      <c r="Y3039" s="1"/>
      <c r="Z3039" s="102"/>
      <c r="AA3039" s="102"/>
      <c r="AB3039" s="1"/>
      <c r="AC3039" s="1"/>
      <c r="AD3039" s="1"/>
      <c r="AE3039" s="1"/>
      <c r="AF3039" s="1"/>
      <c r="AG3039" s="1"/>
    </row>
    <row r="3040" ht="15.75" customHeight="1">
      <c r="A3040" s="1"/>
      <c r="B3040" s="1"/>
      <c r="C3040" s="1"/>
      <c r="D3040" s="1"/>
      <c r="E3040" s="1"/>
      <c r="F3040" s="1"/>
      <c r="G3040" s="1"/>
      <c r="H3040" s="1"/>
      <c r="I3040" s="1"/>
      <c r="J3040" s="1"/>
      <c r="K3040" s="102" t="s">
        <v>5326</v>
      </c>
      <c r="L3040" s="102" t="str">
        <f>AA181</f>
        <v>J1a2a1a2d2b2b2c4b1c5a1a2a1b~</v>
      </c>
      <c r="M3040" s="102" t="s">
        <v>5327</v>
      </c>
      <c r="N3040" s="102" t="s">
        <v>5328</v>
      </c>
      <c r="O3040" s="105">
        <v>1.6992372E7</v>
      </c>
      <c r="P3040" s="105">
        <v>1.4880492E7</v>
      </c>
      <c r="Q3040" s="102" t="s">
        <v>2432</v>
      </c>
      <c r="S3040" s="1"/>
      <c r="T3040" s="1"/>
      <c r="U3040" s="1"/>
      <c r="V3040" s="1"/>
      <c r="W3040" s="1"/>
      <c r="X3040" s="1"/>
      <c r="Y3040" s="1"/>
      <c r="Z3040" s="102"/>
      <c r="AA3040" s="102"/>
      <c r="AB3040" s="1"/>
      <c r="AC3040" s="1"/>
      <c r="AD3040" s="1"/>
      <c r="AE3040" s="1"/>
      <c r="AF3040" s="1"/>
      <c r="AG3040" s="1"/>
    </row>
    <row r="3041" ht="15.75" customHeight="1">
      <c r="A3041" s="1"/>
      <c r="B3041" s="1"/>
      <c r="C3041" s="1"/>
      <c r="D3041" s="1"/>
      <c r="E3041" s="1"/>
      <c r="F3041" s="1"/>
      <c r="G3041" s="1"/>
      <c r="H3041" s="1"/>
      <c r="I3041" s="1"/>
      <c r="J3041" s="1"/>
      <c r="K3041" s="102" t="s">
        <v>5327</v>
      </c>
      <c r="L3041" s="102" t="str">
        <f>AA181</f>
        <v>J1a2a1a2d2b2b2c4b1c5a1a2a1b~</v>
      </c>
      <c r="M3041" s="102" t="s">
        <v>5326</v>
      </c>
      <c r="N3041" s="102" t="s">
        <v>5328</v>
      </c>
      <c r="O3041" s="105">
        <v>1.6992372E7</v>
      </c>
      <c r="P3041" s="105">
        <v>1.4880492E7</v>
      </c>
      <c r="Q3041" s="102" t="s">
        <v>2432</v>
      </c>
      <c r="S3041" s="1"/>
      <c r="T3041" s="1"/>
      <c r="U3041" s="1"/>
      <c r="V3041" s="1"/>
      <c r="W3041" s="1"/>
      <c r="X3041" s="1"/>
      <c r="Y3041" s="1"/>
      <c r="Z3041" s="102"/>
      <c r="AA3041" s="102"/>
      <c r="AB3041" s="1"/>
      <c r="AC3041" s="1"/>
      <c r="AD3041" s="1"/>
      <c r="AE3041" s="1"/>
      <c r="AF3041" s="1"/>
      <c r="AG3041" s="1"/>
    </row>
    <row r="3042" ht="15.75" customHeight="1">
      <c r="A3042" s="1"/>
      <c r="B3042" s="1"/>
      <c r="C3042" s="1"/>
      <c r="D3042" s="1"/>
      <c r="E3042" s="1"/>
      <c r="F3042" s="1"/>
      <c r="G3042" s="1"/>
      <c r="H3042" s="1"/>
      <c r="I3042" s="1"/>
      <c r="J3042" s="1"/>
      <c r="K3042" s="102" t="s">
        <v>5329</v>
      </c>
      <c r="L3042" s="102" t="str">
        <f>AA181</f>
        <v>J1a2a1a2d2b2b2c4b1c5a1a2a1b~</v>
      </c>
      <c r="M3042" s="102"/>
      <c r="N3042" s="102" t="s">
        <v>5330</v>
      </c>
      <c r="O3042" s="105">
        <v>8533648.0</v>
      </c>
      <c r="P3042" s="105">
        <v>8665607.0</v>
      </c>
      <c r="Q3042" s="102" t="s">
        <v>2439</v>
      </c>
      <c r="S3042" s="1"/>
      <c r="T3042" s="1"/>
      <c r="U3042" s="1"/>
      <c r="V3042" s="1"/>
      <c r="W3042" s="1"/>
      <c r="X3042" s="1"/>
      <c r="Y3042" s="1"/>
      <c r="Z3042" s="102"/>
      <c r="AA3042" s="102"/>
      <c r="AB3042" s="1"/>
      <c r="AC3042" s="1"/>
      <c r="AD3042" s="1"/>
      <c r="AE3042" s="1"/>
      <c r="AF3042" s="1"/>
      <c r="AG3042" s="1"/>
    </row>
    <row r="3043" ht="15.75" customHeight="1">
      <c r="A3043" s="1"/>
      <c r="B3043" s="1"/>
      <c r="C3043" s="1"/>
      <c r="D3043" s="1"/>
      <c r="E3043" s="1"/>
      <c r="F3043" s="1"/>
      <c r="G3043" s="1"/>
      <c r="H3043" s="1"/>
      <c r="I3043" s="1"/>
      <c r="J3043" s="1"/>
      <c r="K3043" s="102" t="s">
        <v>5331</v>
      </c>
      <c r="L3043" s="102" t="str">
        <f>X182</f>
        <v>J1a2a1a2d2b2b2c4b1c5a1a3~</v>
      </c>
      <c r="M3043" s="102" t="s">
        <v>5332</v>
      </c>
      <c r="N3043" s="102" t="s">
        <v>5333</v>
      </c>
      <c r="O3043" s="105">
        <v>8103306.0</v>
      </c>
      <c r="P3043" s="105">
        <v>8235265.0</v>
      </c>
      <c r="Q3043" s="102" t="s">
        <v>2501</v>
      </c>
      <c r="S3043" s="1"/>
      <c r="T3043" s="1"/>
      <c r="U3043" s="1"/>
      <c r="V3043" s="1"/>
      <c r="W3043" s="1"/>
      <c r="X3043" s="1"/>
      <c r="Y3043" s="1"/>
      <c r="Z3043" s="102"/>
      <c r="AA3043" s="102"/>
      <c r="AB3043" s="1"/>
      <c r="AC3043" s="1"/>
      <c r="AD3043" s="1"/>
      <c r="AE3043" s="1"/>
      <c r="AF3043" s="1"/>
      <c r="AG3043" s="1"/>
    </row>
    <row r="3044" ht="15.75" customHeight="1">
      <c r="A3044" s="1"/>
      <c r="B3044" s="1"/>
      <c r="C3044" s="1"/>
      <c r="D3044" s="1"/>
      <c r="E3044" s="1"/>
      <c r="F3044" s="1"/>
      <c r="G3044" s="1"/>
      <c r="H3044" s="1"/>
      <c r="I3044" s="1"/>
      <c r="J3044" s="1"/>
      <c r="K3044" s="102" t="s">
        <v>5332</v>
      </c>
      <c r="L3044" s="102" t="str">
        <f>X182</f>
        <v>J1a2a1a2d2b2b2c4b1c5a1a3~</v>
      </c>
      <c r="M3044" s="102" t="s">
        <v>5331</v>
      </c>
      <c r="N3044" s="102" t="s">
        <v>5333</v>
      </c>
      <c r="O3044" s="105">
        <v>8103306.0</v>
      </c>
      <c r="P3044" s="105">
        <v>8235265.0</v>
      </c>
      <c r="Q3044" s="102" t="s">
        <v>2501</v>
      </c>
      <c r="S3044" s="1"/>
      <c r="T3044" s="1"/>
      <c r="U3044" s="1"/>
      <c r="V3044" s="1"/>
      <c r="W3044" s="1"/>
      <c r="X3044" s="1"/>
      <c r="Y3044" s="1"/>
      <c r="Z3044" s="102"/>
      <c r="AA3044" s="102"/>
      <c r="AB3044" s="1"/>
      <c r="AC3044" s="1"/>
      <c r="AD3044" s="1"/>
      <c r="AE3044" s="1"/>
      <c r="AF3044" s="1"/>
      <c r="AG3044" s="1"/>
    </row>
    <row r="3045" ht="15.75" customHeight="1">
      <c r="A3045" s="1"/>
      <c r="B3045" s="1"/>
      <c r="C3045" s="1"/>
      <c r="D3045" s="1"/>
      <c r="E3045" s="1"/>
      <c r="F3045" s="1"/>
      <c r="G3045" s="1"/>
      <c r="H3045" s="1"/>
      <c r="I3045" s="1"/>
      <c r="J3045" s="1"/>
      <c r="K3045" s="102" t="s">
        <v>5334</v>
      </c>
      <c r="L3045" s="102" t="str">
        <f>X182</f>
        <v>J1a2a1a2d2b2b2c4b1c5a1a3~</v>
      </c>
      <c r="M3045" s="102" t="s">
        <v>5335</v>
      </c>
      <c r="N3045" s="102"/>
      <c r="O3045" s="105">
        <v>2.1433009E7</v>
      </c>
      <c r="P3045" s="105">
        <v>1.9271123E7</v>
      </c>
      <c r="Q3045" s="102" t="s">
        <v>2529</v>
      </c>
      <c r="S3045" s="1"/>
      <c r="T3045" s="1"/>
      <c r="U3045" s="1"/>
      <c r="V3045" s="1"/>
      <c r="W3045" s="1"/>
      <c r="X3045" s="1"/>
      <c r="Y3045" s="1"/>
      <c r="Z3045" s="102"/>
      <c r="AA3045" s="102"/>
      <c r="AB3045" s="1"/>
      <c r="AC3045" s="1"/>
      <c r="AD3045" s="1"/>
      <c r="AE3045" s="1"/>
      <c r="AF3045" s="1"/>
      <c r="AG3045" s="1"/>
    </row>
    <row r="3046" ht="15.75" customHeight="1">
      <c r="A3046" s="1"/>
      <c r="B3046" s="1"/>
      <c r="C3046" s="1"/>
      <c r="D3046" s="1"/>
      <c r="E3046" s="1"/>
      <c r="F3046" s="1"/>
      <c r="G3046" s="1"/>
      <c r="H3046" s="1"/>
      <c r="I3046" s="1"/>
      <c r="J3046" s="1"/>
      <c r="K3046" s="102" t="s">
        <v>5335</v>
      </c>
      <c r="L3046" s="102" t="str">
        <f>X182</f>
        <v>J1a2a1a2d2b2b2c4b1c5a1a3~</v>
      </c>
      <c r="M3046" s="102" t="s">
        <v>5334</v>
      </c>
      <c r="N3046" s="102"/>
      <c r="O3046" s="105">
        <v>2.1433009E7</v>
      </c>
      <c r="P3046" s="105">
        <v>1.9271123E7</v>
      </c>
      <c r="Q3046" s="102" t="s">
        <v>2529</v>
      </c>
      <c r="S3046" s="1"/>
      <c r="T3046" s="1"/>
      <c r="U3046" s="1"/>
      <c r="V3046" s="1"/>
      <c r="W3046" s="1"/>
      <c r="X3046" s="1"/>
      <c r="Y3046" s="1"/>
      <c r="Z3046" s="102"/>
      <c r="AA3046" s="102"/>
      <c r="AB3046" s="1"/>
      <c r="AC3046" s="1"/>
      <c r="AD3046" s="1"/>
      <c r="AE3046" s="1"/>
      <c r="AF3046" s="1"/>
      <c r="AG3046" s="1"/>
    </row>
    <row r="3047" ht="15.75" customHeight="1">
      <c r="A3047" s="1"/>
      <c r="B3047" s="1"/>
      <c r="C3047" s="1"/>
      <c r="D3047" s="1"/>
      <c r="E3047" s="1"/>
      <c r="F3047" s="1"/>
      <c r="G3047" s="1"/>
      <c r="H3047" s="1"/>
      <c r="I3047" s="1"/>
      <c r="J3047" s="1"/>
      <c r="K3047" s="102" t="s">
        <v>5336</v>
      </c>
      <c r="L3047" s="102" t="str">
        <f>X182</f>
        <v>J1a2a1a2d2b2b2c4b1c5a1a3~</v>
      </c>
      <c r="M3047" s="102" t="s">
        <v>5337</v>
      </c>
      <c r="N3047" s="102" t="s">
        <v>5338</v>
      </c>
      <c r="O3047" s="102">
        <v>2.3598232E7</v>
      </c>
      <c r="P3047" s="102">
        <v>2.1436346E7</v>
      </c>
      <c r="Q3047" s="102" t="s">
        <v>2439</v>
      </c>
      <c r="S3047" s="1"/>
      <c r="T3047" s="1"/>
      <c r="U3047" s="1"/>
      <c r="V3047" s="1"/>
      <c r="W3047" s="1"/>
      <c r="X3047" s="1"/>
      <c r="Y3047" s="1"/>
      <c r="Z3047" s="102">
        <v>2.3598232E7</v>
      </c>
      <c r="AA3047" s="102"/>
      <c r="AB3047" s="1"/>
      <c r="AC3047" s="1"/>
      <c r="AD3047" s="1"/>
      <c r="AE3047" s="1"/>
      <c r="AF3047" s="1"/>
      <c r="AG3047" s="1"/>
    </row>
    <row r="3048" ht="15.75" customHeight="1">
      <c r="A3048" s="1"/>
      <c r="B3048" s="1"/>
      <c r="C3048" s="1"/>
      <c r="D3048" s="1"/>
      <c r="E3048" s="1"/>
      <c r="F3048" s="1"/>
      <c r="G3048" s="1"/>
      <c r="H3048" s="1"/>
      <c r="I3048" s="1"/>
      <c r="J3048" s="1"/>
      <c r="K3048" s="102" t="s">
        <v>5337</v>
      </c>
      <c r="L3048" s="102" t="str">
        <f>X182</f>
        <v>J1a2a1a2d2b2b2c4b1c5a1a3~</v>
      </c>
      <c r="M3048" s="102" t="s">
        <v>5336</v>
      </c>
      <c r="N3048" s="102" t="s">
        <v>5338</v>
      </c>
      <c r="O3048" s="102">
        <v>2.3598232E7</v>
      </c>
      <c r="P3048" s="102">
        <v>2.1436346E7</v>
      </c>
      <c r="Q3048" s="102" t="s">
        <v>2439</v>
      </c>
      <c r="S3048" s="1"/>
      <c r="T3048" s="1"/>
      <c r="U3048" s="1"/>
      <c r="V3048" s="1"/>
      <c r="W3048" s="1"/>
      <c r="X3048" s="1"/>
      <c r="Y3048" s="1"/>
      <c r="Z3048" s="102">
        <v>2.3598232E7</v>
      </c>
      <c r="AA3048" s="102"/>
      <c r="AB3048" s="1"/>
      <c r="AC3048" s="1"/>
      <c r="AD3048" s="1"/>
      <c r="AE3048" s="1"/>
      <c r="AF3048" s="1"/>
      <c r="AG3048" s="1"/>
    </row>
    <row r="3049" ht="15.75" customHeight="1">
      <c r="A3049" s="1"/>
      <c r="B3049" s="1"/>
      <c r="C3049" s="1"/>
      <c r="D3049" s="1"/>
      <c r="E3049" s="1"/>
      <c r="F3049" s="1"/>
      <c r="G3049" s="1"/>
      <c r="H3049" s="1"/>
      <c r="I3049" s="1"/>
      <c r="J3049" s="1"/>
      <c r="K3049" s="102" t="s">
        <v>5339</v>
      </c>
      <c r="L3049" s="102" t="str">
        <f>X182</f>
        <v>J1a2a1a2d2b2b2c4b1c5a1a3~</v>
      </c>
      <c r="M3049" s="102"/>
      <c r="N3049" s="102" t="s">
        <v>5340</v>
      </c>
      <c r="O3049" s="105">
        <v>1.5092479E7</v>
      </c>
      <c r="P3049" s="105">
        <v>1.2980568E7</v>
      </c>
      <c r="Q3049" s="102" t="s">
        <v>2533</v>
      </c>
      <c r="S3049" s="1"/>
      <c r="T3049" s="1"/>
      <c r="U3049" s="1"/>
      <c r="V3049" s="1"/>
      <c r="W3049" s="1"/>
      <c r="X3049" s="1"/>
      <c r="Y3049" s="1"/>
      <c r="Z3049" s="102"/>
      <c r="AA3049" s="102"/>
      <c r="AB3049" s="1"/>
      <c r="AC3049" s="1"/>
      <c r="AD3049" s="1"/>
      <c r="AE3049" s="1"/>
      <c r="AF3049" s="1"/>
      <c r="AG3049" s="1"/>
    </row>
    <row r="3050" ht="15.75" customHeight="1">
      <c r="A3050" s="1"/>
      <c r="B3050" s="1"/>
      <c r="C3050" s="1"/>
      <c r="D3050" s="1"/>
      <c r="E3050" s="1"/>
      <c r="F3050" s="1"/>
      <c r="G3050" s="1"/>
      <c r="H3050" s="1"/>
      <c r="I3050" s="1"/>
      <c r="J3050" s="1"/>
      <c r="K3050" s="102" t="s">
        <v>335</v>
      </c>
      <c r="L3050" s="102" t="str">
        <f>Y183</f>
        <v>J1a2a1a2d2b2b2c4b1c5a1a3a~</v>
      </c>
      <c r="M3050" s="102"/>
      <c r="N3050" s="102"/>
      <c r="O3050" s="105">
        <v>9957196.0</v>
      </c>
      <c r="P3050" s="105">
        <v>1.0119587E7</v>
      </c>
      <c r="Q3050" s="102" t="s">
        <v>2439</v>
      </c>
      <c r="S3050" s="1"/>
      <c r="T3050" s="1"/>
      <c r="U3050" s="1"/>
      <c r="V3050" s="1"/>
      <c r="W3050" s="1"/>
      <c r="X3050" s="1"/>
      <c r="Y3050" s="1"/>
      <c r="Z3050" s="102"/>
      <c r="AA3050" s="102"/>
      <c r="AB3050" s="1"/>
      <c r="AC3050" s="1"/>
      <c r="AD3050" s="1"/>
      <c r="AE3050" s="1"/>
      <c r="AF3050" s="1"/>
      <c r="AG3050" s="1"/>
    </row>
    <row r="3051" ht="15.75" customHeight="1">
      <c r="A3051" s="1"/>
      <c r="B3051" s="1"/>
      <c r="C3051" s="1"/>
      <c r="D3051" s="1"/>
      <c r="E3051" s="1"/>
      <c r="F3051" s="1"/>
      <c r="G3051" s="1"/>
      <c r="H3051" s="1"/>
      <c r="I3051" s="1"/>
      <c r="J3051" s="1"/>
      <c r="K3051" s="102" t="s">
        <v>5341</v>
      </c>
      <c r="L3051" s="102" t="str">
        <f>X184</f>
        <v>J1a2a1a2d2b2b2c4b1c5a1a4~</v>
      </c>
      <c r="M3051" s="102" t="s">
        <v>5342</v>
      </c>
      <c r="N3051" s="102"/>
      <c r="O3051" s="105">
        <v>1.4468665E7</v>
      </c>
      <c r="P3051" s="105">
        <v>1.2347934E7</v>
      </c>
      <c r="Q3051" s="102" t="s">
        <v>2439</v>
      </c>
      <c r="S3051" s="1"/>
      <c r="T3051" s="1"/>
      <c r="U3051" s="1"/>
      <c r="V3051" s="1"/>
      <c r="W3051" s="1"/>
      <c r="X3051" s="1"/>
      <c r="Y3051" s="1"/>
      <c r="Z3051" s="102"/>
      <c r="AA3051" s="102"/>
      <c r="AB3051" s="1"/>
      <c r="AC3051" s="1"/>
      <c r="AD3051" s="1"/>
      <c r="AE3051" s="1"/>
      <c r="AF3051" s="1"/>
      <c r="AG3051" s="1"/>
    </row>
    <row r="3052" ht="15.75" customHeight="1">
      <c r="A3052" s="1"/>
      <c r="B3052" s="1"/>
      <c r="C3052" s="1"/>
      <c r="D3052" s="1"/>
      <c r="E3052" s="1"/>
      <c r="F3052" s="1"/>
      <c r="G3052" s="1"/>
      <c r="H3052" s="1"/>
      <c r="I3052" s="1"/>
      <c r="J3052" s="1"/>
      <c r="K3052" s="102" t="s">
        <v>5342</v>
      </c>
      <c r="L3052" s="102" t="str">
        <f>X184</f>
        <v>J1a2a1a2d2b2b2c4b1c5a1a4~</v>
      </c>
      <c r="M3052" s="102" t="s">
        <v>5341</v>
      </c>
      <c r="N3052" s="102"/>
      <c r="O3052" s="105">
        <v>1.4468665E7</v>
      </c>
      <c r="P3052" s="105">
        <v>1.2347934E7</v>
      </c>
      <c r="Q3052" s="102" t="s">
        <v>2439</v>
      </c>
      <c r="S3052" s="1"/>
      <c r="T3052" s="1"/>
      <c r="U3052" s="1"/>
      <c r="V3052" s="1"/>
      <c r="W3052" s="1"/>
      <c r="X3052" s="1"/>
      <c r="Y3052" s="1"/>
      <c r="Z3052" s="102"/>
      <c r="AA3052" s="102"/>
      <c r="AB3052" s="1"/>
      <c r="AC3052" s="1"/>
      <c r="AD3052" s="1"/>
      <c r="AE3052" s="1"/>
      <c r="AF3052" s="1"/>
      <c r="AG3052" s="1"/>
    </row>
    <row r="3053" ht="15.75" customHeight="1">
      <c r="A3053" s="1"/>
      <c r="B3053" s="1"/>
      <c r="C3053" s="1"/>
      <c r="D3053" s="1"/>
      <c r="E3053" s="1"/>
      <c r="F3053" s="1"/>
      <c r="G3053" s="1"/>
      <c r="H3053" s="1"/>
      <c r="I3053" s="1"/>
      <c r="J3053" s="1"/>
      <c r="K3053" s="102" t="s">
        <v>339</v>
      </c>
      <c r="L3053" s="102" t="str">
        <f>Y185</f>
        <v>J1a2a1a2d2b2b2c4b1c5a1a4a~</v>
      </c>
      <c r="M3053" s="102"/>
      <c r="N3053" s="102"/>
      <c r="O3053" s="105">
        <v>1.4778992E7</v>
      </c>
      <c r="P3053" s="105">
        <v>1.2667062E7</v>
      </c>
      <c r="Q3053" s="102" t="s">
        <v>2468</v>
      </c>
      <c r="S3053" s="1"/>
      <c r="T3053" s="1"/>
      <c r="U3053" s="1"/>
      <c r="V3053" s="1"/>
      <c r="W3053" s="1"/>
      <c r="X3053" s="1"/>
      <c r="Y3053" s="1"/>
      <c r="Z3053" s="102"/>
      <c r="AA3053" s="102"/>
      <c r="AB3053" s="1"/>
      <c r="AC3053" s="1"/>
      <c r="AD3053" s="1"/>
      <c r="AE3053" s="1"/>
      <c r="AF3053" s="1"/>
      <c r="AG3053" s="1"/>
    </row>
    <row r="3054" ht="15.75" customHeight="1">
      <c r="A3054" s="1"/>
      <c r="B3054" s="1"/>
      <c r="C3054" s="1"/>
      <c r="D3054" s="1"/>
      <c r="E3054" s="1"/>
      <c r="F3054" s="1"/>
      <c r="G3054" s="1"/>
      <c r="H3054" s="1"/>
      <c r="I3054" s="1"/>
      <c r="J3054" s="1"/>
      <c r="K3054" s="102" t="s">
        <v>341</v>
      </c>
      <c r="L3054" s="102" t="str">
        <f>Z186</f>
        <v>J1a2a1a2d2b2b2c4b1c5a1a4a1~</v>
      </c>
      <c r="M3054" s="102"/>
      <c r="N3054" s="102"/>
      <c r="O3054" s="105">
        <v>1.8768397E7</v>
      </c>
      <c r="P3054" s="105">
        <v>1.6656517E7</v>
      </c>
      <c r="Q3054" s="102" t="s">
        <v>2576</v>
      </c>
      <c r="S3054" s="1"/>
      <c r="T3054" s="1"/>
      <c r="U3054" s="1"/>
      <c r="V3054" s="1"/>
      <c r="W3054" s="1"/>
      <c r="X3054" s="1"/>
      <c r="Y3054" s="1"/>
      <c r="Z3054" s="102"/>
      <c r="AA3054" s="102"/>
      <c r="AB3054" s="1"/>
      <c r="AC3054" s="1"/>
      <c r="AD3054" s="1"/>
      <c r="AE3054" s="1"/>
      <c r="AF3054" s="1"/>
      <c r="AG3054" s="1"/>
    </row>
    <row r="3055" ht="15.75" customHeight="1">
      <c r="A3055" s="1"/>
      <c r="B3055" s="1"/>
      <c r="C3055" s="1"/>
      <c r="D3055" s="1"/>
      <c r="E3055" s="1"/>
      <c r="F3055" s="1"/>
      <c r="G3055" s="1"/>
      <c r="H3055" s="1"/>
      <c r="I3055" s="1"/>
      <c r="J3055" s="1"/>
      <c r="K3055" s="102" t="s">
        <v>5343</v>
      </c>
      <c r="L3055" s="102" t="str">
        <f>AA187</f>
        <v>J1a2a1a2d2b2b2c4b1c5a1a4a1a~</v>
      </c>
      <c r="M3055" s="102" t="s">
        <v>5344</v>
      </c>
      <c r="N3055" s="102"/>
      <c r="O3055" s="105">
        <v>1.4318809E7</v>
      </c>
      <c r="P3055" s="105">
        <v>1.2198103E7</v>
      </c>
      <c r="Q3055" s="102" t="s">
        <v>2501</v>
      </c>
      <c r="S3055" s="1"/>
      <c r="T3055" s="1"/>
      <c r="U3055" s="1"/>
      <c r="V3055" s="1"/>
      <c r="W3055" s="1"/>
      <c r="X3055" s="1"/>
      <c r="Y3055" s="1"/>
      <c r="Z3055" s="102"/>
      <c r="AA3055" s="102"/>
      <c r="AB3055" s="1"/>
      <c r="AC3055" s="1"/>
      <c r="AD3055" s="1"/>
      <c r="AE3055" s="1"/>
      <c r="AF3055" s="1"/>
      <c r="AG3055" s="1"/>
    </row>
    <row r="3056" ht="15.75" customHeight="1">
      <c r="A3056" s="1"/>
      <c r="B3056" s="1"/>
      <c r="C3056" s="1"/>
      <c r="D3056" s="1"/>
      <c r="E3056" s="1"/>
      <c r="F3056" s="1"/>
      <c r="G3056" s="1"/>
      <c r="H3056" s="1"/>
      <c r="I3056" s="1"/>
      <c r="J3056" s="1"/>
      <c r="K3056" s="102" t="s">
        <v>5344</v>
      </c>
      <c r="L3056" s="102" t="str">
        <f>AA187</f>
        <v>J1a2a1a2d2b2b2c4b1c5a1a4a1a~</v>
      </c>
      <c r="M3056" s="102" t="s">
        <v>5343</v>
      </c>
      <c r="N3056" s="102"/>
      <c r="O3056" s="105">
        <v>1.4318809E7</v>
      </c>
      <c r="P3056" s="105">
        <v>1.2198103E7</v>
      </c>
      <c r="Q3056" s="102" t="s">
        <v>2501</v>
      </c>
      <c r="S3056" s="1"/>
      <c r="T3056" s="1"/>
      <c r="U3056" s="1"/>
      <c r="V3056" s="1"/>
      <c r="W3056" s="1"/>
      <c r="X3056" s="1"/>
      <c r="Y3056" s="1"/>
      <c r="Z3056" s="102"/>
      <c r="AA3056" s="102"/>
      <c r="AB3056" s="1"/>
      <c r="AC3056" s="1"/>
      <c r="AD3056" s="1"/>
      <c r="AE3056" s="1"/>
      <c r="AF3056" s="1"/>
      <c r="AG3056" s="1"/>
    </row>
    <row r="3057" ht="15.75" customHeight="1">
      <c r="A3057" s="1"/>
      <c r="B3057" s="1"/>
      <c r="C3057" s="1"/>
      <c r="D3057" s="1"/>
      <c r="E3057" s="1"/>
      <c r="F3057" s="1"/>
      <c r="G3057" s="1"/>
      <c r="H3057" s="1"/>
      <c r="I3057" s="1"/>
      <c r="J3057" s="1"/>
      <c r="K3057" s="102" t="s">
        <v>345</v>
      </c>
      <c r="L3057" s="102" t="str">
        <f>Y188</f>
        <v>J1a2a1a2d2b2b2c4b1c5a1a4b~</v>
      </c>
      <c r="M3057" s="102"/>
      <c r="N3057" s="102"/>
      <c r="O3057" s="105">
        <v>2.1122077E7</v>
      </c>
      <c r="P3057" s="105">
        <v>1.8960191E7</v>
      </c>
      <c r="Q3057" s="102" t="s">
        <v>2468</v>
      </c>
      <c r="S3057" s="1"/>
      <c r="T3057" s="1"/>
      <c r="U3057" s="1"/>
      <c r="V3057" s="1"/>
      <c r="W3057" s="1"/>
      <c r="X3057" s="1"/>
      <c r="Y3057" s="1"/>
      <c r="Z3057" s="102"/>
      <c r="AA3057" s="102"/>
      <c r="AB3057" s="1"/>
      <c r="AC3057" s="1"/>
      <c r="AD3057" s="1"/>
      <c r="AE3057" s="1"/>
      <c r="AF3057" s="1"/>
      <c r="AG3057" s="1"/>
    </row>
    <row r="3058" ht="15.75" customHeight="1">
      <c r="A3058" s="1"/>
      <c r="B3058" s="1"/>
      <c r="C3058" s="1"/>
      <c r="D3058" s="1"/>
      <c r="E3058" s="1"/>
      <c r="F3058" s="1"/>
      <c r="G3058" s="1"/>
      <c r="H3058" s="1"/>
      <c r="I3058" s="1"/>
      <c r="J3058" s="1"/>
      <c r="K3058" s="102" t="s">
        <v>347</v>
      </c>
      <c r="L3058" s="102" t="str">
        <f>S189</f>
        <v>J1a2a1a2d2b2b2c4b1d~</v>
      </c>
      <c r="M3058" s="102"/>
      <c r="N3058" s="102" t="s">
        <v>5345</v>
      </c>
      <c r="O3058" s="105">
        <v>1.9012202E7</v>
      </c>
      <c r="P3058" s="105">
        <v>1.6900322E7</v>
      </c>
      <c r="Q3058" s="102" t="s">
        <v>2501</v>
      </c>
      <c r="S3058" s="1"/>
      <c r="T3058" s="1"/>
      <c r="U3058" s="1"/>
      <c r="V3058" s="1"/>
      <c r="W3058" s="1"/>
      <c r="X3058" s="1"/>
      <c r="Y3058" s="1"/>
      <c r="Z3058" s="102"/>
      <c r="AA3058" s="102"/>
      <c r="AB3058" s="1"/>
      <c r="AC3058" s="1"/>
      <c r="AD3058" s="1"/>
      <c r="AE3058" s="1"/>
      <c r="AF3058" s="1"/>
      <c r="AG3058" s="1"/>
    </row>
    <row r="3059" ht="15.75" customHeight="1">
      <c r="A3059" s="1"/>
      <c r="B3059" s="1"/>
      <c r="C3059" s="1"/>
      <c r="D3059" s="1"/>
      <c r="E3059" s="1"/>
      <c r="F3059" s="1"/>
      <c r="G3059" s="1"/>
      <c r="H3059" s="1"/>
      <c r="I3059" s="1"/>
      <c r="J3059" s="1"/>
      <c r="K3059" s="102" t="s">
        <v>5346</v>
      </c>
      <c r="L3059" s="102" t="str">
        <f>T190</f>
        <v>J1a2a1a2d2b2b2c4b1d1~</v>
      </c>
      <c r="M3059" s="102"/>
      <c r="N3059" s="102" t="s">
        <v>5347</v>
      </c>
      <c r="O3059" s="105">
        <v>8054468.0</v>
      </c>
      <c r="P3059" s="105">
        <v>8186427.0</v>
      </c>
      <c r="Q3059" s="102" t="s">
        <v>2468</v>
      </c>
      <c r="S3059" s="1"/>
      <c r="T3059" s="1"/>
      <c r="U3059" s="1"/>
      <c r="V3059" s="1"/>
      <c r="W3059" s="1"/>
      <c r="X3059" s="1"/>
      <c r="Y3059" s="1"/>
      <c r="Z3059" s="102"/>
      <c r="AA3059" s="102"/>
      <c r="AB3059" s="1"/>
      <c r="AC3059" s="1"/>
      <c r="AD3059" s="1"/>
      <c r="AE3059" s="1"/>
      <c r="AF3059" s="1"/>
      <c r="AG3059" s="1"/>
    </row>
    <row r="3060" ht="15.75" customHeight="1">
      <c r="A3060" s="1"/>
      <c r="B3060" s="1"/>
      <c r="C3060" s="1"/>
      <c r="D3060" s="1"/>
      <c r="E3060" s="1"/>
      <c r="F3060" s="1"/>
      <c r="G3060" s="1"/>
      <c r="H3060" s="1"/>
      <c r="I3060" s="1"/>
      <c r="J3060" s="1"/>
      <c r="K3060" s="102" t="s">
        <v>5348</v>
      </c>
      <c r="L3060" s="102" t="str">
        <f>T190</f>
        <v>J1a2a1a2d2b2b2c4b1d1~</v>
      </c>
      <c r="M3060" s="102"/>
      <c r="N3060" s="102" t="s">
        <v>5349</v>
      </c>
      <c r="O3060" s="105">
        <v>1.3686312E7</v>
      </c>
      <c r="P3060" s="105">
        <v>1.1530636E7</v>
      </c>
      <c r="Q3060" s="102" t="s">
        <v>2454</v>
      </c>
      <c r="S3060" s="1"/>
      <c r="T3060" s="1"/>
      <c r="U3060" s="1"/>
      <c r="V3060" s="1"/>
      <c r="W3060" s="1"/>
      <c r="X3060" s="1"/>
      <c r="Y3060" s="1"/>
      <c r="Z3060" s="102"/>
      <c r="AA3060" s="102"/>
      <c r="AB3060" s="1"/>
      <c r="AC3060" s="1"/>
      <c r="AD3060" s="1"/>
      <c r="AE3060" s="1"/>
      <c r="AF3060" s="1"/>
      <c r="AG3060" s="1"/>
    </row>
    <row r="3061" ht="15.75" customHeight="1">
      <c r="A3061" s="1"/>
      <c r="B3061" s="1"/>
      <c r="C3061" s="1"/>
      <c r="D3061" s="1"/>
      <c r="E3061" s="1"/>
      <c r="F3061" s="1"/>
      <c r="G3061" s="1"/>
      <c r="H3061" s="1"/>
      <c r="I3061" s="1"/>
      <c r="J3061" s="1"/>
      <c r="K3061" s="102" t="s">
        <v>5350</v>
      </c>
      <c r="L3061" s="102" t="str">
        <f>T190</f>
        <v>J1a2a1a2d2b2b2c4b1d1~</v>
      </c>
      <c r="M3061" s="102"/>
      <c r="N3061" s="102"/>
      <c r="O3061" s="105">
        <v>1.4424594E7</v>
      </c>
      <c r="P3061" s="105">
        <v>1.2303869E7</v>
      </c>
      <c r="Q3061" s="102" t="s">
        <v>2439</v>
      </c>
      <c r="S3061" s="1"/>
      <c r="T3061" s="1"/>
      <c r="U3061" s="1"/>
      <c r="V3061" s="1"/>
      <c r="W3061" s="1"/>
      <c r="X3061" s="1"/>
      <c r="Y3061" s="1"/>
      <c r="Z3061" s="102"/>
      <c r="AA3061" s="102"/>
      <c r="AB3061" s="1"/>
      <c r="AC3061" s="1"/>
      <c r="AD3061" s="1"/>
      <c r="AE3061" s="1"/>
      <c r="AF3061" s="1"/>
      <c r="AG3061" s="1"/>
    </row>
    <row r="3062" ht="15.75" customHeight="1">
      <c r="A3062" s="1"/>
      <c r="B3062" s="1"/>
      <c r="C3062" s="1"/>
      <c r="D3062" s="1"/>
      <c r="E3062" s="1"/>
      <c r="F3062" s="1"/>
      <c r="G3062" s="1"/>
      <c r="H3062" s="1"/>
      <c r="I3062" s="1"/>
      <c r="J3062" s="1"/>
      <c r="K3062" s="102" t="s">
        <v>5351</v>
      </c>
      <c r="L3062" s="102" t="str">
        <f t="shared" ref="L3062:L3063" si="39">T190</f>
        <v>J1a2a1a2d2b2b2c4b1d1~</v>
      </c>
      <c r="M3062" s="102"/>
      <c r="N3062" s="102" t="s">
        <v>5352</v>
      </c>
      <c r="O3062" s="105">
        <v>1.6843411E7</v>
      </c>
      <c r="P3062" s="105">
        <v>1.4731531E7</v>
      </c>
      <c r="Q3062" s="102" t="s">
        <v>2529</v>
      </c>
      <c r="S3062" s="1"/>
      <c r="T3062" s="1"/>
      <c r="U3062" s="1"/>
      <c r="V3062" s="1"/>
      <c r="W3062" s="1"/>
      <c r="X3062" s="1"/>
      <c r="Y3062" s="1"/>
      <c r="Z3062" s="102"/>
      <c r="AA3062" s="102"/>
      <c r="AB3062" s="1"/>
      <c r="AC3062" s="1"/>
      <c r="AD3062" s="1"/>
      <c r="AE3062" s="1"/>
      <c r="AF3062" s="1"/>
      <c r="AG3062" s="1"/>
    </row>
    <row r="3063" ht="15.75" customHeight="1">
      <c r="A3063" s="1"/>
      <c r="B3063" s="1"/>
      <c r="C3063" s="1"/>
      <c r="D3063" s="1"/>
      <c r="E3063" s="1"/>
      <c r="F3063" s="1"/>
      <c r="G3063" s="1"/>
      <c r="H3063" s="1"/>
      <c r="I3063" s="1"/>
      <c r="J3063" s="1"/>
      <c r="K3063" s="102" t="s">
        <v>5353</v>
      </c>
      <c r="L3063" s="102" t="str">
        <f t="shared" si="39"/>
        <v>J1a2a1a2d2b2b2c4b1d2~</v>
      </c>
      <c r="M3063" s="102" t="s">
        <v>5354</v>
      </c>
      <c r="N3063" s="102"/>
      <c r="O3063" s="105">
        <v>1.4326834E7</v>
      </c>
      <c r="P3063" s="105">
        <v>1.2206128E7</v>
      </c>
      <c r="Q3063" s="102" t="s">
        <v>2439</v>
      </c>
      <c r="S3063" s="1"/>
      <c r="T3063" s="1"/>
      <c r="U3063" s="1"/>
      <c r="V3063" s="1"/>
      <c r="W3063" s="1"/>
      <c r="X3063" s="1"/>
      <c r="Y3063" s="1"/>
      <c r="Z3063" s="102"/>
      <c r="AA3063" s="102"/>
      <c r="AB3063" s="1"/>
      <c r="AC3063" s="1"/>
      <c r="AD3063" s="1"/>
      <c r="AE3063" s="1"/>
      <c r="AF3063" s="1"/>
      <c r="AG3063" s="1"/>
    </row>
    <row r="3064" ht="15.75" customHeight="1">
      <c r="A3064" s="1"/>
      <c r="B3064" s="1"/>
      <c r="C3064" s="1"/>
      <c r="D3064" s="1"/>
      <c r="E3064" s="1"/>
      <c r="F3064" s="1"/>
      <c r="G3064" s="1"/>
      <c r="H3064" s="1"/>
      <c r="I3064" s="1"/>
      <c r="J3064" s="1"/>
      <c r="K3064" s="102" t="s">
        <v>5354</v>
      </c>
      <c r="L3064" s="102" t="str">
        <f>T191</f>
        <v>J1a2a1a2d2b2b2c4b1d2~</v>
      </c>
      <c r="M3064" s="102" t="s">
        <v>5353</v>
      </c>
      <c r="N3064" s="102"/>
      <c r="O3064" s="105">
        <v>1.4326834E7</v>
      </c>
      <c r="P3064" s="105">
        <v>1.2206128E7</v>
      </c>
      <c r="Q3064" s="102" t="s">
        <v>2439</v>
      </c>
      <c r="S3064" s="1"/>
      <c r="T3064" s="1"/>
      <c r="U3064" s="1"/>
      <c r="V3064" s="1"/>
      <c r="W3064" s="1"/>
      <c r="X3064" s="1"/>
      <c r="Y3064" s="1"/>
      <c r="Z3064" s="102"/>
      <c r="AA3064" s="102"/>
      <c r="AB3064" s="1"/>
      <c r="AC3064" s="1"/>
      <c r="AD3064" s="1"/>
      <c r="AE3064" s="1"/>
      <c r="AF3064" s="1"/>
      <c r="AG3064" s="1"/>
    </row>
    <row r="3065" ht="15.75" customHeight="1">
      <c r="A3065" s="1"/>
      <c r="B3065" s="1"/>
      <c r="C3065" s="1"/>
      <c r="D3065" s="1"/>
      <c r="E3065" s="1"/>
      <c r="F3065" s="1"/>
      <c r="G3065" s="1"/>
      <c r="H3065" s="1"/>
      <c r="I3065" s="1"/>
      <c r="J3065" s="1"/>
      <c r="K3065" s="102" t="s">
        <v>5355</v>
      </c>
      <c r="L3065" s="102" t="str">
        <f>T191</f>
        <v>J1a2a1a2d2b2b2c4b1d2~</v>
      </c>
      <c r="M3065" s="102" t="s">
        <v>5356</v>
      </c>
      <c r="N3065" s="102" t="s">
        <v>5357</v>
      </c>
      <c r="O3065" s="105">
        <v>1.4969566E7</v>
      </c>
      <c r="P3065" s="105">
        <v>1.2857641E7</v>
      </c>
      <c r="Q3065" s="102" t="s">
        <v>2501</v>
      </c>
      <c r="S3065" s="1"/>
      <c r="T3065" s="1"/>
      <c r="U3065" s="1"/>
      <c r="V3065" s="1"/>
      <c r="W3065" s="1"/>
      <c r="X3065" s="1"/>
      <c r="Y3065" s="1"/>
      <c r="Z3065" s="102"/>
      <c r="AA3065" s="102"/>
      <c r="AB3065" s="1"/>
      <c r="AC3065" s="1"/>
      <c r="AD3065" s="1"/>
      <c r="AE3065" s="1"/>
      <c r="AF3065" s="1"/>
      <c r="AG3065" s="1"/>
    </row>
    <row r="3066" ht="15.75" customHeight="1">
      <c r="A3066" s="1"/>
      <c r="B3066" s="1"/>
      <c r="C3066" s="1"/>
      <c r="D3066" s="1"/>
      <c r="E3066" s="1"/>
      <c r="F3066" s="1"/>
      <c r="G3066" s="1"/>
      <c r="H3066" s="1"/>
      <c r="I3066" s="1"/>
      <c r="J3066" s="1"/>
      <c r="K3066" s="102" t="s">
        <v>5356</v>
      </c>
      <c r="L3066" s="102" t="str">
        <f>T191</f>
        <v>J1a2a1a2d2b2b2c4b1d2~</v>
      </c>
      <c r="M3066" s="102" t="s">
        <v>5355</v>
      </c>
      <c r="N3066" s="102" t="s">
        <v>5357</v>
      </c>
      <c r="O3066" s="105">
        <v>1.4969566E7</v>
      </c>
      <c r="P3066" s="105">
        <v>1.2857641E7</v>
      </c>
      <c r="Q3066" s="102" t="s">
        <v>2501</v>
      </c>
      <c r="S3066" s="1"/>
      <c r="T3066" s="1"/>
      <c r="U3066" s="1"/>
      <c r="V3066" s="1"/>
      <c r="W3066" s="1"/>
      <c r="X3066" s="1"/>
      <c r="Y3066" s="1"/>
      <c r="Z3066" s="102"/>
      <c r="AA3066" s="102"/>
      <c r="AB3066" s="1"/>
      <c r="AC3066" s="1"/>
      <c r="AD3066" s="1"/>
      <c r="AE3066" s="1"/>
      <c r="AF3066" s="1"/>
      <c r="AG3066" s="1"/>
    </row>
    <row r="3067" ht="15.75" customHeight="1">
      <c r="A3067" s="1"/>
      <c r="B3067" s="1"/>
      <c r="C3067" s="1"/>
      <c r="D3067" s="1"/>
      <c r="E3067" s="1"/>
      <c r="F3067" s="1"/>
      <c r="G3067" s="1"/>
      <c r="H3067" s="1"/>
      <c r="I3067" s="1"/>
      <c r="J3067" s="1"/>
      <c r="K3067" s="102" t="s">
        <v>5358</v>
      </c>
      <c r="L3067" s="102" t="str">
        <f>T191</f>
        <v>J1a2a1a2d2b2b2c4b1d2~</v>
      </c>
      <c r="M3067" s="102"/>
      <c r="N3067" s="102"/>
      <c r="O3067" s="105">
        <v>2681554.0</v>
      </c>
      <c r="P3067" s="105">
        <v>2813513.0</v>
      </c>
      <c r="Q3067" s="102" t="s">
        <v>2432</v>
      </c>
      <c r="S3067" s="1"/>
      <c r="T3067" s="1"/>
      <c r="U3067" s="1"/>
      <c r="V3067" s="1"/>
      <c r="W3067" s="1"/>
      <c r="X3067" s="1"/>
      <c r="Y3067" s="1"/>
      <c r="Z3067" s="102"/>
      <c r="AA3067" s="102"/>
      <c r="AB3067" s="1"/>
      <c r="AC3067" s="1"/>
      <c r="AD3067" s="1"/>
      <c r="AE3067" s="1"/>
      <c r="AF3067" s="1"/>
      <c r="AG3067" s="1"/>
    </row>
    <row r="3068" ht="15.75" customHeight="1">
      <c r="A3068" s="1"/>
      <c r="B3068" s="1"/>
      <c r="C3068" s="1"/>
      <c r="D3068" s="1"/>
      <c r="E3068" s="1"/>
      <c r="F3068" s="1"/>
      <c r="G3068" s="1"/>
      <c r="H3068" s="1"/>
      <c r="I3068" s="1"/>
      <c r="J3068" s="1"/>
      <c r="K3068" s="102" t="s">
        <v>5359</v>
      </c>
      <c r="L3068" s="102" t="str">
        <f>T191</f>
        <v>J1a2a1a2d2b2b2c4b1d2~</v>
      </c>
      <c r="M3068" s="102"/>
      <c r="N3068" s="102" t="s">
        <v>5360</v>
      </c>
      <c r="O3068" s="105">
        <v>9375822.0</v>
      </c>
      <c r="P3068" s="105">
        <v>9538213.0</v>
      </c>
      <c r="Q3068" s="102" t="s">
        <v>2439</v>
      </c>
      <c r="S3068" s="1"/>
      <c r="T3068" s="1"/>
      <c r="U3068" s="1"/>
      <c r="V3068" s="1"/>
      <c r="W3068" s="1"/>
      <c r="X3068" s="1"/>
      <c r="Y3068" s="1"/>
      <c r="Z3068" s="102"/>
      <c r="AA3068" s="102"/>
      <c r="AB3068" s="1"/>
      <c r="AC3068" s="1"/>
      <c r="AD3068" s="1"/>
      <c r="AE3068" s="1"/>
      <c r="AF3068" s="1"/>
      <c r="AG3068" s="1"/>
    </row>
    <row r="3069" ht="15.75" customHeight="1">
      <c r="A3069" s="1"/>
      <c r="B3069" s="1"/>
      <c r="C3069" s="1"/>
      <c r="D3069" s="1"/>
      <c r="E3069" s="1"/>
      <c r="F3069" s="1"/>
      <c r="G3069" s="1"/>
      <c r="H3069" s="1"/>
      <c r="I3069" s="1"/>
      <c r="J3069" s="1"/>
      <c r="K3069" s="102" t="s">
        <v>5361</v>
      </c>
      <c r="L3069" s="102" t="str">
        <f>S192</f>
        <v>J1a2a1a2d2b2b2c4b1e~</v>
      </c>
      <c r="M3069" s="102"/>
      <c r="N3069" s="102" t="s">
        <v>5362</v>
      </c>
      <c r="O3069" s="105">
        <v>1.4919901E7</v>
      </c>
      <c r="P3069" s="105">
        <v>1.2807966E7</v>
      </c>
      <c r="Q3069" s="102" t="s">
        <v>2454</v>
      </c>
      <c r="S3069" s="1"/>
      <c r="T3069" s="1"/>
      <c r="U3069" s="1"/>
      <c r="V3069" s="1"/>
      <c r="W3069" s="1"/>
      <c r="X3069" s="1"/>
      <c r="Y3069" s="1"/>
      <c r="Z3069" s="102"/>
      <c r="AA3069" s="102"/>
      <c r="AB3069" s="1"/>
      <c r="AC3069" s="1"/>
      <c r="AD3069" s="1"/>
      <c r="AE3069" s="1"/>
      <c r="AF3069" s="1"/>
      <c r="AG3069" s="1"/>
    </row>
    <row r="3070" ht="15.75" customHeight="1">
      <c r="A3070" s="1"/>
      <c r="B3070" s="1"/>
      <c r="C3070" s="1"/>
      <c r="D3070" s="1"/>
      <c r="E3070" s="1"/>
      <c r="F3070" s="1"/>
      <c r="G3070" s="1"/>
      <c r="H3070" s="1"/>
      <c r="I3070" s="1"/>
      <c r="J3070" s="1"/>
      <c r="K3070" s="102" t="s">
        <v>5363</v>
      </c>
      <c r="L3070" s="102" t="str">
        <f>S192</f>
        <v>J1a2a1a2d2b2b2c4b1e~</v>
      </c>
      <c r="M3070" s="102"/>
      <c r="N3070" s="102" t="s">
        <v>5364</v>
      </c>
      <c r="O3070" s="105">
        <v>1.5819811E7</v>
      </c>
      <c r="P3070" s="105">
        <v>1.3707931E7</v>
      </c>
      <c r="Q3070" s="102" t="s">
        <v>2468</v>
      </c>
      <c r="S3070" s="1"/>
      <c r="T3070" s="1"/>
      <c r="U3070" s="1"/>
      <c r="V3070" s="1"/>
      <c r="W3070" s="1"/>
      <c r="X3070" s="1"/>
      <c r="Y3070" s="1"/>
      <c r="Z3070" s="102"/>
      <c r="AA3070" s="102"/>
      <c r="AB3070" s="1"/>
      <c r="AC3070" s="1"/>
      <c r="AD3070" s="1"/>
      <c r="AE3070" s="1"/>
      <c r="AF3070" s="1"/>
      <c r="AG3070" s="1"/>
    </row>
    <row r="3071" ht="15.75" customHeight="1">
      <c r="A3071" s="1"/>
      <c r="B3071" s="1"/>
      <c r="C3071" s="1"/>
      <c r="D3071" s="1"/>
      <c r="E3071" s="1"/>
      <c r="F3071" s="1"/>
      <c r="G3071" s="1"/>
      <c r="H3071" s="1"/>
      <c r="I3071" s="1"/>
      <c r="J3071" s="1"/>
      <c r="K3071" s="102" t="s">
        <v>5365</v>
      </c>
      <c r="L3071" s="102" t="str">
        <f>S192</f>
        <v>J1a2a1a2d2b2b2c4b1e~</v>
      </c>
      <c r="M3071" s="102"/>
      <c r="N3071" s="102" t="s">
        <v>5366</v>
      </c>
      <c r="O3071" s="105">
        <v>1.6247026E7</v>
      </c>
      <c r="P3071" s="105">
        <v>1.4135146E7</v>
      </c>
      <c r="Q3071" s="102" t="s">
        <v>2529</v>
      </c>
      <c r="S3071" s="1"/>
      <c r="T3071" s="1"/>
      <c r="U3071" s="1"/>
      <c r="V3071" s="1"/>
      <c r="W3071" s="1"/>
      <c r="X3071" s="1"/>
      <c r="Y3071" s="1"/>
      <c r="Z3071" s="102"/>
      <c r="AA3071" s="102"/>
      <c r="AB3071" s="1"/>
      <c r="AC3071" s="1"/>
      <c r="AD3071" s="1"/>
      <c r="AE3071" s="1"/>
      <c r="AF3071" s="1"/>
      <c r="AG3071" s="1"/>
    </row>
    <row r="3072" ht="15.75" customHeight="1">
      <c r="A3072" s="1"/>
      <c r="B3072" s="1"/>
      <c r="C3072" s="1"/>
      <c r="D3072" s="1"/>
      <c r="E3072" s="1"/>
      <c r="F3072" s="1"/>
      <c r="G3072" s="1"/>
      <c r="H3072" s="1"/>
      <c r="I3072" s="1"/>
      <c r="J3072" s="1"/>
      <c r="K3072" s="102" t="s">
        <v>5367</v>
      </c>
      <c r="L3072" s="102" t="str">
        <f>S192</f>
        <v>J1a2a1a2d2b2b2c4b1e~</v>
      </c>
      <c r="M3072" s="102"/>
      <c r="N3072" s="102" t="s">
        <v>5368</v>
      </c>
      <c r="O3072" s="105">
        <v>1.6370408E7</v>
      </c>
      <c r="P3072" s="105">
        <v>1.4258528E7</v>
      </c>
      <c r="Q3072" s="102" t="s">
        <v>2468</v>
      </c>
      <c r="S3072" s="1"/>
      <c r="T3072" s="1"/>
      <c r="U3072" s="1"/>
      <c r="V3072" s="1"/>
      <c r="W3072" s="1"/>
      <c r="X3072" s="1"/>
      <c r="Y3072" s="1"/>
      <c r="Z3072" s="102"/>
      <c r="AA3072" s="102"/>
      <c r="AB3072" s="1"/>
      <c r="AC3072" s="1"/>
      <c r="AD3072" s="1"/>
      <c r="AE3072" s="1"/>
      <c r="AF3072" s="1"/>
      <c r="AG3072" s="1"/>
    </row>
    <row r="3073" ht="15.75" customHeight="1">
      <c r="A3073" s="1"/>
      <c r="B3073" s="1"/>
      <c r="C3073" s="1"/>
      <c r="D3073" s="1"/>
      <c r="E3073" s="1"/>
      <c r="F3073" s="1"/>
      <c r="G3073" s="1"/>
      <c r="H3073" s="1"/>
      <c r="I3073" s="1"/>
      <c r="J3073" s="1"/>
      <c r="K3073" s="102" t="s">
        <v>5369</v>
      </c>
      <c r="L3073" s="102" t="str">
        <f>T193</f>
        <v>J1a2a1a2d2b2b2c4b1e1~</v>
      </c>
      <c r="M3073" s="102"/>
      <c r="N3073" s="102" t="s">
        <v>5370</v>
      </c>
      <c r="O3073" s="105">
        <v>1.642258E7</v>
      </c>
      <c r="P3073" s="105">
        <v>1.43107E7</v>
      </c>
      <c r="Q3073" s="102" t="s">
        <v>2423</v>
      </c>
      <c r="S3073" s="1"/>
      <c r="T3073" s="1"/>
      <c r="U3073" s="1"/>
      <c r="V3073" s="1"/>
      <c r="W3073" s="1"/>
      <c r="X3073" s="1"/>
      <c r="Y3073" s="1"/>
      <c r="Z3073" s="102"/>
      <c r="AA3073" s="102"/>
      <c r="AB3073" s="1"/>
      <c r="AC3073" s="1"/>
      <c r="AD3073" s="1"/>
      <c r="AE3073" s="1"/>
      <c r="AF3073" s="1"/>
      <c r="AG3073" s="1"/>
    </row>
    <row r="3074" ht="15.75" customHeight="1">
      <c r="A3074" s="1"/>
      <c r="B3074" s="1"/>
      <c r="C3074" s="1"/>
      <c r="D3074" s="1"/>
      <c r="E3074" s="1"/>
      <c r="F3074" s="1"/>
      <c r="G3074" s="1"/>
      <c r="H3074" s="1"/>
      <c r="I3074" s="1"/>
      <c r="J3074" s="1"/>
      <c r="K3074" s="102" t="s">
        <v>5371</v>
      </c>
      <c r="L3074" s="102" t="str">
        <f>T193</f>
        <v>J1a2a1a2d2b2b2c4b1e1~</v>
      </c>
      <c r="M3074" s="102"/>
      <c r="N3074" s="102" t="s">
        <v>5372</v>
      </c>
      <c r="O3074" s="105">
        <v>7888705.0</v>
      </c>
      <c r="P3074" s="105">
        <v>8020664.0</v>
      </c>
      <c r="Q3074" s="102" t="s">
        <v>2501</v>
      </c>
      <c r="S3074" s="1"/>
      <c r="T3074" s="1"/>
      <c r="U3074" s="1"/>
      <c r="V3074" s="1"/>
      <c r="W3074" s="1"/>
      <c r="X3074" s="1"/>
      <c r="Y3074" s="1"/>
      <c r="Z3074" s="102"/>
      <c r="AA3074" s="102"/>
      <c r="AB3074" s="1"/>
      <c r="AC3074" s="1"/>
      <c r="AD3074" s="1"/>
      <c r="AE3074" s="1"/>
      <c r="AF3074" s="1"/>
      <c r="AG3074" s="1"/>
    </row>
    <row r="3075" ht="15.75" customHeight="1">
      <c r="A3075" s="1"/>
      <c r="B3075" s="1"/>
      <c r="C3075" s="1"/>
      <c r="D3075" s="1"/>
      <c r="E3075" s="1"/>
      <c r="F3075" s="1"/>
      <c r="G3075" s="1"/>
      <c r="H3075" s="1"/>
      <c r="I3075" s="1"/>
      <c r="J3075" s="1"/>
      <c r="K3075" s="102" t="s">
        <v>5373</v>
      </c>
      <c r="L3075" s="102" t="str">
        <f>T193</f>
        <v>J1a2a1a2d2b2b2c4b1e1~</v>
      </c>
      <c r="M3075" s="102"/>
      <c r="N3075" s="102" t="s">
        <v>5374</v>
      </c>
      <c r="O3075" s="105">
        <v>8145907.0</v>
      </c>
      <c r="P3075" s="105">
        <v>8277866.0</v>
      </c>
      <c r="Q3075" s="102" t="s">
        <v>2468</v>
      </c>
      <c r="S3075" s="1"/>
      <c r="T3075" s="1"/>
      <c r="U3075" s="1"/>
      <c r="V3075" s="1"/>
      <c r="W3075" s="1"/>
      <c r="X3075" s="1"/>
      <c r="Y3075" s="1"/>
      <c r="Z3075" s="102"/>
      <c r="AA3075" s="102"/>
      <c r="AB3075" s="1"/>
      <c r="AC3075" s="1"/>
      <c r="AD3075" s="1"/>
      <c r="AE3075" s="1"/>
      <c r="AF3075" s="1"/>
      <c r="AG3075" s="1"/>
    </row>
    <row r="3076" ht="15.75" customHeight="1">
      <c r="A3076" s="1"/>
      <c r="B3076" s="1"/>
      <c r="C3076" s="1"/>
      <c r="D3076" s="1"/>
      <c r="E3076" s="1"/>
      <c r="F3076" s="1"/>
      <c r="G3076" s="1"/>
      <c r="H3076" s="1"/>
      <c r="I3076" s="1"/>
      <c r="J3076" s="1"/>
      <c r="K3076" s="102" t="s">
        <v>5375</v>
      </c>
      <c r="L3076" s="102" t="str">
        <f>T193</f>
        <v>J1a2a1a2d2b2b2c4b1e1~</v>
      </c>
      <c r="M3076" s="102"/>
      <c r="N3076" s="102"/>
      <c r="O3076" s="105">
        <v>1.4038791E7</v>
      </c>
      <c r="P3076" s="105">
        <v>1.1918085E7</v>
      </c>
      <c r="Q3076" s="102" t="s">
        <v>2468</v>
      </c>
      <c r="S3076" s="1"/>
      <c r="T3076" s="1"/>
      <c r="U3076" s="1"/>
      <c r="V3076" s="1"/>
      <c r="W3076" s="1"/>
      <c r="X3076" s="1"/>
      <c r="Y3076" s="1"/>
      <c r="Z3076" s="102"/>
      <c r="AA3076" s="102"/>
      <c r="AB3076" s="1"/>
      <c r="AC3076" s="1"/>
      <c r="AD3076" s="1"/>
      <c r="AE3076" s="1"/>
      <c r="AF3076" s="1"/>
      <c r="AG3076" s="1"/>
    </row>
    <row r="3077" ht="15.75" customHeight="1">
      <c r="A3077" s="1"/>
      <c r="B3077" s="1"/>
      <c r="C3077" s="1"/>
      <c r="D3077" s="1"/>
      <c r="E3077" s="1"/>
      <c r="F3077" s="1"/>
      <c r="G3077" s="1"/>
      <c r="H3077" s="1"/>
      <c r="I3077" s="1"/>
      <c r="J3077" s="1"/>
      <c r="K3077" s="102" t="s">
        <v>5376</v>
      </c>
      <c r="L3077" s="102" t="str">
        <f>T193</f>
        <v>J1a2a1a2d2b2b2c4b1e1~</v>
      </c>
      <c r="M3077" s="102"/>
      <c r="N3077" s="102" t="s">
        <v>5377</v>
      </c>
      <c r="O3077" s="105">
        <v>1.62585E7</v>
      </c>
      <c r="P3077" s="105">
        <v>1.414662E7</v>
      </c>
      <c r="Q3077" s="102" t="s">
        <v>2529</v>
      </c>
      <c r="S3077" s="1"/>
      <c r="T3077" s="1"/>
      <c r="U3077" s="1"/>
      <c r="V3077" s="1"/>
      <c r="W3077" s="1"/>
      <c r="X3077" s="1"/>
      <c r="Y3077" s="1"/>
      <c r="Z3077" s="102"/>
      <c r="AA3077" s="102"/>
      <c r="AB3077" s="1"/>
      <c r="AC3077" s="1"/>
      <c r="AD3077" s="1"/>
      <c r="AE3077" s="1"/>
      <c r="AF3077" s="1"/>
      <c r="AG3077" s="1"/>
    </row>
    <row r="3078" ht="15.75" customHeight="1">
      <c r="A3078" s="1"/>
      <c r="B3078" s="1"/>
      <c r="C3078" s="1"/>
      <c r="D3078" s="1"/>
      <c r="E3078" s="1"/>
      <c r="F3078" s="1"/>
      <c r="G3078" s="1"/>
      <c r="H3078" s="1"/>
      <c r="I3078" s="1"/>
      <c r="J3078" s="1"/>
      <c r="K3078" s="102" t="s">
        <v>357</v>
      </c>
      <c r="L3078" s="102" t="str">
        <f>S194</f>
        <v>J1a2a1a2d2b2b2c4b1f~</v>
      </c>
      <c r="M3078" s="102"/>
      <c r="N3078" s="102"/>
      <c r="O3078" s="105">
        <v>8557176.0</v>
      </c>
      <c r="P3078" s="105">
        <v>8689135.0</v>
      </c>
      <c r="Q3078" s="102" t="s">
        <v>2468</v>
      </c>
      <c r="S3078" s="1"/>
      <c r="T3078" s="1"/>
      <c r="U3078" s="1"/>
      <c r="V3078" s="1"/>
      <c r="W3078" s="1"/>
      <c r="X3078" s="1"/>
      <c r="Y3078" s="1"/>
      <c r="Z3078" s="102"/>
      <c r="AA3078" s="102"/>
      <c r="AB3078" s="1"/>
      <c r="AC3078" s="1"/>
      <c r="AD3078" s="1"/>
      <c r="AE3078" s="1"/>
      <c r="AF3078" s="1"/>
      <c r="AG3078" s="1"/>
    </row>
    <row r="3079" ht="15.75" customHeight="1">
      <c r="A3079" s="1"/>
      <c r="B3079" s="1"/>
      <c r="C3079" s="1"/>
      <c r="D3079" s="1"/>
      <c r="E3079" s="1"/>
      <c r="F3079" s="1"/>
      <c r="G3079" s="1"/>
      <c r="H3079" s="1"/>
      <c r="I3079" s="1"/>
      <c r="J3079" s="1"/>
      <c r="K3079" s="102" t="s">
        <v>5378</v>
      </c>
      <c r="L3079" s="102" t="str">
        <f>R195</f>
        <v>J1a2a1a2d2b2b2c4b2~</v>
      </c>
      <c r="M3079" s="102" t="s">
        <v>5379</v>
      </c>
      <c r="N3079" s="102" t="s">
        <v>5380</v>
      </c>
      <c r="O3079" s="105">
        <v>6673909.0</v>
      </c>
      <c r="P3079" s="105">
        <v>6805868.0</v>
      </c>
      <c r="Q3079" s="102" t="s">
        <v>2439</v>
      </c>
      <c r="S3079" s="1"/>
      <c r="T3079" s="1"/>
      <c r="U3079" s="1"/>
      <c r="V3079" s="1"/>
      <c r="W3079" s="1"/>
      <c r="X3079" s="1"/>
      <c r="Y3079" s="1"/>
      <c r="Z3079" s="102"/>
      <c r="AA3079" s="102"/>
      <c r="AB3079" s="1"/>
      <c r="AC3079" s="1"/>
      <c r="AD3079" s="1"/>
      <c r="AE3079" s="1"/>
      <c r="AF3079" s="1"/>
      <c r="AG3079" s="1"/>
    </row>
    <row r="3080" ht="15.75" customHeight="1">
      <c r="A3080" s="1"/>
      <c r="B3080" s="1"/>
      <c r="C3080" s="1"/>
      <c r="D3080" s="1"/>
      <c r="E3080" s="1"/>
      <c r="F3080" s="1"/>
      <c r="G3080" s="1"/>
      <c r="H3080" s="1"/>
      <c r="I3080" s="1"/>
      <c r="J3080" s="1"/>
      <c r="K3080" s="102" t="s">
        <v>5379</v>
      </c>
      <c r="L3080" s="102" t="str">
        <f>R195</f>
        <v>J1a2a1a2d2b2b2c4b2~</v>
      </c>
      <c r="M3080" s="102" t="s">
        <v>5378</v>
      </c>
      <c r="N3080" s="102" t="s">
        <v>5380</v>
      </c>
      <c r="O3080" s="105">
        <v>6673909.0</v>
      </c>
      <c r="P3080" s="105">
        <v>6805868.0</v>
      </c>
      <c r="Q3080" s="102" t="s">
        <v>2439</v>
      </c>
      <c r="S3080" s="1"/>
      <c r="T3080" s="1"/>
      <c r="U3080" s="1"/>
      <c r="V3080" s="1"/>
      <c r="W3080" s="1"/>
      <c r="X3080" s="1"/>
      <c r="Y3080" s="1"/>
      <c r="Z3080" s="102"/>
      <c r="AA3080" s="102"/>
      <c r="AB3080" s="1"/>
      <c r="AC3080" s="1"/>
      <c r="AD3080" s="1"/>
      <c r="AE3080" s="1"/>
      <c r="AF3080" s="1"/>
      <c r="AG3080" s="1"/>
    </row>
    <row r="3081" ht="15.75" customHeight="1">
      <c r="A3081" s="1"/>
      <c r="B3081" s="1"/>
      <c r="C3081" s="1"/>
      <c r="D3081" s="1"/>
      <c r="E3081" s="1"/>
      <c r="F3081" s="1"/>
      <c r="G3081" s="1"/>
      <c r="H3081" s="1"/>
      <c r="I3081" s="1"/>
      <c r="J3081" s="1"/>
      <c r="K3081" s="102" t="s">
        <v>361</v>
      </c>
      <c r="L3081" s="102" t="str">
        <f>S196</f>
        <v>J1a2a1a2d2b2b2c4b2a~</v>
      </c>
      <c r="M3081" s="102"/>
      <c r="N3081" s="102" t="s">
        <v>5381</v>
      </c>
      <c r="O3081" s="105">
        <v>1.4036985E7</v>
      </c>
      <c r="P3081" s="105">
        <v>1.1916279E7</v>
      </c>
      <c r="Q3081" s="102" t="s">
        <v>2529</v>
      </c>
      <c r="S3081" s="1"/>
      <c r="T3081" s="1"/>
      <c r="U3081" s="1"/>
      <c r="V3081" s="1"/>
      <c r="W3081" s="1"/>
      <c r="X3081" s="1"/>
      <c r="Y3081" s="1"/>
      <c r="Z3081" s="102"/>
      <c r="AA3081" s="102"/>
      <c r="AB3081" s="1"/>
      <c r="AC3081" s="1"/>
      <c r="AD3081" s="1"/>
      <c r="AE3081" s="1"/>
      <c r="AF3081" s="1"/>
      <c r="AG3081" s="1"/>
    </row>
    <row r="3082" ht="15.75" customHeight="1">
      <c r="A3082" s="1"/>
      <c r="B3082" s="1"/>
      <c r="C3082" s="1"/>
      <c r="D3082" s="1"/>
      <c r="E3082" s="1"/>
      <c r="F3082" s="1"/>
      <c r="G3082" s="1"/>
      <c r="H3082" s="1"/>
      <c r="I3082" s="1"/>
      <c r="J3082" s="1"/>
      <c r="K3082" s="102" t="s">
        <v>5382</v>
      </c>
      <c r="L3082" s="102" t="str">
        <f>T197</f>
        <v>J1a2a1a2d2b2b2c4b2a1~</v>
      </c>
      <c r="M3082" s="102" t="s">
        <v>5383</v>
      </c>
      <c r="N3082" s="102" t="s">
        <v>5384</v>
      </c>
      <c r="O3082" s="105">
        <v>2.1185171E7</v>
      </c>
      <c r="P3082" s="105">
        <v>1.9023285E7</v>
      </c>
      <c r="Q3082" s="102" t="s">
        <v>2439</v>
      </c>
      <c r="S3082" s="1"/>
      <c r="T3082" s="1"/>
      <c r="U3082" s="1"/>
      <c r="V3082" s="1"/>
      <c r="W3082" s="1"/>
      <c r="X3082" s="1"/>
      <c r="Y3082" s="1"/>
      <c r="Z3082" s="102"/>
      <c r="AA3082" s="102"/>
      <c r="AB3082" s="1"/>
      <c r="AC3082" s="1"/>
      <c r="AD3082" s="1"/>
      <c r="AE3082" s="1"/>
      <c r="AF3082" s="1"/>
      <c r="AG3082" s="1"/>
    </row>
    <row r="3083" ht="15.75" customHeight="1">
      <c r="A3083" s="1"/>
      <c r="B3083" s="1"/>
      <c r="C3083" s="1"/>
      <c r="D3083" s="1"/>
      <c r="E3083" s="1"/>
      <c r="F3083" s="1"/>
      <c r="G3083" s="1"/>
      <c r="H3083" s="1"/>
      <c r="I3083" s="1"/>
      <c r="J3083" s="1"/>
      <c r="K3083" s="102" t="s">
        <v>5383</v>
      </c>
      <c r="L3083" s="102" t="str">
        <f>T197</f>
        <v>J1a2a1a2d2b2b2c4b2a1~</v>
      </c>
      <c r="M3083" s="102" t="s">
        <v>5382</v>
      </c>
      <c r="N3083" s="102" t="s">
        <v>5384</v>
      </c>
      <c r="O3083" s="105">
        <v>2.1185171E7</v>
      </c>
      <c r="P3083" s="105">
        <v>1.9023285E7</v>
      </c>
      <c r="Q3083" s="102" t="s">
        <v>2439</v>
      </c>
      <c r="S3083" s="1"/>
      <c r="T3083" s="1"/>
      <c r="U3083" s="1"/>
      <c r="V3083" s="1"/>
      <c r="W3083" s="1"/>
      <c r="X3083" s="1"/>
      <c r="Y3083" s="1"/>
      <c r="Z3083" s="102"/>
      <c r="AA3083" s="102"/>
      <c r="AB3083" s="1"/>
      <c r="AC3083" s="1"/>
      <c r="AD3083" s="1"/>
      <c r="AE3083" s="1"/>
      <c r="AF3083" s="1"/>
      <c r="AG3083" s="1"/>
    </row>
    <row r="3084" ht="15.75" customHeight="1">
      <c r="A3084" s="1"/>
      <c r="B3084" s="1"/>
      <c r="C3084" s="1"/>
      <c r="D3084" s="1"/>
      <c r="E3084" s="1"/>
      <c r="F3084" s="1"/>
      <c r="G3084" s="1"/>
      <c r="H3084" s="1"/>
      <c r="I3084" s="1"/>
      <c r="J3084" s="1"/>
      <c r="K3084" s="102" t="s">
        <v>365</v>
      </c>
      <c r="L3084" s="102" t="str">
        <f>U198</f>
        <v>J1a2a1a2d2b2b2c4b2a1a~</v>
      </c>
      <c r="M3084" s="102"/>
      <c r="N3084" s="102" t="s">
        <v>5385</v>
      </c>
      <c r="O3084" s="105">
        <v>7402705.0</v>
      </c>
      <c r="P3084" s="105">
        <v>7534664.0</v>
      </c>
      <c r="Q3084" s="102" t="s">
        <v>2514</v>
      </c>
      <c r="S3084" s="1"/>
      <c r="T3084" s="1"/>
      <c r="U3084" s="1"/>
      <c r="V3084" s="1"/>
      <c r="W3084" s="1"/>
      <c r="X3084" s="1"/>
      <c r="Y3084" s="1"/>
      <c r="Z3084" s="102"/>
      <c r="AA3084" s="102"/>
      <c r="AB3084" s="1"/>
      <c r="AC3084" s="1"/>
      <c r="AD3084" s="1"/>
      <c r="AE3084" s="1"/>
      <c r="AF3084" s="1"/>
      <c r="AG3084" s="1"/>
    </row>
    <row r="3085" ht="15.75" customHeight="1">
      <c r="A3085" s="1"/>
      <c r="B3085" s="1"/>
      <c r="C3085" s="1"/>
      <c r="D3085" s="1"/>
      <c r="E3085" s="1"/>
      <c r="F3085" s="1"/>
      <c r="G3085" s="1"/>
      <c r="H3085" s="1"/>
      <c r="I3085" s="1"/>
      <c r="J3085" s="1"/>
      <c r="K3085" s="102" t="s">
        <v>5386</v>
      </c>
      <c r="L3085" s="102" t="str">
        <f>V199</f>
        <v>J1a2a1a2d2b2b2c4b2a1a1~</v>
      </c>
      <c r="M3085" s="102" t="s">
        <v>5387</v>
      </c>
      <c r="N3085" s="102" t="s">
        <v>5388</v>
      </c>
      <c r="O3085" s="105">
        <v>2.0814705E7</v>
      </c>
      <c r="P3085" s="105">
        <v>1.8652819E7</v>
      </c>
      <c r="Q3085" s="102" t="s">
        <v>2446</v>
      </c>
      <c r="S3085" s="1"/>
      <c r="T3085" s="1"/>
      <c r="U3085" s="1"/>
      <c r="V3085" s="1"/>
      <c r="W3085" s="1"/>
      <c r="X3085" s="1"/>
      <c r="Y3085" s="1"/>
      <c r="Z3085" s="102"/>
      <c r="AA3085" s="102"/>
      <c r="AB3085" s="1"/>
      <c r="AC3085" s="1"/>
      <c r="AD3085" s="1"/>
      <c r="AE3085" s="1"/>
      <c r="AF3085" s="1"/>
      <c r="AG3085" s="1"/>
    </row>
    <row r="3086" ht="15.75" customHeight="1">
      <c r="A3086" s="1"/>
      <c r="B3086" s="1"/>
      <c r="C3086" s="1"/>
      <c r="D3086" s="1"/>
      <c r="E3086" s="1"/>
      <c r="F3086" s="1"/>
      <c r="G3086" s="1"/>
      <c r="H3086" s="1"/>
      <c r="I3086" s="1"/>
      <c r="J3086" s="1"/>
      <c r="K3086" s="102" t="s">
        <v>5387</v>
      </c>
      <c r="L3086" s="102" t="str">
        <f>V199</f>
        <v>J1a2a1a2d2b2b2c4b2a1a1~</v>
      </c>
      <c r="M3086" s="102" t="s">
        <v>5386</v>
      </c>
      <c r="N3086" s="102" t="s">
        <v>5388</v>
      </c>
      <c r="O3086" s="105">
        <v>2.0814705E7</v>
      </c>
      <c r="P3086" s="105">
        <v>1.8652819E7</v>
      </c>
      <c r="Q3086" s="102" t="s">
        <v>2446</v>
      </c>
      <c r="S3086" s="1"/>
      <c r="T3086" s="1"/>
      <c r="U3086" s="1"/>
      <c r="V3086" s="1"/>
      <c r="W3086" s="1"/>
      <c r="X3086" s="1"/>
      <c r="Y3086" s="1"/>
      <c r="Z3086" s="102"/>
      <c r="AA3086" s="102"/>
      <c r="AB3086" s="1"/>
      <c r="AC3086" s="1"/>
      <c r="AD3086" s="1"/>
      <c r="AE3086" s="1"/>
      <c r="AF3086" s="1"/>
      <c r="AG3086" s="1"/>
    </row>
    <row r="3087" ht="15.75" customHeight="1">
      <c r="A3087" s="1"/>
      <c r="B3087" s="1"/>
      <c r="C3087" s="1"/>
      <c r="D3087" s="1"/>
      <c r="E3087" s="1"/>
      <c r="F3087" s="1"/>
      <c r="G3087" s="1"/>
      <c r="H3087" s="1"/>
      <c r="I3087" s="1"/>
      <c r="J3087" s="1"/>
      <c r="K3087" s="102" t="s">
        <v>5389</v>
      </c>
      <c r="L3087" s="102" t="str">
        <f>V199</f>
        <v>J1a2a1a2d2b2b2c4b2a1a1~</v>
      </c>
      <c r="M3087" s="102"/>
      <c r="N3087" s="102" t="s">
        <v>5390</v>
      </c>
      <c r="O3087" s="105">
        <v>8600126.0</v>
      </c>
      <c r="P3087" s="105">
        <v>8732085.0</v>
      </c>
      <c r="Q3087" s="102" t="s">
        <v>2533</v>
      </c>
      <c r="S3087" s="1"/>
      <c r="T3087" s="1"/>
      <c r="U3087" s="1"/>
      <c r="V3087" s="1"/>
      <c r="W3087" s="1"/>
      <c r="X3087" s="1"/>
      <c r="Y3087" s="1"/>
      <c r="Z3087" s="102"/>
      <c r="AA3087" s="102"/>
      <c r="AB3087" s="1"/>
      <c r="AC3087" s="1"/>
      <c r="AD3087" s="1"/>
      <c r="AE3087" s="1"/>
      <c r="AF3087" s="1"/>
      <c r="AG3087" s="1"/>
    </row>
    <row r="3088" ht="15.75" customHeight="1">
      <c r="A3088" s="1"/>
      <c r="B3088" s="1"/>
      <c r="C3088" s="1"/>
      <c r="D3088" s="1"/>
      <c r="E3088" s="1"/>
      <c r="F3088" s="1"/>
      <c r="G3088" s="1"/>
      <c r="H3088" s="1"/>
      <c r="I3088" s="1"/>
      <c r="J3088" s="1"/>
      <c r="K3088" s="102" t="s">
        <v>5391</v>
      </c>
      <c r="L3088" s="102" t="str">
        <f>V199</f>
        <v>J1a2a1a2d2b2b2c4b2a1a1~</v>
      </c>
      <c r="M3088" s="102"/>
      <c r="N3088" s="102" t="s">
        <v>5392</v>
      </c>
      <c r="O3088" s="105">
        <v>1.4318072E7</v>
      </c>
      <c r="P3088" s="105">
        <v>1.2197366E7</v>
      </c>
      <c r="Q3088" s="102" t="s">
        <v>2439</v>
      </c>
      <c r="S3088" s="1"/>
      <c r="T3088" s="1"/>
      <c r="U3088" s="1"/>
      <c r="V3088" s="1"/>
      <c r="W3088" s="1"/>
      <c r="X3088" s="1"/>
      <c r="Y3088" s="1"/>
      <c r="Z3088" s="102"/>
      <c r="AA3088" s="102"/>
      <c r="AB3088" s="1"/>
      <c r="AC3088" s="1"/>
      <c r="AD3088" s="1"/>
      <c r="AE3088" s="1"/>
      <c r="AF3088" s="1"/>
      <c r="AG3088" s="1"/>
    </row>
    <row r="3089" ht="15.75" customHeight="1">
      <c r="A3089" s="1"/>
      <c r="B3089" s="1"/>
      <c r="C3089" s="1"/>
      <c r="D3089" s="1"/>
      <c r="E3089" s="1"/>
      <c r="F3089" s="1"/>
      <c r="G3089" s="1"/>
      <c r="H3089" s="1"/>
      <c r="I3089" s="1"/>
      <c r="J3089" s="1"/>
      <c r="K3089" s="102" t="s">
        <v>5393</v>
      </c>
      <c r="L3089" s="102" t="str">
        <f>V199</f>
        <v>J1a2a1a2d2b2b2c4b2a1a1~</v>
      </c>
      <c r="M3089" s="102"/>
      <c r="N3089" s="102" t="s">
        <v>5394</v>
      </c>
      <c r="O3089" s="105">
        <v>1.4808355E7</v>
      </c>
      <c r="P3089" s="105">
        <v>1.2696426E7</v>
      </c>
      <c r="Q3089" s="102" t="s">
        <v>2501</v>
      </c>
      <c r="S3089" s="1"/>
      <c r="T3089" s="1"/>
      <c r="U3089" s="1"/>
      <c r="V3089" s="1"/>
      <c r="W3089" s="1"/>
      <c r="X3089" s="1"/>
      <c r="Y3089" s="1"/>
      <c r="Z3089" s="102"/>
      <c r="AA3089" s="102"/>
      <c r="AB3089" s="1"/>
      <c r="AC3089" s="1"/>
      <c r="AD3089" s="1"/>
      <c r="AE3089" s="1"/>
      <c r="AF3089" s="1"/>
      <c r="AG3089" s="1"/>
    </row>
    <row r="3090" ht="15.75" customHeight="1">
      <c r="A3090" s="1"/>
      <c r="B3090" s="1"/>
      <c r="C3090" s="1"/>
      <c r="D3090" s="1"/>
      <c r="E3090" s="1"/>
      <c r="F3090" s="1"/>
      <c r="G3090" s="1"/>
      <c r="H3090" s="1"/>
      <c r="I3090" s="1"/>
      <c r="J3090" s="1"/>
      <c r="K3090" s="102" t="s">
        <v>5395</v>
      </c>
      <c r="L3090" s="102" t="str">
        <f>V199</f>
        <v>J1a2a1a2d2b2b2c4b2a1a1~</v>
      </c>
      <c r="M3090" s="102"/>
      <c r="N3090" s="102" t="s">
        <v>5396</v>
      </c>
      <c r="O3090" s="105">
        <v>1.5008113E7</v>
      </c>
      <c r="P3090" s="105">
        <v>1.2896198E7</v>
      </c>
      <c r="Q3090" s="102" t="s">
        <v>2501</v>
      </c>
      <c r="S3090" s="1"/>
      <c r="T3090" s="1"/>
      <c r="U3090" s="1"/>
      <c r="V3090" s="1"/>
      <c r="W3090" s="1"/>
      <c r="X3090" s="1"/>
      <c r="Y3090" s="1"/>
      <c r="Z3090" s="102"/>
      <c r="AA3090" s="102"/>
      <c r="AB3090" s="1"/>
      <c r="AC3090" s="1"/>
      <c r="AD3090" s="1"/>
      <c r="AE3090" s="1"/>
      <c r="AF3090" s="1"/>
      <c r="AG3090" s="1"/>
    </row>
    <row r="3091" ht="15.75" customHeight="1">
      <c r="A3091" s="1"/>
      <c r="B3091" s="1"/>
      <c r="C3091" s="1"/>
      <c r="D3091" s="1"/>
      <c r="E3091" s="1"/>
      <c r="F3091" s="1"/>
      <c r="G3091" s="1"/>
      <c r="H3091" s="1"/>
      <c r="I3091" s="1"/>
      <c r="J3091" s="1"/>
      <c r="K3091" s="102" t="s">
        <v>5397</v>
      </c>
      <c r="L3091" s="102" t="str">
        <f>V199</f>
        <v>J1a2a1a2d2b2b2c4b2a1a1~</v>
      </c>
      <c r="M3091" s="102"/>
      <c r="N3091" s="102" t="s">
        <v>5398</v>
      </c>
      <c r="O3091" s="105">
        <v>1.5045783E7</v>
      </c>
      <c r="P3091" s="105">
        <v>1.2933873E7</v>
      </c>
      <c r="Q3091" s="102" t="s">
        <v>2529</v>
      </c>
      <c r="S3091" s="1"/>
      <c r="T3091" s="1"/>
      <c r="U3091" s="1"/>
      <c r="V3091" s="1"/>
      <c r="W3091" s="1"/>
      <c r="X3091" s="1"/>
      <c r="Y3091" s="1"/>
      <c r="Z3091" s="102"/>
      <c r="AA3091" s="102"/>
      <c r="AB3091" s="1"/>
      <c r="AC3091" s="1"/>
      <c r="AD3091" s="1"/>
      <c r="AE3091" s="1"/>
      <c r="AF3091" s="1"/>
      <c r="AG3091" s="1"/>
    </row>
    <row r="3092" ht="15.75" customHeight="1">
      <c r="A3092" s="1"/>
      <c r="B3092" s="1"/>
      <c r="C3092" s="1"/>
      <c r="D3092" s="1"/>
      <c r="E3092" s="1"/>
      <c r="F3092" s="1"/>
      <c r="G3092" s="1"/>
      <c r="H3092" s="1"/>
      <c r="I3092" s="1"/>
      <c r="J3092" s="1"/>
      <c r="K3092" s="102" t="s">
        <v>5399</v>
      </c>
      <c r="L3092" s="102" t="str">
        <f>V199</f>
        <v>J1a2a1a2d2b2b2c4b2a1a1~</v>
      </c>
      <c r="M3092" s="102"/>
      <c r="N3092" s="102" t="s">
        <v>5400</v>
      </c>
      <c r="O3092" s="105">
        <v>1.7977765E7</v>
      </c>
      <c r="P3092" s="105">
        <v>1.5865885E7</v>
      </c>
      <c r="Q3092" s="102" t="s">
        <v>2501</v>
      </c>
      <c r="S3092" s="1"/>
      <c r="T3092" s="1"/>
      <c r="U3092" s="1"/>
      <c r="V3092" s="1"/>
      <c r="W3092" s="1"/>
      <c r="X3092" s="1"/>
      <c r="Y3092" s="1"/>
      <c r="Z3092" s="102"/>
      <c r="AA3092" s="102"/>
      <c r="AB3092" s="1"/>
      <c r="AC3092" s="1"/>
      <c r="AD3092" s="1"/>
      <c r="AE3092" s="1"/>
      <c r="AF3092" s="1"/>
      <c r="AG3092" s="1"/>
    </row>
    <row r="3093" ht="15.75" customHeight="1">
      <c r="A3093" s="1"/>
      <c r="B3093" s="1"/>
      <c r="C3093" s="1"/>
      <c r="D3093" s="1"/>
      <c r="E3093" s="1"/>
      <c r="F3093" s="1"/>
      <c r="G3093" s="1"/>
      <c r="H3093" s="1"/>
      <c r="I3093" s="1"/>
      <c r="J3093" s="1"/>
      <c r="K3093" s="102" t="s">
        <v>5401</v>
      </c>
      <c r="L3093" s="102" t="str">
        <f>V199</f>
        <v>J1a2a1a2d2b2b2c4b2a1a1~</v>
      </c>
      <c r="M3093" s="102"/>
      <c r="N3093" s="102" t="s">
        <v>5402</v>
      </c>
      <c r="O3093" s="105">
        <v>2.1079809E7</v>
      </c>
      <c r="P3093" s="105">
        <v>1.8917923E7</v>
      </c>
      <c r="Q3093" s="102" t="s">
        <v>2432</v>
      </c>
      <c r="S3093" s="1"/>
      <c r="T3093" s="1"/>
      <c r="U3093" s="1"/>
      <c r="V3093" s="1"/>
      <c r="W3093" s="1"/>
      <c r="X3093" s="1"/>
      <c r="Y3093" s="1"/>
      <c r="Z3093" s="102"/>
      <c r="AA3093" s="102"/>
      <c r="AB3093" s="1"/>
      <c r="AC3093" s="1"/>
      <c r="AD3093" s="1"/>
      <c r="AE3093" s="1"/>
      <c r="AF3093" s="1"/>
      <c r="AG3093" s="1"/>
    </row>
    <row r="3094" ht="15.75" customHeight="1">
      <c r="A3094" s="1"/>
      <c r="B3094" s="1"/>
      <c r="C3094" s="1"/>
      <c r="D3094" s="1"/>
      <c r="E3094" s="1"/>
      <c r="F3094" s="1"/>
      <c r="G3094" s="1"/>
      <c r="H3094" s="1"/>
      <c r="I3094" s="1"/>
      <c r="J3094" s="1"/>
      <c r="K3094" s="102" t="s">
        <v>5403</v>
      </c>
      <c r="L3094" s="102" t="str">
        <f>V199</f>
        <v>J1a2a1a2d2b2b2c4b2a1a1~</v>
      </c>
      <c r="M3094" s="102"/>
      <c r="N3094" s="102" t="s">
        <v>5404</v>
      </c>
      <c r="O3094" s="105">
        <v>2.1653095E7</v>
      </c>
      <c r="P3094" s="105">
        <v>1.9491209E7</v>
      </c>
      <c r="Q3094" s="102" t="s">
        <v>2423</v>
      </c>
      <c r="S3094" s="1"/>
      <c r="T3094" s="1"/>
      <c r="U3094" s="1"/>
      <c r="V3094" s="1"/>
      <c r="W3094" s="1"/>
      <c r="X3094" s="1"/>
      <c r="Y3094" s="1"/>
      <c r="Z3094" s="102"/>
      <c r="AA3094" s="102"/>
      <c r="AB3094" s="1"/>
      <c r="AC3094" s="1"/>
      <c r="AD3094" s="1"/>
      <c r="AE3094" s="1"/>
      <c r="AF3094" s="1"/>
      <c r="AG3094" s="1"/>
    </row>
    <row r="3095" ht="15.75" customHeight="1">
      <c r="A3095" s="1"/>
      <c r="B3095" s="1"/>
      <c r="C3095" s="1"/>
      <c r="D3095" s="1"/>
      <c r="E3095" s="1"/>
      <c r="F3095" s="1"/>
      <c r="G3095" s="1"/>
      <c r="H3095" s="1"/>
      <c r="I3095" s="1"/>
      <c r="J3095" s="1"/>
      <c r="K3095" s="102" t="s">
        <v>5405</v>
      </c>
      <c r="L3095" s="102" t="str">
        <f>V199</f>
        <v>J1a2a1a2d2b2b2c4b2a1a1~</v>
      </c>
      <c r="M3095" s="102"/>
      <c r="N3095" s="102" t="s">
        <v>5406</v>
      </c>
      <c r="O3095" s="105">
        <v>2.3404921E7</v>
      </c>
      <c r="P3095" s="105">
        <v>2.1243035E7</v>
      </c>
      <c r="Q3095" s="102" t="s">
        <v>2576</v>
      </c>
      <c r="S3095" s="1"/>
      <c r="T3095" s="1"/>
      <c r="U3095" s="1"/>
      <c r="V3095" s="1"/>
      <c r="W3095" s="1"/>
      <c r="X3095" s="1"/>
      <c r="Y3095" s="1"/>
      <c r="Z3095" s="102"/>
      <c r="AA3095" s="102"/>
      <c r="AB3095" s="1"/>
      <c r="AC3095" s="1"/>
      <c r="AD3095" s="1"/>
      <c r="AE3095" s="1"/>
      <c r="AF3095" s="1"/>
      <c r="AG3095" s="1"/>
    </row>
    <row r="3096" ht="15.75" customHeight="1">
      <c r="A3096" s="1"/>
      <c r="B3096" s="1"/>
      <c r="C3096" s="1"/>
      <c r="D3096" s="1"/>
      <c r="E3096" s="1"/>
      <c r="F3096" s="1"/>
      <c r="G3096" s="1"/>
      <c r="H3096" s="1"/>
      <c r="I3096" s="1"/>
      <c r="J3096" s="1"/>
      <c r="K3096" s="102" t="s">
        <v>5407</v>
      </c>
      <c r="L3096" s="102" t="str">
        <f>V199</f>
        <v>J1a2a1a2d2b2b2c4b2a1a1~</v>
      </c>
      <c r="M3096" s="102"/>
      <c r="N3096" s="102"/>
      <c r="O3096" s="105">
        <v>2.3590203E7</v>
      </c>
      <c r="P3096" s="105">
        <v>2.1428317E7</v>
      </c>
      <c r="Q3096" s="102" t="s">
        <v>2468</v>
      </c>
      <c r="S3096" s="1"/>
      <c r="T3096" s="1"/>
      <c r="U3096" s="1"/>
      <c r="V3096" s="1"/>
      <c r="W3096" s="1"/>
      <c r="X3096" s="1"/>
      <c r="Y3096" s="1"/>
      <c r="Z3096" s="102"/>
      <c r="AA3096" s="102"/>
      <c r="AB3096" s="1"/>
      <c r="AC3096" s="1"/>
      <c r="AD3096" s="1"/>
      <c r="AE3096" s="1"/>
      <c r="AF3096" s="1"/>
      <c r="AG3096" s="1"/>
    </row>
    <row r="3097" ht="15.75" customHeight="1">
      <c r="A3097" s="1"/>
      <c r="B3097" s="1"/>
      <c r="C3097" s="1"/>
      <c r="D3097" s="1"/>
      <c r="E3097" s="1"/>
      <c r="F3097" s="1"/>
      <c r="G3097" s="1"/>
      <c r="H3097" s="1"/>
      <c r="I3097" s="1"/>
      <c r="J3097" s="1"/>
      <c r="K3097" s="102" t="s">
        <v>5408</v>
      </c>
      <c r="L3097" s="102" t="str">
        <f>W200</f>
        <v>J1a2a1a2d2b2b2c4b2a1a1a~</v>
      </c>
      <c r="M3097" s="102" t="s">
        <v>5409</v>
      </c>
      <c r="N3097" s="102" t="s">
        <v>5410</v>
      </c>
      <c r="O3097" s="102">
        <v>2865218.0</v>
      </c>
      <c r="P3097" s="102">
        <v>2997177.0</v>
      </c>
      <c r="Q3097" s="102" t="s">
        <v>2529</v>
      </c>
      <c r="S3097" s="1"/>
      <c r="T3097" s="1"/>
      <c r="U3097" s="1"/>
      <c r="V3097" s="1"/>
      <c r="W3097" s="1"/>
      <c r="X3097" s="1"/>
      <c r="Y3097" s="1"/>
      <c r="Z3097" s="102">
        <v>2865218.0</v>
      </c>
      <c r="AA3097" s="102"/>
      <c r="AB3097" s="1"/>
      <c r="AC3097" s="1"/>
      <c r="AD3097" s="1"/>
      <c r="AE3097" s="1"/>
      <c r="AF3097" s="1"/>
      <c r="AG3097" s="1"/>
    </row>
    <row r="3098" ht="15.75" customHeight="1">
      <c r="A3098" s="1"/>
      <c r="B3098" s="1"/>
      <c r="C3098" s="1"/>
      <c r="D3098" s="1"/>
      <c r="E3098" s="1"/>
      <c r="F3098" s="1"/>
      <c r="G3098" s="1"/>
      <c r="H3098" s="1"/>
      <c r="I3098" s="1"/>
      <c r="J3098" s="1"/>
      <c r="K3098" s="102" t="s">
        <v>5409</v>
      </c>
      <c r="L3098" s="102" t="str">
        <f>W200</f>
        <v>J1a2a1a2d2b2b2c4b2a1a1a~</v>
      </c>
      <c r="M3098" s="102" t="s">
        <v>5408</v>
      </c>
      <c r="N3098" s="102" t="s">
        <v>5410</v>
      </c>
      <c r="O3098" s="102">
        <v>2865218.0</v>
      </c>
      <c r="P3098" s="102">
        <v>2997177.0</v>
      </c>
      <c r="Q3098" s="102" t="s">
        <v>2529</v>
      </c>
      <c r="S3098" s="1"/>
      <c r="T3098" s="1"/>
      <c r="U3098" s="1"/>
      <c r="V3098" s="1"/>
      <c r="W3098" s="1"/>
      <c r="X3098" s="1"/>
      <c r="Y3098" s="1"/>
      <c r="Z3098" s="102">
        <v>2865218.0</v>
      </c>
      <c r="AA3098" s="102"/>
      <c r="AB3098" s="1"/>
      <c r="AC3098" s="1"/>
      <c r="AD3098" s="1"/>
      <c r="AE3098" s="1"/>
      <c r="AF3098" s="1"/>
      <c r="AG3098" s="1"/>
    </row>
    <row r="3099" ht="15.75" customHeight="1">
      <c r="A3099" s="1"/>
      <c r="B3099" s="1"/>
      <c r="C3099" s="1"/>
      <c r="D3099" s="1"/>
      <c r="E3099" s="1"/>
      <c r="F3099" s="1"/>
      <c r="G3099" s="1"/>
      <c r="H3099" s="1"/>
      <c r="I3099" s="1"/>
      <c r="J3099" s="1"/>
      <c r="K3099" s="102" t="s">
        <v>5411</v>
      </c>
      <c r="L3099" s="102" t="str">
        <f>W200</f>
        <v>J1a2a1a2d2b2b2c4b2a1a1a~</v>
      </c>
      <c r="M3099" s="102"/>
      <c r="N3099" s="102"/>
      <c r="O3099" s="105">
        <v>6838190.0</v>
      </c>
      <c r="P3099" s="105">
        <v>6970149.0</v>
      </c>
      <c r="Q3099" s="102" t="s">
        <v>2501</v>
      </c>
      <c r="S3099" s="1"/>
      <c r="T3099" s="1"/>
      <c r="U3099" s="1"/>
      <c r="V3099" s="1"/>
      <c r="W3099" s="1"/>
      <c r="X3099" s="1"/>
      <c r="Y3099" s="1"/>
      <c r="Z3099" s="102"/>
      <c r="AA3099" s="102"/>
      <c r="AB3099" s="1"/>
      <c r="AC3099" s="1"/>
      <c r="AD3099" s="1"/>
      <c r="AE3099" s="1"/>
      <c r="AF3099" s="1"/>
      <c r="AG3099" s="1"/>
    </row>
    <row r="3100" ht="15.75" customHeight="1">
      <c r="A3100" s="1"/>
      <c r="B3100" s="1"/>
      <c r="C3100" s="1"/>
      <c r="D3100" s="1"/>
      <c r="E3100" s="1"/>
      <c r="F3100" s="1"/>
      <c r="G3100" s="1"/>
      <c r="H3100" s="1"/>
      <c r="I3100" s="1"/>
      <c r="J3100" s="1"/>
      <c r="K3100" s="102" t="s">
        <v>5412</v>
      </c>
      <c r="L3100" s="102" t="str">
        <f>W200</f>
        <v>J1a2a1a2d2b2b2c4b2a1a1a~</v>
      </c>
      <c r="M3100" s="102"/>
      <c r="N3100" s="102"/>
      <c r="O3100" s="105">
        <v>7644715.0</v>
      </c>
      <c r="P3100" s="105">
        <v>7776674.0</v>
      </c>
      <c r="Q3100" s="102" t="s">
        <v>2439</v>
      </c>
      <c r="S3100" s="1"/>
      <c r="T3100" s="1"/>
      <c r="U3100" s="1"/>
      <c r="V3100" s="1"/>
      <c r="W3100" s="1"/>
      <c r="X3100" s="1"/>
      <c r="Y3100" s="1"/>
      <c r="Z3100" s="102"/>
      <c r="AA3100" s="102"/>
      <c r="AB3100" s="1"/>
      <c r="AC3100" s="1"/>
      <c r="AD3100" s="1"/>
      <c r="AE3100" s="1"/>
      <c r="AF3100" s="1"/>
      <c r="AG3100" s="1"/>
    </row>
    <row r="3101" ht="15.75" customHeight="1">
      <c r="A3101" s="1"/>
      <c r="B3101" s="1"/>
      <c r="C3101" s="1"/>
      <c r="D3101" s="1"/>
      <c r="E3101" s="1"/>
      <c r="F3101" s="1"/>
      <c r="G3101" s="1"/>
      <c r="H3101" s="1"/>
      <c r="I3101" s="1"/>
      <c r="J3101" s="1"/>
      <c r="K3101" s="102" t="s">
        <v>5413</v>
      </c>
      <c r="L3101" s="102" t="str">
        <f>W200</f>
        <v>J1a2a1a2d2b2b2c4b2a1a1a~</v>
      </c>
      <c r="M3101" s="102"/>
      <c r="N3101" s="102"/>
      <c r="O3101" s="105">
        <v>1.3998288E7</v>
      </c>
      <c r="P3101" s="105">
        <v>1.1877582E7</v>
      </c>
      <c r="Q3101" s="102" t="s">
        <v>2501</v>
      </c>
      <c r="S3101" s="1"/>
      <c r="T3101" s="1"/>
      <c r="U3101" s="1"/>
      <c r="V3101" s="1"/>
      <c r="W3101" s="1"/>
      <c r="X3101" s="1"/>
      <c r="Y3101" s="1"/>
      <c r="Z3101" s="102"/>
      <c r="AA3101" s="102"/>
      <c r="AB3101" s="1"/>
      <c r="AC3101" s="1"/>
      <c r="AD3101" s="1"/>
      <c r="AE3101" s="1"/>
      <c r="AF3101" s="1"/>
      <c r="AG3101" s="1"/>
    </row>
    <row r="3102" ht="15.75" customHeight="1">
      <c r="A3102" s="1"/>
      <c r="B3102" s="1"/>
      <c r="C3102" s="1"/>
      <c r="D3102" s="1"/>
      <c r="E3102" s="1"/>
      <c r="F3102" s="1"/>
      <c r="G3102" s="1"/>
      <c r="H3102" s="1"/>
      <c r="I3102" s="1"/>
      <c r="J3102" s="1"/>
      <c r="K3102" s="102" t="s">
        <v>5414</v>
      </c>
      <c r="L3102" s="102" t="str">
        <f>W200</f>
        <v>J1a2a1a2d2b2b2c4b2a1a1a~</v>
      </c>
      <c r="M3102" s="102"/>
      <c r="N3102" s="102"/>
      <c r="O3102" s="105">
        <v>1.6860441E7</v>
      </c>
      <c r="P3102" s="105">
        <v>1.4748561E7</v>
      </c>
      <c r="Q3102" s="102" t="s">
        <v>2439</v>
      </c>
      <c r="S3102" s="1"/>
      <c r="T3102" s="1"/>
      <c r="U3102" s="1"/>
      <c r="V3102" s="1"/>
      <c r="W3102" s="1"/>
      <c r="X3102" s="1"/>
      <c r="Y3102" s="1"/>
      <c r="Z3102" s="102"/>
      <c r="AA3102" s="102"/>
      <c r="AB3102" s="1"/>
      <c r="AC3102" s="1"/>
      <c r="AD3102" s="1"/>
      <c r="AE3102" s="1"/>
      <c r="AF3102" s="1"/>
      <c r="AG3102" s="1"/>
    </row>
    <row r="3103" ht="15.75" customHeight="1">
      <c r="A3103" s="1"/>
      <c r="B3103" s="1"/>
      <c r="C3103" s="1"/>
      <c r="D3103" s="1"/>
      <c r="E3103" s="1"/>
      <c r="F3103" s="1"/>
      <c r="G3103" s="1"/>
      <c r="H3103" s="1"/>
      <c r="I3103" s="1"/>
      <c r="J3103" s="1"/>
      <c r="K3103" s="102" t="s">
        <v>5415</v>
      </c>
      <c r="L3103" s="102" t="str">
        <f>W200</f>
        <v>J1a2a1a2d2b2b2c4b2a1a1a~</v>
      </c>
      <c r="M3103" s="102"/>
      <c r="N3103" s="102" t="s">
        <v>5416</v>
      </c>
      <c r="O3103" s="105">
        <v>1.731186E7</v>
      </c>
      <c r="P3103" s="105">
        <v>1.519998E7</v>
      </c>
      <c r="Q3103" s="102" t="s">
        <v>2439</v>
      </c>
      <c r="S3103" s="1"/>
      <c r="T3103" s="1"/>
      <c r="U3103" s="1"/>
      <c r="V3103" s="1"/>
      <c r="W3103" s="1"/>
      <c r="X3103" s="1"/>
      <c r="Y3103" s="1"/>
      <c r="Z3103" s="102"/>
      <c r="AA3103" s="102"/>
      <c r="AB3103" s="1"/>
      <c r="AC3103" s="1"/>
      <c r="AD3103" s="1"/>
      <c r="AE3103" s="1"/>
      <c r="AF3103" s="1"/>
      <c r="AG3103" s="1"/>
    </row>
    <row r="3104" ht="15.75" customHeight="1">
      <c r="A3104" s="1"/>
      <c r="B3104" s="1"/>
      <c r="C3104" s="1"/>
      <c r="D3104" s="1"/>
      <c r="E3104" s="1"/>
      <c r="F3104" s="1"/>
      <c r="G3104" s="1"/>
      <c r="H3104" s="1"/>
      <c r="I3104" s="1"/>
      <c r="J3104" s="1"/>
      <c r="K3104" s="102" t="s">
        <v>5417</v>
      </c>
      <c r="L3104" s="102" t="str">
        <f>W200</f>
        <v>J1a2a1a2d2b2b2c4b2a1a1a~</v>
      </c>
      <c r="M3104" s="102"/>
      <c r="N3104" s="102"/>
      <c r="O3104" s="105">
        <v>1.767202E7</v>
      </c>
      <c r="P3104" s="105">
        <v>1.556014E7</v>
      </c>
      <c r="Q3104" s="102" t="s">
        <v>2439</v>
      </c>
      <c r="S3104" s="1"/>
      <c r="T3104" s="1"/>
      <c r="U3104" s="1"/>
      <c r="V3104" s="1"/>
      <c r="W3104" s="1"/>
      <c r="X3104" s="1"/>
      <c r="Y3104" s="1"/>
      <c r="Z3104" s="102"/>
      <c r="AA3104" s="102"/>
      <c r="AB3104" s="1"/>
      <c r="AC3104" s="1"/>
      <c r="AD3104" s="1"/>
      <c r="AE3104" s="1"/>
      <c r="AF3104" s="1"/>
      <c r="AG3104" s="1"/>
    </row>
    <row r="3105" ht="15.75" customHeight="1">
      <c r="A3105" s="1"/>
      <c r="B3105" s="1"/>
      <c r="C3105" s="1"/>
      <c r="D3105" s="1"/>
      <c r="E3105" s="1"/>
      <c r="F3105" s="1"/>
      <c r="G3105" s="1"/>
      <c r="H3105" s="1"/>
      <c r="I3105" s="1"/>
      <c r="J3105" s="1"/>
      <c r="K3105" s="102" t="s">
        <v>5418</v>
      </c>
      <c r="L3105" s="102" t="str">
        <f>W200</f>
        <v>J1a2a1a2d2b2b2c4b2a1a1a~</v>
      </c>
      <c r="M3105" s="102"/>
      <c r="N3105" s="102" t="s">
        <v>5419</v>
      </c>
      <c r="O3105" s="105">
        <v>2.130877E7</v>
      </c>
      <c r="P3105" s="105">
        <v>1.9146884E7</v>
      </c>
      <c r="Q3105" s="102" t="s">
        <v>2446</v>
      </c>
      <c r="S3105" s="1"/>
      <c r="T3105" s="1"/>
      <c r="U3105" s="1"/>
      <c r="V3105" s="1"/>
      <c r="W3105" s="1"/>
      <c r="X3105" s="1"/>
      <c r="Y3105" s="1"/>
      <c r="Z3105" s="102"/>
      <c r="AA3105" s="102"/>
      <c r="AB3105" s="1"/>
      <c r="AC3105" s="1"/>
      <c r="AD3105" s="1"/>
      <c r="AE3105" s="1"/>
      <c r="AF3105" s="1"/>
      <c r="AG3105" s="1"/>
    </row>
    <row r="3106" ht="15.75" customHeight="1">
      <c r="A3106" s="1"/>
      <c r="B3106" s="1"/>
      <c r="C3106" s="1"/>
      <c r="D3106" s="1"/>
      <c r="E3106" s="1"/>
      <c r="F3106" s="1"/>
      <c r="G3106" s="1"/>
      <c r="H3106" s="1"/>
      <c r="I3106" s="1"/>
      <c r="J3106" s="1"/>
      <c r="K3106" s="102" t="s">
        <v>5420</v>
      </c>
      <c r="L3106" s="102" t="str">
        <f t="shared" ref="L3106:L3107" si="40">W200</f>
        <v>J1a2a1a2d2b2b2c4b2a1a1a~</v>
      </c>
      <c r="M3106" s="102"/>
      <c r="N3106" s="102"/>
      <c r="O3106" s="105">
        <v>2.2526614E7</v>
      </c>
      <c r="P3106" s="105">
        <v>2.0364728E7</v>
      </c>
      <c r="Q3106" s="102" t="s">
        <v>2432</v>
      </c>
      <c r="S3106" s="1"/>
      <c r="T3106" s="1"/>
      <c r="U3106" s="1"/>
      <c r="V3106" s="1"/>
      <c r="W3106" s="1"/>
      <c r="X3106" s="1"/>
      <c r="Y3106" s="1"/>
      <c r="Z3106" s="102"/>
      <c r="AA3106" s="102"/>
      <c r="AB3106" s="1"/>
      <c r="AC3106" s="1"/>
      <c r="AD3106" s="1"/>
      <c r="AE3106" s="1"/>
      <c r="AF3106" s="1"/>
      <c r="AG3106" s="1"/>
    </row>
    <row r="3107" ht="15.75" customHeight="1">
      <c r="A3107" s="1"/>
      <c r="B3107" s="1"/>
      <c r="C3107" s="1"/>
      <c r="D3107" s="1"/>
      <c r="E3107" s="1"/>
      <c r="F3107" s="1"/>
      <c r="G3107" s="1"/>
      <c r="H3107" s="1"/>
      <c r="I3107" s="1"/>
      <c r="J3107" s="1"/>
      <c r="K3107" s="102" t="s">
        <v>5421</v>
      </c>
      <c r="L3107" s="102" t="str">
        <f t="shared" si="40"/>
        <v>J1a2a1a2d2b2b2c4b2a1a1b~</v>
      </c>
      <c r="M3107" s="102"/>
      <c r="N3107" s="102" t="s">
        <v>5422</v>
      </c>
      <c r="O3107" s="105">
        <v>2710628.0</v>
      </c>
      <c r="P3107" s="105">
        <v>2842587.0</v>
      </c>
      <c r="Q3107" s="102" t="s">
        <v>2563</v>
      </c>
      <c r="S3107" s="1"/>
      <c r="T3107" s="1"/>
      <c r="U3107" s="1"/>
      <c r="V3107" s="1"/>
      <c r="W3107" s="1"/>
      <c r="X3107" s="1"/>
      <c r="Y3107" s="1"/>
      <c r="Z3107" s="102"/>
      <c r="AA3107" s="102"/>
      <c r="AB3107" s="1"/>
      <c r="AC3107" s="1"/>
      <c r="AD3107" s="1"/>
      <c r="AE3107" s="1"/>
      <c r="AF3107" s="1"/>
      <c r="AG3107" s="1"/>
    </row>
    <row r="3108" ht="15.75" customHeight="1">
      <c r="A3108" s="1"/>
      <c r="B3108" s="1"/>
      <c r="C3108" s="1"/>
      <c r="D3108" s="1"/>
      <c r="E3108" s="1"/>
      <c r="F3108" s="1"/>
      <c r="G3108" s="1"/>
      <c r="H3108" s="1"/>
      <c r="I3108" s="1"/>
      <c r="J3108" s="1"/>
      <c r="K3108" s="102" t="s">
        <v>5423</v>
      </c>
      <c r="L3108" s="102" t="str">
        <f>W201</f>
        <v>J1a2a1a2d2b2b2c4b2a1a1b~</v>
      </c>
      <c r="M3108" s="102"/>
      <c r="N3108" s="102" t="s">
        <v>5424</v>
      </c>
      <c r="O3108" s="105">
        <v>7548205.0</v>
      </c>
      <c r="P3108" s="105">
        <v>7680164.0</v>
      </c>
      <c r="Q3108" s="102" t="s">
        <v>2514</v>
      </c>
      <c r="S3108" s="1"/>
      <c r="T3108" s="1"/>
      <c r="U3108" s="1"/>
      <c r="V3108" s="1"/>
      <c r="W3108" s="1"/>
      <c r="X3108" s="1"/>
      <c r="Y3108" s="1"/>
      <c r="Z3108" s="102"/>
      <c r="AA3108" s="102"/>
      <c r="AB3108" s="1"/>
      <c r="AC3108" s="1"/>
      <c r="AD3108" s="1"/>
      <c r="AE3108" s="1"/>
      <c r="AF3108" s="1"/>
      <c r="AG3108" s="1"/>
    </row>
    <row r="3109" ht="15.75" customHeight="1">
      <c r="A3109" s="1"/>
      <c r="B3109" s="1"/>
      <c r="C3109" s="1"/>
      <c r="D3109" s="1"/>
      <c r="E3109" s="1"/>
      <c r="F3109" s="1"/>
      <c r="G3109" s="1"/>
      <c r="H3109" s="1"/>
      <c r="I3109" s="1"/>
      <c r="J3109" s="1"/>
      <c r="K3109" s="102" t="s">
        <v>5425</v>
      </c>
      <c r="L3109" s="102" t="str">
        <f>W201</f>
        <v>J1a2a1a2d2b2b2c4b2a1a1b~</v>
      </c>
      <c r="M3109" s="102"/>
      <c r="N3109" s="102" t="s">
        <v>5426</v>
      </c>
      <c r="O3109" s="105">
        <v>7549303.0</v>
      </c>
      <c r="P3109" s="105">
        <v>7681262.0</v>
      </c>
      <c r="Q3109" s="102" t="s">
        <v>2432</v>
      </c>
      <c r="S3109" s="1"/>
      <c r="T3109" s="1"/>
      <c r="U3109" s="1"/>
      <c r="V3109" s="1"/>
      <c r="W3109" s="1"/>
      <c r="X3109" s="1"/>
      <c r="Y3109" s="1"/>
      <c r="Z3109" s="102"/>
      <c r="AA3109" s="102"/>
      <c r="AB3109" s="1"/>
      <c r="AC3109" s="1"/>
      <c r="AD3109" s="1"/>
      <c r="AE3109" s="1"/>
      <c r="AF3109" s="1"/>
      <c r="AG3109" s="1"/>
    </row>
    <row r="3110" ht="15.75" customHeight="1">
      <c r="A3110" s="1"/>
      <c r="B3110" s="1"/>
      <c r="C3110" s="1"/>
      <c r="D3110" s="1"/>
      <c r="E3110" s="1"/>
      <c r="F3110" s="1"/>
      <c r="G3110" s="1"/>
      <c r="H3110" s="1"/>
      <c r="I3110" s="1"/>
      <c r="J3110" s="1"/>
      <c r="K3110" s="106" t="s">
        <v>5427</v>
      </c>
      <c r="L3110" s="102" t="str">
        <f>W201</f>
        <v>J1a2a1a2d2b2b2c4b2a1a1b~</v>
      </c>
      <c r="M3110" s="102"/>
      <c r="N3110" s="102"/>
      <c r="O3110" s="110">
        <v>1.7116696E7</v>
      </c>
      <c r="P3110" s="111">
        <v>1.5004816E7</v>
      </c>
      <c r="Q3110" s="112" t="s">
        <v>2439</v>
      </c>
      <c r="S3110" s="1"/>
      <c r="T3110" s="1"/>
      <c r="U3110" s="1"/>
      <c r="V3110" s="1"/>
      <c r="W3110" s="1"/>
      <c r="X3110" s="1"/>
      <c r="Y3110" s="1"/>
      <c r="Z3110" s="102">
        <v>9120396.0</v>
      </c>
      <c r="AA3110" s="102" t="s">
        <v>5428</v>
      </c>
      <c r="AB3110" s="1"/>
      <c r="AC3110" s="1"/>
      <c r="AD3110" s="1"/>
      <c r="AE3110" s="1"/>
      <c r="AF3110" s="1"/>
      <c r="AG3110" s="1"/>
    </row>
    <row r="3111" ht="15.75" customHeight="1">
      <c r="A3111" s="1"/>
      <c r="B3111" s="1"/>
      <c r="C3111" s="1"/>
      <c r="D3111" s="1"/>
      <c r="E3111" s="1"/>
      <c r="F3111" s="1"/>
      <c r="G3111" s="1"/>
      <c r="H3111" s="1"/>
      <c r="I3111" s="1"/>
      <c r="J3111" s="1"/>
      <c r="K3111" s="106" t="s">
        <v>5429</v>
      </c>
      <c r="L3111" s="102" t="str">
        <f>W201</f>
        <v>J1a2a1a2d2b2b2c4b2a1a1b~</v>
      </c>
      <c r="M3111" s="102"/>
      <c r="N3111" s="102"/>
      <c r="O3111" s="110">
        <v>2.2663241E7</v>
      </c>
      <c r="P3111" s="111">
        <v>2.0501355E7</v>
      </c>
      <c r="Q3111" s="112" t="s">
        <v>2439</v>
      </c>
      <c r="S3111" s="1"/>
      <c r="T3111" s="1"/>
      <c r="U3111" s="1"/>
      <c r="V3111" s="1"/>
      <c r="W3111" s="1"/>
      <c r="X3111" s="1"/>
      <c r="Y3111" s="1"/>
      <c r="Z3111" s="102">
        <v>1.6386688E7</v>
      </c>
      <c r="AA3111" s="102"/>
      <c r="AB3111" s="1"/>
      <c r="AC3111" s="1"/>
      <c r="AD3111" s="1"/>
      <c r="AE3111" s="1"/>
      <c r="AF3111" s="1"/>
      <c r="AG3111" s="1"/>
    </row>
    <row r="3112" ht="15.75" customHeight="1">
      <c r="A3112" s="1"/>
      <c r="B3112" s="1"/>
      <c r="C3112" s="1"/>
      <c r="D3112" s="1"/>
      <c r="E3112" s="1"/>
      <c r="F3112" s="1"/>
      <c r="G3112" s="1"/>
      <c r="H3112" s="1"/>
      <c r="I3112" s="1"/>
      <c r="J3112" s="1"/>
      <c r="K3112" s="102" t="s">
        <v>373</v>
      </c>
      <c r="L3112" s="102" t="str">
        <f>X202</f>
        <v>J1a2a1a2d2b2b2c4b2a1a1b1~</v>
      </c>
      <c r="M3112" s="102"/>
      <c r="N3112" s="102"/>
      <c r="O3112" s="105">
        <v>1.7099957E7</v>
      </c>
      <c r="P3112" s="105">
        <v>1.4988077E7</v>
      </c>
      <c r="Q3112" s="102" t="s">
        <v>2501</v>
      </c>
      <c r="S3112" s="1"/>
      <c r="T3112" s="1"/>
      <c r="U3112" s="1"/>
      <c r="V3112" s="1"/>
      <c r="W3112" s="1"/>
      <c r="X3112" s="1"/>
      <c r="Y3112" s="1"/>
      <c r="Z3112" s="102"/>
      <c r="AA3112" s="102"/>
      <c r="AB3112" s="1"/>
      <c r="AC3112" s="1"/>
      <c r="AD3112" s="1"/>
      <c r="AE3112" s="1"/>
      <c r="AF3112" s="1"/>
      <c r="AG3112" s="1"/>
    </row>
    <row r="3113" ht="15.75" customHeight="1">
      <c r="A3113" s="1"/>
      <c r="B3113" s="1"/>
      <c r="C3113" s="1"/>
      <c r="D3113" s="1"/>
      <c r="E3113" s="1"/>
      <c r="F3113" s="1"/>
      <c r="G3113" s="1"/>
      <c r="H3113" s="1"/>
      <c r="I3113" s="1"/>
      <c r="J3113" s="1"/>
      <c r="K3113" s="102" t="s">
        <v>5430</v>
      </c>
      <c r="L3113" s="102" t="str">
        <f>Y203</f>
        <v>J1a2a1a2d2b2b2c4b2a1a1b1a~</v>
      </c>
      <c r="M3113" s="102" t="s">
        <v>5431</v>
      </c>
      <c r="N3113" s="102"/>
      <c r="O3113" s="105">
        <v>2.1890141E7</v>
      </c>
      <c r="P3113" s="105">
        <v>1.9728255E7</v>
      </c>
      <c r="Q3113" s="102" t="s">
        <v>2468</v>
      </c>
      <c r="S3113" s="1"/>
      <c r="T3113" s="1"/>
      <c r="U3113" s="1"/>
      <c r="V3113" s="1"/>
      <c r="W3113" s="1"/>
      <c r="X3113" s="1"/>
      <c r="Y3113" s="1"/>
      <c r="Z3113" s="102"/>
      <c r="AA3113" s="102"/>
      <c r="AB3113" s="1"/>
      <c r="AC3113" s="1"/>
      <c r="AD3113" s="1"/>
      <c r="AE3113" s="1"/>
      <c r="AF3113" s="1"/>
      <c r="AG3113" s="1"/>
    </row>
    <row r="3114" ht="15.75" customHeight="1">
      <c r="A3114" s="1"/>
      <c r="B3114" s="1"/>
      <c r="C3114" s="1"/>
      <c r="D3114" s="1"/>
      <c r="E3114" s="1"/>
      <c r="F3114" s="1"/>
      <c r="G3114" s="1"/>
      <c r="H3114" s="1"/>
      <c r="I3114" s="1"/>
      <c r="J3114" s="1"/>
      <c r="K3114" s="102" t="s">
        <v>5431</v>
      </c>
      <c r="L3114" s="102" t="str">
        <f>Y203</f>
        <v>J1a2a1a2d2b2b2c4b2a1a1b1a~</v>
      </c>
      <c r="M3114" s="102" t="s">
        <v>5430</v>
      </c>
      <c r="N3114" s="102"/>
      <c r="O3114" s="105">
        <v>2.1890141E7</v>
      </c>
      <c r="P3114" s="105">
        <v>1.9728255E7</v>
      </c>
      <c r="Q3114" s="102" t="s">
        <v>2468</v>
      </c>
      <c r="S3114" s="1"/>
      <c r="T3114" s="1"/>
      <c r="U3114" s="1"/>
      <c r="V3114" s="1"/>
      <c r="W3114" s="1"/>
      <c r="X3114" s="1"/>
      <c r="Y3114" s="1"/>
      <c r="Z3114" s="102"/>
      <c r="AA3114" s="102"/>
      <c r="AB3114" s="1"/>
      <c r="AC3114" s="1"/>
      <c r="AD3114" s="1"/>
      <c r="AE3114" s="1"/>
      <c r="AF3114" s="1"/>
      <c r="AG3114" s="1"/>
    </row>
    <row r="3115" ht="15.75" customHeight="1">
      <c r="A3115" s="1"/>
      <c r="B3115" s="1"/>
      <c r="C3115" s="1"/>
      <c r="D3115" s="1"/>
      <c r="E3115" s="1"/>
      <c r="F3115" s="1"/>
      <c r="G3115" s="1"/>
      <c r="H3115" s="1"/>
      <c r="I3115" s="1"/>
      <c r="J3115" s="1"/>
      <c r="K3115" s="102" t="s">
        <v>5432</v>
      </c>
      <c r="L3115" s="102" t="str">
        <f>Y203</f>
        <v>J1a2a1a2d2b2b2c4b2a1a1b1a~</v>
      </c>
      <c r="M3115" s="102"/>
      <c r="N3115" s="102"/>
      <c r="O3115" s="105">
        <v>1.6315309E7</v>
      </c>
      <c r="P3115" s="105">
        <v>1.4203429E7</v>
      </c>
      <c r="Q3115" s="102" t="s">
        <v>2529</v>
      </c>
      <c r="S3115" s="1"/>
      <c r="T3115" s="1"/>
      <c r="U3115" s="1"/>
      <c r="V3115" s="1"/>
      <c r="W3115" s="1"/>
      <c r="X3115" s="1"/>
      <c r="Y3115" s="1"/>
      <c r="Z3115" s="102"/>
      <c r="AA3115" s="102"/>
      <c r="AB3115" s="1"/>
      <c r="AC3115" s="1"/>
      <c r="AD3115" s="1"/>
      <c r="AE3115" s="1"/>
      <c r="AF3115" s="1"/>
      <c r="AG3115" s="1"/>
    </row>
    <row r="3116" ht="15.75" customHeight="1">
      <c r="A3116" s="1"/>
      <c r="B3116" s="1"/>
      <c r="C3116" s="1"/>
      <c r="D3116" s="1"/>
      <c r="E3116" s="1"/>
      <c r="F3116" s="1"/>
      <c r="G3116" s="1"/>
      <c r="H3116" s="1"/>
      <c r="I3116" s="1"/>
      <c r="J3116" s="1"/>
      <c r="K3116" s="102" t="s">
        <v>5433</v>
      </c>
      <c r="L3116" s="102" t="str">
        <f>V204</f>
        <v>J1a2a1a2d2b2b2c4b2a1a2~</v>
      </c>
      <c r="M3116" s="102" t="s">
        <v>5434</v>
      </c>
      <c r="N3116" s="102"/>
      <c r="O3116" s="105">
        <v>8884768.0</v>
      </c>
      <c r="P3116" s="105">
        <v>9016727.0</v>
      </c>
      <c r="Q3116" s="102" t="s">
        <v>2529</v>
      </c>
      <c r="S3116" s="1"/>
      <c r="T3116" s="1"/>
      <c r="U3116" s="1"/>
      <c r="V3116" s="1"/>
      <c r="W3116" s="1"/>
      <c r="X3116" s="1"/>
      <c r="Y3116" s="1"/>
      <c r="Z3116" s="102"/>
      <c r="AA3116" s="102"/>
      <c r="AB3116" s="1"/>
      <c r="AC3116" s="1"/>
      <c r="AD3116" s="1"/>
      <c r="AE3116" s="1"/>
      <c r="AF3116" s="1"/>
      <c r="AG3116" s="1"/>
    </row>
    <row r="3117" ht="15.75" customHeight="1">
      <c r="A3117" s="1"/>
      <c r="B3117" s="1"/>
      <c r="C3117" s="1"/>
      <c r="D3117" s="1"/>
      <c r="E3117" s="1"/>
      <c r="F3117" s="1"/>
      <c r="G3117" s="1"/>
      <c r="H3117" s="1"/>
      <c r="I3117" s="1"/>
      <c r="J3117" s="1"/>
      <c r="K3117" s="102" t="s">
        <v>5435</v>
      </c>
      <c r="L3117" s="102" t="str">
        <f>V204</f>
        <v>J1a2a1a2d2b2b2c4b2a1a2~</v>
      </c>
      <c r="M3117" s="102" t="s">
        <v>5436</v>
      </c>
      <c r="N3117" s="102"/>
      <c r="O3117" s="105">
        <v>8884768.0</v>
      </c>
      <c r="P3117" s="105">
        <v>9016727.0</v>
      </c>
      <c r="Q3117" s="102" t="s">
        <v>2529</v>
      </c>
      <c r="S3117" s="1"/>
      <c r="T3117" s="1"/>
      <c r="U3117" s="1"/>
      <c r="V3117" s="1"/>
      <c r="W3117" s="1"/>
      <c r="X3117" s="1"/>
      <c r="Y3117" s="1"/>
      <c r="Z3117" s="102"/>
      <c r="AA3117" s="102"/>
      <c r="AB3117" s="1"/>
      <c r="AC3117" s="1"/>
      <c r="AD3117" s="1"/>
      <c r="AE3117" s="1"/>
      <c r="AF3117" s="1"/>
      <c r="AG3117" s="1"/>
    </row>
    <row r="3118" ht="15.75" customHeight="1">
      <c r="A3118" s="1"/>
      <c r="B3118" s="1"/>
      <c r="C3118" s="1"/>
      <c r="D3118" s="1"/>
      <c r="E3118" s="1"/>
      <c r="F3118" s="1"/>
      <c r="G3118" s="1"/>
      <c r="H3118" s="1"/>
      <c r="I3118" s="1"/>
      <c r="J3118" s="1"/>
      <c r="K3118" s="102" t="s">
        <v>5437</v>
      </c>
      <c r="L3118" s="102" t="str">
        <f>V204</f>
        <v>J1a2a1a2d2b2b2c4b2a1a2~</v>
      </c>
      <c r="M3118" s="102" t="s">
        <v>5438</v>
      </c>
      <c r="N3118" s="102"/>
      <c r="O3118" s="105">
        <v>8884768.0</v>
      </c>
      <c r="P3118" s="105">
        <v>9016727.0</v>
      </c>
      <c r="Q3118" s="102" t="s">
        <v>2529</v>
      </c>
      <c r="S3118" s="1"/>
      <c r="T3118" s="1"/>
      <c r="U3118" s="1"/>
      <c r="V3118" s="1"/>
      <c r="W3118" s="1"/>
      <c r="X3118" s="1"/>
      <c r="Y3118" s="1"/>
      <c r="Z3118" s="102"/>
      <c r="AA3118" s="102"/>
      <c r="AB3118" s="1"/>
      <c r="AC3118" s="1"/>
      <c r="AD3118" s="1"/>
      <c r="AE3118" s="1"/>
      <c r="AF3118" s="1"/>
      <c r="AG3118" s="1"/>
    </row>
    <row r="3119" ht="15.75" customHeight="1">
      <c r="A3119" s="1"/>
      <c r="B3119" s="1"/>
      <c r="C3119" s="1"/>
      <c r="D3119" s="1"/>
      <c r="E3119" s="1"/>
      <c r="F3119" s="1"/>
      <c r="G3119" s="1"/>
      <c r="H3119" s="1"/>
      <c r="I3119" s="1"/>
      <c r="J3119" s="1"/>
      <c r="K3119" s="102" t="s">
        <v>5439</v>
      </c>
      <c r="L3119" s="102" t="str">
        <f>V204</f>
        <v>J1a2a1a2d2b2b2c4b2a1a2~</v>
      </c>
      <c r="M3119" s="102"/>
      <c r="N3119" s="102"/>
      <c r="O3119" s="105">
        <v>8515328.0</v>
      </c>
      <c r="P3119" s="105">
        <v>8647287.0</v>
      </c>
      <c r="Q3119" s="102" t="s">
        <v>2439</v>
      </c>
      <c r="S3119" s="1"/>
      <c r="T3119" s="1"/>
      <c r="U3119" s="1"/>
      <c r="V3119" s="1"/>
      <c r="W3119" s="1"/>
      <c r="X3119" s="1"/>
      <c r="Y3119" s="1"/>
      <c r="Z3119" s="102"/>
      <c r="AA3119" s="102"/>
      <c r="AB3119" s="1"/>
      <c r="AC3119" s="1"/>
      <c r="AD3119" s="1"/>
      <c r="AE3119" s="1"/>
      <c r="AF3119" s="1"/>
      <c r="AG3119" s="1"/>
    </row>
    <row r="3120" ht="15.75" customHeight="1">
      <c r="A3120" s="1"/>
      <c r="B3120" s="1"/>
      <c r="C3120" s="1"/>
      <c r="D3120" s="1"/>
      <c r="E3120" s="1"/>
      <c r="F3120" s="1"/>
      <c r="G3120" s="1"/>
      <c r="H3120" s="1"/>
      <c r="I3120" s="1"/>
      <c r="J3120" s="1"/>
      <c r="K3120" s="102" t="s">
        <v>5440</v>
      </c>
      <c r="L3120" s="102" t="str">
        <f>V204</f>
        <v>J1a2a1a2d2b2b2c4b2a1a2~</v>
      </c>
      <c r="M3120" s="102"/>
      <c r="N3120" s="102"/>
      <c r="O3120" s="105">
        <v>9064218.0</v>
      </c>
      <c r="P3120" s="105">
        <v>9226609.0</v>
      </c>
      <c r="Q3120" s="102" t="s">
        <v>2576</v>
      </c>
      <c r="S3120" s="1"/>
      <c r="T3120" s="1"/>
      <c r="U3120" s="1"/>
      <c r="V3120" s="1"/>
      <c r="W3120" s="1"/>
      <c r="X3120" s="1"/>
      <c r="Y3120" s="1"/>
      <c r="Z3120" s="102"/>
      <c r="AA3120" s="102"/>
      <c r="AB3120" s="1"/>
      <c r="AC3120" s="1"/>
      <c r="AD3120" s="1"/>
      <c r="AE3120" s="1"/>
      <c r="AF3120" s="1"/>
      <c r="AG3120" s="1"/>
    </row>
    <row r="3121" ht="15.75" customHeight="1">
      <c r="A3121" s="1"/>
      <c r="B3121" s="1"/>
      <c r="C3121" s="1"/>
      <c r="D3121" s="1"/>
      <c r="E3121" s="1"/>
      <c r="F3121" s="1"/>
      <c r="G3121" s="1"/>
      <c r="H3121" s="1"/>
      <c r="I3121" s="1"/>
      <c r="J3121" s="1"/>
      <c r="K3121" s="102" t="s">
        <v>5441</v>
      </c>
      <c r="L3121" s="102" t="str">
        <f>V204</f>
        <v>J1a2a1a2d2b2b2c4b2a1a2~</v>
      </c>
      <c r="M3121" s="102"/>
      <c r="N3121" s="102"/>
      <c r="O3121" s="105">
        <v>1.3202956E7</v>
      </c>
      <c r="P3121" s="105">
        <v>1.104728E7</v>
      </c>
      <c r="Q3121" s="102" t="s">
        <v>2423</v>
      </c>
      <c r="S3121" s="1"/>
      <c r="T3121" s="1"/>
      <c r="U3121" s="1"/>
      <c r="V3121" s="1"/>
      <c r="W3121" s="1"/>
      <c r="X3121" s="1"/>
      <c r="Y3121" s="1"/>
      <c r="Z3121" s="102"/>
      <c r="AA3121" s="102"/>
      <c r="AB3121" s="1"/>
      <c r="AC3121" s="1"/>
      <c r="AD3121" s="1"/>
      <c r="AE3121" s="1"/>
      <c r="AF3121" s="1"/>
      <c r="AG3121" s="1"/>
    </row>
    <row r="3122" ht="15.75" customHeight="1">
      <c r="A3122" s="1"/>
      <c r="B3122" s="1"/>
      <c r="C3122" s="1"/>
      <c r="D3122" s="1"/>
      <c r="E3122" s="1"/>
      <c r="F3122" s="1"/>
      <c r="G3122" s="1"/>
      <c r="H3122" s="1"/>
      <c r="I3122" s="1"/>
      <c r="J3122" s="1"/>
      <c r="K3122" s="102" t="s">
        <v>5442</v>
      </c>
      <c r="L3122" s="102" t="str">
        <f>V204</f>
        <v>J1a2a1a2d2b2b2c4b2a1a2~</v>
      </c>
      <c r="M3122" s="102"/>
      <c r="N3122" s="102"/>
      <c r="O3122" s="105">
        <v>1.4337072E7</v>
      </c>
      <c r="P3122" s="105">
        <v>1.2216367E7</v>
      </c>
      <c r="Q3122" s="102" t="s">
        <v>2439</v>
      </c>
      <c r="S3122" s="1"/>
      <c r="T3122" s="1"/>
      <c r="U3122" s="1"/>
      <c r="V3122" s="1"/>
      <c r="W3122" s="1"/>
      <c r="X3122" s="1"/>
      <c r="Y3122" s="1"/>
      <c r="Z3122" s="102"/>
      <c r="AA3122" s="102"/>
      <c r="AB3122" s="1"/>
      <c r="AC3122" s="1"/>
      <c r="AD3122" s="1"/>
      <c r="AE3122" s="1"/>
      <c r="AF3122" s="1"/>
      <c r="AG3122" s="1"/>
    </row>
    <row r="3123" ht="15.75" customHeight="1">
      <c r="A3123" s="1"/>
      <c r="B3123" s="1"/>
      <c r="C3123" s="1"/>
      <c r="D3123" s="1"/>
      <c r="E3123" s="1"/>
      <c r="F3123" s="1"/>
      <c r="G3123" s="1"/>
      <c r="H3123" s="1"/>
      <c r="I3123" s="1"/>
      <c r="J3123" s="1"/>
      <c r="K3123" s="102" t="s">
        <v>5443</v>
      </c>
      <c r="L3123" s="102" t="str">
        <f>V204</f>
        <v>J1a2a1a2d2b2b2c4b2a1a2~</v>
      </c>
      <c r="M3123" s="102"/>
      <c r="N3123" s="102"/>
      <c r="O3123" s="105">
        <v>1.4656275E7</v>
      </c>
      <c r="P3123" s="105">
        <v>1.254434E7</v>
      </c>
      <c r="Q3123" s="102" t="s">
        <v>2439</v>
      </c>
      <c r="S3123" s="1"/>
      <c r="T3123" s="1"/>
      <c r="U3123" s="1"/>
      <c r="V3123" s="1"/>
      <c r="W3123" s="1"/>
      <c r="X3123" s="1"/>
      <c r="Y3123" s="1"/>
      <c r="Z3123" s="102"/>
      <c r="AA3123" s="102"/>
      <c r="AB3123" s="1"/>
      <c r="AC3123" s="1"/>
      <c r="AD3123" s="1"/>
      <c r="AE3123" s="1"/>
      <c r="AF3123" s="1"/>
      <c r="AG3123" s="1"/>
    </row>
    <row r="3124" ht="15.75" customHeight="1">
      <c r="A3124" s="1"/>
      <c r="B3124" s="1"/>
      <c r="C3124" s="1"/>
      <c r="D3124" s="1"/>
      <c r="E3124" s="1"/>
      <c r="F3124" s="1"/>
      <c r="G3124" s="1"/>
      <c r="H3124" s="1"/>
      <c r="I3124" s="1"/>
      <c r="J3124" s="1"/>
      <c r="K3124" s="102" t="s">
        <v>5444</v>
      </c>
      <c r="L3124" s="102" t="str">
        <f>V204</f>
        <v>J1a2a1a2d2b2b2c4b2a1a2~</v>
      </c>
      <c r="M3124" s="102"/>
      <c r="N3124" s="102"/>
      <c r="O3124" s="105">
        <v>1.6951048E7</v>
      </c>
      <c r="P3124" s="105">
        <v>1.4839168E7</v>
      </c>
      <c r="Q3124" s="102" t="s">
        <v>2446</v>
      </c>
      <c r="S3124" s="1"/>
      <c r="T3124" s="1"/>
      <c r="U3124" s="1"/>
      <c r="V3124" s="1"/>
      <c r="W3124" s="1"/>
      <c r="X3124" s="1"/>
      <c r="Y3124" s="1"/>
      <c r="Z3124" s="102"/>
      <c r="AA3124" s="102"/>
      <c r="AB3124" s="1"/>
      <c r="AC3124" s="1"/>
      <c r="AD3124" s="1"/>
      <c r="AE3124" s="1"/>
      <c r="AF3124" s="1"/>
      <c r="AG3124" s="1"/>
    </row>
    <row r="3125" ht="15.75" customHeight="1">
      <c r="A3125" s="1"/>
      <c r="B3125" s="1"/>
      <c r="C3125" s="1"/>
      <c r="D3125" s="1"/>
      <c r="E3125" s="1"/>
      <c r="F3125" s="1"/>
      <c r="G3125" s="1"/>
      <c r="H3125" s="1"/>
      <c r="I3125" s="1"/>
      <c r="J3125" s="1"/>
      <c r="K3125" s="102" t="s">
        <v>5445</v>
      </c>
      <c r="L3125" s="102" t="str">
        <f>V204</f>
        <v>J1a2a1a2d2b2b2c4b2a1a2~</v>
      </c>
      <c r="M3125" s="102"/>
      <c r="N3125" s="102"/>
      <c r="O3125" s="105">
        <v>1.7118624E7</v>
      </c>
      <c r="P3125" s="105">
        <v>1.5006744E7</v>
      </c>
      <c r="Q3125" s="102" t="s">
        <v>2501</v>
      </c>
      <c r="S3125" s="1"/>
      <c r="T3125" s="1"/>
      <c r="U3125" s="1"/>
      <c r="V3125" s="1"/>
      <c r="W3125" s="1"/>
      <c r="X3125" s="1"/>
      <c r="Y3125" s="1"/>
      <c r="Z3125" s="102"/>
      <c r="AA3125" s="102"/>
      <c r="AB3125" s="1"/>
      <c r="AC3125" s="1"/>
      <c r="AD3125" s="1"/>
      <c r="AE3125" s="1"/>
      <c r="AF3125" s="1"/>
      <c r="AG3125" s="1"/>
    </row>
    <row r="3126" ht="15.75" customHeight="1">
      <c r="A3126" s="1"/>
      <c r="B3126" s="1"/>
      <c r="C3126" s="1"/>
      <c r="D3126" s="1"/>
      <c r="E3126" s="1"/>
      <c r="F3126" s="1"/>
      <c r="G3126" s="1"/>
      <c r="H3126" s="1"/>
      <c r="I3126" s="1"/>
      <c r="J3126" s="1"/>
      <c r="K3126" s="102" t="s">
        <v>5446</v>
      </c>
      <c r="L3126" s="102" t="str">
        <f>V204</f>
        <v>J1a2a1a2d2b2b2c4b2a1a2~</v>
      </c>
      <c r="M3126" s="102"/>
      <c r="N3126" s="102"/>
      <c r="O3126" s="105">
        <v>1.7909569E7</v>
      </c>
      <c r="P3126" s="105">
        <v>1.5797689E7</v>
      </c>
      <c r="Q3126" s="102" t="s">
        <v>2454</v>
      </c>
      <c r="S3126" s="1"/>
      <c r="T3126" s="1"/>
      <c r="U3126" s="1"/>
      <c r="V3126" s="1"/>
      <c r="W3126" s="1"/>
      <c r="X3126" s="1"/>
      <c r="Y3126" s="1"/>
      <c r="Z3126" s="102"/>
      <c r="AA3126" s="102"/>
      <c r="AB3126" s="1"/>
      <c r="AC3126" s="1"/>
      <c r="AD3126" s="1"/>
      <c r="AE3126" s="1"/>
      <c r="AF3126" s="1"/>
      <c r="AG3126" s="1"/>
    </row>
    <row r="3127" ht="15.75" customHeight="1">
      <c r="A3127" s="1"/>
      <c r="B3127" s="1"/>
      <c r="C3127" s="1"/>
      <c r="D3127" s="1"/>
      <c r="E3127" s="1"/>
      <c r="F3127" s="1"/>
      <c r="G3127" s="1"/>
      <c r="H3127" s="1"/>
      <c r="I3127" s="1"/>
      <c r="J3127" s="1"/>
      <c r="K3127" s="102" t="s">
        <v>5447</v>
      </c>
      <c r="L3127" s="102" t="str">
        <f>V204</f>
        <v>J1a2a1a2d2b2b2c4b2a1a2~</v>
      </c>
      <c r="M3127" s="102"/>
      <c r="N3127" s="102"/>
      <c r="O3127" s="105">
        <v>1.795774E7</v>
      </c>
      <c r="P3127" s="105">
        <v>1.584586E7</v>
      </c>
      <c r="Q3127" s="102" t="s">
        <v>2468</v>
      </c>
      <c r="S3127" s="1"/>
      <c r="T3127" s="1"/>
      <c r="U3127" s="1"/>
      <c r="V3127" s="1"/>
      <c r="W3127" s="1"/>
      <c r="X3127" s="1"/>
      <c r="Y3127" s="1"/>
      <c r="Z3127" s="102"/>
      <c r="AA3127" s="102"/>
      <c r="AB3127" s="1"/>
      <c r="AC3127" s="1"/>
      <c r="AD3127" s="1"/>
      <c r="AE3127" s="1"/>
      <c r="AF3127" s="1"/>
      <c r="AG3127" s="1"/>
    </row>
    <row r="3128" ht="15.75" customHeight="1">
      <c r="A3128" s="1"/>
      <c r="B3128" s="1"/>
      <c r="C3128" s="1"/>
      <c r="D3128" s="1"/>
      <c r="E3128" s="1"/>
      <c r="F3128" s="1"/>
      <c r="G3128" s="1"/>
      <c r="H3128" s="1"/>
      <c r="I3128" s="1"/>
      <c r="J3128" s="1"/>
      <c r="K3128" s="102" t="s">
        <v>5448</v>
      </c>
      <c r="L3128" s="102" t="str">
        <f>V204</f>
        <v>J1a2a1a2d2b2b2c4b2a1a2~</v>
      </c>
      <c r="M3128" s="102"/>
      <c r="N3128" s="102"/>
      <c r="O3128" s="105">
        <v>1.8126027E7</v>
      </c>
      <c r="P3128" s="105">
        <v>1.6014147E7</v>
      </c>
      <c r="Q3128" s="102" t="s">
        <v>2423</v>
      </c>
      <c r="S3128" s="1"/>
      <c r="T3128" s="1"/>
      <c r="U3128" s="1"/>
      <c r="V3128" s="1"/>
      <c r="W3128" s="1"/>
      <c r="X3128" s="1"/>
      <c r="Y3128" s="1"/>
      <c r="Z3128" s="102"/>
      <c r="AA3128" s="102"/>
      <c r="AB3128" s="1"/>
      <c r="AC3128" s="1"/>
      <c r="AD3128" s="1"/>
      <c r="AE3128" s="1"/>
      <c r="AF3128" s="1"/>
      <c r="AG3128" s="1"/>
    </row>
    <row r="3129" ht="15.75" customHeight="1">
      <c r="A3129" s="1"/>
      <c r="B3129" s="1"/>
      <c r="C3129" s="1"/>
      <c r="D3129" s="1"/>
      <c r="E3129" s="1"/>
      <c r="F3129" s="1"/>
      <c r="G3129" s="1"/>
      <c r="H3129" s="1"/>
      <c r="I3129" s="1"/>
      <c r="J3129" s="1"/>
      <c r="K3129" s="102" t="s">
        <v>5449</v>
      </c>
      <c r="L3129" s="102" t="str">
        <f>V204</f>
        <v>J1a2a1a2d2b2b2c4b2a1a2~</v>
      </c>
      <c r="M3129" s="102"/>
      <c r="N3129" s="102"/>
      <c r="O3129" s="105">
        <v>1.9457441E7</v>
      </c>
      <c r="P3129" s="105">
        <v>1.7345561E7</v>
      </c>
      <c r="Q3129" s="102" t="s">
        <v>2468</v>
      </c>
      <c r="S3129" s="1"/>
      <c r="T3129" s="1"/>
      <c r="U3129" s="1"/>
      <c r="V3129" s="1"/>
      <c r="W3129" s="1"/>
      <c r="X3129" s="1"/>
      <c r="Y3129" s="1"/>
      <c r="Z3129" s="102"/>
      <c r="AA3129" s="102"/>
      <c r="AB3129" s="1"/>
      <c r="AC3129" s="1"/>
      <c r="AD3129" s="1"/>
      <c r="AE3129" s="1"/>
      <c r="AF3129" s="1"/>
      <c r="AG3129" s="1"/>
    </row>
    <row r="3130" ht="15.75" customHeight="1">
      <c r="A3130" s="1"/>
      <c r="B3130" s="1"/>
      <c r="C3130" s="1"/>
      <c r="D3130" s="1"/>
      <c r="E3130" s="1"/>
      <c r="F3130" s="1"/>
      <c r="G3130" s="1"/>
      <c r="H3130" s="1"/>
      <c r="I3130" s="1"/>
      <c r="J3130" s="1"/>
      <c r="K3130" s="102" t="s">
        <v>5450</v>
      </c>
      <c r="L3130" s="102" t="str">
        <f>V204</f>
        <v>J1a2a1a2d2b2b2c4b2a1a2~</v>
      </c>
      <c r="M3130" s="102"/>
      <c r="N3130" s="102"/>
      <c r="O3130" s="105">
        <v>2.1809268E7</v>
      </c>
      <c r="P3130" s="105">
        <v>1.9647382E7</v>
      </c>
      <c r="Q3130" s="102" t="s">
        <v>2529</v>
      </c>
      <c r="S3130" s="1"/>
      <c r="T3130" s="1"/>
      <c r="U3130" s="1"/>
      <c r="V3130" s="1"/>
      <c r="W3130" s="1"/>
      <c r="X3130" s="1"/>
      <c r="Y3130" s="1"/>
      <c r="Z3130" s="102"/>
      <c r="AA3130" s="102"/>
      <c r="AB3130" s="1"/>
      <c r="AC3130" s="1"/>
      <c r="AD3130" s="1"/>
      <c r="AE3130" s="1"/>
      <c r="AF3130" s="1"/>
      <c r="AG3130" s="1"/>
    </row>
    <row r="3131" ht="15.75" customHeight="1">
      <c r="A3131" s="1"/>
      <c r="B3131" s="1"/>
      <c r="C3131" s="1"/>
      <c r="D3131" s="1"/>
      <c r="E3131" s="1"/>
      <c r="F3131" s="1"/>
      <c r="G3131" s="1"/>
      <c r="H3131" s="1"/>
      <c r="I3131" s="1"/>
      <c r="J3131" s="1"/>
      <c r="K3131" s="102" t="s">
        <v>5451</v>
      </c>
      <c r="L3131" s="102" t="str">
        <f>V204</f>
        <v>J1a2a1a2d2b2b2c4b2a1a2~</v>
      </c>
      <c r="M3131" s="102"/>
      <c r="N3131" s="102"/>
      <c r="O3131" s="105">
        <v>2.1924504E7</v>
      </c>
      <c r="P3131" s="105">
        <v>1.9762618E7</v>
      </c>
      <c r="Q3131" s="102" t="s">
        <v>2501</v>
      </c>
      <c r="S3131" s="1"/>
      <c r="T3131" s="1"/>
      <c r="U3131" s="1"/>
      <c r="V3131" s="1"/>
      <c r="W3131" s="1"/>
      <c r="X3131" s="1"/>
      <c r="Y3131" s="1"/>
      <c r="Z3131" s="102"/>
      <c r="AA3131" s="102"/>
      <c r="AB3131" s="1"/>
      <c r="AC3131" s="1"/>
      <c r="AD3131" s="1"/>
      <c r="AE3131" s="1"/>
      <c r="AF3131" s="1"/>
      <c r="AG3131" s="1"/>
    </row>
    <row r="3132" ht="15.75" customHeight="1">
      <c r="A3132" s="1"/>
      <c r="B3132" s="1"/>
      <c r="C3132" s="1"/>
      <c r="D3132" s="1"/>
      <c r="E3132" s="1"/>
      <c r="F3132" s="1"/>
      <c r="G3132" s="1"/>
      <c r="H3132" s="1"/>
      <c r="I3132" s="1"/>
      <c r="J3132" s="1"/>
      <c r="K3132" s="102" t="s">
        <v>5452</v>
      </c>
      <c r="L3132" s="102" t="str">
        <f>V204</f>
        <v>J1a2a1a2d2b2b2c4b2a1a2~</v>
      </c>
      <c r="M3132" s="102"/>
      <c r="N3132" s="102"/>
      <c r="O3132" s="105">
        <v>2.3159656E7</v>
      </c>
      <c r="P3132" s="105">
        <v>2.099777E7</v>
      </c>
      <c r="Q3132" s="102" t="s">
        <v>2439</v>
      </c>
      <c r="S3132" s="1"/>
      <c r="T3132" s="1"/>
      <c r="U3132" s="1"/>
      <c r="V3132" s="1"/>
      <c r="W3132" s="1"/>
      <c r="X3132" s="1"/>
      <c r="Y3132" s="1"/>
      <c r="Z3132" s="102"/>
      <c r="AA3132" s="102"/>
      <c r="AB3132" s="1"/>
      <c r="AC3132" s="1"/>
      <c r="AD3132" s="1"/>
      <c r="AE3132" s="1"/>
      <c r="AF3132" s="1"/>
      <c r="AG3132" s="1"/>
    </row>
    <row r="3133" ht="15.75" customHeight="1">
      <c r="A3133" s="1"/>
      <c r="B3133" s="1"/>
      <c r="C3133" s="1"/>
      <c r="D3133" s="1"/>
      <c r="E3133" s="1"/>
      <c r="F3133" s="1"/>
      <c r="G3133" s="1"/>
      <c r="H3133" s="1"/>
      <c r="I3133" s="1"/>
      <c r="J3133" s="1"/>
      <c r="K3133" s="102" t="s">
        <v>5453</v>
      </c>
      <c r="L3133" s="102" t="str">
        <f>V204</f>
        <v>J1a2a1a2d2b2b2c4b2a1a2~</v>
      </c>
      <c r="M3133" s="102"/>
      <c r="N3133" s="102"/>
      <c r="O3133" s="105">
        <v>2.3191604E7</v>
      </c>
      <c r="P3133" s="105">
        <v>2.1029718E7</v>
      </c>
      <c r="Q3133" s="102" t="s">
        <v>2533</v>
      </c>
      <c r="S3133" s="1"/>
      <c r="T3133" s="1"/>
      <c r="U3133" s="1"/>
      <c r="V3133" s="1"/>
      <c r="W3133" s="1"/>
      <c r="X3133" s="1"/>
      <c r="Y3133" s="1"/>
      <c r="Z3133" s="102"/>
      <c r="AA3133" s="102"/>
      <c r="AB3133" s="1"/>
      <c r="AC3133" s="1"/>
      <c r="AD3133" s="1"/>
      <c r="AE3133" s="1"/>
      <c r="AF3133" s="1"/>
      <c r="AG3133" s="1"/>
    </row>
    <row r="3134" ht="15.75" customHeight="1">
      <c r="A3134" s="1"/>
      <c r="B3134" s="1"/>
      <c r="C3134" s="1"/>
      <c r="D3134" s="1"/>
      <c r="E3134" s="1"/>
      <c r="F3134" s="1"/>
      <c r="G3134" s="1"/>
      <c r="H3134" s="1"/>
      <c r="I3134" s="1"/>
      <c r="J3134" s="1"/>
      <c r="K3134" s="102" t="s">
        <v>5454</v>
      </c>
      <c r="L3134" s="102" t="str">
        <f>U205</f>
        <v>J1a2a1a2d2b2b2c4b2a1b~</v>
      </c>
      <c r="M3134" s="102"/>
      <c r="N3134" s="102" t="s">
        <v>5455</v>
      </c>
      <c r="O3134" s="105">
        <v>1.7408524E7</v>
      </c>
      <c r="P3134" s="105">
        <v>1.5296644E7</v>
      </c>
      <c r="Q3134" s="102" t="s">
        <v>2501</v>
      </c>
      <c r="S3134" s="1"/>
      <c r="T3134" s="1"/>
      <c r="U3134" s="1"/>
      <c r="V3134" s="1"/>
      <c r="W3134" s="1"/>
      <c r="X3134" s="1"/>
      <c r="Y3134" s="1"/>
      <c r="Z3134" s="102"/>
      <c r="AA3134" s="102"/>
      <c r="AB3134" s="1"/>
      <c r="AC3134" s="1"/>
      <c r="AD3134" s="1"/>
      <c r="AE3134" s="1"/>
      <c r="AF3134" s="1"/>
      <c r="AG3134" s="1"/>
    </row>
    <row r="3135" ht="15.75" customHeight="1">
      <c r="A3135" s="1"/>
      <c r="B3135" s="1"/>
      <c r="C3135" s="1"/>
      <c r="D3135" s="1"/>
      <c r="E3135" s="1"/>
      <c r="F3135" s="1"/>
      <c r="G3135" s="1"/>
      <c r="H3135" s="1"/>
      <c r="I3135" s="1"/>
      <c r="J3135" s="1"/>
      <c r="K3135" s="102" t="s">
        <v>5456</v>
      </c>
      <c r="L3135" s="102" t="str">
        <f>U205</f>
        <v>J1a2a1a2d2b2b2c4b2a1b~</v>
      </c>
      <c r="M3135" s="102"/>
      <c r="N3135" s="102" t="s">
        <v>5457</v>
      </c>
      <c r="O3135" s="105">
        <v>1.771216E7</v>
      </c>
      <c r="P3135" s="105">
        <v>1.560028E7</v>
      </c>
      <c r="Q3135" s="102" t="s">
        <v>2446</v>
      </c>
      <c r="S3135" s="1"/>
      <c r="T3135" s="1"/>
      <c r="U3135" s="1"/>
      <c r="V3135" s="1"/>
      <c r="W3135" s="1"/>
      <c r="X3135" s="1"/>
      <c r="Y3135" s="1"/>
      <c r="Z3135" s="102"/>
      <c r="AA3135" s="102"/>
      <c r="AB3135" s="1"/>
      <c r="AC3135" s="1"/>
      <c r="AD3135" s="1"/>
      <c r="AE3135" s="1"/>
      <c r="AF3135" s="1"/>
      <c r="AG3135" s="1"/>
    </row>
    <row r="3136" ht="15.75" customHeight="1">
      <c r="A3136" s="1"/>
      <c r="B3136" s="1"/>
      <c r="C3136" s="1"/>
      <c r="D3136" s="1"/>
      <c r="E3136" s="1"/>
      <c r="F3136" s="1"/>
      <c r="G3136" s="1"/>
      <c r="H3136" s="1"/>
      <c r="I3136" s="1"/>
      <c r="J3136" s="1"/>
      <c r="K3136" s="102" t="s">
        <v>5458</v>
      </c>
      <c r="L3136" s="102" t="str">
        <f>U205</f>
        <v>J1a2a1a2d2b2b2c4b2a1b~</v>
      </c>
      <c r="M3136" s="102"/>
      <c r="N3136" s="102" t="s">
        <v>5459</v>
      </c>
      <c r="O3136" s="105">
        <v>1.9305708E7</v>
      </c>
      <c r="P3136" s="105">
        <v>1.7193828E7</v>
      </c>
      <c r="Q3136" s="102" t="s">
        <v>2439</v>
      </c>
      <c r="S3136" s="1"/>
      <c r="T3136" s="1"/>
      <c r="U3136" s="1"/>
      <c r="V3136" s="1"/>
      <c r="W3136" s="1"/>
      <c r="X3136" s="1"/>
      <c r="Y3136" s="1"/>
      <c r="Z3136" s="102"/>
      <c r="AA3136" s="102"/>
      <c r="AB3136" s="1"/>
      <c r="AC3136" s="1"/>
      <c r="AD3136" s="1"/>
      <c r="AE3136" s="1"/>
      <c r="AF3136" s="1"/>
      <c r="AG3136" s="1"/>
    </row>
    <row r="3137" ht="15.75" customHeight="1">
      <c r="A3137" s="1"/>
      <c r="B3137" s="1"/>
      <c r="C3137" s="1"/>
      <c r="D3137" s="1"/>
      <c r="E3137" s="1"/>
      <c r="F3137" s="1"/>
      <c r="G3137" s="1"/>
      <c r="H3137" s="1"/>
      <c r="I3137" s="1"/>
      <c r="J3137" s="1"/>
      <c r="K3137" s="102" t="s">
        <v>5460</v>
      </c>
      <c r="L3137" s="102" t="str">
        <f>U205</f>
        <v>J1a2a1a2d2b2b2c4b2a1b~</v>
      </c>
      <c r="M3137" s="102"/>
      <c r="N3137" s="102" t="s">
        <v>5461</v>
      </c>
      <c r="O3137" s="105">
        <v>2.1781994E7</v>
      </c>
      <c r="P3137" s="105">
        <v>1.9620108E7</v>
      </c>
      <c r="Q3137" s="102" t="s">
        <v>2439</v>
      </c>
      <c r="S3137" s="1"/>
      <c r="T3137" s="1"/>
      <c r="U3137" s="1"/>
      <c r="V3137" s="1"/>
      <c r="W3137" s="1"/>
      <c r="X3137" s="1"/>
      <c r="Y3137" s="1"/>
      <c r="Z3137" s="102"/>
      <c r="AA3137" s="102"/>
      <c r="AB3137" s="1"/>
      <c r="AC3137" s="1"/>
      <c r="AD3137" s="1"/>
      <c r="AE3137" s="1"/>
      <c r="AF3137" s="1"/>
      <c r="AG3137" s="1"/>
    </row>
    <row r="3138" ht="15.75" customHeight="1">
      <c r="A3138" s="1"/>
      <c r="B3138" s="1"/>
      <c r="C3138" s="1"/>
      <c r="D3138" s="1"/>
      <c r="E3138" s="1"/>
      <c r="F3138" s="1"/>
      <c r="G3138" s="1"/>
      <c r="H3138" s="1"/>
      <c r="I3138" s="1"/>
      <c r="J3138" s="1"/>
      <c r="K3138" s="102" t="s">
        <v>5462</v>
      </c>
      <c r="L3138" s="102" t="str">
        <f>V206</f>
        <v>J1a2a1a2d2b2b2c4b2a1b1~</v>
      </c>
      <c r="M3138" s="102"/>
      <c r="N3138" s="102" t="s">
        <v>5463</v>
      </c>
      <c r="O3138" s="105">
        <v>8188816.0</v>
      </c>
      <c r="P3138" s="105">
        <v>8320775.0</v>
      </c>
      <c r="Q3138" s="102" t="s">
        <v>2501</v>
      </c>
      <c r="S3138" s="1"/>
      <c r="T3138" s="1"/>
      <c r="U3138" s="1"/>
      <c r="V3138" s="1"/>
      <c r="W3138" s="1"/>
      <c r="X3138" s="1"/>
      <c r="Y3138" s="1"/>
      <c r="Z3138" s="102"/>
      <c r="AA3138" s="102"/>
      <c r="AB3138" s="1"/>
      <c r="AC3138" s="1"/>
      <c r="AD3138" s="1"/>
      <c r="AE3138" s="1"/>
      <c r="AF3138" s="1"/>
      <c r="AG3138" s="1"/>
    </row>
    <row r="3139" ht="15.75" customHeight="1">
      <c r="A3139" s="1"/>
      <c r="B3139" s="1"/>
      <c r="C3139" s="1"/>
      <c r="D3139" s="1"/>
      <c r="E3139" s="1"/>
      <c r="F3139" s="1"/>
      <c r="G3139" s="1"/>
      <c r="H3139" s="1"/>
      <c r="I3139" s="1"/>
      <c r="J3139" s="1"/>
      <c r="K3139" s="102" t="s">
        <v>5464</v>
      </c>
      <c r="L3139" s="102" t="str">
        <f>V206</f>
        <v>J1a2a1a2d2b2b2c4b2a1b1~</v>
      </c>
      <c r="M3139" s="102"/>
      <c r="N3139" s="102" t="s">
        <v>5465</v>
      </c>
      <c r="O3139" s="105">
        <v>7963098.0</v>
      </c>
      <c r="P3139" s="105">
        <v>8095057.0</v>
      </c>
      <c r="Q3139" s="102" t="s">
        <v>2439</v>
      </c>
      <c r="S3139" s="1"/>
      <c r="T3139" s="1"/>
      <c r="U3139" s="1"/>
      <c r="V3139" s="1"/>
      <c r="W3139" s="1"/>
      <c r="X3139" s="1"/>
      <c r="Y3139" s="1"/>
      <c r="Z3139" s="102"/>
      <c r="AA3139" s="102"/>
      <c r="AB3139" s="1"/>
      <c r="AC3139" s="1"/>
      <c r="AD3139" s="1"/>
      <c r="AE3139" s="1"/>
      <c r="AF3139" s="1"/>
      <c r="AG3139" s="1"/>
    </row>
    <row r="3140" ht="15.75" customHeight="1">
      <c r="A3140" s="1"/>
      <c r="B3140" s="1"/>
      <c r="C3140" s="1"/>
      <c r="D3140" s="1"/>
      <c r="E3140" s="1"/>
      <c r="F3140" s="1"/>
      <c r="G3140" s="1"/>
      <c r="H3140" s="1"/>
      <c r="I3140" s="1"/>
      <c r="J3140" s="1"/>
      <c r="K3140" s="102" t="s">
        <v>5466</v>
      </c>
      <c r="L3140" s="102" t="str">
        <f>V206</f>
        <v>J1a2a1a2d2b2b2c4b2a1b1~</v>
      </c>
      <c r="M3140" s="102"/>
      <c r="N3140" s="102"/>
      <c r="O3140" s="105">
        <v>1.4059986E7</v>
      </c>
      <c r="P3140" s="105">
        <v>1.193928E7</v>
      </c>
      <c r="Q3140" s="102" t="s">
        <v>2501</v>
      </c>
      <c r="S3140" s="1"/>
      <c r="T3140" s="1"/>
      <c r="U3140" s="1"/>
      <c r="V3140" s="1"/>
      <c r="W3140" s="1"/>
      <c r="X3140" s="1"/>
      <c r="Y3140" s="1"/>
      <c r="Z3140" s="102"/>
      <c r="AA3140" s="102"/>
      <c r="AB3140" s="1"/>
      <c r="AC3140" s="1"/>
      <c r="AD3140" s="1"/>
      <c r="AE3140" s="1"/>
      <c r="AF3140" s="1"/>
      <c r="AG3140" s="1"/>
    </row>
    <row r="3141" ht="15.75" customHeight="1">
      <c r="A3141" s="1"/>
      <c r="B3141" s="1"/>
      <c r="C3141" s="1"/>
      <c r="D3141" s="1"/>
      <c r="E3141" s="1"/>
      <c r="F3141" s="1"/>
      <c r="G3141" s="1"/>
      <c r="H3141" s="1"/>
      <c r="I3141" s="1"/>
      <c r="J3141" s="1"/>
      <c r="K3141" s="102" t="s">
        <v>5467</v>
      </c>
      <c r="L3141" s="102" t="str">
        <f>V206</f>
        <v>J1a2a1a2d2b2b2c4b2a1b1~</v>
      </c>
      <c r="M3141" s="102"/>
      <c r="N3141" s="102" t="s">
        <v>5468</v>
      </c>
      <c r="O3141" s="105">
        <v>1.5693027E7</v>
      </c>
      <c r="P3141" s="105">
        <v>1.3581147E7</v>
      </c>
      <c r="Q3141" s="102" t="s">
        <v>2533</v>
      </c>
      <c r="S3141" s="1"/>
      <c r="T3141" s="1"/>
      <c r="U3141" s="1"/>
      <c r="V3141" s="1"/>
      <c r="W3141" s="1"/>
      <c r="X3141" s="1"/>
      <c r="Y3141" s="1"/>
      <c r="Z3141" s="102"/>
      <c r="AA3141" s="102"/>
      <c r="AB3141" s="1"/>
      <c r="AC3141" s="1"/>
      <c r="AD3141" s="1"/>
      <c r="AE3141" s="1"/>
      <c r="AF3141" s="1"/>
      <c r="AG3141" s="1"/>
    </row>
    <row r="3142" ht="15.75" customHeight="1">
      <c r="A3142" s="1"/>
      <c r="B3142" s="1"/>
      <c r="C3142" s="1"/>
      <c r="D3142" s="1"/>
      <c r="E3142" s="1"/>
      <c r="F3142" s="1"/>
      <c r="G3142" s="1"/>
      <c r="H3142" s="1"/>
      <c r="I3142" s="1"/>
      <c r="J3142" s="1"/>
      <c r="K3142" s="102" t="s">
        <v>5469</v>
      </c>
      <c r="L3142" s="102" t="str">
        <f>U207</f>
        <v>J1a2a1a2d2b2b2c4b2a1c~</v>
      </c>
      <c r="M3142" s="102"/>
      <c r="N3142" s="102"/>
      <c r="O3142" s="105">
        <v>8311452.0</v>
      </c>
      <c r="P3142" s="105">
        <v>8443411.0</v>
      </c>
      <c r="Q3142" s="102" t="s">
        <v>2514</v>
      </c>
      <c r="S3142" s="1"/>
      <c r="T3142" s="1"/>
      <c r="U3142" s="1"/>
      <c r="V3142" s="1"/>
      <c r="W3142" s="1"/>
      <c r="X3142" s="1"/>
      <c r="Y3142" s="1"/>
      <c r="Z3142" s="102"/>
      <c r="AA3142" s="102"/>
      <c r="AB3142" s="1"/>
      <c r="AC3142" s="1"/>
      <c r="AD3142" s="1"/>
      <c r="AE3142" s="1"/>
      <c r="AF3142" s="1"/>
      <c r="AG3142" s="1"/>
    </row>
    <row r="3143" ht="15.75" customHeight="1">
      <c r="A3143" s="1"/>
      <c r="B3143" s="1"/>
      <c r="C3143" s="1"/>
      <c r="D3143" s="1"/>
      <c r="E3143" s="1"/>
      <c r="F3143" s="1"/>
      <c r="G3143" s="1"/>
      <c r="H3143" s="1"/>
      <c r="I3143" s="1"/>
      <c r="J3143" s="1"/>
      <c r="K3143" s="102" t="s">
        <v>5470</v>
      </c>
      <c r="L3143" s="102" t="str">
        <f>U207</f>
        <v>J1a2a1a2d2b2b2c4b2a1c~</v>
      </c>
      <c r="M3143" s="102"/>
      <c r="N3143" s="102"/>
      <c r="O3143" s="105">
        <v>8415102.0</v>
      </c>
      <c r="P3143" s="105">
        <v>8547061.0</v>
      </c>
      <c r="Q3143" s="102" t="s">
        <v>2439</v>
      </c>
      <c r="S3143" s="1"/>
      <c r="T3143" s="1"/>
      <c r="U3143" s="1"/>
      <c r="V3143" s="1"/>
      <c r="W3143" s="1"/>
      <c r="X3143" s="1"/>
      <c r="Y3143" s="1"/>
      <c r="Z3143" s="102"/>
      <c r="AA3143" s="102"/>
      <c r="AB3143" s="1"/>
      <c r="AC3143" s="1"/>
      <c r="AD3143" s="1"/>
      <c r="AE3143" s="1"/>
      <c r="AF3143" s="1"/>
      <c r="AG3143" s="1"/>
    </row>
    <row r="3144" ht="15.75" customHeight="1">
      <c r="A3144" s="1"/>
      <c r="B3144" s="1"/>
      <c r="C3144" s="1"/>
      <c r="D3144" s="1"/>
      <c r="E3144" s="1"/>
      <c r="F3144" s="1"/>
      <c r="G3144" s="1"/>
      <c r="H3144" s="1"/>
      <c r="I3144" s="1"/>
      <c r="J3144" s="1"/>
      <c r="K3144" s="102" t="s">
        <v>5471</v>
      </c>
      <c r="L3144" s="102" t="str">
        <f>U207</f>
        <v>J1a2a1a2d2b2b2c4b2a1c~</v>
      </c>
      <c r="M3144" s="102"/>
      <c r="N3144" s="102"/>
      <c r="O3144" s="105">
        <v>1.5042027E7</v>
      </c>
      <c r="P3144" s="105">
        <v>1.2930117E7</v>
      </c>
      <c r="Q3144" s="102" t="s">
        <v>2576</v>
      </c>
      <c r="S3144" s="1"/>
      <c r="T3144" s="1"/>
      <c r="U3144" s="1"/>
      <c r="V3144" s="1"/>
      <c r="W3144" s="1"/>
      <c r="X3144" s="1"/>
      <c r="Y3144" s="1"/>
      <c r="Z3144" s="102"/>
      <c r="AA3144" s="102"/>
      <c r="AB3144" s="1"/>
      <c r="AC3144" s="1"/>
      <c r="AD3144" s="1"/>
      <c r="AE3144" s="1"/>
      <c r="AF3144" s="1"/>
      <c r="AG3144" s="1"/>
    </row>
    <row r="3145" ht="15.75" customHeight="1">
      <c r="A3145" s="1"/>
      <c r="B3145" s="1"/>
      <c r="C3145" s="1"/>
      <c r="D3145" s="1"/>
      <c r="E3145" s="1"/>
      <c r="F3145" s="1"/>
      <c r="G3145" s="1"/>
      <c r="H3145" s="1"/>
      <c r="I3145" s="1"/>
      <c r="J3145" s="1"/>
      <c r="K3145" s="102" t="s">
        <v>5472</v>
      </c>
      <c r="L3145" s="102" t="str">
        <f>U207</f>
        <v>J1a2a1a2d2b2b2c4b2a1c~</v>
      </c>
      <c r="M3145" s="102"/>
      <c r="N3145" s="102"/>
      <c r="O3145" s="105">
        <v>1.6551561E7</v>
      </c>
      <c r="P3145" s="105">
        <v>1.4439681E7</v>
      </c>
      <c r="Q3145" s="102" t="s">
        <v>2529</v>
      </c>
      <c r="S3145" s="1"/>
      <c r="T3145" s="1"/>
      <c r="U3145" s="1"/>
      <c r="V3145" s="1"/>
      <c r="W3145" s="1"/>
      <c r="X3145" s="1"/>
      <c r="Y3145" s="1"/>
      <c r="Z3145" s="102"/>
      <c r="AA3145" s="102"/>
      <c r="AB3145" s="1"/>
      <c r="AC3145" s="1"/>
      <c r="AD3145" s="1"/>
      <c r="AE3145" s="1"/>
      <c r="AF3145" s="1"/>
      <c r="AG3145" s="1"/>
    </row>
    <row r="3146" ht="15.75" customHeight="1">
      <c r="A3146" s="1"/>
      <c r="B3146" s="1"/>
      <c r="C3146" s="1"/>
      <c r="D3146" s="1"/>
      <c r="E3146" s="1"/>
      <c r="F3146" s="1"/>
      <c r="G3146" s="1"/>
      <c r="H3146" s="1"/>
      <c r="I3146" s="1"/>
      <c r="J3146" s="1"/>
      <c r="K3146" s="102" t="s">
        <v>5473</v>
      </c>
      <c r="L3146" s="102" t="str">
        <f>S208</f>
        <v>J1a2a1a2d2b2b2c4b2b~</v>
      </c>
      <c r="M3146" s="102" t="s">
        <v>5474</v>
      </c>
      <c r="N3146" s="102" t="s">
        <v>5475</v>
      </c>
      <c r="O3146" s="105">
        <v>1.4379498E7</v>
      </c>
      <c r="P3146" s="105">
        <v>1.2258794E7</v>
      </c>
      <c r="Q3146" s="102" t="s">
        <v>2423</v>
      </c>
      <c r="S3146" s="1"/>
      <c r="T3146" s="1"/>
      <c r="U3146" s="1"/>
      <c r="V3146" s="1"/>
      <c r="W3146" s="1"/>
      <c r="X3146" s="1"/>
      <c r="Y3146" s="1"/>
      <c r="Z3146" s="102"/>
      <c r="AA3146" s="102"/>
      <c r="AB3146" s="1"/>
      <c r="AC3146" s="1"/>
      <c r="AD3146" s="1"/>
      <c r="AE3146" s="1"/>
      <c r="AF3146" s="1"/>
      <c r="AG3146" s="1"/>
    </row>
    <row r="3147" ht="15.75" customHeight="1">
      <c r="A3147" s="1"/>
      <c r="B3147" s="1"/>
      <c r="C3147" s="1"/>
      <c r="D3147" s="1"/>
      <c r="E3147" s="1"/>
      <c r="F3147" s="1"/>
      <c r="G3147" s="1"/>
      <c r="H3147" s="1"/>
      <c r="I3147" s="1"/>
      <c r="J3147" s="1"/>
      <c r="K3147" s="102" t="s">
        <v>5474</v>
      </c>
      <c r="L3147" s="102" t="str">
        <f>S208</f>
        <v>J1a2a1a2d2b2b2c4b2b~</v>
      </c>
      <c r="M3147" s="102" t="s">
        <v>5473</v>
      </c>
      <c r="N3147" s="102" t="s">
        <v>5475</v>
      </c>
      <c r="O3147" s="105">
        <v>1.4379498E7</v>
      </c>
      <c r="P3147" s="105">
        <v>1.2258794E7</v>
      </c>
      <c r="Q3147" s="102" t="s">
        <v>2423</v>
      </c>
      <c r="S3147" s="1"/>
      <c r="T3147" s="1"/>
      <c r="U3147" s="1"/>
      <c r="V3147" s="1"/>
      <c r="W3147" s="1"/>
      <c r="X3147" s="1"/>
      <c r="Y3147" s="1"/>
      <c r="Z3147" s="102"/>
      <c r="AA3147" s="102"/>
      <c r="AB3147" s="1"/>
      <c r="AC3147" s="1"/>
      <c r="AD3147" s="1"/>
      <c r="AE3147" s="1"/>
      <c r="AF3147" s="1"/>
      <c r="AG3147" s="1"/>
    </row>
    <row r="3148" ht="15.75" customHeight="1">
      <c r="A3148" s="1"/>
      <c r="B3148" s="1"/>
      <c r="C3148" s="1"/>
      <c r="D3148" s="1"/>
      <c r="E3148" s="1"/>
      <c r="F3148" s="1"/>
      <c r="G3148" s="1"/>
      <c r="H3148" s="1"/>
      <c r="I3148" s="1"/>
      <c r="J3148" s="1"/>
      <c r="K3148" s="102" t="s">
        <v>5476</v>
      </c>
      <c r="L3148" s="102" t="str">
        <f>S208</f>
        <v>J1a2a1a2d2b2b2c4b2b~</v>
      </c>
      <c r="M3148" s="102" t="s">
        <v>5477</v>
      </c>
      <c r="N3148" s="102" t="s">
        <v>5478</v>
      </c>
      <c r="O3148" s="105">
        <v>2.3115079E7</v>
      </c>
      <c r="P3148" s="105">
        <v>2.0953193E7</v>
      </c>
      <c r="Q3148" s="102" t="s">
        <v>2439</v>
      </c>
      <c r="S3148" s="1"/>
      <c r="T3148" s="1"/>
      <c r="U3148" s="1"/>
      <c r="V3148" s="1"/>
      <c r="W3148" s="1"/>
      <c r="X3148" s="1"/>
      <c r="Y3148" s="1"/>
      <c r="Z3148" s="102"/>
      <c r="AA3148" s="102"/>
      <c r="AB3148" s="1"/>
      <c r="AC3148" s="1"/>
      <c r="AD3148" s="1"/>
      <c r="AE3148" s="1"/>
      <c r="AF3148" s="1"/>
      <c r="AG3148" s="1"/>
    </row>
    <row r="3149" ht="15.75" customHeight="1">
      <c r="A3149" s="1"/>
      <c r="B3149" s="1"/>
      <c r="C3149" s="1"/>
      <c r="D3149" s="1"/>
      <c r="E3149" s="1"/>
      <c r="F3149" s="1"/>
      <c r="G3149" s="1"/>
      <c r="H3149" s="1"/>
      <c r="I3149" s="1"/>
      <c r="J3149" s="1"/>
      <c r="K3149" s="102" t="s">
        <v>5477</v>
      </c>
      <c r="L3149" s="102" t="str">
        <f>S208</f>
        <v>J1a2a1a2d2b2b2c4b2b~</v>
      </c>
      <c r="M3149" s="102" t="s">
        <v>5476</v>
      </c>
      <c r="N3149" s="102" t="s">
        <v>5478</v>
      </c>
      <c r="O3149" s="105">
        <v>2.3115079E7</v>
      </c>
      <c r="P3149" s="105">
        <v>2.0953193E7</v>
      </c>
      <c r="Q3149" s="102" t="s">
        <v>2439</v>
      </c>
      <c r="S3149" s="1"/>
      <c r="T3149" s="1"/>
      <c r="U3149" s="1"/>
      <c r="V3149" s="1"/>
      <c r="W3149" s="1"/>
      <c r="X3149" s="1"/>
      <c r="Y3149" s="1"/>
      <c r="Z3149" s="102"/>
      <c r="AA3149" s="102"/>
      <c r="AB3149" s="1"/>
      <c r="AC3149" s="1"/>
      <c r="AD3149" s="1"/>
      <c r="AE3149" s="1"/>
      <c r="AF3149" s="1"/>
      <c r="AG3149" s="1"/>
    </row>
    <row r="3150" ht="15.75" customHeight="1">
      <c r="A3150" s="1"/>
      <c r="B3150" s="1"/>
      <c r="C3150" s="1"/>
      <c r="D3150" s="1"/>
      <c r="E3150" s="1"/>
      <c r="F3150" s="1"/>
      <c r="G3150" s="1"/>
      <c r="H3150" s="1"/>
      <c r="I3150" s="1"/>
      <c r="J3150" s="1"/>
      <c r="K3150" s="102" t="s">
        <v>387</v>
      </c>
      <c r="L3150" s="102" t="str">
        <f>T209</f>
        <v>J1a2a1a2d2b2b2c4b2b1~</v>
      </c>
      <c r="M3150" s="102"/>
      <c r="N3150" s="102" t="s">
        <v>5479</v>
      </c>
      <c r="O3150" s="105">
        <v>1.5547656E7</v>
      </c>
      <c r="P3150" s="105">
        <v>1.3435776E7</v>
      </c>
      <c r="Q3150" s="102" t="s">
        <v>2439</v>
      </c>
      <c r="S3150" s="1"/>
      <c r="T3150" s="1"/>
      <c r="U3150" s="1"/>
      <c r="V3150" s="1"/>
      <c r="W3150" s="1"/>
      <c r="X3150" s="1"/>
      <c r="Y3150" s="1"/>
      <c r="Z3150" s="102"/>
      <c r="AA3150" s="102"/>
      <c r="AB3150" s="1"/>
      <c r="AC3150" s="1"/>
      <c r="AD3150" s="1"/>
      <c r="AE3150" s="1"/>
      <c r="AF3150" s="1"/>
      <c r="AG3150" s="1"/>
    </row>
    <row r="3151" ht="15.75" customHeight="1">
      <c r="A3151" s="1"/>
      <c r="B3151" s="1"/>
      <c r="C3151" s="1"/>
      <c r="D3151" s="1"/>
      <c r="E3151" s="1"/>
      <c r="F3151" s="1"/>
      <c r="G3151" s="1"/>
      <c r="H3151" s="1"/>
      <c r="I3151" s="1"/>
      <c r="J3151" s="1"/>
      <c r="K3151" s="102" t="s">
        <v>5480</v>
      </c>
      <c r="L3151" s="102" t="str">
        <f>U210</f>
        <v>J1a2a1a2d2b2b2c4b2b1a~</v>
      </c>
      <c r="M3151" s="102" t="s">
        <v>5481</v>
      </c>
      <c r="N3151" s="102" t="s">
        <v>5482</v>
      </c>
      <c r="O3151" s="105">
        <v>6854802.0</v>
      </c>
      <c r="P3151" s="105">
        <v>6986761.0</v>
      </c>
      <c r="Q3151" s="102" t="s">
        <v>2468</v>
      </c>
      <c r="S3151" s="1"/>
      <c r="T3151" s="1"/>
      <c r="U3151" s="1"/>
      <c r="V3151" s="1"/>
      <c r="W3151" s="1"/>
      <c r="X3151" s="1"/>
      <c r="Y3151" s="1"/>
      <c r="Z3151" s="102"/>
      <c r="AA3151" s="102"/>
      <c r="AB3151" s="1"/>
      <c r="AC3151" s="1"/>
      <c r="AD3151" s="1"/>
      <c r="AE3151" s="1"/>
      <c r="AF3151" s="1"/>
      <c r="AG3151" s="1"/>
    </row>
    <row r="3152" ht="15.75" customHeight="1">
      <c r="A3152" s="1"/>
      <c r="B3152" s="1"/>
      <c r="C3152" s="1"/>
      <c r="D3152" s="1"/>
      <c r="E3152" s="1"/>
      <c r="F3152" s="1"/>
      <c r="G3152" s="1"/>
      <c r="H3152" s="1"/>
      <c r="I3152" s="1"/>
      <c r="J3152" s="1"/>
      <c r="K3152" s="102" t="s">
        <v>5481</v>
      </c>
      <c r="L3152" s="102" t="str">
        <f>U210</f>
        <v>J1a2a1a2d2b2b2c4b2b1a~</v>
      </c>
      <c r="M3152" s="102" t="s">
        <v>5480</v>
      </c>
      <c r="N3152" s="102" t="s">
        <v>5482</v>
      </c>
      <c r="O3152" s="105">
        <v>6854802.0</v>
      </c>
      <c r="P3152" s="105">
        <v>6986761.0</v>
      </c>
      <c r="Q3152" s="102" t="s">
        <v>2468</v>
      </c>
      <c r="S3152" s="1"/>
      <c r="T3152" s="1"/>
      <c r="U3152" s="1"/>
      <c r="V3152" s="1"/>
      <c r="W3152" s="1"/>
      <c r="X3152" s="1"/>
      <c r="Y3152" s="1"/>
      <c r="Z3152" s="102"/>
      <c r="AA3152" s="102"/>
      <c r="AB3152" s="1"/>
      <c r="AC3152" s="1"/>
      <c r="AD3152" s="1"/>
      <c r="AE3152" s="1"/>
      <c r="AF3152" s="1"/>
      <c r="AG3152" s="1"/>
    </row>
    <row r="3153" ht="15.75" customHeight="1">
      <c r="A3153" s="1"/>
      <c r="B3153" s="1"/>
      <c r="C3153" s="1"/>
      <c r="D3153" s="1"/>
      <c r="E3153" s="1"/>
      <c r="F3153" s="1"/>
      <c r="G3153" s="1"/>
      <c r="H3153" s="1"/>
      <c r="I3153" s="1"/>
      <c r="J3153" s="1"/>
      <c r="K3153" s="106" t="s">
        <v>5483</v>
      </c>
      <c r="L3153" s="102" t="str">
        <f>U210</f>
        <v>J1a2a1a2d2b2b2c4b2b1a~</v>
      </c>
      <c r="M3153" s="102"/>
      <c r="N3153" s="102"/>
      <c r="O3153" s="109">
        <v>2.1122832E7</v>
      </c>
      <c r="P3153" s="109">
        <v>1.8960946E7</v>
      </c>
      <c r="Q3153" s="106" t="s">
        <v>2533</v>
      </c>
      <c r="S3153" s="1"/>
      <c r="T3153" s="1"/>
      <c r="U3153" s="1"/>
      <c r="V3153" s="1"/>
      <c r="W3153" s="1"/>
      <c r="X3153" s="1"/>
      <c r="Y3153" s="1"/>
      <c r="Z3153" s="102"/>
      <c r="AA3153" s="102"/>
      <c r="AB3153" s="1"/>
      <c r="AC3153" s="1"/>
      <c r="AD3153" s="1"/>
      <c r="AE3153" s="1"/>
      <c r="AF3153" s="1"/>
      <c r="AG3153" s="1"/>
    </row>
    <row r="3154" ht="15.75" customHeight="1">
      <c r="A3154" s="1"/>
      <c r="B3154" s="1"/>
      <c r="C3154" s="1"/>
      <c r="D3154" s="1"/>
      <c r="E3154" s="1"/>
      <c r="F3154" s="1"/>
      <c r="G3154" s="1"/>
      <c r="H3154" s="1"/>
      <c r="I3154" s="1"/>
      <c r="J3154" s="1"/>
      <c r="K3154" s="102" t="s">
        <v>5484</v>
      </c>
      <c r="L3154" s="102" t="str">
        <f>U210</f>
        <v>J1a2a1a2d2b2b2c4b2b1a~</v>
      </c>
      <c r="M3154" s="102"/>
      <c r="N3154" s="102"/>
      <c r="O3154" s="105">
        <v>1.5963693E7</v>
      </c>
      <c r="P3154" s="105">
        <v>1.3851813E7</v>
      </c>
      <c r="Q3154" s="102" t="s">
        <v>2454</v>
      </c>
      <c r="S3154" s="1"/>
      <c r="T3154" s="1"/>
      <c r="U3154" s="1"/>
      <c r="V3154" s="1"/>
      <c r="W3154" s="1"/>
      <c r="X3154" s="1"/>
      <c r="Y3154" s="1"/>
      <c r="Z3154" s="102"/>
      <c r="AA3154" s="102"/>
      <c r="AB3154" s="1"/>
      <c r="AC3154" s="1"/>
      <c r="AD3154" s="1"/>
      <c r="AE3154" s="1"/>
      <c r="AF3154" s="1"/>
      <c r="AG3154" s="1"/>
    </row>
    <row r="3155" ht="15.75" customHeight="1">
      <c r="A3155" s="1"/>
      <c r="B3155" s="1"/>
      <c r="C3155" s="1"/>
      <c r="D3155" s="1"/>
      <c r="E3155" s="1"/>
      <c r="F3155" s="1"/>
      <c r="G3155" s="1"/>
      <c r="H3155" s="1"/>
      <c r="I3155" s="1"/>
      <c r="J3155" s="1"/>
      <c r="K3155" s="102" t="s">
        <v>5485</v>
      </c>
      <c r="L3155" s="102" t="str">
        <f>U210</f>
        <v>J1a2a1a2d2b2b2c4b2b1a~</v>
      </c>
      <c r="M3155" s="102"/>
      <c r="N3155" s="102"/>
      <c r="O3155" s="105">
        <v>1.6499772E7</v>
      </c>
      <c r="P3155" s="105">
        <v>1.4387892E7</v>
      </c>
      <c r="Q3155" s="102" t="s">
        <v>2439</v>
      </c>
      <c r="S3155" s="1"/>
      <c r="T3155" s="1"/>
      <c r="U3155" s="1"/>
      <c r="V3155" s="1"/>
      <c r="W3155" s="1"/>
      <c r="X3155" s="1"/>
      <c r="Y3155" s="1"/>
      <c r="Z3155" s="102"/>
      <c r="AA3155" s="102"/>
      <c r="AB3155" s="1"/>
      <c r="AC3155" s="1"/>
      <c r="AD3155" s="1"/>
      <c r="AE3155" s="1"/>
      <c r="AF3155" s="1"/>
      <c r="AG3155" s="1"/>
    </row>
    <row r="3156" ht="15.75" customHeight="1">
      <c r="A3156" s="1"/>
      <c r="B3156" s="1"/>
      <c r="C3156" s="1"/>
      <c r="D3156" s="1"/>
      <c r="E3156" s="1"/>
      <c r="F3156" s="1"/>
      <c r="G3156" s="1"/>
      <c r="H3156" s="1"/>
      <c r="I3156" s="1"/>
      <c r="J3156" s="1"/>
      <c r="K3156" s="102" t="s">
        <v>5486</v>
      </c>
      <c r="L3156" s="102" t="str">
        <f>U210</f>
        <v>J1a2a1a2d2b2b2c4b2b1a~</v>
      </c>
      <c r="M3156" s="102"/>
      <c r="N3156" s="102"/>
      <c r="O3156" s="105">
        <v>1.4846801E7</v>
      </c>
      <c r="P3156" s="105">
        <v>1.2734867E7</v>
      </c>
      <c r="Q3156" s="102" t="s">
        <v>2501</v>
      </c>
      <c r="S3156" s="1"/>
      <c r="T3156" s="1"/>
      <c r="U3156" s="1"/>
      <c r="V3156" s="1"/>
      <c r="W3156" s="1"/>
      <c r="X3156" s="1"/>
      <c r="Y3156" s="1"/>
      <c r="Z3156" s="102"/>
      <c r="AA3156" s="102"/>
      <c r="AB3156" s="1"/>
      <c r="AC3156" s="1"/>
      <c r="AD3156" s="1"/>
      <c r="AE3156" s="1"/>
      <c r="AF3156" s="1"/>
      <c r="AG3156" s="1"/>
    </row>
    <row r="3157" ht="15.75" customHeight="1">
      <c r="A3157" s="1"/>
      <c r="B3157" s="1"/>
      <c r="C3157" s="1"/>
      <c r="D3157" s="1"/>
      <c r="E3157" s="1"/>
      <c r="F3157" s="1"/>
      <c r="G3157" s="1"/>
      <c r="H3157" s="1"/>
      <c r="I3157" s="1"/>
      <c r="J3157" s="1"/>
      <c r="K3157" s="102" t="s">
        <v>5487</v>
      </c>
      <c r="L3157" s="102" t="str">
        <f>U210</f>
        <v>J1a2a1a2d2b2b2c4b2b1a~</v>
      </c>
      <c r="M3157" s="102"/>
      <c r="N3157" s="102" t="s">
        <v>5488</v>
      </c>
      <c r="O3157" s="105">
        <v>7221174.0</v>
      </c>
      <c r="P3157" s="105">
        <v>7353133.0</v>
      </c>
      <c r="Q3157" s="102" t="s">
        <v>2501</v>
      </c>
      <c r="S3157" s="1"/>
      <c r="T3157" s="1"/>
      <c r="U3157" s="1"/>
      <c r="V3157" s="1"/>
      <c r="W3157" s="1"/>
      <c r="X3157" s="1"/>
      <c r="Y3157" s="1"/>
      <c r="Z3157" s="102"/>
      <c r="AA3157" s="102"/>
      <c r="AB3157" s="1"/>
      <c r="AC3157" s="1"/>
      <c r="AD3157" s="1"/>
      <c r="AE3157" s="1"/>
      <c r="AF3157" s="1"/>
      <c r="AG3157" s="1"/>
    </row>
    <row r="3158" ht="15.75" customHeight="1">
      <c r="A3158" s="1"/>
      <c r="B3158" s="1"/>
      <c r="C3158" s="1"/>
      <c r="D3158" s="1"/>
      <c r="E3158" s="1"/>
      <c r="F3158" s="1"/>
      <c r="G3158" s="1"/>
      <c r="H3158" s="1"/>
      <c r="I3158" s="1"/>
      <c r="J3158" s="1"/>
      <c r="K3158" s="102" t="s">
        <v>5489</v>
      </c>
      <c r="L3158" s="102" t="str">
        <f>U210</f>
        <v>J1a2a1a2d2b2b2c4b2b1a~</v>
      </c>
      <c r="M3158" s="102"/>
      <c r="N3158" s="102" t="s">
        <v>5490</v>
      </c>
      <c r="O3158" s="105">
        <v>1.5134527E7</v>
      </c>
      <c r="P3158" s="105">
        <v>1.3022614E7</v>
      </c>
      <c r="Q3158" s="102" t="s">
        <v>2529</v>
      </c>
      <c r="S3158" s="1"/>
      <c r="T3158" s="1"/>
      <c r="U3158" s="1"/>
      <c r="V3158" s="1"/>
      <c r="W3158" s="1"/>
      <c r="X3158" s="1"/>
      <c r="Y3158" s="1"/>
      <c r="Z3158" s="102"/>
      <c r="AA3158" s="102"/>
      <c r="AB3158" s="1"/>
      <c r="AC3158" s="1"/>
      <c r="AD3158" s="1"/>
      <c r="AE3158" s="1"/>
      <c r="AF3158" s="1"/>
      <c r="AG3158" s="1"/>
    </row>
    <row r="3159" ht="15.75" customHeight="1">
      <c r="A3159" s="1"/>
      <c r="B3159" s="1"/>
      <c r="C3159" s="1"/>
      <c r="D3159" s="1"/>
      <c r="E3159" s="1"/>
      <c r="F3159" s="1"/>
      <c r="G3159" s="1"/>
      <c r="H3159" s="1"/>
      <c r="I3159" s="1"/>
      <c r="J3159" s="1"/>
      <c r="K3159" s="102" t="s">
        <v>5491</v>
      </c>
      <c r="L3159" s="102" t="str">
        <f>U210</f>
        <v>J1a2a1a2d2b2b2c4b2b1a~</v>
      </c>
      <c r="M3159" s="102"/>
      <c r="N3159" s="102" t="s">
        <v>5492</v>
      </c>
      <c r="O3159" s="105">
        <v>1.663135E7</v>
      </c>
      <c r="P3159" s="105">
        <v>1.451947E7</v>
      </c>
      <c r="Q3159" s="102" t="s">
        <v>2501</v>
      </c>
      <c r="S3159" s="1"/>
      <c r="T3159" s="1"/>
      <c r="U3159" s="1"/>
      <c r="V3159" s="1"/>
      <c r="W3159" s="1"/>
      <c r="X3159" s="1"/>
      <c r="Y3159" s="1"/>
      <c r="Z3159" s="102"/>
      <c r="AA3159" s="102"/>
      <c r="AB3159" s="1"/>
      <c r="AC3159" s="1"/>
      <c r="AD3159" s="1"/>
      <c r="AE3159" s="1"/>
      <c r="AF3159" s="1"/>
      <c r="AG3159" s="1"/>
    </row>
    <row r="3160" ht="15.75" customHeight="1">
      <c r="A3160" s="1"/>
      <c r="B3160" s="1"/>
      <c r="C3160" s="1"/>
      <c r="D3160" s="1"/>
      <c r="E3160" s="1"/>
      <c r="F3160" s="1"/>
      <c r="G3160" s="1"/>
      <c r="H3160" s="1"/>
      <c r="I3160" s="1"/>
      <c r="J3160" s="1"/>
      <c r="K3160" s="102" t="s">
        <v>5493</v>
      </c>
      <c r="L3160" s="102" t="str">
        <f>U210</f>
        <v>J1a2a1a2d2b2b2c4b2b1a~</v>
      </c>
      <c r="M3160" s="102"/>
      <c r="N3160" s="102" t="s">
        <v>5494</v>
      </c>
      <c r="O3160" s="105">
        <v>1.6782827E7</v>
      </c>
      <c r="P3160" s="105">
        <v>1.4670947E7</v>
      </c>
      <c r="Q3160" s="102" t="s">
        <v>2446</v>
      </c>
      <c r="S3160" s="1"/>
      <c r="T3160" s="1"/>
      <c r="U3160" s="1"/>
      <c r="V3160" s="1"/>
      <c r="W3160" s="1"/>
      <c r="X3160" s="1"/>
      <c r="Y3160" s="1"/>
      <c r="Z3160" s="102"/>
      <c r="AA3160" s="102"/>
      <c r="AB3160" s="1"/>
      <c r="AC3160" s="1"/>
      <c r="AD3160" s="1"/>
      <c r="AE3160" s="1"/>
      <c r="AF3160" s="1"/>
      <c r="AG3160" s="1"/>
    </row>
    <row r="3161" ht="15.75" customHeight="1">
      <c r="A3161" s="1"/>
      <c r="B3161" s="1"/>
      <c r="C3161" s="1"/>
      <c r="D3161" s="1"/>
      <c r="E3161" s="1"/>
      <c r="F3161" s="1"/>
      <c r="G3161" s="1"/>
      <c r="H3161" s="1"/>
      <c r="I3161" s="1"/>
      <c r="J3161" s="1"/>
      <c r="K3161" s="102" t="s">
        <v>5495</v>
      </c>
      <c r="L3161" s="102" t="str">
        <f>U210</f>
        <v>J1a2a1a2d2b2b2c4b2b1a~</v>
      </c>
      <c r="M3161" s="102"/>
      <c r="N3161" s="102" t="s">
        <v>5496</v>
      </c>
      <c r="O3161" s="105">
        <v>1.7630436E7</v>
      </c>
      <c r="P3161" s="105">
        <v>1.5518556E7</v>
      </c>
      <c r="Q3161" s="102" t="s">
        <v>2423</v>
      </c>
      <c r="S3161" s="1"/>
      <c r="T3161" s="1"/>
      <c r="U3161" s="1"/>
      <c r="V3161" s="1"/>
      <c r="W3161" s="1"/>
      <c r="X3161" s="1"/>
      <c r="Y3161" s="1"/>
      <c r="Z3161" s="102"/>
      <c r="AA3161" s="102"/>
      <c r="AB3161" s="1"/>
      <c r="AC3161" s="1"/>
      <c r="AD3161" s="1"/>
      <c r="AE3161" s="1"/>
      <c r="AF3161" s="1"/>
      <c r="AG3161" s="1"/>
    </row>
    <row r="3162" ht="15.75" customHeight="1">
      <c r="A3162" s="1"/>
      <c r="B3162" s="1"/>
      <c r="C3162" s="1"/>
      <c r="D3162" s="1"/>
      <c r="E3162" s="1"/>
      <c r="F3162" s="1"/>
      <c r="G3162" s="1"/>
      <c r="H3162" s="1"/>
      <c r="I3162" s="1"/>
      <c r="J3162" s="1"/>
      <c r="K3162" s="102" t="s">
        <v>5497</v>
      </c>
      <c r="L3162" s="102" t="str">
        <f>U210</f>
        <v>J1a2a1a2d2b2b2c4b2b1a~</v>
      </c>
      <c r="M3162" s="102"/>
      <c r="N3162" s="102" t="s">
        <v>5498</v>
      </c>
      <c r="O3162" s="105">
        <v>1.9318658E7</v>
      </c>
      <c r="P3162" s="105">
        <v>1.7206778E7</v>
      </c>
      <c r="Q3162" s="102" t="s">
        <v>2432</v>
      </c>
      <c r="S3162" s="1"/>
      <c r="T3162" s="1"/>
      <c r="U3162" s="1"/>
      <c r="V3162" s="1"/>
      <c r="W3162" s="1"/>
      <c r="X3162" s="1"/>
      <c r="Y3162" s="1"/>
      <c r="Z3162" s="102"/>
      <c r="AA3162" s="102"/>
      <c r="AB3162" s="1"/>
      <c r="AC3162" s="1"/>
      <c r="AD3162" s="1"/>
      <c r="AE3162" s="1"/>
      <c r="AF3162" s="1"/>
      <c r="AG3162" s="1"/>
    </row>
    <row r="3163" ht="15.75" customHeight="1">
      <c r="A3163" s="1"/>
      <c r="B3163" s="1"/>
      <c r="C3163" s="1"/>
      <c r="D3163" s="1"/>
      <c r="E3163" s="1"/>
      <c r="F3163" s="1"/>
      <c r="G3163" s="1"/>
      <c r="H3163" s="1"/>
      <c r="I3163" s="1"/>
      <c r="J3163" s="1"/>
      <c r="K3163" s="102" t="s">
        <v>5499</v>
      </c>
      <c r="L3163" s="102" t="str">
        <f>U210</f>
        <v>J1a2a1a2d2b2b2c4b2b1a~</v>
      </c>
      <c r="M3163" s="102"/>
      <c r="N3163" s="102" t="s">
        <v>5500</v>
      </c>
      <c r="O3163" s="105">
        <v>2.2966642E7</v>
      </c>
      <c r="P3163" s="105">
        <v>2.0804756E7</v>
      </c>
      <c r="Q3163" s="102" t="s">
        <v>2501</v>
      </c>
      <c r="S3163" s="1"/>
      <c r="T3163" s="1"/>
      <c r="U3163" s="1"/>
      <c r="V3163" s="1"/>
      <c r="W3163" s="1"/>
      <c r="X3163" s="1"/>
      <c r="Y3163" s="1"/>
      <c r="Z3163" s="102"/>
      <c r="AA3163" s="102"/>
      <c r="AB3163" s="1"/>
      <c r="AC3163" s="1"/>
      <c r="AD3163" s="1"/>
      <c r="AE3163" s="1"/>
      <c r="AF3163" s="1"/>
      <c r="AG3163" s="1"/>
    </row>
    <row r="3164" ht="15.75" customHeight="1">
      <c r="A3164" s="1"/>
      <c r="B3164" s="1"/>
      <c r="C3164" s="1"/>
      <c r="D3164" s="1"/>
      <c r="E3164" s="1"/>
      <c r="F3164" s="1"/>
      <c r="G3164" s="1"/>
      <c r="H3164" s="1"/>
      <c r="I3164" s="1"/>
      <c r="J3164" s="1"/>
      <c r="K3164" s="102" t="s">
        <v>5501</v>
      </c>
      <c r="L3164" s="102" t="str">
        <f>U210</f>
        <v>J1a2a1a2d2b2b2c4b2b1a~</v>
      </c>
      <c r="M3164" s="102"/>
      <c r="N3164" s="102"/>
      <c r="O3164" s="105">
        <v>2.3495339E7</v>
      </c>
      <c r="P3164" s="105">
        <v>2.1333453E7</v>
      </c>
      <c r="Q3164" s="102" t="s">
        <v>2439</v>
      </c>
      <c r="S3164" s="1"/>
      <c r="T3164" s="1"/>
      <c r="U3164" s="1"/>
      <c r="V3164" s="1"/>
      <c r="W3164" s="1"/>
      <c r="X3164" s="1"/>
      <c r="Y3164" s="1"/>
      <c r="Z3164" s="102"/>
      <c r="AA3164" s="102"/>
      <c r="AB3164" s="1"/>
      <c r="AC3164" s="1"/>
      <c r="AD3164" s="1"/>
      <c r="AE3164" s="1"/>
      <c r="AF3164" s="1"/>
      <c r="AG3164" s="1"/>
    </row>
    <row r="3165" ht="15.75" customHeight="1">
      <c r="A3165" s="1"/>
      <c r="B3165" s="1"/>
      <c r="C3165" s="1"/>
      <c r="D3165" s="1"/>
      <c r="E3165" s="1"/>
      <c r="F3165" s="1"/>
      <c r="G3165" s="1"/>
      <c r="H3165" s="1"/>
      <c r="I3165" s="1"/>
      <c r="J3165" s="1"/>
      <c r="K3165" s="102" t="s">
        <v>5502</v>
      </c>
      <c r="L3165" s="102" t="str">
        <f>U210</f>
        <v>J1a2a1a2d2b2b2c4b2b1a~</v>
      </c>
      <c r="M3165" s="102"/>
      <c r="N3165" s="102"/>
      <c r="O3165" s="105">
        <v>9849383.0</v>
      </c>
      <c r="P3165" s="105">
        <v>1.0011774E7</v>
      </c>
      <c r="Q3165" s="102" t="s">
        <v>2514</v>
      </c>
      <c r="S3165" s="1"/>
      <c r="T3165" s="1"/>
      <c r="U3165" s="1"/>
      <c r="V3165" s="1"/>
      <c r="W3165" s="1"/>
      <c r="X3165" s="1"/>
      <c r="Y3165" s="1"/>
      <c r="Z3165" s="102"/>
      <c r="AA3165" s="102"/>
      <c r="AB3165" s="1"/>
      <c r="AC3165" s="1"/>
      <c r="AD3165" s="1"/>
      <c r="AE3165" s="1"/>
      <c r="AF3165" s="1"/>
      <c r="AG3165" s="1"/>
    </row>
    <row r="3166" ht="15.75" customHeight="1">
      <c r="A3166" s="1"/>
      <c r="B3166" s="1"/>
      <c r="C3166" s="1"/>
      <c r="D3166" s="1"/>
      <c r="E3166" s="1"/>
      <c r="F3166" s="1"/>
      <c r="G3166" s="1"/>
      <c r="H3166" s="1"/>
      <c r="I3166" s="1"/>
      <c r="J3166" s="1"/>
      <c r="K3166" s="102" t="s">
        <v>5503</v>
      </c>
      <c r="L3166" s="102" t="str">
        <f>V211</f>
        <v>J1a2a1a2d2b2b2c4b2b1a1~</v>
      </c>
      <c r="M3166" s="102" t="s">
        <v>5504</v>
      </c>
      <c r="N3166" s="102" t="s">
        <v>5505</v>
      </c>
      <c r="O3166" s="105">
        <v>1.7927014E7</v>
      </c>
      <c r="P3166" s="105">
        <v>1.5815134E7</v>
      </c>
      <c r="Q3166" s="102" t="s">
        <v>2446</v>
      </c>
      <c r="S3166" s="1"/>
      <c r="T3166" s="1"/>
      <c r="U3166" s="1"/>
      <c r="V3166" s="1"/>
      <c r="W3166" s="1"/>
      <c r="X3166" s="1"/>
      <c r="Y3166" s="1"/>
      <c r="Z3166" s="102"/>
      <c r="AA3166" s="102"/>
      <c r="AB3166" s="1"/>
      <c r="AC3166" s="1"/>
      <c r="AD3166" s="1"/>
      <c r="AE3166" s="1"/>
      <c r="AF3166" s="1"/>
      <c r="AG3166" s="1"/>
    </row>
    <row r="3167" ht="15.75" customHeight="1">
      <c r="A3167" s="1"/>
      <c r="B3167" s="1"/>
      <c r="C3167" s="1"/>
      <c r="D3167" s="1"/>
      <c r="E3167" s="1"/>
      <c r="F3167" s="1"/>
      <c r="G3167" s="1"/>
      <c r="H3167" s="1"/>
      <c r="I3167" s="1"/>
      <c r="J3167" s="1"/>
      <c r="K3167" s="102" t="s">
        <v>5504</v>
      </c>
      <c r="L3167" s="102" t="str">
        <f>V211</f>
        <v>J1a2a1a2d2b2b2c4b2b1a1~</v>
      </c>
      <c r="M3167" s="102" t="s">
        <v>5503</v>
      </c>
      <c r="N3167" s="102" t="s">
        <v>5505</v>
      </c>
      <c r="O3167" s="105">
        <v>1.7927014E7</v>
      </c>
      <c r="P3167" s="105">
        <v>1.5815134E7</v>
      </c>
      <c r="Q3167" s="102" t="s">
        <v>2446</v>
      </c>
      <c r="S3167" s="1"/>
      <c r="T3167" s="1"/>
      <c r="U3167" s="1"/>
      <c r="V3167" s="1"/>
      <c r="W3167" s="1"/>
      <c r="X3167" s="1"/>
      <c r="Y3167" s="1"/>
      <c r="Z3167" s="102"/>
      <c r="AA3167" s="102"/>
      <c r="AB3167" s="1"/>
      <c r="AC3167" s="1"/>
      <c r="AD3167" s="1"/>
      <c r="AE3167" s="1"/>
      <c r="AF3167" s="1"/>
      <c r="AG3167" s="1"/>
    </row>
    <row r="3168" ht="15.75" customHeight="1">
      <c r="A3168" s="1"/>
      <c r="B3168" s="1"/>
      <c r="C3168" s="1"/>
      <c r="D3168" s="1"/>
      <c r="E3168" s="1"/>
      <c r="F3168" s="1"/>
      <c r="G3168" s="1"/>
      <c r="H3168" s="1"/>
      <c r="I3168" s="1"/>
      <c r="J3168" s="1"/>
      <c r="K3168" s="102" t="s">
        <v>5506</v>
      </c>
      <c r="L3168" s="102" t="str">
        <f>W212</f>
        <v>J1a2a1a2d2b2b2c4b2b1a1a~</v>
      </c>
      <c r="M3168" s="102"/>
      <c r="N3168" s="102" t="s">
        <v>5507</v>
      </c>
      <c r="O3168" s="105">
        <v>8221955.0</v>
      </c>
      <c r="P3168" s="105">
        <v>8353914.0</v>
      </c>
      <c r="Q3168" s="102" t="s">
        <v>2501</v>
      </c>
      <c r="S3168" s="1"/>
      <c r="T3168" s="1"/>
      <c r="U3168" s="1"/>
      <c r="V3168" s="1"/>
      <c r="W3168" s="1"/>
      <c r="X3168" s="1"/>
      <c r="Y3168" s="1"/>
      <c r="Z3168" s="102"/>
      <c r="AA3168" s="102"/>
      <c r="AB3168" s="1"/>
      <c r="AC3168" s="1"/>
      <c r="AD3168" s="1"/>
      <c r="AE3168" s="1"/>
      <c r="AF3168" s="1"/>
      <c r="AG3168" s="1"/>
    </row>
    <row r="3169" ht="15.75" customHeight="1">
      <c r="A3169" s="1"/>
      <c r="B3169" s="1"/>
      <c r="C3169" s="1"/>
      <c r="D3169" s="1"/>
      <c r="E3169" s="1"/>
      <c r="F3169" s="1"/>
      <c r="G3169" s="1"/>
      <c r="H3169" s="1"/>
      <c r="I3169" s="1"/>
      <c r="J3169" s="1"/>
      <c r="K3169" s="102" t="s">
        <v>5508</v>
      </c>
      <c r="L3169" s="102" t="str">
        <f>W212</f>
        <v>J1a2a1a2d2b2b2c4b2b1a1a~</v>
      </c>
      <c r="M3169" s="102"/>
      <c r="N3169" s="102" t="s">
        <v>5509</v>
      </c>
      <c r="O3169" s="105">
        <v>8865002.0</v>
      </c>
      <c r="P3169" s="105">
        <v>8996961.0</v>
      </c>
      <c r="Q3169" s="102" t="s">
        <v>2439</v>
      </c>
      <c r="S3169" s="1"/>
      <c r="T3169" s="1"/>
      <c r="U3169" s="1"/>
      <c r="V3169" s="1"/>
      <c r="W3169" s="1"/>
      <c r="X3169" s="1"/>
      <c r="Y3169" s="1"/>
      <c r="Z3169" s="102"/>
      <c r="AA3169" s="102"/>
      <c r="AB3169" s="1"/>
      <c r="AC3169" s="1"/>
      <c r="AD3169" s="1"/>
      <c r="AE3169" s="1"/>
      <c r="AF3169" s="1"/>
      <c r="AG3169" s="1"/>
    </row>
    <row r="3170" ht="15.75" customHeight="1">
      <c r="A3170" s="1"/>
      <c r="B3170" s="1"/>
      <c r="C3170" s="1"/>
      <c r="D3170" s="1"/>
      <c r="E3170" s="1"/>
      <c r="F3170" s="1"/>
      <c r="G3170" s="1"/>
      <c r="H3170" s="1"/>
      <c r="I3170" s="1"/>
      <c r="J3170" s="1"/>
      <c r="K3170" s="102" t="s">
        <v>5510</v>
      </c>
      <c r="L3170" s="102" t="str">
        <f>W212</f>
        <v>J1a2a1a2d2b2b2c4b2b1a1a~</v>
      </c>
      <c r="M3170" s="102"/>
      <c r="N3170" s="102" t="s">
        <v>5511</v>
      </c>
      <c r="O3170" s="105">
        <v>1.4389359E7</v>
      </c>
      <c r="P3170" s="105">
        <v>1.2268655E7</v>
      </c>
      <c r="Q3170" s="102" t="s">
        <v>2514</v>
      </c>
      <c r="S3170" s="1"/>
      <c r="T3170" s="1"/>
      <c r="U3170" s="1"/>
      <c r="V3170" s="1"/>
      <c r="W3170" s="1"/>
      <c r="X3170" s="1"/>
      <c r="Y3170" s="1"/>
      <c r="Z3170" s="102"/>
      <c r="AA3170" s="102"/>
      <c r="AB3170" s="1"/>
      <c r="AC3170" s="1"/>
      <c r="AD3170" s="1"/>
      <c r="AE3170" s="1"/>
      <c r="AF3170" s="1"/>
      <c r="AG3170" s="1"/>
    </row>
    <row r="3171" ht="15.75" customHeight="1">
      <c r="A3171" s="1"/>
      <c r="B3171" s="1"/>
      <c r="C3171" s="1"/>
      <c r="D3171" s="1"/>
      <c r="E3171" s="1"/>
      <c r="F3171" s="1"/>
      <c r="G3171" s="1"/>
      <c r="H3171" s="1"/>
      <c r="I3171" s="1"/>
      <c r="J3171" s="1"/>
      <c r="K3171" s="102" t="s">
        <v>5512</v>
      </c>
      <c r="L3171" s="102" t="str">
        <f>W212</f>
        <v>J1a2a1a2d2b2b2c4b2b1a1a~</v>
      </c>
      <c r="M3171" s="102"/>
      <c r="N3171" s="102"/>
      <c r="O3171" s="105">
        <v>1.4472369E7</v>
      </c>
      <c r="P3171" s="105">
        <v>1.2351638E7</v>
      </c>
      <c r="Q3171" s="102" t="s">
        <v>2446</v>
      </c>
      <c r="S3171" s="1"/>
      <c r="T3171" s="1"/>
      <c r="U3171" s="1"/>
      <c r="V3171" s="1"/>
      <c r="W3171" s="1"/>
      <c r="X3171" s="1"/>
      <c r="Y3171" s="1"/>
      <c r="Z3171" s="102"/>
      <c r="AA3171" s="102"/>
      <c r="AB3171" s="1"/>
      <c r="AC3171" s="1"/>
      <c r="AD3171" s="1"/>
      <c r="AE3171" s="1"/>
      <c r="AF3171" s="1"/>
      <c r="AG3171" s="1"/>
    </row>
    <row r="3172" ht="15.75" customHeight="1">
      <c r="A3172" s="1"/>
      <c r="B3172" s="1"/>
      <c r="C3172" s="1"/>
      <c r="D3172" s="1"/>
      <c r="E3172" s="1"/>
      <c r="F3172" s="1"/>
      <c r="G3172" s="1"/>
      <c r="H3172" s="1"/>
      <c r="I3172" s="1"/>
      <c r="J3172" s="1"/>
      <c r="K3172" s="102" t="s">
        <v>5513</v>
      </c>
      <c r="L3172" s="102" t="str">
        <f>W212</f>
        <v>J1a2a1a2d2b2b2c4b2b1a1a~</v>
      </c>
      <c r="M3172" s="102"/>
      <c r="N3172" s="102" t="s">
        <v>5514</v>
      </c>
      <c r="O3172" s="105">
        <v>1.498355E7</v>
      </c>
      <c r="P3172" s="105">
        <v>1.2871618E7</v>
      </c>
      <c r="Q3172" s="102" t="s">
        <v>2501</v>
      </c>
      <c r="S3172" s="1"/>
      <c r="T3172" s="1"/>
      <c r="U3172" s="1"/>
      <c r="V3172" s="1"/>
      <c r="W3172" s="1"/>
      <c r="X3172" s="1"/>
      <c r="Y3172" s="1"/>
      <c r="Z3172" s="102"/>
      <c r="AA3172" s="102"/>
      <c r="AB3172" s="1"/>
      <c r="AC3172" s="1"/>
      <c r="AD3172" s="1"/>
      <c r="AE3172" s="1"/>
      <c r="AF3172" s="1"/>
      <c r="AG3172" s="1"/>
    </row>
    <row r="3173" ht="15.75" customHeight="1">
      <c r="A3173" s="1"/>
      <c r="B3173" s="1"/>
      <c r="C3173" s="1"/>
      <c r="D3173" s="1"/>
      <c r="E3173" s="1"/>
      <c r="F3173" s="1"/>
      <c r="G3173" s="1"/>
      <c r="H3173" s="1"/>
      <c r="I3173" s="1"/>
      <c r="J3173" s="1"/>
      <c r="K3173" s="102" t="s">
        <v>5515</v>
      </c>
      <c r="L3173" s="102" t="str">
        <f>W212</f>
        <v>J1a2a1a2d2b2b2c4b2b1a1a~</v>
      </c>
      <c r="M3173" s="102"/>
      <c r="N3173" s="102" t="s">
        <v>5516</v>
      </c>
      <c r="O3173" s="105">
        <v>1.7233287E7</v>
      </c>
      <c r="P3173" s="105">
        <v>1.5121407E7</v>
      </c>
      <c r="Q3173" s="102" t="s">
        <v>2439</v>
      </c>
      <c r="S3173" s="1"/>
      <c r="T3173" s="1"/>
      <c r="U3173" s="1"/>
      <c r="V3173" s="1"/>
      <c r="W3173" s="1"/>
      <c r="X3173" s="1"/>
      <c r="Y3173" s="1"/>
      <c r="Z3173" s="102"/>
      <c r="AA3173" s="102"/>
      <c r="AB3173" s="1"/>
      <c r="AC3173" s="1"/>
      <c r="AD3173" s="1"/>
      <c r="AE3173" s="1"/>
      <c r="AF3173" s="1"/>
      <c r="AG3173" s="1"/>
    </row>
    <row r="3174" ht="15.75" customHeight="1">
      <c r="A3174" s="1"/>
      <c r="B3174" s="1"/>
      <c r="C3174" s="1"/>
      <c r="D3174" s="1"/>
      <c r="E3174" s="1"/>
      <c r="F3174" s="1"/>
      <c r="G3174" s="1"/>
      <c r="H3174" s="1"/>
      <c r="I3174" s="1"/>
      <c r="J3174" s="1"/>
      <c r="K3174" s="102" t="s">
        <v>395</v>
      </c>
      <c r="L3174" s="102" t="str">
        <f>W212</f>
        <v>J1a2a1a2d2b2b2c4b2b1a1a~</v>
      </c>
      <c r="M3174" s="102"/>
      <c r="N3174" s="102" t="s">
        <v>5517</v>
      </c>
      <c r="O3174" s="105">
        <v>1.7403724E7</v>
      </c>
      <c r="P3174" s="105">
        <v>1.5291844E7</v>
      </c>
      <c r="Q3174" s="102" t="s">
        <v>2501</v>
      </c>
      <c r="S3174" s="1"/>
      <c r="T3174" s="1"/>
      <c r="U3174" s="1"/>
      <c r="V3174" s="1"/>
      <c r="W3174" s="1"/>
      <c r="X3174" s="1"/>
      <c r="Y3174" s="1"/>
      <c r="Z3174" s="102"/>
      <c r="AA3174" s="102"/>
      <c r="AB3174" s="1"/>
      <c r="AC3174" s="1"/>
      <c r="AD3174" s="1"/>
      <c r="AE3174" s="1"/>
      <c r="AF3174" s="1"/>
      <c r="AG3174" s="1"/>
    </row>
    <row r="3175" ht="15.75" customHeight="1">
      <c r="A3175" s="1"/>
      <c r="B3175" s="1"/>
      <c r="C3175" s="1"/>
      <c r="D3175" s="1"/>
      <c r="E3175" s="1"/>
      <c r="F3175" s="1"/>
      <c r="G3175" s="1"/>
      <c r="H3175" s="1"/>
      <c r="I3175" s="1"/>
      <c r="J3175" s="1"/>
      <c r="K3175" s="102" t="s">
        <v>5518</v>
      </c>
      <c r="L3175" s="102" t="str">
        <f>W212</f>
        <v>J1a2a1a2d2b2b2c4b2b1a1a~</v>
      </c>
      <c r="M3175" s="102"/>
      <c r="N3175" s="102" t="s">
        <v>5519</v>
      </c>
      <c r="O3175" s="105">
        <v>1.7517814E7</v>
      </c>
      <c r="P3175" s="105">
        <v>1.5405934E7</v>
      </c>
      <c r="Q3175" s="102" t="s">
        <v>2529</v>
      </c>
      <c r="S3175" s="1"/>
      <c r="T3175" s="1"/>
      <c r="U3175" s="1"/>
      <c r="V3175" s="1"/>
      <c r="W3175" s="1"/>
      <c r="X3175" s="1"/>
      <c r="Y3175" s="1"/>
      <c r="Z3175" s="102"/>
      <c r="AA3175" s="102"/>
      <c r="AB3175" s="1"/>
      <c r="AC3175" s="1"/>
      <c r="AD3175" s="1"/>
      <c r="AE3175" s="1"/>
      <c r="AF3175" s="1"/>
      <c r="AG3175" s="1"/>
    </row>
    <row r="3176" ht="15.75" customHeight="1">
      <c r="A3176" s="1"/>
      <c r="B3176" s="1"/>
      <c r="C3176" s="1"/>
      <c r="D3176" s="1"/>
      <c r="E3176" s="1"/>
      <c r="F3176" s="1"/>
      <c r="G3176" s="1"/>
      <c r="H3176" s="1"/>
      <c r="I3176" s="1"/>
      <c r="J3176" s="1"/>
      <c r="K3176" s="102" t="s">
        <v>5520</v>
      </c>
      <c r="L3176" s="102" t="str">
        <f>W212</f>
        <v>J1a2a1a2d2b2b2c4b2b1a1a~</v>
      </c>
      <c r="M3176" s="102"/>
      <c r="N3176" s="102" t="s">
        <v>5521</v>
      </c>
      <c r="O3176" s="105">
        <v>1.8074005E7</v>
      </c>
      <c r="P3176" s="105">
        <v>1.5962125E7</v>
      </c>
      <c r="Q3176" s="102" t="s">
        <v>2501</v>
      </c>
      <c r="S3176" s="1"/>
      <c r="T3176" s="1"/>
      <c r="U3176" s="1"/>
      <c r="V3176" s="1"/>
      <c r="W3176" s="1"/>
      <c r="X3176" s="1"/>
      <c r="Y3176" s="1"/>
      <c r="Z3176" s="102"/>
      <c r="AA3176" s="102"/>
      <c r="AB3176" s="1"/>
      <c r="AC3176" s="1"/>
      <c r="AD3176" s="1"/>
      <c r="AE3176" s="1"/>
      <c r="AF3176" s="1"/>
      <c r="AG3176" s="1"/>
    </row>
    <row r="3177" ht="15.75" customHeight="1">
      <c r="A3177" s="1"/>
      <c r="B3177" s="1"/>
      <c r="C3177" s="1"/>
      <c r="D3177" s="1"/>
      <c r="E3177" s="1"/>
      <c r="F3177" s="1"/>
      <c r="G3177" s="1"/>
      <c r="H3177" s="1"/>
      <c r="I3177" s="1"/>
      <c r="J3177" s="1"/>
      <c r="K3177" s="102" t="s">
        <v>5522</v>
      </c>
      <c r="L3177" s="102" t="str">
        <f>W212</f>
        <v>J1a2a1a2d2b2b2c4b2b1a1a~</v>
      </c>
      <c r="M3177" s="102"/>
      <c r="N3177" s="102"/>
      <c r="O3177" s="105">
        <v>1.8639095E7</v>
      </c>
      <c r="P3177" s="105">
        <v>1.6527215E7</v>
      </c>
      <c r="Q3177" s="102" t="s">
        <v>2501</v>
      </c>
      <c r="S3177" s="1"/>
      <c r="T3177" s="1"/>
      <c r="U3177" s="1"/>
      <c r="V3177" s="1"/>
      <c r="W3177" s="1"/>
      <c r="X3177" s="1"/>
      <c r="Y3177" s="1"/>
      <c r="Z3177" s="102"/>
      <c r="AA3177" s="102"/>
      <c r="AB3177" s="1"/>
      <c r="AC3177" s="1"/>
      <c r="AD3177" s="1"/>
      <c r="AE3177" s="1"/>
      <c r="AF3177" s="1"/>
      <c r="AG3177" s="1"/>
    </row>
    <row r="3178" ht="15.75" customHeight="1">
      <c r="A3178" s="1"/>
      <c r="B3178" s="1"/>
      <c r="C3178" s="1"/>
      <c r="D3178" s="1"/>
      <c r="E3178" s="1"/>
      <c r="F3178" s="1"/>
      <c r="G3178" s="1"/>
      <c r="H3178" s="1"/>
      <c r="I3178" s="1"/>
      <c r="J3178" s="1"/>
      <c r="K3178" s="102" t="s">
        <v>5523</v>
      </c>
      <c r="L3178" s="102" t="str">
        <f>W212</f>
        <v>J1a2a1a2d2b2b2c4b2b1a1a~</v>
      </c>
      <c r="M3178" s="102"/>
      <c r="N3178" s="102" t="s">
        <v>5524</v>
      </c>
      <c r="O3178" s="105">
        <v>2.1225274E7</v>
      </c>
      <c r="P3178" s="105">
        <v>1.9063388E7</v>
      </c>
      <c r="Q3178" s="102" t="s">
        <v>2468</v>
      </c>
      <c r="S3178" s="1"/>
      <c r="T3178" s="1"/>
      <c r="U3178" s="1"/>
      <c r="V3178" s="1"/>
      <c r="W3178" s="1"/>
      <c r="X3178" s="1"/>
      <c r="Y3178" s="1"/>
      <c r="Z3178" s="102"/>
      <c r="AA3178" s="102"/>
      <c r="AB3178" s="1"/>
      <c r="AC3178" s="1"/>
      <c r="AD3178" s="1"/>
      <c r="AE3178" s="1"/>
      <c r="AF3178" s="1"/>
      <c r="AG3178" s="1"/>
    </row>
    <row r="3179" ht="15.75" customHeight="1">
      <c r="A3179" s="1"/>
      <c r="B3179" s="1"/>
      <c r="C3179" s="1"/>
      <c r="D3179" s="1"/>
      <c r="E3179" s="1"/>
      <c r="F3179" s="1"/>
      <c r="G3179" s="1"/>
      <c r="H3179" s="1"/>
      <c r="I3179" s="1"/>
      <c r="J3179" s="1"/>
      <c r="K3179" s="102" t="s">
        <v>5525</v>
      </c>
      <c r="L3179" s="102" t="str">
        <f>W212</f>
        <v>J1a2a1a2d2b2b2c4b2b1a1a~</v>
      </c>
      <c r="M3179" s="102"/>
      <c r="N3179" s="102" t="s">
        <v>5526</v>
      </c>
      <c r="O3179" s="105">
        <v>7063970.0</v>
      </c>
      <c r="P3179" s="105">
        <v>7195929.0</v>
      </c>
      <c r="Q3179" s="102" t="s">
        <v>2468</v>
      </c>
      <c r="S3179" s="1"/>
      <c r="T3179" s="1"/>
      <c r="U3179" s="1"/>
      <c r="V3179" s="1"/>
      <c r="W3179" s="1"/>
      <c r="X3179" s="1"/>
      <c r="Y3179" s="1"/>
      <c r="Z3179" s="102"/>
      <c r="AA3179" s="102"/>
      <c r="AB3179" s="1"/>
      <c r="AC3179" s="1"/>
      <c r="AD3179" s="1"/>
      <c r="AE3179" s="1"/>
      <c r="AF3179" s="1"/>
      <c r="AG3179" s="1"/>
    </row>
    <row r="3180" ht="15.75" customHeight="1">
      <c r="A3180" s="1"/>
      <c r="B3180" s="1"/>
      <c r="C3180" s="1"/>
      <c r="D3180" s="1"/>
      <c r="E3180" s="1"/>
      <c r="F3180" s="1"/>
      <c r="G3180" s="1"/>
      <c r="H3180" s="1"/>
      <c r="I3180" s="1"/>
      <c r="J3180" s="1"/>
      <c r="K3180" s="102" t="s">
        <v>5527</v>
      </c>
      <c r="L3180" s="102" t="str">
        <f>W212</f>
        <v>J1a2a1a2d2b2b2c4b2b1a1a~</v>
      </c>
      <c r="M3180" s="102"/>
      <c r="N3180" s="102"/>
      <c r="O3180" s="105">
        <v>1.4835478E7</v>
      </c>
      <c r="P3180" s="105">
        <v>1.2723545E7</v>
      </c>
      <c r="Q3180" s="102" t="s">
        <v>2529</v>
      </c>
      <c r="S3180" s="1"/>
      <c r="T3180" s="1"/>
      <c r="U3180" s="1"/>
      <c r="V3180" s="1"/>
      <c r="W3180" s="1"/>
      <c r="X3180" s="1"/>
      <c r="Y3180" s="1"/>
      <c r="Z3180" s="102"/>
      <c r="AA3180" s="102"/>
      <c r="AB3180" s="1"/>
      <c r="AC3180" s="1"/>
      <c r="AD3180" s="1"/>
      <c r="AE3180" s="1"/>
      <c r="AF3180" s="1"/>
      <c r="AG3180" s="1"/>
    </row>
    <row r="3181" ht="15.75" customHeight="1">
      <c r="A3181" s="1"/>
      <c r="B3181" s="1"/>
      <c r="C3181" s="1"/>
      <c r="D3181" s="1"/>
      <c r="E3181" s="1"/>
      <c r="F3181" s="1"/>
      <c r="G3181" s="1"/>
      <c r="H3181" s="1"/>
      <c r="I3181" s="1"/>
      <c r="J3181" s="1"/>
      <c r="K3181" s="102" t="s">
        <v>5528</v>
      </c>
      <c r="L3181" s="102" t="str">
        <f>W212</f>
        <v>J1a2a1a2d2b2b2c4b2b1a1a~</v>
      </c>
      <c r="M3181" s="102"/>
      <c r="N3181" s="102"/>
      <c r="O3181" s="105">
        <v>1.6515795E7</v>
      </c>
      <c r="P3181" s="105">
        <v>1.4403915E7</v>
      </c>
      <c r="Q3181" s="102" t="s">
        <v>2439</v>
      </c>
      <c r="S3181" s="1"/>
      <c r="T3181" s="1"/>
      <c r="U3181" s="1"/>
      <c r="V3181" s="1"/>
      <c r="W3181" s="1"/>
      <c r="X3181" s="1"/>
      <c r="Y3181" s="1"/>
      <c r="Z3181" s="102"/>
      <c r="AA3181" s="102"/>
      <c r="AB3181" s="1"/>
      <c r="AC3181" s="1"/>
      <c r="AD3181" s="1"/>
      <c r="AE3181" s="1"/>
      <c r="AF3181" s="1"/>
      <c r="AG3181" s="1"/>
    </row>
    <row r="3182" ht="15.75" customHeight="1">
      <c r="A3182" s="1"/>
      <c r="B3182" s="1"/>
      <c r="C3182" s="1"/>
      <c r="D3182" s="1"/>
      <c r="E3182" s="1"/>
      <c r="F3182" s="1"/>
      <c r="G3182" s="1"/>
      <c r="H3182" s="1"/>
      <c r="I3182" s="1"/>
      <c r="J3182" s="1"/>
      <c r="K3182" s="102" t="s">
        <v>395</v>
      </c>
      <c r="L3182" s="102" t="str">
        <f>X213</f>
        <v>J1a2a1a2d2b2b2c4b2b1a1a1~</v>
      </c>
      <c r="M3182" s="102"/>
      <c r="N3182" s="102" t="s">
        <v>5517</v>
      </c>
      <c r="O3182" s="105">
        <v>1.7403724E7</v>
      </c>
      <c r="P3182" s="105">
        <v>1.5291844E7</v>
      </c>
      <c r="Q3182" s="102" t="s">
        <v>2501</v>
      </c>
      <c r="S3182" s="1"/>
      <c r="T3182" s="1"/>
      <c r="U3182" s="1"/>
      <c r="V3182" s="1"/>
      <c r="W3182" s="1"/>
      <c r="X3182" s="1"/>
      <c r="Y3182" s="1"/>
      <c r="Z3182" s="102"/>
      <c r="AA3182" s="102"/>
      <c r="AB3182" s="1"/>
      <c r="AC3182" s="1"/>
      <c r="AD3182" s="1"/>
      <c r="AE3182" s="1"/>
      <c r="AF3182" s="1"/>
      <c r="AG3182" s="1"/>
    </row>
    <row r="3183" ht="15.75" customHeight="1">
      <c r="A3183" s="1"/>
      <c r="B3183" s="1"/>
      <c r="C3183" s="1"/>
      <c r="D3183" s="1"/>
      <c r="E3183" s="1"/>
      <c r="F3183" s="1"/>
      <c r="G3183" s="1"/>
      <c r="H3183" s="1"/>
      <c r="I3183" s="1"/>
      <c r="J3183" s="1"/>
      <c r="K3183" s="102" t="s">
        <v>5529</v>
      </c>
      <c r="L3183" s="102" t="str">
        <f>Y214</f>
        <v>J1a2a1a2d2b2b2c4b2b1a1a1a~</v>
      </c>
      <c r="M3183" s="102"/>
      <c r="N3183" s="102"/>
      <c r="O3183" s="105">
        <v>6886371.0</v>
      </c>
      <c r="P3183" s="105">
        <v>7018330.0</v>
      </c>
      <c r="Q3183" s="102" t="s">
        <v>2468</v>
      </c>
      <c r="S3183" s="1"/>
      <c r="T3183" s="1"/>
      <c r="U3183" s="1"/>
      <c r="V3183" s="1"/>
      <c r="W3183" s="1"/>
      <c r="X3183" s="1"/>
      <c r="Y3183" s="1"/>
      <c r="Z3183" s="102"/>
      <c r="AA3183" s="102"/>
      <c r="AB3183" s="1"/>
      <c r="AC3183" s="1"/>
      <c r="AD3183" s="1"/>
      <c r="AE3183" s="1"/>
      <c r="AF3183" s="1"/>
      <c r="AG3183" s="1"/>
    </row>
    <row r="3184" ht="15.75" customHeight="1">
      <c r="A3184" s="1"/>
      <c r="B3184" s="1"/>
      <c r="C3184" s="1"/>
      <c r="D3184" s="1"/>
      <c r="E3184" s="1"/>
      <c r="F3184" s="1"/>
      <c r="G3184" s="1"/>
      <c r="H3184" s="1"/>
      <c r="I3184" s="1"/>
      <c r="J3184" s="1"/>
      <c r="K3184" s="102" t="s">
        <v>5530</v>
      </c>
      <c r="L3184" s="102" t="str">
        <f>Y214</f>
        <v>J1a2a1a2d2b2b2c4b2b1a1a1a~</v>
      </c>
      <c r="M3184" s="102"/>
      <c r="N3184" s="102"/>
      <c r="O3184" s="105">
        <v>1.3836184E7</v>
      </c>
      <c r="P3184" s="105">
        <v>1.1715478E7</v>
      </c>
      <c r="Q3184" s="102" t="s">
        <v>2439</v>
      </c>
      <c r="S3184" s="1"/>
      <c r="T3184" s="1"/>
      <c r="U3184" s="1"/>
      <c r="V3184" s="1"/>
      <c r="W3184" s="1"/>
      <c r="X3184" s="1"/>
      <c r="Y3184" s="1"/>
      <c r="Z3184" s="102"/>
      <c r="AA3184" s="102"/>
      <c r="AB3184" s="1"/>
      <c r="AC3184" s="1"/>
      <c r="AD3184" s="1"/>
      <c r="AE3184" s="1"/>
      <c r="AF3184" s="1"/>
      <c r="AG3184" s="1"/>
    </row>
    <row r="3185" ht="15.75" customHeight="1">
      <c r="A3185" s="1"/>
      <c r="B3185" s="1"/>
      <c r="C3185" s="1"/>
      <c r="D3185" s="1"/>
      <c r="E3185" s="1"/>
      <c r="F3185" s="1"/>
      <c r="G3185" s="1"/>
      <c r="H3185" s="1"/>
      <c r="I3185" s="1"/>
      <c r="J3185" s="1"/>
      <c r="K3185" s="102" t="s">
        <v>5531</v>
      </c>
      <c r="L3185" s="102" t="str">
        <f>Y214</f>
        <v>J1a2a1a2d2b2b2c4b2b1a1a1a~</v>
      </c>
      <c r="M3185" s="102"/>
      <c r="N3185" s="102"/>
      <c r="O3185" s="105">
        <v>1.8062404E7</v>
      </c>
      <c r="P3185" s="105">
        <v>1.5950524E7</v>
      </c>
      <c r="Q3185" s="102" t="s">
        <v>2454</v>
      </c>
      <c r="S3185" s="1"/>
      <c r="T3185" s="1"/>
      <c r="U3185" s="1"/>
      <c r="V3185" s="1"/>
      <c r="W3185" s="1"/>
      <c r="X3185" s="1"/>
      <c r="Y3185" s="1"/>
      <c r="Z3185" s="102"/>
      <c r="AA3185" s="102"/>
      <c r="AB3185" s="1"/>
      <c r="AC3185" s="1"/>
      <c r="AD3185" s="1"/>
      <c r="AE3185" s="1"/>
      <c r="AF3185" s="1"/>
      <c r="AG3185" s="1"/>
    </row>
    <row r="3186" ht="15.75" customHeight="1">
      <c r="A3186" s="1"/>
      <c r="B3186" s="1"/>
      <c r="C3186" s="1"/>
      <c r="D3186" s="1"/>
      <c r="E3186" s="1"/>
      <c r="F3186" s="1"/>
      <c r="G3186" s="1"/>
      <c r="H3186" s="1"/>
      <c r="I3186" s="1"/>
      <c r="J3186" s="1"/>
      <c r="K3186" s="102" t="s">
        <v>399</v>
      </c>
      <c r="L3186" s="102" t="str">
        <f>W215</f>
        <v>J1a2a1a2d2b2b2c4b2b1a1b~</v>
      </c>
      <c r="M3186" s="102"/>
      <c r="N3186" s="102" t="s">
        <v>5532</v>
      </c>
      <c r="O3186" s="105">
        <v>1.8257446E7</v>
      </c>
      <c r="P3186" s="105">
        <v>1.6145566E7</v>
      </c>
      <c r="Q3186" s="102" t="s">
        <v>2529</v>
      </c>
      <c r="S3186" s="1"/>
      <c r="T3186" s="1"/>
      <c r="U3186" s="1"/>
      <c r="V3186" s="1"/>
      <c r="W3186" s="1"/>
      <c r="X3186" s="1"/>
      <c r="Y3186" s="1"/>
      <c r="Z3186" s="102"/>
      <c r="AA3186" s="102"/>
      <c r="AB3186" s="1"/>
      <c r="AC3186" s="1"/>
      <c r="AD3186" s="1"/>
      <c r="AE3186" s="1"/>
      <c r="AF3186" s="1"/>
      <c r="AG3186" s="1"/>
    </row>
    <row r="3187" ht="15.75" customHeight="1">
      <c r="A3187" s="1"/>
      <c r="B3187" s="1"/>
      <c r="C3187" s="1"/>
      <c r="D3187" s="1"/>
      <c r="E3187" s="1"/>
      <c r="F3187" s="1"/>
      <c r="G3187" s="1"/>
      <c r="H3187" s="1"/>
      <c r="I3187" s="1"/>
      <c r="J3187" s="1"/>
      <c r="K3187" s="102" t="s">
        <v>5533</v>
      </c>
      <c r="L3187" s="102" t="str">
        <f>V216</f>
        <v>J1a2a1a2d2b2b2c4b2b1a2~</v>
      </c>
      <c r="M3187" s="102"/>
      <c r="N3187" s="102"/>
      <c r="O3187" s="105">
        <v>1.4278611E7</v>
      </c>
      <c r="P3187" s="105">
        <v>1.2157905E7</v>
      </c>
      <c r="Q3187" s="102" t="s">
        <v>2501</v>
      </c>
      <c r="S3187" s="1"/>
      <c r="T3187" s="1"/>
      <c r="U3187" s="1"/>
      <c r="V3187" s="1"/>
      <c r="W3187" s="1"/>
      <c r="X3187" s="1"/>
      <c r="Y3187" s="1"/>
      <c r="Z3187" s="102"/>
      <c r="AA3187" s="102"/>
      <c r="AB3187" s="1"/>
      <c r="AC3187" s="1"/>
      <c r="AD3187" s="1"/>
      <c r="AE3187" s="1"/>
      <c r="AF3187" s="1"/>
      <c r="AG3187" s="1"/>
    </row>
    <row r="3188" ht="15.75" customHeight="1">
      <c r="A3188" s="1"/>
      <c r="B3188" s="1"/>
      <c r="C3188" s="1"/>
      <c r="D3188" s="1"/>
      <c r="E3188" s="1"/>
      <c r="F3188" s="1"/>
      <c r="G3188" s="1"/>
      <c r="H3188" s="1"/>
      <c r="I3188" s="1"/>
      <c r="J3188" s="1"/>
      <c r="K3188" s="102" t="s">
        <v>5534</v>
      </c>
      <c r="L3188" s="102" t="str">
        <f>V216</f>
        <v>J1a2a1a2d2b2b2c4b2b1a2~</v>
      </c>
      <c r="M3188" s="102"/>
      <c r="N3188" s="102"/>
      <c r="O3188" s="105">
        <v>7159846.0</v>
      </c>
      <c r="P3188" s="105">
        <v>7291805.0</v>
      </c>
      <c r="Q3188" s="102" t="s">
        <v>2501</v>
      </c>
      <c r="S3188" s="1"/>
      <c r="T3188" s="1"/>
      <c r="U3188" s="1"/>
      <c r="V3188" s="1"/>
      <c r="W3188" s="1"/>
      <c r="X3188" s="1"/>
      <c r="Y3188" s="1"/>
      <c r="Z3188" s="102"/>
      <c r="AA3188" s="102"/>
      <c r="AB3188" s="1"/>
      <c r="AC3188" s="1"/>
      <c r="AD3188" s="1"/>
      <c r="AE3188" s="1"/>
      <c r="AF3188" s="1"/>
      <c r="AG3188" s="1"/>
    </row>
    <row r="3189" ht="15.75" customHeight="1">
      <c r="A3189" s="1"/>
      <c r="B3189" s="1"/>
      <c r="C3189" s="1"/>
      <c r="D3189" s="1"/>
      <c r="E3189" s="1"/>
      <c r="F3189" s="1"/>
      <c r="G3189" s="1"/>
      <c r="H3189" s="1"/>
      <c r="I3189" s="1"/>
      <c r="J3189" s="1"/>
      <c r="K3189" s="102" t="s">
        <v>5535</v>
      </c>
      <c r="L3189" s="102" t="str">
        <f>V216</f>
        <v>J1a2a1a2d2b2b2c4b2b1a2~</v>
      </c>
      <c r="M3189" s="102"/>
      <c r="N3189" s="102"/>
      <c r="O3189" s="105">
        <v>1.8774877E7</v>
      </c>
      <c r="P3189" s="105">
        <v>1.6662997E7</v>
      </c>
      <c r="Q3189" s="102" t="s">
        <v>2468</v>
      </c>
      <c r="S3189" s="1"/>
      <c r="T3189" s="1"/>
      <c r="U3189" s="1"/>
      <c r="V3189" s="1"/>
      <c r="W3189" s="1"/>
      <c r="X3189" s="1"/>
      <c r="Y3189" s="1"/>
      <c r="Z3189" s="102"/>
      <c r="AA3189" s="102"/>
      <c r="AB3189" s="1"/>
      <c r="AC3189" s="1"/>
      <c r="AD3189" s="1"/>
      <c r="AE3189" s="1"/>
      <c r="AF3189" s="1"/>
      <c r="AG3189" s="1"/>
    </row>
    <row r="3190" ht="15.75" customHeight="1">
      <c r="A3190" s="1"/>
      <c r="B3190" s="1"/>
      <c r="C3190" s="1"/>
      <c r="D3190" s="1"/>
      <c r="E3190" s="1"/>
      <c r="F3190" s="1"/>
      <c r="G3190" s="1"/>
      <c r="H3190" s="1"/>
      <c r="I3190" s="1"/>
      <c r="J3190" s="1"/>
      <c r="K3190" s="102" t="s">
        <v>4550</v>
      </c>
      <c r="L3190" s="102" t="str">
        <f>V216</f>
        <v>J1a2a1a2d2b2b2c4b2b1a2~</v>
      </c>
      <c r="M3190" s="102"/>
      <c r="N3190" s="102"/>
      <c r="O3190" s="105">
        <v>2.3409282E7</v>
      </c>
      <c r="P3190" s="105">
        <v>2.1247396E7</v>
      </c>
      <c r="Q3190" s="102" t="s">
        <v>2446</v>
      </c>
      <c r="S3190" s="1"/>
      <c r="T3190" s="1"/>
      <c r="U3190" s="1"/>
      <c r="V3190" s="1"/>
      <c r="W3190" s="1"/>
      <c r="X3190" s="1"/>
      <c r="Y3190" s="1"/>
      <c r="Z3190" s="102"/>
      <c r="AA3190" s="102"/>
      <c r="AB3190" s="1"/>
      <c r="AC3190" s="1"/>
      <c r="AD3190" s="1"/>
      <c r="AE3190" s="1"/>
      <c r="AF3190" s="1"/>
      <c r="AG3190" s="1"/>
    </row>
    <row r="3191" ht="15.75" customHeight="1">
      <c r="A3191" s="1"/>
      <c r="B3191" s="1"/>
      <c r="C3191" s="1"/>
      <c r="D3191" s="1"/>
      <c r="E3191" s="1"/>
      <c r="F3191" s="1"/>
      <c r="G3191" s="1"/>
      <c r="H3191" s="1"/>
      <c r="I3191" s="1"/>
      <c r="J3191" s="1"/>
      <c r="K3191" s="102" t="s">
        <v>5536</v>
      </c>
      <c r="L3191" s="102" t="str">
        <f>V216</f>
        <v>J1a2a1a2d2b2b2c4b2b1a2~</v>
      </c>
      <c r="M3191" s="102"/>
      <c r="N3191" s="102"/>
      <c r="O3191" s="105">
        <v>1.6610697E7</v>
      </c>
      <c r="P3191" s="105">
        <v>1.4498817E7</v>
      </c>
      <c r="Q3191" s="102" t="s">
        <v>2454</v>
      </c>
      <c r="S3191" s="1"/>
      <c r="T3191" s="1"/>
      <c r="U3191" s="1"/>
      <c r="V3191" s="1"/>
      <c r="W3191" s="1"/>
      <c r="X3191" s="1"/>
      <c r="Y3191" s="1"/>
      <c r="Z3191" s="102"/>
      <c r="AA3191" s="102"/>
      <c r="AB3191" s="1"/>
      <c r="AC3191" s="1"/>
      <c r="AD3191" s="1"/>
      <c r="AE3191" s="1"/>
      <c r="AF3191" s="1"/>
      <c r="AG3191" s="1"/>
    </row>
    <row r="3192" ht="15.75" customHeight="1">
      <c r="A3192" s="1"/>
      <c r="B3192" s="1"/>
      <c r="C3192" s="1"/>
      <c r="D3192" s="1"/>
      <c r="E3192" s="1"/>
      <c r="F3192" s="1"/>
      <c r="G3192" s="1"/>
      <c r="H3192" s="1"/>
      <c r="I3192" s="1"/>
      <c r="J3192" s="1"/>
      <c r="K3192" s="102" t="s">
        <v>5537</v>
      </c>
      <c r="L3192" s="102" t="str">
        <f>T217</f>
        <v>J1a2a1a2d2b2b2c4b2b2~</v>
      </c>
      <c r="M3192" s="102"/>
      <c r="N3192" s="102" t="s">
        <v>5538</v>
      </c>
      <c r="O3192" s="105">
        <v>1.404548E7</v>
      </c>
      <c r="P3192" s="105">
        <v>1.1924774E7</v>
      </c>
      <c r="Q3192" s="102" t="s">
        <v>2439</v>
      </c>
      <c r="S3192" s="1"/>
      <c r="T3192" s="1"/>
      <c r="U3192" s="1"/>
      <c r="V3192" s="1"/>
      <c r="W3192" s="1"/>
      <c r="X3192" s="1"/>
      <c r="Y3192" s="1"/>
      <c r="Z3192" s="102"/>
      <c r="AA3192" s="102"/>
      <c r="AB3192" s="1"/>
      <c r="AC3192" s="1"/>
      <c r="AD3192" s="1"/>
      <c r="AE3192" s="1"/>
      <c r="AF3192" s="1"/>
      <c r="AG3192" s="1"/>
    </row>
    <row r="3193" ht="15.75" customHeight="1">
      <c r="A3193" s="1"/>
      <c r="B3193" s="1"/>
      <c r="C3193" s="1"/>
      <c r="D3193" s="1"/>
      <c r="E3193" s="1"/>
      <c r="F3193" s="1"/>
      <c r="G3193" s="1"/>
      <c r="H3193" s="1"/>
      <c r="I3193" s="1"/>
      <c r="J3193" s="1"/>
      <c r="K3193" s="102" t="s">
        <v>5539</v>
      </c>
      <c r="L3193" s="102" t="str">
        <f>T217</f>
        <v>J1a2a1a2d2b2b2c4b2b2~</v>
      </c>
      <c r="M3193" s="102"/>
      <c r="N3193" s="102" t="s">
        <v>5540</v>
      </c>
      <c r="O3193" s="105">
        <v>1.5615688E7</v>
      </c>
      <c r="P3193" s="105">
        <v>1.3503808E7</v>
      </c>
      <c r="Q3193" s="102" t="s">
        <v>2501</v>
      </c>
      <c r="S3193" s="1"/>
      <c r="T3193" s="1"/>
      <c r="U3193" s="1"/>
      <c r="V3193" s="1"/>
      <c r="W3193" s="1"/>
      <c r="X3193" s="1"/>
      <c r="Y3193" s="1"/>
      <c r="Z3193" s="102"/>
      <c r="AA3193" s="102"/>
      <c r="AB3193" s="1"/>
      <c r="AC3193" s="1"/>
      <c r="AD3193" s="1"/>
      <c r="AE3193" s="1"/>
      <c r="AF3193" s="1"/>
      <c r="AG3193" s="1"/>
    </row>
    <row r="3194" ht="15.75" customHeight="1">
      <c r="A3194" s="1"/>
      <c r="B3194" s="1"/>
      <c r="C3194" s="1"/>
      <c r="D3194" s="1"/>
      <c r="E3194" s="1"/>
      <c r="F3194" s="1"/>
      <c r="G3194" s="1"/>
      <c r="H3194" s="1"/>
      <c r="I3194" s="1"/>
      <c r="J3194" s="1"/>
      <c r="K3194" s="102" t="s">
        <v>5541</v>
      </c>
      <c r="L3194" s="102" t="str">
        <f>T217</f>
        <v>J1a2a1a2d2b2b2c4b2b2~</v>
      </c>
      <c r="M3194" s="102" t="s">
        <v>5542</v>
      </c>
      <c r="N3194" s="102"/>
      <c r="O3194" s="105">
        <v>1.651159E7</v>
      </c>
      <c r="P3194" s="105">
        <v>1.439971E7</v>
      </c>
      <c r="Q3194" s="102" t="s">
        <v>2529</v>
      </c>
      <c r="S3194" s="1"/>
      <c r="T3194" s="1"/>
      <c r="U3194" s="1"/>
      <c r="V3194" s="1"/>
      <c r="W3194" s="1"/>
      <c r="X3194" s="1"/>
      <c r="Y3194" s="1"/>
      <c r="Z3194" s="102"/>
      <c r="AA3194" s="102"/>
      <c r="AB3194" s="1"/>
      <c r="AC3194" s="1"/>
      <c r="AD3194" s="1"/>
      <c r="AE3194" s="1"/>
      <c r="AF3194" s="1"/>
      <c r="AG3194" s="1"/>
    </row>
    <row r="3195" ht="15.75" customHeight="1">
      <c r="A3195" s="1"/>
      <c r="B3195" s="1"/>
      <c r="C3195" s="1"/>
      <c r="D3195" s="1"/>
      <c r="E3195" s="1"/>
      <c r="F3195" s="1"/>
      <c r="G3195" s="1"/>
      <c r="H3195" s="1"/>
      <c r="I3195" s="1"/>
      <c r="J3195" s="1"/>
      <c r="K3195" s="102" t="s">
        <v>5542</v>
      </c>
      <c r="L3195" s="102" t="str">
        <f>T217</f>
        <v>J1a2a1a2d2b2b2c4b2b2~</v>
      </c>
      <c r="M3195" s="102" t="s">
        <v>5541</v>
      </c>
      <c r="N3195" s="102"/>
      <c r="O3195" s="105">
        <v>1.651159E7</v>
      </c>
      <c r="P3195" s="105">
        <v>1.439971E7</v>
      </c>
      <c r="Q3195" s="102" t="s">
        <v>2529</v>
      </c>
      <c r="S3195" s="1"/>
      <c r="T3195" s="1"/>
      <c r="U3195" s="1"/>
      <c r="V3195" s="1"/>
      <c r="W3195" s="1"/>
      <c r="X3195" s="1"/>
      <c r="Y3195" s="1"/>
      <c r="Z3195" s="102"/>
      <c r="AA3195" s="102"/>
      <c r="AB3195" s="1"/>
      <c r="AC3195" s="1"/>
      <c r="AD3195" s="1"/>
      <c r="AE3195" s="1"/>
      <c r="AF3195" s="1"/>
      <c r="AG3195" s="1"/>
    </row>
    <row r="3196" ht="15.75" customHeight="1">
      <c r="A3196" s="1"/>
      <c r="B3196" s="1"/>
      <c r="C3196" s="1"/>
      <c r="D3196" s="1"/>
      <c r="E3196" s="1"/>
      <c r="F3196" s="1"/>
      <c r="G3196" s="1"/>
      <c r="H3196" s="1"/>
      <c r="I3196" s="1"/>
      <c r="J3196" s="1"/>
      <c r="K3196" s="102" t="s">
        <v>5543</v>
      </c>
      <c r="L3196" s="102" t="str">
        <f>T217</f>
        <v>J1a2a1a2d2b2b2c4b2b2~</v>
      </c>
      <c r="M3196" s="102" t="s">
        <v>5544</v>
      </c>
      <c r="N3196" s="102" t="s">
        <v>5545</v>
      </c>
      <c r="O3196" s="105">
        <v>1.7873853E7</v>
      </c>
      <c r="P3196" s="105">
        <v>1.5761973E7</v>
      </c>
      <c r="Q3196" s="102" t="s">
        <v>2501</v>
      </c>
      <c r="S3196" s="1"/>
      <c r="T3196" s="1"/>
      <c r="U3196" s="1"/>
      <c r="V3196" s="1"/>
      <c r="W3196" s="1"/>
      <c r="X3196" s="1"/>
      <c r="Y3196" s="1"/>
      <c r="Z3196" s="102"/>
      <c r="AA3196" s="102"/>
      <c r="AB3196" s="1"/>
      <c r="AC3196" s="1"/>
      <c r="AD3196" s="1"/>
      <c r="AE3196" s="1"/>
      <c r="AF3196" s="1"/>
      <c r="AG3196" s="1"/>
    </row>
    <row r="3197" ht="15.75" customHeight="1">
      <c r="A3197" s="1"/>
      <c r="B3197" s="1"/>
      <c r="C3197" s="1"/>
      <c r="D3197" s="1"/>
      <c r="E3197" s="1"/>
      <c r="F3197" s="1"/>
      <c r="G3197" s="1"/>
      <c r="H3197" s="1"/>
      <c r="I3197" s="1"/>
      <c r="J3197" s="1"/>
      <c r="K3197" s="102" t="s">
        <v>5544</v>
      </c>
      <c r="L3197" s="102" t="str">
        <f>T217</f>
        <v>J1a2a1a2d2b2b2c4b2b2~</v>
      </c>
      <c r="M3197" s="102" t="s">
        <v>5543</v>
      </c>
      <c r="N3197" s="102" t="s">
        <v>5545</v>
      </c>
      <c r="O3197" s="105">
        <v>1.7873853E7</v>
      </c>
      <c r="P3197" s="105">
        <v>1.5761973E7</v>
      </c>
      <c r="Q3197" s="102" t="s">
        <v>2501</v>
      </c>
      <c r="S3197" s="1"/>
      <c r="T3197" s="1"/>
      <c r="U3197" s="1"/>
      <c r="V3197" s="1"/>
      <c r="W3197" s="1"/>
      <c r="X3197" s="1"/>
      <c r="Y3197" s="1"/>
      <c r="Z3197" s="102"/>
      <c r="AA3197" s="102"/>
      <c r="AB3197" s="1"/>
      <c r="AC3197" s="1"/>
      <c r="AD3197" s="1"/>
      <c r="AE3197" s="1"/>
      <c r="AF3197" s="1"/>
      <c r="AG3197" s="1"/>
    </row>
    <row r="3198" ht="15.75" customHeight="1">
      <c r="A3198" s="1"/>
      <c r="B3198" s="1"/>
      <c r="C3198" s="1"/>
      <c r="D3198" s="1"/>
      <c r="E3198" s="1"/>
      <c r="F3198" s="1"/>
      <c r="G3198" s="1"/>
      <c r="H3198" s="1"/>
      <c r="I3198" s="1"/>
      <c r="J3198" s="1"/>
      <c r="K3198" s="102" t="s">
        <v>5546</v>
      </c>
      <c r="L3198" s="102" t="str">
        <f t="shared" ref="L3198:L3199" si="41">T217</f>
        <v>J1a2a1a2d2b2b2c4b2b2~</v>
      </c>
      <c r="M3198" s="102"/>
      <c r="N3198" s="102" t="s">
        <v>5547</v>
      </c>
      <c r="O3198" s="105">
        <v>1.7885612E7</v>
      </c>
      <c r="P3198" s="105">
        <v>1.5773732E7</v>
      </c>
      <c r="Q3198" s="102" t="s">
        <v>2439</v>
      </c>
      <c r="S3198" s="1"/>
      <c r="T3198" s="1"/>
      <c r="U3198" s="1"/>
      <c r="V3198" s="1"/>
      <c r="W3198" s="1"/>
      <c r="X3198" s="1"/>
      <c r="Y3198" s="1"/>
      <c r="Z3198" s="102"/>
      <c r="AA3198" s="102"/>
      <c r="AB3198" s="1"/>
      <c r="AC3198" s="1"/>
      <c r="AD3198" s="1"/>
      <c r="AE3198" s="1"/>
      <c r="AF3198" s="1"/>
      <c r="AG3198" s="1"/>
    </row>
    <row r="3199" ht="15.75" customHeight="1">
      <c r="A3199" s="1"/>
      <c r="B3199" s="1"/>
      <c r="C3199" s="1"/>
      <c r="D3199" s="1"/>
      <c r="E3199" s="1"/>
      <c r="F3199" s="1"/>
      <c r="G3199" s="1"/>
      <c r="H3199" s="1"/>
      <c r="I3199" s="1"/>
      <c r="J3199" s="1"/>
      <c r="K3199" s="102" t="s">
        <v>405</v>
      </c>
      <c r="L3199" s="102" t="str">
        <f t="shared" si="41"/>
        <v>J1a2a1a2d2b2b2c4b2b3~</v>
      </c>
      <c r="M3199" s="102"/>
      <c r="N3199" s="102" t="s">
        <v>5548</v>
      </c>
      <c r="O3199" s="105">
        <v>1.4610122E7</v>
      </c>
      <c r="P3199" s="105">
        <v>1.2498324E7</v>
      </c>
      <c r="Q3199" s="102" t="s">
        <v>2454</v>
      </c>
      <c r="S3199" s="1"/>
      <c r="T3199" s="1"/>
      <c r="U3199" s="1"/>
      <c r="V3199" s="1"/>
      <c r="W3199" s="1"/>
      <c r="X3199" s="1"/>
      <c r="Y3199" s="1"/>
      <c r="Z3199" s="102"/>
      <c r="AA3199" s="102"/>
      <c r="AB3199" s="1"/>
      <c r="AC3199" s="1"/>
      <c r="AD3199" s="1"/>
      <c r="AE3199" s="1"/>
      <c r="AF3199" s="1"/>
      <c r="AG3199" s="1"/>
    </row>
    <row r="3200" ht="15.75" customHeight="1">
      <c r="A3200" s="1"/>
      <c r="B3200" s="1"/>
      <c r="C3200" s="1"/>
      <c r="D3200" s="1"/>
      <c r="E3200" s="1"/>
      <c r="F3200" s="1"/>
      <c r="G3200" s="1"/>
      <c r="H3200" s="1"/>
      <c r="I3200" s="1"/>
      <c r="J3200" s="1"/>
      <c r="K3200" s="102" t="s">
        <v>5549</v>
      </c>
      <c r="L3200" s="102" t="str">
        <f>Q219</f>
        <v>J1a2a1a2d2b2b2c4c~</v>
      </c>
      <c r="M3200" s="102" t="s">
        <v>5550</v>
      </c>
      <c r="N3200" s="102" t="s">
        <v>5551</v>
      </c>
      <c r="O3200" s="105">
        <v>1.6701838E7</v>
      </c>
      <c r="P3200" s="105">
        <v>1.4589958E7</v>
      </c>
      <c r="Q3200" s="102" t="s">
        <v>2468</v>
      </c>
      <c r="S3200" s="1"/>
      <c r="T3200" s="1"/>
      <c r="U3200" s="1"/>
      <c r="V3200" s="1"/>
      <c r="W3200" s="1"/>
      <c r="X3200" s="1"/>
      <c r="Y3200" s="1"/>
      <c r="Z3200" s="102"/>
      <c r="AA3200" s="102"/>
      <c r="AB3200" s="1"/>
      <c r="AC3200" s="1"/>
      <c r="AD3200" s="1"/>
      <c r="AE3200" s="1"/>
      <c r="AF3200" s="1"/>
      <c r="AG3200" s="1"/>
    </row>
    <row r="3201" ht="15.75" customHeight="1">
      <c r="A3201" s="1"/>
      <c r="B3201" s="1"/>
      <c r="C3201" s="1"/>
      <c r="D3201" s="1"/>
      <c r="E3201" s="1"/>
      <c r="F3201" s="1"/>
      <c r="G3201" s="1"/>
      <c r="H3201" s="1"/>
      <c r="I3201" s="1"/>
      <c r="J3201" s="1"/>
      <c r="K3201" s="102" t="s">
        <v>5550</v>
      </c>
      <c r="L3201" s="102" t="str">
        <f>Q219</f>
        <v>J1a2a1a2d2b2b2c4c~</v>
      </c>
      <c r="M3201" s="102" t="s">
        <v>5549</v>
      </c>
      <c r="N3201" s="102" t="s">
        <v>5551</v>
      </c>
      <c r="O3201" s="105">
        <v>1.6701838E7</v>
      </c>
      <c r="P3201" s="105">
        <v>1.4589958E7</v>
      </c>
      <c r="Q3201" s="102" t="s">
        <v>2468</v>
      </c>
      <c r="S3201" s="1"/>
      <c r="T3201" s="1"/>
      <c r="U3201" s="1"/>
      <c r="V3201" s="1"/>
      <c r="W3201" s="1"/>
      <c r="X3201" s="1"/>
      <c r="Y3201" s="1"/>
      <c r="Z3201" s="102"/>
      <c r="AA3201" s="102"/>
      <c r="AB3201" s="1"/>
      <c r="AC3201" s="1"/>
      <c r="AD3201" s="1"/>
      <c r="AE3201" s="1"/>
      <c r="AF3201" s="1"/>
      <c r="AG3201" s="1"/>
    </row>
    <row r="3202" ht="15.75" customHeight="1">
      <c r="A3202" s="1"/>
      <c r="B3202" s="1"/>
      <c r="C3202" s="1"/>
      <c r="D3202" s="1"/>
      <c r="E3202" s="1"/>
      <c r="F3202" s="1"/>
      <c r="G3202" s="1"/>
      <c r="H3202" s="1"/>
      <c r="I3202" s="1"/>
      <c r="J3202" s="1"/>
      <c r="K3202" s="102" t="s">
        <v>5552</v>
      </c>
      <c r="L3202" s="102" t="str">
        <f>Q219</f>
        <v>J1a2a1a2d2b2b2c4c~</v>
      </c>
      <c r="M3202" s="102" t="s">
        <v>5553</v>
      </c>
      <c r="N3202" s="102" t="s">
        <v>5554</v>
      </c>
      <c r="O3202" s="105">
        <v>1.5843253E7</v>
      </c>
      <c r="P3202" s="105">
        <v>1.3731373E7</v>
      </c>
      <c r="Q3202" s="102" t="s">
        <v>2501</v>
      </c>
      <c r="S3202" s="1"/>
      <c r="T3202" s="1"/>
      <c r="U3202" s="1"/>
      <c r="V3202" s="1"/>
      <c r="W3202" s="1"/>
      <c r="X3202" s="1"/>
      <c r="Y3202" s="1"/>
      <c r="Z3202" s="102"/>
      <c r="AA3202" s="102"/>
      <c r="AB3202" s="1"/>
      <c r="AC3202" s="1"/>
      <c r="AD3202" s="1"/>
      <c r="AE3202" s="1"/>
      <c r="AF3202" s="1"/>
      <c r="AG3202" s="1"/>
    </row>
    <row r="3203" ht="15.75" customHeight="1">
      <c r="A3203" s="1"/>
      <c r="B3203" s="1"/>
      <c r="C3203" s="1"/>
      <c r="D3203" s="1"/>
      <c r="E3203" s="1"/>
      <c r="F3203" s="1"/>
      <c r="G3203" s="1"/>
      <c r="H3203" s="1"/>
      <c r="I3203" s="1"/>
      <c r="J3203" s="1"/>
      <c r="K3203" s="102" t="s">
        <v>5553</v>
      </c>
      <c r="L3203" s="102" t="str">
        <f>Q219</f>
        <v>J1a2a1a2d2b2b2c4c~</v>
      </c>
      <c r="M3203" s="102" t="s">
        <v>5552</v>
      </c>
      <c r="N3203" s="102" t="s">
        <v>5554</v>
      </c>
      <c r="O3203" s="105">
        <v>1.5843253E7</v>
      </c>
      <c r="P3203" s="105">
        <v>1.3731373E7</v>
      </c>
      <c r="Q3203" s="102" t="s">
        <v>2501</v>
      </c>
      <c r="S3203" s="1"/>
      <c r="T3203" s="1"/>
      <c r="U3203" s="1"/>
      <c r="V3203" s="1"/>
      <c r="W3203" s="1"/>
      <c r="X3203" s="1"/>
      <c r="Y3203" s="1"/>
      <c r="Z3203" s="102"/>
      <c r="AA3203" s="102"/>
      <c r="AB3203" s="1"/>
      <c r="AC3203" s="1"/>
      <c r="AD3203" s="1"/>
      <c r="AE3203" s="1"/>
      <c r="AF3203" s="1"/>
      <c r="AG3203" s="1"/>
    </row>
    <row r="3204" ht="15.75" customHeight="1">
      <c r="A3204" s="1"/>
      <c r="B3204" s="1"/>
      <c r="C3204" s="1"/>
      <c r="D3204" s="1"/>
      <c r="E3204" s="1"/>
      <c r="F3204" s="1"/>
      <c r="G3204" s="1"/>
      <c r="H3204" s="1"/>
      <c r="I3204" s="1"/>
      <c r="J3204" s="1"/>
      <c r="K3204" s="102" t="s">
        <v>5555</v>
      </c>
      <c r="L3204" s="102" t="str">
        <f>Q219</f>
        <v>J1a2a1a2d2b2b2c4c~</v>
      </c>
      <c r="M3204" s="102" t="s">
        <v>5556</v>
      </c>
      <c r="N3204" s="102" t="s">
        <v>5557</v>
      </c>
      <c r="O3204" s="105">
        <v>2.1999894E7</v>
      </c>
      <c r="P3204" s="105">
        <v>1.9838008E7</v>
      </c>
      <c r="Q3204" s="102" t="s">
        <v>2432</v>
      </c>
      <c r="S3204" s="1"/>
      <c r="T3204" s="1"/>
      <c r="U3204" s="1"/>
      <c r="V3204" s="1"/>
      <c r="W3204" s="1"/>
      <c r="X3204" s="1"/>
      <c r="Y3204" s="1"/>
      <c r="Z3204" s="102"/>
      <c r="AA3204" s="102"/>
      <c r="AB3204" s="1"/>
      <c r="AC3204" s="1"/>
      <c r="AD3204" s="1"/>
      <c r="AE3204" s="1"/>
      <c r="AF3204" s="1"/>
      <c r="AG3204" s="1"/>
    </row>
    <row r="3205" ht="15.75" customHeight="1">
      <c r="A3205" s="1"/>
      <c r="B3205" s="1"/>
      <c r="C3205" s="1"/>
      <c r="D3205" s="1"/>
      <c r="E3205" s="1"/>
      <c r="F3205" s="1"/>
      <c r="G3205" s="1"/>
      <c r="H3205" s="1"/>
      <c r="I3205" s="1"/>
      <c r="J3205" s="1"/>
      <c r="K3205" s="102" t="s">
        <v>5558</v>
      </c>
      <c r="L3205" s="102" t="str">
        <f>Q219</f>
        <v>J1a2a1a2d2b2b2c4c~</v>
      </c>
      <c r="M3205" s="102" t="s">
        <v>5559</v>
      </c>
      <c r="N3205" s="102" t="s">
        <v>5557</v>
      </c>
      <c r="O3205" s="105">
        <v>2.1999894E7</v>
      </c>
      <c r="P3205" s="105">
        <v>1.9838008E7</v>
      </c>
      <c r="Q3205" s="102" t="s">
        <v>2432</v>
      </c>
      <c r="S3205" s="1"/>
      <c r="T3205" s="1"/>
      <c r="U3205" s="1"/>
      <c r="V3205" s="1"/>
      <c r="W3205" s="1"/>
      <c r="X3205" s="1"/>
      <c r="Y3205" s="1"/>
      <c r="Z3205" s="102"/>
      <c r="AA3205" s="102"/>
      <c r="AB3205" s="1"/>
      <c r="AC3205" s="1"/>
      <c r="AD3205" s="1"/>
      <c r="AE3205" s="1"/>
      <c r="AF3205" s="1"/>
      <c r="AG3205" s="1"/>
    </row>
    <row r="3206" ht="15.75" customHeight="1">
      <c r="A3206" s="1"/>
      <c r="B3206" s="1"/>
      <c r="C3206" s="1"/>
      <c r="D3206" s="1"/>
      <c r="E3206" s="1"/>
      <c r="F3206" s="1"/>
      <c r="G3206" s="1"/>
      <c r="H3206" s="1"/>
      <c r="I3206" s="1"/>
      <c r="J3206" s="1"/>
      <c r="K3206" s="102" t="s">
        <v>5560</v>
      </c>
      <c r="L3206" s="102" t="str">
        <f>Q219</f>
        <v>J1a2a1a2d2b2b2c4c~</v>
      </c>
      <c r="M3206" s="102" t="s">
        <v>5561</v>
      </c>
      <c r="N3206" s="102" t="s">
        <v>5557</v>
      </c>
      <c r="O3206" s="105">
        <v>2.1999894E7</v>
      </c>
      <c r="P3206" s="105">
        <v>1.9838008E7</v>
      </c>
      <c r="Q3206" s="102" t="s">
        <v>2432</v>
      </c>
      <c r="S3206" s="1"/>
      <c r="T3206" s="1"/>
      <c r="U3206" s="1"/>
      <c r="V3206" s="1"/>
      <c r="W3206" s="1"/>
      <c r="X3206" s="1"/>
      <c r="Y3206" s="1"/>
      <c r="Z3206" s="102"/>
      <c r="AA3206" s="102"/>
      <c r="AB3206" s="1"/>
      <c r="AC3206" s="1"/>
      <c r="AD3206" s="1"/>
      <c r="AE3206" s="1"/>
      <c r="AF3206" s="1"/>
      <c r="AG3206" s="1"/>
    </row>
    <row r="3207" ht="15.75" customHeight="1">
      <c r="A3207" s="1"/>
      <c r="B3207" s="1"/>
      <c r="C3207" s="1"/>
      <c r="D3207" s="1"/>
      <c r="E3207" s="1"/>
      <c r="F3207" s="1"/>
      <c r="G3207" s="1"/>
      <c r="H3207" s="1"/>
      <c r="I3207" s="1"/>
      <c r="J3207" s="1"/>
      <c r="K3207" s="102" t="s">
        <v>5562</v>
      </c>
      <c r="L3207" s="102" t="str">
        <f>Q219</f>
        <v>J1a2a1a2d2b2b2c4c~</v>
      </c>
      <c r="M3207" s="102"/>
      <c r="N3207" s="102" t="s">
        <v>5563</v>
      </c>
      <c r="O3207" s="105">
        <v>8210480.0</v>
      </c>
      <c r="P3207" s="105">
        <v>8342439.0</v>
      </c>
      <c r="Q3207" s="102" t="s">
        <v>2563</v>
      </c>
      <c r="S3207" s="1"/>
      <c r="T3207" s="1"/>
      <c r="U3207" s="1"/>
      <c r="V3207" s="1"/>
      <c r="W3207" s="1"/>
      <c r="X3207" s="1"/>
      <c r="Y3207" s="1"/>
      <c r="Z3207" s="102"/>
      <c r="AA3207" s="102"/>
      <c r="AB3207" s="1"/>
      <c r="AC3207" s="1"/>
      <c r="AD3207" s="1"/>
      <c r="AE3207" s="1"/>
      <c r="AF3207" s="1"/>
      <c r="AG3207" s="1"/>
    </row>
    <row r="3208" ht="15.75" customHeight="1">
      <c r="A3208" s="1"/>
      <c r="B3208" s="1"/>
      <c r="C3208" s="1"/>
      <c r="D3208" s="1"/>
      <c r="E3208" s="1"/>
      <c r="F3208" s="1"/>
      <c r="G3208" s="1"/>
      <c r="H3208" s="1"/>
      <c r="I3208" s="1"/>
      <c r="J3208" s="1"/>
      <c r="K3208" s="102" t="s">
        <v>5564</v>
      </c>
      <c r="L3208" s="102" t="str">
        <f>Q219</f>
        <v>J1a2a1a2d2b2b2c4c~</v>
      </c>
      <c r="M3208" s="102"/>
      <c r="N3208" s="102" t="s">
        <v>5565</v>
      </c>
      <c r="O3208" s="105">
        <v>9021198.0</v>
      </c>
      <c r="P3208" s="105">
        <v>9183589.0</v>
      </c>
      <c r="Q3208" s="102" t="s">
        <v>2501</v>
      </c>
      <c r="S3208" s="1"/>
      <c r="T3208" s="1"/>
      <c r="U3208" s="1"/>
      <c r="V3208" s="1"/>
      <c r="W3208" s="1"/>
      <c r="X3208" s="1"/>
      <c r="Y3208" s="1"/>
      <c r="Z3208" s="102"/>
      <c r="AA3208" s="102"/>
      <c r="AB3208" s="1"/>
      <c r="AC3208" s="1"/>
      <c r="AD3208" s="1"/>
      <c r="AE3208" s="1"/>
      <c r="AF3208" s="1"/>
      <c r="AG3208" s="1"/>
    </row>
    <row r="3209" ht="15.75" customHeight="1">
      <c r="A3209" s="1"/>
      <c r="B3209" s="1"/>
      <c r="C3209" s="1"/>
      <c r="D3209" s="1"/>
      <c r="E3209" s="1"/>
      <c r="F3209" s="1"/>
      <c r="G3209" s="1"/>
      <c r="H3209" s="1"/>
      <c r="I3209" s="1"/>
      <c r="J3209" s="1"/>
      <c r="K3209" s="102" t="s">
        <v>5566</v>
      </c>
      <c r="L3209" s="102" t="str">
        <f>R220</f>
        <v>J1a2a1a2d2b2b2c4c1~</v>
      </c>
      <c r="M3209" s="102" t="s">
        <v>5567</v>
      </c>
      <c r="N3209" s="102"/>
      <c r="O3209" s="105">
        <v>1.8191249E7</v>
      </c>
      <c r="P3209" s="105">
        <v>1.6079369E7</v>
      </c>
      <c r="Q3209" s="102" t="s">
        <v>2468</v>
      </c>
      <c r="S3209" s="1"/>
      <c r="T3209" s="1"/>
      <c r="U3209" s="1"/>
      <c r="V3209" s="1"/>
      <c r="W3209" s="1"/>
      <c r="X3209" s="1"/>
      <c r="Y3209" s="1"/>
      <c r="Z3209" s="102"/>
      <c r="AA3209" s="102"/>
      <c r="AB3209" s="1"/>
      <c r="AC3209" s="1"/>
      <c r="AD3209" s="1"/>
      <c r="AE3209" s="1"/>
      <c r="AF3209" s="1"/>
      <c r="AG3209" s="1"/>
    </row>
    <row r="3210" ht="15.75" customHeight="1">
      <c r="A3210" s="1"/>
      <c r="B3210" s="1"/>
      <c r="C3210" s="1"/>
      <c r="D3210" s="1"/>
      <c r="E3210" s="1"/>
      <c r="F3210" s="1"/>
      <c r="G3210" s="1"/>
      <c r="H3210" s="1"/>
      <c r="I3210" s="1"/>
      <c r="J3210" s="1"/>
      <c r="K3210" s="102" t="s">
        <v>5567</v>
      </c>
      <c r="L3210" s="102" t="str">
        <f>R220</f>
        <v>J1a2a1a2d2b2b2c4c1~</v>
      </c>
      <c r="M3210" s="102" t="s">
        <v>5566</v>
      </c>
      <c r="N3210" s="102"/>
      <c r="O3210" s="105">
        <v>1.8191249E7</v>
      </c>
      <c r="P3210" s="105">
        <v>1.6079369E7</v>
      </c>
      <c r="Q3210" s="102" t="s">
        <v>2468</v>
      </c>
      <c r="S3210" s="1"/>
      <c r="T3210" s="1"/>
      <c r="U3210" s="1"/>
      <c r="V3210" s="1"/>
      <c r="W3210" s="1"/>
      <c r="X3210" s="1"/>
      <c r="Y3210" s="1"/>
      <c r="Z3210" s="102"/>
      <c r="AA3210" s="102"/>
      <c r="AB3210" s="1"/>
      <c r="AC3210" s="1"/>
      <c r="AD3210" s="1"/>
      <c r="AE3210" s="1"/>
      <c r="AF3210" s="1"/>
      <c r="AG3210" s="1"/>
    </row>
    <row r="3211" ht="15.75" customHeight="1">
      <c r="A3211" s="1"/>
      <c r="B3211" s="1"/>
      <c r="C3211" s="1"/>
      <c r="D3211" s="1"/>
      <c r="E3211" s="1"/>
      <c r="F3211" s="1"/>
      <c r="G3211" s="1"/>
      <c r="H3211" s="1"/>
      <c r="I3211" s="1"/>
      <c r="J3211" s="1"/>
      <c r="K3211" s="102" t="s">
        <v>5568</v>
      </c>
      <c r="L3211" s="102" t="str">
        <f>R220</f>
        <v>J1a2a1a2d2b2b2c4c1~</v>
      </c>
      <c r="M3211" s="102"/>
      <c r="N3211" s="102"/>
      <c r="O3211" s="105">
        <v>2888489.0</v>
      </c>
      <c r="P3211" s="105">
        <v>3020448.0</v>
      </c>
      <c r="Q3211" s="102" t="s">
        <v>2514</v>
      </c>
      <c r="S3211" s="1"/>
      <c r="T3211" s="1"/>
      <c r="U3211" s="1"/>
      <c r="V3211" s="1"/>
      <c r="W3211" s="1"/>
      <c r="X3211" s="1"/>
      <c r="Y3211" s="1"/>
      <c r="Z3211" s="102"/>
      <c r="AA3211" s="102"/>
      <c r="AB3211" s="1"/>
      <c r="AC3211" s="1"/>
      <c r="AD3211" s="1"/>
      <c r="AE3211" s="1"/>
      <c r="AF3211" s="1"/>
      <c r="AG3211" s="1"/>
    </row>
    <row r="3212" ht="15.75" customHeight="1">
      <c r="A3212" s="1"/>
      <c r="B3212" s="1"/>
      <c r="C3212" s="1"/>
      <c r="D3212" s="1"/>
      <c r="E3212" s="1"/>
      <c r="F3212" s="1"/>
      <c r="G3212" s="1"/>
      <c r="H3212" s="1"/>
      <c r="I3212" s="1"/>
      <c r="J3212" s="1"/>
      <c r="K3212" s="102" t="s">
        <v>5569</v>
      </c>
      <c r="L3212" s="102" t="str">
        <f>R220</f>
        <v>J1a2a1a2d2b2b2c4c1~</v>
      </c>
      <c r="M3212" s="102"/>
      <c r="N3212" s="102"/>
      <c r="O3212" s="105">
        <v>8083351.0</v>
      </c>
      <c r="P3212" s="105">
        <v>8215310.0</v>
      </c>
      <c r="Q3212" s="102" t="s">
        <v>2501</v>
      </c>
      <c r="S3212" s="1"/>
      <c r="T3212" s="1"/>
      <c r="U3212" s="1"/>
      <c r="V3212" s="1"/>
      <c r="W3212" s="1"/>
      <c r="X3212" s="1"/>
      <c r="Y3212" s="1"/>
      <c r="Z3212" s="102"/>
      <c r="AA3212" s="102"/>
      <c r="AB3212" s="1"/>
      <c r="AC3212" s="1"/>
      <c r="AD3212" s="1"/>
      <c r="AE3212" s="1"/>
      <c r="AF3212" s="1"/>
      <c r="AG3212" s="1"/>
    </row>
    <row r="3213" ht="15.75" customHeight="1">
      <c r="A3213" s="1"/>
      <c r="B3213" s="1"/>
      <c r="C3213" s="1"/>
      <c r="D3213" s="1"/>
      <c r="E3213" s="1"/>
      <c r="F3213" s="1"/>
      <c r="G3213" s="1"/>
      <c r="H3213" s="1"/>
      <c r="I3213" s="1"/>
      <c r="J3213" s="1"/>
      <c r="K3213" s="102" t="s">
        <v>5570</v>
      </c>
      <c r="L3213" s="102" t="str">
        <f>R220</f>
        <v>J1a2a1a2d2b2b2c4c1~</v>
      </c>
      <c r="M3213" s="102"/>
      <c r="N3213" s="102"/>
      <c r="O3213" s="105">
        <v>8900045.0</v>
      </c>
      <c r="P3213" s="105">
        <v>9032004.0</v>
      </c>
      <c r="Q3213" s="102" t="s">
        <v>2529</v>
      </c>
      <c r="S3213" s="1"/>
      <c r="T3213" s="1"/>
      <c r="U3213" s="1"/>
      <c r="V3213" s="1"/>
      <c r="W3213" s="1"/>
      <c r="X3213" s="1"/>
      <c r="Y3213" s="1"/>
      <c r="Z3213" s="102"/>
      <c r="AA3213" s="102"/>
      <c r="AB3213" s="1"/>
      <c r="AC3213" s="1"/>
      <c r="AD3213" s="1"/>
      <c r="AE3213" s="1"/>
      <c r="AF3213" s="1"/>
      <c r="AG3213" s="1"/>
    </row>
    <row r="3214" ht="15.75" customHeight="1">
      <c r="A3214" s="1"/>
      <c r="B3214" s="1"/>
      <c r="C3214" s="1"/>
      <c r="D3214" s="1"/>
      <c r="E3214" s="1"/>
      <c r="F3214" s="1"/>
      <c r="G3214" s="1"/>
      <c r="H3214" s="1"/>
      <c r="I3214" s="1"/>
      <c r="J3214" s="1"/>
      <c r="K3214" s="102" t="s">
        <v>5571</v>
      </c>
      <c r="L3214" s="102" t="str">
        <f>R220</f>
        <v>J1a2a1a2d2b2b2c4c1~</v>
      </c>
      <c r="M3214" s="102"/>
      <c r="N3214" s="102"/>
      <c r="O3214" s="105">
        <v>1.4854136E7</v>
      </c>
      <c r="P3214" s="105">
        <v>1.2742202E7</v>
      </c>
      <c r="Q3214" s="102" t="s">
        <v>2439</v>
      </c>
      <c r="S3214" s="1"/>
      <c r="T3214" s="1"/>
      <c r="U3214" s="1"/>
      <c r="V3214" s="1"/>
      <c r="W3214" s="1"/>
      <c r="X3214" s="1"/>
      <c r="Y3214" s="1"/>
      <c r="Z3214" s="102"/>
      <c r="AA3214" s="102"/>
      <c r="AB3214" s="1"/>
      <c r="AC3214" s="1"/>
      <c r="AD3214" s="1"/>
      <c r="AE3214" s="1"/>
      <c r="AF3214" s="1"/>
      <c r="AG3214" s="1"/>
    </row>
    <row r="3215" ht="15.75" customHeight="1">
      <c r="A3215" s="1"/>
      <c r="B3215" s="1"/>
      <c r="C3215" s="1"/>
      <c r="D3215" s="1"/>
      <c r="E3215" s="1"/>
      <c r="F3215" s="1"/>
      <c r="G3215" s="1"/>
      <c r="H3215" s="1"/>
      <c r="I3215" s="1"/>
      <c r="J3215" s="1"/>
      <c r="K3215" s="102" t="s">
        <v>5572</v>
      </c>
      <c r="L3215" s="102" t="str">
        <f>R220</f>
        <v>J1a2a1a2d2b2b2c4c1~</v>
      </c>
      <c r="M3215" s="102"/>
      <c r="N3215" s="102"/>
      <c r="O3215" s="105">
        <v>1.6897952E7</v>
      </c>
      <c r="P3215" s="105">
        <v>1.4786072E7</v>
      </c>
      <c r="Q3215" s="102" t="s">
        <v>2501</v>
      </c>
      <c r="S3215" s="1"/>
      <c r="T3215" s="1"/>
      <c r="U3215" s="1"/>
      <c r="V3215" s="1"/>
      <c r="W3215" s="1"/>
      <c r="X3215" s="1"/>
      <c r="Y3215" s="1"/>
      <c r="Z3215" s="102"/>
      <c r="AA3215" s="102"/>
      <c r="AB3215" s="1"/>
      <c r="AC3215" s="1"/>
      <c r="AD3215" s="1"/>
      <c r="AE3215" s="1"/>
      <c r="AF3215" s="1"/>
      <c r="AG3215" s="1"/>
    </row>
    <row r="3216" ht="15.75" customHeight="1">
      <c r="A3216" s="1"/>
      <c r="B3216" s="1"/>
      <c r="C3216" s="1"/>
      <c r="D3216" s="1"/>
      <c r="E3216" s="1"/>
      <c r="F3216" s="1"/>
      <c r="G3216" s="1"/>
      <c r="H3216" s="1"/>
      <c r="I3216" s="1"/>
      <c r="J3216" s="1"/>
      <c r="K3216" s="102" t="s">
        <v>5573</v>
      </c>
      <c r="L3216" s="102" t="str">
        <f>R220</f>
        <v>J1a2a1a2d2b2b2c4c1~</v>
      </c>
      <c r="M3216" s="102"/>
      <c r="N3216" s="102"/>
      <c r="O3216" s="105">
        <v>2.3561505E7</v>
      </c>
      <c r="P3216" s="105">
        <v>2.1399619E7</v>
      </c>
      <c r="Q3216" s="102" t="s">
        <v>2439</v>
      </c>
      <c r="S3216" s="1"/>
      <c r="T3216" s="1"/>
      <c r="U3216" s="1"/>
      <c r="V3216" s="1"/>
      <c r="W3216" s="1"/>
      <c r="X3216" s="1"/>
      <c r="Y3216" s="1"/>
      <c r="Z3216" s="102"/>
      <c r="AA3216" s="102"/>
      <c r="AB3216" s="1"/>
      <c r="AC3216" s="1"/>
      <c r="AD3216" s="1"/>
      <c r="AE3216" s="1"/>
      <c r="AF3216" s="1"/>
      <c r="AG3216" s="1"/>
    </row>
    <row r="3217" ht="15.75" customHeight="1">
      <c r="A3217" s="1"/>
      <c r="B3217" s="1"/>
      <c r="C3217" s="1"/>
      <c r="D3217" s="1"/>
      <c r="E3217" s="1"/>
      <c r="F3217" s="1"/>
      <c r="G3217" s="1"/>
      <c r="H3217" s="1"/>
      <c r="I3217" s="1"/>
      <c r="J3217" s="1"/>
      <c r="K3217" s="102" t="s">
        <v>5574</v>
      </c>
      <c r="L3217" s="102" t="str">
        <f>R220</f>
        <v>J1a2a1a2d2b2b2c4c1~</v>
      </c>
      <c r="M3217" s="102"/>
      <c r="N3217" s="102"/>
      <c r="O3217" s="105">
        <v>2.3594506E7</v>
      </c>
      <c r="P3217" s="105">
        <v>2.143262E7</v>
      </c>
      <c r="Q3217" s="102" t="s">
        <v>2468</v>
      </c>
      <c r="S3217" s="1"/>
      <c r="T3217" s="1"/>
      <c r="U3217" s="1"/>
      <c r="V3217" s="1"/>
      <c r="W3217" s="1"/>
      <c r="X3217" s="1"/>
      <c r="Y3217" s="1"/>
      <c r="Z3217" s="102"/>
      <c r="AA3217" s="102"/>
      <c r="AB3217" s="1"/>
      <c r="AC3217" s="1"/>
      <c r="AD3217" s="1"/>
      <c r="AE3217" s="1"/>
      <c r="AF3217" s="1"/>
      <c r="AG3217" s="1"/>
    </row>
    <row r="3218" ht="15.75" customHeight="1">
      <c r="A3218" s="1"/>
      <c r="B3218" s="1"/>
      <c r="C3218" s="1"/>
      <c r="D3218" s="1"/>
      <c r="E3218" s="1"/>
      <c r="F3218" s="1"/>
      <c r="G3218" s="1"/>
      <c r="H3218" s="1"/>
      <c r="I3218" s="1"/>
      <c r="J3218" s="1"/>
      <c r="K3218" s="102" t="s">
        <v>5575</v>
      </c>
      <c r="L3218" s="102" t="str">
        <f t="shared" ref="L3218:L3219" si="42">R220</f>
        <v>J1a2a1a2d2b2b2c4c1~</v>
      </c>
      <c r="M3218" s="102"/>
      <c r="N3218" s="102"/>
      <c r="O3218" s="105">
        <v>1.4807216E7</v>
      </c>
      <c r="P3218" s="105">
        <v>1.2695287E7</v>
      </c>
      <c r="Q3218" s="102" t="s">
        <v>2423</v>
      </c>
      <c r="S3218" s="1"/>
      <c r="T3218" s="1"/>
      <c r="U3218" s="1"/>
      <c r="V3218" s="1"/>
      <c r="W3218" s="1"/>
      <c r="X3218" s="1"/>
      <c r="Y3218" s="1"/>
      <c r="Z3218" s="102"/>
      <c r="AA3218" s="102"/>
      <c r="AB3218" s="1"/>
      <c r="AC3218" s="1"/>
      <c r="AD3218" s="1"/>
      <c r="AE3218" s="1"/>
      <c r="AF3218" s="1"/>
      <c r="AG3218" s="1"/>
    </row>
    <row r="3219" ht="15.75" customHeight="1">
      <c r="A3219" s="1"/>
      <c r="B3219" s="1"/>
      <c r="C3219" s="1"/>
      <c r="D3219" s="1"/>
      <c r="E3219" s="1"/>
      <c r="F3219" s="1"/>
      <c r="G3219" s="1"/>
      <c r="H3219" s="1"/>
      <c r="I3219" s="1"/>
      <c r="J3219" s="1"/>
      <c r="K3219" s="102" t="s">
        <v>5576</v>
      </c>
      <c r="L3219" s="102" t="str">
        <f t="shared" si="42"/>
        <v>J1a2a1a2d2b2b2c4c2~</v>
      </c>
      <c r="M3219" s="102" t="s">
        <v>5577</v>
      </c>
      <c r="N3219" s="102" t="s">
        <v>5578</v>
      </c>
      <c r="O3219" s="105">
        <v>6763234.0</v>
      </c>
      <c r="P3219" s="105">
        <v>6895193.0</v>
      </c>
      <c r="Q3219" s="102" t="s">
        <v>2468</v>
      </c>
      <c r="S3219" s="1"/>
      <c r="T3219" s="1"/>
      <c r="U3219" s="1"/>
      <c r="V3219" s="1"/>
      <c r="W3219" s="1"/>
      <c r="X3219" s="1"/>
      <c r="Y3219" s="1"/>
      <c r="Z3219" s="102"/>
      <c r="AA3219" s="102"/>
      <c r="AB3219" s="1"/>
      <c r="AC3219" s="1"/>
      <c r="AD3219" s="1"/>
      <c r="AE3219" s="1"/>
      <c r="AF3219" s="1"/>
      <c r="AG3219" s="1"/>
    </row>
    <row r="3220" ht="15.75" customHeight="1">
      <c r="A3220" s="1"/>
      <c r="B3220" s="1"/>
      <c r="C3220" s="1"/>
      <c r="D3220" s="1"/>
      <c r="E3220" s="1"/>
      <c r="F3220" s="1"/>
      <c r="G3220" s="1"/>
      <c r="H3220" s="1"/>
      <c r="I3220" s="1"/>
      <c r="J3220" s="1"/>
      <c r="K3220" s="102" t="s">
        <v>5577</v>
      </c>
      <c r="L3220" s="102" t="str">
        <f>R221</f>
        <v>J1a2a1a2d2b2b2c4c2~</v>
      </c>
      <c r="M3220" s="102" t="s">
        <v>5576</v>
      </c>
      <c r="N3220" s="102" t="s">
        <v>5578</v>
      </c>
      <c r="O3220" s="105">
        <v>6763234.0</v>
      </c>
      <c r="P3220" s="105">
        <v>6895193.0</v>
      </c>
      <c r="Q3220" s="102" t="s">
        <v>2468</v>
      </c>
      <c r="S3220" s="1"/>
      <c r="T3220" s="1"/>
      <c r="U3220" s="1"/>
      <c r="V3220" s="1"/>
      <c r="W3220" s="1"/>
      <c r="X3220" s="1"/>
      <c r="Y3220" s="1"/>
      <c r="Z3220" s="102"/>
      <c r="AA3220" s="102"/>
      <c r="AB3220" s="1"/>
      <c r="AC3220" s="1"/>
      <c r="AD3220" s="1"/>
      <c r="AE3220" s="1"/>
      <c r="AF3220" s="1"/>
      <c r="AG3220" s="1"/>
    </row>
    <row r="3221" ht="15.75" customHeight="1">
      <c r="A3221" s="1"/>
      <c r="B3221" s="1"/>
      <c r="C3221" s="1"/>
      <c r="D3221" s="1"/>
      <c r="E3221" s="1"/>
      <c r="F3221" s="1"/>
      <c r="G3221" s="1"/>
      <c r="H3221" s="1"/>
      <c r="I3221" s="1"/>
      <c r="J3221" s="1"/>
      <c r="K3221" s="102" t="s">
        <v>5579</v>
      </c>
      <c r="L3221" s="102" t="str">
        <f>S222</f>
        <v>J1a2a1a2d2b2b2c4c2a~</v>
      </c>
      <c r="M3221" s="102"/>
      <c r="N3221" s="102"/>
      <c r="O3221" s="105">
        <v>2.3019807E7</v>
      </c>
      <c r="P3221" s="105">
        <v>2.0857921E7</v>
      </c>
      <c r="Q3221" s="102" t="s">
        <v>2446</v>
      </c>
      <c r="S3221" s="1"/>
      <c r="T3221" s="1"/>
      <c r="U3221" s="1"/>
      <c r="V3221" s="1"/>
      <c r="W3221" s="1"/>
      <c r="X3221" s="1"/>
      <c r="Y3221" s="1"/>
      <c r="Z3221" s="102"/>
      <c r="AA3221" s="102"/>
      <c r="AB3221" s="1"/>
      <c r="AC3221" s="1"/>
      <c r="AD3221" s="1"/>
      <c r="AE3221" s="1"/>
      <c r="AF3221" s="1"/>
      <c r="AG3221" s="1"/>
    </row>
    <row r="3222" ht="15.75" customHeight="1">
      <c r="A3222" s="1"/>
      <c r="B3222" s="1"/>
      <c r="C3222" s="1"/>
      <c r="D3222" s="1"/>
      <c r="E3222" s="1"/>
      <c r="F3222" s="1"/>
      <c r="G3222" s="1"/>
      <c r="H3222" s="1"/>
      <c r="I3222" s="1"/>
      <c r="J3222" s="1"/>
      <c r="K3222" s="102" t="s">
        <v>5580</v>
      </c>
      <c r="L3222" s="102" t="str">
        <f>S222</f>
        <v>J1a2a1a2d2b2b2c4c2a~</v>
      </c>
      <c r="M3222" s="102"/>
      <c r="N3222" s="102"/>
      <c r="O3222" s="105">
        <v>2.340488E7</v>
      </c>
      <c r="P3222" s="105">
        <v>2.1242994E7</v>
      </c>
      <c r="Q3222" s="102" t="s">
        <v>2432</v>
      </c>
      <c r="S3222" s="1"/>
      <c r="T3222" s="1"/>
      <c r="U3222" s="1"/>
      <c r="V3222" s="1"/>
      <c r="W3222" s="1"/>
      <c r="X3222" s="1"/>
      <c r="Y3222" s="1"/>
      <c r="Z3222" s="102"/>
      <c r="AA3222" s="102"/>
      <c r="AB3222" s="1"/>
      <c r="AC3222" s="1"/>
      <c r="AD3222" s="1"/>
      <c r="AE3222" s="1"/>
      <c r="AF3222" s="1"/>
      <c r="AG3222" s="1"/>
    </row>
    <row r="3223" ht="15.75" customHeight="1">
      <c r="A3223" s="1"/>
      <c r="B3223" s="1"/>
      <c r="C3223" s="1"/>
      <c r="D3223" s="1"/>
      <c r="E3223" s="1"/>
      <c r="F3223" s="1"/>
      <c r="G3223" s="1"/>
      <c r="H3223" s="1"/>
      <c r="I3223" s="1"/>
      <c r="J3223" s="1"/>
      <c r="K3223" s="102" t="s">
        <v>415</v>
      </c>
      <c r="L3223" s="102" t="str">
        <f>T223</f>
        <v>J1a2a1a2d2b2b2c4c2a1~</v>
      </c>
      <c r="M3223" s="102"/>
      <c r="N3223" s="102"/>
      <c r="O3223" s="102">
        <v>1.9411085E7</v>
      </c>
      <c r="P3223" s="102">
        <v>1.7299205E7</v>
      </c>
      <c r="Q3223" s="102" t="s">
        <v>2529</v>
      </c>
      <c r="S3223" s="1"/>
      <c r="T3223" s="1"/>
      <c r="U3223" s="1"/>
      <c r="V3223" s="1"/>
      <c r="W3223" s="1"/>
      <c r="X3223" s="1"/>
      <c r="Y3223" s="1"/>
      <c r="Z3223" s="102">
        <v>1.9411085E7</v>
      </c>
      <c r="AA3223" s="102"/>
      <c r="AB3223" s="1"/>
      <c r="AC3223" s="1"/>
      <c r="AD3223" s="1"/>
      <c r="AE3223" s="1"/>
      <c r="AF3223" s="1"/>
      <c r="AG3223" s="1"/>
    </row>
    <row r="3224" ht="15.75" customHeight="1">
      <c r="A3224" s="1"/>
      <c r="B3224" s="1"/>
      <c r="C3224" s="1"/>
      <c r="D3224" s="1"/>
      <c r="E3224" s="1"/>
      <c r="F3224" s="1"/>
      <c r="G3224" s="1"/>
      <c r="H3224" s="1"/>
      <c r="I3224" s="1"/>
      <c r="J3224" s="1"/>
      <c r="K3224" s="102" t="s">
        <v>5581</v>
      </c>
      <c r="L3224" s="102" t="str">
        <f>U224</f>
        <v>J1a2a1a2d2b2b2c4c2a1a~</v>
      </c>
      <c r="M3224" s="102"/>
      <c r="N3224" s="102"/>
      <c r="O3224" s="105">
        <v>2696619.0</v>
      </c>
      <c r="P3224" s="105">
        <v>2828578.0</v>
      </c>
      <c r="Q3224" s="102" t="s">
        <v>2468</v>
      </c>
      <c r="S3224" s="1"/>
      <c r="T3224" s="1"/>
      <c r="U3224" s="1"/>
      <c r="V3224" s="1"/>
      <c r="W3224" s="1"/>
      <c r="X3224" s="1"/>
      <c r="Y3224" s="1"/>
      <c r="Z3224" s="102"/>
      <c r="AA3224" s="102"/>
      <c r="AB3224" s="1"/>
      <c r="AC3224" s="1"/>
      <c r="AD3224" s="1"/>
      <c r="AE3224" s="1"/>
      <c r="AF3224" s="1"/>
      <c r="AG3224" s="1"/>
    </row>
    <row r="3225" ht="15.75" customHeight="1">
      <c r="A3225" s="1"/>
      <c r="B3225" s="1"/>
      <c r="C3225" s="1"/>
      <c r="D3225" s="1"/>
      <c r="E3225" s="1"/>
      <c r="F3225" s="1"/>
      <c r="G3225" s="1"/>
      <c r="H3225" s="1"/>
      <c r="I3225" s="1"/>
      <c r="J3225" s="1"/>
      <c r="K3225" s="102" t="s">
        <v>5582</v>
      </c>
      <c r="L3225" s="102" t="str">
        <f>U224</f>
        <v>J1a2a1a2d2b2b2c4c2a1a~</v>
      </c>
      <c r="M3225" s="102"/>
      <c r="N3225" s="102"/>
      <c r="O3225" s="105">
        <v>1.5689587E7</v>
      </c>
      <c r="P3225" s="105">
        <v>1.3577707E7</v>
      </c>
      <c r="Q3225" s="102" t="s">
        <v>2468</v>
      </c>
      <c r="S3225" s="1"/>
      <c r="T3225" s="1"/>
      <c r="U3225" s="1"/>
      <c r="V3225" s="1"/>
      <c r="W3225" s="1"/>
      <c r="X3225" s="1"/>
      <c r="Y3225" s="1"/>
      <c r="Z3225" s="102"/>
      <c r="AA3225" s="102"/>
      <c r="AB3225" s="1"/>
      <c r="AC3225" s="1"/>
      <c r="AD3225" s="1"/>
      <c r="AE3225" s="1"/>
      <c r="AF3225" s="1"/>
      <c r="AG3225" s="1"/>
    </row>
    <row r="3226" ht="15.75" customHeight="1">
      <c r="A3226" s="1"/>
      <c r="B3226" s="1"/>
      <c r="C3226" s="1"/>
      <c r="D3226" s="1"/>
      <c r="E3226" s="1"/>
      <c r="F3226" s="1"/>
      <c r="G3226" s="1"/>
      <c r="H3226" s="1"/>
      <c r="I3226" s="1"/>
      <c r="J3226" s="1"/>
      <c r="K3226" s="102" t="s">
        <v>5583</v>
      </c>
      <c r="L3226" s="102" t="str">
        <f>V225</f>
        <v>J1a2a1a2d2b2b2c4c2a1a1~</v>
      </c>
      <c r="M3226" s="102"/>
      <c r="N3226" s="102"/>
      <c r="O3226" s="105">
        <v>8440143.0</v>
      </c>
      <c r="P3226" s="105">
        <v>8572102.0</v>
      </c>
      <c r="Q3226" s="102" t="s">
        <v>2454</v>
      </c>
      <c r="S3226" s="1"/>
      <c r="T3226" s="1"/>
      <c r="U3226" s="1"/>
      <c r="V3226" s="1"/>
      <c r="W3226" s="1"/>
      <c r="X3226" s="1"/>
      <c r="Y3226" s="1"/>
      <c r="Z3226" s="102"/>
      <c r="AA3226" s="102"/>
      <c r="AB3226" s="1"/>
      <c r="AC3226" s="1"/>
      <c r="AD3226" s="1"/>
      <c r="AE3226" s="1"/>
      <c r="AF3226" s="1"/>
      <c r="AG3226" s="1"/>
    </row>
    <row r="3227" ht="15.75" customHeight="1">
      <c r="A3227" s="1"/>
      <c r="B3227" s="1"/>
      <c r="C3227" s="1"/>
      <c r="D3227" s="1"/>
      <c r="E3227" s="1"/>
      <c r="F3227" s="1"/>
      <c r="G3227" s="1"/>
      <c r="H3227" s="1"/>
      <c r="I3227" s="1"/>
      <c r="J3227" s="1"/>
      <c r="K3227" s="102" t="s">
        <v>5584</v>
      </c>
      <c r="L3227" s="102" t="str">
        <f>V225</f>
        <v>J1a2a1a2d2b2b2c4c2a1a1~</v>
      </c>
      <c r="M3227" s="102"/>
      <c r="N3227" s="102"/>
      <c r="O3227" s="105">
        <v>8456958.0</v>
      </c>
      <c r="P3227" s="105">
        <v>8588917.0</v>
      </c>
      <c r="Q3227" s="102" t="s">
        <v>2468</v>
      </c>
      <c r="S3227" s="1"/>
      <c r="T3227" s="1"/>
      <c r="U3227" s="1"/>
      <c r="V3227" s="1"/>
      <c r="W3227" s="1"/>
      <c r="X3227" s="1"/>
      <c r="Y3227" s="1"/>
      <c r="Z3227" s="102"/>
      <c r="AA3227" s="102"/>
      <c r="AB3227" s="1"/>
      <c r="AC3227" s="1"/>
      <c r="AD3227" s="1"/>
      <c r="AE3227" s="1"/>
      <c r="AF3227" s="1"/>
      <c r="AG3227" s="1"/>
    </row>
    <row r="3228" ht="15.75" customHeight="1">
      <c r="A3228" s="1"/>
      <c r="B3228" s="1"/>
      <c r="C3228" s="1"/>
      <c r="D3228" s="1"/>
      <c r="E3228" s="1"/>
      <c r="F3228" s="1"/>
      <c r="G3228" s="1"/>
      <c r="H3228" s="1"/>
      <c r="I3228" s="1"/>
      <c r="J3228" s="1"/>
      <c r="K3228" s="102" t="s">
        <v>5585</v>
      </c>
      <c r="L3228" s="102" t="str">
        <f>V225</f>
        <v>J1a2a1a2d2b2b2c4c2a1a1~</v>
      </c>
      <c r="M3228" s="102"/>
      <c r="N3228" s="102"/>
      <c r="O3228" s="105">
        <v>1.40451E7</v>
      </c>
      <c r="P3228" s="105">
        <v>1.1924394E7</v>
      </c>
      <c r="Q3228" s="102" t="s">
        <v>2563</v>
      </c>
      <c r="S3228" s="1"/>
      <c r="T3228" s="1"/>
      <c r="U3228" s="1"/>
      <c r="V3228" s="1"/>
      <c r="W3228" s="1"/>
      <c r="X3228" s="1"/>
      <c r="Y3228" s="1"/>
      <c r="Z3228" s="102"/>
      <c r="AA3228" s="102"/>
      <c r="AB3228" s="1"/>
      <c r="AC3228" s="1"/>
      <c r="AD3228" s="1"/>
      <c r="AE3228" s="1"/>
      <c r="AF3228" s="1"/>
      <c r="AG3228" s="1"/>
    </row>
    <row r="3229" ht="15.75" customHeight="1">
      <c r="A3229" s="1"/>
      <c r="B3229" s="1"/>
      <c r="C3229" s="1"/>
      <c r="D3229" s="1"/>
      <c r="E3229" s="1"/>
      <c r="F3229" s="1"/>
      <c r="G3229" s="1"/>
      <c r="H3229" s="1"/>
      <c r="I3229" s="1"/>
      <c r="J3229" s="1"/>
      <c r="K3229" s="102" t="s">
        <v>5586</v>
      </c>
      <c r="L3229" s="102" t="str">
        <f>V225</f>
        <v>J1a2a1a2d2b2b2c4c2a1a1~</v>
      </c>
      <c r="M3229" s="102"/>
      <c r="N3229" s="102"/>
      <c r="O3229" s="105">
        <v>1.5650065E7</v>
      </c>
      <c r="P3229" s="105">
        <v>1.3538185E7</v>
      </c>
      <c r="Q3229" s="102" t="s">
        <v>2468</v>
      </c>
      <c r="S3229" s="1"/>
      <c r="T3229" s="1"/>
      <c r="U3229" s="1"/>
      <c r="V3229" s="1"/>
      <c r="W3229" s="1"/>
      <c r="X3229" s="1"/>
      <c r="Y3229" s="1"/>
      <c r="Z3229" s="102"/>
      <c r="AA3229" s="102"/>
      <c r="AB3229" s="1"/>
      <c r="AC3229" s="1"/>
      <c r="AD3229" s="1"/>
      <c r="AE3229" s="1"/>
      <c r="AF3229" s="1"/>
      <c r="AG3229" s="1"/>
    </row>
    <row r="3230" ht="15.75" customHeight="1">
      <c r="A3230" s="1"/>
      <c r="B3230" s="1"/>
      <c r="C3230" s="1"/>
      <c r="D3230" s="1"/>
      <c r="E3230" s="1"/>
      <c r="F3230" s="1"/>
      <c r="G3230" s="1"/>
      <c r="H3230" s="1"/>
      <c r="I3230" s="1"/>
      <c r="J3230" s="1"/>
      <c r="K3230" s="102" t="s">
        <v>5587</v>
      </c>
      <c r="L3230" s="102" t="str">
        <f>V225</f>
        <v>J1a2a1a2d2b2b2c4c2a1a1~</v>
      </c>
      <c r="M3230" s="102"/>
      <c r="N3230" s="102"/>
      <c r="O3230" s="105">
        <v>1.6263307E7</v>
      </c>
      <c r="P3230" s="105">
        <v>1.4151427E7</v>
      </c>
      <c r="Q3230" s="102" t="s">
        <v>2432</v>
      </c>
      <c r="S3230" s="1"/>
      <c r="T3230" s="1"/>
      <c r="U3230" s="1"/>
      <c r="V3230" s="1"/>
      <c r="W3230" s="1"/>
      <c r="X3230" s="1"/>
      <c r="Y3230" s="1"/>
      <c r="Z3230" s="102"/>
      <c r="AA3230" s="102"/>
      <c r="AB3230" s="1"/>
      <c r="AC3230" s="1"/>
      <c r="AD3230" s="1"/>
      <c r="AE3230" s="1"/>
      <c r="AF3230" s="1"/>
      <c r="AG3230" s="1"/>
    </row>
    <row r="3231" ht="15.75" customHeight="1">
      <c r="A3231" s="1"/>
      <c r="B3231" s="1"/>
      <c r="C3231" s="1"/>
      <c r="D3231" s="1"/>
      <c r="E3231" s="1"/>
      <c r="F3231" s="1"/>
      <c r="G3231" s="1"/>
      <c r="H3231" s="1"/>
      <c r="I3231" s="1"/>
      <c r="J3231" s="1"/>
      <c r="K3231" s="102" t="s">
        <v>5588</v>
      </c>
      <c r="L3231" s="102" t="str">
        <f>R226</f>
        <v>J1a2a1a2d2b2b2c4c3~</v>
      </c>
      <c r="M3231" s="102"/>
      <c r="N3231" s="102"/>
      <c r="O3231" s="105">
        <v>7164184.0</v>
      </c>
      <c r="P3231" s="105">
        <v>7296143.0</v>
      </c>
      <c r="Q3231" s="102" t="s">
        <v>2514</v>
      </c>
      <c r="S3231" s="1"/>
      <c r="T3231" s="1"/>
      <c r="U3231" s="1"/>
      <c r="V3231" s="1"/>
      <c r="W3231" s="1"/>
      <c r="X3231" s="1"/>
      <c r="Y3231" s="1"/>
      <c r="Z3231" s="102"/>
      <c r="AA3231" s="102"/>
      <c r="AB3231" s="1"/>
      <c r="AC3231" s="1"/>
      <c r="AD3231" s="1"/>
      <c r="AE3231" s="1"/>
      <c r="AF3231" s="1"/>
      <c r="AG3231" s="1"/>
    </row>
    <row r="3232" ht="15.75" customHeight="1">
      <c r="A3232" s="1"/>
      <c r="B3232" s="1"/>
      <c r="C3232" s="1"/>
      <c r="D3232" s="1"/>
      <c r="E3232" s="1"/>
      <c r="F3232" s="1"/>
      <c r="G3232" s="1"/>
      <c r="H3232" s="1"/>
      <c r="I3232" s="1"/>
      <c r="J3232" s="1"/>
      <c r="K3232" s="102" t="s">
        <v>5589</v>
      </c>
      <c r="L3232" s="102" t="str">
        <f>R226</f>
        <v>J1a2a1a2d2b2b2c4c3~</v>
      </c>
      <c r="M3232" s="102"/>
      <c r="N3232" s="102" t="s">
        <v>5590</v>
      </c>
      <c r="O3232" s="105">
        <v>1.5528084E7</v>
      </c>
      <c r="P3232" s="105">
        <v>1.3416204E7</v>
      </c>
      <c r="Q3232" s="102" t="s">
        <v>2529</v>
      </c>
      <c r="S3232" s="1"/>
      <c r="T3232" s="1"/>
      <c r="U3232" s="1"/>
      <c r="V3232" s="1"/>
      <c r="W3232" s="1"/>
      <c r="X3232" s="1"/>
      <c r="Y3232" s="1"/>
      <c r="Z3232" s="102"/>
      <c r="AA3232" s="102"/>
      <c r="AB3232" s="1"/>
      <c r="AC3232" s="1"/>
      <c r="AD3232" s="1"/>
      <c r="AE3232" s="1"/>
      <c r="AF3232" s="1"/>
      <c r="AG3232" s="1"/>
    </row>
    <row r="3233" ht="15.75" customHeight="1">
      <c r="A3233" s="1"/>
      <c r="B3233" s="1"/>
      <c r="C3233" s="1"/>
      <c r="D3233" s="1"/>
      <c r="E3233" s="1"/>
      <c r="F3233" s="1"/>
      <c r="G3233" s="1"/>
      <c r="H3233" s="1"/>
      <c r="I3233" s="1"/>
      <c r="J3233" s="1"/>
      <c r="K3233" s="102" t="s">
        <v>5591</v>
      </c>
      <c r="L3233" s="102" t="str">
        <f>R226</f>
        <v>J1a2a1a2d2b2b2c4c3~</v>
      </c>
      <c r="M3233" s="102"/>
      <c r="N3233" s="102" t="s">
        <v>5592</v>
      </c>
      <c r="O3233" s="105">
        <v>1.6962893E7</v>
      </c>
      <c r="P3233" s="105">
        <v>1.4851013E7</v>
      </c>
      <c r="Q3233" s="102" t="s">
        <v>2501</v>
      </c>
      <c r="S3233" s="1"/>
      <c r="T3233" s="1"/>
      <c r="U3233" s="1"/>
      <c r="V3233" s="1"/>
      <c r="W3233" s="1"/>
      <c r="X3233" s="1"/>
      <c r="Y3233" s="1"/>
      <c r="Z3233" s="102"/>
      <c r="AA3233" s="102"/>
      <c r="AB3233" s="1"/>
      <c r="AC3233" s="1"/>
      <c r="AD3233" s="1"/>
      <c r="AE3233" s="1"/>
      <c r="AF3233" s="1"/>
      <c r="AG3233" s="1"/>
    </row>
    <row r="3234" ht="15.75" customHeight="1">
      <c r="A3234" s="1"/>
      <c r="B3234" s="1"/>
      <c r="C3234" s="1"/>
      <c r="D3234" s="1"/>
      <c r="E3234" s="1"/>
      <c r="F3234" s="1"/>
      <c r="G3234" s="1"/>
      <c r="H3234" s="1"/>
      <c r="I3234" s="1"/>
      <c r="J3234" s="1"/>
      <c r="K3234" s="102" t="s">
        <v>5593</v>
      </c>
      <c r="L3234" s="102" t="str">
        <f>R226</f>
        <v>J1a2a1a2d2b2b2c4c3~</v>
      </c>
      <c r="M3234" s="102"/>
      <c r="N3234" s="102" t="s">
        <v>5594</v>
      </c>
      <c r="O3234" s="105">
        <v>2.1041152E7</v>
      </c>
      <c r="P3234" s="105">
        <v>1.8879266E7</v>
      </c>
      <c r="Q3234" s="102" t="s">
        <v>2576</v>
      </c>
      <c r="S3234" s="1"/>
      <c r="T3234" s="1"/>
      <c r="U3234" s="1"/>
      <c r="V3234" s="1"/>
      <c r="W3234" s="1"/>
      <c r="X3234" s="1"/>
      <c r="Y3234" s="1"/>
      <c r="Z3234" s="102"/>
      <c r="AA3234" s="102"/>
      <c r="AB3234" s="1"/>
      <c r="AC3234" s="1"/>
      <c r="AD3234" s="1"/>
      <c r="AE3234" s="1"/>
      <c r="AF3234" s="1"/>
      <c r="AG3234" s="1"/>
    </row>
    <row r="3235" ht="15.75" customHeight="1">
      <c r="A3235" s="1"/>
      <c r="B3235" s="1"/>
      <c r="C3235" s="1"/>
      <c r="D3235" s="1"/>
      <c r="E3235" s="1"/>
      <c r="F3235" s="1"/>
      <c r="G3235" s="1"/>
      <c r="H3235" s="1"/>
      <c r="I3235" s="1"/>
      <c r="J3235" s="1"/>
      <c r="K3235" s="102" t="s">
        <v>5595</v>
      </c>
      <c r="L3235" s="102" t="str">
        <f>S227</f>
        <v>J1a2a1a2d2b2b2c4c3a~</v>
      </c>
      <c r="M3235" s="102"/>
      <c r="N3235" s="102" t="s">
        <v>5596</v>
      </c>
      <c r="O3235" s="105">
        <v>2.3954805E7</v>
      </c>
      <c r="P3235" s="105">
        <v>2.1808658E7</v>
      </c>
      <c r="Q3235" s="102" t="s">
        <v>2439</v>
      </c>
      <c r="S3235" s="1"/>
      <c r="T3235" s="1"/>
      <c r="U3235" s="1"/>
      <c r="V3235" s="1"/>
      <c r="W3235" s="1"/>
      <c r="X3235" s="1"/>
      <c r="Y3235" s="1"/>
      <c r="Z3235" s="102"/>
      <c r="AA3235" s="102"/>
      <c r="AB3235" s="1"/>
      <c r="AC3235" s="1"/>
      <c r="AD3235" s="1"/>
      <c r="AE3235" s="1"/>
      <c r="AF3235" s="1"/>
      <c r="AG3235" s="1"/>
    </row>
    <row r="3236" ht="15.75" customHeight="1">
      <c r="A3236" s="1"/>
      <c r="B3236" s="1"/>
      <c r="C3236" s="1"/>
      <c r="D3236" s="1"/>
      <c r="E3236" s="1"/>
      <c r="F3236" s="1"/>
      <c r="G3236" s="1"/>
      <c r="H3236" s="1"/>
      <c r="I3236" s="1"/>
      <c r="J3236" s="1"/>
      <c r="K3236" s="102" t="s">
        <v>5597</v>
      </c>
      <c r="L3236" s="102" t="str">
        <f>S227</f>
        <v>J1a2a1a2d2b2b2c4c3a~</v>
      </c>
      <c r="M3236" s="102"/>
      <c r="N3236" s="102" t="s">
        <v>5598</v>
      </c>
      <c r="O3236" s="105">
        <v>6700547.0</v>
      </c>
      <c r="P3236" s="105">
        <v>6832506.0</v>
      </c>
      <c r="Q3236" s="102" t="s">
        <v>2432</v>
      </c>
      <c r="S3236" s="1"/>
      <c r="T3236" s="1"/>
      <c r="U3236" s="1"/>
      <c r="V3236" s="1"/>
      <c r="W3236" s="1"/>
      <c r="X3236" s="1"/>
      <c r="Y3236" s="1"/>
      <c r="Z3236" s="102"/>
      <c r="AA3236" s="102"/>
      <c r="AB3236" s="1"/>
      <c r="AC3236" s="1"/>
      <c r="AD3236" s="1"/>
      <c r="AE3236" s="1"/>
      <c r="AF3236" s="1"/>
      <c r="AG3236" s="1"/>
    </row>
    <row r="3237" ht="15.75" customHeight="1">
      <c r="A3237" s="1"/>
      <c r="B3237" s="1"/>
      <c r="C3237" s="1"/>
      <c r="D3237" s="1"/>
      <c r="E3237" s="1"/>
      <c r="F3237" s="1"/>
      <c r="G3237" s="1"/>
      <c r="H3237" s="1"/>
      <c r="I3237" s="1"/>
      <c r="J3237" s="1"/>
      <c r="K3237" s="102" t="s">
        <v>5599</v>
      </c>
      <c r="L3237" s="102" t="str">
        <f>S227</f>
        <v>J1a2a1a2d2b2b2c4c3a~</v>
      </c>
      <c r="M3237" s="102"/>
      <c r="N3237" s="102"/>
      <c r="O3237" s="105">
        <v>7235870.0</v>
      </c>
      <c r="P3237" s="105">
        <v>7367829.0</v>
      </c>
      <c r="Q3237" s="102" t="s">
        <v>2439</v>
      </c>
      <c r="S3237" s="1"/>
      <c r="T3237" s="1"/>
      <c r="U3237" s="1"/>
      <c r="V3237" s="1"/>
      <c r="W3237" s="1"/>
      <c r="X3237" s="1"/>
      <c r="Y3237" s="1"/>
      <c r="Z3237" s="102"/>
      <c r="AA3237" s="102"/>
      <c r="AB3237" s="1"/>
      <c r="AC3237" s="1"/>
      <c r="AD3237" s="1"/>
      <c r="AE3237" s="1"/>
      <c r="AF3237" s="1"/>
      <c r="AG3237" s="1"/>
    </row>
    <row r="3238" ht="15.75" customHeight="1">
      <c r="A3238" s="1"/>
      <c r="B3238" s="1"/>
      <c r="C3238" s="1"/>
      <c r="D3238" s="1"/>
      <c r="E3238" s="1"/>
      <c r="F3238" s="1"/>
      <c r="G3238" s="1"/>
      <c r="H3238" s="1"/>
      <c r="I3238" s="1"/>
      <c r="J3238" s="1"/>
      <c r="K3238" s="102" t="s">
        <v>5600</v>
      </c>
      <c r="L3238" s="102" t="str">
        <f>S227</f>
        <v>J1a2a1a2d2b2b2c4c3a~</v>
      </c>
      <c r="M3238" s="102"/>
      <c r="N3238" s="102"/>
      <c r="O3238" s="105">
        <v>7382732.0</v>
      </c>
      <c r="P3238" s="105">
        <v>7514691.0</v>
      </c>
      <c r="Q3238" s="102" t="s">
        <v>2446</v>
      </c>
      <c r="S3238" s="1"/>
      <c r="T3238" s="1"/>
      <c r="U3238" s="1"/>
      <c r="V3238" s="1"/>
      <c r="W3238" s="1"/>
      <c r="X3238" s="1"/>
      <c r="Y3238" s="1"/>
      <c r="Z3238" s="102"/>
      <c r="AA3238" s="102"/>
      <c r="AB3238" s="1"/>
      <c r="AC3238" s="1"/>
      <c r="AD3238" s="1"/>
      <c r="AE3238" s="1"/>
      <c r="AF3238" s="1"/>
      <c r="AG3238" s="1"/>
    </row>
    <row r="3239" ht="15.75" customHeight="1">
      <c r="A3239" s="1"/>
      <c r="B3239" s="1"/>
      <c r="C3239" s="1"/>
      <c r="D3239" s="1"/>
      <c r="E3239" s="1"/>
      <c r="F3239" s="1"/>
      <c r="G3239" s="1"/>
      <c r="H3239" s="1"/>
      <c r="I3239" s="1"/>
      <c r="J3239" s="1"/>
      <c r="K3239" s="102" t="s">
        <v>5601</v>
      </c>
      <c r="L3239" s="102" t="str">
        <f>S227</f>
        <v>J1a2a1a2d2b2b2c4c3a~</v>
      </c>
      <c r="M3239" s="102"/>
      <c r="N3239" s="102" t="s">
        <v>5602</v>
      </c>
      <c r="O3239" s="105">
        <v>7841337.0</v>
      </c>
      <c r="P3239" s="105">
        <v>7973296.0</v>
      </c>
      <c r="Q3239" s="102" t="s">
        <v>2468</v>
      </c>
      <c r="S3239" s="1"/>
      <c r="T3239" s="1"/>
      <c r="U3239" s="1"/>
      <c r="V3239" s="1"/>
      <c r="W3239" s="1"/>
      <c r="X3239" s="1"/>
      <c r="Y3239" s="1"/>
      <c r="Z3239" s="102"/>
      <c r="AA3239" s="102"/>
      <c r="AB3239" s="1"/>
      <c r="AC3239" s="1"/>
      <c r="AD3239" s="1"/>
      <c r="AE3239" s="1"/>
      <c r="AF3239" s="1"/>
      <c r="AG3239" s="1"/>
    </row>
    <row r="3240" ht="15.75" customHeight="1">
      <c r="A3240" s="1"/>
      <c r="B3240" s="1"/>
      <c r="C3240" s="1"/>
      <c r="D3240" s="1"/>
      <c r="E3240" s="1"/>
      <c r="F3240" s="1"/>
      <c r="G3240" s="1"/>
      <c r="H3240" s="1"/>
      <c r="I3240" s="1"/>
      <c r="J3240" s="1"/>
      <c r="K3240" s="102" t="s">
        <v>5603</v>
      </c>
      <c r="L3240" s="102" t="str">
        <f>S227</f>
        <v>J1a2a1a2d2b2b2c4c3a~</v>
      </c>
      <c r="M3240" s="102"/>
      <c r="N3240" s="102" t="s">
        <v>5604</v>
      </c>
      <c r="O3240" s="105">
        <v>8088260.0</v>
      </c>
      <c r="P3240" s="105">
        <v>8220219.0</v>
      </c>
      <c r="Q3240" s="102" t="s">
        <v>2439</v>
      </c>
      <c r="S3240" s="1"/>
      <c r="T3240" s="1"/>
      <c r="U3240" s="1"/>
      <c r="V3240" s="1"/>
      <c r="W3240" s="1"/>
      <c r="X3240" s="1"/>
      <c r="Y3240" s="1"/>
      <c r="Z3240" s="102"/>
      <c r="AA3240" s="102"/>
      <c r="AB3240" s="1"/>
      <c r="AC3240" s="1"/>
      <c r="AD3240" s="1"/>
      <c r="AE3240" s="1"/>
      <c r="AF3240" s="1"/>
      <c r="AG3240" s="1"/>
    </row>
    <row r="3241" ht="15.75" customHeight="1">
      <c r="A3241" s="1"/>
      <c r="B3241" s="1"/>
      <c r="C3241" s="1"/>
      <c r="D3241" s="1"/>
      <c r="E3241" s="1"/>
      <c r="F3241" s="1"/>
      <c r="G3241" s="1"/>
      <c r="H3241" s="1"/>
      <c r="I3241" s="1"/>
      <c r="J3241" s="1"/>
      <c r="K3241" s="102" t="s">
        <v>5605</v>
      </c>
      <c r="L3241" s="102" t="str">
        <f>S227</f>
        <v>J1a2a1a2d2b2b2c4c3a~</v>
      </c>
      <c r="M3241" s="102"/>
      <c r="N3241" s="102" t="s">
        <v>5606</v>
      </c>
      <c r="O3241" s="105">
        <v>8121120.0</v>
      </c>
      <c r="P3241" s="105">
        <v>8253079.0</v>
      </c>
      <c r="Q3241" s="102" t="s">
        <v>2576</v>
      </c>
      <c r="S3241" s="1"/>
      <c r="T3241" s="1"/>
      <c r="U3241" s="1"/>
      <c r="V3241" s="1"/>
      <c r="W3241" s="1"/>
      <c r="X3241" s="1"/>
      <c r="Y3241" s="1"/>
      <c r="Z3241" s="102"/>
      <c r="AA3241" s="102"/>
      <c r="AB3241" s="1"/>
      <c r="AC3241" s="1"/>
      <c r="AD3241" s="1"/>
      <c r="AE3241" s="1"/>
      <c r="AF3241" s="1"/>
      <c r="AG3241" s="1"/>
    </row>
    <row r="3242" ht="15.75" customHeight="1">
      <c r="A3242" s="1"/>
      <c r="B3242" s="1"/>
      <c r="C3242" s="1"/>
      <c r="D3242" s="1"/>
      <c r="E3242" s="1"/>
      <c r="F3242" s="1"/>
      <c r="G3242" s="1"/>
      <c r="H3242" s="1"/>
      <c r="I3242" s="1"/>
      <c r="J3242" s="1"/>
      <c r="K3242" s="102" t="s">
        <v>5607</v>
      </c>
      <c r="L3242" s="102" t="str">
        <f>S227</f>
        <v>J1a2a1a2d2b2b2c4c3a~</v>
      </c>
      <c r="M3242" s="102"/>
      <c r="N3242" s="102" t="s">
        <v>5608</v>
      </c>
      <c r="O3242" s="105">
        <v>8166117.0</v>
      </c>
      <c r="P3242" s="105">
        <v>8298076.0</v>
      </c>
      <c r="Q3242" s="102" t="s">
        <v>2529</v>
      </c>
      <c r="S3242" s="1"/>
      <c r="T3242" s="1"/>
      <c r="U3242" s="1"/>
      <c r="V3242" s="1"/>
      <c r="W3242" s="1"/>
      <c r="X3242" s="1"/>
      <c r="Y3242" s="1"/>
      <c r="Z3242" s="102"/>
      <c r="AA3242" s="102"/>
      <c r="AB3242" s="1"/>
      <c r="AC3242" s="1"/>
      <c r="AD3242" s="1"/>
      <c r="AE3242" s="1"/>
      <c r="AF3242" s="1"/>
      <c r="AG3242" s="1"/>
    </row>
    <row r="3243" ht="15.75" customHeight="1">
      <c r="A3243" s="1"/>
      <c r="B3243" s="1"/>
      <c r="C3243" s="1"/>
      <c r="D3243" s="1"/>
      <c r="E3243" s="1"/>
      <c r="F3243" s="1"/>
      <c r="G3243" s="1"/>
      <c r="H3243" s="1"/>
      <c r="I3243" s="1"/>
      <c r="J3243" s="1"/>
      <c r="K3243" s="102" t="s">
        <v>5609</v>
      </c>
      <c r="L3243" s="102" t="str">
        <f>S227</f>
        <v>J1a2a1a2d2b2b2c4c3a~</v>
      </c>
      <c r="M3243" s="102"/>
      <c r="N3243" s="102" t="s">
        <v>5610</v>
      </c>
      <c r="O3243" s="105">
        <v>8570127.0</v>
      </c>
      <c r="P3243" s="105">
        <v>8702086.0</v>
      </c>
      <c r="Q3243" s="102" t="s">
        <v>2468</v>
      </c>
      <c r="S3243" s="1"/>
      <c r="T3243" s="1"/>
      <c r="U3243" s="1"/>
      <c r="V3243" s="1"/>
      <c r="W3243" s="1"/>
      <c r="X3243" s="1"/>
      <c r="Y3243" s="1"/>
      <c r="Z3243" s="102"/>
      <c r="AA3243" s="102"/>
      <c r="AB3243" s="1"/>
      <c r="AC3243" s="1"/>
      <c r="AD3243" s="1"/>
      <c r="AE3243" s="1"/>
      <c r="AF3243" s="1"/>
      <c r="AG3243" s="1"/>
    </row>
    <row r="3244" ht="15.75" customHeight="1">
      <c r="A3244" s="1"/>
      <c r="B3244" s="1"/>
      <c r="C3244" s="1"/>
      <c r="D3244" s="1"/>
      <c r="E3244" s="1"/>
      <c r="F3244" s="1"/>
      <c r="G3244" s="1"/>
      <c r="H3244" s="1"/>
      <c r="I3244" s="1"/>
      <c r="J3244" s="1"/>
      <c r="K3244" s="102" t="s">
        <v>5611</v>
      </c>
      <c r="L3244" s="102" t="str">
        <f>S227</f>
        <v>J1a2a1a2d2b2b2c4c3a~</v>
      </c>
      <c r="M3244" s="102"/>
      <c r="N3244" s="102"/>
      <c r="O3244" s="105">
        <v>9396196.0</v>
      </c>
      <c r="P3244" s="105">
        <v>9558587.0</v>
      </c>
      <c r="Q3244" s="102" t="s">
        <v>2454</v>
      </c>
      <c r="S3244" s="1"/>
      <c r="T3244" s="1"/>
      <c r="U3244" s="1"/>
      <c r="V3244" s="1"/>
      <c r="W3244" s="1"/>
      <c r="X3244" s="1"/>
      <c r="Y3244" s="1"/>
      <c r="Z3244" s="102"/>
      <c r="AA3244" s="102"/>
      <c r="AB3244" s="1"/>
      <c r="AC3244" s="1"/>
      <c r="AD3244" s="1"/>
      <c r="AE3244" s="1"/>
      <c r="AF3244" s="1"/>
      <c r="AG3244" s="1"/>
    </row>
    <row r="3245" ht="15.75" customHeight="1">
      <c r="A3245" s="1"/>
      <c r="B3245" s="1"/>
      <c r="C3245" s="1"/>
      <c r="D3245" s="1"/>
      <c r="E3245" s="1"/>
      <c r="F3245" s="1"/>
      <c r="G3245" s="1"/>
      <c r="H3245" s="1"/>
      <c r="I3245" s="1"/>
      <c r="J3245" s="1"/>
      <c r="K3245" s="102" t="s">
        <v>5612</v>
      </c>
      <c r="L3245" s="102" t="str">
        <f>S227</f>
        <v>J1a2a1a2d2b2b2c4c3a~</v>
      </c>
      <c r="M3245" s="102"/>
      <c r="N3245" s="102"/>
      <c r="O3245" s="105">
        <v>1.4170179E7</v>
      </c>
      <c r="P3245" s="105">
        <v>1.2049473E7</v>
      </c>
      <c r="Q3245" s="102" t="s">
        <v>2501</v>
      </c>
      <c r="S3245" s="1"/>
      <c r="T3245" s="1"/>
      <c r="U3245" s="1"/>
      <c r="V3245" s="1"/>
      <c r="W3245" s="1"/>
      <c r="X3245" s="1"/>
      <c r="Y3245" s="1"/>
      <c r="Z3245" s="102"/>
      <c r="AA3245" s="102"/>
      <c r="AB3245" s="1"/>
      <c r="AC3245" s="1"/>
      <c r="AD3245" s="1"/>
      <c r="AE3245" s="1"/>
      <c r="AF3245" s="1"/>
      <c r="AG3245" s="1"/>
    </row>
    <row r="3246" ht="15.75" customHeight="1">
      <c r="A3246" s="1"/>
      <c r="B3246" s="1"/>
      <c r="C3246" s="1"/>
      <c r="D3246" s="1"/>
      <c r="E3246" s="1"/>
      <c r="F3246" s="1"/>
      <c r="G3246" s="1"/>
      <c r="H3246" s="1"/>
      <c r="I3246" s="1"/>
      <c r="J3246" s="1"/>
      <c r="K3246" s="102" t="s">
        <v>5613</v>
      </c>
      <c r="L3246" s="102" t="str">
        <f>S227</f>
        <v>J1a2a1a2d2b2b2c4c3a~</v>
      </c>
      <c r="M3246" s="102"/>
      <c r="N3246" s="102"/>
      <c r="O3246" s="105">
        <v>1.4332101E7</v>
      </c>
      <c r="P3246" s="105">
        <v>1.2211395E7</v>
      </c>
      <c r="Q3246" s="102" t="s">
        <v>2468</v>
      </c>
      <c r="S3246" s="1"/>
      <c r="T3246" s="1"/>
      <c r="U3246" s="1"/>
      <c r="V3246" s="1"/>
      <c r="W3246" s="1"/>
      <c r="X3246" s="1"/>
      <c r="Y3246" s="1"/>
      <c r="Z3246" s="102"/>
      <c r="AA3246" s="102"/>
      <c r="AB3246" s="1"/>
      <c r="AC3246" s="1"/>
      <c r="AD3246" s="1"/>
      <c r="AE3246" s="1"/>
      <c r="AF3246" s="1"/>
      <c r="AG3246" s="1"/>
    </row>
    <row r="3247" ht="15.75" customHeight="1">
      <c r="A3247" s="1"/>
      <c r="B3247" s="1"/>
      <c r="C3247" s="1"/>
      <c r="D3247" s="1"/>
      <c r="E3247" s="1"/>
      <c r="F3247" s="1"/>
      <c r="G3247" s="1"/>
      <c r="H3247" s="1"/>
      <c r="I3247" s="1"/>
      <c r="J3247" s="1"/>
      <c r="K3247" s="102" t="s">
        <v>5614</v>
      </c>
      <c r="L3247" s="102" t="str">
        <f>S227</f>
        <v>J1a2a1a2d2b2b2c4c3a~</v>
      </c>
      <c r="M3247" s="102"/>
      <c r="N3247" s="102"/>
      <c r="O3247" s="105">
        <v>1.4622169E7</v>
      </c>
      <c r="P3247" s="105">
        <v>1.2510367E7</v>
      </c>
      <c r="Q3247" s="102" t="s">
        <v>2501</v>
      </c>
      <c r="S3247" s="1"/>
      <c r="T3247" s="1"/>
      <c r="U3247" s="1"/>
      <c r="V3247" s="1"/>
      <c r="W3247" s="1"/>
      <c r="X3247" s="1"/>
      <c r="Y3247" s="1"/>
      <c r="Z3247" s="102"/>
      <c r="AA3247" s="102"/>
      <c r="AB3247" s="1"/>
      <c r="AC3247" s="1"/>
      <c r="AD3247" s="1"/>
      <c r="AE3247" s="1"/>
      <c r="AF3247" s="1"/>
      <c r="AG3247" s="1"/>
    </row>
    <row r="3248" ht="15.75" customHeight="1">
      <c r="A3248" s="1"/>
      <c r="B3248" s="1"/>
      <c r="C3248" s="1"/>
      <c r="D3248" s="1"/>
      <c r="E3248" s="1"/>
      <c r="F3248" s="1"/>
      <c r="G3248" s="1"/>
      <c r="H3248" s="1"/>
      <c r="I3248" s="1"/>
      <c r="J3248" s="1"/>
      <c r="K3248" s="102" t="s">
        <v>5615</v>
      </c>
      <c r="L3248" s="102" t="str">
        <f>S227</f>
        <v>J1a2a1a2d2b2b2c4c3a~</v>
      </c>
      <c r="M3248" s="102"/>
      <c r="N3248" s="102"/>
      <c r="O3248" s="105">
        <v>1.4892464E7</v>
      </c>
      <c r="P3248" s="105">
        <v>1.278053E7</v>
      </c>
      <c r="Q3248" s="102" t="s">
        <v>2468</v>
      </c>
      <c r="S3248" s="1"/>
      <c r="T3248" s="1"/>
      <c r="U3248" s="1"/>
      <c r="V3248" s="1"/>
      <c r="W3248" s="1"/>
      <c r="X3248" s="1"/>
      <c r="Y3248" s="1"/>
      <c r="Z3248" s="102"/>
      <c r="AA3248" s="102"/>
      <c r="AB3248" s="1"/>
      <c r="AC3248" s="1"/>
      <c r="AD3248" s="1"/>
      <c r="AE3248" s="1"/>
      <c r="AF3248" s="1"/>
      <c r="AG3248" s="1"/>
    </row>
    <row r="3249" ht="15.75" customHeight="1">
      <c r="A3249" s="1"/>
      <c r="B3249" s="1"/>
      <c r="C3249" s="1"/>
      <c r="D3249" s="1"/>
      <c r="E3249" s="1"/>
      <c r="F3249" s="1"/>
      <c r="G3249" s="1"/>
      <c r="H3249" s="1"/>
      <c r="I3249" s="1"/>
      <c r="J3249" s="1"/>
      <c r="K3249" s="102" t="s">
        <v>5616</v>
      </c>
      <c r="L3249" s="102" t="str">
        <f>S227</f>
        <v>J1a2a1a2d2b2b2c4c3a~</v>
      </c>
      <c r="M3249" s="102"/>
      <c r="N3249" s="102" t="s">
        <v>5617</v>
      </c>
      <c r="O3249" s="105">
        <v>1.8704289E7</v>
      </c>
      <c r="P3249" s="105">
        <v>1.6592409E7</v>
      </c>
      <c r="Q3249" s="102" t="s">
        <v>2439</v>
      </c>
      <c r="S3249" s="1"/>
      <c r="T3249" s="1"/>
      <c r="U3249" s="1"/>
      <c r="V3249" s="1"/>
      <c r="W3249" s="1"/>
      <c r="X3249" s="1"/>
      <c r="Y3249" s="1"/>
      <c r="Z3249" s="102"/>
      <c r="AA3249" s="102"/>
      <c r="AB3249" s="1"/>
      <c r="AC3249" s="1"/>
      <c r="AD3249" s="1"/>
      <c r="AE3249" s="1"/>
      <c r="AF3249" s="1"/>
      <c r="AG3249" s="1"/>
    </row>
    <row r="3250" ht="15.75" customHeight="1">
      <c r="A3250" s="1"/>
      <c r="B3250" s="1"/>
      <c r="C3250" s="1"/>
      <c r="D3250" s="1"/>
      <c r="E3250" s="1"/>
      <c r="F3250" s="1"/>
      <c r="G3250" s="1"/>
      <c r="H3250" s="1"/>
      <c r="I3250" s="1"/>
      <c r="J3250" s="1"/>
      <c r="K3250" s="102" t="s">
        <v>5618</v>
      </c>
      <c r="L3250" s="102" t="str">
        <f>S227</f>
        <v>J1a2a1a2d2b2b2c4c3a~</v>
      </c>
      <c r="M3250" s="102"/>
      <c r="N3250" s="102" t="s">
        <v>5619</v>
      </c>
      <c r="O3250" s="105">
        <v>1.9304584E7</v>
      </c>
      <c r="P3250" s="105">
        <v>1.7192704E7</v>
      </c>
      <c r="Q3250" s="102" t="s">
        <v>2439</v>
      </c>
      <c r="S3250" s="1"/>
      <c r="T3250" s="1"/>
      <c r="U3250" s="1"/>
      <c r="V3250" s="1"/>
      <c r="W3250" s="1"/>
      <c r="X3250" s="1"/>
      <c r="Y3250" s="1"/>
      <c r="Z3250" s="102"/>
      <c r="AA3250" s="102"/>
      <c r="AB3250" s="1"/>
      <c r="AC3250" s="1"/>
      <c r="AD3250" s="1"/>
      <c r="AE3250" s="1"/>
      <c r="AF3250" s="1"/>
      <c r="AG3250" s="1"/>
    </row>
    <row r="3251" ht="15.75" customHeight="1">
      <c r="A3251" s="1"/>
      <c r="B3251" s="1"/>
      <c r="C3251" s="1"/>
      <c r="D3251" s="1"/>
      <c r="E3251" s="1"/>
      <c r="F3251" s="1"/>
      <c r="G3251" s="1"/>
      <c r="H3251" s="1"/>
      <c r="I3251" s="1"/>
      <c r="J3251" s="1"/>
      <c r="K3251" s="102" t="s">
        <v>5620</v>
      </c>
      <c r="L3251" s="102" t="str">
        <f>S227</f>
        <v>J1a2a1a2d2b2b2c4c3a~</v>
      </c>
      <c r="M3251" s="102"/>
      <c r="N3251" s="102" t="s">
        <v>5621</v>
      </c>
      <c r="O3251" s="105">
        <v>2.2567578E7</v>
      </c>
      <c r="P3251" s="105">
        <v>2.0405692E7</v>
      </c>
      <c r="Q3251" s="102" t="s">
        <v>2563</v>
      </c>
      <c r="S3251" s="1"/>
      <c r="T3251" s="1"/>
      <c r="U3251" s="1"/>
      <c r="V3251" s="1"/>
      <c r="W3251" s="1"/>
      <c r="X3251" s="1"/>
      <c r="Y3251" s="1"/>
      <c r="Z3251" s="102"/>
      <c r="AA3251" s="102"/>
      <c r="AB3251" s="1"/>
      <c r="AC3251" s="1"/>
      <c r="AD3251" s="1"/>
      <c r="AE3251" s="1"/>
      <c r="AF3251" s="1"/>
      <c r="AG3251" s="1"/>
    </row>
    <row r="3252" ht="15.75" customHeight="1">
      <c r="A3252" s="1"/>
      <c r="B3252" s="1"/>
      <c r="C3252" s="1"/>
      <c r="D3252" s="1"/>
      <c r="E3252" s="1"/>
      <c r="F3252" s="1"/>
      <c r="G3252" s="1"/>
      <c r="H3252" s="1"/>
      <c r="I3252" s="1"/>
      <c r="J3252" s="1"/>
      <c r="K3252" s="102" t="s">
        <v>5622</v>
      </c>
      <c r="L3252" s="102" t="str">
        <f>S227</f>
        <v>J1a2a1a2d2b2b2c4c3a~</v>
      </c>
      <c r="M3252" s="102"/>
      <c r="N3252" s="102"/>
      <c r="O3252" s="105">
        <v>7140083.0</v>
      </c>
      <c r="P3252" s="105">
        <v>7272042.0</v>
      </c>
      <c r="Q3252" s="102" t="s">
        <v>2501</v>
      </c>
      <c r="S3252" s="1"/>
      <c r="T3252" s="1"/>
      <c r="U3252" s="1"/>
      <c r="V3252" s="1"/>
      <c r="W3252" s="1"/>
      <c r="X3252" s="1"/>
      <c r="Y3252" s="1"/>
      <c r="Z3252" s="102"/>
      <c r="AA3252" s="102"/>
      <c r="AB3252" s="1"/>
      <c r="AC3252" s="1"/>
      <c r="AD3252" s="1"/>
      <c r="AE3252" s="1"/>
      <c r="AF3252" s="1"/>
      <c r="AG3252" s="1"/>
    </row>
    <row r="3253" ht="15.75" customHeight="1">
      <c r="A3253" s="1"/>
      <c r="B3253" s="1"/>
      <c r="C3253" s="1"/>
      <c r="D3253" s="1"/>
      <c r="E3253" s="1"/>
      <c r="F3253" s="1"/>
      <c r="G3253" s="1"/>
      <c r="H3253" s="1"/>
      <c r="I3253" s="1"/>
      <c r="J3253" s="1"/>
      <c r="K3253" s="102" t="s">
        <v>5623</v>
      </c>
      <c r="L3253" s="102" t="str">
        <f>R228</f>
        <v>J1a2a1a2d2b2b2c4c4~</v>
      </c>
      <c r="M3253" s="102" t="s">
        <v>5624</v>
      </c>
      <c r="N3253" s="102" t="s">
        <v>5625</v>
      </c>
      <c r="O3253" s="105">
        <v>1.4121764E7</v>
      </c>
      <c r="P3253" s="105">
        <v>1.2001058E7</v>
      </c>
      <c r="Q3253" s="102" t="s">
        <v>2529</v>
      </c>
      <c r="S3253" s="1"/>
      <c r="T3253" s="1"/>
      <c r="U3253" s="1"/>
      <c r="V3253" s="1"/>
      <c r="W3253" s="1"/>
      <c r="X3253" s="1"/>
      <c r="Y3253" s="1"/>
      <c r="Z3253" s="102"/>
      <c r="AA3253" s="102"/>
      <c r="AB3253" s="1"/>
      <c r="AC3253" s="1"/>
      <c r="AD3253" s="1"/>
      <c r="AE3253" s="1"/>
      <c r="AF3253" s="1"/>
      <c r="AG3253" s="1"/>
    </row>
    <row r="3254" ht="15.75" customHeight="1">
      <c r="A3254" s="1"/>
      <c r="B3254" s="1"/>
      <c r="C3254" s="1"/>
      <c r="D3254" s="1"/>
      <c r="E3254" s="1"/>
      <c r="F3254" s="1"/>
      <c r="G3254" s="1"/>
      <c r="H3254" s="1"/>
      <c r="I3254" s="1"/>
      <c r="J3254" s="1"/>
      <c r="K3254" s="102" t="s">
        <v>5624</v>
      </c>
      <c r="L3254" s="102" t="str">
        <f>R228</f>
        <v>J1a2a1a2d2b2b2c4c4~</v>
      </c>
      <c r="M3254" s="102" t="s">
        <v>5623</v>
      </c>
      <c r="N3254" s="102" t="s">
        <v>5625</v>
      </c>
      <c r="O3254" s="105">
        <v>1.4121764E7</v>
      </c>
      <c r="P3254" s="105">
        <v>1.2001058E7</v>
      </c>
      <c r="Q3254" s="102" t="s">
        <v>2529</v>
      </c>
      <c r="S3254" s="1"/>
      <c r="T3254" s="1"/>
      <c r="U3254" s="1"/>
      <c r="V3254" s="1"/>
      <c r="W3254" s="1"/>
      <c r="X3254" s="1"/>
      <c r="Y3254" s="1"/>
      <c r="Z3254" s="102"/>
      <c r="AA3254" s="102"/>
      <c r="AB3254" s="1"/>
      <c r="AC3254" s="1"/>
      <c r="AD3254" s="1"/>
      <c r="AE3254" s="1"/>
      <c r="AF3254" s="1"/>
      <c r="AG3254" s="1"/>
    </row>
    <row r="3255" ht="15.75" customHeight="1">
      <c r="A3255" s="1"/>
      <c r="B3255" s="1"/>
      <c r="C3255" s="1"/>
      <c r="D3255" s="1"/>
      <c r="E3255" s="1"/>
      <c r="F3255" s="1"/>
      <c r="G3255" s="1"/>
      <c r="H3255" s="1"/>
      <c r="I3255" s="1"/>
      <c r="J3255" s="1"/>
      <c r="K3255" s="102" t="s">
        <v>5626</v>
      </c>
      <c r="L3255" s="102" t="str">
        <f>R228</f>
        <v>J1a2a1a2d2b2b2c4c4~</v>
      </c>
      <c r="M3255" s="102" t="s">
        <v>5627</v>
      </c>
      <c r="N3255" s="102" t="s">
        <v>5628</v>
      </c>
      <c r="O3255" s="105">
        <v>1.6486773E7</v>
      </c>
      <c r="P3255" s="105">
        <v>1.4374893E7</v>
      </c>
      <c r="Q3255" s="102" t="s">
        <v>2446</v>
      </c>
      <c r="S3255" s="1"/>
      <c r="T3255" s="1"/>
      <c r="U3255" s="1"/>
      <c r="V3255" s="1"/>
      <c r="W3255" s="1"/>
      <c r="X3255" s="1"/>
      <c r="Y3255" s="1"/>
      <c r="Z3255" s="102"/>
      <c r="AA3255" s="102"/>
      <c r="AB3255" s="1"/>
      <c r="AC3255" s="1"/>
      <c r="AD3255" s="1"/>
      <c r="AE3255" s="1"/>
      <c r="AF3255" s="1"/>
      <c r="AG3255" s="1"/>
    </row>
    <row r="3256" ht="15.75" customHeight="1">
      <c r="A3256" s="1"/>
      <c r="B3256" s="1"/>
      <c r="C3256" s="1"/>
      <c r="D3256" s="1"/>
      <c r="E3256" s="1"/>
      <c r="F3256" s="1"/>
      <c r="G3256" s="1"/>
      <c r="H3256" s="1"/>
      <c r="I3256" s="1"/>
      <c r="J3256" s="1"/>
      <c r="K3256" s="102" t="s">
        <v>5627</v>
      </c>
      <c r="L3256" s="102" t="str">
        <f>R228</f>
        <v>J1a2a1a2d2b2b2c4c4~</v>
      </c>
      <c r="M3256" s="102" t="s">
        <v>5626</v>
      </c>
      <c r="N3256" s="102" t="s">
        <v>5628</v>
      </c>
      <c r="O3256" s="105">
        <v>1.6486773E7</v>
      </c>
      <c r="P3256" s="105">
        <v>1.4374893E7</v>
      </c>
      <c r="Q3256" s="102" t="s">
        <v>2446</v>
      </c>
      <c r="S3256" s="1"/>
      <c r="T3256" s="1"/>
      <c r="U3256" s="1"/>
      <c r="V3256" s="1"/>
      <c r="W3256" s="1"/>
      <c r="X3256" s="1"/>
      <c r="Y3256" s="1"/>
      <c r="Z3256" s="102"/>
      <c r="AA3256" s="102"/>
      <c r="AB3256" s="1"/>
      <c r="AC3256" s="1"/>
      <c r="AD3256" s="1"/>
      <c r="AE3256" s="1"/>
      <c r="AF3256" s="1"/>
      <c r="AG3256" s="1"/>
    </row>
    <row r="3257" ht="15.75" customHeight="1">
      <c r="A3257" s="1"/>
      <c r="B3257" s="1"/>
      <c r="C3257" s="1"/>
      <c r="D3257" s="1"/>
      <c r="E3257" s="1"/>
      <c r="F3257" s="1"/>
      <c r="G3257" s="1"/>
      <c r="H3257" s="1"/>
      <c r="I3257" s="1"/>
      <c r="J3257" s="1"/>
      <c r="K3257" s="102" t="s">
        <v>5629</v>
      </c>
      <c r="L3257" s="102" t="str">
        <f>R228</f>
        <v>J1a2a1a2d2b2b2c4c4~</v>
      </c>
      <c r="M3257" s="102"/>
      <c r="N3257" s="102" t="s">
        <v>5630</v>
      </c>
      <c r="O3257" s="105">
        <v>2.3252135E7</v>
      </c>
      <c r="P3257" s="105">
        <v>2.1090249E7</v>
      </c>
      <c r="Q3257" s="102" t="s">
        <v>2439</v>
      </c>
      <c r="S3257" s="1"/>
      <c r="T3257" s="1"/>
      <c r="U3257" s="1"/>
      <c r="V3257" s="1"/>
      <c r="W3257" s="1"/>
      <c r="X3257" s="1"/>
      <c r="Y3257" s="1"/>
      <c r="Z3257" s="102"/>
      <c r="AA3257" s="102"/>
      <c r="AB3257" s="1"/>
      <c r="AC3257" s="1"/>
      <c r="AD3257" s="1"/>
      <c r="AE3257" s="1"/>
      <c r="AF3257" s="1"/>
      <c r="AG3257" s="1"/>
    </row>
    <row r="3258" ht="15.75" customHeight="1">
      <c r="A3258" s="1"/>
      <c r="B3258" s="1"/>
      <c r="C3258" s="1"/>
      <c r="D3258" s="1"/>
      <c r="E3258" s="1"/>
      <c r="F3258" s="1"/>
      <c r="G3258" s="1"/>
      <c r="H3258" s="1"/>
      <c r="I3258" s="1"/>
      <c r="J3258" s="1"/>
      <c r="K3258" s="102" t="s">
        <v>5631</v>
      </c>
      <c r="L3258" s="102" t="str">
        <f>R228</f>
        <v>J1a2a1a2d2b2b2c4c4~</v>
      </c>
      <c r="M3258" s="102"/>
      <c r="N3258" s="102"/>
      <c r="O3258" s="105">
        <v>1.8159196E7</v>
      </c>
      <c r="P3258" s="105">
        <v>1.6047316E7</v>
      </c>
      <c r="Q3258" s="102" t="s">
        <v>2533</v>
      </c>
      <c r="S3258" s="1"/>
      <c r="T3258" s="1"/>
      <c r="U3258" s="1"/>
      <c r="V3258" s="1"/>
      <c r="W3258" s="1"/>
      <c r="X3258" s="1"/>
      <c r="Y3258" s="1"/>
      <c r="Z3258" s="102">
        <v>1.8159196E7</v>
      </c>
      <c r="AA3258" s="102"/>
      <c r="AB3258" s="1"/>
      <c r="AC3258" s="1"/>
      <c r="AD3258" s="1"/>
      <c r="AE3258" s="1"/>
      <c r="AF3258" s="1"/>
      <c r="AG3258" s="1"/>
    </row>
    <row r="3259" ht="15.75" customHeight="1">
      <c r="A3259" s="1"/>
      <c r="B3259" s="1"/>
      <c r="C3259" s="1"/>
      <c r="D3259" s="1"/>
      <c r="E3259" s="1"/>
      <c r="F3259" s="1"/>
      <c r="G3259" s="1"/>
      <c r="H3259" s="1"/>
      <c r="I3259" s="1"/>
      <c r="J3259" s="1"/>
      <c r="K3259" s="102" t="s">
        <v>427</v>
      </c>
      <c r="L3259" s="102" t="str">
        <f>S229</f>
        <v>J1a2a1a2d2b2b2c4c4a~</v>
      </c>
      <c r="M3259" s="102"/>
      <c r="N3259" s="102"/>
      <c r="O3259" s="105">
        <v>9977933.0</v>
      </c>
      <c r="P3259" s="105">
        <v>1.0140324E7</v>
      </c>
      <c r="Q3259" s="102" t="s">
        <v>2439</v>
      </c>
      <c r="S3259" s="1"/>
      <c r="T3259" s="1"/>
      <c r="U3259" s="1"/>
      <c r="V3259" s="1"/>
      <c r="W3259" s="1"/>
      <c r="X3259" s="1"/>
      <c r="Y3259" s="1"/>
      <c r="Z3259" s="102"/>
      <c r="AA3259" s="102"/>
      <c r="AB3259" s="1"/>
      <c r="AC3259" s="1"/>
      <c r="AD3259" s="1"/>
      <c r="AE3259" s="1"/>
      <c r="AF3259" s="1"/>
      <c r="AG3259" s="1"/>
    </row>
    <row r="3260" ht="15.75" customHeight="1">
      <c r="A3260" s="1"/>
      <c r="B3260" s="1"/>
      <c r="C3260" s="1"/>
      <c r="D3260" s="1"/>
      <c r="E3260" s="1"/>
      <c r="F3260" s="1"/>
      <c r="G3260" s="1"/>
      <c r="H3260" s="1"/>
      <c r="I3260" s="1"/>
      <c r="J3260" s="1"/>
      <c r="K3260" s="102" t="s">
        <v>5632</v>
      </c>
      <c r="L3260" s="102" t="str">
        <f>T230</f>
        <v>J1a2a1a2d2b2b2c4c4a1~</v>
      </c>
      <c r="M3260" s="102" t="s">
        <v>5633</v>
      </c>
      <c r="N3260" s="102" t="s">
        <v>5634</v>
      </c>
      <c r="O3260" s="105">
        <v>1.5688336E7</v>
      </c>
      <c r="P3260" s="105">
        <v>1.3576456E7</v>
      </c>
      <c r="Q3260" s="102" t="s">
        <v>2439</v>
      </c>
      <c r="S3260" s="1"/>
      <c r="T3260" s="1"/>
      <c r="U3260" s="1"/>
      <c r="V3260" s="1"/>
      <c r="W3260" s="1"/>
      <c r="X3260" s="1"/>
      <c r="Y3260" s="1"/>
      <c r="Z3260" s="102"/>
      <c r="AA3260" s="102"/>
      <c r="AB3260" s="1"/>
      <c r="AC3260" s="1"/>
      <c r="AD3260" s="1"/>
      <c r="AE3260" s="1"/>
      <c r="AF3260" s="1"/>
      <c r="AG3260" s="1"/>
    </row>
    <row r="3261" ht="15.75" customHeight="1">
      <c r="A3261" s="1"/>
      <c r="B3261" s="1"/>
      <c r="C3261" s="1"/>
      <c r="D3261" s="1"/>
      <c r="E3261" s="1"/>
      <c r="F3261" s="1"/>
      <c r="G3261" s="1"/>
      <c r="H3261" s="1"/>
      <c r="I3261" s="1"/>
      <c r="J3261" s="1"/>
      <c r="K3261" s="102" t="s">
        <v>5633</v>
      </c>
      <c r="L3261" s="102" t="str">
        <f>T230</f>
        <v>J1a2a1a2d2b2b2c4c4a1~</v>
      </c>
      <c r="M3261" s="102" t="s">
        <v>5632</v>
      </c>
      <c r="N3261" s="102" t="s">
        <v>5634</v>
      </c>
      <c r="O3261" s="105">
        <v>1.5688336E7</v>
      </c>
      <c r="P3261" s="105">
        <v>1.3576456E7</v>
      </c>
      <c r="Q3261" s="102" t="s">
        <v>2439</v>
      </c>
      <c r="S3261" s="1"/>
      <c r="T3261" s="1"/>
      <c r="U3261" s="1"/>
      <c r="V3261" s="1"/>
      <c r="W3261" s="1"/>
      <c r="X3261" s="1"/>
      <c r="Y3261" s="1"/>
      <c r="Z3261" s="102"/>
      <c r="AA3261" s="102"/>
      <c r="AB3261" s="1"/>
      <c r="AC3261" s="1"/>
      <c r="AD3261" s="1"/>
      <c r="AE3261" s="1"/>
      <c r="AF3261" s="1"/>
      <c r="AG3261" s="1"/>
    </row>
    <row r="3262" ht="15.75" customHeight="1">
      <c r="A3262" s="1"/>
      <c r="B3262" s="1"/>
      <c r="C3262" s="1"/>
      <c r="D3262" s="1"/>
      <c r="E3262" s="1"/>
      <c r="F3262" s="1"/>
      <c r="G3262" s="1"/>
      <c r="H3262" s="1"/>
      <c r="I3262" s="1"/>
      <c r="J3262" s="1"/>
      <c r="K3262" s="102" t="s">
        <v>5635</v>
      </c>
      <c r="L3262" s="102" t="str">
        <f>T230</f>
        <v>J1a2a1a2d2b2b2c4c4a1~</v>
      </c>
      <c r="M3262" s="102" t="s">
        <v>5636</v>
      </c>
      <c r="N3262" s="102" t="s">
        <v>5637</v>
      </c>
      <c r="O3262" s="105">
        <v>1.7249405E7</v>
      </c>
      <c r="P3262" s="105">
        <v>1.5137525E7</v>
      </c>
      <c r="Q3262" s="102" t="s">
        <v>2529</v>
      </c>
      <c r="S3262" s="1"/>
      <c r="T3262" s="1"/>
      <c r="U3262" s="1"/>
      <c r="V3262" s="1"/>
      <c r="W3262" s="1"/>
      <c r="X3262" s="1"/>
      <c r="Y3262" s="1"/>
      <c r="Z3262" s="102"/>
      <c r="AA3262" s="102"/>
      <c r="AB3262" s="1"/>
      <c r="AC3262" s="1"/>
      <c r="AD3262" s="1"/>
      <c r="AE3262" s="1"/>
      <c r="AF3262" s="1"/>
      <c r="AG3262" s="1"/>
    </row>
    <row r="3263" ht="15.75" customHeight="1">
      <c r="A3263" s="1"/>
      <c r="B3263" s="1"/>
      <c r="C3263" s="1"/>
      <c r="D3263" s="1"/>
      <c r="E3263" s="1"/>
      <c r="F3263" s="1"/>
      <c r="G3263" s="1"/>
      <c r="H3263" s="1"/>
      <c r="I3263" s="1"/>
      <c r="J3263" s="1"/>
      <c r="K3263" s="102" t="s">
        <v>5636</v>
      </c>
      <c r="L3263" s="102" t="str">
        <f>T230</f>
        <v>J1a2a1a2d2b2b2c4c4a1~</v>
      </c>
      <c r="M3263" s="102" t="s">
        <v>5635</v>
      </c>
      <c r="N3263" s="102" t="s">
        <v>5637</v>
      </c>
      <c r="O3263" s="105">
        <v>1.7249405E7</v>
      </c>
      <c r="P3263" s="105">
        <v>1.5137525E7</v>
      </c>
      <c r="Q3263" s="102" t="s">
        <v>2529</v>
      </c>
      <c r="S3263" s="1"/>
      <c r="T3263" s="1"/>
      <c r="U3263" s="1"/>
      <c r="V3263" s="1"/>
      <c r="W3263" s="1"/>
      <c r="X3263" s="1"/>
      <c r="Y3263" s="1"/>
      <c r="Z3263" s="102"/>
      <c r="AA3263" s="102"/>
      <c r="AB3263" s="1"/>
      <c r="AC3263" s="1"/>
      <c r="AD3263" s="1"/>
      <c r="AE3263" s="1"/>
      <c r="AF3263" s="1"/>
      <c r="AG3263" s="1"/>
    </row>
    <row r="3264" ht="15.75" customHeight="1">
      <c r="A3264" s="1"/>
      <c r="B3264" s="1"/>
      <c r="C3264" s="1"/>
      <c r="D3264" s="1"/>
      <c r="E3264" s="1"/>
      <c r="F3264" s="1"/>
      <c r="G3264" s="1"/>
      <c r="H3264" s="1"/>
      <c r="I3264" s="1"/>
      <c r="J3264" s="1"/>
      <c r="K3264" s="102" t="s">
        <v>5638</v>
      </c>
      <c r="L3264" s="102" t="str">
        <f>T230</f>
        <v>J1a2a1a2d2b2b2c4c4a1~</v>
      </c>
      <c r="M3264" s="102"/>
      <c r="N3264" s="102" t="s">
        <v>5639</v>
      </c>
      <c r="O3264" s="105">
        <v>8066491.0</v>
      </c>
      <c r="P3264" s="105">
        <v>8198450.0</v>
      </c>
      <c r="Q3264" s="102" t="s">
        <v>2432</v>
      </c>
      <c r="S3264" s="1"/>
      <c r="T3264" s="1"/>
      <c r="U3264" s="1"/>
      <c r="V3264" s="1"/>
      <c r="W3264" s="1"/>
      <c r="X3264" s="1"/>
      <c r="Y3264" s="1"/>
      <c r="Z3264" s="102"/>
      <c r="AA3264" s="102"/>
      <c r="AB3264" s="1"/>
      <c r="AC3264" s="1"/>
      <c r="AD3264" s="1"/>
      <c r="AE3264" s="1"/>
      <c r="AF3264" s="1"/>
      <c r="AG3264" s="1"/>
    </row>
    <row r="3265" ht="15.75" customHeight="1">
      <c r="A3265" s="1"/>
      <c r="B3265" s="1"/>
      <c r="C3265" s="1"/>
      <c r="D3265" s="1"/>
      <c r="E3265" s="1"/>
      <c r="F3265" s="1"/>
      <c r="G3265" s="1"/>
      <c r="H3265" s="1"/>
      <c r="I3265" s="1"/>
      <c r="J3265" s="1"/>
      <c r="K3265" s="102" t="s">
        <v>5640</v>
      </c>
      <c r="L3265" s="102" t="str">
        <f>U231</f>
        <v>J1a2a1a2d2b2b2c4c4a1a~</v>
      </c>
      <c r="M3265" s="102"/>
      <c r="N3265" s="102" t="s">
        <v>5641</v>
      </c>
      <c r="O3265" s="105">
        <v>6998132.0</v>
      </c>
      <c r="P3265" s="105">
        <v>7130091.0</v>
      </c>
      <c r="Q3265" s="102" t="s">
        <v>2439</v>
      </c>
      <c r="S3265" s="1"/>
      <c r="T3265" s="1"/>
      <c r="U3265" s="1"/>
      <c r="V3265" s="1"/>
      <c r="W3265" s="1"/>
      <c r="X3265" s="1"/>
      <c r="Y3265" s="1"/>
      <c r="Z3265" s="102"/>
      <c r="AA3265" s="102"/>
      <c r="AB3265" s="1"/>
      <c r="AC3265" s="1"/>
      <c r="AD3265" s="1"/>
      <c r="AE3265" s="1"/>
      <c r="AF3265" s="1"/>
      <c r="AG3265" s="1"/>
    </row>
    <row r="3266" ht="15.75" customHeight="1">
      <c r="A3266" s="1"/>
      <c r="B3266" s="1"/>
      <c r="C3266" s="1"/>
      <c r="D3266" s="1"/>
      <c r="E3266" s="1"/>
      <c r="F3266" s="1"/>
      <c r="G3266" s="1"/>
      <c r="H3266" s="1"/>
      <c r="I3266" s="1"/>
      <c r="J3266" s="1"/>
      <c r="K3266" s="102" t="s">
        <v>5642</v>
      </c>
      <c r="L3266" s="102" t="str">
        <f>U231</f>
        <v>J1a2a1a2d2b2b2c4c4a1a~</v>
      </c>
      <c r="M3266" s="102" t="s">
        <v>5643</v>
      </c>
      <c r="N3266" s="102" t="s">
        <v>5644</v>
      </c>
      <c r="O3266" s="105">
        <v>1.5687046E7</v>
      </c>
      <c r="P3266" s="105">
        <v>1.3575166E7</v>
      </c>
      <c r="Q3266" s="102" t="s">
        <v>2468</v>
      </c>
      <c r="S3266" s="1"/>
      <c r="T3266" s="1"/>
      <c r="U3266" s="1"/>
      <c r="V3266" s="1"/>
      <c r="W3266" s="1"/>
      <c r="X3266" s="1"/>
      <c r="Y3266" s="1"/>
      <c r="Z3266" s="102"/>
      <c r="AA3266" s="102"/>
      <c r="AB3266" s="1"/>
      <c r="AC3266" s="1"/>
      <c r="AD3266" s="1"/>
      <c r="AE3266" s="1"/>
      <c r="AF3266" s="1"/>
      <c r="AG3266" s="1"/>
    </row>
    <row r="3267" ht="15.75" customHeight="1">
      <c r="A3267" s="1"/>
      <c r="B3267" s="1"/>
      <c r="C3267" s="1"/>
      <c r="D3267" s="1"/>
      <c r="E3267" s="1"/>
      <c r="F3267" s="1"/>
      <c r="G3267" s="1"/>
      <c r="H3267" s="1"/>
      <c r="I3267" s="1"/>
      <c r="J3267" s="1"/>
      <c r="K3267" s="102" t="s">
        <v>5643</v>
      </c>
      <c r="L3267" s="102" t="str">
        <f>U231</f>
        <v>J1a2a1a2d2b2b2c4c4a1a~</v>
      </c>
      <c r="M3267" s="102" t="s">
        <v>5642</v>
      </c>
      <c r="N3267" s="102" t="s">
        <v>5644</v>
      </c>
      <c r="O3267" s="105">
        <v>1.5687046E7</v>
      </c>
      <c r="P3267" s="105">
        <v>1.3575166E7</v>
      </c>
      <c r="Q3267" s="102" t="s">
        <v>2468</v>
      </c>
      <c r="S3267" s="1"/>
      <c r="T3267" s="1"/>
      <c r="U3267" s="1"/>
      <c r="V3267" s="1"/>
      <c r="W3267" s="1"/>
      <c r="X3267" s="1"/>
      <c r="Y3267" s="1"/>
      <c r="Z3267" s="102"/>
      <c r="AA3267" s="102"/>
      <c r="AB3267" s="1"/>
      <c r="AC3267" s="1"/>
      <c r="AD3267" s="1"/>
      <c r="AE3267" s="1"/>
      <c r="AF3267" s="1"/>
      <c r="AG3267" s="1"/>
    </row>
    <row r="3268" ht="15.75" customHeight="1">
      <c r="A3268" s="1"/>
      <c r="B3268" s="1"/>
      <c r="C3268" s="1"/>
      <c r="D3268" s="1"/>
      <c r="E3268" s="1"/>
      <c r="F3268" s="1"/>
      <c r="G3268" s="1"/>
      <c r="H3268" s="1"/>
      <c r="I3268" s="1"/>
      <c r="J3268" s="1"/>
      <c r="K3268" s="102" t="s">
        <v>5645</v>
      </c>
      <c r="L3268" s="102" t="str">
        <f>U231</f>
        <v>J1a2a1a2d2b2b2c4c4a1a~</v>
      </c>
      <c r="M3268" s="102" t="s">
        <v>5646</v>
      </c>
      <c r="N3268" s="102" t="s">
        <v>5647</v>
      </c>
      <c r="O3268" s="105">
        <v>1.5689285E7</v>
      </c>
      <c r="P3268" s="105">
        <v>1.3577405E7</v>
      </c>
      <c r="Q3268" s="102" t="s">
        <v>2454</v>
      </c>
      <c r="S3268" s="1"/>
      <c r="T3268" s="1"/>
      <c r="U3268" s="1"/>
      <c r="V3268" s="1"/>
      <c r="W3268" s="1"/>
      <c r="X3268" s="1"/>
      <c r="Y3268" s="1"/>
      <c r="Z3268" s="102"/>
      <c r="AA3268" s="102"/>
      <c r="AB3268" s="1"/>
      <c r="AC3268" s="1"/>
      <c r="AD3268" s="1"/>
      <c r="AE3268" s="1"/>
      <c r="AF3268" s="1"/>
      <c r="AG3268" s="1"/>
    </row>
    <row r="3269" ht="15.75" customHeight="1">
      <c r="A3269" s="1"/>
      <c r="B3269" s="1"/>
      <c r="C3269" s="1"/>
      <c r="D3269" s="1"/>
      <c r="E3269" s="1"/>
      <c r="F3269" s="1"/>
      <c r="G3269" s="1"/>
      <c r="H3269" s="1"/>
      <c r="I3269" s="1"/>
      <c r="J3269" s="1"/>
      <c r="K3269" s="102" t="s">
        <v>5646</v>
      </c>
      <c r="L3269" s="102" t="str">
        <f>U231</f>
        <v>J1a2a1a2d2b2b2c4c4a1a~</v>
      </c>
      <c r="M3269" s="102" t="s">
        <v>5645</v>
      </c>
      <c r="N3269" s="102" t="s">
        <v>5647</v>
      </c>
      <c r="O3269" s="105">
        <v>1.5689285E7</v>
      </c>
      <c r="P3269" s="105">
        <v>1.3577405E7</v>
      </c>
      <c r="Q3269" s="102" t="s">
        <v>2454</v>
      </c>
      <c r="S3269" s="1"/>
      <c r="T3269" s="1"/>
      <c r="U3269" s="1"/>
      <c r="V3269" s="1"/>
      <c r="W3269" s="1"/>
      <c r="X3269" s="1"/>
      <c r="Y3269" s="1"/>
      <c r="Z3269" s="102"/>
      <c r="AA3269" s="102"/>
      <c r="AB3269" s="1"/>
      <c r="AC3269" s="1"/>
      <c r="AD3269" s="1"/>
      <c r="AE3269" s="1"/>
      <c r="AF3269" s="1"/>
      <c r="AG3269" s="1"/>
    </row>
    <row r="3270" ht="15.75" customHeight="1">
      <c r="A3270" s="1"/>
      <c r="B3270" s="1"/>
      <c r="C3270" s="1"/>
      <c r="D3270" s="1"/>
      <c r="E3270" s="1"/>
      <c r="F3270" s="1"/>
      <c r="G3270" s="1"/>
      <c r="H3270" s="1"/>
      <c r="I3270" s="1"/>
      <c r="J3270" s="1"/>
      <c r="K3270" s="102" t="s">
        <v>5648</v>
      </c>
      <c r="L3270" s="102" t="str">
        <f>U231</f>
        <v>J1a2a1a2d2b2b2c4c4a1a~</v>
      </c>
      <c r="M3270" s="102"/>
      <c r="N3270" s="102" t="s">
        <v>5649</v>
      </c>
      <c r="O3270" s="105">
        <v>1.7108766E7</v>
      </c>
      <c r="P3270" s="105">
        <v>1.4996886E7</v>
      </c>
      <c r="Q3270" s="102" t="s">
        <v>2468</v>
      </c>
      <c r="S3270" s="1"/>
      <c r="T3270" s="1"/>
      <c r="U3270" s="1"/>
      <c r="V3270" s="1"/>
      <c r="W3270" s="1"/>
      <c r="X3270" s="1"/>
      <c r="Y3270" s="1"/>
      <c r="Z3270" s="102"/>
      <c r="AA3270" s="102"/>
      <c r="AB3270" s="1"/>
      <c r="AC3270" s="1"/>
      <c r="AD3270" s="1"/>
      <c r="AE3270" s="1"/>
      <c r="AF3270" s="1"/>
      <c r="AG3270" s="1"/>
    </row>
    <row r="3271" ht="15.75" customHeight="1">
      <c r="A3271" s="1"/>
      <c r="B3271" s="1"/>
      <c r="C3271" s="1"/>
      <c r="D3271" s="1"/>
      <c r="E3271" s="1"/>
      <c r="F3271" s="1"/>
      <c r="G3271" s="1"/>
      <c r="H3271" s="1"/>
      <c r="I3271" s="1"/>
      <c r="J3271" s="1"/>
      <c r="K3271" s="102" t="s">
        <v>5650</v>
      </c>
      <c r="L3271" s="102" t="str">
        <f>U231</f>
        <v>J1a2a1a2d2b2b2c4c4a1a~</v>
      </c>
      <c r="M3271" s="106" t="s">
        <v>5651</v>
      </c>
      <c r="N3271" s="102" t="s">
        <v>5652</v>
      </c>
      <c r="O3271" s="105">
        <v>1.7400173E7</v>
      </c>
      <c r="P3271" s="105">
        <v>1.5288293E7</v>
      </c>
      <c r="Q3271" s="102" t="s">
        <v>2501</v>
      </c>
      <c r="S3271" s="1"/>
      <c r="T3271" s="1"/>
      <c r="U3271" s="1"/>
      <c r="V3271" s="1"/>
      <c r="W3271" s="1"/>
      <c r="X3271" s="1"/>
      <c r="Y3271" s="1"/>
      <c r="Z3271" s="102"/>
      <c r="AA3271" s="102"/>
      <c r="AB3271" s="1"/>
      <c r="AC3271" s="1"/>
      <c r="AD3271" s="1"/>
      <c r="AE3271" s="1"/>
      <c r="AF3271" s="1"/>
      <c r="AG3271" s="1"/>
    </row>
    <row r="3272" ht="15.75" customHeight="1">
      <c r="A3272" s="1"/>
      <c r="B3272" s="1"/>
      <c r="C3272" s="1"/>
      <c r="D3272" s="1"/>
      <c r="E3272" s="1"/>
      <c r="F3272" s="1"/>
      <c r="G3272" s="1"/>
      <c r="H3272" s="1"/>
      <c r="I3272" s="1"/>
      <c r="J3272" s="1"/>
      <c r="K3272" s="102" t="s">
        <v>5653</v>
      </c>
      <c r="L3272" s="102" t="str">
        <f>U231</f>
        <v>J1a2a1a2d2b2b2c4c4a1a~</v>
      </c>
      <c r="M3272" s="106" t="s">
        <v>5654</v>
      </c>
      <c r="N3272" s="102" t="s">
        <v>5652</v>
      </c>
      <c r="O3272" s="105">
        <v>1.7400173E7</v>
      </c>
      <c r="P3272" s="105">
        <v>1.5288293E7</v>
      </c>
      <c r="Q3272" s="102" t="s">
        <v>2501</v>
      </c>
      <c r="S3272" s="1"/>
      <c r="T3272" s="1"/>
      <c r="U3272" s="1"/>
      <c r="V3272" s="1"/>
      <c r="W3272" s="1"/>
      <c r="X3272" s="1"/>
      <c r="Y3272" s="1"/>
      <c r="Z3272" s="102"/>
      <c r="AA3272" s="102"/>
      <c r="AB3272" s="1"/>
      <c r="AC3272" s="1"/>
      <c r="AD3272" s="1"/>
      <c r="AE3272" s="1"/>
      <c r="AF3272" s="1"/>
      <c r="AG3272" s="1"/>
    </row>
    <row r="3273" ht="15.75" customHeight="1">
      <c r="A3273" s="1"/>
      <c r="B3273" s="1"/>
      <c r="C3273" s="1"/>
      <c r="D3273" s="1"/>
      <c r="E3273" s="1"/>
      <c r="F3273" s="1"/>
      <c r="G3273" s="1"/>
      <c r="H3273" s="1"/>
      <c r="I3273" s="1"/>
      <c r="J3273" s="1"/>
      <c r="K3273" s="106" t="s">
        <v>5655</v>
      </c>
      <c r="L3273" s="102" t="str">
        <f>U231</f>
        <v>J1a2a1a2d2b2b2c4c4a1a~</v>
      </c>
      <c r="M3273" s="102" t="s">
        <v>5656</v>
      </c>
      <c r="N3273" s="102" t="s">
        <v>5652</v>
      </c>
      <c r="O3273" s="105">
        <v>1.7400173E7</v>
      </c>
      <c r="P3273" s="105">
        <v>1.5288293E7</v>
      </c>
      <c r="Q3273" s="102" t="s">
        <v>2501</v>
      </c>
      <c r="S3273" s="1"/>
      <c r="T3273" s="1"/>
      <c r="U3273" s="1"/>
      <c r="V3273" s="1"/>
      <c r="W3273" s="1"/>
      <c r="X3273" s="1"/>
      <c r="Y3273" s="1"/>
      <c r="Z3273" s="102">
        <v>1.4064186E7</v>
      </c>
      <c r="AA3273" s="102"/>
      <c r="AB3273" s="1"/>
      <c r="AC3273" s="1"/>
      <c r="AD3273" s="1"/>
      <c r="AE3273" s="1"/>
      <c r="AF3273" s="1"/>
      <c r="AG3273" s="1"/>
    </row>
    <row r="3274" ht="15.75" customHeight="1">
      <c r="A3274" s="1"/>
      <c r="B3274" s="1"/>
      <c r="C3274" s="1"/>
      <c r="D3274" s="1"/>
      <c r="E3274" s="1"/>
      <c r="F3274" s="1"/>
      <c r="G3274" s="1"/>
      <c r="H3274" s="1"/>
      <c r="I3274" s="1"/>
      <c r="J3274" s="1"/>
      <c r="K3274" s="102" t="s">
        <v>5657</v>
      </c>
      <c r="L3274" s="102" t="str">
        <f>U231</f>
        <v>J1a2a1a2d2b2b2c4c4a1a~</v>
      </c>
      <c r="M3274" s="102" t="s">
        <v>5658</v>
      </c>
      <c r="N3274" s="102" t="s">
        <v>5659</v>
      </c>
      <c r="O3274" s="105">
        <v>1.9097273E7</v>
      </c>
      <c r="P3274" s="105">
        <v>1.6985393E7</v>
      </c>
      <c r="Q3274" s="102" t="s">
        <v>2501</v>
      </c>
      <c r="S3274" s="1"/>
      <c r="T3274" s="1"/>
      <c r="U3274" s="1"/>
      <c r="V3274" s="1"/>
      <c r="W3274" s="1"/>
      <c r="X3274" s="1"/>
      <c r="Y3274" s="1"/>
      <c r="Z3274" s="102"/>
      <c r="AA3274" s="102"/>
      <c r="AB3274" s="1"/>
      <c r="AC3274" s="1"/>
      <c r="AD3274" s="1"/>
      <c r="AE3274" s="1"/>
      <c r="AF3274" s="1"/>
      <c r="AG3274" s="1"/>
    </row>
    <row r="3275" ht="15.75" customHeight="1">
      <c r="A3275" s="1"/>
      <c r="B3275" s="1"/>
      <c r="C3275" s="1"/>
      <c r="D3275" s="1"/>
      <c r="E3275" s="1"/>
      <c r="F3275" s="1"/>
      <c r="G3275" s="1"/>
      <c r="H3275" s="1"/>
      <c r="I3275" s="1"/>
      <c r="J3275" s="1"/>
      <c r="K3275" s="102" t="s">
        <v>5658</v>
      </c>
      <c r="L3275" s="102" t="str">
        <f>U231</f>
        <v>J1a2a1a2d2b2b2c4c4a1a~</v>
      </c>
      <c r="M3275" s="102" t="s">
        <v>5657</v>
      </c>
      <c r="N3275" s="102" t="s">
        <v>5659</v>
      </c>
      <c r="O3275" s="105">
        <v>1.9097273E7</v>
      </c>
      <c r="P3275" s="105">
        <v>1.6985393E7</v>
      </c>
      <c r="Q3275" s="102" t="s">
        <v>2501</v>
      </c>
      <c r="S3275" s="1"/>
      <c r="T3275" s="1"/>
      <c r="U3275" s="1"/>
      <c r="V3275" s="1"/>
      <c r="W3275" s="1"/>
      <c r="X3275" s="1"/>
      <c r="Y3275" s="1"/>
      <c r="Z3275" s="102"/>
      <c r="AA3275" s="102"/>
      <c r="AB3275" s="1"/>
      <c r="AC3275" s="1"/>
      <c r="AD3275" s="1"/>
      <c r="AE3275" s="1"/>
      <c r="AF3275" s="1"/>
      <c r="AG3275" s="1"/>
    </row>
    <row r="3276" ht="15.75" customHeight="1">
      <c r="A3276" s="1"/>
      <c r="B3276" s="1"/>
      <c r="C3276" s="1"/>
      <c r="D3276" s="1"/>
      <c r="E3276" s="1"/>
      <c r="F3276" s="1"/>
      <c r="G3276" s="1"/>
      <c r="H3276" s="1"/>
      <c r="I3276" s="1"/>
      <c r="J3276" s="1"/>
      <c r="K3276" s="102" t="s">
        <v>5660</v>
      </c>
      <c r="L3276" s="102" t="str">
        <f>U231</f>
        <v>J1a2a1a2d2b2b2c4c4a1a~</v>
      </c>
      <c r="M3276" s="102" t="s">
        <v>5661</v>
      </c>
      <c r="N3276" s="102" t="s">
        <v>5662</v>
      </c>
      <c r="O3276" s="105">
        <v>2.3136609E7</v>
      </c>
      <c r="P3276" s="105">
        <v>2.0974723E7</v>
      </c>
      <c r="Q3276" s="102" t="s">
        <v>2439</v>
      </c>
      <c r="S3276" s="1"/>
      <c r="T3276" s="1"/>
      <c r="U3276" s="1"/>
      <c r="V3276" s="1"/>
      <c r="W3276" s="1"/>
      <c r="X3276" s="1"/>
      <c r="Y3276" s="1"/>
      <c r="Z3276" s="102"/>
      <c r="AA3276" s="102"/>
      <c r="AB3276" s="1"/>
      <c r="AC3276" s="1"/>
      <c r="AD3276" s="1"/>
      <c r="AE3276" s="1"/>
      <c r="AF3276" s="1"/>
      <c r="AG3276" s="1"/>
    </row>
    <row r="3277" ht="15.75" customHeight="1">
      <c r="A3277" s="1"/>
      <c r="B3277" s="1"/>
      <c r="C3277" s="1"/>
      <c r="D3277" s="1"/>
      <c r="E3277" s="1"/>
      <c r="F3277" s="1"/>
      <c r="G3277" s="1"/>
      <c r="H3277" s="1"/>
      <c r="I3277" s="1"/>
      <c r="J3277" s="1"/>
      <c r="K3277" s="102" t="s">
        <v>5661</v>
      </c>
      <c r="L3277" s="102" t="str">
        <f>U231</f>
        <v>J1a2a1a2d2b2b2c4c4a1a~</v>
      </c>
      <c r="M3277" s="102" t="s">
        <v>5660</v>
      </c>
      <c r="N3277" s="102" t="s">
        <v>5662</v>
      </c>
      <c r="O3277" s="105">
        <v>2.3136609E7</v>
      </c>
      <c r="P3277" s="105">
        <v>2.0974723E7</v>
      </c>
      <c r="Q3277" s="102" t="s">
        <v>2439</v>
      </c>
      <c r="S3277" s="1"/>
      <c r="T3277" s="1"/>
      <c r="U3277" s="1"/>
      <c r="V3277" s="1"/>
      <c r="W3277" s="1"/>
      <c r="X3277" s="1"/>
      <c r="Y3277" s="1"/>
      <c r="Z3277" s="102"/>
      <c r="AA3277" s="102"/>
      <c r="AB3277" s="1"/>
      <c r="AC3277" s="1"/>
      <c r="AD3277" s="1"/>
      <c r="AE3277" s="1"/>
      <c r="AF3277" s="1"/>
      <c r="AG3277" s="1"/>
    </row>
    <row r="3278" ht="15.75" customHeight="1">
      <c r="A3278" s="1"/>
      <c r="B3278" s="1"/>
      <c r="C3278" s="1"/>
      <c r="D3278" s="1"/>
      <c r="E3278" s="1"/>
      <c r="F3278" s="1"/>
      <c r="G3278" s="1"/>
      <c r="H3278" s="1"/>
      <c r="I3278" s="1"/>
      <c r="J3278" s="1"/>
      <c r="K3278" s="102" t="s">
        <v>5663</v>
      </c>
      <c r="L3278" s="102" t="str">
        <f>U231</f>
        <v>J1a2a1a2d2b2b2c4c4a1a~</v>
      </c>
      <c r="M3278" s="102"/>
      <c r="N3278" s="102" t="s">
        <v>5664</v>
      </c>
      <c r="O3278" s="105">
        <v>1.5753671E7</v>
      </c>
      <c r="P3278" s="105">
        <v>1.3641791E7</v>
      </c>
      <c r="Q3278" s="102" t="s">
        <v>2533</v>
      </c>
      <c r="S3278" s="1"/>
      <c r="T3278" s="1"/>
      <c r="U3278" s="1"/>
      <c r="V3278" s="1"/>
      <c r="W3278" s="1"/>
      <c r="X3278" s="1"/>
      <c r="Y3278" s="1"/>
      <c r="Z3278" s="102"/>
      <c r="AA3278" s="102"/>
      <c r="AB3278" s="1"/>
      <c r="AC3278" s="1"/>
      <c r="AD3278" s="1"/>
      <c r="AE3278" s="1"/>
      <c r="AF3278" s="1"/>
      <c r="AG3278" s="1"/>
    </row>
    <row r="3279" ht="15.75" customHeight="1">
      <c r="A3279" s="1"/>
      <c r="B3279" s="1"/>
      <c r="C3279" s="1"/>
      <c r="D3279" s="1"/>
      <c r="E3279" s="1"/>
      <c r="F3279" s="1"/>
      <c r="G3279" s="1"/>
      <c r="H3279" s="1"/>
      <c r="I3279" s="1"/>
      <c r="J3279" s="1"/>
      <c r="K3279" s="102" t="s">
        <v>5665</v>
      </c>
      <c r="L3279" s="102" t="str">
        <f>U231</f>
        <v>J1a2a1a2d2b2b2c4c4a1a~</v>
      </c>
      <c r="M3279" s="102"/>
      <c r="N3279" s="102" t="s">
        <v>5666</v>
      </c>
      <c r="O3279" s="105">
        <v>1.806023E7</v>
      </c>
      <c r="P3279" s="105">
        <v>1.594835E7</v>
      </c>
      <c r="Q3279" s="102" t="s">
        <v>2439</v>
      </c>
      <c r="S3279" s="1"/>
      <c r="T3279" s="1"/>
      <c r="U3279" s="1"/>
      <c r="V3279" s="1"/>
      <c r="W3279" s="1"/>
      <c r="X3279" s="1"/>
      <c r="Y3279" s="1"/>
      <c r="Z3279" s="102"/>
      <c r="AA3279" s="102"/>
      <c r="AB3279" s="1"/>
      <c r="AC3279" s="1"/>
      <c r="AD3279" s="1"/>
      <c r="AE3279" s="1"/>
      <c r="AF3279" s="1"/>
      <c r="AG3279" s="1"/>
    </row>
    <row r="3280" ht="15.75" customHeight="1">
      <c r="A3280" s="1"/>
      <c r="B3280" s="1"/>
      <c r="C3280" s="1"/>
      <c r="D3280" s="1"/>
      <c r="E3280" s="1"/>
      <c r="F3280" s="1"/>
      <c r="G3280" s="1"/>
      <c r="H3280" s="1"/>
      <c r="I3280" s="1"/>
      <c r="J3280" s="1"/>
      <c r="K3280" s="102" t="s">
        <v>5667</v>
      </c>
      <c r="L3280" s="102" t="str">
        <f>U231</f>
        <v>J1a2a1a2d2b2b2c4c4a1a~</v>
      </c>
      <c r="M3280" s="102"/>
      <c r="N3280" s="102" t="s">
        <v>5668</v>
      </c>
      <c r="O3280" s="105">
        <v>2.4422679E7</v>
      </c>
      <c r="P3280" s="105">
        <v>2.2276532E7</v>
      </c>
      <c r="Q3280" s="102" t="s">
        <v>2439</v>
      </c>
      <c r="S3280" s="1"/>
      <c r="T3280" s="1"/>
      <c r="U3280" s="1"/>
      <c r="V3280" s="1"/>
      <c r="W3280" s="1"/>
      <c r="X3280" s="1"/>
      <c r="Y3280" s="1"/>
      <c r="Z3280" s="102"/>
      <c r="AA3280" s="102"/>
      <c r="AB3280" s="1"/>
      <c r="AC3280" s="1"/>
      <c r="AD3280" s="1"/>
      <c r="AE3280" s="1"/>
      <c r="AF3280" s="1"/>
      <c r="AG3280" s="1"/>
    </row>
    <row r="3281" ht="15.75" customHeight="1">
      <c r="A3281" s="1"/>
      <c r="B3281" s="1"/>
      <c r="C3281" s="1"/>
      <c r="D3281" s="1"/>
      <c r="E3281" s="1"/>
      <c r="F3281" s="1"/>
      <c r="G3281" s="1"/>
      <c r="H3281" s="1"/>
      <c r="I3281" s="1"/>
      <c r="J3281" s="1"/>
      <c r="K3281" s="102" t="s">
        <v>5669</v>
      </c>
      <c r="L3281" s="102" t="str">
        <f>U231</f>
        <v>J1a2a1a2d2b2b2c4c4a1a~</v>
      </c>
      <c r="M3281" s="102"/>
      <c r="N3281" s="102" t="s">
        <v>5670</v>
      </c>
      <c r="O3281" s="105">
        <v>1.4205451E7</v>
      </c>
      <c r="P3281" s="105">
        <v>1.2084745E7</v>
      </c>
      <c r="Q3281" s="102" t="s">
        <v>2446</v>
      </c>
      <c r="S3281" s="1"/>
      <c r="T3281" s="1"/>
      <c r="U3281" s="1"/>
      <c r="V3281" s="1"/>
      <c r="W3281" s="1"/>
      <c r="X3281" s="1"/>
      <c r="Y3281" s="1"/>
      <c r="Z3281" s="102"/>
      <c r="AA3281" s="102"/>
      <c r="AB3281" s="1"/>
      <c r="AC3281" s="1"/>
      <c r="AD3281" s="1"/>
      <c r="AE3281" s="1"/>
      <c r="AF3281" s="1"/>
      <c r="AG3281" s="1"/>
    </row>
    <row r="3282" ht="15.75" customHeight="1">
      <c r="A3282" s="1"/>
      <c r="B3282" s="1"/>
      <c r="C3282" s="1"/>
      <c r="D3282" s="1"/>
      <c r="E3282" s="1"/>
      <c r="F3282" s="1"/>
      <c r="G3282" s="1"/>
      <c r="H3282" s="1"/>
      <c r="I3282" s="1"/>
      <c r="J3282" s="1"/>
      <c r="K3282" s="102" t="s">
        <v>5671</v>
      </c>
      <c r="L3282" s="102" t="str">
        <f>U231</f>
        <v>J1a2a1a2d2b2b2c4c4a1a~</v>
      </c>
      <c r="M3282" s="102"/>
      <c r="N3282" s="102" t="s">
        <v>5672</v>
      </c>
      <c r="O3282" s="105">
        <v>8682230.0</v>
      </c>
      <c r="P3282" s="105">
        <v>8814189.0</v>
      </c>
      <c r="Q3282" s="102" t="s">
        <v>2501</v>
      </c>
      <c r="S3282" s="1"/>
      <c r="T3282" s="1"/>
      <c r="U3282" s="1"/>
      <c r="V3282" s="1"/>
      <c r="W3282" s="1"/>
      <c r="X3282" s="1"/>
      <c r="Y3282" s="1"/>
      <c r="Z3282" s="102"/>
      <c r="AA3282" s="102"/>
      <c r="AB3282" s="1"/>
      <c r="AC3282" s="1"/>
      <c r="AD3282" s="1"/>
      <c r="AE3282" s="1"/>
      <c r="AF3282" s="1"/>
      <c r="AG3282" s="1"/>
    </row>
    <row r="3283" ht="15.75" customHeight="1">
      <c r="A3283" s="1"/>
      <c r="B3283" s="1"/>
      <c r="C3283" s="1"/>
      <c r="D3283" s="1"/>
      <c r="E3283" s="1"/>
      <c r="F3283" s="1"/>
      <c r="G3283" s="1"/>
      <c r="H3283" s="1"/>
      <c r="I3283" s="1"/>
      <c r="J3283" s="1"/>
      <c r="K3283" s="102" t="s">
        <v>5673</v>
      </c>
      <c r="L3283" s="102" t="str">
        <f>U231</f>
        <v>J1a2a1a2d2b2b2c4c4a1a~</v>
      </c>
      <c r="M3283" s="102"/>
      <c r="N3283" s="102" t="s">
        <v>5674</v>
      </c>
      <c r="O3283" s="105">
        <v>1.9130674E7</v>
      </c>
      <c r="P3283" s="105">
        <v>1.7018794E7</v>
      </c>
      <c r="Q3283" s="102" t="s">
        <v>2501</v>
      </c>
      <c r="S3283" s="1"/>
      <c r="T3283" s="1"/>
      <c r="U3283" s="1"/>
      <c r="V3283" s="1"/>
      <c r="W3283" s="1"/>
      <c r="X3283" s="1"/>
      <c r="Y3283" s="1"/>
      <c r="Z3283" s="102"/>
      <c r="AA3283" s="102"/>
      <c r="AB3283" s="1"/>
      <c r="AC3283" s="1"/>
      <c r="AD3283" s="1"/>
      <c r="AE3283" s="1"/>
      <c r="AF3283" s="1"/>
      <c r="AG3283" s="1"/>
    </row>
    <row r="3284" ht="15.75" customHeight="1">
      <c r="A3284" s="1"/>
      <c r="B3284" s="1"/>
      <c r="C3284" s="1"/>
      <c r="D3284" s="1"/>
      <c r="E3284" s="1"/>
      <c r="F3284" s="1"/>
      <c r="G3284" s="1"/>
      <c r="H3284" s="1"/>
      <c r="I3284" s="1"/>
      <c r="J3284" s="1"/>
      <c r="K3284" s="102" t="s">
        <v>433</v>
      </c>
      <c r="L3284" s="102" t="str">
        <f>V232</f>
        <v>J1a2a1a2d2b2b2c4c4a1a1~</v>
      </c>
      <c r="M3284" s="102"/>
      <c r="N3284" s="102" t="s">
        <v>5675</v>
      </c>
      <c r="O3284" s="105">
        <v>2.3585929E7</v>
      </c>
      <c r="P3284" s="105">
        <v>2.1424043E7</v>
      </c>
      <c r="Q3284" s="102" t="s">
        <v>2468</v>
      </c>
      <c r="S3284" s="1"/>
      <c r="T3284" s="1"/>
      <c r="U3284" s="1"/>
      <c r="V3284" s="1"/>
      <c r="W3284" s="1"/>
      <c r="X3284" s="1"/>
      <c r="Y3284" s="1"/>
      <c r="Z3284" s="102"/>
      <c r="AA3284" s="102"/>
      <c r="AB3284" s="1"/>
      <c r="AC3284" s="1"/>
      <c r="AD3284" s="1"/>
      <c r="AE3284" s="1"/>
      <c r="AF3284" s="1"/>
      <c r="AG3284" s="1"/>
    </row>
    <row r="3285" ht="15.75" customHeight="1">
      <c r="A3285" s="1"/>
      <c r="B3285" s="1"/>
      <c r="C3285" s="1"/>
      <c r="D3285" s="1"/>
      <c r="E3285" s="1"/>
      <c r="F3285" s="1"/>
      <c r="G3285" s="1"/>
      <c r="H3285" s="1"/>
      <c r="I3285" s="1"/>
      <c r="J3285" s="1"/>
      <c r="K3285" s="102" t="s">
        <v>5676</v>
      </c>
      <c r="L3285" s="102" t="str">
        <f>W233</f>
        <v>J1a2a1a2d2b2b2c4c4a1a1a~</v>
      </c>
      <c r="M3285" s="102"/>
      <c r="N3285" s="102" t="s">
        <v>5677</v>
      </c>
      <c r="O3285" s="105">
        <v>1.6279481E7</v>
      </c>
      <c r="P3285" s="105">
        <v>1.4167601E7</v>
      </c>
      <c r="Q3285" s="102" t="s">
        <v>2533</v>
      </c>
      <c r="S3285" s="1"/>
      <c r="T3285" s="1"/>
      <c r="U3285" s="1"/>
      <c r="V3285" s="1"/>
      <c r="W3285" s="1"/>
      <c r="X3285" s="1"/>
      <c r="Y3285" s="1"/>
      <c r="Z3285" s="102"/>
      <c r="AA3285" s="102"/>
      <c r="AB3285" s="1"/>
      <c r="AC3285" s="1"/>
      <c r="AD3285" s="1"/>
      <c r="AE3285" s="1"/>
      <c r="AF3285" s="1"/>
      <c r="AG3285" s="1"/>
    </row>
    <row r="3286" ht="15.75" customHeight="1">
      <c r="A3286" s="1"/>
      <c r="B3286" s="1"/>
      <c r="C3286" s="1"/>
      <c r="D3286" s="1"/>
      <c r="E3286" s="1"/>
      <c r="F3286" s="1"/>
      <c r="G3286" s="1"/>
      <c r="H3286" s="1"/>
      <c r="I3286" s="1"/>
      <c r="J3286" s="1"/>
      <c r="K3286" s="102" t="s">
        <v>5678</v>
      </c>
      <c r="L3286" s="102" t="str">
        <f>W233</f>
        <v>J1a2a1a2d2b2b2c4c4a1a1a~</v>
      </c>
      <c r="M3286" s="102"/>
      <c r="N3286" s="102" t="s">
        <v>5679</v>
      </c>
      <c r="O3286" s="105">
        <v>8860317.0</v>
      </c>
      <c r="P3286" s="105">
        <v>8992276.0</v>
      </c>
      <c r="Q3286" s="102" t="s">
        <v>2533</v>
      </c>
      <c r="S3286" s="1"/>
      <c r="T3286" s="1"/>
      <c r="U3286" s="1"/>
      <c r="V3286" s="1"/>
      <c r="W3286" s="1"/>
      <c r="X3286" s="1"/>
      <c r="Y3286" s="1"/>
      <c r="Z3286" s="102"/>
      <c r="AA3286" s="102"/>
      <c r="AB3286" s="1"/>
      <c r="AC3286" s="1"/>
      <c r="AD3286" s="1"/>
      <c r="AE3286" s="1"/>
      <c r="AF3286" s="1"/>
      <c r="AG3286" s="1"/>
    </row>
    <row r="3287" ht="15.75" customHeight="1">
      <c r="A3287" s="1"/>
      <c r="B3287" s="1"/>
      <c r="C3287" s="1"/>
      <c r="D3287" s="1"/>
      <c r="E3287" s="1"/>
      <c r="F3287" s="1"/>
      <c r="G3287" s="1"/>
      <c r="H3287" s="1"/>
      <c r="I3287" s="1"/>
      <c r="J3287" s="1"/>
      <c r="K3287" s="102" t="s">
        <v>5680</v>
      </c>
      <c r="L3287" s="102" t="str">
        <f>W233</f>
        <v>J1a2a1a2d2b2b2c4c4a1a1a~</v>
      </c>
      <c r="M3287" s="102"/>
      <c r="N3287" s="102"/>
      <c r="O3287" s="105">
        <v>1.5311551E7</v>
      </c>
      <c r="P3287" s="105">
        <v>1.3199656E7</v>
      </c>
      <c r="Q3287" s="102" t="s">
        <v>2446</v>
      </c>
      <c r="S3287" s="1"/>
      <c r="T3287" s="1"/>
      <c r="U3287" s="1"/>
      <c r="V3287" s="1"/>
      <c r="W3287" s="1"/>
      <c r="X3287" s="1"/>
      <c r="Y3287" s="1"/>
      <c r="Z3287" s="102"/>
      <c r="AA3287" s="102"/>
      <c r="AB3287" s="1"/>
      <c r="AC3287" s="1"/>
      <c r="AD3287" s="1"/>
      <c r="AE3287" s="1"/>
      <c r="AF3287" s="1"/>
      <c r="AG3287" s="1"/>
    </row>
    <row r="3288" ht="15.75" customHeight="1">
      <c r="A3288" s="1"/>
      <c r="B3288" s="1"/>
      <c r="C3288" s="1"/>
      <c r="D3288" s="1"/>
      <c r="E3288" s="1"/>
      <c r="F3288" s="1"/>
      <c r="G3288" s="1"/>
      <c r="H3288" s="1"/>
      <c r="I3288" s="1"/>
      <c r="J3288" s="1"/>
      <c r="K3288" s="102" t="s">
        <v>5681</v>
      </c>
      <c r="L3288" s="102" t="str">
        <f>W233</f>
        <v>J1a2a1a2d2b2b2c4c4a1a1a~</v>
      </c>
      <c r="M3288" s="102"/>
      <c r="N3288" s="102" t="s">
        <v>5682</v>
      </c>
      <c r="O3288" s="105">
        <v>1.5776877E7</v>
      </c>
      <c r="P3288" s="105">
        <v>1.3664997E7</v>
      </c>
      <c r="Q3288" s="102" t="s">
        <v>2446</v>
      </c>
      <c r="S3288" s="1"/>
      <c r="T3288" s="1"/>
      <c r="U3288" s="1"/>
      <c r="V3288" s="1"/>
      <c r="W3288" s="1"/>
      <c r="X3288" s="1"/>
      <c r="Y3288" s="1"/>
      <c r="Z3288" s="102"/>
      <c r="AA3288" s="102"/>
      <c r="AB3288" s="1"/>
      <c r="AC3288" s="1"/>
      <c r="AD3288" s="1"/>
      <c r="AE3288" s="1"/>
      <c r="AF3288" s="1"/>
      <c r="AG3288" s="1"/>
    </row>
    <row r="3289" ht="15.75" customHeight="1">
      <c r="A3289" s="1"/>
      <c r="B3289" s="1"/>
      <c r="C3289" s="1"/>
      <c r="D3289" s="1"/>
      <c r="E3289" s="1"/>
      <c r="F3289" s="1"/>
      <c r="G3289" s="1"/>
      <c r="H3289" s="1"/>
      <c r="I3289" s="1"/>
      <c r="J3289" s="1"/>
      <c r="K3289" s="102" t="s">
        <v>5683</v>
      </c>
      <c r="L3289" s="102" t="str">
        <f t="shared" ref="L3289:L3290" si="43">W233</f>
        <v>J1a2a1a2d2b2b2c4c4a1a1a~</v>
      </c>
      <c r="M3289" s="102"/>
      <c r="N3289" s="102"/>
      <c r="O3289" s="105">
        <v>1.8980782E7</v>
      </c>
      <c r="P3289" s="105">
        <v>1.6868902E7</v>
      </c>
      <c r="Q3289" s="102" t="s">
        <v>2439</v>
      </c>
      <c r="S3289" s="1"/>
      <c r="T3289" s="1"/>
      <c r="U3289" s="1"/>
      <c r="V3289" s="1"/>
      <c r="W3289" s="1"/>
      <c r="X3289" s="1"/>
      <c r="Y3289" s="1"/>
      <c r="Z3289" s="102"/>
      <c r="AA3289" s="102"/>
      <c r="AB3289" s="1"/>
      <c r="AC3289" s="1"/>
      <c r="AD3289" s="1"/>
      <c r="AE3289" s="1"/>
      <c r="AF3289" s="1"/>
      <c r="AG3289" s="1"/>
    </row>
    <row r="3290" ht="15.75" customHeight="1">
      <c r="A3290" s="1"/>
      <c r="B3290" s="1"/>
      <c r="C3290" s="1"/>
      <c r="D3290" s="1"/>
      <c r="E3290" s="1"/>
      <c r="F3290" s="1"/>
      <c r="G3290" s="1"/>
      <c r="H3290" s="1"/>
      <c r="I3290" s="1"/>
      <c r="J3290" s="1"/>
      <c r="K3290" s="102" t="s">
        <v>5684</v>
      </c>
      <c r="L3290" s="102" t="str">
        <f t="shared" si="43"/>
        <v>J1a2a1a2d2b2b2c4c4a1a1b~</v>
      </c>
      <c r="M3290" s="102"/>
      <c r="N3290" s="102" t="s">
        <v>5685</v>
      </c>
      <c r="O3290" s="105">
        <v>6895425.0</v>
      </c>
      <c r="P3290" s="105">
        <v>7027384.0</v>
      </c>
      <c r="Q3290" s="102" t="s">
        <v>2432</v>
      </c>
      <c r="S3290" s="1"/>
      <c r="T3290" s="1"/>
      <c r="U3290" s="1"/>
      <c r="V3290" s="1"/>
      <c r="W3290" s="1"/>
      <c r="X3290" s="1"/>
      <c r="Y3290" s="1"/>
      <c r="Z3290" s="102"/>
      <c r="AA3290" s="102"/>
      <c r="AB3290" s="1"/>
      <c r="AC3290" s="1"/>
      <c r="AD3290" s="1"/>
      <c r="AE3290" s="1"/>
      <c r="AF3290" s="1"/>
      <c r="AG3290" s="1"/>
    </row>
    <row r="3291" ht="15.75" customHeight="1">
      <c r="A3291" s="1"/>
      <c r="B3291" s="1"/>
      <c r="C3291" s="1"/>
      <c r="D3291" s="1"/>
      <c r="E3291" s="1"/>
      <c r="F3291" s="1"/>
      <c r="G3291" s="1"/>
      <c r="H3291" s="1"/>
      <c r="I3291" s="1"/>
      <c r="J3291" s="1"/>
      <c r="K3291" s="102" t="s">
        <v>5686</v>
      </c>
      <c r="L3291" s="102" t="str">
        <f>W234</f>
        <v>J1a2a1a2d2b2b2c4c4a1a1b~</v>
      </c>
      <c r="M3291" s="102"/>
      <c r="N3291" s="102" t="s">
        <v>5687</v>
      </c>
      <c r="O3291" s="105">
        <v>1.4232207E7</v>
      </c>
      <c r="P3291" s="105">
        <v>1.2111501E7</v>
      </c>
      <c r="Q3291" s="102" t="s">
        <v>2439</v>
      </c>
      <c r="S3291" s="1"/>
      <c r="T3291" s="1"/>
      <c r="U3291" s="1"/>
      <c r="V3291" s="1"/>
      <c r="W3291" s="1"/>
      <c r="X3291" s="1"/>
      <c r="Y3291" s="1"/>
      <c r="Z3291" s="102"/>
      <c r="AA3291" s="102"/>
      <c r="AB3291" s="1"/>
      <c r="AC3291" s="1"/>
      <c r="AD3291" s="1"/>
      <c r="AE3291" s="1"/>
      <c r="AF3291" s="1"/>
      <c r="AG3291" s="1"/>
    </row>
    <row r="3292" ht="15.75" customHeight="1">
      <c r="A3292" s="1"/>
      <c r="B3292" s="1"/>
      <c r="C3292" s="1"/>
      <c r="D3292" s="1"/>
      <c r="E3292" s="1"/>
      <c r="F3292" s="1"/>
      <c r="G3292" s="1"/>
      <c r="H3292" s="1"/>
      <c r="I3292" s="1"/>
      <c r="J3292" s="1"/>
      <c r="K3292" s="102" t="s">
        <v>5688</v>
      </c>
      <c r="L3292" s="102" t="str">
        <f>W234</f>
        <v>J1a2a1a2d2b2b2c4c4a1a1b~</v>
      </c>
      <c r="M3292" s="102"/>
      <c r="N3292" s="102"/>
      <c r="O3292" s="105">
        <v>1.4240634E7</v>
      </c>
      <c r="P3292" s="105">
        <v>1.2119928E7</v>
      </c>
      <c r="Q3292" s="102" t="s">
        <v>2432</v>
      </c>
      <c r="S3292" s="1"/>
      <c r="T3292" s="1"/>
      <c r="U3292" s="1"/>
      <c r="V3292" s="1"/>
      <c r="W3292" s="1"/>
      <c r="X3292" s="1"/>
      <c r="Y3292" s="1"/>
      <c r="Z3292" s="102"/>
      <c r="AA3292" s="102"/>
      <c r="AB3292" s="1"/>
      <c r="AC3292" s="1"/>
      <c r="AD3292" s="1"/>
      <c r="AE3292" s="1"/>
      <c r="AF3292" s="1"/>
      <c r="AG3292" s="1"/>
    </row>
    <row r="3293" ht="15.75" customHeight="1">
      <c r="A3293" s="1"/>
      <c r="B3293" s="1"/>
      <c r="C3293" s="1"/>
      <c r="D3293" s="1"/>
      <c r="E3293" s="1"/>
      <c r="F3293" s="1"/>
      <c r="G3293" s="1"/>
      <c r="H3293" s="1"/>
      <c r="I3293" s="1"/>
      <c r="J3293" s="1"/>
      <c r="K3293" s="102" t="s">
        <v>5689</v>
      </c>
      <c r="L3293" s="102" t="str">
        <f>W234</f>
        <v>J1a2a1a2d2b2b2c4c4a1a1b~</v>
      </c>
      <c r="M3293" s="102"/>
      <c r="N3293" s="102"/>
      <c r="O3293" s="105">
        <v>1.4310936E7</v>
      </c>
      <c r="P3293" s="105">
        <v>1.219023E7</v>
      </c>
      <c r="Q3293" s="102" t="s">
        <v>2439</v>
      </c>
      <c r="S3293" s="1"/>
      <c r="T3293" s="1"/>
      <c r="U3293" s="1"/>
      <c r="V3293" s="1"/>
      <c r="W3293" s="1"/>
      <c r="X3293" s="1"/>
      <c r="Y3293" s="1"/>
      <c r="Z3293" s="102"/>
      <c r="AA3293" s="102"/>
      <c r="AB3293" s="1"/>
      <c r="AC3293" s="1"/>
      <c r="AD3293" s="1"/>
      <c r="AE3293" s="1"/>
      <c r="AF3293" s="1"/>
      <c r="AG3293" s="1"/>
    </row>
    <row r="3294" ht="15.75" customHeight="1">
      <c r="A3294" s="1"/>
      <c r="B3294" s="1"/>
      <c r="C3294" s="1"/>
      <c r="D3294" s="1"/>
      <c r="E3294" s="1"/>
      <c r="F3294" s="1"/>
      <c r="G3294" s="1"/>
      <c r="H3294" s="1"/>
      <c r="I3294" s="1"/>
      <c r="J3294" s="1"/>
      <c r="K3294" s="102" t="s">
        <v>5690</v>
      </c>
      <c r="L3294" s="102" t="str">
        <f>W234</f>
        <v>J1a2a1a2d2b2b2c4c4a1a1b~</v>
      </c>
      <c r="M3294" s="102"/>
      <c r="N3294" s="102"/>
      <c r="O3294" s="105">
        <v>1.5018436E7</v>
      </c>
      <c r="P3294" s="105">
        <v>1.2906525E7</v>
      </c>
      <c r="Q3294" s="106" t="s">
        <v>2446</v>
      </c>
      <c r="S3294" s="1"/>
      <c r="T3294" s="1"/>
      <c r="U3294" s="1"/>
      <c r="V3294" s="1"/>
      <c r="W3294" s="1"/>
      <c r="X3294" s="1"/>
      <c r="Y3294" s="1"/>
      <c r="Z3294" s="102">
        <v>1.5018436E7</v>
      </c>
      <c r="AA3294" s="102"/>
      <c r="AB3294" s="1"/>
      <c r="AC3294" s="1"/>
      <c r="AD3294" s="1"/>
      <c r="AE3294" s="1"/>
      <c r="AF3294" s="1"/>
      <c r="AG3294" s="1"/>
    </row>
    <row r="3295" ht="15.75" customHeight="1">
      <c r="A3295" s="1"/>
      <c r="B3295" s="1"/>
      <c r="C3295" s="1"/>
      <c r="D3295" s="1"/>
      <c r="E3295" s="1"/>
      <c r="F3295" s="1"/>
      <c r="G3295" s="1"/>
      <c r="H3295" s="1"/>
      <c r="I3295" s="1"/>
      <c r="J3295" s="1"/>
      <c r="K3295" s="102" t="s">
        <v>5691</v>
      </c>
      <c r="L3295" s="102" t="str">
        <f>T235</f>
        <v>J1a2a1a2d2b2b2c4c4a2~</v>
      </c>
      <c r="M3295" s="102" t="s">
        <v>5692</v>
      </c>
      <c r="N3295" s="102" t="s">
        <v>5693</v>
      </c>
      <c r="O3295" s="105">
        <v>1.4571626E7</v>
      </c>
      <c r="P3295" s="105">
        <v>1.2459826E7</v>
      </c>
      <c r="Q3295" s="102" t="s">
        <v>2501</v>
      </c>
      <c r="S3295" s="1"/>
      <c r="T3295" s="1"/>
      <c r="U3295" s="1"/>
      <c r="V3295" s="1"/>
      <c r="W3295" s="1"/>
      <c r="X3295" s="1"/>
      <c r="Y3295" s="1"/>
      <c r="Z3295" s="102"/>
      <c r="AA3295" s="102"/>
      <c r="AB3295" s="1"/>
      <c r="AC3295" s="1"/>
      <c r="AD3295" s="1"/>
      <c r="AE3295" s="1"/>
      <c r="AF3295" s="1"/>
      <c r="AG3295" s="1"/>
    </row>
    <row r="3296" ht="15.75" customHeight="1">
      <c r="A3296" s="1"/>
      <c r="B3296" s="1"/>
      <c r="C3296" s="1"/>
      <c r="D3296" s="1"/>
      <c r="E3296" s="1"/>
      <c r="F3296" s="1"/>
      <c r="G3296" s="1"/>
      <c r="H3296" s="1"/>
      <c r="I3296" s="1"/>
      <c r="J3296" s="1"/>
      <c r="K3296" s="102" t="s">
        <v>5692</v>
      </c>
      <c r="L3296" s="102" t="str">
        <f>T235</f>
        <v>J1a2a1a2d2b2b2c4c4a2~</v>
      </c>
      <c r="M3296" s="102" t="s">
        <v>5691</v>
      </c>
      <c r="N3296" s="102" t="s">
        <v>5693</v>
      </c>
      <c r="O3296" s="105">
        <v>1.4571626E7</v>
      </c>
      <c r="P3296" s="105">
        <v>1.2459826E7</v>
      </c>
      <c r="Q3296" s="102" t="s">
        <v>2501</v>
      </c>
      <c r="S3296" s="1"/>
      <c r="T3296" s="1"/>
      <c r="U3296" s="1"/>
      <c r="V3296" s="1"/>
      <c r="W3296" s="1"/>
      <c r="X3296" s="1"/>
      <c r="Y3296" s="1"/>
      <c r="Z3296" s="102"/>
      <c r="AA3296" s="102"/>
      <c r="AB3296" s="1"/>
      <c r="AC3296" s="1"/>
      <c r="AD3296" s="1"/>
      <c r="AE3296" s="1"/>
      <c r="AF3296" s="1"/>
      <c r="AG3296" s="1"/>
    </row>
    <row r="3297" ht="15.75" customHeight="1">
      <c r="A3297" s="1"/>
      <c r="B3297" s="1"/>
      <c r="C3297" s="1"/>
      <c r="D3297" s="1"/>
      <c r="E3297" s="1"/>
      <c r="F3297" s="1"/>
      <c r="G3297" s="1"/>
      <c r="H3297" s="1"/>
      <c r="I3297" s="1"/>
      <c r="J3297" s="1"/>
      <c r="K3297" s="102" t="s">
        <v>5694</v>
      </c>
      <c r="L3297" s="102" t="str">
        <f>U236</f>
        <v>J1a2a1a2d2b2b2c4c4a2a~</v>
      </c>
      <c r="M3297" s="102" t="s">
        <v>5695</v>
      </c>
      <c r="N3297" s="102" t="s">
        <v>5696</v>
      </c>
      <c r="O3297" s="105">
        <v>2.3839198E7</v>
      </c>
      <c r="P3297" s="105">
        <v>2.1677312E7</v>
      </c>
      <c r="Q3297" s="102" t="s">
        <v>2439</v>
      </c>
      <c r="S3297" s="1"/>
      <c r="T3297" s="1"/>
      <c r="U3297" s="1"/>
      <c r="V3297" s="1"/>
      <c r="W3297" s="1"/>
      <c r="X3297" s="1"/>
      <c r="Y3297" s="1"/>
      <c r="Z3297" s="102"/>
      <c r="AA3297" s="102"/>
      <c r="AB3297" s="1"/>
      <c r="AC3297" s="1"/>
      <c r="AD3297" s="1"/>
      <c r="AE3297" s="1"/>
      <c r="AF3297" s="1"/>
      <c r="AG3297" s="1"/>
    </row>
    <row r="3298" ht="15.75" customHeight="1">
      <c r="A3298" s="1"/>
      <c r="B3298" s="1"/>
      <c r="C3298" s="1"/>
      <c r="D3298" s="1"/>
      <c r="E3298" s="1"/>
      <c r="F3298" s="1"/>
      <c r="G3298" s="1"/>
      <c r="H3298" s="1"/>
      <c r="I3298" s="1"/>
      <c r="J3298" s="1"/>
      <c r="K3298" s="102" t="s">
        <v>5695</v>
      </c>
      <c r="L3298" s="102" t="str">
        <f>U236</f>
        <v>J1a2a1a2d2b2b2c4c4a2a~</v>
      </c>
      <c r="M3298" s="102" t="s">
        <v>5694</v>
      </c>
      <c r="N3298" s="102" t="s">
        <v>5696</v>
      </c>
      <c r="O3298" s="105">
        <v>2.3839198E7</v>
      </c>
      <c r="P3298" s="105">
        <v>2.1677312E7</v>
      </c>
      <c r="Q3298" s="102" t="s">
        <v>2439</v>
      </c>
      <c r="S3298" s="1"/>
      <c r="T3298" s="1"/>
      <c r="U3298" s="1"/>
      <c r="V3298" s="1"/>
      <c r="W3298" s="1"/>
      <c r="X3298" s="1"/>
      <c r="Y3298" s="1"/>
      <c r="Z3298" s="102"/>
      <c r="AA3298" s="102"/>
      <c r="AB3298" s="1"/>
      <c r="AC3298" s="1"/>
      <c r="AD3298" s="1"/>
      <c r="AE3298" s="1"/>
      <c r="AF3298" s="1"/>
      <c r="AG3298" s="1"/>
    </row>
    <row r="3299" ht="15.75" customHeight="1">
      <c r="A3299" s="1"/>
      <c r="B3299" s="1"/>
      <c r="C3299" s="1"/>
      <c r="D3299" s="1"/>
      <c r="E3299" s="1"/>
      <c r="F3299" s="1"/>
      <c r="G3299" s="1"/>
      <c r="H3299" s="1"/>
      <c r="I3299" s="1"/>
      <c r="J3299" s="1"/>
      <c r="K3299" s="102" t="s">
        <v>5697</v>
      </c>
      <c r="L3299" s="102" t="str">
        <f>U236</f>
        <v>J1a2a1a2d2b2b2c4c4a2a~</v>
      </c>
      <c r="M3299" s="102" t="s">
        <v>5698</v>
      </c>
      <c r="N3299" s="102" t="s">
        <v>5699</v>
      </c>
      <c r="O3299" s="105">
        <v>2.3888458E7</v>
      </c>
      <c r="P3299" s="105">
        <v>2.1726572E7</v>
      </c>
      <c r="Q3299" s="102" t="s">
        <v>2501</v>
      </c>
      <c r="S3299" s="1"/>
      <c r="T3299" s="1"/>
      <c r="U3299" s="1"/>
      <c r="V3299" s="1"/>
      <c r="W3299" s="1"/>
      <c r="X3299" s="1"/>
      <c r="Y3299" s="1"/>
      <c r="Z3299" s="102"/>
      <c r="AA3299" s="102"/>
      <c r="AB3299" s="1"/>
      <c r="AC3299" s="1"/>
      <c r="AD3299" s="1"/>
      <c r="AE3299" s="1"/>
      <c r="AF3299" s="1"/>
      <c r="AG3299" s="1"/>
    </row>
    <row r="3300" ht="15.75" customHeight="1">
      <c r="A3300" s="1"/>
      <c r="B3300" s="1"/>
      <c r="C3300" s="1"/>
      <c r="D3300" s="1"/>
      <c r="E3300" s="1"/>
      <c r="F3300" s="1"/>
      <c r="G3300" s="1"/>
      <c r="H3300" s="1"/>
      <c r="I3300" s="1"/>
      <c r="J3300" s="1"/>
      <c r="K3300" s="102" t="s">
        <v>5698</v>
      </c>
      <c r="L3300" s="102" t="str">
        <f>U236</f>
        <v>J1a2a1a2d2b2b2c4c4a2a~</v>
      </c>
      <c r="M3300" s="102" t="s">
        <v>5697</v>
      </c>
      <c r="N3300" s="102" t="s">
        <v>5699</v>
      </c>
      <c r="O3300" s="105">
        <v>2.3888458E7</v>
      </c>
      <c r="P3300" s="105">
        <v>2.1726572E7</v>
      </c>
      <c r="Q3300" s="102" t="s">
        <v>2501</v>
      </c>
      <c r="S3300" s="1"/>
      <c r="T3300" s="1"/>
      <c r="U3300" s="1"/>
      <c r="V3300" s="1"/>
      <c r="W3300" s="1"/>
      <c r="X3300" s="1"/>
      <c r="Y3300" s="1"/>
      <c r="Z3300" s="102"/>
      <c r="AA3300" s="102"/>
      <c r="AB3300" s="1"/>
      <c r="AC3300" s="1"/>
      <c r="AD3300" s="1"/>
      <c r="AE3300" s="1"/>
      <c r="AF3300" s="1"/>
      <c r="AG3300" s="1"/>
    </row>
    <row r="3301" ht="15.75" customHeight="1">
      <c r="A3301" s="1"/>
      <c r="B3301" s="1"/>
      <c r="C3301" s="1"/>
      <c r="D3301" s="1"/>
      <c r="E3301" s="1"/>
      <c r="F3301" s="1"/>
      <c r="G3301" s="1"/>
      <c r="H3301" s="1"/>
      <c r="I3301" s="1"/>
      <c r="J3301" s="1"/>
      <c r="K3301" s="102" t="s">
        <v>5700</v>
      </c>
      <c r="L3301" s="102" t="str">
        <f>V237</f>
        <v>J1a2a1a2d2b2b2c4c4a2a1~</v>
      </c>
      <c r="M3301" s="102"/>
      <c r="N3301" s="102" t="s">
        <v>5701</v>
      </c>
      <c r="O3301" s="105">
        <v>2748159.0</v>
      </c>
      <c r="P3301" s="105">
        <v>2880118.0</v>
      </c>
      <c r="Q3301" s="102" t="s">
        <v>2439</v>
      </c>
      <c r="S3301" s="1"/>
      <c r="T3301" s="1"/>
      <c r="U3301" s="1"/>
      <c r="V3301" s="1"/>
      <c r="W3301" s="1"/>
      <c r="X3301" s="1"/>
      <c r="Y3301" s="1"/>
      <c r="Z3301" s="102"/>
      <c r="AA3301" s="102"/>
      <c r="AB3301" s="1"/>
      <c r="AC3301" s="1"/>
      <c r="AD3301" s="1"/>
      <c r="AE3301" s="1"/>
      <c r="AF3301" s="1"/>
      <c r="AG3301" s="1"/>
    </row>
    <row r="3302" ht="15.75" customHeight="1">
      <c r="A3302" s="1"/>
      <c r="B3302" s="1"/>
      <c r="C3302" s="1"/>
      <c r="D3302" s="1"/>
      <c r="E3302" s="1"/>
      <c r="F3302" s="1"/>
      <c r="G3302" s="1"/>
      <c r="H3302" s="1"/>
      <c r="I3302" s="1"/>
      <c r="J3302" s="1"/>
      <c r="K3302" s="102" t="s">
        <v>5702</v>
      </c>
      <c r="L3302" s="102" t="str">
        <f>V237</f>
        <v>J1a2a1a2d2b2b2c4c4a2a1~</v>
      </c>
      <c r="M3302" s="102"/>
      <c r="N3302" s="102" t="s">
        <v>5703</v>
      </c>
      <c r="O3302" s="105">
        <v>2.2207896E7</v>
      </c>
      <c r="P3302" s="105">
        <v>2.004601E7</v>
      </c>
      <c r="Q3302" s="102" t="s">
        <v>2423</v>
      </c>
      <c r="S3302" s="1"/>
      <c r="T3302" s="1"/>
      <c r="U3302" s="1"/>
      <c r="V3302" s="1"/>
      <c r="W3302" s="1"/>
      <c r="X3302" s="1"/>
      <c r="Y3302" s="1"/>
      <c r="Z3302" s="102"/>
      <c r="AA3302" s="102"/>
      <c r="AB3302" s="1"/>
      <c r="AC3302" s="1"/>
      <c r="AD3302" s="1"/>
      <c r="AE3302" s="1"/>
      <c r="AF3302" s="1"/>
      <c r="AG3302" s="1"/>
    </row>
    <row r="3303" ht="15.75" customHeight="1">
      <c r="A3303" s="1"/>
      <c r="B3303" s="1"/>
      <c r="C3303" s="1"/>
      <c r="D3303" s="1"/>
      <c r="E3303" s="1"/>
      <c r="F3303" s="1"/>
      <c r="G3303" s="1"/>
      <c r="H3303" s="1"/>
      <c r="I3303" s="1"/>
      <c r="J3303" s="1"/>
      <c r="K3303" s="102" t="s">
        <v>5704</v>
      </c>
      <c r="L3303" s="102" t="str">
        <f>V237</f>
        <v>J1a2a1a2d2b2b2c4c4a2a1~</v>
      </c>
      <c r="M3303" s="102"/>
      <c r="N3303" s="102" t="s">
        <v>5705</v>
      </c>
      <c r="O3303" s="105">
        <v>1.6463126E7</v>
      </c>
      <c r="P3303" s="105">
        <v>1.4351246E7</v>
      </c>
      <c r="Q3303" s="102" t="s">
        <v>2514</v>
      </c>
      <c r="S3303" s="1"/>
      <c r="T3303" s="1"/>
      <c r="U3303" s="1"/>
      <c r="V3303" s="1"/>
      <c r="W3303" s="1"/>
      <c r="X3303" s="1"/>
      <c r="Y3303" s="1"/>
      <c r="Z3303" s="102"/>
      <c r="AA3303" s="102"/>
      <c r="AB3303" s="1"/>
      <c r="AC3303" s="1"/>
      <c r="AD3303" s="1"/>
      <c r="AE3303" s="1"/>
      <c r="AF3303" s="1"/>
      <c r="AG3303" s="1"/>
    </row>
    <row r="3304" ht="15.75" customHeight="1">
      <c r="A3304" s="1"/>
      <c r="B3304" s="1"/>
      <c r="C3304" s="1"/>
      <c r="D3304" s="1"/>
      <c r="E3304" s="1"/>
      <c r="F3304" s="1"/>
      <c r="G3304" s="1"/>
      <c r="H3304" s="1"/>
      <c r="I3304" s="1"/>
      <c r="J3304" s="1"/>
      <c r="K3304" s="102" t="s">
        <v>5706</v>
      </c>
      <c r="L3304" s="102" t="str">
        <f>W238</f>
        <v>J1a2a1a2d2b2b2c4c4a2a1a~</v>
      </c>
      <c r="M3304" s="102"/>
      <c r="N3304" s="102"/>
      <c r="O3304" s="105">
        <v>6874878.0</v>
      </c>
      <c r="P3304" s="105">
        <v>7006837.0</v>
      </c>
      <c r="Q3304" s="102" t="s">
        <v>2501</v>
      </c>
      <c r="S3304" s="1"/>
      <c r="T3304" s="1"/>
      <c r="U3304" s="1"/>
      <c r="V3304" s="1"/>
      <c r="W3304" s="1"/>
      <c r="X3304" s="1"/>
      <c r="Y3304" s="1"/>
      <c r="Z3304" s="102">
        <v>6874878.0</v>
      </c>
      <c r="AA3304" s="102"/>
      <c r="AB3304" s="1"/>
      <c r="AC3304" s="1"/>
      <c r="AD3304" s="1"/>
      <c r="AE3304" s="1"/>
      <c r="AF3304" s="1"/>
      <c r="AG3304" s="1"/>
    </row>
    <row r="3305" ht="15.75" customHeight="1">
      <c r="A3305" s="1"/>
      <c r="B3305" s="1"/>
      <c r="C3305" s="1"/>
      <c r="D3305" s="1"/>
      <c r="E3305" s="1"/>
      <c r="F3305" s="1"/>
      <c r="G3305" s="1"/>
      <c r="H3305" s="1"/>
      <c r="I3305" s="1"/>
      <c r="J3305" s="1"/>
      <c r="K3305" s="102" t="s">
        <v>5707</v>
      </c>
      <c r="L3305" s="102" t="str">
        <f>W238</f>
        <v>J1a2a1a2d2b2b2c4c4a2a1a~</v>
      </c>
      <c r="M3305" s="102"/>
      <c r="N3305" s="102"/>
      <c r="O3305" s="105">
        <v>1.4108444E7</v>
      </c>
      <c r="P3305" s="105">
        <v>1.1987738E7</v>
      </c>
      <c r="Q3305" s="102" t="s">
        <v>2533</v>
      </c>
      <c r="S3305" s="1"/>
      <c r="T3305" s="1"/>
      <c r="U3305" s="1"/>
      <c r="V3305" s="1"/>
      <c r="W3305" s="1"/>
      <c r="X3305" s="1"/>
      <c r="Y3305" s="1"/>
      <c r="Z3305" s="102"/>
      <c r="AA3305" s="102"/>
      <c r="AB3305" s="1"/>
      <c r="AC3305" s="1"/>
      <c r="AD3305" s="1"/>
      <c r="AE3305" s="1"/>
      <c r="AF3305" s="1"/>
      <c r="AG3305" s="1"/>
    </row>
    <row r="3306" ht="15.75" customHeight="1">
      <c r="A3306" s="1"/>
      <c r="B3306" s="1"/>
      <c r="C3306" s="1"/>
      <c r="D3306" s="1"/>
      <c r="E3306" s="1"/>
      <c r="F3306" s="1"/>
      <c r="G3306" s="1"/>
      <c r="H3306" s="1"/>
      <c r="I3306" s="1"/>
      <c r="J3306" s="1"/>
      <c r="K3306" s="102" t="s">
        <v>5708</v>
      </c>
      <c r="L3306" s="102" t="str">
        <f>W238</f>
        <v>J1a2a1a2d2b2b2c4c4a2a1a~</v>
      </c>
      <c r="M3306" s="102"/>
      <c r="N3306" s="102"/>
      <c r="O3306" s="105">
        <v>1.8250564E7</v>
      </c>
      <c r="P3306" s="105">
        <v>1.6138684E7</v>
      </c>
      <c r="Q3306" s="102" t="s">
        <v>2533</v>
      </c>
      <c r="S3306" s="1"/>
      <c r="T3306" s="1"/>
      <c r="U3306" s="1"/>
      <c r="V3306" s="1"/>
      <c r="W3306" s="1"/>
      <c r="X3306" s="1"/>
      <c r="Y3306" s="1"/>
      <c r="Z3306" s="102"/>
      <c r="AA3306" s="102"/>
      <c r="AB3306" s="1"/>
      <c r="AC3306" s="1"/>
      <c r="AD3306" s="1"/>
      <c r="AE3306" s="1"/>
      <c r="AF3306" s="1"/>
      <c r="AG3306" s="1"/>
    </row>
    <row r="3307" ht="15.75" customHeight="1">
      <c r="A3307" s="1"/>
      <c r="B3307" s="1"/>
      <c r="C3307" s="1"/>
      <c r="D3307" s="1"/>
      <c r="E3307" s="1"/>
      <c r="F3307" s="1"/>
      <c r="G3307" s="1"/>
      <c r="H3307" s="1"/>
      <c r="I3307" s="1"/>
      <c r="J3307" s="1"/>
      <c r="K3307" s="102" t="s">
        <v>5709</v>
      </c>
      <c r="L3307" s="102" t="str">
        <f>W238</f>
        <v>J1a2a1a2d2b2b2c4c4a2a1a~</v>
      </c>
      <c r="M3307" s="102"/>
      <c r="N3307" s="102"/>
      <c r="O3307" s="105">
        <v>2.1164352E7</v>
      </c>
      <c r="P3307" s="105">
        <v>1.9002466E7</v>
      </c>
      <c r="Q3307" s="102" t="s">
        <v>2501</v>
      </c>
      <c r="S3307" s="1"/>
      <c r="T3307" s="1"/>
      <c r="U3307" s="1"/>
      <c r="V3307" s="1"/>
      <c r="W3307" s="1"/>
      <c r="X3307" s="1"/>
      <c r="Y3307" s="1"/>
      <c r="Z3307" s="102"/>
      <c r="AA3307" s="102"/>
      <c r="AB3307" s="1"/>
      <c r="AC3307" s="1"/>
      <c r="AD3307" s="1"/>
      <c r="AE3307" s="1"/>
      <c r="AF3307" s="1"/>
      <c r="AG3307" s="1"/>
    </row>
    <row r="3308" ht="15.75" customHeight="1">
      <c r="A3308" s="1"/>
      <c r="B3308" s="1"/>
      <c r="C3308" s="1"/>
      <c r="D3308" s="1"/>
      <c r="E3308" s="1"/>
      <c r="F3308" s="1"/>
      <c r="G3308" s="1"/>
      <c r="H3308" s="1"/>
      <c r="I3308" s="1"/>
      <c r="J3308" s="1"/>
      <c r="K3308" s="102" t="s">
        <v>5710</v>
      </c>
      <c r="L3308" s="102" t="str">
        <f>W238</f>
        <v>J1a2a1a2d2b2b2c4c4a2a1a~</v>
      </c>
      <c r="M3308" s="102"/>
      <c r="N3308" s="102"/>
      <c r="O3308" s="105">
        <v>2.3443315E7</v>
      </c>
      <c r="P3308" s="105">
        <v>2.1281429E7</v>
      </c>
      <c r="Q3308" s="102" t="s">
        <v>2533</v>
      </c>
      <c r="S3308" s="1"/>
      <c r="T3308" s="1"/>
      <c r="U3308" s="1"/>
      <c r="V3308" s="1"/>
      <c r="W3308" s="1"/>
      <c r="X3308" s="1"/>
      <c r="Y3308" s="1"/>
      <c r="Z3308" s="102"/>
      <c r="AA3308" s="102"/>
      <c r="AB3308" s="1"/>
      <c r="AC3308" s="1"/>
      <c r="AD3308" s="1"/>
      <c r="AE3308" s="1"/>
      <c r="AF3308" s="1"/>
      <c r="AG3308" s="1"/>
    </row>
    <row r="3309" ht="15.75" customHeight="1">
      <c r="A3309" s="1"/>
      <c r="B3309" s="1"/>
      <c r="C3309" s="1"/>
      <c r="D3309" s="1"/>
      <c r="E3309" s="1"/>
      <c r="F3309" s="1"/>
      <c r="G3309" s="1"/>
      <c r="H3309" s="1"/>
      <c r="I3309" s="1"/>
      <c r="J3309" s="1"/>
      <c r="K3309" s="102" t="s">
        <v>5711</v>
      </c>
      <c r="L3309" s="102" t="str">
        <f>R239</f>
        <v>J1a2a1a2d2b2b2c4c5~</v>
      </c>
      <c r="M3309" s="102"/>
      <c r="N3309" s="102" t="s">
        <v>5712</v>
      </c>
      <c r="O3309" s="105">
        <v>6921934.0</v>
      </c>
      <c r="P3309" s="105">
        <v>7053893.0</v>
      </c>
      <c r="Q3309" s="102" t="s">
        <v>2501</v>
      </c>
      <c r="S3309" s="1"/>
      <c r="T3309" s="1"/>
      <c r="U3309" s="1"/>
      <c r="V3309" s="1"/>
      <c r="W3309" s="1"/>
      <c r="X3309" s="1"/>
      <c r="Y3309" s="1"/>
      <c r="Z3309" s="102"/>
      <c r="AA3309" s="102"/>
      <c r="AB3309" s="1"/>
      <c r="AC3309" s="1"/>
      <c r="AD3309" s="1"/>
      <c r="AE3309" s="1"/>
      <c r="AF3309" s="1"/>
      <c r="AG3309" s="1"/>
    </row>
    <row r="3310" ht="15.75" customHeight="1">
      <c r="A3310" s="1"/>
      <c r="B3310" s="1"/>
      <c r="C3310" s="1"/>
      <c r="D3310" s="1"/>
      <c r="E3310" s="1"/>
      <c r="F3310" s="1"/>
      <c r="G3310" s="1"/>
      <c r="H3310" s="1"/>
      <c r="I3310" s="1"/>
      <c r="J3310" s="1"/>
      <c r="K3310" s="102" t="s">
        <v>5713</v>
      </c>
      <c r="L3310" s="102" t="str">
        <f>R239</f>
        <v>J1a2a1a2d2b2b2c4c5~</v>
      </c>
      <c r="M3310" s="102"/>
      <c r="N3310" s="102" t="s">
        <v>5714</v>
      </c>
      <c r="O3310" s="105">
        <v>1.5545434E7</v>
      </c>
      <c r="P3310" s="105">
        <v>1.3433554E7</v>
      </c>
      <c r="Q3310" s="102" t="s">
        <v>2439</v>
      </c>
      <c r="S3310" s="1"/>
      <c r="T3310" s="1"/>
      <c r="U3310" s="1"/>
      <c r="V3310" s="1"/>
      <c r="W3310" s="1"/>
      <c r="X3310" s="1"/>
      <c r="Y3310" s="1"/>
      <c r="Z3310" s="102"/>
      <c r="AA3310" s="102"/>
      <c r="AB3310" s="1"/>
      <c r="AC3310" s="1"/>
      <c r="AD3310" s="1"/>
      <c r="AE3310" s="1"/>
      <c r="AF3310" s="1"/>
      <c r="AG3310" s="1"/>
    </row>
    <row r="3311" ht="15.75" customHeight="1">
      <c r="A3311" s="1"/>
      <c r="B3311" s="1"/>
      <c r="C3311" s="1"/>
      <c r="D3311" s="1"/>
      <c r="E3311" s="1"/>
      <c r="F3311" s="1"/>
      <c r="G3311" s="1"/>
      <c r="H3311" s="1"/>
      <c r="I3311" s="1"/>
      <c r="J3311" s="1"/>
      <c r="K3311" s="102" t="s">
        <v>5715</v>
      </c>
      <c r="L3311" s="102" t="str">
        <f>R239</f>
        <v>J1a2a1a2d2b2b2c4c5~</v>
      </c>
      <c r="M3311" s="102"/>
      <c r="N3311" s="102" t="s">
        <v>5716</v>
      </c>
      <c r="O3311" s="105">
        <v>1.6409212E7</v>
      </c>
      <c r="P3311" s="105">
        <v>1.4297332E7</v>
      </c>
      <c r="Q3311" s="102" t="s">
        <v>2501</v>
      </c>
      <c r="S3311" s="1"/>
      <c r="T3311" s="1"/>
      <c r="U3311" s="1"/>
      <c r="V3311" s="1"/>
      <c r="W3311" s="1"/>
      <c r="X3311" s="1"/>
      <c r="Y3311" s="1"/>
      <c r="Z3311" s="102"/>
      <c r="AA3311" s="102"/>
      <c r="AB3311" s="1"/>
      <c r="AC3311" s="1"/>
      <c r="AD3311" s="1"/>
      <c r="AE3311" s="1"/>
      <c r="AF3311" s="1"/>
      <c r="AG3311" s="1"/>
    </row>
    <row r="3312" ht="15.75" customHeight="1">
      <c r="A3312" s="1"/>
      <c r="B3312" s="1"/>
      <c r="C3312" s="1"/>
      <c r="D3312" s="1"/>
      <c r="E3312" s="1"/>
      <c r="F3312" s="1"/>
      <c r="G3312" s="1"/>
      <c r="H3312" s="1"/>
      <c r="I3312" s="1"/>
      <c r="J3312" s="1"/>
      <c r="K3312" s="102" t="s">
        <v>5717</v>
      </c>
      <c r="L3312" s="102" t="str">
        <f>R239</f>
        <v>J1a2a1a2d2b2b2c4c5~</v>
      </c>
      <c r="M3312" s="102"/>
      <c r="N3312" s="102" t="s">
        <v>5718</v>
      </c>
      <c r="O3312" s="105">
        <v>1.6671362E7</v>
      </c>
      <c r="P3312" s="105">
        <v>1.4559482E7</v>
      </c>
      <c r="Q3312" s="102" t="s">
        <v>2529</v>
      </c>
      <c r="S3312" s="1"/>
      <c r="T3312" s="1"/>
      <c r="U3312" s="1"/>
      <c r="V3312" s="1"/>
      <c r="W3312" s="1"/>
      <c r="X3312" s="1"/>
      <c r="Y3312" s="1"/>
      <c r="Z3312" s="102"/>
      <c r="AA3312" s="102"/>
      <c r="AB3312" s="1"/>
      <c r="AC3312" s="1"/>
      <c r="AD3312" s="1"/>
      <c r="AE3312" s="1"/>
      <c r="AF3312" s="1"/>
      <c r="AG3312" s="1"/>
    </row>
    <row r="3313" ht="15.75" customHeight="1">
      <c r="A3313" s="1"/>
      <c r="B3313" s="1"/>
      <c r="C3313" s="1"/>
      <c r="D3313" s="1"/>
      <c r="E3313" s="1"/>
      <c r="F3313" s="1"/>
      <c r="G3313" s="1"/>
      <c r="H3313" s="1"/>
      <c r="I3313" s="1"/>
      <c r="J3313" s="1"/>
      <c r="K3313" s="102" t="s">
        <v>5719</v>
      </c>
      <c r="L3313" s="102" t="str">
        <f>R239</f>
        <v>J1a2a1a2d2b2b2c4c5~</v>
      </c>
      <c r="M3313" s="102"/>
      <c r="N3313" s="102" t="s">
        <v>5720</v>
      </c>
      <c r="O3313" s="105">
        <v>2.1930829E7</v>
      </c>
      <c r="P3313" s="105">
        <v>1.9768943E7</v>
      </c>
      <c r="Q3313" s="102" t="s">
        <v>2514</v>
      </c>
      <c r="S3313" s="1"/>
      <c r="T3313" s="1"/>
      <c r="U3313" s="1"/>
      <c r="V3313" s="1"/>
      <c r="W3313" s="1"/>
      <c r="X3313" s="1"/>
      <c r="Y3313" s="1"/>
      <c r="Z3313" s="102"/>
      <c r="AA3313" s="102"/>
      <c r="AB3313" s="1"/>
      <c r="AC3313" s="1"/>
      <c r="AD3313" s="1"/>
      <c r="AE3313" s="1"/>
      <c r="AF3313" s="1"/>
      <c r="AG3313" s="1"/>
    </row>
    <row r="3314" ht="15.75" customHeight="1">
      <c r="A3314" s="1"/>
      <c r="B3314" s="1"/>
      <c r="C3314" s="1"/>
      <c r="D3314" s="1"/>
      <c r="E3314" s="1"/>
      <c r="F3314" s="1"/>
      <c r="G3314" s="1"/>
      <c r="H3314" s="1"/>
      <c r="I3314" s="1"/>
      <c r="J3314" s="1"/>
      <c r="K3314" s="102" t="s">
        <v>5721</v>
      </c>
      <c r="L3314" s="102" t="str">
        <f>Q240</f>
        <v>J1a2a1a2d2b2b2c4d~</v>
      </c>
      <c r="M3314" s="102" t="s">
        <v>5722</v>
      </c>
      <c r="N3314" s="102" t="s">
        <v>5723</v>
      </c>
      <c r="O3314" s="105">
        <v>1.8581881E7</v>
      </c>
      <c r="P3314" s="105">
        <v>1.6470001E7</v>
      </c>
      <c r="Q3314" s="102" t="s">
        <v>2439</v>
      </c>
      <c r="S3314" s="1"/>
      <c r="T3314" s="1"/>
      <c r="U3314" s="1"/>
      <c r="V3314" s="1"/>
      <c r="W3314" s="1"/>
      <c r="X3314" s="1"/>
      <c r="Y3314" s="1"/>
      <c r="Z3314" s="102"/>
      <c r="AA3314" s="102"/>
      <c r="AB3314" s="1"/>
      <c r="AC3314" s="1"/>
      <c r="AD3314" s="1"/>
      <c r="AE3314" s="1"/>
      <c r="AF3314" s="1"/>
      <c r="AG3314" s="1"/>
    </row>
    <row r="3315" ht="15.75" customHeight="1">
      <c r="A3315" s="1"/>
      <c r="B3315" s="1"/>
      <c r="C3315" s="1"/>
      <c r="D3315" s="1"/>
      <c r="E3315" s="1"/>
      <c r="F3315" s="1"/>
      <c r="G3315" s="1"/>
      <c r="H3315" s="1"/>
      <c r="I3315" s="1"/>
      <c r="J3315" s="1"/>
      <c r="K3315" s="102" t="s">
        <v>5722</v>
      </c>
      <c r="L3315" s="102" t="str">
        <f>Q240</f>
        <v>J1a2a1a2d2b2b2c4d~</v>
      </c>
      <c r="M3315" s="102" t="s">
        <v>5721</v>
      </c>
      <c r="N3315" s="102" t="s">
        <v>5723</v>
      </c>
      <c r="O3315" s="105">
        <v>1.8581881E7</v>
      </c>
      <c r="P3315" s="105">
        <v>1.6470001E7</v>
      </c>
      <c r="Q3315" s="102" t="s">
        <v>2439</v>
      </c>
      <c r="S3315" s="1"/>
      <c r="T3315" s="1"/>
      <c r="U3315" s="1"/>
      <c r="V3315" s="1"/>
      <c r="W3315" s="1"/>
      <c r="X3315" s="1"/>
      <c r="Y3315" s="1"/>
      <c r="Z3315" s="102"/>
      <c r="AA3315" s="102"/>
      <c r="AB3315" s="1"/>
      <c r="AC3315" s="1"/>
      <c r="AD3315" s="1"/>
      <c r="AE3315" s="1"/>
      <c r="AF3315" s="1"/>
      <c r="AG3315" s="1"/>
    </row>
    <row r="3316" ht="15.75" customHeight="1">
      <c r="A3316" s="1"/>
      <c r="B3316" s="1"/>
      <c r="C3316" s="1"/>
      <c r="D3316" s="1"/>
      <c r="E3316" s="1"/>
      <c r="F3316" s="1"/>
      <c r="G3316" s="1"/>
      <c r="H3316" s="1"/>
      <c r="I3316" s="1"/>
      <c r="J3316" s="1"/>
      <c r="K3316" s="102" t="s">
        <v>5724</v>
      </c>
      <c r="L3316" s="102" t="str">
        <f>R241</f>
        <v>J1a2a1a2d2b2b2c4d1~</v>
      </c>
      <c r="M3316" s="102" t="s">
        <v>5725</v>
      </c>
      <c r="N3316" s="102" t="s">
        <v>5726</v>
      </c>
      <c r="O3316" s="105">
        <v>1.699924E7</v>
      </c>
      <c r="P3316" s="105">
        <v>1.488736E7</v>
      </c>
      <c r="Q3316" s="102" t="s">
        <v>2501</v>
      </c>
      <c r="S3316" s="1"/>
      <c r="T3316" s="1"/>
      <c r="U3316" s="1"/>
      <c r="V3316" s="1"/>
      <c r="W3316" s="1"/>
      <c r="X3316" s="1"/>
      <c r="Y3316" s="1"/>
      <c r="Z3316" s="102"/>
      <c r="AA3316" s="102"/>
      <c r="AB3316" s="1"/>
      <c r="AC3316" s="1"/>
      <c r="AD3316" s="1"/>
      <c r="AE3316" s="1"/>
      <c r="AF3316" s="1"/>
      <c r="AG3316" s="1"/>
    </row>
    <row r="3317" ht="15.75" customHeight="1">
      <c r="A3317" s="1"/>
      <c r="B3317" s="1"/>
      <c r="C3317" s="1"/>
      <c r="D3317" s="1"/>
      <c r="E3317" s="1"/>
      <c r="F3317" s="1"/>
      <c r="G3317" s="1"/>
      <c r="H3317" s="1"/>
      <c r="I3317" s="1"/>
      <c r="J3317" s="1"/>
      <c r="K3317" s="102" t="s">
        <v>5725</v>
      </c>
      <c r="L3317" s="102" t="str">
        <f>R241</f>
        <v>J1a2a1a2d2b2b2c4d1~</v>
      </c>
      <c r="M3317" s="102" t="s">
        <v>5724</v>
      </c>
      <c r="N3317" s="102" t="s">
        <v>5726</v>
      </c>
      <c r="O3317" s="105">
        <v>1.699924E7</v>
      </c>
      <c r="P3317" s="105">
        <v>1.488736E7</v>
      </c>
      <c r="Q3317" s="102" t="s">
        <v>2501</v>
      </c>
      <c r="S3317" s="1"/>
      <c r="T3317" s="1"/>
      <c r="U3317" s="1"/>
      <c r="V3317" s="1"/>
      <c r="W3317" s="1"/>
      <c r="X3317" s="1"/>
      <c r="Y3317" s="1"/>
      <c r="Z3317" s="102"/>
      <c r="AA3317" s="102"/>
      <c r="AB3317" s="1"/>
      <c r="AC3317" s="1"/>
      <c r="AD3317" s="1"/>
      <c r="AE3317" s="1"/>
      <c r="AF3317" s="1"/>
      <c r="AG3317" s="1"/>
    </row>
    <row r="3318" ht="15.75" customHeight="1">
      <c r="A3318" s="1"/>
      <c r="B3318" s="1"/>
      <c r="C3318" s="1"/>
      <c r="D3318" s="1"/>
      <c r="E3318" s="1"/>
      <c r="F3318" s="1"/>
      <c r="G3318" s="1"/>
      <c r="H3318" s="1"/>
      <c r="I3318" s="1"/>
      <c r="J3318" s="1"/>
      <c r="K3318" s="102" t="s">
        <v>5727</v>
      </c>
      <c r="L3318" s="102" t="str">
        <f>R241</f>
        <v>J1a2a1a2d2b2b2c4d1~</v>
      </c>
      <c r="M3318" s="102" t="s">
        <v>5728</v>
      </c>
      <c r="N3318" s="102" t="s">
        <v>5729</v>
      </c>
      <c r="O3318" s="105">
        <v>1.8038642E7</v>
      </c>
      <c r="P3318" s="105">
        <v>1.5926762E7</v>
      </c>
      <c r="Q3318" s="102" t="s">
        <v>2468</v>
      </c>
      <c r="S3318" s="1"/>
      <c r="T3318" s="1"/>
      <c r="U3318" s="1"/>
      <c r="V3318" s="1"/>
      <c r="W3318" s="1"/>
      <c r="X3318" s="1"/>
      <c r="Y3318" s="1"/>
      <c r="Z3318" s="102"/>
      <c r="AA3318" s="102"/>
      <c r="AB3318" s="1"/>
      <c r="AC3318" s="1"/>
      <c r="AD3318" s="1"/>
      <c r="AE3318" s="1"/>
      <c r="AF3318" s="1"/>
      <c r="AG3318" s="1"/>
    </row>
    <row r="3319" ht="15.75" customHeight="1">
      <c r="A3319" s="1"/>
      <c r="B3319" s="1"/>
      <c r="C3319" s="1"/>
      <c r="D3319" s="1"/>
      <c r="E3319" s="1"/>
      <c r="F3319" s="1"/>
      <c r="G3319" s="1"/>
      <c r="H3319" s="1"/>
      <c r="I3319" s="1"/>
      <c r="J3319" s="1"/>
      <c r="K3319" s="102" t="s">
        <v>5728</v>
      </c>
      <c r="L3319" s="102" t="str">
        <f>R241</f>
        <v>J1a2a1a2d2b2b2c4d1~</v>
      </c>
      <c r="M3319" s="102" t="s">
        <v>5727</v>
      </c>
      <c r="N3319" s="102" t="s">
        <v>5729</v>
      </c>
      <c r="O3319" s="105">
        <v>1.8038642E7</v>
      </c>
      <c r="P3319" s="105">
        <v>1.5926762E7</v>
      </c>
      <c r="Q3319" s="102" t="s">
        <v>2468</v>
      </c>
      <c r="S3319" s="1"/>
      <c r="T3319" s="1"/>
      <c r="U3319" s="1"/>
      <c r="V3319" s="1"/>
      <c r="W3319" s="1"/>
      <c r="X3319" s="1"/>
      <c r="Y3319" s="1"/>
      <c r="Z3319" s="102"/>
      <c r="AA3319" s="102"/>
      <c r="AB3319" s="1"/>
      <c r="AC3319" s="1"/>
      <c r="AD3319" s="1"/>
      <c r="AE3319" s="1"/>
      <c r="AF3319" s="1"/>
      <c r="AG3319" s="1"/>
    </row>
    <row r="3320" ht="15.75" customHeight="1">
      <c r="A3320" s="1"/>
      <c r="B3320" s="1"/>
      <c r="C3320" s="1"/>
      <c r="D3320" s="1"/>
      <c r="E3320" s="1"/>
      <c r="F3320" s="1"/>
      <c r="G3320" s="1"/>
      <c r="H3320" s="1"/>
      <c r="I3320" s="1"/>
      <c r="J3320" s="1"/>
      <c r="K3320" s="102" t="s">
        <v>5730</v>
      </c>
      <c r="L3320" s="102" t="str">
        <f>R241</f>
        <v>J1a2a1a2d2b2b2c4d1~</v>
      </c>
      <c r="M3320" s="102"/>
      <c r="N3320" s="102"/>
      <c r="O3320" s="105">
        <v>2.865326E7</v>
      </c>
      <c r="P3320" s="105">
        <v>2.6507113E7</v>
      </c>
      <c r="Q3320" s="102" t="s">
        <v>2439</v>
      </c>
      <c r="S3320" s="1"/>
      <c r="T3320" s="1"/>
      <c r="U3320" s="1"/>
      <c r="V3320" s="1"/>
      <c r="W3320" s="1"/>
      <c r="X3320" s="1"/>
      <c r="Y3320" s="1"/>
      <c r="Z3320" s="102"/>
      <c r="AA3320" s="102"/>
      <c r="AB3320" s="1"/>
      <c r="AC3320" s="1"/>
      <c r="AD3320" s="1"/>
      <c r="AE3320" s="1"/>
      <c r="AF3320" s="1"/>
      <c r="AG3320" s="1"/>
    </row>
    <row r="3321" ht="15.75" customHeight="1">
      <c r="A3321" s="1"/>
      <c r="B3321" s="1"/>
      <c r="C3321" s="1"/>
      <c r="D3321" s="1"/>
      <c r="E3321" s="1"/>
      <c r="F3321" s="1"/>
      <c r="G3321" s="1"/>
      <c r="H3321" s="1"/>
      <c r="I3321" s="1"/>
      <c r="J3321" s="1"/>
      <c r="K3321" s="102" t="s">
        <v>5731</v>
      </c>
      <c r="L3321" s="102" t="str">
        <f>S242</f>
        <v>J1a2a1a2d2b2b2c4d1a~</v>
      </c>
      <c r="M3321" s="102"/>
      <c r="N3321" s="102" t="s">
        <v>5732</v>
      </c>
      <c r="O3321" s="105">
        <v>1.931018E7</v>
      </c>
      <c r="P3321" s="105">
        <v>1.71983E7</v>
      </c>
      <c r="Q3321" s="102" t="s">
        <v>2501</v>
      </c>
      <c r="S3321" s="1"/>
      <c r="T3321" s="1"/>
      <c r="U3321" s="1"/>
      <c r="V3321" s="1"/>
      <c r="W3321" s="1"/>
      <c r="X3321" s="1"/>
      <c r="Y3321" s="1"/>
      <c r="Z3321" s="102"/>
      <c r="AA3321" s="102"/>
      <c r="AB3321" s="1"/>
      <c r="AC3321" s="1"/>
      <c r="AD3321" s="1"/>
      <c r="AE3321" s="1"/>
      <c r="AF3321" s="1"/>
      <c r="AG3321" s="1"/>
    </row>
    <row r="3322" ht="15.75" customHeight="1">
      <c r="A3322" s="1"/>
      <c r="B3322" s="1"/>
      <c r="C3322" s="1"/>
      <c r="D3322" s="1"/>
      <c r="E3322" s="1"/>
      <c r="F3322" s="1"/>
      <c r="G3322" s="1"/>
      <c r="H3322" s="1"/>
      <c r="I3322" s="1"/>
      <c r="J3322" s="1"/>
      <c r="K3322" s="102" t="s">
        <v>5733</v>
      </c>
      <c r="L3322" s="102" t="str">
        <f>S242</f>
        <v>J1a2a1a2d2b2b2c4d1a~</v>
      </c>
      <c r="M3322" s="102" t="s">
        <v>5734</v>
      </c>
      <c r="N3322" s="102" t="s">
        <v>5735</v>
      </c>
      <c r="O3322" s="105">
        <v>9899268.0</v>
      </c>
      <c r="P3322" s="105">
        <v>1.0061659E7</v>
      </c>
      <c r="Q3322" s="102" t="s">
        <v>2529</v>
      </c>
      <c r="S3322" s="1"/>
      <c r="T3322" s="1"/>
      <c r="U3322" s="1"/>
      <c r="V3322" s="1"/>
      <c r="W3322" s="1"/>
      <c r="X3322" s="1"/>
      <c r="Y3322" s="1"/>
      <c r="Z3322" s="102"/>
      <c r="AA3322" s="102"/>
      <c r="AB3322" s="1"/>
      <c r="AC3322" s="1"/>
      <c r="AD3322" s="1"/>
      <c r="AE3322" s="1"/>
      <c r="AF3322" s="1"/>
      <c r="AG3322" s="1"/>
    </row>
    <row r="3323" ht="15.75" customHeight="1">
      <c r="A3323" s="1"/>
      <c r="B3323" s="1"/>
      <c r="C3323" s="1"/>
      <c r="D3323" s="1"/>
      <c r="E3323" s="1"/>
      <c r="F3323" s="1"/>
      <c r="G3323" s="1"/>
      <c r="H3323" s="1"/>
      <c r="I3323" s="1"/>
      <c r="J3323" s="1"/>
      <c r="K3323" s="102" t="s">
        <v>5734</v>
      </c>
      <c r="L3323" s="102" t="str">
        <f>S242</f>
        <v>J1a2a1a2d2b2b2c4d1a~</v>
      </c>
      <c r="M3323" s="102" t="s">
        <v>5733</v>
      </c>
      <c r="N3323" s="102" t="s">
        <v>5735</v>
      </c>
      <c r="O3323" s="105">
        <v>9899268.0</v>
      </c>
      <c r="P3323" s="105">
        <v>1.0061659E7</v>
      </c>
      <c r="Q3323" s="102" t="s">
        <v>2529</v>
      </c>
      <c r="S3323" s="1"/>
      <c r="T3323" s="1"/>
      <c r="U3323" s="1"/>
      <c r="V3323" s="1"/>
      <c r="W3323" s="1"/>
      <c r="X3323" s="1"/>
      <c r="Y3323" s="1"/>
      <c r="Z3323" s="102"/>
      <c r="AA3323" s="102"/>
      <c r="AB3323" s="1"/>
      <c r="AC3323" s="1"/>
      <c r="AD3323" s="1"/>
      <c r="AE3323" s="1"/>
      <c r="AF3323" s="1"/>
      <c r="AG3323" s="1"/>
    </row>
    <row r="3324" ht="15.75" customHeight="1">
      <c r="A3324" s="1"/>
      <c r="B3324" s="1"/>
      <c r="C3324" s="1"/>
      <c r="D3324" s="1"/>
      <c r="E3324" s="1"/>
      <c r="F3324" s="1"/>
      <c r="G3324" s="1"/>
      <c r="H3324" s="1"/>
      <c r="I3324" s="1"/>
      <c r="J3324" s="1"/>
      <c r="K3324" s="102" t="s">
        <v>5736</v>
      </c>
      <c r="L3324" s="102" t="str">
        <f>T243</f>
        <v>J1a2a1a2d2b2b2c4d1a1~</v>
      </c>
      <c r="M3324" s="102" t="s">
        <v>5737</v>
      </c>
      <c r="N3324" s="102" t="s">
        <v>5738</v>
      </c>
      <c r="O3324" s="105">
        <v>1.7685381E7</v>
      </c>
      <c r="P3324" s="105">
        <v>1.5573501E7</v>
      </c>
      <c r="Q3324" s="102" t="s">
        <v>2576</v>
      </c>
      <c r="S3324" s="1"/>
      <c r="T3324" s="1"/>
      <c r="U3324" s="1"/>
      <c r="V3324" s="1"/>
      <c r="W3324" s="1"/>
      <c r="X3324" s="1"/>
      <c r="Y3324" s="1"/>
      <c r="Z3324" s="102"/>
      <c r="AA3324" s="102"/>
      <c r="AB3324" s="1"/>
      <c r="AC3324" s="1"/>
      <c r="AD3324" s="1"/>
      <c r="AE3324" s="1"/>
      <c r="AF3324" s="1"/>
      <c r="AG3324" s="1"/>
    </row>
    <row r="3325" ht="15.75" customHeight="1">
      <c r="A3325" s="1"/>
      <c r="B3325" s="1"/>
      <c r="C3325" s="1"/>
      <c r="D3325" s="1"/>
      <c r="E3325" s="1"/>
      <c r="F3325" s="1"/>
      <c r="G3325" s="1"/>
      <c r="H3325" s="1"/>
      <c r="I3325" s="1"/>
      <c r="J3325" s="1"/>
      <c r="K3325" s="102" t="s">
        <v>5737</v>
      </c>
      <c r="L3325" s="102" t="str">
        <f>T243</f>
        <v>J1a2a1a2d2b2b2c4d1a1~</v>
      </c>
      <c r="M3325" s="102" t="s">
        <v>5736</v>
      </c>
      <c r="N3325" s="102" t="s">
        <v>5738</v>
      </c>
      <c r="O3325" s="105">
        <v>1.7685381E7</v>
      </c>
      <c r="P3325" s="105">
        <v>1.5573501E7</v>
      </c>
      <c r="Q3325" s="102" t="s">
        <v>2576</v>
      </c>
      <c r="S3325" s="1"/>
      <c r="T3325" s="1"/>
      <c r="U3325" s="1"/>
      <c r="V3325" s="1"/>
      <c r="W3325" s="1"/>
      <c r="X3325" s="1"/>
      <c r="Y3325" s="1"/>
      <c r="Z3325" s="102"/>
      <c r="AA3325" s="102"/>
      <c r="AB3325" s="1"/>
      <c r="AC3325" s="1"/>
      <c r="AD3325" s="1"/>
      <c r="AE3325" s="1"/>
      <c r="AF3325" s="1"/>
      <c r="AG3325" s="1"/>
    </row>
    <row r="3326" ht="15.75" customHeight="1">
      <c r="A3326" s="1"/>
      <c r="B3326" s="1"/>
      <c r="C3326" s="1"/>
      <c r="D3326" s="1"/>
      <c r="E3326" s="1"/>
      <c r="F3326" s="1"/>
      <c r="G3326" s="1"/>
      <c r="H3326" s="1"/>
      <c r="I3326" s="1"/>
      <c r="J3326" s="1"/>
      <c r="K3326" s="102" t="s">
        <v>457</v>
      </c>
      <c r="L3326" s="102" t="str">
        <f>U244</f>
        <v>J1a2a1a2d2b2b2c4d1a1a~</v>
      </c>
      <c r="M3326" s="102"/>
      <c r="N3326" s="102" t="s">
        <v>5739</v>
      </c>
      <c r="O3326" s="105">
        <v>2.3146888E7</v>
      </c>
      <c r="P3326" s="105">
        <v>2.0985002E7</v>
      </c>
      <c r="Q3326" s="102" t="s">
        <v>2576</v>
      </c>
      <c r="S3326" s="1"/>
      <c r="T3326" s="1"/>
      <c r="U3326" s="1"/>
      <c r="V3326" s="1"/>
      <c r="W3326" s="1"/>
      <c r="X3326" s="1"/>
      <c r="Y3326" s="1"/>
      <c r="Z3326" s="102"/>
      <c r="AA3326" s="102"/>
      <c r="AB3326" s="1"/>
      <c r="AC3326" s="1"/>
      <c r="AD3326" s="1"/>
      <c r="AE3326" s="1"/>
      <c r="AF3326" s="1"/>
      <c r="AG3326" s="1"/>
    </row>
    <row r="3327" ht="15.75" customHeight="1">
      <c r="A3327" s="1"/>
      <c r="B3327" s="1"/>
      <c r="C3327" s="1"/>
      <c r="D3327" s="1"/>
      <c r="E3327" s="1"/>
      <c r="F3327" s="1"/>
      <c r="G3327" s="1"/>
      <c r="H3327" s="1"/>
      <c r="I3327" s="1"/>
      <c r="J3327" s="1"/>
      <c r="K3327" s="102" t="s">
        <v>5740</v>
      </c>
      <c r="L3327" s="102" t="str">
        <f>V245</f>
        <v>J1a2a1a2d2b2b2c4d1a1a1~</v>
      </c>
      <c r="M3327" s="102"/>
      <c r="N3327" s="102" t="s">
        <v>5741</v>
      </c>
      <c r="O3327" s="105">
        <v>2.1236796E7</v>
      </c>
      <c r="P3327" s="105">
        <v>1.907491E7</v>
      </c>
      <c r="Q3327" s="102" t="s">
        <v>2468</v>
      </c>
      <c r="S3327" s="1"/>
      <c r="T3327" s="1"/>
      <c r="U3327" s="1"/>
      <c r="V3327" s="1"/>
      <c r="W3327" s="1"/>
      <c r="X3327" s="1"/>
      <c r="Y3327" s="1"/>
      <c r="Z3327" s="102"/>
      <c r="AA3327" s="102"/>
      <c r="AB3327" s="1"/>
      <c r="AC3327" s="1"/>
      <c r="AD3327" s="1"/>
      <c r="AE3327" s="1"/>
      <c r="AF3327" s="1"/>
      <c r="AG3327" s="1"/>
    </row>
    <row r="3328" ht="15.75" customHeight="1">
      <c r="A3328" s="1"/>
      <c r="B3328" s="1"/>
      <c r="C3328" s="1"/>
      <c r="D3328" s="1"/>
      <c r="E3328" s="1"/>
      <c r="F3328" s="1"/>
      <c r="G3328" s="1"/>
      <c r="H3328" s="1"/>
      <c r="I3328" s="1"/>
      <c r="J3328" s="1"/>
      <c r="K3328" s="102" t="s">
        <v>5742</v>
      </c>
      <c r="L3328" s="102" t="str">
        <f>V245</f>
        <v>J1a2a1a2d2b2b2c4d1a1a1~</v>
      </c>
      <c r="M3328" s="102"/>
      <c r="N3328" s="102" t="s">
        <v>5743</v>
      </c>
      <c r="O3328" s="105">
        <v>2.1655652E7</v>
      </c>
      <c r="P3328" s="105">
        <v>1.9493766E7</v>
      </c>
      <c r="Q3328" s="102" t="s">
        <v>2432</v>
      </c>
      <c r="S3328" s="1"/>
      <c r="T3328" s="1"/>
      <c r="U3328" s="1"/>
      <c r="V3328" s="1"/>
      <c r="W3328" s="1"/>
      <c r="X3328" s="1"/>
      <c r="Y3328" s="1"/>
      <c r="Z3328" s="102"/>
      <c r="AA3328" s="102"/>
      <c r="AB3328" s="1"/>
      <c r="AC3328" s="1"/>
      <c r="AD3328" s="1"/>
      <c r="AE3328" s="1"/>
      <c r="AF3328" s="1"/>
      <c r="AG3328" s="1"/>
    </row>
    <row r="3329" ht="15.75" customHeight="1">
      <c r="A3329" s="1"/>
      <c r="B3329" s="1"/>
      <c r="C3329" s="1"/>
      <c r="D3329" s="1"/>
      <c r="E3329" s="1"/>
      <c r="F3329" s="1"/>
      <c r="G3329" s="1"/>
      <c r="H3329" s="1"/>
      <c r="I3329" s="1"/>
      <c r="J3329" s="1"/>
      <c r="K3329" s="102" t="s">
        <v>5744</v>
      </c>
      <c r="L3329" s="102" t="str">
        <f>W246</f>
        <v>J1a2a1a2d2b2b2c4d1a1a1a~</v>
      </c>
      <c r="M3329" s="102"/>
      <c r="N3329" s="102"/>
      <c r="O3329" s="105">
        <v>8407296.0</v>
      </c>
      <c r="P3329" s="105">
        <v>8539255.0</v>
      </c>
      <c r="Q3329" s="102" t="s">
        <v>2468</v>
      </c>
      <c r="S3329" s="1"/>
      <c r="T3329" s="1"/>
      <c r="U3329" s="1"/>
      <c r="V3329" s="1"/>
      <c r="W3329" s="1"/>
      <c r="X3329" s="1"/>
      <c r="Y3329" s="1"/>
      <c r="Z3329" s="102"/>
      <c r="AA3329" s="102"/>
      <c r="AB3329" s="1"/>
      <c r="AC3329" s="1"/>
      <c r="AD3329" s="1"/>
      <c r="AE3329" s="1"/>
      <c r="AF3329" s="1"/>
      <c r="AG3329" s="1"/>
    </row>
    <row r="3330" ht="15.75" customHeight="1">
      <c r="A3330" s="1"/>
      <c r="B3330" s="1"/>
      <c r="C3330" s="1"/>
      <c r="D3330" s="1"/>
      <c r="E3330" s="1"/>
      <c r="F3330" s="1"/>
      <c r="G3330" s="1"/>
      <c r="H3330" s="1"/>
      <c r="I3330" s="1"/>
      <c r="J3330" s="1"/>
      <c r="K3330" s="102" t="s">
        <v>5745</v>
      </c>
      <c r="L3330" s="102" t="str">
        <f>W246</f>
        <v>J1a2a1a2d2b2b2c4d1a1a1a~</v>
      </c>
      <c r="M3330" s="102"/>
      <c r="N3330" s="102"/>
      <c r="O3330" s="105">
        <v>1.819684E7</v>
      </c>
      <c r="P3330" s="105">
        <v>1.608496E7</v>
      </c>
      <c r="Q3330" s="102" t="s">
        <v>2468</v>
      </c>
      <c r="S3330" s="1"/>
      <c r="T3330" s="1"/>
      <c r="U3330" s="1"/>
      <c r="V3330" s="1"/>
      <c r="W3330" s="1"/>
      <c r="X3330" s="1"/>
      <c r="Y3330" s="1"/>
      <c r="Z3330" s="102"/>
      <c r="AA3330" s="102"/>
      <c r="AB3330" s="1"/>
      <c r="AC3330" s="1"/>
      <c r="AD3330" s="1"/>
      <c r="AE3330" s="1"/>
      <c r="AF3330" s="1"/>
      <c r="AG3330" s="1"/>
    </row>
    <row r="3331" ht="15.75" customHeight="1">
      <c r="A3331" s="1"/>
      <c r="B3331" s="1"/>
      <c r="C3331" s="1"/>
      <c r="D3331" s="1"/>
      <c r="E3331" s="1"/>
      <c r="F3331" s="1"/>
      <c r="G3331" s="1"/>
      <c r="H3331" s="1"/>
      <c r="I3331" s="1"/>
      <c r="J3331" s="1"/>
      <c r="K3331" s="102" t="s">
        <v>463</v>
      </c>
      <c r="L3331" s="102" t="str">
        <f>U247</f>
        <v>J1a2a1a2d2b2b2c4d1a1b~</v>
      </c>
      <c r="M3331" s="102"/>
      <c r="N3331" s="102"/>
      <c r="O3331" s="105">
        <v>1.8866937E7</v>
      </c>
      <c r="P3331" s="105">
        <v>1.6755057E7</v>
      </c>
      <c r="Q3331" s="102" t="s">
        <v>2501</v>
      </c>
      <c r="S3331" s="1"/>
      <c r="T3331" s="1"/>
      <c r="U3331" s="1"/>
      <c r="V3331" s="1"/>
      <c r="W3331" s="1"/>
      <c r="X3331" s="1"/>
      <c r="Y3331" s="1"/>
      <c r="Z3331" s="102"/>
      <c r="AA3331" s="102"/>
      <c r="AB3331" s="1"/>
      <c r="AC3331" s="1"/>
      <c r="AD3331" s="1"/>
      <c r="AE3331" s="1"/>
      <c r="AF3331" s="1"/>
      <c r="AG3331" s="1"/>
    </row>
    <row r="3332" ht="15.75" customHeight="1">
      <c r="A3332" s="1"/>
      <c r="B3332" s="1"/>
      <c r="C3332" s="1"/>
      <c r="D3332" s="1"/>
      <c r="E3332" s="1"/>
      <c r="F3332" s="1"/>
      <c r="G3332" s="1"/>
      <c r="H3332" s="1"/>
      <c r="I3332" s="1"/>
      <c r="J3332" s="1"/>
      <c r="K3332" s="102" t="s">
        <v>5746</v>
      </c>
      <c r="L3332" s="102" t="str">
        <f>V248</f>
        <v>J1a2a1a2d2b2b2c4d1a1b1~</v>
      </c>
      <c r="M3332" s="102"/>
      <c r="N3332" s="102"/>
      <c r="O3332" s="105">
        <v>8617560.0</v>
      </c>
      <c r="P3332" s="105">
        <v>8749519.0</v>
      </c>
      <c r="Q3332" s="102" t="s">
        <v>2514</v>
      </c>
      <c r="S3332" s="1"/>
      <c r="T3332" s="1"/>
      <c r="U3332" s="1"/>
      <c r="V3332" s="1"/>
      <c r="W3332" s="1"/>
      <c r="X3332" s="1"/>
      <c r="Y3332" s="1"/>
      <c r="Z3332" s="102"/>
      <c r="AA3332" s="102"/>
      <c r="AB3332" s="1"/>
      <c r="AC3332" s="1"/>
      <c r="AD3332" s="1"/>
      <c r="AE3332" s="1"/>
      <c r="AF3332" s="1"/>
      <c r="AG3332" s="1"/>
    </row>
    <row r="3333" ht="15.75" customHeight="1">
      <c r="A3333" s="1"/>
      <c r="B3333" s="1"/>
      <c r="C3333" s="1"/>
      <c r="D3333" s="1"/>
      <c r="E3333" s="1"/>
      <c r="F3333" s="1"/>
      <c r="G3333" s="1"/>
      <c r="H3333" s="1"/>
      <c r="I3333" s="1"/>
      <c r="J3333" s="1"/>
      <c r="K3333" s="102" t="s">
        <v>5747</v>
      </c>
      <c r="L3333" s="102" t="str">
        <f>V248</f>
        <v>J1a2a1a2d2b2b2c4d1a1b1~</v>
      </c>
      <c r="M3333" s="102"/>
      <c r="N3333" s="102"/>
      <c r="O3333" s="105">
        <v>9847862.0</v>
      </c>
      <c r="P3333" s="105">
        <v>1.0010253E7</v>
      </c>
      <c r="Q3333" s="102" t="s">
        <v>2439</v>
      </c>
      <c r="S3333" s="1"/>
      <c r="T3333" s="1"/>
      <c r="U3333" s="1"/>
      <c r="V3333" s="1"/>
      <c r="W3333" s="1"/>
      <c r="X3333" s="1"/>
      <c r="Y3333" s="1"/>
      <c r="Z3333" s="102"/>
      <c r="AA3333" s="102"/>
      <c r="AB3333" s="1"/>
      <c r="AC3333" s="1"/>
      <c r="AD3333" s="1"/>
      <c r="AE3333" s="1"/>
      <c r="AF3333" s="1"/>
      <c r="AG3333" s="1"/>
    </row>
    <row r="3334" ht="15.75" customHeight="1">
      <c r="A3334" s="1"/>
      <c r="B3334" s="1"/>
      <c r="C3334" s="1"/>
      <c r="D3334" s="1"/>
      <c r="E3334" s="1"/>
      <c r="F3334" s="1"/>
      <c r="G3334" s="1"/>
      <c r="H3334" s="1"/>
      <c r="I3334" s="1"/>
      <c r="J3334" s="1"/>
      <c r="K3334" s="102" t="s">
        <v>5748</v>
      </c>
      <c r="L3334" s="102" t="str">
        <f>V248</f>
        <v>J1a2a1a2d2b2b2c4d1a1b1~</v>
      </c>
      <c r="M3334" s="102"/>
      <c r="N3334" s="102"/>
      <c r="O3334" s="105">
        <v>1.8023999E7</v>
      </c>
      <c r="P3334" s="105">
        <v>1.5912119E7</v>
      </c>
      <c r="Q3334" s="102" t="s">
        <v>2468</v>
      </c>
      <c r="S3334" s="1"/>
      <c r="T3334" s="1"/>
      <c r="U3334" s="1"/>
      <c r="V3334" s="1"/>
      <c r="W3334" s="1"/>
      <c r="X3334" s="1"/>
      <c r="Y3334" s="1"/>
      <c r="Z3334" s="102"/>
      <c r="AA3334" s="102"/>
      <c r="AB3334" s="1"/>
      <c r="AC3334" s="1"/>
      <c r="AD3334" s="1"/>
      <c r="AE3334" s="1"/>
      <c r="AF3334" s="1"/>
      <c r="AG3334" s="1"/>
    </row>
    <row r="3335" ht="15.75" customHeight="1">
      <c r="A3335" s="1"/>
      <c r="B3335" s="1"/>
      <c r="C3335" s="1"/>
      <c r="D3335" s="1"/>
      <c r="E3335" s="1"/>
      <c r="F3335" s="1"/>
      <c r="G3335" s="1"/>
      <c r="H3335" s="1"/>
      <c r="I3335" s="1"/>
      <c r="J3335" s="1"/>
      <c r="K3335" s="102" t="s">
        <v>5749</v>
      </c>
      <c r="L3335" s="102" t="str">
        <f>V248</f>
        <v>J1a2a1a2d2b2b2c4d1a1b1~</v>
      </c>
      <c r="M3335" s="102"/>
      <c r="N3335" s="102"/>
      <c r="O3335" s="105">
        <v>1.8757295E7</v>
      </c>
      <c r="P3335" s="105">
        <v>1.6645415E7</v>
      </c>
      <c r="Q3335" s="102" t="s">
        <v>2533</v>
      </c>
      <c r="S3335" s="1"/>
      <c r="T3335" s="1"/>
      <c r="U3335" s="1"/>
      <c r="V3335" s="1"/>
      <c r="W3335" s="1"/>
      <c r="X3335" s="1"/>
      <c r="Y3335" s="1"/>
      <c r="Z3335" s="102"/>
      <c r="AA3335" s="102"/>
      <c r="AB3335" s="1"/>
      <c r="AC3335" s="1"/>
      <c r="AD3335" s="1"/>
      <c r="AE3335" s="1"/>
      <c r="AF3335" s="1"/>
      <c r="AG3335" s="1"/>
    </row>
    <row r="3336" ht="15.75" customHeight="1">
      <c r="A3336" s="1"/>
      <c r="B3336" s="1"/>
      <c r="C3336" s="1"/>
      <c r="D3336" s="1"/>
      <c r="E3336" s="1"/>
      <c r="F3336" s="1"/>
      <c r="G3336" s="1"/>
      <c r="H3336" s="1"/>
      <c r="I3336" s="1"/>
      <c r="J3336" s="1"/>
      <c r="K3336" s="102" t="s">
        <v>5750</v>
      </c>
      <c r="L3336" s="102" t="str">
        <f>R249</f>
        <v>J1a2a1a2d2b2b2c4d2~</v>
      </c>
      <c r="M3336" s="102" t="s">
        <v>5751</v>
      </c>
      <c r="N3336" s="102" t="s">
        <v>5752</v>
      </c>
      <c r="O3336" s="105">
        <v>1.8741715E7</v>
      </c>
      <c r="P3336" s="105">
        <v>1.6629835E7</v>
      </c>
      <c r="Q3336" s="102" t="s">
        <v>2529</v>
      </c>
      <c r="S3336" s="1"/>
      <c r="T3336" s="1"/>
      <c r="U3336" s="1"/>
      <c r="V3336" s="1"/>
      <c r="W3336" s="1"/>
      <c r="X3336" s="1"/>
      <c r="Y3336" s="1"/>
      <c r="Z3336" s="102"/>
      <c r="AA3336" s="102"/>
      <c r="AB3336" s="1"/>
      <c r="AC3336" s="1"/>
      <c r="AD3336" s="1"/>
      <c r="AE3336" s="1"/>
      <c r="AF3336" s="1"/>
      <c r="AG3336" s="1"/>
    </row>
    <row r="3337" ht="15.75" customHeight="1">
      <c r="A3337" s="1"/>
      <c r="B3337" s="1"/>
      <c r="C3337" s="1"/>
      <c r="D3337" s="1"/>
      <c r="E3337" s="1"/>
      <c r="F3337" s="1"/>
      <c r="G3337" s="1"/>
      <c r="H3337" s="1"/>
      <c r="I3337" s="1"/>
      <c r="J3337" s="1"/>
      <c r="K3337" s="102" t="s">
        <v>5751</v>
      </c>
      <c r="L3337" s="102" t="str">
        <f>R249</f>
        <v>J1a2a1a2d2b2b2c4d2~</v>
      </c>
      <c r="M3337" s="102" t="s">
        <v>5750</v>
      </c>
      <c r="N3337" s="102" t="s">
        <v>5752</v>
      </c>
      <c r="O3337" s="105">
        <v>1.8741715E7</v>
      </c>
      <c r="P3337" s="105">
        <v>1.6629835E7</v>
      </c>
      <c r="Q3337" s="102" t="s">
        <v>2529</v>
      </c>
      <c r="S3337" s="1"/>
      <c r="T3337" s="1"/>
      <c r="U3337" s="1"/>
      <c r="V3337" s="1"/>
      <c r="W3337" s="1"/>
      <c r="X3337" s="1"/>
      <c r="Y3337" s="1"/>
      <c r="Z3337" s="102"/>
      <c r="AA3337" s="102"/>
      <c r="AB3337" s="1"/>
      <c r="AC3337" s="1"/>
      <c r="AD3337" s="1"/>
      <c r="AE3337" s="1"/>
      <c r="AF3337" s="1"/>
      <c r="AG3337" s="1"/>
    </row>
    <row r="3338" ht="15.75" customHeight="1">
      <c r="A3338" s="1"/>
      <c r="B3338" s="1"/>
      <c r="C3338" s="1"/>
      <c r="D3338" s="1"/>
      <c r="E3338" s="1"/>
      <c r="F3338" s="1"/>
      <c r="G3338" s="1"/>
      <c r="H3338" s="1"/>
      <c r="I3338" s="1"/>
      <c r="J3338" s="1"/>
      <c r="K3338" s="102" t="s">
        <v>5753</v>
      </c>
      <c r="L3338" s="102" t="str">
        <f>R249</f>
        <v>J1a2a1a2d2b2b2c4d2~</v>
      </c>
      <c r="M3338" s="102" t="s">
        <v>5754</v>
      </c>
      <c r="N3338" s="102" t="s">
        <v>5755</v>
      </c>
      <c r="O3338" s="105">
        <v>7294536.0</v>
      </c>
      <c r="P3338" s="105">
        <v>7426495.0</v>
      </c>
      <c r="Q3338" s="102" t="s">
        <v>2439</v>
      </c>
      <c r="S3338" s="1"/>
      <c r="T3338" s="1"/>
      <c r="U3338" s="1"/>
      <c r="V3338" s="1"/>
      <c r="W3338" s="1"/>
      <c r="X3338" s="1"/>
      <c r="Y3338" s="1"/>
      <c r="Z3338" s="102"/>
      <c r="AA3338" s="102"/>
      <c r="AB3338" s="1"/>
      <c r="AC3338" s="1"/>
      <c r="AD3338" s="1"/>
      <c r="AE3338" s="1"/>
      <c r="AF3338" s="1"/>
      <c r="AG3338" s="1"/>
    </row>
    <row r="3339" ht="15.75" customHeight="1">
      <c r="A3339" s="1"/>
      <c r="B3339" s="1"/>
      <c r="C3339" s="1"/>
      <c r="D3339" s="1"/>
      <c r="E3339" s="1"/>
      <c r="F3339" s="1"/>
      <c r="G3339" s="1"/>
      <c r="H3339" s="1"/>
      <c r="I3339" s="1"/>
      <c r="J3339" s="1"/>
      <c r="K3339" s="102" t="s">
        <v>5754</v>
      </c>
      <c r="L3339" s="102" t="str">
        <f>R249</f>
        <v>J1a2a1a2d2b2b2c4d2~</v>
      </c>
      <c r="M3339" s="102" t="s">
        <v>5753</v>
      </c>
      <c r="N3339" s="102" t="s">
        <v>5755</v>
      </c>
      <c r="O3339" s="105">
        <v>7294536.0</v>
      </c>
      <c r="P3339" s="105">
        <v>7426495.0</v>
      </c>
      <c r="Q3339" s="102" t="s">
        <v>2439</v>
      </c>
      <c r="S3339" s="1"/>
      <c r="T3339" s="1"/>
      <c r="U3339" s="1"/>
      <c r="V3339" s="1"/>
      <c r="W3339" s="1"/>
      <c r="X3339" s="1"/>
      <c r="Y3339" s="1"/>
      <c r="Z3339" s="102"/>
      <c r="AA3339" s="102"/>
      <c r="AB3339" s="1"/>
      <c r="AC3339" s="1"/>
      <c r="AD3339" s="1"/>
      <c r="AE3339" s="1"/>
      <c r="AF3339" s="1"/>
      <c r="AG3339" s="1"/>
    </row>
    <row r="3340" ht="15.75" customHeight="1">
      <c r="A3340" s="1"/>
      <c r="B3340" s="1"/>
      <c r="C3340" s="1"/>
      <c r="D3340" s="1"/>
      <c r="E3340" s="1"/>
      <c r="F3340" s="1"/>
      <c r="G3340" s="1"/>
      <c r="H3340" s="1"/>
      <c r="I3340" s="1"/>
      <c r="J3340" s="1"/>
      <c r="K3340" s="102" t="s">
        <v>5756</v>
      </c>
      <c r="L3340" s="102" t="str">
        <f>R249</f>
        <v>J1a2a1a2d2b2b2c4d2~</v>
      </c>
      <c r="M3340" s="102" t="s">
        <v>5757</v>
      </c>
      <c r="N3340" s="102" t="s">
        <v>5758</v>
      </c>
      <c r="O3340" s="105">
        <v>1.3864386E7</v>
      </c>
      <c r="P3340" s="105">
        <v>1.174368E7</v>
      </c>
      <c r="Q3340" s="102" t="s">
        <v>2446</v>
      </c>
      <c r="S3340" s="1"/>
      <c r="T3340" s="1"/>
      <c r="U3340" s="1"/>
      <c r="V3340" s="1"/>
      <c r="W3340" s="1"/>
      <c r="X3340" s="1"/>
      <c r="Y3340" s="1"/>
      <c r="Z3340" s="102"/>
      <c r="AA3340" s="102"/>
      <c r="AB3340" s="1"/>
      <c r="AC3340" s="1"/>
      <c r="AD3340" s="1"/>
      <c r="AE3340" s="1"/>
      <c r="AF3340" s="1"/>
      <c r="AG3340" s="1"/>
    </row>
    <row r="3341" ht="15.75" customHeight="1">
      <c r="A3341" s="1"/>
      <c r="B3341" s="1"/>
      <c r="C3341" s="1"/>
      <c r="D3341" s="1"/>
      <c r="E3341" s="1"/>
      <c r="F3341" s="1"/>
      <c r="G3341" s="1"/>
      <c r="H3341" s="1"/>
      <c r="I3341" s="1"/>
      <c r="J3341" s="1"/>
      <c r="K3341" s="102" t="s">
        <v>5757</v>
      </c>
      <c r="L3341" s="102" t="str">
        <f>R249</f>
        <v>J1a2a1a2d2b2b2c4d2~</v>
      </c>
      <c r="M3341" s="102" t="s">
        <v>5756</v>
      </c>
      <c r="N3341" s="102" t="s">
        <v>5758</v>
      </c>
      <c r="O3341" s="105">
        <v>1.3864386E7</v>
      </c>
      <c r="P3341" s="105">
        <v>1.174368E7</v>
      </c>
      <c r="Q3341" s="102" t="s">
        <v>2446</v>
      </c>
      <c r="S3341" s="1"/>
      <c r="T3341" s="1"/>
      <c r="U3341" s="1"/>
      <c r="V3341" s="1"/>
      <c r="W3341" s="1"/>
      <c r="X3341" s="1"/>
      <c r="Y3341" s="1"/>
      <c r="Z3341" s="102"/>
      <c r="AA3341" s="102"/>
      <c r="AB3341" s="1"/>
      <c r="AC3341" s="1"/>
      <c r="AD3341" s="1"/>
      <c r="AE3341" s="1"/>
      <c r="AF3341" s="1"/>
      <c r="AG3341" s="1"/>
    </row>
    <row r="3342" ht="15.75" customHeight="1">
      <c r="A3342" s="1"/>
      <c r="B3342" s="1"/>
      <c r="C3342" s="1"/>
      <c r="D3342" s="1"/>
      <c r="E3342" s="1"/>
      <c r="F3342" s="1"/>
      <c r="G3342" s="1"/>
      <c r="H3342" s="1"/>
      <c r="I3342" s="1"/>
      <c r="J3342" s="1"/>
      <c r="K3342" s="102" t="s">
        <v>5759</v>
      </c>
      <c r="L3342" s="102" t="str">
        <f>S250</f>
        <v>J1a2a1a2d2b2b2c4d2a~</v>
      </c>
      <c r="M3342" s="102" t="s">
        <v>5760</v>
      </c>
      <c r="N3342" s="102" t="s">
        <v>5761</v>
      </c>
      <c r="O3342" s="105">
        <v>1.7749957E7</v>
      </c>
      <c r="P3342" s="105">
        <v>1.5638077E7</v>
      </c>
      <c r="Q3342" s="102" t="s">
        <v>2501</v>
      </c>
      <c r="S3342" s="1"/>
      <c r="T3342" s="1"/>
      <c r="U3342" s="1"/>
      <c r="V3342" s="1"/>
      <c r="W3342" s="1"/>
      <c r="X3342" s="1"/>
      <c r="Y3342" s="1"/>
      <c r="Z3342" s="102"/>
      <c r="AA3342" s="102"/>
      <c r="AB3342" s="1"/>
      <c r="AC3342" s="1"/>
      <c r="AD3342" s="1"/>
      <c r="AE3342" s="1"/>
      <c r="AF3342" s="1"/>
      <c r="AG3342" s="1"/>
    </row>
    <row r="3343" ht="15.75" customHeight="1">
      <c r="A3343" s="1"/>
      <c r="B3343" s="1"/>
      <c r="C3343" s="1"/>
      <c r="D3343" s="1"/>
      <c r="E3343" s="1"/>
      <c r="F3343" s="1"/>
      <c r="G3343" s="1"/>
      <c r="H3343" s="1"/>
      <c r="I3343" s="1"/>
      <c r="J3343" s="1"/>
      <c r="K3343" s="102" t="s">
        <v>5760</v>
      </c>
      <c r="L3343" s="102" t="str">
        <f>S250</f>
        <v>J1a2a1a2d2b2b2c4d2a~</v>
      </c>
      <c r="M3343" s="102" t="s">
        <v>5759</v>
      </c>
      <c r="N3343" s="102" t="s">
        <v>5761</v>
      </c>
      <c r="O3343" s="105">
        <v>1.7749957E7</v>
      </c>
      <c r="P3343" s="105">
        <v>1.5638077E7</v>
      </c>
      <c r="Q3343" s="102" t="s">
        <v>2501</v>
      </c>
      <c r="S3343" s="1"/>
      <c r="T3343" s="1"/>
      <c r="U3343" s="1"/>
      <c r="V3343" s="1"/>
      <c r="W3343" s="1"/>
      <c r="X3343" s="1"/>
      <c r="Y3343" s="1"/>
      <c r="Z3343" s="102"/>
      <c r="AA3343" s="102"/>
      <c r="AB3343" s="1"/>
      <c r="AC3343" s="1"/>
      <c r="AD3343" s="1"/>
      <c r="AE3343" s="1"/>
      <c r="AF3343" s="1"/>
      <c r="AG3343" s="1"/>
    </row>
    <row r="3344" ht="15.75" customHeight="1">
      <c r="A3344" s="1"/>
      <c r="B3344" s="1"/>
      <c r="C3344" s="1"/>
      <c r="D3344" s="1"/>
      <c r="E3344" s="1"/>
      <c r="F3344" s="1"/>
      <c r="G3344" s="1"/>
      <c r="H3344" s="1"/>
      <c r="I3344" s="1"/>
      <c r="J3344" s="1"/>
      <c r="K3344" s="102" t="s">
        <v>5762</v>
      </c>
      <c r="L3344" s="102" t="str">
        <f>T251</f>
        <v>J1a2a1a2d2b2b2c4d2a1~</v>
      </c>
      <c r="M3344" s="102"/>
      <c r="N3344" s="102" t="s">
        <v>5763</v>
      </c>
      <c r="O3344" s="105">
        <v>2.3194786E7</v>
      </c>
      <c r="P3344" s="105">
        <v>2.10329E7</v>
      </c>
      <c r="Q3344" s="102" t="s">
        <v>2454</v>
      </c>
      <c r="S3344" s="1"/>
      <c r="T3344" s="1"/>
      <c r="U3344" s="1"/>
      <c r="V3344" s="1"/>
      <c r="W3344" s="1"/>
      <c r="X3344" s="1"/>
      <c r="Y3344" s="1"/>
      <c r="Z3344" s="102"/>
      <c r="AA3344" s="102"/>
      <c r="AB3344" s="1"/>
      <c r="AC3344" s="1"/>
      <c r="AD3344" s="1"/>
      <c r="AE3344" s="1"/>
      <c r="AF3344" s="1"/>
      <c r="AG3344" s="1"/>
    </row>
    <row r="3345" ht="15.75" customHeight="1">
      <c r="A3345" s="1"/>
      <c r="B3345" s="1"/>
      <c r="C3345" s="1"/>
      <c r="D3345" s="1"/>
      <c r="E3345" s="1"/>
      <c r="F3345" s="1"/>
      <c r="G3345" s="1"/>
      <c r="H3345" s="1"/>
      <c r="I3345" s="1"/>
      <c r="J3345" s="1"/>
      <c r="K3345" s="102" t="s">
        <v>1241</v>
      </c>
      <c r="L3345" s="102" t="str">
        <f>T251</f>
        <v>J1a2a1a2d2b2b2c4d2a1~</v>
      </c>
      <c r="M3345" s="102"/>
      <c r="N3345" s="102" t="s">
        <v>5764</v>
      </c>
      <c r="O3345" s="105">
        <v>1.789283E7</v>
      </c>
      <c r="P3345" s="105">
        <v>1.578095E7</v>
      </c>
      <c r="Q3345" s="102" t="s">
        <v>2576</v>
      </c>
      <c r="S3345" s="1"/>
      <c r="T3345" s="1"/>
      <c r="U3345" s="1"/>
      <c r="V3345" s="1"/>
      <c r="W3345" s="1"/>
      <c r="X3345" s="1"/>
      <c r="Y3345" s="1"/>
      <c r="Z3345" s="102"/>
      <c r="AA3345" s="102"/>
      <c r="AB3345" s="1"/>
      <c r="AC3345" s="1"/>
      <c r="AD3345" s="1"/>
      <c r="AE3345" s="1"/>
      <c r="AF3345" s="1"/>
      <c r="AG3345" s="1"/>
    </row>
    <row r="3346" ht="15.75" customHeight="1">
      <c r="A3346" s="1"/>
      <c r="B3346" s="1"/>
      <c r="C3346" s="1"/>
      <c r="D3346" s="1"/>
      <c r="E3346" s="1"/>
      <c r="F3346" s="1"/>
      <c r="G3346" s="1"/>
      <c r="H3346" s="1"/>
      <c r="I3346" s="1"/>
      <c r="J3346" s="1"/>
      <c r="K3346" s="102" t="s">
        <v>5765</v>
      </c>
      <c r="L3346" s="102" t="str">
        <f>U252</f>
        <v>J1a2a1a2d2b2b2c4d2a1a~</v>
      </c>
      <c r="M3346" s="102"/>
      <c r="N3346" s="102"/>
      <c r="O3346" s="105">
        <v>2.1162795E7</v>
      </c>
      <c r="P3346" s="105">
        <v>1.9000909E7</v>
      </c>
      <c r="Q3346" s="102" t="s">
        <v>2432</v>
      </c>
      <c r="S3346" s="1"/>
      <c r="T3346" s="1"/>
      <c r="U3346" s="1"/>
      <c r="V3346" s="1"/>
      <c r="W3346" s="1"/>
      <c r="X3346" s="1"/>
      <c r="Y3346" s="1"/>
      <c r="Z3346" s="102"/>
      <c r="AA3346" s="102"/>
      <c r="AB3346" s="1"/>
      <c r="AC3346" s="1"/>
      <c r="AD3346" s="1"/>
      <c r="AE3346" s="1"/>
      <c r="AF3346" s="1"/>
      <c r="AG3346" s="1"/>
    </row>
    <row r="3347" ht="15.75" customHeight="1">
      <c r="A3347" s="1"/>
      <c r="B3347" s="1"/>
      <c r="C3347" s="1"/>
      <c r="D3347" s="1"/>
      <c r="E3347" s="1"/>
      <c r="F3347" s="1"/>
      <c r="G3347" s="1"/>
      <c r="H3347" s="1"/>
      <c r="I3347" s="1"/>
      <c r="J3347" s="1"/>
      <c r="K3347" s="102" t="s">
        <v>5766</v>
      </c>
      <c r="L3347" s="102" t="str">
        <f>U252</f>
        <v>J1a2a1a2d2b2b2c4d2a1a~</v>
      </c>
      <c r="M3347" s="102"/>
      <c r="N3347" s="102"/>
      <c r="O3347" s="105">
        <v>1.7126077E7</v>
      </c>
      <c r="P3347" s="105">
        <v>1.5014197E7</v>
      </c>
      <c r="Q3347" s="102" t="s">
        <v>2423</v>
      </c>
      <c r="S3347" s="1"/>
      <c r="T3347" s="1"/>
      <c r="U3347" s="1"/>
      <c r="V3347" s="1"/>
      <c r="W3347" s="1"/>
      <c r="X3347" s="1"/>
      <c r="Y3347" s="1"/>
      <c r="Z3347" s="102"/>
      <c r="AA3347" s="102"/>
      <c r="AB3347" s="1"/>
      <c r="AC3347" s="1"/>
      <c r="AD3347" s="1"/>
      <c r="AE3347" s="1"/>
      <c r="AF3347" s="1"/>
      <c r="AG3347" s="1"/>
    </row>
    <row r="3348" ht="15.75" customHeight="1">
      <c r="A3348" s="1"/>
      <c r="B3348" s="1"/>
      <c r="C3348" s="1"/>
      <c r="D3348" s="1"/>
      <c r="E3348" s="1"/>
      <c r="F3348" s="1"/>
      <c r="G3348" s="1"/>
      <c r="H3348" s="1"/>
      <c r="I3348" s="1"/>
      <c r="J3348" s="1"/>
      <c r="K3348" s="102" t="s">
        <v>5767</v>
      </c>
      <c r="L3348" s="102" t="str">
        <f>U252</f>
        <v>J1a2a1a2d2b2b2c4d2a1a~</v>
      </c>
      <c r="M3348" s="102"/>
      <c r="N3348" s="102"/>
      <c r="O3348" s="105">
        <v>8082710.0</v>
      </c>
      <c r="P3348" s="105">
        <v>8214669.0</v>
      </c>
      <c r="Q3348" s="102" t="s">
        <v>2529</v>
      </c>
      <c r="S3348" s="1"/>
      <c r="T3348" s="1"/>
      <c r="U3348" s="1"/>
      <c r="V3348" s="1"/>
      <c r="W3348" s="1"/>
      <c r="X3348" s="1"/>
      <c r="Y3348" s="1"/>
      <c r="Z3348" s="102"/>
      <c r="AA3348" s="102"/>
      <c r="AB3348" s="1"/>
      <c r="AC3348" s="1"/>
      <c r="AD3348" s="1"/>
      <c r="AE3348" s="1"/>
      <c r="AF3348" s="1"/>
      <c r="AG3348" s="1"/>
    </row>
    <row r="3349" ht="15.75" customHeight="1">
      <c r="A3349" s="1"/>
      <c r="B3349" s="1"/>
      <c r="C3349" s="1"/>
      <c r="D3349" s="1"/>
      <c r="E3349" s="1"/>
      <c r="F3349" s="1"/>
      <c r="G3349" s="1"/>
      <c r="H3349" s="1"/>
      <c r="I3349" s="1"/>
      <c r="J3349" s="1"/>
      <c r="K3349" s="102" t="s">
        <v>5768</v>
      </c>
      <c r="L3349" s="102" t="str">
        <f>U252</f>
        <v>J1a2a1a2d2b2b2c4d2a1a~</v>
      </c>
      <c r="M3349" s="102"/>
      <c r="N3349" s="102" t="s">
        <v>5769</v>
      </c>
      <c r="O3349" s="105">
        <v>1.7231774E7</v>
      </c>
      <c r="P3349" s="105">
        <v>1.5119894E7</v>
      </c>
      <c r="Q3349" s="102" t="s">
        <v>2439</v>
      </c>
      <c r="S3349" s="1"/>
      <c r="T3349" s="1"/>
      <c r="U3349" s="1"/>
      <c r="V3349" s="1"/>
      <c r="W3349" s="1"/>
      <c r="X3349" s="1"/>
      <c r="Y3349" s="1"/>
      <c r="Z3349" s="102"/>
      <c r="AA3349" s="102"/>
      <c r="AB3349" s="1"/>
      <c r="AC3349" s="1"/>
      <c r="AD3349" s="1"/>
      <c r="AE3349" s="1"/>
      <c r="AF3349" s="1"/>
      <c r="AG3349" s="1"/>
    </row>
    <row r="3350" ht="15.75" customHeight="1">
      <c r="A3350" s="1"/>
      <c r="B3350" s="1"/>
      <c r="C3350" s="1"/>
      <c r="D3350" s="1"/>
      <c r="E3350" s="1"/>
      <c r="F3350" s="1"/>
      <c r="G3350" s="1"/>
      <c r="H3350" s="1"/>
      <c r="I3350" s="1"/>
      <c r="J3350" s="1"/>
      <c r="K3350" s="102" t="s">
        <v>5770</v>
      </c>
      <c r="L3350" s="102" t="str">
        <f>U252</f>
        <v>J1a2a1a2d2b2b2c4d2a1a~</v>
      </c>
      <c r="M3350" s="102"/>
      <c r="N3350" s="102"/>
      <c r="O3350" s="105">
        <v>1.731412E7</v>
      </c>
      <c r="P3350" s="105">
        <v>1.520224E7</v>
      </c>
      <c r="Q3350" s="102" t="s">
        <v>2529</v>
      </c>
      <c r="S3350" s="1"/>
      <c r="T3350" s="1"/>
      <c r="U3350" s="1"/>
      <c r="V3350" s="1"/>
      <c r="W3350" s="1"/>
      <c r="X3350" s="1"/>
      <c r="Y3350" s="1"/>
      <c r="Z3350" s="102"/>
      <c r="AA3350" s="102"/>
      <c r="AB3350" s="1"/>
      <c r="AC3350" s="1"/>
      <c r="AD3350" s="1"/>
      <c r="AE3350" s="1"/>
      <c r="AF3350" s="1"/>
      <c r="AG3350" s="1"/>
    </row>
    <row r="3351" ht="15.75" customHeight="1">
      <c r="A3351" s="1"/>
      <c r="B3351" s="1"/>
      <c r="C3351" s="1"/>
      <c r="D3351" s="1"/>
      <c r="E3351" s="1"/>
      <c r="F3351" s="1"/>
      <c r="G3351" s="1"/>
      <c r="H3351" s="1"/>
      <c r="I3351" s="1"/>
      <c r="J3351" s="1"/>
      <c r="K3351" s="102" t="s">
        <v>5771</v>
      </c>
      <c r="L3351" s="102" t="str">
        <f>U252</f>
        <v>J1a2a1a2d2b2b2c4d2a1a~</v>
      </c>
      <c r="M3351" s="102"/>
      <c r="N3351" s="102"/>
      <c r="O3351" s="105">
        <v>1.7577149E7</v>
      </c>
      <c r="P3351" s="105">
        <v>1.5465269E7</v>
      </c>
      <c r="Q3351" s="102" t="s">
        <v>2468</v>
      </c>
      <c r="S3351" s="1"/>
      <c r="T3351" s="1"/>
      <c r="U3351" s="1"/>
      <c r="V3351" s="1"/>
      <c r="W3351" s="1"/>
      <c r="X3351" s="1"/>
      <c r="Y3351" s="1"/>
      <c r="Z3351" s="102"/>
      <c r="AA3351" s="102"/>
      <c r="AB3351" s="1"/>
      <c r="AC3351" s="1"/>
      <c r="AD3351" s="1"/>
      <c r="AE3351" s="1"/>
      <c r="AF3351" s="1"/>
      <c r="AG3351" s="1"/>
    </row>
    <row r="3352" ht="15.75" customHeight="1">
      <c r="A3352" s="1"/>
      <c r="B3352" s="1"/>
      <c r="C3352" s="1"/>
      <c r="D3352" s="1"/>
      <c r="E3352" s="1"/>
      <c r="F3352" s="1"/>
      <c r="G3352" s="1"/>
      <c r="H3352" s="1"/>
      <c r="I3352" s="1"/>
      <c r="J3352" s="1"/>
      <c r="K3352" s="102" t="s">
        <v>5772</v>
      </c>
      <c r="L3352" s="102" t="str">
        <f>U252</f>
        <v>J1a2a1a2d2b2b2c4d2a1a~</v>
      </c>
      <c r="M3352" s="102"/>
      <c r="N3352" s="102"/>
      <c r="O3352" s="105">
        <v>2.2609054E7</v>
      </c>
      <c r="P3352" s="105">
        <v>2.0447168E7</v>
      </c>
      <c r="Q3352" s="102" t="s">
        <v>2439</v>
      </c>
      <c r="S3352" s="1"/>
      <c r="T3352" s="1"/>
      <c r="U3352" s="1"/>
      <c r="V3352" s="1"/>
      <c r="W3352" s="1"/>
      <c r="X3352" s="1"/>
      <c r="Y3352" s="1"/>
      <c r="Z3352" s="102"/>
      <c r="AA3352" s="102"/>
      <c r="AB3352" s="1"/>
      <c r="AC3352" s="1"/>
      <c r="AD3352" s="1"/>
      <c r="AE3352" s="1"/>
      <c r="AF3352" s="1"/>
      <c r="AG3352" s="1"/>
    </row>
    <row r="3353" ht="15.75" customHeight="1">
      <c r="A3353" s="1"/>
      <c r="B3353" s="1"/>
      <c r="C3353" s="1"/>
      <c r="D3353" s="1"/>
      <c r="E3353" s="1"/>
      <c r="F3353" s="1"/>
      <c r="G3353" s="1"/>
      <c r="H3353" s="1"/>
      <c r="I3353" s="1"/>
      <c r="J3353" s="1"/>
      <c r="K3353" s="102" t="s">
        <v>5773</v>
      </c>
      <c r="L3353" s="102" t="str">
        <f>U252</f>
        <v>J1a2a1a2d2b2b2c4d2a1a~</v>
      </c>
      <c r="M3353" s="102"/>
      <c r="N3353" s="102"/>
      <c r="O3353" s="105">
        <v>2.2923761E7</v>
      </c>
      <c r="P3353" s="105">
        <v>2.0761875E7</v>
      </c>
      <c r="Q3353" s="102" t="s">
        <v>2533</v>
      </c>
      <c r="S3353" s="1"/>
      <c r="T3353" s="1"/>
      <c r="U3353" s="1"/>
      <c r="V3353" s="1"/>
      <c r="W3353" s="1"/>
      <c r="X3353" s="1"/>
      <c r="Y3353" s="1"/>
      <c r="Z3353" s="102"/>
      <c r="AA3353" s="102"/>
      <c r="AB3353" s="1"/>
      <c r="AC3353" s="1"/>
      <c r="AD3353" s="1"/>
      <c r="AE3353" s="1"/>
      <c r="AF3353" s="1"/>
      <c r="AG3353" s="1"/>
    </row>
    <row r="3354" ht="15.75" customHeight="1">
      <c r="A3354" s="1"/>
      <c r="B3354" s="1"/>
      <c r="C3354" s="1"/>
      <c r="D3354" s="1"/>
      <c r="E3354" s="1"/>
      <c r="F3354" s="1"/>
      <c r="G3354" s="1"/>
      <c r="H3354" s="1"/>
      <c r="I3354" s="1"/>
      <c r="J3354" s="1"/>
      <c r="K3354" s="102" t="s">
        <v>5774</v>
      </c>
      <c r="L3354" s="102" t="str">
        <f>T253</f>
        <v>J1a2a1a2d2b2b2c4d2a2~</v>
      </c>
      <c r="M3354" s="102" t="s">
        <v>5775</v>
      </c>
      <c r="N3354" s="102" t="s">
        <v>5776</v>
      </c>
      <c r="O3354" s="105">
        <v>1.4166331E7</v>
      </c>
      <c r="P3354" s="105">
        <v>1.2045625E7</v>
      </c>
      <c r="Q3354" s="102" t="s">
        <v>2468</v>
      </c>
      <c r="S3354" s="1"/>
      <c r="T3354" s="1"/>
      <c r="U3354" s="1"/>
      <c r="V3354" s="1"/>
      <c r="W3354" s="1"/>
      <c r="X3354" s="1"/>
      <c r="Y3354" s="1"/>
      <c r="Z3354" s="102"/>
      <c r="AA3354" s="102"/>
      <c r="AB3354" s="1"/>
      <c r="AC3354" s="1"/>
      <c r="AD3354" s="1"/>
      <c r="AE3354" s="1"/>
      <c r="AF3354" s="1"/>
      <c r="AG3354" s="1"/>
    </row>
    <row r="3355" ht="15.75" customHeight="1">
      <c r="A3355" s="1"/>
      <c r="B3355" s="1"/>
      <c r="C3355" s="1"/>
      <c r="D3355" s="1"/>
      <c r="E3355" s="1"/>
      <c r="F3355" s="1"/>
      <c r="G3355" s="1"/>
      <c r="H3355" s="1"/>
      <c r="I3355" s="1"/>
      <c r="J3355" s="1"/>
      <c r="K3355" s="102" t="s">
        <v>5775</v>
      </c>
      <c r="L3355" s="102" t="str">
        <f>T253</f>
        <v>J1a2a1a2d2b2b2c4d2a2~</v>
      </c>
      <c r="M3355" s="102" t="s">
        <v>5774</v>
      </c>
      <c r="N3355" s="102" t="s">
        <v>5776</v>
      </c>
      <c r="O3355" s="105">
        <v>1.4166331E7</v>
      </c>
      <c r="P3355" s="105">
        <v>1.2045625E7</v>
      </c>
      <c r="Q3355" s="102" t="s">
        <v>2468</v>
      </c>
      <c r="S3355" s="1"/>
      <c r="T3355" s="1"/>
      <c r="U3355" s="1"/>
      <c r="V3355" s="1"/>
      <c r="W3355" s="1"/>
      <c r="X3355" s="1"/>
      <c r="Y3355" s="1"/>
      <c r="Z3355" s="102"/>
      <c r="AA3355" s="102"/>
      <c r="AB3355" s="1"/>
      <c r="AC3355" s="1"/>
      <c r="AD3355" s="1"/>
      <c r="AE3355" s="1"/>
      <c r="AF3355" s="1"/>
      <c r="AG3355" s="1"/>
    </row>
    <row r="3356" ht="15.75" customHeight="1">
      <c r="A3356" s="1"/>
      <c r="B3356" s="1"/>
      <c r="C3356" s="1"/>
      <c r="D3356" s="1"/>
      <c r="E3356" s="1"/>
      <c r="F3356" s="1"/>
      <c r="G3356" s="1"/>
      <c r="H3356" s="1"/>
      <c r="I3356" s="1"/>
      <c r="J3356" s="1"/>
      <c r="K3356" s="102" t="s">
        <v>5777</v>
      </c>
      <c r="L3356" s="102" t="str">
        <f>U254</f>
        <v>J1a2a1a2d2b2b2c4d2a2a~</v>
      </c>
      <c r="M3356" s="102" t="s">
        <v>5778</v>
      </c>
      <c r="N3356" s="102" t="s">
        <v>5779</v>
      </c>
      <c r="O3356" s="105">
        <v>1.8953579E7</v>
      </c>
      <c r="P3356" s="105">
        <v>1.6841699E7</v>
      </c>
      <c r="Q3356" s="102" t="s">
        <v>2529</v>
      </c>
      <c r="S3356" s="1"/>
      <c r="T3356" s="1"/>
      <c r="U3356" s="1"/>
      <c r="V3356" s="1"/>
      <c r="W3356" s="1"/>
      <c r="X3356" s="1"/>
      <c r="Y3356" s="1"/>
      <c r="Z3356" s="102"/>
      <c r="AA3356" s="102"/>
      <c r="AB3356" s="1"/>
      <c r="AC3356" s="1"/>
      <c r="AD3356" s="1"/>
      <c r="AE3356" s="1"/>
      <c r="AF3356" s="1"/>
      <c r="AG3356" s="1"/>
    </row>
    <row r="3357" ht="15.75" customHeight="1">
      <c r="A3357" s="1"/>
      <c r="B3357" s="1"/>
      <c r="C3357" s="1"/>
      <c r="D3357" s="1"/>
      <c r="E3357" s="1"/>
      <c r="F3357" s="1"/>
      <c r="G3357" s="1"/>
      <c r="H3357" s="1"/>
      <c r="I3357" s="1"/>
      <c r="J3357" s="1"/>
      <c r="K3357" s="102" t="s">
        <v>5778</v>
      </c>
      <c r="L3357" s="102" t="str">
        <f>U254</f>
        <v>J1a2a1a2d2b2b2c4d2a2a~</v>
      </c>
      <c r="M3357" s="102" t="s">
        <v>5777</v>
      </c>
      <c r="N3357" s="102" t="s">
        <v>5779</v>
      </c>
      <c r="O3357" s="105">
        <v>1.8953579E7</v>
      </c>
      <c r="P3357" s="105">
        <v>1.6841699E7</v>
      </c>
      <c r="Q3357" s="102" t="s">
        <v>2529</v>
      </c>
      <c r="S3357" s="1"/>
      <c r="T3357" s="1"/>
      <c r="U3357" s="1"/>
      <c r="V3357" s="1"/>
      <c r="W3357" s="1"/>
      <c r="X3357" s="1"/>
      <c r="Y3357" s="1"/>
      <c r="Z3357" s="102"/>
      <c r="AA3357" s="102"/>
      <c r="AB3357" s="1"/>
      <c r="AC3357" s="1"/>
      <c r="AD3357" s="1"/>
      <c r="AE3357" s="1"/>
      <c r="AF3357" s="1"/>
      <c r="AG3357" s="1"/>
    </row>
    <row r="3358" ht="15.75" customHeight="1">
      <c r="A3358" s="1"/>
      <c r="B3358" s="1"/>
      <c r="C3358" s="1"/>
      <c r="D3358" s="1"/>
      <c r="E3358" s="1"/>
      <c r="F3358" s="1"/>
      <c r="G3358" s="1"/>
      <c r="H3358" s="1"/>
      <c r="I3358" s="1"/>
      <c r="J3358" s="1"/>
      <c r="K3358" s="102" t="s">
        <v>5780</v>
      </c>
      <c r="L3358" s="102" t="str">
        <f>U254</f>
        <v>J1a2a1a2d2b2b2c4d2a2a~</v>
      </c>
      <c r="M3358" s="102" t="s">
        <v>5781</v>
      </c>
      <c r="N3358" s="102" t="s">
        <v>5782</v>
      </c>
      <c r="O3358" s="105">
        <v>2.396634E7</v>
      </c>
      <c r="P3358" s="105">
        <v>2.1820193E7</v>
      </c>
      <c r="Q3358" s="102" t="s">
        <v>2529</v>
      </c>
      <c r="S3358" s="1"/>
      <c r="T3358" s="1"/>
      <c r="U3358" s="1"/>
      <c r="V3358" s="1"/>
      <c r="W3358" s="1"/>
      <c r="X3358" s="1"/>
      <c r="Y3358" s="1"/>
      <c r="Z3358" s="102"/>
      <c r="AA3358" s="102"/>
      <c r="AB3358" s="1"/>
      <c r="AC3358" s="1"/>
      <c r="AD3358" s="1"/>
      <c r="AE3358" s="1"/>
      <c r="AF3358" s="1"/>
      <c r="AG3358" s="1"/>
    </row>
    <row r="3359" ht="15.75" customHeight="1">
      <c r="A3359" s="1"/>
      <c r="B3359" s="1"/>
      <c r="C3359" s="1"/>
      <c r="D3359" s="1"/>
      <c r="E3359" s="1"/>
      <c r="F3359" s="1"/>
      <c r="G3359" s="1"/>
      <c r="H3359" s="1"/>
      <c r="I3359" s="1"/>
      <c r="J3359" s="1"/>
      <c r="K3359" s="102" t="s">
        <v>5781</v>
      </c>
      <c r="L3359" s="102" t="str">
        <f>U254</f>
        <v>J1a2a1a2d2b2b2c4d2a2a~</v>
      </c>
      <c r="M3359" s="102" t="s">
        <v>5780</v>
      </c>
      <c r="N3359" s="102" t="s">
        <v>5782</v>
      </c>
      <c r="O3359" s="105">
        <v>2.396634E7</v>
      </c>
      <c r="P3359" s="105">
        <v>2.1820193E7</v>
      </c>
      <c r="Q3359" s="102" t="s">
        <v>2529</v>
      </c>
      <c r="S3359" s="1"/>
      <c r="T3359" s="1"/>
      <c r="U3359" s="1"/>
      <c r="V3359" s="1"/>
      <c r="W3359" s="1"/>
      <c r="X3359" s="1"/>
      <c r="Y3359" s="1"/>
      <c r="Z3359" s="102"/>
      <c r="AA3359" s="102"/>
      <c r="AB3359" s="1"/>
      <c r="AC3359" s="1"/>
      <c r="AD3359" s="1"/>
      <c r="AE3359" s="1"/>
      <c r="AF3359" s="1"/>
      <c r="AG3359" s="1"/>
    </row>
    <row r="3360" ht="15.75" customHeight="1">
      <c r="A3360" s="1"/>
      <c r="B3360" s="1"/>
      <c r="C3360" s="1"/>
      <c r="D3360" s="1"/>
      <c r="E3360" s="1"/>
      <c r="F3360" s="1"/>
      <c r="G3360" s="1"/>
      <c r="H3360" s="1"/>
      <c r="I3360" s="1"/>
      <c r="J3360" s="1"/>
      <c r="K3360" s="102" t="s">
        <v>5783</v>
      </c>
      <c r="L3360" s="102" t="str">
        <f>V255</f>
        <v>J1a2a1a2d2b2b2c4d2a2a1~</v>
      </c>
      <c r="M3360" s="102" t="s">
        <v>5784</v>
      </c>
      <c r="N3360" s="102" t="s">
        <v>5785</v>
      </c>
      <c r="O3360" s="105">
        <v>1.7383955E7</v>
      </c>
      <c r="P3360" s="105">
        <v>1.5272075E7</v>
      </c>
      <c r="Q3360" s="102" t="s">
        <v>2439</v>
      </c>
      <c r="S3360" s="1"/>
      <c r="T3360" s="1"/>
      <c r="U3360" s="1"/>
      <c r="V3360" s="1"/>
      <c r="W3360" s="1"/>
      <c r="X3360" s="1"/>
      <c r="Y3360" s="1"/>
      <c r="Z3360" s="102"/>
      <c r="AA3360" s="102"/>
      <c r="AB3360" s="1"/>
      <c r="AC3360" s="1"/>
      <c r="AD3360" s="1"/>
      <c r="AE3360" s="1"/>
      <c r="AF3360" s="1"/>
      <c r="AG3360" s="1"/>
    </row>
    <row r="3361" ht="15.75" customHeight="1">
      <c r="A3361" s="1"/>
      <c r="B3361" s="1"/>
      <c r="C3361" s="1"/>
      <c r="D3361" s="1"/>
      <c r="E3361" s="1"/>
      <c r="F3361" s="1"/>
      <c r="G3361" s="1"/>
      <c r="H3361" s="1"/>
      <c r="I3361" s="1"/>
      <c r="J3361" s="1"/>
      <c r="K3361" s="102" t="s">
        <v>5784</v>
      </c>
      <c r="L3361" s="102" t="str">
        <f>V255</f>
        <v>J1a2a1a2d2b2b2c4d2a2a1~</v>
      </c>
      <c r="M3361" s="102" t="s">
        <v>5783</v>
      </c>
      <c r="N3361" s="102" t="s">
        <v>5785</v>
      </c>
      <c r="O3361" s="105">
        <v>1.7383955E7</v>
      </c>
      <c r="P3361" s="105">
        <v>1.5272075E7</v>
      </c>
      <c r="Q3361" s="102" t="s">
        <v>2439</v>
      </c>
      <c r="S3361" s="1"/>
      <c r="T3361" s="1"/>
      <c r="U3361" s="1"/>
      <c r="V3361" s="1"/>
      <c r="W3361" s="1"/>
      <c r="X3361" s="1"/>
      <c r="Y3361" s="1"/>
      <c r="Z3361" s="102"/>
      <c r="AA3361" s="102"/>
      <c r="AB3361" s="1"/>
      <c r="AC3361" s="1"/>
      <c r="AD3361" s="1"/>
      <c r="AE3361" s="1"/>
      <c r="AF3361" s="1"/>
      <c r="AG3361" s="1"/>
    </row>
    <row r="3362" ht="15.75" customHeight="1">
      <c r="A3362" s="1"/>
      <c r="B3362" s="1"/>
      <c r="C3362" s="1"/>
      <c r="D3362" s="1"/>
      <c r="E3362" s="1"/>
      <c r="F3362" s="1"/>
      <c r="G3362" s="1"/>
      <c r="H3362" s="1"/>
      <c r="I3362" s="1"/>
      <c r="J3362" s="1"/>
      <c r="K3362" s="102" t="s">
        <v>5786</v>
      </c>
      <c r="L3362" s="102" t="str">
        <f>W256</f>
        <v>J1a2a1a2d2b2b2c4d2a2a1a~</v>
      </c>
      <c r="M3362" s="102" t="s">
        <v>5787</v>
      </c>
      <c r="N3362" s="102" t="s">
        <v>5788</v>
      </c>
      <c r="O3362" s="105">
        <v>7936105.0</v>
      </c>
      <c r="P3362" s="105">
        <v>8068064.0</v>
      </c>
      <c r="Q3362" s="102" t="s">
        <v>2501</v>
      </c>
      <c r="S3362" s="1"/>
      <c r="T3362" s="1"/>
      <c r="U3362" s="1"/>
      <c r="V3362" s="1"/>
      <c r="W3362" s="1"/>
      <c r="X3362" s="1"/>
      <c r="Y3362" s="1"/>
      <c r="Z3362" s="102"/>
      <c r="AA3362" s="102"/>
      <c r="AB3362" s="1"/>
      <c r="AC3362" s="1"/>
      <c r="AD3362" s="1"/>
      <c r="AE3362" s="1"/>
      <c r="AF3362" s="1"/>
      <c r="AG3362" s="1"/>
    </row>
    <row r="3363" ht="15.75" customHeight="1">
      <c r="A3363" s="1"/>
      <c r="B3363" s="1"/>
      <c r="C3363" s="1"/>
      <c r="D3363" s="1"/>
      <c r="E3363" s="1"/>
      <c r="F3363" s="1"/>
      <c r="G3363" s="1"/>
      <c r="H3363" s="1"/>
      <c r="I3363" s="1"/>
      <c r="J3363" s="1"/>
      <c r="K3363" s="102" t="s">
        <v>5787</v>
      </c>
      <c r="L3363" s="102" t="str">
        <f>W256</f>
        <v>J1a2a1a2d2b2b2c4d2a2a1a~</v>
      </c>
      <c r="M3363" s="102" t="s">
        <v>5786</v>
      </c>
      <c r="N3363" s="102" t="s">
        <v>5788</v>
      </c>
      <c r="O3363" s="105">
        <v>7936105.0</v>
      </c>
      <c r="P3363" s="105">
        <v>8068064.0</v>
      </c>
      <c r="Q3363" s="102" t="s">
        <v>2501</v>
      </c>
      <c r="S3363" s="1"/>
      <c r="T3363" s="1"/>
      <c r="U3363" s="1"/>
      <c r="V3363" s="1"/>
      <c r="W3363" s="1"/>
      <c r="X3363" s="1"/>
      <c r="Y3363" s="1"/>
      <c r="Z3363" s="102"/>
      <c r="AA3363" s="102"/>
      <c r="AB3363" s="1"/>
      <c r="AC3363" s="1"/>
      <c r="AD3363" s="1"/>
      <c r="AE3363" s="1"/>
      <c r="AF3363" s="1"/>
      <c r="AG3363" s="1"/>
    </row>
    <row r="3364" ht="15.75" customHeight="1">
      <c r="A3364" s="1"/>
      <c r="B3364" s="1"/>
      <c r="C3364" s="1"/>
      <c r="D3364" s="1"/>
      <c r="E3364" s="1"/>
      <c r="F3364" s="1"/>
      <c r="G3364" s="1"/>
      <c r="H3364" s="1"/>
      <c r="I3364" s="1"/>
      <c r="J3364" s="1"/>
      <c r="K3364" s="102" t="s">
        <v>5789</v>
      </c>
      <c r="L3364" s="102" t="str">
        <f>W256</f>
        <v>J1a2a1a2d2b2b2c4d2a2a1a~</v>
      </c>
      <c r="M3364" s="102" t="s">
        <v>5790</v>
      </c>
      <c r="N3364" s="102" t="s">
        <v>5791</v>
      </c>
      <c r="O3364" s="105">
        <v>1.7232942E7</v>
      </c>
      <c r="P3364" s="105">
        <v>1.5121062E7</v>
      </c>
      <c r="Q3364" s="102" t="s">
        <v>2432</v>
      </c>
      <c r="S3364" s="1"/>
      <c r="T3364" s="1"/>
      <c r="U3364" s="1"/>
      <c r="V3364" s="1"/>
      <c r="W3364" s="1"/>
      <c r="X3364" s="1"/>
      <c r="Y3364" s="1"/>
      <c r="Z3364" s="102"/>
      <c r="AA3364" s="102"/>
      <c r="AB3364" s="1"/>
      <c r="AC3364" s="1"/>
      <c r="AD3364" s="1"/>
      <c r="AE3364" s="1"/>
      <c r="AF3364" s="1"/>
      <c r="AG3364" s="1"/>
    </row>
    <row r="3365" ht="15.75" customHeight="1">
      <c r="A3365" s="1"/>
      <c r="B3365" s="1"/>
      <c r="C3365" s="1"/>
      <c r="D3365" s="1"/>
      <c r="E3365" s="1"/>
      <c r="F3365" s="1"/>
      <c r="G3365" s="1"/>
      <c r="H3365" s="1"/>
      <c r="I3365" s="1"/>
      <c r="J3365" s="1"/>
      <c r="K3365" s="102" t="s">
        <v>5790</v>
      </c>
      <c r="L3365" s="102" t="str">
        <f>W256</f>
        <v>J1a2a1a2d2b2b2c4d2a2a1a~</v>
      </c>
      <c r="M3365" s="102" t="s">
        <v>5789</v>
      </c>
      <c r="N3365" s="102" t="s">
        <v>5791</v>
      </c>
      <c r="O3365" s="105">
        <v>1.7232942E7</v>
      </c>
      <c r="P3365" s="105">
        <v>1.5121062E7</v>
      </c>
      <c r="Q3365" s="102" t="s">
        <v>2432</v>
      </c>
      <c r="S3365" s="1"/>
      <c r="T3365" s="1"/>
      <c r="U3365" s="1"/>
      <c r="V3365" s="1"/>
      <c r="W3365" s="1"/>
      <c r="X3365" s="1"/>
      <c r="Y3365" s="1"/>
      <c r="Z3365" s="102"/>
      <c r="AA3365" s="102"/>
      <c r="AB3365" s="1"/>
      <c r="AC3365" s="1"/>
      <c r="AD3365" s="1"/>
      <c r="AE3365" s="1"/>
      <c r="AF3365" s="1"/>
      <c r="AG3365" s="1"/>
    </row>
    <row r="3366" ht="15.75" customHeight="1">
      <c r="A3366" s="1"/>
      <c r="B3366" s="1"/>
      <c r="C3366" s="1"/>
      <c r="D3366" s="1"/>
      <c r="E3366" s="1"/>
      <c r="F3366" s="1"/>
      <c r="G3366" s="1"/>
      <c r="H3366" s="1"/>
      <c r="I3366" s="1"/>
      <c r="J3366" s="1"/>
      <c r="K3366" s="102" t="s">
        <v>5792</v>
      </c>
      <c r="L3366" s="102" t="str">
        <f>W256</f>
        <v>J1a2a1a2d2b2b2c4d2a2a1a~</v>
      </c>
      <c r="M3366" s="102" t="s">
        <v>5793</v>
      </c>
      <c r="N3366" s="102" t="s">
        <v>5794</v>
      </c>
      <c r="O3366" s="105">
        <v>1.7894975E7</v>
      </c>
      <c r="P3366" s="105">
        <v>1.5783095E7</v>
      </c>
      <c r="Q3366" s="102" t="s">
        <v>2501</v>
      </c>
      <c r="S3366" s="1"/>
      <c r="T3366" s="1"/>
      <c r="U3366" s="1"/>
      <c r="V3366" s="1"/>
      <c r="W3366" s="1"/>
      <c r="X3366" s="1"/>
      <c r="Y3366" s="1"/>
      <c r="Z3366" s="102"/>
      <c r="AA3366" s="102"/>
      <c r="AB3366" s="1"/>
      <c r="AC3366" s="1"/>
      <c r="AD3366" s="1"/>
      <c r="AE3366" s="1"/>
      <c r="AF3366" s="1"/>
      <c r="AG3366" s="1"/>
    </row>
    <row r="3367" ht="15.75" customHeight="1">
      <c r="A3367" s="1"/>
      <c r="B3367" s="1"/>
      <c r="C3367" s="1"/>
      <c r="D3367" s="1"/>
      <c r="E3367" s="1"/>
      <c r="F3367" s="1"/>
      <c r="G3367" s="1"/>
      <c r="H3367" s="1"/>
      <c r="I3367" s="1"/>
      <c r="J3367" s="1"/>
      <c r="K3367" s="102" t="s">
        <v>5793</v>
      </c>
      <c r="L3367" s="102" t="str">
        <f>W256</f>
        <v>J1a2a1a2d2b2b2c4d2a2a1a~</v>
      </c>
      <c r="M3367" s="102" t="s">
        <v>5792</v>
      </c>
      <c r="N3367" s="102" t="s">
        <v>5794</v>
      </c>
      <c r="O3367" s="105">
        <v>1.7894975E7</v>
      </c>
      <c r="P3367" s="105">
        <v>1.5783095E7</v>
      </c>
      <c r="Q3367" s="102" t="s">
        <v>2501</v>
      </c>
      <c r="S3367" s="1"/>
      <c r="T3367" s="1"/>
      <c r="U3367" s="1"/>
      <c r="V3367" s="1"/>
      <c r="W3367" s="1"/>
      <c r="X3367" s="1"/>
      <c r="Y3367" s="1"/>
      <c r="Z3367" s="102"/>
      <c r="AA3367" s="102"/>
      <c r="AB3367" s="1"/>
      <c r="AC3367" s="1"/>
      <c r="AD3367" s="1"/>
      <c r="AE3367" s="1"/>
      <c r="AF3367" s="1"/>
      <c r="AG3367" s="1"/>
    </row>
    <row r="3368" ht="15.75" customHeight="1">
      <c r="A3368" s="1"/>
      <c r="B3368" s="1"/>
      <c r="C3368" s="1"/>
      <c r="D3368" s="1"/>
      <c r="E3368" s="1"/>
      <c r="F3368" s="1"/>
      <c r="G3368" s="1"/>
      <c r="H3368" s="1"/>
      <c r="I3368" s="1"/>
      <c r="J3368" s="1"/>
      <c r="K3368" s="102" t="s">
        <v>5795</v>
      </c>
      <c r="L3368" s="102" t="str">
        <f>W256</f>
        <v>J1a2a1a2d2b2b2c4d2a2a1a~</v>
      </c>
      <c r="M3368" s="102" t="s">
        <v>5796</v>
      </c>
      <c r="N3368" s="102" t="s">
        <v>5797</v>
      </c>
      <c r="O3368" s="105">
        <v>1.8729934E7</v>
      </c>
      <c r="P3368" s="105">
        <v>1.6618054E7</v>
      </c>
      <c r="Q3368" s="102" t="s">
        <v>2529</v>
      </c>
      <c r="S3368" s="1"/>
      <c r="T3368" s="1"/>
      <c r="U3368" s="1"/>
      <c r="V3368" s="1"/>
      <c r="W3368" s="1"/>
      <c r="X3368" s="1"/>
      <c r="Y3368" s="1"/>
      <c r="Z3368" s="102"/>
      <c r="AA3368" s="102"/>
      <c r="AB3368" s="1"/>
      <c r="AC3368" s="1"/>
      <c r="AD3368" s="1"/>
      <c r="AE3368" s="1"/>
      <c r="AF3368" s="1"/>
      <c r="AG3368" s="1"/>
    </row>
    <row r="3369" ht="15.75" customHeight="1">
      <c r="A3369" s="1"/>
      <c r="B3369" s="1"/>
      <c r="C3369" s="1"/>
      <c r="D3369" s="1"/>
      <c r="E3369" s="1"/>
      <c r="F3369" s="1"/>
      <c r="G3369" s="1"/>
      <c r="H3369" s="1"/>
      <c r="I3369" s="1"/>
      <c r="J3369" s="1"/>
      <c r="K3369" s="102" t="s">
        <v>5796</v>
      </c>
      <c r="L3369" s="102" t="str">
        <f>W256</f>
        <v>J1a2a1a2d2b2b2c4d2a2a1a~</v>
      </c>
      <c r="M3369" s="102" t="s">
        <v>5795</v>
      </c>
      <c r="N3369" s="102" t="s">
        <v>5797</v>
      </c>
      <c r="O3369" s="105">
        <v>1.8729934E7</v>
      </c>
      <c r="P3369" s="105">
        <v>1.6618054E7</v>
      </c>
      <c r="Q3369" s="102" t="s">
        <v>2529</v>
      </c>
      <c r="S3369" s="1"/>
      <c r="T3369" s="1"/>
      <c r="U3369" s="1"/>
      <c r="V3369" s="1"/>
      <c r="W3369" s="1"/>
      <c r="X3369" s="1"/>
      <c r="Y3369" s="1"/>
      <c r="Z3369" s="102"/>
      <c r="AA3369" s="102"/>
      <c r="AB3369" s="1"/>
      <c r="AC3369" s="1"/>
      <c r="AD3369" s="1"/>
      <c r="AE3369" s="1"/>
      <c r="AF3369" s="1"/>
      <c r="AG3369" s="1"/>
    </row>
    <row r="3370" ht="15.75" customHeight="1">
      <c r="A3370" s="1"/>
      <c r="B3370" s="1"/>
      <c r="C3370" s="1"/>
      <c r="D3370" s="1"/>
      <c r="E3370" s="1"/>
      <c r="F3370" s="1"/>
      <c r="G3370" s="1"/>
      <c r="H3370" s="1"/>
      <c r="I3370" s="1"/>
      <c r="J3370" s="1"/>
      <c r="K3370" s="102" t="s">
        <v>5798</v>
      </c>
      <c r="L3370" s="102" t="str">
        <f>W256</f>
        <v>J1a2a1a2d2b2b2c4d2a2a1a~</v>
      </c>
      <c r="M3370" s="102" t="s">
        <v>5799</v>
      </c>
      <c r="N3370" s="102" t="s">
        <v>5800</v>
      </c>
      <c r="O3370" s="105">
        <v>2.1685317E7</v>
      </c>
      <c r="P3370" s="105">
        <v>1.9523431E7</v>
      </c>
      <c r="Q3370" s="102" t="s">
        <v>2439</v>
      </c>
      <c r="S3370" s="1"/>
      <c r="T3370" s="1"/>
      <c r="U3370" s="1"/>
      <c r="V3370" s="1"/>
      <c r="W3370" s="1"/>
      <c r="X3370" s="1"/>
      <c r="Y3370" s="1"/>
      <c r="Z3370" s="102"/>
      <c r="AA3370" s="102"/>
      <c r="AB3370" s="1"/>
      <c r="AC3370" s="1"/>
      <c r="AD3370" s="1"/>
      <c r="AE3370" s="1"/>
      <c r="AF3370" s="1"/>
      <c r="AG3370" s="1"/>
    </row>
    <row r="3371" ht="15.75" customHeight="1">
      <c r="A3371" s="1"/>
      <c r="B3371" s="1"/>
      <c r="C3371" s="1"/>
      <c r="D3371" s="1"/>
      <c r="E3371" s="1"/>
      <c r="F3371" s="1"/>
      <c r="G3371" s="1"/>
      <c r="H3371" s="1"/>
      <c r="I3371" s="1"/>
      <c r="J3371" s="1"/>
      <c r="K3371" s="102" t="s">
        <v>5799</v>
      </c>
      <c r="L3371" s="102" t="str">
        <f>W256</f>
        <v>J1a2a1a2d2b2b2c4d2a2a1a~</v>
      </c>
      <c r="M3371" s="102" t="s">
        <v>5798</v>
      </c>
      <c r="N3371" s="102"/>
      <c r="O3371" s="105">
        <v>2.1994482E7</v>
      </c>
      <c r="P3371" s="105">
        <v>1.9832596E7</v>
      </c>
      <c r="Q3371" s="102" t="s">
        <v>2563</v>
      </c>
      <c r="S3371" s="1"/>
      <c r="T3371" s="1"/>
      <c r="U3371" s="1"/>
      <c r="V3371" s="1"/>
      <c r="W3371" s="1"/>
      <c r="X3371" s="1"/>
      <c r="Y3371" s="1"/>
      <c r="Z3371" s="102"/>
      <c r="AA3371" s="102"/>
      <c r="AB3371" s="1"/>
      <c r="AC3371" s="1"/>
      <c r="AD3371" s="1"/>
      <c r="AE3371" s="1"/>
      <c r="AF3371" s="1"/>
      <c r="AG3371" s="1"/>
    </row>
    <row r="3372" ht="15.75" customHeight="1">
      <c r="A3372" s="1"/>
      <c r="B3372" s="1"/>
      <c r="C3372" s="1"/>
      <c r="D3372" s="1"/>
      <c r="E3372" s="1"/>
      <c r="F3372" s="1"/>
      <c r="G3372" s="1"/>
      <c r="H3372" s="1"/>
      <c r="I3372" s="1"/>
      <c r="J3372" s="1"/>
      <c r="K3372" s="102" t="s">
        <v>5801</v>
      </c>
      <c r="L3372" s="102" t="str">
        <f>W256</f>
        <v>J1a2a1a2d2b2b2c4d2a2a1a~</v>
      </c>
      <c r="M3372" s="102" t="s">
        <v>5802</v>
      </c>
      <c r="N3372" s="102" t="s">
        <v>5803</v>
      </c>
      <c r="O3372" s="105">
        <v>2.1784091E7</v>
      </c>
      <c r="P3372" s="105">
        <v>1.9622205E7</v>
      </c>
      <c r="Q3372" s="102" t="s">
        <v>2432</v>
      </c>
      <c r="S3372" s="1"/>
      <c r="T3372" s="1"/>
      <c r="U3372" s="1"/>
      <c r="V3372" s="1"/>
      <c r="W3372" s="1"/>
      <c r="X3372" s="1"/>
      <c r="Y3372" s="1"/>
      <c r="Z3372" s="102"/>
      <c r="AA3372" s="102"/>
      <c r="AB3372" s="1"/>
      <c r="AC3372" s="1"/>
      <c r="AD3372" s="1"/>
      <c r="AE3372" s="1"/>
      <c r="AF3372" s="1"/>
      <c r="AG3372" s="1"/>
    </row>
    <row r="3373" ht="15.75" customHeight="1">
      <c r="A3373" s="1"/>
      <c r="B3373" s="1"/>
      <c r="C3373" s="1"/>
      <c r="D3373" s="1"/>
      <c r="E3373" s="1"/>
      <c r="F3373" s="1"/>
      <c r="G3373" s="1"/>
      <c r="H3373" s="1"/>
      <c r="I3373" s="1"/>
      <c r="J3373" s="1"/>
      <c r="K3373" s="102" t="s">
        <v>5802</v>
      </c>
      <c r="L3373" s="102" t="str">
        <f>W256</f>
        <v>J1a2a1a2d2b2b2c4d2a2a1a~</v>
      </c>
      <c r="M3373" s="102" t="s">
        <v>5801</v>
      </c>
      <c r="N3373" s="102" t="s">
        <v>5803</v>
      </c>
      <c r="O3373" s="105">
        <v>2.1784091E7</v>
      </c>
      <c r="P3373" s="105">
        <v>1.9622205E7</v>
      </c>
      <c r="Q3373" s="102" t="s">
        <v>2432</v>
      </c>
      <c r="S3373" s="1"/>
      <c r="T3373" s="1"/>
      <c r="U3373" s="1"/>
      <c r="V3373" s="1"/>
      <c r="W3373" s="1"/>
      <c r="X3373" s="1"/>
      <c r="Y3373" s="1"/>
      <c r="Z3373" s="102"/>
      <c r="AA3373" s="102"/>
      <c r="AB3373" s="1"/>
      <c r="AC3373" s="1"/>
      <c r="AD3373" s="1"/>
      <c r="AE3373" s="1"/>
      <c r="AF3373" s="1"/>
      <c r="AG3373" s="1"/>
    </row>
    <row r="3374" ht="15.75" customHeight="1">
      <c r="A3374" s="1"/>
      <c r="B3374" s="1"/>
      <c r="C3374" s="1"/>
      <c r="D3374" s="1"/>
      <c r="E3374" s="1"/>
      <c r="F3374" s="1"/>
      <c r="G3374" s="1"/>
      <c r="H3374" s="1"/>
      <c r="I3374" s="1"/>
      <c r="J3374" s="1"/>
      <c r="K3374" s="102" t="s">
        <v>5804</v>
      </c>
      <c r="L3374" s="102" t="str">
        <f>W256</f>
        <v>J1a2a1a2d2b2b2c4d2a2a1a~</v>
      </c>
      <c r="M3374" s="102" t="s">
        <v>5805</v>
      </c>
      <c r="N3374" s="102" t="s">
        <v>5806</v>
      </c>
      <c r="O3374" s="105">
        <v>2.2847217E7</v>
      </c>
      <c r="P3374" s="105">
        <v>2.0685331E7</v>
      </c>
      <c r="Q3374" s="102" t="s">
        <v>2468</v>
      </c>
      <c r="S3374" s="1"/>
      <c r="T3374" s="1"/>
      <c r="U3374" s="1"/>
      <c r="V3374" s="1"/>
      <c r="W3374" s="1"/>
      <c r="X3374" s="1"/>
      <c r="Y3374" s="1"/>
      <c r="Z3374" s="102"/>
      <c r="AA3374" s="102"/>
      <c r="AB3374" s="1"/>
      <c r="AC3374" s="1"/>
      <c r="AD3374" s="1"/>
      <c r="AE3374" s="1"/>
      <c r="AF3374" s="1"/>
      <c r="AG3374" s="1"/>
    </row>
    <row r="3375" ht="15.75" customHeight="1">
      <c r="A3375" s="1"/>
      <c r="B3375" s="1"/>
      <c r="C3375" s="1"/>
      <c r="D3375" s="1"/>
      <c r="E3375" s="1"/>
      <c r="F3375" s="1"/>
      <c r="G3375" s="1"/>
      <c r="H3375" s="1"/>
      <c r="I3375" s="1"/>
      <c r="J3375" s="1"/>
      <c r="K3375" s="102" t="s">
        <v>5805</v>
      </c>
      <c r="L3375" s="102" t="str">
        <f>W256</f>
        <v>J1a2a1a2d2b2b2c4d2a2a1a~</v>
      </c>
      <c r="M3375" s="102" t="s">
        <v>5804</v>
      </c>
      <c r="N3375" s="102" t="s">
        <v>5806</v>
      </c>
      <c r="O3375" s="105">
        <v>2.2847217E7</v>
      </c>
      <c r="P3375" s="105">
        <v>2.0685331E7</v>
      </c>
      <c r="Q3375" s="102" t="s">
        <v>2468</v>
      </c>
      <c r="S3375" s="1"/>
      <c r="T3375" s="1"/>
      <c r="U3375" s="1"/>
      <c r="V3375" s="1"/>
      <c r="W3375" s="1"/>
      <c r="X3375" s="1"/>
      <c r="Y3375" s="1"/>
      <c r="Z3375" s="102"/>
      <c r="AA3375" s="102"/>
      <c r="AB3375" s="1"/>
      <c r="AC3375" s="1"/>
      <c r="AD3375" s="1"/>
      <c r="AE3375" s="1"/>
      <c r="AF3375" s="1"/>
      <c r="AG3375" s="1"/>
    </row>
    <row r="3376" ht="15.75" customHeight="1">
      <c r="A3376" s="1"/>
      <c r="B3376" s="1"/>
      <c r="C3376" s="1"/>
      <c r="D3376" s="1"/>
      <c r="E3376" s="1"/>
      <c r="F3376" s="1"/>
      <c r="G3376" s="1"/>
      <c r="H3376" s="1"/>
      <c r="I3376" s="1"/>
      <c r="J3376" s="1"/>
      <c r="K3376" s="102" t="s">
        <v>5807</v>
      </c>
      <c r="L3376" s="102" t="str">
        <f>W256</f>
        <v>J1a2a1a2d2b2b2c4d2a2a1a~</v>
      </c>
      <c r="M3376" s="102" t="s">
        <v>5808</v>
      </c>
      <c r="N3376" s="102" t="s">
        <v>5809</v>
      </c>
      <c r="O3376" s="105">
        <v>2.4521302E7</v>
      </c>
      <c r="P3376" s="105">
        <v>2.2375155E7</v>
      </c>
      <c r="Q3376" s="102" t="s">
        <v>2529</v>
      </c>
      <c r="S3376" s="1"/>
      <c r="T3376" s="1"/>
      <c r="U3376" s="1"/>
      <c r="V3376" s="1"/>
      <c r="W3376" s="1"/>
      <c r="X3376" s="1"/>
      <c r="Y3376" s="1"/>
      <c r="Z3376" s="102"/>
      <c r="AA3376" s="102"/>
      <c r="AB3376" s="1"/>
      <c r="AC3376" s="1"/>
      <c r="AD3376" s="1"/>
      <c r="AE3376" s="1"/>
      <c r="AF3376" s="1"/>
      <c r="AG3376" s="1"/>
    </row>
    <row r="3377" ht="15.75" customHeight="1">
      <c r="A3377" s="1"/>
      <c r="B3377" s="1"/>
      <c r="C3377" s="1"/>
      <c r="D3377" s="1"/>
      <c r="E3377" s="1"/>
      <c r="F3377" s="1"/>
      <c r="G3377" s="1"/>
      <c r="H3377" s="1"/>
      <c r="I3377" s="1"/>
      <c r="J3377" s="1"/>
      <c r="K3377" s="102" t="s">
        <v>5808</v>
      </c>
      <c r="L3377" s="102" t="str">
        <f>W256</f>
        <v>J1a2a1a2d2b2b2c4d2a2a1a~</v>
      </c>
      <c r="M3377" s="102" t="s">
        <v>5807</v>
      </c>
      <c r="N3377" s="102" t="s">
        <v>5809</v>
      </c>
      <c r="O3377" s="105">
        <v>2.4521302E7</v>
      </c>
      <c r="P3377" s="105">
        <v>2.2375155E7</v>
      </c>
      <c r="Q3377" s="102" t="s">
        <v>2529</v>
      </c>
      <c r="S3377" s="1"/>
      <c r="T3377" s="1"/>
      <c r="U3377" s="1"/>
      <c r="V3377" s="1"/>
      <c r="W3377" s="1"/>
      <c r="X3377" s="1"/>
      <c r="Y3377" s="1"/>
      <c r="Z3377" s="102"/>
      <c r="AA3377" s="102"/>
      <c r="AB3377" s="1"/>
      <c r="AC3377" s="1"/>
      <c r="AD3377" s="1"/>
      <c r="AE3377" s="1"/>
      <c r="AF3377" s="1"/>
      <c r="AG3377" s="1"/>
    </row>
    <row r="3378" ht="15.75" customHeight="1">
      <c r="A3378" s="1"/>
      <c r="B3378" s="1"/>
      <c r="C3378" s="1"/>
      <c r="D3378" s="1"/>
      <c r="E3378" s="1"/>
      <c r="F3378" s="1"/>
      <c r="G3378" s="1"/>
      <c r="H3378" s="1"/>
      <c r="I3378" s="1"/>
      <c r="J3378" s="1"/>
      <c r="K3378" s="102" t="s">
        <v>5810</v>
      </c>
      <c r="L3378" s="102" t="str">
        <f>W256</f>
        <v>J1a2a1a2d2b2b2c4d2a2a1a~</v>
      </c>
      <c r="M3378" s="102"/>
      <c r="N3378" s="102" t="s">
        <v>5811</v>
      </c>
      <c r="O3378" s="105">
        <v>1.602035E7</v>
      </c>
      <c r="P3378" s="105">
        <v>1.390847E7</v>
      </c>
      <c r="Q3378" s="102" t="s">
        <v>2439</v>
      </c>
      <c r="S3378" s="1"/>
      <c r="T3378" s="1"/>
      <c r="U3378" s="1"/>
      <c r="V3378" s="1"/>
      <c r="W3378" s="1"/>
      <c r="X3378" s="1"/>
      <c r="Y3378" s="1"/>
      <c r="Z3378" s="102"/>
      <c r="AA3378" s="102"/>
      <c r="AB3378" s="1"/>
      <c r="AC3378" s="1"/>
      <c r="AD3378" s="1"/>
      <c r="AE3378" s="1"/>
      <c r="AF3378" s="1"/>
      <c r="AG3378" s="1"/>
    </row>
    <row r="3379" ht="15.75" customHeight="1">
      <c r="A3379" s="1"/>
      <c r="B3379" s="1"/>
      <c r="C3379" s="1"/>
      <c r="D3379" s="1"/>
      <c r="E3379" s="1"/>
      <c r="F3379" s="1"/>
      <c r="G3379" s="1"/>
      <c r="H3379" s="1"/>
      <c r="I3379" s="1"/>
      <c r="J3379" s="1"/>
      <c r="K3379" s="102" t="s">
        <v>5812</v>
      </c>
      <c r="L3379" s="102" t="str">
        <f>X257</f>
        <v>J1a2a1a2d2b2b2c4d2a2a1a1~</v>
      </c>
      <c r="M3379" s="102" t="s">
        <v>5813</v>
      </c>
      <c r="N3379" s="102" t="s">
        <v>5814</v>
      </c>
      <c r="O3379" s="105">
        <v>8461794.0</v>
      </c>
      <c r="P3379" s="105">
        <v>8593753.0</v>
      </c>
      <c r="Q3379" s="102" t="s">
        <v>2439</v>
      </c>
      <c r="S3379" s="1"/>
      <c r="T3379" s="1"/>
      <c r="U3379" s="1"/>
      <c r="V3379" s="1"/>
      <c r="W3379" s="1"/>
      <c r="X3379" s="1"/>
      <c r="Y3379" s="1"/>
      <c r="Z3379" s="102"/>
      <c r="AA3379" s="102"/>
      <c r="AB3379" s="1"/>
      <c r="AC3379" s="1"/>
      <c r="AD3379" s="1"/>
      <c r="AE3379" s="1"/>
      <c r="AF3379" s="1"/>
      <c r="AG3379" s="1"/>
    </row>
    <row r="3380" ht="15.75" customHeight="1">
      <c r="A3380" s="1"/>
      <c r="B3380" s="1"/>
      <c r="C3380" s="1"/>
      <c r="D3380" s="1"/>
      <c r="E3380" s="1"/>
      <c r="F3380" s="1"/>
      <c r="G3380" s="1"/>
      <c r="H3380" s="1"/>
      <c r="I3380" s="1"/>
      <c r="J3380" s="1"/>
      <c r="K3380" s="102" t="s">
        <v>5815</v>
      </c>
      <c r="L3380" s="102" t="str">
        <f>X257</f>
        <v>J1a2a1a2d2b2b2c4d2a2a1a1~</v>
      </c>
      <c r="M3380" s="102" t="s">
        <v>5816</v>
      </c>
      <c r="N3380" s="102" t="s">
        <v>5814</v>
      </c>
      <c r="O3380" s="105">
        <v>8461794.0</v>
      </c>
      <c r="P3380" s="105">
        <v>8593753.0</v>
      </c>
      <c r="Q3380" s="102" t="s">
        <v>2439</v>
      </c>
      <c r="S3380" s="1"/>
      <c r="T3380" s="1"/>
      <c r="U3380" s="1"/>
      <c r="V3380" s="1"/>
      <c r="W3380" s="1"/>
      <c r="X3380" s="1"/>
      <c r="Y3380" s="1"/>
      <c r="Z3380" s="102"/>
      <c r="AA3380" s="102"/>
      <c r="AB3380" s="1"/>
      <c r="AC3380" s="1"/>
      <c r="AD3380" s="1"/>
      <c r="AE3380" s="1"/>
      <c r="AF3380" s="1"/>
      <c r="AG3380" s="1"/>
    </row>
    <row r="3381" ht="15.75" customHeight="1">
      <c r="A3381" s="1"/>
      <c r="B3381" s="1"/>
      <c r="C3381" s="1"/>
      <c r="D3381" s="1"/>
      <c r="E3381" s="1"/>
      <c r="F3381" s="1"/>
      <c r="G3381" s="1"/>
      <c r="H3381" s="1"/>
      <c r="I3381" s="1"/>
      <c r="J3381" s="1"/>
      <c r="K3381" s="102" t="s">
        <v>5817</v>
      </c>
      <c r="L3381" s="102" t="str">
        <f>X257</f>
        <v>J1a2a1a2d2b2b2c4d2a2a1a1~</v>
      </c>
      <c r="M3381" s="102" t="s">
        <v>5818</v>
      </c>
      <c r="N3381" s="102" t="s">
        <v>5814</v>
      </c>
      <c r="O3381" s="105">
        <v>8461794.0</v>
      </c>
      <c r="P3381" s="105">
        <v>8593753.0</v>
      </c>
      <c r="Q3381" s="102" t="s">
        <v>2439</v>
      </c>
      <c r="S3381" s="1"/>
      <c r="T3381" s="1"/>
      <c r="U3381" s="1"/>
      <c r="V3381" s="1"/>
      <c r="W3381" s="1"/>
      <c r="X3381" s="1"/>
      <c r="Y3381" s="1"/>
      <c r="Z3381" s="102"/>
      <c r="AA3381" s="102"/>
      <c r="AB3381" s="1"/>
      <c r="AC3381" s="1"/>
      <c r="AD3381" s="1"/>
      <c r="AE3381" s="1"/>
      <c r="AF3381" s="1"/>
      <c r="AG3381" s="1"/>
    </row>
    <row r="3382" ht="15.75" customHeight="1">
      <c r="A3382" s="1"/>
      <c r="B3382" s="1"/>
      <c r="C3382" s="1"/>
      <c r="D3382" s="1"/>
      <c r="E3382" s="1"/>
      <c r="F3382" s="1"/>
      <c r="G3382" s="1"/>
      <c r="H3382" s="1"/>
      <c r="I3382" s="1"/>
      <c r="J3382" s="1"/>
      <c r="K3382" s="102" t="s">
        <v>5819</v>
      </c>
      <c r="L3382" s="102" t="str">
        <f>X257</f>
        <v>J1a2a1a2d2b2b2c4d2a2a1a1~</v>
      </c>
      <c r="M3382" s="102" t="s">
        <v>5820</v>
      </c>
      <c r="N3382" s="102" t="s">
        <v>5821</v>
      </c>
      <c r="O3382" s="105">
        <v>2.2069569E7</v>
      </c>
      <c r="P3382" s="105">
        <v>1.9907683E7</v>
      </c>
      <c r="Q3382" s="102" t="s">
        <v>2501</v>
      </c>
      <c r="S3382" s="1"/>
      <c r="T3382" s="1"/>
      <c r="U3382" s="1"/>
      <c r="V3382" s="1"/>
      <c r="W3382" s="1"/>
      <c r="X3382" s="1"/>
      <c r="Y3382" s="1"/>
      <c r="Z3382" s="102"/>
      <c r="AA3382" s="102"/>
      <c r="AB3382" s="1"/>
      <c r="AC3382" s="1"/>
      <c r="AD3382" s="1"/>
      <c r="AE3382" s="1"/>
      <c r="AF3382" s="1"/>
      <c r="AG3382" s="1"/>
    </row>
    <row r="3383" ht="15.75" customHeight="1">
      <c r="A3383" s="1"/>
      <c r="B3383" s="1"/>
      <c r="C3383" s="1"/>
      <c r="D3383" s="1"/>
      <c r="E3383" s="1"/>
      <c r="F3383" s="1"/>
      <c r="G3383" s="1"/>
      <c r="H3383" s="1"/>
      <c r="I3383" s="1"/>
      <c r="J3383" s="1"/>
      <c r="K3383" s="102" t="s">
        <v>5820</v>
      </c>
      <c r="L3383" s="102" t="str">
        <f>X257</f>
        <v>J1a2a1a2d2b2b2c4d2a2a1a1~</v>
      </c>
      <c r="M3383" s="102" t="s">
        <v>5819</v>
      </c>
      <c r="N3383" s="102" t="s">
        <v>5821</v>
      </c>
      <c r="O3383" s="105">
        <v>2.2069569E7</v>
      </c>
      <c r="P3383" s="105">
        <v>1.9907683E7</v>
      </c>
      <c r="Q3383" s="102" t="s">
        <v>2501</v>
      </c>
      <c r="S3383" s="1"/>
      <c r="T3383" s="1"/>
      <c r="U3383" s="1"/>
      <c r="V3383" s="1"/>
      <c r="W3383" s="1"/>
      <c r="X3383" s="1"/>
      <c r="Y3383" s="1"/>
      <c r="Z3383" s="102"/>
      <c r="AA3383" s="102"/>
      <c r="AB3383" s="1"/>
      <c r="AC3383" s="1"/>
      <c r="AD3383" s="1"/>
      <c r="AE3383" s="1"/>
      <c r="AF3383" s="1"/>
      <c r="AG3383" s="1"/>
    </row>
    <row r="3384" ht="15.75" customHeight="1">
      <c r="A3384" s="1"/>
      <c r="B3384" s="1"/>
      <c r="C3384" s="1"/>
      <c r="D3384" s="1"/>
      <c r="E3384" s="1"/>
      <c r="F3384" s="1"/>
      <c r="G3384" s="1"/>
      <c r="H3384" s="1"/>
      <c r="I3384" s="1"/>
      <c r="J3384" s="1"/>
      <c r="K3384" s="102" t="s">
        <v>5822</v>
      </c>
      <c r="L3384" s="102" t="str">
        <f>Y258</f>
        <v>J1a2a1a2d2b2b2c4d2a2a1a1a~</v>
      </c>
      <c r="M3384" s="102" t="s">
        <v>5823</v>
      </c>
      <c r="N3384" s="102" t="s">
        <v>5824</v>
      </c>
      <c r="O3384" s="105">
        <v>7391777.0</v>
      </c>
      <c r="P3384" s="105">
        <v>7523736.0</v>
      </c>
      <c r="Q3384" s="102" t="s">
        <v>2468</v>
      </c>
      <c r="S3384" s="1"/>
      <c r="T3384" s="1"/>
      <c r="U3384" s="1"/>
      <c r="V3384" s="1"/>
      <c r="W3384" s="1"/>
      <c r="X3384" s="1"/>
      <c r="Y3384" s="1"/>
      <c r="Z3384" s="102"/>
      <c r="AA3384" s="102"/>
      <c r="AB3384" s="1"/>
      <c r="AC3384" s="1"/>
      <c r="AD3384" s="1"/>
      <c r="AE3384" s="1"/>
      <c r="AF3384" s="1"/>
      <c r="AG3384" s="1"/>
    </row>
    <row r="3385" ht="15.75" customHeight="1">
      <c r="A3385" s="1"/>
      <c r="B3385" s="1"/>
      <c r="C3385" s="1"/>
      <c r="D3385" s="1"/>
      <c r="E3385" s="1"/>
      <c r="F3385" s="1"/>
      <c r="G3385" s="1"/>
      <c r="H3385" s="1"/>
      <c r="I3385" s="1"/>
      <c r="J3385" s="1"/>
      <c r="K3385" s="102" t="s">
        <v>5823</v>
      </c>
      <c r="L3385" s="102" t="str">
        <f>Y258</f>
        <v>J1a2a1a2d2b2b2c4d2a2a1a1a~</v>
      </c>
      <c r="M3385" s="102" t="s">
        <v>5822</v>
      </c>
      <c r="N3385" s="102" t="s">
        <v>5824</v>
      </c>
      <c r="O3385" s="105">
        <v>7391777.0</v>
      </c>
      <c r="P3385" s="105">
        <v>7523736.0</v>
      </c>
      <c r="Q3385" s="102" t="s">
        <v>2468</v>
      </c>
      <c r="S3385" s="1"/>
      <c r="T3385" s="1"/>
      <c r="U3385" s="1"/>
      <c r="V3385" s="1"/>
      <c r="W3385" s="1"/>
      <c r="X3385" s="1"/>
      <c r="Y3385" s="1"/>
      <c r="Z3385" s="102"/>
      <c r="AA3385" s="102"/>
      <c r="AB3385" s="1"/>
      <c r="AC3385" s="1"/>
      <c r="AD3385" s="1"/>
      <c r="AE3385" s="1"/>
      <c r="AF3385" s="1"/>
      <c r="AG3385" s="1"/>
    </row>
    <row r="3386" ht="15.75" customHeight="1">
      <c r="A3386" s="1"/>
      <c r="B3386" s="1"/>
      <c r="C3386" s="1"/>
      <c r="D3386" s="1"/>
      <c r="E3386" s="1"/>
      <c r="F3386" s="1"/>
      <c r="G3386" s="1"/>
      <c r="H3386" s="1"/>
      <c r="I3386" s="1"/>
      <c r="J3386" s="1"/>
      <c r="K3386" s="102" t="s">
        <v>5825</v>
      </c>
      <c r="L3386" s="102" t="str">
        <f>Z259</f>
        <v>J1a2a1a2d2b2b2c4d2a2a1a1a1~</v>
      </c>
      <c r="M3386" s="102" t="s">
        <v>5826</v>
      </c>
      <c r="N3386" s="102" t="s">
        <v>5827</v>
      </c>
      <c r="O3386" s="105">
        <v>2.2868033E7</v>
      </c>
      <c r="P3386" s="105">
        <v>2.0706147E7</v>
      </c>
      <c r="Q3386" s="102" t="s">
        <v>2529</v>
      </c>
      <c r="S3386" s="1"/>
      <c r="T3386" s="1"/>
      <c r="U3386" s="1"/>
      <c r="V3386" s="1"/>
      <c r="W3386" s="1"/>
      <c r="X3386" s="1"/>
      <c r="Y3386" s="1"/>
      <c r="Z3386" s="102"/>
      <c r="AA3386" s="102"/>
      <c r="AB3386" s="1"/>
      <c r="AC3386" s="1"/>
      <c r="AD3386" s="1"/>
      <c r="AE3386" s="1"/>
      <c r="AF3386" s="1"/>
      <c r="AG3386" s="1"/>
    </row>
    <row r="3387" ht="15.75" customHeight="1">
      <c r="A3387" s="1"/>
      <c r="B3387" s="1"/>
      <c r="C3387" s="1"/>
      <c r="D3387" s="1"/>
      <c r="E3387" s="1"/>
      <c r="F3387" s="1"/>
      <c r="G3387" s="1"/>
      <c r="H3387" s="1"/>
      <c r="I3387" s="1"/>
      <c r="J3387" s="1"/>
      <c r="K3387" s="102" t="s">
        <v>5826</v>
      </c>
      <c r="L3387" s="102" t="str">
        <f>Z259</f>
        <v>J1a2a1a2d2b2b2c4d2a2a1a1a1~</v>
      </c>
      <c r="M3387" s="102" t="s">
        <v>5825</v>
      </c>
      <c r="N3387" s="102" t="s">
        <v>5827</v>
      </c>
      <c r="O3387" s="105">
        <v>2.2868033E7</v>
      </c>
      <c r="P3387" s="105">
        <v>2.0706147E7</v>
      </c>
      <c r="Q3387" s="102" t="s">
        <v>2529</v>
      </c>
      <c r="S3387" s="1"/>
      <c r="T3387" s="1"/>
      <c r="U3387" s="1"/>
      <c r="V3387" s="1"/>
      <c r="W3387" s="1"/>
      <c r="X3387" s="1"/>
      <c r="Y3387" s="1"/>
      <c r="Z3387" s="102"/>
      <c r="AA3387" s="102"/>
      <c r="AB3387" s="1"/>
      <c r="AC3387" s="1"/>
      <c r="AD3387" s="1"/>
      <c r="AE3387" s="1"/>
      <c r="AF3387" s="1"/>
      <c r="AG3387" s="1"/>
    </row>
    <row r="3388" ht="15.75" customHeight="1">
      <c r="A3388" s="1"/>
      <c r="B3388" s="1"/>
      <c r="C3388" s="1"/>
      <c r="D3388" s="1"/>
      <c r="E3388" s="1"/>
      <c r="F3388" s="1"/>
      <c r="G3388" s="1"/>
      <c r="H3388" s="1"/>
      <c r="I3388" s="1"/>
      <c r="J3388" s="1"/>
      <c r="K3388" s="102" t="s">
        <v>489</v>
      </c>
      <c r="L3388" s="102" t="str">
        <f>AA260</f>
        <v>J1a2a1a2d2b2b2c4d2a2a1a1a1a~</v>
      </c>
      <c r="M3388" s="102"/>
      <c r="N3388" s="102"/>
      <c r="O3388" s="105">
        <v>1.3227603E7</v>
      </c>
      <c r="P3388" s="105">
        <v>1.1071927E7</v>
      </c>
      <c r="Q3388" s="102" t="s">
        <v>2446</v>
      </c>
      <c r="S3388" s="1"/>
      <c r="T3388" s="1"/>
      <c r="U3388" s="1"/>
      <c r="V3388" s="1"/>
      <c r="W3388" s="1"/>
      <c r="X3388" s="1"/>
      <c r="Y3388" s="1"/>
      <c r="Z3388" s="102"/>
      <c r="AA3388" s="102"/>
      <c r="AB3388" s="1"/>
      <c r="AC3388" s="1"/>
      <c r="AD3388" s="1"/>
      <c r="AE3388" s="1"/>
      <c r="AF3388" s="1"/>
      <c r="AG3388" s="1"/>
    </row>
    <row r="3389" ht="15.75" customHeight="1">
      <c r="A3389" s="1"/>
      <c r="B3389" s="1"/>
      <c r="C3389" s="1"/>
      <c r="D3389" s="1"/>
      <c r="E3389" s="1"/>
      <c r="F3389" s="1"/>
      <c r="G3389" s="1"/>
      <c r="H3389" s="1"/>
      <c r="I3389" s="1"/>
      <c r="J3389" s="1"/>
      <c r="K3389" s="102" t="s">
        <v>5828</v>
      </c>
      <c r="L3389" s="102" t="str">
        <f>AB261</f>
        <v>J1a2a1a2d2b2b2c4d2a2a1a1a1a1~</v>
      </c>
      <c r="M3389" s="102"/>
      <c r="N3389" s="102"/>
      <c r="O3389" s="105">
        <v>1.4965749E7</v>
      </c>
      <c r="P3389" s="105">
        <v>1.2853824E7</v>
      </c>
      <c r="Q3389" s="102" t="s">
        <v>2468</v>
      </c>
      <c r="S3389" s="1"/>
      <c r="T3389" s="1"/>
      <c r="U3389" s="1"/>
      <c r="V3389" s="1"/>
      <c r="W3389" s="1"/>
      <c r="X3389" s="1"/>
      <c r="Y3389" s="1"/>
      <c r="Z3389" s="102"/>
      <c r="AA3389" s="102"/>
      <c r="AB3389" s="1"/>
      <c r="AC3389" s="1"/>
      <c r="AD3389" s="1"/>
      <c r="AE3389" s="1"/>
      <c r="AF3389" s="1"/>
      <c r="AG3389" s="1"/>
    </row>
    <row r="3390" ht="15.75" customHeight="1">
      <c r="A3390" s="1"/>
      <c r="B3390" s="1"/>
      <c r="C3390" s="1"/>
      <c r="D3390" s="1"/>
      <c r="E3390" s="1"/>
      <c r="F3390" s="1"/>
      <c r="G3390" s="1"/>
      <c r="H3390" s="1"/>
      <c r="I3390" s="1"/>
      <c r="J3390" s="1"/>
      <c r="K3390" s="102" t="s">
        <v>5829</v>
      </c>
      <c r="L3390" s="102" t="str">
        <f>AB261</f>
        <v>J1a2a1a2d2b2b2c4d2a2a1a1a1a1~</v>
      </c>
      <c r="M3390" s="102"/>
      <c r="N3390" s="102"/>
      <c r="O3390" s="105">
        <v>1.7912342E7</v>
      </c>
      <c r="P3390" s="105">
        <v>1.5800462E7</v>
      </c>
      <c r="Q3390" s="102" t="s">
        <v>2529</v>
      </c>
      <c r="S3390" s="1"/>
      <c r="T3390" s="1"/>
      <c r="U3390" s="1"/>
      <c r="V3390" s="1"/>
      <c r="W3390" s="1"/>
      <c r="X3390" s="1"/>
      <c r="Y3390" s="1"/>
      <c r="Z3390" s="102"/>
      <c r="AA3390" s="102"/>
      <c r="AB3390" s="1"/>
      <c r="AC3390" s="1"/>
      <c r="AD3390" s="1"/>
      <c r="AE3390" s="1"/>
      <c r="AF3390" s="1"/>
      <c r="AG3390" s="1"/>
    </row>
    <row r="3391" ht="15.75" customHeight="1">
      <c r="A3391" s="1"/>
      <c r="B3391" s="1"/>
      <c r="C3391" s="1"/>
      <c r="D3391" s="1"/>
      <c r="E3391" s="1"/>
      <c r="F3391" s="1"/>
      <c r="G3391" s="1"/>
      <c r="H3391" s="1"/>
      <c r="I3391" s="1"/>
      <c r="J3391" s="1"/>
      <c r="K3391" s="102" t="s">
        <v>5830</v>
      </c>
      <c r="L3391" s="102" t="str">
        <f>AB261</f>
        <v>J1a2a1a2d2b2b2c4d2a2a1a1a1a1~</v>
      </c>
      <c r="M3391" s="102"/>
      <c r="N3391" s="102"/>
      <c r="O3391" s="105">
        <v>1.9208358E7</v>
      </c>
      <c r="P3391" s="105">
        <v>1.7096478E7</v>
      </c>
      <c r="Q3391" s="102" t="s">
        <v>2439</v>
      </c>
      <c r="S3391" s="1"/>
      <c r="T3391" s="1"/>
      <c r="U3391" s="1"/>
      <c r="V3391" s="1"/>
      <c r="W3391" s="1"/>
      <c r="X3391" s="1"/>
      <c r="Y3391" s="1"/>
      <c r="Z3391" s="102"/>
      <c r="AA3391" s="102"/>
      <c r="AB3391" s="1"/>
      <c r="AC3391" s="1"/>
      <c r="AD3391" s="1"/>
      <c r="AE3391" s="1"/>
      <c r="AF3391" s="1"/>
      <c r="AG3391" s="1"/>
    </row>
    <row r="3392" ht="15.75" customHeight="1">
      <c r="A3392" s="1"/>
      <c r="B3392" s="1"/>
      <c r="C3392" s="1"/>
      <c r="D3392" s="1"/>
      <c r="E3392" s="1"/>
      <c r="F3392" s="1"/>
      <c r="G3392" s="1"/>
      <c r="H3392" s="1"/>
      <c r="I3392" s="1"/>
      <c r="J3392" s="1"/>
      <c r="K3392" s="102" t="s">
        <v>5831</v>
      </c>
      <c r="L3392" s="102" t="str">
        <f>AB261</f>
        <v>J1a2a1a2d2b2b2c4d2a2a1a1a1a1~</v>
      </c>
      <c r="M3392" s="102" t="s">
        <v>5832</v>
      </c>
      <c r="N3392" s="102"/>
      <c r="O3392" s="105">
        <v>2.1229717E7</v>
      </c>
      <c r="P3392" s="105">
        <v>1.9067831E7</v>
      </c>
      <c r="Q3392" s="102" t="s">
        <v>2501</v>
      </c>
      <c r="S3392" s="1"/>
      <c r="T3392" s="1"/>
      <c r="U3392" s="1"/>
      <c r="V3392" s="1"/>
      <c r="W3392" s="1"/>
      <c r="X3392" s="1"/>
      <c r="Y3392" s="1"/>
      <c r="Z3392" s="102"/>
      <c r="AA3392" s="102"/>
      <c r="AB3392" s="1"/>
      <c r="AC3392" s="1"/>
      <c r="AD3392" s="1"/>
      <c r="AE3392" s="1"/>
      <c r="AF3392" s="1"/>
      <c r="AG3392" s="1"/>
    </row>
    <row r="3393" ht="15.75" customHeight="1">
      <c r="A3393" s="1"/>
      <c r="B3393" s="1"/>
      <c r="C3393" s="1"/>
      <c r="D3393" s="1"/>
      <c r="E3393" s="1"/>
      <c r="F3393" s="1"/>
      <c r="G3393" s="1"/>
      <c r="H3393" s="1"/>
      <c r="I3393" s="1"/>
      <c r="J3393" s="1"/>
      <c r="K3393" s="102" t="s">
        <v>5832</v>
      </c>
      <c r="L3393" s="102" t="str">
        <f>AB261</f>
        <v>J1a2a1a2d2b2b2c4d2a2a1a1a1a1~</v>
      </c>
      <c r="M3393" s="102" t="s">
        <v>5831</v>
      </c>
      <c r="N3393" s="102"/>
      <c r="O3393" s="105">
        <v>2.1229717E7</v>
      </c>
      <c r="P3393" s="105">
        <v>1.9067831E7</v>
      </c>
      <c r="Q3393" s="102" t="s">
        <v>2501</v>
      </c>
      <c r="S3393" s="1"/>
      <c r="T3393" s="1"/>
      <c r="U3393" s="1"/>
      <c r="V3393" s="1"/>
      <c r="W3393" s="1"/>
      <c r="X3393" s="1"/>
      <c r="Y3393" s="1"/>
      <c r="Z3393" s="102"/>
      <c r="AA3393" s="102"/>
      <c r="AB3393" s="1"/>
      <c r="AC3393" s="1"/>
      <c r="AD3393" s="1"/>
      <c r="AE3393" s="1"/>
      <c r="AF3393" s="1"/>
      <c r="AG3393" s="1"/>
    </row>
    <row r="3394" ht="15.75" customHeight="1">
      <c r="A3394" s="1"/>
      <c r="B3394" s="1"/>
      <c r="C3394" s="1"/>
      <c r="D3394" s="1"/>
      <c r="E3394" s="1"/>
      <c r="F3394" s="1"/>
      <c r="G3394" s="1"/>
      <c r="H3394" s="1"/>
      <c r="I3394" s="1"/>
      <c r="J3394" s="1"/>
      <c r="K3394" s="102" t="s">
        <v>5833</v>
      </c>
      <c r="L3394" s="102" t="str">
        <f>AC262</f>
        <v>J1a2a1a2d2b2b2c4d2a2a1a1a1a1a~</v>
      </c>
      <c r="M3394" s="102" t="s">
        <v>5834</v>
      </c>
      <c r="N3394" s="102"/>
      <c r="O3394" s="105">
        <v>1.549308E7</v>
      </c>
      <c r="P3394" s="105">
        <v>1.33812E7</v>
      </c>
      <c r="Q3394" s="102" t="s">
        <v>2432</v>
      </c>
      <c r="S3394" s="1"/>
      <c r="T3394" s="1"/>
      <c r="U3394" s="1"/>
      <c r="V3394" s="1"/>
      <c r="W3394" s="1"/>
      <c r="X3394" s="1"/>
      <c r="Y3394" s="1"/>
      <c r="Z3394" s="102"/>
      <c r="AA3394" s="102"/>
      <c r="AB3394" s="1"/>
      <c r="AC3394" s="1"/>
      <c r="AD3394" s="1"/>
      <c r="AE3394" s="1"/>
      <c r="AF3394" s="1"/>
      <c r="AG3394" s="1"/>
    </row>
    <row r="3395" ht="15.75" customHeight="1">
      <c r="A3395" s="1"/>
      <c r="B3395" s="1"/>
      <c r="C3395" s="1"/>
      <c r="D3395" s="1"/>
      <c r="E3395" s="1"/>
      <c r="F3395" s="1"/>
      <c r="G3395" s="1"/>
      <c r="H3395" s="1"/>
      <c r="I3395" s="1"/>
      <c r="J3395" s="1"/>
      <c r="K3395" s="102" t="s">
        <v>5834</v>
      </c>
      <c r="L3395" s="102" t="str">
        <f>AC262</f>
        <v>J1a2a1a2d2b2b2c4d2a2a1a1a1a1a~</v>
      </c>
      <c r="M3395" s="102" t="s">
        <v>5833</v>
      </c>
      <c r="N3395" s="102"/>
      <c r="O3395" s="105">
        <v>1.549308E7</v>
      </c>
      <c r="P3395" s="105">
        <v>1.33812E7</v>
      </c>
      <c r="Q3395" s="102" t="s">
        <v>2432</v>
      </c>
      <c r="S3395" s="1"/>
      <c r="T3395" s="1"/>
      <c r="U3395" s="1"/>
      <c r="V3395" s="1"/>
      <c r="W3395" s="1"/>
      <c r="X3395" s="1"/>
      <c r="Y3395" s="1"/>
      <c r="Z3395" s="102"/>
      <c r="AA3395" s="102"/>
      <c r="AB3395" s="1"/>
      <c r="AC3395" s="1"/>
      <c r="AD3395" s="1"/>
      <c r="AE3395" s="1"/>
      <c r="AF3395" s="1"/>
      <c r="AG3395" s="1"/>
    </row>
    <row r="3396" ht="15.75" customHeight="1">
      <c r="A3396" s="1"/>
      <c r="B3396" s="1"/>
      <c r="C3396" s="1"/>
      <c r="D3396" s="1"/>
      <c r="E3396" s="1"/>
      <c r="F3396" s="1"/>
      <c r="G3396" s="1"/>
      <c r="H3396" s="1"/>
      <c r="I3396" s="1"/>
      <c r="J3396" s="1"/>
      <c r="K3396" s="102" t="s">
        <v>5835</v>
      </c>
      <c r="L3396" s="102" t="str">
        <f>AC262</f>
        <v>J1a2a1a2d2b2b2c4d2a2a1a1a1a1a~</v>
      </c>
      <c r="M3396" s="102" t="s">
        <v>5836</v>
      </c>
      <c r="N3396" s="102"/>
      <c r="O3396" s="105">
        <v>1.5526665E7</v>
      </c>
      <c r="P3396" s="105">
        <v>1.3414785E7</v>
      </c>
      <c r="Q3396" s="102" t="s">
        <v>2514</v>
      </c>
      <c r="S3396" s="1"/>
      <c r="T3396" s="1"/>
      <c r="U3396" s="1"/>
      <c r="V3396" s="1"/>
      <c r="W3396" s="1"/>
      <c r="X3396" s="1"/>
      <c r="Y3396" s="1"/>
      <c r="Z3396" s="102"/>
      <c r="AA3396" s="102"/>
      <c r="AB3396" s="1"/>
      <c r="AC3396" s="1"/>
      <c r="AD3396" s="1"/>
      <c r="AE3396" s="1"/>
      <c r="AF3396" s="1"/>
      <c r="AG3396" s="1"/>
    </row>
    <row r="3397" ht="15.75" customHeight="1">
      <c r="A3397" s="1"/>
      <c r="B3397" s="1"/>
      <c r="C3397" s="1"/>
      <c r="D3397" s="1"/>
      <c r="E3397" s="1"/>
      <c r="F3397" s="1"/>
      <c r="G3397" s="1"/>
      <c r="H3397" s="1"/>
      <c r="I3397" s="1"/>
      <c r="J3397" s="1"/>
      <c r="K3397" s="102" t="s">
        <v>5836</v>
      </c>
      <c r="L3397" s="102" t="str">
        <f>AC262</f>
        <v>J1a2a1a2d2b2b2c4d2a2a1a1a1a1a~</v>
      </c>
      <c r="M3397" s="102" t="s">
        <v>5835</v>
      </c>
      <c r="N3397" s="102"/>
      <c r="O3397" s="105">
        <v>1.5526665E7</v>
      </c>
      <c r="P3397" s="105">
        <v>1.3414785E7</v>
      </c>
      <c r="Q3397" s="102" t="s">
        <v>2514</v>
      </c>
      <c r="S3397" s="1"/>
      <c r="T3397" s="1"/>
      <c r="U3397" s="1"/>
      <c r="V3397" s="1"/>
      <c r="W3397" s="1"/>
      <c r="X3397" s="1"/>
      <c r="Y3397" s="1"/>
      <c r="Z3397" s="102"/>
      <c r="AA3397" s="102"/>
      <c r="AB3397" s="1"/>
      <c r="AC3397" s="1"/>
      <c r="AD3397" s="1"/>
      <c r="AE3397" s="1"/>
      <c r="AF3397" s="1"/>
      <c r="AG3397" s="1"/>
    </row>
    <row r="3398" ht="15.75" customHeight="1">
      <c r="A3398" s="1"/>
      <c r="B3398" s="1"/>
      <c r="C3398" s="1"/>
      <c r="D3398" s="1"/>
      <c r="E3398" s="1"/>
      <c r="F3398" s="1"/>
      <c r="G3398" s="1"/>
      <c r="H3398" s="1"/>
      <c r="I3398" s="1"/>
      <c r="J3398" s="1"/>
      <c r="K3398" s="102" t="s">
        <v>5837</v>
      </c>
      <c r="L3398" s="102" t="str">
        <f>AC262</f>
        <v>J1a2a1a2d2b2b2c4d2a2a1a1a1a1a~</v>
      </c>
      <c r="M3398" s="102" t="s">
        <v>5838</v>
      </c>
      <c r="N3398" s="102"/>
      <c r="O3398" s="105">
        <v>1.5531401E7</v>
      </c>
      <c r="P3398" s="105">
        <v>1.3419521E7</v>
      </c>
      <c r="Q3398" s="102" t="s">
        <v>2468</v>
      </c>
      <c r="S3398" s="1"/>
      <c r="T3398" s="1"/>
      <c r="U3398" s="1"/>
      <c r="V3398" s="1"/>
      <c r="W3398" s="1"/>
      <c r="X3398" s="1"/>
      <c r="Y3398" s="1"/>
      <c r="Z3398" s="102"/>
      <c r="AA3398" s="102"/>
      <c r="AB3398" s="1"/>
      <c r="AC3398" s="1"/>
      <c r="AD3398" s="1"/>
      <c r="AE3398" s="1"/>
      <c r="AF3398" s="1"/>
      <c r="AG3398" s="1"/>
    </row>
    <row r="3399" ht="15.75" customHeight="1">
      <c r="A3399" s="1"/>
      <c r="B3399" s="1"/>
      <c r="C3399" s="1"/>
      <c r="D3399" s="1"/>
      <c r="E3399" s="1"/>
      <c r="F3399" s="1"/>
      <c r="G3399" s="1"/>
      <c r="H3399" s="1"/>
      <c r="I3399" s="1"/>
      <c r="J3399" s="1"/>
      <c r="K3399" s="102" t="s">
        <v>5838</v>
      </c>
      <c r="L3399" s="102" t="str">
        <f>AC262</f>
        <v>J1a2a1a2d2b2b2c4d2a2a1a1a1a1a~</v>
      </c>
      <c r="M3399" s="102" t="s">
        <v>5837</v>
      </c>
      <c r="N3399" s="102"/>
      <c r="O3399" s="105">
        <v>1.5531401E7</v>
      </c>
      <c r="P3399" s="105">
        <v>1.3419521E7</v>
      </c>
      <c r="Q3399" s="102" t="s">
        <v>2468</v>
      </c>
      <c r="S3399" s="1"/>
      <c r="T3399" s="1"/>
      <c r="U3399" s="1"/>
      <c r="V3399" s="1"/>
      <c r="W3399" s="1"/>
      <c r="X3399" s="1"/>
      <c r="Y3399" s="1"/>
      <c r="Z3399" s="102"/>
      <c r="AA3399" s="102"/>
      <c r="AB3399" s="1"/>
      <c r="AC3399" s="1"/>
      <c r="AD3399" s="1"/>
      <c r="AE3399" s="1"/>
      <c r="AF3399" s="1"/>
      <c r="AG3399" s="1"/>
    </row>
    <row r="3400" ht="15.75" customHeight="1">
      <c r="A3400" s="1"/>
      <c r="B3400" s="1"/>
      <c r="C3400" s="1"/>
      <c r="D3400" s="1"/>
      <c r="E3400" s="1"/>
      <c r="F3400" s="1"/>
      <c r="G3400" s="1"/>
      <c r="H3400" s="1"/>
      <c r="I3400" s="1"/>
      <c r="J3400" s="1"/>
      <c r="K3400" s="102" t="s">
        <v>5839</v>
      </c>
      <c r="L3400" s="102" t="str">
        <f>AD263</f>
        <v>J1a2a1a2d2b2b2c4d2a2a1a1a1a1a1~</v>
      </c>
      <c r="M3400" s="102" t="s">
        <v>5840</v>
      </c>
      <c r="N3400" s="102"/>
      <c r="O3400" s="105">
        <v>1.6818973E7</v>
      </c>
      <c r="P3400" s="105">
        <v>1.4707093E7</v>
      </c>
      <c r="Q3400" s="102" t="s">
        <v>2468</v>
      </c>
      <c r="S3400" s="1"/>
      <c r="T3400" s="1"/>
      <c r="U3400" s="1"/>
      <c r="V3400" s="1"/>
      <c r="W3400" s="1"/>
      <c r="X3400" s="1"/>
      <c r="Y3400" s="1"/>
      <c r="Z3400" s="102"/>
      <c r="AA3400" s="102"/>
      <c r="AB3400" s="1"/>
      <c r="AC3400" s="1"/>
      <c r="AD3400" s="1"/>
      <c r="AE3400" s="1"/>
      <c r="AF3400" s="1"/>
      <c r="AG3400" s="1"/>
    </row>
    <row r="3401" ht="15.75" customHeight="1">
      <c r="A3401" s="1"/>
      <c r="B3401" s="1"/>
      <c r="C3401" s="1"/>
      <c r="D3401" s="1"/>
      <c r="E3401" s="1"/>
      <c r="F3401" s="1"/>
      <c r="G3401" s="1"/>
      <c r="H3401" s="1"/>
      <c r="I3401" s="1"/>
      <c r="J3401" s="1"/>
      <c r="K3401" s="102" t="s">
        <v>5840</v>
      </c>
      <c r="L3401" s="102" t="str">
        <f>AD263</f>
        <v>J1a2a1a2d2b2b2c4d2a2a1a1a1a1a1~</v>
      </c>
      <c r="M3401" s="102" t="s">
        <v>5839</v>
      </c>
      <c r="N3401" s="102"/>
      <c r="O3401" s="105">
        <v>1.6818973E7</v>
      </c>
      <c r="P3401" s="105">
        <v>1.4707093E7</v>
      </c>
      <c r="Q3401" s="102" t="s">
        <v>2468</v>
      </c>
      <c r="S3401" s="1"/>
      <c r="T3401" s="1"/>
      <c r="U3401" s="1"/>
      <c r="V3401" s="1"/>
      <c r="W3401" s="1"/>
      <c r="X3401" s="1"/>
      <c r="Y3401" s="1"/>
      <c r="Z3401" s="102"/>
      <c r="AA3401" s="102"/>
      <c r="AB3401" s="1"/>
      <c r="AC3401" s="1"/>
      <c r="AD3401" s="1"/>
      <c r="AE3401" s="1"/>
      <c r="AF3401" s="1"/>
      <c r="AG3401" s="1"/>
    </row>
    <row r="3402" ht="15.75" customHeight="1">
      <c r="A3402" s="1"/>
      <c r="B3402" s="1"/>
      <c r="C3402" s="1"/>
      <c r="D3402" s="1"/>
      <c r="E3402" s="1"/>
      <c r="F3402" s="1"/>
      <c r="G3402" s="1"/>
      <c r="H3402" s="1"/>
      <c r="I3402" s="1"/>
      <c r="J3402" s="1"/>
      <c r="K3402" s="102" t="s">
        <v>5841</v>
      </c>
      <c r="L3402" s="102" t="str">
        <f>AA264</f>
        <v>J1a2a1a2d2b2b2c4d2a2a1a1a1b~</v>
      </c>
      <c r="M3402" s="102" t="s">
        <v>5842</v>
      </c>
      <c r="N3402" s="102" t="s">
        <v>5843</v>
      </c>
      <c r="O3402" s="105">
        <v>1.7927674E7</v>
      </c>
      <c r="P3402" s="105">
        <v>1.5815794E7</v>
      </c>
      <c r="Q3402" s="102" t="s">
        <v>2439</v>
      </c>
      <c r="S3402" s="1"/>
      <c r="T3402" s="1"/>
      <c r="U3402" s="1"/>
      <c r="V3402" s="1"/>
      <c r="W3402" s="1"/>
      <c r="X3402" s="1"/>
      <c r="Y3402" s="1"/>
      <c r="Z3402" s="102"/>
      <c r="AA3402" s="102"/>
      <c r="AB3402" s="1"/>
      <c r="AC3402" s="1"/>
      <c r="AD3402" s="1"/>
      <c r="AE3402" s="1"/>
      <c r="AF3402" s="1"/>
      <c r="AG3402" s="1"/>
    </row>
    <row r="3403" ht="15.75" customHeight="1">
      <c r="A3403" s="1"/>
      <c r="B3403" s="1"/>
      <c r="C3403" s="1"/>
      <c r="D3403" s="1"/>
      <c r="E3403" s="1"/>
      <c r="F3403" s="1"/>
      <c r="G3403" s="1"/>
      <c r="H3403" s="1"/>
      <c r="I3403" s="1"/>
      <c r="J3403" s="1"/>
      <c r="K3403" s="102" t="s">
        <v>5842</v>
      </c>
      <c r="L3403" s="102" t="str">
        <f>AA264</f>
        <v>J1a2a1a2d2b2b2c4d2a2a1a1a1b~</v>
      </c>
      <c r="M3403" s="102" t="s">
        <v>5841</v>
      </c>
      <c r="N3403" s="102" t="s">
        <v>5843</v>
      </c>
      <c r="O3403" s="105">
        <v>1.7927674E7</v>
      </c>
      <c r="P3403" s="105">
        <v>1.5815794E7</v>
      </c>
      <c r="Q3403" s="102" t="s">
        <v>2439</v>
      </c>
      <c r="S3403" s="1"/>
      <c r="T3403" s="1"/>
      <c r="U3403" s="1"/>
      <c r="V3403" s="1"/>
      <c r="W3403" s="1"/>
      <c r="X3403" s="1"/>
      <c r="Y3403" s="1"/>
      <c r="Z3403" s="102"/>
      <c r="AA3403" s="102"/>
      <c r="AB3403" s="1"/>
      <c r="AC3403" s="1"/>
      <c r="AD3403" s="1"/>
      <c r="AE3403" s="1"/>
      <c r="AF3403" s="1"/>
      <c r="AG3403" s="1"/>
    </row>
    <row r="3404" ht="15.75" customHeight="1">
      <c r="A3404" s="1"/>
      <c r="B3404" s="1"/>
      <c r="C3404" s="1"/>
      <c r="D3404" s="1"/>
      <c r="E3404" s="1"/>
      <c r="F3404" s="1"/>
      <c r="G3404" s="1"/>
      <c r="H3404" s="1"/>
      <c r="I3404" s="1"/>
      <c r="J3404" s="1"/>
      <c r="K3404" s="102" t="s">
        <v>5844</v>
      </c>
      <c r="L3404" s="102" t="str">
        <f>AA264</f>
        <v>J1a2a1a2d2b2b2c4d2a2a1a1a1b~</v>
      </c>
      <c r="M3404" s="102"/>
      <c r="N3404" s="102"/>
      <c r="O3404" s="105">
        <v>8441797.0</v>
      </c>
      <c r="P3404" s="105">
        <v>8573756.0</v>
      </c>
      <c r="Q3404" s="102" t="s">
        <v>2439</v>
      </c>
      <c r="S3404" s="1"/>
      <c r="T3404" s="1"/>
      <c r="U3404" s="1"/>
      <c r="V3404" s="1"/>
      <c r="W3404" s="1"/>
      <c r="X3404" s="1"/>
      <c r="Y3404" s="1"/>
      <c r="Z3404" s="102"/>
      <c r="AA3404" s="102"/>
      <c r="AB3404" s="1"/>
      <c r="AC3404" s="1"/>
      <c r="AD3404" s="1"/>
      <c r="AE3404" s="1"/>
      <c r="AF3404" s="1"/>
      <c r="AG3404" s="1"/>
    </row>
    <row r="3405" ht="15.75" customHeight="1">
      <c r="A3405" s="1"/>
      <c r="B3405" s="1"/>
      <c r="C3405" s="1"/>
      <c r="D3405" s="1"/>
      <c r="E3405" s="1"/>
      <c r="F3405" s="1"/>
      <c r="G3405" s="1"/>
      <c r="H3405" s="1"/>
      <c r="I3405" s="1"/>
      <c r="J3405" s="1"/>
      <c r="K3405" s="102" t="s">
        <v>5845</v>
      </c>
      <c r="L3405" s="102" t="str">
        <f>AA264</f>
        <v>J1a2a1a2d2b2b2c4d2a2a1a1a1b~</v>
      </c>
      <c r="M3405" s="102" t="s">
        <v>5820</v>
      </c>
      <c r="N3405" s="102"/>
      <c r="O3405" s="105">
        <v>8907076.0</v>
      </c>
      <c r="P3405" s="105">
        <v>9039035.0</v>
      </c>
      <c r="Q3405" s="102" t="s">
        <v>2439</v>
      </c>
      <c r="S3405" s="1"/>
      <c r="T3405" s="1"/>
      <c r="U3405" s="1"/>
      <c r="V3405" s="1"/>
      <c r="W3405" s="1"/>
      <c r="X3405" s="1"/>
      <c r="Y3405" s="1"/>
      <c r="Z3405" s="102"/>
      <c r="AA3405" s="102"/>
      <c r="AB3405" s="1"/>
      <c r="AC3405" s="1"/>
      <c r="AD3405" s="1"/>
      <c r="AE3405" s="1"/>
      <c r="AF3405" s="1"/>
      <c r="AG3405" s="1"/>
    </row>
    <row r="3406" ht="15.75" customHeight="1">
      <c r="A3406" s="1"/>
      <c r="B3406" s="1"/>
      <c r="C3406" s="1"/>
      <c r="D3406" s="1"/>
      <c r="E3406" s="1"/>
      <c r="F3406" s="1"/>
      <c r="G3406" s="1"/>
      <c r="H3406" s="1"/>
      <c r="I3406" s="1"/>
      <c r="J3406" s="1"/>
      <c r="K3406" s="102" t="s">
        <v>5820</v>
      </c>
      <c r="L3406" s="102" t="str">
        <f t="shared" ref="L3406:L3407" si="44">AA264</f>
        <v>J1a2a1a2d2b2b2c4d2a2a1a1a1b~</v>
      </c>
      <c r="M3406" s="102" t="s">
        <v>5845</v>
      </c>
      <c r="N3406" s="102" t="s">
        <v>5821</v>
      </c>
      <c r="O3406" s="105">
        <v>2.2069569E7</v>
      </c>
      <c r="P3406" s="105">
        <v>1.9907683E7</v>
      </c>
      <c r="Q3406" s="102" t="s">
        <v>2501</v>
      </c>
      <c r="S3406" s="1"/>
      <c r="T3406" s="1"/>
      <c r="U3406" s="1"/>
      <c r="V3406" s="1"/>
      <c r="W3406" s="1"/>
      <c r="X3406" s="1"/>
      <c r="Y3406" s="1"/>
      <c r="Z3406" s="102"/>
      <c r="AA3406" s="102"/>
      <c r="AB3406" s="1"/>
      <c r="AC3406" s="1"/>
      <c r="AD3406" s="1"/>
      <c r="AE3406" s="1"/>
      <c r="AF3406" s="1"/>
      <c r="AG3406" s="1"/>
    </row>
    <row r="3407" ht="15.75" customHeight="1">
      <c r="A3407" s="1"/>
      <c r="B3407" s="1"/>
      <c r="C3407" s="1"/>
      <c r="D3407" s="1"/>
      <c r="E3407" s="1"/>
      <c r="F3407" s="1"/>
      <c r="G3407" s="1"/>
      <c r="H3407" s="1"/>
      <c r="I3407" s="1"/>
      <c r="J3407" s="1"/>
      <c r="K3407" s="102" t="s">
        <v>5846</v>
      </c>
      <c r="L3407" s="102" t="str">
        <f t="shared" si="44"/>
        <v>J1a2a1a2d2b2b2c4d2a2a1a1a1c~</v>
      </c>
      <c r="M3407" s="102"/>
      <c r="N3407" s="102"/>
      <c r="O3407" s="105">
        <v>8630912.0</v>
      </c>
      <c r="P3407" s="105">
        <v>8762871.0</v>
      </c>
      <c r="Q3407" s="102" t="s">
        <v>2529</v>
      </c>
      <c r="S3407" s="1"/>
      <c r="T3407" s="1"/>
      <c r="U3407" s="1"/>
      <c r="V3407" s="1"/>
      <c r="W3407" s="1"/>
      <c r="X3407" s="1"/>
      <c r="Y3407" s="1"/>
      <c r="Z3407" s="102"/>
      <c r="AA3407" s="102"/>
      <c r="AB3407" s="1"/>
      <c r="AC3407" s="1"/>
      <c r="AD3407" s="1"/>
      <c r="AE3407" s="1"/>
      <c r="AF3407" s="1"/>
      <c r="AG3407" s="1"/>
    </row>
    <row r="3408" ht="15.75" customHeight="1">
      <c r="A3408" s="1"/>
      <c r="B3408" s="1"/>
      <c r="C3408" s="1"/>
      <c r="D3408" s="1"/>
      <c r="E3408" s="1"/>
      <c r="F3408" s="1"/>
      <c r="G3408" s="1"/>
      <c r="H3408" s="1"/>
      <c r="I3408" s="1"/>
      <c r="J3408" s="1"/>
      <c r="K3408" s="102" t="s">
        <v>5847</v>
      </c>
      <c r="L3408" s="102" t="str">
        <f>AA265</f>
        <v>J1a2a1a2d2b2b2c4d2a2a1a1a1c~</v>
      </c>
      <c r="M3408" s="102"/>
      <c r="N3408" s="102"/>
      <c r="O3408" s="105">
        <v>9647980.0</v>
      </c>
      <c r="P3408" s="105">
        <v>9810371.0</v>
      </c>
      <c r="Q3408" s="102" t="s">
        <v>2468</v>
      </c>
      <c r="S3408" s="1"/>
      <c r="T3408" s="1"/>
      <c r="U3408" s="1"/>
      <c r="V3408" s="1"/>
      <c r="W3408" s="1"/>
      <c r="X3408" s="1"/>
      <c r="Y3408" s="1"/>
      <c r="Z3408" s="102"/>
      <c r="AA3408" s="102"/>
      <c r="AB3408" s="1"/>
      <c r="AC3408" s="1"/>
      <c r="AD3408" s="1"/>
      <c r="AE3408" s="1"/>
      <c r="AF3408" s="1"/>
      <c r="AG3408" s="1"/>
    </row>
    <row r="3409" ht="15.75" customHeight="1">
      <c r="A3409" s="1"/>
      <c r="B3409" s="1"/>
      <c r="C3409" s="1"/>
      <c r="D3409" s="1"/>
      <c r="E3409" s="1"/>
      <c r="F3409" s="1"/>
      <c r="G3409" s="1"/>
      <c r="H3409" s="1"/>
      <c r="I3409" s="1"/>
      <c r="J3409" s="1"/>
      <c r="K3409" s="102" t="s">
        <v>5848</v>
      </c>
      <c r="L3409" s="102" t="str">
        <f>AA265</f>
        <v>J1a2a1a2d2b2b2c4d2a2a1a1a1c~</v>
      </c>
      <c r="M3409" s="102"/>
      <c r="N3409" s="102"/>
      <c r="O3409" s="105">
        <v>1.3682395E7</v>
      </c>
      <c r="P3409" s="105">
        <v>1.1526719E7</v>
      </c>
      <c r="Q3409" s="102" t="s">
        <v>2454</v>
      </c>
      <c r="S3409" s="1"/>
      <c r="T3409" s="1"/>
      <c r="U3409" s="1"/>
      <c r="V3409" s="1"/>
      <c r="W3409" s="1"/>
      <c r="X3409" s="1"/>
      <c r="Y3409" s="1"/>
      <c r="Z3409" s="102"/>
      <c r="AA3409" s="102"/>
      <c r="AB3409" s="1"/>
      <c r="AC3409" s="1"/>
      <c r="AD3409" s="1"/>
      <c r="AE3409" s="1"/>
      <c r="AF3409" s="1"/>
      <c r="AG3409" s="1"/>
    </row>
    <row r="3410" ht="15.75" customHeight="1">
      <c r="A3410" s="1"/>
      <c r="B3410" s="1"/>
      <c r="C3410" s="1"/>
      <c r="D3410" s="1"/>
      <c r="E3410" s="1"/>
      <c r="F3410" s="1"/>
      <c r="G3410" s="1"/>
      <c r="H3410" s="1"/>
      <c r="I3410" s="1"/>
      <c r="J3410" s="1"/>
      <c r="K3410" s="102" t="s">
        <v>5849</v>
      </c>
      <c r="L3410" s="102" t="str">
        <f t="shared" ref="L3410:L3411" si="45">AA265</f>
        <v>J1a2a1a2d2b2b2c4d2a2a1a1a1c~</v>
      </c>
      <c r="M3410" s="102"/>
      <c r="N3410" s="102"/>
      <c r="O3410" s="105">
        <v>2.2025483E7</v>
      </c>
      <c r="P3410" s="105">
        <v>1.9863597E7</v>
      </c>
      <c r="Q3410" s="102" t="s">
        <v>2529</v>
      </c>
      <c r="S3410" s="1"/>
      <c r="T3410" s="1"/>
      <c r="U3410" s="1"/>
      <c r="V3410" s="1"/>
      <c r="W3410" s="1"/>
      <c r="X3410" s="1"/>
      <c r="Y3410" s="1"/>
      <c r="Z3410" s="102"/>
      <c r="AA3410" s="102"/>
      <c r="AB3410" s="1"/>
      <c r="AC3410" s="1"/>
      <c r="AD3410" s="1"/>
      <c r="AE3410" s="1"/>
      <c r="AF3410" s="1"/>
      <c r="AG3410" s="1"/>
    </row>
    <row r="3411" ht="15.75" customHeight="1">
      <c r="A3411" s="1"/>
      <c r="B3411" s="1"/>
      <c r="C3411" s="1"/>
      <c r="D3411" s="1"/>
      <c r="E3411" s="1"/>
      <c r="F3411" s="1"/>
      <c r="G3411" s="1"/>
      <c r="H3411" s="1"/>
      <c r="I3411" s="1"/>
      <c r="J3411" s="1"/>
      <c r="K3411" s="102" t="s">
        <v>5850</v>
      </c>
      <c r="L3411" s="102" t="str">
        <f t="shared" si="45"/>
        <v>J1a2a1a2d2b2b2c4d2a2a1a1a1d~</v>
      </c>
      <c r="M3411" s="102" t="s">
        <v>5851</v>
      </c>
      <c r="N3411" s="102"/>
      <c r="O3411" s="105">
        <v>2.3141907E7</v>
      </c>
      <c r="P3411" s="105">
        <v>2.0980021E7</v>
      </c>
      <c r="Q3411" s="102" t="s">
        <v>2529</v>
      </c>
      <c r="S3411" s="1"/>
      <c r="T3411" s="1"/>
      <c r="U3411" s="1"/>
      <c r="V3411" s="1"/>
      <c r="W3411" s="1"/>
      <c r="X3411" s="1"/>
      <c r="Y3411" s="1"/>
      <c r="Z3411" s="102"/>
      <c r="AA3411" s="102"/>
      <c r="AB3411" s="1"/>
      <c r="AC3411" s="1"/>
      <c r="AD3411" s="1"/>
      <c r="AE3411" s="1"/>
      <c r="AF3411" s="1"/>
      <c r="AG3411" s="1"/>
    </row>
    <row r="3412" ht="15.75" customHeight="1">
      <c r="A3412" s="1"/>
      <c r="B3412" s="1"/>
      <c r="C3412" s="1"/>
      <c r="D3412" s="1"/>
      <c r="E3412" s="1"/>
      <c r="F3412" s="1"/>
      <c r="G3412" s="1"/>
      <c r="H3412" s="1"/>
      <c r="I3412" s="1"/>
      <c r="J3412" s="1"/>
      <c r="K3412" s="102" t="s">
        <v>5851</v>
      </c>
      <c r="L3412" s="102" t="str">
        <f>AA266</f>
        <v>J1a2a1a2d2b2b2c4d2a2a1a1a1d~</v>
      </c>
      <c r="M3412" s="102" t="s">
        <v>5850</v>
      </c>
      <c r="N3412" s="102"/>
      <c r="O3412" s="105">
        <v>2.3141907E7</v>
      </c>
      <c r="P3412" s="105">
        <v>2.0980021E7</v>
      </c>
      <c r="Q3412" s="102" t="s">
        <v>2529</v>
      </c>
      <c r="S3412" s="1"/>
      <c r="T3412" s="1"/>
      <c r="U3412" s="1"/>
      <c r="V3412" s="1"/>
      <c r="W3412" s="1"/>
      <c r="X3412" s="1"/>
      <c r="Y3412" s="1"/>
      <c r="Z3412" s="102"/>
      <c r="AA3412" s="102"/>
      <c r="AB3412" s="1"/>
      <c r="AC3412" s="1"/>
      <c r="AD3412" s="1"/>
      <c r="AE3412" s="1"/>
      <c r="AF3412" s="1"/>
      <c r="AG3412" s="1"/>
    </row>
    <row r="3413" ht="15.75" customHeight="1">
      <c r="A3413" s="1"/>
      <c r="B3413" s="1"/>
      <c r="C3413" s="1"/>
      <c r="D3413" s="1"/>
      <c r="E3413" s="1"/>
      <c r="F3413" s="1"/>
      <c r="G3413" s="1"/>
      <c r="H3413" s="1"/>
      <c r="I3413" s="1"/>
      <c r="J3413" s="1"/>
      <c r="K3413" s="102" t="s">
        <v>503</v>
      </c>
      <c r="L3413" s="102" t="str">
        <f t="shared" ref="L3413:L3414" si="46">W267</f>
        <v>J1a2a1a2d2b2b2c4d2a2a1b~</v>
      </c>
      <c r="M3413" s="102"/>
      <c r="N3413" s="102"/>
      <c r="O3413" s="105">
        <v>2.2751358E7</v>
      </c>
      <c r="P3413" s="105">
        <v>2.0589472E7</v>
      </c>
      <c r="Q3413" s="102" t="s">
        <v>2529</v>
      </c>
      <c r="S3413" s="1"/>
      <c r="T3413" s="1"/>
      <c r="U3413" s="1"/>
      <c r="V3413" s="1"/>
      <c r="W3413" s="1"/>
      <c r="X3413" s="1"/>
      <c r="Y3413" s="1"/>
      <c r="Z3413" s="102"/>
      <c r="AA3413" s="102"/>
      <c r="AB3413" s="1"/>
      <c r="AC3413" s="1"/>
      <c r="AD3413" s="1"/>
      <c r="AE3413" s="1"/>
      <c r="AF3413" s="1"/>
      <c r="AG3413" s="1"/>
    </row>
    <row r="3414" ht="15.75" customHeight="1">
      <c r="A3414" s="1"/>
      <c r="B3414" s="1"/>
      <c r="C3414" s="1"/>
      <c r="D3414" s="1"/>
      <c r="E3414" s="1"/>
      <c r="F3414" s="1"/>
      <c r="G3414" s="1"/>
      <c r="H3414" s="1"/>
      <c r="I3414" s="1"/>
      <c r="J3414" s="1"/>
      <c r="K3414" s="102" t="s">
        <v>5852</v>
      </c>
      <c r="L3414" s="102" t="str">
        <f t="shared" si="46"/>
        <v>J1a2a1a2d2b2b2c4d2a2a1c~</v>
      </c>
      <c r="M3414" s="102"/>
      <c r="N3414" s="102"/>
      <c r="O3414" s="105">
        <v>6668467.0</v>
      </c>
      <c r="P3414" s="105">
        <v>6800426.0</v>
      </c>
      <c r="Q3414" s="102" t="s">
        <v>2529</v>
      </c>
      <c r="S3414" s="1"/>
      <c r="T3414" s="1"/>
      <c r="U3414" s="1"/>
      <c r="V3414" s="1"/>
      <c r="W3414" s="1"/>
      <c r="X3414" s="1"/>
      <c r="Y3414" s="1"/>
      <c r="Z3414" s="102"/>
      <c r="AA3414" s="102"/>
      <c r="AB3414" s="1"/>
      <c r="AC3414" s="1"/>
      <c r="AD3414" s="1"/>
      <c r="AE3414" s="1"/>
      <c r="AF3414" s="1"/>
      <c r="AG3414" s="1"/>
    </row>
    <row r="3415" ht="15.75" customHeight="1">
      <c r="A3415" s="1"/>
      <c r="B3415" s="1"/>
      <c r="C3415" s="1"/>
      <c r="D3415" s="1"/>
      <c r="E3415" s="1"/>
      <c r="F3415" s="1"/>
      <c r="G3415" s="1"/>
      <c r="H3415" s="1"/>
      <c r="I3415" s="1"/>
      <c r="J3415" s="1"/>
      <c r="K3415" s="102" t="s">
        <v>5853</v>
      </c>
      <c r="L3415" s="102" t="str">
        <f>W268</f>
        <v>J1a2a1a2d2b2b2c4d2a2a1c~</v>
      </c>
      <c r="M3415" s="102"/>
      <c r="N3415" s="102"/>
      <c r="O3415" s="105">
        <v>8655848.0</v>
      </c>
      <c r="P3415" s="105">
        <v>8787807.0</v>
      </c>
      <c r="Q3415" s="102" t="s">
        <v>2501</v>
      </c>
      <c r="S3415" s="1"/>
      <c r="T3415" s="1"/>
      <c r="U3415" s="1"/>
      <c r="V3415" s="1"/>
      <c r="W3415" s="1"/>
      <c r="X3415" s="1"/>
      <c r="Y3415" s="1"/>
      <c r="Z3415" s="102"/>
      <c r="AA3415" s="102"/>
      <c r="AB3415" s="1"/>
      <c r="AC3415" s="1"/>
      <c r="AD3415" s="1"/>
      <c r="AE3415" s="1"/>
      <c r="AF3415" s="1"/>
      <c r="AG3415" s="1"/>
    </row>
    <row r="3416" ht="15.75" customHeight="1">
      <c r="A3416" s="1"/>
      <c r="B3416" s="1"/>
      <c r="C3416" s="1"/>
      <c r="D3416" s="1"/>
      <c r="E3416" s="1"/>
      <c r="F3416" s="1"/>
      <c r="G3416" s="1"/>
      <c r="H3416" s="1"/>
      <c r="I3416" s="1"/>
      <c r="J3416" s="1"/>
      <c r="K3416" s="102" t="s">
        <v>5854</v>
      </c>
      <c r="L3416" s="102" t="str">
        <f>W268</f>
        <v>J1a2a1a2d2b2b2c4d2a2a1c~</v>
      </c>
      <c r="M3416" s="102"/>
      <c r="N3416" s="102"/>
      <c r="O3416" s="105">
        <v>1.4045994E7</v>
      </c>
      <c r="P3416" s="105">
        <v>1.1925288E7</v>
      </c>
      <c r="Q3416" s="102" t="s">
        <v>2468</v>
      </c>
      <c r="S3416" s="1"/>
      <c r="T3416" s="1"/>
      <c r="U3416" s="1"/>
      <c r="V3416" s="1"/>
      <c r="W3416" s="1"/>
      <c r="X3416" s="1"/>
      <c r="Y3416" s="1"/>
      <c r="Z3416" s="102"/>
      <c r="AA3416" s="102"/>
      <c r="AB3416" s="1"/>
      <c r="AC3416" s="1"/>
      <c r="AD3416" s="1"/>
      <c r="AE3416" s="1"/>
      <c r="AF3416" s="1"/>
      <c r="AG3416" s="1"/>
    </row>
    <row r="3417" ht="15.75" customHeight="1">
      <c r="A3417" s="1"/>
      <c r="B3417" s="1"/>
      <c r="C3417" s="1"/>
      <c r="D3417" s="1"/>
      <c r="E3417" s="1"/>
      <c r="F3417" s="1"/>
      <c r="G3417" s="1"/>
      <c r="H3417" s="1"/>
      <c r="I3417" s="1"/>
      <c r="J3417" s="1"/>
      <c r="K3417" s="102" t="s">
        <v>5855</v>
      </c>
      <c r="L3417" s="102" t="str">
        <f>W268</f>
        <v>J1a2a1a2d2b2b2c4d2a2a1c~</v>
      </c>
      <c r="M3417" s="102"/>
      <c r="N3417" s="102"/>
      <c r="O3417" s="105">
        <v>1.4276636E7</v>
      </c>
      <c r="P3417" s="105">
        <v>1.215593E7</v>
      </c>
      <c r="Q3417" s="102" t="s">
        <v>2439</v>
      </c>
      <c r="S3417" s="1"/>
      <c r="T3417" s="1"/>
      <c r="U3417" s="1"/>
      <c r="V3417" s="1"/>
      <c r="W3417" s="1"/>
      <c r="X3417" s="1"/>
      <c r="Y3417" s="1"/>
      <c r="Z3417" s="102"/>
      <c r="AA3417" s="102"/>
      <c r="AB3417" s="1"/>
      <c r="AC3417" s="1"/>
      <c r="AD3417" s="1"/>
      <c r="AE3417" s="1"/>
      <c r="AF3417" s="1"/>
      <c r="AG3417" s="1"/>
    </row>
    <row r="3418" ht="15.75" customHeight="1">
      <c r="A3418" s="1"/>
      <c r="B3418" s="1"/>
      <c r="C3418" s="1"/>
      <c r="D3418" s="1"/>
      <c r="E3418" s="1"/>
      <c r="F3418" s="1"/>
      <c r="G3418" s="1"/>
      <c r="H3418" s="1"/>
      <c r="I3418" s="1"/>
      <c r="J3418" s="1"/>
      <c r="K3418" s="102" t="s">
        <v>5856</v>
      </c>
      <c r="L3418" s="102" t="str">
        <f>W268</f>
        <v>J1a2a1a2d2b2b2c4d2a2a1c~</v>
      </c>
      <c r="M3418" s="102"/>
      <c r="N3418" s="102"/>
      <c r="O3418" s="105">
        <v>1.6219055E7</v>
      </c>
      <c r="P3418" s="105">
        <v>1.4107175E7</v>
      </c>
      <c r="Q3418" s="102" t="s">
        <v>2468</v>
      </c>
      <c r="S3418" s="1"/>
      <c r="T3418" s="1"/>
      <c r="U3418" s="1"/>
      <c r="V3418" s="1"/>
      <c r="W3418" s="1"/>
      <c r="X3418" s="1"/>
      <c r="Y3418" s="1"/>
      <c r="Z3418" s="102"/>
      <c r="AA3418" s="102"/>
      <c r="AB3418" s="1"/>
      <c r="AC3418" s="1"/>
      <c r="AD3418" s="1"/>
      <c r="AE3418" s="1"/>
      <c r="AF3418" s="1"/>
      <c r="AG3418" s="1"/>
    </row>
    <row r="3419" ht="15.75" customHeight="1">
      <c r="A3419" s="1"/>
      <c r="B3419" s="1"/>
      <c r="C3419" s="1"/>
      <c r="D3419" s="1"/>
      <c r="E3419" s="1"/>
      <c r="F3419" s="1"/>
      <c r="G3419" s="1"/>
      <c r="H3419" s="1"/>
      <c r="I3419" s="1"/>
      <c r="J3419" s="1"/>
      <c r="K3419" s="102" t="s">
        <v>5857</v>
      </c>
      <c r="L3419" s="102" t="str">
        <f>W268</f>
        <v>J1a2a1a2d2b2b2c4d2a2a1c~</v>
      </c>
      <c r="M3419" s="102"/>
      <c r="N3419" s="102"/>
      <c r="O3419" s="105">
        <v>1.8931626E7</v>
      </c>
      <c r="P3419" s="105">
        <v>1.6819746E7</v>
      </c>
      <c r="Q3419" s="102" t="s">
        <v>2529</v>
      </c>
      <c r="S3419" s="1"/>
      <c r="T3419" s="1"/>
      <c r="U3419" s="1"/>
      <c r="V3419" s="1"/>
      <c r="W3419" s="1"/>
      <c r="X3419" s="1"/>
      <c r="Y3419" s="1"/>
      <c r="Z3419" s="102"/>
      <c r="AA3419" s="102"/>
      <c r="AB3419" s="1"/>
      <c r="AC3419" s="1"/>
      <c r="AD3419" s="1"/>
      <c r="AE3419" s="1"/>
      <c r="AF3419" s="1"/>
      <c r="AG3419" s="1"/>
    </row>
    <row r="3420" ht="15.75" customHeight="1">
      <c r="A3420" s="1"/>
      <c r="B3420" s="1"/>
      <c r="C3420" s="1"/>
      <c r="D3420" s="1"/>
      <c r="E3420" s="1"/>
      <c r="F3420" s="1"/>
      <c r="G3420" s="1"/>
      <c r="H3420" s="1"/>
      <c r="I3420" s="1"/>
      <c r="J3420" s="1"/>
      <c r="K3420" s="102" t="s">
        <v>5858</v>
      </c>
      <c r="L3420" s="102" t="str">
        <f>W268</f>
        <v>J1a2a1a2d2b2b2c4d2a2a1c~</v>
      </c>
      <c r="M3420" s="102"/>
      <c r="N3420" s="102"/>
      <c r="O3420" s="105">
        <v>1.9136806E7</v>
      </c>
      <c r="P3420" s="105">
        <v>1.7024926E7</v>
      </c>
      <c r="Q3420" s="102" t="s">
        <v>2439</v>
      </c>
      <c r="S3420" s="1"/>
      <c r="T3420" s="1"/>
      <c r="U3420" s="1"/>
      <c r="V3420" s="1"/>
      <c r="W3420" s="1"/>
      <c r="X3420" s="1"/>
      <c r="Y3420" s="1"/>
      <c r="Z3420" s="102"/>
      <c r="AA3420" s="102"/>
      <c r="AB3420" s="1"/>
      <c r="AC3420" s="1"/>
      <c r="AD3420" s="1"/>
      <c r="AE3420" s="1"/>
      <c r="AF3420" s="1"/>
      <c r="AG3420" s="1"/>
    </row>
    <row r="3421" ht="15.75" customHeight="1">
      <c r="A3421" s="1"/>
      <c r="B3421" s="1"/>
      <c r="C3421" s="1"/>
      <c r="D3421" s="1"/>
      <c r="E3421" s="1"/>
      <c r="F3421" s="1"/>
      <c r="G3421" s="1"/>
      <c r="H3421" s="1"/>
      <c r="I3421" s="1"/>
      <c r="J3421" s="1"/>
      <c r="K3421" s="102" t="s">
        <v>5859</v>
      </c>
      <c r="L3421" s="102" t="str">
        <f>W268</f>
        <v>J1a2a1a2d2b2b2c4d2a2a1c~</v>
      </c>
      <c r="M3421" s="102"/>
      <c r="N3421" s="102"/>
      <c r="O3421" s="105">
        <v>2.1282923E7</v>
      </c>
      <c r="P3421" s="105">
        <v>1.9121037E7</v>
      </c>
      <c r="Q3421" s="102" t="s">
        <v>2439</v>
      </c>
      <c r="S3421" s="1"/>
      <c r="T3421" s="1"/>
      <c r="U3421" s="1"/>
      <c r="V3421" s="1"/>
      <c r="W3421" s="1"/>
      <c r="X3421" s="1"/>
      <c r="Y3421" s="1"/>
      <c r="Z3421" s="102"/>
      <c r="AA3421" s="102"/>
      <c r="AB3421" s="1"/>
      <c r="AC3421" s="1"/>
      <c r="AD3421" s="1"/>
      <c r="AE3421" s="1"/>
      <c r="AF3421" s="1"/>
      <c r="AG3421" s="1"/>
    </row>
    <row r="3422" ht="15.75" customHeight="1">
      <c r="A3422" s="1"/>
      <c r="B3422" s="1"/>
      <c r="C3422" s="1"/>
      <c r="D3422" s="1"/>
      <c r="E3422" s="1"/>
      <c r="F3422" s="1"/>
      <c r="G3422" s="1"/>
      <c r="H3422" s="1"/>
      <c r="I3422" s="1"/>
      <c r="J3422" s="1"/>
      <c r="K3422" s="102" t="s">
        <v>5860</v>
      </c>
      <c r="L3422" s="102" t="str">
        <f>W268</f>
        <v>J1a2a1a2d2b2b2c4d2a2a1c~</v>
      </c>
      <c r="M3422" s="102"/>
      <c r="N3422" s="102"/>
      <c r="O3422" s="105">
        <v>2.149444E7</v>
      </c>
      <c r="P3422" s="105">
        <v>1.9332554E7</v>
      </c>
      <c r="Q3422" s="102" t="s">
        <v>2501</v>
      </c>
      <c r="S3422" s="1"/>
      <c r="T3422" s="1"/>
      <c r="U3422" s="1"/>
      <c r="V3422" s="1"/>
      <c r="W3422" s="1"/>
      <c r="X3422" s="1"/>
      <c r="Y3422" s="1"/>
      <c r="Z3422" s="102"/>
      <c r="AA3422" s="102"/>
      <c r="AB3422" s="1"/>
      <c r="AC3422" s="1"/>
      <c r="AD3422" s="1"/>
      <c r="AE3422" s="1"/>
      <c r="AF3422" s="1"/>
      <c r="AG3422" s="1"/>
    </row>
    <row r="3423" ht="15.75" customHeight="1">
      <c r="A3423" s="1"/>
      <c r="B3423" s="1"/>
      <c r="C3423" s="1"/>
      <c r="D3423" s="1"/>
      <c r="E3423" s="1"/>
      <c r="F3423" s="1"/>
      <c r="G3423" s="1"/>
      <c r="H3423" s="1"/>
      <c r="I3423" s="1"/>
      <c r="J3423" s="1"/>
      <c r="K3423" s="102" t="s">
        <v>5861</v>
      </c>
      <c r="L3423" s="102" t="str">
        <f>W268</f>
        <v>J1a2a1a2d2b2b2c4d2a2a1c~</v>
      </c>
      <c r="M3423" s="102"/>
      <c r="N3423" s="102"/>
      <c r="O3423" s="105">
        <v>2.1527385E7</v>
      </c>
      <c r="P3423" s="105">
        <v>1.9365499E7</v>
      </c>
      <c r="Q3423" s="102" t="s">
        <v>2563</v>
      </c>
      <c r="S3423" s="1"/>
      <c r="T3423" s="1"/>
      <c r="U3423" s="1"/>
      <c r="V3423" s="1"/>
      <c r="W3423" s="1"/>
      <c r="X3423" s="1"/>
      <c r="Y3423" s="1"/>
      <c r="Z3423" s="102"/>
      <c r="AA3423" s="102"/>
      <c r="AB3423" s="1"/>
      <c r="AC3423" s="1"/>
      <c r="AD3423" s="1"/>
      <c r="AE3423" s="1"/>
      <c r="AF3423" s="1"/>
      <c r="AG3423" s="1"/>
    </row>
    <row r="3424" ht="15.75" customHeight="1">
      <c r="A3424" s="1"/>
      <c r="B3424" s="1"/>
      <c r="C3424" s="1"/>
      <c r="D3424" s="1"/>
      <c r="E3424" s="1"/>
      <c r="F3424" s="1"/>
      <c r="G3424" s="1"/>
      <c r="H3424" s="1"/>
      <c r="I3424" s="1"/>
      <c r="J3424" s="1"/>
      <c r="K3424" s="102" t="s">
        <v>5862</v>
      </c>
      <c r="L3424" s="102" t="str">
        <f>W268</f>
        <v>J1a2a1a2d2b2b2c4d2a2a1c~</v>
      </c>
      <c r="M3424" s="102"/>
      <c r="N3424" s="102"/>
      <c r="O3424" s="105">
        <v>2.1676307E7</v>
      </c>
      <c r="P3424" s="105">
        <v>1.9514421E7</v>
      </c>
      <c r="Q3424" s="102" t="s">
        <v>2533</v>
      </c>
      <c r="S3424" s="1"/>
      <c r="T3424" s="1"/>
      <c r="U3424" s="1"/>
      <c r="V3424" s="1"/>
      <c r="W3424" s="1"/>
      <c r="X3424" s="1"/>
      <c r="Y3424" s="1"/>
      <c r="Z3424" s="102"/>
      <c r="AA3424" s="102"/>
      <c r="AB3424" s="1"/>
      <c r="AC3424" s="1"/>
      <c r="AD3424" s="1"/>
      <c r="AE3424" s="1"/>
      <c r="AF3424" s="1"/>
      <c r="AG3424" s="1"/>
    </row>
    <row r="3425" ht="15.75" customHeight="1">
      <c r="A3425" s="1"/>
      <c r="B3425" s="1"/>
      <c r="C3425" s="1"/>
      <c r="D3425" s="1"/>
      <c r="E3425" s="1"/>
      <c r="F3425" s="1"/>
      <c r="G3425" s="1"/>
      <c r="H3425" s="1"/>
      <c r="I3425" s="1"/>
      <c r="J3425" s="1"/>
      <c r="K3425" s="102" t="s">
        <v>5863</v>
      </c>
      <c r="L3425" s="102" t="str">
        <f>W268</f>
        <v>J1a2a1a2d2b2b2c4d2a2a1c~</v>
      </c>
      <c r="M3425" s="102"/>
      <c r="N3425" s="102" t="s">
        <v>5864</v>
      </c>
      <c r="O3425" s="105">
        <v>2.1897487E7</v>
      </c>
      <c r="P3425" s="105">
        <v>1.9735601E7</v>
      </c>
      <c r="Q3425" s="102" t="s">
        <v>2468</v>
      </c>
      <c r="S3425" s="1"/>
      <c r="T3425" s="1"/>
      <c r="U3425" s="1"/>
      <c r="V3425" s="1"/>
      <c r="W3425" s="1"/>
      <c r="X3425" s="1"/>
      <c r="Y3425" s="1"/>
      <c r="Z3425" s="102"/>
      <c r="AA3425" s="102"/>
      <c r="AB3425" s="1"/>
      <c r="AC3425" s="1"/>
      <c r="AD3425" s="1"/>
      <c r="AE3425" s="1"/>
      <c r="AF3425" s="1"/>
      <c r="AG3425" s="1"/>
    </row>
    <row r="3426" ht="15.75" customHeight="1">
      <c r="A3426" s="1"/>
      <c r="B3426" s="1"/>
      <c r="C3426" s="1"/>
      <c r="D3426" s="1"/>
      <c r="E3426" s="1"/>
      <c r="F3426" s="1"/>
      <c r="G3426" s="1"/>
      <c r="H3426" s="1"/>
      <c r="I3426" s="1"/>
      <c r="J3426" s="1"/>
      <c r="K3426" s="102" t="s">
        <v>5865</v>
      </c>
      <c r="L3426" s="102" t="str">
        <f>W268</f>
        <v>J1a2a1a2d2b2b2c4d2a2a1c~</v>
      </c>
      <c r="M3426" s="102"/>
      <c r="N3426" s="102"/>
      <c r="O3426" s="105">
        <v>2.2726106E7</v>
      </c>
      <c r="P3426" s="105">
        <v>2.056422E7</v>
      </c>
      <c r="Q3426" s="102" t="s">
        <v>2439</v>
      </c>
      <c r="S3426" s="1"/>
      <c r="T3426" s="1"/>
      <c r="U3426" s="1"/>
      <c r="V3426" s="1"/>
      <c r="W3426" s="1"/>
      <c r="X3426" s="1"/>
      <c r="Y3426" s="1"/>
      <c r="Z3426" s="102"/>
      <c r="AA3426" s="102"/>
      <c r="AB3426" s="1"/>
      <c r="AC3426" s="1"/>
      <c r="AD3426" s="1"/>
      <c r="AE3426" s="1"/>
      <c r="AF3426" s="1"/>
      <c r="AG3426" s="1"/>
    </row>
    <row r="3427" ht="15.75" customHeight="1">
      <c r="A3427" s="1"/>
      <c r="B3427" s="1"/>
      <c r="C3427" s="1"/>
      <c r="D3427" s="1"/>
      <c r="E3427" s="1"/>
      <c r="F3427" s="1"/>
      <c r="G3427" s="1"/>
      <c r="H3427" s="1"/>
      <c r="I3427" s="1"/>
      <c r="J3427" s="1"/>
      <c r="K3427" s="102" t="s">
        <v>5866</v>
      </c>
      <c r="L3427" s="102" t="str">
        <f>W268</f>
        <v>J1a2a1a2d2b2b2c4d2a2a1c~</v>
      </c>
      <c r="M3427" s="102"/>
      <c r="N3427" s="102"/>
      <c r="O3427" s="105">
        <v>2.312216E7</v>
      </c>
      <c r="P3427" s="105">
        <v>2.0960274E7</v>
      </c>
      <c r="Q3427" s="102" t="s">
        <v>2514</v>
      </c>
      <c r="S3427" s="1"/>
      <c r="T3427" s="1"/>
      <c r="U3427" s="1"/>
      <c r="V3427" s="1"/>
      <c r="W3427" s="1"/>
      <c r="X3427" s="1"/>
      <c r="Y3427" s="1"/>
      <c r="Z3427" s="102"/>
      <c r="AA3427" s="102"/>
      <c r="AB3427" s="1"/>
      <c r="AC3427" s="1"/>
      <c r="AD3427" s="1"/>
      <c r="AE3427" s="1"/>
      <c r="AF3427" s="1"/>
      <c r="AG3427" s="1"/>
    </row>
    <row r="3428" ht="15.75" customHeight="1">
      <c r="A3428" s="1"/>
      <c r="B3428" s="1"/>
      <c r="C3428" s="1"/>
      <c r="D3428" s="1"/>
      <c r="E3428" s="1"/>
      <c r="F3428" s="1"/>
      <c r="G3428" s="1"/>
      <c r="H3428" s="1"/>
      <c r="I3428" s="1"/>
      <c r="J3428" s="1"/>
      <c r="K3428" s="102" t="s">
        <v>5867</v>
      </c>
      <c r="L3428" s="102" t="str">
        <f>W268</f>
        <v>J1a2a1a2d2b2b2c4d2a2a1c~</v>
      </c>
      <c r="M3428" s="102"/>
      <c r="N3428" s="102"/>
      <c r="O3428" s="105">
        <v>2.3532839E7</v>
      </c>
      <c r="P3428" s="105">
        <v>2.1370953E7</v>
      </c>
      <c r="Q3428" s="102" t="s">
        <v>2468</v>
      </c>
      <c r="S3428" s="1"/>
      <c r="T3428" s="1"/>
      <c r="U3428" s="1"/>
      <c r="V3428" s="1"/>
      <c r="W3428" s="1"/>
      <c r="X3428" s="1"/>
      <c r="Y3428" s="1"/>
      <c r="Z3428" s="102"/>
      <c r="AA3428" s="102"/>
      <c r="AB3428" s="1"/>
      <c r="AC3428" s="1"/>
      <c r="AD3428" s="1"/>
      <c r="AE3428" s="1"/>
      <c r="AF3428" s="1"/>
      <c r="AG3428" s="1"/>
    </row>
    <row r="3429" ht="15.75" customHeight="1">
      <c r="A3429" s="1"/>
      <c r="B3429" s="1"/>
      <c r="C3429" s="1"/>
      <c r="D3429" s="1"/>
      <c r="E3429" s="1"/>
      <c r="F3429" s="1"/>
      <c r="G3429" s="1"/>
      <c r="H3429" s="1"/>
      <c r="I3429" s="1"/>
      <c r="J3429" s="1"/>
      <c r="K3429" s="102" t="s">
        <v>5868</v>
      </c>
      <c r="L3429" s="102" t="str">
        <f>W268</f>
        <v>J1a2a1a2d2b2b2c4d2a2a1c~</v>
      </c>
      <c r="M3429" s="102"/>
      <c r="N3429" s="102"/>
      <c r="O3429" s="105">
        <v>2.44398E7</v>
      </c>
      <c r="P3429" s="105">
        <v>2.2293653E7</v>
      </c>
      <c r="Q3429" s="102" t="s">
        <v>2439</v>
      </c>
      <c r="S3429" s="1"/>
      <c r="T3429" s="1"/>
      <c r="U3429" s="1"/>
      <c r="V3429" s="1"/>
      <c r="W3429" s="1"/>
      <c r="X3429" s="1"/>
      <c r="Y3429" s="1"/>
      <c r="Z3429" s="102"/>
      <c r="AA3429" s="102"/>
      <c r="AB3429" s="1"/>
      <c r="AC3429" s="1"/>
      <c r="AD3429" s="1"/>
      <c r="AE3429" s="1"/>
      <c r="AF3429" s="1"/>
      <c r="AG3429" s="1"/>
    </row>
    <row r="3430" ht="15.75" customHeight="1">
      <c r="A3430" s="1"/>
      <c r="B3430" s="1"/>
      <c r="C3430" s="1"/>
      <c r="D3430" s="1"/>
      <c r="E3430" s="1"/>
      <c r="F3430" s="1"/>
      <c r="G3430" s="1"/>
      <c r="H3430" s="1"/>
      <c r="I3430" s="1"/>
      <c r="J3430" s="1"/>
      <c r="K3430" s="102" t="s">
        <v>507</v>
      </c>
      <c r="L3430" s="102" t="str">
        <f>X269</f>
        <v>J1a2a1a2d2b2b2c4d2a2a1c1~</v>
      </c>
      <c r="M3430" s="102"/>
      <c r="N3430" s="102" t="s">
        <v>5869</v>
      </c>
      <c r="O3430" s="105">
        <v>9941920.0</v>
      </c>
      <c r="P3430" s="105">
        <v>1.0104311E7</v>
      </c>
      <c r="Q3430" s="102" t="s">
        <v>2468</v>
      </c>
      <c r="S3430" s="1"/>
      <c r="T3430" s="1"/>
      <c r="U3430" s="1"/>
      <c r="V3430" s="1"/>
      <c r="W3430" s="1"/>
      <c r="X3430" s="1"/>
      <c r="Y3430" s="1"/>
      <c r="Z3430" s="102"/>
      <c r="AA3430" s="102"/>
      <c r="AB3430" s="1"/>
      <c r="AC3430" s="1"/>
      <c r="AD3430" s="1"/>
      <c r="AE3430" s="1"/>
      <c r="AF3430" s="1"/>
      <c r="AG3430" s="1"/>
    </row>
    <row r="3431" ht="15.75" customHeight="1">
      <c r="A3431" s="1"/>
      <c r="B3431" s="1"/>
      <c r="C3431" s="1"/>
      <c r="D3431" s="1"/>
      <c r="E3431" s="1"/>
      <c r="F3431" s="1"/>
      <c r="G3431" s="1"/>
      <c r="H3431" s="1"/>
      <c r="I3431" s="1"/>
      <c r="J3431" s="1"/>
      <c r="K3431" s="102" t="s">
        <v>5870</v>
      </c>
      <c r="L3431" s="102" t="str">
        <f>V270</f>
        <v>J1a2a1a2d2b2b2c4d2a2a2~</v>
      </c>
      <c r="M3431" s="102"/>
      <c r="N3431" s="102"/>
      <c r="O3431" s="105">
        <v>9903047.0</v>
      </c>
      <c r="P3431" s="105">
        <v>1.0065438E7</v>
      </c>
      <c r="Q3431" s="102" t="s">
        <v>2501</v>
      </c>
      <c r="S3431" s="1"/>
      <c r="T3431" s="1"/>
      <c r="U3431" s="1"/>
      <c r="V3431" s="1"/>
      <c r="W3431" s="1"/>
      <c r="X3431" s="1"/>
      <c r="Y3431" s="1"/>
      <c r="Z3431" s="102"/>
      <c r="AA3431" s="102"/>
      <c r="AB3431" s="1"/>
      <c r="AC3431" s="1"/>
      <c r="AD3431" s="1"/>
      <c r="AE3431" s="1"/>
      <c r="AF3431" s="1"/>
      <c r="AG3431" s="1"/>
    </row>
    <row r="3432" ht="15.75" customHeight="1">
      <c r="A3432" s="1"/>
      <c r="B3432" s="1"/>
      <c r="C3432" s="1"/>
      <c r="D3432" s="1"/>
      <c r="E3432" s="1"/>
      <c r="F3432" s="1"/>
      <c r="G3432" s="1"/>
      <c r="H3432" s="1"/>
      <c r="I3432" s="1"/>
      <c r="J3432" s="1"/>
      <c r="K3432" s="102" t="s">
        <v>5871</v>
      </c>
      <c r="L3432" s="102" t="str">
        <f>V270</f>
        <v>J1a2a1a2d2b2b2c4d2a2a2~</v>
      </c>
      <c r="M3432" s="102"/>
      <c r="N3432" s="102"/>
      <c r="O3432" s="105">
        <v>1.8066534E7</v>
      </c>
      <c r="P3432" s="105">
        <v>1.5954654E7</v>
      </c>
      <c r="Q3432" s="102" t="s">
        <v>2501</v>
      </c>
      <c r="S3432" s="1"/>
      <c r="T3432" s="1"/>
      <c r="U3432" s="1"/>
      <c r="V3432" s="1"/>
      <c r="W3432" s="1"/>
      <c r="X3432" s="1"/>
      <c r="Y3432" s="1"/>
      <c r="Z3432" s="102"/>
      <c r="AA3432" s="102"/>
      <c r="AB3432" s="1"/>
      <c r="AC3432" s="1"/>
      <c r="AD3432" s="1"/>
      <c r="AE3432" s="1"/>
      <c r="AF3432" s="1"/>
      <c r="AG3432" s="1"/>
    </row>
    <row r="3433" ht="15.75" customHeight="1">
      <c r="A3433" s="1"/>
      <c r="B3433" s="1"/>
      <c r="C3433" s="1"/>
      <c r="D3433" s="1"/>
      <c r="E3433" s="1"/>
      <c r="F3433" s="1"/>
      <c r="G3433" s="1"/>
      <c r="H3433" s="1"/>
      <c r="I3433" s="1"/>
      <c r="J3433" s="1"/>
      <c r="K3433" s="102" t="s">
        <v>5872</v>
      </c>
      <c r="L3433" s="102" t="str">
        <f>V270</f>
        <v>J1a2a1a2d2b2b2c4d2a2a2~</v>
      </c>
      <c r="M3433" s="102" t="s">
        <v>5873</v>
      </c>
      <c r="N3433" s="102" t="s">
        <v>5874</v>
      </c>
      <c r="O3433" s="105">
        <v>1.8727829E7</v>
      </c>
      <c r="P3433" s="105">
        <v>1.6615949E7</v>
      </c>
      <c r="Q3433" s="102" t="s">
        <v>2501</v>
      </c>
      <c r="S3433" s="1"/>
      <c r="T3433" s="1"/>
      <c r="U3433" s="1"/>
      <c r="V3433" s="1"/>
      <c r="W3433" s="1"/>
      <c r="X3433" s="1"/>
      <c r="Y3433" s="1"/>
      <c r="Z3433" s="102"/>
      <c r="AA3433" s="102"/>
      <c r="AB3433" s="1"/>
      <c r="AC3433" s="1"/>
      <c r="AD3433" s="1"/>
      <c r="AE3433" s="1"/>
      <c r="AF3433" s="1"/>
      <c r="AG3433" s="1"/>
    </row>
    <row r="3434" ht="15.75" customHeight="1">
      <c r="A3434" s="1"/>
      <c r="B3434" s="1"/>
      <c r="C3434" s="1"/>
      <c r="D3434" s="1"/>
      <c r="E3434" s="1"/>
      <c r="F3434" s="1"/>
      <c r="G3434" s="1"/>
      <c r="H3434" s="1"/>
      <c r="I3434" s="1"/>
      <c r="J3434" s="1"/>
      <c r="K3434" s="102" t="s">
        <v>5873</v>
      </c>
      <c r="L3434" s="102" t="str">
        <f>V270</f>
        <v>J1a2a1a2d2b2b2c4d2a2a2~</v>
      </c>
      <c r="M3434" s="102" t="s">
        <v>5872</v>
      </c>
      <c r="N3434" s="102" t="s">
        <v>5874</v>
      </c>
      <c r="O3434" s="105">
        <v>1.8727829E7</v>
      </c>
      <c r="P3434" s="105">
        <v>1.6615949E7</v>
      </c>
      <c r="Q3434" s="102" t="s">
        <v>2501</v>
      </c>
      <c r="S3434" s="1"/>
      <c r="T3434" s="1"/>
      <c r="U3434" s="1"/>
      <c r="V3434" s="1"/>
      <c r="W3434" s="1"/>
      <c r="X3434" s="1"/>
      <c r="Y3434" s="1"/>
      <c r="Z3434" s="102"/>
      <c r="AA3434" s="102"/>
      <c r="AB3434" s="1"/>
      <c r="AC3434" s="1"/>
      <c r="AD3434" s="1"/>
      <c r="AE3434" s="1"/>
      <c r="AF3434" s="1"/>
      <c r="AG3434" s="1"/>
    </row>
    <row r="3435" ht="15.75" customHeight="1">
      <c r="A3435" s="1"/>
      <c r="B3435" s="1"/>
      <c r="C3435" s="1"/>
      <c r="D3435" s="1"/>
      <c r="E3435" s="1"/>
      <c r="F3435" s="1"/>
      <c r="G3435" s="1"/>
      <c r="H3435" s="1"/>
      <c r="I3435" s="1"/>
      <c r="J3435" s="1"/>
      <c r="K3435" s="102" t="s">
        <v>5875</v>
      </c>
      <c r="L3435" s="102" t="str">
        <f>V270</f>
        <v>J1a2a1a2d2b2b2c4d2a2a2~</v>
      </c>
      <c r="M3435" s="102"/>
      <c r="N3435" s="102"/>
      <c r="O3435" s="105">
        <v>1.8415216E7</v>
      </c>
      <c r="P3435" s="105">
        <v>1.6303336E7</v>
      </c>
      <c r="Q3435" s="102" t="s">
        <v>2439</v>
      </c>
      <c r="S3435" s="1"/>
      <c r="T3435" s="1"/>
      <c r="U3435" s="1"/>
      <c r="V3435" s="1"/>
      <c r="W3435" s="1"/>
      <c r="X3435" s="1"/>
      <c r="Y3435" s="1"/>
      <c r="Z3435" s="102"/>
      <c r="AA3435" s="102"/>
      <c r="AB3435" s="1"/>
      <c r="AC3435" s="1"/>
      <c r="AD3435" s="1"/>
      <c r="AE3435" s="1"/>
      <c r="AF3435" s="1"/>
      <c r="AG3435" s="1"/>
    </row>
    <row r="3436" ht="15.75" customHeight="1">
      <c r="A3436" s="1"/>
      <c r="B3436" s="1"/>
      <c r="C3436" s="1"/>
      <c r="D3436" s="1"/>
      <c r="E3436" s="1"/>
      <c r="F3436" s="1"/>
      <c r="G3436" s="1"/>
      <c r="H3436" s="1"/>
      <c r="I3436" s="1"/>
      <c r="J3436" s="1"/>
      <c r="K3436" s="102" t="s">
        <v>5876</v>
      </c>
      <c r="L3436" s="102" t="str">
        <f>V270</f>
        <v>J1a2a1a2d2b2b2c4d2a2a2~</v>
      </c>
      <c r="M3436" s="102"/>
      <c r="N3436" s="102"/>
      <c r="O3436" s="105">
        <v>2.2562211E7</v>
      </c>
      <c r="P3436" s="105">
        <v>2.0400325E7</v>
      </c>
      <c r="Q3436" s="102" t="s">
        <v>2439</v>
      </c>
      <c r="S3436" s="1"/>
      <c r="T3436" s="1"/>
      <c r="U3436" s="1"/>
      <c r="V3436" s="1"/>
      <c r="W3436" s="1"/>
      <c r="X3436" s="1"/>
      <c r="Y3436" s="1"/>
      <c r="Z3436" s="102"/>
      <c r="AA3436" s="102"/>
      <c r="AB3436" s="1"/>
      <c r="AC3436" s="1"/>
      <c r="AD3436" s="1"/>
      <c r="AE3436" s="1"/>
      <c r="AF3436" s="1"/>
      <c r="AG3436" s="1"/>
    </row>
    <row r="3437" ht="15.75" customHeight="1">
      <c r="A3437" s="1"/>
      <c r="B3437" s="1"/>
      <c r="C3437" s="1"/>
      <c r="D3437" s="1"/>
      <c r="E3437" s="1"/>
      <c r="F3437" s="1"/>
      <c r="G3437" s="1"/>
      <c r="H3437" s="1"/>
      <c r="I3437" s="1"/>
      <c r="J3437" s="1"/>
      <c r="K3437" s="102" t="s">
        <v>5877</v>
      </c>
      <c r="L3437" s="102" t="str">
        <f>V270</f>
        <v>J1a2a1a2d2b2b2c4d2a2a2~</v>
      </c>
      <c r="M3437" s="102"/>
      <c r="N3437" s="102"/>
      <c r="O3437" s="105">
        <v>2892435.0</v>
      </c>
      <c r="P3437" s="105">
        <v>3024394.0</v>
      </c>
      <c r="Q3437" s="102" t="s">
        <v>2576</v>
      </c>
      <c r="S3437" s="1"/>
      <c r="T3437" s="1"/>
      <c r="U3437" s="1"/>
      <c r="V3437" s="1"/>
      <c r="W3437" s="1"/>
      <c r="X3437" s="1"/>
      <c r="Y3437" s="1"/>
      <c r="Z3437" s="102"/>
      <c r="AA3437" s="102"/>
      <c r="AB3437" s="1"/>
      <c r="AC3437" s="1"/>
      <c r="AD3437" s="1"/>
      <c r="AE3437" s="1"/>
      <c r="AF3437" s="1"/>
      <c r="AG3437" s="1"/>
    </row>
    <row r="3438" ht="15.75" customHeight="1">
      <c r="A3438" s="1"/>
      <c r="B3438" s="1"/>
      <c r="C3438" s="1"/>
      <c r="D3438" s="1"/>
      <c r="E3438" s="1"/>
      <c r="F3438" s="1"/>
      <c r="G3438" s="1"/>
      <c r="H3438" s="1"/>
      <c r="I3438" s="1"/>
      <c r="J3438" s="1"/>
      <c r="K3438" s="102" t="s">
        <v>5878</v>
      </c>
      <c r="L3438" s="102" t="str">
        <f>V270</f>
        <v>J1a2a1a2d2b2b2c4d2a2a2~</v>
      </c>
      <c r="M3438" s="102"/>
      <c r="N3438" s="102"/>
      <c r="O3438" s="105">
        <v>8879761.0</v>
      </c>
      <c r="P3438" s="105">
        <v>9011720.0</v>
      </c>
      <c r="Q3438" s="102" t="s">
        <v>2468</v>
      </c>
      <c r="S3438" s="1"/>
      <c r="T3438" s="1"/>
      <c r="U3438" s="1"/>
      <c r="V3438" s="1"/>
      <c r="W3438" s="1"/>
      <c r="X3438" s="1"/>
      <c r="Y3438" s="1"/>
      <c r="Z3438" s="102"/>
      <c r="AA3438" s="102"/>
      <c r="AB3438" s="1"/>
      <c r="AC3438" s="1"/>
      <c r="AD3438" s="1"/>
      <c r="AE3438" s="1"/>
      <c r="AF3438" s="1"/>
      <c r="AG3438" s="1"/>
    </row>
    <row r="3439" ht="15.75" customHeight="1">
      <c r="A3439" s="1"/>
      <c r="B3439" s="1"/>
      <c r="C3439" s="1"/>
      <c r="D3439" s="1"/>
      <c r="E3439" s="1"/>
      <c r="F3439" s="1"/>
      <c r="G3439" s="1"/>
      <c r="H3439" s="1"/>
      <c r="I3439" s="1"/>
      <c r="J3439" s="1"/>
      <c r="K3439" s="102" t="s">
        <v>5879</v>
      </c>
      <c r="L3439" s="102" t="str">
        <f>V270</f>
        <v>J1a2a1a2d2b2b2c4d2a2a2~</v>
      </c>
      <c r="M3439" s="102"/>
      <c r="N3439" s="102"/>
      <c r="O3439" s="105">
        <v>1.5064816E7</v>
      </c>
      <c r="P3439" s="105">
        <v>1.2952908E7</v>
      </c>
      <c r="Q3439" s="102" t="s">
        <v>2423</v>
      </c>
      <c r="S3439" s="1"/>
      <c r="T3439" s="1"/>
      <c r="U3439" s="1"/>
      <c r="V3439" s="1"/>
      <c r="W3439" s="1"/>
      <c r="X3439" s="1"/>
      <c r="Y3439" s="1"/>
      <c r="Z3439" s="102"/>
      <c r="AA3439" s="102"/>
      <c r="AB3439" s="1"/>
      <c r="AC3439" s="1"/>
      <c r="AD3439" s="1"/>
      <c r="AE3439" s="1"/>
      <c r="AF3439" s="1"/>
      <c r="AG3439" s="1"/>
    </row>
    <row r="3440" ht="15.75" customHeight="1">
      <c r="A3440" s="1"/>
      <c r="B3440" s="1"/>
      <c r="C3440" s="1"/>
      <c r="D3440" s="1"/>
      <c r="E3440" s="1"/>
      <c r="F3440" s="1"/>
      <c r="G3440" s="1"/>
      <c r="H3440" s="1"/>
      <c r="I3440" s="1"/>
      <c r="J3440" s="1"/>
      <c r="K3440" s="102" t="s">
        <v>5880</v>
      </c>
      <c r="L3440" s="102" t="str">
        <f>V270</f>
        <v>J1a2a1a2d2b2b2c4d2a2a2~</v>
      </c>
      <c r="M3440" s="102"/>
      <c r="N3440" s="102"/>
      <c r="O3440" s="105">
        <v>1.5114528E7</v>
      </c>
      <c r="P3440" s="105">
        <v>1.3002615E7</v>
      </c>
      <c r="Q3440" s="102" t="s">
        <v>2468</v>
      </c>
      <c r="S3440" s="1"/>
      <c r="T3440" s="1"/>
      <c r="U3440" s="1"/>
      <c r="V3440" s="1"/>
      <c r="W3440" s="1"/>
      <c r="X3440" s="1"/>
      <c r="Y3440" s="1"/>
      <c r="Z3440" s="102"/>
      <c r="AA3440" s="102"/>
      <c r="AB3440" s="1"/>
      <c r="AC3440" s="1"/>
      <c r="AD3440" s="1"/>
      <c r="AE3440" s="1"/>
      <c r="AF3440" s="1"/>
      <c r="AG3440" s="1"/>
    </row>
    <row r="3441" ht="15.75" customHeight="1">
      <c r="A3441" s="1"/>
      <c r="B3441" s="1"/>
      <c r="C3441" s="1"/>
      <c r="D3441" s="1"/>
      <c r="E3441" s="1"/>
      <c r="F3441" s="1"/>
      <c r="G3441" s="1"/>
      <c r="H3441" s="1"/>
      <c r="I3441" s="1"/>
      <c r="J3441" s="1"/>
      <c r="K3441" s="102" t="s">
        <v>5881</v>
      </c>
      <c r="L3441" s="102" t="str">
        <f>V270</f>
        <v>J1a2a1a2d2b2b2c4d2a2a2~</v>
      </c>
      <c r="M3441" s="102"/>
      <c r="N3441" s="102"/>
      <c r="O3441" s="105">
        <v>1.5498835E7</v>
      </c>
      <c r="P3441" s="105">
        <v>1.3386955E7</v>
      </c>
      <c r="Q3441" s="102" t="s">
        <v>2533</v>
      </c>
      <c r="S3441" s="1"/>
      <c r="T3441" s="1"/>
      <c r="U3441" s="1"/>
      <c r="V3441" s="1"/>
      <c r="W3441" s="1"/>
      <c r="X3441" s="1"/>
      <c r="Y3441" s="1"/>
      <c r="Z3441" s="102"/>
      <c r="AA3441" s="102"/>
      <c r="AB3441" s="1"/>
      <c r="AC3441" s="1"/>
      <c r="AD3441" s="1"/>
      <c r="AE3441" s="1"/>
      <c r="AF3441" s="1"/>
      <c r="AG3441" s="1"/>
    </row>
    <row r="3442" ht="15.75" customHeight="1">
      <c r="A3442" s="1"/>
      <c r="B3442" s="1"/>
      <c r="C3442" s="1"/>
      <c r="D3442" s="1"/>
      <c r="E3442" s="1"/>
      <c r="F3442" s="1"/>
      <c r="G3442" s="1"/>
      <c r="H3442" s="1"/>
      <c r="I3442" s="1"/>
      <c r="J3442" s="1"/>
      <c r="K3442" s="102" t="s">
        <v>5882</v>
      </c>
      <c r="L3442" s="102" t="str">
        <f>V270</f>
        <v>J1a2a1a2d2b2b2c4d2a2a2~</v>
      </c>
      <c r="M3442" s="102"/>
      <c r="N3442" s="102"/>
      <c r="O3442" s="105">
        <v>1.5772237E7</v>
      </c>
      <c r="P3442" s="105">
        <v>1.3660357E7</v>
      </c>
      <c r="Q3442" s="102" t="s">
        <v>2501</v>
      </c>
      <c r="S3442" s="1"/>
      <c r="T3442" s="1"/>
      <c r="U3442" s="1"/>
      <c r="V3442" s="1"/>
      <c r="W3442" s="1"/>
      <c r="X3442" s="1"/>
      <c r="Y3442" s="1"/>
      <c r="Z3442" s="102"/>
      <c r="AA3442" s="102"/>
      <c r="AB3442" s="1"/>
      <c r="AC3442" s="1"/>
      <c r="AD3442" s="1"/>
      <c r="AE3442" s="1"/>
      <c r="AF3442" s="1"/>
      <c r="AG3442" s="1"/>
    </row>
    <row r="3443" ht="15.75" customHeight="1">
      <c r="A3443" s="1"/>
      <c r="B3443" s="1"/>
      <c r="C3443" s="1"/>
      <c r="D3443" s="1"/>
      <c r="E3443" s="1"/>
      <c r="F3443" s="1"/>
      <c r="G3443" s="1"/>
      <c r="H3443" s="1"/>
      <c r="I3443" s="1"/>
      <c r="J3443" s="1"/>
      <c r="K3443" s="102" t="s">
        <v>5883</v>
      </c>
      <c r="L3443" s="102" t="str">
        <f>V270</f>
        <v>J1a2a1a2d2b2b2c4d2a2a2~</v>
      </c>
      <c r="M3443" s="102"/>
      <c r="N3443" s="102"/>
      <c r="O3443" s="105">
        <v>1.8064812E7</v>
      </c>
      <c r="P3443" s="105">
        <v>1.5952932E7</v>
      </c>
      <c r="Q3443" s="102" t="s">
        <v>2468</v>
      </c>
      <c r="S3443" s="1"/>
      <c r="T3443" s="1"/>
      <c r="U3443" s="1"/>
      <c r="V3443" s="1"/>
      <c r="W3443" s="1"/>
      <c r="X3443" s="1"/>
      <c r="Y3443" s="1"/>
      <c r="Z3443" s="102"/>
      <c r="AA3443" s="102"/>
      <c r="AB3443" s="1"/>
      <c r="AC3443" s="1"/>
      <c r="AD3443" s="1"/>
      <c r="AE3443" s="1"/>
      <c r="AF3443" s="1"/>
      <c r="AG3443" s="1"/>
    </row>
    <row r="3444" ht="15.75" customHeight="1">
      <c r="A3444" s="1"/>
      <c r="B3444" s="1"/>
      <c r="C3444" s="1"/>
      <c r="D3444" s="1"/>
      <c r="E3444" s="1"/>
      <c r="F3444" s="1"/>
      <c r="G3444" s="1"/>
      <c r="H3444" s="1"/>
      <c r="I3444" s="1"/>
      <c r="J3444" s="1"/>
      <c r="K3444" s="102" t="s">
        <v>5884</v>
      </c>
      <c r="L3444" s="102" t="str">
        <f>V270</f>
        <v>J1a2a1a2d2b2b2c4d2a2a2~</v>
      </c>
      <c r="M3444" s="102"/>
      <c r="N3444" s="102"/>
      <c r="O3444" s="102">
        <v>1.8066533E7</v>
      </c>
      <c r="P3444" s="102">
        <v>1.5954653E7</v>
      </c>
      <c r="Q3444" s="102" t="s">
        <v>2576</v>
      </c>
      <c r="S3444" s="1"/>
      <c r="T3444" s="1"/>
      <c r="U3444" s="1"/>
      <c r="V3444" s="1"/>
      <c r="W3444" s="1"/>
      <c r="X3444" s="1"/>
      <c r="Y3444" s="1"/>
      <c r="Z3444" s="102">
        <v>1.8066533E7</v>
      </c>
      <c r="AA3444" s="102"/>
      <c r="AB3444" s="1"/>
      <c r="AC3444" s="1"/>
      <c r="AD3444" s="1"/>
      <c r="AE3444" s="1"/>
      <c r="AF3444" s="1"/>
      <c r="AG3444" s="1"/>
    </row>
    <row r="3445" ht="15.75" customHeight="1">
      <c r="A3445" s="1"/>
      <c r="B3445" s="1"/>
      <c r="C3445" s="1"/>
      <c r="D3445" s="1"/>
      <c r="E3445" s="1"/>
      <c r="F3445" s="1"/>
      <c r="G3445" s="1"/>
      <c r="H3445" s="1"/>
      <c r="I3445" s="1"/>
      <c r="J3445" s="1"/>
      <c r="K3445" s="102" t="s">
        <v>5885</v>
      </c>
      <c r="L3445" s="102" t="str">
        <f>V270</f>
        <v>J1a2a1a2d2b2b2c4d2a2a2~</v>
      </c>
      <c r="M3445" s="102"/>
      <c r="N3445" s="102"/>
      <c r="O3445" s="105">
        <v>2.1211037E7</v>
      </c>
      <c r="P3445" s="105">
        <v>1.9049151E7</v>
      </c>
      <c r="Q3445" s="102" t="s">
        <v>2576</v>
      </c>
      <c r="S3445" s="1"/>
      <c r="T3445" s="1"/>
      <c r="U3445" s="1"/>
      <c r="V3445" s="1"/>
      <c r="W3445" s="1"/>
      <c r="X3445" s="1"/>
      <c r="Y3445" s="1"/>
      <c r="Z3445" s="102"/>
      <c r="AA3445" s="102"/>
      <c r="AB3445" s="1"/>
      <c r="AC3445" s="1"/>
      <c r="AD3445" s="1"/>
      <c r="AE3445" s="1"/>
      <c r="AF3445" s="1"/>
      <c r="AG3445" s="1"/>
    </row>
    <row r="3446" ht="15.75" customHeight="1">
      <c r="A3446" s="1"/>
      <c r="B3446" s="1"/>
      <c r="C3446" s="1"/>
      <c r="D3446" s="1"/>
      <c r="E3446" s="1"/>
      <c r="F3446" s="1"/>
      <c r="G3446" s="1"/>
      <c r="H3446" s="1"/>
      <c r="I3446" s="1"/>
      <c r="J3446" s="1"/>
      <c r="K3446" s="102" t="s">
        <v>5886</v>
      </c>
      <c r="L3446" s="102" t="str">
        <f>V270</f>
        <v>J1a2a1a2d2b2b2c4d2a2a2~</v>
      </c>
      <c r="M3446" s="102"/>
      <c r="N3446" s="102"/>
      <c r="O3446" s="105">
        <v>2.1330301E7</v>
      </c>
      <c r="P3446" s="105">
        <v>1.9168415E7</v>
      </c>
      <c r="Q3446" s="102" t="s">
        <v>2439</v>
      </c>
      <c r="S3446" s="1"/>
      <c r="T3446" s="1"/>
      <c r="U3446" s="1"/>
      <c r="V3446" s="1"/>
      <c r="W3446" s="1"/>
      <c r="X3446" s="1"/>
      <c r="Y3446" s="1"/>
      <c r="Z3446" s="102"/>
      <c r="AA3446" s="102"/>
      <c r="AB3446" s="1"/>
      <c r="AC3446" s="1"/>
      <c r="AD3446" s="1"/>
      <c r="AE3446" s="1"/>
      <c r="AF3446" s="1"/>
      <c r="AG3446" s="1"/>
    </row>
    <row r="3447" ht="15.75" customHeight="1">
      <c r="A3447" s="1"/>
      <c r="B3447" s="1"/>
      <c r="C3447" s="1"/>
      <c r="D3447" s="1"/>
      <c r="E3447" s="1"/>
      <c r="F3447" s="1"/>
      <c r="G3447" s="1"/>
      <c r="H3447" s="1"/>
      <c r="I3447" s="1"/>
      <c r="J3447" s="1"/>
      <c r="K3447" s="102" t="s">
        <v>5887</v>
      </c>
      <c r="L3447" s="102" t="str">
        <f>V270</f>
        <v>J1a2a1a2d2b2b2c4d2a2a2~</v>
      </c>
      <c r="M3447" s="102"/>
      <c r="N3447" s="102"/>
      <c r="O3447" s="105">
        <v>2.1424957E7</v>
      </c>
      <c r="P3447" s="105">
        <v>1.9263071E7</v>
      </c>
      <c r="Q3447" s="102" t="s">
        <v>2533</v>
      </c>
      <c r="S3447" s="1"/>
      <c r="T3447" s="1"/>
      <c r="U3447" s="1"/>
      <c r="V3447" s="1"/>
      <c r="W3447" s="1"/>
      <c r="X3447" s="1"/>
      <c r="Y3447" s="1"/>
      <c r="Z3447" s="102"/>
      <c r="AA3447" s="102"/>
      <c r="AB3447" s="1"/>
      <c r="AC3447" s="1"/>
      <c r="AD3447" s="1"/>
      <c r="AE3447" s="1"/>
      <c r="AF3447" s="1"/>
      <c r="AG3447" s="1"/>
    </row>
    <row r="3448" ht="15.75" customHeight="1">
      <c r="A3448" s="1"/>
      <c r="B3448" s="1"/>
      <c r="C3448" s="1"/>
      <c r="D3448" s="1"/>
      <c r="E3448" s="1"/>
      <c r="F3448" s="1"/>
      <c r="G3448" s="1"/>
      <c r="H3448" s="1"/>
      <c r="I3448" s="1"/>
      <c r="J3448" s="1"/>
      <c r="K3448" s="102" t="s">
        <v>5888</v>
      </c>
      <c r="L3448" s="102" t="str">
        <f>V270</f>
        <v>J1a2a1a2d2b2b2c4d2a2a2~</v>
      </c>
      <c r="M3448" s="102"/>
      <c r="N3448" s="102"/>
      <c r="O3448" s="105">
        <v>2.2213506E7</v>
      </c>
      <c r="P3448" s="105">
        <v>2.005162E7</v>
      </c>
      <c r="Q3448" s="102" t="s">
        <v>2432</v>
      </c>
      <c r="S3448" s="1"/>
      <c r="T3448" s="1"/>
      <c r="U3448" s="1"/>
      <c r="V3448" s="1"/>
      <c r="W3448" s="1"/>
      <c r="X3448" s="1"/>
      <c r="Y3448" s="1"/>
      <c r="Z3448" s="102"/>
      <c r="AA3448" s="102"/>
      <c r="AB3448" s="1"/>
      <c r="AC3448" s="1"/>
      <c r="AD3448" s="1"/>
      <c r="AE3448" s="1"/>
      <c r="AF3448" s="1"/>
      <c r="AG3448" s="1"/>
    </row>
    <row r="3449" ht="15.75" customHeight="1">
      <c r="A3449" s="1"/>
      <c r="B3449" s="1"/>
      <c r="C3449" s="1"/>
      <c r="D3449" s="1"/>
      <c r="E3449" s="1"/>
      <c r="F3449" s="1"/>
      <c r="G3449" s="1"/>
      <c r="H3449" s="1"/>
      <c r="I3449" s="1"/>
      <c r="J3449" s="1"/>
      <c r="K3449" s="102" t="s">
        <v>5889</v>
      </c>
      <c r="L3449" s="102" t="str">
        <f>V270</f>
        <v>J1a2a1a2d2b2b2c4d2a2a2~</v>
      </c>
      <c r="M3449" s="102"/>
      <c r="N3449" s="102" t="s">
        <v>5890</v>
      </c>
      <c r="O3449" s="105">
        <v>1.7560967E7</v>
      </c>
      <c r="P3449" s="105">
        <v>1.5449087E7</v>
      </c>
      <c r="Q3449" s="102" t="s">
        <v>2439</v>
      </c>
      <c r="S3449" s="1"/>
      <c r="T3449" s="1"/>
      <c r="U3449" s="1"/>
      <c r="V3449" s="1"/>
      <c r="W3449" s="1"/>
      <c r="X3449" s="1"/>
      <c r="Y3449" s="1"/>
      <c r="Z3449" s="102"/>
      <c r="AA3449" s="102"/>
      <c r="AB3449" s="1"/>
      <c r="AC3449" s="1"/>
      <c r="AD3449" s="1"/>
      <c r="AE3449" s="1"/>
      <c r="AF3449" s="1"/>
      <c r="AG3449" s="1"/>
    </row>
    <row r="3450" ht="15.75" customHeight="1">
      <c r="A3450" s="1"/>
      <c r="B3450" s="1"/>
      <c r="C3450" s="1"/>
      <c r="D3450" s="1"/>
      <c r="E3450" s="1"/>
      <c r="F3450" s="1"/>
      <c r="G3450" s="1"/>
      <c r="H3450" s="1"/>
      <c r="I3450" s="1"/>
      <c r="J3450" s="1"/>
      <c r="K3450" s="102" t="s">
        <v>5891</v>
      </c>
      <c r="L3450" s="102" t="str">
        <f>V270</f>
        <v>J1a2a1a2d2b2b2c4d2a2a2~</v>
      </c>
      <c r="M3450" s="102"/>
      <c r="N3450" s="102" t="s">
        <v>5892</v>
      </c>
      <c r="O3450" s="105">
        <v>1.7189296E7</v>
      </c>
      <c r="P3450" s="105">
        <v>1.5077416E7</v>
      </c>
      <c r="Q3450" s="102" t="s">
        <v>2439</v>
      </c>
      <c r="S3450" s="1"/>
      <c r="T3450" s="1"/>
      <c r="U3450" s="1"/>
      <c r="V3450" s="1"/>
      <c r="W3450" s="1"/>
      <c r="X3450" s="1"/>
      <c r="Y3450" s="1"/>
      <c r="Z3450" s="102"/>
      <c r="AA3450" s="102"/>
      <c r="AB3450" s="1"/>
      <c r="AC3450" s="1"/>
      <c r="AD3450" s="1"/>
      <c r="AE3450" s="1"/>
      <c r="AF3450" s="1"/>
      <c r="AG3450" s="1"/>
    </row>
    <row r="3451" ht="15.75" customHeight="1">
      <c r="A3451" s="1"/>
      <c r="B3451" s="1"/>
      <c r="C3451" s="1"/>
      <c r="D3451" s="1"/>
      <c r="E3451" s="1"/>
      <c r="F3451" s="1"/>
      <c r="G3451" s="1"/>
      <c r="H3451" s="1"/>
      <c r="I3451" s="1"/>
      <c r="J3451" s="1"/>
      <c r="K3451" s="102" t="s">
        <v>5893</v>
      </c>
      <c r="L3451" s="102" t="str">
        <f>V270</f>
        <v>J1a2a1a2d2b2b2c4d2a2a2~</v>
      </c>
      <c r="M3451" s="102"/>
      <c r="N3451" s="102" t="s">
        <v>5894</v>
      </c>
      <c r="O3451" s="105">
        <v>1.9106935E7</v>
      </c>
      <c r="P3451" s="105">
        <v>1.6995055E7</v>
      </c>
      <c r="Q3451" s="102" t="s">
        <v>2501</v>
      </c>
      <c r="S3451" s="1"/>
      <c r="T3451" s="1"/>
      <c r="U3451" s="1"/>
      <c r="V3451" s="1"/>
      <c r="W3451" s="1"/>
      <c r="X3451" s="1"/>
      <c r="Y3451" s="1"/>
      <c r="Z3451" s="102"/>
      <c r="AA3451" s="102"/>
      <c r="AB3451" s="1"/>
      <c r="AC3451" s="1"/>
      <c r="AD3451" s="1"/>
      <c r="AE3451" s="1"/>
      <c r="AF3451" s="1"/>
      <c r="AG3451" s="1"/>
    </row>
    <row r="3452" ht="15.75" customHeight="1">
      <c r="A3452" s="1"/>
      <c r="B3452" s="1"/>
      <c r="C3452" s="1"/>
      <c r="D3452" s="1"/>
      <c r="E3452" s="1"/>
      <c r="F3452" s="1"/>
      <c r="G3452" s="1"/>
      <c r="H3452" s="1"/>
      <c r="I3452" s="1"/>
      <c r="J3452" s="1"/>
      <c r="K3452" s="102" t="s">
        <v>5895</v>
      </c>
      <c r="L3452" s="102" t="str">
        <f>W271</f>
        <v>J1a2a1a2d2b2b2c4d2a2a2a~</v>
      </c>
      <c r="M3452" s="102" t="s">
        <v>5896</v>
      </c>
      <c r="N3452" s="102" t="s">
        <v>5897</v>
      </c>
      <c r="O3452" s="105">
        <v>8483327.0</v>
      </c>
      <c r="P3452" s="105">
        <v>8615286.0</v>
      </c>
      <c r="Q3452" s="102" t="s">
        <v>2576</v>
      </c>
      <c r="S3452" s="1"/>
      <c r="T3452" s="1"/>
      <c r="U3452" s="1"/>
      <c r="V3452" s="1"/>
      <c r="W3452" s="1"/>
      <c r="X3452" s="1"/>
      <c r="Y3452" s="1"/>
      <c r="Z3452" s="102"/>
      <c r="AA3452" s="102"/>
      <c r="AB3452" s="1"/>
      <c r="AC3452" s="1"/>
      <c r="AD3452" s="1"/>
      <c r="AE3452" s="1"/>
      <c r="AF3452" s="1"/>
      <c r="AG3452" s="1"/>
    </row>
    <row r="3453" ht="15.75" customHeight="1">
      <c r="A3453" s="1"/>
      <c r="B3453" s="1"/>
      <c r="C3453" s="1"/>
      <c r="D3453" s="1"/>
      <c r="E3453" s="1"/>
      <c r="F3453" s="1"/>
      <c r="G3453" s="1"/>
      <c r="H3453" s="1"/>
      <c r="I3453" s="1"/>
      <c r="J3453" s="1"/>
      <c r="K3453" s="102" t="s">
        <v>5896</v>
      </c>
      <c r="L3453" s="102" t="str">
        <f>W271</f>
        <v>J1a2a1a2d2b2b2c4d2a2a2a~</v>
      </c>
      <c r="M3453" s="102" t="s">
        <v>5895</v>
      </c>
      <c r="N3453" s="102" t="s">
        <v>5897</v>
      </c>
      <c r="O3453" s="105">
        <v>8483327.0</v>
      </c>
      <c r="P3453" s="105">
        <v>8615286.0</v>
      </c>
      <c r="Q3453" s="102" t="s">
        <v>2576</v>
      </c>
      <c r="S3453" s="1"/>
      <c r="T3453" s="1"/>
      <c r="U3453" s="1"/>
      <c r="V3453" s="1"/>
      <c r="W3453" s="1"/>
      <c r="X3453" s="1"/>
      <c r="Y3453" s="1"/>
      <c r="Z3453" s="102"/>
      <c r="AA3453" s="102"/>
      <c r="AB3453" s="1"/>
      <c r="AC3453" s="1"/>
      <c r="AD3453" s="1"/>
      <c r="AE3453" s="1"/>
      <c r="AF3453" s="1"/>
      <c r="AG3453" s="1"/>
    </row>
    <row r="3454" ht="15.75" customHeight="1">
      <c r="A3454" s="1"/>
      <c r="B3454" s="1"/>
      <c r="C3454" s="1"/>
      <c r="D3454" s="1"/>
      <c r="E3454" s="1"/>
      <c r="F3454" s="1"/>
      <c r="G3454" s="1"/>
      <c r="H3454" s="1"/>
      <c r="I3454" s="1"/>
      <c r="J3454" s="1"/>
      <c r="K3454" s="102" t="s">
        <v>5898</v>
      </c>
      <c r="L3454" s="102" t="str">
        <f>W271</f>
        <v>J1a2a1a2d2b2b2c4d2a2a2a~</v>
      </c>
      <c r="M3454" s="102"/>
      <c r="N3454" s="102"/>
      <c r="O3454" s="105">
        <v>1.6647084E7</v>
      </c>
      <c r="P3454" s="105">
        <v>1.4535204E7</v>
      </c>
      <c r="Q3454" s="102" t="s">
        <v>2439</v>
      </c>
      <c r="S3454" s="1"/>
      <c r="T3454" s="1"/>
      <c r="U3454" s="1"/>
      <c r="V3454" s="1"/>
      <c r="W3454" s="1"/>
      <c r="X3454" s="1"/>
      <c r="Y3454" s="1"/>
      <c r="Z3454" s="102"/>
      <c r="AA3454" s="102"/>
      <c r="AB3454" s="1"/>
      <c r="AC3454" s="1"/>
      <c r="AD3454" s="1"/>
      <c r="AE3454" s="1"/>
      <c r="AF3454" s="1"/>
      <c r="AG3454" s="1"/>
    </row>
    <row r="3455" ht="15.75" customHeight="1">
      <c r="A3455" s="1"/>
      <c r="B3455" s="1"/>
      <c r="C3455" s="1"/>
      <c r="D3455" s="1"/>
      <c r="E3455" s="1"/>
      <c r="F3455" s="1"/>
      <c r="G3455" s="1"/>
      <c r="H3455" s="1"/>
      <c r="I3455" s="1"/>
      <c r="J3455" s="1"/>
      <c r="K3455" s="102" t="s">
        <v>5899</v>
      </c>
      <c r="L3455" s="102" t="str">
        <f>W271</f>
        <v>J1a2a1a2d2b2b2c4d2a2a2a~</v>
      </c>
      <c r="M3455" s="102"/>
      <c r="N3455" s="102" t="s">
        <v>5900</v>
      </c>
      <c r="O3455" s="105">
        <v>1.8896816E7</v>
      </c>
      <c r="P3455" s="105">
        <v>1.6784936E7</v>
      </c>
      <c r="Q3455" s="102" t="s">
        <v>2439</v>
      </c>
      <c r="S3455" s="1"/>
      <c r="T3455" s="1"/>
      <c r="U3455" s="1"/>
      <c r="V3455" s="1"/>
      <c r="W3455" s="1"/>
      <c r="X3455" s="1"/>
      <c r="Y3455" s="1"/>
      <c r="Z3455" s="102"/>
      <c r="AA3455" s="102"/>
      <c r="AB3455" s="1"/>
      <c r="AC3455" s="1"/>
      <c r="AD3455" s="1"/>
      <c r="AE3455" s="1"/>
      <c r="AF3455" s="1"/>
      <c r="AG3455" s="1"/>
    </row>
    <row r="3456" ht="15.75" customHeight="1">
      <c r="A3456" s="1"/>
      <c r="B3456" s="1"/>
      <c r="C3456" s="1"/>
      <c r="D3456" s="1"/>
      <c r="E3456" s="1"/>
      <c r="F3456" s="1"/>
      <c r="G3456" s="1"/>
      <c r="H3456" s="1"/>
      <c r="I3456" s="1"/>
      <c r="J3456" s="1"/>
      <c r="K3456" s="102" t="s">
        <v>5901</v>
      </c>
      <c r="L3456" s="102" t="str">
        <f>W271</f>
        <v>J1a2a1a2d2b2b2c4d2a2a2a~</v>
      </c>
      <c r="M3456" s="102"/>
      <c r="N3456" s="102" t="s">
        <v>5902</v>
      </c>
      <c r="O3456" s="105">
        <v>2.1292764E7</v>
      </c>
      <c r="P3456" s="105">
        <v>1.9130878E7</v>
      </c>
      <c r="Q3456" s="102" t="s">
        <v>2501</v>
      </c>
      <c r="S3456" s="1"/>
      <c r="T3456" s="1"/>
      <c r="U3456" s="1"/>
      <c r="V3456" s="1"/>
      <c r="W3456" s="1"/>
      <c r="X3456" s="1"/>
      <c r="Y3456" s="1"/>
      <c r="Z3456" s="102"/>
      <c r="AA3456" s="102"/>
      <c r="AB3456" s="1"/>
      <c r="AC3456" s="1"/>
      <c r="AD3456" s="1"/>
      <c r="AE3456" s="1"/>
      <c r="AF3456" s="1"/>
      <c r="AG3456" s="1"/>
    </row>
    <row r="3457" ht="15.75" customHeight="1">
      <c r="A3457" s="1"/>
      <c r="B3457" s="1"/>
      <c r="C3457" s="1"/>
      <c r="D3457" s="1"/>
      <c r="E3457" s="1"/>
      <c r="F3457" s="1"/>
      <c r="G3457" s="1"/>
      <c r="H3457" s="1"/>
      <c r="I3457" s="1"/>
      <c r="J3457" s="1"/>
      <c r="K3457" s="102" t="s">
        <v>5903</v>
      </c>
      <c r="L3457" s="102" t="str">
        <f>X272</f>
        <v>J1a2a1a2d2b2b2c4d2a2a2a1~</v>
      </c>
      <c r="M3457" s="102"/>
      <c r="N3457" s="102"/>
      <c r="O3457" s="105">
        <v>1.7434081E7</v>
      </c>
      <c r="P3457" s="105">
        <v>1.5322201E7</v>
      </c>
      <c r="Q3457" s="102" t="s">
        <v>2576</v>
      </c>
      <c r="S3457" s="1"/>
      <c r="T3457" s="1"/>
      <c r="U3457" s="1"/>
      <c r="V3457" s="1"/>
      <c r="W3457" s="1"/>
      <c r="X3457" s="1"/>
      <c r="Y3457" s="1"/>
      <c r="Z3457" s="102"/>
      <c r="AA3457" s="102"/>
      <c r="AB3457" s="1"/>
      <c r="AC3457" s="1"/>
      <c r="AD3457" s="1"/>
      <c r="AE3457" s="1"/>
      <c r="AF3457" s="1"/>
      <c r="AG3457" s="1"/>
    </row>
    <row r="3458" ht="15.75" customHeight="1">
      <c r="A3458" s="1"/>
      <c r="B3458" s="1"/>
      <c r="C3458" s="1"/>
      <c r="D3458" s="1"/>
      <c r="E3458" s="1"/>
      <c r="F3458" s="1"/>
      <c r="G3458" s="1"/>
      <c r="H3458" s="1"/>
      <c r="I3458" s="1"/>
      <c r="J3458" s="1"/>
      <c r="K3458" s="102" t="s">
        <v>5904</v>
      </c>
      <c r="L3458" s="102" t="str">
        <f>X272</f>
        <v>J1a2a1a2d2b2b2c4d2a2a2a1~</v>
      </c>
      <c r="M3458" s="102" t="s">
        <v>5905</v>
      </c>
      <c r="N3458" s="102" t="s">
        <v>5906</v>
      </c>
      <c r="O3458" s="105">
        <v>1.7064744E7</v>
      </c>
      <c r="P3458" s="105">
        <v>1.4952864E7</v>
      </c>
      <c r="Q3458" s="102" t="s">
        <v>2533</v>
      </c>
      <c r="S3458" s="1"/>
      <c r="T3458" s="1"/>
      <c r="U3458" s="1"/>
      <c r="V3458" s="1"/>
      <c r="W3458" s="1"/>
      <c r="X3458" s="1"/>
      <c r="Y3458" s="1"/>
      <c r="Z3458" s="102"/>
      <c r="AA3458" s="102"/>
      <c r="AB3458" s="1"/>
      <c r="AC3458" s="1"/>
      <c r="AD3458" s="1"/>
      <c r="AE3458" s="1"/>
      <c r="AF3458" s="1"/>
      <c r="AG3458" s="1"/>
    </row>
    <row r="3459" ht="15.75" customHeight="1">
      <c r="A3459" s="1"/>
      <c r="B3459" s="1"/>
      <c r="C3459" s="1"/>
      <c r="D3459" s="1"/>
      <c r="E3459" s="1"/>
      <c r="F3459" s="1"/>
      <c r="G3459" s="1"/>
      <c r="H3459" s="1"/>
      <c r="I3459" s="1"/>
      <c r="J3459" s="1"/>
      <c r="K3459" s="102" t="s">
        <v>5905</v>
      </c>
      <c r="L3459" s="102" t="str">
        <f>X272</f>
        <v>J1a2a1a2d2b2b2c4d2a2a2a1~</v>
      </c>
      <c r="M3459" s="102" t="s">
        <v>5904</v>
      </c>
      <c r="N3459" s="102" t="s">
        <v>5906</v>
      </c>
      <c r="O3459" s="105">
        <v>1.7064744E7</v>
      </c>
      <c r="P3459" s="105">
        <v>1.4952864E7</v>
      </c>
      <c r="Q3459" s="102" t="s">
        <v>2533</v>
      </c>
      <c r="S3459" s="1"/>
      <c r="T3459" s="1"/>
      <c r="U3459" s="1"/>
      <c r="V3459" s="1"/>
      <c r="W3459" s="1"/>
      <c r="X3459" s="1"/>
      <c r="Y3459" s="1"/>
      <c r="Z3459" s="102"/>
      <c r="AA3459" s="102"/>
      <c r="AB3459" s="1"/>
      <c r="AC3459" s="1"/>
      <c r="AD3459" s="1"/>
      <c r="AE3459" s="1"/>
      <c r="AF3459" s="1"/>
      <c r="AG3459" s="1"/>
    </row>
    <row r="3460" ht="15.75" customHeight="1">
      <c r="A3460" s="1"/>
      <c r="B3460" s="1"/>
      <c r="C3460" s="1"/>
      <c r="D3460" s="1"/>
      <c r="E3460" s="1"/>
      <c r="F3460" s="1"/>
      <c r="G3460" s="1"/>
      <c r="H3460" s="1"/>
      <c r="I3460" s="1"/>
      <c r="J3460" s="1"/>
      <c r="K3460" s="102" t="s">
        <v>5907</v>
      </c>
      <c r="L3460" s="102" t="str">
        <f>X272</f>
        <v>J1a2a1a2d2b2b2c4d2a2a2a1~</v>
      </c>
      <c r="M3460" s="106" t="s">
        <v>5908</v>
      </c>
      <c r="N3460" s="102" t="s">
        <v>5909</v>
      </c>
      <c r="O3460" s="105">
        <v>1.9156251E7</v>
      </c>
      <c r="P3460" s="105">
        <v>1.7044371E7</v>
      </c>
      <c r="Q3460" s="102" t="s">
        <v>2468</v>
      </c>
      <c r="S3460" s="1"/>
      <c r="T3460" s="1"/>
      <c r="U3460" s="1"/>
      <c r="V3460" s="1"/>
      <c r="W3460" s="1"/>
      <c r="X3460" s="1"/>
      <c r="Y3460" s="1"/>
      <c r="Z3460" s="102"/>
      <c r="AA3460" s="102"/>
      <c r="AB3460" s="1"/>
      <c r="AC3460" s="1"/>
      <c r="AD3460" s="1"/>
      <c r="AE3460" s="1"/>
      <c r="AF3460" s="1"/>
      <c r="AG3460" s="1"/>
    </row>
    <row r="3461" ht="15.75" customHeight="1">
      <c r="A3461" s="1"/>
      <c r="B3461" s="1"/>
      <c r="C3461" s="1"/>
      <c r="D3461" s="1"/>
      <c r="E3461" s="1"/>
      <c r="F3461" s="1"/>
      <c r="G3461" s="1"/>
      <c r="H3461" s="1"/>
      <c r="I3461" s="1"/>
      <c r="J3461" s="1"/>
      <c r="K3461" s="106" t="s">
        <v>5908</v>
      </c>
      <c r="L3461" s="102" t="str">
        <f>X272</f>
        <v>J1a2a1a2d2b2b2c4d2a2a2a1~</v>
      </c>
      <c r="M3461" s="102" t="s">
        <v>5907</v>
      </c>
      <c r="N3461" s="102" t="s">
        <v>5909</v>
      </c>
      <c r="O3461" s="105">
        <v>1.9156251E7</v>
      </c>
      <c r="P3461" s="105">
        <v>1.7044371E7</v>
      </c>
      <c r="Q3461" s="102" t="s">
        <v>2468</v>
      </c>
      <c r="S3461" s="1"/>
      <c r="T3461" s="1"/>
      <c r="U3461" s="1"/>
      <c r="V3461" s="1"/>
      <c r="W3461" s="1"/>
      <c r="X3461" s="1"/>
      <c r="Y3461" s="1"/>
      <c r="Z3461" s="102">
        <v>2.4417828E7</v>
      </c>
      <c r="AA3461" s="102"/>
      <c r="AB3461" s="1"/>
      <c r="AC3461" s="1"/>
      <c r="AD3461" s="1"/>
      <c r="AE3461" s="1"/>
      <c r="AF3461" s="1"/>
      <c r="AG3461" s="1"/>
    </row>
    <row r="3462" ht="15.75" customHeight="1">
      <c r="A3462" s="1"/>
      <c r="B3462" s="1"/>
      <c r="C3462" s="1"/>
      <c r="D3462" s="1"/>
      <c r="E3462" s="1"/>
      <c r="F3462" s="1"/>
      <c r="G3462" s="1"/>
      <c r="H3462" s="1"/>
      <c r="I3462" s="1"/>
      <c r="J3462" s="1"/>
      <c r="K3462" s="102" t="s">
        <v>5910</v>
      </c>
      <c r="L3462" s="102" t="str">
        <f>X272</f>
        <v>J1a2a1a2d2b2b2c4d2a2a2a1~</v>
      </c>
      <c r="M3462" s="102"/>
      <c r="N3462" s="102" t="s">
        <v>5911</v>
      </c>
      <c r="O3462" s="105">
        <v>2.1397913E7</v>
      </c>
      <c r="P3462" s="105">
        <v>1.9236027E7</v>
      </c>
      <c r="Q3462" s="102" t="s">
        <v>2423</v>
      </c>
      <c r="S3462" s="1"/>
      <c r="T3462" s="1"/>
      <c r="U3462" s="1"/>
      <c r="V3462" s="1"/>
      <c r="W3462" s="1"/>
      <c r="X3462" s="1"/>
      <c r="Y3462" s="1"/>
      <c r="Z3462" s="102"/>
      <c r="AA3462" s="102"/>
      <c r="AB3462" s="1"/>
      <c r="AC3462" s="1"/>
      <c r="AD3462" s="1"/>
      <c r="AE3462" s="1"/>
      <c r="AF3462" s="1"/>
      <c r="AG3462" s="1"/>
    </row>
    <row r="3463" ht="15.75" customHeight="1">
      <c r="A3463" s="1"/>
      <c r="B3463" s="1"/>
      <c r="C3463" s="1"/>
      <c r="D3463" s="1"/>
      <c r="E3463" s="1"/>
      <c r="F3463" s="1"/>
      <c r="G3463" s="1"/>
      <c r="H3463" s="1"/>
      <c r="I3463" s="1"/>
      <c r="J3463" s="1"/>
      <c r="K3463" s="102" t="s">
        <v>5912</v>
      </c>
      <c r="L3463" s="102" t="str">
        <f>X272</f>
        <v>J1a2a1a2d2b2b2c4d2a2a2a1~</v>
      </c>
      <c r="M3463" s="102"/>
      <c r="N3463" s="102" t="s">
        <v>5913</v>
      </c>
      <c r="O3463" s="105">
        <v>1.3663805E7</v>
      </c>
      <c r="P3463" s="105">
        <v>1.1508129E7</v>
      </c>
      <c r="Q3463" s="102" t="s">
        <v>2439</v>
      </c>
      <c r="S3463" s="1"/>
      <c r="T3463" s="1"/>
      <c r="U3463" s="1"/>
      <c r="V3463" s="1"/>
      <c r="W3463" s="1"/>
      <c r="X3463" s="1"/>
      <c r="Y3463" s="1"/>
      <c r="Z3463" s="102"/>
      <c r="AA3463" s="102"/>
      <c r="AB3463" s="1"/>
      <c r="AC3463" s="1"/>
      <c r="AD3463" s="1"/>
      <c r="AE3463" s="1"/>
      <c r="AF3463" s="1"/>
      <c r="AG3463" s="1"/>
    </row>
    <row r="3464" ht="15.75" customHeight="1">
      <c r="A3464" s="1"/>
      <c r="B3464" s="1"/>
      <c r="C3464" s="1"/>
      <c r="D3464" s="1"/>
      <c r="E3464" s="1"/>
      <c r="F3464" s="1"/>
      <c r="G3464" s="1"/>
      <c r="H3464" s="1"/>
      <c r="I3464" s="1"/>
      <c r="J3464" s="1"/>
      <c r="K3464" s="102" t="s">
        <v>5914</v>
      </c>
      <c r="L3464" s="102" t="str">
        <f>X272</f>
        <v>J1a2a1a2d2b2b2c4d2a2a2a1~</v>
      </c>
      <c r="M3464" s="102"/>
      <c r="N3464" s="102" t="s">
        <v>5915</v>
      </c>
      <c r="O3464" s="105">
        <v>2.2120092E7</v>
      </c>
      <c r="P3464" s="105">
        <v>1.9958206E7</v>
      </c>
      <c r="Q3464" s="102" t="s">
        <v>2501</v>
      </c>
      <c r="S3464" s="1"/>
      <c r="T3464" s="1"/>
      <c r="U3464" s="1"/>
      <c r="V3464" s="1"/>
      <c r="W3464" s="1"/>
      <c r="X3464" s="1"/>
      <c r="Y3464" s="1"/>
      <c r="Z3464" s="102"/>
      <c r="AA3464" s="102"/>
      <c r="AB3464" s="1"/>
      <c r="AC3464" s="1"/>
      <c r="AD3464" s="1"/>
      <c r="AE3464" s="1"/>
      <c r="AF3464" s="1"/>
      <c r="AG3464" s="1"/>
    </row>
    <row r="3465" ht="15.75" customHeight="1">
      <c r="A3465" s="1"/>
      <c r="B3465" s="1"/>
      <c r="C3465" s="1"/>
      <c r="D3465" s="1"/>
      <c r="E3465" s="1"/>
      <c r="F3465" s="1"/>
      <c r="G3465" s="1"/>
      <c r="H3465" s="1"/>
      <c r="I3465" s="1"/>
      <c r="J3465" s="1"/>
      <c r="K3465" s="102" t="s">
        <v>5916</v>
      </c>
      <c r="L3465" s="102" t="str">
        <f>X272</f>
        <v>J1a2a1a2d2b2b2c4d2a2a2a1~</v>
      </c>
      <c r="M3465" s="102"/>
      <c r="N3465" s="102" t="s">
        <v>5917</v>
      </c>
      <c r="O3465" s="105">
        <v>2.2806103E7</v>
      </c>
      <c r="P3465" s="105">
        <v>2.0644217E7</v>
      </c>
      <c r="Q3465" s="102" t="s">
        <v>2468</v>
      </c>
      <c r="S3465" s="1"/>
      <c r="T3465" s="1"/>
      <c r="U3465" s="1"/>
      <c r="V3465" s="1"/>
      <c r="W3465" s="1"/>
      <c r="X3465" s="1"/>
      <c r="Y3465" s="1"/>
      <c r="Z3465" s="102"/>
      <c r="AA3465" s="102"/>
      <c r="AB3465" s="1"/>
      <c r="AC3465" s="1"/>
      <c r="AD3465" s="1"/>
      <c r="AE3465" s="1"/>
      <c r="AF3465" s="1"/>
      <c r="AG3465" s="1"/>
    </row>
    <row r="3466" ht="15.75" customHeight="1">
      <c r="A3466" s="1"/>
      <c r="B3466" s="1"/>
      <c r="C3466" s="1"/>
      <c r="D3466" s="1"/>
      <c r="E3466" s="1"/>
      <c r="F3466" s="1"/>
      <c r="G3466" s="1"/>
      <c r="H3466" s="1"/>
      <c r="I3466" s="1"/>
      <c r="J3466" s="1"/>
      <c r="K3466" s="102" t="s">
        <v>5918</v>
      </c>
      <c r="L3466" s="102" t="str">
        <f>X272</f>
        <v>J1a2a1a2d2b2b2c4d2a2a2a1~</v>
      </c>
      <c r="M3466" s="102"/>
      <c r="N3466" s="102"/>
      <c r="O3466" s="105">
        <v>2.3527344E7</v>
      </c>
      <c r="P3466" s="105">
        <v>2.1365458E7</v>
      </c>
      <c r="Q3466" s="102" t="s">
        <v>2563</v>
      </c>
      <c r="S3466" s="1"/>
      <c r="T3466" s="1"/>
      <c r="U3466" s="1"/>
      <c r="V3466" s="1"/>
      <c r="W3466" s="1"/>
      <c r="X3466" s="1"/>
      <c r="Y3466" s="1"/>
      <c r="Z3466" s="102"/>
      <c r="AA3466" s="102"/>
      <c r="AB3466" s="1"/>
      <c r="AC3466" s="1"/>
      <c r="AD3466" s="1"/>
      <c r="AE3466" s="1"/>
      <c r="AF3466" s="1"/>
      <c r="AG3466" s="1"/>
    </row>
    <row r="3467" ht="15.75" customHeight="1">
      <c r="A3467" s="1"/>
      <c r="B3467" s="1"/>
      <c r="C3467" s="1"/>
      <c r="D3467" s="1"/>
      <c r="E3467" s="1"/>
      <c r="F3467" s="1"/>
      <c r="G3467" s="1"/>
      <c r="H3467" s="1"/>
      <c r="I3467" s="1"/>
      <c r="J3467" s="1"/>
      <c r="K3467" s="102" t="s">
        <v>5919</v>
      </c>
      <c r="L3467" s="102" t="str">
        <f>Y273</f>
        <v>J1a2a1a2d2b2b2c4d2a2a2a1a~</v>
      </c>
      <c r="M3467" s="102"/>
      <c r="N3467" s="102" t="s">
        <v>5920</v>
      </c>
      <c r="O3467" s="105">
        <v>6753308.0</v>
      </c>
      <c r="P3467" s="105">
        <v>6885267.0</v>
      </c>
      <c r="Q3467" s="102" t="s">
        <v>2533</v>
      </c>
      <c r="S3467" s="1"/>
      <c r="T3467" s="1"/>
      <c r="U3467" s="1"/>
      <c r="V3467" s="1"/>
      <c r="W3467" s="1"/>
      <c r="X3467" s="1"/>
      <c r="Y3467" s="1"/>
      <c r="Z3467" s="102"/>
      <c r="AA3467" s="102"/>
      <c r="AB3467" s="1"/>
      <c r="AC3467" s="1"/>
      <c r="AD3467" s="1"/>
      <c r="AE3467" s="1"/>
      <c r="AF3467" s="1"/>
      <c r="AG3467" s="1"/>
    </row>
    <row r="3468" ht="15.75" customHeight="1">
      <c r="A3468" s="1"/>
      <c r="B3468" s="1"/>
      <c r="C3468" s="1"/>
      <c r="D3468" s="1"/>
      <c r="E3468" s="1"/>
      <c r="F3468" s="1"/>
      <c r="G3468" s="1"/>
      <c r="H3468" s="1"/>
      <c r="I3468" s="1"/>
      <c r="J3468" s="1"/>
      <c r="K3468" s="102" t="s">
        <v>517</v>
      </c>
      <c r="L3468" s="102" t="str">
        <f>Z274</f>
        <v>J1a2a1a2d2b2b2c4d2a2a2a1a1~</v>
      </c>
      <c r="M3468" s="102"/>
      <c r="N3468" s="102"/>
      <c r="O3468" s="105">
        <v>1.9104443E7</v>
      </c>
      <c r="P3468" s="105">
        <v>1.6992563E7</v>
      </c>
      <c r="Q3468" s="102" t="s">
        <v>2533</v>
      </c>
      <c r="S3468" s="1"/>
      <c r="T3468" s="1"/>
      <c r="U3468" s="1"/>
      <c r="V3468" s="1"/>
      <c r="W3468" s="1"/>
      <c r="X3468" s="1"/>
      <c r="Y3468" s="1"/>
      <c r="Z3468" s="102"/>
      <c r="AA3468" s="102"/>
      <c r="AB3468" s="1"/>
      <c r="AC3468" s="1"/>
      <c r="AD3468" s="1"/>
      <c r="AE3468" s="1"/>
      <c r="AF3468" s="1"/>
      <c r="AG3468" s="1"/>
    </row>
    <row r="3469" ht="15.75" customHeight="1">
      <c r="A3469" s="1"/>
      <c r="B3469" s="1"/>
      <c r="C3469" s="1"/>
      <c r="D3469" s="1"/>
      <c r="E3469" s="1"/>
      <c r="F3469" s="1"/>
      <c r="G3469" s="1"/>
      <c r="H3469" s="1"/>
      <c r="I3469" s="1"/>
      <c r="J3469" s="1"/>
      <c r="K3469" s="102" t="s">
        <v>5921</v>
      </c>
      <c r="L3469" s="102" t="str">
        <f>AA275</f>
        <v>J1a2a1a2d2b2b2c4d2a2a2a1a1a~</v>
      </c>
      <c r="M3469" s="102"/>
      <c r="N3469" s="102"/>
      <c r="O3469" s="105">
        <v>1.4489761E7</v>
      </c>
      <c r="P3469" s="105">
        <v>1.236903E7</v>
      </c>
      <c r="Q3469" s="102" t="s">
        <v>2439</v>
      </c>
      <c r="S3469" s="1"/>
      <c r="T3469" s="1"/>
      <c r="U3469" s="1"/>
      <c r="V3469" s="1"/>
      <c r="W3469" s="1"/>
      <c r="X3469" s="1"/>
      <c r="Y3469" s="1"/>
      <c r="Z3469" s="102"/>
      <c r="AA3469" s="102"/>
      <c r="AB3469" s="1"/>
      <c r="AC3469" s="1"/>
      <c r="AD3469" s="1"/>
      <c r="AE3469" s="1"/>
      <c r="AF3469" s="1"/>
      <c r="AG3469" s="1"/>
    </row>
    <row r="3470" ht="15.75" customHeight="1">
      <c r="A3470" s="1"/>
      <c r="B3470" s="1"/>
      <c r="C3470" s="1"/>
      <c r="D3470" s="1"/>
      <c r="E3470" s="1"/>
      <c r="F3470" s="1"/>
      <c r="G3470" s="1"/>
      <c r="H3470" s="1"/>
      <c r="I3470" s="1"/>
      <c r="J3470" s="1"/>
      <c r="K3470" s="102" t="s">
        <v>5922</v>
      </c>
      <c r="L3470" s="102" t="str">
        <f>AA275</f>
        <v>J1a2a1a2d2b2b2c4d2a2a2a1a1a~</v>
      </c>
      <c r="M3470" s="102"/>
      <c r="N3470" s="102" t="s">
        <v>5923</v>
      </c>
      <c r="O3470" s="105">
        <v>1.7951748E7</v>
      </c>
      <c r="P3470" s="105">
        <v>1.5839868E7</v>
      </c>
      <c r="Q3470" s="102" t="s">
        <v>2439</v>
      </c>
      <c r="S3470" s="1"/>
      <c r="T3470" s="1"/>
      <c r="U3470" s="1"/>
      <c r="V3470" s="1"/>
      <c r="W3470" s="1"/>
      <c r="X3470" s="1"/>
      <c r="Y3470" s="1"/>
      <c r="Z3470" s="102"/>
      <c r="AA3470" s="102"/>
      <c r="AB3470" s="1"/>
      <c r="AC3470" s="1"/>
      <c r="AD3470" s="1"/>
      <c r="AE3470" s="1"/>
      <c r="AF3470" s="1"/>
      <c r="AG3470" s="1"/>
    </row>
    <row r="3471" ht="15.75" customHeight="1">
      <c r="A3471" s="1"/>
      <c r="B3471" s="1"/>
      <c r="C3471" s="1"/>
      <c r="D3471" s="1"/>
      <c r="E3471" s="1"/>
      <c r="F3471" s="1"/>
      <c r="G3471" s="1"/>
      <c r="H3471" s="1"/>
      <c r="I3471" s="1"/>
      <c r="J3471" s="1"/>
      <c r="K3471" s="102" t="s">
        <v>5924</v>
      </c>
      <c r="L3471" s="102" t="str">
        <f>V276</f>
        <v>J1a2a1a2d2b2b2c4d2a2a3~</v>
      </c>
      <c r="M3471" s="102" t="s">
        <v>5925</v>
      </c>
      <c r="N3471" s="102" t="s">
        <v>5926</v>
      </c>
      <c r="O3471" s="105">
        <v>2735198.0</v>
      </c>
      <c r="P3471" s="105">
        <v>2867157.0</v>
      </c>
      <c r="Q3471" s="102" t="s">
        <v>2439</v>
      </c>
      <c r="S3471" s="1"/>
      <c r="T3471" s="1"/>
      <c r="U3471" s="1"/>
      <c r="V3471" s="1"/>
      <c r="W3471" s="1"/>
      <c r="X3471" s="1"/>
      <c r="Y3471" s="1"/>
      <c r="Z3471" s="102"/>
      <c r="AA3471" s="102"/>
      <c r="AB3471" s="1"/>
      <c r="AC3471" s="1"/>
      <c r="AD3471" s="1"/>
      <c r="AE3471" s="1"/>
      <c r="AF3471" s="1"/>
      <c r="AG3471" s="1"/>
    </row>
    <row r="3472" ht="15.75" customHeight="1">
      <c r="A3472" s="1"/>
      <c r="B3472" s="1"/>
      <c r="C3472" s="1"/>
      <c r="D3472" s="1"/>
      <c r="E3472" s="1"/>
      <c r="F3472" s="1"/>
      <c r="G3472" s="1"/>
      <c r="H3472" s="1"/>
      <c r="I3472" s="1"/>
      <c r="J3472" s="1"/>
      <c r="K3472" s="102" t="s">
        <v>5927</v>
      </c>
      <c r="L3472" s="102" t="str">
        <f>V276</f>
        <v>J1a2a1a2d2b2b2c4d2a2a3~</v>
      </c>
      <c r="M3472" s="102" t="s">
        <v>5928</v>
      </c>
      <c r="N3472" s="102" t="s">
        <v>5926</v>
      </c>
      <c r="O3472" s="105">
        <v>2735198.0</v>
      </c>
      <c r="P3472" s="105">
        <v>2867157.0</v>
      </c>
      <c r="Q3472" s="102" t="s">
        <v>2439</v>
      </c>
      <c r="S3472" s="1"/>
      <c r="T3472" s="1"/>
      <c r="U3472" s="1"/>
      <c r="V3472" s="1"/>
      <c r="W3472" s="1"/>
      <c r="X3472" s="1"/>
      <c r="Y3472" s="1"/>
      <c r="Z3472" s="102"/>
      <c r="AA3472" s="102"/>
      <c r="AB3472" s="1"/>
      <c r="AC3472" s="1"/>
      <c r="AD3472" s="1"/>
      <c r="AE3472" s="1"/>
      <c r="AF3472" s="1"/>
      <c r="AG3472" s="1"/>
    </row>
    <row r="3473" ht="15.75" customHeight="1">
      <c r="A3473" s="1"/>
      <c r="B3473" s="1"/>
      <c r="C3473" s="1"/>
      <c r="D3473" s="1"/>
      <c r="E3473" s="1"/>
      <c r="F3473" s="1"/>
      <c r="G3473" s="1"/>
      <c r="H3473" s="1"/>
      <c r="I3473" s="1"/>
      <c r="J3473" s="1"/>
      <c r="K3473" s="102" t="s">
        <v>5929</v>
      </c>
      <c r="L3473" s="102" t="str">
        <f>V276</f>
        <v>J1a2a1a2d2b2b2c4d2a2a3~</v>
      </c>
      <c r="M3473" s="102" t="s">
        <v>5930</v>
      </c>
      <c r="N3473" s="102" t="s">
        <v>5926</v>
      </c>
      <c r="O3473" s="105">
        <v>2735198.0</v>
      </c>
      <c r="P3473" s="105">
        <v>2867157.0</v>
      </c>
      <c r="Q3473" s="102" t="s">
        <v>2439</v>
      </c>
      <c r="S3473" s="1"/>
      <c r="T3473" s="1"/>
      <c r="U3473" s="1"/>
      <c r="V3473" s="1"/>
      <c r="W3473" s="1"/>
      <c r="X3473" s="1"/>
      <c r="Y3473" s="1"/>
      <c r="Z3473" s="102"/>
      <c r="AA3473" s="102"/>
      <c r="AB3473" s="1"/>
      <c r="AC3473" s="1"/>
      <c r="AD3473" s="1"/>
      <c r="AE3473" s="1"/>
      <c r="AF3473" s="1"/>
      <c r="AG3473" s="1"/>
    </row>
    <row r="3474" ht="15.75" customHeight="1">
      <c r="A3474" s="1"/>
      <c r="B3474" s="1"/>
      <c r="C3474" s="1"/>
      <c r="D3474" s="1"/>
      <c r="E3474" s="1"/>
      <c r="F3474" s="1"/>
      <c r="G3474" s="1"/>
      <c r="H3474" s="1"/>
      <c r="I3474" s="1"/>
      <c r="J3474" s="1"/>
      <c r="K3474" s="102" t="s">
        <v>5931</v>
      </c>
      <c r="L3474" s="102" t="str">
        <f>W277</f>
        <v>J1a2a1a2d2b2b2c4d2a2a3a~</v>
      </c>
      <c r="M3474" s="102"/>
      <c r="N3474" s="102"/>
      <c r="O3474" s="105">
        <v>1.3859155E7</v>
      </c>
      <c r="P3474" s="105">
        <v>1.1738449E7</v>
      </c>
      <c r="Q3474" s="102" t="s">
        <v>2439</v>
      </c>
      <c r="S3474" s="1"/>
      <c r="T3474" s="1"/>
      <c r="U3474" s="1"/>
      <c r="V3474" s="1"/>
      <c r="W3474" s="1"/>
      <c r="X3474" s="1"/>
      <c r="Y3474" s="1"/>
      <c r="Z3474" s="102"/>
      <c r="AA3474" s="102"/>
      <c r="AB3474" s="1"/>
      <c r="AC3474" s="1"/>
      <c r="AD3474" s="1"/>
      <c r="AE3474" s="1"/>
      <c r="AF3474" s="1"/>
      <c r="AG3474" s="1"/>
    </row>
    <row r="3475" ht="15.75" customHeight="1">
      <c r="A3475" s="1"/>
      <c r="B3475" s="1"/>
      <c r="C3475" s="1"/>
      <c r="D3475" s="1"/>
      <c r="E3475" s="1"/>
      <c r="F3475" s="1"/>
      <c r="G3475" s="1"/>
      <c r="H3475" s="1"/>
      <c r="I3475" s="1"/>
      <c r="J3475" s="1"/>
      <c r="K3475" s="102" t="s">
        <v>5932</v>
      </c>
      <c r="L3475" s="102" t="str">
        <f>W277</f>
        <v>J1a2a1a2d2b2b2c4d2a2a3a~</v>
      </c>
      <c r="M3475" s="102"/>
      <c r="N3475" s="102" t="s">
        <v>5933</v>
      </c>
      <c r="O3475" s="105">
        <v>1.6273666E7</v>
      </c>
      <c r="P3475" s="105">
        <v>1.4161786E7</v>
      </c>
      <c r="Q3475" s="102" t="s">
        <v>2514</v>
      </c>
      <c r="S3475" s="1"/>
      <c r="T3475" s="1"/>
      <c r="U3475" s="1"/>
      <c r="V3475" s="1"/>
      <c r="W3475" s="1"/>
      <c r="X3475" s="1"/>
      <c r="Y3475" s="1"/>
      <c r="Z3475" s="102"/>
      <c r="AA3475" s="102"/>
      <c r="AB3475" s="1"/>
      <c r="AC3475" s="1"/>
      <c r="AD3475" s="1"/>
      <c r="AE3475" s="1"/>
      <c r="AF3475" s="1"/>
      <c r="AG3475" s="1"/>
    </row>
    <row r="3476" ht="15.75" customHeight="1">
      <c r="A3476" s="1"/>
      <c r="B3476" s="1"/>
      <c r="C3476" s="1"/>
      <c r="D3476" s="1"/>
      <c r="E3476" s="1"/>
      <c r="F3476" s="1"/>
      <c r="G3476" s="1"/>
      <c r="H3476" s="1"/>
      <c r="I3476" s="1"/>
      <c r="J3476" s="1"/>
      <c r="K3476" s="102" t="s">
        <v>5934</v>
      </c>
      <c r="L3476" s="102" t="str">
        <f>W277</f>
        <v>J1a2a1a2d2b2b2c4d2a2a3a~</v>
      </c>
      <c r="M3476" s="102"/>
      <c r="N3476" s="102" t="s">
        <v>5935</v>
      </c>
      <c r="O3476" s="105">
        <v>1.6490189E7</v>
      </c>
      <c r="P3476" s="105">
        <v>1.4378309E7</v>
      </c>
      <c r="Q3476" s="102" t="s">
        <v>2439</v>
      </c>
      <c r="S3476" s="1"/>
      <c r="T3476" s="1"/>
      <c r="U3476" s="1"/>
      <c r="V3476" s="1"/>
      <c r="W3476" s="1"/>
      <c r="X3476" s="1"/>
      <c r="Y3476" s="1"/>
      <c r="Z3476" s="102"/>
      <c r="AA3476" s="102"/>
      <c r="AB3476" s="1"/>
      <c r="AC3476" s="1"/>
      <c r="AD3476" s="1"/>
      <c r="AE3476" s="1"/>
      <c r="AF3476" s="1"/>
      <c r="AG3476" s="1"/>
    </row>
    <row r="3477" ht="15.75" customHeight="1">
      <c r="A3477" s="1"/>
      <c r="B3477" s="1"/>
      <c r="C3477" s="1"/>
      <c r="D3477" s="1"/>
      <c r="E3477" s="1"/>
      <c r="F3477" s="1"/>
      <c r="G3477" s="1"/>
      <c r="H3477" s="1"/>
      <c r="I3477" s="1"/>
      <c r="J3477" s="1"/>
      <c r="K3477" s="102" t="s">
        <v>5936</v>
      </c>
      <c r="L3477" s="102" t="str">
        <f>W277</f>
        <v>J1a2a1a2d2b2b2c4d2a2a3a~</v>
      </c>
      <c r="M3477" s="102"/>
      <c r="N3477" s="102" t="s">
        <v>5937</v>
      </c>
      <c r="O3477" s="105">
        <v>1.7618042E7</v>
      </c>
      <c r="P3477" s="105">
        <v>1.5506162E7</v>
      </c>
      <c r="Q3477" s="102" t="s">
        <v>2439</v>
      </c>
      <c r="S3477" s="1"/>
      <c r="T3477" s="1"/>
      <c r="U3477" s="1"/>
      <c r="V3477" s="1"/>
      <c r="W3477" s="1"/>
      <c r="X3477" s="1"/>
      <c r="Y3477" s="1"/>
      <c r="Z3477" s="102"/>
      <c r="AA3477" s="102"/>
      <c r="AB3477" s="1"/>
      <c r="AC3477" s="1"/>
      <c r="AD3477" s="1"/>
      <c r="AE3477" s="1"/>
      <c r="AF3477" s="1"/>
      <c r="AG3477" s="1"/>
    </row>
    <row r="3478" ht="15.75" customHeight="1">
      <c r="A3478" s="1"/>
      <c r="B3478" s="1"/>
      <c r="C3478" s="1"/>
      <c r="D3478" s="1"/>
      <c r="E3478" s="1"/>
      <c r="F3478" s="1"/>
      <c r="G3478" s="1"/>
      <c r="H3478" s="1"/>
      <c r="I3478" s="1"/>
      <c r="J3478" s="1"/>
      <c r="K3478" s="102" t="s">
        <v>5938</v>
      </c>
      <c r="L3478" s="102" t="str">
        <f>W277</f>
        <v>J1a2a1a2d2b2b2c4d2a2a3a~</v>
      </c>
      <c r="M3478" s="102"/>
      <c r="N3478" s="102" t="s">
        <v>5939</v>
      </c>
      <c r="O3478" s="105">
        <v>7721649.0</v>
      </c>
      <c r="P3478" s="105">
        <v>7853608.0</v>
      </c>
      <c r="Q3478" s="102" t="s">
        <v>2468</v>
      </c>
      <c r="S3478" s="1"/>
      <c r="T3478" s="1"/>
      <c r="U3478" s="1"/>
      <c r="V3478" s="1"/>
      <c r="W3478" s="1"/>
      <c r="X3478" s="1"/>
      <c r="Y3478" s="1"/>
      <c r="Z3478" s="102"/>
      <c r="AA3478" s="102"/>
      <c r="AB3478" s="1"/>
      <c r="AC3478" s="1"/>
      <c r="AD3478" s="1"/>
      <c r="AE3478" s="1"/>
      <c r="AF3478" s="1"/>
      <c r="AG3478" s="1"/>
    </row>
    <row r="3479" ht="15.75" customHeight="1">
      <c r="A3479" s="1"/>
      <c r="B3479" s="1"/>
      <c r="C3479" s="1"/>
      <c r="D3479" s="1"/>
      <c r="E3479" s="1"/>
      <c r="F3479" s="1"/>
      <c r="G3479" s="1"/>
      <c r="H3479" s="1"/>
      <c r="I3479" s="1"/>
      <c r="J3479" s="1"/>
      <c r="K3479" s="102" t="s">
        <v>5940</v>
      </c>
      <c r="L3479" s="102" t="str">
        <f>X278</f>
        <v>J1a2a1a2d2b2b2c4d2a2a3a1~</v>
      </c>
      <c r="M3479" s="102" t="s">
        <v>5941</v>
      </c>
      <c r="N3479" s="102" t="s">
        <v>5942</v>
      </c>
      <c r="O3479" s="105">
        <v>8494237.0</v>
      </c>
      <c r="P3479" s="105">
        <v>8626196.0</v>
      </c>
      <c r="Q3479" s="102" t="s">
        <v>2514</v>
      </c>
      <c r="S3479" s="1"/>
      <c r="T3479" s="1"/>
      <c r="U3479" s="1"/>
      <c r="V3479" s="1"/>
      <c r="W3479" s="1"/>
      <c r="X3479" s="1"/>
      <c r="Y3479" s="1"/>
      <c r="Z3479" s="102"/>
      <c r="AA3479" s="102"/>
      <c r="AB3479" s="1"/>
      <c r="AC3479" s="1"/>
      <c r="AD3479" s="1"/>
      <c r="AE3479" s="1"/>
      <c r="AF3479" s="1"/>
      <c r="AG3479" s="1"/>
    </row>
    <row r="3480" ht="15.75" customHeight="1">
      <c r="A3480" s="1"/>
      <c r="B3480" s="1"/>
      <c r="C3480" s="1"/>
      <c r="D3480" s="1"/>
      <c r="E3480" s="1"/>
      <c r="F3480" s="1"/>
      <c r="G3480" s="1"/>
      <c r="H3480" s="1"/>
      <c r="I3480" s="1"/>
      <c r="J3480" s="1"/>
      <c r="K3480" s="102" t="s">
        <v>5941</v>
      </c>
      <c r="L3480" s="102" t="str">
        <f>X278</f>
        <v>J1a2a1a2d2b2b2c4d2a2a3a1~</v>
      </c>
      <c r="M3480" s="102" t="s">
        <v>5940</v>
      </c>
      <c r="N3480" s="102" t="s">
        <v>5942</v>
      </c>
      <c r="O3480" s="105">
        <v>8494237.0</v>
      </c>
      <c r="P3480" s="105">
        <v>8626196.0</v>
      </c>
      <c r="Q3480" s="102" t="s">
        <v>2514</v>
      </c>
      <c r="S3480" s="1"/>
      <c r="T3480" s="1"/>
      <c r="U3480" s="1"/>
      <c r="V3480" s="1"/>
      <c r="W3480" s="1"/>
      <c r="X3480" s="1"/>
      <c r="Y3480" s="1"/>
      <c r="Z3480" s="102"/>
      <c r="AA3480" s="102"/>
      <c r="AB3480" s="1"/>
      <c r="AC3480" s="1"/>
      <c r="AD3480" s="1"/>
      <c r="AE3480" s="1"/>
      <c r="AF3480" s="1"/>
      <c r="AG3480" s="1"/>
    </row>
    <row r="3481" ht="15.75" customHeight="1">
      <c r="A3481" s="1"/>
      <c r="B3481" s="1"/>
      <c r="C3481" s="1"/>
      <c r="D3481" s="1"/>
      <c r="E3481" s="1"/>
      <c r="F3481" s="1"/>
      <c r="G3481" s="1"/>
      <c r="H3481" s="1"/>
      <c r="I3481" s="1"/>
      <c r="J3481" s="1"/>
      <c r="K3481" s="102" t="s">
        <v>5943</v>
      </c>
      <c r="L3481" s="102" t="str">
        <f>X278</f>
        <v>J1a2a1a2d2b2b2c4d2a2a3a1~</v>
      </c>
      <c r="M3481" s="102" t="s">
        <v>5944</v>
      </c>
      <c r="N3481" s="102" t="s">
        <v>5945</v>
      </c>
      <c r="O3481" s="105">
        <v>2.2957288E7</v>
      </c>
      <c r="P3481" s="105">
        <v>2.0795402E7</v>
      </c>
      <c r="Q3481" s="102" t="s">
        <v>2529</v>
      </c>
      <c r="S3481" s="1"/>
      <c r="T3481" s="1"/>
      <c r="U3481" s="1"/>
      <c r="V3481" s="1"/>
      <c r="W3481" s="1"/>
      <c r="X3481" s="1"/>
      <c r="Y3481" s="1"/>
      <c r="Z3481" s="102"/>
      <c r="AA3481" s="102"/>
      <c r="AB3481" s="1"/>
      <c r="AC3481" s="1"/>
      <c r="AD3481" s="1"/>
      <c r="AE3481" s="1"/>
      <c r="AF3481" s="1"/>
      <c r="AG3481" s="1"/>
    </row>
    <row r="3482" ht="15.75" customHeight="1">
      <c r="A3482" s="1"/>
      <c r="B3482" s="1"/>
      <c r="C3482" s="1"/>
      <c r="D3482" s="1"/>
      <c r="E3482" s="1"/>
      <c r="F3482" s="1"/>
      <c r="G3482" s="1"/>
      <c r="H3482" s="1"/>
      <c r="I3482" s="1"/>
      <c r="J3482" s="1"/>
      <c r="K3482" s="102" t="s">
        <v>5944</v>
      </c>
      <c r="L3482" s="102" t="str">
        <f>X278</f>
        <v>J1a2a1a2d2b2b2c4d2a2a3a1~</v>
      </c>
      <c r="M3482" s="102" t="s">
        <v>5943</v>
      </c>
      <c r="N3482" s="102" t="s">
        <v>5945</v>
      </c>
      <c r="O3482" s="105">
        <v>2.2957288E7</v>
      </c>
      <c r="P3482" s="105">
        <v>2.0795402E7</v>
      </c>
      <c r="Q3482" s="102" t="s">
        <v>2529</v>
      </c>
      <c r="S3482" s="1"/>
      <c r="T3482" s="1"/>
      <c r="U3482" s="1"/>
      <c r="V3482" s="1"/>
      <c r="W3482" s="1"/>
      <c r="X3482" s="1"/>
      <c r="Y3482" s="1"/>
      <c r="Z3482" s="102"/>
      <c r="AA3482" s="102"/>
      <c r="AB3482" s="1"/>
      <c r="AC3482" s="1"/>
      <c r="AD3482" s="1"/>
      <c r="AE3482" s="1"/>
      <c r="AF3482" s="1"/>
      <c r="AG3482" s="1"/>
    </row>
    <row r="3483" ht="15.75" customHeight="1">
      <c r="A3483" s="1"/>
      <c r="B3483" s="1"/>
      <c r="C3483" s="1"/>
      <c r="D3483" s="1"/>
      <c r="E3483" s="1"/>
      <c r="F3483" s="1"/>
      <c r="G3483" s="1"/>
      <c r="H3483" s="1"/>
      <c r="I3483" s="1"/>
      <c r="J3483" s="1"/>
      <c r="K3483" s="102" t="s">
        <v>5946</v>
      </c>
      <c r="L3483" s="102" t="str">
        <f>X278</f>
        <v>J1a2a1a2d2b2b2c4d2a2a3a1~</v>
      </c>
      <c r="M3483" s="102"/>
      <c r="N3483" s="102"/>
      <c r="O3483" s="105">
        <v>7423816.0</v>
      </c>
      <c r="P3483" s="105">
        <v>7555775.0</v>
      </c>
      <c r="Q3483" s="102" t="s">
        <v>2576</v>
      </c>
      <c r="S3483" s="1"/>
      <c r="T3483" s="1"/>
      <c r="U3483" s="1"/>
      <c r="V3483" s="1"/>
      <c r="W3483" s="1"/>
      <c r="X3483" s="1"/>
      <c r="Y3483" s="1"/>
      <c r="Z3483" s="102"/>
      <c r="AA3483" s="102"/>
      <c r="AB3483" s="1"/>
      <c r="AC3483" s="1"/>
      <c r="AD3483" s="1"/>
      <c r="AE3483" s="1"/>
      <c r="AF3483" s="1"/>
      <c r="AG3483" s="1"/>
    </row>
    <row r="3484" ht="15.75" customHeight="1">
      <c r="A3484" s="1"/>
      <c r="B3484" s="1"/>
      <c r="C3484" s="1"/>
      <c r="D3484" s="1"/>
      <c r="E3484" s="1"/>
      <c r="F3484" s="1"/>
      <c r="G3484" s="1"/>
      <c r="H3484" s="1"/>
      <c r="I3484" s="1"/>
      <c r="J3484" s="1"/>
      <c r="K3484" s="102" t="s">
        <v>5947</v>
      </c>
      <c r="L3484" s="102" t="str">
        <f>X278</f>
        <v>J1a2a1a2d2b2b2c4d2a2a3a1~</v>
      </c>
      <c r="M3484" s="102"/>
      <c r="N3484" s="102" t="s">
        <v>5948</v>
      </c>
      <c r="O3484" s="105">
        <v>8414756.0</v>
      </c>
      <c r="P3484" s="105">
        <v>8546715.0</v>
      </c>
      <c r="Q3484" s="102" t="s">
        <v>2514</v>
      </c>
      <c r="S3484" s="1"/>
      <c r="T3484" s="1"/>
      <c r="U3484" s="1"/>
      <c r="V3484" s="1"/>
      <c r="W3484" s="1"/>
      <c r="X3484" s="1"/>
      <c r="Y3484" s="1"/>
      <c r="Z3484" s="102"/>
      <c r="AA3484" s="102"/>
      <c r="AB3484" s="1"/>
      <c r="AC3484" s="1"/>
      <c r="AD3484" s="1"/>
      <c r="AE3484" s="1"/>
      <c r="AF3484" s="1"/>
      <c r="AG3484" s="1"/>
    </row>
    <row r="3485" ht="15.75" customHeight="1">
      <c r="A3485" s="1"/>
      <c r="B3485" s="1"/>
      <c r="C3485" s="1"/>
      <c r="D3485" s="1"/>
      <c r="E3485" s="1"/>
      <c r="F3485" s="1"/>
      <c r="G3485" s="1"/>
      <c r="H3485" s="1"/>
      <c r="I3485" s="1"/>
      <c r="J3485" s="1"/>
      <c r="K3485" s="102" t="s">
        <v>5949</v>
      </c>
      <c r="L3485" s="102" t="str">
        <f>X278</f>
        <v>J1a2a1a2d2b2b2c4d2a2a3a1~</v>
      </c>
      <c r="M3485" s="102"/>
      <c r="N3485" s="102" t="s">
        <v>5950</v>
      </c>
      <c r="O3485" s="105">
        <v>9061255.0</v>
      </c>
      <c r="P3485" s="105">
        <v>9223646.0</v>
      </c>
      <c r="Q3485" s="102" t="s">
        <v>2446</v>
      </c>
      <c r="S3485" s="1"/>
      <c r="T3485" s="1"/>
      <c r="U3485" s="1"/>
      <c r="V3485" s="1"/>
      <c r="W3485" s="1"/>
      <c r="X3485" s="1"/>
      <c r="Y3485" s="1"/>
      <c r="Z3485" s="102"/>
      <c r="AA3485" s="102"/>
      <c r="AB3485" s="1"/>
      <c r="AC3485" s="1"/>
      <c r="AD3485" s="1"/>
      <c r="AE3485" s="1"/>
      <c r="AF3485" s="1"/>
      <c r="AG3485" s="1"/>
    </row>
    <row r="3486" ht="15.75" customHeight="1">
      <c r="A3486" s="1"/>
      <c r="B3486" s="1"/>
      <c r="C3486" s="1"/>
      <c r="D3486" s="1"/>
      <c r="E3486" s="1"/>
      <c r="F3486" s="1"/>
      <c r="G3486" s="1"/>
      <c r="H3486" s="1"/>
      <c r="I3486" s="1"/>
      <c r="J3486" s="1"/>
      <c r="K3486" s="102" t="s">
        <v>5951</v>
      </c>
      <c r="L3486" s="102" t="str">
        <f>X278</f>
        <v>J1a2a1a2d2b2b2c4d2a2a3a1~</v>
      </c>
      <c r="M3486" s="102"/>
      <c r="N3486" s="102" t="s">
        <v>5952</v>
      </c>
      <c r="O3486" s="105">
        <v>9072983.0</v>
      </c>
      <c r="P3486" s="105">
        <v>9235374.0</v>
      </c>
      <c r="Q3486" s="102" t="s">
        <v>2439</v>
      </c>
      <c r="S3486" s="1"/>
      <c r="T3486" s="1"/>
      <c r="U3486" s="1"/>
      <c r="V3486" s="1"/>
      <c r="W3486" s="1"/>
      <c r="X3486" s="1"/>
      <c r="Y3486" s="1"/>
      <c r="Z3486" s="102"/>
      <c r="AA3486" s="102"/>
      <c r="AB3486" s="1"/>
      <c r="AC3486" s="1"/>
      <c r="AD3486" s="1"/>
      <c r="AE3486" s="1"/>
      <c r="AF3486" s="1"/>
      <c r="AG3486" s="1"/>
    </row>
    <row r="3487" ht="15.75" customHeight="1">
      <c r="A3487" s="1"/>
      <c r="B3487" s="1"/>
      <c r="C3487" s="1"/>
      <c r="D3487" s="1"/>
      <c r="E3487" s="1"/>
      <c r="F3487" s="1"/>
      <c r="G3487" s="1"/>
      <c r="H3487" s="1"/>
      <c r="I3487" s="1"/>
      <c r="J3487" s="1"/>
      <c r="K3487" s="102" t="s">
        <v>5953</v>
      </c>
      <c r="L3487" s="102" t="str">
        <f>X278</f>
        <v>J1a2a1a2d2b2b2c4d2a2a3a1~</v>
      </c>
      <c r="M3487" s="102"/>
      <c r="N3487" s="102" t="s">
        <v>5954</v>
      </c>
      <c r="O3487" s="105">
        <v>1.5212179E7</v>
      </c>
      <c r="P3487" s="105">
        <v>1.3100265E7</v>
      </c>
      <c r="Q3487" s="102" t="s">
        <v>2501</v>
      </c>
      <c r="S3487" s="1"/>
      <c r="T3487" s="1"/>
      <c r="U3487" s="1"/>
      <c r="V3487" s="1"/>
      <c r="W3487" s="1"/>
      <c r="X3487" s="1"/>
      <c r="Y3487" s="1"/>
      <c r="Z3487" s="102"/>
      <c r="AA3487" s="102"/>
      <c r="AB3487" s="1"/>
      <c r="AC3487" s="1"/>
      <c r="AD3487" s="1"/>
      <c r="AE3487" s="1"/>
      <c r="AF3487" s="1"/>
      <c r="AG3487" s="1"/>
    </row>
    <row r="3488" ht="15.75" customHeight="1">
      <c r="A3488" s="1"/>
      <c r="B3488" s="1"/>
      <c r="C3488" s="1"/>
      <c r="D3488" s="1"/>
      <c r="E3488" s="1"/>
      <c r="F3488" s="1"/>
      <c r="G3488" s="1"/>
      <c r="H3488" s="1"/>
      <c r="I3488" s="1"/>
      <c r="J3488" s="1"/>
      <c r="K3488" s="102" t="s">
        <v>5955</v>
      </c>
      <c r="L3488" s="102" t="str">
        <f>X278</f>
        <v>J1a2a1a2d2b2b2c4d2a2a3a1~</v>
      </c>
      <c r="M3488" s="102"/>
      <c r="N3488" s="102" t="s">
        <v>5956</v>
      </c>
      <c r="O3488" s="105">
        <v>1.5753896E7</v>
      </c>
      <c r="P3488" s="105">
        <v>1.3642016E7</v>
      </c>
      <c r="Q3488" s="102" t="s">
        <v>2468</v>
      </c>
      <c r="S3488" s="1"/>
      <c r="T3488" s="1"/>
      <c r="U3488" s="1"/>
      <c r="V3488" s="1"/>
      <c r="W3488" s="1"/>
      <c r="X3488" s="1"/>
      <c r="Y3488" s="1"/>
      <c r="Z3488" s="102"/>
      <c r="AA3488" s="102"/>
      <c r="AB3488" s="1"/>
      <c r="AC3488" s="1"/>
      <c r="AD3488" s="1"/>
      <c r="AE3488" s="1"/>
      <c r="AF3488" s="1"/>
      <c r="AG3488" s="1"/>
    </row>
    <row r="3489" ht="15.75" customHeight="1">
      <c r="A3489" s="1"/>
      <c r="B3489" s="1"/>
      <c r="C3489" s="1"/>
      <c r="D3489" s="1"/>
      <c r="E3489" s="1"/>
      <c r="F3489" s="1"/>
      <c r="G3489" s="1"/>
      <c r="H3489" s="1"/>
      <c r="I3489" s="1"/>
      <c r="J3489" s="1"/>
      <c r="K3489" s="102" t="s">
        <v>5957</v>
      </c>
      <c r="L3489" s="102" t="str">
        <f>X278</f>
        <v>J1a2a1a2d2b2b2c4d2a2a3a1~</v>
      </c>
      <c r="M3489" s="102"/>
      <c r="N3489" s="102" t="s">
        <v>5958</v>
      </c>
      <c r="O3489" s="105">
        <v>1.6301386E7</v>
      </c>
      <c r="P3489" s="105">
        <v>1.4189506E7</v>
      </c>
      <c r="Q3489" s="102" t="s">
        <v>2533</v>
      </c>
      <c r="S3489" s="1"/>
      <c r="T3489" s="1"/>
      <c r="U3489" s="1"/>
      <c r="V3489" s="1"/>
      <c r="W3489" s="1"/>
      <c r="X3489" s="1"/>
      <c r="Y3489" s="1"/>
      <c r="Z3489" s="102"/>
      <c r="AA3489" s="102"/>
      <c r="AB3489" s="1"/>
      <c r="AC3489" s="1"/>
      <c r="AD3489" s="1"/>
      <c r="AE3489" s="1"/>
      <c r="AF3489" s="1"/>
      <c r="AG3489" s="1"/>
    </row>
    <row r="3490" ht="15.75" customHeight="1">
      <c r="A3490" s="1"/>
      <c r="B3490" s="1"/>
      <c r="C3490" s="1"/>
      <c r="D3490" s="1"/>
      <c r="E3490" s="1"/>
      <c r="F3490" s="1"/>
      <c r="G3490" s="1"/>
      <c r="H3490" s="1"/>
      <c r="I3490" s="1"/>
      <c r="J3490" s="1"/>
      <c r="K3490" s="102" t="s">
        <v>5959</v>
      </c>
      <c r="L3490" s="102" t="str">
        <f>X278</f>
        <v>J1a2a1a2d2b2b2c4d2a2a3a1~</v>
      </c>
      <c r="M3490" s="102"/>
      <c r="N3490" s="102" t="s">
        <v>5960</v>
      </c>
      <c r="O3490" s="105">
        <v>1.6661441E7</v>
      </c>
      <c r="P3490" s="105">
        <v>1.4549561E7</v>
      </c>
      <c r="Q3490" s="102" t="s">
        <v>2423</v>
      </c>
      <c r="S3490" s="1"/>
      <c r="T3490" s="1"/>
      <c r="U3490" s="1"/>
      <c r="V3490" s="1"/>
      <c r="W3490" s="1"/>
      <c r="X3490" s="1"/>
      <c r="Y3490" s="1"/>
      <c r="Z3490" s="102"/>
      <c r="AA3490" s="102"/>
      <c r="AB3490" s="1"/>
      <c r="AC3490" s="1"/>
      <c r="AD3490" s="1"/>
      <c r="AE3490" s="1"/>
      <c r="AF3490" s="1"/>
      <c r="AG3490" s="1"/>
    </row>
    <row r="3491" ht="15.75" customHeight="1">
      <c r="A3491" s="1"/>
      <c r="B3491" s="1"/>
      <c r="C3491" s="1"/>
      <c r="D3491" s="1"/>
      <c r="E3491" s="1"/>
      <c r="F3491" s="1"/>
      <c r="G3491" s="1"/>
      <c r="H3491" s="1"/>
      <c r="I3491" s="1"/>
      <c r="J3491" s="1"/>
      <c r="K3491" s="102" t="s">
        <v>5961</v>
      </c>
      <c r="L3491" s="102" t="str">
        <f>X278</f>
        <v>J1a2a1a2d2b2b2c4d2a2a3a1~</v>
      </c>
      <c r="M3491" s="102"/>
      <c r="N3491" s="102" t="s">
        <v>5962</v>
      </c>
      <c r="O3491" s="105">
        <v>1.7300027E7</v>
      </c>
      <c r="P3491" s="105">
        <v>1.5188147E7</v>
      </c>
      <c r="Q3491" s="102" t="s">
        <v>2423</v>
      </c>
      <c r="S3491" s="1"/>
      <c r="T3491" s="1"/>
      <c r="U3491" s="1"/>
      <c r="V3491" s="1"/>
      <c r="W3491" s="1"/>
      <c r="X3491" s="1"/>
      <c r="Y3491" s="1"/>
      <c r="Z3491" s="102"/>
      <c r="AA3491" s="102"/>
      <c r="AB3491" s="1"/>
      <c r="AC3491" s="1"/>
      <c r="AD3491" s="1"/>
      <c r="AE3491" s="1"/>
      <c r="AF3491" s="1"/>
      <c r="AG3491" s="1"/>
    </row>
    <row r="3492" ht="15.75" customHeight="1">
      <c r="A3492" s="1"/>
      <c r="B3492" s="1"/>
      <c r="C3492" s="1"/>
      <c r="D3492" s="1"/>
      <c r="E3492" s="1"/>
      <c r="F3492" s="1"/>
      <c r="G3492" s="1"/>
      <c r="H3492" s="1"/>
      <c r="I3492" s="1"/>
      <c r="J3492" s="1"/>
      <c r="K3492" s="102" t="s">
        <v>5963</v>
      </c>
      <c r="L3492" s="102" t="str">
        <f>X278</f>
        <v>J1a2a1a2d2b2b2c4d2a2a3a1~</v>
      </c>
      <c r="M3492" s="102"/>
      <c r="N3492" s="102" t="s">
        <v>5964</v>
      </c>
      <c r="O3492" s="105">
        <v>1.7552355E7</v>
      </c>
      <c r="P3492" s="105">
        <v>1.5440475E7</v>
      </c>
      <c r="Q3492" s="102" t="s">
        <v>2468</v>
      </c>
      <c r="S3492" s="1"/>
      <c r="T3492" s="1"/>
      <c r="U3492" s="1"/>
      <c r="V3492" s="1"/>
      <c r="W3492" s="1"/>
      <c r="X3492" s="1"/>
      <c r="Y3492" s="1"/>
      <c r="Z3492" s="102"/>
      <c r="AA3492" s="102"/>
      <c r="AB3492" s="1"/>
      <c r="AC3492" s="1"/>
      <c r="AD3492" s="1"/>
      <c r="AE3492" s="1"/>
      <c r="AF3492" s="1"/>
      <c r="AG3492" s="1"/>
    </row>
    <row r="3493" ht="15.75" customHeight="1">
      <c r="A3493" s="1"/>
      <c r="B3493" s="1"/>
      <c r="C3493" s="1"/>
      <c r="D3493" s="1"/>
      <c r="E3493" s="1"/>
      <c r="F3493" s="1"/>
      <c r="G3493" s="1"/>
      <c r="H3493" s="1"/>
      <c r="I3493" s="1"/>
      <c r="J3493" s="1"/>
      <c r="K3493" s="102" t="s">
        <v>5965</v>
      </c>
      <c r="L3493" s="102" t="str">
        <f>X278</f>
        <v>J1a2a1a2d2b2b2c4d2a2a3a1~</v>
      </c>
      <c r="M3493" s="102"/>
      <c r="N3493" s="102" t="s">
        <v>5966</v>
      </c>
      <c r="O3493" s="105">
        <v>2.311189E7</v>
      </c>
      <c r="P3493" s="105">
        <v>2.0950004E7</v>
      </c>
      <c r="Q3493" s="102" t="s">
        <v>2576</v>
      </c>
      <c r="S3493" s="1"/>
      <c r="T3493" s="1"/>
      <c r="U3493" s="1"/>
      <c r="V3493" s="1"/>
      <c r="W3493" s="1"/>
      <c r="X3493" s="1"/>
      <c r="Y3493" s="1"/>
      <c r="Z3493" s="102"/>
      <c r="AA3493" s="102"/>
      <c r="AB3493" s="1"/>
      <c r="AC3493" s="1"/>
      <c r="AD3493" s="1"/>
      <c r="AE3493" s="1"/>
      <c r="AF3493" s="1"/>
      <c r="AG3493" s="1"/>
    </row>
    <row r="3494" ht="15.75" customHeight="1">
      <c r="A3494" s="1"/>
      <c r="B3494" s="1"/>
      <c r="C3494" s="1"/>
      <c r="D3494" s="1"/>
      <c r="E3494" s="1"/>
      <c r="F3494" s="1"/>
      <c r="G3494" s="1"/>
      <c r="H3494" s="1"/>
      <c r="I3494" s="1"/>
      <c r="J3494" s="1"/>
      <c r="K3494" s="102" t="s">
        <v>5967</v>
      </c>
      <c r="L3494" s="102" t="str">
        <f>Y279</f>
        <v>J1a2a1a2d2b2b2c4d2a2a3a1a~</v>
      </c>
      <c r="M3494" s="102"/>
      <c r="N3494" s="102" t="s">
        <v>5968</v>
      </c>
      <c r="O3494" s="105">
        <v>1.9296393E7</v>
      </c>
      <c r="P3494" s="105">
        <v>1.7184513E7</v>
      </c>
      <c r="Q3494" s="102" t="s">
        <v>2514</v>
      </c>
      <c r="S3494" s="1"/>
      <c r="T3494" s="1"/>
      <c r="U3494" s="1"/>
      <c r="V3494" s="1"/>
      <c r="W3494" s="1"/>
      <c r="X3494" s="1"/>
      <c r="Y3494" s="1"/>
      <c r="Z3494" s="102"/>
      <c r="AA3494" s="102"/>
      <c r="AB3494" s="1"/>
      <c r="AC3494" s="1"/>
      <c r="AD3494" s="1"/>
      <c r="AE3494" s="1"/>
      <c r="AF3494" s="1"/>
      <c r="AG3494" s="1"/>
    </row>
    <row r="3495" ht="15.75" customHeight="1">
      <c r="A3495" s="1"/>
      <c r="B3495" s="1"/>
      <c r="C3495" s="1"/>
      <c r="D3495" s="1"/>
      <c r="E3495" s="1"/>
      <c r="F3495" s="1"/>
      <c r="G3495" s="1"/>
      <c r="H3495" s="1"/>
      <c r="I3495" s="1"/>
      <c r="J3495" s="1"/>
      <c r="K3495" s="102" t="s">
        <v>5969</v>
      </c>
      <c r="L3495" s="102" t="str">
        <f>Y279</f>
        <v>J1a2a1a2d2b2b2c4d2a2a3a1a~</v>
      </c>
      <c r="M3495" s="102"/>
      <c r="N3495" s="102" t="s">
        <v>5970</v>
      </c>
      <c r="O3495" s="105">
        <v>2.1176277E7</v>
      </c>
      <c r="P3495" s="105">
        <v>1.9014391E7</v>
      </c>
      <c r="Q3495" s="102" t="s">
        <v>2529</v>
      </c>
      <c r="S3495" s="1"/>
      <c r="T3495" s="1"/>
      <c r="U3495" s="1"/>
      <c r="V3495" s="1"/>
      <c r="W3495" s="1"/>
      <c r="X3495" s="1"/>
      <c r="Y3495" s="1"/>
      <c r="Z3495" s="102"/>
      <c r="AA3495" s="102"/>
      <c r="AB3495" s="1"/>
      <c r="AC3495" s="1"/>
      <c r="AD3495" s="1"/>
      <c r="AE3495" s="1"/>
      <c r="AF3495" s="1"/>
      <c r="AG3495" s="1"/>
    </row>
    <row r="3496" ht="15.75" customHeight="1">
      <c r="A3496" s="1"/>
      <c r="B3496" s="1"/>
      <c r="C3496" s="1"/>
      <c r="D3496" s="1"/>
      <c r="E3496" s="1"/>
      <c r="F3496" s="1"/>
      <c r="G3496" s="1"/>
      <c r="H3496" s="1"/>
      <c r="I3496" s="1"/>
      <c r="J3496" s="1"/>
      <c r="K3496" s="102" t="s">
        <v>5971</v>
      </c>
      <c r="L3496" s="102" t="str">
        <f>Y279</f>
        <v>J1a2a1a2d2b2b2c4d2a2a3a1a~</v>
      </c>
      <c r="M3496" s="102"/>
      <c r="N3496" s="102" t="s">
        <v>5972</v>
      </c>
      <c r="O3496" s="105">
        <v>2.2186569E7</v>
      </c>
      <c r="P3496" s="105">
        <v>2.0024683E7</v>
      </c>
      <c r="Q3496" s="102" t="s">
        <v>2439</v>
      </c>
      <c r="S3496" s="1"/>
      <c r="T3496" s="1"/>
      <c r="U3496" s="1"/>
      <c r="V3496" s="1"/>
      <c r="W3496" s="1"/>
      <c r="X3496" s="1"/>
      <c r="Y3496" s="1"/>
      <c r="Z3496" s="102"/>
      <c r="AA3496" s="102"/>
      <c r="AB3496" s="1"/>
      <c r="AC3496" s="1"/>
      <c r="AD3496" s="1"/>
      <c r="AE3496" s="1"/>
      <c r="AF3496" s="1"/>
      <c r="AG3496" s="1"/>
    </row>
    <row r="3497" ht="15.75" customHeight="1">
      <c r="A3497" s="1"/>
      <c r="B3497" s="1"/>
      <c r="C3497" s="1"/>
      <c r="D3497" s="1"/>
      <c r="E3497" s="1"/>
      <c r="F3497" s="1"/>
      <c r="G3497" s="1"/>
      <c r="H3497" s="1"/>
      <c r="I3497" s="1"/>
      <c r="J3497" s="1"/>
      <c r="K3497" s="102" t="s">
        <v>5973</v>
      </c>
      <c r="L3497" s="102" t="str">
        <f>Y279</f>
        <v>J1a2a1a2d2b2b2c4d2a2a3a1a~</v>
      </c>
      <c r="M3497" s="102"/>
      <c r="N3497" s="102" t="s">
        <v>5974</v>
      </c>
      <c r="O3497" s="105">
        <v>2.2779986E7</v>
      </c>
      <c r="P3497" s="105">
        <v>2.06181E7</v>
      </c>
      <c r="Q3497" s="102" t="s">
        <v>2468</v>
      </c>
      <c r="S3497" s="1"/>
      <c r="T3497" s="1"/>
      <c r="U3497" s="1"/>
      <c r="V3497" s="1"/>
      <c r="W3497" s="1"/>
      <c r="X3497" s="1"/>
      <c r="Y3497" s="1"/>
      <c r="Z3497" s="102"/>
      <c r="AA3497" s="102"/>
      <c r="AB3497" s="1"/>
      <c r="AC3497" s="1"/>
      <c r="AD3497" s="1"/>
      <c r="AE3497" s="1"/>
      <c r="AF3497" s="1"/>
      <c r="AG3497" s="1"/>
    </row>
    <row r="3498" ht="15.75" customHeight="1">
      <c r="A3498" s="1"/>
      <c r="B3498" s="1"/>
      <c r="C3498" s="1"/>
      <c r="D3498" s="1"/>
      <c r="E3498" s="1"/>
      <c r="F3498" s="1"/>
      <c r="G3498" s="1"/>
      <c r="H3498" s="1"/>
      <c r="I3498" s="1"/>
      <c r="J3498" s="1"/>
      <c r="K3498" s="102" t="s">
        <v>5975</v>
      </c>
      <c r="L3498" s="102" t="str">
        <f>Y279</f>
        <v>J1a2a1a2d2b2b2c4d2a2a3a1a~</v>
      </c>
      <c r="M3498" s="102"/>
      <c r="N3498" s="102" t="s">
        <v>5976</v>
      </c>
      <c r="O3498" s="105">
        <v>2.3969187E7</v>
      </c>
      <c r="P3498" s="105">
        <v>2.182304E7</v>
      </c>
      <c r="Q3498" s="102" t="s">
        <v>2439</v>
      </c>
      <c r="S3498" s="1"/>
      <c r="T3498" s="1"/>
      <c r="U3498" s="1"/>
      <c r="V3498" s="1"/>
      <c r="W3498" s="1"/>
      <c r="X3498" s="1"/>
      <c r="Y3498" s="1"/>
      <c r="Z3498" s="102"/>
      <c r="AA3498" s="102"/>
      <c r="AB3498" s="1"/>
      <c r="AC3498" s="1"/>
      <c r="AD3498" s="1"/>
      <c r="AE3498" s="1"/>
      <c r="AF3498" s="1"/>
      <c r="AG3498" s="1"/>
    </row>
    <row r="3499" ht="15.75" customHeight="1">
      <c r="A3499" s="1"/>
      <c r="B3499" s="1"/>
      <c r="C3499" s="1"/>
      <c r="D3499" s="1"/>
      <c r="E3499" s="1"/>
      <c r="F3499" s="1"/>
      <c r="G3499" s="1"/>
      <c r="H3499" s="1"/>
      <c r="I3499" s="1"/>
      <c r="J3499" s="1"/>
      <c r="K3499" s="102" t="s">
        <v>5977</v>
      </c>
      <c r="L3499" s="102" t="str">
        <f>W280</f>
        <v>J1a2a1a2d2b2b2c4d2a2a3b~</v>
      </c>
      <c r="M3499" s="102" t="s">
        <v>5978</v>
      </c>
      <c r="N3499" s="102" t="s">
        <v>5979</v>
      </c>
      <c r="O3499" s="105">
        <v>1.6179337E7</v>
      </c>
      <c r="P3499" s="105">
        <v>1.4067457E7</v>
      </c>
      <c r="Q3499" s="102" t="s">
        <v>2439</v>
      </c>
      <c r="S3499" s="1"/>
      <c r="T3499" s="1"/>
      <c r="U3499" s="1"/>
      <c r="V3499" s="1"/>
      <c r="W3499" s="1"/>
      <c r="X3499" s="1"/>
      <c r="Y3499" s="1"/>
      <c r="Z3499" s="102"/>
      <c r="AA3499" s="102"/>
      <c r="AB3499" s="1"/>
      <c r="AC3499" s="1"/>
      <c r="AD3499" s="1"/>
      <c r="AE3499" s="1"/>
      <c r="AF3499" s="1"/>
      <c r="AG3499" s="1"/>
    </row>
    <row r="3500" ht="15.75" customHeight="1">
      <c r="A3500" s="1"/>
      <c r="B3500" s="1"/>
      <c r="C3500" s="1"/>
      <c r="D3500" s="1"/>
      <c r="E3500" s="1"/>
      <c r="F3500" s="1"/>
      <c r="G3500" s="1"/>
      <c r="H3500" s="1"/>
      <c r="I3500" s="1"/>
      <c r="J3500" s="1"/>
      <c r="K3500" s="102" t="s">
        <v>5980</v>
      </c>
      <c r="L3500" s="102" t="str">
        <f>W280</f>
        <v>J1a2a1a2d2b2b2c4d2a2a3b~</v>
      </c>
      <c r="M3500" s="102" t="s">
        <v>5981</v>
      </c>
      <c r="N3500" s="102" t="s">
        <v>5979</v>
      </c>
      <c r="O3500" s="105">
        <v>1.6179337E7</v>
      </c>
      <c r="P3500" s="105">
        <v>1.4067457E7</v>
      </c>
      <c r="Q3500" s="102" t="s">
        <v>2439</v>
      </c>
      <c r="S3500" s="1"/>
      <c r="T3500" s="1"/>
      <c r="U3500" s="1"/>
      <c r="V3500" s="1"/>
      <c r="W3500" s="1"/>
      <c r="X3500" s="1"/>
      <c r="Y3500" s="1"/>
      <c r="Z3500" s="102"/>
      <c r="AA3500" s="102"/>
      <c r="AB3500" s="1"/>
      <c r="AC3500" s="1"/>
      <c r="AD3500" s="1"/>
      <c r="AE3500" s="1"/>
      <c r="AF3500" s="1"/>
      <c r="AG3500" s="1"/>
    </row>
    <row r="3501" ht="15.75" customHeight="1">
      <c r="A3501" s="1"/>
      <c r="B3501" s="1"/>
      <c r="C3501" s="1"/>
      <c r="D3501" s="1"/>
      <c r="E3501" s="1"/>
      <c r="F3501" s="1"/>
      <c r="G3501" s="1"/>
      <c r="H3501" s="1"/>
      <c r="I3501" s="1"/>
      <c r="J3501" s="1"/>
      <c r="K3501" s="102" t="s">
        <v>5982</v>
      </c>
      <c r="L3501" s="102" t="str">
        <f>W280</f>
        <v>J1a2a1a2d2b2b2c4d2a2a3b~</v>
      </c>
      <c r="M3501" s="102" t="s">
        <v>5983</v>
      </c>
      <c r="N3501" s="102" t="s">
        <v>5979</v>
      </c>
      <c r="O3501" s="105">
        <v>1.6179337E7</v>
      </c>
      <c r="P3501" s="105">
        <v>1.4067457E7</v>
      </c>
      <c r="Q3501" s="102" t="s">
        <v>2439</v>
      </c>
      <c r="S3501" s="1"/>
      <c r="T3501" s="1"/>
      <c r="U3501" s="1"/>
      <c r="V3501" s="1"/>
      <c r="W3501" s="1"/>
      <c r="X3501" s="1"/>
      <c r="Y3501" s="1"/>
      <c r="Z3501" s="102"/>
      <c r="AA3501" s="102"/>
      <c r="AB3501" s="1"/>
      <c r="AC3501" s="1"/>
      <c r="AD3501" s="1"/>
      <c r="AE3501" s="1"/>
      <c r="AF3501" s="1"/>
      <c r="AG3501" s="1"/>
    </row>
    <row r="3502" ht="15.75" customHeight="1">
      <c r="A3502" s="1"/>
      <c r="B3502" s="1"/>
      <c r="C3502" s="1"/>
      <c r="D3502" s="1"/>
      <c r="E3502" s="1"/>
      <c r="F3502" s="1"/>
      <c r="G3502" s="1"/>
      <c r="H3502" s="1"/>
      <c r="I3502" s="1"/>
      <c r="J3502" s="1"/>
      <c r="K3502" s="102" t="s">
        <v>5984</v>
      </c>
      <c r="L3502" s="102" t="str">
        <f>X281</f>
        <v>J1a2a1a2d2b2b2c4d2a2a3b1~</v>
      </c>
      <c r="M3502" s="102" t="s">
        <v>5985</v>
      </c>
      <c r="N3502" s="102"/>
      <c r="O3502" s="105">
        <v>8163069.0</v>
      </c>
      <c r="P3502" s="105">
        <v>8295028.0</v>
      </c>
      <c r="Q3502" s="102" t="s">
        <v>2468</v>
      </c>
      <c r="S3502" s="1"/>
      <c r="T3502" s="1"/>
      <c r="U3502" s="1"/>
      <c r="V3502" s="1"/>
      <c r="W3502" s="1"/>
      <c r="X3502" s="1"/>
      <c r="Y3502" s="1"/>
      <c r="Z3502" s="102"/>
      <c r="AA3502" s="102"/>
      <c r="AB3502" s="1"/>
      <c r="AC3502" s="1"/>
      <c r="AD3502" s="1"/>
      <c r="AE3502" s="1"/>
      <c r="AF3502" s="1"/>
      <c r="AG3502" s="1"/>
    </row>
    <row r="3503" ht="15.75" customHeight="1">
      <c r="A3503" s="1"/>
      <c r="B3503" s="1"/>
      <c r="C3503" s="1"/>
      <c r="D3503" s="1"/>
      <c r="E3503" s="1"/>
      <c r="F3503" s="1"/>
      <c r="G3503" s="1"/>
      <c r="H3503" s="1"/>
      <c r="I3503" s="1"/>
      <c r="J3503" s="1"/>
      <c r="K3503" s="102" t="s">
        <v>5985</v>
      </c>
      <c r="L3503" s="102" t="str">
        <f>X281</f>
        <v>J1a2a1a2d2b2b2c4d2a2a3b1~</v>
      </c>
      <c r="M3503" s="102" t="s">
        <v>5984</v>
      </c>
      <c r="N3503" s="102"/>
      <c r="O3503" s="105">
        <v>8163069.0</v>
      </c>
      <c r="P3503" s="105">
        <v>8295028.0</v>
      </c>
      <c r="Q3503" s="102" t="s">
        <v>2468</v>
      </c>
      <c r="S3503" s="1"/>
      <c r="T3503" s="1"/>
      <c r="U3503" s="1"/>
      <c r="V3503" s="1"/>
      <c r="W3503" s="1"/>
      <c r="X3503" s="1"/>
      <c r="Y3503" s="1"/>
      <c r="Z3503" s="102"/>
      <c r="AA3503" s="102"/>
      <c r="AB3503" s="1"/>
      <c r="AC3503" s="1"/>
      <c r="AD3503" s="1"/>
      <c r="AE3503" s="1"/>
      <c r="AF3503" s="1"/>
      <c r="AG3503" s="1"/>
    </row>
    <row r="3504" ht="15.75" customHeight="1">
      <c r="A3504" s="1"/>
      <c r="B3504" s="1"/>
      <c r="C3504" s="1"/>
      <c r="D3504" s="1"/>
      <c r="E3504" s="1"/>
      <c r="F3504" s="1"/>
      <c r="G3504" s="1"/>
      <c r="H3504" s="1"/>
      <c r="I3504" s="1"/>
      <c r="J3504" s="1"/>
      <c r="K3504" s="102" t="s">
        <v>5986</v>
      </c>
      <c r="L3504" s="102" t="str">
        <f>X281</f>
        <v>J1a2a1a2d2b2b2c4d2a2a3b1~</v>
      </c>
      <c r="M3504" s="102" t="s">
        <v>5987</v>
      </c>
      <c r="N3504" s="102"/>
      <c r="O3504" s="105">
        <v>8212217.0</v>
      </c>
      <c r="P3504" s="105">
        <v>8344176.0</v>
      </c>
      <c r="Q3504" s="102" t="s">
        <v>2533</v>
      </c>
      <c r="S3504" s="1"/>
      <c r="T3504" s="1"/>
      <c r="U3504" s="1"/>
      <c r="V3504" s="1"/>
      <c r="W3504" s="1"/>
      <c r="X3504" s="1"/>
      <c r="Y3504" s="1"/>
      <c r="Z3504" s="102"/>
      <c r="AA3504" s="102"/>
      <c r="AB3504" s="1"/>
      <c r="AC3504" s="1"/>
      <c r="AD3504" s="1"/>
      <c r="AE3504" s="1"/>
      <c r="AF3504" s="1"/>
      <c r="AG3504" s="1"/>
    </row>
    <row r="3505" ht="15.75" customHeight="1">
      <c r="A3505" s="1"/>
      <c r="B3505" s="1"/>
      <c r="C3505" s="1"/>
      <c r="D3505" s="1"/>
      <c r="E3505" s="1"/>
      <c r="F3505" s="1"/>
      <c r="G3505" s="1"/>
      <c r="H3505" s="1"/>
      <c r="I3505" s="1"/>
      <c r="J3505" s="1"/>
      <c r="K3505" s="102" t="s">
        <v>5987</v>
      </c>
      <c r="L3505" s="102" t="str">
        <f>X281</f>
        <v>J1a2a1a2d2b2b2c4d2a2a3b1~</v>
      </c>
      <c r="M3505" s="102" t="s">
        <v>5986</v>
      </c>
      <c r="N3505" s="102"/>
      <c r="O3505" s="105">
        <v>8212217.0</v>
      </c>
      <c r="P3505" s="105">
        <v>8344176.0</v>
      </c>
      <c r="Q3505" s="102" t="s">
        <v>2533</v>
      </c>
      <c r="S3505" s="1"/>
      <c r="T3505" s="1"/>
      <c r="U3505" s="1"/>
      <c r="V3505" s="1"/>
      <c r="W3505" s="1"/>
      <c r="X3505" s="1"/>
      <c r="Y3505" s="1"/>
      <c r="Z3505" s="102"/>
      <c r="AA3505" s="102"/>
      <c r="AB3505" s="1"/>
      <c r="AC3505" s="1"/>
      <c r="AD3505" s="1"/>
      <c r="AE3505" s="1"/>
      <c r="AF3505" s="1"/>
      <c r="AG3505" s="1"/>
    </row>
    <row r="3506" ht="15.75" customHeight="1">
      <c r="A3506" s="1"/>
      <c r="B3506" s="1"/>
      <c r="C3506" s="1"/>
      <c r="D3506" s="1"/>
      <c r="E3506" s="1"/>
      <c r="F3506" s="1"/>
      <c r="G3506" s="1"/>
      <c r="H3506" s="1"/>
      <c r="I3506" s="1"/>
      <c r="J3506" s="1"/>
      <c r="K3506" s="102" t="s">
        <v>5988</v>
      </c>
      <c r="L3506" s="102" t="str">
        <f>X281</f>
        <v>J1a2a1a2d2b2b2c4d2a2a3b1~</v>
      </c>
      <c r="M3506" s="102" t="s">
        <v>5989</v>
      </c>
      <c r="N3506" s="102"/>
      <c r="O3506" s="105">
        <v>2.1972444E7</v>
      </c>
      <c r="P3506" s="105">
        <v>1.9810558E7</v>
      </c>
      <c r="Q3506" s="102" t="s">
        <v>2533</v>
      </c>
      <c r="S3506" s="1"/>
      <c r="T3506" s="1"/>
      <c r="U3506" s="1"/>
      <c r="V3506" s="1"/>
      <c r="W3506" s="1"/>
      <c r="X3506" s="1"/>
      <c r="Y3506" s="1"/>
      <c r="Z3506" s="102"/>
      <c r="AA3506" s="102"/>
      <c r="AB3506" s="1"/>
      <c r="AC3506" s="1"/>
      <c r="AD3506" s="1"/>
      <c r="AE3506" s="1"/>
      <c r="AF3506" s="1"/>
      <c r="AG3506" s="1"/>
    </row>
    <row r="3507" ht="15.75" customHeight="1">
      <c r="A3507" s="1"/>
      <c r="B3507" s="1"/>
      <c r="C3507" s="1"/>
      <c r="D3507" s="1"/>
      <c r="E3507" s="1"/>
      <c r="F3507" s="1"/>
      <c r="G3507" s="1"/>
      <c r="H3507" s="1"/>
      <c r="I3507" s="1"/>
      <c r="J3507" s="1"/>
      <c r="K3507" s="102" t="s">
        <v>5989</v>
      </c>
      <c r="L3507" s="102" t="str">
        <f>X281</f>
        <v>J1a2a1a2d2b2b2c4d2a2a3b1~</v>
      </c>
      <c r="M3507" s="102" t="s">
        <v>5988</v>
      </c>
      <c r="N3507" s="102"/>
      <c r="O3507" s="105">
        <v>2.1972444E7</v>
      </c>
      <c r="P3507" s="105">
        <v>1.9810558E7</v>
      </c>
      <c r="Q3507" s="102" t="s">
        <v>2533</v>
      </c>
      <c r="S3507" s="1"/>
      <c r="T3507" s="1"/>
      <c r="U3507" s="1"/>
      <c r="V3507" s="1"/>
      <c r="W3507" s="1"/>
      <c r="X3507" s="1"/>
      <c r="Y3507" s="1"/>
      <c r="Z3507" s="102"/>
      <c r="AA3507" s="102"/>
      <c r="AB3507" s="1"/>
      <c r="AC3507" s="1"/>
      <c r="AD3507" s="1"/>
      <c r="AE3507" s="1"/>
      <c r="AF3507" s="1"/>
      <c r="AG3507" s="1"/>
    </row>
    <row r="3508" ht="15.75" customHeight="1">
      <c r="A3508" s="1"/>
      <c r="B3508" s="1"/>
      <c r="C3508" s="1"/>
      <c r="D3508" s="1"/>
      <c r="E3508" s="1"/>
      <c r="F3508" s="1"/>
      <c r="G3508" s="1"/>
      <c r="H3508" s="1"/>
      <c r="I3508" s="1"/>
      <c r="J3508" s="1"/>
      <c r="K3508" s="102" t="s">
        <v>5990</v>
      </c>
      <c r="L3508" s="102" t="str">
        <f>X281</f>
        <v>J1a2a1a2d2b2b2c4d2a2a3b1~</v>
      </c>
      <c r="M3508" s="102" t="s">
        <v>5991</v>
      </c>
      <c r="N3508" s="102"/>
      <c r="O3508" s="105">
        <v>1.4280599E7</v>
      </c>
      <c r="P3508" s="105">
        <v>1.2159893E7</v>
      </c>
      <c r="Q3508" s="102" t="s">
        <v>2423</v>
      </c>
      <c r="S3508" s="1"/>
      <c r="T3508" s="1"/>
      <c r="U3508" s="1"/>
      <c r="V3508" s="1"/>
      <c r="W3508" s="1"/>
      <c r="X3508" s="1"/>
      <c r="Y3508" s="1"/>
      <c r="Z3508" s="102"/>
      <c r="AA3508" s="102"/>
      <c r="AB3508" s="1"/>
      <c r="AC3508" s="1"/>
      <c r="AD3508" s="1"/>
      <c r="AE3508" s="1"/>
      <c r="AF3508" s="1"/>
      <c r="AG3508" s="1"/>
    </row>
    <row r="3509" ht="15.75" customHeight="1">
      <c r="A3509" s="1"/>
      <c r="B3509" s="1"/>
      <c r="C3509" s="1"/>
      <c r="D3509" s="1"/>
      <c r="E3509" s="1"/>
      <c r="F3509" s="1"/>
      <c r="G3509" s="1"/>
      <c r="H3509" s="1"/>
      <c r="I3509" s="1"/>
      <c r="J3509" s="1"/>
      <c r="K3509" s="102" t="s">
        <v>5991</v>
      </c>
      <c r="L3509" s="102" t="str">
        <f>X281</f>
        <v>J1a2a1a2d2b2b2c4d2a2a3b1~</v>
      </c>
      <c r="M3509" s="102" t="s">
        <v>5990</v>
      </c>
      <c r="N3509" s="102"/>
      <c r="O3509" s="105">
        <v>1.4280599E7</v>
      </c>
      <c r="P3509" s="105">
        <v>1.2159893E7</v>
      </c>
      <c r="Q3509" s="102" t="s">
        <v>2423</v>
      </c>
      <c r="S3509" s="1"/>
      <c r="T3509" s="1"/>
      <c r="U3509" s="1"/>
      <c r="V3509" s="1"/>
      <c r="W3509" s="1"/>
      <c r="X3509" s="1"/>
      <c r="Y3509" s="1"/>
      <c r="Z3509" s="102"/>
      <c r="AA3509" s="102"/>
      <c r="AB3509" s="1"/>
      <c r="AC3509" s="1"/>
      <c r="AD3509" s="1"/>
      <c r="AE3509" s="1"/>
      <c r="AF3509" s="1"/>
      <c r="AG3509" s="1"/>
    </row>
    <row r="3510" ht="15.75" customHeight="1">
      <c r="A3510" s="1"/>
      <c r="B3510" s="1"/>
      <c r="C3510" s="1"/>
      <c r="D3510" s="1"/>
      <c r="E3510" s="1"/>
      <c r="F3510" s="1"/>
      <c r="G3510" s="1"/>
      <c r="H3510" s="1"/>
      <c r="I3510" s="1"/>
      <c r="J3510" s="1"/>
      <c r="K3510" s="102" t="s">
        <v>5992</v>
      </c>
      <c r="L3510" s="102" t="str">
        <f>X281</f>
        <v>J1a2a1a2d2b2b2c4d2a2a3b1~</v>
      </c>
      <c r="M3510" s="102" t="s">
        <v>5993</v>
      </c>
      <c r="N3510" s="102"/>
      <c r="O3510" s="105">
        <v>1.6797143E7</v>
      </c>
      <c r="P3510" s="105">
        <v>1.4685263E7</v>
      </c>
      <c r="Q3510" s="102" t="s">
        <v>2501</v>
      </c>
      <c r="S3510" s="1"/>
      <c r="T3510" s="1"/>
      <c r="U3510" s="1"/>
      <c r="V3510" s="1"/>
      <c r="W3510" s="1"/>
      <c r="X3510" s="1"/>
      <c r="Y3510" s="1"/>
      <c r="Z3510" s="102"/>
      <c r="AA3510" s="102"/>
      <c r="AB3510" s="1"/>
      <c r="AC3510" s="1"/>
      <c r="AD3510" s="1"/>
      <c r="AE3510" s="1"/>
      <c r="AF3510" s="1"/>
      <c r="AG3510" s="1"/>
    </row>
    <row r="3511" ht="15.75" customHeight="1">
      <c r="A3511" s="1"/>
      <c r="B3511" s="1"/>
      <c r="C3511" s="1"/>
      <c r="D3511" s="1"/>
      <c r="E3511" s="1"/>
      <c r="F3511" s="1"/>
      <c r="G3511" s="1"/>
      <c r="H3511" s="1"/>
      <c r="I3511" s="1"/>
      <c r="J3511" s="1"/>
      <c r="K3511" s="102" t="s">
        <v>5993</v>
      </c>
      <c r="L3511" s="102" t="str">
        <f>X281</f>
        <v>J1a2a1a2d2b2b2c4d2a2a3b1~</v>
      </c>
      <c r="M3511" s="102" t="s">
        <v>5992</v>
      </c>
      <c r="N3511" s="102"/>
      <c r="O3511" s="105">
        <v>1.6797143E7</v>
      </c>
      <c r="P3511" s="105">
        <v>1.4685263E7</v>
      </c>
      <c r="Q3511" s="102" t="s">
        <v>2501</v>
      </c>
      <c r="S3511" s="1"/>
      <c r="T3511" s="1"/>
      <c r="U3511" s="1"/>
      <c r="V3511" s="1"/>
      <c r="W3511" s="1"/>
      <c r="X3511" s="1"/>
      <c r="Y3511" s="1"/>
      <c r="Z3511" s="102"/>
      <c r="AA3511" s="102"/>
      <c r="AB3511" s="1"/>
      <c r="AC3511" s="1"/>
      <c r="AD3511" s="1"/>
      <c r="AE3511" s="1"/>
      <c r="AF3511" s="1"/>
      <c r="AG3511" s="1"/>
    </row>
    <row r="3512" ht="15.75" customHeight="1">
      <c r="A3512" s="1"/>
      <c r="B3512" s="1"/>
      <c r="C3512" s="1"/>
      <c r="D3512" s="1"/>
      <c r="E3512" s="1"/>
      <c r="F3512" s="1"/>
      <c r="G3512" s="1"/>
      <c r="H3512" s="1"/>
      <c r="I3512" s="1"/>
      <c r="J3512" s="1"/>
      <c r="K3512" s="102" t="s">
        <v>5994</v>
      </c>
      <c r="L3512" s="102" t="str">
        <f>X281</f>
        <v>J1a2a1a2d2b2b2c4d2a2a3b1~</v>
      </c>
      <c r="M3512" s="102" t="s">
        <v>5995</v>
      </c>
      <c r="N3512" s="102"/>
      <c r="O3512" s="105">
        <v>2.2725567E7</v>
      </c>
      <c r="P3512" s="105">
        <v>2.0563681E7</v>
      </c>
      <c r="Q3512" s="102" t="s">
        <v>2439</v>
      </c>
      <c r="S3512" s="1"/>
      <c r="T3512" s="1"/>
      <c r="U3512" s="1"/>
      <c r="V3512" s="1"/>
      <c r="W3512" s="1"/>
      <c r="X3512" s="1"/>
      <c r="Y3512" s="1"/>
      <c r="Z3512" s="102"/>
      <c r="AA3512" s="102"/>
      <c r="AB3512" s="1"/>
      <c r="AC3512" s="1"/>
      <c r="AD3512" s="1"/>
      <c r="AE3512" s="1"/>
      <c r="AF3512" s="1"/>
      <c r="AG3512" s="1"/>
    </row>
    <row r="3513" ht="15.75" customHeight="1">
      <c r="A3513" s="1"/>
      <c r="B3513" s="1"/>
      <c r="C3513" s="1"/>
      <c r="D3513" s="1"/>
      <c r="E3513" s="1"/>
      <c r="F3513" s="1"/>
      <c r="G3513" s="1"/>
      <c r="H3513" s="1"/>
      <c r="I3513" s="1"/>
      <c r="J3513" s="1"/>
      <c r="K3513" s="102" t="s">
        <v>5995</v>
      </c>
      <c r="L3513" s="102" t="str">
        <f>X281</f>
        <v>J1a2a1a2d2b2b2c4d2a2a3b1~</v>
      </c>
      <c r="M3513" s="102" t="s">
        <v>5994</v>
      </c>
      <c r="N3513" s="102"/>
      <c r="O3513" s="105">
        <v>2.2725567E7</v>
      </c>
      <c r="P3513" s="105">
        <v>2.0563681E7</v>
      </c>
      <c r="Q3513" s="102" t="s">
        <v>2439</v>
      </c>
      <c r="S3513" s="1"/>
      <c r="T3513" s="1"/>
      <c r="U3513" s="1"/>
      <c r="V3513" s="1"/>
      <c r="W3513" s="1"/>
      <c r="X3513" s="1"/>
      <c r="Y3513" s="1"/>
      <c r="Z3513" s="102"/>
      <c r="AA3513" s="102"/>
      <c r="AB3513" s="1"/>
      <c r="AC3513" s="1"/>
      <c r="AD3513" s="1"/>
      <c r="AE3513" s="1"/>
      <c r="AF3513" s="1"/>
      <c r="AG3513" s="1"/>
    </row>
    <row r="3514" ht="15.75" customHeight="1">
      <c r="A3514" s="1"/>
      <c r="B3514" s="1"/>
      <c r="C3514" s="1"/>
      <c r="D3514" s="1"/>
      <c r="E3514" s="1"/>
      <c r="F3514" s="1"/>
      <c r="G3514" s="1"/>
      <c r="H3514" s="1"/>
      <c r="I3514" s="1"/>
      <c r="J3514" s="1"/>
      <c r="K3514" s="102" t="s">
        <v>5996</v>
      </c>
      <c r="L3514" s="102" t="str">
        <f>X281</f>
        <v>J1a2a1a2d2b2b2c4d2a2a3b1~</v>
      </c>
      <c r="M3514" s="102" t="s">
        <v>5997</v>
      </c>
      <c r="N3514" s="102"/>
      <c r="O3514" s="105">
        <v>2.2903066E7</v>
      </c>
      <c r="P3514" s="105">
        <v>2.074118E7</v>
      </c>
      <c r="Q3514" s="102" t="s">
        <v>2446</v>
      </c>
      <c r="S3514" s="1"/>
      <c r="T3514" s="1"/>
      <c r="U3514" s="1"/>
      <c r="V3514" s="1"/>
      <c r="W3514" s="1"/>
      <c r="X3514" s="1"/>
      <c r="Y3514" s="1"/>
      <c r="Z3514" s="102"/>
      <c r="AA3514" s="102"/>
      <c r="AB3514" s="1"/>
      <c r="AC3514" s="1"/>
      <c r="AD3514" s="1"/>
      <c r="AE3514" s="1"/>
      <c r="AF3514" s="1"/>
      <c r="AG3514" s="1"/>
    </row>
    <row r="3515" ht="15.75" customHeight="1">
      <c r="A3515" s="1"/>
      <c r="B3515" s="1"/>
      <c r="C3515" s="1"/>
      <c r="D3515" s="1"/>
      <c r="E3515" s="1"/>
      <c r="F3515" s="1"/>
      <c r="G3515" s="1"/>
      <c r="H3515" s="1"/>
      <c r="I3515" s="1"/>
      <c r="J3515" s="1"/>
      <c r="K3515" s="102" t="s">
        <v>5997</v>
      </c>
      <c r="L3515" s="102" t="str">
        <f>X281</f>
        <v>J1a2a1a2d2b2b2c4d2a2a3b1~</v>
      </c>
      <c r="M3515" s="102" t="s">
        <v>5996</v>
      </c>
      <c r="N3515" s="102"/>
      <c r="O3515" s="105">
        <v>2.2903066E7</v>
      </c>
      <c r="P3515" s="105">
        <v>2.074118E7</v>
      </c>
      <c r="Q3515" s="102" t="s">
        <v>2446</v>
      </c>
      <c r="S3515" s="1"/>
      <c r="T3515" s="1"/>
      <c r="U3515" s="1"/>
      <c r="V3515" s="1"/>
      <c r="W3515" s="1"/>
      <c r="X3515" s="1"/>
      <c r="Y3515" s="1"/>
      <c r="Z3515" s="102"/>
      <c r="AA3515" s="102"/>
      <c r="AB3515" s="1"/>
      <c r="AC3515" s="1"/>
      <c r="AD3515" s="1"/>
      <c r="AE3515" s="1"/>
      <c r="AF3515" s="1"/>
      <c r="AG3515" s="1"/>
    </row>
    <row r="3516" ht="15.75" customHeight="1">
      <c r="A3516" s="1"/>
      <c r="B3516" s="1"/>
      <c r="C3516" s="1"/>
      <c r="D3516" s="1"/>
      <c r="E3516" s="1"/>
      <c r="F3516" s="1"/>
      <c r="G3516" s="1"/>
      <c r="H3516" s="1"/>
      <c r="I3516" s="1"/>
      <c r="J3516" s="1"/>
      <c r="K3516" s="102" t="s">
        <v>5998</v>
      </c>
      <c r="L3516" s="102" t="str">
        <f>Y282</f>
        <v>J1a2a1a2d2b2b2c4d2a2a3b1a~</v>
      </c>
      <c r="M3516" s="102"/>
      <c r="N3516" s="102"/>
      <c r="O3516" s="105">
        <v>8661346.0</v>
      </c>
      <c r="P3516" s="105">
        <v>8793305.0</v>
      </c>
      <c r="Q3516" s="102" t="s">
        <v>2432</v>
      </c>
      <c r="S3516" s="1"/>
      <c r="T3516" s="1"/>
      <c r="U3516" s="1"/>
      <c r="V3516" s="1"/>
      <c r="W3516" s="1"/>
      <c r="X3516" s="1"/>
      <c r="Y3516" s="1"/>
      <c r="Z3516" s="102"/>
      <c r="AA3516" s="102"/>
      <c r="AB3516" s="1"/>
      <c r="AC3516" s="1"/>
      <c r="AD3516" s="1"/>
      <c r="AE3516" s="1"/>
      <c r="AF3516" s="1"/>
      <c r="AG3516" s="1"/>
    </row>
    <row r="3517" ht="15.75" customHeight="1">
      <c r="A3517" s="1"/>
      <c r="B3517" s="1"/>
      <c r="C3517" s="1"/>
      <c r="D3517" s="1"/>
      <c r="E3517" s="1"/>
      <c r="F3517" s="1"/>
      <c r="G3517" s="1"/>
      <c r="H3517" s="1"/>
      <c r="I3517" s="1"/>
      <c r="J3517" s="1"/>
      <c r="K3517" s="102" t="s">
        <v>5999</v>
      </c>
      <c r="L3517" s="102" t="str">
        <f>Y282</f>
        <v>J1a2a1a2d2b2b2c4d2a2a3b1a~</v>
      </c>
      <c r="M3517" s="102" t="s">
        <v>6000</v>
      </c>
      <c r="N3517" s="102"/>
      <c r="O3517" s="105">
        <v>1.9443578E7</v>
      </c>
      <c r="P3517" s="105">
        <v>1.7331698E7</v>
      </c>
      <c r="Q3517" s="102" t="s">
        <v>2576</v>
      </c>
      <c r="S3517" s="1"/>
      <c r="T3517" s="1"/>
      <c r="U3517" s="1"/>
      <c r="V3517" s="1"/>
      <c r="W3517" s="1"/>
      <c r="X3517" s="1"/>
      <c r="Y3517" s="1"/>
      <c r="Z3517" s="102"/>
      <c r="AA3517" s="102"/>
      <c r="AB3517" s="1"/>
      <c r="AC3517" s="1"/>
      <c r="AD3517" s="1"/>
      <c r="AE3517" s="1"/>
      <c r="AF3517" s="1"/>
      <c r="AG3517" s="1"/>
    </row>
    <row r="3518" ht="15.75" customHeight="1">
      <c r="A3518" s="1"/>
      <c r="B3518" s="1"/>
      <c r="C3518" s="1"/>
      <c r="D3518" s="1"/>
      <c r="E3518" s="1"/>
      <c r="F3518" s="1"/>
      <c r="G3518" s="1"/>
      <c r="H3518" s="1"/>
      <c r="I3518" s="1"/>
      <c r="J3518" s="1"/>
      <c r="K3518" s="102" t="s">
        <v>6000</v>
      </c>
      <c r="L3518" s="102" t="str">
        <f>Y282</f>
        <v>J1a2a1a2d2b2b2c4d2a2a3b1a~</v>
      </c>
      <c r="M3518" s="102" t="s">
        <v>5999</v>
      </c>
      <c r="N3518" s="102"/>
      <c r="O3518" s="105">
        <v>1.9443578E7</v>
      </c>
      <c r="P3518" s="105">
        <v>1.7331698E7</v>
      </c>
      <c r="Q3518" s="102" t="s">
        <v>2576</v>
      </c>
      <c r="S3518" s="1"/>
      <c r="T3518" s="1"/>
      <c r="U3518" s="1"/>
      <c r="V3518" s="1"/>
      <c r="W3518" s="1"/>
      <c r="X3518" s="1"/>
      <c r="Y3518" s="1"/>
      <c r="Z3518" s="102"/>
      <c r="AA3518" s="102"/>
      <c r="AB3518" s="1"/>
      <c r="AC3518" s="1"/>
      <c r="AD3518" s="1"/>
      <c r="AE3518" s="1"/>
      <c r="AF3518" s="1"/>
      <c r="AG3518" s="1"/>
    </row>
    <row r="3519" ht="15.75" customHeight="1">
      <c r="A3519" s="1"/>
      <c r="B3519" s="1"/>
      <c r="C3519" s="1"/>
      <c r="D3519" s="1"/>
      <c r="E3519" s="1"/>
      <c r="F3519" s="1"/>
      <c r="G3519" s="1"/>
      <c r="H3519" s="1"/>
      <c r="I3519" s="1"/>
      <c r="J3519" s="1"/>
      <c r="K3519" s="102" t="s">
        <v>6001</v>
      </c>
      <c r="L3519" s="102" t="str">
        <f>Y282</f>
        <v>J1a2a1a2d2b2b2c4d2a2a3b1a~</v>
      </c>
      <c r="M3519" s="102" t="s">
        <v>6002</v>
      </c>
      <c r="N3519" s="102"/>
      <c r="O3519" s="105">
        <v>2.3637616E7</v>
      </c>
      <c r="P3519" s="105">
        <v>2.147573E7</v>
      </c>
      <c r="Q3519" s="102" t="s">
        <v>2529</v>
      </c>
      <c r="S3519" s="1"/>
      <c r="T3519" s="1"/>
      <c r="U3519" s="1"/>
      <c r="V3519" s="1"/>
      <c r="W3519" s="1"/>
      <c r="X3519" s="1"/>
      <c r="Y3519" s="1"/>
      <c r="Z3519" s="102"/>
      <c r="AA3519" s="102"/>
      <c r="AB3519" s="1"/>
      <c r="AC3519" s="1"/>
      <c r="AD3519" s="1"/>
      <c r="AE3519" s="1"/>
      <c r="AF3519" s="1"/>
      <c r="AG3519" s="1"/>
    </row>
    <row r="3520" ht="15.75" customHeight="1">
      <c r="A3520" s="1"/>
      <c r="B3520" s="1"/>
      <c r="C3520" s="1"/>
      <c r="D3520" s="1"/>
      <c r="E3520" s="1"/>
      <c r="F3520" s="1"/>
      <c r="G3520" s="1"/>
      <c r="H3520" s="1"/>
      <c r="I3520" s="1"/>
      <c r="J3520" s="1"/>
      <c r="K3520" s="102" t="s">
        <v>6002</v>
      </c>
      <c r="L3520" s="102" t="str">
        <f>Y282</f>
        <v>J1a2a1a2d2b2b2c4d2a2a3b1a~</v>
      </c>
      <c r="M3520" s="102" t="s">
        <v>6001</v>
      </c>
      <c r="N3520" s="102"/>
      <c r="O3520" s="105">
        <v>2.3637616E7</v>
      </c>
      <c r="P3520" s="105">
        <v>2.147573E7</v>
      </c>
      <c r="Q3520" s="102" t="s">
        <v>2529</v>
      </c>
      <c r="S3520" s="1"/>
      <c r="T3520" s="1"/>
      <c r="U3520" s="1"/>
      <c r="V3520" s="1"/>
      <c r="W3520" s="1"/>
      <c r="X3520" s="1"/>
      <c r="Y3520" s="1"/>
      <c r="Z3520" s="102"/>
      <c r="AA3520" s="102"/>
      <c r="AB3520" s="1"/>
      <c r="AC3520" s="1"/>
      <c r="AD3520" s="1"/>
      <c r="AE3520" s="1"/>
      <c r="AF3520" s="1"/>
      <c r="AG3520" s="1"/>
    </row>
    <row r="3521" ht="15.75" customHeight="1">
      <c r="A3521" s="1"/>
      <c r="B3521" s="1"/>
      <c r="C3521" s="1"/>
      <c r="D3521" s="1"/>
      <c r="E3521" s="1"/>
      <c r="F3521" s="1"/>
      <c r="G3521" s="1"/>
      <c r="H3521" s="1"/>
      <c r="I3521" s="1"/>
      <c r="J3521" s="1"/>
      <c r="K3521" s="102" t="s">
        <v>6003</v>
      </c>
      <c r="L3521" s="102" t="str">
        <f>Y282</f>
        <v>J1a2a1a2d2b2b2c4d2a2a3b1a~</v>
      </c>
      <c r="M3521" s="102" t="s">
        <v>6004</v>
      </c>
      <c r="N3521" s="102"/>
      <c r="O3521" s="105">
        <v>1.7528168E7</v>
      </c>
      <c r="P3521" s="105">
        <v>1.5416288E7</v>
      </c>
      <c r="Q3521" s="102" t="s">
        <v>2563</v>
      </c>
      <c r="S3521" s="1"/>
      <c r="T3521" s="1"/>
      <c r="U3521" s="1"/>
      <c r="V3521" s="1"/>
      <c r="W3521" s="1"/>
      <c r="X3521" s="1"/>
      <c r="Y3521" s="1"/>
      <c r="Z3521" s="102"/>
      <c r="AA3521" s="102"/>
      <c r="AB3521" s="1"/>
      <c r="AC3521" s="1"/>
      <c r="AD3521" s="1"/>
      <c r="AE3521" s="1"/>
      <c r="AF3521" s="1"/>
      <c r="AG3521" s="1"/>
    </row>
    <row r="3522" ht="15.75" customHeight="1">
      <c r="A3522" s="1"/>
      <c r="B3522" s="1"/>
      <c r="C3522" s="1"/>
      <c r="D3522" s="1"/>
      <c r="E3522" s="1"/>
      <c r="F3522" s="1"/>
      <c r="G3522" s="1"/>
      <c r="H3522" s="1"/>
      <c r="I3522" s="1"/>
      <c r="J3522" s="1"/>
      <c r="K3522" s="102" t="s">
        <v>6004</v>
      </c>
      <c r="L3522" s="102" t="str">
        <f>Y282</f>
        <v>J1a2a1a2d2b2b2c4d2a2a3b1a~</v>
      </c>
      <c r="M3522" s="102" t="s">
        <v>6003</v>
      </c>
      <c r="N3522" s="102"/>
      <c r="O3522" s="105">
        <v>1.7528168E7</v>
      </c>
      <c r="P3522" s="105">
        <v>1.5416288E7</v>
      </c>
      <c r="Q3522" s="102" t="s">
        <v>2563</v>
      </c>
      <c r="S3522" s="1"/>
      <c r="T3522" s="1"/>
      <c r="U3522" s="1"/>
      <c r="V3522" s="1"/>
      <c r="W3522" s="1"/>
      <c r="X3522" s="1"/>
      <c r="Y3522" s="1"/>
      <c r="Z3522" s="102"/>
      <c r="AA3522" s="102"/>
      <c r="AB3522" s="1"/>
      <c r="AC3522" s="1"/>
      <c r="AD3522" s="1"/>
      <c r="AE3522" s="1"/>
      <c r="AF3522" s="1"/>
      <c r="AG3522" s="1"/>
    </row>
    <row r="3523" ht="15.75" customHeight="1">
      <c r="A3523" s="1"/>
      <c r="B3523" s="1"/>
      <c r="C3523" s="1"/>
      <c r="D3523" s="1"/>
      <c r="E3523" s="1"/>
      <c r="F3523" s="1"/>
      <c r="G3523" s="1"/>
      <c r="H3523" s="1"/>
      <c r="I3523" s="1"/>
      <c r="J3523" s="1"/>
      <c r="K3523" s="102" t="s">
        <v>6005</v>
      </c>
      <c r="L3523" s="102" t="str">
        <f>Y282</f>
        <v>J1a2a1a2d2b2b2c4d2a2a3b1a~</v>
      </c>
      <c r="M3523" s="102" t="s">
        <v>6006</v>
      </c>
      <c r="N3523" s="102"/>
      <c r="O3523" s="105">
        <v>2.136995E7</v>
      </c>
      <c r="P3523" s="105">
        <v>1.9208064E7</v>
      </c>
      <c r="Q3523" s="102" t="s">
        <v>2439</v>
      </c>
      <c r="S3523" s="1"/>
      <c r="T3523" s="1"/>
      <c r="U3523" s="1"/>
      <c r="V3523" s="1"/>
      <c r="W3523" s="1"/>
      <c r="X3523" s="1"/>
      <c r="Y3523" s="1"/>
      <c r="Z3523" s="102"/>
      <c r="AA3523" s="102"/>
      <c r="AB3523" s="1"/>
      <c r="AC3523" s="1"/>
      <c r="AD3523" s="1"/>
      <c r="AE3523" s="1"/>
      <c r="AF3523" s="1"/>
      <c r="AG3523" s="1"/>
    </row>
    <row r="3524" ht="15.75" customHeight="1">
      <c r="A3524" s="1"/>
      <c r="B3524" s="1"/>
      <c r="C3524" s="1"/>
      <c r="D3524" s="1"/>
      <c r="E3524" s="1"/>
      <c r="F3524" s="1"/>
      <c r="G3524" s="1"/>
      <c r="H3524" s="1"/>
      <c r="I3524" s="1"/>
      <c r="J3524" s="1"/>
      <c r="K3524" s="102" t="s">
        <v>6006</v>
      </c>
      <c r="L3524" s="102" t="str">
        <f>Y282</f>
        <v>J1a2a1a2d2b2b2c4d2a2a3b1a~</v>
      </c>
      <c r="M3524" s="102" t="s">
        <v>6005</v>
      </c>
      <c r="N3524" s="102"/>
      <c r="O3524" s="105">
        <v>2.136995E7</v>
      </c>
      <c r="P3524" s="105">
        <v>1.9208064E7</v>
      </c>
      <c r="Q3524" s="102" t="s">
        <v>2439</v>
      </c>
      <c r="S3524" s="1"/>
      <c r="T3524" s="1"/>
      <c r="U3524" s="1"/>
      <c r="V3524" s="1"/>
      <c r="W3524" s="1"/>
      <c r="X3524" s="1"/>
      <c r="Y3524" s="1"/>
      <c r="Z3524" s="102"/>
      <c r="AA3524" s="102"/>
      <c r="AB3524" s="1"/>
      <c r="AC3524" s="1"/>
      <c r="AD3524" s="1"/>
      <c r="AE3524" s="1"/>
      <c r="AF3524" s="1"/>
      <c r="AG3524" s="1"/>
    </row>
    <row r="3525" ht="15.75" customHeight="1">
      <c r="A3525" s="1"/>
      <c r="B3525" s="1"/>
      <c r="C3525" s="1"/>
      <c r="D3525" s="1"/>
      <c r="E3525" s="1"/>
      <c r="F3525" s="1"/>
      <c r="G3525" s="1"/>
      <c r="H3525" s="1"/>
      <c r="I3525" s="1"/>
      <c r="J3525" s="1"/>
      <c r="K3525" s="102" t="s">
        <v>535</v>
      </c>
      <c r="L3525" s="102" t="str">
        <f>Z283</f>
        <v>J1a2a1a2d2b2b2c4d2a2a3b1a1~</v>
      </c>
      <c r="M3525" s="102"/>
      <c r="N3525" s="102"/>
      <c r="O3525" s="105">
        <v>2.1532101E7</v>
      </c>
      <c r="P3525" s="105">
        <v>1.9370215E7</v>
      </c>
      <c r="Q3525" s="102" t="s">
        <v>2501</v>
      </c>
      <c r="S3525" s="1"/>
      <c r="T3525" s="1"/>
      <c r="U3525" s="1"/>
      <c r="V3525" s="1"/>
      <c r="W3525" s="1"/>
      <c r="X3525" s="1"/>
      <c r="Y3525" s="1"/>
      <c r="Z3525" s="102"/>
      <c r="AA3525" s="102"/>
      <c r="AB3525" s="1"/>
      <c r="AC3525" s="1"/>
      <c r="AD3525" s="1"/>
      <c r="AE3525" s="1"/>
      <c r="AF3525" s="1"/>
      <c r="AG3525" s="1"/>
    </row>
    <row r="3526" ht="15.75" customHeight="1">
      <c r="A3526" s="1"/>
      <c r="B3526" s="1"/>
      <c r="C3526" s="1"/>
      <c r="D3526" s="1"/>
      <c r="E3526" s="1"/>
      <c r="F3526" s="1"/>
      <c r="G3526" s="1"/>
      <c r="H3526" s="1"/>
      <c r="I3526" s="1"/>
      <c r="J3526" s="1"/>
      <c r="K3526" s="102" t="s">
        <v>6007</v>
      </c>
      <c r="L3526" s="102" t="str">
        <f>Y284</f>
        <v>J1a2a1a2d2b2b2c4d2a2a3b1b~</v>
      </c>
      <c r="M3526" s="102"/>
      <c r="N3526" s="102"/>
      <c r="O3526" s="105">
        <v>7881863.0</v>
      </c>
      <c r="P3526" s="105">
        <v>8013822.0</v>
      </c>
      <c r="Q3526" s="102" t="s">
        <v>2501</v>
      </c>
      <c r="S3526" s="1"/>
      <c r="T3526" s="1"/>
      <c r="U3526" s="1"/>
      <c r="V3526" s="1"/>
      <c r="W3526" s="1"/>
      <c r="X3526" s="1"/>
      <c r="Y3526" s="1"/>
      <c r="Z3526" s="102"/>
      <c r="AA3526" s="102"/>
      <c r="AB3526" s="1"/>
      <c r="AC3526" s="1"/>
      <c r="AD3526" s="1"/>
      <c r="AE3526" s="1"/>
      <c r="AF3526" s="1"/>
      <c r="AG3526" s="1"/>
    </row>
    <row r="3527" ht="15.75" customHeight="1">
      <c r="A3527" s="1"/>
      <c r="B3527" s="1"/>
      <c r="C3527" s="1"/>
      <c r="D3527" s="1"/>
      <c r="E3527" s="1"/>
      <c r="F3527" s="1"/>
      <c r="G3527" s="1"/>
      <c r="H3527" s="1"/>
      <c r="I3527" s="1"/>
      <c r="J3527" s="1"/>
      <c r="K3527" s="102" t="s">
        <v>6008</v>
      </c>
      <c r="L3527" s="102" t="str">
        <f>Y284</f>
        <v>J1a2a1a2d2b2b2c4d2a2a3b1b~</v>
      </c>
      <c r="M3527" s="102"/>
      <c r="N3527" s="102"/>
      <c r="O3527" s="105">
        <v>1.4983948E7</v>
      </c>
      <c r="P3527" s="105">
        <v>1.2872016E7</v>
      </c>
      <c r="Q3527" s="102" t="s">
        <v>2454</v>
      </c>
      <c r="S3527" s="1"/>
      <c r="T3527" s="1"/>
      <c r="U3527" s="1"/>
      <c r="V3527" s="1"/>
      <c r="W3527" s="1"/>
      <c r="X3527" s="1"/>
      <c r="Y3527" s="1"/>
      <c r="Z3527" s="102"/>
      <c r="AA3527" s="102"/>
      <c r="AB3527" s="1"/>
      <c r="AC3527" s="1"/>
      <c r="AD3527" s="1"/>
      <c r="AE3527" s="1"/>
      <c r="AF3527" s="1"/>
      <c r="AG3527" s="1"/>
    </row>
    <row r="3528" ht="15.75" customHeight="1">
      <c r="A3528" s="1"/>
      <c r="B3528" s="1"/>
      <c r="C3528" s="1"/>
      <c r="D3528" s="1"/>
      <c r="E3528" s="1"/>
      <c r="F3528" s="1"/>
      <c r="G3528" s="1"/>
      <c r="H3528" s="1"/>
      <c r="I3528" s="1"/>
      <c r="J3528" s="1"/>
      <c r="K3528" s="102" t="s">
        <v>6009</v>
      </c>
      <c r="L3528" s="102" t="str">
        <f>Y284</f>
        <v>J1a2a1a2d2b2b2c4d2a2a3b1b~</v>
      </c>
      <c r="M3528" s="102"/>
      <c r="N3528" s="102"/>
      <c r="O3528" s="105">
        <v>1.5909858E7</v>
      </c>
      <c r="P3528" s="105">
        <v>1.3797978E7</v>
      </c>
      <c r="Q3528" s="102" t="s">
        <v>2501</v>
      </c>
      <c r="S3528" s="1"/>
      <c r="T3528" s="1"/>
      <c r="U3528" s="1"/>
      <c r="V3528" s="1"/>
      <c r="W3528" s="1"/>
      <c r="X3528" s="1"/>
      <c r="Y3528" s="1"/>
      <c r="Z3528" s="102"/>
      <c r="AA3528" s="102"/>
      <c r="AB3528" s="1"/>
      <c r="AC3528" s="1"/>
      <c r="AD3528" s="1"/>
      <c r="AE3528" s="1"/>
      <c r="AF3528" s="1"/>
      <c r="AG3528" s="1"/>
    </row>
    <row r="3529" ht="15.75" customHeight="1">
      <c r="A3529" s="1"/>
      <c r="B3529" s="1"/>
      <c r="C3529" s="1"/>
      <c r="D3529" s="1"/>
      <c r="E3529" s="1"/>
      <c r="F3529" s="1"/>
      <c r="G3529" s="1"/>
      <c r="H3529" s="1"/>
      <c r="I3529" s="1"/>
      <c r="J3529" s="1"/>
      <c r="K3529" s="102" t="s">
        <v>6010</v>
      </c>
      <c r="L3529" s="102" t="str">
        <f>Y284</f>
        <v>J1a2a1a2d2b2b2c4d2a2a3b1b~</v>
      </c>
      <c r="M3529" s="102"/>
      <c r="N3529" s="102"/>
      <c r="O3529" s="105">
        <v>1.7832327E7</v>
      </c>
      <c r="P3529" s="105">
        <v>1.5720447E7</v>
      </c>
      <c r="Q3529" s="102" t="s">
        <v>2529</v>
      </c>
      <c r="S3529" s="1"/>
      <c r="T3529" s="1"/>
      <c r="U3529" s="1"/>
      <c r="V3529" s="1"/>
      <c r="W3529" s="1"/>
      <c r="X3529" s="1"/>
      <c r="Y3529" s="1"/>
      <c r="Z3529" s="102"/>
      <c r="AA3529" s="102"/>
      <c r="AB3529" s="1"/>
      <c r="AC3529" s="1"/>
      <c r="AD3529" s="1"/>
      <c r="AE3529" s="1"/>
      <c r="AF3529" s="1"/>
      <c r="AG3529" s="1"/>
    </row>
    <row r="3530" ht="15.75" customHeight="1">
      <c r="A3530" s="1"/>
      <c r="B3530" s="1"/>
      <c r="C3530" s="1"/>
      <c r="D3530" s="1"/>
      <c r="E3530" s="1"/>
      <c r="F3530" s="1"/>
      <c r="G3530" s="1"/>
      <c r="H3530" s="1"/>
      <c r="I3530" s="1"/>
      <c r="J3530" s="1"/>
      <c r="K3530" s="102" t="s">
        <v>6011</v>
      </c>
      <c r="L3530" s="102" t="str">
        <f>Y284</f>
        <v>J1a2a1a2d2b2b2c4d2a2a3b1b~</v>
      </c>
      <c r="M3530" s="102"/>
      <c r="N3530" s="102"/>
      <c r="O3530" s="105">
        <v>2.3986786E7</v>
      </c>
      <c r="P3530" s="105">
        <v>2.1840639E7</v>
      </c>
      <c r="Q3530" s="102" t="s">
        <v>2501</v>
      </c>
      <c r="S3530" s="1"/>
      <c r="T3530" s="1"/>
      <c r="U3530" s="1"/>
      <c r="V3530" s="1"/>
      <c r="W3530" s="1"/>
      <c r="X3530" s="1"/>
      <c r="Y3530" s="1"/>
      <c r="Z3530" s="102"/>
      <c r="AA3530" s="102"/>
      <c r="AB3530" s="1"/>
      <c r="AC3530" s="1"/>
      <c r="AD3530" s="1"/>
      <c r="AE3530" s="1"/>
      <c r="AF3530" s="1"/>
      <c r="AG3530" s="1"/>
    </row>
    <row r="3531" ht="15.75" customHeight="1">
      <c r="A3531" s="1"/>
      <c r="B3531" s="1"/>
      <c r="C3531" s="1"/>
      <c r="D3531" s="1"/>
      <c r="E3531" s="1"/>
      <c r="F3531" s="1"/>
      <c r="G3531" s="1"/>
      <c r="H3531" s="1"/>
      <c r="I3531" s="1"/>
      <c r="J3531" s="1"/>
      <c r="K3531" s="102" t="s">
        <v>6012</v>
      </c>
      <c r="L3531" s="102" t="str">
        <f>Z285</f>
        <v>J1a2a1a2d2b2b2c4d2a2a3b1b1~</v>
      </c>
      <c r="M3531" s="102"/>
      <c r="N3531" s="102"/>
      <c r="O3531" s="105">
        <v>1.5499952E7</v>
      </c>
      <c r="P3531" s="105">
        <v>1.3388072E7</v>
      </c>
      <c r="Q3531" s="102" t="s">
        <v>2501</v>
      </c>
      <c r="S3531" s="1"/>
      <c r="T3531" s="1"/>
      <c r="U3531" s="1"/>
      <c r="V3531" s="1"/>
      <c r="W3531" s="1"/>
      <c r="X3531" s="1"/>
      <c r="Y3531" s="1"/>
      <c r="Z3531" s="102"/>
      <c r="AA3531" s="102"/>
      <c r="AB3531" s="1"/>
      <c r="AC3531" s="1"/>
      <c r="AD3531" s="1"/>
      <c r="AE3531" s="1"/>
      <c r="AF3531" s="1"/>
      <c r="AG3531" s="1"/>
    </row>
    <row r="3532" ht="15.75" customHeight="1">
      <c r="A3532" s="1"/>
      <c r="B3532" s="1"/>
      <c r="C3532" s="1"/>
      <c r="D3532" s="1"/>
      <c r="E3532" s="1"/>
      <c r="F3532" s="1"/>
      <c r="G3532" s="1"/>
      <c r="H3532" s="1"/>
      <c r="I3532" s="1"/>
      <c r="J3532" s="1"/>
      <c r="K3532" s="102" t="s">
        <v>6013</v>
      </c>
      <c r="L3532" s="102" t="str">
        <f>Z285</f>
        <v>J1a2a1a2d2b2b2c4d2a2a3b1b1~</v>
      </c>
      <c r="M3532" s="102"/>
      <c r="N3532" s="102"/>
      <c r="O3532" s="105">
        <v>1.839962E7</v>
      </c>
      <c r="P3532" s="105">
        <v>1.628774E7</v>
      </c>
      <c r="Q3532" s="102" t="s">
        <v>2446</v>
      </c>
      <c r="S3532" s="1"/>
      <c r="T3532" s="1"/>
      <c r="U3532" s="1"/>
      <c r="V3532" s="1"/>
      <c r="W3532" s="1"/>
      <c r="X3532" s="1"/>
      <c r="Y3532" s="1"/>
      <c r="Z3532" s="102"/>
      <c r="AA3532" s="102"/>
      <c r="AB3532" s="1"/>
      <c r="AC3532" s="1"/>
      <c r="AD3532" s="1"/>
      <c r="AE3532" s="1"/>
      <c r="AF3532" s="1"/>
      <c r="AG3532" s="1"/>
    </row>
    <row r="3533" ht="15.75" customHeight="1">
      <c r="A3533" s="1"/>
      <c r="B3533" s="1"/>
      <c r="C3533" s="1"/>
      <c r="D3533" s="1"/>
      <c r="E3533" s="1"/>
      <c r="F3533" s="1"/>
      <c r="G3533" s="1"/>
      <c r="H3533" s="1"/>
      <c r="I3533" s="1"/>
      <c r="J3533" s="1"/>
      <c r="K3533" s="102" t="s">
        <v>6014</v>
      </c>
      <c r="L3533" s="102" t="str">
        <f>Z285</f>
        <v>J1a2a1a2d2b2b2c4d2a2a3b1b1~</v>
      </c>
      <c r="M3533" s="102"/>
      <c r="N3533" s="102"/>
      <c r="O3533" s="105">
        <v>2.1865776E7</v>
      </c>
      <c r="P3533" s="105">
        <v>1.970389E7</v>
      </c>
      <c r="Q3533" s="102" t="s">
        <v>2432</v>
      </c>
      <c r="S3533" s="1"/>
      <c r="T3533" s="1"/>
      <c r="U3533" s="1"/>
      <c r="V3533" s="1"/>
      <c r="W3533" s="1"/>
      <c r="X3533" s="1"/>
      <c r="Y3533" s="1"/>
      <c r="Z3533" s="102"/>
      <c r="AA3533" s="102"/>
      <c r="AB3533" s="1"/>
      <c r="AC3533" s="1"/>
      <c r="AD3533" s="1"/>
      <c r="AE3533" s="1"/>
      <c r="AF3533" s="1"/>
      <c r="AG3533" s="1"/>
    </row>
    <row r="3534" ht="15.75" customHeight="1">
      <c r="A3534" s="1"/>
      <c r="B3534" s="1"/>
      <c r="C3534" s="1"/>
      <c r="D3534" s="1"/>
      <c r="E3534" s="1"/>
      <c r="F3534" s="1"/>
      <c r="G3534" s="1"/>
      <c r="H3534" s="1"/>
      <c r="I3534" s="1"/>
      <c r="J3534" s="1"/>
      <c r="K3534" s="102" t="s">
        <v>6015</v>
      </c>
      <c r="L3534" s="102" t="str">
        <f>Z285</f>
        <v>J1a2a1a2d2b2b2c4d2a2a3b1b1~</v>
      </c>
      <c r="M3534" s="102"/>
      <c r="N3534" s="102"/>
      <c r="O3534" s="105">
        <v>2.2070499E7</v>
      </c>
      <c r="P3534" s="105">
        <v>1.9908613E7</v>
      </c>
      <c r="Q3534" s="102" t="s">
        <v>2529</v>
      </c>
      <c r="S3534" s="1"/>
      <c r="T3534" s="1"/>
      <c r="U3534" s="1"/>
      <c r="V3534" s="1"/>
      <c r="W3534" s="1"/>
      <c r="X3534" s="1"/>
      <c r="Y3534" s="1"/>
      <c r="Z3534" s="102"/>
      <c r="AA3534" s="102"/>
      <c r="AB3534" s="1"/>
      <c r="AC3534" s="1"/>
      <c r="AD3534" s="1"/>
      <c r="AE3534" s="1"/>
      <c r="AF3534" s="1"/>
      <c r="AG3534" s="1"/>
    </row>
    <row r="3535" ht="15.75" customHeight="1">
      <c r="A3535" s="1"/>
      <c r="B3535" s="1"/>
      <c r="C3535" s="1"/>
      <c r="D3535" s="1"/>
      <c r="E3535" s="1"/>
      <c r="F3535" s="1"/>
      <c r="G3535" s="1"/>
      <c r="H3535" s="1"/>
      <c r="I3535" s="1"/>
      <c r="J3535" s="1"/>
      <c r="K3535" s="102" t="s">
        <v>541</v>
      </c>
      <c r="L3535" s="102" t="str">
        <f>X286</f>
        <v>J1a2a1a2d2b2b2c4d2a2a3b2~</v>
      </c>
      <c r="M3535" s="102"/>
      <c r="N3535" s="102" t="s">
        <v>6016</v>
      </c>
      <c r="O3535" s="105">
        <v>1.8877896E7</v>
      </c>
      <c r="P3535" s="105">
        <v>1.6766016E7</v>
      </c>
      <c r="Q3535" s="102" t="s">
        <v>2439</v>
      </c>
      <c r="S3535" s="1"/>
      <c r="T3535" s="1"/>
      <c r="U3535" s="1"/>
      <c r="V3535" s="1"/>
      <c r="W3535" s="1"/>
      <c r="X3535" s="1"/>
      <c r="Y3535" s="1"/>
      <c r="Z3535" s="102"/>
      <c r="AA3535" s="102"/>
      <c r="AB3535" s="1"/>
      <c r="AC3535" s="1"/>
      <c r="AD3535" s="1"/>
      <c r="AE3535" s="1"/>
      <c r="AF3535" s="1"/>
      <c r="AG3535" s="1"/>
    </row>
    <row r="3536" ht="15.75" customHeight="1">
      <c r="A3536" s="1"/>
      <c r="B3536" s="1"/>
      <c r="C3536" s="1"/>
      <c r="D3536" s="1"/>
      <c r="E3536" s="1"/>
      <c r="F3536" s="1"/>
      <c r="G3536" s="1"/>
      <c r="H3536" s="1"/>
      <c r="I3536" s="1"/>
      <c r="J3536" s="1"/>
      <c r="K3536" s="102" t="s">
        <v>6017</v>
      </c>
      <c r="L3536" s="102" t="str">
        <f>Y287</f>
        <v>J1a2a1a2d2b2b2c4d2a2a3b2a~</v>
      </c>
      <c r="M3536" s="102" t="s">
        <v>6018</v>
      </c>
      <c r="N3536" s="102"/>
      <c r="O3536" s="105">
        <v>1.4359518E7</v>
      </c>
      <c r="P3536" s="105">
        <v>1.2238813E7</v>
      </c>
      <c r="Q3536" s="102" t="s">
        <v>2501</v>
      </c>
      <c r="S3536" s="1"/>
      <c r="T3536" s="1"/>
      <c r="U3536" s="1"/>
      <c r="V3536" s="1"/>
      <c r="W3536" s="1"/>
      <c r="X3536" s="1"/>
      <c r="Y3536" s="1"/>
      <c r="Z3536" s="102"/>
      <c r="AA3536" s="102"/>
      <c r="AB3536" s="1"/>
      <c r="AC3536" s="1"/>
      <c r="AD3536" s="1"/>
      <c r="AE3536" s="1"/>
      <c r="AF3536" s="1"/>
      <c r="AG3536" s="1"/>
    </row>
    <row r="3537" ht="15.75" customHeight="1">
      <c r="A3537" s="1"/>
      <c r="B3537" s="1"/>
      <c r="C3537" s="1"/>
      <c r="D3537" s="1"/>
      <c r="E3537" s="1"/>
      <c r="F3537" s="1"/>
      <c r="G3537" s="1"/>
      <c r="H3537" s="1"/>
      <c r="I3537" s="1"/>
      <c r="J3537" s="1"/>
      <c r="K3537" s="102" t="s">
        <v>6019</v>
      </c>
      <c r="L3537" s="102" t="str">
        <f>Y287</f>
        <v>J1a2a1a2d2b2b2c4d2a2a3b2a~</v>
      </c>
      <c r="M3537" s="102" t="s">
        <v>6020</v>
      </c>
      <c r="N3537" s="102"/>
      <c r="O3537" s="105">
        <v>1.4359518E7</v>
      </c>
      <c r="P3537" s="105">
        <v>1.2238813E7</v>
      </c>
      <c r="Q3537" s="102" t="s">
        <v>2501</v>
      </c>
      <c r="S3537" s="1"/>
      <c r="T3537" s="1"/>
      <c r="U3537" s="1"/>
      <c r="V3537" s="1"/>
      <c r="W3537" s="1"/>
      <c r="X3537" s="1"/>
      <c r="Y3537" s="1"/>
      <c r="Z3537" s="102"/>
      <c r="AA3537" s="102"/>
      <c r="AB3537" s="1"/>
      <c r="AC3537" s="1"/>
      <c r="AD3537" s="1"/>
      <c r="AE3537" s="1"/>
      <c r="AF3537" s="1"/>
      <c r="AG3537" s="1"/>
    </row>
    <row r="3538" ht="15.75" customHeight="1">
      <c r="A3538" s="1"/>
      <c r="B3538" s="1"/>
      <c r="C3538" s="1"/>
      <c r="D3538" s="1"/>
      <c r="E3538" s="1"/>
      <c r="F3538" s="1"/>
      <c r="G3538" s="1"/>
      <c r="H3538" s="1"/>
      <c r="I3538" s="1"/>
      <c r="J3538" s="1"/>
      <c r="K3538" s="102" t="s">
        <v>6021</v>
      </c>
      <c r="L3538" s="102" t="str">
        <f>Y287</f>
        <v>J1a2a1a2d2b2b2c4d2a2a3b2a~</v>
      </c>
      <c r="M3538" s="102" t="s">
        <v>6022</v>
      </c>
      <c r="N3538" s="102"/>
      <c r="O3538" s="105">
        <v>1.4359518E7</v>
      </c>
      <c r="P3538" s="105">
        <v>1.2238813E7</v>
      </c>
      <c r="Q3538" s="102" t="s">
        <v>2501</v>
      </c>
      <c r="S3538" s="1"/>
      <c r="T3538" s="1"/>
      <c r="U3538" s="1"/>
      <c r="V3538" s="1"/>
      <c r="W3538" s="1"/>
      <c r="X3538" s="1"/>
      <c r="Y3538" s="1"/>
      <c r="Z3538" s="102"/>
      <c r="AA3538" s="102"/>
      <c r="AB3538" s="1"/>
      <c r="AC3538" s="1"/>
      <c r="AD3538" s="1"/>
      <c r="AE3538" s="1"/>
      <c r="AF3538" s="1"/>
      <c r="AG3538" s="1"/>
    </row>
    <row r="3539" ht="15.75" customHeight="1">
      <c r="A3539" s="1"/>
      <c r="B3539" s="1"/>
      <c r="C3539" s="1"/>
      <c r="D3539" s="1"/>
      <c r="E3539" s="1"/>
      <c r="F3539" s="1"/>
      <c r="G3539" s="1"/>
      <c r="H3539" s="1"/>
      <c r="I3539" s="1"/>
      <c r="J3539" s="1"/>
      <c r="K3539" s="102" t="s">
        <v>6023</v>
      </c>
      <c r="L3539" s="102" t="str">
        <f>Y287</f>
        <v>J1a2a1a2d2b2b2c4d2a2a3b2a~</v>
      </c>
      <c r="M3539" s="102" t="s">
        <v>6024</v>
      </c>
      <c r="N3539" s="102"/>
      <c r="O3539" s="105">
        <v>6754148.0</v>
      </c>
      <c r="P3539" s="105">
        <v>6886107.0</v>
      </c>
      <c r="Q3539" s="102" t="s">
        <v>2529</v>
      </c>
      <c r="S3539" s="1"/>
      <c r="T3539" s="1"/>
      <c r="U3539" s="1"/>
      <c r="V3539" s="1"/>
      <c r="W3539" s="1"/>
      <c r="X3539" s="1"/>
      <c r="Y3539" s="1"/>
      <c r="Z3539" s="102"/>
      <c r="AA3539" s="102"/>
      <c r="AB3539" s="1"/>
      <c r="AC3539" s="1"/>
      <c r="AD3539" s="1"/>
      <c r="AE3539" s="1"/>
      <c r="AF3539" s="1"/>
      <c r="AG3539" s="1"/>
    </row>
    <row r="3540" ht="15.75" customHeight="1">
      <c r="A3540" s="1"/>
      <c r="B3540" s="1"/>
      <c r="C3540" s="1"/>
      <c r="D3540" s="1"/>
      <c r="E3540" s="1"/>
      <c r="F3540" s="1"/>
      <c r="G3540" s="1"/>
      <c r="H3540" s="1"/>
      <c r="I3540" s="1"/>
      <c r="J3540" s="1"/>
      <c r="K3540" s="102" t="s">
        <v>6025</v>
      </c>
      <c r="L3540" s="102" t="str">
        <f>Y287</f>
        <v>J1a2a1a2d2b2b2c4d2a2a3b2a~</v>
      </c>
      <c r="M3540" s="102" t="s">
        <v>6026</v>
      </c>
      <c r="N3540" s="102"/>
      <c r="O3540" s="105">
        <v>6754148.0</v>
      </c>
      <c r="P3540" s="105">
        <v>6886107.0</v>
      </c>
      <c r="Q3540" s="102" t="s">
        <v>2529</v>
      </c>
      <c r="S3540" s="1"/>
      <c r="T3540" s="1"/>
      <c r="U3540" s="1"/>
      <c r="V3540" s="1"/>
      <c r="W3540" s="1"/>
      <c r="X3540" s="1"/>
      <c r="Y3540" s="1"/>
      <c r="Z3540" s="102"/>
      <c r="AA3540" s="102"/>
      <c r="AB3540" s="1"/>
      <c r="AC3540" s="1"/>
      <c r="AD3540" s="1"/>
      <c r="AE3540" s="1"/>
      <c r="AF3540" s="1"/>
      <c r="AG3540" s="1"/>
    </row>
    <row r="3541" ht="15.75" customHeight="1">
      <c r="A3541" s="1"/>
      <c r="B3541" s="1"/>
      <c r="C3541" s="1"/>
      <c r="D3541" s="1"/>
      <c r="E3541" s="1"/>
      <c r="F3541" s="1"/>
      <c r="G3541" s="1"/>
      <c r="H3541" s="1"/>
      <c r="I3541" s="1"/>
      <c r="J3541" s="1"/>
      <c r="K3541" s="102" t="s">
        <v>6027</v>
      </c>
      <c r="L3541" s="102" t="str">
        <f>Y287</f>
        <v>J1a2a1a2d2b2b2c4d2a2a3b2a~</v>
      </c>
      <c r="M3541" s="102" t="s">
        <v>6028</v>
      </c>
      <c r="N3541" s="102"/>
      <c r="O3541" s="105">
        <v>6754148.0</v>
      </c>
      <c r="P3541" s="105">
        <v>6886107.0</v>
      </c>
      <c r="Q3541" s="102" t="s">
        <v>2529</v>
      </c>
      <c r="S3541" s="1"/>
      <c r="T3541" s="1"/>
      <c r="U3541" s="1"/>
      <c r="V3541" s="1"/>
      <c r="W3541" s="1"/>
      <c r="X3541" s="1"/>
      <c r="Y3541" s="1"/>
      <c r="Z3541" s="102"/>
      <c r="AA3541" s="102"/>
      <c r="AB3541" s="1"/>
      <c r="AC3541" s="1"/>
      <c r="AD3541" s="1"/>
      <c r="AE3541" s="1"/>
      <c r="AF3541" s="1"/>
      <c r="AG3541" s="1"/>
    </row>
    <row r="3542" ht="15.75" customHeight="1">
      <c r="A3542" s="1"/>
      <c r="B3542" s="1"/>
      <c r="C3542" s="1"/>
      <c r="D3542" s="1"/>
      <c r="E3542" s="1"/>
      <c r="F3542" s="1"/>
      <c r="G3542" s="1"/>
      <c r="H3542" s="1"/>
      <c r="I3542" s="1"/>
      <c r="J3542" s="1"/>
      <c r="K3542" s="102" t="s">
        <v>6029</v>
      </c>
      <c r="L3542" s="102" t="str">
        <f>Y287</f>
        <v>J1a2a1a2d2b2b2c4d2a2a3b2a~</v>
      </c>
      <c r="M3542" s="102" t="s">
        <v>6030</v>
      </c>
      <c r="N3542" s="102"/>
      <c r="O3542" s="105">
        <v>7290893.0</v>
      </c>
      <c r="P3542" s="105">
        <v>7422852.0</v>
      </c>
      <c r="Q3542" s="102" t="s">
        <v>2439</v>
      </c>
      <c r="S3542" s="1"/>
      <c r="T3542" s="1"/>
      <c r="U3542" s="1"/>
      <c r="V3542" s="1"/>
      <c r="W3542" s="1"/>
      <c r="X3542" s="1"/>
      <c r="Y3542" s="1"/>
      <c r="Z3542" s="102"/>
      <c r="AA3542" s="102"/>
      <c r="AB3542" s="1"/>
      <c r="AC3542" s="1"/>
      <c r="AD3542" s="1"/>
      <c r="AE3542" s="1"/>
      <c r="AF3542" s="1"/>
      <c r="AG3542" s="1"/>
    </row>
    <row r="3543" ht="15.75" customHeight="1">
      <c r="A3543" s="1"/>
      <c r="B3543" s="1"/>
      <c r="C3543" s="1"/>
      <c r="D3543" s="1"/>
      <c r="E3543" s="1"/>
      <c r="F3543" s="1"/>
      <c r="G3543" s="1"/>
      <c r="H3543" s="1"/>
      <c r="I3543" s="1"/>
      <c r="J3543" s="1"/>
      <c r="K3543" s="102" t="s">
        <v>6030</v>
      </c>
      <c r="L3543" s="102" t="str">
        <f>Y287</f>
        <v>J1a2a1a2d2b2b2c4d2a2a3b2a~</v>
      </c>
      <c r="M3543" s="102" t="s">
        <v>6029</v>
      </c>
      <c r="N3543" s="102"/>
      <c r="O3543" s="105">
        <v>7290893.0</v>
      </c>
      <c r="P3543" s="105">
        <v>7422852.0</v>
      </c>
      <c r="Q3543" s="102" t="s">
        <v>2439</v>
      </c>
      <c r="S3543" s="1"/>
      <c r="T3543" s="1"/>
      <c r="U3543" s="1"/>
      <c r="V3543" s="1"/>
      <c r="W3543" s="1"/>
      <c r="X3543" s="1"/>
      <c r="Y3543" s="1"/>
      <c r="Z3543" s="102"/>
      <c r="AA3543" s="102"/>
      <c r="AB3543" s="1"/>
      <c r="AC3543" s="1"/>
      <c r="AD3543" s="1"/>
      <c r="AE3543" s="1"/>
      <c r="AF3543" s="1"/>
      <c r="AG3543" s="1"/>
    </row>
    <row r="3544" ht="15.75" customHeight="1">
      <c r="A3544" s="1"/>
      <c r="B3544" s="1"/>
      <c r="C3544" s="1"/>
      <c r="D3544" s="1"/>
      <c r="E3544" s="1"/>
      <c r="F3544" s="1"/>
      <c r="G3544" s="1"/>
      <c r="H3544" s="1"/>
      <c r="I3544" s="1"/>
      <c r="J3544" s="1"/>
      <c r="K3544" s="102" t="s">
        <v>6031</v>
      </c>
      <c r="L3544" s="102" t="str">
        <f>Y287</f>
        <v>J1a2a1a2d2b2b2c4d2a2a3b2a~</v>
      </c>
      <c r="M3544" s="102"/>
      <c r="N3544" s="102"/>
      <c r="O3544" s="105">
        <v>8700338.0</v>
      </c>
      <c r="P3544" s="105">
        <v>8832297.0</v>
      </c>
      <c r="Q3544" s="102" t="s">
        <v>2501</v>
      </c>
      <c r="S3544" s="1"/>
      <c r="T3544" s="1"/>
      <c r="U3544" s="1"/>
      <c r="V3544" s="1"/>
      <c r="W3544" s="1"/>
      <c r="X3544" s="1"/>
      <c r="Y3544" s="1"/>
      <c r="Z3544" s="102"/>
      <c r="AA3544" s="102"/>
      <c r="AB3544" s="1"/>
      <c r="AC3544" s="1"/>
      <c r="AD3544" s="1"/>
      <c r="AE3544" s="1"/>
      <c r="AF3544" s="1"/>
      <c r="AG3544" s="1"/>
    </row>
    <row r="3545" ht="15.75" customHeight="1">
      <c r="A3545" s="1"/>
      <c r="B3545" s="1"/>
      <c r="C3545" s="1"/>
      <c r="D3545" s="1"/>
      <c r="E3545" s="1"/>
      <c r="F3545" s="1"/>
      <c r="G3545" s="1"/>
      <c r="H3545" s="1"/>
      <c r="I3545" s="1"/>
      <c r="J3545" s="1"/>
      <c r="K3545" s="102" t="s">
        <v>6032</v>
      </c>
      <c r="L3545" s="102" t="str">
        <f>Z288</f>
        <v>J1a2a1a2d2b2b2c4d2a2a3b2a1~</v>
      </c>
      <c r="M3545" s="102"/>
      <c r="N3545" s="102"/>
      <c r="O3545" s="105">
        <v>2.2706224E7</v>
      </c>
      <c r="P3545" s="105">
        <v>2.0544338E7</v>
      </c>
      <c r="Q3545" s="102" t="s">
        <v>2529</v>
      </c>
      <c r="S3545" s="1"/>
      <c r="T3545" s="1"/>
      <c r="U3545" s="1"/>
      <c r="V3545" s="1"/>
      <c r="W3545" s="1"/>
      <c r="X3545" s="1"/>
      <c r="Y3545" s="1"/>
      <c r="Z3545" s="102"/>
      <c r="AA3545" s="102"/>
      <c r="AB3545" s="1"/>
      <c r="AC3545" s="1"/>
      <c r="AD3545" s="1"/>
      <c r="AE3545" s="1"/>
      <c r="AF3545" s="1"/>
      <c r="AG3545" s="1"/>
    </row>
    <row r="3546" ht="15.75" customHeight="1">
      <c r="A3546" s="1"/>
      <c r="B3546" s="1"/>
      <c r="C3546" s="1"/>
      <c r="D3546" s="1"/>
      <c r="E3546" s="1"/>
      <c r="F3546" s="1"/>
      <c r="G3546" s="1"/>
      <c r="H3546" s="1"/>
      <c r="I3546" s="1"/>
      <c r="J3546" s="1"/>
      <c r="K3546" s="102" t="s">
        <v>6033</v>
      </c>
      <c r="L3546" s="102" t="str">
        <f t="shared" ref="L3546:L3547" si="47">Z288</f>
        <v>J1a2a1a2d2b2b2c4d2a2a3b2a1~</v>
      </c>
      <c r="M3546" s="102"/>
      <c r="N3546" s="102"/>
      <c r="O3546" s="105">
        <v>2.2734996E7</v>
      </c>
      <c r="P3546" s="105">
        <v>2.057311E7</v>
      </c>
      <c r="Q3546" s="102" t="s">
        <v>2529</v>
      </c>
      <c r="S3546" s="1"/>
      <c r="T3546" s="1"/>
      <c r="U3546" s="1"/>
      <c r="V3546" s="1"/>
      <c r="W3546" s="1"/>
      <c r="X3546" s="1"/>
      <c r="Y3546" s="1"/>
      <c r="Z3546" s="102"/>
      <c r="AA3546" s="102"/>
      <c r="AB3546" s="1"/>
      <c r="AC3546" s="1"/>
      <c r="AD3546" s="1"/>
      <c r="AE3546" s="1"/>
      <c r="AF3546" s="1"/>
      <c r="AG3546" s="1"/>
    </row>
    <row r="3547" ht="15.75" customHeight="1">
      <c r="A3547" s="1"/>
      <c r="B3547" s="1"/>
      <c r="C3547" s="1"/>
      <c r="D3547" s="1"/>
      <c r="E3547" s="1"/>
      <c r="F3547" s="1"/>
      <c r="G3547" s="1"/>
      <c r="H3547" s="1"/>
      <c r="I3547" s="1"/>
      <c r="J3547" s="1"/>
      <c r="K3547" s="102" t="s">
        <v>547</v>
      </c>
      <c r="L3547" s="102" t="str">
        <f t="shared" si="47"/>
        <v>J1a2a1a2d2b2b2c4d2a2a3b2a2~</v>
      </c>
      <c r="M3547" s="102"/>
      <c r="N3547" s="102" t="s">
        <v>6034</v>
      </c>
      <c r="O3547" s="105">
        <v>1.5076949E7</v>
      </c>
      <c r="P3547" s="105">
        <v>1.2965039E7</v>
      </c>
      <c r="Q3547" s="102" t="s">
        <v>2501</v>
      </c>
      <c r="S3547" s="1"/>
      <c r="T3547" s="1"/>
      <c r="U3547" s="1"/>
      <c r="V3547" s="1"/>
      <c r="W3547" s="1"/>
      <c r="X3547" s="1"/>
      <c r="Y3547" s="1"/>
      <c r="Z3547" s="102"/>
      <c r="AA3547" s="102"/>
      <c r="AB3547" s="1"/>
      <c r="AC3547" s="1"/>
      <c r="AD3547" s="1"/>
      <c r="AE3547" s="1"/>
      <c r="AF3547" s="1"/>
      <c r="AG3547" s="1"/>
    </row>
    <row r="3548" ht="15.75" customHeight="1">
      <c r="A3548" s="1"/>
      <c r="B3548" s="1"/>
      <c r="C3548" s="1"/>
      <c r="D3548" s="1"/>
      <c r="E3548" s="1"/>
      <c r="F3548" s="1"/>
      <c r="G3548" s="1"/>
      <c r="H3548" s="1"/>
      <c r="I3548" s="1"/>
      <c r="J3548" s="1"/>
      <c r="K3548" s="102" t="s">
        <v>6035</v>
      </c>
      <c r="L3548" s="102" t="str">
        <f>AA290</f>
        <v>J1a2a1a2d2b2b2c4d2a2a3b2a2a~</v>
      </c>
      <c r="M3548" s="102" t="s">
        <v>6036</v>
      </c>
      <c r="N3548" s="102"/>
      <c r="O3548" s="105">
        <v>1.6235315E7</v>
      </c>
      <c r="P3548" s="105">
        <v>1.4123435E7</v>
      </c>
      <c r="Q3548" s="102" t="s">
        <v>2439</v>
      </c>
      <c r="S3548" s="1"/>
      <c r="T3548" s="1"/>
      <c r="U3548" s="1"/>
      <c r="V3548" s="1"/>
      <c r="W3548" s="1"/>
      <c r="X3548" s="1"/>
      <c r="Y3548" s="1"/>
      <c r="Z3548" s="102"/>
      <c r="AA3548" s="102"/>
      <c r="AB3548" s="1"/>
      <c r="AC3548" s="1"/>
      <c r="AD3548" s="1"/>
      <c r="AE3548" s="1"/>
      <c r="AF3548" s="1"/>
      <c r="AG3548" s="1"/>
    </row>
    <row r="3549" ht="15.75" customHeight="1">
      <c r="A3549" s="1"/>
      <c r="B3549" s="1"/>
      <c r="C3549" s="1"/>
      <c r="D3549" s="1"/>
      <c r="E3549" s="1"/>
      <c r="F3549" s="1"/>
      <c r="G3549" s="1"/>
      <c r="H3549" s="1"/>
      <c r="I3549" s="1"/>
      <c r="J3549" s="1"/>
      <c r="K3549" s="102" t="s">
        <v>6036</v>
      </c>
      <c r="L3549" s="102" t="str">
        <f>AA290</f>
        <v>J1a2a1a2d2b2b2c4d2a2a3b2a2a~</v>
      </c>
      <c r="M3549" s="102" t="s">
        <v>6035</v>
      </c>
      <c r="N3549" s="102"/>
      <c r="O3549" s="105">
        <v>1.6235315E7</v>
      </c>
      <c r="P3549" s="105">
        <v>1.4123435E7</v>
      </c>
      <c r="Q3549" s="102" t="s">
        <v>2439</v>
      </c>
      <c r="S3549" s="1"/>
      <c r="T3549" s="1"/>
      <c r="U3549" s="1"/>
      <c r="V3549" s="1"/>
      <c r="W3549" s="1"/>
      <c r="X3549" s="1"/>
      <c r="Y3549" s="1"/>
      <c r="Z3549" s="102"/>
      <c r="AA3549" s="102"/>
      <c r="AB3549" s="1"/>
      <c r="AC3549" s="1"/>
      <c r="AD3549" s="1"/>
      <c r="AE3549" s="1"/>
      <c r="AF3549" s="1"/>
      <c r="AG3549" s="1"/>
    </row>
    <row r="3550" ht="15.75" customHeight="1">
      <c r="A3550" s="1"/>
      <c r="B3550" s="1"/>
      <c r="C3550" s="1"/>
      <c r="D3550" s="1"/>
      <c r="E3550" s="1"/>
      <c r="F3550" s="1"/>
      <c r="G3550" s="1"/>
      <c r="H3550" s="1"/>
      <c r="I3550" s="1"/>
      <c r="J3550" s="1"/>
      <c r="K3550" s="102" t="s">
        <v>6037</v>
      </c>
      <c r="L3550" s="102" t="str">
        <f>AA290</f>
        <v>J1a2a1a2d2b2b2c4d2a2a3b2a2a~</v>
      </c>
      <c r="M3550" s="102"/>
      <c r="N3550" s="102"/>
      <c r="O3550" s="105">
        <v>1.7427017E7</v>
      </c>
      <c r="P3550" s="105">
        <v>1.5315137E7</v>
      </c>
      <c r="Q3550" s="102" t="s">
        <v>2468</v>
      </c>
      <c r="S3550" s="1"/>
      <c r="T3550" s="1"/>
      <c r="U3550" s="1"/>
      <c r="V3550" s="1"/>
      <c r="W3550" s="1"/>
      <c r="X3550" s="1"/>
      <c r="Y3550" s="1"/>
      <c r="Z3550" s="102"/>
      <c r="AA3550" s="102"/>
      <c r="AB3550" s="1"/>
      <c r="AC3550" s="1"/>
      <c r="AD3550" s="1"/>
      <c r="AE3550" s="1"/>
      <c r="AF3550" s="1"/>
      <c r="AG3550" s="1"/>
    </row>
    <row r="3551" ht="15.75" customHeight="1">
      <c r="A3551" s="1"/>
      <c r="B3551" s="1"/>
      <c r="C3551" s="1"/>
      <c r="D3551" s="1"/>
      <c r="E3551" s="1"/>
      <c r="F3551" s="1"/>
      <c r="G3551" s="1"/>
      <c r="H3551" s="1"/>
      <c r="I3551" s="1"/>
      <c r="J3551" s="1"/>
      <c r="K3551" s="102" t="s">
        <v>6038</v>
      </c>
      <c r="L3551" s="102" t="str">
        <f>Y291</f>
        <v>J1a2a1a2d2b2b2c4d2a2a3b2b~</v>
      </c>
      <c r="M3551" s="102" t="s">
        <v>6039</v>
      </c>
      <c r="N3551" s="102" t="s">
        <v>6040</v>
      </c>
      <c r="O3551" s="105">
        <v>2.3091036E7</v>
      </c>
      <c r="P3551" s="105">
        <v>2.092915E7</v>
      </c>
      <c r="Q3551" s="102" t="s">
        <v>2432</v>
      </c>
      <c r="S3551" s="1"/>
      <c r="T3551" s="1"/>
      <c r="U3551" s="1"/>
      <c r="V3551" s="1"/>
      <c r="W3551" s="1"/>
      <c r="X3551" s="1"/>
      <c r="Y3551" s="1"/>
      <c r="Z3551" s="102"/>
      <c r="AA3551" s="102"/>
      <c r="AB3551" s="1"/>
      <c r="AC3551" s="1"/>
      <c r="AD3551" s="1"/>
      <c r="AE3551" s="1"/>
      <c r="AF3551" s="1"/>
      <c r="AG3551" s="1"/>
    </row>
    <row r="3552" ht="15.75" customHeight="1">
      <c r="A3552" s="1"/>
      <c r="B3552" s="1"/>
      <c r="C3552" s="1"/>
      <c r="D3552" s="1"/>
      <c r="E3552" s="1"/>
      <c r="F3552" s="1"/>
      <c r="G3552" s="1"/>
      <c r="H3552" s="1"/>
      <c r="I3552" s="1"/>
      <c r="J3552" s="1"/>
      <c r="K3552" s="102" t="s">
        <v>6041</v>
      </c>
      <c r="L3552" s="102" t="str">
        <f>Y291</f>
        <v>J1a2a1a2d2b2b2c4d2a2a3b2b~</v>
      </c>
      <c r="M3552" s="102" t="s">
        <v>6042</v>
      </c>
      <c r="N3552" s="102" t="s">
        <v>6040</v>
      </c>
      <c r="O3552" s="105">
        <v>2.3091036E7</v>
      </c>
      <c r="P3552" s="105">
        <v>2.092915E7</v>
      </c>
      <c r="Q3552" s="102" t="s">
        <v>2432</v>
      </c>
      <c r="S3552" s="1"/>
      <c r="T3552" s="1"/>
      <c r="U3552" s="1"/>
      <c r="V3552" s="1"/>
      <c r="W3552" s="1"/>
      <c r="X3552" s="1"/>
      <c r="Y3552" s="1"/>
      <c r="Z3552" s="102"/>
      <c r="AA3552" s="102"/>
      <c r="AB3552" s="1"/>
      <c r="AC3552" s="1"/>
      <c r="AD3552" s="1"/>
      <c r="AE3552" s="1"/>
      <c r="AF3552" s="1"/>
      <c r="AG3552" s="1"/>
    </row>
    <row r="3553" ht="15.75" customHeight="1">
      <c r="A3553" s="1"/>
      <c r="B3553" s="1"/>
      <c r="C3553" s="1"/>
      <c r="D3553" s="1"/>
      <c r="E3553" s="1"/>
      <c r="F3553" s="1"/>
      <c r="G3553" s="1"/>
      <c r="H3553" s="1"/>
      <c r="I3553" s="1"/>
      <c r="J3553" s="1"/>
      <c r="K3553" s="102" t="s">
        <v>6043</v>
      </c>
      <c r="L3553" s="102" t="str">
        <f>Y291</f>
        <v>J1a2a1a2d2b2b2c4d2a2a3b2b~</v>
      </c>
      <c r="M3553" s="102" t="s">
        <v>6044</v>
      </c>
      <c r="N3553" s="102" t="s">
        <v>6040</v>
      </c>
      <c r="O3553" s="105">
        <v>2.3091036E7</v>
      </c>
      <c r="P3553" s="105">
        <v>2.092915E7</v>
      </c>
      <c r="Q3553" s="102" t="s">
        <v>2432</v>
      </c>
      <c r="S3553" s="1"/>
      <c r="T3553" s="1"/>
      <c r="U3553" s="1"/>
      <c r="V3553" s="1"/>
      <c r="W3553" s="1"/>
      <c r="X3553" s="1"/>
      <c r="Y3553" s="1"/>
      <c r="Z3553" s="102"/>
      <c r="AA3553" s="102"/>
      <c r="AB3553" s="1"/>
      <c r="AC3553" s="1"/>
      <c r="AD3553" s="1"/>
      <c r="AE3553" s="1"/>
      <c r="AF3553" s="1"/>
      <c r="AG3553" s="1"/>
    </row>
    <row r="3554" ht="15.75" customHeight="1">
      <c r="A3554" s="1"/>
      <c r="B3554" s="1"/>
      <c r="C3554" s="1"/>
      <c r="D3554" s="1"/>
      <c r="E3554" s="1"/>
      <c r="F3554" s="1"/>
      <c r="G3554" s="1"/>
      <c r="H3554" s="1"/>
      <c r="I3554" s="1"/>
      <c r="J3554" s="1"/>
      <c r="K3554" s="102" t="s">
        <v>6045</v>
      </c>
      <c r="L3554" s="102" t="str">
        <f>Y291</f>
        <v>J1a2a1a2d2b2b2c4d2a2a3b2b~</v>
      </c>
      <c r="M3554" s="102" t="s">
        <v>6046</v>
      </c>
      <c r="N3554" s="102" t="s">
        <v>6040</v>
      </c>
      <c r="O3554" s="105">
        <v>2.3091036E7</v>
      </c>
      <c r="P3554" s="105">
        <v>2.092915E7</v>
      </c>
      <c r="Q3554" s="102" t="s">
        <v>2432</v>
      </c>
      <c r="S3554" s="1"/>
      <c r="T3554" s="1"/>
      <c r="U3554" s="1"/>
      <c r="V3554" s="1"/>
      <c r="W3554" s="1"/>
      <c r="X3554" s="1"/>
      <c r="Y3554" s="1"/>
      <c r="Z3554" s="102"/>
      <c r="AA3554" s="102"/>
      <c r="AB3554" s="1"/>
      <c r="AC3554" s="1"/>
      <c r="AD3554" s="1"/>
      <c r="AE3554" s="1"/>
      <c r="AF3554" s="1"/>
      <c r="AG3554" s="1"/>
    </row>
    <row r="3555" ht="15.75" customHeight="1">
      <c r="A3555" s="1"/>
      <c r="B3555" s="1"/>
      <c r="C3555" s="1"/>
      <c r="D3555" s="1"/>
      <c r="E3555" s="1"/>
      <c r="F3555" s="1"/>
      <c r="G3555" s="1"/>
      <c r="H3555" s="1"/>
      <c r="I3555" s="1"/>
      <c r="J3555" s="1"/>
      <c r="K3555" s="102" t="s">
        <v>6047</v>
      </c>
      <c r="L3555" s="102" t="str">
        <f>Y291</f>
        <v>J1a2a1a2d2b2b2c4d2a2a3b2b~</v>
      </c>
      <c r="M3555" s="102" t="s">
        <v>6048</v>
      </c>
      <c r="N3555" s="102" t="s">
        <v>6049</v>
      </c>
      <c r="O3555" s="105">
        <v>2.4429875E7</v>
      </c>
      <c r="P3555" s="105">
        <v>2.2283728E7</v>
      </c>
      <c r="Q3555" s="102" t="s">
        <v>2501</v>
      </c>
      <c r="S3555" s="1"/>
      <c r="T3555" s="1"/>
      <c r="U3555" s="1"/>
      <c r="V3555" s="1"/>
      <c r="W3555" s="1"/>
      <c r="X3555" s="1"/>
      <c r="Y3555" s="1"/>
      <c r="Z3555" s="102"/>
      <c r="AA3555" s="102"/>
      <c r="AB3555" s="1"/>
      <c r="AC3555" s="1"/>
      <c r="AD3555" s="1"/>
      <c r="AE3555" s="1"/>
      <c r="AF3555" s="1"/>
      <c r="AG3555" s="1"/>
    </row>
    <row r="3556" ht="15.75" customHeight="1">
      <c r="A3556" s="1"/>
      <c r="B3556" s="1"/>
      <c r="C3556" s="1"/>
      <c r="D3556" s="1"/>
      <c r="E3556" s="1"/>
      <c r="F3556" s="1"/>
      <c r="G3556" s="1"/>
      <c r="H3556" s="1"/>
      <c r="I3556" s="1"/>
      <c r="J3556" s="1"/>
      <c r="K3556" s="102" t="s">
        <v>6050</v>
      </c>
      <c r="L3556" s="102" t="str">
        <f>Y291</f>
        <v>J1a2a1a2d2b2b2c4d2a2a3b2b~</v>
      </c>
      <c r="M3556" s="102" t="s">
        <v>6051</v>
      </c>
      <c r="N3556" s="102" t="s">
        <v>6049</v>
      </c>
      <c r="O3556" s="105">
        <v>2.4429875E7</v>
      </c>
      <c r="P3556" s="105">
        <v>2.2283728E7</v>
      </c>
      <c r="Q3556" s="102" t="s">
        <v>2501</v>
      </c>
      <c r="S3556" s="1"/>
      <c r="T3556" s="1"/>
      <c r="U3556" s="1"/>
      <c r="V3556" s="1"/>
      <c r="W3556" s="1"/>
      <c r="X3556" s="1"/>
      <c r="Y3556" s="1"/>
      <c r="Z3556" s="102"/>
      <c r="AA3556" s="102"/>
      <c r="AB3556" s="1"/>
      <c r="AC3556" s="1"/>
      <c r="AD3556" s="1"/>
      <c r="AE3556" s="1"/>
      <c r="AF3556" s="1"/>
      <c r="AG3556" s="1"/>
    </row>
    <row r="3557" ht="15.75" customHeight="1">
      <c r="A3557" s="1"/>
      <c r="B3557" s="1"/>
      <c r="C3557" s="1"/>
      <c r="D3557" s="1"/>
      <c r="E3557" s="1"/>
      <c r="F3557" s="1"/>
      <c r="G3557" s="1"/>
      <c r="H3557" s="1"/>
      <c r="I3557" s="1"/>
      <c r="J3557" s="1"/>
      <c r="K3557" s="102" t="s">
        <v>6052</v>
      </c>
      <c r="L3557" s="102" t="str">
        <f>Y291</f>
        <v>J1a2a1a2d2b2b2c4d2a2a3b2b~</v>
      </c>
      <c r="M3557" s="102" t="s">
        <v>6053</v>
      </c>
      <c r="N3557" s="102" t="s">
        <v>6049</v>
      </c>
      <c r="O3557" s="105">
        <v>2.4429875E7</v>
      </c>
      <c r="P3557" s="105">
        <v>2.2283728E7</v>
      </c>
      <c r="Q3557" s="102" t="s">
        <v>2501</v>
      </c>
      <c r="S3557" s="1"/>
      <c r="T3557" s="1"/>
      <c r="U3557" s="1"/>
      <c r="V3557" s="1"/>
      <c r="W3557" s="1"/>
      <c r="X3557" s="1"/>
      <c r="Y3557" s="1"/>
      <c r="Z3557" s="102"/>
      <c r="AA3557" s="102"/>
      <c r="AB3557" s="1"/>
      <c r="AC3557" s="1"/>
      <c r="AD3557" s="1"/>
      <c r="AE3557" s="1"/>
      <c r="AF3557" s="1"/>
      <c r="AG3557" s="1"/>
    </row>
    <row r="3558" ht="15.75" customHeight="1">
      <c r="A3558" s="1"/>
      <c r="B3558" s="1"/>
      <c r="C3558" s="1"/>
      <c r="D3558" s="1"/>
      <c r="E3558" s="1"/>
      <c r="F3558" s="1"/>
      <c r="G3558" s="1"/>
      <c r="H3558" s="1"/>
      <c r="I3558" s="1"/>
      <c r="J3558" s="1"/>
      <c r="K3558" s="102" t="s">
        <v>6054</v>
      </c>
      <c r="L3558" s="102" t="str">
        <f>Y291</f>
        <v>J1a2a1a2d2b2b2c4d2a2a3b2b~</v>
      </c>
      <c r="M3558" s="102" t="s">
        <v>6055</v>
      </c>
      <c r="N3558" s="102" t="s">
        <v>6049</v>
      </c>
      <c r="O3558" s="105">
        <v>2.4429875E7</v>
      </c>
      <c r="P3558" s="105">
        <v>2.2283728E7</v>
      </c>
      <c r="Q3558" s="102" t="s">
        <v>2501</v>
      </c>
      <c r="S3558" s="1"/>
      <c r="T3558" s="1"/>
      <c r="U3558" s="1"/>
      <c r="V3558" s="1"/>
      <c r="W3558" s="1"/>
      <c r="X3558" s="1"/>
      <c r="Y3558" s="1"/>
      <c r="Z3558" s="102"/>
      <c r="AA3558" s="102"/>
      <c r="AB3558" s="1"/>
      <c r="AC3558" s="1"/>
      <c r="AD3558" s="1"/>
      <c r="AE3558" s="1"/>
      <c r="AF3558" s="1"/>
      <c r="AG3558" s="1"/>
    </row>
    <row r="3559" ht="15.75" customHeight="1">
      <c r="A3559" s="1"/>
      <c r="B3559" s="1"/>
      <c r="C3559" s="1"/>
      <c r="D3559" s="1"/>
      <c r="E3559" s="1"/>
      <c r="F3559" s="1"/>
      <c r="G3559" s="1"/>
      <c r="H3559" s="1"/>
      <c r="I3559" s="1"/>
      <c r="J3559" s="1"/>
      <c r="K3559" s="102" t="s">
        <v>6056</v>
      </c>
      <c r="L3559" s="102" t="str">
        <f>Z292</f>
        <v>J1a2a1a2d2b2b2c4d2a2a3b2b1~</v>
      </c>
      <c r="M3559" s="102" t="s">
        <v>6057</v>
      </c>
      <c r="N3559" s="102"/>
      <c r="O3559" s="105">
        <v>8594194.0</v>
      </c>
      <c r="P3559" s="105">
        <v>8726153.0</v>
      </c>
      <c r="Q3559" s="102" t="s">
        <v>2439</v>
      </c>
      <c r="S3559" s="1"/>
      <c r="T3559" s="1"/>
      <c r="U3559" s="1"/>
      <c r="V3559" s="1"/>
      <c r="W3559" s="1"/>
      <c r="X3559" s="1"/>
      <c r="Y3559" s="1"/>
      <c r="Z3559" s="102"/>
      <c r="AA3559" s="102"/>
      <c r="AB3559" s="1"/>
      <c r="AC3559" s="1"/>
      <c r="AD3559" s="1"/>
      <c r="AE3559" s="1"/>
      <c r="AF3559" s="1"/>
      <c r="AG3559" s="1"/>
    </row>
    <row r="3560" ht="15.75" customHeight="1">
      <c r="A3560" s="1"/>
      <c r="B3560" s="1"/>
      <c r="C3560" s="1"/>
      <c r="D3560" s="1"/>
      <c r="E3560" s="1"/>
      <c r="F3560" s="1"/>
      <c r="G3560" s="1"/>
      <c r="H3560" s="1"/>
      <c r="I3560" s="1"/>
      <c r="J3560" s="1"/>
      <c r="K3560" s="102" t="s">
        <v>6057</v>
      </c>
      <c r="L3560" s="102" t="str">
        <f>Z292</f>
        <v>J1a2a1a2d2b2b2c4d2a2a3b2b1~</v>
      </c>
      <c r="M3560" s="102" t="s">
        <v>6056</v>
      </c>
      <c r="N3560" s="102"/>
      <c r="O3560" s="105">
        <v>8594194.0</v>
      </c>
      <c r="P3560" s="105">
        <v>8726153.0</v>
      </c>
      <c r="Q3560" s="102" t="s">
        <v>2439</v>
      </c>
      <c r="S3560" s="1"/>
      <c r="T3560" s="1"/>
      <c r="U3560" s="1"/>
      <c r="V3560" s="1"/>
      <c r="W3560" s="1"/>
      <c r="X3560" s="1"/>
      <c r="Y3560" s="1"/>
      <c r="Z3560" s="102"/>
      <c r="AA3560" s="102"/>
      <c r="AB3560" s="1"/>
      <c r="AC3560" s="1"/>
      <c r="AD3560" s="1"/>
      <c r="AE3560" s="1"/>
      <c r="AF3560" s="1"/>
      <c r="AG3560" s="1"/>
    </row>
    <row r="3561" ht="15.75" customHeight="1">
      <c r="A3561" s="1"/>
      <c r="B3561" s="1"/>
      <c r="C3561" s="1"/>
      <c r="D3561" s="1"/>
      <c r="E3561" s="1"/>
      <c r="F3561" s="1"/>
      <c r="G3561" s="1"/>
      <c r="H3561" s="1"/>
      <c r="I3561" s="1"/>
      <c r="J3561" s="1"/>
      <c r="K3561" s="102" t="s">
        <v>6058</v>
      </c>
      <c r="L3561" s="102" t="str">
        <f>Z292</f>
        <v>J1a2a1a2d2b2b2c4d2a2a3b2b1~</v>
      </c>
      <c r="M3561" s="102" t="s">
        <v>6059</v>
      </c>
      <c r="N3561" s="102"/>
      <c r="O3561" s="105">
        <v>2.1691449E7</v>
      </c>
      <c r="P3561" s="105">
        <v>1.9529563E7</v>
      </c>
      <c r="Q3561" s="102" t="s">
        <v>2501</v>
      </c>
      <c r="S3561" s="1"/>
      <c r="T3561" s="1"/>
      <c r="U3561" s="1"/>
      <c r="V3561" s="1"/>
      <c r="W3561" s="1"/>
      <c r="X3561" s="1"/>
      <c r="Y3561" s="1"/>
      <c r="Z3561" s="102"/>
      <c r="AA3561" s="102"/>
      <c r="AB3561" s="1"/>
      <c r="AC3561" s="1"/>
      <c r="AD3561" s="1"/>
      <c r="AE3561" s="1"/>
      <c r="AF3561" s="1"/>
      <c r="AG3561" s="1"/>
    </row>
    <row r="3562" ht="15.75" customHeight="1">
      <c r="A3562" s="1"/>
      <c r="B3562" s="1"/>
      <c r="C3562" s="1"/>
      <c r="D3562" s="1"/>
      <c r="E3562" s="1"/>
      <c r="F3562" s="1"/>
      <c r="G3562" s="1"/>
      <c r="H3562" s="1"/>
      <c r="I3562" s="1"/>
      <c r="J3562" s="1"/>
      <c r="K3562" s="102" t="s">
        <v>6059</v>
      </c>
      <c r="L3562" s="102" t="str">
        <f>Z292</f>
        <v>J1a2a1a2d2b2b2c4d2a2a3b2b1~</v>
      </c>
      <c r="M3562" s="102" t="s">
        <v>6058</v>
      </c>
      <c r="N3562" s="102"/>
      <c r="O3562" s="105">
        <v>2.1691449E7</v>
      </c>
      <c r="P3562" s="105">
        <v>1.9529563E7</v>
      </c>
      <c r="Q3562" s="102" t="s">
        <v>2501</v>
      </c>
      <c r="S3562" s="1"/>
      <c r="T3562" s="1"/>
      <c r="U3562" s="1"/>
      <c r="V3562" s="1"/>
      <c r="W3562" s="1"/>
      <c r="X3562" s="1"/>
      <c r="Y3562" s="1"/>
      <c r="Z3562" s="102"/>
      <c r="AA3562" s="102"/>
      <c r="AB3562" s="1"/>
      <c r="AC3562" s="1"/>
      <c r="AD3562" s="1"/>
      <c r="AE3562" s="1"/>
      <c r="AF3562" s="1"/>
      <c r="AG3562" s="1"/>
    </row>
    <row r="3563" ht="15.75" customHeight="1">
      <c r="A3563" s="1"/>
      <c r="B3563" s="1"/>
      <c r="C3563" s="1"/>
      <c r="D3563" s="1"/>
      <c r="E3563" s="1"/>
      <c r="F3563" s="1"/>
      <c r="G3563" s="1"/>
      <c r="H3563" s="1"/>
      <c r="I3563" s="1"/>
      <c r="J3563" s="1"/>
      <c r="K3563" s="102" t="s">
        <v>6060</v>
      </c>
      <c r="L3563" s="102" t="str">
        <f>Z292</f>
        <v>J1a2a1a2d2b2b2c4d2a2a3b2b1~</v>
      </c>
      <c r="M3563" s="102" t="s">
        <v>6061</v>
      </c>
      <c r="N3563" s="102" t="s">
        <v>6062</v>
      </c>
      <c r="O3563" s="105">
        <v>1.7591428E7</v>
      </c>
      <c r="P3563" s="105">
        <v>1.5479548E7</v>
      </c>
      <c r="Q3563" s="102" t="s">
        <v>2529</v>
      </c>
      <c r="S3563" s="1"/>
      <c r="T3563" s="1"/>
      <c r="U3563" s="1"/>
      <c r="V3563" s="1"/>
      <c r="W3563" s="1"/>
      <c r="X3563" s="1"/>
      <c r="Y3563" s="1"/>
      <c r="Z3563" s="102"/>
      <c r="AA3563" s="102"/>
      <c r="AB3563" s="1"/>
      <c r="AC3563" s="1"/>
      <c r="AD3563" s="1"/>
      <c r="AE3563" s="1"/>
      <c r="AF3563" s="1"/>
      <c r="AG3563" s="1"/>
    </row>
    <row r="3564" ht="15.75" customHeight="1">
      <c r="A3564" s="1"/>
      <c r="B3564" s="1"/>
      <c r="C3564" s="1"/>
      <c r="D3564" s="1"/>
      <c r="E3564" s="1"/>
      <c r="F3564" s="1"/>
      <c r="G3564" s="1"/>
      <c r="H3564" s="1"/>
      <c r="I3564" s="1"/>
      <c r="J3564" s="1"/>
      <c r="K3564" s="102" t="s">
        <v>6061</v>
      </c>
      <c r="L3564" s="102" t="str">
        <f>Z292</f>
        <v>J1a2a1a2d2b2b2c4d2a2a3b2b1~</v>
      </c>
      <c r="M3564" s="102" t="s">
        <v>6060</v>
      </c>
      <c r="N3564" s="102" t="s">
        <v>6062</v>
      </c>
      <c r="O3564" s="105">
        <v>1.7591428E7</v>
      </c>
      <c r="P3564" s="105">
        <v>1.5479548E7</v>
      </c>
      <c r="Q3564" s="102" t="s">
        <v>2529</v>
      </c>
      <c r="S3564" s="1"/>
      <c r="T3564" s="1"/>
      <c r="U3564" s="1"/>
      <c r="V3564" s="1"/>
      <c r="W3564" s="1"/>
      <c r="X3564" s="1"/>
      <c r="Y3564" s="1"/>
      <c r="Z3564" s="102"/>
      <c r="AA3564" s="102"/>
      <c r="AB3564" s="1"/>
      <c r="AC3564" s="1"/>
      <c r="AD3564" s="1"/>
      <c r="AE3564" s="1"/>
      <c r="AF3564" s="1"/>
      <c r="AG3564" s="1"/>
    </row>
    <row r="3565" ht="15.75" customHeight="1">
      <c r="A3565" s="1"/>
      <c r="B3565" s="1"/>
      <c r="C3565" s="1"/>
      <c r="D3565" s="1"/>
      <c r="E3565" s="1"/>
      <c r="F3565" s="1"/>
      <c r="G3565" s="1"/>
      <c r="H3565" s="1"/>
      <c r="I3565" s="1"/>
      <c r="J3565" s="1"/>
      <c r="K3565" s="102" t="s">
        <v>6063</v>
      </c>
      <c r="L3565" s="102" t="str">
        <f>Z292</f>
        <v>J1a2a1a2d2b2b2c4d2a2a3b2b1~</v>
      </c>
      <c r="M3565" s="102" t="s">
        <v>6064</v>
      </c>
      <c r="N3565" s="102"/>
      <c r="O3565" s="105">
        <v>1.4999441E7</v>
      </c>
      <c r="P3565" s="105">
        <v>1.2887526E7</v>
      </c>
      <c r="Q3565" s="102" t="s">
        <v>2454</v>
      </c>
      <c r="S3565" s="1"/>
      <c r="T3565" s="1"/>
      <c r="U3565" s="1"/>
      <c r="V3565" s="1"/>
      <c r="W3565" s="1"/>
      <c r="X3565" s="1"/>
      <c r="Y3565" s="1"/>
      <c r="Z3565" s="102"/>
      <c r="AA3565" s="102"/>
      <c r="AB3565" s="1"/>
      <c r="AC3565" s="1"/>
      <c r="AD3565" s="1"/>
      <c r="AE3565" s="1"/>
      <c r="AF3565" s="1"/>
      <c r="AG3565" s="1"/>
    </row>
    <row r="3566" ht="15.75" customHeight="1">
      <c r="A3566" s="1"/>
      <c r="B3566" s="1"/>
      <c r="C3566" s="1"/>
      <c r="D3566" s="1"/>
      <c r="E3566" s="1"/>
      <c r="F3566" s="1"/>
      <c r="G3566" s="1"/>
      <c r="H3566" s="1"/>
      <c r="I3566" s="1"/>
      <c r="J3566" s="1"/>
      <c r="K3566" s="102" t="s">
        <v>6064</v>
      </c>
      <c r="L3566" s="102" t="str">
        <f>Z292</f>
        <v>J1a2a1a2d2b2b2c4d2a2a3b2b1~</v>
      </c>
      <c r="M3566" s="102" t="s">
        <v>6063</v>
      </c>
      <c r="N3566" s="102"/>
      <c r="O3566" s="105">
        <v>1.4999441E7</v>
      </c>
      <c r="P3566" s="105">
        <v>1.2887526E7</v>
      </c>
      <c r="Q3566" s="102" t="s">
        <v>2454</v>
      </c>
      <c r="S3566" s="1"/>
      <c r="T3566" s="1"/>
      <c r="U3566" s="1"/>
      <c r="V3566" s="1"/>
      <c r="W3566" s="1"/>
      <c r="X3566" s="1"/>
      <c r="Y3566" s="1"/>
      <c r="Z3566" s="102"/>
      <c r="AA3566" s="102"/>
      <c r="AB3566" s="1"/>
      <c r="AC3566" s="1"/>
      <c r="AD3566" s="1"/>
      <c r="AE3566" s="1"/>
      <c r="AF3566" s="1"/>
      <c r="AG3566" s="1"/>
    </row>
    <row r="3567" ht="15.75" customHeight="1">
      <c r="A3567" s="1"/>
      <c r="B3567" s="1"/>
      <c r="C3567" s="1"/>
      <c r="D3567" s="1"/>
      <c r="E3567" s="1"/>
      <c r="F3567" s="1"/>
      <c r="G3567" s="1"/>
      <c r="H3567" s="1"/>
      <c r="I3567" s="1"/>
      <c r="J3567" s="1"/>
      <c r="K3567" s="102" t="s">
        <v>6065</v>
      </c>
      <c r="L3567" s="102" t="str">
        <f>Z292</f>
        <v>J1a2a1a2d2b2b2c4d2a2a3b2b1~</v>
      </c>
      <c r="M3567" s="102" t="s">
        <v>6066</v>
      </c>
      <c r="N3567" s="102"/>
      <c r="O3567" s="105">
        <v>1.6733649E7</v>
      </c>
      <c r="P3567" s="105">
        <v>1.4621769E7</v>
      </c>
      <c r="Q3567" s="102" t="s">
        <v>2501</v>
      </c>
      <c r="S3567" s="1"/>
      <c r="T3567" s="1"/>
      <c r="U3567" s="1"/>
      <c r="V3567" s="1"/>
      <c r="W3567" s="1"/>
      <c r="X3567" s="1"/>
      <c r="Y3567" s="1"/>
      <c r="Z3567" s="102"/>
      <c r="AA3567" s="102"/>
      <c r="AB3567" s="1"/>
      <c r="AC3567" s="1"/>
      <c r="AD3567" s="1"/>
      <c r="AE3567" s="1"/>
      <c r="AF3567" s="1"/>
      <c r="AG3567" s="1"/>
    </row>
    <row r="3568" ht="15.75" customHeight="1">
      <c r="A3568" s="1"/>
      <c r="B3568" s="1"/>
      <c r="C3568" s="1"/>
      <c r="D3568" s="1"/>
      <c r="E3568" s="1"/>
      <c r="F3568" s="1"/>
      <c r="G3568" s="1"/>
      <c r="H3568" s="1"/>
      <c r="I3568" s="1"/>
      <c r="J3568" s="1"/>
      <c r="K3568" s="102" t="s">
        <v>6066</v>
      </c>
      <c r="L3568" s="102" t="str">
        <f>Z292</f>
        <v>J1a2a1a2d2b2b2c4d2a2a3b2b1~</v>
      </c>
      <c r="M3568" s="102" t="s">
        <v>6065</v>
      </c>
      <c r="N3568" s="102"/>
      <c r="O3568" s="105">
        <v>1.6733649E7</v>
      </c>
      <c r="P3568" s="105">
        <v>1.4621769E7</v>
      </c>
      <c r="Q3568" s="102" t="s">
        <v>2501</v>
      </c>
      <c r="S3568" s="1"/>
      <c r="T3568" s="1"/>
      <c r="U3568" s="1"/>
      <c r="V3568" s="1"/>
      <c r="W3568" s="1"/>
      <c r="X3568" s="1"/>
      <c r="Y3568" s="1"/>
      <c r="Z3568" s="102"/>
      <c r="AA3568" s="102"/>
      <c r="AB3568" s="1"/>
      <c r="AC3568" s="1"/>
      <c r="AD3568" s="1"/>
      <c r="AE3568" s="1"/>
      <c r="AF3568" s="1"/>
      <c r="AG3568" s="1"/>
    </row>
    <row r="3569" ht="15.75" customHeight="1">
      <c r="A3569" s="1"/>
      <c r="B3569" s="1"/>
      <c r="C3569" s="1"/>
      <c r="D3569" s="1"/>
      <c r="E3569" s="1"/>
      <c r="F3569" s="1"/>
      <c r="G3569" s="1"/>
      <c r="H3569" s="1"/>
      <c r="I3569" s="1"/>
      <c r="J3569" s="1"/>
      <c r="K3569" s="102" t="s">
        <v>6067</v>
      </c>
      <c r="L3569" s="102" t="str">
        <f>Z292</f>
        <v>J1a2a1a2d2b2b2c4d2a2a3b2b1~</v>
      </c>
      <c r="M3569" s="102" t="s">
        <v>6068</v>
      </c>
      <c r="N3569" s="102"/>
      <c r="O3569" s="105">
        <v>2.1083467E7</v>
      </c>
      <c r="P3569" s="105">
        <v>1.8921581E7</v>
      </c>
      <c r="Q3569" s="102" t="s">
        <v>2468</v>
      </c>
      <c r="S3569" s="1"/>
      <c r="T3569" s="1"/>
      <c r="U3569" s="1"/>
      <c r="V3569" s="1"/>
      <c r="W3569" s="1"/>
      <c r="X3569" s="1"/>
      <c r="Y3569" s="1"/>
      <c r="Z3569" s="102"/>
      <c r="AA3569" s="102"/>
      <c r="AB3569" s="1"/>
      <c r="AC3569" s="1"/>
      <c r="AD3569" s="1"/>
      <c r="AE3569" s="1"/>
      <c r="AF3569" s="1"/>
      <c r="AG3569" s="1"/>
    </row>
    <row r="3570" ht="15.75" customHeight="1">
      <c r="A3570" s="1"/>
      <c r="B3570" s="1"/>
      <c r="C3570" s="1"/>
      <c r="D3570" s="1"/>
      <c r="E3570" s="1"/>
      <c r="F3570" s="1"/>
      <c r="G3570" s="1"/>
      <c r="H3570" s="1"/>
      <c r="I3570" s="1"/>
      <c r="J3570" s="1"/>
      <c r="K3570" s="102" t="s">
        <v>6068</v>
      </c>
      <c r="L3570" s="102" t="str">
        <f>Z292</f>
        <v>J1a2a1a2d2b2b2c4d2a2a3b2b1~</v>
      </c>
      <c r="M3570" s="102" t="s">
        <v>6067</v>
      </c>
      <c r="N3570" s="102"/>
      <c r="O3570" s="105">
        <v>2.1083467E7</v>
      </c>
      <c r="P3570" s="105">
        <v>1.8921581E7</v>
      </c>
      <c r="Q3570" s="102" t="s">
        <v>2468</v>
      </c>
      <c r="S3570" s="1"/>
      <c r="T3570" s="1"/>
      <c r="U3570" s="1"/>
      <c r="V3570" s="1"/>
      <c r="W3570" s="1"/>
      <c r="X3570" s="1"/>
      <c r="Y3570" s="1"/>
      <c r="Z3570" s="102"/>
      <c r="AA3570" s="102"/>
      <c r="AB3570" s="1"/>
      <c r="AC3570" s="1"/>
      <c r="AD3570" s="1"/>
      <c r="AE3570" s="1"/>
      <c r="AF3570" s="1"/>
      <c r="AG3570" s="1"/>
    </row>
    <row r="3571" ht="15.75" customHeight="1">
      <c r="A3571" s="1"/>
      <c r="B3571" s="1"/>
      <c r="C3571" s="1"/>
      <c r="D3571" s="1"/>
      <c r="E3571" s="1"/>
      <c r="F3571" s="1"/>
      <c r="G3571" s="1"/>
      <c r="H3571" s="1"/>
      <c r="I3571" s="1"/>
      <c r="J3571" s="1"/>
      <c r="K3571" s="102" t="s">
        <v>6069</v>
      </c>
      <c r="L3571" s="102" t="str">
        <f>Z292</f>
        <v>J1a2a1a2d2b2b2c4d2a2a3b2b1~</v>
      </c>
      <c r="M3571" s="102"/>
      <c r="N3571" s="102"/>
      <c r="O3571" s="105">
        <v>1.5858512E7</v>
      </c>
      <c r="P3571" s="105">
        <v>1.3746632E7</v>
      </c>
      <c r="Q3571" s="102" t="s">
        <v>2576</v>
      </c>
      <c r="S3571" s="1"/>
      <c r="T3571" s="1"/>
      <c r="U3571" s="1"/>
      <c r="V3571" s="1"/>
      <c r="W3571" s="1"/>
      <c r="X3571" s="1"/>
      <c r="Y3571" s="1"/>
      <c r="Z3571" s="102"/>
      <c r="AA3571" s="102"/>
      <c r="AB3571" s="1"/>
      <c r="AC3571" s="1"/>
      <c r="AD3571" s="1"/>
      <c r="AE3571" s="1"/>
      <c r="AF3571" s="1"/>
      <c r="AG3571" s="1"/>
    </row>
    <row r="3572" ht="15.75" customHeight="1">
      <c r="A3572" s="1"/>
      <c r="B3572" s="1"/>
      <c r="C3572" s="1"/>
      <c r="D3572" s="1"/>
      <c r="E3572" s="1"/>
      <c r="F3572" s="1"/>
      <c r="G3572" s="1"/>
      <c r="H3572" s="1"/>
      <c r="I3572" s="1"/>
      <c r="J3572" s="1"/>
      <c r="K3572" s="102" t="s">
        <v>6070</v>
      </c>
      <c r="L3572" s="102" t="str">
        <f>Z292</f>
        <v>J1a2a1a2d2b2b2c4d2a2a3b2b1~</v>
      </c>
      <c r="M3572" s="102"/>
      <c r="N3572" s="102"/>
      <c r="O3572" s="105">
        <v>6658264.0</v>
      </c>
      <c r="P3572" s="105">
        <v>6790223.0</v>
      </c>
      <c r="Q3572" s="102" t="s">
        <v>2432</v>
      </c>
      <c r="S3572" s="1"/>
      <c r="T3572" s="1"/>
      <c r="U3572" s="1"/>
      <c r="V3572" s="1"/>
      <c r="W3572" s="1"/>
      <c r="X3572" s="1"/>
      <c r="Y3572" s="1"/>
      <c r="Z3572" s="102"/>
      <c r="AA3572" s="102"/>
      <c r="AB3572" s="1"/>
      <c r="AC3572" s="1"/>
      <c r="AD3572" s="1"/>
      <c r="AE3572" s="1"/>
      <c r="AF3572" s="1"/>
      <c r="AG3572" s="1"/>
    </row>
    <row r="3573" ht="15.75" customHeight="1">
      <c r="A3573" s="1"/>
      <c r="B3573" s="1"/>
      <c r="C3573" s="1"/>
      <c r="D3573" s="1"/>
      <c r="E3573" s="1"/>
      <c r="F3573" s="1"/>
      <c r="G3573" s="1"/>
      <c r="H3573" s="1"/>
      <c r="I3573" s="1"/>
      <c r="J3573" s="1"/>
      <c r="K3573" s="106" t="s">
        <v>555</v>
      </c>
      <c r="L3573" s="102" t="str">
        <f t="shared" ref="L3573:L3574" si="48">AA293</f>
        <v>J1a2a1a2d2b2b2c4d2a2a3b2b1a~</v>
      </c>
      <c r="M3573" s="102"/>
      <c r="N3573" s="102"/>
      <c r="O3573" s="104">
        <v>1.813792E7</v>
      </c>
      <c r="P3573" s="111">
        <v>1.602604E7</v>
      </c>
      <c r="Q3573" s="112" t="s">
        <v>2468</v>
      </c>
      <c r="S3573" s="1"/>
      <c r="T3573" s="1"/>
      <c r="U3573" s="1"/>
      <c r="V3573" s="1"/>
      <c r="W3573" s="1"/>
      <c r="X3573" s="1"/>
      <c r="Y3573" s="1"/>
      <c r="Z3573" s="102"/>
      <c r="AA3573" s="102"/>
      <c r="AB3573" s="1"/>
      <c r="AC3573" s="1"/>
      <c r="AD3573" s="1"/>
      <c r="AE3573" s="1"/>
      <c r="AF3573" s="1"/>
      <c r="AG3573" s="1"/>
    </row>
    <row r="3574" ht="15.75" customHeight="1">
      <c r="A3574" s="1"/>
      <c r="B3574" s="1"/>
      <c r="C3574" s="1"/>
      <c r="D3574" s="1"/>
      <c r="E3574" s="1"/>
      <c r="F3574" s="1"/>
      <c r="G3574" s="1"/>
      <c r="H3574" s="1"/>
      <c r="I3574" s="1"/>
      <c r="J3574" s="1"/>
      <c r="K3574" s="102" t="s">
        <v>6071</v>
      </c>
      <c r="L3574" s="102" t="str">
        <f t="shared" si="48"/>
        <v>J1a2a1a2d2b2b2c4d2a2a3b2b1b~</v>
      </c>
      <c r="M3574" s="102"/>
      <c r="N3574" s="102"/>
      <c r="O3574" s="105">
        <v>7133761.0</v>
      </c>
      <c r="P3574" s="105">
        <v>7265720.0</v>
      </c>
      <c r="Q3574" s="102" t="s">
        <v>2529</v>
      </c>
      <c r="S3574" s="1"/>
      <c r="T3574" s="1"/>
      <c r="U3574" s="1"/>
      <c r="V3574" s="1"/>
      <c r="W3574" s="1"/>
      <c r="X3574" s="1"/>
      <c r="Y3574" s="1"/>
      <c r="Z3574" s="102"/>
      <c r="AA3574" s="102"/>
      <c r="AB3574" s="1"/>
      <c r="AC3574" s="1"/>
      <c r="AD3574" s="1"/>
      <c r="AE3574" s="1"/>
      <c r="AF3574" s="1"/>
      <c r="AG3574" s="1"/>
    </row>
    <row r="3575" ht="15.75" customHeight="1">
      <c r="A3575" s="1"/>
      <c r="B3575" s="1"/>
      <c r="C3575" s="1"/>
      <c r="D3575" s="1"/>
      <c r="E3575" s="1"/>
      <c r="F3575" s="1"/>
      <c r="G3575" s="1"/>
      <c r="H3575" s="1"/>
      <c r="I3575" s="1"/>
      <c r="J3575" s="1"/>
      <c r="K3575" s="102" t="s">
        <v>6072</v>
      </c>
      <c r="L3575" s="102" t="str">
        <f>AA294</f>
        <v>J1a2a1a2d2b2b2c4d2a2a3b2b1b~</v>
      </c>
      <c r="M3575" s="102"/>
      <c r="N3575" s="102"/>
      <c r="O3575" s="105">
        <v>7676059.0</v>
      </c>
      <c r="P3575" s="105">
        <v>7808018.0</v>
      </c>
      <c r="Q3575" s="102" t="s">
        <v>2529</v>
      </c>
      <c r="S3575" s="1"/>
      <c r="T3575" s="1"/>
      <c r="U3575" s="1"/>
      <c r="V3575" s="1"/>
      <c r="W3575" s="1"/>
      <c r="X3575" s="1"/>
      <c r="Y3575" s="1"/>
      <c r="Z3575" s="102"/>
      <c r="AA3575" s="102"/>
      <c r="AB3575" s="1"/>
      <c r="AC3575" s="1"/>
      <c r="AD3575" s="1"/>
      <c r="AE3575" s="1"/>
      <c r="AF3575" s="1"/>
      <c r="AG3575" s="1"/>
    </row>
    <row r="3576" ht="15.75" customHeight="1">
      <c r="A3576" s="1"/>
      <c r="B3576" s="1"/>
      <c r="C3576" s="1"/>
      <c r="D3576" s="1"/>
      <c r="E3576" s="1"/>
      <c r="F3576" s="1"/>
      <c r="G3576" s="1"/>
      <c r="H3576" s="1"/>
      <c r="I3576" s="1"/>
      <c r="J3576" s="1"/>
      <c r="K3576" s="102" t="s">
        <v>6073</v>
      </c>
      <c r="L3576" s="102" t="str">
        <f>AA294</f>
        <v>J1a2a1a2d2b2b2c4d2a2a3b2b1b~</v>
      </c>
      <c r="M3576" s="102"/>
      <c r="N3576" s="102"/>
      <c r="O3576" s="105">
        <v>1.8392449E7</v>
      </c>
      <c r="P3576" s="105">
        <v>1.6280569E7</v>
      </c>
      <c r="Q3576" s="102" t="s">
        <v>2514</v>
      </c>
      <c r="S3576" s="1"/>
      <c r="T3576" s="1"/>
      <c r="U3576" s="1"/>
      <c r="V3576" s="1"/>
      <c r="W3576" s="1"/>
      <c r="X3576" s="1"/>
      <c r="Y3576" s="1"/>
      <c r="Z3576" s="102"/>
      <c r="AA3576" s="102"/>
      <c r="AB3576" s="1"/>
      <c r="AC3576" s="1"/>
      <c r="AD3576" s="1"/>
      <c r="AE3576" s="1"/>
      <c r="AF3576" s="1"/>
      <c r="AG3576" s="1"/>
    </row>
    <row r="3577" ht="15.75" customHeight="1">
      <c r="A3577" s="1"/>
      <c r="B3577" s="1"/>
      <c r="C3577" s="1"/>
      <c r="D3577" s="1"/>
      <c r="E3577" s="1"/>
      <c r="F3577" s="1"/>
      <c r="G3577" s="1"/>
      <c r="H3577" s="1"/>
      <c r="I3577" s="1"/>
      <c r="J3577" s="1"/>
      <c r="K3577" s="102" t="s">
        <v>6074</v>
      </c>
      <c r="L3577" s="102" t="str">
        <f>AA294</f>
        <v>J1a2a1a2d2b2b2c4d2a2a3b2b1b~</v>
      </c>
      <c r="M3577" s="102"/>
      <c r="N3577" s="102"/>
      <c r="O3577" s="105">
        <v>1.9371786E7</v>
      </c>
      <c r="P3577" s="105">
        <v>1.7259906E7</v>
      </c>
      <c r="Q3577" s="102" t="s">
        <v>2576</v>
      </c>
      <c r="S3577" s="1"/>
      <c r="T3577" s="1"/>
      <c r="U3577" s="1"/>
      <c r="V3577" s="1"/>
      <c r="W3577" s="1"/>
      <c r="X3577" s="1"/>
      <c r="Y3577" s="1"/>
      <c r="Z3577" s="102"/>
      <c r="AA3577" s="102"/>
      <c r="AB3577" s="1"/>
      <c r="AC3577" s="1"/>
      <c r="AD3577" s="1"/>
      <c r="AE3577" s="1"/>
      <c r="AF3577" s="1"/>
      <c r="AG3577" s="1"/>
    </row>
    <row r="3578" ht="15.75" customHeight="1">
      <c r="A3578" s="1"/>
      <c r="B3578" s="1"/>
      <c r="C3578" s="1"/>
      <c r="D3578" s="1"/>
      <c r="E3578" s="1"/>
      <c r="F3578" s="1"/>
      <c r="G3578" s="1"/>
      <c r="H3578" s="1"/>
      <c r="I3578" s="1"/>
      <c r="J3578" s="1"/>
      <c r="K3578" s="102" t="s">
        <v>6075</v>
      </c>
      <c r="L3578" s="102" t="str">
        <f>AA294</f>
        <v>J1a2a1a2d2b2b2c4d2a2a3b2b1b~</v>
      </c>
      <c r="M3578" s="102"/>
      <c r="N3578" s="102"/>
      <c r="O3578" s="105">
        <v>2.2908881E7</v>
      </c>
      <c r="P3578" s="105">
        <v>2.0746995E7</v>
      </c>
      <c r="Q3578" s="102" t="s">
        <v>2576</v>
      </c>
      <c r="S3578" s="1"/>
      <c r="T3578" s="1"/>
      <c r="U3578" s="1"/>
      <c r="V3578" s="1"/>
      <c r="W3578" s="1"/>
      <c r="X3578" s="1"/>
      <c r="Y3578" s="1"/>
      <c r="Z3578" s="102"/>
      <c r="AA3578" s="102"/>
      <c r="AB3578" s="1"/>
      <c r="AC3578" s="1"/>
      <c r="AD3578" s="1"/>
      <c r="AE3578" s="1"/>
      <c r="AF3578" s="1"/>
      <c r="AG3578" s="1"/>
    </row>
    <row r="3579" ht="15.75" customHeight="1">
      <c r="A3579" s="1"/>
      <c r="B3579" s="1"/>
      <c r="C3579" s="1"/>
      <c r="D3579" s="1"/>
      <c r="E3579" s="1"/>
      <c r="F3579" s="1"/>
      <c r="G3579" s="1"/>
      <c r="H3579" s="1"/>
      <c r="I3579" s="1"/>
      <c r="J3579" s="1"/>
      <c r="K3579" s="102" t="s">
        <v>6076</v>
      </c>
      <c r="L3579" s="102" t="str">
        <f>Z295</f>
        <v>J1a2a1a2d2b2b2c4d2a2a3b2b2~</v>
      </c>
      <c r="M3579" s="102" t="s">
        <v>6077</v>
      </c>
      <c r="N3579" s="102"/>
      <c r="O3579" s="105">
        <v>1.404845E7</v>
      </c>
      <c r="P3579" s="105">
        <v>1.1927744E7</v>
      </c>
      <c r="Q3579" s="102" t="s">
        <v>2514</v>
      </c>
      <c r="S3579" s="1"/>
      <c r="T3579" s="1"/>
      <c r="U3579" s="1"/>
      <c r="V3579" s="1"/>
      <c r="W3579" s="1"/>
      <c r="X3579" s="1"/>
      <c r="Y3579" s="1"/>
      <c r="Z3579" s="102"/>
      <c r="AA3579" s="102"/>
      <c r="AB3579" s="1"/>
      <c r="AC3579" s="1"/>
      <c r="AD3579" s="1"/>
      <c r="AE3579" s="1"/>
      <c r="AF3579" s="1"/>
      <c r="AG3579" s="1"/>
    </row>
    <row r="3580" ht="15.75" customHeight="1">
      <c r="A3580" s="1"/>
      <c r="B3580" s="1"/>
      <c r="C3580" s="1"/>
      <c r="D3580" s="1"/>
      <c r="E3580" s="1"/>
      <c r="F3580" s="1"/>
      <c r="G3580" s="1"/>
      <c r="H3580" s="1"/>
      <c r="I3580" s="1"/>
      <c r="J3580" s="1"/>
      <c r="K3580" s="102" t="s">
        <v>6077</v>
      </c>
      <c r="L3580" s="102" t="str">
        <f>Z295</f>
        <v>J1a2a1a2d2b2b2c4d2a2a3b2b2~</v>
      </c>
      <c r="M3580" s="102" t="s">
        <v>6076</v>
      </c>
      <c r="N3580" s="102"/>
      <c r="O3580" s="105">
        <v>1.404845E7</v>
      </c>
      <c r="P3580" s="105">
        <v>1.1927744E7</v>
      </c>
      <c r="Q3580" s="102" t="s">
        <v>2514</v>
      </c>
      <c r="S3580" s="1"/>
      <c r="T3580" s="1"/>
      <c r="U3580" s="1"/>
      <c r="V3580" s="1"/>
      <c r="W3580" s="1"/>
      <c r="X3580" s="1"/>
      <c r="Y3580" s="1"/>
      <c r="Z3580" s="102"/>
      <c r="AA3580" s="102"/>
      <c r="AB3580" s="1"/>
      <c r="AC3580" s="1"/>
      <c r="AD3580" s="1"/>
      <c r="AE3580" s="1"/>
      <c r="AF3580" s="1"/>
      <c r="AG3580" s="1"/>
    </row>
    <row r="3581" ht="15.75" customHeight="1">
      <c r="A3581" s="1"/>
      <c r="B3581" s="1"/>
      <c r="C3581" s="1"/>
      <c r="D3581" s="1"/>
      <c r="E3581" s="1"/>
      <c r="F3581" s="1"/>
      <c r="G3581" s="1"/>
      <c r="H3581" s="1"/>
      <c r="I3581" s="1"/>
      <c r="J3581" s="1"/>
      <c r="K3581" s="102" t="s">
        <v>6078</v>
      </c>
      <c r="L3581" s="102" t="str">
        <f>Z295</f>
        <v>J1a2a1a2d2b2b2c4d2a2a3b2b2~</v>
      </c>
      <c r="M3581" s="102"/>
      <c r="N3581" s="102" t="s">
        <v>6079</v>
      </c>
      <c r="O3581" s="105">
        <v>7177238.0</v>
      </c>
      <c r="P3581" s="105">
        <v>7309197.0</v>
      </c>
      <c r="Q3581" s="102" t="s">
        <v>2468</v>
      </c>
      <c r="S3581" s="1"/>
      <c r="T3581" s="1"/>
      <c r="U3581" s="1"/>
      <c r="V3581" s="1"/>
      <c r="W3581" s="1"/>
      <c r="X3581" s="1"/>
      <c r="Y3581" s="1"/>
      <c r="Z3581" s="102"/>
      <c r="AA3581" s="102"/>
      <c r="AB3581" s="1"/>
      <c r="AC3581" s="1"/>
      <c r="AD3581" s="1"/>
      <c r="AE3581" s="1"/>
      <c r="AF3581" s="1"/>
      <c r="AG3581" s="1"/>
    </row>
    <row r="3582" ht="15.75" customHeight="1">
      <c r="A3582" s="1"/>
      <c r="B3582" s="1"/>
      <c r="C3582" s="1"/>
      <c r="D3582" s="1"/>
      <c r="E3582" s="1"/>
      <c r="F3582" s="1"/>
      <c r="G3582" s="1"/>
      <c r="H3582" s="1"/>
      <c r="I3582" s="1"/>
      <c r="J3582" s="1"/>
      <c r="K3582" s="102" t="s">
        <v>6080</v>
      </c>
      <c r="L3582" s="102" t="str">
        <f>Z295</f>
        <v>J1a2a1a2d2b2b2c4d2a2a3b2b2~</v>
      </c>
      <c r="M3582" s="102"/>
      <c r="N3582" s="102" t="s">
        <v>6081</v>
      </c>
      <c r="O3582" s="105">
        <v>2.2842768E7</v>
      </c>
      <c r="P3582" s="105">
        <v>2.0680882E7</v>
      </c>
      <c r="Q3582" s="102" t="s">
        <v>2439</v>
      </c>
      <c r="S3582" s="1"/>
      <c r="T3582" s="1"/>
      <c r="U3582" s="1"/>
      <c r="V3582" s="1"/>
      <c r="W3582" s="1"/>
      <c r="X3582" s="1"/>
      <c r="Y3582" s="1"/>
      <c r="Z3582" s="102"/>
      <c r="AA3582" s="102"/>
      <c r="AB3582" s="1"/>
      <c r="AC3582" s="1"/>
      <c r="AD3582" s="1"/>
      <c r="AE3582" s="1"/>
      <c r="AF3582" s="1"/>
      <c r="AG3582" s="1"/>
    </row>
    <row r="3583" ht="15.75" customHeight="1">
      <c r="A3583" s="1"/>
      <c r="B3583" s="1"/>
      <c r="C3583" s="1"/>
      <c r="D3583" s="1"/>
      <c r="E3583" s="1"/>
      <c r="F3583" s="1"/>
      <c r="G3583" s="1"/>
      <c r="H3583" s="1"/>
      <c r="I3583" s="1"/>
      <c r="J3583" s="1"/>
      <c r="K3583" s="102" t="s">
        <v>6082</v>
      </c>
      <c r="L3583" s="102" t="str">
        <f>AA296</f>
        <v>J1a2a1a2d2b2b2c4d2a2a3b2b2a~</v>
      </c>
      <c r="M3583" s="102" t="s">
        <v>6083</v>
      </c>
      <c r="N3583" s="102" t="s">
        <v>6084</v>
      </c>
      <c r="O3583" s="105">
        <v>1.6957938E7</v>
      </c>
      <c r="P3583" s="105">
        <v>1.4846058E7</v>
      </c>
      <c r="Q3583" s="102" t="s">
        <v>2576</v>
      </c>
      <c r="S3583" s="1"/>
      <c r="T3583" s="1"/>
      <c r="U3583" s="1"/>
      <c r="V3583" s="1"/>
      <c r="W3583" s="1"/>
      <c r="X3583" s="1"/>
      <c r="Y3583" s="1"/>
      <c r="Z3583" s="102"/>
      <c r="AA3583" s="102"/>
      <c r="AB3583" s="1"/>
      <c r="AC3583" s="1"/>
      <c r="AD3583" s="1"/>
      <c r="AE3583" s="1"/>
      <c r="AF3583" s="1"/>
      <c r="AG3583" s="1"/>
    </row>
    <row r="3584" ht="15.75" customHeight="1">
      <c r="A3584" s="1"/>
      <c r="B3584" s="1"/>
      <c r="C3584" s="1"/>
      <c r="D3584" s="1"/>
      <c r="E3584" s="1"/>
      <c r="F3584" s="1"/>
      <c r="G3584" s="1"/>
      <c r="H3584" s="1"/>
      <c r="I3584" s="1"/>
      <c r="J3584" s="1"/>
      <c r="K3584" s="102" t="s">
        <v>6083</v>
      </c>
      <c r="L3584" s="102" t="str">
        <f>AA296</f>
        <v>J1a2a1a2d2b2b2c4d2a2a3b2b2a~</v>
      </c>
      <c r="M3584" s="102" t="s">
        <v>6082</v>
      </c>
      <c r="N3584" s="102" t="s">
        <v>6084</v>
      </c>
      <c r="O3584" s="105">
        <v>1.6957938E7</v>
      </c>
      <c r="P3584" s="105">
        <v>1.4846058E7</v>
      </c>
      <c r="Q3584" s="102" t="s">
        <v>2576</v>
      </c>
      <c r="S3584" s="1"/>
      <c r="T3584" s="1"/>
      <c r="U3584" s="1"/>
      <c r="V3584" s="1"/>
      <c r="W3584" s="1"/>
      <c r="X3584" s="1"/>
      <c r="Y3584" s="1"/>
      <c r="Z3584" s="102"/>
      <c r="AA3584" s="102"/>
      <c r="AB3584" s="1"/>
      <c r="AC3584" s="1"/>
      <c r="AD3584" s="1"/>
      <c r="AE3584" s="1"/>
      <c r="AF3584" s="1"/>
      <c r="AG3584" s="1"/>
    </row>
    <row r="3585" ht="15.75" customHeight="1">
      <c r="A3585" s="1"/>
      <c r="B3585" s="1"/>
      <c r="C3585" s="1"/>
      <c r="D3585" s="1"/>
      <c r="E3585" s="1"/>
      <c r="F3585" s="1"/>
      <c r="G3585" s="1"/>
      <c r="H3585" s="1"/>
      <c r="I3585" s="1"/>
      <c r="J3585" s="1"/>
      <c r="K3585" s="102" t="s">
        <v>6085</v>
      </c>
      <c r="L3585" s="102" t="str">
        <f>AA296</f>
        <v>J1a2a1a2d2b2b2c4d2a2a3b2b2a~</v>
      </c>
      <c r="M3585" s="102" t="s">
        <v>6086</v>
      </c>
      <c r="N3585" s="102"/>
      <c r="O3585" s="105">
        <v>2.1200938E7</v>
      </c>
      <c r="P3585" s="105">
        <v>1.9039052E7</v>
      </c>
      <c r="Q3585" s="102" t="s">
        <v>2501</v>
      </c>
      <c r="S3585" s="1"/>
      <c r="T3585" s="1"/>
      <c r="U3585" s="1"/>
      <c r="V3585" s="1"/>
      <c r="W3585" s="1"/>
      <c r="X3585" s="1"/>
      <c r="Y3585" s="1"/>
      <c r="Z3585" s="102"/>
      <c r="AA3585" s="102"/>
      <c r="AB3585" s="1"/>
      <c r="AC3585" s="1"/>
      <c r="AD3585" s="1"/>
      <c r="AE3585" s="1"/>
      <c r="AF3585" s="1"/>
      <c r="AG3585" s="1"/>
    </row>
    <row r="3586" ht="15.75" customHeight="1">
      <c r="A3586" s="1"/>
      <c r="B3586" s="1"/>
      <c r="C3586" s="1"/>
      <c r="D3586" s="1"/>
      <c r="E3586" s="1"/>
      <c r="F3586" s="1"/>
      <c r="G3586" s="1"/>
      <c r="H3586" s="1"/>
      <c r="I3586" s="1"/>
      <c r="J3586" s="1"/>
      <c r="K3586" s="102" t="s">
        <v>6086</v>
      </c>
      <c r="L3586" s="102" t="str">
        <f>AA296</f>
        <v>J1a2a1a2d2b2b2c4d2a2a3b2b2a~</v>
      </c>
      <c r="M3586" s="102" t="s">
        <v>6085</v>
      </c>
      <c r="N3586" s="102"/>
      <c r="O3586" s="105">
        <v>2.1200938E7</v>
      </c>
      <c r="P3586" s="105">
        <v>1.9039052E7</v>
      </c>
      <c r="Q3586" s="102" t="s">
        <v>2501</v>
      </c>
      <c r="S3586" s="1"/>
      <c r="T3586" s="1"/>
      <c r="U3586" s="1"/>
      <c r="V3586" s="1"/>
      <c r="W3586" s="1"/>
      <c r="X3586" s="1"/>
      <c r="Y3586" s="1"/>
      <c r="Z3586" s="102"/>
      <c r="AA3586" s="102"/>
      <c r="AB3586" s="1"/>
      <c r="AC3586" s="1"/>
      <c r="AD3586" s="1"/>
      <c r="AE3586" s="1"/>
      <c r="AF3586" s="1"/>
      <c r="AG3586" s="1"/>
    </row>
    <row r="3587" ht="15.75" customHeight="1">
      <c r="A3587" s="1"/>
      <c r="B3587" s="1"/>
      <c r="C3587" s="1"/>
      <c r="D3587" s="1"/>
      <c r="E3587" s="1"/>
      <c r="F3587" s="1"/>
      <c r="G3587" s="1"/>
      <c r="H3587" s="1"/>
      <c r="I3587" s="1"/>
      <c r="J3587" s="1"/>
      <c r="K3587" s="102" t="s">
        <v>6087</v>
      </c>
      <c r="L3587" s="102" t="str">
        <f>AA296</f>
        <v>J1a2a1a2d2b2b2c4d2a2a3b2b2a~</v>
      </c>
      <c r="M3587" s="102" t="s">
        <v>6088</v>
      </c>
      <c r="N3587" s="102" t="s">
        <v>6089</v>
      </c>
      <c r="O3587" s="105">
        <v>2.4383243E7</v>
      </c>
      <c r="P3587" s="105">
        <v>2.2237096E7</v>
      </c>
      <c r="Q3587" s="102" t="s">
        <v>2468</v>
      </c>
      <c r="S3587" s="1"/>
      <c r="T3587" s="1"/>
      <c r="U3587" s="1"/>
      <c r="V3587" s="1"/>
      <c r="W3587" s="1"/>
      <c r="X3587" s="1"/>
      <c r="Y3587" s="1"/>
      <c r="Z3587" s="102"/>
      <c r="AA3587" s="102"/>
      <c r="AB3587" s="1"/>
      <c r="AC3587" s="1"/>
      <c r="AD3587" s="1"/>
      <c r="AE3587" s="1"/>
      <c r="AF3587" s="1"/>
      <c r="AG3587" s="1"/>
    </row>
    <row r="3588" ht="15.75" customHeight="1">
      <c r="A3588" s="1"/>
      <c r="B3588" s="1"/>
      <c r="C3588" s="1"/>
      <c r="D3588" s="1"/>
      <c r="E3588" s="1"/>
      <c r="F3588" s="1"/>
      <c r="G3588" s="1"/>
      <c r="H3588" s="1"/>
      <c r="I3588" s="1"/>
      <c r="J3588" s="1"/>
      <c r="K3588" s="102" t="s">
        <v>6088</v>
      </c>
      <c r="L3588" s="102" t="str">
        <f>AA296</f>
        <v>J1a2a1a2d2b2b2c4d2a2a3b2b2a~</v>
      </c>
      <c r="M3588" s="102" t="s">
        <v>6087</v>
      </c>
      <c r="N3588" s="102" t="s">
        <v>6089</v>
      </c>
      <c r="O3588" s="105">
        <v>2.4383243E7</v>
      </c>
      <c r="P3588" s="105">
        <v>2.2237096E7</v>
      </c>
      <c r="Q3588" s="102" t="s">
        <v>2468</v>
      </c>
      <c r="S3588" s="1"/>
      <c r="T3588" s="1"/>
      <c r="U3588" s="1"/>
      <c r="V3588" s="1"/>
      <c r="W3588" s="1"/>
      <c r="X3588" s="1"/>
      <c r="Y3588" s="1"/>
      <c r="Z3588" s="102"/>
      <c r="AA3588" s="102"/>
      <c r="AB3588" s="1"/>
      <c r="AC3588" s="1"/>
      <c r="AD3588" s="1"/>
      <c r="AE3588" s="1"/>
      <c r="AF3588" s="1"/>
      <c r="AG3588" s="1"/>
    </row>
    <row r="3589" ht="15.75" customHeight="1">
      <c r="A3589" s="1"/>
      <c r="B3589" s="1"/>
      <c r="C3589" s="1"/>
      <c r="D3589" s="1"/>
      <c r="E3589" s="1"/>
      <c r="F3589" s="1"/>
      <c r="G3589" s="1"/>
      <c r="H3589" s="1"/>
      <c r="I3589" s="1"/>
      <c r="J3589" s="1"/>
      <c r="K3589" s="102" t="s">
        <v>563</v>
      </c>
      <c r="L3589" s="102" t="str">
        <f>AB297</f>
        <v>J1a2a1a2d2b2b2c4d2a2a3b2b2a1~</v>
      </c>
      <c r="M3589" s="102"/>
      <c r="N3589" s="102" t="s">
        <v>6090</v>
      </c>
      <c r="O3589" s="105">
        <v>1.9317482E7</v>
      </c>
      <c r="P3589" s="105">
        <v>1.7205602E7</v>
      </c>
      <c r="Q3589" s="102" t="s">
        <v>2533</v>
      </c>
      <c r="S3589" s="1"/>
      <c r="T3589" s="1"/>
      <c r="U3589" s="1"/>
      <c r="V3589" s="1"/>
      <c r="W3589" s="1"/>
      <c r="X3589" s="1"/>
      <c r="Y3589" s="1"/>
      <c r="Z3589" s="102"/>
      <c r="AA3589" s="102"/>
      <c r="AB3589" s="1"/>
      <c r="AC3589" s="1"/>
      <c r="AD3589" s="1"/>
      <c r="AE3589" s="1"/>
      <c r="AF3589" s="1"/>
      <c r="AG3589" s="1"/>
    </row>
    <row r="3590" ht="15.75" customHeight="1">
      <c r="A3590" s="1"/>
      <c r="B3590" s="1"/>
      <c r="C3590" s="1"/>
      <c r="D3590" s="1"/>
      <c r="E3590" s="1"/>
      <c r="F3590" s="1"/>
      <c r="G3590" s="1"/>
      <c r="H3590" s="1"/>
      <c r="I3590" s="1"/>
      <c r="J3590" s="1"/>
      <c r="K3590" s="102" t="s">
        <v>565</v>
      </c>
      <c r="L3590" s="102" t="str">
        <f>AC298</f>
        <v>J1a2a1a2d2b2b2c4d2a2a3b2b2a1a~</v>
      </c>
      <c r="M3590" s="102"/>
      <c r="N3590" s="102"/>
      <c r="O3590" s="105">
        <v>1.6433314E7</v>
      </c>
      <c r="P3590" s="105">
        <v>1.4321434E7</v>
      </c>
      <c r="Q3590" s="102" t="s">
        <v>2533</v>
      </c>
      <c r="S3590" s="1"/>
      <c r="T3590" s="1"/>
      <c r="U3590" s="1"/>
      <c r="V3590" s="1"/>
      <c r="W3590" s="1"/>
      <c r="X3590" s="1"/>
      <c r="Y3590" s="1"/>
      <c r="Z3590" s="102"/>
      <c r="AA3590" s="102"/>
      <c r="AB3590" s="1"/>
      <c r="AC3590" s="1"/>
      <c r="AD3590" s="1"/>
      <c r="AE3590" s="1"/>
      <c r="AF3590" s="1"/>
      <c r="AG3590" s="1"/>
    </row>
    <row r="3591" ht="15.75" customHeight="1">
      <c r="A3591" s="1"/>
      <c r="B3591" s="1"/>
      <c r="C3591" s="1"/>
      <c r="D3591" s="1"/>
      <c r="E3591" s="1"/>
      <c r="F3591" s="1"/>
      <c r="G3591" s="1"/>
      <c r="H3591" s="1"/>
      <c r="I3591" s="1"/>
      <c r="J3591" s="1"/>
      <c r="K3591" s="106" t="s">
        <v>6091</v>
      </c>
      <c r="L3591" s="102" t="str">
        <f>AD299</f>
        <v>J1a2a1a2d2b2b2c4d2a2a3b2b2a1a1~</v>
      </c>
      <c r="M3591" s="102" t="s">
        <v>6092</v>
      </c>
      <c r="N3591" s="102" t="s">
        <v>6093</v>
      </c>
      <c r="O3591" s="105">
        <v>1.7661145E7</v>
      </c>
      <c r="P3591" s="105">
        <v>1.5549265E7</v>
      </c>
      <c r="Q3591" s="102" t="s">
        <v>2501</v>
      </c>
      <c r="S3591" s="1"/>
      <c r="T3591" s="1"/>
      <c r="U3591" s="1"/>
      <c r="V3591" s="1"/>
      <c r="W3591" s="1"/>
      <c r="X3591" s="1"/>
      <c r="Y3591" s="1"/>
      <c r="Z3591" s="102">
        <v>2.3873138E7</v>
      </c>
      <c r="AA3591" s="102" t="s">
        <v>6094</v>
      </c>
      <c r="AB3591" s="1"/>
      <c r="AC3591" s="1"/>
      <c r="AD3591" s="1"/>
      <c r="AE3591" s="1"/>
      <c r="AF3591" s="1"/>
      <c r="AG3591" s="1"/>
    </row>
    <row r="3592" ht="15.75" customHeight="1">
      <c r="A3592" s="1"/>
      <c r="B3592" s="1"/>
      <c r="C3592" s="1"/>
      <c r="D3592" s="1"/>
      <c r="E3592" s="1"/>
      <c r="F3592" s="1"/>
      <c r="G3592" s="1"/>
      <c r="H3592" s="1"/>
      <c r="I3592" s="1"/>
      <c r="J3592" s="1"/>
      <c r="K3592" s="102" t="s">
        <v>6092</v>
      </c>
      <c r="L3592" s="102" t="str">
        <f>AD299</f>
        <v>J1a2a1a2d2b2b2c4d2a2a3b2b2a1a1~</v>
      </c>
      <c r="M3592" s="106" t="s">
        <v>6091</v>
      </c>
      <c r="N3592" s="102" t="s">
        <v>6093</v>
      </c>
      <c r="O3592" s="105">
        <v>1.7661145E7</v>
      </c>
      <c r="P3592" s="105">
        <v>1.5549265E7</v>
      </c>
      <c r="Q3592" s="102" t="s">
        <v>2501</v>
      </c>
      <c r="S3592" s="1"/>
      <c r="T3592" s="1"/>
      <c r="U3592" s="1"/>
      <c r="V3592" s="1"/>
      <c r="W3592" s="1"/>
      <c r="X3592" s="1"/>
      <c r="Y3592" s="1"/>
      <c r="Z3592" s="102"/>
      <c r="AA3592" s="102"/>
      <c r="AB3592" s="1"/>
      <c r="AC3592" s="1"/>
      <c r="AD3592" s="1"/>
      <c r="AE3592" s="1"/>
      <c r="AF3592" s="1"/>
      <c r="AG3592" s="1"/>
    </row>
    <row r="3593" ht="15.75" customHeight="1">
      <c r="A3593" s="1"/>
      <c r="B3593" s="1"/>
      <c r="C3593" s="1"/>
      <c r="D3593" s="1"/>
      <c r="E3593" s="1"/>
      <c r="F3593" s="1"/>
      <c r="G3593" s="1"/>
      <c r="H3593" s="1"/>
      <c r="I3593" s="1"/>
      <c r="J3593" s="1"/>
      <c r="K3593" s="102" t="s">
        <v>569</v>
      </c>
      <c r="L3593" s="102" t="str">
        <f>AB300</f>
        <v>J1a2a1a2d2b2b2c4d2a2a3b2b2a2~</v>
      </c>
      <c r="M3593" s="102"/>
      <c r="N3593" s="102"/>
      <c r="O3593" s="105">
        <v>1.7508021E7</v>
      </c>
      <c r="P3593" s="105">
        <v>1.5396141E7</v>
      </c>
      <c r="Q3593" s="102" t="s">
        <v>2468</v>
      </c>
      <c r="S3593" s="1"/>
      <c r="T3593" s="1"/>
      <c r="U3593" s="1"/>
      <c r="V3593" s="1"/>
      <c r="W3593" s="1"/>
      <c r="X3593" s="1"/>
      <c r="Y3593" s="1"/>
      <c r="Z3593" s="102"/>
      <c r="AA3593" s="102"/>
      <c r="AB3593" s="1"/>
      <c r="AC3593" s="1"/>
      <c r="AD3593" s="1"/>
      <c r="AE3593" s="1"/>
      <c r="AF3593" s="1"/>
      <c r="AG3593" s="1"/>
    </row>
    <row r="3594" ht="15.75" customHeight="1">
      <c r="A3594" s="1"/>
      <c r="B3594" s="1"/>
      <c r="C3594" s="1"/>
      <c r="D3594" s="1"/>
      <c r="E3594" s="1"/>
      <c r="F3594" s="1"/>
      <c r="G3594" s="1"/>
      <c r="H3594" s="1"/>
      <c r="I3594" s="1"/>
      <c r="J3594" s="1"/>
      <c r="K3594" s="102" t="s">
        <v>571</v>
      </c>
      <c r="L3594" s="102" t="str">
        <f>AC301</f>
        <v>J1a2a1a2d2b2b2c4d2a2a3b2b2a2a~</v>
      </c>
      <c r="M3594" s="102"/>
      <c r="N3594" s="102" t="s">
        <v>6095</v>
      </c>
      <c r="O3594" s="105">
        <v>1.6964855E7</v>
      </c>
      <c r="P3594" s="105">
        <v>1.4852975E7</v>
      </c>
      <c r="Q3594" s="102" t="s">
        <v>2501</v>
      </c>
      <c r="S3594" s="1"/>
      <c r="T3594" s="1"/>
      <c r="U3594" s="1"/>
      <c r="V3594" s="1"/>
      <c r="W3594" s="1"/>
      <c r="X3594" s="1"/>
      <c r="Y3594" s="1"/>
      <c r="Z3594" s="102"/>
      <c r="AA3594" s="102"/>
      <c r="AB3594" s="1"/>
      <c r="AC3594" s="1"/>
      <c r="AD3594" s="1"/>
      <c r="AE3594" s="1"/>
      <c r="AF3594" s="1"/>
      <c r="AG3594" s="1"/>
    </row>
    <row r="3595" ht="15.75" customHeight="1">
      <c r="A3595" s="1"/>
      <c r="B3595" s="1"/>
      <c r="C3595" s="1"/>
      <c r="D3595" s="1"/>
      <c r="E3595" s="1"/>
      <c r="F3595" s="1"/>
      <c r="G3595" s="1"/>
      <c r="H3595" s="1"/>
      <c r="I3595" s="1"/>
      <c r="J3595" s="1"/>
      <c r="K3595" s="102" t="s">
        <v>573</v>
      </c>
      <c r="L3595" s="102" t="str">
        <f>AD302</f>
        <v>J1a2a1a2d2b2b2c4d2a2a3b2b2a2a1~</v>
      </c>
      <c r="M3595" s="102"/>
      <c r="N3595" s="102"/>
      <c r="O3595" s="105">
        <v>1.9032281E7</v>
      </c>
      <c r="P3595" s="105">
        <v>1.6920401E7</v>
      </c>
      <c r="Q3595" s="102" t="s">
        <v>2529</v>
      </c>
      <c r="S3595" s="1"/>
      <c r="T3595" s="1"/>
      <c r="U3595" s="1"/>
      <c r="V3595" s="1"/>
      <c r="W3595" s="1"/>
      <c r="X3595" s="1"/>
      <c r="Y3595" s="1"/>
      <c r="Z3595" s="102"/>
      <c r="AA3595" s="102"/>
      <c r="AB3595" s="1"/>
      <c r="AC3595" s="1"/>
      <c r="AD3595" s="1"/>
      <c r="AE3595" s="1"/>
      <c r="AF3595" s="1"/>
      <c r="AG3595" s="1"/>
    </row>
    <row r="3596" ht="15.75" customHeight="1">
      <c r="A3596" s="1"/>
      <c r="B3596" s="1"/>
      <c r="C3596" s="1"/>
      <c r="D3596" s="1"/>
      <c r="E3596" s="1"/>
      <c r="F3596" s="1"/>
      <c r="G3596" s="1"/>
      <c r="H3596" s="1"/>
      <c r="I3596" s="1"/>
      <c r="J3596" s="1"/>
      <c r="K3596" s="102" t="s">
        <v>6096</v>
      </c>
      <c r="L3596" s="102" t="str">
        <f>Z303</f>
        <v>J1a2a1a2d2b2b2c4d2a2a3b2b3~</v>
      </c>
      <c r="M3596" s="102"/>
      <c r="N3596" s="102" t="s">
        <v>6097</v>
      </c>
      <c r="O3596" s="105">
        <v>7247792.0</v>
      </c>
      <c r="P3596" s="105">
        <v>7379751.0</v>
      </c>
      <c r="Q3596" s="102" t="s">
        <v>2501</v>
      </c>
      <c r="S3596" s="1"/>
      <c r="T3596" s="1"/>
      <c r="U3596" s="1"/>
      <c r="V3596" s="1"/>
      <c r="W3596" s="1"/>
      <c r="X3596" s="1"/>
      <c r="Y3596" s="1"/>
      <c r="Z3596" s="102"/>
      <c r="AA3596" s="102"/>
      <c r="AB3596" s="1"/>
      <c r="AC3596" s="1"/>
      <c r="AD3596" s="1"/>
      <c r="AE3596" s="1"/>
      <c r="AF3596" s="1"/>
      <c r="AG3596" s="1"/>
    </row>
    <row r="3597" ht="15.75" customHeight="1">
      <c r="A3597" s="1"/>
      <c r="B3597" s="1"/>
      <c r="C3597" s="1"/>
      <c r="D3597" s="1"/>
      <c r="E3597" s="1"/>
      <c r="F3597" s="1"/>
      <c r="G3597" s="1"/>
      <c r="H3597" s="1"/>
      <c r="I3597" s="1"/>
      <c r="J3597" s="1"/>
      <c r="K3597" s="102" t="s">
        <v>6098</v>
      </c>
      <c r="L3597" s="102" t="str">
        <f>Z303</f>
        <v>J1a2a1a2d2b2b2c4d2a2a3b2b3~</v>
      </c>
      <c r="M3597" s="102"/>
      <c r="N3597" s="102" t="s">
        <v>6099</v>
      </c>
      <c r="O3597" s="105">
        <v>1.6975339E7</v>
      </c>
      <c r="P3597" s="105">
        <v>1.4863459E7</v>
      </c>
      <c r="Q3597" s="102" t="s">
        <v>2533</v>
      </c>
      <c r="S3597" s="1"/>
      <c r="T3597" s="1"/>
      <c r="U3597" s="1"/>
      <c r="V3597" s="1"/>
      <c r="W3597" s="1"/>
      <c r="X3597" s="1"/>
      <c r="Y3597" s="1"/>
      <c r="Z3597" s="102"/>
      <c r="AA3597" s="102"/>
      <c r="AB3597" s="1"/>
      <c r="AC3597" s="1"/>
      <c r="AD3597" s="1"/>
      <c r="AE3597" s="1"/>
      <c r="AF3597" s="1"/>
      <c r="AG3597" s="1"/>
    </row>
    <row r="3598" ht="15.75" customHeight="1">
      <c r="A3598" s="1"/>
      <c r="B3598" s="1"/>
      <c r="C3598" s="1"/>
      <c r="D3598" s="1"/>
      <c r="E3598" s="1"/>
      <c r="F3598" s="1"/>
      <c r="G3598" s="1"/>
      <c r="H3598" s="1"/>
      <c r="I3598" s="1"/>
      <c r="J3598" s="1"/>
      <c r="K3598" s="102" t="s">
        <v>6100</v>
      </c>
      <c r="L3598" s="102" t="str">
        <f>Z303</f>
        <v>J1a2a1a2d2b2b2c4d2a2a3b2b3~</v>
      </c>
      <c r="M3598" s="102" t="s">
        <v>6101</v>
      </c>
      <c r="N3598" s="102" t="s">
        <v>6102</v>
      </c>
      <c r="O3598" s="105">
        <v>1.8680807E7</v>
      </c>
      <c r="P3598" s="105">
        <v>1.6568927E7</v>
      </c>
      <c r="Q3598" s="102" t="s">
        <v>2563</v>
      </c>
      <c r="S3598" s="1"/>
      <c r="T3598" s="1"/>
      <c r="U3598" s="1"/>
      <c r="V3598" s="1"/>
      <c r="W3598" s="1"/>
      <c r="X3598" s="1"/>
      <c r="Y3598" s="1"/>
      <c r="Z3598" s="102"/>
      <c r="AA3598" s="102"/>
      <c r="AB3598" s="1"/>
      <c r="AC3598" s="1"/>
      <c r="AD3598" s="1"/>
      <c r="AE3598" s="1"/>
      <c r="AF3598" s="1"/>
      <c r="AG3598" s="1"/>
    </row>
    <row r="3599" ht="15.75" customHeight="1">
      <c r="A3599" s="1"/>
      <c r="B3599" s="1"/>
      <c r="C3599" s="1"/>
      <c r="D3599" s="1"/>
      <c r="E3599" s="1"/>
      <c r="F3599" s="1"/>
      <c r="G3599" s="1"/>
      <c r="H3599" s="1"/>
      <c r="I3599" s="1"/>
      <c r="J3599" s="1"/>
      <c r="K3599" s="102" t="s">
        <v>6101</v>
      </c>
      <c r="L3599" s="102" t="str">
        <f>Z303</f>
        <v>J1a2a1a2d2b2b2c4d2a2a3b2b3~</v>
      </c>
      <c r="M3599" s="102" t="s">
        <v>6100</v>
      </c>
      <c r="N3599" s="102" t="s">
        <v>6102</v>
      </c>
      <c r="O3599" s="105">
        <v>1.8680807E7</v>
      </c>
      <c r="P3599" s="105">
        <v>1.6568927E7</v>
      </c>
      <c r="Q3599" s="102" t="s">
        <v>2563</v>
      </c>
      <c r="S3599" s="1"/>
      <c r="T3599" s="1"/>
      <c r="U3599" s="1"/>
      <c r="V3599" s="1"/>
      <c r="W3599" s="1"/>
      <c r="X3599" s="1"/>
      <c r="Y3599" s="1"/>
      <c r="Z3599" s="102"/>
      <c r="AA3599" s="102"/>
      <c r="AB3599" s="1"/>
      <c r="AC3599" s="1"/>
      <c r="AD3599" s="1"/>
      <c r="AE3599" s="1"/>
      <c r="AF3599" s="1"/>
      <c r="AG3599" s="1"/>
    </row>
    <row r="3600" ht="15.75" customHeight="1">
      <c r="A3600" s="1"/>
      <c r="B3600" s="1"/>
      <c r="C3600" s="1"/>
      <c r="D3600" s="1"/>
      <c r="E3600" s="1"/>
      <c r="F3600" s="1"/>
      <c r="G3600" s="1"/>
      <c r="H3600" s="1"/>
      <c r="I3600" s="1"/>
      <c r="J3600" s="1"/>
      <c r="K3600" s="102" t="s">
        <v>6103</v>
      </c>
      <c r="L3600" s="102" t="str">
        <f>Z303</f>
        <v>J1a2a1a2d2b2b2c4d2a2a3b2b3~</v>
      </c>
      <c r="M3600" s="102" t="s">
        <v>6104</v>
      </c>
      <c r="N3600" s="102" t="s">
        <v>6105</v>
      </c>
      <c r="O3600" s="105">
        <v>1.9128972E7</v>
      </c>
      <c r="P3600" s="105">
        <v>1.7017092E7</v>
      </c>
      <c r="Q3600" s="102" t="s">
        <v>2501</v>
      </c>
      <c r="S3600" s="1"/>
      <c r="T3600" s="1"/>
      <c r="U3600" s="1"/>
      <c r="V3600" s="1"/>
      <c r="W3600" s="1"/>
      <c r="X3600" s="1"/>
      <c r="Y3600" s="1"/>
      <c r="Z3600" s="102"/>
      <c r="AA3600" s="102"/>
      <c r="AB3600" s="1"/>
      <c r="AC3600" s="1"/>
      <c r="AD3600" s="1"/>
      <c r="AE3600" s="1"/>
      <c r="AF3600" s="1"/>
      <c r="AG3600" s="1"/>
    </row>
    <row r="3601" ht="15.75" customHeight="1">
      <c r="A3601" s="1"/>
      <c r="B3601" s="1"/>
      <c r="C3601" s="1"/>
      <c r="D3601" s="1"/>
      <c r="E3601" s="1"/>
      <c r="F3601" s="1"/>
      <c r="G3601" s="1"/>
      <c r="H3601" s="1"/>
      <c r="I3601" s="1"/>
      <c r="J3601" s="1"/>
      <c r="K3601" s="102" t="s">
        <v>6104</v>
      </c>
      <c r="L3601" s="102" t="str">
        <f>Z303</f>
        <v>J1a2a1a2d2b2b2c4d2a2a3b2b3~</v>
      </c>
      <c r="M3601" s="102" t="s">
        <v>6103</v>
      </c>
      <c r="N3601" s="102" t="s">
        <v>6105</v>
      </c>
      <c r="O3601" s="105">
        <v>1.9128972E7</v>
      </c>
      <c r="P3601" s="105">
        <v>1.7017092E7</v>
      </c>
      <c r="Q3601" s="102" t="s">
        <v>2501</v>
      </c>
      <c r="S3601" s="1"/>
      <c r="T3601" s="1"/>
      <c r="U3601" s="1"/>
      <c r="V3601" s="1"/>
      <c r="W3601" s="1"/>
      <c r="X3601" s="1"/>
      <c r="Y3601" s="1"/>
      <c r="Z3601" s="102"/>
      <c r="AA3601" s="102"/>
      <c r="AB3601" s="1"/>
      <c r="AC3601" s="1"/>
      <c r="AD3601" s="1"/>
      <c r="AE3601" s="1"/>
      <c r="AF3601" s="1"/>
      <c r="AG3601" s="1"/>
    </row>
    <row r="3602" ht="15.75" customHeight="1">
      <c r="A3602" s="1"/>
      <c r="B3602" s="1"/>
      <c r="C3602" s="1"/>
      <c r="D3602" s="1"/>
      <c r="E3602" s="1"/>
      <c r="F3602" s="1"/>
      <c r="G3602" s="1"/>
      <c r="H3602" s="1"/>
      <c r="I3602" s="1"/>
      <c r="J3602" s="1"/>
      <c r="K3602" s="102" t="s">
        <v>6106</v>
      </c>
      <c r="L3602" s="102" t="str">
        <f>Z303</f>
        <v>J1a2a1a2d2b2b2c4d2a2a3b2b3~</v>
      </c>
      <c r="M3602" s="102" t="s">
        <v>6107</v>
      </c>
      <c r="N3602" s="102" t="s">
        <v>6108</v>
      </c>
      <c r="O3602" s="105">
        <v>2.1704569E7</v>
      </c>
      <c r="P3602" s="105">
        <v>1.9542683E7</v>
      </c>
      <c r="Q3602" s="102" t="s">
        <v>2446</v>
      </c>
      <c r="S3602" s="1"/>
      <c r="T3602" s="1"/>
      <c r="U3602" s="1"/>
      <c r="V3602" s="1"/>
      <c r="W3602" s="1"/>
      <c r="X3602" s="1"/>
      <c r="Y3602" s="1"/>
      <c r="Z3602" s="102"/>
      <c r="AA3602" s="102"/>
      <c r="AB3602" s="1"/>
      <c r="AC3602" s="1"/>
      <c r="AD3602" s="1"/>
      <c r="AE3602" s="1"/>
      <c r="AF3602" s="1"/>
      <c r="AG3602" s="1"/>
    </row>
    <row r="3603" ht="15.75" customHeight="1">
      <c r="A3603" s="1"/>
      <c r="B3603" s="1"/>
      <c r="C3603" s="1"/>
      <c r="D3603" s="1"/>
      <c r="E3603" s="1"/>
      <c r="F3603" s="1"/>
      <c r="G3603" s="1"/>
      <c r="H3603" s="1"/>
      <c r="I3603" s="1"/>
      <c r="J3603" s="1"/>
      <c r="K3603" s="102" t="s">
        <v>6107</v>
      </c>
      <c r="L3603" s="102" t="str">
        <f>Z303</f>
        <v>J1a2a1a2d2b2b2c4d2a2a3b2b3~</v>
      </c>
      <c r="M3603" s="102" t="s">
        <v>6106</v>
      </c>
      <c r="N3603" s="102" t="s">
        <v>6108</v>
      </c>
      <c r="O3603" s="105">
        <v>2.1704569E7</v>
      </c>
      <c r="P3603" s="105">
        <v>1.9542683E7</v>
      </c>
      <c r="Q3603" s="102" t="s">
        <v>2446</v>
      </c>
      <c r="S3603" s="1"/>
      <c r="T3603" s="1"/>
      <c r="U3603" s="1"/>
      <c r="V3603" s="1"/>
      <c r="W3603" s="1"/>
      <c r="X3603" s="1"/>
      <c r="Y3603" s="1"/>
      <c r="Z3603" s="102"/>
      <c r="AA3603" s="102"/>
      <c r="AB3603" s="1"/>
      <c r="AC3603" s="1"/>
      <c r="AD3603" s="1"/>
      <c r="AE3603" s="1"/>
      <c r="AF3603" s="1"/>
      <c r="AG3603" s="1"/>
    </row>
    <row r="3604" ht="15.75" customHeight="1">
      <c r="A3604" s="1"/>
      <c r="B3604" s="1"/>
      <c r="C3604" s="1"/>
      <c r="D3604" s="1"/>
      <c r="E3604" s="1"/>
      <c r="F3604" s="1"/>
      <c r="G3604" s="1"/>
      <c r="H3604" s="1"/>
      <c r="I3604" s="1"/>
      <c r="J3604" s="1"/>
      <c r="K3604" s="102" t="s">
        <v>6109</v>
      </c>
      <c r="L3604" s="102" t="str">
        <f>Z303</f>
        <v>J1a2a1a2d2b2b2c4d2a2a3b2b3~</v>
      </c>
      <c r="M3604" s="102"/>
      <c r="N3604" s="102" t="s">
        <v>6110</v>
      </c>
      <c r="O3604" s="105">
        <v>2.132433E7</v>
      </c>
      <c r="P3604" s="105">
        <v>1.9162444E7</v>
      </c>
      <c r="Q3604" s="102" t="s">
        <v>2533</v>
      </c>
      <c r="S3604" s="1"/>
      <c r="T3604" s="1"/>
      <c r="U3604" s="1"/>
      <c r="V3604" s="1"/>
      <c r="W3604" s="1"/>
      <c r="X3604" s="1"/>
      <c r="Y3604" s="1"/>
      <c r="Z3604" s="102"/>
      <c r="AA3604" s="102"/>
      <c r="AB3604" s="1"/>
      <c r="AC3604" s="1"/>
      <c r="AD3604" s="1"/>
      <c r="AE3604" s="1"/>
      <c r="AF3604" s="1"/>
      <c r="AG3604" s="1"/>
    </row>
    <row r="3605" ht="15.75" customHeight="1">
      <c r="A3605" s="1"/>
      <c r="B3605" s="1"/>
      <c r="C3605" s="1"/>
      <c r="D3605" s="1"/>
      <c r="E3605" s="1"/>
      <c r="F3605" s="1"/>
      <c r="G3605" s="1"/>
      <c r="H3605" s="1"/>
      <c r="I3605" s="1"/>
      <c r="J3605" s="1"/>
      <c r="K3605" s="102" t="s">
        <v>6111</v>
      </c>
      <c r="L3605" s="102" t="str">
        <f>Z303</f>
        <v>J1a2a1a2d2b2b2c4d2a2a3b2b3~</v>
      </c>
      <c r="M3605" s="102" t="s">
        <v>6112</v>
      </c>
      <c r="N3605" s="102" t="s">
        <v>6113</v>
      </c>
      <c r="O3605" s="105">
        <v>8455530.0</v>
      </c>
      <c r="P3605" s="105">
        <v>8587489.0</v>
      </c>
      <c r="Q3605" s="102" t="s">
        <v>2468</v>
      </c>
      <c r="S3605" s="1"/>
      <c r="T3605" s="1"/>
      <c r="U3605" s="1"/>
      <c r="V3605" s="1"/>
      <c r="W3605" s="1"/>
      <c r="X3605" s="1"/>
      <c r="Y3605" s="1"/>
      <c r="Z3605" s="102"/>
      <c r="AA3605" s="102"/>
      <c r="AB3605" s="1"/>
      <c r="AC3605" s="1"/>
      <c r="AD3605" s="1"/>
      <c r="AE3605" s="1"/>
      <c r="AF3605" s="1"/>
      <c r="AG3605" s="1"/>
    </row>
    <row r="3606" ht="15.75" customHeight="1">
      <c r="A3606" s="1"/>
      <c r="B3606" s="1"/>
      <c r="C3606" s="1"/>
      <c r="D3606" s="1"/>
      <c r="E3606" s="1"/>
      <c r="F3606" s="1"/>
      <c r="G3606" s="1"/>
      <c r="H3606" s="1"/>
      <c r="I3606" s="1"/>
      <c r="J3606" s="1"/>
      <c r="K3606" s="102" t="s">
        <v>6112</v>
      </c>
      <c r="L3606" s="102" t="str">
        <f>Z303</f>
        <v>J1a2a1a2d2b2b2c4d2a2a3b2b3~</v>
      </c>
      <c r="M3606" s="102" t="s">
        <v>6111</v>
      </c>
      <c r="N3606" s="102" t="s">
        <v>6113</v>
      </c>
      <c r="O3606" s="105">
        <v>8455530.0</v>
      </c>
      <c r="P3606" s="105">
        <v>8587489.0</v>
      </c>
      <c r="Q3606" s="102" t="s">
        <v>2468</v>
      </c>
      <c r="S3606" s="1"/>
      <c r="T3606" s="1"/>
      <c r="U3606" s="1"/>
      <c r="V3606" s="1"/>
      <c r="W3606" s="1"/>
      <c r="X3606" s="1"/>
      <c r="Y3606" s="1"/>
      <c r="Z3606" s="102"/>
      <c r="AA3606" s="102"/>
      <c r="AB3606" s="1"/>
      <c r="AC3606" s="1"/>
      <c r="AD3606" s="1"/>
      <c r="AE3606" s="1"/>
      <c r="AF3606" s="1"/>
      <c r="AG3606" s="1"/>
    </row>
    <row r="3607" ht="15.75" customHeight="1">
      <c r="A3607" s="1"/>
      <c r="B3607" s="1"/>
      <c r="C3607" s="1"/>
      <c r="D3607" s="1"/>
      <c r="E3607" s="1"/>
      <c r="F3607" s="1"/>
      <c r="G3607" s="1"/>
      <c r="H3607" s="1"/>
      <c r="I3607" s="1"/>
      <c r="J3607" s="1"/>
      <c r="K3607" s="102" t="s">
        <v>6114</v>
      </c>
      <c r="L3607" s="102" t="str">
        <f>Z303</f>
        <v>J1a2a1a2d2b2b2c4d2a2a3b2b3~</v>
      </c>
      <c r="M3607" s="102" t="s">
        <v>6115</v>
      </c>
      <c r="N3607" s="102" t="s">
        <v>6116</v>
      </c>
      <c r="O3607" s="105">
        <v>8552390.0</v>
      </c>
      <c r="P3607" s="105">
        <v>8684349.0</v>
      </c>
      <c r="Q3607" s="102" t="s">
        <v>2501</v>
      </c>
      <c r="S3607" s="1"/>
      <c r="T3607" s="1"/>
      <c r="U3607" s="1"/>
      <c r="V3607" s="1"/>
      <c r="W3607" s="1"/>
      <c r="X3607" s="1"/>
      <c r="Y3607" s="1"/>
      <c r="Z3607" s="102"/>
      <c r="AA3607" s="102"/>
      <c r="AB3607" s="1"/>
      <c r="AC3607" s="1"/>
      <c r="AD3607" s="1"/>
      <c r="AE3607" s="1"/>
      <c r="AF3607" s="1"/>
      <c r="AG3607" s="1"/>
    </row>
    <row r="3608" ht="15.75" customHeight="1">
      <c r="A3608" s="1"/>
      <c r="B3608" s="1"/>
      <c r="C3608" s="1"/>
      <c r="D3608" s="1"/>
      <c r="E3608" s="1"/>
      <c r="F3608" s="1"/>
      <c r="G3608" s="1"/>
      <c r="H3608" s="1"/>
      <c r="I3608" s="1"/>
      <c r="J3608" s="1"/>
      <c r="K3608" s="102" t="s">
        <v>6115</v>
      </c>
      <c r="L3608" s="102" t="str">
        <f>Z303</f>
        <v>J1a2a1a2d2b2b2c4d2a2a3b2b3~</v>
      </c>
      <c r="M3608" s="102" t="s">
        <v>6114</v>
      </c>
      <c r="N3608" s="102" t="s">
        <v>6116</v>
      </c>
      <c r="O3608" s="105">
        <v>8552390.0</v>
      </c>
      <c r="P3608" s="105">
        <v>8684349.0</v>
      </c>
      <c r="Q3608" s="102" t="s">
        <v>2501</v>
      </c>
      <c r="S3608" s="1"/>
      <c r="T3608" s="1"/>
      <c r="U3608" s="1"/>
      <c r="V3608" s="1"/>
      <c r="W3608" s="1"/>
      <c r="X3608" s="1"/>
      <c r="Y3608" s="1"/>
      <c r="Z3608" s="102"/>
      <c r="AA3608" s="102"/>
      <c r="AB3608" s="1"/>
      <c r="AC3608" s="1"/>
      <c r="AD3608" s="1"/>
      <c r="AE3608" s="1"/>
      <c r="AF3608" s="1"/>
      <c r="AG3608" s="1"/>
    </row>
    <row r="3609" ht="15.75" customHeight="1">
      <c r="A3609" s="1"/>
      <c r="B3609" s="1"/>
      <c r="C3609" s="1"/>
      <c r="D3609" s="1"/>
      <c r="E3609" s="1"/>
      <c r="F3609" s="1"/>
      <c r="G3609" s="1"/>
      <c r="H3609" s="1"/>
      <c r="I3609" s="1"/>
      <c r="J3609" s="1"/>
      <c r="K3609" s="102" t="s">
        <v>6117</v>
      </c>
      <c r="L3609" s="102" t="str">
        <f>Z303</f>
        <v>J1a2a1a2d2b2b2c4d2a2a3b2b3~</v>
      </c>
      <c r="M3609" s="102" t="s">
        <v>6118</v>
      </c>
      <c r="N3609" s="102" t="s">
        <v>6119</v>
      </c>
      <c r="O3609" s="105">
        <v>1.4141403E7</v>
      </c>
      <c r="P3609" s="105">
        <v>1.2020697E7</v>
      </c>
      <c r="Q3609" s="102" t="s">
        <v>2439</v>
      </c>
      <c r="S3609" s="1"/>
      <c r="T3609" s="1"/>
      <c r="U3609" s="1"/>
      <c r="V3609" s="1"/>
      <c r="W3609" s="1"/>
      <c r="X3609" s="1"/>
      <c r="Y3609" s="1"/>
      <c r="Z3609" s="102"/>
      <c r="AA3609" s="102"/>
      <c r="AB3609" s="1"/>
      <c r="AC3609" s="1"/>
      <c r="AD3609" s="1"/>
      <c r="AE3609" s="1"/>
      <c r="AF3609" s="1"/>
      <c r="AG3609" s="1"/>
    </row>
    <row r="3610" ht="15.75" customHeight="1">
      <c r="A3610" s="1"/>
      <c r="B3610" s="1"/>
      <c r="C3610" s="1"/>
      <c r="D3610" s="1"/>
      <c r="E3610" s="1"/>
      <c r="F3610" s="1"/>
      <c r="G3610" s="1"/>
      <c r="H3610" s="1"/>
      <c r="I3610" s="1"/>
      <c r="J3610" s="1"/>
      <c r="K3610" s="102" t="s">
        <v>6118</v>
      </c>
      <c r="L3610" s="102" t="str">
        <f>Z303</f>
        <v>J1a2a1a2d2b2b2c4d2a2a3b2b3~</v>
      </c>
      <c r="M3610" s="102" t="s">
        <v>6117</v>
      </c>
      <c r="N3610" s="102" t="s">
        <v>6119</v>
      </c>
      <c r="O3610" s="105">
        <v>1.4141403E7</v>
      </c>
      <c r="P3610" s="105">
        <v>1.2020697E7</v>
      </c>
      <c r="Q3610" s="102" t="s">
        <v>2439</v>
      </c>
      <c r="S3610" s="1"/>
      <c r="T3610" s="1"/>
      <c r="U3610" s="1"/>
      <c r="V3610" s="1"/>
      <c r="W3610" s="1"/>
      <c r="X3610" s="1"/>
      <c r="Y3610" s="1"/>
      <c r="Z3610" s="102"/>
      <c r="AA3610" s="102"/>
      <c r="AB3610" s="1"/>
      <c r="AC3610" s="1"/>
      <c r="AD3610" s="1"/>
      <c r="AE3610" s="1"/>
      <c r="AF3610" s="1"/>
      <c r="AG3610" s="1"/>
    </row>
    <row r="3611" ht="15.75" customHeight="1">
      <c r="A3611" s="1"/>
      <c r="B3611" s="1"/>
      <c r="C3611" s="1"/>
      <c r="D3611" s="1"/>
      <c r="E3611" s="1"/>
      <c r="F3611" s="1"/>
      <c r="G3611" s="1"/>
      <c r="H3611" s="1"/>
      <c r="I3611" s="1"/>
      <c r="J3611" s="1"/>
      <c r="K3611" s="102" t="s">
        <v>6120</v>
      </c>
      <c r="L3611" s="102" t="str">
        <f>Z303</f>
        <v>J1a2a1a2d2b2b2c4d2a2a3b2b3~</v>
      </c>
      <c r="M3611" s="102" t="s">
        <v>6121</v>
      </c>
      <c r="N3611" s="102" t="s">
        <v>6122</v>
      </c>
      <c r="O3611" s="105">
        <v>1.5990995E7</v>
      </c>
      <c r="P3611" s="105">
        <v>1.3879115E7</v>
      </c>
      <c r="Q3611" s="102" t="s">
        <v>2439</v>
      </c>
      <c r="S3611" s="1"/>
      <c r="T3611" s="1"/>
      <c r="U3611" s="1"/>
      <c r="V3611" s="1"/>
      <c r="W3611" s="1"/>
      <c r="X3611" s="1"/>
      <c r="Y3611" s="1"/>
      <c r="Z3611" s="102"/>
      <c r="AA3611" s="102"/>
      <c r="AB3611" s="1"/>
      <c r="AC3611" s="1"/>
      <c r="AD3611" s="1"/>
      <c r="AE3611" s="1"/>
      <c r="AF3611" s="1"/>
      <c r="AG3611" s="1"/>
    </row>
    <row r="3612" ht="15.75" customHeight="1">
      <c r="A3612" s="1"/>
      <c r="B3612" s="1"/>
      <c r="C3612" s="1"/>
      <c r="D3612" s="1"/>
      <c r="E3612" s="1"/>
      <c r="F3612" s="1"/>
      <c r="G3612" s="1"/>
      <c r="H3612" s="1"/>
      <c r="I3612" s="1"/>
      <c r="J3612" s="1"/>
      <c r="K3612" s="102" t="s">
        <v>6121</v>
      </c>
      <c r="L3612" s="102" t="str">
        <f>Z303</f>
        <v>J1a2a1a2d2b2b2c4d2a2a3b2b3~</v>
      </c>
      <c r="M3612" s="102" t="s">
        <v>6120</v>
      </c>
      <c r="N3612" s="102" t="s">
        <v>6122</v>
      </c>
      <c r="O3612" s="105">
        <v>1.5990995E7</v>
      </c>
      <c r="P3612" s="105">
        <v>1.3879115E7</v>
      </c>
      <c r="Q3612" s="102" t="s">
        <v>2439</v>
      </c>
      <c r="S3612" s="1"/>
      <c r="T3612" s="1"/>
      <c r="U3612" s="1"/>
      <c r="V3612" s="1"/>
      <c r="W3612" s="1"/>
      <c r="X3612" s="1"/>
      <c r="Y3612" s="1"/>
      <c r="Z3612" s="102"/>
      <c r="AA3612" s="102"/>
      <c r="AB3612" s="1"/>
      <c r="AC3612" s="1"/>
      <c r="AD3612" s="1"/>
      <c r="AE3612" s="1"/>
      <c r="AF3612" s="1"/>
      <c r="AG3612" s="1"/>
    </row>
    <row r="3613" ht="15.75" customHeight="1">
      <c r="A3613" s="1"/>
      <c r="B3613" s="1"/>
      <c r="C3613" s="1"/>
      <c r="D3613" s="1"/>
      <c r="E3613" s="1"/>
      <c r="F3613" s="1"/>
      <c r="G3613" s="1"/>
      <c r="H3613" s="1"/>
      <c r="I3613" s="1"/>
      <c r="J3613" s="1"/>
      <c r="K3613" s="102" t="s">
        <v>6123</v>
      </c>
      <c r="L3613" s="102" t="str">
        <f>Z303</f>
        <v>J1a2a1a2d2b2b2c4d2a2a3b2b3~</v>
      </c>
      <c r="M3613" s="102" t="s">
        <v>6124</v>
      </c>
      <c r="N3613" s="102" t="s">
        <v>6125</v>
      </c>
      <c r="O3613" s="105">
        <v>1.6552099E7</v>
      </c>
      <c r="P3613" s="105">
        <v>1.4440219E7</v>
      </c>
      <c r="Q3613" s="102" t="s">
        <v>2501</v>
      </c>
      <c r="S3613" s="1"/>
      <c r="T3613" s="1"/>
      <c r="U3613" s="1"/>
      <c r="V3613" s="1"/>
      <c r="W3613" s="1"/>
      <c r="X3613" s="1"/>
      <c r="Y3613" s="1"/>
      <c r="Z3613" s="102"/>
      <c r="AA3613" s="102"/>
      <c r="AB3613" s="1"/>
      <c r="AC3613" s="1"/>
      <c r="AD3613" s="1"/>
      <c r="AE3613" s="1"/>
      <c r="AF3613" s="1"/>
      <c r="AG3613" s="1"/>
    </row>
    <row r="3614" ht="15.75" customHeight="1">
      <c r="A3614" s="1"/>
      <c r="B3614" s="1"/>
      <c r="C3614" s="1"/>
      <c r="D3614" s="1"/>
      <c r="E3614" s="1"/>
      <c r="F3614" s="1"/>
      <c r="G3614" s="1"/>
      <c r="H3614" s="1"/>
      <c r="I3614" s="1"/>
      <c r="J3614" s="1"/>
      <c r="K3614" s="102" t="s">
        <v>6124</v>
      </c>
      <c r="L3614" s="102" t="str">
        <f>Z303</f>
        <v>J1a2a1a2d2b2b2c4d2a2a3b2b3~</v>
      </c>
      <c r="M3614" s="102" t="s">
        <v>6123</v>
      </c>
      <c r="N3614" s="102" t="s">
        <v>6125</v>
      </c>
      <c r="O3614" s="105">
        <v>1.6552099E7</v>
      </c>
      <c r="P3614" s="105">
        <v>1.4440219E7</v>
      </c>
      <c r="Q3614" s="102" t="s">
        <v>2501</v>
      </c>
      <c r="S3614" s="1"/>
      <c r="T3614" s="1"/>
      <c r="U3614" s="1"/>
      <c r="V3614" s="1"/>
      <c r="W3614" s="1"/>
      <c r="X3614" s="1"/>
      <c r="Y3614" s="1"/>
      <c r="Z3614" s="102"/>
      <c r="AA3614" s="102"/>
      <c r="AB3614" s="1"/>
      <c r="AC3614" s="1"/>
      <c r="AD3614" s="1"/>
      <c r="AE3614" s="1"/>
      <c r="AF3614" s="1"/>
      <c r="AG3614" s="1"/>
    </row>
    <row r="3615" ht="15.75" customHeight="1">
      <c r="A3615" s="1"/>
      <c r="B3615" s="1"/>
      <c r="C3615" s="1"/>
      <c r="D3615" s="1"/>
      <c r="E3615" s="1"/>
      <c r="F3615" s="1"/>
      <c r="G3615" s="1"/>
      <c r="H3615" s="1"/>
      <c r="I3615" s="1"/>
      <c r="J3615" s="1"/>
      <c r="K3615" s="102" t="s">
        <v>6126</v>
      </c>
      <c r="L3615" s="102" t="str">
        <f>Z303</f>
        <v>J1a2a1a2d2b2b2c4d2a2a3b2b3~</v>
      </c>
      <c r="M3615" s="102" t="s">
        <v>6127</v>
      </c>
      <c r="N3615" s="102" t="s">
        <v>6128</v>
      </c>
      <c r="O3615" s="105">
        <v>1.7439843E7</v>
      </c>
      <c r="P3615" s="105">
        <v>1.5327963E7</v>
      </c>
      <c r="Q3615" s="102" t="s">
        <v>2439</v>
      </c>
      <c r="S3615" s="1"/>
      <c r="T3615" s="1"/>
      <c r="U3615" s="1"/>
      <c r="V3615" s="1"/>
      <c r="W3615" s="1"/>
      <c r="X3615" s="1"/>
      <c r="Y3615" s="1"/>
      <c r="Z3615" s="102"/>
      <c r="AA3615" s="102"/>
      <c r="AB3615" s="1"/>
      <c r="AC3615" s="1"/>
      <c r="AD3615" s="1"/>
      <c r="AE3615" s="1"/>
      <c r="AF3615" s="1"/>
      <c r="AG3615" s="1"/>
    </row>
    <row r="3616" ht="15.75" customHeight="1">
      <c r="A3616" s="1"/>
      <c r="B3616" s="1"/>
      <c r="C3616" s="1"/>
      <c r="D3616" s="1"/>
      <c r="E3616" s="1"/>
      <c r="F3616" s="1"/>
      <c r="G3616" s="1"/>
      <c r="H3616" s="1"/>
      <c r="I3616" s="1"/>
      <c r="J3616" s="1"/>
      <c r="K3616" s="102" t="s">
        <v>6127</v>
      </c>
      <c r="L3616" s="102" t="str">
        <f>Z303</f>
        <v>J1a2a1a2d2b2b2c4d2a2a3b2b3~</v>
      </c>
      <c r="M3616" s="102" t="s">
        <v>6126</v>
      </c>
      <c r="N3616" s="102" t="s">
        <v>6128</v>
      </c>
      <c r="O3616" s="105">
        <v>1.7439843E7</v>
      </c>
      <c r="P3616" s="105">
        <v>1.5327963E7</v>
      </c>
      <c r="Q3616" s="102" t="s">
        <v>2439</v>
      </c>
      <c r="S3616" s="1"/>
      <c r="T3616" s="1"/>
      <c r="U3616" s="1"/>
      <c r="V3616" s="1"/>
      <c r="W3616" s="1"/>
      <c r="X3616" s="1"/>
      <c r="Y3616" s="1"/>
      <c r="Z3616" s="102"/>
      <c r="AA3616" s="102"/>
      <c r="AB3616" s="1"/>
      <c r="AC3616" s="1"/>
      <c r="AD3616" s="1"/>
      <c r="AE3616" s="1"/>
      <c r="AF3616" s="1"/>
      <c r="AG3616" s="1"/>
    </row>
    <row r="3617" ht="15.75" customHeight="1">
      <c r="A3617" s="1"/>
      <c r="B3617" s="1"/>
      <c r="C3617" s="1"/>
      <c r="D3617" s="1"/>
      <c r="E3617" s="1"/>
      <c r="F3617" s="1"/>
      <c r="G3617" s="1"/>
      <c r="H3617" s="1"/>
      <c r="I3617" s="1"/>
      <c r="J3617" s="1"/>
      <c r="K3617" s="102" t="s">
        <v>6129</v>
      </c>
      <c r="L3617" s="102" t="str">
        <f>Z303</f>
        <v>J1a2a1a2d2b2b2c4d2a2a3b2b3~</v>
      </c>
      <c r="M3617" s="102" t="s">
        <v>6130</v>
      </c>
      <c r="N3617" s="102" t="s">
        <v>6131</v>
      </c>
      <c r="O3617" s="105">
        <v>1.7758583E7</v>
      </c>
      <c r="P3617" s="105">
        <v>1.5646703E7</v>
      </c>
      <c r="Q3617" s="102" t="s">
        <v>2501</v>
      </c>
      <c r="S3617" s="1"/>
      <c r="T3617" s="1"/>
      <c r="U3617" s="1"/>
      <c r="V3617" s="1"/>
      <c r="W3617" s="1"/>
      <c r="X3617" s="1"/>
      <c r="Y3617" s="1"/>
      <c r="Z3617" s="102"/>
      <c r="AA3617" s="102"/>
      <c r="AB3617" s="1"/>
      <c r="AC3617" s="1"/>
      <c r="AD3617" s="1"/>
      <c r="AE3617" s="1"/>
      <c r="AF3617" s="1"/>
      <c r="AG3617" s="1"/>
    </row>
    <row r="3618" ht="15.75" customHeight="1">
      <c r="A3618" s="1"/>
      <c r="B3618" s="1"/>
      <c r="C3618" s="1"/>
      <c r="D3618" s="1"/>
      <c r="E3618" s="1"/>
      <c r="F3618" s="1"/>
      <c r="G3618" s="1"/>
      <c r="H3618" s="1"/>
      <c r="I3618" s="1"/>
      <c r="J3618" s="1"/>
      <c r="K3618" s="102" t="s">
        <v>6130</v>
      </c>
      <c r="L3618" s="102" t="str">
        <f>Z303</f>
        <v>J1a2a1a2d2b2b2c4d2a2a3b2b3~</v>
      </c>
      <c r="M3618" s="102" t="s">
        <v>6129</v>
      </c>
      <c r="N3618" s="102" t="s">
        <v>6131</v>
      </c>
      <c r="O3618" s="105">
        <v>1.7758583E7</v>
      </c>
      <c r="P3618" s="105">
        <v>1.5646703E7</v>
      </c>
      <c r="Q3618" s="102" t="s">
        <v>2501</v>
      </c>
      <c r="S3618" s="1"/>
      <c r="T3618" s="1"/>
      <c r="U3618" s="1"/>
      <c r="V3618" s="1"/>
      <c r="W3618" s="1"/>
      <c r="X3618" s="1"/>
      <c r="Y3618" s="1"/>
      <c r="Z3618" s="102"/>
      <c r="AA3618" s="102"/>
      <c r="AB3618" s="1"/>
      <c r="AC3618" s="1"/>
      <c r="AD3618" s="1"/>
      <c r="AE3618" s="1"/>
      <c r="AF3618" s="1"/>
      <c r="AG3618" s="1"/>
    </row>
    <row r="3619" ht="15.75" customHeight="1">
      <c r="A3619" s="1"/>
      <c r="B3619" s="1"/>
      <c r="C3619" s="1"/>
      <c r="D3619" s="1"/>
      <c r="E3619" s="1"/>
      <c r="F3619" s="1"/>
      <c r="G3619" s="1"/>
      <c r="H3619" s="1"/>
      <c r="I3619" s="1"/>
      <c r="J3619" s="1"/>
      <c r="K3619" s="102" t="s">
        <v>6132</v>
      </c>
      <c r="L3619" s="102" t="str">
        <f>Z303</f>
        <v>J1a2a1a2d2b2b2c4d2a2a3b2b3~</v>
      </c>
      <c r="M3619" s="102" t="s">
        <v>6133</v>
      </c>
      <c r="N3619" s="102" t="s">
        <v>6134</v>
      </c>
      <c r="O3619" s="105">
        <v>2.1739965E7</v>
      </c>
      <c r="P3619" s="105">
        <v>1.9578079E7</v>
      </c>
      <c r="Q3619" s="102" t="s">
        <v>2439</v>
      </c>
      <c r="S3619" s="1"/>
      <c r="T3619" s="1"/>
      <c r="U3619" s="1"/>
      <c r="V3619" s="1"/>
      <c r="W3619" s="1"/>
      <c r="X3619" s="1"/>
      <c r="Y3619" s="1"/>
      <c r="Z3619" s="102"/>
      <c r="AA3619" s="102"/>
      <c r="AB3619" s="1"/>
      <c r="AC3619" s="1"/>
      <c r="AD3619" s="1"/>
      <c r="AE3619" s="1"/>
      <c r="AF3619" s="1"/>
      <c r="AG3619" s="1"/>
    </row>
    <row r="3620" ht="15.75" customHeight="1">
      <c r="A3620" s="1"/>
      <c r="B3620" s="1"/>
      <c r="C3620" s="1"/>
      <c r="D3620" s="1"/>
      <c r="E3620" s="1"/>
      <c r="F3620" s="1"/>
      <c r="G3620" s="1"/>
      <c r="H3620" s="1"/>
      <c r="I3620" s="1"/>
      <c r="J3620" s="1"/>
      <c r="K3620" s="102" t="s">
        <v>6133</v>
      </c>
      <c r="L3620" s="102" t="str">
        <f>Z303</f>
        <v>J1a2a1a2d2b2b2c4d2a2a3b2b3~</v>
      </c>
      <c r="M3620" s="102" t="s">
        <v>6132</v>
      </c>
      <c r="N3620" s="102" t="s">
        <v>6134</v>
      </c>
      <c r="O3620" s="105">
        <v>2.1739965E7</v>
      </c>
      <c r="P3620" s="105">
        <v>1.9578079E7</v>
      </c>
      <c r="Q3620" s="102" t="s">
        <v>2439</v>
      </c>
      <c r="S3620" s="1"/>
      <c r="T3620" s="1"/>
      <c r="U3620" s="1"/>
      <c r="V3620" s="1"/>
      <c r="W3620" s="1"/>
      <c r="X3620" s="1"/>
      <c r="Y3620" s="1"/>
      <c r="Z3620" s="102"/>
      <c r="AA3620" s="102"/>
      <c r="AB3620" s="1"/>
      <c r="AC3620" s="1"/>
      <c r="AD3620" s="1"/>
      <c r="AE3620" s="1"/>
      <c r="AF3620" s="1"/>
      <c r="AG3620" s="1"/>
    </row>
    <row r="3621" ht="15.75" customHeight="1">
      <c r="A3621" s="1"/>
      <c r="B3621" s="1"/>
      <c r="C3621" s="1"/>
      <c r="D3621" s="1"/>
      <c r="E3621" s="1"/>
      <c r="F3621" s="1"/>
      <c r="G3621" s="1"/>
      <c r="H3621" s="1"/>
      <c r="I3621" s="1"/>
      <c r="J3621" s="1"/>
      <c r="K3621" s="102" t="s">
        <v>6135</v>
      </c>
      <c r="L3621" s="102" t="str">
        <f>Z303</f>
        <v>J1a2a1a2d2b2b2c4d2a2a3b2b3~</v>
      </c>
      <c r="M3621" s="102" t="s">
        <v>6136</v>
      </c>
      <c r="N3621" s="102" t="s">
        <v>6137</v>
      </c>
      <c r="O3621" s="105">
        <v>2.267329E7</v>
      </c>
      <c r="P3621" s="105">
        <v>2.0511404E7</v>
      </c>
      <c r="Q3621" s="102" t="s">
        <v>2439</v>
      </c>
      <c r="S3621" s="1"/>
      <c r="T3621" s="1"/>
      <c r="U3621" s="1"/>
      <c r="V3621" s="1"/>
      <c r="W3621" s="1"/>
      <c r="X3621" s="1"/>
      <c r="Y3621" s="1"/>
      <c r="Z3621" s="102"/>
      <c r="AA3621" s="102"/>
      <c r="AB3621" s="1"/>
      <c r="AC3621" s="1"/>
      <c r="AD3621" s="1"/>
      <c r="AE3621" s="1"/>
      <c r="AF3621" s="1"/>
      <c r="AG3621" s="1"/>
    </row>
    <row r="3622" ht="15.75" customHeight="1">
      <c r="A3622" s="1"/>
      <c r="B3622" s="1"/>
      <c r="C3622" s="1"/>
      <c r="D3622" s="1"/>
      <c r="E3622" s="1"/>
      <c r="F3622" s="1"/>
      <c r="G3622" s="1"/>
      <c r="H3622" s="1"/>
      <c r="I3622" s="1"/>
      <c r="J3622" s="1"/>
      <c r="K3622" s="102" t="s">
        <v>6136</v>
      </c>
      <c r="L3622" s="102" t="str">
        <f>Z303</f>
        <v>J1a2a1a2d2b2b2c4d2a2a3b2b3~</v>
      </c>
      <c r="M3622" s="102" t="s">
        <v>6135</v>
      </c>
      <c r="N3622" s="102" t="s">
        <v>6137</v>
      </c>
      <c r="O3622" s="105">
        <v>2.267329E7</v>
      </c>
      <c r="P3622" s="105">
        <v>2.0511404E7</v>
      </c>
      <c r="Q3622" s="102" t="s">
        <v>2439</v>
      </c>
      <c r="S3622" s="1"/>
      <c r="T3622" s="1"/>
      <c r="U3622" s="1"/>
      <c r="V3622" s="1"/>
      <c r="W3622" s="1"/>
      <c r="X3622" s="1"/>
      <c r="Y3622" s="1"/>
      <c r="Z3622" s="102"/>
      <c r="AA3622" s="102"/>
      <c r="AB3622" s="1"/>
      <c r="AC3622" s="1"/>
      <c r="AD3622" s="1"/>
      <c r="AE3622" s="1"/>
      <c r="AF3622" s="1"/>
      <c r="AG3622" s="1"/>
    </row>
    <row r="3623" ht="15.75" customHeight="1">
      <c r="A3623" s="1"/>
      <c r="B3623" s="1"/>
      <c r="C3623" s="1"/>
      <c r="D3623" s="1"/>
      <c r="E3623" s="1"/>
      <c r="F3623" s="1"/>
      <c r="G3623" s="1"/>
      <c r="H3623" s="1"/>
      <c r="I3623" s="1"/>
      <c r="J3623" s="1"/>
      <c r="K3623" s="102" t="s">
        <v>6138</v>
      </c>
      <c r="L3623" s="102" t="str">
        <f>Z303</f>
        <v>J1a2a1a2d2b2b2c4d2a2a3b2b3~</v>
      </c>
      <c r="M3623" s="102" t="s">
        <v>6139</v>
      </c>
      <c r="N3623" s="102" t="s">
        <v>6140</v>
      </c>
      <c r="O3623" s="105">
        <v>2.2705475E7</v>
      </c>
      <c r="P3623" s="105">
        <v>2.0543589E7</v>
      </c>
      <c r="Q3623" s="102" t="s">
        <v>2563</v>
      </c>
      <c r="S3623" s="1"/>
      <c r="T3623" s="1"/>
      <c r="U3623" s="1"/>
      <c r="V3623" s="1"/>
      <c r="W3623" s="1"/>
      <c r="X3623" s="1"/>
      <c r="Y3623" s="1"/>
      <c r="Z3623" s="102"/>
      <c r="AA3623" s="102"/>
      <c r="AB3623" s="1"/>
      <c r="AC3623" s="1"/>
      <c r="AD3623" s="1"/>
      <c r="AE3623" s="1"/>
      <c r="AF3623" s="1"/>
      <c r="AG3623" s="1"/>
    </row>
    <row r="3624" ht="15.75" customHeight="1">
      <c r="A3624" s="1"/>
      <c r="B3624" s="1"/>
      <c r="C3624" s="1"/>
      <c r="D3624" s="1"/>
      <c r="E3624" s="1"/>
      <c r="F3624" s="1"/>
      <c r="G3624" s="1"/>
      <c r="H3624" s="1"/>
      <c r="I3624" s="1"/>
      <c r="J3624" s="1"/>
      <c r="K3624" s="102" t="s">
        <v>6139</v>
      </c>
      <c r="L3624" s="102" t="str">
        <f>Z303</f>
        <v>J1a2a1a2d2b2b2c4d2a2a3b2b3~</v>
      </c>
      <c r="M3624" s="102" t="s">
        <v>6138</v>
      </c>
      <c r="N3624" s="102" t="s">
        <v>6140</v>
      </c>
      <c r="O3624" s="105">
        <v>2.2705475E7</v>
      </c>
      <c r="P3624" s="105">
        <v>2.0543589E7</v>
      </c>
      <c r="Q3624" s="102" t="s">
        <v>2563</v>
      </c>
      <c r="S3624" s="1"/>
      <c r="T3624" s="1"/>
      <c r="U3624" s="1"/>
      <c r="V3624" s="1"/>
      <c r="W3624" s="1"/>
      <c r="X3624" s="1"/>
      <c r="Y3624" s="1"/>
      <c r="Z3624" s="102"/>
      <c r="AA3624" s="102"/>
      <c r="AB3624" s="1"/>
      <c r="AC3624" s="1"/>
      <c r="AD3624" s="1"/>
      <c r="AE3624" s="1"/>
      <c r="AF3624" s="1"/>
      <c r="AG3624" s="1"/>
    </row>
    <row r="3625" ht="15.75" customHeight="1">
      <c r="A3625" s="1"/>
      <c r="B3625" s="1"/>
      <c r="C3625" s="1"/>
      <c r="D3625" s="1"/>
      <c r="E3625" s="1"/>
      <c r="F3625" s="1"/>
      <c r="G3625" s="1"/>
      <c r="H3625" s="1"/>
      <c r="I3625" s="1"/>
      <c r="J3625" s="1"/>
      <c r="K3625" s="102" t="s">
        <v>6141</v>
      </c>
      <c r="L3625" s="102" t="str">
        <f>Z303</f>
        <v>J1a2a1a2d2b2b2c4d2a2a3b2b3~</v>
      </c>
      <c r="M3625" s="102"/>
      <c r="N3625" s="102" t="s">
        <v>6142</v>
      </c>
      <c r="O3625" s="105">
        <v>2.2199372E7</v>
      </c>
      <c r="P3625" s="105">
        <v>2.0037486E7</v>
      </c>
      <c r="Q3625" s="102" t="s">
        <v>2439</v>
      </c>
      <c r="S3625" s="1"/>
      <c r="T3625" s="1"/>
      <c r="U3625" s="1"/>
      <c r="V3625" s="1"/>
      <c r="W3625" s="1"/>
      <c r="X3625" s="1"/>
      <c r="Y3625" s="1"/>
      <c r="Z3625" s="102"/>
      <c r="AA3625" s="102"/>
      <c r="AB3625" s="1"/>
      <c r="AC3625" s="1"/>
      <c r="AD3625" s="1"/>
      <c r="AE3625" s="1"/>
      <c r="AF3625" s="1"/>
      <c r="AG3625" s="1"/>
    </row>
    <row r="3626" ht="15.75" customHeight="1">
      <c r="A3626" s="1"/>
      <c r="B3626" s="1"/>
      <c r="C3626" s="1"/>
      <c r="D3626" s="1"/>
      <c r="E3626" s="1"/>
      <c r="F3626" s="1"/>
      <c r="G3626" s="1"/>
      <c r="H3626" s="1"/>
      <c r="I3626" s="1"/>
      <c r="J3626" s="1"/>
      <c r="K3626" s="102" t="s">
        <v>6143</v>
      </c>
      <c r="L3626" s="102" t="str">
        <f>Z303</f>
        <v>J1a2a1a2d2b2b2c4d2a2a3b2b3~</v>
      </c>
      <c r="M3626" s="102"/>
      <c r="N3626" s="102" t="s">
        <v>6144</v>
      </c>
      <c r="O3626" s="105">
        <v>1.5600149E7</v>
      </c>
      <c r="P3626" s="105">
        <v>1.3488269E7</v>
      </c>
      <c r="Q3626" s="102" t="s">
        <v>2468</v>
      </c>
      <c r="S3626" s="1"/>
      <c r="T3626" s="1"/>
      <c r="U3626" s="1"/>
      <c r="V3626" s="1"/>
      <c r="W3626" s="1"/>
      <c r="X3626" s="1"/>
      <c r="Y3626" s="1"/>
      <c r="Z3626" s="102"/>
      <c r="AA3626" s="102"/>
      <c r="AB3626" s="1"/>
      <c r="AC3626" s="1"/>
      <c r="AD3626" s="1"/>
      <c r="AE3626" s="1"/>
      <c r="AF3626" s="1"/>
      <c r="AG3626" s="1"/>
    </row>
    <row r="3627" ht="15.75" customHeight="1">
      <c r="A3627" s="1"/>
      <c r="B3627" s="1"/>
      <c r="C3627" s="1"/>
      <c r="D3627" s="1"/>
      <c r="E3627" s="1"/>
      <c r="F3627" s="1"/>
      <c r="G3627" s="1"/>
      <c r="H3627" s="1"/>
      <c r="I3627" s="1"/>
      <c r="J3627" s="1"/>
      <c r="K3627" s="102" t="s">
        <v>577</v>
      </c>
      <c r="L3627" s="102" t="str">
        <f>AA304</f>
        <v>J1a2a1a2d2b2b2c4d2a2a3b2b3a~</v>
      </c>
      <c r="M3627" s="102"/>
      <c r="N3627" s="102"/>
      <c r="O3627" s="105">
        <v>2.1808711E7</v>
      </c>
      <c r="P3627" s="105">
        <v>1.9646825E7</v>
      </c>
      <c r="Q3627" s="102" t="s">
        <v>2501</v>
      </c>
      <c r="S3627" s="1"/>
      <c r="T3627" s="1"/>
      <c r="U3627" s="1"/>
      <c r="V3627" s="1"/>
      <c r="W3627" s="1"/>
      <c r="X3627" s="1"/>
      <c r="Y3627" s="1"/>
      <c r="Z3627" s="102"/>
      <c r="AA3627" s="102"/>
      <c r="AB3627" s="1"/>
      <c r="AC3627" s="1"/>
      <c r="AD3627" s="1"/>
      <c r="AE3627" s="1"/>
      <c r="AF3627" s="1"/>
      <c r="AG3627" s="1"/>
    </row>
    <row r="3628" ht="15.75" customHeight="1">
      <c r="A3628" s="1"/>
      <c r="B3628" s="1"/>
      <c r="C3628" s="1"/>
      <c r="D3628" s="1"/>
      <c r="E3628" s="1"/>
      <c r="F3628" s="1"/>
      <c r="G3628" s="1"/>
      <c r="H3628" s="1"/>
      <c r="I3628" s="1"/>
      <c r="J3628" s="1"/>
      <c r="K3628" s="102" t="s">
        <v>6145</v>
      </c>
      <c r="L3628" s="102" t="str">
        <f>Z305</f>
        <v>J1a2a1a2d2b2b2c4d2a2a3b2b4~</v>
      </c>
      <c r="M3628" s="102"/>
      <c r="N3628" s="102"/>
      <c r="O3628" s="105">
        <v>1.7730747E7</v>
      </c>
      <c r="P3628" s="105">
        <v>1.5618867E7</v>
      </c>
      <c r="Q3628" s="102" t="s">
        <v>2501</v>
      </c>
      <c r="S3628" s="1"/>
      <c r="T3628" s="1"/>
      <c r="U3628" s="1"/>
      <c r="V3628" s="1"/>
      <c r="W3628" s="1"/>
      <c r="X3628" s="1"/>
      <c r="Y3628" s="1"/>
      <c r="Z3628" s="102"/>
      <c r="AA3628" s="102"/>
      <c r="AB3628" s="1"/>
      <c r="AC3628" s="1"/>
      <c r="AD3628" s="1"/>
      <c r="AE3628" s="1"/>
      <c r="AF3628" s="1"/>
      <c r="AG3628" s="1"/>
    </row>
    <row r="3629" ht="15.75" customHeight="1">
      <c r="A3629" s="1"/>
      <c r="B3629" s="1"/>
      <c r="C3629" s="1"/>
      <c r="D3629" s="1"/>
      <c r="E3629" s="1"/>
      <c r="F3629" s="1"/>
      <c r="G3629" s="1"/>
      <c r="H3629" s="1"/>
      <c r="I3629" s="1"/>
      <c r="J3629" s="1"/>
      <c r="K3629" s="102" t="s">
        <v>6146</v>
      </c>
      <c r="L3629" s="102" t="str">
        <f>Z305</f>
        <v>J1a2a1a2d2b2b2c4d2a2a3b2b4~</v>
      </c>
      <c r="M3629" s="102"/>
      <c r="N3629" s="102"/>
      <c r="O3629" s="105">
        <v>7930268.0</v>
      </c>
      <c r="P3629" s="105">
        <v>8062227.0</v>
      </c>
      <c r="Q3629" s="102" t="s">
        <v>2529</v>
      </c>
      <c r="S3629" s="1"/>
      <c r="T3629" s="1"/>
      <c r="U3629" s="1"/>
      <c r="V3629" s="1"/>
      <c r="W3629" s="1"/>
      <c r="X3629" s="1"/>
      <c r="Y3629" s="1"/>
      <c r="Z3629" s="102"/>
      <c r="AA3629" s="102"/>
      <c r="AB3629" s="1"/>
      <c r="AC3629" s="1"/>
      <c r="AD3629" s="1"/>
      <c r="AE3629" s="1"/>
      <c r="AF3629" s="1"/>
      <c r="AG3629" s="1"/>
    </row>
    <row r="3630" ht="15.75" customHeight="1">
      <c r="A3630" s="1"/>
      <c r="B3630" s="1"/>
      <c r="C3630" s="1"/>
      <c r="D3630" s="1"/>
      <c r="E3630" s="1"/>
      <c r="F3630" s="1"/>
      <c r="G3630" s="1"/>
      <c r="H3630" s="1"/>
      <c r="I3630" s="1"/>
      <c r="J3630" s="1"/>
      <c r="K3630" s="102" t="s">
        <v>6147</v>
      </c>
      <c r="L3630" s="102" t="str">
        <f>Z305</f>
        <v>J1a2a1a2d2b2b2c4d2a2a3b2b4~</v>
      </c>
      <c r="M3630" s="102"/>
      <c r="N3630" s="102"/>
      <c r="O3630" s="105">
        <v>8875310.0</v>
      </c>
      <c r="P3630" s="105">
        <v>9007269.0</v>
      </c>
      <c r="Q3630" s="102" t="s">
        <v>2501</v>
      </c>
      <c r="S3630" s="1"/>
      <c r="T3630" s="1"/>
      <c r="U3630" s="1"/>
      <c r="V3630" s="1"/>
      <c r="W3630" s="1"/>
      <c r="X3630" s="1"/>
      <c r="Y3630" s="1"/>
      <c r="Z3630" s="102"/>
      <c r="AA3630" s="102"/>
      <c r="AB3630" s="1"/>
      <c r="AC3630" s="1"/>
      <c r="AD3630" s="1"/>
      <c r="AE3630" s="1"/>
      <c r="AF3630" s="1"/>
      <c r="AG3630" s="1"/>
    </row>
    <row r="3631" ht="15.75" customHeight="1">
      <c r="A3631" s="1"/>
      <c r="B3631" s="1"/>
      <c r="C3631" s="1"/>
      <c r="D3631" s="1"/>
      <c r="E3631" s="1"/>
      <c r="F3631" s="1"/>
      <c r="G3631" s="1"/>
      <c r="H3631" s="1"/>
      <c r="I3631" s="1"/>
      <c r="J3631" s="1"/>
      <c r="K3631" s="102" t="s">
        <v>6148</v>
      </c>
      <c r="L3631" s="102" t="str">
        <f>Z305</f>
        <v>J1a2a1a2d2b2b2c4d2a2a3b2b4~</v>
      </c>
      <c r="M3631" s="102"/>
      <c r="N3631" s="102"/>
      <c r="O3631" s="105">
        <v>9164909.0</v>
      </c>
      <c r="P3631" s="105">
        <v>9327300.0</v>
      </c>
      <c r="Q3631" s="102" t="s">
        <v>2529</v>
      </c>
      <c r="S3631" s="1"/>
      <c r="T3631" s="1"/>
      <c r="U3631" s="1"/>
      <c r="V3631" s="1"/>
      <c r="W3631" s="1"/>
      <c r="X3631" s="1"/>
      <c r="Y3631" s="1"/>
      <c r="Z3631" s="102"/>
      <c r="AA3631" s="102"/>
      <c r="AB3631" s="1"/>
      <c r="AC3631" s="1"/>
      <c r="AD3631" s="1"/>
      <c r="AE3631" s="1"/>
      <c r="AF3631" s="1"/>
      <c r="AG3631" s="1"/>
    </row>
    <row r="3632" ht="15.75" customHeight="1">
      <c r="A3632" s="1"/>
      <c r="B3632" s="1"/>
      <c r="C3632" s="1"/>
      <c r="D3632" s="1"/>
      <c r="E3632" s="1"/>
      <c r="F3632" s="1"/>
      <c r="G3632" s="1"/>
      <c r="H3632" s="1"/>
      <c r="I3632" s="1"/>
      <c r="J3632" s="1"/>
      <c r="K3632" s="102" t="s">
        <v>6149</v>
      </c>
      <c r="L3632" s="102" t="str">
        <f>Z305</f>
        <v>J1a2a1a2d2b2b2c4d2a2a3b2b4~</v>
      </c>
      <c r="M3632" s="102"/>
      <c r="N3632" s="102"/>
      <c r="O3632" s="105">
        <v>1.4868767E7</v>
      </c>
      <c r="P3632" s="105">
        <v>1.2756837E7</v>
      </c>
      <c r="Q3632" s="102" t="s">
        <v>2468</v>
      </c>
      <c r="S3632" s="1"/>
      <c r="T3632" s="1"/>
      <c r="U3632" s="1"/>
      <c r="V3632" s="1"/>
      <c r="W3632" s="1"/>
      <c r="X3632" s="1"/>
      <c r="Y3632" s="1"/>
      <c r="Z3632" s="102"/>
      <c r="AA3632" s="102"/>
      <c r="AB3632" s="1"/>
      <c r="AC3632" s="1"/>
      <c r="AD3632" s="1"/>
      <c r="AE3632" s="1"/>
      <c r="AF3632" s="1"/>
      <c r="AG3632" s="1"/>
    </row>
    <row r="3633" ht="15.75" customHeight="1">
      <c r="A3633" s="1"/>
      <c r="B3633" s="1"/>
      <c r="C3633" s="1"/>
      <c r="D3633" s="1"/>
      <c r="E3633" s="1"/>
      <c r="F3633" s="1"/>
      <c r="G3633" s="1"/>
      <c r="H3633" s="1"/>
      <c r="I3633" s="1"/>
      <c r="J3633" s="1"/>
      <c r="K3633" s="102" t="s">
        <v>6150</v>
      </c>
      <c r="L3633" s="102" t="str">
        <f>Z305</f>
        <v>J1a2a1a2d2b2b2c4d2a2a3b2b4~</v>
      </c>
      <c r="M3633" s="102"/>
      <c r="N3633" s="102"/>
      <c r="O3633" s="105">
        <v>1.5777699E7</v>
      </c>
      <c r="P3633" s="105">
        <v>1.3665819E7</v>
      </c>
      <c r="Q3633" s="102" t="s">
        <v>2439</v>
      </c>
      <c r="S3633" s="1"/>
      <c r="T3633" s="1"/>
      <c r="U3633" s="1"/>
      <c r="V3633" s="1"/>
      <c r="W3633" s="1"/>
      <c r="X3633" s="1"/>
      <c r="Y3633" s="1"/>
      <c r="Z3633" s="102"/>
      <c r="AA3633" s="102"/>
      <c r="AB3633" s="1"/>
      <c r="AC3633" s="1"/>
      <c r="AD3633" s="1"/>
      <c r="AE3633" s="1"/>
      <c r="AF3633" s="1"/>
      <c r="AG3633" s="1"/>
    </row>
    <row r="3634" ht="15.75" customHeight="1">
      <c r="A3634" s="1"/>
      <c r="B3634" s="1"/>
      <c r="C3634" s="1"/>
      <c r="D3634" s="1"/>
      <c r="E3634" s="1"/>
      <c r="F3634" s="1"/>
      <c r="G3634" s="1"/>
      <c r="H3634" s="1"/>
      <c r="I3634" s="1"/>
      <c r="J3634" s="1"/>
      <c r="K3634" s="102" t="s">
        <v>6151</v>
      </c>
      <c r="L3634" s="102" t="str">
        <f>Z305</f>
        <v>J1a2a1a2d2b2b2c4d2a2a3b2b4~</v>
      </c>
      <c r="M3634" s="102"/>
      <c r="N3634" s="102"/>
      <c r="O3634" s="105">
        <v>2.148732E7</v>
      </c>
      <c r="P3634" s="105">
        <v>1.9325434E7</v>
      </c>
      <c r="Q3634" s="102" t="s">
        <v>2501</v>
      </c>
      <c r="S3634" s="1"/>
      <c r="T3634" s="1"/>
      <c r="U3634" s="1"/>
      <c r="V3634" s="1"/>
      <c r="W3634" s="1"/>
      <c r="X3634" s="1"/>
      <c r="Y3634" s="1"/>
      <c r="Z3634" s="102"/>
      <c r="AA3634" s="102"/>
      <c r="AB3634" s="1"/>
      <c r="AC3634" s="1"/>
      <c r="AD3634" s="1"/>
      <c r="AE3634" s="1"/>
      <c r="AF3634" s="1"/>
      <c r="AG3634" s="1"/>
    </row>
    <row r="3635" ht="15.75" customHeight="1">
      <c r="A3635" s="1"/>
      <c r="B3635" s="1"/>
      <c r="C3635" s="1"/>
      <c r="D3635" s="1"/>
      <c r="E3635" s="1"/>
      <c r="F3635" s="1"/>
      <c r="G3635" s="1"/>
      <c r="H3635" s="1"/>
      <c r="I3635" s="1"/>
      <c r="J3635" s="1"/>
      <c r="K3635" s="102" t="s">
        <v>6152</v>
      </c>
      <c r="L3635" s="102" t="str">
        <f>Z305</f>
        <v>J1a2a1a2d2b2b2c4d2a2a3b2b4~</v>
      </c>
      <c r="M3635" s="102"/>
      <c r="N3635" s="102"/>
      <c r="O3635" s="105">
        <v>2.2560443E7</v>
      </c>
      <c r="P3635" s="105">
        <v>2.0398557E7</v>
      </c>
      <c r="Q3635" s="102" t="s">
        <v>2439</v>
      </c>
      <c r="S3635" s="1"/>
      <c r="T3635" s="1"/>
      <c r="U3635" s="1"/>
      <c r="V3635" s="1"/>
      <c r="W3635" s="1"/>
      <c r="X3635" s="1"/>
      <c r="Y3635" s="1"/>
      <c r="Z3635" s="102"/>
      <c r="AA3635" s="102"/>
      <c r="AB3635" s="1"/>
      <c r="AC3635" s="1"/>
      <c r="AD3635" s="1"/>
      <c r="AE3635" s="1"/>
      <c r="AF3635" s="1"/>
      <c r="AG3635" s="1"/>
    </row>
    <row r="3636" ht="15.75" customHeight="1">
      <c r="A3636" s="1"/>
      <c r="B3636" s="1"/>
      <c r="C3636" s="1"/>
      <c r="D3636" s="1"/>
      <c r="E3636" s="1"/>
      <c r="F3636" s="1"/>
      <c r="G3636" s="1"/>
      <c r="H3636" s="1"/>
      <c r="I3636" s="1"/>
      <c r="J3636" s="1"/>
      <c r="K3636" s="102" t="s">
        <v>6153</v>
      </c>
      <c r="L3636" s="102" t="str">
        <f>Z305</f>
        <v>J1a2a1a2d2b2b2c4d2a2a3b2b4~</v>
      </c>
      <c r="M3636" s="102"/>
      <c r="N3636" s="102"/>
      <c r="O3636" s="105">
        <v>2.2725126E7</v>
      </c>
      <c r="P3636" s="105">
        <v>2.056324E7</v>
      </c>
      <c r="Q3636" s="102" t="s">
        <v>2446</v>
      </c>
      <c r="S3636" s="1"/>
      <c r="T3636" s="1"/>
      <c r="U3636" s="1"/>
      <c r="V3636" s="1"/>
      <c r="W3636" s="1"/>
      <c r="X3636" s="1"/>
      <c r="Y3636" s="1"/>
      <c r="Z3636" s="102"/>
      <c r="AA3636" s="102"/>
      <c r="AB3636" s="1"/>
      <c r="AC3636" s="1"/>
      <c r="AD3636" s="1"/>
      <c r="AE3636" s="1"/>
      <c r="AF3636" s="1"/>
      <c r="AG3636" s="1"/>
    </row>
    <row r="3637" ht="15.75" customHeight="1">
      <c r="A3637" s="1"/>
      <c r="B3637" s="1"/>
      <c r="C3637" s="1"/>
      <c r="D3637" s="1"/>
      <c r="E3637" s="1"/>
      <c r="F3637" s="1"/>
      <c r="G3637" s="1"/>
      <c r="H3637" s="1"/>
      <c r="I3637" s="1"/>
      <c r="J3637" s="1"/>
      <c r="K3637" s="102" t="s">
        <v>581</v>
      </c>
      <c r="L3637" s="102" t="str">
        <f>AA306</f>
        <v>J1a2a1a2d2b2b2c4d2a2a3b2b4a~</v>
      </c>
      <c r="M3637" s="102"/>
      <c r="N3637" s="102" t="s">
        <v>6154</v>
      </c>
      <c r="O3637" s="105">
        <v>2.147219E7</v>
      </c>
      <c r="P3637" s="105">
        <v>1.9310304E7</v>
      </c>
      <c r="Q3637" s="102" t="s">
        <v>2454</v>
      </c>
      <c r="S3637" s="1"/>
      <c r="T3637" s="1"/>
      <c r="U3637" s="1"/>
      <c r="V3637" s="1"/>
      <c r="W3637" s="1"/>
      <c r="X3637" s="1"/>
      <c r="Y3637" s="1"/>
      <c r="Z3637" s="102"/>
      <c r="AA3637" s="102"/>
      <c r="AB3637" s="1"/>
      <c r="AC3637" s="1"/>
      <c r="AD3637" s="1"/>
      <c r="AE3637" s="1"/>
      <c r="AF3637" s="1"/>
      <c r="AG3637" s="1"/>
    </row>
    <row r="3638" ht="15.75" customHeight="1">
      <c r="A3638" s="1"/>
      <c r="B3638" s="1"/>
      <c r="C3638" s="1"/>
      <c r="D3638" s="1"/>
      <c r="E3638" s="1"/>
      <c r="F3638" s="1"/>
      <c r="G3638" s="1"/>
      <c r="H3638" s="1"/>
      <c r="I3638" s="1"/>
      <c r="J3638" s="1"/>
      <c r="K3638" s="102" t="s">
        <v>583</v>
      </c>
      <c r="L3638" s="102" t="str">
        <f>AB307</f>
        <v>J1a2a1a2d2b2b2c4d2a2a3b2b4a1~</v>
      </c>
      <c r="M3638" s="102"/>
      <c r="N3638" s="102"/>
      <c r="O3638" s="105">
        <v>2.2871607E7</v>
      </c>
      <c r="P3638" s="105">
        <v>2.0709721E7</v>
      </c>
      <c r="Q3638" s="102" t="s">
        <v>2468</v>
      </c>
      <c r="S3638" s="1"/>
      <c r="T3638" s="1"/>
      <c r="U3638" s="1"/>
      <c r="V3638" s="1"/>
      <c r="W3638" s="1"/>
      <c r="X3638" s="1"/>
      <c r="Y3638" s="1"/>
      <c r="Z3638" s="102"/>
      <c r="AA3638" s="102"/>
      <c r="AB3638" s="1"/>
      <c r="AC3638" s="1"/>
      <c r="AD3638" s="1"/>
      <c r="AE3638" s="1"/>
      <c r="AF3638" s="1"/>
      <c r="AG3638" s="1"/>
    </row>
    <row r="3639" ht="15.75" customHeight="1">
      <c r="A3639" s="1"/>
      <c r="B3639" s="1"/>
      <c r="C3639" s="1"/>
      <c r="D3639" s="1"/>
      <c r="E3639" s="1"/>
      <c r="F3639" s="1"/>
      <c r="G3639" s="1"/>
      <c r="H3639" s="1"/>
      <c r="I3639" s="1"/>
      <c r="J3639" s="1"/>
      <c r="K3639" s="102" t="s">
        <v>6155</v>
      </c>
      <c r="L3639" s="102" t="str">
        <f>AA308</f>
        <v>J1a2a1a2d2b2b2c4d2a2a3b2b4b~</v>
      </c>
      <c r="M3639" s="102"/>
      <c r="N3639" s="102"/>
      <c r="O3639" s="105">
        <v>6798734.0</v>
      </c>
      <c r="P3639" s="105">
        <v>6930693.0</v>
      </c>
      <c r="Q3639" s="102" t="s">
        <v>2529</v>
      </c>
      <c r="S3639" s="1"/>
      <c r="T3639" s="1"/>
      <c r="U3639" s="1"/>
      <c r="V3639" s="1"/>
      <c r="W3639" s="1"/>
      <c r="X3639" s="1"/>
      <c r="Y3639" s="1"/>
      <c r="Z3639" s="102"/>
      <c r="AA3639" s="102"/>
      <c r="AB3639" s="1"/>
      <c r="AC3639" s="1"/>
      <c r="AD3639" s="1"/>
      <c r="AE3639" s="1"/>
      <c r="AF3639" s="1"/>
      <c r="AG3639" s="1"/>
    </row>
    <row r="3640" ht="15.75" customHeight="1">
      <c r="A3640" s="1"/>
      <c r="B3640" s="1"/>
      <c r="C3640" s="1"/>
      <c r="D3640" s="1"/>
      <c r="E3640" s="1"/>
      <c r="F3640" s="1"/>
      <c r="G3640" s="1"/>
      <c r="H3640" s="1"/>
      <c r="I3640" s="1"/>
      <c r="J3640" s="1"/>
      <c r="K3640" s="102" t="s">
        <v>6156</v>
      </c>
      <c r="L3640" s="102" t="str">
        <f>Z309</f>
        <v>J1a2a1a2d2b2b2c4d2a2a3b2b5~</v>
      </c>
      <c r="M3640" s="102"/>
      <c r="N3640" s="102"/>
      <c r="O3640" s="105">
        <v>8640280.0</v>
      </c>
      <c r="P3640" s="105">
        <v>8772239.0</v>
      </c>
      <c r="Q3640" s="102" t="s">
        <v>2514</v>
      </c>
      <c r="S3640" s="1"/>
      <c r="T3640" s="1"/>
      <c r="U3640" s="1"/>
      <c r="V3640" s="1"/>
      <c r="W3640" s="1"/>
      <c r="X3640" s="1"/>
      <c r="Y3640" s="1"/>
      <c r="Z3640" s="102"/>
      <c r="AA3640" s="102"/>
      <c r="AB3640" s="1"/>
      <c r="AC3640" s="1"/>
      <c r="AD3640" s="1"/>
      <c r="AE3640" s="1"/>
      <c r="AF3640" s="1"/>
      <c r="AG3640" s="1"/>
    </row>
    <row r="3641" ht="15.75" customHeight="1">
      <c r="A3641" s="1"/>
      <c r="B3641" s="1"/>
      <c r="C3641" s="1"/>
      <c r="D3641" s="1"/>
      <c r="E3641" s="1"/>
      <c r="F3641" s="1"/>
      <c r="G3641" s="1"/>
      <c r="H3641" s="1"/>
      <c r="I3641" s="1"/>
      <c r="J3641" s="1"/>
      <c r="K3641" s="102" t="s">
        <v>6157</v>
      </c>
      <c r="L3641" s="102" t="str">
        <f>Z309</f>
        <v>J1a2a1a2d2b2b2c4d2a2a3b2b5~</v>
      </c>
      <c r="M3641" s="102"/>
      <c r="N3641" s="102"/>
      <c r="O3641" s="105">
        <v>1.7610477E7</v>
      </c>
      <c r="P3641" s="105">
        <v>1.5498597E7</v>
      </c>
      <c r="Q3641" s="102" t="s">
        <v>2432</v>
      </c>
      <c r="S3641" s="1"/>
      <c r="T3641" s="1"/>
      <c r="U3641" s="1"/>
      <c r="V3641" s="1"/>
      <c r="W3641" s="1"/>
      <c r="X3641" s="1"/>
      <c r="Y3641" s="1"/>
      <c r="Z3641" s="102"/>
      <c r="AA3641" s="102"/>
      <c r="AB3641" s="1"/>
      <c r="AC3641" s="1"/>
      <c r="AD3641" s="1"/>
      <c r="AE3641" s="1"/>
      <c r="AF3641" s="1"/>
      <c r="AG3641" s="1"/>
    </row>
    <row r="3642" ht="15.75" customHeight="1">
      <c r="A3642" s="1"/>
      <c r="B3642" s="1"/>
      <c r="C3642" s="1"/>
      <c r="D3642" s="1"/>
      <c r="E3642" s="1"/>
      <c r="F3642" s="1"/>
      <c r="G3642" s="1"/>
      <c r="H3642" s="1"/>
      <c r="I3642" s="1"/>
      <c r="J3642" s="1"/>
      <c r="K3642" s="102" t="s">
        <v>589</v>
      </c>
      <c r="L3642" s="102" t="str">
        <f>V310</f>
        <v>J1a2a1a2d2b2b2c4d2a2a4~</v>
      </c>
      <c r="M3642" s="102"/>
      <c r="N3642" s="102" t="s">
        <v>6158</v>
      </c>
      <c r="O3642" s="105">
        <v>1.4065698E7</v>
      </c>
      <c r="P3642" s="105">
        <v>1.1944992E7</v>
      </c>
      <c r="Q3642" s="102" t="s">
        <v>2529</v>
      </c>
      <c r="S3642" s="1"/>
      <c r="T3642" s="1"/>
      <c r="U3642" s="1"/>
      <c r="V3642" s="1"/>
      <c r="W3642" s="1"/>
      <c r="X3642" s="1"/>
      <c r="Y3642" s="1"/>
      <c r="Z3642" s="102"/>
      <c r="AA3642" s="102"/>
      <c r="AB3642" s="1"/>
      <c r="AC3642" s="1"/>
      <c r="AD3642" s="1"/>
      <c r="AE3642" s="1"/>
      <c r="AF3642" s="1"/>
      <c r="AG3642" s="1"/>
    </row>
    <row r="3643" ht="15.75" customHeight="1">
      <c r="A3643" s="1"/>
      <c r="B3643" s="1"/>
      <c r="C3643" s="1"/>
      <c r="D3643" s="1"/>
      <c r="E3643" s="1"/>
      <c r="F3643" s="1"/>
      <c r="G3643" s="1"/>
      <c r="H3643" s="1"/>
      <c r="I3643" s="1"/>
      <c r="J3643" s="1"/>
      <c r="K3643" s="102" t="s">
        <v>6159</v>
      </c>
      <c r="L3643" s="102" t="str">
        <f>W311</f>
        <v>J1a2a1a2d2b2b2c4d2a2a4a~</v>
      </c>
      <c r="M3643" s="102" t="s">
        <v>6160</v>
      </c>
      <c r="N3643" s="102" t="s">
        <v>6161</v>
      </c>
      <c r="O3643" s="105">
        <v>1.6570676E7</v>
      </c>
      <c r="P3643" s="105">
        <v>1.4458796E7</v>
      </c>
      <c r="Q3643" s="102" t="s">
        <v>2514</v>
      </c>
      <c r="S3643" s="1"/>
      <c r="T3643" s="1"/>
      <c r="U3643" s="1"/>
      <c r="V3643" s="1"/>
      <c r="W3643" s="1"/>
      <c r="X3643" s="1"/>
      <c r="Y3643" s="1"/>
      <c r="Z3643" s="102"/>
      <c r="AA3643" s="102"/>
      <c r="AB3643" s="1"/>
      <c r="AC3643" s="1"/>
      <c r="AD3643" s="1"/>
      <c r="AE3643" s="1"/>
      <c r="AF3643" s="1"/>
      <c r="AG3643" s="1"/>
    </row>
    <row r="3644" ht="15.75" customHeight="1">
      <c r="A3644" s="1"/>
      <c r="B3644" s="1"/>
      <c r="C3644" s="1"/>
      <c r="D3644" s="1"/>
      <c r="E3644" s="1"/>
      <c r="F3644" s="1"/>
      <c r="G3644" s="1"/>
      <c r="H3644" s="1"/>
      <c r="I3644" s="1"/>
      <c r="J3644" s="1"/>
      <c r="K3644" s="102" t="s">
        <v>6160</v>
      </c>
      <c r="L3644" s="102" t="str">
        <f>W311</f>
        <v>J1a2a1a2d2b2b2c4d2a2a4a~</v>
      </c>
      <c r="M3644" s="102" t="s">
        <v>6159</v>
      </c>
      <c r="N3644" s="102" t="s">
        <v>6161</v>
      </c>
      <c r="O3644" s="105">
        <v>1.6570676E7</v>
      </c>
      <c r="P3644" s="105">
        <v>1.4458796E7</v>
      </c>
      <c r="Q3644" s="102" t="s">
        <v>2514</v>
      </c>
      <c r="S3644" s="1"/>
      <c r="T3644" s="1"/>
      <c r="U3644" s="1"/>
      <c r="V3644" s="1"/>
      <c r="W3644" s="1"/>
      <c r="X3644" s="1"/>
      <c r="Y3644" s="1"/>
      <c r="Z3644" s="102"/>
      <c r="AA3644" s="102"/>
      <c r="AB3644" s="1"/>
      <c r="AC3644" s="1"/>
      <c r="AD3644" s="1"/>
      <c r="AE3644" s="1"/>
      <c r="AF3644" s="1"/>
      <c r="AG3644" s="1"/>
    </row>
    <row r="3645" ht="15.75" customHeight="1">
      <c r="A3645" s="1"/>
      <c r="B3645" s="1"/>
      <c r="C3645" s="1"/>
      <c r="D3645" s="1"/>
      <c r="E3645" s="1"/>
      <c r="F3645" s="1"/>
      <c r="G3645" s="1"/>
      <c r="H3645" s="1"/>
      <c r="I3645" s="1"/>
      <c r="J3645" s="1"/>
      <c r="K3645" s="102" t="s">
        <v>6162</v>
      </c>
      <c r="L3645" s="102" t="str">
        <f>X312</f>
        <v>J1a2a1a2d2b2b2c4d2a2a4a1~</v>
      </c>
      <c r="M3645" s="102"/>
      <c r="N3645" s="102" t="s">
        <v>6163</v>
      </c>
      <c r="O3645" s="105">
        <v>7275121.0</v>
      </c>
      <c r="P3645" s="105">
        <v>7407080.0</v>
      </c>
      <c r="Q3645" s="102" t="s">
        <v>2439</v>
      </c>
      <c r="S3645" s="1"/>
      <c r="T3645" s="1"/>
      <c r="U3645" s="1"/>
      <c r="V3645" s="1"/>
      <c r="W3645" s="1"/>
      <c r="X3645" s="1"/>
      <c r="Y3645" s="1"/>
      <c r="Z3645" s="102"/>
      <c r="AA3645" s="102"/>
      <c r="AB3645" s="1"/>
      <c r="AC3645" s="1"/>
      <c r="AD3645" s="1"/>
      <c r="AE3645" s="1"/>
      <c r="AF3645" s="1"/>
      <c r="AG3645" s="1"/>
    </row>
    <row r="3646" ht="15.75" customHeight="1">
      <c r="A3646" s="1"/>
      <c r="B3646" s="1"/>
      <c r="C3646" s="1"/>
      <c r="D3646" s="1"/>
      <c r="E3646" s="1"/>
      <c r="F3646" s="1"/>
      <c r="G3646" s="1"/>
      <c r="H3646" s="1"/>
      <c r="I3646" s="1"/>
      <c r="J3646" s="1"/>
      <c r="K3646" s="102" t="s">
        <v>6164</v>
      </c>
      <c r="L3646" s="102" t="str">
        <f>X312</f>
        <v>J1a2a1a2d2b2b2c4d2a2a4a1~</v>
      </c>
      <c r="M3646" s="102"/>
      <c r="N3646" s="102"/>
      <c r="O3646" s="105">
        <v>8285226.0</v>
      </c>
      <c r="P3646" s="105">
        <v>8417185.0</v>
      </c>
      <c r="Q3646" s="102" t="s">
        <v>2501</v>
      </c>
      <c r="S3646" s="1"/>
      <c r="T3646" s="1"/>
      <c r="U3646" s="1"/>
      <c r="V3646" s="1"/>
      <c r="W3646" s="1"/>
      <c r="X3646" s="1"/>
      <c r="Y3646" s="1"/>
      <c r="Z3646" s="102"/>
      <c r="AA3646" s="102"/>
      <c r="AB3646" s="1"/>
      <c r="AC3646" s="1"/>
      <c r="AD3646" s="1"/>
      <c r="AE3646" s="1"/>
      <c r="AF3646" s="1"/>
      <c r="AG3646" s="1"/>
    </row>
    <row r="3647" ht="15.75" customHeight="1">
      <c r="A3647" s="1"/>
      <c r="B3647" s="1"/>
      <c r="C3647" s="1"/>
      <c r="D3647" s="1"/>
      <c r="E3647" s="1"/>
      <c r="F3647" s="1"/>
      <c r="G3647" s="1"/>
      <c r="H3647" s="1"/>
      <c r="I3647" s="1"/>
      <c r="J3647" s="1"/>
      <c r="K3647" s="102" t="s">
        <v>6165</v>
      </c>
      <c r="L3647" s="102" t="str">
        <f>X312</f>
        <v>J1a2a1a2d2b2b2c4d2a2a4a1~</v>
      </c>
      <c r="M3647" s="102"/>
      <c r="N3647" s="102"/>
      <c r="O3647" s="105">
        <v>8364895.0</v>
      </c>
      <c r="P3647" s="105">
        <v>8496854.0</v>
      </c>
      <c r="Q3647" s="102" t="s">
        <v>2468</v>
      </c>
      <c r="S3647" s="1"/>
      <c r="T3647" s="1"/>
      <c r="U3647" s="1"/>
      <c r="V3647" s="1"/>
      <c r="W3647" s="1"/>
      <c r="X3647" s="1"/>
      <c r="Y3647" s="1"/>
      <c r="Z3647" s="102"/>
      <c r="AA3647" s="102"/>
      <c r="AB3647" s="1"/>
      <c r="AC3647" s="1"/>
      <c r="AD3647" s="1"/>
      <c r="AE3647" s="1"/>
      <c r="AF3647" s="1"/>
      <c r="AG3647" s="1"/>
    </row>
    <row r="3648" ht="15.75" customHeight="1">
      <c r="A3648" s="1"/>
      <c r="B3648" s="1"/>
      <c r="C3648" s="1"/>
      <c r="D3648" s="1"/>
      <c r="E3648" s="1"/>
      <c r="F3648" s="1"/>
      <c r="G3648" s="1"/>
      <c r="H3648" s="1"/>
      <c r="I3648" s="1"/>
      <c r="J3648" s="1"/>
      <c r="K3648" s="102" t="s">
        <v>6166</v>
      </c>
      <c r="L3648" s="102" t="str">
        <f>X312</f>
        <v>J1a2a1a2d2b2b2c4d2a2a4a1~</v>
      </c>
      <c r="M3648" s="102"/>
      <c r="N3648" s="102"/>
      <c r="O3648" s="105">
        <v>8479362.0</v>
      </c>
      <c r="P3648" s="105">
        <v>8611321.0</v>
      </c>
      <c r="Q3648" s="102" t="s">
        <v>2468</v>
      </c>
      <c r="S3648" s="1"/>
      <c r="T3648" s="1"/>
      <c r="U3648" s="1"/>
      <c r="V3648" s="1"/>
      <c r="W3648" s="1"/>
      <c r="X3648" s="1"/>
      <c r="Y3648" s="1"/>
      <c r="Z3648" s="102"/>
      <c r="AA3648" s="102"/>
      <c r="AB3648" s="1"/>
      <c r="AC3648" s="1"/>
      <c r="AD3648" s="1"/>
      <c r="AE3648" s="1"/>
      <c r="AF3648" s="1"/>
      <c r="AG3648" s="1"/>
    </row>
    <row r="3649" ht="15.75" customHeight="1">
      <c r="A3649" s="1"/>
      <c r="B3649" s="1"/>
      <c r="C3649" s="1"/>
      <c r="D3649" s="1"/>
      <c r="E3649" s="1"/>
      <c r="F3649" s="1"/>
      <c r="G3649" s="1"/>
      <c r="H3649" s="1"/>
      <c r="I3649" s="1"/>
      <c r="J3649" s="1"/>
      <c r="K3649" s="102" t="s">
        <v>6167</v>
      </c>
      <c r="L3649" s="102" t="str">
        <f>X312</f>
        <v>J1a2a1a2d2b2b2c4d2a2a4a1~</v>
      </c>
      <c r="M3649" s="102"/>
      <c r="N3649" s="102"/>
      <c r="O3649" s="105">
        <v>9851816.0</v>
      </c>
      <c r="P3649" s="105">
        <v>1.0014207E7</v>
      </c>
      <c r="Q3649" s="102" t="s">
        <v>2529</v>
      </c>
      <c r="S3649" s="1"/>
      <c r="T3649" s="1"/>
      <c r="U3649" s="1"/>
      <c r="V3649" s="1"/>
      <c r="W3649" s="1"/>
      <c r="X3649" s="1"/>
      <c r="Y3649" s="1"/>
      <c r="Z3649" s="102"/>
      <c r="AA3649" s="102"/>
      <c r="AB3649" s="1"/>
      <c r="AC3649" s="1"/>
      <c r="AD3649" s="1"/>
      <c r="AE3649" s="1"/>
      <c r="AF3649" s="1"/>
      <c r="AG3649" s="1"/>
    </row>
    <row r="3650" ht="15.75" customHeight="1">
      <c r="A3650" s="1"/>
      <c r="B3650" s="1"/>
      <c r="C3650" s="1"/>
      <c r="D3650" s="1"/>
      <c r="E3650" s="1"/>
      <c r="F3650" s="1"/>
      <c r="G3650" s="1"/>
      <c r="H3650" s="1"/>
      <c r="I3650" s="1"/>
      <c r="J3650" s="1"/>
      <c r="K3650" s="102" t="s">
        <v>6168</v>
      </c>
      <c r="L3650" s="102" t="str">
        <f>X312</f>
        <v>J1a2a1a2d2b2b2c4d2a2a4a1~</v>
      </c>
      <c r="M3650" s="102"/>
      <c r="N3650" s="102"/>
      <c r="O3650" s="105">
        <v>1.4808792E7</v>
      </c>
      <c r="P3650" s="105">
        <v>1.2696863E7</v>
      </c>
      <c r="Q3650" s="102" t="s">
        <v>2439</v>
      </c>
      <c r="S3650" s="1"/>
      <c r="T3650" s="1"/>
      <c r="U3650" s="1"/>
      <c r="V3650" s="1"/>
      <c r="W3650" s="1"/>
      <c r="X3650" s="1"/>
      <c r="Y3650" s="1"/>
      <c r="Z3650" s="102"/>
      <c r="AA3650" s="102"/>
      <c r="AB3650" s="1"/>
      <c r="AC3650" s="1"/>
      <c r="AD3650" s="1"/>
      <c r="AE3650" s="1"/>
      <c r="AF3650" s="1"/>
      <c r="AG3650" s="1"/>
    </row>
    <row r="3651" ht="15.75" customHeight="1">
      <c r="A3651" s="1"/>
      <c r="B3651" s="1"/>
      <c r="C3651" s="1"/>
      <c r="D3651" s="1"/>
      <c r="E3651" s="1"/>
      <c r="F3651" s="1"/>
      <c r="G3651" s="1"/>
      <c r="H3651" s="1"/>
      <c r="I3651" s="1"/>
      <c r="J3651" s="1"/>
      <c r="K3651" s="102" t="s">
        <v>6169</v>
      </c>
      <c r="L3651" s="102" t="str">
        <f>X312</f>
        <v>J1a2a1a2d2b2b2c4d2a2a4a1~</v>
      </c>
      <c r="M3651" s="102"/>
      <c r="N3651" s="102"/>
      <c r="O3651" s="105">
        <v>1.4829813E7</v>
      </c>
      <c r="P3651" s="105">
        <v>1.271788E7</v>
      </c>
      <c r="Q3651" s="102" t="s">
        <v>2514</v>
      </c>
      <c r="S3651" s="1"/>
      <c r="T3651" s="1"/>
      <c r="U3651" s="1"/>
      <c r="V3651" s="1"/>
      <c r="W3651" s="1"/>
      <c r="X3651" s="1"/>
      <c r="Y3651" s="1"/>
      <c r="Z3651" s="102"/>
      <c r="AA3651" s="102"/>
      <c r="AB3651" s="1"/>
      <c r="AC3651" s="1"/>
      <c r="AD3651" s="1"/>
      <c r="AE3651" s="1"/>
      <c r="AF3651" s="1"/>
      <c r="AG3651" s="1"/>
    </row>
    <row r="3652" ht="15.75" customHeight="1">
      <c r="A3652" s="1"/>
      <c r="B3652" s="1"/>
      <c r="C3652" s="1"/>
      <c r="D3652" s="1"/>
      <c r="E3652" s="1"/>
      <c r="F3652" s="1"/>
      <c r="G3652" s="1"/>
      <c r="H3652" s="1"/>
      <c r="I3652" s="1"/>
      <c r="J3652" s="1"/>
      <c r="K3652" s="102" t="s">
        <v>6170</v>
      </c>
      <c r="L3652" s="102" t="str">
        <f>X312</f>
        <v>J1a2a1a2d2b2b2c4d2a2a4a1~</v>
      </c>
      <c r="M3652" s="102"/>
      <c r="N3652" s="102"/>
      <c r="O3652" s="105">
        <v>1.7288943E7</v>
      </c>
      <c r="P3652" s="105">
        <v>1.5177063E7</v>
      </c>
      <c r="Q3652" s="102" t="s">
        <v>2563</v>
      </c>
      <c r="S3652" s="1"/>
      <c r="T3652" s="1"/>
      <c r="U3652" s="1"/>
      <c r="V3652" s="1"/>
      <c r="W3652" s="1"/>
      <c r="X3652" s="1"/>
      <c r="Y3652" s="1"/>
      <c r="Z3652" s="102"/>
      <c r="AA3652" s="102"/>
      <c r="AB3652" s="1"/>
      <c r="AC3652" s="1"/>
      <c r="AD3652" s="1"/>
      <c r="AE3652" s="1"/>
      <c r="AF3652" s="1"/>
      <c r="AG3652" s="1"/>
    </row>
    <row r="3653" ht="15.75" customHeight="1">
      <c r="A3653" s="1"/>
      <c r="B3653" s="1"/>
      <c r="C3653" s="1"/>
      <c r="D3653" s="1"/>
      <c r="E3653" s="1"/>
      <c r="F3653" s="1"/>
      <c r="G3653" s="1"/>
      <c r="H3653" s="1"/>
      <c r="I3653" s="1"/>
      <c r="J3653" s="1"/>
      <c r="K3653" s="102" t="s">
        <v>6171</v>
      </c>
      <c r="L3653" s="102" t="str">
        <f>X312</f>
        <v>J1a2a1a2d2b2b2c4d2a2a4a1~</v>
      </c>
      <c r="M3653" s="102"/>
      <c r="N3653" s="102"/>
      <c r="O3653" s="105">
        <v>1.8130278E7</v>
      </c>
      <c r="P3653" s="105">
        <v>1.6018398E7</v>
      </c>
      <c r="Q3653" s="102" t="s">
        <v>2501</v>
      </c>
      <c r="S3653" s="1"/>
      <c r="T3653" s="1"/>
      <c r="U3653" s="1"/>
      <c r="V3653" s="1"/>
      <c r="W3653" s="1"/>
      <c r="X3653" s="1"/>
      <c r="Y3653" s="1"/>
      <c r="Z3653" s="102"/>
      <c r="AA3653" s="102"/>
      <c r="AB3653" s="1"/>
      <c r="AC3653" s="1"/>
      <c r="AD3653" s="1"/>
      <c r="AE3653" s="1"/>
      <c r="AF3653" s="1"/>
      <c r="AG3653" s="1"/>
    </row>
    <row r="3654" ht="15.75" customHeight="1">
      <c r="A3654" s="1"/>
      <c r="B3654" s="1"/>
      <c r="C3654" s="1"/>
      <c r="D3654" s="1"/>
      <c r="E3654" s="1"/>
      <c r="F3654" s="1"/>
      <c r="G3654" s="1"/>
      <c r="H3654" s="1"/>
      <c r="I3654" s="1"/>
      <c r="J3654" s="1"/>
      <c r="K3654" s="102" t="s">
        <v>6172</v>
      </c>
      <c r="L3654" s="102" t="str">
        <f>X312</f>
        <v>J1a2a1a2d2b2b2c4d2a2a4a1~</v>
      </c>
      <c r="M3654" s="102"/>
      <c r="N3654" s="102"/>
      <c r="O3654" s="105">
        <v>1.9223905E7</v>
      </c>
      <c r="P3654" s="105">
        <v>1.7112025E7</v>
      </c>
      <c r="Q3654" s="102" t="s">
        <v>2439</v>
      </c>
      <c r="S3654" s="1"/>
      <c r="T3654" s="1"/>
      <c r="U3654" s="1"/>
      <c r="V3654" s="1"/>
      <c r="W3654" s="1"/>
      <c r="X3654" s="1"/>
      <c r="Y3654" s="1"/>
      <c r="Z3654" s="102"/>
      <c r="AA3654" s="102"/>
      <c r="AB3654" s="1"/>
      <c r="AC3654" s="1"/>
      <c r="AD3654" s="1"/>
      <c r="AE3654" s="1"/>
      <c r="AF3654" s="1"/>
      <c r="AG3654" s="1"/>
    </row>
    <row r="3655" ht="15.75" customHeight="1">
      <c r="A3655" s="1"/>
      <c r="B3655" s="1"/>
      <c r="C3655" s="1"/>
      <c r="D3655" s="1"/>
      <c r="E3655" s="1"/>
      <c r="F3655" s="1"/>
      <c r="G3655" s="1"/>
      <c r="H3655" s="1"/>
      <c r="I3655" s="1"/>
      <c r="J3655" s="1"/>
      <c r="K3655" s="102" t="s">
        <v>6173</v>
      </c>
      <c r="L3655" s="102" t="str">
        <f>X312</f>
        <v>J1a2a1a2d2b2b2c4d2a2a4a1~</v>
      </c>
      <c r="M3655" s="102"/>
      <c r="N3655" s="102" t="s">
        <v>6174</v>
      </c>
      <c r="O3655" s="105">
        <v>1.9412991E7</v>
      </c>
      <c r="P3655" s="105">
        <v>1.7301111E7</v>
      </c>
      <c r="Q3655" s="102" t="s">
        <v>2446</v>
      </c>
      <c r="S3655" s="1"/>
      <c r="T3655" s="1"/>
      <c r="U3655" s="1"/>
      <c r="V3655" s="1"/>
      <c r="W3655" s="1"/>
      <c r="X3655" s="1"/>
      <c r="Y3655" s="1"/>
      <c r="Z3655" s="102"/>
      <c r="AA3655" s="102"/>
      <c r="AB3655" s="1"/>
      <c r="AC3655" s="1"/>
      <c r="AD3655" s="1"/>
      <c r="AE3655" s="1"/>
      <c r="AF3655" s="1"/>
      <c r="AG3655" s="1"/>
    </row>
    <row r="3656" ht="15.75" customHeight="1">
      <c r="A3656" s="1"/>
      <c r="B3656" s="1"/>
      <c r="C3656" s="1"/>
      <c r="D3656" s="1"/>
      <c r="E3656" s="1"/>
      <c r="F3656" s="1"/>
      <c r="G3656" s="1"/>
      <c r="H3656" s="1"/>
      <c r="I3656" s="1"/>
      <c r="J3656" s="1"/>
      <c r="K3656" s="102" t="s">
        <v>6175</v>
      </c>
      <c r="L3656" s="102" t="str">
        <f>X312</f>
        <v>J1a2a1a2d2b2b2c4d2a2a4a1~</v>
      </c>
      <c r="M3656" s="102"/>
      <c r="N3656" s="102"/>
      <c r="O3656" s="105">
        <v>2.2597528E7</v>
      </c>
      <c r="P3656" s="105">
        <v>2.0435642E7</v>
      </c>
      <c r="Q3656" s="102" t="s">
        <v>2446</v>
      </c>
      <c r="S3656" s="1"/>
      <c r="T3656" s="1"/>
      <c r="U3656" s="1"/>
      <c r="V3656" s="1"/>
      <c r="W3656" s="1"/>
      <c r="X3656" s="1"/>
      <c r="Y3656" s="1"/>
      <c r="Z3656" s="102"/>
      <c r="AA3656" s="102"/>
      <c r="AB3656" s="1"/>
      <c r="AC3656" s="1"/>
      <c r="AD3656" s="1"/>
      <c r="AE3656" s="1"/>
      <c r="AF3656" s="1"/>
      <c r="AG3656" s="1"/>
    </row>
    <row r="3657" ht="15.75" customHeight="1">
      <c r="A3657" s="1"/>
      <c r="B3657" s="1"/>
      <c r="C3657" s="1"/>
      <c r="D3657" s="1"/>
      <c r="E3657" s="1"/>
      <c r="F3657" s="1"/>
      <c r="G3657" s="1"/>
      <c r="H3657" s="1"/>
      <c r="I3657" s="1"/>
      <c r="J3657" s="1"/>
      <c r="K3657" s="102" t="s">
        <v>6176</v>
      </c>
      <c r="L3657" s="102" t="str">
        <f>X312</f>
        <v>J1a2a1a2d2b2b2c4d2a2a4a1~</v>
      </c>
      <c r="M3657" s="102"/>
      <c r="N3657" s="102"/>
      <c r="O3657" s="105">
        <v>2.327329E7</v>
      </c>
      <c r="P3657" s="105">
        <v>2.1111404E7</v>
      </c>
      <c r="Q3657" s="102" t="s">
        <v>2439</v>
      </c>
      <c r="S3657" s="1"/>
      <c r="T3657" s="1"/>
      <c r="U3657" s="1"/>
      <c r="V3657" s="1"/>
      <c r="W3657" s="1"/>
      <c r="X3657" s="1"/>
      <c r="Y3657" s="1"/>
      <c r="Z3657" s="102"/>
      <c r="AA3657" s="102"/>
      <c r="AB3657" s="1"/>
      <c r="AC3657" s="1"/>
      <c r="AD3657" s="1"/>
      <c r="AE3657" s="1"/>
      <c r="AF3657" s="1"/>
      <c r="AG3657" s="1"/>
    </row>
    <row r="3658" ht="15.75" customHeight="1">
      <c r="A3658" s="1"/>
      <c r="B3658" s="1"/>
      <c r="C3658" s="1"/>
      <c r="D3658" s="1"/>
      <c r="E3658" s="1"/>
      <c r="F3658" s="1"/>
      <c r="G3658" s="1"/>
      <c r="H3658" s="1"/>
      <c r="I3658" s="1"/>
      <c r="J3658" s="1"/>
      <c r="K3658" s="102" t="s">
        <v>6177</v>
      </c>
      <c r="L3658" s="102" t="str">
        <f>X312</f>
        <v>J1a2a1a2d2b2b2c4d2a2a4a1~</v>
      </c>
      <c r="M3658" s="102"/>
      <c r="N3658" s="102" t="s">
        <v>6178</v>
      </c>
      <c r="O3658" s="105">
        <v>7978725.0</v>
      </c>
      <c r="P3658" s="105">
        <v>8110684.0</v>
      </c>
      <c r="Q3658" s="102" t="s">
        <v>2501</v>
      </c>
      <c r="S3658" s="1"/>
      <c r="T3658" s="1"/>
      <c r="U3658" s="1"/>
      <c r="V3658" s="1"/>
      <c r="W3658" s="1"/>
      <c r="X3658" s="1"/>
      <c r="Y3658" s="1"/>
      <c r="Z3658" s="102"/>
      <c r="AA3658" s="102"/>
      <c r="AB3658" s="1"/>
      <c r="AC3658" s="1"/>
      <c r="AD3658" s="1"/>
      <c r="AE3658" s="1"/>
      <c r="AF3658" s="1"/>
      <c r="AG3658" s="1"/>
    </row>
    <row r="3659" ht="15.75" customHeight="1">
      <c r="A3659" s="1"/>
      <c r="B3659" s="1"/>
      <c r="C3659" s="1"/>
      <c r="D3659" s="1"/>
      <c r="E3659" s="1"/>
      <c r="F3659" s="1"/>
      <c r="G3659" s="1"/>
      <c r="H3659" s="1"/>
      <c r="I3659" s="1"/>
      <c r="J3659" s="1"/>
      <c r="K3659" s="102" t="s">
        <v>6179</v>
      </c>
      <c r="L3659" s="102" t="str">
        <f>Y313</f>
        <v>J1a2a1a2d2b2b2c4d2a2a4a1a~</v>
      </c>
      <c r="M3659" s="102"/>
      <c r="N3659" s="102"/>
      <c r="O3659" s="105">
        <v>7685618.0</v>
      </c>
      <c r="P3659" s="105">
        <v>7817577.0</v>
      </c>
      <c r="Q3659" s="102" t="s">
        <v>2529</v>
      </c>
      <c r="S3659" s="1"/>
      <c r="T3659" s="1"/>
      <c r="U3659" s="1"/>
      <c r="V3659" s="1"/>
      <c r="W3659" s="1"/>
      <c r="X3659" s="1"/>
      <c r="Y3659" s="1"/>
      <c r="Z3659" s="102"/>
      <c r="AA3659" s="102"/>
      <c r="AB3659" s="1"/>
      <c r="AC3659" s="1"/>
      <c r="AD3659" s="1"/>
      <c r="AE3659" s="1"/>
      <c r="AF3659" s="1"/>
      <c r="AG3659" s="1"/>
    </row>
    <row r="3660" ht="15.75" customHeight="1">
      <c r="A3660" s="1"/>
      <c r="B3660" s="1"/>
      <c r="C3660" s="1"/>
      <c r="D3660" s="1"/>
      <c r="E3660" s="1"/>
      <c r="F3660" s="1"/>
      <c r="G3660" s="1"/>
      <c r="H3660" s="1"/>
      <c r="I3660" s="1"/>
      <c r="J3660" s="1"/>
      <c r="K3660" s="102" t="s">
        <v>6180</v>
      </c>
      <c r="L3660" s="102" t="str">
        <f>Y313</f>
        <v>J1a2a1a2d2b2b2c4d2a2a4a1a~</v>
      </c>
      <c r="M3660" s="102"/>
      <c r="N3660" s="102"/>
      <c r="O3660" s="105">
        <v>1.6963016E7</v>
      </c>
      <c r="P3660" s="105">
        <v>1.4851136E7</v>
      </c>
      <c r="Q3660" s="102" t="s">
        <v>2423</v>
      </c>
      <c r="S3660" s="1"/>
      <c r="T3660" s="1"/>
      <c r="U3660" s="1"/>
      <c r="V3660" s="1"/>
      <c r="W3660" s="1"/>
      <c r="X3660" s="1"/>
      <c r="Y3660" s="1"/>
      <c r="Z3660" s="102"/>
      <c r="AA3660" s="102"/>
      <c r="AB3660" s="1"/>
      <c r="AC3660" s="1"/>
      <c r="AD3660" s="1"/>
      <c r="AE3660" s="1"/>
      <c r="AF3660" s="1"/>
      <c r="AG3660" s="1"/>
    </row>
    <row r="3661" ht="15.75" customHeight="1">
      <c r="A3661" s="1"/>
      <c r="B3661" s="1"/>
      <c r="C3661" s="1"/>
      <c r="D3661" s="1"/>
      <c r="E3661" s="1"/>
      <c r="F3661" s="1"/>
      <c r="G3661" s="1"/>
      <c r="H3661" s="1"/>
      <c r="I3661" s="1"/>
      <c r="J3661" s="1"/>
      <c r="K3661" s="102" t="s">
        <v>6181</v>
      </c>
      <c r="L3661" s="102" t="str">
        <f t="shared" ref="L3661:L3662" si="49">Y313</f>
        <v>J1a2a1a2d2b2b2c4d2a2a4a1a~</v>
      </c>
      <c r="M3661" s="102"/>
      <c r="N3661" s="102"/>
      <c r="O3661" s="105">
        <v>2.2835271E7</v>
      </c>
      <c r="P3661" s="105">
        <v>2.0673385E7</v>
      </c>
      <c r="Q3661" s="102" t="s">
        <v>2423</v>
      </c>
      <c r="S3661" s="1"/>
      <c r="T3661" s="1"/>
      <c r="U3661" s="1"/>
      <c r="V3661" s="1"/>
      <c r="W3661" s="1"/>
      <c r="X3661" s="1"/>
      <c r="Y3661" s="1"/>
      <c r="Z3661" s="102"/>
      <c r="AA3661" s="102"/>
      <c r="AB3661" s="1"/>
      <c r="AC3661" s="1"/>
      <c r="AD3661" s="1"/>
      <c r="AE3661" s="1"/>
      <c r="AF3661" s="1"/>
      <c r="AG3661" s="1"/>
    </row>
    <row r="3662" ht="15.75" customHeight="1">
      <c r="A3662" s="1"/>
      <c r="B3662" s="1"/>
      <c r="C3662" s="1"/>
      <c r="D3662" s="1"/>
      <c r="E3662" s="1"/>
      <c r="F3662" s="1"/>
      <c r="G3662" s="1"/>
      <c r="H3662" s="1"/>
      <c r="I3662" s="1"/>
      <c r="J3662" s="1"/>
      <c r="K3662" s="102" t="s">
        <v>6182</v>
      </c>
      <c r="L3662" s="102" t="str">
        <f t="shared" si="49"/>
        <v>J1a2a1a2d2b2b2c4d2a2a4a1b~</v>
      </c>
      <c r="M3662" s="102"/>
      <c r="N3662" s="102"/>
      <c r="O3662" s="105">
        <v>7702799.0</v>
      </c>
      <c r="P3662" s="105">
        <v>7834758.0</v>
      </c>
      <c r="Q3662" s="102" t="s">
        <v>2501</v>
      </c>
      <c r="S3662" s="1"/>
      <c r="T3662" s="1"/>
      <c r="U3662" s="1"/>
      <c r="V3662" s="1"/>
      <c r="W3662" s="1"/>
      <c r="X3662" s="1"/>
      <c r="Y3662" s="1"/>
      <c r="Z3662" s="102"/>
      <c r="AA3662" s="102"/>
      <c r="AB3662" s="1"/>
      <c r="AC3662" s="1"/>
      <c r="AD3662" s="1"/>
      <c r="AE3662" s="1"/>
      <c r="AF3662" s="1"/>
      <c r="AG3662" s="1"/>
    </row>
    <row r="3663" ht="15.75" customHeight="1">
      <c r="A3663" s="1"/>
      <c r="B3663" s="1"/>
      <c r="C3663" s="1"/>
      <c r="D3663" s="1"/>
      <c r="E3663" s="1"/>
      <c r="F3663" s="1"/>
      <c r="G3663" s="1"/>
      <c r="H3663" s="1"/>
      <c r="I3663" s="1"/>
      <c r="J3663" s="1"/>
      <c r="K3663" s="102" t="s">
        <v>6183</v>
      </c>
      <c r="L3663" s="102" t="str">
        <f>Y314</f>
        <v>J1a2a1a2d2b2b2c4d2a2a4a1b~</v>
      </c>
      <c r="M3663" s="102"/>
      <c r="N3663" s="102"/>
      <c r="O3663" s="105">
        <v>8591609.0</v>
      </c>
      <c r="P3663" s="105">
        <v>8723568.0</v>
      </c>
      <c r="Q3663" s="102" t="s">
        <v>2439</v>
      </c>
      <c r="S3663" s="1"/>
      <c r="T3663" s="1"/>
      <c r="U3663" s="1"/>
      <c r="V3663" s="1"/>
      <c r="W3663" s="1"/>
      <c r="X3663" s="1"/>
      <c r="Y3663" s="1"/>
      <c r="Z3663" s="102"/>
      <c r="AA3663" s="102"/>
      <c r="AB3663" s="1"/>
      <c r="AC3663" s="1"/>
      <c r="AD3663" s="1"/>
      <c r="AE3663" s="1"/>
      <c r="AF3663" s="1"/>
      <c r="AG3663" s="1"/>
    </row>
    <row r="3664" ht="15.75" customHeight="1">
      <c r="A3664" s="1"/>
      <c r="B3664" s="1"/>
      <c r="C3664" s="1"/>
      <c r="D3664" s="1"/>
      <c r="E3664" s="1"/>
      <c r="F3664" s="1"/>
      <c r="G3664" s="1"/>
      <c r="H3664" s="1"/>
      <c r="I3664" s="1"/>
      <c r="J3664" s="1"/>
      <c r="K3664" s="102" t="s">
        <v>6184</v>
      </c>
      <c r="L3664" s="102" t="str">
        <f>Y314</f>
        <v>J1a2a1a2d2b2b2c4d2a2a4a1b~</v>
      </c>
      <c r="M3664" s="102"/>
      <c r="N3664" s="102"/>
      <c r="O3664" s="105">
        <v>8764700.0</v>
      </c>
      <c r="P3664" s="105">
        <v>8896659.0</v>
      </c>
      <c r="Q3664" s="102" t="s">
        <v>2576</v>
      </c>
      <c r="S3664" s="1"/>
      <c r="T3664" s="1"/>
      <c r="U3664" s="1"/>
      <c r="V3664" s="1"/>
      <c r="W3664" s="1"/>
      <c r="X3664" s="1"/>
      <c r="Y3664" s="1"/>
      <c r="Z3664" s="102"/>
      <c r="AA3664" s="102"/>
      <c r="AB3664" s="1"/>
      <c r="AC3664" s="1"/>
      <c r="AD3664" s="1"/>
      <c r="AE3664" s="1"/>
      <c r="AF3664" s="1"/>
      <c r="AG3664" s="1"/>
    </row>
    <row r="3665" ht="15.75" customHeight="1">
      <c r="A3665" s="1"/>
      <c r="B3665" s="1"/>
      <c r="C3665" s="1"/>
      <c r="D3665" s="1"/>
      <c r="E3665" s="1"/>
      <c r="F3665" s="1"/>
      <c r="G3665" s="1"/>
      <c r="H3665" s="1"/>
      <c r="I3665" s="1"/>
      <c r="J3665" s="1"/>
      <c r="K3665" s="102" t="s">
        <v>6185</v>
      </c>
      <c r="L3665" s="102" t="str">
        <f>Y314</f>
        <v>J1a2a1a2d2b2b2c4d2a2a4a1b~</v>
      </c>
      <c r="M3665" s="102"/>
      <c r="N3665" s="102"/>
      <c r="O3665" s="105">
        <v>1.652957E7</v>
      </c>
      <c r="P3665" s="105">
        <v>1.441769E7</v>
      </c>
      <c r="Q3665" s="102" t="s">
        <v>2468</v>
      </c>
      <c r="S3665" s="1"/>
      <c r="T3665" s="1"/>
      <c r="U3665" s="1"/>
      <c r="V3665" s="1"/>
      <c r="W3665" s="1"/>
      <c r="X3665" s="1"/>
      <c r="Y3665" s="1"/>
      <c r="Z3665" s="102"/>
      <c r="AA3665" s="102"/>
      <c r="AB3665" s="1"/>
      <c r="AC3665" s="1"/>
      <c r="AD3665" s="1"/>
      <c r="AE3665" s="1"/>
      <c r="AF3665" s="1"/>
      <c r="AG3665" s="1"/>
    </row>
    <row r="3666" ht="15.75" customHeight="1">
      <c r="A3666" s="1"/>
      <c r="B3666" s="1"/>
      <c r="C3666" s="1"/>
      <c r="D3666" s="1"/>
      <c r="E3666" s="1"/>
      <c r="F3666" s="1"/>
      <c r="G3666" s="1"/>
      <c r="H3666" s="1"/>
      <c r="I3666" s="1"/>
      <c r="J3666" s="1"/>
      <c r="K3666" s="102" t="s">
        <v>6186</v>
      </c>
      <c r="L3666" s="102" t="str">
        <f>Y314</f>
        <v>J1a2a1a2d2b2b2c4d2a2a4a1b~</v>
      </c>
      <c r="M3666" s="102"/>
      <c r="N3666" s="102"/>
      <c r="O3666" s="105">
        <v>1.7654131E7</v>
      </c>
      <c r="P3666" s="105">
        <v>1.5542251E7</v>
      </c>
      <c r="Q3666" s="102" t="s">
        <v>2468</v>
      </c>
      <c r="S3666" s="1"/>
      <c r="T3666" s="1"/>
      <c r="U3666" s="1"/>
      <c r="V3666" s="1"/>
      <c r="W3666" s="1"/>
      <c r="X3666" s="1"/>
      <c r="Y3666" s="1"/>
      <c r="Z3666" s="102"/>
      <c r="AA3666" s="102"/>
      <c r="AB3666" s="1"/>
      <c r="AC3666" s="1"/>
      <c r="AD3666" s="1"/>
      <c r="AE3666" s="1"/>
      <c r="AF3666" s="1"/>
      <c r="AG3666" s="1"/>
    </row>
    <row r="3667" ht="15.75" customHeight="1">
      <c r="A3667" s="1"/>
      <c r="B3667" s="1"/>
      <c r="C3667" s="1"/>
      <c r="D3667" s="1"/>
      <c r="E3667" s="1"/>
      <c r="F3667" s="1"/>
      <c r="G3667" s="1"/>
      <c r="H3667" s="1"/>
      <c r="I3667" s="1"/>
      <c r="J3667" s="1"/>
      <c r="K3667" s="102" t="s">
        <v>6187</v>
      </c>
      <c r="L3667" s="102" t="str">
        <f>Y314</f>
        <v>J1a2a1a2d2b2b2c4d2a2a4a1b~</v>
      </c>
      <c r="M3667" s="102"/>
      <c r="N3667" s="102"/>
      <c r="O3667" s="105">
        <v>2.3636588E7</v>
      </c>
      <c r="P3667" s="105">
        <v>2.1474702E7</v>
      </c>
      <c r="Q3667" s="102" t="s">
        <v>2446</v>
      </c>
      <c r="S3667" s="1"/>
      <c r="T3667" s="1"/>
      <c r="U3667" s="1"/>
      <c r="V3667" s="1"/>
      <c r="W3667" s="1"/>
      <c r="X3667" s="1"/>
      <c r="Y3667" s="1"/>
      <c r="Z3667" s="102"/>
      <c r="AA3667" s="102"/>
      <c r="AB3667" s="1"/>
      <c r="AC3667" s="1"/>
      <c r="AD3667" s="1"/>
      <c r="AE3667" s="1"/>
      <c r="AF3667" s="1"/>
      <c r="AG3667" s="1"/>
    </row>
    <row r="3668" ht="15.75" customHeight="1">
      <c r="A3668" s="1"/>
      <c r="B3668" s="1"/>
      <c r="C3668" s="1"/>
      <c r="D3668" s="1"/>
      <c r="E3668" s="1"/>
      <c r="F3668" s="1"/>
      <c r="G3668" s="1"/>
      <c r="H3668" s="1"/>
      <c r="I3668" s="1"/>
      <c r="J3668" s="1"/>
      <c r="K3668" s="102" t="s">
        <v>6188</v>
      </c>
      <c r="L3668" s="102" t="str">
        <f>Y314</f>
        <v>J1a2a1a2d2b2b2c4d2a2a4a1b~</v>
      </c>
      <c r="M3668" s="102"/>
      <c r="N3668" s="102"/>
      <c r="O3668" s="105">
        <v>1.6371828E7</v>
      </c>
      <c r="P3668" s="105">
        <v>1.4259948E7</v>
      </c>
      <c r="Q3668" s="102" t="s">
        <v>2446</v>
      </c>
      <c r="S3668" s="1"/>
      <c r="T3668" s="1"/>
      <c r="U3668" s="1"/>
      <c r="V3668" s="1"/>
      <c r="W3668" s="1"/>
      <c r="X3668" s="1"/>
      <c r="Y3668" s="1"/>
      <c r="Z3668" s="102"/>
      <c r="AA3668" s="102"/>
      <c r="AB3668" s="1"/>
      <c r="AC3668" s="1"/>
      <c r="AD3668" s="1"/>
      <c r="AE3668" s="1"/>
      <c r="AF3668" s="1"/>
      <c r="AG3668" s="1"/>
    </row>
    <row r="3669" ht="15.75" customHeight="1">
      <c r="A3669" s="1"/>
      <c r="B3669" s="1"/>
      <c r="C3669" s="1"/>
      <c r="D3669" s="1"/>
      <c r="E3669" s="1"/>
      <c r="F3669" s="1"/>
      <c r="G3669" s="1"/>
      <c r="H3669" s="1"/>
      <c r="I3669" s="1"/>
      <c r="J3669" s="1"/>
      <c r="K3669" s="102" t="s">
        <v>6189</v>
      </c>
      <c r="L3669" s="102" t="str">
        <f t="shared" ref="L3669:L3670" si="50">Y314</f>
        <v>J1a2a1a2d2b2b2c4d2a2a4a1b~</v>
      </c>
      <c r="M3669" s="102"/>
      <c r="N3669" s="102"/>
      <c r="O3669" s="105">
        <v>1.7040444E7</v>
      </c>
      <c r="P3669" s="105">
        <v>1.4928564E7</v>
      </c>
      <c r="Q3669" s="102" t="s">
        <v>2439</v>
      </c>
      <c r="S3669" s="1"/>
      <c r="T3669" s="1"/>
      <c r="U3669" s="1"/>
      <c r="V3669" s="1"/>
      <c r="W3669" s="1"/>
      <c r="X3669" s="1"/>
      <c r="Y3669" s="1"/>
      <c r="Z3669" s="102"/>
      <c r="AA3669" s="102"/>
      <c r="AB3669" s="1"/>
      <c r="AC3669" s="1"/>
      <c r="AD3669" s="1"/>
      <c r="AE3669" s="1"/>
      <c r="AF3669" s="1"/>
      <c r="AG3669" s="1"/>
    </row>
    <row r="3670" ht="15.75" customHeight="1">
      <c r="A3670" s="1"/>
      <c r="B3670" s="1"/>
      <c r="C3670" s="1"/>
      <c r="D3670" s="1"/>
      <c r="E3670" s="1"/>
      <c r="F3670" s="1"/>
      <c r="G3670" s="1"/>
      <c r="H3670" s="1"/>
      <c r="I3670" s="1"/>
      <c r="J3670" s="1"/>
      <c r="K3670" s="102" t="s">
        <v>6190</v>
      </c>
      <c r="L3670" s="102" t="str">
        <f t="shared" si="50"/>
        <v>J1a2a1a2d2b2b2c4d2a2a4a1c~</v>
      </c>
      <c r="M3670" s="102"/>
      <c r="N3670" s="102"/>
      <c r="O3670" s="105">
        <v>7341671.0</v>
      </c>
      <c r="P3670" s="105">
        <v>7473630.0</v>
      </c>
      <c r="Q3670" s="102" t="s">
        <v>2501</v>
      </c>
      <c r="S3670" s="1"/>
      <c r="T3670" s="1"/>
      <c r="U3670" s="1"/>
      <c r="V3670" s="1"/>
      <c r="W3670" s="1"/>
      <c r="X3670" s="1"/>
      <c r="Y3670" s="1"/>
      <c r="Z3670" s="102"/>
      <c r="AA3670" s="102"/>
      <c r="AB3670" s="1"/>
      <c r="AC3670" s="1"/>
      <c r="AD3670" s="1"/>
      <c r="AE3670" s="1"/>
      <c r="AF3670" s="1"/>
      <c r="AG3670" s="1"/>
    </row>
    <row r="3671" ht="15.75" customHeight="1">
      <c r="A3671" s="1"/>
      <c r="B3671" s="1"/>
      <c r="C3671" s="1"/>
      <c r="D3671" s="1"/>
      <c r="E3671" s="1"/>
      <c r="F3671" s="1"/>
      <c r="G3671" s="1"/>
      <c r="H3671" s="1"/>
      <c r="I3671" s="1"/>
      <c r="J3671" s="1"/>
      <c r="K3671" s="102" t="s">
        <v>6191</v>
      </c>
      <c r="L3671" s="102" t="str">
        <f>Y315</f>
        <v>J1a2a1a2d2b2b2c4d2a2a4a1c~</v>
      </c>
      <c r="M3671" s="102"/>
      <c r="N3671" s="102"/>
      <c r="O3671" s="105">
        <v>1.6526579E7</v>
      </c>
      <c r="P3671" s="105">
        <v>1.4414699E7</v>
      </c>
      <c r="Q3671" s="102" t="s">
        <v>2468</v>
      </c>
      <c r="S3671" s="1"/>
      <c r="T3671" s="1"/>
      <c r="U3671" s="1"/>
      <c r="V3671" s="1"/>
      <c r="W3671" s="1"/>
      <c r="X3671" s="1"/>
      <c r="Y3671" s="1"/>
      <c r="Z3671" s="102"/>
      <c r="AA3671" s="102"/>
      <c r="AB3671" s="1"/>
      <c r="AC3671" s="1"/>
      <c r="AD3671" s="1"/>
      <c r="AE3671" s="1"/>
      <c r="AF3671" s="1"/>
      <c r="AG3671" s="1"/>
    </row>
    <row r="3672" ht="15.75" customHeight="1">
      <c r="A3672" s="1"/>
      <c r="B3672" s="1"/>
      <c r="C3672" s="1"/>
      <c r="D3672" s="1"/>
      <c r="E3672" s="1"/>
      <c r="F3672" s="1"/>
      <c r="G3672" s="1"/>
      <c r="H3672" s="1"/>
      <c r="I3672" s="1"/>
      <c r="J3672" s="1"/>
      <c r="K3672" s="102" t="s">
        <v>601</v>
      </c>
      <c r="L3672" s="102" t="str">
        <f>Z316</f>
        <v>J1a2a1a2d2b2b2c4d2a2a4a1c1~</v>
      </c>
      <c r="M3672" s="102"/>
      <c r="N3672" s="102"/>
      <c r="O3672" s="105">
        <v>1.561946E7</v>
      </c>
      <c r="P3672" s="105">
        <v>1.350758E7</v>
      </c>
      <c r="Q3672" s="102" t="s">
        <v>2439</v>
      </c>
      <c r="S3672" s="1"/>
      <c r="T3672" s="1"/>
      <c r="U3672" s="1"/>
      <c r="V3672" s="1"/>
      <c r="W3672" s="1"/>
      <c r="X3672" s="1"/>
      <c r="Y3672" s="1"/>
      <c r="Z3672" s="102"/>
      <c r="AA3672" s="102"/>
      <c r="AB3672" s="1"/>
      <c r="AC3672" s="1"/>
      <c r="AD3672" s="1"/>
      <c r="AE3672" s="1"/>
      <c r="AF3672" s="1"/>
      <c r="AG3672" s="1"/>
    </row>
    <row r="3673" ht="15.75" customHeight="1">
      <c r="A3673" s="1"/>
      <c r="B3673" s="1"/>
      <c r="C3673" s="1"/>
      <c r="D3673" s="1"/>
      <c r="E3673" s="1"/>
      <c r="F3673" s="1"/>
      <c r="G3673" s="1"/>
      <c r="H3673" s="1"/>
      <c r="I3673" s="1"/>
      <c r="J3673" s="1"/>
      <c r="K3673" s="102" t="s">
        <v>603</v>
      </c>
      <c r="L3673" s="102" t="str">
        <f>X317</f>
        <v>J1a2a1a2d2b2b2c4d2a2a4a2~</v>
      </c>
      <c r="M3673" s="102"/>
      <c r="N3673" s="102" t="s">
        <v>6192</v>
      </c>
      <c r="O3673" s="105">
        <v>6934684.0</v>
      </c>
      <c r="P3673" s="105">
        <v>7066643.0</v>
      </c>
      <c r="Q3673" s="102" t="s">
        <v>2439</v>
      </c>
      <c r="S3673" s="1"/>
      <c r="T3673" s="1"/>
      <c r="U3673" s="1"/>
      <c r="V3673" s="1"/>
      <c r="W3673" s="1"/>
      <c r="X3673" s="1"/>
      <c r="Y3673" s="1"/>
      <c r="Z3673" s="102"/>
      <c r="AA3673" s="102"/>
      <c r="AB3673" s="1"/>
      <c r="AC3673" s="1"/>
      <c r="AD3673" s="1"/>
      <c r="AE3673" s="1"/>
      <c r="AF3673" s="1"/>
      <c r="AG3673" s="1"/>
    </row>
    <row r="3674" ht="15.75" customHeight="1">
      <c r="A3674" s="1"/>
      <c r="B3674" s="1"/>
      <c r="C3674" s="1"/>
      <c r="D3674" s="1"/>
      <c r="E3674" s="1"/>
      <c r="F3674" s="1"/>
      <c r="G3674" s="1"/>
      <c r="H3674" s="1"/>
      <c r="I3674" s="1"/>
      <c r="J3674" s="1"/>
      <c r="K3674" s="102" t="s">
        <v>6193</v>
      </c>
      <c r="L3674" s="102" t="str">
        <f>Y318</f>
        <v>J1a2a1a2d2b2b2c4d2a2a4a2a~</v>
      </c>
      <c r="M3674" s="102"/>
      <c r="N3674" s="102" t="s">
        <v>6194</v>
      </c>
      <c r="O3674" s="105">
        <v>8326183.0</v>
      </c>
      <c r="P3674" s="105">
        <v>8458142.0</v>
      </c>
      <c r="Q3674" s="102" t="s">
        <v>2439</v>
      </c>
      <c r="S3674" s="1"/>
      <c r="T3674" s="1"/>
      <c r="U3674" s="1"/>
      <c r="V3674" s="1"/>
      <c r="W3674" s="1"/>
      <c r="X3674" s="1"/>
      <c r="Y3674" s="1"/>
      <c r="Z3674" s="102"/>
      <c r="AA3674" s="102"/>
      <c r="AB3674" s="1"/>
      <c r="AC3674" s="1"/>
      <c r="AD3674" s="1"/>
      <c r="AE3674" s="1"/>
      <c r="AF3674" s="1"/>
      <c r="AG3674" s="1"/>
    </row>
    <row r="3675" ht="15.75" customHeight="1">
      <c r="A3675" s="1"/>
      <c r="B3675" s="1"/>
      <c r="C3675" s="1"/>
      <c r="D3675" s="1"/>
      <c r="E3675" s="1"/>
      <c r="F3675" s="1"/>
      <c r="G3675" s="1"/>
      <c r="H3675" s="1"/>
      <c r="I3675" s="1"/>
      <c r="J3675" s="1"/>
      <c r="K3675" s="102" t="s">
        <v>6195</v>
      </c>
      <c r="L3675" s="102" t="str">
        <f>Y318</f>
        <v>J1a2a1a2d2b2b2c4d2a2a4a2a~</v>
      </c>
      <c r="M3675" s="102"/>
      <c r="N3675" s="102" t="s">
        <v>6196</v>
      </c>
      <c r="O3675" s="105">
        <v>7202961.0</v>
      </c>
      <c r="P3675" s="105">
        <v>7334920.0</v>
      </c>
      <c r="Q3675" s="102" t="s">
        <v>2501</v>
      </c>
      <c r="S3675" s="1"/>
      <c r="T3675" s="1"/>
      <c r="U3675" s="1"/>
      <c r="V3675" s="1"/>
      <c r="W3675" s="1"/>
      <c r="X3675" s="1"/>
      <c r="Y3675" s="1"/>
      <c r="Z3675" s="102"/>
      <c r="AA3675" s="102"/>
      <c r="AB3675" s="1"/>
      <c r="AC3675" s="1"/>
      <c r="AD3675" s="1"/>
      <c r="AE3675" s="1"/>
      <c r="AF3675" s="1"/>
      <c r="AG3675" s="1"/>
    </row>
    <row r="3676" ht="15.75" customHeight="1">
      <c r="A3676" s="1"/>
      <c r="B3676" s="1"/>
      <c r="C3676" s="1"/>
      <c r="D3676" s="1"/>
      <c r="E3676" s="1"/>
      <c r="F3676" s="1"/>
      <c r="G3676" s="1"/>
      <c r="H3676" s="1"/>
      <c r="I3676" s="1"/>
      <c r="J3676" s="1"/>
      <c r="K3676" s="102" t="s">
        <v>6197</v>
      </c>
      <c r="L3676" s="102" t="str">
        <f>Y318</f>
        <v>J1a2a1a2d2b2b2c4d2a2a4a2a~</v>
      </c>
      <c r="M3676" s="102"/>
      <c r="N3676" s="102" t="s">
        <v>6198</v>
      </c>
      <c r="O3676" s="105">
        <v>1.5002265E7</v>
      </c>
      <c r="P3676" s="105">
        <v>1.289035E7</v>
      </c>
      <c r="Q3676" s="102" t="s">
        <v>2423</v>
      </c>
      <c r="S3676" s="1"/>
      <c r="T3676" s="1"/>
      <c r="U3676" s="1"/>
      <c r="V3676" s="1"/>
      <c r="W3676" s="1"/>
      <c r="X3676" s="1"/>
      <c r="Y3676" s="1"/>
      <c r="Z3676" s="102"/>
      <c r="AA3676" s="102"/>
      <c r="AB3676" s="1"/>
      <c r="AC3676" s="1"/>
      <c r="AD3676" s="1"/>
      <c r="AE3676" s="1"/>
      <c r="AF3676" s="1"/>
      <c r="AG3676" s="1"/>
    </row>
    <row r="3677" ht="15.75" customHeight="1">
      <c r="A3677" s="1"/>
      <c r="B3677" s="1"/>
      <c r="C3677" s="1"/>
      <c r="D3677" s="1"/>
      <c r="E3677" s="1"/>
      <c r="F3677" s="1"/>
      <c r="G3677" s="1"/>
      <c r="H3677" s="1"/>
      <c r="I3677" s="1"/>
      <c r="J3677" s="1"/>
      <c r="K3677" s="102" t="s">
        <v>6199</v>
      </c>
      <c r="L3677" s="102" t="str">
        <f>Y318</f>
        <v>J1a2a1a2d2b2b2c4d2a2a4a2a~</v>
      </c>
      <c r="M3677" s="102"/>
      <c r="N3677" s="102" t="s">
        <v>6200</v>
      </c>
      <c r="O3677" s="105">
        <v>1.5338679E7</v>
      </c>
      <c r="P3677" s="105">
        <v>1.3226797E7</v>
      </c>
      <c r="Q3677" s="102" t="s">
        <v>2563</v>
      </c>
      <c r="S3677" s="1"/>
      <c r="T3677" s="1"/>
      <c r="U3677" s="1"/>
      <c r="V3677" s="1"/>
      <c r="W3677" s="1"/>
      <c r="X3677" s="1"/>
      <c r="Y3677" s="1"/>
      <c r="Z3677" s="102"/>
      <c r="AA3677" s="102"/>
      <c r="AB3677" s="1"/>
      <c r="AC3677" s="1"/>
      <c r="AD3677" s="1"/>
      <c r="AE3677" s="1"/>
      <c r="AF3677" s="1"/>
      <c r="AG3677" s="1"/>
    </row>
    <row r="3678" ht="15.75" customHeight="1">
      <c r="A3678" s="1"/>
      <c r="B3678" s="1"/>
      <c r="C3678" s="1"/>
      <c r="D3678" s="1"/>
      <c r="E3678" s="1"/>
      <c r="F3678" s="1"/>
      <c r="G3678" s="1"/>
      <c r="H3678" s="1"/>
      <c r="I3678" s="1"/>
      <c r="J3678" s="1"/>
      <c r="K3678" s="102" t="s">
        <v>6201</v>
      </c>
      <c r="L3678" s="102" t="str">
        <f>Y318</f>
        <v>J1a2a1a2d2b2b2c4d2a2a4a2a~</v>
      </c>
      <c r="M3678" s="102"/>
      <c r="N3678" s="102" t="s">
        <v>6202</v>
      </c>
      <c r="O3678" s="105">
        <v>1.876172E7</v>
      </c>
      <c r="P3678" s="105">
        <v>1.664984E7</v>
      </c>
      <c r="Q3678" s="102" t="s">
        <v>2468</v>
      </c>
      <c r="S3678" s="1"/>
      <c r="T3678" s="1"/>
      <c r="U3678" s="1"/>
      <c r="V3678" s="1"/>
      <c r="W3678" s="1"/>
      <c r="X3678" s="1"/>
      <c r="Y3678" s="1"/>
      <c r="Z3678" s="102"/>
      <c r="AA3678" s="102"/>
      <c r="AB3678" s="1"/>
      <c r="AC3678" s="1"/>
      <c r="AD3678" s="1"/>
      <c r="AE3678" s="1"/>
      <c r="AF3678" s="1"/>
      <c r="AG3678" s="1"/>
    </row>
    <row r="3679" ht="15.75" customHeight="1">
      <c r="A3679" s="1"/>
      <c r="B3679" s="1"/>
      <c r="C3679" s="1"/>
      <c r="D3679" s="1"/>
      <c r="E3679" s="1"/>
      <c r="F3679" s="1"/>
      <c r="G3679" s="1"/>
      <c r="H3679" s="1"/>
      <c r="I3679" s="1"/>
      <c r="J3679" s="1"/>
      <c r="K3679" s="102" t="s">
        <v>6203</v>
      </c>
      <c r="L3679" s="102" t="str">
        <f>Y318</f>
        <v>J1a2a1a2d2b2b2c4d2a2a4a2a~</v>
      </c>
      <c r="M3679" s="102"/>
      <c r="N3679" s="102" t="s">
        <v>6204</v>
      </c>
      <c r="O3679" s="105">
        <v>1.9411499E7</v>
      </c>
      <c r="P3679" s="105">
        <v>1.7299619E7</v>
      </c>
      <c r="Q3679" s="102" t="s">
        <v>2468</v>
      </c>
      <c r="S3679" s="1"/>
      <c r="T3679" s="1"/>
      <c r="U3679" s="1"/>
      <c r="V3679" s="1"/>
      <c r="W3679" s="1"/>
      <c r="X3679" s="1"/>
      <c r="Y3679" s="1"/>
      <c r="Z3679" s="102"/>
      <c r="AA3679" s="102"/>
      <c r="AB3679" s="1"/>
      <c r="AC3679" s="1"/>
      <c r="AD3679" s="1"/>
      <c r="AE3679" s="1"/>
      <c r="AF3679" s="1"/>
      <c r="AG3679" s="1"/>
    </row>
    <row r="3680" ht="15.75" customHeight="1">
      <c r="A3680" s="1"/>
      <c r="B3680" s="1"/>
      <c r="C3680" s="1"/>
      <c r="D3680" s="1"/>
      <c r="E3680" s="1"/>
      <c r="F3680" s="1"/>
      <c r="G3680" s="1"/>
      <c r="H3680" s="1"/>
      <c r="I3680" s="1"/>
      <c r="J3680" s="1"/>
      <c r="K3680" s="102" t="s">
        <v>6205</v>
      </c>
      <c r="L3680" s="102" t="str">
        <f>Y318</f>
        <v>J1a2a1a2d2b2b2c4d2a2a4a2a~</v>
      </c>
      <c r="M3680" s="102"/>
      <c r="N3680" s="102" t="s">
        <v>6206</v>
      </c>
      <c r="O3680" s="105">
        <v>2.3114474E7</v>
      </c>
      <c r="P3680" s="105">
        <v>2.0952588E7</v>
      </c>
      <c r="Q3680" s="102" t="s">
        <v>2439</v>
      </c>
      <c r="S3680" s="1"/>
      <c r="T3680" s="1"/>
      <c r="U3680" s="1"/>
      <c r="V3680" s="1"/>
      <c r="W3680" s="1"/>
      <c r="X3680" s="1"/>
      <c r="Y3680" s="1"/>
      <c r="Z3680" s="102"/>
      <c r="AA3680" s="102"/>
      <c r="AB3680" s="1"/>
      <c r="AC3680" s="1"/>
      <c r="AD3680" s="1"/>
      <c r="AE3680" s="1"/>
      <c r="AF3680" s="1"/>
      <c r="AG3680" s="1"/>
    </row>
    <row r="3681" ht="15.75" customHeight="1">
      <c r="A3681" s="1"/>
      <c r="B3681" s="1"/>
      <c r="C3681" s="1"/>
      <c r="D3681" s="1"/>
      <c r="E3681" s="1"/>
      <c r="F3681" s="1"/>
      <c r="G3681" s="1"/>
      <c r="H3681" s="1"/>
      <c r="I3681" s="1"/>
      <c r="J3681" s="1"/>
      <c r="K3681" s="102" t="s">
        <v>6207</v>
      </c>
      <c r="L3681" s="102" t="str">
        <f>Z319</f>
        <v>J1a2a1a2d2b2b2c4d2a2a4a2a1~</v>
      </c>
      <c r="M3681" s="102"/>
      <c r="N3681" s="102" t="s">
        <v>6208</v>
      </c>
      <c r="O3681" s="105">
        <v>8736538.0</v>
      </c>
      <c r="P3681" s="105">
        <v>8868497.0</v>
      </c>
      <c r="Q3681" s="102" t="s">
        <v>2468</v>
      </c>
      <c r="S3681" s="1"/>
      <c r="T3681" s="1"/>
      <c r="U3681" s="1"/>
      <c r="V3681" s="1"/>
      <c r="W3681" s="1"/>
      <c r="X3681" s="1"/>
      <c r="Y3681" s="1"/>
      <c r="Z3681" s="102"/>
      <c r="AA3681" s="102"/>
      <c r="AB3681" s="1"/>
      <c r="AC3681" s="1"/>
      <c r="AD3681" s="1"/>
      <c r="AE3681" s="1"/>
      <c r="AF3681" s="1"/>
      <c r="AG3681" s="1"/>
    </row>
    <row r="3682" ht="15.75" customHeight="1">
      <c r="A3682" s="1"/>
      <c r="B3682" s="1"/>
      <c r="C3682" s="1"/>
      <c r="D3682" s="1"/>
      <c r="E3682" s="1"/>
      <c r="F3682" s="1"/>
      <c r="G3682" s="1"/>
      <c r="H3682" s="1"/>
      <c r="I3682" s="1"/>
      <c r="J3682" s="1"/>
      <c r="K3682" s="102" t="s">
        <v>6209</v>
      </c>
      <c r="L3682" s="102" t="str">
        <f>Z319</f>
        <v>J1a2a1a2d2b2b2c4d2a2a4a2a1~</v>
      </c>
      <c r="M3682" s="102"/>
      <c r="N3682" s="102" t="s">
        <v>6210</v>
      </c>
      <c r="O3682" s="105">
        <v>2.1528424E7</v>
      </c>
      <c r="P3682" s="105">
        <v>1.9366538E7</v>
      </c>
      <c r="Q3682" s="102" t="s">
        <v>2529</v>
      </c>
      <c r="S3682" s="1"/>
      <c r="T3682" s="1"/>
      <c r="U3682" s="1"/>
      <c r="V3682" s="1"/>
      <c r="W3682" s="1"/>
      <c r="X3682" s="1"/>
      <c r="Y3682" s="1"/>
      <c r="Z3682" s="102"/>
      <c r="AA3682" s="102"/>
      <c r="AB3682" s="1"/>
      <c r="AC3682" s="1"/>
      <c r="AD3682" s="1"/>
      <c r="AE3682" s="1"/>
      <c r="AF3682" s="1"/>
      <c r="AG3682" s="1"/>
    </row>
    <row r="3683" ht="15.75" customHeight="1">
      <c r="A3683" s="1"/>
      <c r="B3683" s="1"/>
      <c r="C3683" s="1"/>
      <c r="D3683" s="1"/>
      <c r="E3683" s="1"/>
      <c r="F3683" s="1"/>
      <c r="G3683" s="1"/>
      <c r="H3683" s="1"/>
      <c r="I3683" s="1"/>
      <c r="J3683" s="1"/>
      <c r="K3683" s="102" t="s">
        <v>609</v>
      </c>
      <c r="L3683" s="102" t="str">
        <f>AA320</f>
        <v>J1a2a1a2d2b2b2c4d2a2a4a2a1a~</v>
      </c>
      <c r="M3683" s="102"/>
      <c r="N3683" s="102" t="s">
        <v>6211</v>
      </c>
      <c r="O3683" s="105">
        <v>2.1987619E7</v>
      </c>
      <c r="P3683" s="105">
        <v>1.9825733E7</v>
      </c>
      <c r="Q3683" s="102" t="s">
        <v>2529</v>
      </c>
      <c r="S3683" s="1"/>
      <c r="T3683" s="1"/>
      <c r="U3683" s="1"/>
      <c r="V3683" s="1"/>
      <c r="W3683" s="1"/>
      <c r="X3683" s="1"/>
      <c r="Y3683" s="1"/>
      <c r="Z3683" s="102"/>
      <c r="AA3683" s="102"/>
      <c r="AB3683" s="1"/>
      <c r="AC3683" s="1"/>
      <c r="AD3683" s="1"/>
      <c r="AE3683" s="1"/>
      <c r="AF3683" s="1"/>
      <c r="AG3683" s="1"/>
    </row>
    <row r="3684" ht="15.75" customHeight="1">
      <c r="A3684" s="1"/>
      <c r="B3684" s="1"/>
      <c r="C3684" s="1"/>
      <c r="D3684" s="1"/>
      <c r="E3684" s="1"/>
      <c r="F3684" s="1"/>
      <c r="G3684" s="1"/>
      <c r="H3684" s="1"/>
      <c r="I3684" s="1"/>
      <c r="J3684" s="1"/>
      <c r="K3684" s="102" t="s">
        <v>6212</v>
      </c>
      <c r="L3684" s="102" t="str">
        <f>AB321</f>
        <v>J1a2a1a2d2b2b2c4d2a2a4a2a1a1~</v>
      </c>
      <c r="M3684" s="102"/>
      <c r="N3684" s="102" t="s">
        <v>6213</v>
      </c>
      <c r="O3684" s="105">
        <v>1.6965036E7</v>
      </c>
      <c r="P3684" s="105">
        <v>1.4853156E7</v>
      </c>
      <c r="Q3684" s="102" t="s">
        <v>2446</v>
      </c>
      <c r="S3684" s="1"/>
      <c r="T3684" s="1"/>
      <c r="U3684" s="1"/>
      <c r="V3684" s="1"/>
      <c r="W3684" s="1"/>
      <c r="X3684" s="1"/>
      <c r="Y3684" s="1"/>
      <c r="Z3684" s="102"/>
      <c r="AA3684" s="102"/>
      <c r="AB3684" s="1"/>
      <c r="AC3684" s="1"/>
      <c r="AD3684" s="1"/>
      <c r="AE3684" s="1"/>
      <c r="AF3684" s="1"/>
      <c r="AG3684" s="1"/>
    </row>
    <row r="3685" ht="15.75" customHeight="1">
      <c r="A3685" s="1"/>
      <c r="B3685" s="1"/>
      <c r="C3685" s="1"/>
      <c r="D3685" s="1"/>
      <c r="E3685" s="1"/>
      <c r="F3685" s="1"/>
      <c r="G3685" s="1"/>
      <c r="H3685" s="1"/>
      <c r="I3685" s="1"/>
      <c r="J3685" s="1"/>
      <c r="K3685" s="102" t="s">
        <v>609</v>
      </c>
      <c r="L3685" s="102" t="str">
        <f>AB321</f>
        <v>J1a2a1a2d2b2b2c4d2a2a4a2a1a1~</v>
      </c>
      <c r="M3685" s="102"/>
      <c r="N3685" s="102" t="s">
        <v>6211</v>
      </c>
      <c r="O3685" s="105">
        <v>2.1987619E7</v>
      </c>
      <c r="P3685" s="105">
        <v>1.9825733E7</v>
      </c>
      <c r="Q3685" s="102" t="s">
        <v>2529</v>
      </c>
      <c r="S3685" s="1"/>
      <c r="T3685" s="1"/>
      <c r="U3685" s="1"/>
      <c r="V3685" s="1"/>
      <c r="W3685" s="1"/>
      <c r="X3685" s="1"/>
      <c r="Y3685" s="1"/>
      <c r="Z3685" s="102"/>
      <c r="AA3685" s="102"/>
      <c r="AB3685" s="1"/>
      <c r="AC3685" s="1"/>
      <c r="AD3685" s="1"/>
      <c r="AE3685" s="1"/>
      <c r="AF3685" s="1"/>
      <c r="AG3685" s="1"/>
    </row>
    <row r="3686" ht="15.75" customHeight="1">
      <c r="A3686" s="1"/>
      <c r="B3686" s="1"/>
      <c r="C3686" s="1"/>
      <c r="D3686" s="1"/>
      <c r="E3686" s="1"/>
      <c r="F3686" s="1"/>
      <c r="G3686" s="1"/>
      <c r="H3686" s="1"/>
      <c r="I3686" s="1"/>
      <c r="J3686" s="1"/>
      <c r="K3686" s="102" t="s">
        <v>6205</v>
      </c>
      <c r="L3686" s="102" t="str">
        <f>AB321</f>
        <v>J1a2a1a2d2b2b2c4d2a2a4a2a1a1~</v>
      </c>
      <c r="M3686" s="102"/>
      <c r="N3686" s="102" t="s">
        <v>6206</v>
      </c>
      <c r="O3686" s="105">
        <v>2.3114474E7</v>
      </c>
      <c r="P3686" s="105">
        <v>2.0952588E7</v>
      </c>
      <c r="Q3686" s="102" t="s">
        <v>2439</v>
      </c>
      <c r="S3686" s="1"/>
      <c r="T3686" s="1"/>
      <c r="U3686" s="1"/>
      <c r="V3686" s="1"/>
      <c r="W3686" s="1"/>
      <c r="X3686" s="1"/>
      <c r="Y3686" s="1"/>
      <c r="Z3686" s="102"/>
      <c r="AA3686" s="102"/>
      <c r="AB3686" s="1"/>
      <c r="AC3686" s="1"/>
      <c r="AD3686" s="1"/>
      <c r="AE3686" s="1"/>
      <c r="AF3686" s="1"/>
      <c r="AG3686" s="1"/>
    </row>
    <row r="3687" ht="15.75" customHeight="1">
      <c r="A3687" s="1"/>
      <c r="B3687" s="1"/>
      <c r="C3687" s="1"/>
      <c r="D3687" s="1"/>
      <c r="E3687" s="1"/>
      <c r="F3687" s="1"/>
      <c r="G3687" s="1"/>
      <c r="H3687" s="1"/>
      <c r="I3687" s="1"/>
      <c r="J3687" s="1"/>
      <c r="K3687" s="102" t="s">
        <v>6214</v>
      </c>
      <c r="L3687" s="102" t="str">
        <f>Z322</f>
        <v>J1a2a1a2d2b2b2c4d2a2a4a2a2~</v>
      </c>
      <c r="M3687" s="102"/>
      <c r="N3687" s="102" t="s">
        <v>6215</v>
      </c>
      <c r="O3687" s="105">
        <v>1.8071793E7</v>
      </c>
      <c r="P3687" s="105">
        <v>1.5959913E7</v>
      </c>
      <c r="Q3687" s="102" t="s">
        <v>2529</v>
      </c>
      <c r="S3687" s="1"/>
      <c r="T3687" s="1"/>
      <c r="U3687" s="1"/>
      <c r="V3687" s="1"/>
      <c r="W3687" s="1"/>
      <c r="X3687" s="1"/>
      <c r="Y3687" s="1"/>
      <c r="Z3687" s="102"/>
      <c r="AA3687" s="102"/>
      <c r="AB3687" s="1"/>
      <c r="AC3687" s="1"/>
      <c r="AD3687" s="1"/>
      <c r="AE3687" s="1"/>
      <c r="AF3687" s="1"/>
      <c r="AG3687" s="1"/>
    </row>
    <row r="3688" ht="15.75" customHeight="1">
      <c r="A3688" s="1"/>
      <c r="B3688" s="1"/>
      <c r="C3688" s="1"/>
      <c r="D3688" s="1"/>
      <c r="E3688" s="1"/>
      <c r="F3688" s="1"/>
      <c r="G3688" s="1"/>
      <c r="H3688" s="1"/>
      <c r="I3688" s="1"/>
      <c r="J3688" s="1"/>
      <c r="K3688" s="102" t="s">
        <v>6216</v>
      </c>
      <c r="L3688" s="102" t="str">
        <f>Z322</f>
        <v>J1a2a1a2d2b2b2c4d2a2a4a2a2~</v>
      </c>
      <c r="M3688" s="102"/>
      <c r="N3688" s="102" t="s">
        <v>6217</v>
      </c>
      <c r="O3688" s="105">
        <v>2.213482E7</v>
      </c>
      <c r="P3688" s="105">
        <v>1.9972934E7</v>
      </c>
      <c r="Q3688" s="102" t="s">
        <v>2423</v>
      </c>
      <c r="S3688" s="1"/>
      <c r="T3688" s="1"/>
      <c r="U3688" s="1"/>
      <c r="V3688" s="1"/>
      <c r="W3688" s="1"/>
      <c r="X3688" s="1"/>
      <c r="Y3688" s="1"/>
      <c r="Z3688" s="102"/>
      <c r="AA3688" s="102"/>
      <c r="AB3688" s="1"/>
      <c r="AC3688" s="1"/>
      <c r="AD3688" s="1"/>
      <c r="AE3688" s="1"/>
      <c r="AF3688" s="1"/>
      <c r="AG3688" s="1"/>
    </row>
    <row r="3689" ht="15.75" customHeight="1">
      <c r="A3689" s="1"/>
      <c r="B3689" s="1"/>
      <c r="C3689" s="1"/>
      <c r="D3689" s="1"/>
      <c r="E3689" s="1"/>
      <c r="F3689" s="1"/>
      <c r="G3689" s="1"/>
      <c r="H3689" s="1"/>
      <c r="I3689" s="1"/>
      <c r="J3689" s="1"/>
      <c r="K3689" s="102" t="s">
        <v>6218</v>
      </c>
      <c r="L3689" s="102" t="str">
        <f>Z322</f>
        <v>J1a2a1a2d2b2b2c4d2a2a4a2a2~</v>
      </c>
      <c r="M3689" s="102" t="s">
        <v>6219</v>
      </c>
      <c r="N3689" s="102"/>
      <c r="O3689" s="105">
        <v>9645228.0</v>
      </c>
      <c r="P3689" s="105">
        <v>9807619.0</v>
      </c>
      <c r="Q3689" s="102" t="s">
        <v>2439</v>
      </c>
      <c r="S3689" s="1"/>
      <c r="T3689" s="1"/>
      <c r="U3689" s="1"/>
      <c r="V3689" s="1"/>
      <c r="W3689" s="1"/>
      <c r="X3689" s="1"/>
      <c r="Y3689" s="1"/>
      <c r="Z3689" s="102"/>
      <c r="AA3689" s="102"/>
      <c r="AB3689" s="1"/>
      <c r="AC3689" s="1"/>
      <c r="AD3689" s="1"/>
      <c r="AE3689" s="1"/>
      <c r="AF3689" s="1"/>
      <c r="AG3689" s="1"/>
    </row>
    <row r="3690" ht="15.75" customHeight="1">
      <c r="A3690" s="1"/>
      <c r="B3690" s="1"/>
      <c r="C3690" s="1"/>
      <c r="D3690" s="1"/>
      <c r="E3690" s="1"/>
      <c r="F3690" s="1"/>
      <c r="G3690" s="1"/>
      <c r="H3690" s="1"/>
      <c r="I3690" s="1"/>
      <c r="J3690" s="1"/>
      <c r="K3690" s="102" t="s">
        <v>6219</v>
      </c>
      <c r="L3690" s="102" t="str">
        <f>Z322</f>
        <v>J1a2a1a2d2b2b2c4d2a2a4a2a2~</v>
      </c>
      <c r="M3690" s="102" t="s">
        <v>6218</v>
      </c>
      <c r="N3690" s="102"/>
      <c r="O3690" s="105">
        <v>9645228.0</v>
      </c>
      <c r="P3690" s="105">
        <v>9807619.0</v>
      </c>
      <c r="Q3690" s="102" t="s">
        <v>2439</v>
      </c>
      <c r="S3690" s="1"/>
      <c r="T3690" s="1"/>
      <c r="U3690" s="1"/>
      <c r="V3690" s="1"/>
      <c r="W3690" s="1"/>
      <c r="X3690" s="1"/>
      <c r="Y3690" s="1"/>
      <c r="Z3690" s="102"/>
      <c r="AA3690" s="102"/>
      <c r="AB3690" s="1"/>
      <c r="AC3690" s="1"/>
      <c r="AD3690" s="1"/>
      <c r="AE3690" s="1"/>
      <c r="AF3690" s="1"/>
      <c r="AG3690" s="1"/>
    </row>
    <row r="3691" ht="15.75" customHeight="1">
      <c r="A3691" s="1"/>
      <c r="B3691" s="1"/>
      <c r="C3691" s="1"/>
      <c r="D3691" s="1"/>
      <c r="E3691" s="1"/>
      <c r="F3691" s="1"/>
      <c r="G3691" s="1"/>
      <c r="H3691" s="1"/>
      <c r="I3691" s="1"/>
      <c r="J3691" s="1"/>
      <c r="K3691" s="102" t="s">
        <v>6220</v>
      </c>
      <c r="L3691" s="102" t="str">
        <f>Z322</f>
        <v>J1a2a1a2d2b2b2c4d2a2a4a2a2~</v>
      </c>
      <c r="M3691" s="102"/>
      <c r="N3691" s="102" t="s">
        <v>6221</v>
      </c>
      <c r="O3691" s="105">
        <v>2725414.0</v>
      </c>
      <c r="P3691" s="105">
        <v>2857373.0</v>
      </c>
      <c r="Q3691" s="102" t="s">
        <v>2514</v>
      </c>
      <c r="S3691" s="1"/>
      <c r="T3691" s="1"/>
      <c r="U3691" s="1"/>
      <c r="V3691" s="1"/>
      <c r="W3691" s="1"/>
      <c r="X3691" s="1"/>
      <c r="Y3691" s="1"/>
      <c r="Z3691" s="102"/>
      <c r="AA3691" s="102"/>
      <c r="AB3691" s="1"/>
      <c r="AC3691" s="1"/>
      <c r="AD3691" s="1"/>
      <c r="AE3691" s="1"/>
      <c r="AF3691" s="1"/>
      <c r="AG3691" s="1"/>
    </row>
    <row r="3692" ht="15.75" customHeight="1">
      <c r="A3692" s="1"/>
      <c r="B3692" s="1"/>
      <c r="C3692" s="1"/>
      <c r="D3692" s="1"/>
      <c r="E3692" s="1"/>
      <c r="F3692" s="1"/>
      <c r="G3692" s="1"/>
      <c r="H3692" s="1"/>
      <c r="I3692" s="1"/>
      <c r="J3692" s="1"/>
      <c r="K3692" s="102" t="s">
        <v>6195</v>
      </c>
      <c r="L3692" s="102" t="str">
        <f>Z322</f>
        <v>J1a2a1a2d2b2b2c4d2a2a4a2a2~</v>
      </c>
      <c r="M3692" s="102"/>
      <c r="N3692" s="102" t="s">
        <v>6196</v>
      </c>
      <c r="O3692" s="105">
        <v>7202961.0</v>
      </c>
      <c r="P3692" s="105">
        <v>7334920.0</v>
      </c>
      <c r="Q3692" s="102" t="s">
        <v>2501</v>
      </c>
      <c r="S3692" s="1"/>
      <c r="T3692" s="1"/>
      <c r="U3692" s="1"/>
      <c r="V3692" s="1"/>
      <c r="W3692" s="1"/>
      <c r="X3692" s="1"/>
      <c r="Y3692" s="1"/>
      <c r="Z3692" s="102"/>
      <c r="AA3692" s="102"/>
      <c r="AB3692" s="1"/>
      <c r="AC3692" s="1"/>
      <c r="AD3692" s="1"/>
      <c r="AE3692" s="1"/>
      <c r="AF3692" s="1"/>
      <c r="AG3692" s="1"/>
    </row>
    <row r="3693" ht="15.75" customHeight="1">
      <c r="A3693" s="1"/>
      <c r="B3693" s="1"/>
      <c r="C3693" s="1"/>
      <c r="D3693" s="1"/>
      <c r="E3693" s="1"/>
      <c r="F3693" s="1"/>
      <c r="G3693" s="1"/>
      <c r="H3693" s="1"/>
      <c r="I3693" s="1"/>
      <c r="J3693" s="1"/>
      <c r="K3693" s="102" t="s">
        <v>6222</v>
      </c>
      <c r="L3693" s="102" t="str">
        <f>Z322</f>
        <v>J1a2a1a2d2b2b2c4d2a2a4a2a2~</v>
      </c>
      <c r="M3693" s="102"/>
      <c r="N3693" s="102" t="s">
        <v>6223</v>
      </c>
      <c r="O3693" s="105">
        <v>8031415.0</v>
      </c>
      <c r="P3693" s="105">
        <v>8163374.0</v>
      </c>
      <c r="Q3693" s="102" t="s">
        <v>2529</v>
      </c>
      <c r="S3693" s="1"/>
      <c r="T3693" s="1"/>
      <c r="U3693" s="1"/>
      <c r="V3693" s="1"/>
      <c r="W3693" s="1"/>
      <c r="X3693" s="1"/>
      <c r="Y3693" s="1"/>
      <c r="Z3693" s="102"/>
      <c r="AA3693" s="102"/>
      <c r="AB3693" s="1"/>
      <c r="AC3693" s="1"/>
      <c r="AD3693" s="1"/>
      <c r="AE3693" s="1"/>
      <c r="AF3693" s="1"/>
      <c r="AG3693" s="1"/>
    </row>
    <row r="3694" ht="15.75" customHeight="1">
      <c r="A3694" s="1"/>
      <c r="B3694" s="1"/>
      <c r="C3694" s="1"/>
      <c r="D3694" s="1"/>
      <c r="E3694" s="1"/>
      <c r="F3694" s="1"/>
      <c r="G3694" s="1"/>
      <c r="H3694" s="1"/>
      <c r="I3694" s="1"/>
      <c r="J3694" s="1"/>
      <c r="K3694" s="102" t="s">
        <v>6224</v>
      </c>
      <c r="L3694" s="102" t="str">
        <f>Z322</f>
        <v>J1a2a1a2d2b2b2c4d2a2a4a2a2~</v>
      </c>
      <c r="M3694" s="102"/>
      <c r="N3694" s="102" t="s">
        <v>6225</v>
      </c>
      <c r="O3694" s="105">
        <v>8574477.0</v>
      </c>
      <c r="P3694" s="105">
        <v>8706436.0</v>
      </c>
      <c r="Q3694" s="102" t="s">
        <v>2468</v>
      </c>
      <c r="S3694" s="1"/>
      <c r="T3694" s="1"/>
      <c r="U3694" s="1"/>
      <c r="V3694" s="1"/>
      <c r="W3694" s="1"/>
      <c r="X3694" s="1"/>
      <c r="Y3694" s="1"/>
      <c r="Z3694" s="102"/>
      <c r="AA3694" s="102"/>
      <c r="AB3694" s="1"/>
      <c r="AC3694" s="1"/>
      <c r="AD3694" s="1"/>
      <c r="AE3694" s="1"/>
      <c r="AF3694" s="1"/>
      <c r="AG3694" s="1"/>
    </row>
    <row r="3695" ht="15.75" customHeight="1">
      <c r="A3695" s="1"/>
      <c r="B3695" s="1"/>
      <c r="C3695" s="1"/>
      <c r="D3695" s="1"/>
      <c r="E3695" s="1"/>
      <c r="F3695" s="1"/>
      <c r="G3695" s="1"/>
      <c r="H3695" s="1"/>
      <c r="I3695" s="1"/>
      <c r="J3695" s="1"/>
      <c r="K3695" s="102" t="s">
        <v>6226</v>
      </c>
      <c r="L3695" s="102" t="str">
        <f>X323</f>
        <v>J1a2a1a2d2b2b2c4d2a2a4a3~</v>
      </c>
      <c r="M3695" s="102" t="s">
        <v>6227</v>
      </c>
      <c r="N3695" s="102" t="s">
        <v>6228</v>
      </c>
      <c r="O3695" s="105">
        <v>1.5625133E7</v>
      </c>
      <c r="P3695" s="105">
        <v>1.3513253E7</v>
      </c>
      <c r="Q3695" s="102" t="s">
        <v>2501</v>
      </c>
      <c r="S3695" s="1"/>
      <c r="T3695" s="1"/>
      <c r="U3695" s="1"/>
      <c r="V3695" s="1"/>
      <c r="W3695" s="1"/>
      <c r="X3695" s="1"/>
      <c r="Y3695" s="1"/>
      <c r="Z3695" s="102"/>
      <c r="AA3695" s="102"/>
      <c r="AB3695" s="1"/>
      <c r="AC3695" s="1"/>
      <c r="AD3695" s="1"/>
      <c r="AE3695" s="1"/>
      <c r="AF3695" s="1"/>
      <c r="AG3695" s="1"/>
    </row>
    <row r="3696" ht="15.75" customHeight="1">
      <c r="A3696" s="1"/>
      <c r="B3696" s="1"/>
      <c r="C3696" s="1"/>
      <c r="D3696" s="1"/>
      <c r="E3696" s="1"/>
      <c r="F3696" s="1"/>
      <c r="G3696" s="1"/>
      <c r="H3696" s="1"/>
      <c r="I3696" s="1"/>
      <c r="J3696" s="1"/>
      <c r="K3696" s="102" t="s">
        <v>6227</v>
      </c>
      <c r="L3696" s="102" t="str">
        <f>X323</f>
        <v>J1a2a1a2d2b2b2c4d2a2a4a3~</v>
      </c>
      <c r="M3696" s="102" t="s">
        <v>6226</v>
      </c>
      <c r="N3696" s="102" t="s">
        <v>6228</v>
      </c>
      <c r="O3696" s="105">
        <v>1.5625133E7</v>
      </c>
      <c r="P3696" s="105">
        <v>1.3513253E7</v>
      </c>
      <c r="Q3696" s="102" t="s">
        <v>2501</v>
      </c>
      <c r="S3696" s="1"/>
      <c r="T3696" s="1"/>
      <c r="U3696" s="1"/>
      <c r="V3696" s="1"/>
      <c r="W3696" s="1"/>
      <c r="X3696" s="1"/>
      <c r="Y3696" s="1"/>
      <c r="Z3696" s="102"/>
      <c r="AA3696" s="102"/>
      <c r="AB3696" s="1"/>
      <c r="AC3696" s="1"/>
      <c r="AD3696" s="1"/>
      <c r="AE3696" s="1"/>
      <c r="AF3696" s="1"/>
      <c r="AG3696" s="1"/>
    </row>
    <row r="3697" ht="15.75" customHeight="1">
      <c r="A3697" s="1"/>
      <c r="B3697" s="1"/>
      <c r="C3697" s="1"/>
      <c r="D3697" s="1"/>
      <c r="E3697" s="1"/>
      <c r="F3697" s="1"/>
      <c r="G3697" s="1"/>
      <c r="H3697" s="1"/>
      <c r="I3697" s="1"/>
      <c r="J3697" s="1"/>
      <c r="K3697" s="102" t="s">
        <v>6229</v>
      </c>
      <c r="L3697" s="102" t="str">
        <f>Y324</f>
        <v>J1a2a1a2d2b2b2c4d2a2a4a3a~</v>
      </c>
      <c r="M3697" s="102"/>
      <c r="N3697" s="102" t="s">
        <v>6230</v>
      </c>
      <c r="O3697" s="105">
        <v>2890947.0</v>
      </c>
      <c r="P3697" s="105">
        <v>3022906.0</v>
      </c>
      <c r="Q3697" s="102" t="s">
        <v>2439</v>
      </c>
      <c r="S3697" s="1"/>
      <c r="T3697" s="1"/>
      <c r="U3697" s="1"/>
      <c r="V3697" s="1"/>
      <c r="W3697" s="1"/>
      <c r="X3697" s="1"/>
      <c r="Y3697" s="1"/>
      <c r="Z3697" s="102"/>
      <c r="AA3697" s="102"/>
      <c r="AB3697" s="1"/>
      <c r="AC3697" s="1"/>
      <c r="AD3697" s="1"/>
      <c r="AE3697" s="1"/>
      <c r="AF3697" s="1"/>
      <c r="AG3697" s="1"/>
    </row>
    <row r="3698" ht="15.75" customHeight="1">
      <c r="A3698" s="1"/>
      <c r="B3698" s="1"/>
      <c r="C3698" s="1"/>
      <c r="D3698" s="1"/>
      <c r="E3698" s="1"/>
      <c r="F3698" s="1"/>
      <c r="G3698" s="1"/>
      <c r="H3698" s="1"/>
      <c r="I3698" s="1"/>
      <c r="J3698" s="1"/>
      <c r="K3698" s="102" t="s">
        <v>6231</v>
      </c>
      <c r="L3698" s="102" t="str">
        <f>Y324</f>
        <v>J1a2a1a2d2b2b2c4d2a2a4a3a~</v>
      </c>
      <c r="M3698" s="102" t="s">
        <v>6232</v>
      </c>
      <c r="N3698" s="102" t="s">
        <v>6233</v>
      </c>
      <c r="O3698" s="105">
        <v>1.4408727E7</v>
      </c>
      <c r="P3698" s="105">
        <v>1.2288025E7</v>
      </c>
      <c r="Q3698" s="102" t="s">
        <v>2576</v>
      </c>
      <c r="S3698" s="1"/>
      <c r="T3698" s="1"/>
      <c r="U3698" s="1"/>
      <c r="V3698" s="1"/>
      <c r="W3698" s="1"/>
      <c r="X3698" s="1"/>
      <c r="Y3698" s="1"/>
      <c r="Z3698" s="102"/>
      <c r="AA3698" s="102"/>
      <c r="AB3698" s="1"/>
      <c r="AC3698" s="1"/>
      <c r="AD3698" s="1"/>
      <c r="AE3698" s="1"/>
      <c r="AF3698" s="1"/>
      <c r="AG3698" s="1"/>
    </row>
    <row r="3699" ht="15.75" customHeight="1">
      <c r="A3699" s="1"/>
      <c r="B3699" s="1"/>
      <c r="C3699" s="1"/>
      <c r="D3699" s="1"/>
      <c r="E3699" s="1"/>
      <c r="F3699" s="1"/>
      <c r="G3699" s="1"/>
      <c r="H3699" s="1"/>
      <c r="I3699" s="1"/>
      <c r="J3699" s="1"/>
      <c r="K3699" s="102" t="s">
        <v>6232</v>
      </c>
      <c r="L3699" s="102" t="str">
        <f>Y324</f>
        <v>J1a2a1a2d2b2b2c4d2a2a4a3a~</v>
      </c>
      <c r="M3699" s="102" t="s">
        <v>6231</v>
      </c>
      <c r="N3699" s="102" t="s">
        <v>6233</v>
      </c>
      <c r="O3699" s="105">
        <v>1.4408727E7</v>
      </c>
      <c r="P3699" s="105">
        <v>1.2288025E7</v>
      </c>
      <c r="Q3699" s="102" t="s">
        <v>2576</v>
      </c>
      <c r="S3699" s="1"/>
      <c r="T3699" s="1"/>
      <c r="U3699" s="1"/>
      <c r="V3699" s="1"/>
      <c r="W3699" s="1"/>
      <c r="X3699" s="1"/>
      <c r="Y3699" s="1"/>
      <c r="Z3699" s="102"/>
      <c r="AA3699" s="102"/>
      <c r="AB3699" s="1"/>
      <c r="AC3699" s="1"/>
      <c r="AD3699" s="1"/>
      <c r="AE3699" s="1"/>
      <c r="AF3699" s="1"/>
      <c r="AG3699" s="1"/>
    </row>
    <row r="3700" ht="15.75" customHeight="1">
      <c r="A3700" s="1"/>
      <c r="B3700" s="1"/>
      <c r="C3700" s="1"/>
      <c r="D3700" s="1"/>
      <c r="E3700" s="1"/>
      <c r="F3700" s="1"/>
      <c r="G3700" s="1"/>
      <c r="H3700" s="1"/>
      <c r="I3700" s="1"/>
      <c r="J3700" s="1"/>
      <c r="K3700" s="102" t="s">
        <v>6234</v>
      </c>
      <c r="L3700" s="102" t="str">
        <f>Y324</f>
        <v>J1a2a1a2d2b2b2c4d2a2a4a3a~</v>
      </c>
      <c r="M3700" s="102"/>
      <c r="N3700" s="102" t="s">
        <v>6235</v>
      </c>
      <c r="O3700" s="105">
        <v>1.4501986E7</v>
      </c>
      <c r="P3700" s="105">
        <v>1.2390191E7</v>
      </c>
      <c r="Q3700" s="102" t="s">
        <v>2439</v>
      </c>
      <c r="S3700" s="1"/>
      <c r="T3700" s="1"/>
      <c r="U3700" s="1"/>
      <c r="V3700" s="1"/>
      <c r="W3700" s="1"/>
      <c r="X3700" s="1"/>
      <c r="Y3700" s="1"/>
      <c r="Z3700" s="102"/>
      <c r="AA3700" s="102"/>
      <c r="AB3700" s="1"/>
      <c r="AC3700" s="1"/>
      <c r="AD3700" s="1"/>
      <c r="AE3700" s="1"/>
      <c r="AF3700" s="1"/>
      <c r="AG3700" s="1"/>
    </row>
    <row r="3701" ht="15.75" customHeight="1">
      <c r="A3701" s="1"/>
      <c r="B3701" s="1"/>
      <c r="C3701" s="1"/>
      <c r="D3701" s="1"/>
      <c r="E3701" s="1"/>
      <c r="F3701" s="1"/>
      <c r="G3701" s="1"/>
      <c r="H3701" s="1"/>
      <c r="I3701" s="1"/>
      <c r="J3701" s="1"/>
      <c r="K3701" s="102" t="s">
        <v>6236</v>
      </c>
      <c r="L3701" s="102" t="str">
        <f>Y324</f>
        <v>J1a2a1a2d2b2b2c4d2a2a4a3a~</v>
      </c>
      <c r="M3701" s="102" t="s">
        <v>6237</v>
      </c>
      <c r="N3701" s="102" t="s">
        <v>6238</v>
      </c>
      <c r="O3701" s="105">
        <v>1.5455602E7</v>
      </c>
      <c r="P3701" s="105">
        <v>1.3343722E7</v>
      </c>
      <c r="Q3701" s="102" t="s">
        <v>2576</v>
      </c>
      <c r="S3701" s="1"/>
      <c r="T3701" s="1"/>
      <c r="U3701" s="1"/>
      <c r="V3701" s="1"/>
      <c r="W3701" s="1"/>
      <c r="X3701" s="1"/>
      <c r="Y3701" s="1"/>
      <c r="Z3701" s="102"/>
      <c r="AA3701" s="102"/>
      <c r="AB3701" s="1"/>
      <c r="AC3701" s="1"/>
      <c r="AD3701" s="1"/>
      <c r="AE3701" s="1"/>
      <c r="AF3701" s="1"/>
      <c r="AG3701" s="1"/>
    </row>
    <row r="3702" ht="15.75" customHeight="1">
      <c r="A3702" s="1"/>
      <c r="B3702" s="1"/>
      <c r="C3702" s="1"/>
      <c r="D3702" s="1"/>
      <c r="E3702" s="1"/>
      <c r="F3702" s="1"/>
      <c r="G3702" s="1"/>
      <c r="H3702" s="1"/>
      <c r="I3702" s="1"/>
      <c r="J3702" s="1"/>
      <c r="K3702" s="102" t="s">
        <v>6237</v>
      </c>
      <c r="L3702" s="102" t="str">
        <f>Y324</f>
        <v>J1a2a1a2d2b2b2c4d2a2a4a3a~</v>
      </c>
      <c r="M3702" s="102" t="s">
        <v>6236</v>
      </c>
      <c r="N3702" s="102" t="s">
        <v>6238</v>
      </c>
      <c r="O3702" s="105">
        <v>1.5455602E7</v>
      </c>
      <c r="P3702" s="105">
        <v>1.3343722E7</v>
      </c>
      <c r="Q3702" s="102" t="s">
        <v>2576</v>
      </c>
      <c r="S3702" s="1"/>
      <c r="T3702" s="1"/>
      <c r="U3702" s="1"/>
      <c r="V3702" s="1"/>
      <c r="W3702" s="1"/>
      <c r="X3702" s="1"/>
      <c r="Y3702" s="1"/>
      <c r="Z3702" s="102"/>
      <c r="AA3702" s="102"/>
      <c r="AB3702" s="1"/>
      <c r="AC3702" s="1"/>
      <c r="AD3702" s="1"/>
      <c r="AE3702" s="1"/>
      <c r="AF3702" s="1"/>
      <c r="AG3702" s="1"/>
    </row>
    <row r="3703" ht="15.75" customHeight="1">
      <c r="A3703" s="1"/>
      <c r="B3703" s="1"/>
      <c r="C3703" s="1"/>
      <c r="D3703" s="1"/>
      <c r="E3703" s="1"/>
      <c r="F3703" s="1"/>
      <c r="G3703" s="1"/>
      <c r="H3703" s="1"/>
      <c r="I3703" s="1"/>
      <c r="J3703" s="1"/>
      <c r="K3703" s="102" t="s">
        <v>6239</v>
      </c>
      <c r="L3703" s="102" t="str">
        <f>Y324</f>
        <v>J1a2a1a2d2b2b2c4d2a2a4a3a~</v>
      </c>
      <c r="M3703" s="102"/>
      <c r="N3703" s="102" t="s">
        <v>6240</v>
      </c>
      <c r="O3703" s="105">
        <v>1.9144718E7</v>
      </c>
      <c r="P3703" s="105">
        <v>1.7032838E7</v>
      </c>
      <c r="Q3703" s="102" t="s">
        <v>2514</v>
      </c>
      <c r="S3703" s="1"/>
      <c r="T3703" s="1"/>
      <c r="U3703" s="1"/>
      <c r="V3703" s="1"/>
      <c r="W3703" s="1"/>
      <c r="X3703" s="1"/>
      <c r="Y3703" s="1"/>
      <c r="Z3703" s="102"/>
      <c r="AA3703" s="102"/>
      <c r="AB3703" s="1"/>
      <c r="AC3703" s="1"/>
      <c r="AD3703" s="1"/>
      <c r="AE3703" s="1"/>
      <c r="AF3703" s="1"/>
      <c r="AG3703" s="1"/>
    </row>
    <row r="3704" ht="15.75" customHeight="1">
      <c r="A3704" s="1"/>
      <c r="B3704" s="1"/>
      <c r="C3704" s="1"/>
      <c r="D3704" s="1"/>
      <c r="E3704" s="1"/>
      <c r="F3704" s="1"/>
      <c r="G3704" s="1"/>
      <c r="H3704" s="1"/>
      <c r="I3704" s="1"/>
      <c r="J3704" s="1"/>
      <c r="K3704" s="102" t="s">
        <v>6241</v>
      </c>
      <c r="L3704" s="102" t="str">
        <f>Y324</f>
        <v>J1a2a1a2d2b2b2c4d2a2a4a3a~</v>
      </c>
      <c r="M3704" s="102" t="s">
        <v>6242</v>
      </c>
      <c r="N3704" s="102" t="s">
        <v>6243</v>
      </c>
      <c r="O3704" s="105">
        <v>2.253965E7</v>
      </c>
      <c r="P3704" s="105">
        <v>2.0377764E7</v>
      </c>
      <c r="Q3704" s="102" t="s">
        <v>2576</v>
      </c>
      <c r="S3704" s="1"/>
      <c r="T3704" s="1"/>
      <c r="U3704" s="1"/>
      <c r="V3704" s="1"/>
      <c r="W3704" s="1"/>
      <c r="X3704" s="1"/>
      <c r="Y3704" s="1"/>
      <c r="Z3704" s="102"/>
      <c r="AA3704" s="102"/>
      <c r="AB3704" s="1"/>
      <c r="AC3704" s="1"/>
      <c r="AD3704" s="1"/>
      <c r="AE3704" s="1"/>
      <c r="AF3704" s="1"/>
      <c r="AG3704" s="1"/>
    </row>
    <row r="3705" ht="15.75" customHeight="1">
      <c r="A3705" s="1"/>
      <c r="B3705" s="1"/>
      <c r="C3705" s="1"/>
      <c r="D3705" s="1"/>
      <c r="E3705" s="1"/>
      <c r="F3705" s="1"/>
      <c r="G3705" s="1"/>
      <c r="H3705" s="1"/>
      <c r="I3705" s="1"/>
      <c r="J3705" s="1"/>
      <c r="K3705" s="102" t="s">
        <v>6242</v>
      </c>
      <c r="L3705" s="102" t="str">
        <f>Y324</f>
        <v>J1a2a1a2d2b2b2c4d2a2a4a3a~</v>
      </c>
      <c r="M3705" s="102" t="s">
        <v>6241</v>
      </c>
      <c r="N3705" s="102" t="s">
        <v>6243</v>
      </c>
      <c r="O3705" s="105">
        <v>2.253965E7</v>
      </c>
      <c r="P3705" s="105">
        <v>2.0377764E7</v>
      </c>
      <c r="Q3705" s="102" t="s">
        <v>2576</v>
      </c>
      <c r="S3705" s="1"/>
      <c r="T3705" s="1"/>
      <c r="U3705" s="1"/>
      <c r="V3705" s="1"/>
      <c r="W3705" s="1"/>
      <c r="X3705" s="1"/>
      <c r="Y3705" s="1"/>
      <c r="Z3705" s="102"/>
      <c r="AA3705" s="102"/>
      <c r="AB3705" s="1"/>
      <c r="AC3705" s="1"/>
      <c r="AD3705" s="1"/>
      <c r="AE3705" s="1"/>
      <c r="AF3705" s="1"/>
      <c r="AG3705" s="1"/>
    </row>
    <row r="3706" ht="15.75" customHeight="1">
      <c r="A3706" s="1"/>
      <c r="B3706" s="1"/>
      <c r="C3706" s="1"/>
      <c r="D3706" s="1"/>
      <c r="E3706" s="1"/>
      <c r="F3706" s="1"/>
      <c r="G3706" s="1"/>
      <c r="H3706" s="1"/>
      <c r="I3706" s="1"/>
      <c r="J3706" s="1"/>
      <c r="K3706" s="102" t="s">
        <v>6244</v>
      </c>
      <c r="L3706" s="102" t="str">
        <f>Y324</f>
        <v>J1a2a1a2d2b2b2c4d2a2a4a3a~</v>
      </c>
      <c r="M3706" s="102" t="s">
        <v>6245</v>
      </c>
      <c r="N3706" s="102" t="s">
        <v>6246</v>
      </c>
      <c r="O3706" s="105">
        <v>8412674.0</v>
      </c>
      <c r="P3706" s="105">
        <v>8544633.0</v>
      </c>
      <c r="Q3706" s="102" t="s">
        <v>2533</v>
      </c>
      <c r="S3706" s="1"/>
      <c r="T3706" s="1"/>
      <c r="U3706" s="1"/>
      <c r="V3706" s="1"/>
      <c r="W3706" s="1"/>
      <c r="X3706" s="1"/>
      <c r="Y3706" s="1"/>
      <c r="Z3706" s="102"/>
      <c r="AA3706" s="102"/>
      <c r="AB3706" s="1"/>
      <c r="AC3706" s="1"/>
      <c r="AD3706" s="1"/>
      <c r="AE3706" s="1"/>
      <c r="AF3706" s="1"/>
      <c r="AG3706" s="1"/>
    </row>
    <row r="3707" ht="15.75" customHeight="1">
      <c r="A3707" s="1"/>
      <c r="B3707" s="1"/>
      <c r="C3707" s="1"/>
      <c r="D3707" s="1"/>
      <c r="E3707" s="1"/>
      <c r="F3707" s="1"/>
      <c r="G3707" s="1"/>
      <c r="H3707" s="1"/>
      <c r="I3707" s="1"/>
      <c r="J3707" s="1"/>
      <c r="K3707" s="102" t="s">
        <v>6245</v>
      </c>
      <c r="L3707" s="102" t="str">
        <f>Y324</f>
        <v>J1a2a1a2d2b2b2c4d2a2a4a3a~</v>
      </c>
      <c r="M3707" s="102" t="s">
        <v>6244</v>
      </c>
      <c r="N3707" s="102" t="s">
        <v>6246</v>
      </c>
      <c r="O3707" s="105">
        <v>8412674.0</v>
      </c>
      <c r="P3707" s="105">
        <v>8544633.0</v>
      </c>
      <c r="Q3707" s="102" t="s">
        <v>2533</v>
      </c>
      <c r="S3707" s="1"/>
      <c r="T3707" s="1"/>
      <c r="U3707" s="1"/>
      <c r="V3707" s="1"/>
      <c r="W3707" s="1"/>
      <c r="X3707" s="1"/>
      <c r="Y3707" s="1"/>
      <c r="Z3707" s="102"/>
      <c r="AA3707" s="102"/>
      <c r="AB3707" s="1"/>
      <c r="AC3707" s="1"/>
      <c r="AD3707" s="1"/>
      <c r="AE3707" s="1"/>
      <c r="AF3707" s="1"/>
      <c r="AG3707" s="1"/>
    </row>
    <row r="3708" ht="15.75" customHeight="1">
      <c r="A3708" s="1"/>
      <c r="B3708" s="1"/>
      <c r="C3708" s="1"/>
      <c r="D3708" s="1"/>
      <c r="E3708" s="1"/>
      <c r="F3708" s="1"/>
      <c r="G3708" s="1"/>
      <c r="H3708" s="1"/>
      <c r="I3708" s="1"/>
      <c r="J3708" s="1"/>
      <c r="K3708" s="102" t="s">
        <v>6247</v>
      </c>
      <c r="L3708" s="102" t="str">
        <f>Y324</f>
        <v>J1a2a1a2d2b2b2c4d2a2a4a3a~</v>
      </c>
      <c r="M3708" s="102" t="s">
        <v>6248</v>
      </c>
      <c r="N3708" s="102" t="s">
        <v>6249</v>
      </c>
      <c r="O3708" s="105">
        <v>2.1343141E7</v>
      </c>
      <c r="P3708" s="105">
        <v>1.9181255E7</v>
      </c>
      <c r="Q3708" s="102" t="s">
        <v>2529</v>
      </c>
      <c r="S3708" s="1"/>
      <c r="T3708" s="1"/>
      <c r="U3708" s="1"/>
      <c r="V3708" s="1"/>
      <c r="W3708" s="1"/>
      <c r="X3708" s="1"/>
      <c r="Y3708" s="1"/>
      <c r="Z3708" s="102"/>
      <c r="AA3708" s="102"/>
      <c r="AB3708" s="1"/>
      <c r="AC3708" s="1"/>
      <c r="AD3708" s="1"/>
      <c r="AE3708" s="1"/>
      <c r="AF3708" s="1"/>
      <c r="AG3708" s="1"/>
    </row>
    <row r="3709" ht="15.75" customHeight="1">
      <c r="A3709" s="1"/>
      <c r="B3709" s="1"/>
      <c r="C3709" s="1"/>
      <c r="D3709" s="1"/>
      <c r="E3709" s="1"/>
      <c r="F3709" s="1"/>
      <c r="G3709" s="1"/>
      <c r="H3709" s="1"/>
      <c r="I3709" s="1"/>
      <c r="J3709" s="1"/>
      <c r="K3709" s="102" t="s">
        <v>6250</v>
      </c>
      <c r="L3709" s="102" t="str">
        <f>Y324</f>
        <v>J1a2a1a2d2b2b2c4d2a2a4a3a~</v>
      </c>
      <c r="M3709" s="102" t="s">
        <v>6251</v>
      </c>
      <c r="N3709" s="102" t="s">
        <v>6249</v>
      </c>
      <c r="O3709" s="105">
        <v>2.1343141E7</v>
      </c>
      <c r="P3709" s="105">
        <v>1.9181255E7</v>
      </c>
      <c r="Q3709" s="102" t="s">
        <v>2529</v>
      </c>
      <c r="S3709" s="1"/>
      <c r="T3709" s="1"/>
      <c r="U3709" s="1"/>
      <c r="V3709" s="1"/>
      <c r="W3709" s="1"/>
      <c r="X3709" s="1"/>
      <c r="Y3709" s="1"/>
      <c r="Z3709" s="102"/>
      <c r="AA3709" s="102"/>
      <c r="AB3709" s="1"/>
      <c r="AC3709" s="1"/>
      <c r="AD3709" s="1"/>
      <c r="AE3709" s="1"/>
      <c r="AF3709" s="1"/>
      <c r="AG3709" s="1"/>
    </row>
    <row r="3710" ht="15.75" customHeight="1">
      <c r="A3710" s="1"/>
      <c r="B3710" s="1"/>
      <c r="C3710" s="1"/>
      <c r="D3710" s="1"/>
      <c r="E3710" s="1"/>
      <c r="F3710" s="1"/>
      <c r="G3710" s="1"/>
      <c r="H3710" s="1"/>
      <c r="I3710" s="1"/>
      <c r="J3710" s="1"/>
      <c r="K3710" s="102" t="s">
        <v>6252</v>
      </c>
      <c r="L3710" s="102" t="str">
        <f>Y324</f>
        <v>J1a2a1a2d2b2b2c4d2a2a4a3a~</v>
      </c>
      <c r="M3710" s="102" t="s">
        <v>6253</v>
      </c>
      <c r="N3710" s="102" t="s">
        <v>6249</v>
      </c>
      <c r="O3710" s="105">
        <v>2.1343141E7</v>
      </c>
      <c r="P3710" s="105">
        <v>1.9181255E7</v>
      </c>
      <c r="Q3710" s="102" t="s">
        <v>2529</v>
      </c>
      <c r="S3710" s="1"/>
      <c r="T3710" s="1"/>
      <c r="U3710" s="1"/>
      <c r="V3710" s="1"/>
      <c r="W3710" s="1"/>
      <c r="X3710" s="1"/>
      <c r="Y3710" s="1"/>
      <c r="Z3710" s="102"/>
      <c r="AA3710" s="102"/>
      <c r="AB3710" s="1"/>
      <c r="AC3710" s="1"/>
      <c r="AD3710" s="1"/>
      <c r="AE3710" s="1"/>
      <c r="AF3710" s="1"/>
      <c r="AG3710" s="1"/>
    </row>
    <row r="3711" ht="15.75" customHeight="1">
      <c r="A3711" s="1"/>
      <c r="B3711" s="1"/>
      <c r="C3711" s="1"/>
      <c r="D3711" s="1"/>
      <c r="E3711" s="1"/>
      <c r="F3711" s="1"/>
      <c r="G3711" s="1"/>
      <c r="H3711" s="1"/>
      <c r="I3711" s="1"/>
      <c r="J3711" s="1"/>
      <c r="K3711" s="102" t="s">
        <v>6254</v>
      </c>
      <c r="L3711" s="102" t="str">
        <f>Z325</f>
        <v>J1a2a1a2d2b2b2c4d2a2a4a3a1~</v>
      </c>
      <c r="M3711" s="102"/>
      <c r="N3711" s="102"/>
      <c r="O3711" s="105">
        <v>1.4728307E7</v>
      </c>
      <c r="P3711" s="105">
        <v>1.2616375E7</v>
      </c>
      <c r="Q3711" s="102" t="s">
        <v>2514</v>
      </c>
      <c r="S3711" s="1"/>
      <c r="T3711" s="1"/>
      <c r="U3711" s="1"/>
      <c r="V3711" s="1"/>
      <c r="W3711" s="1"/>
      <c r="X3711" s="1"/>
      <c r="Y3711" s="1"/>
      <c r="Z3711" s="102"/>
      <c r="AA3711" s="102"/>
      <c r="AB3711" s="1"/>
      <c r="AC3711" s="1"/>
      <c r="AD3711" s="1"/>
      <c r="AE3711" s="1"/>
      <c r="AF3711" s="1"/>
      <c r="AG3711" s="1"/>
    </row>
    <row r="3712" ht="15.75" customHeight="1">
      <c r="A3712" s="1"/>
      <c r="B3712" s="1"/>
      <c r="C3712" s="1"/>
      <c r="D3712" s="1"/>
      <c r="E3712" s="1"/>
      <c r="F3712" s="1"/>
      <c r="G3712" s="1"/>
      <c r="H3712" s="1"/>
      <c r="I3712" s="1"/>
      <c r="J3712" s="1"/>
      <c r="K3712" s="102" t="s">
        <v>6255</v>
      </c>
      <c r="L3712" s="102" t="str">
        <f>Z325</f>
        <v>J1a2a1a2d2b2b2c4d2a2a4a3a1~</v>
      </c>
      <c r="M3712" s="102"/>
      <c r="N3712" s="102"/>
      <c r="O3712" s="105">
        <v>1.4947774E7</v>
      </c>
      <c r="P3712" s="105">
        <v>1.2835848E7</v>
      </c>
      <c r="Q3712" s="102" t="s">
        <v>2454</v>
      </c>
      <c r="S3712" s="1"/>
      <c r="T3712" s="1"/>
      <c r="U3712" s="1"/>
      <c r="V3712" s="1"/>
      <c r="W3712" s="1"/>
      <c r="X3712" s="1"/>
      <c r="Y3712" s="1"/>
      <c r="Z3712" s="102"/>
      <c r="AA3712" s="102"/>
      <c r="AB3712" s="1"/>
      <c r="AC3712" s="1"/>
      <c r="AD3712" s="1"/>
      <c r="AE3712" s="1"/>
      <c r="AF3712" s="1"/>
      <c r="AG3712" s="1"/>
    </row>
    <row r="3713" ht="15.75" customHeight="1">
      <c r="A3713" s="1"/>
      <c r="B3713" s="1"/>
      <c r="C3713" s="1"/>
      <c r="D3713" s="1"/>
      <c r="E3713" s="1"/>
      <c r="F3713" s="1"/>
      <c r="G3713" s="1"/>
      <c r="H3713" s="1"/>
      <c r="I3713" s="1"/>
      <c r="J3713" s="1"/>
      <c r="K3713" s="102" t="s">
        <v>6256</v>
      </c>
      <c r="L3713" s="102" t="str">
        <f>Z325</f>
        <v>J1a2a1a2d2b2b2c4d2a2a4a3a1~</v>
      </c>
      <c r="M3713" s="102"/>
      <c r="N3713" s="102"/>
      <c r="O3713" s="105">
        <v>2.3087946E7</v>
      </c>
      <c r="P3713" s="105">
        <v>2.092606E7</v>
      </c>
      <c r="Q3713" s="102" t="s">
        <v>2529</v>
      </c>
      <c r="S3713" s="1"/>
      <c r="T3713" s="1"/>
      <c r="U3713" s="1"/>
      <c r="V3713" s="1"/>
      <c r="W3713" s="1"/>
      <c r="X3713" s="1"/>
      <c r="Y3713" s="1"/>
      <c r="Z3713" s="102"/>
      <c r="AA3713" s="102"/>
      <c r="AB3713" s="1"/>
      <c r="AC3713" s="1"/>
      <c r="AD3713" s="1"/>
      <c r="AE3713" s="1"/>
      <c r="AF3713" s="1"/>
      <c r="AG3713" s="1"/>
    </row>
    <row r="3714" ht="15.75" customHeight="1">
      <c r="A3714" s="1"/>
      <c r="B3714" s="1"/>
      <c r="C3714" s="1"/>
      <c r="D3714" s="1"/>
      <c r="E3714" s="1"/>
      <c r="F3714" s="1"/>
      <c r="G3714" s="1"/>
      <c r="H3714" s="1"/>
      <c r="I3714" s="1"/>
      <c r="J3714" s="1"/>
      <c r="K3714" s="102" t="s">
        <v>6257</v>
      </c>
      <c r="L3714" s="102" t="str">
        <f>Z325</f>
        <v>J1a2a1a2d2b2b2c4d2a2a4a3a1~</v>
      </c>
      <c r="M3714" s="102"/>
      <c r="N3714" s="102"/>
      <c r="O3714" s="105">
        <v>1.9159835E7</v>
      </c>
      <c r="P3714" s="105">
        <v>1.7047955E7</v>
      </c>
      <c r="Q3714" s="102" t="s">
        <v>2423</v>
      </c>
      <c r="S3714" s="1"/>
      <c r="T3714" s="1"/>
      <c r="U3714" s="1"/>
      <c r="V3714" s="1"/>
      <c r="W3714" s="1"/>
      <c r="X3714" s="1"/>
      <c r="Y3714" s="1"/>
      <c r="Z3714" s="102"/>
      <c r="AA3714" s="102"/>
      <c r="AB3714" s="1"/>
      <c r="AC3714" s="1"/>
      <c r="AD3714" s="1"/>
      <c r="AE3714" s="1"/>
      <c r="AF3714" s="1"/>
      <c r="AG3714" s="1"/>
    </row>
    <row r="3715" ht="15.75" customHeight="1">
      <c r="A3715" s="1"/>
      <c r="B3715" s="1"/>
      <c r="C3715" s="1"/>
      <c r="D3715" s="1"/>
      <c r="E3715" s="1"/>
      <c r="F3715" s="1"/>
      <c r="G3715" s="1"/>
      <c r="H3715" s="1"/>
      <c r="I3715" s="1"/>
      <c r="J3715" s="1"/>
      <c r="K3715" s="102" t="s">
        <v>6258</v>
      </c>
      <c r="L3715" s="102" t="str">
        <f>AA326</f>
        <v>J1a2a1a2d2b2b2c4d2a2a4a3a1a~</v>
      </c>
      <c r="M3715" s="102"/>
      <c r="N3715" s="102"/>
      <c r="O3715" s="105">
        <v>1.8257818E7</v>
      </c>
      <c r="P3715" s="105">
        <v>1.6145938E7</v>
      </c>
      <c r="Q3715" s="102" t="s">
        <v>2529</v>
      </c>
      <c r="S3715" s="1"/>
      <c r="T3715" s="1"/>
      <c r="U3715" s="1"/>
      <c r="V3715" s="1"/>
      <c r="W3715" s="1"/>
      <c r="X3715" s="1"/>
      <c r="Y3715" s="1"/>
      <c r="Z3715" s="102"/>
      <c r="AA3715" s="102"/>
      <c r="AB3715" s="1"/>
      <c r="AC3715" s="1"/>
      <c r="AD3715" s="1"/>
      <c r="AE3715" s="1"/>
      <c r="AF3715" s="1"/>
      <c r="AG3715" s="1"/>
    </row>
    <row r="3716" ht="15.75" customHeight="1">
      <c r="A3716" s="1"/>
      <c r="B3716" s="1"/>
      <c r="C3716" s="1"/>
      <c r="D3716" s="1"/>
      <c r="E3716" s="1"/>
      <c r="F3716" s="1"/>
      <c r="G3716" s="1"/>
      <c r="H3716" s="1"/>
      <c r="I3716" s="1"/>
      <c r="J3716" s="1"/>
      <c r="K3716" s="102" t="s">
        <v>6259</v>
      </c>
      <c r="L3716" s="102" t="str">
        <f>AA326</f>
        <v>J1a2a1a2d2b2b2c4d2a2a4a3a1a~</v>
      </c>
      <c r="M3716" s="102"/>
      <c r="N3716" s="102"/>
      <c r="O3716" s="105">
        <v>8816143.0</v>
      </c>
      <c r="P3716" s="105">
        <v>8948102.0</v>
      </c>
      <c r="Q3716" s="102" t="s">
        <v>2514</v>
      </c>
      <c r="S3716" s="1"/>
      <c r="T3716" s="1"/>
      <c r="U3716" s="1"/>
      <c r="V3716" s="1"/>
      <c r="W3716" s="1"/>
      <c r="X3716" s="1"/>
      <c r="Y3716" s="1"/>
      <c r="Z3716" s="102"/>
      <c r="AA3716" s="102"/>
      <c r="AB3716" s="1"/>
      <c r="AC3716" s="1"/>
      <c r="AD3716" s="1"/>
      <c r="AE3716" s="1"/>
      <c r="AF3716" s="1"/>
      <c r="AG3716" s="1"/>
    </row>
    <row r="3717" ht="15.75" customHeight="1">
      <c r="A3717" s="1"/>
      <c r="B3717" s="1"/>
      <c r="C3717" s="1"/>
      <c r="D3717" s="1"/>
      <c r="E3717" s="1"/>
      <c r="F3717" s="1"/>
      <c r="G3717" s="1"/>
      <c r="H3717" s="1"/>
      <c r="I3717" s="1"/>
      <c r="J3717" s="1"/>
      <c r="K3717" s="102" t="s">
        <v>6260</v>
      </c>
      <c r="L3717" s="102" t="str">
        <f>AA326</f>
        <v>J1a2a1a2d2b2b2c4d2a2a4a3a1a~</v>
      </c>
      <c r="M3717" s="102"/>
      <c r="N3717" s="102"/>
      <c r="O3717" s="105">
        <v>2.2152853E7</v>
      </c>
      <c r="P3717" s="105">
        <v>1.9990967E7</v>
      </c>
      <c r="Q3717" s="102" t="s">
        <v>2501</v>
      </c>
      <c r="S3717" s="1"/>
      <c r="T3717" s="1"/>
      <c r="U3717" s="1"/>
      <c r="V3717" s="1"/>
      <c r="W3717" s="1"/>
      <c r="X3717" s="1"/>
      <c r="Y3717" s="1"/>
      <c r="Z3717" s="102"/>
      <c r="AA3717" s="102"/>
      <c r="AB3717" s="1"/>
      <c r="AC3717" s="1"/>
      <c r="AD3717" s="1"/>
      <c r="AE3717" s="1"/>
      <c r="AF3717" s="1"/>
      <c r="AG3717" s="1"/>
    </row>
    <row r="3718" ht="15.75" customHeight="1">
      <c r="A3718" s="1"/>
      <c r="B3718" s="1"/>
      <c r="C3718" s="1"/>
      <c r="D3718" s="1"/>
      <c r="E3718" s="1"/>
      <c r="F3718" s="1"/>
      <c r="G3718" s="1"/>
      <c r="H3718" s="1"/>
      <c r="I3718" s="1"/>
      <c r="J3718" s="1"/>
      <c r="K3718" s="102" t="s">
        <v>6261</v>
      </c>
      <c r="L3718" s="102" t="str">
        <f>AA326</f>
        <v>J1a2a1a2d2b2b2c4d2a2a4a3a1a~</v>
      </c>
      <c r="M3718" s="102"/>
      <c r="N3718" s="102"/>
      <c r="O3718" s="105">
        <v>2.2876646E7</v>
      </c>
      <c r="P3718" s="105">
        <v>2.071476E7</v>
      </c>
      <c r="Q3718" s="102" t="s">
        <v>2468</v>
      </c>
      <c r="S3718" s="1"/>
      <c r="T3718" s="1"/>
      <c r="U3718" s="1"/>
      <c r="V3718" s="1"/>
      <c r="W3718" s="1"/>
      <c r="X3718" s="1"/>
      <c r="Y3718" s="1"/>
      <c r="Z3718" s="102"/>
      <c r="AA3718" s="102"/>
      <c r="AB3718" s="1"/>
      <c r="AC3718" s="1"/>
      <c r="AD3718" s="1"/>
      <c r="AE3718" s="1"/>
      <c r="AF3718" s="1"/>
      <c r="AG3718" s="1"/>
    </row>
    <row r="3719" ht="15.75" customHeight="1">
      <c r="A3719" s="1"/>
      <c r="B3719" s="1"/>
      <c r="C3719" s="1"/>
      <c r="D3719" s="1"/>
      <c r="E3719" s="1"/>
      <c r="F3719" s="1"/>
      <c r="G3719" s="1"/>
      <c r="H3719" s="1"/>
      <c r="I3719" s="1"/>
      <c r="J3719" s="1"/>
      <c r="K3719" s="102" t="s">
        <v>6262</v>
      </c>
      <c r="L3719" s="102" t="str">
        <f>AA326</f>
        <v>J1a2a1a2d2b2b2c4d2a2a4a3a1a~</v>
      </c>
      <c r="M3719" s="102"/>
      <c r="N3719" s="102"/>
      <c r="O3719" s="105">
        <v>1.6907878E7</v>
      </c>
      <c r="P3719" s="105">
        <v>1.4795998E7</v>
      </c>
      <c r="Q3719" s="102" t="s">
        <v>2423</v>
      </c>
      <c r="S3719" s="1"/>
      <c r="T3719" s="1"/>
      <c r="U3719" s="1"/>
      <c r="V3719" s="1"/>
      <c r="W3719" s="1"/>
      <c r="X3719" s="1"/>
      <c r="Y3719" s="1"/>
      <c r="Z3719" s="102"/>
      <c r="AA3719" s="102"/>
      <c r="AB3719" s="1"/>
      <c r="AC3719" s="1"/>
      <c r="AD3719" s="1"/>
      <c r="AE3719" s="1"/>
      <c r="AF3719" s="1"/>
      <c r="AG3719" s="1"/>
    </row>
    <row r="3720" ht="15.75" customHeight="1">
      <c r="A3720" s="1"/>
      <c r="B3720" s="1"/>
      <c r="C3720" s="1"/>
      <c r="D3720" s="1"/>
      <c r="E3720" s="1"/>
      <c r="F3720" s="1"/>
      <c r="G3720" s="1"/>
      <c r="H3720" s="1"/>
      <c r="I3720" s="1"/>
      <c r="J3720" s="1"/>
      <c r="K3720" s="102" t="s">
        <v>6263</v>
      </c>
      <c r="L3720" s="102" t="str">
        <f>AB327</f>
        <v>J1a2a1a2d2b2b2c4d2a2a4a3a1a1~</v>
      </c>
      <c r="M3720" s="102"/>
      <c r="N3720" s="102"/>
      <c r="O3720" s="105">
        <v>1.5399562E7</v>
      </c>
      <c r="P3720" s="105">
        <v>1.3287682E7</v>
      </c>
      <c r="Q3720" s="102" t="s">
        <v>2439</v>
      </c>
      <c r="S3720" s="1"/>
      <c r="T3720" s="1"/>
      <c r="U3720" s="1"/>
      <c r="V3720" s="1"/>
      <c r="W3720" s="1"/>
      <c r="X3720" s="1"/>
      <c r="Y3720" s="1"/>
      <c r="Z3720" s="102"/>
      <c r="AA3720" s="102"/>
      <c r="AB3720" s="1"/>
      <c r="AC3720" s="1"/>
      <c r="AD3720" s="1"/>
      <c r="AE3720" s="1"/>
      <c r="AF3720" s="1"/>
      <c r="AG3720" s="1"/>
    </row>
    <row r="3721" ht="15.75" customHeight="1">
      <c r="A3721" s="1"/>
      <c r="B3721" s="1"/>
      <c r="C3721" s="1"/>
      <c r="D3721" s="1"/>
      <c r="E3721" s="1"/>
      <c r="F3721" s="1"/>
      <c r="G3721" s="1"/>
      <c r="H3721" s="1"/>
      <c r="I3721" s="1"/>
      <c r="J3721" s="1"/>
      <c r="K3721" s="102" t="s">
        <v>6264</v>
      </c>
      <c r="L3721" s="102" t="str">
        <f>AB327</f>
        <v>J1a2a1a2d2b2b2c4d2a2a4a3a1a1~</v>
      </c>
      <c r="M3721" s="102"/>
      <c r="N3721" s="102"/>
      <c r="O3721" s="105">
        <v>2.2865568E7</v>
      </c>
      <c r="P3721" s="105">
        <v>2.0703682E7</v>
      </c>
      <c r="Q3721" s="102" t="s">
        <v>2439</v>
      </c>
      <c r="S3721" s="1"/>
      <c r="T3721" s="1"/>
      <c r="U3721" s="1"/>
      <c r="V3721" s="1"/>
      <c r="W3721" s="1"/>
      <c r="X3721" s="1"/>
      <c r="Y3721" s="1"/>
      <c r="Z3721" s="102"/>
      <c r="AA3721" s="102"/>
      <c r="AB3721" s="1"/>
      <c r="AC3721" s="1"/>
      <c r="AD3721" s="1"/>
      <c r="AE3721" s="1"/>
      <c r="AF3721" s="1"/>
      <c r="AG3721" s="1"/>
    </row>
    <row r="3722" ht="15.75" customHeight="1">
      <c r="A3722" s="1"/>
      <c r="B3722" s="1"/>
      <c r="C3722" s="1"/>
      <c r="D3722" s="1"/>
      <c r="E3722" s="1"/>
      <c r="F3722" s="1"/>
      <c r="G3722" s="1"/>
      <c r="H3722" s="1"/>
      <c r="I3722" s="1"/>
      <c r="J3722" s="1"/>
      <c r="K3722" s="102" t="s">
        <v>6265</v>
      </c>
      <c r="L3722" s="102" t="str">
        <f>AC328</f>
        <v>J1a2a1a2d2b2b2c4d2a2a4a3a1a1a~</v>
      </c>
      <c r="M3722" s="102"/>
      <c r="N3722" s="102"/>
      <c r="O3722" s="105">
        <v>1.4131452E7</v>
      </c>
      <c r="P3722" s="105">
        <v>1.2010746E7</v>
      </c>
      <c r="Q3722" s="102" t="s">
        <v>2454</v>
      </c>
      <c r="S3722" s="1"/>
      <c r="T3722" s="1"/>
      <c r="U3722" s="1"/>
      <c r="V3722" s="1"/>
      <c r="W3722" s="1"/>
      <c r="X3722" s="1"/>
      <c r="Y3722" s="1"/>
      <c r="Z3722" s="102"/>
      <c r="AA3722" s="102"/>
      <c r="AB3722" s="1"/>
      <c r="AC3722" s="1"/>
      <c r="AD3722" s="1"/>
      <c r="AE3722" s="1"/>
      <c r="AF3722" s="1"/>
      <c r="AG3722" s="1"/>
    </row>
    <row r="3723" ht="15.75" customHeight="1">
      <c r="A3723" s="1"/>
      <c r="B3723" s="1"/>
      <c r="C3723" s="1"/>
      <c r="D3723" s="1"/>
      <c r="E3723" s="1"/>
      <c r="F3723" s="1"/>
      <c r="G3723" s="1"/>
      <c r="H3723" s="1"/>
      <c r="I3723" s="1"/>
      <c r="J3723" s="1"/>
      <c r="K3723" s="102" t="s">
        <v>6266</v>
      </c>
      <c r="L3723" s="102" t="str">
        <f>AC328</f>
        <v>J1a2a1a2d2b2b2c4d2a2a4a3a1a1a~</v>
      </c>
      <c r="M3723" s="102"/>
      <c r="N3723" s="102"/>
      <c r="O3723" s="105">
        <v>1.5761362E7</v>
      </c>
      <c r="P3723" s="105">
        <v>1.3649482E7</v>
      </c>
      <c r="Q3723" s="102" t="s">
        <v>2514</v>
      </c>
      <c r="S3723" s="1"/>
      <c r="T3723" s="1"/>
      <c r="U3723" s="1"/>
      <c r="V3723" s="1"/>
      <c r="W3723" s="1"/>
      <c r="X3723" s="1"/>
      <c r="Y3723" s="1"/>
      <c r="Z3723" s="102"/>
      <c r="AA3723" s="102"/>
      <c r="AB3723" s="1"/>
      <c r="AC3723" s="1"/>
      <c r="AD3723" s="1"/>
      <c r="AE3723" s="1"/>
      <c r="AF3723" s="1"/>
      <c r="AG3723" s="1"/>
    </row>
    <row r="3724" ht="15.75" customHeight="1">
      <c r="A3724" s="1"/>
      <c r="B3724" s="1"/>
      <c r="C3724" s="1"/>
      <c r="D3724" s="1"/>
      <c r="E3724" s="1"/>
      <c r="F3724" s="1"/>
      <c r="G3724" s="1"/>
      <c r="H3724" s="1"/>
      <c r="I3724" s="1"/>
      <c r="J3724" s="1"/>
      <c r="K3724" s="102" t="s">
        <v>6267</v>
      </c>
      <c r="L3724" s="102" t="str">
        <f t="shared" ref="L3724:L3725" si="51">AC328</f>
        <v>J1a2a1a2d2b2b2c4d2a2a4a3a1a1a~</v>
      </c>
      <c r="M3724" s="102"/>
      <c r="N3724" s="102"/>
      <c r="O3724" s="105">
        <v>1.8149488E7</v>
      </c>
      <c r="P3724" s="105">
        <v>1.6037608E7</v>
      </c>
      <c r="Q3724" s="102" t="s">
        <v>2468</v>
      </c>
      <c r="S3724" s="1"/>
      <c r="T3724" s="1"/>
      <c r="U3724" s="1"/>
      <c r="V3724" s="1"/>
      <c r="W3724" s="1"/>
      <c r="X3724" s="1"/>
      <c r="Y3724" s="1"/>
      <c r="Z3724" s="102"/>
      <c r="AA3724" s="102"/>
      <c r="AB3724" s="1"/>
      <c r="AC3724" s="1"/>
      <c r="AD3724" s="1"/>
      <c r="AE3724" s="1"/>
      <c r="AF3724" s="1"/>
      <c r="AG3724" s="1"/>
    </row>
    <row r="3725" ht="15.75" customHeight="1">
      <c r="A3725" s="1"/>
      <c r="B3725" s="1"/>
      <c r="C3725" s="1"/>
      <c r="D3725" s="1"/>
      <c r="E3725" s="1"/>
      <c r="F3725" s="1"/>
      <c r="G3725" s="1"/>
      <c r="H3725" s="1"/>
      <c r="I3725" s="1"/>
      <c r="J3725" s="1"/>
      <c r="K3725" s="102" t="s">
        <v>6268</v>
      </c>
      <c r="L3725" s="102" t="str">
        <f t="shared" si="51"/>
        <v>J1a2a1a2d2b2b2c4d2a2a4a3a1a1b~</v>
      </c>
      <c r="M3725" s="102" t="s">
        <v>6269</v>
      </c>
      <c r="N3725" s="102"/>
      <c r="O3725" s="105">
        <v>1.4889588E7</v>
      </c>
      <c r="P3725" s="105">
        <v>1.2777654E7</v>
      </c>
      <c r="Q3725" s="102" t="s">
        <v>2439</v>
      </c>
      <c r="S3725" s="1"/>
      <c r="T3725" s="1"/>
      <c r="U3725" s="1"/>
      <c r="V3725" s="1"/>
      <c r="W3725" s="1"/>
      <c r="X3725" s="1"/>
      <c r="Y3725" s="1"/>
      <c r="Z3725" s="102"/>
      <c r="AA3725" s="102"/>
      <c r="AB3725" s="1"/>
      <c r="AC3725" s="1"/>
      <c r="AD3725" s="1"/>
      <c r="AE3725" s="1"/>
      <c r="AF3725" s="1"/>
      <c r="AG3725" s="1"/>
    </row>
    <row r="3726" ht="15.75" customHeight="1">
      <c r="A3726" s="1"/>
      <c r="B3726" s="1"/>
      <c r="C3726" s="1"/>
      <c r="D3726" s="1"/>
      <c r="E3726" s="1"/>
      <c r="F3726" s="1"/>
      <c r="G3726" s="1"/>
      <c r="H3726" s="1"/>
      <c r="I3726" s="1"/>
      <c r="J3726" s="1"/>
      <c r="K3726" s="102" t="s">
        <v>6269</v>
      </c>
      <c r="L3726" s="102" t="str">
        <f>AC329</f>
        <v>J1a2a1a2d2b2b2c4d2a2a4a3a1a1b~</v>
      </c>
      <c r="M3726" s="102" t="s">
        <v>6268</v>
      </c>
      <c r="N3726" s="102"/>
      <c r="O3726" s="105">
        <v>1.4889588E7</v>
      </c>
      <c r="P3726" s="105">
        <v>1.2777654E7</v>
      </c>
      <c r="Q3726" s="102" t="s">
        <v>2439</v>
      </c>
      <c r="S3726" s="1"/>
      <c r="T3726" s="1"/>
      <c r="U3726" s="1"/>
      <c r="V3726" s="1"/>
      <c r="W3726" s="1"/>
      <c r="X3726" s="1"/>
      <c r="Y3726" s="1"/>
      <c r="Z3726" s="102"/>
      <c r="AA3726" s="102"/>
      <c r="AB3726" s="1"/>
      <c r="AC3726" s="1"/>
      <c r="AD3726" s="1"/>
      <c r="AE3726" s="1"/>
      <c r="AF3726" s="1"/>
      <c r="AG3726" s="1"/>
    </row>
    <row r="3727" ht="15.75" customHeight="1">
      <c r="A3727" s="1"/>
      <c r="B3727" s="1"/>
      <c r="C3727" s="1"/>
      <c r="D3727" s="1"/>
      <c r="E3727" s="1"/>
      <c r="F3727" s="1"/>
      <c r="G3727" s="1"/>
      <c r="H3727" s="1"/>
      <c r="I3727" s="1"/>
      <c r="J3727" s="1"/>
      <c r="K3727" s="102" t="s">
        <v>6270</v>
      </c>
      <c r="L3727" s="102" t="str">
        <f>AC329</f>
        <v>J1a2a1a2d2b2b2c4d2a2a4a3a1a1b~</v>
      </c>
      <c r="M3727" s="102"/>
      <c r="N3727" s="102"/>
      <c r="O3727" s="105">
        <v>7247334.0</v>
      </c>
      <c r="P3727" s="105">
        <v>7379293.0</v>
      </c>
      <c r="Q3727" s="102" t="s">
        <v>2468</v>
      </c>
      <c r="S3727" s="1"/>
      <c r="T3727" s="1"/>
      <c r="U3727" s="1"/>
      <c r="V3727" s="1"/>
      <c r="W3727" s="1"/>
      <c r="X3727" s="1"/>
      <c r="Y3727" s="1"/>
      <c r="Z3727" s="102"/>
      <c r="AA3727" s="102"/>
      <c r="AB3727" s="1"/>
      <c r="AC3727" s="1"/>
      <c r="AD3727" s="1"/>
      <c r="AE3727" s="1"/>
      <c r="AF3727" s="1"/>
      <c r="AG3727" s="1"/>
    </row>
    <row r="3728" ht="15.75" customHeight="1">
      <c r="A3728" s="1"/>
      <c r="B3728" s="1"/>
      <c r="C3728" s="1"/>
      <c r="D3728" s="1"/>
      <c r="E3728" s="1"/>
      <c r="F3728" s="1"/>
      <c r="G3728" s="1"/>
      <c r="H3728" s="1"/>
      <c r="I3728" s="1"/>
      <c r="J3728" s="1"/>
      <c r="K3728" s="102" t="s">
        <v>6271</v>
      </c>
      <c r="L3728" s="102" t="str">
        <f>AC329</f>
        <v>J1a2a1a2d2b2b2c4d2a2a4a3a1a1b~</v>
      </c>
      <c r="M3728" s="102"/>
      <c r="N3728" s="102"/>
      <c r="O3728" s="105">
        <v>1.4211997E7</v>
      </c>
      <c r="P3728" s="105">
        <v>1.2091291E7</v>
      </c>
      <c r="Q3728" s="102" t="s">
        <v>2446</v>
      </c>
      <c r="S3728" s="1"/>
      <c r="T3728" s="1"/>
      <c r="U3728" s="1"/>
      <c r="V3728" s="1"/>
      <c r="W3728" s="1"/>
      <c r="X3728" s="1"/>
      <c r="Y3728" s="1"/>
      <c r="Z3728" s="102"/>
      <c r="AA3728" s="102"/>
      <c r="AB3728" s="1"/>
      <c r="AC3728" s="1"/>
      <c r="AD3728" s="1"/>
      <c r="AE3728" s="1"/>
      <c r="AF3728" s="1"/>
      <c r="AG3728" s="1"/>
    </row>
    <row r="3729" ht="15.75" customHeight="1">
      <c r="A3729" s="1"/>
      <c r="B3729" s="1"/>
      <c r="C3729" s="1"/>
      <c r="D3729" s="1"/>
      <c r="E3729" s="1"/>
      <c r="F3729" s="1"/>
      <c r="G3729" s="1"/>
      <c r="H3729" s="1"/>
      <c r="I3729" s="1"/>
      <c r="J3729" s="1"/>
      <c r="K3729" s="102" t="s">
        <v>6272</v>
      </c>
      <c r="L3729" s="102" t="str">
        <f>AC329</f>
        <v>J1a2a1a2d2b2b2c4d2a2a4a3a1a1b~</v>
      </c>
      <c r="M3729" s="102"/>
      <c r="N3729" s="102"/>
      <c r="O3729" s="105">
        <v>1.6298233E7</v>
      </c>
      <c r="P3729" s="105">
        <v>1.4186353E7</v>
      </c>
      <c r="Q3729" s="102" t="s">
        <v>2501</v>
      </c>
      <c r="S3729" s="1"/>
      <c r="T3729" s="1"/>
      <c r="U3729" s="1"/>
      <c r="V3729" s="1"/>
      <c r="W3729" s="1"/>
      <c r="X3729" s="1"/>
      <c r="Y3729" s="1"/>
      <c r="Z3729" s="102"/>
      <c r="AA3729" s="102"/>
      <c r="AB3729" s="1"/>
      <c r="AC3729" s="1"/>
      <c r="AD3729" s="1"/>
      <c r="AE3729" s="1"/>
      <c r="AF3729" s="1"/>
      <c r="AG3729" s="1"/>
    </row>
    <row r="3730" ht="15.75" customHeight="1">
      <c r="A3730" s="1"/>
      <c r="B3730" s="1"/>
      <c r="C3730" s="1"/>
      <c r="D3730" s="1"/>
      <c r="E3730" s="1"/>
      <c r="F3730" s="1"/>
      <c r="G3730" s="1"/>
      <c r="H3730" s="1"/>
      <c r="I3730" s="1"/>
      <c r="J3730" s="1"/>
      <c r="K3730" s="102" t="s">
        <v>6273</v>
      </c>
      <c r="L3730" s="102" t="str">
        <f>AC329</f>
        <v>J1a2a1a2d2b2b2c4d2a2a4a3a1a1b~</v>
      </c>
      <c r="M3730" s="102"/>
      <c r="N3730" s="102"/>
      <c r="O3730" s="105">
        <v>2.3154183E7</v>
      </c>
      <c r="P3730" s="105">
        <v>2.0992297E7</v>
      </c>
      <c r="Q3730" s="102" t="s">
        <v>2533</v>
      </c>
      <c r="S3730" s="1"/>
      <c r="T3730" s="1"/>
      <c r="U3730" s="1"/>
      <c r="V3730" s="1"/>
      <c r="W3730" s="1"/>
      <c r="X3730" s="1"/>
      <c r="Y3730" s="1"/>
      <c r="Z3730" s="102"/>
      <c r="AA3730" s="102"/>
      <c r="AB3730" s="1"/>
      <c r="AC3730" s="1"/>
      <c r="AD3730" s="1"/>
      <c r="AE3730" s="1"/>
      <c r="AF3730" s="1"/>
      <c r="AG3730" s="1"/>
    </row>
    <row r="3731" ht="15.75" customHeight="1">
      <c r="A3731" s="1"/>
      <c r="B3731" s="1"/>
      <c r="C3731" s="1"/>
      <c r="D3731" s="1"/>
      <c r="E3731" s="1"/>
      <c r="F3731" s="1"/>
      <c r="G3731" s="1"/>
      <c r="H3731" s="1"/>
      <c r="I3731" s="1"/>
      <c r="J3731" s="1"/>
      <c r="K3731" s="102" t="s">
        <v>6274</v>
      </c>
      <c r="L3731" s="102" t="str">
        <f>AC329</f>
        <v>J1a2a1a2d2b2b2c4d2a2a4a3a1a1b~</v>
      </c>
      <c r="M3731" s="102"/>
      <c r="N3731" s="102"/>
      <c r="O3731" s="105">
        <v>2.3155721E7</v>
      </c>
      <c r="P3731" s="105">
        <v>2.0993835E7</v>
      </c>
      <c r="Q3731" s="102" t="s">
        <v>2529</v>
      </c>
      <c r="S3731" s="1"/>
      <c r="T3731" s="1"/>
      <c r="U3731" s="1"/>
      <c r="V3731" s="1"/>
      <c r="W3731" s="1"/>
      <c r="X3731" s="1"/>
      <c r="Y3731" s="1"/>
      <c r="Z3731" s="102"/>
      <c r="AA3731" s="102"/>
      <c r="AB3731" s="1"/>
      <c r="AC3731" s="1"/>
      <c r="AD3731" s="1"/>
      <c r="AE3731" s="1"/>
      <c r="AF3731" s="1"/>
      <c r="AG3731" s="1"/>
    </row>
    <row r="3732" ht="15.75" customHeight="1">
      <c r="A3732" s="1"/>
      <c r="B3732" s="1"/>
      <c r="C3732" s="1"/>
      <c r="D3732" s="1"/>
      <c r="E3732" s="1"/>
      <c r="F3732" s="1"/>
      <c r="G3732" s="1"/>
      <c r="H3732" s="1"/>
      <c r="I3732" s="1"/>
      <c r="J3732" s="1"/>
      <c r="K3732" s="102" t="s">
        <v>6275</v>
      </c>
      <c r="L3732" s="102" t="str">
        <f>AC329</f>
        <v>J1a2a1a2d2b2b2c4d2a2a4a3a1a1b~</v>
      </c>
      <c r="M3732" s="102"/>
      <c r="N3732" s="102"/>
      <c r="O3732" s="105">
        <v>2.315615E7</v>
      </c>
      <c r="P3732" s="105">
        <v>2.0994264E7</v>
      </c>
      <c r="Q3732" s="102" t="s">
        <v>2439</v>
      </c>
      <c r="S3732" s="1"/>
      <c r="T3732" s="1"/>
      <c r="U3732" s="1"/>
      <c r="V3732" s="1"/>
      <c r="W3732" s="1"/>
      <c r="X3732" s="1"/>
      <c r="Y3732" s="1"/>
      <c r="Z3732" s="102"/>
      <c r="AA3732" s="102"/>
      <c r="AB3732" s="1"/>
      <c r="AC3732" s="1"/>
      <c r="AD3732" s="1"/>
      <c r="AE3732" s="1"/>
      <c r="AF3732" s="1"/>
      <c r="AG3732" s="1"/>
    </row>
    <row r="3733" ht="15.75" customHeight="1">
      <c r="A3733" s="1"/>
      <c r="B3733" s="1"/>
      <c r="C3733" s="1"/>
      <c r="D3733" s="1"/>
      <c r="E3733" s="1"/>
      <c r="F3733" s="1"/>
      <c r="G3733" s="1"/>
      <c r="H3733" s="1"/>
      <c r="I3733" s="1"/>
      <c r="J3733" s="1"/>
      <c r="K3733" s="102" t="s">
        <v>629</v>
      </c>
      <c r="L3733" s="102" t="str">
        <f>AB330</f>
        <v>J1a2a1a2d2b2b2c4d2a2a4a3a1a2~</v>
      </c>
      <c r="M3733" s="102"/>
      <c r="N3733" s="102"/>
      <c r="O3733" s="105">
        <v>2.1151193E7</v>
      </c>
      <c r="P3733" s="105">
        <v>1.8989307E7</v>
      </c>
      <c r="Q3733" s="102" t="s">
        <v>2529</v>
      </c>
      <c r="S3733" s="1"/>
      <c r="T3733" s="1"/>
      <c r="U3733" s="1"/>
      <c r="V3733" s="1"/>
      <c r="W3733" s="1"/>
      <c r="X3733" s="1"/>
      <c r="Y3733" s="1"/>
      <c r="Z3733" s="102"/>
      <c r="AA3733" s="102"/>
      <c r="AB3733" s="1"/>
      <c r="AC3733" s="1"/>
      <c r="AD3733" s="1"/>
      <c r="AE3733" s="1"/>
      <c r="AF3733" s="1"/>
      <c r="AG3733" s="1"/>
    </row>
    <row r="3734" ht="15.75" customHeight="1">
      <c r="A3734" s="1"/>
      <c r="B3734" s="1"/>
      <c r="C3734" s="1"/>
      <c r="D3734" s="1"/>
      <c r="E3734" s="1"/>
      <c r="F3734" s="1"/>
      <c r="G3734" s="1"/>
      <c r="H3734" s="1"/>
      <c r="I3734" s="1"/>
      <c r="J3734" s="1"/>
      <c r="K3734" s="102" t="s">
        <v>6276</v>
      </c>
      <c r="L3734" s="102" t="str">
        <f>AA331</f>
        <v>J1a2a1a2d2b2b2c4d2a2a4a3a1b~</v>
      </c>
      <c r="M3734" s="102" t="s">
        <v>6277</v>
      </c>
      <c r="N3734" s="102" t="s">
        <v>6278</v>
      </c>
      <c r="O3734" s="105">
        <v>8387471.0</v>
      </c>
      <c r="P3734" s="105">
        <v>8519430.0</v>
      </c>
      <c r="Q3734" s="102" t="s">
        <v>2439</v>
      </c>
      <c r="S3734" s="1"/>
      <c r="T3734" s="1"/>
      <c r="U3734" s="1"/>
      <c r="V3734" s="1"/>
      <c r="W3734" s="1"/>
      <c r="X3734" s="1"/>
      <c r="Y3734" s="1"/>
      <c r="Z3734" s="102"/>
      <c r="AA3734" s="102"/>
      <c r="AB3734" s="1"/>
      <c r="AC3734" s="1"/>
      <c r="AD3734" s="1"/>
      <c r="AE3734" s="1"/>
      <c r="AF3734" s="1"/>
      <c r="AG3734" s="1"/>
    </row>
    <row r="3735" ht="15.75" customHeight="1">
      <c r="A3735" s="1"/>
      <c r="B3735" s="1"/>
      <c r="C3735" s="1"/>
      <c r="D3735" s="1"/>
      <c r="E3735" s="1"/>
      <c r="F3735" s="1"/>
      <c r="G3735" s="1"/>
      <c r="H3735" s="1"/>
      <c r="I3735" s="1"/>
      <c r="J3735" s="1"/>
      <c r="K3735" s="102" t="s">
        <v>6277</v>
      </c>
      <c r="L3735" s="102" t="str">
        <f>AA331</f>
        <v>J1a2a1a2d2b2b2c4d2a2a4a3a1b~</v>
      </c>
      <c r="M3735" s="102" t="s">
        <v>6276</v>
      </c>
      <c r="N3735" s="102" t="s">
        <v>6278</v>
      </c>
      <c r="O3735" s="105">
        <v>8387471.0</v>
      </c>
      <c r="P3735" s="105">
        <v>8519430.0</v>
      </c>
      <c r="Q3735" s="102" t="s">
        <v>2439</v>
      </c>
      <c r="S3735" s="1"/>
      <c r="T3735" s="1"/>
      <c r="U3735" s="1"/>
      <c r="V3735" s="1"/>
      <c r="W3735" s="1"/>
      <c r="X3735" s="1"/>
      <c r="Y3735" s="1"/>
      <c r="Z3735" s="102"/>
      <c r="AA3735" s="102"/>
      <c r="AB3735" s="1"/>
      <c r="AC3735" s="1"/>
      <c r="AD3735" s="1"/>
      <c r="AE3735" s="1"/>
      <c r="AF3735" s="1"/>
      <c r="AG3735" s="1"/>
    </row>
    <row r="3736" ht="15.75" customHeight="1">
      <c r="A3736" s="1"/>
      <c r="B3736" s="1"/>
      <c r="C3736" s="1"/>
      <c r="D3736" s="1"/>
      <c r="E3736" s="1"/>
      <c r="F3736" s="1"/>
      <c r="G3736" s="1"/>
      <c r="H3736" s="1"/>
      <c r="I3736" s="1"/>
      <c r="J3736" s="1"/>
      <c r="K3736" s="102" t="s">
        <v>633</v>
      </c>
      <c r="L3736" s="102" t="str">
        <f>AB332</f>
        <v>J1a2a1a2d2b2b2c4d2a2a4a3a1b1~</v>
      </c>
      <c r="M3736" s="102"/>
      <c r="N3736" s="102" t="s">
        <v>6279</v>
      </c>
      <c r="O3736" s="105">
        <v>1.6928246E7</v>
      </c>
      <c r="P3736" s="105">
        <v>1.4816366E7</v>
      </c>
      <c r="Q3736" s="102" t="s">
        <v>2501</v>
      </c>
      <c r="S3736" s="1"/>
      <c r="T3736" s="1"/>
      <c r="U3736" s="1"/>
      <c r="V3736" s="1"/>
      <c r="W3736" s="1"/>
      <c r="X3736" s="1"/>
      <c r="Y3736" s="1"/>
      <c r="Z3736" s="102"/>
      <c r="AA3736" s="102"/>
      <c r="AB3736" s="1"/>
      <c r="AC3736" s="1"/>
      <c r="AD3736" s="1"/>
      <c r="AE3736" s="1"/>
      <c r="AF3736" s="1"/>
      <c r="AG3736" s="1"/>
    </row>
    <row r="3737" ht="15.75" customHeight="1">
      <c r="A3737" s="1"/>
      <c r="B3737" s="1"/>
      <c r="C3737" s="1"/>
      <c r="D3737" s="1"/>
      <c r="E3737" s="1"/>
      <c r="F3737" s="1"/>
      <c r="G3737" s="1"/>
      <c r="H3737" s="1"/>
      <c r="I3737" s="1"/>
      <c r="J3737" s="1"/>
      <c r="K3737" s="102" t="s">
        <v>635</v>
      </c>
      <c r="L3737" s="102" t="str">
        <f>AC333</f>
        <v>J1a2a1a2d2b2b2c4d2a2a4a3a1b1a~</v>
      </c>
      <c r="M3737" s="102"/>
      <c r="N3737" s="102" t="s">
        <v>6280</v>
      </c>
      <c r="O3737" s="105">
        <v>2.1035802E7</v>
      </c>
      <c r="P3737" s="105">
        <v>1.8873916E7</v>
      </c>
      <c r="Q3737" s="102" t="s">
        <v>2423</v>
      </c>
      <c r="S3737" s="1"/>
      <c r="T3737" s="1"/>
      <c r="U3737" s="1"/>
      <c r="V3737" s="1"/>
      <c r="W3737" s="1"/>
      <c r="X3737" s="1"/>
      <c r="Y3737" s="1"/>
      <c r="Z3737" s="102"/>
      <c r="AA3737" s="102"/>
      <c r="AB3737" s="1"/>
      <c r="AC3737" s="1"/>
      <c r="AD3737" s="1"/>
      <c r="AE3737" s="1"/>
      <c r="AF3737" s="1"/>
      <c r="AG3737" s="1"/>
    </row>
    <row r="3738" ht="15.75" customHeight="1">
      <c r="A3738" s="1"/>
      <c r="B3738" s="1"/>
      <c r="C3738" s="1"/>
      <c r="D3738" s="1"/>
      <c r="E3738" s="1"/>
      <c r="F3738" s="1"/>
      <c r="G3738" s="1"/>
      <c r="H3738" s="1"/>
      <c r="I3738" s="1"/>
      <c r="J3738" s="1"/>
      <c r="K3738" s="102" t="s">
        <v>6281</v>
      </c>
      <c r="L3738" s="102" t="str">
        <f>AD334</f>
        <v>J1a2a1a2d2b2b2c4d2a2a4a3a1b1a1~</v>
      </c>
      <c r="M3738" s="102"/>
      <c r="N3738" s="102" t="s">
        <v>6282</v>
      </c>
      <c r="O3738" s="105">
        <v>1.8105737E7</v>
      </c>
      <c r="P3738" s="105">
        <v>1.5993857E7</v>
      </c>
      <c r="Q3738" s="102" t="s">
        <v>2439</v>
      </c>
      <c r="S3738" s="1"/>
      <c r="T3738" s="1"/>
      <c r="U3738" s="1"/>
      <c r="V3738" s="1"/>
      <c r="W3738" s="1"/>
      <c r="X3738" s="1"/>
      <c r="Y3738" s="1"/>
      <c r="Z3738" s="102"/>
      <c r="AA3738" s="102"/>
      <c r="AB3738" s="1"/>
      <c r="AC3738" s="1"/>
      <c r="AD3738" s="1"/>
      <c r="AE3738" s="1"/>
      <c r="AF3738" s="1"/>
      <c r="AG3738" s="1"/>
    </row>
    <row r="3739" ht="15.75" customHeight="1">
      <c r="A3739" s="1"/>
      <c r="B3739" s="1"/>
      <c r="C3739" s="1"/>
      <c r="D3739" s="1"/>
      <c r="E3739" s="1"/>
      <c r="F3739" s="1"/>
      <c r="G3739" s="1"/>
      <c r="H3739" s="1"/>
      <c r="I3739" s="1"/>
      <c r="J3739" s="1"/>
      <c r="K3739" s="102" t="s">
        <v>6283</v>
      </c>
      <c r="L3739" s="102" t="str">
        <f>AD334</f>
        <v>J1a2a1a2d2b2b2c4d2a2a4a3a1b1a1~</v>
      </c>
      <c r="M3739" s="102"/>
      <c r="N3739" s="102" t="s">
        <v>6284</v>
      </c>
      <c r="O3739" s="105">
        <v>1.9216414E7</v>
      </c>
      <c r="P3739" s="105">
        <v>1.7104534E7</v>
      </c>
      <c r="Q3739" s="102" t="s">
        <v>2529</v>
      </c>
      <c r="S3739" s="1"/>
      <c r="T3739" s="1"/>
      <c r="U3739" s="1"/>
      <c r="V3739" s="1"/>
      <c r="W3739" s="1"/>
      <c r="X3739" s="1"/>
      <c r="Y3739" s="1"/>
      <c r="Z3739" s="102"/>
      <c r="AA3739" s="102"/>
      <c r="AB3739" s="1"/>
      <c r="AC3739" s="1"/>
      <c r="AD3739" s="1"/>
      <c r="AE3739" s="1"/>
      <c r="AF3739" s="1"/>
      <c r="AG3739" s="1"/>
    </row>
    <row r="3740" ht="15.75" customHeight="1">
      <c r="A3740" s="1"/>
      <c r="B3740" s="1"/>
      <c r="C3740" s="1"/>
      <c r="D3740" s="1"/>
      <c r="E3740" s="1"/>
      <c r="F3740" s="1"/>
      <c r="G3740" s="1"/>
      <c r="H3740" s="1"/>
      <c r="I3740" s="1"/>
      <c r="J3740" s="1"/>
      <c r="K3740" s="102" t="s">
        <v>6285</v>
      </c>
      <c r="L3740" s="102" t="str">
        <f t="shared" ref="L3740:L3741" si="52">AD334</f>
        <v>J1a2a1a2d2b2b2c4d2a2a4a3a1b1a1~</v>
      </c>
      <c r="M3740" s="102"/>
      <c r="N3740" s="102"/>
      <c r="O3740" s="105">
        <v>2.1046126E7</v>
      </c>
      <c r="P3740" s="105">
        <v>1.888424E7</v>
      </c>
      <c r="Q3740" s="102" t="s">
        <v>2501</v>
      </c>
      <c r="S3740" s="1"/>
      <c r="T3740" s="1"/>
      <c r="U3740" s="1"/>
      <c r="V3740" s="1"/>
      <c r="W3740" s="1"/>
      <c r="X3740" s="1"/>
      <c r="Y3740" s="1"/>
      <c r="Z3740" s="102"/>
      <c r="AA3740" s="102"/>
      <c r="AB3740" s="1"/>
      <c r="AC3740" s="1"/>
      <c r="AD3740" s="1"/>
      <c r="AE3740" s="1"/>
      <c r="AF3740" s="1"/>
      <c r="AG3740" s="1"/>
    </row>
    <row r="3741" ht="15.75" customHeight="1">
      <c r="A3741" s="1"/>
      <c r="B3741" s="1"/>
      <c r="C3741" s="1"/>
      <c r="D3741" s="1"/>
      <c r="E3741" s="1"/>
      <c r="F3741" s="1"/>
      <c r="G3741" s="1"/>
      <c r="H3741" s="1"/>
      <c r="I3741" s="1"/>
      <c r="J3741" s="1"/>
      <c r="K3741" s="102" t="s">
        <v>639</v>
      </c>
      <c r="L3741" s="102" t="str">
        <f t="shared" si="52"/>
        <v>J1a2a1a2d2b2b2c4d2a2a4a3a1b1a2~</v>
      </c>
      <c r="M3741" s="102"/>
      <c r="N3741" s="102"/>
      <c r="O3741" s="105">
        <v>2.1925698E7</v>
      </c>
      <c r="P3741" s="105">
        <v>1.9763812E7</v>
      </c>
      <c r="Q3741" s="102" t="s">
        <v>2468</v>
      </c>
      <c r="S3741" s="1"/>
      <c r="T3741" s="1"/>
      <c r="U3741" s="1"/>
      <c r="V3741" s="1"/>
      <c r="W3741" s="1"/>
      <c r="X3741" s="1"/>
      <c r="Y3741" s="1"/>
      <c r="Z3741" s="102"/>
      <c r="AA3741" s="102"/>
      <c r="AB3741" s="1"/>
      <c r="AC3741" s="1"/>
      <c r="AD3741" s="1"/>
      <c r="AE3741" s="1"/>
      <c r="AF3741" s="1"/>
      <c r="AG3741" s="1"/>
    </row>
    <row r="3742" ht="15.75" customHeight="1">
      <c r="A3742" s="1"/>
      <c r="B3742" s="1"/>
      <c r="C3742" s="1"/>
      <c r="D3742" s="1"/>
      <c r="E3742" s="1"/>
      <c r="F3742" s="1"/>
      <c r="G3742" s="1"/>
      <c r="H3742" s="1"/>
      <c r="I3742" s="1"/>
      <c r="J3742" s="1"/>
      <c r="K3742" s="102" t="s">
        <v>641</v>
      </c>
      <c r="L3742" s="102" t="str">
        <f>AE336</f>
        <v>J1a2a1a2d2b2b2c4d2a2a4a3a1b1a2a~</v>
      </c>
      <c r="M3742" s="102"/>
      <c r="N3742" s="102"/>
      <c r="O3742" s="102">
        <v>2.2313454E7</v>
      </c>
      <c r="P3742" s="102">
        <v>2.0151568E7</v>
      </c>
      <c r="Q3742" s="102" t="s">
        <v>2454</v>
      </c>
      <c r="S3742" s="1"/>
      <c r="T3742" s="1"/>
      <c r="U3742" s="1"/>
      <c r="V3742" s="1"/>
      <c r="W3742" s="1"/>
      <c r="X3742" s="1"/>
      <c r="Y3742" s="1"/>
      <c r="Z3742" s="102">
        <v>2.2313454E7</v>
      </c>
      <c r="AA3742" s="102"/>
      <c r="AB3742" s="1"/>
      <c r="AC3742" s="1"/>
      <c r="AD3742" s="1"/>
      <c r="AE3742" s="1"/>
      <c r="AF3742" s="1"/>
      <c r="AG3742" s="1"/>
    </row>
    <row r="3743" ht="15.75" customHeight="1">
      <c r="A3743" s="1"/>
      <c r="B3743" s="1"/>
      <c r="C3743" s="1"/>
      <c r="D3743" s="1"/>
      <c r="E3743" s="1"/>
      <c r="F3743" s="1"/>
      <c r="G3743" s="1"/>
      <c r="H3743" s="1"/>
      <c r="I3743" s="1"/>
      <c r="J3743" s="1"/>
      <c r="K3743" s="102" t="s">
        <v>6244</v>
      </c>
      <c r="L3743" s="102" t="str">
        <f>AC337</f>
        <v>J1a2a1a2d2b2b2c4d2a2a4a3a1b1b~</v>
      </c>
      <c r="M3743" s="102" t="s">
        <v>6245</v>
      </c>
      <c r="N3743" s="102" t="s">
        <v>6246</v>
      </c>
      <c r="O3743" s="105">
        <v>8412674.0</v>
      </c>
      <c r="P3743" s="105">
        <v>8544633.0</v>
      </c>
      <c r="Q3743" s="102" t="s">
        <v>2533</v>
      </c>
      <c r="S3743" s="1"/>
      <c r="T3743" s="1"/>
      <c r="U3743" s="1"/>
      <c r="V3743" s="1"/>
      <c r="W3743" s="1"/>
      <c r="X3743" s="1"/>
      <c r="Y3743" s="1"/>
      <c r="Z3743" s="102"/>
      <c r="AA3743" s="102"/>
      <c r="AB3743" s="1"/>
      <c r="AC3743" s="1"/>
      <c r="AD3743" s="1"/>
      <c r="AE3743" s="1"/>
      <c r="AF3743" s="1"/>
      <c r="AG3743" s="1"/>
    </row>
    <row r="3744" ht="15.75" customHeight="1">
      <c r="A3744" s="1"/>
      <c r="B3744" s="1"/>
      <c r="C3744" s="1"/>
      <c r="D3744" s="1"/>
      <c r="E3744" s="1"/>
      <c r="F3744" s="1"/>
      <c r="G3744" s="1"/>
      <c r="H3744" s="1"/>
      <c r="I3744" s="1"/>
      <c r="J3744" s="1"/>
      <c r="K3744" s="102" t="s">
        <v>6245</v>
      </c>
      <c r="L3744" s="102" t="str">
        <f>AC337</f>
        <v>J1a2a1a2d2b2b2c4d2a2a4a3a1b1b~</v>
      </c>
      <c r="M3744" s="102" t="s">
        <v>6244</v>
      </c>
      <c r="N3744" s="102" t="s">
        <v>6246</v>
      </c>
      <c r="O3744" s="105">
        <v>8412674.0</v>
      </c>
      <c r="P3744" s="105">
        <v>8544633.0</v>
      </c>
      <c r="Q3744" s="102" t="s">
        <v>2533</v>
      </c>
      <c r="S3744" s="1"/>
      <c r="T3744" s="1"/>
      <c r="U3744" s="1"/>
      <c r="V3744" s="1"/>
      <c r="W3744" s="1"/>
      <c r="X3744" s="1"/>
      <c r="Y3744" s="1"/>
      <c r="Z3744" s="102"/>
      <c r="AA3744" s="102"/>
      <c r="AB3744" s="1"/>
      <c r="AC3744" s="1"/>
      <c r="AD3744" s="1"/>
      <c r="AE3744" s="1"/>
      <c r="AF3744" s="1"/>
      <c r="AG3744" s="1"/>
    </row>
    <row r="3745" ht="15.75" customHeight="1">
      <c r="A3745" s="1"/>
      <c r="B3745" s="1"/>
      <c r="C3745" s="1"/>
      <c r="D3745" s="1"/>
      <c r="E3745" s="1"/>
      <c r="F3745" s="1"/>
      <c r="G3745" s="1"/>
      <c r="H3745" s="1"/>
      <c r="I3745" s="1"/>
      <c r="J3745" s="1"/>
      <c r="K3745" s="102" t="s">
        <v>6286</v>
      </c>
      <c r="L3745" s="102" t="str">
        <f>AD338</f>
        <v>J1a2a1a2d2b2b2c4d2a2a4a3a1b1b1~</v>
      </c>
      <c r="M3745" s="102" t="s">
        <v>6287</v>
      </c>
      <c r="N3745" s="102"/>
      <c r="O3745" s="105">
        <v>6795501.0</v>
      </c>
      <c r="P3745" s="105">
        <v>6927460.0</v>
      </c>
      <c r="Q3745" s="102" t="s">
        <v>2468</v>
      </c>
      <c r="S3745" s="1"/>
      <c r="T3745" s="1"/>
      <c r="U3745" s="1"/>
      <c r="V3745" s="1"/>
      <c r="W3745" s="1"/>
      <c r="X3745" s="1"/>
      <c r="Y3745" s="1"/>
      <c r="Z3745" s="102"/>
      <c r="AA3745" s="102"/>
      <c r="AB3745" s="1"/>
      <c r="AC3745" s="1"/>
      <c r="AD3745" s="1"/>
      <c r="AE3745" s="1"/>
      <c r="AF3745" s="1"/>
      <c r="AG3745" s="1"/>
    </row>
    <row r="3746" ht="15.75" customHeight="1">
      <c r="A3746" s="1"/>
      <c r="B3746" s="1"/>
      <c r="C3746" s="1"/>
      <c r="D3746" s="1"/>
      <c r="E3746" s="1"/>
      <c r="F3746" s="1"/>
      <c r="G3746" s="1"/>
      <c r="H3746" s="1"/>
      <c r="I3746" s="1"/>
      <c r="J3746" s="1"/>
      <c r="K3746" s="102" t="s">
        <v>6287</v>
      </c>
      <c r="L3746" s="102" t="str">
        <f>AD338</f>
        <v>J1a2a1a2d2b2b2c4d2a2a4a3a1b1b1~</v>
      </c>
      <c r="M3746" s="102" t="s">
        <v>6286</v>
      </c>
      <c r="N3746" s="102"/>
      <c r="O3746" s="105">
        <v>6795501.0</v>
      </c>
      <c r="P3746" s="105">
        <v>6927460.0</v>
      </c>
      <c r="Q3746" s="102" t="s">
        <v>2468</v>
      </c>
      <c r="S3746" s="1"/>
      <c r="T3746" s="1"/>
      <c r="U3746" s="1"/>
      <c r="V3746" s="1"/>
      <c r="W3746" s="1"/>
      <c r="X3746" s="1"/>
      <c r="Y3746" s="1"/>
      <c r="Z3746" s="102"/>
      <c r="AA3746" s="102"/>
      <c r="AB3746" s="1"/>
      <c r="AC3746" s="1"/>
      <c r="AD3746" s="1"/>
      <c r="AE3746" s="1"/>
      <c r="AF3746" s="1"/>
      <c r="AG3746" s="1"/>
    </row>
    <row r="3747" ht="15.75" customHeight="1">
      <c r="A3747" s="1"/>
      <c r="B3747" s="1"/>
      <c r="C3747" s="1"/>
      <c r="D3747" s="1"/>
      <c r="E3747" s="1"/>
      <c r="F3747" s="1"/>
      <c r="G3747" s="1"/>
      <c r="H3747" s="1"/>
      <c r="I3747" s="1"/>
      <c r="J3747" s="1"/>
      <c r="K3747" s="102" t="s">
        <v>6288</v>
      </c>
      <c r="L3747" s="102" t="str">
        <f>AD338</f>
        <v>J1a2a1a2d2b2b2c4d2a2a4a3a1b1b1~</v>
      </c>
      <c r="M3747" s="102"/>
      <c r="N3747" s="102"/>
      <c r="O3747" s="105">
        <v>1.3834869E7</v>
      </c>
      <c r="P3747" s="105">
        <v>1.1714163E7</v>
      </c>
      <c r="Q3747" s="102" t="s">
        <v>2533</v>
      </c>
      <c r="S3747" s="1"/>
      <c r="T3747" s="1"/>
      <c r="U3747" s="1"/>
      <c r="V3747" s="1"/>
      <c r="W3747" s="1"/>
      <c r="X3747" s="1"/>
      <c r="Y3747" s="1"/>
      <c r="Z3747" s="102"/>
      <c r="AA3747" s="102"/>
      <c r="AB3747" s="1"/>
      <c r="AC3747" s="1"/>
      <c r="AD3747" s="1"/>
      <c r="AE3747" s="1"/>
      <c r="AF3747" s="1"/>
      <c r="AG3747" s="1"/>
    </row>
    <row r="3748" ht="15.75" customHeight="1">
      <c r="A3748" s="1"/>
      <c r="B3748" s="1"/>
      <c r="C3748" s="1"/>
      <c r="D3748" s="1"/>
      <c r="E3748" s="1"/>
      <c r="F3748" s="1"/>
      <c r="G3748" s="1"/>
      <c r="H3748" s="1"/>
      <c r="I3748" s="1"/>
      <c r="J3748" s="1"/>
      <c r="K3748" s="102" t="s">
        <v>6289</v>
      </c>
      <c r="L3748" s="102" t="str">
        <f>AD338</f>
        <v>J1a2a1a2d2b2b2c4d2a2a4a3a1b1b1~</v>
      </c>
      <c r="M3748" s="102" t="s">
        <v>6290</v>
      </c>
      <c r="N3748" s="102"/>
      <c r="O3748" s="105">
        <v>2.1774643E7</v>
      </c>
      <c r="P3748" s="105">
        <v>1.9612757E7</v>
      </c>
      <c r="Q3748" s="102" t="s">
        <v>2439</v>
      </c>
      <c r="S3748" s="1"/>
      <c r="T3748" s="1"/>
      <c r="U3748" s="1"/>
      <c r="V3748" s="1"/>
      <c r="W3748" s="1"/>
      <c r="X3748" s="1"/>
      <c r="Y3748" s="1"/>
      <c r="Z3748" s="102"/>
      <c r="AA3748" s="102"/>
      <c r="AB3748" s="1"/>
      <c r="AC3748" s="1"/>
      <c r="AD3748" s="1"/>
      <c r="AE3748" s="1"/>
      <c r="AF3748" s="1"/>
      <c r="AG3748" s="1"/>
    </row>
    <row r="3749" ht="15.75" customHeight="1">
      <c r="A3749" s="1"/>
      <c r="B3749" s="1"/>
      <c r="C3749" s="1"/>
      <c r="D3749" s="1"/>
      <c r="E3749" s="1"/>
      <c r="F3749" s="1"/>
      <c r="G3749" s="1"/>
      <c r="H3749" s="1"/>
      <c r="I3749" s="1"/>
      <c r="J3749" s="1"/>
      <c r="K3749" s="102" t="s">
        <v>6290</v>
      </c>
      <c r="L3749" s="102" t="str">
        <f>AD338</f>
        <v>J1a2a1a2d2b2b2c4d2a2a4a3a1b1b1~</v>
      </c>
      <c r="M3749" s="102" t="s">
        <v>6289</v>
      </c>
      <c r="N3749" s="102"/>
      <c r="O3749" s="105">
        <v>2.1774643E7</v>
      </c>
      <c r="P3749" s="105">
        <v>1.9612757E7</v>
      </c>
      <c r="Q3749" s="102" t="s">
        <v>2439</v>
      </c>
      <c r="S3749" s="1"/>
      <c r="T3749" s="1"/>
      <c r="U3749" s="1"/>
      <c r="V3749" s="1"/>
      <c r="W3749" s="1"/>
      <c r="X3749" s="1"/>
      <c r="Y3749" s="1"/>
      <c r="Z3749" s="102"/>
      <c r="AA3749" s="102"/>
      <c r="AB3749" s="1"/>
      <c r="AC3749" s="1"/>
      <c r="AD3749" s="1"/>
      <c r="AE3749" s="1"/>
      <c r="AF3749" s="1"/>
      <c r="AG3749" s="1"/>
    </row>
    <row r="3750" ht="15.75" customHeight="1">
      <c r="A3750" s="1"/>
      <c r="B3750" s="1"/>
      <c r="C3750" s="1"/>
      <c r="D3750" s="1"/>
      <c r="E3750" s="1"/>
      <c r="F3750" s="1"/>
      <c r="G3750" s="1"/>
      <c r="H3750" s="1"/>
      <c r="I3750" s="1"/>
      <c r="J3750" s="1"/>
      <c r="K3750" s="102" t="s">
        <v>6291</v>
      </c>
      <c r="L3750" s="102" t="str">
        <f>AD338</f>
        <v>J1a2a1a2d2b2b2c4d2a2a4a3a1b1b1~</v>
      </c>
      <c r="M3750" s="102"/>
      <c r="N3750" s="102"/>
      <c r="O3750" s="105">
        <v>2824340.0</v>
      </c>
      <c r="P3750" s="105">
        <v>2956299.0</v>
      </c>
      <c r="Q3750" s="102" t="s">
        <v>2468</v>
      </c>
      <c r="S3750" s="1"/>
      <c r="T3750" s="1"/>
      <c r="U3750" s="1"/>
      <c r="V3750" s="1"/>
      <c r="W3750" s="1"/>
      <c r="X3750" s="1"/>
      <c r="Y3750" s="1"/>
      <c r="Z3750" s="102"/>
      <c r="AA3750" s="102"/>
      <c r="AB3750" s="1"/>
      <c r="AC3750" s="1"/>
      <c r="AD3750" s="1"/>
      <c r="AE3750" s="1"/>
      <c r="AF3750" s="1"/>
      <c r="AG3750" s="1"/>
    </row>
    <row r="3751" ht="15.75" customHeight="1">
      <c r="A3751" s="1"/>
      <c r="B3751" s="1"/>
      <c r="C3751" s="1"/>
      <c r="D3751" s="1"/>
      <c r="E3751" s="1"/>
      <c r="F3751" s="1"/>
      <c r="G3751" s="1"/>
      <c r="H3751" s="1"/>
      <c r="I3751" s="1"/>
      <c r="J3751" s="1"/>
      <c r="K3751" s="102" t="s">
        <v>6292</v>
      </c>
      <c r="L3751" s="102" t="str">
        <f>AD338</f>
        <v>J1a2a1a2d2b2b2c4d2a2a4a3a1b1b1~</v>
      </c>
      <c r="M3751" s="102" t="s">
        <v>6293</v>
      </c>
      <c r="N3751" s="102" t="s">
        <v>6294</v>
      </c>
      <c r="O3751" s="105">
        <v>1.5801115E7</v>
      </c>
      <c r="P3751" s="105">
        <v>1.3689235E7</v>
      </c>
      <c r="Q3751" s="102" t="s">
        <v>2468</v>
      </c>
      <c r="S3751" s="1"/>
      <c r="T3751" s="1"/>
      <c r="U3751" s="1"/>
      <c r="V3751" s="1"/>
      <c r="W3751" s="1"/>
      <c r="X3751" s="1"/>
      <c r="Y3751" s="1"/>
      <c r="Z3751" s="102"/>
      <c r="AA3751" s="102"/>
      <c r="AB3751" s="1"/>
      <c r="AC3751" s="1"/>
      <c r="AD3751" s="1"/>
      <c r="AE3751" s="1"/>
      <c r="AF3751" s="1"/>
      <c r="AG3751" s="1"/>
    </row>
    <row r="3752" ht="15.75" customHeight="1">
      <c r="A3752" s="1"/>
      <c r="B3752" s="1"/>
      <c r="C3752" s="1"/>
      <c r="D3752" s="1"/>
      <c r="E3752" s="1"/>
      <c r="F3752" s="1"/>
      <c r="G3752" s="1"/>
      <c r="H3752" s="1"/>
      <c r="I3752" s="1"/>
      <c r="J3752" s="1"/>
      <c r="K3752" s="102" t="s">
        <v>6293</v>
      </c>
      <c r="L3752" s="102" t="str">
        <f>AD338</f>
        <v>J1a2a1a2d2b2b2c4d2a2a4a3a1b1b1~</v>
      </c>
      <c r="M3752" s="102" t="s">
        <v>6292</v>
      </c>
      <c r="N3752" s="102" t="s">
        <v>6294</v>
      </c>
      <c r="O3752" s="105">
        <v>1.5801115E7</v>
      </c>
      <c r="P3752" s="105">
        <v>1.3689235E7</v>
      </c>
      <c r="Q3752" s="102" t="s">
        <v>2468</v>
      </c>
      <c r="S3752" s="1"/>
      <c r="T3752" s="1"/>
      <c r="U3752" s="1"/>
      <c r="V3752" s="1"/>
      <c r="W3752" s="1"/>
      <c r="X3752" s="1"/>
      <c r="Y3752" s="1"/>
      <c r="Z3752" s="102"/>
      <c r="AA3752" s="102"/>
      <c r="AB3752" s="1"/>
      <c r="AC3752" s="1"/>
      <c r="AD3752" s="1"/>
      <c r="AE3752" s="1"/>
      <c r="AF3752" s="1"/>
      <c r="AG3752" s="1"/>
    </row>
    <row r="3753" ht="15.75" customHeight="1">
      <c r="A3753" s="1"/>
      <c r="B3753" s="1"/>
      <c r="C3753" s="1"/>
      <c r="D3753" s="1"/>
      <c r="E3753" s="1"/>
      <c r="F3753" s="1"/>
      <c r="G3753" s="1"/>
      <c r="H3753" s="1"/>
      <c r="I3753" s="1"/>
      <c r="J3753" s="1"/>
      <c r="K3753" s="102" t="s">
        <v>6295</v>
      </c>
      <c r="L3753" s="102" t="str">
        <f>AE339</f>
        <v>J1a2a1a2d2b2b2c4d2a2a4a3a1b1b1a~</v>
      </c>
      <c r="M3753" s="102" t="s">
        <v>6296</v>
      </c>
      <c r="N3753" s="102"/>
      <c r="O3753" s="105">
        <v>1.5456159E7</v>
      </c>
      <c r="P3753" s="105">
        <v>1.3344279E7</v>
      </c>
      <c r="Q3753" s="102" t="s">
        <v>2423</v>
      </c>
      <c r="S3753" s="1"/>
      <c r="T3753" s="1"/>
      <c r="U3753" s="1"/>
      <c r="V3753" s="1"/>
      <c r="W3753" s="1"/>
      <c r="X3753" s="1"/>
      <c r="Y3753" s="1"/>
      <c r="Z3753" s="102"/>
      <c r="AA3753" s="102"/>
      <c r="AB3753" s="1"/>
      <c r="AC3753" s="1"/>
      <c r="AD3753" s="1"/>
      <c r="AE3753" s="1"/>
      <c r="AF3753" s="1"/>
      <c r="AG3753" s="1"/>
    </row>
    <row r="3754" ht="15.75" customHeight="1">
      <c r="A3754" s="1"/>
      <c r="B3754" s="1"/>
      <c r="C3754" s="1"/>
      <c r="D3754" s="1"/>
      <c r="E3754" s="1"/>
      <c r="F3754" s="1"/>
      <c r="G3754" s="1"/>
      <c r="H3754" s="1"/>
      <c r="I3754" s="1"/>
      <c r="J3754" s="1"/>
      <c r="K3754" s="102" t="s">
        <v>6296</v>
      </c>
      <c r="L3754" s="102" t="str">
        <f>AE339</f>
        <v>J1a2a1a2d2b2b2c4d2a2a4a3a1b1b1a~</v>
      </c>
      <c r="M3754" s="102" t="s">
        <v>6295</v>
      </c>
      <c r="N3754" s="102"/>
      <c r="O3754" s="105">
        <v>1.5456159E7</v>
      </c>
      <c r="P3754" s="105">
        <v>1.3344279E7</v>
      </c>
      <c r="Q3754" s="102" t="s">
        <v>2423</v>
      </c>
      <c r="S3754" s="1"/>
      <c r="T3754" s="1"/>
      <c r="U3754" s="1"/>
      <c r="V3754" s="1"/>
      <c r="W3754" s="1"/>
      <c r="X3754" s="1"/>
      <c r="Y3754" s="1"/>
      <c r="Z3754" s="102"/>
      <c r="AA3754" s="102"/>
      <c r="AB3754" s="1"/>
      <c r="AC3754" s="1"/>
      <c r="AD3754" s="1"/>
      <c r="AE3754" s="1"/>
      <c r="AF3754" s="1"/>
      <c r="AG3754" s="1"/>
    </row>
    <row r="3755" ht="15.75" customHeight="1">
      <c r="A3755" s="1"/>
      <c r="B3755" s="1"/>
      <c r="C3755" s="1"/>
      <c r="D3755" s="1"/>
      <c r="E3755" s="1"/>
      <c r="F3755" s="1"/>
      <c r="G3755" s="1"/>
      <c r="H3755" s="1"/>
      <c r="I3755" s="1"/>
      <c r="J3755" s="1"/>
      <c r="K3755" s="102" t="s">
        <v>6297</v>
      </c>
      <c r="L3755" s="102" t="str">
        <f>AE339</f>
        <v>J1a2a1a2d2b2b2c4d2a2a4a3a1b1b1a~</v>
      </c>
      <c r="M3755" s="102" t="s">
        <v>6298</v>
      </c>
      <c r="N3755" s="102"/>
      <c r="O3755" s="105">
        <v>1.5906316E7</v>
      </c>
      <c r="P3755" s="105">
        <v>1.3794436E7</v>
      </c>
      <c r="Q3755" s="102" t="s">
        <v>2533</v>
      </c>
      <c r="S3755" s="1"/>
      <c r="T3755" s="1"/>
      <c r="U3755" s="1"/>
      <c r="V3755" s="1"/>
      <c r="W3755" s="1"/>
      <c r="X3755" s="1"/>
      <c r="Y3755" s="1"/>
      <c r="Z3755" s="102"/>
      <c r="AA3755" s="102"/>
      <c r="AB3755" s="1"/>
      <c r="AC3755" s="1"/>
      <c r="AD3755" s="1"/>
      <c r="AE3755" s="1"/>
      <c r="AF3755" s="1"/>
      <c r="AG3755" s="1"/>
    </row>
    <row r="3756" ht="15.75" customHeight="1">
      <c r="A3756" s="1"/>
      <c r="B3756" s="1"/>
      <c r="C3756" s="1"/>
      <c r="D3756" s="1"/>
      <c r="E3756" s="1"/>
      <c r="F3756" s="1"/>
      <c r="G3756" s="1"/>
      <c r="H3756" s="1"/>
      <c r="I3756" s="1"/>
      <c r="J3756" s="1"/>
      <c r="K3756" s="102" t="s">
        <v>6298</v>
      </c>
      <c r="L3756" s="102" t="str">
        <f>AE339</f>
        <v>J1a2a1a2d2b2b2c4d2a2a4a3a1b1b1a~</v>
      </c>
      <c r="M3756" s="102" t="s">
        <v>6297</v>
      </c>
      <c r="N3756" s="102"/>
      <c r="O3756" s="105">
        <v>1.5906316E7</v>
      </c>
      <c r="P3756" s="105">
        <v>1.3794436E7</v>
      </c>
      <c r="Q3756" s="102" t="s">
        <v>2533</v>
      </c>
      <c r="S3756" s="1"/>
      <c r="T3756" s="1"/>
      <c r="U3756" s="1"/>
      <c r="V3756" s="1"/>
      <c r="W3756" s="1"/>
      <c r="X3756" s="1"/>
      <c r="Y3756" s="1"/>
      <c r="Z3756" s="102"/>
      <c r="AA3756" s="102"/>
      <c r="AB3756" s="1"/>
      <c r="AC3756" s="1"/>
      <c r="AD3756" s="1"/>
      <c r="AE3756" s="1"/>
      <c r="AF3756" s="1"/>
      <c r="AG3756" s="1"/>
    </row>
    <row r="3757" ht="15.75" customHeight="1">
      <c r="A3757" s="1"/>
      <c r="B3757" s="1"/>
      <c r="C3757" s="1"/>
      <c r="D3757" s="1"/>
      <c r="E3757" s="1"/>
      <c r="F3757" s="1"/>
      <c r="G3757" s="1"/>
      <c r="H3757" s="1"/>
      <c r="I3757" s="1"/>
      <c r="J3757" s="1"/>
      <c r="K3757" s="102" t="s">
        <v>6299</v>
      </c>
      <c r="L3757" s="102" t="str">
        <f>AE339</f>
        <v>J1a2a1a2d2b2b2c4d2a2a4a3a1b1b1a~</v>
      </c>
      <c r="M3757" s="102"/>
      <c r="N3757" s="102"/>
      <c r="O3757" s="105">
        <v>1.8934662E7</v>
      </c>
      <c r="P3757" s="105">
        <v>1.6822782E7</v>
      </c>
      <c r="Q3757" s="102" t="s">
        <v>2468</v>
      </c>
      <c r="S3757" s="1"/>
      <c r="T3757" s="1"/>
      <c r="U3757" s="1"/>
      <c r="V3757" s="1"/>
      <c r="W3757" s="1"/>
      <c r="X3757" s="1"/>
      <c r="Y3757" s="1"/>
      <c r="Z3757" s="102"/>
      <c r="AA3757" s="102"/>
      <c r="AB3757" s="1"/>
      <c r="AC3757" s="1"/>
      <c r="AD3757" s="1"/>
      <c r="AE3757" s="1"/>
      <c r="AF3757" s="1"/>
      <c r="AG3757" s="1"/>
    </row>
    <row r="3758" ht="15.75" customHeight="1">
      <c r="A3758" s="1"/>
      <c r="B3758" s="1"/>
      <c r="C3758" s="1"/>
      <c r="D3758" s="1"/>
      <c r="E3758" s="1"/>
      <c r="F3758" s="1"/>
      <c r="G3758" s="1"/>
      <c r="H3758" s="1"/>
      <c r="I3758" s="1"/>
      <c r="J3758" s="1"/>
      <c r="K3758" s="102" t="s">
        <v>6300</v>
      </c>
      <c r="L3758" s="102" t="str">
        <f>AE339</f>
        <v>J1a2a1a2d2b2b2c4d2a2a4a3a1b1b1a~</v>
      </c>
      <c r="M3758" s="102" t="s">
        <v>6301</v>
      </c>
      <c r="N3758" s="102"/>
      <c r="O3758" s="105">
        <v>1.9209708E7</v>
      </c>
      <c r="P3758" s="105">
        <v>1.7097828E7</v>
      </c>
      <c r="Q3758" s="102" t="s">
        <v>2432</v>
      </c>
      <c r="S3758" s="1"/>
      <c r="T3758" s="1"/>
      <c r="U3758" s="1"/>
      <c r="V3758" s="1"/>
      <c r="W3758" s="1"/>
      <c r="X3758" s="1"/>
      <c r="Y3758" s="1"/>
      <c r="Z3758" s="102"/>
      <c r="AA3758" s="102"/>
      <c r="AB3758" s="1"/>
      <c r="AC3758" s="1"/>
      <c r="AD3758" s="1"/>
      <c r="AE3758" s="1"/>
      <c r="AF3758" s="1"/>
      <c r="AG3758" s="1"/>
    </row>
    <row r="3759" ht="15.75" customHeight="1">
      <c r="A3759" s="1"/>
      <c r="B3759" s="1"/>
      <c r="C3759" s="1"/>
      <c r="D3759" s="1"/>
      <c r="E3759" s="1"/>
      <c r="F3759" s="1"/>
      <c r="G3759" s="1"/>
      <c r="H3759" s="1"/>
      <c r="I3759" s="1"/>
      <c r="J3759" s="1"/>
      <c r="K3759" s="102" t="s">
        <v>6301</v>
      </c>
      <c r="L3759" s="102" t="str">
        <f>AE339</f>
        <v>J1a2a1a2d2b2b2c4d2a2a4a3a1b1b1a~</v>
      </c>
      <c r="M3759" s="102" t="s">
        <v>6300</v>
      </c>
      <c r="N3759" s="102"/>
      <c r="O3759" s="105">
        <v>1.9209708E7</v>
      </c>
      <c r="P3759" s="105">
        <v>1.7097828E7</v>
      </c>
      <c r="Q3759" s="102" t="s">
        <v>2432</v>
      </c>
      <c r="S3759" s="1"/>
      <c r="T3759" s="1"/>
      <c r="U3759" s="1"/>
      <c r="V3759" s="1"/>
      <c r="W3759" s="1"/>
      <c r="X3759" s="1"/>
      <c r="Y3759" s="1"/>
      <c r="Z3759" s="102"/>
      <c r="AA3759" s="102"/>
      <c r="AB3759" s="1"/>
      <c r="AC3759" s="1"/>
      <c r="AD3759" s="1"/>
      <c r="AE3759" s="1"/>
      <c r="AF3759" s="1"/>
      <c r="AG3759" s="1"/>
    </row>
    <row r="3760" ht="15.75" customHeight="1">
      <c r="A3760" s="1"/>
      <c r="B3760" s="1"/>
      <c r="C3760" s="1"/>
      <c r="D3760" s="1"/>
      <c r="E3760" s="1"/>
      <c r="F3760" s="1"/>
      <c r="G3760" s="1"/>
      <c r="H3760" s="1"/>
      <c r="I3760" s="1"/>
      <c r="J3760" s="1"/>
      <c r="K3760" s="102" t="s">
        <v>6302</v>
      </c>
      <c r="L3760" s="102" t="str">
        <f>AE339</f>
        <v>J1a2a1a2d2b2b2c4d2a2a4a3a1b1b1a~</v>
      </c>
      <c r="M3760" s="102" t="s">
        <v>6303</v>
      </c>
      <c r="N3760" s="102"/>
      <c r="O3760" s="105">
        <v>2.1282892E7</v>
      </c>
      <c r="P3760" s="105">
        <v>1.9121006E7</v>
      </c>
      <c r="Q3760" s="102" t="s">
        <v>2439</v>
      </c>
      <c r="S3760" s="1"/>
      <c r="T3760" s="1"/>
      <c r="U3760" s="1"/>
      <c r="V3760" s="1"/>
      <c r="W3760" s="1"/>
      <c r="X3760" s="1"/>
      <c r="Y3760" s="1"/>
      <c r="Z3760" s="102"/>
      <c r="AA3760" s="102"/>
      <c r="AB3760" s="1"/>
      <c r="AC3760" s="1"/>
      <c r="AD3760" s="1"/>
      <c r="AE3760" s="1"/>
      <c r="AF3760" s="1"/>
      <c r="AG3760" s="1"/>
    </row>
    <row r="3761" ht="15.75" customHeight="1">
      <c r="A3761" s="1"/>
      <c r="B3761" s="1"/>
      <c r="C3761" s="1"/>
      <c r="D3761" s="1"/>
      <c r="E3761" s="1"/>
      <c r="F3761" s="1"/>
      <c r="G3761" s="1"/>
      <c r="H3761" s="1"/>
      <c r="I3761" s="1"/>
      <c r="J3761" s="1"/>
      <c r="K3761" s="102" t="s">
        <v>6303</v>
      </c>
      <c r="L3761" s="102" t="str">
        <f>AE339</f>
        <v>J1a2a1a2d2b2b2c4d2a2a4a3a1b1b1a~</v>
      </c>
      <c r="M3761" s="102" t="s">
        <v>6302</v>
      </c>
      <c r="N3761" s="102"/>
      <c r="O3761" s="105">
        <v>2.1282892E7</v>
      </c>
      <c r="P3761" s="105">
        <v>1.9121006E7</v>
      </c>
      <c r="Q3761" s="102" t="s">
        <v>2439</v>
      </c>
      <c r="S3761" s="1"/>
      <c r="T3761" s="1"/>
      <c r="U3761" s="1"/>
      <c r="V3761" s="1"/>
      <c r="W3761" s="1"/>
      <c r="X3761" s="1"/>
      <c r="Y3761" s="1"/>
      <c r="Z3761" s="102"/>
      <c r="AA3761" s="102"/>
      <c r="AB3761" s="1"/>
      <c r="AC3761" s="1"/>
      <c r="AD3761" s="1"/>
      <c r="AE3761" s="1"/>
      <c r="AF3761" s="1"/>
      <c r="AG3761" s="1"/>
    </row>
    <row r="3762" ht="15.75" customHeight="1">
      <c r="A3762" s="1"/>
      <c r="B3762" s="1"/>
      <c r="C3762" s="1"/>
      <c r="D3762" s="1"/>
      <c r="E3762" s="1"/>
      <c r="F3762" s="1"/>
      <c r="G3762" s="1"/>
      <c r="H3762" s="1"/>
      <c r="I3762" s="1"/>
      <c r="J3762" s="1"/>
      <c r="K3762" s="102" t="s">
        <v>649</v>
      </c>
      <c r="L3762" s="102" t="str">
        <f>AF340</f>
        <v>J1a2a1a2d2b2b2c4d2a2a4a3a1b1b1a1~</v>
      </c>
      <c r="M3762" s="102"/>
      <c r="N3762" s="102"/>
      <c r="O3762" s="105">
        <v>2683891.0</v>
      </c>
      <c r="P3762" s="105">
        <v>2815850.0</v>
      </c>
      <c r="Q3762" s="102" t="s">
        <v>2454</v>
      </c>
      <c r="S3762" s="1"/>
      <c r="T3762" s="1"/>
      <c r="U3762" s="1"/>
      <c r="V3762" s="1"/>
      <c r="W3762" s="1"/>
      <c r="X3762" s="1"/>
      <c r="Y3762" s="1"/>
      <c r="Z3762" s="102"/>
      <c r="AA3762" s="102"/>
      <c r="AB3762" s="1"/>
      <c r="AC3762" s="1"/>
      <c r="AD3762" s="1"/>
      <c r="AE3762" s="1"/>
      <c r="AF3762" s="1"/>
      <c r="AG3762" s="1"/>
    </row>
    <row r="3763" ht="15.75" customHeight="1">
      <c r="A3763" s="1"/>
      <c r="B3763" s="1"/>
      <c r="C3763" s="1"/>
      <c r="D3763" s="1"/>
      <c r="E3763" s="1"/>
      <c r="F3763" s="1"/>
      <c r="G3763" s="1"/>
      <c r="H3763" s="1"/>
      <c r="I3763" s="1"/>
      <c r="J3763" s="1"/>
      <c r="K3763" s="102" t="s">
        <v>651</v>
      </c>
      <c r="L3763" s="102" t="str">
        <f>AG341</f>
        <v>J1a2a1a2d2b2b2c4d2a2a4a3a1b1b1a1a~</v>
      </c>
      <c r="M3763" s="102"/>
      <c r="N3763" s="102"/>
      <c r="O3763" s="105">
        <v>1.4092797E7</v>
      </c>
      <c r="P3763" s="105">
        <v>1.1972091E7</v>
      </c>
      <c r="Q3763" s="102" t="s">
        <v>2529</v>
      </c>
      <c r="S3763" s="1"/>
      <c r="T3763" s="1"/>
      <c r="U3763" s="1"/>
      <c r="V3763" s="1"/>
      <c r="W3763" s="1"/>
      <c r="X3763" s="1"/>
      <c r="Y3763" s="1"/>
      <c r="Z3763" s="102"/>
      <c r="AA3763" s="102"/>
      <c r="AB3763" s="1"/>
      <c r="AC3763" s="1"/>
      <c r="AD3763" s="1"/>
      <c r="AE3763" s="1"/>
      <c r="AF3763" s="1"/>
      <c r="AG3763" s="1"/>
    </row>
    <row r="3764" ht="15.75" customHeight="1">
      <c r="A3764" s="1"/>
      <c r="B3764" s="1"/>
      <c r="C3764" s="1"/>
      <c r="D3764" s="1"/>
      <c r="E3764" s="1"/>
      <c r="F3764" s="1"/>
      <c r="G3764" s="1"/>
      <c r="H3764" s="1"/>
      <c r="I3764" s="1"/>
      <c r="J3764" s="1"/>
      <c r="K3764" s="102" t="s">
        <v>653</v>
      </c>
      <c r="L3764" s="102" t="str">
        <f>AH342</f>
        <v>J1a2a1a2d2b2b2c4d2a2a4a3a1b1b1a1a1~</v>
      </c>
      <c r="M3764" s="102"/>
      <c r="N3764" s="102"/>
      <c r="O3764" s="105">
        <v>1.5909525E7</v>
      </c>
      <c r="P3764" s="105">
        <v>1.3797645E7</v>
      </c>
      <c r="Q3764" s="102" t="s">
        <v>2439</v>
      </c>
      <c r="S3764" s="1"/>
      <c r="T3764" s="1"/>
      <c r="U3764" s="1"/>
      <c r="V3764" s="1"/>
      <c r="W3764" s="1"/>
      <c r="X3764" s="1"/>
      <c r="Y3764" s="1"/>
      <c r="Z3764" s="102"/>
      <c r="AA3764" s="102"/>
      <c r="AB3764" s="1"/>
      <c r="AC3764" s="1"/>
      <c r="AD3764" s="1"/>
      <c r="AE3764" s="1"/>
      <c r="AF3764" s="1"/>
      <c r="AG3764" s="1"/>
    </row>
    <row r="3765" ht="15.75" customHeight="1">
      <c r="A3765" s="1"/>
      <c r="B3765" s="1"/>
      <c r="C3765" s="1"/>
      <c r="D3765" s="1"/>
      <c r="E3765" s="1"/>
      <c r="F3765" s="1"/>
      <c r="G3765" s="1"/>
      <c r="H3765" s="1"/>
      <c r="I3765" s="1"/>
      <c r="J3765" s="1"/>
      <c r="K3765" s="102" t="s">
        <v>655</v>
      </c>
      <c r="L3765" s="102" t="str">
        <f>AF343</f>
        <v>J1a2a1a2d2b2b2c4d2a2a4a3a1b1b1a2~</v>
      </c>
      <c r="M3765" s="102"/>
      <c r="N3765" s="102"/>
      <c r="O3765" s="105">
        <v>2.1256604E7</v>
      </c>
      <c r="P3765" s="105">
        <v>1.9094718E7</v>
      </c>
      <c r="Q3765" s="102" t="s">
        <v>2529</v>
      </c>
      <c r="S3765" s="1"/>
      <c r="T3765" s="1"/>
      <c r="U3765" s="1"/>
      <c r="V3765" s="1"/>
      <c r="W3765" s="1"/>
      <c r="X3765" s="1"/>
      <c r="Y3765" s="1"/>
      <c r="Z3765" s="102"/>
      <c r="AA3765" s="102"/>
      <c r="AB3765" s="1"/>
      <c r="AC3765" s="1"/>
      <c r="AD3765" s="1"/>
      <c r="AE3765" s="1"/>
      <c r="AF3765" s="1"/>
      <c r="AG3765" s="1"/>
    </row>
    <row r="3766" ht="15.75" customHeight="1">
      <c r="A3766" s="1"/>
      <c r="B3766" s="1"/>
      <c r="C3766" s="1"/>
      <c r="D3766" s="1"/>
      <c r="E3766" s="1"/>
      <c r="F3766" s="1"/>
      <c r="G3766" s="1"/>
      <c r="H3766" s="1"/>
      <c r="I3766" s="1"/>
      <c r="J3766" s="1"/>
      <c r="K3766" s="102" t="s">
        <v>657</v>
      </c>
      <c r="L3766" s="102" t="str">
        <f>AD344</f>
        <v>J1a2a1a2d2b2b2c4d2a2a4a3a1b1b2~</v>
      </c>
      <c r="M3766" s="102"/>
      <c r="N3766" s="102"/>
      <c r="O3766" s="105">
        <v>1.8566889E7</v>
      </c>
      <c r="P3766" s="105">
        <v>1.6455009E7</v>
      </c>
      <c r="Q3766" s="102" t="s">
        <v>2501</v>
      </c>
      <c r="S3766" s="1"/>
      <c r="T3766" s="1"/>
      <c r="U3766" s="1"/>
      <c r="V3766" s="1"/>
      <c r="W3766" s="1"/>
      <c r="X3766" s="1"/>
      <c r="Y3766" s="1"/>
      <c r="Z3766" s="102"/>
      <c r="AA3766" s="102"/>
      <c r="AB3766" s="1"/>
      <c r="AC3766" s="1"/>
      <c r="AD3766" s="1"/>
      <c r="AE3766" s="1"/>
      <c r="AF3766" s="1"/>
      <c r="AG3766" s="1"/>
    </row>
    <row r="3767" ht="15.75" customHeight="1">
      <c r="A3767" s="1"/>
      <c r="B3767" s="1"/>
      <c r="C3767" s="1"/>
      <c r="D3767" s="1"/>
      <c r="E3767" s="1"/>
      <c r="F3767" s="1"/>
      <c r="G3767" s="1"/>
      <c r="H3767" s="1"/>
      <c r="I3767" s="1"/>
      <c r="J3767" s="1"/>
      <c r="K3767" s="102" t="s">
        <v>6304</v>
      </c>
      <c r="L3767" s="102" t="str">
        <f>X345</f>
        <v>J1a2a1a2d2b2b2c4d2a2a4a4~</v>
      </c>
      <c r="M3767" s="102" t="s">
        <v>6305</v>
      </c>
      <c r="N3767" s="102"/>
      <c r="O3767" s="105">
        <v>8877979.0</v>
      </c>
      <c r="P3767" s="105">
        <v>9009938.0</v>
      </c>
      <c r="Q3767" s="102" t="s">
        <v>2439</v>
      </c>
      <c r="S3767" s="1"/>
      <c r="T3767" s="1"/>
      <c r="U3767" s="1"/>
      <c r="V3767" s="1"/>
      <c r="W3767" s="1"/>
      <c r="X3767" s="1"/>
      <c r="Y3767" s="1"/>
      <c r="Z3767" s="102"/>
      <c r="AA3767" s="102"/>
      <c r="AB3767" s="1"/>
      <c r="AC3767" s="1"/>
      <c r="AD3767" s="1"/>
      <c r="AE3767" s="1"/>
      <c r="AF3767" s="1"/>
      <c r="AG3767" s="1"/>
    </row>
    <row r="3768" ht="15.75" customHeight="1">
      <c r="A3768" s="1"/>
      <c r="B3768" s="1"/>
      <c r="C3768" s="1"/>
      <c r="D3768" s="1"/>
      <c r="E3768" s="1"/>
      <c r="F3768" s="1"/>
      <c r="G3768" s="1"/>
      <c r="H3768" s="1"/>
      <c r="I3768" s="1"/>
      <c r="J3768" s="1"/>
      <c r="K3768" s="102" t="s">
        <v>6305</v>
      </c>
      <c r="L3768" s="102" t="str">
        <f>X345</f>
        <v>J1a2a1a2d2b2b2c4d2a2a4a4~</v>
      </c>
      <c r="M3768" s="102" t="s">
        <v>6304</v>
      </c>
      <c r="N3768" s="102"/>
      <c r="O3768" s="105">
        <v>8877979.0</v>
      </c>
      <c r="P3768" s="105">
        <v>9009938.0</v>
      </c>
      <c r="Q3768" s="102" t="s">
        <v>2439</v>
      </c>
      <c r="S3768" s="1"/>
      <c r="T3768" s="1"/>
      <c r="U3768" s="1"/>
      <c r="V3768" s="1"/>
      <c r="W3768" s="1"/>
      <c r="X3768" s="1"/>
      <c r="Y3768" s="1"/>
      <c r="Z3768" s="102"/>
      <c r="AA3768" s="102"/>
      <c r="AB3768" s="1"/>
      <c r="AC3768" s="1"/>
      <c r="AD3768" s="1"/>
      <c r="AE3768" s="1"/>
      <c r="AF3768" s="1"/>
      <c r="AG3768" s="1"/>
    </row>
    <row r="3769" ht="15.75" customHeight="1">
      <c r="A3769" s="1"/>
      <c r="B3769" s="1"/>
      <c r="C3769" s="1"/>
      <c r="D3769" s="1"/>
      <c r="E3769" s="1"/>
      <c r="F3769" s="1"/>
      <c r="G3769" s="1"/>
      <c r="H3769" s="1"/>
      <c r="I3769" s="1"/>
      <c r="J3769" s="1"/>
      <c r="K3769" s="102" t="s">
        <v>661</v>
      </c>
      <c r="L3769" s="102" t="str">
        <f>Y346</f>
        <v>J1a2a1a2d2b2b2c4d2a2a4a4a~</v>
      </c>
      <c r="M3769" s="102"/>
      <c r="N3769" s="102"/>
      <c r="O3769" s="105">
        <v>2.3301554E7</v>
      </c>
      <c r="P3769" s="105">
        <v>2.1139668E7</v>
      </c>
      <c r="Q3769" s="102" t="s">
        <v>2501</v>
      </c>
      <c r="S3769" s="1"/>
      <c r="T3769" s="1"/>
      <c r="U3769" s="1"/>
      <c r="V3769" s="1"/>
      <c r="W3769" s="1"/>
      <c r="X3769" s="1"/>
      <c r="Y3769" s="1"/>
      <c r="Z3769" s="102"/>
      <c r="AA3769" s="102"/>
      <c r="AB3769" s="1"/>
      <c r="AC3769" s="1"/>
      <c r="AD3769" s="1"/>
      <c r="AE3769" s="1"/>
      <c r="AF3769" s="1"/>
      <c r="AG3769" s="1"/>
    </row>
    <row r="3770" ht="15.75" customHeight="1">
      <c r="A3770" s="1"/>
      <c r="B3770" s="1"/>
      <c r="C3770" s="1"/>
      <c r="D3770" s="1"/>
      <c r="E3770" s="1"/>
      <c r="F3770" s="1"/>
      <c r="G3770" s="1"/>
      <c r="H3770" s="1"/>
      <c r="I3770" s="1"/>
      <c r="J3770" s="1"/>
      <c r="K3770" s="102" t="s">
        <v>6306</v>
      </c>
      <c r="L3770" s="102" t="str">
        <f>Z347</f>
        <v>J1a2a1a2d2b2b2c4d2a2a4a4a1~</v>
      </c>
      <c r="M3770" s="102" t="s">
        <v>6307</v>
      </c>
      <c r="N3770" s="102"/>
      <c r="O3770" s="105">
        <v>1.5858489E7</v>
      </c>
      <c r="P3770" s="105">
        <v>1.3746609E7</v>
      </c>
      <c r="Q3770" s="102" t="s">
        <v>2501</v>
      </c>
      <c r="S3770" s="1"/>
      <c r="T3770" s="1"/>
      <c r="U3770" s="1"/>
      <c r="V3770" s="1"/>
      <c r="W3770" s="1"/>
      <c r="X3770" s="1"/>
      <c r="Y3770" s="1"/>
      <c r="Z3770" s="102"/>
      <c r="AA3770" s="102"/>
      <c r="AB3770" s="1"/>
      <c r="AC3770" s="1"/>
      <c r="AD3770" s="1"/>
      <c r="AE3770" s="1"/>
      <c r="AF3770" s="1"/>
      <c r="AG3770" s="1"/>
    </row>
    <row r="3771" ht="15.75" customHeight="1">
      <c r="A3771" s="1"/>
      <c r="B3771" s="1"/>
      <c r="C3771" s="1"/>
      <c r="D3771" s="1"/>
      <c r="E3771" s="1"/>
      <c r="F3771" s="1"/>
      <c r="G3771" s="1"/>
      <c r="H3771" s="1"/>
      <c r="I3771" s="1"/>
      <c r="J3771" s="1"/>
      <c r="K3771" s="102" t="s">
        <v>6307</v>
      </c>
      <c r="L3771" s="102" t="str">
        <f>Z347</f>
        <v>J1a2a1a2d2b2b2c4d2a2a4a4a1~</v>
      </c>
      <c r="M3771" s="102" t="s">
        <v>6306</v>
      </c>
      <c r="N3771" s="102"/>
      <c r="O3771" s="105">
        <v>1.5858489E7</v>
      </c>
      <c r="P3771" s="105">
        <v>1.3746609E7</v>
      </c>
      <c r="Q3771" s="102" t="s">
        <v>2501</v>
      </c>
      <c r="S3771" s="1"/>
      <c r="T3771" s="1"/>
      <c r="U3771" s="1"/>
      <c r="V3771" s="1"/>
      <c r="W3771" s="1"/>
      <c r="X3771" s="1"/>
      <c r="Y3771" s="1"/>
      <c r="Z3771" s="102">
        <v>1.5858489E7</v>
      </c>
      <c r="AA3771" s="102"/>
      <c r="AB3771" s="1"/>
      <c r="AC3771" s="1"/>
      <c r="AD3771" s="1"/>
      <c r="AE3771" s="1"/>
      <c r="AF3771" s="1"/>
      <c r="AG3771" s="1"/>
    </row>
    <row r="3772" ht="15.75" customHeight="1">
      <c r="A3772" s="1"/>
      <c r="B3772" s="1"/>
      <c r="C3772" s="1"/>
      <c r="D3772" s="1"/>
      <c r="E3772" s="1"/>
      <c r="F3772" s="1"/>
      <c r="G3772" s="1"/>
      <c r="H3772" s="1"/>
      <c r="I3772" s="1"/>
      <c r="J3772" s="1"/>
      <c r="K3772" s="102" t="s">
        <v>6308</v>
      </c>
      <c r="L3772" s="102" t="str">
        <f>Z347</f>
        <v>J1a2a1a2d2b2b2c4d2a2a4a4a1~</v>
      </c>
      <c r="M3772" s="102"/>
      <c r="N3772" s="102"/>
      <c r="O3772" s="105">
        <v>6880734.0</v>
      </c>
      <c r="P3772" s="105">
        <v>7012693.0</v>
      </c>
      <c r="Q3772" s="102" t="s">
        <v>2501</v>
      </c>
      <c r="S3772" s="1"/>
      <c r="T3772" s="1"/>
      <c r="U3772" s="1"/>
      <c r="V3772" s="1"/>
      <c r="W3772" s="1"/>
      <c r="X3772" s="1"/>
      <c r="Y3772" s="1"/>
      <c r="Z3772" s="102"/>
      <c r="AA3772" s="102"/>
      <c r="AB3772" s="1"/>
      <c r="AC3772" s="1"/>
      <c r="AD3772" s="1"/>
      <c r="AE3772" s="1"/>
      <c r="AF3772" s="1"/>
      <c r="AG3772" s="1"/>
    </row>
    <row r="3773" ht="15.75" customHeight="1">
      <c r="A3773" s="1"/>
      <c r="B3773" s="1"/>
      <c r="C3773" s="1"/>
      <c r="D3773" s="1"/>
      <c r="E3773" s="1"/>
      <c r="F3773" s="1"/>
      <c r="G3773" s="1"/>
      <c r="H3773" s="1"/>
      <c r="I3773" s="1"/>
      <c r="J3773" s="1"/>
      <c r="K3773" s="102" t="s">
        <v>6309</v>
      </c>
      <c r="L3773" s="102" t="str">
        <f>Z347</f>
        <v>J1a2a1a2d2b2b2c4d2a2a4a4a1~</v>
      </c>
      <c r="M3773" s="102"/>
      <c r="N3773" s="102"/>
      <c r="O3773" s="105">
        <v>7215353.0</v>
      </c>
      <c r="P3773" s="105">
        <v>7347312.0</v>
      </c>
      <c r="Q3773" s="102" t="s">
        <v>2439</v>
      </c>
      <c r="S3773" s="1"/>
      <c r="T3773" s="1"/>
      <c r="U3773" s="1"/>
      <c r="V3773" s="1"/>
      <c r="W3773" s="1"/>
      <c r="X3773" s="1"/>
      <c r="Y3773" s="1"/>
      <c r="Z3773" s="102"/>
      <c r="AA3773" s="102"/>
      <c r="AB3773" s="1"/>
      <c r="AC3773" s="1"/>
      <c r="AD3773" s="1"/>
      <c r="AE3773" s="1"/>
      <c r="AF3773" s="1"/>
      <c r="AG3773" s="1"/>
    </row>
    <row r="3774" ht="15.75" customHeight="1">
      <c r="A3774" s="1"/>
      <c r="B3774" s="1"/>
      <c r="C3774" s="1"/>
      <c r="D3774" s="1"/>
      <c r="E3774" s="1"/>
      <c r="F3774" s="1"/>
      <c r="G3774" s="1"/>
      <c r="H3774" s="1"/>
      <c r="I3774" s="1"/>
      <c r="J3774" s="1"/>
      <c r="K3774" s="102" t="s">
        <v>6310</v>
      </c>
      <c r="L3774" s="102" t="str">
        <f>Z347</f>
        <v>J1a2a1a2d2b2b2c4d2a2a4a4a1~</v>
      </c>
      <c r="M3774" s="102"/>
      <c r="N3774" s="102"/>
      <c r="O3774" s="105">
        <v>7428510.0</v>
      </c>
      <c r="P3774" s="105">
        <v>7560469.0</v>
      </c>
      <c r="Q3774" s="102" t="s">
        <v>2576</v>
      </c>
      <c r="S3774" s="1"/>
      <c r="T3774" s="1"/>
      <c r="U3774" s="1"/>
      <c r="V3774" s="1"/>
      <c r="W3774" s="1"/>
      <c r="X3774" s="1"/>
      <c r="Y3774" s="1"/>
      <c r="Z3774" s="102"/>
      <c r="AA3774" s="102"/>
      <c r="AB3774" s="1"/>
      <c r="AC3774" s="1"/>
      <c r="AD3774" s="1"/>
      <c r="AE3774" s="1"/>
      <c r="AF3774" s="1"/>
      <c r="AG3774" s="1"/>
    </row>
    <row r="3775" ht="15.75" customHeight="1">
      <c r="A3775" s="1"/>
      <c r="B3775" s="1"/>
      <c r="C3775" s="1"/>
      <c r="D3775" s="1"/>
      <c r="E3775" s="1"/>
      <c r="F3775" s="1"/>
      <c r="G3775" s="1"/>
      <c r="H3775" s="1"/>
      <c r="I3775" s="1"/>
      <c r="J3775" s="1"/>
      <c r="K3775" s="102" t="s">
        <v>6311</v>
      </c>
      <c r="L3775" s="102" t="str">
        <f>Y348</f>
        <v>J1a2a1a2d2b2b2c4d2a2a4a4b~</v>
      </c>
      <c r="M3775" s="102"/>
      <c r="N3775" s="102" t="s">
        <v>6312</v>
      </c>
      <c r="O3775" s="105">
        <v>1.3835198E7</v>
      </c>
      <c r="P3775" s="105">
        <v>1.1714492E7</v>
      </c>
      <c r="Q3775" s="102" t="s">
        <v>2563</v>
      </c>
      <c r="S3775" s="1"/>
      <c r="T3775" s="1"/>
      <c r="U3775" s="1"/>
      <c r="V3775" s="1"/>
      <c r="W3775" s="1"/>
      <c r="X3775" s="1"/>
      <c r="Y3775" s="1"/>
      <c r="Z3775" s="102"/>
      <c r="AA3775" s="102"/>
      <c r="AB3775" s="1"/>
      <c r="AC3775" s="1"/>
      <c r="AD3775" s="1"/>
      <c r="AE3775" s="1"/>
      <c r="AF3775" s="1"/>
      <c r="AG3775" s="1"/>
    </row>
    <row r="3776" ht="15.75" customHeight="1">
      <c r="A3776" s="1"/>
      <c r="B3776" s="1"/>
      <c r="C3776" s="1"/>
      <c r="D3776" s="1"/>
      <c r="E3776" s="1"/>
      <c r="F3776" s="1"/>
      <c r="G3776" s="1"/>
      <c r="H3776" s="1"/>
      <c r="I3776" s="1"/>
      <c r="J3776" s="1"/>
      <c r="K3776" s="102" t="s">
        <v>6313</v>
      </c>
      <c r="L3776" s="102" t="str">
        <f>X349</f>
        <v>J1a2a1a2d2b2b2c4d2a2a4a5~</v>
      </c>
      <c r="M3776" s="102" t="s">
        <v>6314</v>
      </c>
      <c r="N3776" s="102"/>
      <c r="O3776" s="105">
        <v>2.2566446E7</v>
      </c>
      <c r="P3776" s="105">
        <v>2.040456E7</v>
      </c>
      <c r="Q3776" s="102" t="s">
        <v>2439</v>
      </c>
      <c r="S3776" s="1"/>
      <c r="T3776" s="1"/>
      <c r="U3776" s="1"/>
      <c r="V3776" s="1"/>
      <c r="W3776" s="1"/>
      <c r="X3776" s="1"/>
      <c r="Y3776" s="1"/>
      <c r="Z3776" s="102"/>
      <c r="AA3776" s="102"/>
      <c r="AB3776" s="1"/>
      <c r="AC3776" s="1"/>
      <c r="AD3776" s="1"/>
      <c r="AE3776" s="1"/>
      <c r="AF3776" s="1"/>
      <c r="AG3776" s="1"/>
    </row>
    <row r="3777" ht="15.75" customHeight="1">
      <c r="A3777" s="1"/>
      <c r="B3777" s="1"/>
      <c r="C3777" s="1"/>
      <c r="D3777" s="1"/>
      <c r="E3777" s="1"/>
      <c r="F3777" s="1"/>
      <c r="G3777" s="1"/>
      <c r="H3777" s="1"/>
      <c r="I3777" s="1"/>
      <c r="J3777" s="1"/>
      <c r="K3777" s="102" t="s">
        <v>6314</v>
      </c>
      <c r="L3777" s="102" t="str">
        <f>X349</f>
        <v>J1a2a1a2d2b2b2c4d2a2a4a5~</v>
      </c>
      <c r="M3777" s="102" t="s">
        <v>6313</v>
      </c>
      <c r="N3777" s="102"/>
      <c r="O3777" s="105">
        <v>2.2566446E7</v>
      </c>
      <c r="P3777" s="105">
        <v>2.040456E7</v>
      </c>
      <c r="Q3777" s="102" t="s">
        <v>2439</v>
      </c>
      <c r="S3777" s="1"/>
      <c r="T3777" s="1"/>
      <c r="U3777" s="1"/>
      <c r="V3777" s="1"/>
      <c r="W3777" s="1"/>
      <c r="X3777" s="1"/>
      <c r="Y3777" s="1"/>
      <c r="Z3777" s="102"/>
      <c r="AA3777" s="102"/>
      <c r="AB3777" s="1"/>
      <c r="AC3777" s="1"/>
      <c r="AD3777" s="1"/>
      <c r="AE3777" s="1"/>
      <c r="AF3777" s="1"/>
      <c r="AG3777" s="1"/>
    </row>
    <row r="3778" ht="15.75" customHeight="1">
      <c r="A3778" s="1"/>
      <c r="B3778" s="1"/>
      <c r="C3778" s="1"/>
      <c r="D3778" s="1"/>
      <c r="E3778" s="1"/>
      <c r="F3778" s="1"/>
      <c r="G3778" s="1"/>
      <c r="H3778" s="1"/>
      <c r="I3778" s="1"/>
      <c r="J3778" s="1"/>
      <c r="K3778" s="102" t="s">
        <v>6315</v>
      </c>
      <c r="L3778" s="102" t="str">
        <f>Y350</f>
        <v>J1a2a1a2d2b2b2c4d2a2a4a5a~</v>
      </c>
      <c r="M3778" s="102"/>
      <c r="N3778" s="102"/>
      <c r="O3778" s="105">
        <v>1.4028021E7</v>
      </c>
      <c r="P3778" s="105">
        <v>1.1907315E7</v>
      </c>
      <c r="Q3778" s="102" t="s">
        <v>2439</v>
      </c>
      <c r="S3778" s="1"/>
      <c r="T3778" s="1"/>
      <c r="U3778" s="1"/>
      <c r="V3778" s="1"/>
      <c r="W3778" s="1"/>
      <c r="X3778" s="1"/>
      <c r="Y3778" s="1"/>
      <c r="Z3778" s="102"/>
      <c r="AA3778" s="102"/>
      <c r="AB3778" s="1"/>
      <c r="AC3778" s="1"/>
      <c r="AD3778" s="1"/>
      <c r="AE3778" s="1"/>
      <c r="AF3778" s="1"/>
      <c r="AG3778" s="1"/>
    </row>
    <row r="3779" ht="15.75" customHeight="1">
      <c r="A3779" s="1"/>
      <c r="B3779" s="1"/>
      <c r="C3779" s="1"/>
      <c r="D3779" s="1"/>
      <c r="E3779" s="1"/>
      <c r="F3779" s="1"/>
      <c r="G3779" s="1"/>
      <c r="H3779" s="1"/>
      <c r="I3779" s="1"/>
      <c r="J3779" s="1"/>
      <c r="K3779" s="102" t="s">
        <v>6316</v>
      </c>
      <c r="L3779" s="102" t="str">
        <f>Y350</f>
        <v>J1a2a1a2d2b2b2c4d2a2a4a5a~</v>
      </c>
      <c r="M3779" s="102"/>
      <c r="N3779" s="102"/>
      <c r="O3779" s="105">
        <v>1.4498224E7</v>
      </c>
      <c r="P3779" s="105">
        <v>1.2386429E7</v>
      </c>
      <c r="Q3779" s="102" t="s">
        <v>2446</v>
      </c>
      <c r="S3779" s="1"/>
      <c r="T3779" s="1"/>
      <c r="U3779" s="1"/>
      <c r="V3779" s="1"/>
      <c r="W3779" s="1"/>
      <c r="X3779" s="1"/>
      <c r="Y3779" s="1"/>
      <c r="Z3779" s="102"/>
      <c r="AA3779" s="102"/>
      <c r="AB3779" s="1"/>
      <c r="AC3779" s="1"/>
      <c r="AD3779" s="1"/>
      <c r="AE3779" s="1"/>
      <c r="AF3779" s="1"/>
      <c r="AG3779" s="1"/>
    </row>
    <row r="3780" ht="15.75" customHeight="1">
      <c r="A3780" s="1"/>
      <c r="B3780" s="1"/>
      <c r="C3780" s="1"/>
      <c r="D3780" s="1"/>
      <c r="E3780" s="1"/>
      <c r="F3780" s="1"/>
      <c r="G3780" s="1"/>
      <c r="H3780" s="1"/>
      <c r="I3780" s="1"/>
      <c r="J3780" s="1"/>
      <c r="K3780" s="102" t="s">
        <v>6317</v>
      </c>
      <c r="L3780" s="102" t="str">
        <f>Y350</f>
        <v>J1a2a1a2d2b2b2c4d2a2a4a5a~</v>
      </c>
      <c r="M3780" s="102"/>
      <c r="N3780" s="102"/>
      <c r="O3780" s="105">
        <v>1.7934724E7</v>
      </c>
      <c r="P3780" s="105">
        <v>1.5822844E7</v>
      </c>
      <c r="Q3780" s="102" t="s">
        <v>2529</v>
      </c>
      <c r="S3780" s="1"/>
      <c r="T3780" s="1"/>
      <c r="U3780" s="1"/>
      <c r="V3780" s="1"/>
      <c r="W3780" s="1"/>
      <c r="X3780" s="1"/>
      <c r="Y3780" s="1"/>
      <c r="Z3780" s="102"/>
      <c r="AA3780" s="102"/>
      <c r="AB3780" s="1"/>
      <c r="AC3780" s="1"/>
      <c r="AD3780" s="1"/>
      <c r="AE3780" s="1"/>
      <c r="AF3780" s="1"/>
      <c r="AG3780" s="1"/>
    </row>
    <row r="3781" ht="15.75" customHeight="1">
      <c r="A3781" s="1"/>
      <c r="B3781" s="1"/>
      <c r="C3781" s="1"/>
      <c r="D3781" s="1"/>
      <c r="E3781" s="1"/>
      <c r="F3781" s="1"/>
      <c r="G3781" s="1"/>
      <c r="H3781" s="1"/>
      <c r="I3781" s="1"/>
      <c r="J3781" s="1"/>
      <c r="K3781" s="102" t="s">
        <v>6318</v>
      </c>
      <c r="L3781" s="102" t="str">
        <f>Y350</f>
        <v>J1a2a1a2d2b2b2c4d2a2a4a5a~</v>
      </c>
      <c r="M3781" s="102"/>
      <c r="N3781" s="102"/>
      <c r="O3781" s="105">
        <v>1.8943486E7</v>
      </c>
      <c r="P3781" s="105">
        <v>1.6831606E7</v>
      </c>
      <c r="Q3781" s="102" t="s">
        <v>2468</v>
      </c>
      <c r="S3781" s="1"/>
      <c r="T3781" s="1"/>
      <c r="U3781" s="1"/>
      <c r="V3781" s="1"/>
      <c r="W3781" s="1"/>
      <c r="X3781" s="1"/>
      <c r="Y3781" s="1"/>
      <c r="Z3781" s="102"/>
      <c r="AA3781" s="102"/>
      <c r="AB3781" s="1"/>
      <c r="AC3781" s="1"/>
      <c r="AD3781" s="1"/>
      <c r="AE3781" s="1"/>
      <c r="AF3781" s="1"/>
      <c r="AG3781" s="1"/>
    </row>
    <row r="3782" ht="15.75" customHeight="1">
      <c r="A3782" s="1"/>
      <c r="B3782" s="1"/>
      <c r="C3782" s="1"/>
      <c r="D3782" s="1"/>
      <c r="E3782" s="1"/>
      <c r="F3782" s="1"/>
      <c r="G3782" s="1"/>
      <c r="H3782" s="1"/>
      <c r="I3782" s="1"/>
      <c r="J3782" s="1"/>
      <c r="K3782" s="102" t="s">
        <v>6319</v>
      </c>
      <c r="L3782" s="102" t="str">
        <f>Y350</f>
        <v>J1a2a1a2d2b2b2c4d2a2a4a5a~</v>
      </c>
      <c r="M3782" s="102"/>
      <c r="N3782" s="102"/>
      <c r="O3782" s="105">
        <v>2.3992337E7</v>
      </c>
      <c r="P3782" s="105">
        <v>2.184619E7</v>
      </c>
      <c r="Q3782" s="102" t="s">
        <v>2432</v>
      </c>
      <c r="S3782" s="1"/>
      <c r="T3782" s="1"/>
      <c r="U3782" s="1"/>
      <c r="V3782" s="1"/>
      <c r="W3782" s="1"/>
      <c r="X3782" s="1"/>
      <c r="Y3782" s="1"/>
      <c r="Z3782" s="102"/>
      <c r="AA3782" s="102"/>
      <c r="AB3782" s="1"/>
      <c r="AC3782" s="1"/>
      <c r="AD3782" s="1"/>
      <c r="AE3782" s="1"/>
      <c r="AF3782" s="1"/>
      <c r="AG3782" s="1"/>
    </row>
    <row r="3783" ht="15.75" customHeight="1">
      <c r="A3783" s="1"/>
      <c r="B3783" s="1"/>
      <c r="C3783" s="1"/>
      <c r="D3783" s="1"/>
      <c r="E3783" s="1"/>
      <c r="F3783" s="1"/>
      <c r="G3783" s="1"/>
      <c r="H3783" s="1"/>
      <c r="I3783" s="1"/>
      <c r="J3783" s="1"/>
      <c r="K3783" s="102" t="s">
        <v>6320</v>
      </c>
      <c r="L3783" s="102" t="str">
        <f>V351</f>
        <v>J1a2a1a2d2b2b2c4d2a2a5</v>
      </c>
      <c r="M3783" s="102" t="s">
        <v>6321</v>
      </c>
      <c r="N3783" s="102"/>
      <c r="O3783" s="105" t="s">
        <v>6322</v>
      </c>
      <c r="P3783" s="105" t="s">
        <v>6323</v>
      </c>
      <c r="Q3783" s="102" t="s">
        <v>6324</v>
      </c>
      <c r="S3783" s="1"/>
      <c r="T3783" s="1"/>
      <c r="U3783" s="1"/>
      <c r="V3783" s="1"/>
      <c r="W3783" s="1"/>
      <c r="X3783" s="1"/>
      <c r="Y3783" s="1"/>
      <c r="Z3783" s="102">
        <v>1.6809478E7</v>
      </c>
      <c r="AA3783" s="102" t="s">
        <v>6325</v>
      </c>
      <c r="AB3783" s="1"/>
      <c r="AC3783" s="1"/>
      <c r="AD3783" s="1"/>
      <c r="AE3783" s="1"/>
      <c r="AF3783" s="1"/>
      <c r="AG3783" s="1"/>
    </row>
    <row r="3784" ht="15.75" customHeight="1">
      <c r="A3784" s="1"/>
      <c r="B3784" s="1"/>
      <c r="C3784" s="1"/>
      <c r="D3784" s="1"/>
      <c r="E3784" s="1"/>
      <c r="F3784" s="1"/>
      <c r="G3784" s="1"/>
      <c r="H3784" s="1"/>
      <c r="I3784" s="1"/>
      <c r="J3784" s="1"/>
      <c r="K3784" s="102" t="s">
        <v>6321</v>
      </c>
      <c r="L3784" s="102" t="str">
        <f t="shared" ref="L3784:L3785" si="53">V351</f>
        <v>J1a2a1a2d2b2b2c4d2a2a5</v>
      </c>
      <c r="M3784" s="102" t="s">
        <v>6320</v>
      </c>
      <c r="N3784" s="102"/>
      <c r="O3784" s="105" t="s">
        <v>6322</v>
      </c>
      <c r="P3784" s="109" t="s">
        <v>6323</v>
      </c>
      <c r="Q3784" s="102" t="s">
        <v>6324</v>
      </c>
      <c r="S3784" s="1"/>
      <c r="T3784" s="1"/>
      <c r="U3784" s="1"/>
      <c r="V3784" s="1"/>
      <c r="W3784" s="1"/>
      <c r="X3784" s="1"/>
      <c r="Y3784" s="1"/>
      <c r="Z3784" s="102" t="s">
        <v>6322</v>
      </c>
      <c r="AA3784" s="102" t="s">
        <v>6326</v>
      </c>
      <c r="AB3784" s="1"/>
      <c r="AC3784" s="1"/>
      <c r="AD3784" s="1"/>
      <c r="AE3784" s="1"/>
      <c r="AF3784" s="1"/>
      <c r="AG3784" s="1"/>
    </row>
    <row r="3785" ht="15.75" customHeight="1">
      <c r="A3785" s="1"/>
      <c r="B3785" s="1"/>
      <c r="C3785" s="1"/>
      <c r="D3785" s="1"/>
      <c r="E3785" s="1"/>
      <c r="F3785" s="1"/>
      <c r="G3785" s="1"/>
      <c r="H3785" s="1"/>
      <c r="I3785" s="1"/>
      <c r="J3785" s="1"/>
      <c r="K3785" s="102" t="s">
        <v>6327</v>
      </c>
      <c r="L3785" s="102" t="str">
        <f t="shared" si="53"/>
        <v>J1a2a1a2d2b2b2c4d2a2a5~</v>
      </c>
      <c r="M3785" s="102" t="s">
        <v>6328</v>
      </c>
      <c r="N3785" s="102"/>
      <c r="O3785" s="105">
        <v>3534705.0</v>
      </c>
      <c r="P3785" s="105">
        <v>3666664.0</v>
      </c>
      <c r="Q3785" s="102" t="s">
        <v>2454</v>
      </c>
      <c r="S3785" s="1"/>
      <c r="T3785" s="1"/>
      <c r="U3785" s="1"/>
      <c r="V3785" s="1"/>
      <c r="W3785" s="1"/>
      <c r="X3785" s="1"/>
      <c r="Y3785" s="1"/>
      <c r="Z3785" s="102"/>
      <c r="AA3785" s="102"/>
      <c r="AB3785" s="1"/>
      <c r="AC3785" s="1"/>
      <c r="AD3785" s="1"/>
      <c r="AE3785" s="1"/>
      <c r="AF3785" s="1"/>
      <c r="AG3785" s="1"/>
    </row>
    <row r="3786" ht="15.75" customHeight="1">
      <c r="A3786" s="1"/>
      <c r="B3786" s="1"/>
      <c r="C3786" s="1"/>
      <c r="D3786" s="1"/>
      <c r="E3786" s="1"/>
      <c r="F3786" s="1"/>
      <c r="G3786" s="1"/>
      <c r="H3786" s="1"/>
      <c r="I3786" s="1"/>
      <c r="J3786" s="1"/>
      <c r="K3786" s="102" t="s">
        <v>6328</v>
      </c>
      <c r="L3786" s="102" t="str">
        <f>V352</f>
        <v>J1a2a1a2d2b2b2c4d2a2a5~</v>
      </c>
      <c r="M3786" s="102" t="s">
        <v>6327</v>
      </c>
      <c r="N3786" s="102"/>
      <c r="O3786" s="105">
        <v>3534705.0</v>
      </c>
      <c r="P3786" s="105">
        <v>3666664.0</v>
      </c>
      <c r="Q3786" s="102" t="s">
        <v>2454</v>
      </c>
      <c r="S3786" s="1"/>
      <c r="T3786" s="1"/>
      <c r="U3786" s="1"/>
      <c r="V3786" s="1"/>
      <c r="W3786" s="1"/>
      <c r="X3786" s="1"/>
      <c r="Y3786" s="1"/>
      <c r="Z3786" s="102"/>
      <c r="AA3786" s="102"/>
      <c r="AB3786" s="1"/>
      <c r="AC3786" s="1"/>
      <c r="AD3786" s="1"/>
      <c r="AE3786" s="1"/>
      <c r="AF3786" s="1"/>
      <c r="AG3786" s="1"/>
    </row>
    <row r="3787" ht="15.75" customHeight="1">
      <c r="A3787" s="1"/>
      <c r="B3787" s="1"/>
      <c r="C3787" s="1"/>
      <c r="D3787" s="1"/>
      <c r="E3787" s="1"/>
      <c r="F3787" s="1"/>
      <c r="G3787" s="1"/>
      <c r="H3787" s="1"/>
      <c r="I3787" s="1"/>
      <c r="J3787" s="1"/>
      <c r="K3787" s="102" t="s">
        <v>6329</v>
      </c>
      <c r="L3787" s="102" t="str">
        <f>V352</f>
        <v>J1a2a1a2d2b2b2c4d2a2a5~</v>
      </c>
      <c r="M3787" s="102" t="s">
        <v>6330</v>
      </c>
      <c r="N3787" s="102" t="s">
        <v>6331</v>
      </c>
      <c r="O3787" s="105">
        <v>6523251.0</v>
      </c>
      <c r="P3787" s="105">
        <v>6655210.0</v>
      </c>
      <c r="Q3787" s="102" t="s">
        <v>2529</v>
      </c>
      <c r="S3787" s="1"/>
      <c r="T3787" s="1"/>
      <c r="U3787" s="1"/>
      <c r="V3787" s="1"/>
      <c r="W3787" s="1"/>
      <c r="X3787" s="1"/>
      <c r="Y3787" s="1"/>
      <c r="Z3787" s="102"/>
      <c r="AA3787" s="102"/>
      <c r="AB3787" s="1"/>
      <c r="AC3787" s="1"/>
      <c r="AD3787" s="1"/>
      <c r="AE3787" s="1"/>
      <c r="AF3787" s="1"/>
      <c r="AG3787" s="1"/>
    </row>
    <row r="3788" ht="15.75" customHeight="1">
      <c r="A3788" s="1"/>
      <c r="B3788" s="1"/>
      <c r="C3788" s="1"/>
      <c r="D3788" s="1"/>
      <c r="E3788" s="1"/>
      <c r="F3788" s="1"/>
      <c r="G3788" s="1"/>
      <c r="H3788" s="1"/>
      <c r="I3788" s="1"/>
      <c r="J3788" s="1"/>
      <c r="K3788" s="102" t="s">
        <v>6330</v>
      </c>
      <c r="L3788" s="102" t="str">
        <f>V352</f>
        <v>J1a2a1a2d2b2b2c4d2a2a5~</v>
      </c>
      <c r="M3788" s="102" t="s">
        <v>6329</v>
      </c>
      <c r="N3788" s="102" t="s">
        <v>6331</v>
      </c>
      <c r="O3788" s="105">
        <v>6523251.0</v>
      </c>
      <c r="P3788" s="105">
        <v>6655210.0</v>
      </c>
      <c r="Q3788" s="102" t="s">
        <v>2529</v>
      </c>
      <c r="S3788" s="1"/>
      <c r="T3788" s="1"/>
      <c r="U3788" s="1"/>
      <c r="V3788" s="1"/>
      <c r="W3788" s="1"/>
      <c r="X3788" s="1"/>
      <c r="Y3788" s="1"/>
      <c r="Z3788" s="102"/>
      <c r="AA3788" s="102"/>
      <c r="AB3788" s="1"/>
      <c r="AC3788" s="1"/>
      <c r="AD3788" s="1"/>
      <c r="AE3788" s="1"/>
      <c r="AF3788" s="1"/>
      <c r="AG3788" s="1"/>
    </row>
    <row r="3789" ht="15.75" customHeight="1">
      <c r="A3789" s="1"/>
      <c r="B3789" s="1"/>
      <c r="C3789" s="1"/>
      <c r="D3789" s="1"/>
      <c r="E3789" s="1"/>
      <c r="F3789" s="1"/>
      <c r="G3789" s="1"/>
      <c r="H3789" s="1"/>
      <c r="I3789" s="1"/>
      <c r="J3789" s="1"/>
      <c r="K3789" s="102" t="s">
        <v>6332</v>
      </c>
      <c r="L3789" s="102" t="str">
        <f>V352</f>
        <v>J1a2a1a2d2b2b2c4d2a2a5~</v>
      </c>
      <c r="M3789" s="102"/>
      <c r="N3789" s="102"/>
      <c r="O3789" s="105">
        <v>2.2185308E7</v>
      </c>
      <c r="P3789" s="105">
        <v>2.0023422E7</v>
      </c>
      <c r="Q3789" s="102" t="s">
        <v>2446</v>
      </c>
      <c r="S3789" s="1"/>
      <c r="T3789" s="1"/>
      <c r="U3789" s="1"/>
      <c r="V3789" s="1"/>
      <c r="W3789" s="1"/>
      <c r="X3789" s="1"/>
      <c r="Y3789" s="1"/>
      <c r="Z3789" s="102"/>
      <c r="AA3789" s="102"/>
      <c r="AB3789" s="1"/>
      <c r="AC3789" s="1"/>
      <c r="AD3789" s="1"/>
      <c r="AE3789" s="1"/>
      <c r="AF3789" s="1"/>
      <c r="AG3789" s="1"/>
    </row>
    <row r="3790" ht="15.75" customHeight="1">
      <c r="A3790" s="1"/>
      <c r="B3790" s="1"/>
      <c r="C3790" s="1"/>
      <c r="D3790" s="1"/>
      <c r="E3790" s="1"/>
      <c r="F3790" s="1"/>
      <c r="G3790" s="1"/>
      <c r="H3790" s="1"/>
      <c r="I3790" s="1"/>
      <c r="J3790" s="1"/>
      <c r="K3790" s="102" t="s">
        <v>6333</v>
      </c>
      <c r="L3790" s="102" t="str">
        <f>V352</f>
        <v>J1a2a1a2d2b2b2c4d2a2a5~</v>
      </c>
      <c r="M3790" s="102" t="s">
        <v>6334</v>
      </c>
      <c r="N3790" s="102"/>
      <c r="O3790" s="105">
        <v>8035412.0</v>
      </c>
      <c r="P3790" s="105">
        <v>8167371.0</v>
      </c>
      <c r="Q3790" s="102" t="s">
        <v>2501</v>
      </c>
      <c r="S3790" s="1"/>
      <c r="T3790" s="1"/>
      <c r="U3790" s="1"/>
      <c r="V3790" s="1"/>
      <c r="W3790" s="1"/>
      <c r="X3790" s="1"/>
      <c r="Y3790" s="1"/>
      <c r="Z3790" s="102"/>
      <c r="AA3790" s="102"/>
      <c r="AB3790" s="1"/>
      <c r="AC3790" s="1"/>
      <c r="AD3790" s="1"/>
      <c r="AE3790" s="1"/>
      <c r="AF3790" s="1"/>
      <c r="AG3790" s="1"/>
    </row>
    <row r="3791" ht="15.75" customHeight="1">
      <c r="A3791" s="1"/>
      <c r="B3791" s="1"/>
      <c r="C3791" s="1"/>
      <c r="D3791" s="1"/>
      <c r="E3791" s="1"/>
      <c r="F3791" s="1"/>
      <c r="G3791" s="1"/>
      <c r="H3791" s="1"/>
      <c r="I3791" s="1"/>
      <c r="J3791" s="1"/>
      <c r="K3791" s="102" t="s">
        <v>6334</v>
      </c>
      <c r="L3791" s="102" t="str">
        <f>V352</f>
        <v>J1a2a1a2d2b2b2c4d2a2a5~</v>
      </c>
      <c r="M3791" s="102" t="s">
        <v>6333</v>
      </c>
      <c r="N3791" s="102"/>
      <c r="O3791" s="105">
        <v>8035412.0</v>
      </c>
      <c r="P3791" s="105">
        <v>8167371.0</v>
      </c>
      <c r="Q3791" s="102" t="s">
        <v>2501</v>
      </c>
      <c r="S3791" s="1"/>
      <c r="T3791" s="1"/>
      <c r="U3791" s="1"/>
      <c r="V3791" s="1"/>
      <c r="W3791" s="1"/>
      <c r="X3791" s="1"/>
      <c r="Y3791" s="1"/>
      <c r="Z3791" s="102"/>
      <c r="AA3791" s="102"/>
      <c r="AB3791" s="1"/>
      <c r="AC3791" s="1"/>
      <c r="AD3791" s="1"/>
      <c r="AE3791" s="1"/>
      <c r="AF3791" s="1"/>
      <c r="AG3791" s="1"/>
    </row>
    <row r="3792" ht="15.75" customHeight="1">
      <c r="A3792" s="1"/>
      <c r="B3792" s="1"/>
      <c r="C3792" s="1"/>
      <c r="D3792" s="1"/>
      <c r="E3792" s="1"/>
      <c r="F3792" s="1"/>
      <c r="G3792" s="1"/>
      <c r="H3792" s="1"/>
      <c r="I3792" s="1"/>
      <c r="J3792" s="1"/>
      <c r="K3792" s="102" t="s">
        <v>6335</v>
      </c>
      <c r="L3792" s="102" t="str">
        <f>V352</f>
        <v>J1a2a1a2d2b2b2c4d2a2a5~</v>
      </c>
      <c r="M3792" s="102" t="s">
        <v>6336</v>
      </c>
      <c r="N3792" s="102"/>
      <c r="O3792" s="105">
        <v>9807221.0</v>
      </c>
      <c r="P3792" s="105">
        <v>9969612.0</v>
      </c>
      <c r="Q3792" s="102" t="s">
        <v>2501</v>
      </c>
      <c r="S3792" s="1"/>
      <c r="T3792" s="1"/>
      <c r="U3792" s="1"/>
      <c r="V3792" s="1"/>
      <c r="W3792" s="1"/>
      <c r="X3792" s="1"/>
      <c r="Y3792" s="1"/>
      <c r="Z3792" s="102"/>
      <c r="AA3792" s="102"/>
      <c r="AB3792" s="1"/>
      <c r="AC3792" s="1"/>
      <c r="AD3792" s="1"/>
      <c r="AE3792" s="1"/>
      <c r="AF3792" s="1"/>
      <c r="AG3792" s="1"/>
    </row>
    <row r="3793" ht="15.75" customHeight="1">
      <c r="A3793" s="1"/>
      <c r="B3793" s="1"/>
      <c r="C3793" s="1"/>
      <c r="D3793" s="1"/>
      <c r="E3793" s="1"/>
      <c r="F3793" s="1"/>
      <c r="G3793" s="1"/>
      <c r="H3793" s="1"/>
      <c r="I3793" s="1"/>
      <c r="J3793" s="1"/>
      <c r="K3793" s="102" t="s">
        <v>6336</v>
      </c>
      <c r="L3793" s="102" t="str">
        <f>V352</f>
        <v>J1a2a1a2d2b2b2c4d2a2a5~</v>
      </c>
      <c r="M3793" s="102" t="s">
        <v>6335</v>
      </c>
      <c r="N3793" s="102"/>
      <c r="O3793" s="105">
        <v>9807221.0</v>
      </c>
      <c r="P3793" s="105">
        <v>9969612.0</v>
      </c>
      <c r="Q3793" s="102" t="s">
        <v>2501</v>
      </c>
      <c r="S3793" s="1"/>
      <c r="T3793" s="1"/>
      <c r="U3793" s="1"/>
      <c r="V3793" s="1"/>
      <c r="W3793" s="1"/>
      <c r="X3793" s="1"/>
      <c r="Y3793" s="1"/>
      <c r="Z3793" s="102"/>
      <c r="AA3793" s="102"/>
      <c r="AB3793" s="1"/>
      <c r="AC3793" s="1"/>
      <c r="AD3793" s="1"/>
      <c r="AE3793" s="1"/>
      <c r="AF3793" s="1"/>
      <c r="AG3793" s="1"/>
    </row>
    <row r="3794" ht="15.75" customHeight="1">
      <c r="A3794" s="1"/>
      <c r="B3794" s="1"/>
      <c r="C3794" s="1"/>
      <c r="D3794" s="1"/>
      <c r="E3794" s="1"/>
      <c r="F3794" s="1"/>
      <c r="G3794" s="1"/>
      <c r="H3794" s="1"/>
      <c r="I3794" s="1"/>
      <c r="J3794" s="1"/>
      <c r="K3794" s="102" t="s">
        <v>6337</v>
      </c>
      <c r="L3794" s="102" t="str">
        <f>V352</f>
        <v>J1a2a1a2d2b2b2c4d2a2a5~</v>
      </c>
      <c r="M3794" s="102" t="s">
        <v>6338</v>
      </c>
      <c r="N3794" s="102"/>
      <c r="O3794" s="105">
        <v>8390328.0</v>
      </c>
      <c r="P3794" s="105">
        <v>8522287.0</v>
      </c>
      <c r="Q3794" s="102" t="s">
        <v>2514</v>
      </c>
      <c r="S3794" s="1"/>
      <c r="T3794" s="1"/>
      <c r="U3794" s="1"/>
      <c r="V3794" s="1"/>
      <c r="W3794" s="1"/>
      <c r="X3794" s="1"/>
      <c r="Y3794" s="1"/>
      <c r="Z3794" s="102"/>
      <c r="AA3794" s="102"/>
      <c r="AB3794" s="1"/>
      <c r="AC3794" s="1"/>
      <c r="AD3794" s="1"/>
      <c r="AE3794" s="1"/>
      <c r="AF3794" s="1"/>
      <c r="AG3794" s="1"/>
    </row>
    <row r="3795" ht="15.75" customHeight="1">
      <c r="A3795" s="1"/>
      <c r="B3795" s="1"/>
      <c r="C3795" s="1"/>
      <c r="D3795" s="1"/>
      <c r="E3795" s="1"/>
      <c r="F3795" s="1"/>
      <c r="G3795" s="1"/>
      <c r="H3795" s="1"/>
      <c r="I3795" s="1"/>
      <c r="J3795" s="1"/>
      <c r="K3795" s="102" t="s">
        <v>6338</v>
      </c>
      <c r="L3795" s="102" t="str">
        <f>V352</f>
        <v>J1a2a1a2d2b2b2c4d2a2a5~</v>
      </c>
      <c r="M3795" s="102" t="s">
        <v>6337</v>
      </c>
      <c r="N3795" s="102"/>
      <c r="O3795" s="105">
        <v>8390328.0</v>
      </c>
      <c r="P3795" s="105">
        <v>8522287.0</v>
      </c>
      <c r="Q3795" s="102" t="s">
        <v>2514</v>
      </c>
      <c r="S3795" s="1"/>
      <c r="T3795" s="1"/>
      <c r="U3795" s="1"/>
      <c r="V3795" s="1"/>
      <c r="W3795" s="1"/>
      <c r="X3795" s="1"/>
      <c r="Y3795" s="1"/>
      <c r="Z3795" s="102"/>
      <c r="AA3795" s="102"/>
      <c r="AB3795" s="1"/>
      <c r="AC3795" s="1"/>
      <c r="AD3795" s="1"/>
      <c r="AE3795" s="1"/>
      <c r="AF3795" s="1"/>
      <c r="AG3795" s="1"/>
    </row>
    <row r="3796" ht="15.75" customHeight="1">
      <c r="A3796" s="1"/>
      <c r="B3796" s="1"/>
      <c r="C3796" s="1"/>
      <c r="D3796" s="1"/>
      <c r="E3796" s="1"/>
      <c r="F3796" s="1"/>
      <c r="G3796" s="1"/>
      <c r="H3796" s="1"/>
      <c r="I3796" s="1"/>
      <c r="J3796" s="1"/>
      <c r="K3796" s="102" t="s">
        <v>6339</v>
      </c>
      <c r="L3796" s="102" t="str">
        <f>V352</f>
        <v>J1a2a1a2d2b2b2c4d2a2a5~</v>
      </c>
      <c r="M3796" s="102" t="s">
        <v>6340</v>
      </c>
      <c r="N3796" s="102"/>
      <c r="O3796" s="105">
        <v>1.7763456E7</v>
      </c>
      <c r="P3796" s="105">
        <v>1.5651576E7</v>
      </c>
      <c r="Q3796" s="102" t="s">
        <v>2439</v>
      </c>
      <c r="S3796" s="1"/>
      <c r="T3796" s="1"/>
      <c r="U3796" s="1"/>
      <c r="V3796" s="1"/>
      <c r="W3796" s="1"/>
      <c r="X3796" s="1"/>
      <c r="Y3796" s="1"/>
      <c r="Z3796" s="102"/>
      <c r="AA3796" s="102"/>
      <c r="AB3796" s="1"/>
      <c r="AC3796" s="1"/>
      <c r="AD3796" s="1"/>
      <c r="AE3796" s="1"/>
      <c r="AF3796" s="1"/>
      <c r="AG3796" s="1"/>
    </row>
    <row r="3797" ht="15.75" customHeight="1">
      <c r="A3797" s="1"/>
      <c r="B3797" s="1"/>
      <c r="C3797" s="1"/>
      <c r="D3797" s="1"/>
      <c r="E3797" s="1"/>
      <c r="F3797" s="1"/>
      <c r="G3797" s="1"/>
      <c r="H3797" s="1"/>
      <c r="I3797" s="1"/>
      <c r="J3797" s="1"/>
      <c r="K3797" s="102" t="s">
        <v>6340</v>
      </c>
      <c r="L3797" s="102" t="str">
        <f>V352</f>
        <v>J1a2a1a2d2b2b2c4d2a2a5~</v>
      </c>
      <c r="M3797" s="102" t="s">
        <v>6339</v>
      </c>
      <c r="N3797" s="102"/>
      <c r="O3797" s="105">
        <v>1.7763456E7</v>
      </c>
      <c r="P3797" s="105">
        <v>1.5651576E7</v>
      </c>
      <c r="Q3797" s="102" t="s">
        <v>2439</v>
      </c>
      <c r="S3797" s="1"/>
      <c r="T3797" s="1"/>
      <c r="U3797" s="1"/>
      <c r="V3797" s="1"/>
      <c r="W3797" s="1"/>
      <c r="X3797" s="1"/>
      <c r="Y3797" s="1"/>
      <c r="Z3797" s="102"/>
      <c r="AA3797" s="102"/>
      <c r="AB3797" s="1"/>
      <c r="AC3797" s="1"/>
      <c r="AD3797" s="1"/>
      <c r="AE3797" s="1"/>
      <c r="AF3797" s="1"/>
      <c r="AG3797" s="1"/>
    </row>
    <row r="3798" ht="15.75" customHeight="1">
      <c r="A3798" s="1"/>
      <c r="B3798" s="1"/>
      <c r="C3798" s="1"/>
      <c r="D3798" s="1"/>
      <c r="E3798" s="1"/>
      <c r="F3798" s="1"/>
      <c r="G3798" s="1"/>
      <c r="H3798" s="1"/>
      <c r="I3798" s="1"/>
      <c r="J3798" s="1"/>
      <c r="K3798" s="102" t="s">
        <v>6341</v>
      </c>
      <c r="L3798" s="102" t="str">
        <f>V352</f>
        <v>J1a2a1a2d2b2b2c4d2a2a5~</v>
      </c>
      <c r="M3798" s="102" t="s">
        <v>6342</v>
      </c>
      <c r="N3798" s="102"/>
      <c r="O3798" s="105">
        <v>2.3079748E7</v>
      </c>
      <c r="P3798" s="105">
        <v>2.0917862E7</v>
      </c>
      <c r="Q3798" s="102" t="s">
        <v>2439</v>
      </c>
      <c r="S3798" s="1"/>
      <c r="T3798" s="1"/>
      <c r="U3798" s="1"/>
      <c r="V3798" s="1"/>
      <c r="W3798" s="1"/>
      <c r="X3798" s="1"/>
      <c r="Y3798" s="1"/>
      <c r="Z3798" s="102"/>
      <c r="AA3798" s="102"/>
      <c r="AB3798" s="1"/>
      <c r="AC3798" s="1"/>
      <c r="AD3798" s="1"/>
      <c r="AE3798" s="1"/>
      <c r="AF3798" s="1"/>
      <c r="AG3798" s="1"/>
    </row>
    <row r="3799" ht="15.75" customHeight="1">
      <c r="A3799" s="1"/>
      <c r="B3799" s="1"/>
      <c r="C3799" s="1"/>
      <c r="D3799" s="1"/>
      <c r="E3799" s="1"/>
      <c r="F3799" s="1"/>
      <c r="G3799" s="1"/>
      <c r="H3799" s="1"/>
      <c r="I3799" s="1"/>
      <c r="J3799" s="1"/>
      <c r="K3799" s="102" t="s">
        <v>6342</v>
      </c>
      <c r="L3799" s="102" t="str">
        <f>V352</f>
        <v>J1a2a1a2d2b2b2c4d2a2a5~</v>
      </c>
      <c r="M3799" s="102" t="s">
        <v>6341</v>
      </c>
      <c r="N3799" s="102"/>
      <c r="O3799" s="105">
        <v>2.3079748E7</v>
      </c>
      <c r="P3799" s="105">
        <v>2.0917862E7</v>
      </c>
      <c r="Q3799" s="102" t="s">
        <v>2439</v>
      </c>
      <c r="S3799" s="1"/>
      <c r="T3799" s="1"/>
      <c r="U3799" s="1"/>
      <c r="V3799" s="1"/>
      <c r="W3799" s="1"/>
      <c r="X3799" s="1"/>
      <c r="Y3799" s="1"/>
      <c r="Z3799" s="102"/>
      <c r="AA3799" s="102"/>
      <c r="AB3799" s="1"/>
      <c r="AC3799" s="1"/>
      <c r="AD3799" s="1"/>
      <c r="AE3799" s="1"/>
      <c r="AF3799" s="1"/>
      <c r="AG3799" s="1"/>
    </row>
    <row r="3800" ht="15.75" customHeight="1">
      <c r="A3800" s="1"/>
      <c r="B3800" s="1"/>
      <c r="C3800" s="1"/>
      <c r="D3800" s="1"/>
      <c r="E3800" s="1"/>
      <c r="F3800" s="1"/>
      <c r="G3800" s="1"/>
      <c r="H3800" s="1"/>
      <c r="I3800" s="1"/>
      <c r="J3800" s="1"/>
      <c r="K3800" s="102" t="s">
        <v>6343</v>
      </c>
      <c r="L3800" s="102" t="str">
        <f>V352</f>
        <v>J1a2a1a2d2b2b2c4d2a2a5~</v>
      </c>
      <c r="M3800" s="102" t="s">
        <v>6344</v>
      </c>
      <c r="N3800" s="102"/>
      <c r="O3800" s="105">
        <v>2.361284E7</v>
      </c>
      <c r="P3800" s="105">
        <v>2.1450954E7</v>
      </c>
      <c r="Q3800" s="102" t="s">
        <v>2468</v>
      </c>
      <c r="S3800" s="1"/>
      <c r="T3800" s="1"/>
      <c r="U3800" s="1"/>
      <c r="V3800" s="1"/>
      <c r="W3800" s="1"/>
      <c r="X3800" s="1"/>
      <c r="Y3800" s="1"/>
      <c r="Z3800" s="102"/>
      <c r="AA3800" s="102"/>
      <c r="AB3800" s="1"/>
      <c r="AC3800" s="1"/>
      <c r="AD3800" s="1"/>
      <c r="AE3800" s="1"/>
      <c r="AF3800" s="1"/>
      <c r="AG3800" s="1"/>
    </row>
    <row r="3801" ht="15.75" customHeight="1">
      <c r="A3801" s="1"/>
      <c r="B3801" s="1"/>
      <c r="C3801" s="1"/>
      <c r="D3801" s="1"/>
      <c r="E3801" s="1"/>
      <c r="F3801" s="1"/>
      <c r="G3801" s="1"/>
      <c r="H3801" s="1"/>
      <c r="I3801" s="1"/>
      <c r="J3801" s="1"/>
      <c r="K3801" s="102" t="s">
        <v>6344</v>
      </c>
      <c r="L3801" s="102" t="str">
        <f>V352</f>
        <v>J1a2a1a2d2b2b2c4d2a2a5~</v>
      </c>
      <c r="M3801" s="102" t="s">
        <v>6343</v>
      </c>
      <c r="N3801" s="102"/>
      <c r="O3801" s="105">
        <v>2.361284E7</v>
      </c>
      <c r="P3801" s="105">
        <v>2.1450954E7</v>
      </c>
      <c r="Q3801" s="102" t="s">
        <v>2468</v>
      </c>
      <c r="S3801" s="1"/>
      <c r="T3801" s="1"/>
      <c r="U3801" s="1"/>
      <c r="V3801" s="1"/>
      <c r="W3801" s="1"/>
      <c r="X3801" s="1"/>
      <c r="Y3801" s="1"/>
      <c r="Z3801" s="102"/>
      <c r="AA3801" s="102"/>
      <c r="AB3801" s="1"/>
      <c r="AC3801" s="1"/>
      <c r="AD3801" s="1"/>
      <c r="AE3801" s="1"/>
      <c r="AF3801" s="1"/>
      <c r="AG3801" s="1"/>
    </row>
    <row r="3802" ht="15.75" customHeight="1">
      <c r="A3802" s="1"/>
      <c r="B3802" s="1"/>
      <c r="C3802" s="1"/>
      <c r="D3802" s="1"/>
      <c r="E3802" s="1"/>
      <c r="F3802" s="1"/>
      <c r="G3802" s="1"/>
      <c r="H3802" s="1"/>
      <c r="I3802" s="1"/>
      <c r="J3802" s="1"/>
      <c r="K3802" s="102" t="s">
        <v>6345</v>
      </c>
      <c r="L3802" s="102" t="str">
        <f>V352</f>
        <v>J1a2a1a2d2b2b2c4d2a2a5~</v>
      </c>
      <c r="M3802" s="102" t="s">
        <v>6346</v>
      </c>
      <c r="N3802" s="102"/>
      <c r="O3802" s="105">
        <v>1.7108638E7</v>
      </c>
      <c r="P3802" s="105">
        <v>1.4996758E7</v>
      </c>
      <c r="Q3802" s="102" t="s">
        <v>2468</v>
      </c>
      <c r="S3802" s="1"/>
      <c r="T3802" s="1"/>
      <c r="U3802" s="1"/>
      <c r="V3802" s="1"/>
      <c r="W3802" s="1"/>
      <c r="X3802" s="1"/>
      <c r="Y3802" s="1"/>
      <c r="Z3802" s="102"/>
      <c r="AA3802" s="102"/>
      <c r="AB3802" s="1"/>
      <c r="AC3802" s="1"/>
      <c r="AD3802" s="1"/>
      <c r="AE3802" s="1"/>
      <c r="AF3802" s="1"/>
      <c r="AG3802" s="1"/>
    </row>
    <row r="3803" ht="15.75" customHeight="1">
      <c r="A3803" s="1"/>
      <c r="B3803" s="1"/>
      <c r="C3803" s="1"/>
      <c r="D3803" s="1"/>
      <c r="E3803" s="1"/>
      <c r="F3803" s="1"/>
      <c r="G3803" s="1"/>
      <c r="H3803" s="1"/>
      <c r="I3803" s="1"/>
      <c r="J3803" s="1"/>
      <c r="K3803" s="102" t="s">
        <v>6346</v>
      </c>
      <c r="L3803" s="102" t="str">
        <f>V352</f>
        <v>J1a2a1a2d2b2b2c4d2a2a5~</v>
      </c>
      <c r="M3803" s="102" t="s">
        <v>6345</v>
      </c>
      <c r="N3803" s="102"/>
      <c r="O3803" s="105">
        <v>1.7108638E7</v>
      </c>
      <c r="P3803" s="105">
        <v>1.4996758E7</v>
      </c>
      <c r="Q3803" s="102" t="s">
        <v>2468</v>
      </c>
      <c r="S3803" s="1"/>
      <c r="T3803" s="1"/>
      <c r="U3803" s="1"/>
      <c r="V3803" s="1"/>
      <c r="W3803" s="1"/>
      <c r="X3803" s="1"/>
      <c r="Y3803" s="1"/>
      <c r="Z3803" s="102"/>
      <c r="AA3803" s="102"/>
      <c r="AB3803" s="1"/>
      <c r="AC3803" s="1"/>
      <c r="AD3803" s="1"/>
      <c r="AE3803" s="1"/>
      <c r="AF3803" s="1"/>
      <c r="AG3803" s="1"/>
    </row>
    <row r="3804" ht="15.75" customHeight="1">
      <c r="A3804" s="1"/>
      <c r="B3804" s="1"/>
      <c r="C3804" s="1"/>
      <c r="D3804" s="1"/>
      <c r="E3804" s="1"/>
      <c r="F3804" s="1"/>
      <c r="G3804" s="1"/>
      <c r="H3804" s="1"/>
      <c r="I3804" s="1"/>
      <c r="J3804" s="1"/>
      <c r="K3804" s="102" t="s">
        <v>6347</v>
      </c>
      <c r="L3804" s="102" t="str">
        <f>V352</f>
        <v>J1a2a1a2d2b2b2c4d2a2a5~</v>
      </c>
      <c r="M3804" s="102"/>
      <c r="N3804" s="102"/>
      <c r="O3804" s="105">
        <v>1.7534387E7</v>
      </c>
      <c r="P3804" s="105">
        <v>1.5422507E7</v>
      </c>
      <c r="Q3804" s="102" t="s">
        <v>2454</v>
      </c>
      <c r="S3804" s="1"/>
      <c r="T3804" s="1"/>
      <c r="U3804" s="1"/>
      <c r="V3804" s="1"/>
      <c r="W3804" s="1"/>
      <c r="X3804" s="1"/>
      <c r="Y3804" s="1"/>
      <c r="Z3804" s="102"/>
      <c r="AA3804" s="102"/>
      <c r="AB3804" s="1"/>
      <c r="AC3804" s="1"/>
      <c r="AD3804" s="1"/>
      <c r="AE3804" s="1"/>
      <c r="AF3804" s="1"/>
      <c r="AG3804" s="1"/>
    </row>
    <row r="3805" ht="15.75" customHeight="1">
      <c r="A3805" s="1"/>
      <c r="B3805" s="1"/>
      <c r="C3805" s="1"/>
      <c r="D3805" s="1"/>
      <c r="E3805" s="1"/>
      <c r="F3805" s="1"/>
      <c r="G3805" s="1"/>
      <c r="H3805" s="1"/>
      <c r="I3805" s="1"/>
      <c r="J3805" s="1"/>
      <c r="K3805" s="102" t="s">
        <v>6348</v>
      </c>
      <c r="L3805" s="102" t="str">
        <f>V352</f>
        <v>J1a2a1a2d2b2b2c4d2a2a5~</v>
      </c>
      <c r="M3805" s="102" t="s">
        <v>6349</v>
      </c>
      <c r="N3805" s="102"/>
      <c r="O3805" s="105">
        <v>2.2791485E7</v>
      </c>
      <c r="P3805" s="105">
        <v>2.0629599E7</v>
      </c>
      <c r="Q3805" s="102" t="s">
        <v>2439</v>
      </c>
      <c r="S3805" s="1"/>
      <c r="T3805" s="1"/>
      <c r="U3805" s="1"/>
      <c r="V3805" s="1"/>
      <c r="W3805" s="1"/>
      <c r="X3805" s="1"/>
      <c r="Y3805" s="1"/>
      <c r="Z3805" s="102"/>
      <c r="AA3805" s="102"/>
      <c r="AB3805" s="1"/>
      <c r="AC3805" s="1"/>
      <c r="AD3805" s="1"/>
      <c r="AE3805" s="1"/>
      <c r="AF3805" s="1"/>
      <c r="AG3805" s="1"/>
    </row>
    <row r="3806" ht="15.75" customHeight="1">
      <c r="A3806" s="1"/>
      <c r="B3806" s="1"/>
      <c r="C3806" s="1"/>
      <c r="D3806" s="1"/>
      <c r="E3806" s="1"/>
      <c r="F3806" s="1"/>
      <c r="G3806" s="1"/>
      <c r="H3806" s="1"/>
      <c r="I3806" s="1"/>
      <c r="J3806" s="1"/>
      <c r="K3806" s="102" t="s">
        <v>6349</v>
      </c>
      <c r="L3806" s="102" t="str">
        <f>V352</f>
        <v>J1a2a1a2d2b2b2c4d2a2a5~</v>
      </c>
      <c r="M3806" s="102" t="s">
        <v>6348</v>
      </c>
      <c r="N3806" s="102"/>
      <c r="O3806" s="105">
        <v>2.2791485E7</v>
      </c>
      <c r="P3806" s="105">
        <v>2.0629599E7</v>
      </c>
      <c r="Q3806" s="102" t="s">
        <v>2439</v>
      </c>
      <c r="S3806" s="1"/>
      <c r="T3806" s="1"/>
      <c r="U3806" s="1"/>
      <c r="V3806" s="1"/>
      <c r="W3806" s="1"/>
      <c r="X3806" s="1"/>
      <c r="Y3806" s="1"/>
      <c r="Z3806" s="102"/>
      <c r="AA3806" s="102"/>
      <c r="AB3806" s="1"/>
      <c r="AC3806" s="1"/>
      <c r="AD3806" s="1"/>
      <c r="AE3806" s="1"/>
      <c r="AF3806" s="1"/>
      <c r="AG3806" s="1"/>
    </row>
    <row r="3807" ht="15.75" customHeight="1">
      <c r="A3807" s="1"/>
      <c r="B3807" s="1"/>
      <c r="C3807" s="1"/>
      <c r="D3807" s="1"/>
      <c r="E3807" s="1"/>
      <c r="F3807" s="1"/>
      <c r="G3807" s="1"/>
      <c r="H3807" s="1"/>
      <c r="I3807" s="1"/>
      <c r="J3807" s="1"/>
      <c r="K3807" s="102" t="s">
        <v>6350</v>
      </c>
      <c r="L3807" s="102" t="str">
        <f>V352</f>
        <v>J1a2a1a2d2b2b2c4d2a2a5~</v>
      </c>
      <c r="M3807" s="102"/>
      <c r="N3807" s="102" t="s">
        <v>6351</v>
      </c>
      <c r="O3807" s="105">
        <v>2710309.0</v>
      </c>
      <c r="P3807" s="105">
        <v>2842268.0</v>
      </c>
      <c r="Q3807" s="102" t="s">
        <v>2563</v>
      </c>
      <c r="S3807" s="1"/>
      <c r="T3807" s="1"/>
      <c r="U3807" s="1"/>
      <c r="V3807" s="1"/>
      <c r="W3807" s="1"/>
      <c r="X3807" s="1"/>
      <c r="Y3807" s="1"/>
      <c r="Z3807" s="102"/>
      <c r="AA3807" s="102"/>
      <c r="AB3807" s="1"/>
      <c r="AC3807" s="1"/>
      <c r="AD3807" s="1"/>
      <c r="AE3807" s="1"/>
      <c r="AF3807" s="1"/>
      <c r="AG3807" s="1"/>
    </row>
    <row r="3808" ht="15.75" customHeight="1">
      <c r="A3808" s="1"/>
      <c r="B3808" s="1"/>
      <c r="C3808" s="1"/>
      <c r="D3808" s="1"/>
      <c r="E3808" s="1"/>
      <c r="F3808" s="1"/>
      <c r="G3808" s="1"/>
      <c r="H3808" s="1"/>
      <c r="I3808" s="1"/>
      <c r="J3808" s="1"/>
      <c r="K3808" s="102" t="s">
        <v>6352</v>
      </c>
      <c r="L3808" s="102" t="str">
        <f>W353</f>
        <v>J1a2a1a2d2b2b2c4d2a2a5a~</v>
      </c>
      <c r="M3808" s="102" t="s">
        <v>6353</v>
      </c>
      <c r="N3808" s="102" t="s">
        <v>6354</v>
      </c>
      <c r="O3808" s="105">
        <v>1.4776442E7</v>
      </c>
      <c r="P3808" s="105">
        <v>1.2664511E7</v>
      </c>
      <c r="Q3808" s="102" t="s">
        <v>2501</v>
      </c>
      <c r="S3808" s="1"/>
      <c r="T3808" s="1"/>
      <c r="U3808" s="1"/>
      <c r="V3808" s="1"/>
      <c r="W3808" s="1"/>
      <c r="X3808" s="1"/>
      <c r="Y3808" s="1"/>
      <c r="Z3808" s="102"/>
      <c r="AA3808" s="102"/>
      <c r="AB3808" s="1"/>
      <c r="AC3808" s="1"/>
      <c r="AD3808" s="1"/>
      <c r="AE3808" s="1"/>
      <c r="AF3808" s="1"/>
      <c r="AG3808" s="1"/>
    </row>
    <row r="3809" ht="15.75" customHeight="1">
      <c r="A3809" s="1"/>
      <c r="B3809" s="1"/>
      <c r="C3809" s="1"/>
      <c r="D3809" s="1"/>
      <c r="E3809" s="1"/>
      <c r="F3809" s="1"/>
      <c r="G3809" s="1"/>
      <c r="H3809" s="1"/>
      <c r="I3809" s="1"/>
      <c r="J3809" s="1"/>
      <c r="K3809" s="102" t="s">
        <v>6355</v>
      </c>
      <c r="L3809" s="102" t="str">
        <f>W353</f>
        <v>J1a2a1a2d2b2b2c4d2a2a5a~</v>
      </c>
      <c r="M3809" s="102" t="s">
        <v>6356</v>
      </c>
      <c r="N3809" s="102" t="s">
        <v>6354</v>
      </c>
      <c r="O3809" s="105">
        <v>1.4776442E7</v>
      </c>
      <c r="P3809" s="105">
        <v>1.2664511E7</v>
      </c>
      <c r="Q3809" s="102" t="s">
        <v>2501</v>
      </c>
      <c r="S3809" s="1"/>
      <c r="T3809" s="1"/>
      <c r="U3809" s="1"/>
      <c r="V3809" s="1"/>
      <c r="W3809" s="1"/>
      <c r="X3809" s="1"/>
      <c r="Y3809" s="1"/>
      <c r="Z3809" s="102"/>
      <c r="AA3809" s="102"/>
      <c r="AB3809" s="1"/>
      <c r="AC3809" s="1"/>
      <c r="AD3809" s="1"/>
      <c r="AE3809" s="1"/>
      <c r="AF3809" s="1"/>
      <c r="AG3809" s="1"/>
    </row>
    <row r="3810" ht="15.75" customHeight="1">
      <c r="A3810" s="1"/>
      <c r="B3810" s="1"/>
      <c r="C3810" s="1"/>
      <c r="D3810" s="1"/>
      <c r="E3810" s="1"/>
      <c r="F3810" s="1"/>
      <c r="G3810" s="1"/>
      <c r="H3810" s="1"/>
      <c r="I3810" s="1"/>
      <c r="J3810" s="1"/>
      <c r="K3810" s="102" t="s">
        <v>6357</v>
      </c>
      <c r="L3810" s="102" t="str">
        <f>W353</f>
        <v>J1a2a1a2d2b2b2c4d2a2a5a~</v>
      </c>
      <c r="M3810" s="102" t="s">
        <v>6358</v>
      </c>
      <c r="N3810" s="102" t="s">
        <v>6354</v>
      </c>
      <c r="O3810" s="105">
        <v>1.4776442E7</v>
      </c>
      <c r="P3810" s="105">
        <v>1.2664511E7</v>
      </c>
      <c r="Q3810" s="102" t="s">
        <v>2501</v>
      </c>
      <c r="S3810" s="1"/>
      <c r="T3810" s="1"/>
      <c r="U3810" s="1"/>
      <c r="V3810" s="1"/>
      <c r="W3810" s="1"/>
      <c r="X3810" s="1"/>
      <c r="Y3810" s="1"/>
      <c r="Z3810" s="102"/>
      <c r="AA3810" s="102"/>
      <c r="AB3810" s="1"/>
      <c r="AC3810" s="1"/>
      <c r="AD3810" s="1"/>
      <c r="AE3810" s="1"/>
      <c r="AF3810" s="1"/>
      <c r="AG3810" s="1"/>
    </row>
    <row r="3811" ht="15.75" customHeight="1">
      <c r="A3811" s="1"/>
      <c r="B3811" s="1"/>
      <c r="C3811" s="1"/>
      <c r="D3811" s="1"/>
      <c r="E3811" s="1"/>
      <c r="F3811" s="1"/>
      <c r="G3811" s="1"/>
      <c r="H3811" s="1"/>
      <c r="I3811" s="1"/>
      <c r="J3811" s="1"/>
      <c r="K3811" s="102" t="s">
        <v>6359</v>
      </c>
      <c r="L3811" s="102" t="str">
        <f>W353</f>
        <v>J1a2a1a2d2b2b2c4d2a2a5a~</v>
      </c>
      <c r="M3811" s="102" t="s">
        <v>6360</v>
      </c>
      <c r="N3811" s="102" t="s">
        <v>6361</v>
      </c>
      <c r="O3811" s="105">
        <v>7870883.0</v>
      </c>
      <c r="P3811" s="105">
        <v>8002842.0</v>
      </c>
      <c r="Q3811" s="102" t="s">
        <v>2533</v>
      </c>
      <c r="S3811" s="1"/>
      <c r="T3811" s="1"/>
      <c r="U3811" s="1"/>
      <c r="V3811" s="1"/>
      <c r="W3811" s="1"/>
      <c r="X3811" s="1"/>
      <c r="Y3811" s="1"/>
      <c r="Z3811" s="102"/>
      <c r="AA3811" s="102"/>
      <c r="AB3811" s="1"/>
      <c r="AC3811" s="1"/>
      <c r="AD3811" s="1"/>
      <c r="AE3811" s="1"/>
      <c r="AF3811" s="1"/>
      <c r="AG3811" s="1"/>
    </row>
    <row r="3812" ht="15.75" customHeight="1">
      <c r="A3812" s="1"/>
      <c r="B3812" s="1"/>
      <c r="C3812" s="1"/>
      <c r="D3812" s="1"/>
      <c r="E3812" s="1"/>
      <c r="F3812" s="1"/>
      <c r="G3812" s="1"/>
      <c r="H3812" s="1"/>
      <c r="I3812" s="1"/>
      <c r="J3812" s="1"/>
      <c r="K3812" s="102" t="s">
        <v>6360</v>
      </c>
      <c r="L3812" s="102" t="str">
        <f>W353</f>
        <v>J1a2a1a2d2b2b2c4d2a2a5a~</v>
      </c>
      <c r="M3812" s="102" t="s">
        <v>6359</v>
      </c>
      <c r="N3812" s="102" t="s">
        <v>6361</v>
      </c>
      <c r="O3812" s="105">
        <v>7870883.0</v>
      </c>
      <c r="P3812" s="105">
        <v>8002842.0</v>
      </c>
      <c r="Q3812" s="102" t="s">
        <v>2533</v>
      </c>
      <c r="S3812" s="1"/>
      <c r="T3812" s="1"/>
      <c r="U3812" s="1"/>
      <c r="V3812" s="1"/>
      <c r="W3812" s="1"/>
      <c r="X3812" s="1"/>
      <c r="Y3812" s="1"/>
      <c r="Z3812" s="102"/>
      <c r="AA3812" s="102"/>
      <c r="AB3812" s="1"/>
      <c r="AC3812" s="1"/>
      <c r="AD3812" s="1"/>
      <c r="AE3812" s="1"/>
      <c r="AF3812" s="1"/>
      <c r="AG3812" s="1"/>
    </row>
    <row r="3813" ht="15.75" customHeight="1">
      <c r="A3813" s="1"/>
      <c r="B3813" s="1"/>
      <c r="C3813" s="1"/>
      <c r="D3813" s="1"/>
      <c r="E3813" s="1"/>
      <c r="F3813" s="1"/>
      <c r="G3813" s="1"/>
      <c r="H3813" s="1"/>
      <c r="I3813" s="1"/>
      <c r="J3813" s="1"/>
      <c r="K3813" s="102" t="s">
        <v>6362</v>
      </c>
      <c r="L3813" s="102" t="str">
        <f>W353</f>
        <v>J1a2a1a2d2b2b2c4d2a2a5a~</v>
      </c>
      <c r="M3813" s="102" t="s">
        <v>6363</v>
      </c>
      <c r="N3813" s="102" t="s">
        <v>6364</v>
      </c>
      <c r="O3813" s="105">
        <v>8555202.0</v>
      </c>
      <c r="P3813" s="105">
        <v>8687161.0</v>
      </c>
      <c r="Q3813" s="102" t="s">
        <v>2439</v>
      </c>
      <c r="S3813" s="1"/>
      <c r="T3813" s="1"/>
      <c r="U3813" s="1"/>
      <c r="V3813" s="1"/>
      <c r="W3813" s="1"/>
      <c r="X3813" s="1"/>
      <c r="Y3813" s="1"/>
      <c r="Z3813" s="102"/>
      <c r="AA3813" s="102"/>
      <c r="AB3813" s="1"/>
      <c r="AC3813" s="1"/>
      <c r="AD3813" s="1"/>
      <c r="AE3813" s="1"/>
      <c r="AF3813" s="1"/>
      <c r="AG3813" s="1"/>
    </row>
    <row r="3814" ht="15.75" customHeight="1">
      <c r="A3814" s="1"/>
      <c r="B3814" s="1"/>
      <c r="C3814" s="1"/>
      <c r="D3814" s="1"/>
      <c r="E3814" s="1"/>
      <c r="F3814" s="1"/>
      <c r="G3814" s="1"/>
      <c r="H3814" s="1"/>
      <c r="I3814" s="1"/>
      <c r="J3814" s="1"/>
      <c r="K3814" s="102" t="s">
        <v>6363</v>
      </c>
      <c r="L3814" s="102" t="str">
        <f>W353</f>
        <v>J1a2a1a2d2b2b2c4d2a2a5a~</v>
      </c>
      <c r="M3814" s="102" t="s">
        <v>6362</v>
      </c>
      <c r="N3814" s="102" t="s">
        <v>6364</v>
      </c>
      <c r="O3814" s="105">
        <v>8555202.0</v>
      </c>
      <c r="P3814" s="105">
        <v>8687161.0</v>
      </c>
      <c r="Q3814" s="102" t="s">
        <v>2439</v>
      </c>
      <c r="S3814" s="1"/>
      <c r="T3814" s="1"/>
      <c r="U3814" s="1"/>
      <c r="V3814" s="1"/>
      <c r="W3814" s="1"/>
      <c r="X3814" s="1"/>
      <c r="Y3814" s="1"/>
      <c r="Z3814" s="102"/>
      <c r="AA3814" s="102"/>
      <c r="AB3814" s="1"/>
      <c r="AC3814" s="1"/>
      <c r="AD3814" s="1"/>
      <c r="AE3814" s="1"/>
      <c r="AF3814" s="1"/>
      <c r="AG3814" s="1"/>
    </row>
    <row r="3815" ht="15.75" customHeight="1">
      <c r="A3815" s="1"/>
      <c r="B3815" s="1"/>
      <c r="C3815" s="1"/>
      <c r="D3815" s="1"/>
      <c r="E3815" s="1"/>
      <c r="F3815" s="1"/>
      <c r="G3815" s="1"/>
      <c r="H3815" s="1"/>
      <c r="I3815" s="1"/>
      <c r="J3815" s="1"/>
      <c r="K3815" s="102" t="s">
        <v>6365</v>
      </c>
      <c r="L3815" s="102" t="str">
        <f>W353</f>
        <v>J1a2a1a2d2b2b2c4d2a2a5a~</v>
      </c>
      <c r="M3815" s="102" t="s">
        <v>6366</v>
      </c>
      <c r="N3815" s="102" t="s">
        <v>6367</v>
      </c>
      <c r="O3815" s="105">
        <v>1.9510495E7</v>
      </c>
      <c r="P3815" s="105">
        <v>1.7398615E7</v>
      </c>
      <c r="Q3815" s="102" t="s">
        <v>2468</v>
      </c>
      <c r="S3815" s="1"/>
      <c r="T3815" s="1"/>
      <c r="U3815" s="1"/>
      <c r="V3815" s="1"/>
      <c r="W3815" s="1"/>
      <c r="X3815" s="1"/>
      <c r="Y3815" s="1"/>
      <c r="Z3815" s="102"/>
      <c r="AA3815" s="102"/>
      <c r="AB3815" s="1"/>
      <c r="AC3815" s="1"/>
      <c r="AD3815" s="1"/>
      <c r="AE3815" s="1"/>
      <c r="AF3815" s="1"/>
      <c r="AG3815" s="1"/>
    </row>
    <row r="3816" ht="15.75" customHeight="1">
      <c r="A3816" s="1"/>
      <c r="B3816" s="1"/>
      <c r="C3816" s="1"/>
      <c r="D3816" s="1"/>
      <c r="E3816" s="1"/>
      <c r="F3816" s="1"/>
      <c r="G3816" s="1"/>
      <c r="H3816" s="1"/>
      <c r="I3816" s="1"/>
      <c r="J3816" s="1"/>
      <c r="K3816" s="102" t="s">
        <v>6366</v>
      </c>
      <c r="L3816" s="102" t="str">
        <f>W353</f>
        <v>J1a2a1a2d2b2b2c4d2a2a5a~</v>
      </c>
      <c r="M3816" s="102" t="s">
        <v>6365</v>
      </c>
      <c r="N3816" s="102" t="s">
        <v>6367</v>
      </c>
      <c r="O3816" s="105">
        <v>1.9510495E7</v>
      </c>
      <c r="P3816" s="105">
        <v>1.7398615E7</v>
      </c>
      <c r="Q3816" s="102" t="s">
        <v>2468</v>
      </c>
      <c r="S3816" s="1"/>
      <c r="T3816" s="1"/>
      <c r="U3816" s="1"/>
      <c r="V3816" s="1"/>
      <c r="W3816" s="1"/>
      <c r="X3816" s="1"/>
      <c r="Y3816" s="1"/>
      <c r="Z3816" s="102"/>
      <c r="AA3816" s="102"/>
      <c r="AB3816" s="1"/>
      <c r="AC3816" s="1"/>
      <c r="AD3816" s="1"/>
      <c r="AE3816" s="1"/>
      <c r="AF3816" s="1"/>
      <c r="AG3816" s="1"/>
    </row>
    <row r="3817" ht="15.75" customHeight="1">
      <c r="A3817" s="1"/>
      <c r="B3817" s="1"/>
      <c r="C3817" s="1"/>
      <c r="D3817" s="1"/>
      <c r="E3817" s="1"/>
      <c r="F3817" s="1"/>
      <c r="G3817" s="1"/>
      <c r="H3817" s="1"/>
      <c r="I3817" s="1"/>
      <c r="J3817" s="1"/>
      <c r="K3817" s="102" t="s">
        <v>6368</v>
      </c>
      <c r="L3817" s="102" t="str">
        <f>W353</f>
        <v>J1a2a1a2d2b2b2c4d2a2a5a~</v>
      </c>
      <c r="M3817" s="102"/>
      <c r="N3817" s="102" t="s">
        <v>6369</v>
      </c>
      <c r="O3817" s="105">
        <v>1.8153783E7</v>
      </c>
      <c r="P3817" s="105">
        <v>1.6041903E7</v>
      </c>
      <c r="Q3817" s="102" t="s">
        <v>2446</v>
      </c>
      <c r="S3817" s="1"/>
      <c r="T3817" s="1"/>
      <c r="U3817" s="1"/>
      <c r="V3817" s="1"/>
      <c r="W3817" s="1"/>
      <c r="X3817" s="1"/>
      <c r="Y3817" s="1"/>
      <c r="Z3817" s="102"/>
      <c r="AA3817" s="102"/>
      <c r="AB3817" s="1"/>
      <c r="AC3817" s="1"/>
      <c r="AD3817" s="1"/>
      <c r="AE3817" s="1"/>
      <c r="AF3817" s="1"/>
      <c r="AG3817" s="1"/>
    </row>
    <row r="3818" ht="15.75" customHeight="1">
      <c r="A3818" s="1"/>
      <c r="B3818" s="1"/>
      <c r="C3818" s="1"/>
      <c r="D3818" s="1"/>
      <c r="E3818" s="1"/>
      <c r="F3818" s="1"/>
      <c r="G3818" s="1"/>
      <c r="H3818" s="1"/>
      <c r="I3818" s="1"/>
      <c r="J3818" s="1"/>
      <c r="K3818" s="102" t="s">
        <v>6370</v>
      </c>
      <c r="L3818" s="102" t="str">
        <f>X354</f>
        <v>J1a2a1a2d2b2b2c4d2a2a5a1~</v>
      </c>
      <c r="M3818" s="102" t="s">
        <v>6371</v>
      </c>
      <c r="N3818" s="102" t="s">
        <v>6372</v>
      </c>
      <c r="O3818" s="105">
        <v>1.817821E7</v>
      </c>
      <c r="P3818" s="105">
        <v>1.606633E7</v>
      </c>
      <c r="Q3818" s="102" t="s">
        <v>2454</v>
      </c>
      <c r="S3818" s="1"/>
      <c r="T3818" s="1"/>
      <c r="U3818" s="1"/>
      <c r="V3818" s="1"/>
      <c r="W3818" s="1"/>
      <c r="X3818" s="1"/>
      <c r="Y3818" s="1"/>
      <c r="Z3818" s="102"/>
      <c r="AA3818" s="102"/>
      <c r="AB3818" s="1"/>
      <c r="AC3818" s="1"/>
      <c r="AD3818" s="1"/>
      <c r="AE3818" s="1"/>
      <c r="AF3818" s="1"/>
      <c r="AG3818" s="1"/>
    </row>
    <row r="3819" ht="15.75" customHeight="1">
      <c r="A3819" s="1"/>
      <c r="B3819" s="1"/>
      <c r="C3819" s="1"/>
      <c r="D3819" s="1"/>
      <c r="E3819" s="1"/>
      <c r="F3819" s="1"/>
      <c r="G3819" s="1"/>
      <c r="H3819" s="1"/>
      <c r="I3819" s="1"/>
      <c r="J3819" s="1"/>
      <c r="K3819" s="102" t="s">
        <v>6371</v>
      </c>
      <c r="L3819" s="102" t="str">
        <f>X354</f>
        <v>J1a2a1a2d2b2b2c4d2a2a5a1~</v>
      </c>
      <c r="M3819" s="102" t="s">
        <v>6370</v>
      </c>
      <c r="N3819" s="102" t="s">
        <v>6372</v>
      </c>
      <c r="O3819" s="105">
        <v>1.817821E7</v>
      </c>
      <c r="P3819" s="105">
        <v>1.606633E7</v>
      </c>
      <c r="Q3819" s="102" t="s">
        <v>2454</v>
      </c>
      <c r="S3819" s="1"/>
      <c r="T3819" s="1"/>
      <c r="U3819" s="1"/>
      <c r="V3819" s="1"/>
      <c r="W3819" s="1"/>
      <c r="X3819" s="1"/>
      <c r="Y3819" s="1"/>
      <c r="Z3819" s="102"/>
      <c r="AA3819" s="102"/>
      <c r="AB3819" s="1"/>
      <c r="AC3819" s="1"/>
      <c r="AD3819" s="1"/>
      <c r="AE3819" s="1"/>
      <c r="AF3819" s="1"/>
      <c r="AG3819" s="1"/>
    </row>
    <row r="3820" ht="15.75" customHeight="1">
      <c r="A3820" s="1"/>
      <c r="B3820" s="1"/>
      <c r="C3820" s="1"/>
      <c r="D3820" s="1"/>
      <c r="E3820" s="1"/>
      <c r="F3820" s="1"/>
      <c r="G3820" s="1"/>
      <c r="H3820" s="1"/>
      <c r="I3820" s="1"/>
      <c r="J3820" s="1"/>
      <c r="K3820" s="102" t="s">
        <v>679</v>
      </c>
      <c r="L3820" s="102" t="str">
        <f t="shared" ref="L3820:L3821" si="54">Y355</f>
        <v>J1a2a1a2d2b2b2c4d2a2a5a1a~</v>
      </c>
      <c r="M3820" s="102"/>
      <c r="N3820" s="102"/>
      <c r="O3820" s="105">
        <v>1.5729142E7</v>
      </c>
      <c r="P3820" s="105">
        <v>1.3617262E7</v>
      </c>
      <c r="Q3820" s="102" t="s">
        <v>2468</v>
      </c>
      <c r="S3820" s="1"/>
      <c r="T3820" s="1"/>
      <c r="U3820" s="1"/>
      <c r="V3820" s="1"/>
      <c r="W3820" s="1"/>
      <c r="X3820" s="1"/>
      <c r="Y3820" s="1"/>
      <c r="Z3820" s="102"/>
      <c r="AA3820" s="102"/>
      <c r="AB3820" s="1"/>
      <c r="AC3820" s="1"/>
      <c r="AD3820" s="1"/>
      <c r="AE3820" s="1"/>
      <c r="AF3820" s="1"/>
      <c r="AG3820" s="1"/>
    </row>
    <row r="3821" ht="15.75" customHeight="1">
      <c r="A3821" s="1"/>
      <c r="B3821" s="1"/>
      <c r="C3821" s="1"/>
      <c r="D3821" s="1"/>
      <c r="E3821" s="1"/>
      <c r="F3821" s="1"/>
      <c r="G3821" s="1"/>
      <c r="H3821" s="1"/>
      <c r="I3821" s="1"/>
      <c r="J3821" s="1"/>
      <c r="K3821" s="102" t="s">
        <v>6373</v>
      </c>
      <c r="L3821" s="102" t="str">
        <f t="shared" si="54"/>
        <v>J1a2a1a2d2b2b2c4d2a2a5a1b~</v>
      </c>
      <c r="M3821" s="102"/>
      <c r="N3821" s="102" t="s">
        <v>6374</v>
      </c>
      <c r="O3821" s="105">
        <v>9081312.0</v>
      </c>
      <c r="P3821" s="105">
        <v>9243703.0</v>
      </c>
      <c r="Q3821" s="102" t="s">
        <v>2468</v>
      </c>
      <c r="S3821" s="1"/>
      <c r="T3821" s="1"/>
      <c r="U3821" s="1"/>
      <c r="V3821" s="1"/>
      <c r="W3821" s="1"/>
      <c r="X3821" s="1"/>
      <c r="Y3821" s="1"/>
      <c r="Z3821" s="102"/>
      <c r="AA3821" s="102"/>
      <c r="AB3821" s="1"/>
      <c r="AC3821" s="1"/>
      <c r="AD3821" s="1"/>
      <c r="AE3821" s="1"/>
      <c r="AF3821" s="1"/>
      <c r="AG3821" s="1"/>
    </row>
    <row r="3822" ht="15.75" customHeight="1">
      <c r="A3822" s="1"/>
      <c r="B3822" s="1"/>
      <c r="C3822" s="1"/>
      <c r="D3822" s="1"/>
      <c r="E3822" s="1"/>
      <c r="F3822" s="1"/>
      <c r="G3822" s="1"/>
      <c r="H3822" s="1"/>
      <c r="I3822" s="1"/>
      <c r="J3822" s="1"/>
      <c r="K3822" s="102" t="s">
        <v>6375</v>
      </c>
      <c r="L3822" s="102" t="str">
        <f>Y356</f>
        <v>J1a2a1a2d2b2b2c4d2a2a5a1b~</v>
      </c>
      <c r="M3822" s="102"/>
      <c r="N3822" s="102"/>
      <c r="O3822" s="105">
        <v>1.5240655E7</v>
      </c>
      <c r="P3822" s="105">
        <v>1.3128741E7</v>
      </c>
      <c r="Q3822" s="102" t="s">
        <v>2501</v>
      </c>
      <c r="S3822" s="1"/>
      <c r="T3822" s="1"/>
      <c r="U3822" s="1"/>
      <c r="V3822" s="1"/>
      <c r="W3822" s="1"/>
      <c r="X3822" s="1"/>
      <c r="Y3822" s="1"/>
      <c r="Z3822" s="102"/>
      <c r="AA3822" s="102"/>
      <c r="AB3822" s="1"/>
      <c r="AC3822" s="1"/>
      <c r="AD3822" s="1"/>
      <c r="AE3822" s="1"/>
      <c r="AF3822" s="1"/>
      <c r="AG3822" s="1"/>
    </row>
    <row r="3823" ht="15.75" customHeight="1">
      <c r="A3823" s="1"/>
      <c r="B3823" s="1"/>
      <c r="C3823" s="1"/>
      <c r="D3823" s="1"/>
      <c r="E3823" s="1"/>
      <c r="F3823" s="1"/>
      <c r="G3823" s="1"/>
      <c r="H3823" s="1"/>
      <c r="I3823" s="1"/>
      <c r="J3823" s="1"/>
      <c r="K3823" s="102" t="s">
        <v>6376</v>
      </c>
      <c r="L3823" s="102" t="str">
        <f>Y356</f>
        <v>J1a2a1a2d2b2b2c4d2a2a5a1b~</v>
      </c>
      <c r="M3823" s="102"/>
      <c r="N3823" s="102" t="s">
        <v>6377</v>
      </c>
      <c r="O3823" s="105">
        <v>2.335847E7</v>
      </c>
      <c r="P3823" s="105">
        <v>2.1196584E7</v>
      </c>
      <c r="Q3823" s="102" t="s">
        <v>2454</v>
      </c>
      <c r="S3823" s="1"/>
      <c r="T3823" s="1"/>
      <c r="U3823" s="1"/>
      <c r="V3823" s="1"/>
      <c r="W3823" s="1"/>
      <c r="X3823" s="1"/>
      <c r="Y3823" s="1"/>
      <c r="Z3823" s="102"/>
      <c r="AA3823" s="102"/>
      <c r="AB3823" s="1"/>
      <c r="AC3823" s="1"/>
      <c r="AD3823" s="1"/>
      <c r="AE3823" s="1"/>
      <c r="AF3823" s="1"/>
      <c r="AG3823" s="1"/>
    </row>
    <row r="3824" ht="15.75" customHeight="1">
      <c r="A3824" s="1"/>
      <c r="B3824" s="1"/>
      <c r="C3824" s="1"/>
      <c r="D3824" s="1"/>
      <c r="E3824" s="1"/>
      <c r="F3824" s="1"/>
      <c r="G3824" s="1"/>
      <c r="H3824" s="1"/>
      <c r="I3824" s="1"/>
      <c r="J3824" s="1"/>
      <c r="K3824" s="102" t="s">
        <v>6378</v>
      </c>
      <c r="L3824" s="102" t="str">
        <f>Z357</f>
        <v>J1a2a1a2d2b2b2c4d2a2a5a1b1~</v>
      </c>
      <c r="M3824" s="102"/>
      <c r="N3824" s="102" t="s">
        <v>6379</v>
      </c>
      <c r="O3824" s="105">
        <v>9148354.0</v>
      </c>
      <c r="P3824" s="105">
        <v>9310745.0</v>
      </c>
      <c r="Q3824" s="102" t="s">
        <v>2576</v>
      </c>
      <c r="S3824" s="1"/>
      <c r="T3824" s="1"/>
      <c r="U3824" s="1"/>
      <c r="V3824" s="1"/>
      <c r="W3824" s="1"/>
      <c r="X3824" s="1"/>
      <c r="Y3824" s="1"/>
      <c r="Z3824" s="102"/>
      <c r="AA3824" s="102"/>
      <c r="AB3824" s="1"/>
      <c r="AC3824" s="1"/>
      <c r="AD3824" s="1"/>
      <c r="AE3824" s="1"/>
      <c r="AF3824" s="1"/>
      <c r="AG3824" s="1"/>
    </row>
    <row r="3825" ht="15.75" customHeight="1">
      <c r="A3825" s="1"/>
      <c r="B3825" s="1"/>
      <c r="C3825" s="1"/>
      <c r="D3825" s="1"/>
      <c r="E3825" s="1"/>
      <c r="F3825" s="1"/>
      <c r="G3825" s="1"/>
      <c r="H3825" s="1"/>
      <c r="I3825" s="1"/>
      <c r="J3825" s="1"/>
      <c r="K3825" s="102" t="s">
        <v>6380</v>
      </c>
      <c r="L3825" s="102" t="str">
        <f>Z357</f>
        <v>J1a2a1a2d2b2b2c4d2a2a5a1b1~</v>
      </c>
      <c r="M3825" s="102" t="s">
        <v>6381</v>
      </c>
      <c r="N3825" s="102" t="s">
        <v>6382</v>
      </c>
      <c r="O3825" s="105">
        <v>1.6626617E7</v>
      </c>
      <c r="P3825" s="105">
        <v>1.4514737E7</v>
      </c>
      <c r="Q3825" s="102" t="s">
        <v>2468</v>
      </c>
      <c r="S3825" s="1"/>
      <c r="T3825" s="1"/>
      <c r="U3825" s="1"/>
      <c r="V3825" s="1"/>
      <c r="W3825" s="1"/>
      <c r="X3825" s="1"/>
      <c r="Y3825" s="1"/>
      <c r="Z3825" s="102"/>
      <c r="AA3825" s="102"/>
      <c r="AB3825" s="1"/>
      <c r="AC3825" s="1"/>
      <c r="AD3825" s="1"/>
      <c r="AE3825" s="1"/>
      <c r="AF3825" s="1"/>
      <c r="AG3825" s="1"/>
    </row>
    <row r="3826" ht="15.75" customHeight="1">
      <c r="A3826" s="1"/>
      <c r="B3826" s="1"/>
      <c r="C3826" s="1"/>
      <c r="D3826" s="1"/>
      <c r="E3826" s="1"/>
      <c r="F3826" s="1"/>
      <c r="G3826" s="1"/>
      <c r="H3826" s="1"/>
      <c r="I3826" s="1"/>
      <c r="J3826" s="1"/>
      <c r="K3826" s="102" t="s">
        <v>6381</v>
      </c>
      <c r="L3826" s="102" t="str">
        <f>Z357</f>
        <v>J1a2a1a2d2b2b2c4d2a2a5a1b1~</v>
      </c>
      <c r="M3826" s="102" t="s">
        <v>6380</v>
      </c>
      <c r="N3826" s="102" t="s">
        <v>6382</v>
      </c>
      <c r="O3826" s="105">
        <v>1.6626617E7</v>
      </c>
      <c r="P3826" s="105">
        <v>1.4514737E7</v>
      </c>
      <c r="Q3826" s="102" t="s">
        <v>2468</v>
      </c>
      <c r="S3826" s="1"/>
      <c r="T3826" s="1"/>
      <c r="U3826" s="1"/>
      <c r="V3826" s="1"/>
      <c r="W3826" s="1"/>
      <c r="X3826" s="1"/>
      <c r="Y3826" s="1"/>
      <c r="Z3826" s="102"/>
      <c r="AA3826" s="102"/>
      <c r="AB3826" s="1"/>
      <c r="AC3826" s="1"/>
      <c r="AD3826" s="1"/>
      <c r="AE3826" s="1"/>
      <c r="AF3826" s="1"/>
      <c r="AG3826" s="1"/>
    </row>
    <row r="3827" ht="15.75" customHeight="1">
      <c r="A3827" s="1"/>
      <c r="B3827" s="1"/>
      <c r="C3827" s="1"/>
      <c r="D3827" s="1"/>
      <c r="E3827" s="1"/>
      <c r="F3827" s="1"/>
      <c r="G3827" s="1"/>
      <c r="H3827" s="1"/>
      <c r="I3827" s="1"/>
      <c r="J3827" s="1"/>
      <c r="K3827" s="102" t="s">
        <v>685</v>
      </c>
      <c r="L3827" s="102" t="str">
        <f>AA358</f>
        <v>J1a2a1a2d2b2b2c4d2a2a5a1b1a~</v>
      </c>
      <c r="M3827" s="102"/>
      <c r="N3827" s="102" t="s">
        <v>6383</v>
      </c>
      <c r="O3827" s="105">
        <v>2.3474257E7</v>
      </c>
      <c r="P3827" s="105">
        <v>2.1312371E7</v>
      </c>
      <c r="Q3827" s="102" t="s">
        <v>2501</v>
      </c>
      <c r="S3827" s="1"/>
      <c r="T3827" s="1"/>
      <c r="U3827" s="1"/>
      <c r="V3827" s="1"/>
      <c r="W3827" s="1"/>
      <c r="X3827" s="1"/>
      <c r="Y3827" s="1"/>
      <c r="Z3827" s="102"/>
      <c r="AA3827" s="102"/>
      <c r="AB3827" s="1"/>
      <c r="AC3827" s="1"/>
      <c r="AD3827" s="1"/>
      <c r="AE3827" s="1"/>
      <c r="AF3827" s="1"/>
      <c r="AG3827" s="1"/>
    </row>
    <row r="3828" ht="15.75" customHeight="1">
      <c r="A3828" s="1"/>
      <c r="B3828" s="1"/>
      <c r="C3828" s="1"/>
      <c r="D3828" s="1"/>
      <c r="E3828" s="1"/>
      <c r="F3828" s="1"/>
      <c r="G3828" s="1"/>
      <c r="H3828" s="1"/>
      <c r="I3828" s="1"/>
      <c r="J3828" s="1"/>
      <c r="K3828" s="102" t="s">
        <v>687</v>
      </c>
      <c r="L3828" s="102" t="str">
        <f>AB359</f>
        <v>J1a2a1a2d2b2b2c4d2a2a5a1b1a1~</v>
      </c>
      <c r="M3828" s="102"/>
      <c r="N3828" s="102" t="s">
        <v>6384</v>
      </c>
      <c r="O3828" s="105">
        <v>2778244.0</v>
      </c>
      <c r="P3828" s="105">
        <v>2910203.0</v>
      </c>
      <c r="Q3828" s="102" t="s">
        <v>2501</v>
      </c>
      <c r="S3828" s="1"/>
      <c r="T3828" s="1"/>
      <c r="U3828" s="1"/>
      <c r="V3828" s="1"/>
      <c r="W3828" s="1"/>
      <c r="X3828" s="1"/>
      <c r="Y3828" s="1"/>
      <c r="Z3828" s="102"/>
      <c r="AA3828" s="102"/>
      <c r="AB3828" s="1"/>
      <c r="AC3828" s="1"/>
      <c r="AD3828" s="1"/>
      <c r="AE3828" s="1"/>
      <c r="AF3828" s="1"/>
      <c r="AG3828" s="1"/>
    </row>
    <row r="3829" ht="15.75" customHeight="1">
      <c r="A3829" s="1"/>
      <c r="B3829" s="1"/>
      <c r="C3829" s="1"/>
      <c r="D3829" s="1"/>
      <c r="E3829" s="1"/>
      <c r="F3829" s="1"/>
      <c r="G3829" s="1"/>
      <c r="H3829" s="1"/>
      <c r="I3829" s="1"/>
      <c r="J3829" s="1"/>
      <c r="K3829" s="102" t="s">
        <v>6385</v>
      </c>
      <c r="L3829" s="102" t="str">
        <f>AC360</f>
        <v>J1a2a1a2d2b2b2c4d2a2a5a1b1a1a~</v>
      </c>
      <c r="M3829" s="102"/>
      <c r="N3829" s="102"/>
      <c r="O3829" s="105">
        <v>7305876.0</v>
      </c>
      <c r="P3829" s="105">
        <v>7437835.0</v>
      </c>
      <c r="Q3829" s="102" t="s">
        <v>2529</v>
      </c>
      <c r="S3829" s="1"/>
      <c r="T3829" s="1"/>
      <c r="U3829" s="1"/>
      <c r="V3829" s="1"/>
      <c r="W3829" s="1"/>
      <c r="X3829" s="1"/>
      <c r="Y3829" s="1"/>
      <c r="Z3829" s="102"/>
      <c r="AA3829" s="102"/>
      <c r="AB3829" s="1"/>
      <c r="AC3829" s="1"/>
      <c r="AD3829" s="1"/>
      <c r="AE3829" s="1"/>
      <c r="AF3829" s="1"/>
      <c r="AG3829" s="1"/>
    </row>
    <row r="3830" ht="15.75" customHeight="1">
      <c r="A3830" s="1"/>
      <c r="B3830" s="1"/>
      <c r="C3830" s="1"/>
      <c r="D3830" s="1"/>
      <c r="E3830" s="1"/>
      <c r="F3830" s="1"/>
      <c r="G3830" s="1"/>
      <c r="H3830" s="1"/>
      <c r="I3830" s="1"/>
      <c r="J3830" s="1"/>
      <c r="K3830" s="102" t="s">
        <v>6386</v>
      </c>
      <c r="L3830" s="102" t="str">
        <f>AC360</f>
        <v>J1a2a1a2d2b2b2c4d2a2a5a1b1a1a~</v>
      </c>
      <c r="M3830" s="102"/>
      <c r="N3830" s="102"/>
      <c r="O3830" s="105">
        <v>1.5867391E7</v>
      </c>
      <c r="P3830" s="105">
        <v>1.3755511E7</v>
      </c>
      <c r="Q3830" s="102" t="s">
        <v>2501</v>
      </c>
      <c r="S3830" s="1"/>
      <c r="T3830" s="1"/>
      <c r="U3830" s="1"/>
      <c r="V3830" s="1"/>
      <c r="W3830" s="1"/>
      <c r="X3830" s="1"/>
      <c r="Y3830" s="1"/>
      <c r="Z3830" s="102"/>
      <c r="AA3830" s="102"/>
      <c r="AB3830" s="1"/>
      <c r="AC3830" s="1"/>
      <c r="AD3830" s="1"/>
      <c r="AE3830" s="1"/>
      <c r="AF3830" s="1"/>
      <c r="AG3830" s="1"/>
    </row>
    <row r="3831" ht="15.75" customHeight="1">
      <c r="A3831" s="1"/>
      <c r="B3831" s="1"/>
      <c r="C3831" s="1"/>
      <c r="D3831" s="1"/>
      <c r="E3831" s="1"/>
      <c r="F3831" s="1"/>
      <c r="G3831" s="1"/>
      <c r="H3831" s="1"/>
      <c r="I3831" s="1"/>
      <c r="J3831" s="1"/>
      <c r="K3831" s="102" t="s">
        <v>6387</v>
      </c>
      <c r="L3831" s="102" t="str">
        <f>AC360</f>
        <v>J1a2a1a2d2b2b2c4d2a2a5a1b1a1a~</v>
      </c>
      <c r="M3831" s="102"/>
      <c r="N3831" s="102"/>
      <c r="O3831" s="105">
        <v>1.816531E7</v>
      </c>
      <c r="P3831" s="105">
        <v>1.605343E7</v>
      </c>
      <c r="Q3831" s="102" t="s">
        <v>2439</v>
      </c>
      <c r="S3831" s="1"/>
      <c r="T3831" s="1"/>
      <c r="U3831" s="1"/>
      <c r="V3831" s="1"/>
      <c r="W3831" s="1"/>
      <c r="X3831" s="1"/>
      <c r="Y3831" s="1"/>
      <c r="Z3831" s="102"/>
      <c r="AA3831" s="102"/>
      <c r="AB3831" s="1"/>
      <c r="AC3831" s="1"/>
      <c r="AD3831" s="1"/>
      <c r="AE3831" s="1"/>
      <c r="AF3831" s="1"/>
      <c r="AG3831" s="1"/>
    </row>
    <row r="3832" ht="15.75" customHeight="1">
      <c r="A3832" s="1"/>
      <c r="B3832" s="1"/>
      <c r="C3832" s="1"/>
      <c r="D3832" s="1"/>
      <c r="E3832" s="1"/>
      <c r="F3832" s="1"/>
      <c r="G3832" s="1"/>
      <c r="H3832" s="1"/>
      <c r="I3832" s="1"/>
      <c r="J3832" s="1"/>
      <c r="K3832" s="102" t="s">
        <v>6388</v>
      </c>
      <c r="L3832" s="102" t="str">
        <f>AC360</f>
        <v>J1a2a1a2d2b2b2c4d2a2a5a1b1a1a~</v>
      </c>
      <c r="M3832" s="102"/>
      <c r="N3832" s="102"/>
      <c r="O3832" s="105">
        <v>1.9408711E7</v>
      </c>
      <c r="P3832" s="105">
        <v>1.7296831E7</v>
      </c>
      <c r="Q3832" s="102" t="s">
        <v>2446</v>
      </c>
      <c r="S3832" s="1"/>
      <c r="T3832" s="1"/>
      <c r="U3832" s="1"/>
      <c r="V3832" s="1"/>
      <c r="W3832" s="1"/>
      <c r="X3832" s="1"/>
      <c r="Y3832" s="1"/>
      <c r="Z3832" s="102"/>
      <c r="AA3832" s="102"/>
      <c r="AB3832" s="1"/>
      <c r="AC3832" s="1"/>
      <c r="AD3832" s="1"/>
      <c r="AE3832" s="1"/>
      <c r="AF3832" s="1"/>
      <c r="AG3832" s="1"/>
    </row>
    <row r="3833" ht="15.75" customHeight="1">
      <c r="A3833" s="1"/>
      <c r="B3833" s="1"/>
      <c r="C3833" s="1"/>
      <c r="D3833" s="1"/>
      <c r="E3833" s="1"/>
      <c r="F3833" s="1"/>
      <c r="G3833" s="1"/>
      <c r="H3833" s="1"/>
      <c r="I3833" s="1"/>
      <c r="J3833" s="1"/>
      <c r="K3833" s="102" t="s">
        <v>691</v>
      </c>
      <c r="L3833" s="102" t="str">
        <f>AD361</f>
        <v>J1a2a1a2d2b2b2c4d2a2a5a1b1a1a1~</v>
      </c>
      <c r="M3833" s="102"/>
      <c r="N3833" s="102"/>
      <c r="O3833" s="105">
        <v>1.7637064E7</v>
      </c>
      <c r="P3833" s="105">
        <v>1.5525184E7</v>
      </c>
      <c r="Q3833" s="102" t="s">
        <v>2468</v>
      </c>
      <c r="S3833" s="1"/>
      <c r="T3833" s="1"/>
      <c r="U3833" s="1"/>
      <c r="V3833" s="1"/>
      <c r="W3833" s="1"/>
      <c r="X3833" s="1"/>
      <c r="Y3833" s="1"/>
      <c r="Z3833" s="102"/>
      <c r="AA3833" s="102"/>
      <c r="AB3833" s="1"/>
      <c r="AC3833" s="1"/>
      <c r="AD3833" s="1"/>
      <c r="AE3833" s="1"/>
      <c r="AF3833" s="1"/>
      <c r="AG3833" s="1"/>
    </row>
    <row r="3834" ht="15.75" customHeight="1">
      <c r="A3834" s="1"/>
      <c r="B3834" s="1"/>
      <c r="C3834" s="1"/>
      <c r="D3834" s="1"/>
      <c r="E3834" s="1"/>
      <c r="F3834" s="1"/>
      <c r="G3834" s="1"/>
      <c r="H3834" s="1"/>
      <c r="I3834" s="1"/>
      <c r="J3834" s="1"/>
      <c r="K3834" s="102" t="s">
        <v>6389</v>
      </c>
      <c r="L3834" s="102" t="str">
        <f>AE362</f>
        <v>J1a2a1a2d2b2b2c4d2a2a5a1b1a1a1a~</v>
      </c>
      <c r="M3834" s="102" t="s">
        <v>6390</v>
      </c>
      <c r="N3834" s="102" t="s">
        <v>6391</v>
      </c>
      <c r="O3834" s="105">
        <v>1.7918598E7</v>
      </c>
      <c r="P3834" s="105">
        <v>1.5806718E7</v>
      </c>
      <c r="Q3834" s="102" t="s">
        <v>2439</v>
      </c>
      <c r="S3834" s="1"/>
      <c r="T3834" s="1"/>
      <c r="U3834" s="1"/>
      <c r="V3834" s="1"/>
      <c r="W3834" s="1"/>
      <c r="X3834" s="1"/>
      <c r="Y3834" s="1"/>
      <c r="Z3834" s="102"/>
      <c r="AA3834" s="102"/>
      <c r="AB3834" s="1"/>
      <c r="AC3834" s="1"/>
      <c r="AD3834" s="1"/>
      <c r="AE3834" s="1"/>
      <c r="AF3834" s="1"/>
      <c r="AG3834" s="1"/>
    </row>
    <row r="3835" ht="15.75" customHeight="1">
      <c r="A3835" s="1"/>
      <c r="B3835" s="1"/>
      <c r="C3835" s="1"/>
      <c r="D3835" s="1"/>
      <c r="E3835" s="1"/>
      <c r="F3835" s="1"/>
      <c r="G3835" s="1"/>
      <c r="H3835" s="1"/>
      <c r="I3835" s="1"/>
      <c r="J3835" s="1"/>
      <c r="K3835" s="102" t="s">
        <v>6390</v>
      </c>
      <c r="L3835" s="102" t="str">
        <f>AE362</f>
        <v>J1a2a1a2d2b2b2c4d2a2a5a1b1a1a1a~</v>
      </c>
      <c r="M3835" s="102" t="s">
        <v>6389</v>
      </c>
      <c r="N3835" s="102" t="s">
        <v>6391</v>
      </c>
      <c r="O3835" s="105">
        <v>1.7918598E7</v>
      </c>
      <c r="P3835" s="105">
        <v>1.5806718E7</v>
      </c>
      <c r="Q3835" s="102" t="s">
        <v>2439</v>
      </c>
      <c r="S3835" s="1"/>
      <c r="T3835" s="1"/>
      <c r="U3835" s="1"/>
      <c r="V3835" s="1"/>
      <c r="W3835" s="1"/>
      <c r="X3835" s="1"/>
      <c r="Y3835" s="1"/>
      <c r="Z3835" s="102"/>
      <c r="AA3835" s="102"/>
      <c r="AB3835" s="1"/>
      <c r="AC3835" s="1"/>
      <c r="AD3835" s="1"/>
      <c r="AE3835" s="1"/>
      <c r="AF3835" s="1"/>
      <c r="AG3835" s="1"/>
    </row>
    <row r="3836" ht="15.75" customHeight="1">
      <c r="A3836" s="1"/>
      <c r="B3836" s="1"/>
      <c r="C3836" s="1"/>
      <c r="D3836" s="1"/>
      <c r="E3836" s="1"/>
      <c r="F3836" s="1"/>
      <c r="G3836" s="1"/>
      <c r="H3836" s="1"/>
      <c r="I3836" s="1"/>
      <c r="J3836" s="1"/>
      <c r="K3836" s="102" t="s">
        <v>6392</v>
      </c>
      <c r="L3836" s="102" t="str">
        <f>AE362</f>
        <v>J1a2a1a2d2b2b2c4d2a2a5a1b1a1a1a~</v>
      </c>
      <c r="M3836" s="102"/>
      <c r="N3836" s="102"/>
      <c r="O3836" s="105">
        <v>8508029.0</v>
      </c>
      <c r="P3836" s="105">
        <v>8639988.0</v>
      </c>
      <c r="Q3836" s="102" t="s">
        <v>2529</v>
      </c>
      <c r="S3836" s="1"/>
      <c r="T3836" s="1"/>
      <c r="U3836" s="1"/>
      <c r="V3836" s="1"/>
      <c r="W3836" s="1"/>
      <c r="X3836" s="1"/>
      <c r="Y3836" s="1"/>
      <c r="Z3836" s="102"/>
      <c r="AA3836" s="102"/>
      <c r="AB3836" s="1"/>
      <c r="AC3836" s="1"/>
      <c r="AD3836" s="1"/>
      <c r="AE3836" s="1"/>
      <c r="AF3836" s="1"/>
      <c r="AG3836" s="1"/>
    </row>
    <row r="3837" ht="15.75" customHeight="1">
      <c r="A3837" s="1"/>
      <c r="B3837" s="1"/>
      <c r="C3837" s="1"/>
      <c r="D3837" s="1"/>
      <c r="E3837" s="1"/>
      <c r="F3837" s="1"/>
      <c r="G3837" s="1"/>
      <c r="H3837" s="1"/>
      <c r="I3837" s="1"/>
      <c r="J3837" s="1"/>
      <c r="K3837" s="102" t="s">
        <v>6393</v>
      </c>
      <c r="L3837" s="102" t="str">
        <f>AF363</f>
        <v>J1a2a1a2d2b2b2c4d2a2a5a1b1a1a1a1~</v>
      </c>
      <c r="M3837" s="102"/>
      <c r="N3837" s="102"/>
      <c r="O3837" s="105">
        <v>2.1610001E7</v>
      </c>
      <c r="P3837" s="105">
        <v>1.9448115E7</v>
      </c>
      <c r="Q3837" s="102" t="s">
        <v>2468</v>
      </c>
      <c r="S3837" s="1"/>
      <c r="T3837" s="1"/>
      <c r="U3837" s="1"/>
      <c r="V3837" s="1"/>
      <c r="W3837" s="1"/>
      <c r="X3837" s="1"/>
      <c r="Y3837" s="1"/>
      <c r="Z3837" s="102"/>
      <c r="AA3837" s="102"/>
      <c r="AB3837" s="1"/>
      <c r="AC3837" s="1"/>
      <c r="AD3837" s="1"/>
      <c r="AE3837" s="1"/>
      <c r="AF3837" s="1"/>
      <c r="AG3837" s="1"/>
    </row>
    <row r="3838" ht="15.75" customHeight="1">
      <c r="A3838" s="1"/>
      <c r="B3838" s="1"/>
      <c r="C3838" s="1"/>
      <c r="D3838" s="1"/>
      <c r="E3838" s="1"/>
      <c r="F3838" s="1"/>
      <c r="G3838" s="1"/>
      <c r="H3838" s="1"/>
      <c r="I3838" s="1"/>
      <c r="J3838" s="1"/>
      <c r="K3838" s="102" t="s">
        <v>6394</v>
      </c>
      <c r="L3838" s="102" t="str">
        <f>AF363</f>
        <v>J1a2a1a2d2b2b2c4d2a2a5a1b1a1a1a1~</v>
      </c>
      <c r="M3838" s="102"/>
      <c r="N3838" s="102"/>
      <c r="O3838" s="102">
        <v>2.2318116E7</v>
      </c>
      <c r="P3838" s="102">
        <v>2.015623E7</v>
      </c>
      <c r="Q3838" s="102" t="s">
        <v>2501</v>
      </c>
      <c r="S3838" s="1"/>
      <c r="T3838" s="1"/>
      <c r="U3838" s="1"/>
      <c r="V3838" s="1"/>
      <c r="W3838" s="1"/>
      <c r="X3838" s="1"/>
      <c r="Y3838" s="1"/>
      <c r="Z3838" s="102">
        <v>2.2318116E7</v>
      </c>
      <c r="AA3838" s="102"/>
      <c r="AB3838" s="1"/>
      <c r="AC3838" s="1"/>
      <c r="AD3838" s="1"/>
      <c r="AE3838" s="1"/>
      <c r="AF3838" s="1"/>
      <c r="AG3838" s="1"/>
    </row>
    <row r="3839" ht="15.75" customHeight="1">
      <c r="A3839" s="1"/>
      <c r="B3839" s="1"/>
      <c r="C3839" s="1"/>
      <c r="D3839" s="1"/>
      <c r="E3839" s="1"/>
      <c r="F3839" s="1"/>
      <c r="G3839" s="1"/>
      <c r="H3839" s="1"/>
      <c r="I3839" s="1"/>
      <c r="J3839" s="1"/>
      <c r="K3839" s="102" t="s">
        <v>6395</v>
      </c>
      <c r="L3839" s="102" t="str">
        <f>AG364</f>
        <v>J1a2a1a2d2b2b2c4d2a2a5a1b1a1a1a1a~</v>
      </c>
      <c r="M3839" s="102" t="s">
        <v>6396</v>
      </c>
      <c r="N3839" s="102"/>
      <c r="O3839" s="105">
        <v>1.5042632E7</v>
      </c>
      <c r="P3839" s="105">
        <v>1.2930722E7</v>
      </c>
      <c r="Q3839" s="102" t="s">
        <v>2439</v>
      </c>
      <c r="S3839" s="1"/>
      <c r="T3839" s="1"/>
      <c r="U3839" s="1"/>
      <c r="V3839" s="1"/>
      <c r="W3839" s="1"/>
      <c r="X3839" s="1"/>
      <c r="Y3839" s="1"/>
      <c r="Z3839" s="102"/>
      <c r="AA3839" s="102"/>
      <c r="AB3839" s="1"/>
      <c r="AC3839" s="1"/>
      <c r="AD3839" s="1"/>
      <c r="AE3839" s="1"/>
      <c r="AF3839" s="1"/>
      <c r="AG3839" s="1"/>
    </row>
    <row r="3840" ht="15.75" customHeight="1">
      <c r="A3840" s="1"/>
      <c r="B3840" s="1"/>
      <c r="C3840" s="1"/>
      <c r="D3840" s="1"/>
      <c r="E3840" s="1"/>
      <c r="F3840" s="1"/>
      <c r="G3840" s="1"/>
      <c r="H3840" s="1"/>
      <c r="I3840" s="1"/>
      <c r="J3840" s="1"/>
      <c r="K3840" s="102" t="s">
        <v>6396</v>
      </c>
      <c r="L3840" s="102" t="str">
        <f>AG364</f>
        <v>J1a2a1a2d2b2b2c4d2a2a5a1b1a1a1a1a~</v>
      </c>
      <c r="M3840" s="102" t="s">
        <v>6395</v>
      </c>
      <c r="N3840" s="102"/>
      <c r="O3840" s="105">
        <v>1.5042632E7</v>
      </c>
      <c r="P3840" s="105">
        <v>1.2930722E7</v>
      </c>
      <c r="Q3840" s="102" t="s">
        <v>2439</v>
      </c>
      <c r="S3840" s="1"/>
      <c r="T3840" s="1"/>
      <c r="U3840" s="1"/>
      <c r="V3840" s="1"/>
      <c r="W3840" s="1"/>
      <c r="X3840" s="1"/>
      <c r="Y3840" s="1"/>
      <c r="Z3840" s="102"/>
      <c r="AA3840" s="102"/>
      <c r="AB3840" s="1"/>
      <c r="AC3840" s="1"/>
      <c r="AD3840" s="1"/>
      <c r="AE3840" s="1"/>
      <c r="AF3840" s="1"/>
      <c r="AG3840" s="1"/>
    </row>
    <row r="3841" ht="15.75" customHeight="1">
      <c r="A3841" s="1"/>
      <c r="B3841" s="1"/>
      <c r="C3841" s="1"/>
      <c r="D3841" s="1"/>
      <c r="E3841" s="1"/>
      <c r="F3841" s="1"/>
      <c r="G3841" s="1"/>
      <c r="H3841" s="1"/>
      <c r="I3841" s="1"/>
      <c r="J3841" s="1"/>
      <c r="K3841" s="102" t="s">
        <v>6397</v>
      </c>
      <c r="L3841" s="102" t="str">
        <f>AG364</f>
        <v>J1a2a1a2d2b2b2c4d2a2a5a1b1a1a1a1a~</v>
      </c>
      <c r="M3841" s="102"/>
      <c r="N3841" s="102"/>
      <c r="O3841" s="105">
        <v>1.7666173E7</v>
      </c>
      <c r="P3841" s="105">
        <v>1.5554293E7</v>
      </c>
      <c r="Q3841" s="102" t="s">
        <v>2533</v>
      </c>
      <c r="S3841" s="1"/>
      <c r="T3841" s="1"/>
      <c r="U3841" s="1"/>
      <c r="V3841" s="1"/>
      <c r="W3841" s="1"/>
      <c r="X3841" s="1"/>
      <c r="Y3841" s="1"/>
      <c r="Z3841" s="102"/>
      <c r="AA3841" s="102"/>
      <c r="AB3841" s="1"/>
      <c r="AC3841" s="1"/>
      <c r="AD3841" s="1"/>
      <c r="AE3841" s="1"/>
      <c r="AF3841" s="1"/>
      <c r="AG3841" s="1"/>
    </row>
    <row r="3842" ht="15.75" customHeight="1">
      <c r="A3842" s="1"/>
      <c r="B3842" s="1"/>
      <c r="C3842" s="1"/>
      <c r="D3842" s="1"/>
      <c r="E3842" s="1"/>
      <c r="F3842" s="1"/>
      <c r="G3842" s="1"/>
      <c r="H3842" s="1"/>
      <c r="I3842" s="1"/>
      <c r="J3842" s="1"/>
      <c r="K3842" s="106" t="s">
        <v>6398</v>
      </c>
      <c r="L3842" s="102" t="str">
        <f>AF365</f>
        <v>J1a2a1a2d2b2b2c4d2a2a5a1b1a1a1a2~</v>
      </c>
      <c r="M3842" s="102"/>
      <c r="N3842" s="102"/>
      <c r="O3842" s="107">
        <v>1.6213279E7</v>
      </c>
      <c r="P3842" s="109">
        <v>1.4101399E7</v>
      </c>
      <c r="Q3842" s="106" t="s">
        <v>2529</v>
      </c>
      <c r="S3842" s="1"/>
      <c r="T3842" s="1"/>
      <c r="U3842" s="1"/>
      <c r="V3842" s="1"/>
      <c r="W3842" s="1"/>
      <c r="X3842" s="1"/>
      <c r="Y3842" s="1"/>
      <c r="Z3842" s="102">
        <v>5602261.0</v>
      </c>
      <c r="AA3842" s="102"/>
      <c r="AB3842" s="1"/>
      <c r="AC3842" s="1"/>
      <c r="AD3842" s="1"/>
      <c r="AE3842" s="1"/>
      <c r="AF3842" s="1"/>
      <c r="AG3842" s="1"/>
    </row>
    <row r="3843" ht="15.75" customHeight="1">
      <c r="A3843" s="1"/>
      <c r="B3843" s="1"/>
      <c r="C3843" s="1"/>
      <c r="D3843" s="1"/>
      <c r="E3843" s="1"/>
      <c r="F3843" s="1"/>
      <c r="G3843" s="1"/>
      <c r="H3843" s="1"/>
      <c r="I3843" s="1"/>
      <c r="J3843" s="1"/>
      <c r="K3843" s="102" t="s">
        <v>6399</v>
      </c>
      <c r="L3843" s="102" t="str">
        <f>AF365</f>
        <v>J1a2a1a2d2b2b2c4d2a2a5a1b1a1a1a2~</v>
      </c>
      <c r="M3843" s="102"/>
      <c r="N3843" s="102"/>
      <c r="O3843" s="105">
        <v>1.738024E7</v>
      </c>
      <c r="P3843" s="105">
        <v>1.526836E7</v>
      </c>
      <c r="Q3843" s="102" t="s">
        <v>2501</v>
      </c>
      <c r="S3843" s="1"/>
      <c r="T3843" s="1"/>
      <c r="U3843" s="1"/>
      <c r="V3843" s="1"/>
      <c r="W3843" s="1"/>
      <c r="X3843" s="1"/>
      <c r="Y3843" s="1"/>
      <c r="Z3843" s="102"/>
      <c r="AA3843" s="102"/>
      <c r="AB3843" s="1"/>
      <c r="AC3843" s="1"/>
      <c r="AD3843" s="1"/>
      <c r="AE3843" s="1"/>
      <c r="AF3843" s="1"/>
      <c r="AG3843" s="1"/>
    </row>
    <row r="3844" ht="15.75" customHeight="1">
      <c r="A3844" s="1"/>
      <c r="B3844" s="1"/>
      <c r="C3844" s="1"/>
      <c r="D3844" s="1"/>
      <c r="E3844" s="1"/>
      <c r="F3844" s="1"/>
      <c r="G3844" s="1"/>
      <c r="H3844" s="1"/>
      <c r="I3844" s="1"/>
      <c r="J3844" s="1"/>
      <c r="K3844" s="102" t="s">
        <v>6400</v>
      </c>
      <c r="L3844" s="102" t="str">
        <f>AF365</f>
        <v>J1a2a1a2d2b2b2c4d2a2a5a1b1a1a1a2~</v>
      </c>
      <c r="M3844" s="102"/>
      <c r="N3844" s="102"/>
      <c r="O3844" s="105">
        <v>1.5464737E7</v>
      </c>
      <c r="P3844" s="105">
        <v>1.3352857E7</v>
      </c>
      <c r="Q3844" s="102" t="s">
        <v>2533</v>
      </c>
      <c r="S3844" s="1"/>
      <c r="T3844" s="1"/>
      <c r="U3844" s="1"/>
      <c r="V3844" s="1"/>
      <c r="W3844" s="1"/>
      <c r="X3844" s="1"/>
      <c r="Y3844" s="1"/>
      <c r="Z3844" s="102"/>
      <c r="AA3844" s="102"/>
      <c r="AB3844" s="1"/>
      <c r="AC3844" s="1"/>
      <c r="AD3844" s="1"/>
      <c r="AE3844" s="1"/>
      <c r="AF3844" s="1"/>
      <c r="AG3844" s="1"/>
    </row>
    <row r="3845" ht="15.75" customHeight="1">
      <c r="A3845" s="1"/>
      <c r="B3845" s="1"/>
      <c r="C3845" s="1"/>
      <c r="D3845" s="1"/>
      <c r="E3845" s="1"/>
      <c r="F3845" s="1"/>
      <c r="G3845" s="1"/>
      <c r="H3845" s="1"/>
      <c r="I3845" s="1"/>
      <c r="J3845" s="1"/>
      <c r="K3845" s="102" t="s">
        <v>6401</v>
      </c>
      <c r="L3845" s="102" t="str">
        <f>AE366</f>
        <v>J1a2a1a2d2b2b2c4d2a2a5a1b1a1a1b~</v>
      </c>
      <c r="M3845" s="102"/>
      <c r="N3845" s="102"/>
      <c r="O3845" s="105">
        <v>7904158.0</v>
      </c>
      <c r="P3845" s="105">
        <v>8036117.0</v>
      </c>
      <c r="Q3845" s="102" t="s">
        <v>2454</v>
      </c>
      <c r="S3845" s="1"/>
      <c r="T3845" s="1"/>
      <c r="U3845" s="1"/>
      <c r="V3845" s="1"/>
      <c r="W3845" s="1"/>
      <c r="X3845" s="1"/>
      <c r="Y3845" s="1"/>
      <c r="Z3845" s="102"/>
      <c r="AA3845" s="102"/>
      <c r="AB3845" s="1"/>
      <c r="AC3845" s="1"/>
      <c r="AD3845" s="1"/>
      <c r="AE3845" s="1"/>
      <c r="AF3845" s="1"/>
      <c r="AG3845" s="1"/>
    </row>
    <row r="3846" ht="15.75" customHeight="1">
      <c r="A3846" s="1"/>
      <c r="B3846" s="1"/>
      <c r="C3846" s="1"/>
      <c r="D3846" s="1"/>
      <c r="E3846" s="1"/>
      <c r="F3846" s="1"/>
      <c r="G3846" s="1"/>
      <c r="H3846" s="1"/>
      <c r="I3846" s="1"/>
      <c r="J3846" s="1"/>
      <c r="K3846" s="102" t="s">
        <v>6402</v>
      </c>
      <c r="L3846" s="102" t="str">
        <f>AE366</f>
        <v>J1a2a1a2d2b2b2c4d2a2a5a1b1a1a1b~</v>
      </c>
      <c r="M3846" s="102"/>
      <c r="N3846" s="102"/>
      <c r="O3846" s="105">
        <v>1.6928748E7</v>
      </c>
      <c r="P3846" s="105">
        <v>1.4816868E7</v>
      </c>
      <c r="Q3846" s="102" t="s">
        <v>2529</v>
      </c>
      <c r="S3846" s="1"/>
      <c r="T3846" s="1"/>
      <c r="U3846" s="1"/>
      <c r="V3846" s="1"/>
      <c r="W3846" s="1"/>
      <c r="X3846" s="1"/>
      <c r="Y3846" s="1"/>
      <c r="Z3846" s="102"/>
      <c r="AA3846" s="102"/>
      <c r="AB3846" s="1"/>
      <c r="AC3846" s="1"/>
      <c r="AD3846" s="1"/>
      <c r="AE3846" s="1"/>
      <c r="AF3846" s="1"/>
      <c r="AG3846" s="1"/>
    </row>
    <row r="3847" ht="15.75" customHeight="1">
      <c r="A3847" s="1"/>
      <c r="B3847" s="1"/>
      <c r="C3847" s="1"/>
      <c r="D3847" s="1"/>
      <c r="E3847" s="1"/>
      <c r="F3847" s="1"/>
      <c r="G3847" s="1"/>
      <c r="H3847" s="1"/>
      <c r="I3847" s="1"/>
      <c r="J3847" s="1"/>
      <c r="K3847" s="102" t="s">
        <v>6403</v>
      </c>
      <c r="L3847" s="102" t="str">
        <f>AE366</f>
        <v>J1a2a1a2d2b2b2c4d2a2a5a1b1a1a1b~</v>
      </c>
      <c r="M3847" s="102"/>
      <c r="N3847" s="102"/>
      <c r="O3847" s="105">
        <v>1.8221478E7</v>
      </c>
      <c r="P3847" s="105">
        <v>1.6109598E7</v>
      </c>
      <c r="Q3847" s="102" t="s">
        <v>2468</v>
      </c>
      <c r="S3847" s="1"/>
      <c r="T3847" s="1"/>
      <c r="U3847" s="1"/>
      <c r="V3847" s="1"/>
      <c r="W3847" s="1"/>
      <c r="X3847" s="1"/>
      <c r="Y3847" s="1"/>
      <c r="Z3847" s="102"/>
      <c r="AA3847" s="102"/>
      <c r="AB3847" s="1"/>
      <c r="AC3847" s="1"/>
      <c r="AD3847" s="1"/>
      <c r="AE3847" s="1"/>
      <c r="AF3847" s="1"/>
      <c r="AG3847" s="1"/>
    </row>
    <row r="3848" ht="15.75" customHeight="1">
      <c r="A3848" s="1"/>
      <c r="B3848" s="1"/>
      <c r="C3848" s="1"/>
      <c r="D3848" s="1"/>
      <c r="E3848" s="1"/>
      <c r="F3848" s="1"/>
      <c r="G3848" s="1"/>
      <c r="H3848" s="1"/>
      <c r="I3848" s="1"/>
      <c r="J3848" s="1"/>
      <c r="K3848" s="102" t="s">
        <v>6404</v>
      </c>
      <c r="L3848" s="102" t="str">
        <f>AE366</f>
        <v>J1a2a1a2d2b2b2c4d2a2a5a1b1a1a1b~</v>
      </c>
      <c r="M3848" s="102"/>
      <c r="N3848" s="102"/>
      <c r="O3848" s="105">
        <v>1.8720784E7</v>
      </c>
      <c r="P3848" s="105">
        <v>1.6608904E7</v>
      </c>
      <c r="Q3848" s="102" t="s">
        <v>2468</v>
      </c>
      <c r="S3848" s="1"/>
      <c r="T3848" s="1"/>
      <c r="U3848" s="1"/>
      <c r="V3848" s="1"/>
      <c r="W3848" s="1"/>
      <c r="X3848" s="1"/>
      <c r="Y3848" s="1"/>
      <c r="Z3848" s="102"/>
      <c r="AA3848" s="102"/>
      <c r="AB3848" s="1"/>
      <c r="AC3848" s="1"/>
      <c r="AD3848" s="1"/>
      <c r="AE3848" s="1"/>
      <c r="AF3848" s="1"/>
      <c r="AG3848" s="1"/>
    </row>
    <row r="3849" ht="15.75" customHeight="1">
      <c r="A3849" s="1"/>
      <c r="B3849" s="1"/>
      <c r="C3849" s="1"/>
      <c r="D3849" s="1"/>
      <c r="E3849" s="1"/>
      <c r="F3849" s="1"/>
      <c r="G3849" s="1"/>
      <c r="H3849" s="1"/>
      <c r="I3849" s="1"/>
      <c r="J3849" s="1"/>
      <c r="K3849" s="102" t="s">
        <v>6405</v>
      </c>
      <c r="L3849" s="102" t="str">
        <f>AE366</f>
        <v>J1a2a1a2d2b2b2c4d2a2a5a1b1a1a1b~</v>
      </c>
      <c r="M3849" s="102"/>
      <c r="N3849" s="102"/>
      <c r="O3849" s="105">
        <v>2.2992823E7</v>
      </c>
      <c r="P3849" s="105">
        <v>2.0830937E7</v>
      </c>
      <c r="Q3849" s="102" t="s">
        <v>2432</v>
      </c>
      <c r="S3849" s="1"/>
      <c r="T3849" s="1"/>
      <c r="U3849" s="1"/>
      <c r="V3849" s="1"/>
      <c r="W3849" s="1"/>
      <c r="X3849" s="1"/>
      <c r="Y3849" s="1"/>
      <c r="Z3849" s="102"/>
      <c r="AA3849" s="102"/>
      <c r="AB3849" s="1"/>
      <c r="AC3849" s="1"/>
      <c r="AD3849" s="1"/>
      <c r="AE3849" s="1"/>
      <c r="AF3849" s="1"/>
      <c r="AG3849" s="1"/>
    </row>
    <row r="3850" ht="15.75" customHeight="1">
      <c r="A3850" s="1"/>
      <c r="B3850" s="1"/>
      <c r="C3850" s="1"/>
      <c r="D3850" s="1"/>
      <c r="E3850" s="1"/>
      <c r="F3850" s="1"/>
      <c r="G3850" s="1"/>
      <c r="H3850" s="1"/>
      <c r="I3850" s="1"/>
      <c r="J3850" s="1"/>
      <c r="K3850" s="102" t="s">
        <v>6406</v>
      </c>
      <c r="L3850" s="102" t="str">
        <f>AF367</f>
        <v>J1a2a1a2d2b2b2c4d2a2a5a1b1a1a1b1~</v>
      </c>
      <c r="M3850" s="102" t="s">
        <v>6407</v>
      </c>
      <c r="N3850" s="102"/>
      <c r="O3850" s="105">
        <v>1.4025504E7</v>
      </c>
      <c r="P3850" s="105">
        <v>1.1904798E7</v>
      </c>
      <c r="Q3850" s="102" t="s">
        <v>2468</v>
      </c>
      <c r="S3850" s="1"/>
      <c r="T3850" s="1"/>
      <c r="U3850" s="1"/>
      <c r="V3850" s="1"/>
      <c r="W3850" s="1"/>
      <c r="X3850" s="1"/>
      <c r="Y3850" s="1"/>
      <c r="Z3850" s="102"/>
      <c r="AA3850" s="102"/>
      <c r="AB3850" s="1"/>
      <c r="AC3850" s="1"/>
      <c r="AD3850" s="1"/>
      <c r="AE3850" s="1"/>
      <c r="AF3850" s="1"/>
      <c r="AG3850" s="1"/>
    </row>
    <row r="3851" ht="15.75" customHeight="1">
      <c r="A3851" s="1"/>
      <c r="B3851" s="1"/>
      <c r="C3851" s="1"/>
      <c r="D3851" s="1"/>
      <c r="E3851" s="1"/>
      <c r="F3851" s="1"/>
      <c r="G3851" s="1"/>
      <c r="H3851" s="1"/>
      <c r="I3851" s="1"/>
      <c r="J3851" s="1"/>
      <c r="K3851" s="102" t="s">
        <v>6407</v>
      </c>
      <c r="L3851" s="102" t="str">
        <f>AF367</f>
        <v>J1a2a1a2d2b2b2c4d2a2a5a1b1a1a1b1~</v>
      </c>
      <c r="M3851" s="102" t="s">
        <v>6406</v>
      </c>
      <c r="N3851" s="102"/>
      <c r="O3851" s="105">
        <v>1.4025504E7</v>
      </c>
      <c r="P3851" s="105">
        <v>1.1904798E7</v>
      </c>
      <c r="Q3851" s="102" t="s">
        <v>2468</v>
      </c>
      <c r="S3851" s="1"/>
      <c r="T3851" s="1"/>
      <c r="U3851" s="1"/>
      <c r="V3851" s="1"/>
      <c r="W3851" s="1"/>
      <c r="X3851" s="1"/>
      <c r="Y3851" s="1"/>
      <c r="Z3851" s="102"/>
      <c r="AA3851" s="102"/>
      <c r="AB3851" s="1"/>
      <c r="AC3851" s="1"/>
      <c r="AD3851" s="1"/>
      <c r="AE3851" s="1"/>
      <c r="AF3851" s="1"/>
      <c r="AG3851" s="1"/>
    </row>
    <row r="3852" ht="15.75" customHeight="1">
      <c r="A3852" s="1"/>
      <c r="B3852" s="1"/>
      <c r="C3852" s="1"/>
      <c r="D3852" s="1"/>
      <c r="E3852" s="1"/>
      <c r="F3852" s="1"/>
      <c r="G3852" s="1"/>
      <c r="H3852" s="1"/>
      <c r="I3852" s="1"/>
      <c r="J3852" s="1"/>
      <c r="K3852" s="102" t="s">
        <v>6408</v>
      </c>
      <c r="L3852" s="102" t="str">
        <f>AG368</f>
        <v>J1a2a1a2d2b2b2c4d2a2a5a1b1a1a1b1a~</v>
      </c>
      <c r="M3852" s="102" t="s">
        <v>6409</v>
      </c>
      <c r="N3852" s="102"/>
      <c r="O3852" s="105">
        <v>2.1251674E7</v>
      </c>
      <c r="P3852" s="105">
        <v>1.9089788E7</v>
      </c>
      <c r="Q3852" s="102" t="s">
        <v>2501</v>
      </c>
      <c r="S3852" s="1"/>
      <c r="T3852" s="1"/>
      <c r="U3852" s="1"/>
      <c r="V3852" s="1"/>
      <c r="W3852" s="1"/>
      <c r="X3852" s="1"/>
      <c r="Y3852" s="1"/>
      <c r="Z3852" s="102"/>
      <c r="AA3852" s="102"/>
      <c r="AB3852" s="1"/>
      <c r="AC3852" s="1"/>
      <c r="AD3852" s="1"/>
      <c r="AE3852" s="1"/>
      <c r="AF3852" s="1"/>
      <c r="AG3852" s="1"/>
    </row>
    <row r="3853" ht="15.75" customHeight="1">
      <c r="A3853" s="1"/>
      <c r="B3853" s="1"/>
      <c r="C3853" s="1"/>
      <c r="D3853" s="1"/>
      <c r="E3853" s="1"/>
      <c r="F3853" s="1"/>
      <c r="G3853" s="1"/>
      <c r="H3853" s="1"/>
      <c r="I3853" s="1"/>
      <c r="J3853" s="1"/>
      <c r="K3853" s="102" t="s">
        <v>6409</v>
      </c>
      <c r="L3853" s="102" t="str">
        <f t="shared" ref="L3853:L3854" si="55">AG368</f>
        <v>J1a2a1a2d2b2b2c4d2a2a5a1b1a1a1b1a~</v>
      </c>
      <c r="M3853" s="102" t="s">
        <v>6408</v>
      </c>
      <c r="N3853" s="102"/>
      <c r="O3853" s="105">
        <v>2.1251674E7</v>
      </c>
      <c r="P3853" s="105">
        <v>1.9089788E7</v>
      </c>
      <c r="Q3853" s="102" t="s">
        <v>2501</v>
      </c>
      <c r="S3853" s="1"/>
      <c r="T3853" s="1"/>
      <c r="U3853" s="1"/>
      <c r="V3853" s="1"/>
      <c r="W3853" s="1"/>
      <c r="X3853" s="1"/>
      <c r="Y3853" s="1"/>
      <c r="Z3853" s="102"/>
      <c r="AA3853" s="102"/>
      <c r="AB3853" s="1"/>
      <c r="AC3853" s="1"/>
      <c r="AD3853" s="1"/>
      <c r="AE3853" s="1"/>
      <c r="AF3853" s="1"/>
      <c r="AG3853" s="1"/>
    </row>
    <row r="3854" ht="15.75" customHeight="1">
      <c r="A3854" s="1"/>
      <c r="B3854" s="1"/>
      <c r="C3854" s="1"/>
      <c r="D3854" s="1"/>
      <c r="E3854" s="1"/>
      <c r="F3854" s="1"/>
      <c r="G3854" s="1"/>
      <c r="H3854" s="1"/>
      <c r="I3854" s="1"/>
      <c r="J3854" s="1"/>
      <c r="K3854" s="102" t="s">
        <v>6410</v>
      </c>
      <c r="L3854" s="102" t="str">
        <f t="shared" si="55"/>
        <v>J1a2a1a2d2b2b2c4d2a2a5a1b1a1a1b1b~</v>
      </c>
      <c r="M3854" s="102" t="s">
        <v>6411</v>
      </c>
      <c r="N3854" s="102"/>
      <c r="O3854" s="105">
        <v>8179955.0</v>
      </c>
      <c r="P3854" s="105">
        <v>8311914.0</v>
      </c>
      <c r="Q3854" s="102" t="s">
        <v>2529</v>
      </c>
      <c r="S3854" s="1"/>
      <c r="T3854" s="1"/>
      <c r="U3854" s="1"/>
      <c r="V3854" s="1"/>
      <c r="W3854" s="1"/>
      <c r="X3854" s="1"/>
      <c r="Y3854" s="1"/>
      <c r="Z3854" s="102"/>
      <c r="AA3854" s="102"/>
      <c r="AB3854" s="1"/>
      <c r="AC3854" s="1"/>
      <c r="AD3854" s="1"/>
      <c r="AE3854" s="1"/>
      <c r="AF3854" s="1"/>
      <c r="AG3854" s="1"/>
    </row>
    <row r="3855" ht="15.75" customHeight="1">
      <c r="A3855" s="1"/>
      <c r="B3855" s="1"/>
      <c r="C3855" s="1"/>
      <c r="D3855" s="1"/>
      <c r="E3855" s="1"/>
      <c r="F3855" s="1"/>
      <c r="G3855" s="1"/>
      <c r="H3855" s="1"/>
      <c r="I3855" s="1"/>
      <c r="J3855" s="1"/>
      <c r="K3855" s="102" t="s">
        <v>6411</v>
      </c>
      <c r="L3855" s="102" t="str">
        <f>AG369</f>
        <v>J1a2a1a2d2b2b2c4d2a2a5a1b1a1a1b1b~</v>
      </c>
      <c r="M3855" s="102" t="s">
        <v>6410</v>
      </c>
      <c r="N3855" s="102"/>
      <c r="O3855" s="105">
        <v>8179955.0</v>
      </c>
      <c r="P3855" s="105">
        <v>8311914.0</v>
      </c>
      <c r="Q3855" s="102" t="s">
        <v>2529</v>
      </c>
      <c r="S3855" s="1"/>
      <c r="T3855" s="1"/>
      <c r="U3855" s="1"/>
      <c r="V3855" s="1"/>
      <c r="W3855" s="1"/>
      <c r="X3855" s="1"/>
      <c r="Y3855" s="1"/>
      <c r="Z3855" s="102"/>
      <c r="AA3855" s="102"/>
      <c r="AB3855" s="1"/>
      <c r="AC3855" s="1"/>
      <c r="AD3855" s="1"/>
      <c r="AE3855" s="1"/>
      <c r="AF3855" s="1"/>
      <c r="AG3855" s="1"/>
    </row>
    <row r="3856" ht="15.75" customHeight="1">
      <c r="A3856" s="1"/>
      <c r="B3856" s="1"/>
      <c r="C3856" s="1"/>
      <c r="D3856" s="1"/>
      <c r="E3856" s="1"/>
      <c r="F3856" s="1"/>
      <c r="G3856" s="1"/>
      <c r="H3856" s="1"/>
      <c r="I3856" s="1"/>
      <c r="J3856" s="1"/>
      <c r="K3856" s="102" t="s">
        <v>6412</v>
      </c>
      <c r="L3856" s="102" t="str">
        <f>AF370</f>
        <v>J1a2a1a2d2b2b2c4d2a2a5a1b1a1a1b2~</v>
      </c>
      <c r="M3856" s="102" t="s">
        <v>6413</v>
      </c>
      <c r="N3856" s="102"/>
      <c r="O3856" s="105">
        <v>1.6256523E7</v>
      </c>
      <c r="P3856" s="105">
        <v>1.4144643E7</v>
      </c>
      <c r="Q3856" s="102" t="s">
        <v>2576</v>
      </c>
      <c r="S3856" s="1"/>
      <c r="T3856" s="1"/>
      <c r="U3856" s="1"/>
      <c r="V3856" s="1"/>
      <c r="W3856" s="1"/>
      <c r="X3856" s="1"/>
      <c r="Y3856" s="1"/>
      <c r="Z3856" s="102"/>
      <c r="AA3856" s="102"/>
      <c r="AB3856" s="1"/>
      <c r="AC3856" s="1"/>
      <c r="AD3856" s="1"/>
      <c r="AE3856" s="1"/>
      <c r="AF3856" s="1"/>
      <c r="AG3856" s="1"/>
    </row>
    <row r="3857" ht="15.75" customHeight="1">
      <c r="A3857" s="1"/>
      <c r="B3857" s="1"/>
      <c r="C3857" s="1"/>
      <c r="D3857" s="1"/>
      <c r="E3857" s="1"/>
      <c r="F3857" s="1"/>
      <c r="G3857" s="1"/>
      <c r="H3857" s="1"/>
      <c r="I3857" s="1"/>
      <c r="J3857" s="1"/>
      <c r="K3857" s="102" t="s">
        <v>6413</v>
      </c>
      <c r="L3857" s="102" t="str">
        <f>AF370</f>
        <v>J1a2a1a2d2b2b2c4d2a2a5a1b1a1a1b2~</v>
      </c>
      <c r="M3857" s="102" t="s">
        <v>6412</v>
      </c>
      <c r="N3857" s="102"/>
      <c r="O3857" s="105">
        <v>1.6256523E7</v>
      </c>
      <c r="P3857" s="105">
        <v>1.4144643E7</v>
      </c>
      <c r="Q3857" s="102" t="s">
        <v>2576</v>
      </c>
      <c r="S3857" s="1"/>
      <c r="T3857" s="1"/>
      <c r="U3857" s="1"/>
      <c r="V3857" s="1"/>
      <c r="W3857" s="1"/>
      <c r="X3857" s="1"/>
      <c r="Y3857" s="1"/>
      <c r="Z3857" s="102"/>
      <c r="AA3857" s="102"/>
      <c r="AB3857" s="1"/>
      <c r="AC3857" s="1"/>
      <c r="AD3857" s="1"/>
      <c r="AE3857" s="1"/>
      <c r="AF3857" s="1"/>
      <c r="AG3857" s="1"/>
    </row>
    <row r="3858" ht="15.75" customHeight="1">
      <c r="A3858" s="1"/>
      <c r="B3858" s="1"/>
      <c r="C3858" s="1"/>
      <c r="D3858" s="1"/>
      <c r="E3858" s="1"/>
      <c r="F3858" s="1"/>
      <c r="G3858" s="1"/>
      <c r="H3858" s="1"/>
      <c r="I3858" s="1"/>
      <c r="J3858" s="1"/>
      <c r="K3858" s="102" t="s">
        <v>6414</v>
      </c>
      <c r="L3858" s="102" t="str">
        <f>AG371</f>
        <v>J1a2a1a2d2b2b2c4d2a2a5a1b1a1a1b2a~</v>
      </c>
      <c r="M3858" s="102" t="s">
        <v>6415</v>
      </c>
      <c r="N3858" s="102"/>
      <c r="O3858" s="105">
        <v>1.587809E7</v>
      </c>
      <c r="P3858" s="105">
        <v>1.376621E7</v>
      </c>
      <c r="Q3858" s="102" t="s">
        <v>2423</v>
      </c>
      <c r="S3858" s="1"/>
      <c r="T3858" s="1"/>
      <c r="U3858" s="1"/>
      <c r="V3858" s="1"/>
      <c r="W3858" s="1"/>
      <c r="X3858" s="1"/>
      <c r="Y3858" s="1"/>
      <c r="Z3858" s="102"/>
      <c r="AA3858" s="102"/>
      <c r="AB3858" s="1"/>
      <c r="AC3858" s="1"/>
      <c r="AD3858" s="1"/>
      <c r="AE3858" s="1"/>
      <c r="AF3858" s="1"/>
      <c r="AG3858" s="1"/>
    </row>
    <row r="3859" ht="15.75" customHeight="1">
      <c r="A3859" s="1"/>
      <c r="B3859" s="1"/>
      <c r="C3859" s="1"/>
      <c r="D3859" s="1"/>
      <c r="E3859" s="1"/>
      <c r="F3859" s="1"/>
      <c r="G3859" s="1"/>
      <c r="H3859" s="1"/>
      <c r="I3859" s="1"/>
      <c r="J3859" s="1"/>
      <c r="K3859" s="102" t="s">
        <v>6415</v>
      </c>
      <c r="L3859" s="102" t="str">
        <f>AG371</f>
        <v>J1a2a1a2d2b2b2c4d2a2a5a1b1a1a1b2a~</v>
      </c>
      <c r="M3859" s="102" t="s">
        <v>6414</v>
      </c>
      <c r="N3859" s="102"/>
      <c r="O3859" s="105">
        <v>1.587809E7</v>
      </c>
      <c r="P3859" s="105">
        <v>1.376621E7</v>
      </c>
      <c r="Q3859" s="102" t="s">
        <v>2423</v>
      </c>
      <c r="S3859" s="1"/>
      <c r="T3859" s="1"/>
      <c r="U3859" s="1"/>
      <c r="V3859" s="1"/>
      <c r="W3859" s="1"/>
      <c r="X3859" s="1"/>
      <c r="Y3859" s="1"/>
      <c r="Z3859" s="102"/>
      <c r="AA3859" s="102"/>
      <c r="AB3859" s="1"/>
      <c r="AC3859" s="1"/>
      <c r="AD3859" s="1"/>
      <c r="AE3859" s="1"/>
      <c r="AF3859" s="1"/>
      <c r="AG3859" s="1"/>
    </row>
    <row r="3860" ht="15.75" customHeight="1">
      <c r="A3860" s="1"/>
      <c r="B3860" s="1"/>
      <c r="C3860" s="1"/>
      <c r="D3860" s="1"/>
      <c r="E3860" s="1"/>
      <c r="F3860" s="1"/>
      <c r="G3860" s="1"/>
      <c r="H3860" s="1"/>
      <c r="I3860" s="1"/>
      <c r="J3860" s="1"/>
      <c r="K3860" s="102" t="s">
        <v>6416</v>
      </c>
      <c r="L3860" s="102" t="str">
        <f>AG371</f>
        <v>J1a2a1a2d2b2b2c4d2a2a5a1b1a1a1b2a~</v>
      </c>
      <c r="M3860" s="102" t="s">
        <v>6417</v>
      </c>
      <c r="N3860" s="102"/>
      <c r="O3860" s="105">
        <v>1.8051717E7</v>
      </c>
      <c r="P3860" s="105">
        <v>1.5939837E7</v>
      </c>
      <c r="Q3860" s="102" t="s">
        <v>2439</v>
      </c>
      <c r="S3860" s="1"/>
      <c r="T3860" s="1"/>
      <c r="U3860" s="1"/>
      <c r="V3860" s="1"/>
      <c r="W3860" s="1"/>
      <c r="X3860" s="1"/>
      <c r="Y3860" s="1"/>
      <c r="Z3860" s="102"/>
      <c r="AA3860" s="102"/>
      <c r="AB3860" s="1"/>
      <c r="AC3860" s="1"/>
      <c r="AD3860" s="1"/>
      <c r="AE3860" s="1"/>
      <c r="AF3860" s="1"/>
      <c r="AG3860" s="1"/>
    </row>
    <row r="3861" ht="15.75" customHeight="1">
      <c r="A3861" s="1"/>
      <c r="B3861" s="1"/>
      <c r="C3861" s="1"/>
      <c r="D3861" s="1"/>
      <c r="E3861" s="1"/>
      <c r="F3861" s="1"/>
      <c r="G3861" s="1"/>
      <c r="H3861" s="1"/>
      <c r="I3861" s="1"/>
      <c r="J3861" s="1"/>
      <c r="K3861" s="102" t="s">
        <v>6417</v>
      </c>
      <c r="L3861" s="102" t="str">
        <f>AG371</f>
        <v>J1a2a1a2d2b2b2c4d2a2a5a1b1a1a1b2a~</v>
      </c>
      <c r="M3861" s="102" t="s">
        <v>6416</v>
      </c>
      <c r="N3861" s="102"/>
      <c r="O3861" s="105">
        <v>1.8051717E7</v>
      </c>
      <c r="P3861" s="105">
        <v>1.5939837E7</v>
      </c>
      <c r="Q3861" s="102" t="s">
        <v>2439</v>
      </c>
      <c r="S3861" s="1"/>
      <c r="T3861" s="1"/>
      <c r="U3861" s="1"/>
      <c r="V3861" s="1"/>
      <c r="W3861" s="1"/>
      <c r="X3861" s="1"/>
      <c r="Y3861" s="1"/>
      <c r="Z3861" s="102"/>
      <c r="AA3861" s="102"/>
      <c r="AB3861" s="1"/>
      <c r="AC3861" s="1"/>
      <c r="AD3861" s="1"/>
      <c r="AE3861" s="1"/>
      <c r="AF3861" s="1"/>
      <c r="AG3861" s="1"/>
    </row>
    <row r="3862" ht="15.75" customHeight="1">
      <c r="A3862" s="1"/>
      <c r="B3862" s="1"/>
      <c r="C3862" s="1"/>
      <c r="D3862" s="1"/>
      <c r="E3862" s="1"/>
      <c r="F3862" s="1"/>
      <c r="G3862" s="1"/>
      <c r="H3862" s="1"/>
      <c r="I3862" s="1"/>
      <c r="J3862" s="1"/>
      <c r="K3862" s="102" t="s">
        <v>6418</v>
      </c>
      <c r="L3862" s="102" t="str">
        <f>AG371</f>
        <v>J1a2a1a2d2b2b2c4d2a2a5a1b1a1a1b2a~</v>
      </c>
      <c r="M3862" s="102" t="s">
        <v>6419</v>
      </c>
      <c r="N3862" s="102"/>
      <c r="O3862" s="105">
        <v>2867147.0</v>
      </c>
      <c r="P3862" s="105">
        <v>2999106.0</v>
      </c>
      <c r="Q3862" s="102" t="s">
        <v>2529</v>
      </c>
      <c r="S3862" s="1"/>
      <c r="T3862" s="1"/>
      <c r="U3862" s="1"/>
      <c r="V3862" s="1"/>
      <c r="W3862" s="1"/>
      <c r="X3862" s="1"/>
      <c r="Y3862" s="1"/>
      <c r="Z3862" s="102"/>
      <c r="AA3862" s="102"/>
      <c r="AB3862" s="1"/>
      <c r="AC3862" s="1"/>
      <c r="AD3862" s="1"/>
      <c r="AE3862" s="1"/>
      <c r="AF3862" s="1"/>
      <c r="AG3862" s="1"/>
    </row>
    <row r="3863" ht="15.75" customHeight="1">
      <c r="A3863" s="1"/>
      <c r="B3863" s="1"/>
      <c r="C3863" s="1"/>
      <c r="D3863" s="1"/>
      <c r="E3863" s="1"/>
      <c r="F3863" s="1"/>
      <c r="G3863" s="1"/>
      <c r="H3863" s="1"/>
      <c r="I3863" s="1"/>
      <c r="J3863" s="1"/>
      <c r="K3863" s="102" t="s">
        <v>6419</v>
      </c>
      <c r="L3863" s="102" t="str">
        <f>AG371</f>
        <v>J1a2a1a2d2b2b2c4d2a2a5a1b1a1a1b2a~</v>
      </c>
      <c r="M3863" s="102" t="s">
        <v>6418</v>
      </c>
      <c r="N3863" s="102"/>
      <c r="O3863" s="105">
        <v>2867147.0</v>
      </c>
      <c r="P3863" s="105">
        <v>2999106.0</v>
      </c>
      <c r="Q3863" s="102" t="s">
        <v>2529</v>
      </c>
      <c r="S3863" s="1"/>
      <c r="T3863" s="1"/>
      <c r="U3863" s="1"/>
      <c r="V3863" s="1"/>
      <c r="W3863" s="1"/>
      <c r="X3863" s="1"/>
      <c r="Y3863" s="1"/>
      <c r="Z3863" s="102"/>
      <c r="AA3863" s="102"/>
      <c r="AB3863" s="1"/>
      <c r="AC3863" s="1"/>
      <c r="AD3863" s="1"/>
      <c r="AE3863" s="1"/>
      <c r="AF3863" s="1"/>
      <c r="AG3863" s="1"/>
    </row>
    <row r="3864" ht="15.75" customHeight="1">
      <c r="A3864" s="1"/>
      <c r="B3864" s="1"/>
      <c r="C3864" s="1"/>
      <c r="D3864" s="1"/>
      <c r="E3864" s="1"/>
      <c r="F3864" s="1"/>
      <c r="G3864" s="1"/>
      <c r="H3864" s="1"/>
      <c r="I3864" s="1"/>
      <c r="J3864" s="1"/>
      <c r="K3864" s="102" t="s">
        <v>6420</v>
      </c>
      <c r="L3864" s="102" t="str">
        <f>AG371</f>
        <v>J1a2a1a2d2b2b2c4d2a2a5a1b1a1a1b2a~</v>
      </c>
      <c r="M3864" s="102" t="s">
        <v>6421</v>
      </c>
      <c r="N3864" s="102"/>
      <c r="O3864" s="105">
        <v>7597428.0</v>
      </c>
      <c r="P3864" s="105">
        <v>7729387.0</v>
      </c>
      <c r="Q3864" s="102" t="s">
        <v>2454</v>
      </c>
      <c r="S3864" s="1"/>
      <c r="T3864" s="1"/>
      <c r="U3864" s="1"/>
      <c r="V3864" s="1"/>
      <c r="W3864" s="1"/>
      <c r="X3864" s="1"/>
      <c r="Y3864" s="1"/>
      <c r="Z3864" s="102"/>
      <c r="AA3864" s="102"/>
      <c r="AB3864" s="1"/>
      <c r="AC3864" s="1"/>
      <c r="AD3864" s="1"/>
      <c r="AE3864" s="1"/>
      <c r="AF3864" s="1"/>
      <c r="AG3864" s="1"/>
    </row>
    <row r="3865" ht="15.75" customHeight="1">
      <c r="A3865" s="1"/>
      <c r="B3865" s="1"/>
      <c r="C3865" s="1"/>
      <c r="D3865" s="1"/>
      <c r="E3865" s="1"/>
      <c r="F3865" s="1"/>
      <c r="G3865" s="1"/>
      <c r="H3865" s="1"/>
      <c r="I3865" s="1"/>
      <c r="J3865" s="1"/>
      <c r="K3865" s="102" t="s">
        <v>6421</v>
      </c>
      <c r="L3865" s="102" t="str">
        <f>AG371</f>
        <v>J1a2a1a2d2b2b2c4d2a2a5a1b1a1a1b2a~</v>
      </c>
      <c r="M3865" s="102" t="s">
        <v>6420</v>
      </c>
      <c r="N3865" s="102"/>
      <c r="O3865" s="105">
        <v>7597428.0</v>
      </c>
      <c r="P3865" s="105">
        <v>7729387.0</v>
      </c>
      <c r="Q3865" s="102" t="s">
        <v>2454</v>
      </c>
      <c r="S3865" s="1"/>
      <c r="T3865" s="1"/>
      <c r="U3865" s="1"/>
      <c r="V3865" s="1"/>
      <c r="W3865" s="1"/>
      <c r="X3865" s="1"/>
      <c r="Y3865" s="1"/>
      <c r="Z3865" s="102"/>
      <c r="AA3865" s="102"/>
      <c r="AB3865" s="1"/>
      <c r="AC3865" s="1"/>
      <c r="AD3865" s="1"/>
      <c r="AE3865" s="1"/>
      <c r="AF3865" s="1"/>
      <c r="AG3865" s="1"/>
    </row>
    <row r="3866" ht="15.75" customHeight="1">
      <c r="A3866" s="1"/>
      <c r="B3866" s="1"/>
      <c r="C3866" s="1"/>
      <c r="D3866" s="1"/>
      <c r="E3866" s="1"/>
      <c r="F3866" s="1"/>
      <c r="G3866" s="1"/>
      <c r="H3866" s="1"/>
      <c r="I3866" s="1"/>
      <c r="J3866" s="1"/>
      <c r="K3866" s="102" t="s">
        <v>713</v>
      </c>
      <c r="L3866" s="102" t="str">
        <f>AE372</f>
        <v>J1a2a1a2d2b2b2c4d2a2a5a1b1a1a1c~</v>
      </c>
      <c r="M3866" s="102"/>
      <c r="N3866" s="102"/>
      <c r="O3866" s="105">
        <v>2.3117277E7</v>
      </c>
      <c r="P3866" s="105">
        <v>2.0955391E7</v>
      </c>
      <c r="Q3866" s="102" t="s">
        <v>2529</v>
      </c>
      <c r="S3866" s="1"/>
      <c r="T3866" s="1"/>
      <c r="U3866" s="1"/>
      <c r="V3866" s="1"/>
      <c r="W3866" s="1"/>
      <c r="X3866" s="1"/>
      <c r="Y3866" s="1"/>
      <c r="Z3866" s="102"/>
      <c r="AA3866" s="102"/>
      <c r="AB3866" s="1"/>
      <c r="AC3866" s="1"/>
      <c r="AD3866" s="1"/>
      <c r="AE3866" s="1"/>
      <c r="AF3866" s="1"/>
      <c r="AG3866" s="1"/>
    </row>
    <row r="3867" ht="15.75" customHeight="1">
      <c r="A3867" s="1"/>
      <c r="B3867" s="1"/>
      <c r="C3867" s="1"/>
      <c r="D3867" s="1"/>
      <c r="E3867" s="1"/>
      <c r="F3867" s="1"/>
      <c r="G3867" s="1"/>
      <c r="H3867" s="1"/>
      <c r="I3867" s="1"/>
      <c r="J3867" s="1"/>
      <c r="K3867" s="102" t="s">
        <v>715</v>
      </c>
      <c r="L3867" s="102" t="str">
        <f>AF373</f>
        <v>J1a2a1a2d2b2b2c4d2a2a5a1b1a1a1c1~</v>
      </c>
      <c r="M3867" s="102"/>
      <c r="N3867" s="102"/>
      <c r="O3867" s="105">
        <v>2.1871823E7</v>
      </c>
      <c r="P3867" s="105">
        <v>1.9709937E7</v>
      </c>
      <c r="Q3867" s="102" t="s">
        <v>2533</v>
      </c>
      <c r="S3867" s="1"/>
      <c r="T3867" s="1"/>
      <c r="U3867" s="1"/>
      <c r="V3867" s="1"/>
      <c r="W3867" s="1"/>
      <c r="X3867" s="1"/>
      <c r="Y3867" s="1"/>
      <c r="Z3867" s="102"/>
      <c r="AA3867" s="102"/>
      <c r="AB3867" s="1"/>
      <c r="AC3867" s="1"/>
      <c r="AD3867" s="1"/>
      <c r="AE3867" s="1"/>
      <c r="AF3867" s="1"/>
      <c r="AG3867" s="1"/>
    </row>
    <row r="3868" ht="15.75" customHeight="1">
      <c r="A3868" s="1"/>
      <c r="B3868" s="1"/>
      <c r="C3868" s="1"/>
      <c r="D3868" s="1"/>
      <c r="E3868" s="1"/>
      <c r="F3868" s="1"/>
      <c r="G3868" s="1"/>
      <c r="H3868" s="1"/>
      <c r="I3868" s="1"/>
      <c r="J3868" s="1"/>
      <c r="K3868" s="102" t="s">
        <v>6422</v>
      </c>
      <c r="L3868" s="102" t="str">
        <f>AG374</f>
        <v>J1a2a1a2d2b2b2c4d2a2a5a1b1a1a1c1a~</v>
      </c>
      <c r="M3868" s="102"/>
      <c r="N3868" s="102"/>
      <c r="O3868" s="105">
        <v>2.1798937E7</v>
      </c>
      <c r="P3868" s="105">
        <v>1.9637051E7</v>
      </c>
      <c r="Q3868" s="102" t="s">
        <v>2533</v>
      </c>
      <c r="S3868" s="1"/>
      <c r="T3868" s="1"/>
      <c r="U3868" s="1"/>
      <c r="V3868" s="1"/>
      <c r="W3868" s="1"/>
      <c r="X3868" s="1"/>
      <c r="Y3868" s="1"/>
      <c r="Z3868" s="102"/>
      <c r="AA3868" s="102"/>
      <c r="AB3868" s="1"/>
      <c r="AC3868" s="1"/>
      <c r="AD3868" s="1"/>
      <c r="AE3868" s="1"/>
      <c r="AF3868" s="1"/>
      <c r="AG3868" s="1"/>
    </row>
    <row r="3869" ht="15.75" customHeight="1">
      <c r="A3869" s="1"/>
      <c r="B3869" s="1"/>
      <c r="C3869" s="1"/>
      <c r="D3869" s="1"/>
      <c r="E3869" s="1"/>
      <c r="F3869" s="1"/>
      <c r="G3869" s="1"/>
      <c r="H3869" s="1"/>
      <c r="I3869" s="1"/>
      <c r="J3869" s="1"/>
      <c r="K3869" s="102" t="s">
        <v>6423</v>
      </c>
      <c r="L3869" s="102" t="str">
        <f>AG374</f>
        <v>J1a2a1a2d2b2b2c4d2a2a5a1b1a1a1c1a~</v>
      </c>
      <c r="M3869" s="102"/>
      <c r="N3869" s="102"/>
      <c r="O3869" s="105">
        <v>2.3269863E7</v>
      </c>
      <c r="P3869" s="105">
        <v>2.1107977E7</v>
      </c>
      <c r="Q3869" s="102" t="s">
        <v>2529</v>
      </c>
      <c r="S3869" s="1"/>
      <c r="T3869" s="1"/>
      <c r="U3869" s="1"/>
      <c r="V3869" s="1"/>
      <c r="W3869" s="1"/>
      <c r="X3869" s="1"/>
      <c r="Y3869" s="1"/>
      <c r="Z3869" s="102"/>
      <c r="AA3869" s="102"/>
      <c r="AB3869" s="1"/>
      <c r="AC3869" s="1"/>
      <c r="AD3869" s="1"/>
      <c r="AE3869" s="1"/>
      <c r="AF3869" s="1"/>
      <c r="AG3869" s="1"/>
    </row>
    <row r="3870" ht="15.75" customHeight="1">
      <c r="A3870" s="1"/>
      <c r="B3870" s="1"/>
      <c r="C3870" s="1"/>
      <c r="D3870" s="1"/>
      <c r="E3870" s="1"/>
      <c r="F3870" s="1"/>
      <c r="G3870" s="1"/>
      <c r="H3870" s="1"/>
      <c r="I3870" s="1"/>
      <c r="J3870" s="1"/>
      <c r="K3870" s="102" t="s">
        <v>6424</v>
      </c>
      <c r="L3870" s="102" t="str">
        <f>AD375</f>
        <v>J1a2a1a2d2b2b2c4d2a2a5a1b1a1a2~</v>
      </c>
      <c r="M3870" s="102" t="s">
        <v>6425</v>
      </c>
      <c r="N3870" s="102"/>
      <c r="O3870" s="105">
        <v>9441639.0</v>
      </c>
      <c r="P3870" s="105">
        <v>9604030.0</v>
      </c>
      <c r="Q3870" s="102" t="s">
        <v>2468</v>
      </c>
      <c r="S3870" s="1"/>
      <c r="T3870" s="1"/>
      <c r="U3870" s="1"/>
      <c r="V3870" s="1"/>
      <c r="W3870" s="1"/>
      <c r="X3870" s="1"/>
      <c r="Y3870" s="1"/>
      <c r="Z3870" s="102"/>
      <c r="AA3870" s="102"/>
      <c r="AB3870" s="1"/>
      <c r="AC3870" s="1"/>
      <c r="AD3870" s="1"/>
      <c r="AE3870" s="1"/>
      <c r="AF3870" s="1"/>
      <c r="AG3870" s="1"/>
    </row>
    <row r="3871" ht="15.75" customHeight="1">
      <c r="A3871" s="1"/>
      <c r="B3871" s="1"/>
      <c r="C3871" s="1"/>
      <c r="D3871" s="1"/>
      <c r="E3871" s="1"/>
      <c r="F3871" s="1"/>
      <c r="G3871" s="1"/>
      <c r="H3871" s="1"/>
      <c r="I3871" s="1"/>
      <c r="J3871" s="1"/>
      <c r="K3871" s="102" t="s">
        <v>6425</v>
      </c>
      <c r="L3871" s="102" t="str">
        <f>AD375</f>
        <v>J1a2a1a2d2b2b2c4d2a2a5a1b1a1a2~</v>
      </c>
      <c r="M3871" s="102" t="s">
        <v>6424</v>
      </c>
      <c r="N3871" s="102"/>
      <c r="O3871" s="105">
        <v>9441639.0</v>
      </c>
      <c r="P3871" s="105">
        <v>9604030.0</v>
      </c>
      <c r="Q3871" s="102" t="s">
        <v>2468</v>
      </c>
      <c r="S3871" s="1"/>
      <c r="T3871" s="1"/>
      <c r="U3871" s="1"/>
      <c r="V3871" s="1"/>
      <c r="W3871" s="1"/>
      <c r="X3871" s="1"/>
      <c r="Y3871" s="1"/>
      <c r="Z3871" s="102"/>
      <c r="AA3871" s="102"/>
      <c r="AB3871" s="1"/>
      <c r="AC3871" s="1"/>
      <c r="AD3871" s="1"/>
      <c r="AE3871" s="1"/>
      <c r="AF3871" s="1"/>
      <c r="AG3871" s="1"/>
    </row>
    <row r="3872" ht="15.75" customHeight="1">
      <c r="A3872" s="1"/>
      <c r="B3872" s="1"/>
      <c r="C3872" s="1"/>
      <c r="D3872" s="1"/>
      <c r="E3872" s="1"/>
      <c r="F3872" s="1"/>
      <c r="G3872" s="1"/>
      <c r="H3872" s="1"/>
      <c r="I3872" s="1"/>
      <c r="J3872" s="1"/>
      <c r="K3872" s="102" t="s">
        <v>6426</v>
      </c>
      <c r="L3872" s="102" t="str">
        <f>AD375</f>
        <v>J1a2a1a2d2b2b2c4d2a2a5a1b1a1a2~</v>
      </c>
      <c r="M3872" s="102"/>
      <c r="N3872" s="102" t="s">
        <v>6427</v>
      </c>
      <c r="O3872" s="105">
        <v>1.9250435E7</v>
      </c>
      <c r="P3872" s="105">
        <v>1.7138555E7</v>
      </c>
      <c r="Q3872" s="102" t="s">
        <v>2439</v>
      </c>
      <c r="S3872" s="1"/>
      <c r="T3872" s="1"/>
      <c r="U3872" s="1"/>
      <c r="V3872" s="1"/>
      <c r="W3872" s="1"/>
      <c r="X3872" s="1"/>
      <c r="Y3872" s="1"/>
      <c r="Z3872" s="102"/>
      <c r="AA3872" s="102"/>
      <c r="AB3872" s="1"/>
      <c r="AC3872" s="1"/>
      <c r="AD3872" s="1"/>
      <c r="AE3872" s="1"/>
      <c r="AF3872" s="1"/>
      <c r="AG3872" s="1"/>
    </row>
    <row r="3873" ht="15.75" customHeight="1">
      <c r="A3873" s="1"/>
      <c r="B3873" s="1"/>
      <c r="C3873" s="1"/>
      <c r="D3873" s="1"/>
      <c r="E3873" s="1"/>
      <c r="F3873" s="1"/>
      <c r="G3873" s="1"/>
      <c r="H3873" s="1"/>
      <c r="I3873" s="1"/>
      <c r="J3873" s="1"/>
      <c r="K3873" s="102" t="s">
        <v>6428</v>
      </c>
      <c r="L3873" s="102" t="str">
        <f>AD375</f>
        <v>J1a2a1a2d2b2b2c4d2a2a5a1b1a1a2~</v>
      </c>
      <c r="M3873" s="102"/>
      <c r="N3873" s="102"/>
      <c r="O3873" s="105">
        <v>1.6177779E7</v>
      </c>
      <c r="P3873" s="105">
        <v>1.4065899E7</v>
      </c>
      <c r="Q3873" s="102" t="s">
        <v>2468</v>
      </c>
      <c r="S3873" s="1"/>
      <c r="T3873" s="1"/>
      <c r="U3873" s="1"/>
      <c r="V3873" s="1"/>
      <c r="W3873" s="1"/>
      <c r="X3873" s="1"/>
      <c r="Y3873" s="1"/>
      <c r="Z3873" s="102"/>
      <c r="AA3873" s="102"/>
      <c r="AB3873" s="1"/>
      <c r="AC3873" s="1"/>
      <c r="AD3873" s="1"/>
      <c r="AE3873" s="1"/>
      <c r="AF3873" s="1"/>
      <c r="AG3873" s="1"/>
    </row>
    <row r="3874" ht="15.75" customHeight="1">
      <c r="A3874" s="1"/>
      <c r="B3874" s="1"/>
      <c r="C3874" s="1"/>
      <c r="D3874" s="1"/>
      <c r="E3874" s="1"/>
      <c r="F3874" s="1"/>
      <c r="G3874" s="1"/>
      <c r="H3874" s="1"/>
      <c r="I3874" s="1"/>
      <c r="J3874" s="1"/>
      <c r="K3874" s="102" t="s">
        <v>6429</v>
      </c>
      <c r="L3874" s="102" t="str">
        <f>AD375</f>
        <v>J1a2a1a2d2b2b2c4d2a2a5a1b1a1a2~</v>
      </c>
      <c r="M3874" s="102"/>
      <c r="N3874" s="102"/>
      <c r="O3874" s="105">
        <v>1.6614372E7</v>
      </c>
      <c r="P3874" s="105">
        <v>1.4502492E7</v>
      </c>
      <c r="Q3874" s="102" t="s">
        <v>2501</v>
      </c>
      <c r="S3874" s="1"/>
      <c r="T3874" s="1"/>
      <c r="U3874" s="1"/>
      <c r="V3874" s="1"/>
      <c r="W3874" s="1"/>
      <c r="X3874" s="1"/>
      <c r="Y3874" s="1"/>
      <c r="Z3874" s="102"/>
      <c r="AA3874" s="102"/>
      <c r="AB3874" s="1"/>
      <c r="AC3874" s="1"/>
      <c r="AD3874" s="1"/>
      <c r="AE3874" s="1"/>
      <c r="AF3874" s="1"/>
      <c r="AG3874" s="1"/>
    </row>
    <row r="3875" ht="15.75" customHeight="1">
      <c r="A3875" s="1"/>
      <c r="B3875" s="1"/>
      <c r="C3875" s="1"/>
      <c r="D3875" s="1"/>
      <c r="E3875" s="1"/>
      <c r="F3875" s="1"/>
      <c r="G3875" s="1"/>
      <c r="H3875" s="1"/>
      <c r="I3875" s="1"/>
      <c r="J3875" s="1"/>
      <c r="K3875" s="102" t="s">
        <v>6430</v>
      </c>
      <c r="L3875" s="102" t="str">
        <f>AE376</f>
        <v>J1a2a1a2d2b2b2c4d2a2a5a1b1a1a2a~</v>
      </c>
      <c r="M3875" s="102"/>
      <c r="N3875" s="102"/>
      <c r="O3875" s="105">
        <v>9381632.0</v>
      </c>
      <c r="P3875" s="105">
        <v>9544023.0</v>
      </c>
      <c r="Q3875" s="102" t="s">
        <v>2533</v>
      </c>
      <c r="S3875" s="1"/>
      <c r="T3875" s="1"/>
      <c r="U3875" s="1"/>
      <c r="V3875" s="1"/>
      <c r="W3875" s="1"/>
      <c r="X3875" s="1"/>
      <c r="Y3875" s="1"/>
      <c r="Z3875" s="102"/>
      <c r="AA3875" s="102"/>
      <c r="AB3875" s="1"/>
      <c r="AC3875" s="1"/>
      <c r="AD3875" s="1"/>
      <c r="AE3875" s="1"/>
      <c r="AF3875" s="1"/>
      <c r="AG3875" s="1"/>
    </row>
    <row r="3876" ht="15.75" customHeight="1">
      <c r="A3876" s="1"/>
      <c r="B3876" s="1"/>
      <c r="C3876" s="1"/>
      <c r="D3876" s="1"/>
      <c r="E3876" s="1"/>
      <c r="F3876" s="1"/>
      <c r="G3876" s="1"/>
      <c r="H3876" s="1"/>
      <c r="I3876" s="1"/>
      <c r="J3876" s="1"/>
      <c r="K3876" s="102" t="s">
        <v>6431</v>
      </c>
      <c r="L3876" s="102" t="str">
        <f>AE376</f>
        <v>J1a2a1a2d2b2b2c4d2a2a5a1b1a1a2a~</v>
      </c>
      <c r="M3876" s="102"/>
      <c r="N3876" s="102"/>
      <c r="O3876" s="105">
        <v>2.2870174E7</v>
      </c>
      <c r="P3876" s="105">
        <v>2.0708288E7</v>
      </c>
      <c r="Q3876" s="102" t="s">
        <v>2529</v>
      </c>
      <c r="S3876" s="1"/>
      <c r="T3876" s="1"/>
      <c r="U3876" s="1"/>
      <c r="V3876" s="1"/>
      <c r="W3876" s="1"/>
      <c r="X3876" s="1"/>
      <c r="Y3876" s="1"/>
      <c r="Z3876" s="102"/>
      <c r="AA3876" s="102"/>
      <c r="AB3876" s="1"/>
      <c r="AC3876" s="1"/>
      <c r="AD3876" s="1"/>
      <c r="AE3876" s="1"/>
      <c r="AF3876" s="1"/>
      <c r="AG3876" s="1"/>
    </row>
    <row r="3877" ht="15.75" customHeight="1">
      <c r="A3877" s="1"/>
      <c r="B3877" s="1"/>
      <c r="C3877" s="1"/>
      <c r="D3877" s="1"/>
      <c r="E3877" s="1"/>
      <c r="F3877" s="1"/>
      <c r="G3877" s="1"/>
      <c r="H3877" s="1"/>
      <c r="I3877" s="1"/>
      <c r="J3877" s="1"/>
      <c r="K3877" s="102" t="s">
        <v>6432</v>
      </c>
      <c r="L3877" s="102" t="str">
        <f>AC377</f>
        <v>J1a2a1a2d2b2b2c4d2a2a5a1b1a1b~</v>
      </c>
      <c r="M3877" s="102" t="s">
        <v>6433</v>
      </c>
      <c r="N3877" s="102"/>
      <c r="O3877" s="105">
        <v>7943242.0</v>
      </c>
      <c r="P3877" s="105">
        <v>8075201.0</v>
      </c>
      <c r="Q3877" s="102" t="s">
        <v>2468</v>
      </c>
      <c r="S3877" s="1"/>
      <c r="T3877" s="1"/>
      <c r="U3877" s="1"/>
      <c r="V3877" s="1"/>
      <c r="W3877" s="1"/>
      <c r="X3877" s="1"/>
      <c r="Y3877" s="1"/>
      <c r="Z3877" s="102"/>
      <c r="AA3877" s="102"/>
      <c r="AB3877" s="1"/>
      <c r="AC3877" s="1"/>
      <c r="AD3877" s="1"/>
      <c r="AE3877" s="1"/>
      <c r="AF3877" s="1"/>
      <c r="AG3877" s="1"/>
    </row>
    <row r="3878" ht="15.75" customHeight="1">
      <c r="A3878" s="1"/>
      <c r="B3878" s="1"/>
      <c r="C3878" s="1"/>
      <c r="D3878" s="1"/>
      <c r="E3878" s="1"/>
      <c r="F3878" s="1"/>
      <c r="G3878" s="1"/>
      <c r="H3878" s="1"/>
      <c r="I3878" s="1"/>
      <c r="J3878" s="1"/>
      <c r="K3878" s="102" t="s">
        <v>6434</v>
      </c>
      <c r="L3878" s="102" t="str">
        <f>AC377</f>
        <v>J1a2a1a2d2b2b2c4d2a2a5a1b1a1b~</v>
      </c>
      <c r="M3878" s="102" t="s">
        <v>6435</v>
      </c>
      <c r="N3878" s="102"/>
      <c r="O3878" s="105">
        <v>7943242.0</v>
      </c>
      <c r="P3878" s="105">
        <v>8075201.0</v>
      </c>
      <c r="Q3878" s="102" t="s">
        <v>2468</v>
      </c>
      <c r="S3878" s="1"/>
      <c r="T3878" s="1"/>
      <c r="U3878" s="1"/>
      <c r="V3878" s="1"/>
      <c r="W3878" s="1"/>
      <c r="X3878" s="1"/>
      <c r="Y3878" s="1"/>
      <c r="Z3878" s="102"/>
      <c r="AA3878" s="102"/>
      <c r="AB3878" s="1"/>
      <c r="AC3878" s="1"/>
      <c r="AD3878" s="1"/>
      <c r="AE3878" s="1"/>
      <c r="AF3878" s="1"/>
      <c r="AG3878" s="1"/>
    </row>
    <row r="3879" ht="15.75" customHeight="1">
      <c r="A3879" s="1"/>
      <c r="B3879" s="1"/>
      <c r="C3879" s="1"/>
      <c r="D3879" s="1"/>
      <c r="E3879" s="1"/>
      <c r="F3879" s="1"/>
      <c r="G3879" s="1"/>
      <c r="H3879" s="1"/>
      <c r="I3879" s="1"/>
      <c r="J3879" s="1"/>
      <c r="K3879" s="102" t="s">
        <v>6436</v>
      </c>
      <c r="L3879" s="102" t="str">
        <f>AC377</f>
        <v>J1a2a1a2d2b2b2c4d2a2a5a1b1a1b~</v>
      </c>
      <c r="M3879" s="102" t="s">
        <v>6437</v>
      </c>
      <c r="N3879" s="102"/>
      <c r="O3879" s="105">
        <v>7943242.0</v>
      </c>
      <c r="P3879" s="105">
        <v>8075201.0</v>
      </c>
      <c r="Q3879" s="102" t="s">
        <v>2468</v>
      </c>
      <c r="S3879" s="1"/>
      <c r="T3879" s="1"/>
      <c r="U3879" s="1"/>
      <c r="V3879" s="1"/>
      <c r="W3879" s="1"/>
      <c r="X3879" s="1"/>
      <c r="Y3879" s="1"/>
      <c r="Z3879" s="102"/>
      <c r="AA3879" s="102"/>
      <c r="AB3879" s="1"/>
      <c r="AC3879" s="1"/>
      <c r="AD3879" s="1"/>
      <c r="AE3879" s="1"/>
      <c r="AF3879" s="1"/>
      <c r="AG3879" s="1"/>
    </row>
    <row r="3880" ht="15.75" customHeight="1">
      <c r="A3880" s="1"/>
      <c r="B3880" s="1"/>
      <c r="C3880" s="1"/>
      <c r="D3880" s="1"/>
      <c r="E3880" s="1"/>
      <c r="F3880" s="1"/>
      <c r="G3880" s="1"/>
      <c r="H3880" s="1"/>
      <c r="I3880" s="1"/>
      <c r="J3880" s="1"/>
      <c r="K3880" s="102" t="s">
        <v>6438</v>
      </c>
      <c r="L3880" s="102" t="str">
        <f>AC377</f>
        <v>J1a2a1a2d2b2b2c4d2a2a5a1b1a1b~</v>
      </c>
      <c r="M3880" s="102" t="s">
        <v>6439</v>
      </c>
      <c r="N3880" s="102"/>
      <c r="O3880" s="105">
        <v>2.2818518E7</v>
      </c>
      <c r="P3880" s="105">
        <v>2.0656632E7</v>
      </c>
      <c r="Q3880" s="102" t="s">
        <v>2439</v>
      </c>
      <c r="S3880" s="1"/>
      <c r="T3880" s="1"/>
      <c r="U3880" s="1"/>
      <c r="V3880" s="1"/>
      <c r="W3880" s="1"/>
      <c r="X3880" s="1"/>
      <c r="Y3880" s="1"/>
      <c r="Z3880" s="102"/>
      <c r="AA3880" s="102"/>
      <c r="AB3880" s="1"/>
      <c r="AC3880" s="1"/>
      <c r="AD3880" s="1"/>
      <c r="AE3880" s="1"/>
      <c r="AF3880" s="1"/>
      <c r="AG3880" s="1"/>
    </row>
    <row r="3881" ht="15.75" customHeight="1">
      <c r="A3881" s="1"/>
      <c r="B3881" s="1"/>
      <c r="C3881" s="1"/>
      <c r="D3881" s="1"/>
      <c r="E3881" s="1"/>
      <c r="F3881" s="1"/>
      <c r="G3881" s="1"/>
      <c r="H3881" s="1"/>
      <c r="I3881" s="1"/>
      <c r="J3881" s="1"/>
      <c r="K3881" s="102" t="s">
        <v>6440</v>
      </c>
      <c r="L3881" s="102" t="str">
        <f>AC377</f>
        <v>J1a2a1a2d2b2b2c4d2a2a5a1b1a1b~</v>
      </c>
      <c r="M3881" s="102" t="s">
        <v>6441</v>
      </c>
      <c r="N3881" s="102"/>
      <c r="O3881" s="105">
        <v>2.2818518E7</v>
      </c>
      <c r="P3881" s="105">
        <v>2.0656632E7</v>
      </c>
      <c r="Q3881" s="102" t="s">
        <v>2439</v>
      </c>
      <c r="S3881" s="1"/>
      <c r="T3881" s="1"/>
      <c r="U3881" s="1"/>
      <c r="V3881" s="1"/>
      <c r="W3881" s="1"/>
      <c r="X3881" s="1"/>
      <c r="Y3881" s="1"/>
      <c r="Z3881" s="102"/>
      <c r="AA3881" s="102"/>
      <c r="AB3881" s="1"/>
      <c r="AC3881" s="1"/>
      <c r="AD3881" s="1"/>
      <c r="AE3881" s="1"/>
      <c r="AF3881" s="1"/>
      <c r="AG3881" s="1"/>
    </row>
    <row r="3882" ht="15.75" customHeight="1">
      <c r="A3882" s="1"/>
      <c r="B3882" s="1"/>
      <c r="C3882" s="1"/>
      <c r="D3882" s="1"/>
      <c r="E3882" s="1"/>
      <c r="F3882" s="1"/>
      <c r="G3882" s="1"/>
      <c r="H3882" s="1"/>
      <c r="I3882" s="1"/>
      <c r="J3882" s="1"/>
      <c r="K3882" s="102" t="s">
        <v>6442</v>
      </c>
      <c r="L3882" s="102" t="str">
        <f>AC377</f>
        <v>J1a2a1a2d2b2b2c4d2a2a5a1b1a1b~</v>
      </c>
      <c r="M3882" s="102" t="s">
        <v>6443</v>
      </c>
      <c r="N3882" s="102"/>
      <c r="O3882" s="105">
        <v>2.2818518E7</v>
      </c>
      <c r="P3882" s="105">
        <v>2.0656632E7</v>
      </c>
      <c r="Q3882" s="102" t="s">
        <v>2439</v>
      </c>
      <c r="S3882" s="1"/>
      <c r="T3882" s="1"/>
      <c r="U3882" s="1"/>
      <c r="V3882" s="1"/>
      <c r="W3882" s="1"/>
      <c r="X3882" s="1"/>
      <c r="Y3882" s="1"/>
      <c r="Z3882" s="102"/>
      <c r="AA3882" s="102"/>
      <c r="AB3882" s="1"/>
      <c r="AC3882" s="1"/>
      <c r="AD3882" s="1"/>
      <c r="AE3882" s="1"/>
      <c r="AF3882" s="1"/>
      <c r="AG3882" s="1"/>
    </row>
    <row r="3883" ht="15.75" customHeight="1">
      <c r="A3883" s="1"/>
      <c r="B3883" s="1"/>
      <c r="C3883" s="1"/>
      <c r="D3883" s="1"/>
      <c r="E3883" s="1"/>
      <c r="F3883" s="1"/>
      <c r="G3883" s="1"/>
      <c r="H3883" s="1"/>
      <c r="I3883" s="1"/>
      <c r="J3883" s="1"/>
      <c r="K3883" s="102" t="s">
        <v>6444</v>
      </c>
      <c r="L3883" s="102" t="str">
        <f>AC377</f>
        <v>J1a2a1a2d2b2b2c4d2a2a5a1b1a1b~</v>
      </c>
      <c r="M3883" s="102" t="s">
        <v>6445</v>
      </c>
      <c r="N3883" s="102"/>
      <c r="O3883" s="105">
        <v>1.891218E7</v>
      </c>
      <c r="P3883" s="105">
        <v>1.68003E7</v>
      </c>
      <c r="Q3883" s="102" t="s">
        <v>2468</v>
      </c>
      <c r="S3883" s="1"/>
      <c r="T3883" s="1"/>
      <c r="U3883" s="1"/>
      <c r="V3883" s="1"/>
      <c r="W3883" s="1"/>
      <c r="X3883" s="1"/>
      <c r="Y3883" s="1"/>
      <c r="Z3883" s="102"/>
      <c r="AA3883" s="102"/>
      <c r="AB3883" s="1"/>
      <c r="AC3883" s="1"/>
      <c r="AD3883" s="1"/>
      <c r="AE3883" s="1"/>
      <c r="AF3883" s="1"/>
      <c r="AG3883" s="1"/>
    </row>
    <row r="3884" ht="15.75" customHeight="1">
      <c r="A3884" s="1"/>
      <c r="B3884" s="1"/>
      <c r="C3884" s="1"/>
      <c r="D3884" s="1"/>
      <c r="E3884" s="1"/>
      <c r="F3884" s="1"/>
      <c r="G3884" s="1"/>
      <c r="H3884" s="1"/>
      <c r="I3884" s="1"/>
      <c r="J3884" s="1"/>
      <c r="K3884" s="102" t="s">
        <v>6446</v>
      </c>
      <c r="L3884" s="102" t="str">
        <f>AC377</f>
        <v>J1a2a1a2d2b2b2c4d2a2a5a1b1a1b~</v>
      </c>
      <c r="M3884" s="102" t="s">
        <v>6447</v>
      </c>
      <c r="N3884" s="102"/>
      <c r="O3884" s="105">
        <v>1.891218E7</v>
      </c>
      <c r="P3884" s="105">
        <v>1.68003E7</v>
      </c>
      <c r="Q3884" s="102" t="s">
        <v>2468</v>
      </c>
      <c r="S3884" s="1"/>
      <c r="T3884" s="1"/>
      <c r="U3884" s="1"/>
      <c r="V3884" s="1"/>
      <c r="W3884" s="1"/>
      <c r="X3884" s="1"/>
      <c r="Y3884" s="1"/>
      <c r="Z3884" s="102"/>
      <c r="AA3884" s="102"/>
      <c r="AB3884" s="1"/>
      <c r="AC3884" s="1"/>
      <c r="AD3884" s="1"/>
      <c r="AE3884" s="1"/>
      <c r="AF3884" s="1"/>
      <c r="AG3884" s="1"/>
    </row>
    <row r="3885" ht="15.75" customHeight="1">
      <c r="A3885" s="1"/>
      <c r="B3885" s="1"/>
      <c r="C3885" s="1"/>
      <c r="D3885" s="1"/>
      <c r="E3885" s="1"/>
      <c r="F3885" s="1"/>
      <c r="G3885" s="1"/>
      <c r="H3885" s="1"/>
      <c r="I3885" s="1"/>
      <c r="J3885" s="1"/>
      <c r="K3885" s="102" t="s">
        <v>6448</v>
      </c>
      <c r="L3885" s="102" t="str">
        <f t="shared" ref="L3885:L3886" si="56">AC377</f>
        <v>J1a2a1a2d2b2b2c4d2a2a5a1b1a1b~</v>
      </c>
      <c r="M3885" s="102" t="s">
        <v>6449</v>
      </c>
      <c r="N3885" s="102"/>
      <c r="O3885" s="105">
        <v>1.891218E7</v>
      </c>
      <c r="P3885" s="105">
        <v>1.68003E7</v>
      </c>
      <c r="Q3885" s="102" t="s">
        <v>2468</v>
      </c>
      <c r="S3885" s="1"/>
      <c r="T3885" s="1"/>
      <c r="U3885" s="1"/>
      <c r="V3885" s="1"/>
      <c r="W3885" s="1"/>
      <c r="X3885" s="1"/>
      <c r="Y3885" s="1"/>
      <c r="Z3885" s="102"/>
      <c r="AA3885" s="102"/>
      <c r="AB3885" s="1"/>
      <c r="AC3885" s="1"/>
      <c r="AD3885" s="1"/>
      <c r="AE3885" s="1"/>
      <c r="AF3885" s="1"/>
      <c r="AG3885" s="1"/>
    </row>
    <row r="3886" ht="15.75" customHeight="1">
      <c r="A3886" s="1"/>
      <c r="B3886" s="1"/>
      <c r="C3886" s="1"/>
      <c r="D3886" s="1"/>
      <c r="E3886" s="1"/>
      <c r="F3886" s="1"/>
      <c r="G3886" s="1"/>
      <c r="H3886" s="1"/>
      <c r="I3886" s="1"/>
      <c r="J3886" s="1"/>
      <c r="K3886" s="102" t="s">
        <v>6450</v>
      </c>
      <c r="L3886" s="102" t="str">
        <f t="shared" si="56"/>
        <v>J1a2a1a2d2b2b2c4d2a2a5a1b1a1c~</v>
      </c>
      <c r="M3886" s="102" t="s">
        <v>6451</v>
      </c>
      <c r="N3886" s="102"/>
      <c r="O3886" s="105">
        <v>1.795274E7</v>
      </c>
      <c r="P3886" s="105">
        <v>1.584086E7</v>
      </c>
      <c r="Q3886" s="102" t="s">
        <v>2514</v>
      </c>
      <c r="S3886" s="1"/>
      <c r="T3886" s="1"/>
      <c r="U3886" s="1"/>
      <c r="V3886" s="1"/>
      <c r="W3886" s="1"/>
      <c r="X3886" s="1"/>
      <c r="Y3886" s="1"/>
      <c r="Z3886" s="102"/>
      <c r="AA3886" s="102"/>
      <c r="AB3886" s="1"/>
      <c r="AC3886" s="1"/>
      <c r="AD3886" s="1"/>
      <c r="AE3886" s="1"/>
      <c r="AF3886" s="1"/>
      <c r="AG3886" s="1"/>
    </row>
    <row r="3887" ht="15.75" customHeight="1">
      <c r="A3887" s="1"/>
      <c r="B3887" s="1"/>
      <c r="C3887" s="1"/>
      <c r="D3887" s="1"/>
      <c r="E3887" s="1"/>
      <c r="F3887" s="1"/>
      <c r="G3887" s="1"/>
      <c r="H3887" s="1"/>
      <c r="I3887" s="1"/>
      <c r="J3887" s="1"/>
      <c r="K3887" s="102" t="s">
        <v>6451</v>
      </c>
      <c r="L3887" s="102" t="str">
        <f>AC378</f>
        <v>J1a2a1a2d2b2b2c4d2a2a5a1b1a1c~</v>
      </c>
      <c r="M3887" s="102" t="s">
        <v>6450</v>
      </c>
      <c r="N3887" s="102"/>
      <c r="O3887" s="105">
        <v>1.795274E7</v>
      </c>
      <c r="P3887" s="105">
        <v>1.584086E7</v>
      </c>
      <c r="Q3887" s="102" t="s">
        <v>2514</v>
      </c>
      <c r="S3887" s="1"/>
      <c r="T3887" s="1"/>
      <c r="U3887" s="1"/>
      <c r="V3887" s="1"/>
      <c r="W3887" s="1"/>
      <c r="X3887" s="1"/>
      <c r="Y3887" s="1"/>
      <c r="Z3887" s="102"/>
      <c r="AA3887" s="102"/>
      <c r="AB3887" s="1"/>
      <c r="AC3887" s="1"/>
      <c r="AD3887" s="1"/>
      <c r="AE3887" s="1"/>
      <c r="AF3887" s="1"/>
      <c r="AG3887" s="1"/>
    </row>
    <row r="3888" ht="15.75" customHeight="1">
      <c r="A3888" s="1"/>
      <c r="B3888" s="1"/>
      <c r="C3888" s="1"/>
      <c r="D3888" s="1"/>
      <c r="E3888" s="1"/>
      <c r="F3888" s="1"/>
      <c r="G3888" s="1"/>
      <c r="H3888" s="1"/>
      <c r="I3888" s="1"/>
      <c r="J3888" s="1"/>
      <c r="K3888" s="102" t="s">
        <v>6452</v>
      </c>
      <c r="L3888" s="102" t="str">
        <f>AC378</f>
        <v>J1a2a1a2d2b2b2c4d2a2a5a1b1a1c~</v>
      </c>
      <c r="M3888" s="102"/>
      <c r="N3888" s="102" t="s">
        <v>6453</v>
      </c>
      <c r="O3888" s="105">
        <v>1.702945E7</v>
      </c>
      <c r="P3888" s="105">
        <v>1.491757E7</v>
      </c>
      <c r="Q3888" s="102" t="s">
        <v>2439</v>
      </c>
      <c r="S3888" s="1"/>
      <c r="T3888" s="1"/>
      <c r="U3888" s="1"/>
      <c r="V3888" s="1"/>
      <c r="W3888" s="1"/>
      <c r="X3888" s="1"/>
      <c r="Y3888" s="1"/>
      <c r="Z3888" s="102"/>
      <c r="AA3888" s="102"/>
      <c r="AB3888" s="1"/>
      <c r="AC3888" s="1"/>
      <c r="AD3888" s="1"/>
      <c r="AE3888" s="1"/>
      <c r="AF3888" s="1"/>
      <c r="AG3888" s="1"/>
    </row>
    <row r="3889" ht="15.75" customHeight="1">
      <c r="A3889" s="1"/>
      <c r="B3889" s="1"/>
      <c r="C3889" s="1"/>
      <c r="D3889" s="1"/>
      <c r="E3889" s="1"/>
      <c r="F3889" s="1"/>
      <c r="G3889" s="1"/>
      <c r="H3889" s="1"/>
      <c r="I3889" s="1"/>
      <c r="J3889" s="1"/>
      <c r="K3889" s="102" t="s">
        <v>6454</v>
      </c>
      <c r="L3889" s="102" t="str">
        <f>AC378</f>
        <v>J1a2a1a2d2b2b2c4d2a2a5a1b1a1c~</v>
      </c>
      <c r="M3889" s="102"/>
      <c r="N3889" s="102"/>
      <c r="O3889" s="105">
        <v>1.3679275E7</v>
      </c>
      <c r="P3889" s="105">
        <v>1.1523599E7</v>
      </c>
      <c r="Q3889" s="102" t="s">
        <v>2423</v>
      </c>
      <c r="S3889" s="1"/>
      <c r="T3889" s="1"/>
      <c r="U3889" s="1"/>
      <c r="V3889" s="1"/>
      <c r="W3889" s="1"/>
      <c r="X3889" s="1"/>
      <c r="Y3889" s="1"/>
      <c r="Z3889" s="102"/>
      <c r="AA3889" s="102"/>
      <c r="AB3889" s="1"/>
      <c r="AC3889" s="1"/>
      <c r="AD3889" s="1"/>
      <c r="AE3889" s="1"/>
      <c r="AF3889" s="1"/>
      <c r="AG3889" s="1"/>
    </row>
    <row r="3890" ht="15.75" customHeight="1">
      <c r="A3890" s="1"/>
      <c r="B3890" s="1"/>
      <c r="C3890" s="1"/>
      <c r="D3890" s="1"/>
      <c r="E3890" s="1"/>
      <c r="F3890" s="1"/>
      <c r="G3890" s="1"/>
      <c r="H3890" s="1"/>
      <c r="I3890" s="1"/>
      <c r="J3890" s="1"/>
      <c r="K3890" s="102" t="s">
        <v>6455</v>
      </c>
      <c r="L3890" s="102" t="str">
        <f>AC378</f>
        <v>J1a2a1a2d2b2b2c4d2a2a5a1b1a1c~</v>
      </c>
      <c r="M3890" s="102"/>
      <c r="N3890" s="102"/>
      <c r="O3890" s="105">
        <v>1.3799626E7</v>
      </c>
      <c r="P3890" s="105">
        <v>1.167892E7</v>
      </c>
      <c r="Q3890" s="102" t="s">
        <v>2468</v>
      </c>
      <c r="S3890" s="1"/>
      <c r="T3890" s="1"/>
      <c r="U3890" s="1"/>
      <c r="V3890" s="1"/>
      <c r="W3890" s="1"/>
      <c r="X3890" s="1"/>
      <c r="Y3890" s="1"/>
      <c r="Z3890" s="102"/>
      <c r="AA3890" s="102"/>
      <c r="AB3890" s="1"/>
      <c r="AC3890" s="1"/>
      <c r="AD3890" s="1"/>
      <c r="AE3890" s="1"/>
      <c r="AF3890" s="1"/>
      <c r="AG3890" s="1"/>
    </row>
    <row r="3891" ht="15.75" customHeight="1">
      <c r="A3891" s="1"/>
      <c r="B3891" s="1"/>
      <c r="C3891" s="1"/>
      <c r="D3891" s="1"/>
      <c r="E3891" s="1"/>
      <c r="F3891" s="1"/>
      <c r="G3891" s="1"/>
      <c r="H3891" s="1"/>
      <c r="I3891" s="1"/>
      <c r="J3891" s="1"/>
      <c r="K3891" s="102" t="s">
        <v>6456</v>
      </c>
      <c r="L3891" s="102" t="str">
        <f>AC378</f>
        <v>J1a2a1a2d2b2b2c4d2a2a5a1b1a1c~</v>
      </c>
      <c r="M3891" s="102"/>
      <c r="N3891" s="102"/>
      <c r="O3891" s="105">
        <v>1.4082506E7</v>
      </c>
      <c r="P3891" s="105">
        <v>1.19618E7</v>
      </c>
      <c r="Q3891" s="102" t="s">
        <v>2501</v>
      </c>
      <c r="S3891" s="1"/>
      <c r="T3891" s="1"/>
      <c r="U3891" s="1"/>
      <c r="V3891" s="1"/>
      <c r="W3891" s="1"/>
      <c r="X3891" s="1"/>
      <c r="Y3891" s="1"/>
      <c r="Z3891" s="102"/>
      <c r="AA3891" s="102"/>
      <c r="AB3891" s="1"/>
      <c r="AC3891" s="1"/>
      <c r="AD3891" s="1"/>
      <c r="AE3891" s="1"/>
      <c r="AF3891" s="1"/>
      <c r="AG3891" s="1"/>
    </row>
    <row r="3892" ht="15.75" customHeight="1">
      <c r="A3892" s="1"/>
      <c r="B3892" s="1"/>
      <c r="C3892" s="1"/>
      <c r="D3892" s="1"/>
      <c r="E3892" s="1"/>
      <c r="F3892" s="1"/>
      <c r="G3892" s="1"/>
      <c r="H3892" s="1"/>
      <c r="I3892" s="1"/>
      <c r="J3892" s="1"/>
      <c r="K3892" s="102" t="s">
        <v>6457</v>
      </c>
      <c r="L3892" s="102" t="str">
        <f t="shared" ref="L3892:L3893" si="57">AC378</f>
        <v>J1a2a1a2d2b2b2c4d2a2a5a1b1a1c~</v>
      </c>
      <c r="M3892" s="102"/>
      <c r="N3892" s="102"/>
      <c r="O3892" s="105">
        <v>2.34166E7</v>
      </c>
      <c r="P3892" s="105">
        <v>2.1254714E7</v>
      </c>
      <c r="Q3892" s="102" t="s">
        <v>2439</v>
      </c>
      <c r="S3892" s="1"/>
      <c r="T3892" s="1"/>
      <c r="U3892" s="1"/>
      <c r="V3892" s="1"/>
      <c r="W3892" s="1"/>
      <c r="X3892" s="1"/>
      <c r="Y3892" s="1"/>
      <c r="Z3892" s="102"/>
      <c r="AA3892" s="102"/>
      <c r="AB3892" s="1"/>
      <c r="AC3892" s="1"/>
      <c r="AD3892" s="1"/>
      <c r="AE3892" s="1"/>
      <c r="AF3892" s="1"/>
      <c r="AG3892" s="1"/>
    </row>
    <row r="3893" ht="15.75" customHeight="1">
      <c r="A3893" s="1"/>
      <c r="B3893" s="1"/>
      <c r="C3893" s="1"/>
      <c r="D3893" s="1"/>
      <c r="E3893" s="1"/>
      <c r="F3893" s="1"/>
      <c r="G3893" s="1"/>
      <c r="H3893" s="1"/>
      <c r="I3893" s="1"/>
      <c r="J3893" s="1"/>
      <c r="K3893" s="102" t="s">
        <v>727</v>
      </c>
      <c r="L3893" s="102" t="str">
        <f t="shared" si="57"/>
        <v>J1a2a1a2d2b2b2c4d2a2a5a1b1a1d~</v>
      </c>
      <c r="M3893" s="102"/>
      <c r="N3893" s="102"/>
      <c r="O3893" s="105">
        <v>2.1921493E7</v>
      </c>
      <c r="P3893" s="105">
        <v>1.9759607E7</v>
      </c>
      <c r="Q3893" s="102" t="s">
        <v>2529</v>
      </c>
      <c r="S3893" s="1"/>
      <c r="T3893" s="1"/>
      <c r="U3893" s="1"/>
      <c r="V3893" s="1"/>
      <c r="W3893" s="1"/>
      <c r="X3893" s="1"/>
      <c r="Y3893" s="1"/>
      <c r="Z3893" s="102"/>
      <c r="AA3893" s="102"/>
      <c r="AB3893" s="1"/>
      <c r="AC3893" s="1"/>
      <c r="AD3893" s="1"/>
      <c r="AE3893" s="1"/>
      <c r="AF3893" s="1"/>
      <c r="AG3893" s="1"/>
    </row>
    <row r="3894" ht="15.75" customHeight="1">
      <c r="A3894" s="1"/>
      <c r="B3894" s="1"/>
      <c r="C3894" s="1"/>
      <c r="D3894" s="1"/>
      <c r="E3894" s="1"/>
      <c r="F3894" s="1"/>
      <c r="G3894" s="1"/>
      <c r="H3894" s="1"/>
      <c r="I3894" s="1"/>
      <c r="J3894" s="1"/>
      <c r="K3894" s="102" t="s">
        <v>6458</v>
      </c>
      <c r="L3894" s="102" t="str">
        <f>AD380</f>
        <v>J1a2a1a2d2b2b2c4d2a2a5a1b1a1d1~</v>
      </c>
      <c r="M3894" s="102"/>
      <c r="N3894" s="102"/>
      <c r="O3894" s="105">
        <v>7038986.0</v>
      </c>
      <c r="P3894" s="105">
        <v>7170945.0</v>
      </c>
      <c r="Q3894" s="102" t="s">
        <v>2529</v>
      </c>
      <c r="S3894" s="1"/>
      <c r="T3894" s="1"/>
      <c r="U3894" s="1"/>
      <c r="V3894" s="1"/>
      <c r="W3894" s="1"/>
      <c r="X3894" s="1"/>
      <c r="Y3894" s="1"/>
      <c r="Z3894" s="102"/>
      <c r="AA3894" s="102"/>
      <c r="AB3894" s="1"/>
      <c r="AC3894" s="1"/>
      <c r="AD3894" s="1"/>
      <c r="AE3894" s="1"/>
      <c r="AF3894" s="1"/>
      <c r="AG3894" s="1"/>
    </row>
    <row r="3895" ht="15.75" customHeight="1">
      <c r="A3895" s="1"/>
      <c r="B3895" s="1"/>
      <c r="C3895" s="1"/>
      <c r="D3895" s="1"/>
      <c r="E3895" s="1"/>
      <c r="F3895" s="1"/>
      <c r="G3895" s="1"/>
      <c r="H3895" s="1"/>
      <c r="I3895" s="1"/>
      <c r="J3895" s="1"/>
      <c r="K3895" s="102" t="s">
        <v>6459</v>
      </c>
      <c r="L3895" s="102" t="str">
        <f>AD380</f>
        <v>J1a2a1a2d2b2b2c4d2a2a5a1b1a1d1~</v>
      </c>
      <c r="M3895" s="102"/>
      <c r="N3895" s="102"/>
      <c r="O3895" s="105">
        <v>1.699062E7</v>
      </c>
      <c r="P3895" s="105">
        <v>1.487874E7</v>
      </c>
      <c r="Q3895" s="102" t="s">
        <v>2439</v>
      </c>
      <c r="S3895" s="1"/>
      <c r="T3895" s="1"/>
      <c r="U3895" s="1"/>
      <c r="V3895" s="1"/>
      <c r="W3895" s="1"/>
      <c r="X3895" s="1"/>
      <c r="Y3895" s="1"/>
      <c r="Z3895" s="102"/>
      <c r="AA3895" s="102"/>
      <c r="AB3895" s="1"/>
      <c r="AC3895" s="1"/>
      <c r="AD3895" s="1"/>
      <c r="AE3895" s="1"/>
      <c r="AF3895" s="1"/>
      <c r="AG3895" s="1"/>
    </row>
    <row r="3896" ht="15.75" customHeight="1">
      <c r="A3896" s="1"/>
      <c r="B3896" s="1"/>
      <c r="C3896" s="1"/>
      <c r="D3896" s="1"/>
      <c r="E3896" s="1"/>
      <c r="F3896" s="1"/>
      <c r="G3896" s="1"/>
      <c r="H3896" s="1"/>
      <c r="I3896" s="1"/>
      <c r="J3896" s="1"/>
      <c r="K3896" s="102" t="s">
        <v>6460</v>
      </c>
      <c r="L3896" s="102" t="str">
        <f>AE381</f>
        <v>J1a2a1a2d2b2b2c4d2a2a5a1b1a1d1a~</v>
      </c>
      <c r="M3896" s="102" t="s">
        <v>6461</v>
      </c>
      <c r="N3896" s="102"/>
      <c r="O3896" s="105">
        <v>8598135.0</v>
      </c>
      <c r="P3896" s="105">
        <v>8730094.0</v>
      </c>
      <c r="Q3896" s="102" t="s">
        <v>2423</v>
      </c>
      <c r="S3896" s="1"/>
      <c r="T3896" s="1"/>
      <c r="U3896" s="1"/>
      <c r="V3896" s="1"/>
      <c r="W3896" s="1"/>
      <c r="X3896" s="1"/>
      <c r="Y3896" s="1"/>
      <c r="Z3896" s="102"/>
      <c r="AA3896" s="102"/>
      <c r="AB3896" s="1"/>
      <c r="AC3896" s="1"/>
      <c r="AD3896" s="1"/>
      <c r="AE3896" s="1"/>
      <c r="AF3896" s="1"/>
      <c r="AG3896" s="1"/>
    </row>
    <row r="3897" ht="15.75" customHeight="1">
      <c r="A3897" s="1"/>
      <c r="B3897" s="1"/>
      <c r="C3897" s="1"/>
      <c r="D3897" s="1"/>
      <c r="E3897" s="1"/>
      <c r="F3897" s="1"/>
      <c r="G3897" s="1"/>
      <c r="H3897" s="1"/>
      <c r="I3897" s="1"/>
      <c r="J3897" s="1"/>
      <c r="K3897" s="102" t="s">
        <v>6461</v>
      </c>
      <c r="L3897" s="102" t="str">
        <f>AE381</f>
        <v>J1a2a1a2d2b2b2c4d2a2a5a1b1a1d1a~</v>
      </c>
      <c r="M3897" s="102" t="s">
        <v>6460</v>
      </c>
      <c r="N3897" s="102"/>
      <c r="O3897" s="105">
        <v>8598135.0</v>
      </c>
      <c r="P3897" s="105">
        <v>8730094.0</v>
      </c>
      <c r="Q3897" s="102" t="s">
        <v>2423</v>
      </c>
      <c r="S3897" s="1"/>
      <c r="T3897" s="1"/>
      <c r="U3897" s="1"/>
      <c r="V3897" s="1"/>
      <c r="W3897" s="1"/>
      <c r="X3897" s="1"/>
      <c r="Y3897" s="1"/>
      <c r="Z3897" s="102"/>
      <c r="AA3897" s="102"/>
      <c r="AB3897" s="1"/>
      <c r="AC3897" s="1"/>
      <c r="AD3897" s="1"/>
      <c r="AE3897" s="1"/>
      <c r="AF3897" s="1"/>
      <c r="AG3897" s="1"/>
    </row>
    <row r="3898" ht="15.75" customHeight="1">
      <c r="A3898" s="1"/>
      <c r="B3898" s="1"/>
      <c r="C3898" s="1"/>
      <c r="D3898" s="1"/>
      <c r="E3898" s="1"/>
      <c r="F3898" s="1"/>
      <c r="G3898" s="1"/>
      <c r="H3898" s="1"/>
      <c r="I3898" s="1"/>
      <c r="J3898" s="1"/>
      <c r="K3898" s="102" t="s">
        <v>6459</v>
      </c>
      <c r="L3898" s="102" t="str">
        <f>AE381</f>
        <v>J1a2a1a2d2b2b2c4d2a2a5a1b1a1d1a~</v>
      </c>
      <c r="M3898" s="102"/>
      <c r="N3898" s="102"/>
      <c r="O3898" s="105">
        <v>1.699062E7</v>
      </c>
      <c r="P3898" s="105">
        <v>1.487874E7</v>
      </c>
      <c r="Q3898" s="102" t="s">
        <v>2439</v>
      </c>
      <c r="S3898" s="1"/>
      <c r="T3898" s="1"/>
      <c r="U3898" s="1"/>
      <c r="V3898" s="1"/>
      <c r="W3898" s="1"/>
      <c r="X3898" s="1"/>
      <c r="Y3898" s="1"/>
      <c r="Z3898" s="102"/>
      <c r="AA3898" s="102"/>
      <c r="AB3898" s="1"/>
      <c r="AC3898" s="1"/>
      <c r="AD3898" s="1"/>
      <c r="AE3898" s="1"/>
      <c r="AF3898" s="1"/>
      <c r="AG3898" s="1"/>
    </row>
    <row r="3899" ht="15.75" customHeight="1">
      <c r="A3899" s="1"/>
      <c r="B3899" s="1"/>
      <c r="C3899" s="1"/>
      <c r="D3899" s="1"/>
      <c r="E3899" s="1"/>
      <c r="F3899" s="1"/>
      <c r="G3899" s="1"/>
      <c r="H3899" s="1"/>
      <c r="I3899" s="1"/>
      <c r="J3899" s="1"/>
      <c r="K3899" s="102" t="s">
        <v>6462</v>
      </c>
      <c r="L3899" s="102" t="str">
        <f>AE381</f>
        <v>J1a2a1a2d2b2b2c4d2a2a5a1b1a1d1a~</v>
      </c>
      <c r="M3899" s="102" t="s">
        <v>6463</v>
      </c>
      <c r="N3899" s="102"/>
      <c r="O3899" s="105">
        <v>7989548.0</v>
      </c>
      <c r="P3899" s="105">
        <v>8121507.0</v>
      </c>
      <c r="Q3899" s="102" t="s">
        <v>2439</v>
      </c>
      <c r="S3899" s="1"/>
      <c r="T3899" s="1"/>
      <c r="U3899" s="1"/>
      <c r="V3899" s="1"/>
      <c r="W3899" s="1"/>
      <c r="X3899" s="1"/>
      <c r="Y3899" s="1"/>
      <c r="Z3899" s="102"/>
      <c r="AA3899" s="102"/>
      <c r="AB3899" s="1"/>
      <c r="AC3899" s="1"/>
      <c r="AD3899" s="1"/>
      <c r="AE3899" s="1"/>
      <c r="AF3899" s="1"/>
      <c r="AG3899" s="1"/>
    </row>
    <row r="3900" ht="15.75" customHeight="1">
      <c r="A3900" s="1"/>
      <c r="B3900" s="1"/>
      <c r="C3900" s="1"/>
      <c r="D3900" s="1"/>
      <c r="E3900" s="1"/>
      <c r="F3900" s="1"/>
      <c r="G3900" s="1"/>
      <c r="H3900" s="1"/>
      <c r="I3900" s="1"/>
      <c r="J3900" s="1"/>
      <c r="K3900" s="102" t="s">
        <v>6463</v>
      </c>
      <c r="L3900" s="102" t="str">
        <f>AE381</f>
        <v>J1a2a1a2d2b2b2c4d2a2a5a1b1a1d1a~</v>
      </c>
      <c r="M3900" s="102" t="s">
        <v>6462</v>
      </c>
      <c r="N3900" s="102"/>
      <c r="O3900" s="105">
        <v>7989548.0</v>
      </c>
      <c r="P3900" s="105">
        <v>8121507.0</v>
      </c>
      <c r="Q3900" s="102" t="s">
        <v>2439</v>
      </c>
      <c r="S3900" s="1"/>
      <c r="T3900" s="1"/>
      <c r="U3900" s="1"/>
      <c r="V3900" s="1"/>
      <c r="W3900" s="1"/>
      <c r="X3900" s="1"/>
      <c r="Y3900" s="1"/>
      <c r="Z3900" s="102"/>
      <c r="AA3900" s="102"/>
      <c r="AB3900" s="1"/>
      <c r="AC3900" s="1"/>
      <c r="AD3900" s="1"/>
      <c r="AE3900" s="1"/>
      <c r="AF3900" s="1"/>
      <c r="AG3900" s="1"/>
    </row>
    <row r="3901" ht="15.75" customHeight="1">
      <c r="A3901" s="1"/>
      <c r="B3901" s="1"/>
      <c r="C3901" s="1"/>
      <c r="D3901" s="1"/>
      <c r="E3901" s="1"/>
      <c r="F3901" s="1"/>
      <c r="G3901" s="1"/>
      <c r="H3901" s="1"/>
      <c r="I3901" s="1"/>
      <c r="J3901" s="1"/>
      <c r="K3901" s="102" t="s">
        <v>6464</v>
      </c>
      <c r="L3901" s="102" t="str">
        <f>AC382</f>
        <v>J1a2a1a2d2b2b2c4d2a2a5a1b1a1e~</v>
      </c>
      <c r="M3901" s="102"/>
      <c r="N3901" s="102"/>
      <c r="O3901" s="105">
        <v>8841584.0</v>
      </c>
      <c r="P3901" s="105">
        <v>8973543.0</v>
      </c>
      <c r="Q3901" s="102" t="s">
        <v>2446</v>
      </c>
      <c r="S3901" s="1"/>
      <c r="T3901" s="1"/>
      <c r="U3901" s="1"/>
      <c r="V3901" s="1"/>
      <c r="W3901" s="1"/>
      <c r="X3901" s="1"/>
      <c r="Y3901" s="1"/>
      <c r="Z3901" s="102"/>
      <c r="AA3901" s="102"/>
      <c r="AB3901" s="1"/>
      <c r="AC3901" s="1"/>
      <c r="AD3901" s="1"/>
      <c r="AE3901" s="1"/>
      <c r="AF3901" s="1"/>
      <c r="AG3901" s="1"/>
    </row>
    <row r="3902" ht="15.75" customHeight="1">
      <c r="A3902" s="1"/>
      <c r="B3902" s="1"/>
      <c r="C3902" s="1"/>
      <c r="D3902" s="1"/>
      <c r="E3902" s="1"/>
      <c r="F3902" s="1"/>
      <c r="G3902" s="1"/>
      <c r="H3902" s="1"/>
      <c r="I3902" s="1"/>
      <c r="J3902" s="1"/>
      <c r="K3902" s="102" t="s">
        <v>6465</v>
      </c>
      <c r="L3902" s="102" t="str">
        <f>AC382</f>
        <v>J1a2a1a2d2b2b2c4d2a2a5a1b1a1e~</v>
      </c>
      <c r="M3902" s="102"/>
      <c r="N3902" s="102"/>
      <c r="O3902" s="105">
        <v>1.5340843E7</v>
      </c>
      <c r="P3902" s="105">
        <v>1.3228962E7</v>
      </c>
      <c r="Q3902" s="102" t="s">
        <v>2432</v>
      </c>
      <c r="S3902" s="1"/>
      <c r="T3902" s="1"/>
      <c r="U3902" s="1"/>
      <c r="V3902" s="1"/>
      <c r="W3902" s="1"/>
      <c r="X3902" s="1"/>
      <c r="Y3902" s="1"/>
      <c r="Z3902" s="102"/>
      <c r="AA3902" s="102"/>
      <c r="AB3902" s="1"/>
      <c r="AC3902" s="1"/>
      <c r="AD3902" s="1"/>
      <c r="AE3902" s="1"/>
      <c r="AF3902" s="1"/>
      <c r="AG3902" s="1"/>
    </row>
    <row r="3903" ht="15.75" customHeight="1">
      <c r="A3903" s="1"/>
      <c r="B3903" s="1"/>
      <c r="C3903" s="1"/>
      <c r="D3903" s="1"/>
      <c r="E3903" s="1"/>
      <c r="F3903" s="1"/>
      <c r="G3903" s="1"/>
      <c r="H3903" s="1"/>
      <c r="I3903" s="1"/>
      <c r="J3903" s="1"/>
      <c r="K3903" s="102" t="s">
        <v>6466</v>
      </c>
      <c r="L3903" s="102" t="str">
        <f>AC382</f>
        <v>J1a2a1a2d2b2b2c4d2a2a5a1b1a1e~</v>
      </c>
      <c r="M3903" s="102"/>
      <c r="N3903" s="102"/>
      <c r="O3903" s="105">
        <v>2.360734E7</v>
      </c>
      <c r="P3903" s="105">
        <v>2.1445454E7</v>
      </c>
      <c r="Q3903" s="102" t="s">
        <v>2454</v>
      </c>
      <c r="S3903" s="1"/>
      <c r="T3903" s="1"/>
      <c r="U3903" s="1"/>
      <c r="V3903" s="1"/>
      <c r="W3903" s="1"/>
      <c r="X3903" s="1"/>
      <c r="Y3903" s="1"/>
      <c r="Z3903" s="102"/>
      <c r="AA3903" s="102"/>
      <c r="AB3903" s="1"/>
      <c r="AC3903" s="1"/>
      <c r="AD3903" s="1"/>
      <c r="AE3903" s="1"/>
      <c r="AF3903" s="1"/>
      <c r="AG3903" s="1"/>
    </row>
    <row r="3904" ht="15.75" customHeight="1">
      <c r="A3904" s="1"/>
      <c r="B3904" s="1"/>
      <c r="C3904" s="1"/>
      <c r="D3904" s="1"/>
      <c r="E3904" s="1"/>
      <c r="F3904" s="1"/>
      <c r="G3904" s="1"/>
      <c r="H3904" s="1"/>
      <c r="I3904" s="1"/>
      <c r="J3904" s="1"/>
      <c r="K3904" s="102" t="s">
        <v>735</v>
      </c>
      <c r="L3904" s="102" t="str">
        <f>AD383</f>
        <v>J1a2a1a2d2b2b2c4d2a2a5a1b1a1e1~</v>
      </c>
      <c r="M3904" s="102"/>
      <c r="N3904" s="102"/>
      <c r="O3904" s="105">
        <v>7161399.0</v>
      </c>
      <c r="P3904" s="105">
        <v>7293358.0</v>
      </c>
      <c r="Q3904" s="102" t="s">
        <v>2432</v>
      </c>
      <c r="S3904" s="1"/>
      <c r="T3904" s="1"/>
      <c r="U3904" s="1"/>
      <c r="V3904" s="1"/>
      <c r="W3904" s="1"/>
      <c r="X3904" s="1"/>
      <c r="Y3904" s="1"/>
      <c r="Z3904" s="102"/>
      <c r="AA3904" s="102"/>
      <c r="AB3904" s="1"/>
      <c r="AC3904" s="1"/>
      <c r="AD3904" s="1"/>
      <c r="AE3904" s="1"/>
      <c r="AF3904" s="1"/>
      <c r="AG3904" s="1"/>
    </row>
    <row r="3905" ht="15.75" customHeight="1">
      <c r="A3905" s="1"/>
      <c r="B3905" s="1"/>
      <c r="C3905" s="1"/>
      <c r="D3905" s="1"/>
      <c r="E3905" s="1"/>
      <c r="F3905" s="1"/>
      <c r="G3905" s="1"/>
      <c r="H3905" s="1"/>
      <c r="I3905" s="1"/>
      <c r="J3905" s="1"/>
      <c r="K3905" s="102" t="s">
        <v>6467</v>
      </c>
      <c r="L3905" s="102" t="str">
        <f>AE384</f>
        <v>J1a2a1a2d2b2b2c4d2a2a5a1b1a1e1a~</v>
      </c>
      <c r="M3905" s="102"/>
      <c r="N3905" s="102"/>
      <c r="O3905" s="105">
        <v>2.1730217E7</v>
      </c>
      <c r="P3905" s="105">
        <v>1.9568331E7</v>
      </c>
      <c r="Q3905" s="102" t="s">
        <v>2423</v>
      </c>
      <c r="S3905" s="1"/>
      <c r="T3905" s="1"/>
      <c r="U3905" s="1"/>
      <c r="V3905" s="1"/>
      <c r="W3905" s="1"/>
      <c r="X3905" s="1"/>
      <c r="Y3905" s="1"/>
      <c r="Z3905" s="102"/>
      <c r="AA3905" s="102"/>
      <c r="AB3905" s="1"/>
      <c r="AC3905" s="1"/>
      <c r="AD3905" s="1"/>
      <c r="AE3905" s="1"/>
      <c r="AF3905" s="1"/>
      <c r="AG3905" s="1"/>
    </row>
    <row r="3906" ht="15.75" customHeight="1">
      <c r="A3906" s="1"/>
      <c r="B3906" s="1"/>
      <c r="C3906" s="1"/>
      <c r="D3906" s="1"/>
      <c r="E3906" s="1"/>
      <c r="F3906" s="1"/>
      <c r="G3906" s="1"/>
      <c r="H3906" s="1"/>
      <c r="I3906" s="1"/>
      <c r="J3906" s="1"/>
      <c r="K3906" s="102" t="s">
        <v>6468</v>
      </c>
      <c r="L3906" s="102" t="str">
        <f>AE384</f>
        <v>J1a2a1a2d2b2b2c4d2a2a5a1b1a1e1a~</v>
      </c>
      <c r="M3906" s="102"/>
      <c r="N3906" s="102"/>
      <c r="O3906" s="105">
        <v>1.7010496E7</v>
      </c>
      <c r="P3906" s="105">
        <v>1.4898616E7</v>
      </c>
      <c r="Q3906" s="102" t="s">
        <v>2423</v>
      </c>
      <c r="S3906" s="1"/>
      <c r="T3906" s="1"/>
      <c r="U3906" s="1"/>
      <c r="V3906" s="1"/>
      <c r="W3906" s="1"/>
      <c r="X3906" s="1"/>
      <c r="Y3906" s="1"/>
      <c r="Z3906" s="102"/>
      <c r="AA3906" s="102"/>
      <c r="AB3906" s="1"/>
      <c r="AC3906" s="1"/>
      <c r="AD3906" s="1"/>
      <c r="AE3906" s="1"/>
      <c r="AF3906" s="1"/>
      <c r="AG3906" s="1"/>
    </row>
    <row r="3907" ht="15.75" customHeight="1">
      <c r="A3907" s="1"/>
      <c r="B3907" s="1"/>
      <c r="C3907" s="1"/>
      <c r="D3907" s="1"/>
      <c r="E3907" s="1"/>
      <c r="F3907" s="1"/>
      <c r="G3907" s="1"/>
      <c r="H3907" s="1"/>
      <c r="I3907" s="1"/>
      <c r="J3907" s="1"/>
      <c r="K3907" s="102" t="s">
        <v>6469</v>
      </c>
      <c r="L3907" s="102" t="str">
        <f>AC385</f>
        <v>J1a2a1a2d2b2b2c4d2a2a5a1b1a1f~</v>
      </c>
      <c r="M3907" s="102"/>
      <c r="N3907" s="102"/>
      <c r="O3907" s="105">
        <v>1.7750283E7</v>
      </c>
      <c r="P3907" s="105">
        <v>1.5638403E7</v>
      </c>
      <c r="Q3907" s="102" t="s">
        <v>2432</v>
      </c>
      <c r="S3907" s="1"/>
      <c r="T3907" s="1"/>
      <c r="U3907" s="1"/>
      <c r="V3907" s="1"/>
      <c r="W3907" s="1"/>
      <c r="X3907" s="1"/>
      <c r="Y3907" s="1"/>
      <c r="Z3907" s="102"/>
      <c r="AA3907" s="102"/>
      <c r="AB3907" s="1"/>
      <c r="AC3907" s="1"/>
      <c r="AD3907" s="1"/>
      <c r="AE3907" s="1"/>
      <c r="AF3907" s="1"/>
      <c r="AG3907" s="1"/>
    </row>
    <row r="3908" ht="15.75" customHeight="1">
      <c r="A3908" s="1"/>
      <c r="B3908" s="1"/>
      <c r="C3908" s="1"/>
      <c r="D3908" s="1"/>
      <c r="E3908" s="1"/>
      <c r="F3908" s="1"/>
      <c r="G3908" s="1"/>
      <c r="H3908" s="1"/>
      <c r="I3908" s="1"/>
      <c r="J3908" s="1"/>
      <c r="K3908" s="102" t="s">
        <v>6470</v>
      </c>
      <c r="L3908" s="102" t="str">
        <f>AC385</f>
        <v>J1a2a1a2d2b2b2c4d2a2a5a1b1a1f~</v>
      </c>
      <c r="M3908" s="102"/>
      <c r="N3908" s="102"/>
      <c r="O3908" s="105">
        <v>1.527635E7</v>
      </c>
      <c r="P3908" s="105">
        <v>1.3164439E7</v>
      </c>
      <c r="Q3908" s="102" t="s">
        <v>2533</v>
      </c>
      <c r="S3908" s="1"/>
      <c r="T3908" s="1"/>
      <c r="U3908" s="1"/>
      <c r="V3908" s="1"/>
      <c r="W3908" s="1"/>
      <c r="X3908" s="1"/>
      <c r="Y3908" s="1"/>
      <c r="Z3908" s="102"/>
      <c r="AA3908" s="102"/>
      <c r="AB3908" s="1"/>
      <c r="AC3908" s="1"/>
      <c r="AD3908" s="1"/>
      <c r="AE3908" s="1"/>
      <c r="AF3908" s="1"/>
      <c r="AG3908" s="1"/>
    </row>
    <row r="3909" ht="15.75" customHeight="1">
      <c r="A3909" s="1"/>
      <c r="B3909" s="1"/>
      <c r="C3909" s="1"/>
      <c r="D3909" s="1"/>
      <c r="E3909" s="1"/>
      <c r="F3909" s="1"/>
      <c r="G3909" s="1"/>
      <c r="H3909" s="1"/>
      <c r="I3909" s="1"/>
      <c r="J3909" s="1"/>
      <c r="K3909" s="102" t="s">
        <v>6471</v>
      </c>
      <c r="L3909" s="102" t="str">
        <f>AC385</f>
        <v>J1a2a1a2d2b2b2c4d2a2a5a1b1a1f~</v>
      </c>
      <c r="M3909" s="102"/>
      <c r="N3909" s="102"/>
      <c r="O3909" s="105">
        <v>2.365434E7</v>
      </c>
      <c r="P3909" s="105">
        <v>2.1492454E7</v>
      </c>
      <c r="Q3909" s="102" t="s">
        <v>2446</v>
      </c>
      <c r="S3909" s="1"/>
      <c r="T3909" s="1"/>
      <c r="U3909" s="1"/>
      <c r="V3909" s="1"/>
      <c r="W3909" s="1"/>
      <c r="X3909" s="1"/>
      <c r="Y3909" s="1"/>
      <c r="Z3909" s="102"/>
      <c r="AA3909" s="102"/>
      <c r="AB3909" s="1"/>
      <c r="AC3909" s="1"/>
      <c r="AD3909" s="1"/>
      <c r="AE3909" s="1"/>
      <c r="AF3909" s="1"/>
      <c r="AG3909" s="1"/>
    </row>
    <row r="3910" ht="15.75" customHeight="1">
      <c r="A3910" s="1"/>
      <c r="B3910" s="1"/>
      <c r="C3910" s="1"/>
      <c r="D3910" s="1"/>
      <c r="E3910" s="1"/>
      <c r="F3910" s="1"/>
      <c r="G3910" s="1"/>
      <c r="H3910" s="1"/>
      <c r="I3910" s="1"/>
      <c r="J3910" s="1"/>
      <c r="K3910" s="102" t="s">
        <v>6472</v>
      </c>
      <c r="L3910" s="102" t="str">
        <f>AD386</f>
        <v>J1a2a1a2d2b2b2c4d2a2a5a1b1a1f1~</v>
      </c>
      <c r="M3910" s="102" t="s">
        <v>6473</v>
      </c>
      <c r="N3910" s="102"/>
      <c r="O3910" s="105">
        <v>2.1174647E7</v>
      </c>
      <c r="P3910" s="105">
        <v>1.9012761E7</v>
      </c>
      <c r="Q3910" s="102" t="s">
        <v>2529</v>
      </c>
      <c r="S3910" s="1"/>
      <c r="T3910" s="1"/>
      <c r="U3910" s="1"/>
      <c r="V3910" s="1"/>
      <c r="W3910" s="1"/>
      <c r="X3910" s="1"/>
      <c r="Y3910" s="1"/>
      <c r="Z3910" s="102"/>
      <c r="AA3910" s="102"/>
      <c r="AB3910" s="1"/>
      <c r="AC3910" s="1"/>
      <c r="AD3910" s="1"/>
      <c r="AE3910" s="1"/>
      <c r="AF3910" s="1"/>
      <c r="AG3910" s="1"/>
    </row>
    <row r="3911" ht="15.75" customHeight="1">
      <c r="A3911" s="1"/>
      <c r="B3911" s="1"/>
      <c r="C3911" s="1"/>
      <c r="D3911" s="1"/>
      <c r="E3911" s="1"/>
      <c r="F3911" s="1"/>
      <c r="G3911" s="1"/>
      <c r="H3911" s="1"/>
      <c r="I3911" s="1"/>
      <c r="J3911" s="1"/>
      <c r="K3911" s="102" t="s">
        <v>6473</v>
      </c>
      <c r="L3911" s="102" t="str">
        <f>AD386</f>
        <v>J1a2a1a2d2b2b2c4d2a2a5a1b1a1f1~</v>
      </c>
      <c r="M3911" s="102" t="s">
        <v>6472</v>
      </c>
      <c r="N3911" s="102"/>
      <c r="O3911" s="105">
        <v>2.1174647E7</v>
      </c>
      <c r="P3911" s="105">
        <v>1.9012761E7</v>
      </c>
      <c r="Q3911" s="102" t="s">
        <v>2529</v>
      </c>
      <c r="S3911" s="1"/>
      <c r="T3911" s="1"/>
      <c r="U3911" s="1"/>
      <c r="V3911" s="1"/>
      <c r="W3911" s="1"/>
      <c r="X3911" s="1"/>
      <c r="Y3911" s="1"/>
      <c r="Z3911" s="102"/>
      <c r="AA3911" s="102"/>
      <c r="AB3911" s="1"/>
      <c r="AC3911" s="1"/>
      <c r="AD3911" s="1"/>
      <c r="AE3911" s="1"/>
      <c r="AF3911" s="1"/>
      <c r="AG3911" s="1"/>
    </row>
    <row r="3912" ht="15.75" customHeight="1">
      <c r="A3912" s="1"/>
      <c r="B3912" s="1"/>
      <c r="C3912" s="1"/>
      <c r="D3912" s="1"/>
      <c r="E3912" s="1"/>
      <c r="F3912" s="1"/>
      <c r="G3912" s="1"/>
      <c r="H3912" s="1"/>
      <c r="I3912" s="1"/>
      <c r="J3912" s="1"/>
      <c r="K3912" s="102" t="s">
        <v>6474</v>
      </c>
      <c r="L3912" s="102" t="str">
        <f t="shared" ref="L3912:L3913" si="58">AD386</f>
        <v>J1a2a1a2d2b2b2c4d2a2a5a1b1a1f1~</v>
      </c>
      <c r="M3912" s="102"/>
      <c r="N3912" s="102" t="s">
        <v>6475</v>
      </c>
      <c r="O3912" s="105">
        <v>7680764.0</v>
      </c>
      <c r="P3912" s="105">
        <v>7812723.0</v>
      </c>
      <c r="Q3912" s="102" t="s">
        <v>2501</v>
      </c>
      <c r="S3912" s="1"/>
      <c r="T3912" s="1"/>
      <c r="U3912" s="1"/>
      <c r="V3912" s="1"/>
      <c r="W3912" s="1"/>
      <c r="X3912" s="1"/>
      <c r="Y3912" s="1"/>
      <c r="Z3912" s="102"/>
      <c r="AA3912" s="102"/>
      <c r="AB3912" s="1"/>
      <c r="AC3912" s="1"/>
      <c r="AD3912" s="1"/>
      <c r="AE3912" s="1"/>
      <c r="AF3912" s="1"/>
      <c r="AG3912" s="1"/>
    </row>
    <row r="3913" ht="15.75" customHeight="1">
      <c r="A3913" s="1"/>
      <c r="B3913" s="1"/>
      <c r="C3913" s="1"/>
      <c r="D3913" s="1"/>
      <c r="E3913" s="1"/>
      <c r="F3913" s="1"/>
      <c r="G3913" s="1"/>
      <c r="H3913" s="1"/>
      <c r="I3913" s="1"/>
      <c r="J3913" s="1"/>
      <c r="K3913" s="102" t="s">
        <v>6476</v>
      </c>
      <c r="L3913" s="102" t="str">
        <f t="shared" si="58"/>
        <v>J1a2a1a2d2b2b2c4d2a2a5a1b1a1f2~</v>
      </c>
      <c r="M3913" s="102"/>
      <c r="N3913" s="102"/>
      <c r="O3913" s="105">
        <v>6853259.0</v>
      </c>
      <c r="P3913" s="105">
        <v>6985218.0</v>
      </c>
      <c r="Q3913" s="102" t="s">
        <v>2468</v>
      </c>
      <c r="S3913" s="1"/>
      <c r="T3913" s="1"/>
      <c r="U3913" s="1"/>
      <c r="V3913" s="1"/>
      <c r="W3913" s="1"/>
      <c r="X3913" s="1"/>
      <c r="Y3913" s="1"/>
      <c r="Z3913" s="102"/>
      <c r="AA3913" s="102"/>
      <c r="AB3913" s="1"/>
      <c r="AC3913" s="1"/>
      <c r="AD3913" s="1"/>
      <c r="AE3913" s="1"/>
      <c r="AF3913" s="1"/>
      <c r="AG3913" s="1"/>
    </row>
    <row r="3914" ht="15.75" customHeight="1">
      <c r="A3914" s="1"/>
      <c r="B3914" s="1"/>
      <c r="C3914" s="1"/>
      <c r="D3914" s="1"/>
      <c r="E3914" s="1"/>
      <c r="F3914" s="1"/>
      <c r="G3914" s="1"/>
      <c r="H3914" s="1"/>
      <c r="I3914" s="1"/>
      <c r="J3914" s="1"/>
      <c r="K3914" s="102" t="s">
        <v>6477</v>
      </c>
      <c r="L3914" s="102" t="str">
        <f>AD387</f>
        <v>J1a2a1a2d2b2b2c4d2a2a5a1b1a1f2~</v>
      </c>
      <c r="M3914" s="102"/>
      <c r="N3914" s="102"/>
      <c r="O3914" s="105">
        <v>1.4146243E7</v>
      </c>
      <c r="P3914" s="105">
        <v>1.2025537E7</v>
      </c>
      <c r="Q3914" s="102" t="s">
        <v>2468</v>
      </c>
      <c r="S3914" s="1"/>
      <c r="T3914" s="1"/>
      <c r="U3914" s="1"/>
      <c r="V3914" s="1"/>
      <c r="W3914" s="1"/>
      <c r="X3914" s="1"/>
      <c r="Y3914" s="1"/>
      <c r="Z3914" s="102"/>
      <c r="AA3914" s="102"/>
      <c r="AB3914" s="1"/>
      <c r="AC3914" s="1"/>
      <c r="AD3914" s="1"/>
      <c r="AE3914" s="1"/>
      <c r="AF3914" s="1"/>
      <c r="AG3914" s="1"/>
    </row>
    <row r="3915" ht="15.75" customHeight="1">
      <c r="A3915" s="1"/>
      <c r="B3915" s="1"/>
      <c r="C3915" s="1"/>
      <c r="D3915" s="1"/>
      <c r="E3915" s="1"/>
      <c r="F3915" s="1"/>
      <c r="G3915" s="1"/>
      <c r="H3915" s="1"/>
      <c r="I3915" s="1"/>
      <c r="J3915" s="1"/>
      <c r="K3915" s="102" t="s">
        <v>6478</v>
      </c>
      <c r="L3915" s="102" t="str">
        <f>AD387</f>
        <v>J1a2a1a2d2b2b2c4d2a2a5a1b1a1f2~</v>
      </c>
      <c r="M3915" s="102"/>
      <c r="N3915" s="102"/>
      <c r="O3915" s="105">
        <v>1.4859315E7</v>
      </c>
      <c r="P3915" s="105">
        <v>1.2747381E7</v>
      </c>
      <c r="Q3915" s="102" t="s">
        <v>2514</v>
      </c>
      <c r="S3915" s="1"/>
      <c r="T3915" s="1"/>
      <c r="U3915" s="1"/>
      <c r="V3915" s="1"/>
      <c r="W3915" s="1"/>
      <c r="X3915" s="1"/>
      <c r="Y3915" s="1"/>
      <c r="Z3915" s="102"/>
      <c r="AA3915" s="102"/>
      <c r="AB3915" s="1"/>
      <c r="AC3915" s="1"/>
      <c r="AD3915" s="1"/>
      <c r="AE3915" s="1"/>
      <c r="AF3915" s="1"/>
      <c r="AG3915" s="1"/>
    </row>
    <row r="3916" ht="15.75" customHeight="1">
      <c r="A3916" s="1"/>
      <c r="B3916" s="1"/>
      <c r="C3916" s="1"/>
      <c r="D3916" s="1"/>
      <c r="E3916" s="1"/>
      <c r="F3916" s="1"/>
      <c r="G3916" s="1"/>
      <c r="H3916" s="1"/>
      <c r="I3916" s="1"/>
      <c r="J3916" s="1"/>
      <c r="K3916" s="102" t="s">
        <v>6479</v>
      </c>
      <c r="L3916" s="102" t="str">
        <f>AD387</f>
        <v>J1a2a1a2d2b2b2c4d2a2a5a1b1a1f2~</v>
      </c>
      <c r="M3916" s="102"/>
      <c r="N3916" s="102"/>
      <c r="O3916" s="105">
        <v>1.5903935E7</v>
      </c>
      <c r="P3916" s="105">
        <v>1.3792055E7</v>
      </c>
      <c r="Q3916" s="102" t="s">
        <v>2432</v>
      </c>
      <c r="S3916" s="1"/>
      <c r="T3916" s="1"/>
      <c r="U3916" s="1"/>
      <c r="V3916" s="1"/>
      <c r="W3916" s="1"/>
      <c r="X3916" s="1"/>
      <c r="Y3916" s="1"/>
      <c r="Z3916" s="102"/>
      <c r="AA3916" s="102"/>
      <c r="AB3916" s="1"/>
      <c r="AC3916" s="1"/>
      <c r="AD3916" s="1"/>
      <c r="AE3916" s="1"/>
      <c r="AF3916" s="1"/>
      <c r="AG3916" s="1"/>
    </row>
    <row r="3917" ht="15.75" customHeight="1">
      <c r="A3917" s="1"/>
      <c r="B3917" s="1"/>
      <c r="C3917" s="1"/>
      <c r="D3917" s="1"/>
      <c r="E3917" s="1"/>
      <c r="F3917" s="1"/>
      <c r="G3917" s="1"/>
      <c r="H3917" s="1"/>
      <c r="I3917" s="1"/>
      <c r="J3917" s="1"/>
      <c r="K3917" s="102" t="s">
        <v>6480</v>
      </c>
      <c r="L3917" s="102" t="str">
        <f>AD387</f>
        <v>J1a2a1a2d2b2b2c4d2a2a5a1b1a1f2~</v>
      </c>
      <c r="M3917" s="102"/>
      <c r="N3917" s="102"/>
      <c r="O3917" s="105">
        <v>1.7844571E7</v>
      </c>
      <c r="P3917" s="105">
        <v>1.5732691E7</v>
      </c>
      <c r="Q3917" s="102" t="s">
        <v>2529</v>
      </c>
      <c r="S3917" s="1"/>
      <c r="T3917" s="1"/>
      <c r="U3917" s="1"/>
      <c r="V3917" s="1"/>
      <c r="W3917" s="1"/>
      <c r="X3917" s="1"/>
      <c r="Y3917" s="1"/>
      <c r="Z3917" s="102"/>
      <c r="AA3917" s="102"/>
      <c r="AB3917" s="1"/>
      <c r="AC3917" s="1"/>
      <c r="AD3917" s="1"/>
      <c r="AE3917" s="1"/>
      <c r="AF3917" s="1"/>
      <c r="AG3917" s="1"/>
    </row>
    <row r="3918" ht="15.75" customHeight="1">
      <c r="A3918" s="1"/>
      <c r="B3918" s="1"/>
      <c r="C3918" s="1"/>
      <c r="D3918" s="1"/>
      <c r="E3918" s="1"/>
      <c r="F3918" s="1"/>
      <c r="G3918" s="1"/>
      <c r="H3918" s="1"/>
      <c r="I3918" s="1"/>
      <c r="J3918" s="1"/>
      <c r="K3918" s="102" t="s">
        <v>6481</v>
      </c>
      <c r="L3918" s="102" t="str">
        <f>AD387</f>
        <v>J1a2a1a2d2b2b2c4d2a2a5a1b1a1f2~</v>
      </c>
      <c r="M3918" s="102"/>
      <c r="N3918" s="102"/>
      <c r="O3918" s="105">
        <v>1.9362633E7</v>
      </c>
      <c r="P3918" s="105">
        <v>1.7250753E7</v>
      </c>
      <c r="Q3918" s="102" t="s">
        <v>2468</v>
      </c>
      <c r="S3918" s="1"/>
      <c r="T3918" s="1"/>
      <c r="U3918" s="1"/>
      <c r="V3918" s="1"/>
      <c r="W3918" s="1"/>
      <c r="X3918" s="1"/>
      <c r="Y3918" s="1"/>
      <c r="Z3918" s="102"/>
      <c r="AA3918" s="102"/>
      <c r="AB3918" s="1"/>
      <c r="AC3918" s="1"/>
      <c r="AD3918" s="1"/>
      <c r="AE3918" s="1"/>
      <c r="AF3918" s="1"/>
      <c r="AG3918" s="1"/>
    </row>
    <row r="3919" ht="15.75" customHeight="1">
      <c r="A3919" s="1"/>
      <c r="B3919" s="1"/>
      <c r="C3919" s="1"/>
      <c r="D3919" s="1"/>
      <c r="E3919" s="1"/>
      <c r="F3919" s="1"/>
      <c r="G3919" s="1"/>
      <c r="H3919" s="1"/>
      <c r="I3919" s="1"/>
      <c r="J3919" s="1"/>
      <c r="K3919" s="102" t="s">
        <v>6482</v>
      </c>
      <c r="L3919" s="102" t="str">
        <f>AD387</f>
        <v>J1a2a1a2d2b2b2c4d2a2a5a1b1a1f2~</v>
      </c>
      <c r="M3919" s="102"/>
      <c r="N3919" s="102"/>
      <c r="O3919" s="105">
        <v>2.1902633E7</v>
      </c>
      <c r="P3919" s="105">
        <v>1.9740747E7</v>
      </c>
      <c r="Q3919" s="102" t="s">
        <v>2576</v>
      </c>
      <c r="S3919" s="1"/>
      <c r="T3919" s="1"/>
      <c r="U3919" s="1"/>
      <c r="V3919" s="1"/>
      <c r="W3919" s="1"/>
      <c r="X3919" s="1"/>
      <c r="Y3919" s="1"/>
      <c r="Z3919" s="102"/>
      <c r="AA3919" s="102"/>
      <c r="AB3919" s="1"/>
      <c r="AC3919" s="1"/>
      <c r="AD3919" s="1"/>
      <c r="AE3919" s="1"/>
      <c r="AF3919" s="1"/>
      <c r="AG3919" s="1"/>
    </row>
    <row r="3920" ht="15.75" customHeight="1">
      <c r="A3920" s="1"/>
      <c r="B3920" s="1"/>
      <c r="C3920" s="1"/>
      <c r="D3920" s="1"/>
      <c r="E3920" s="1"/>
      <c r="F3920" s="1"/>
      <c r="G3920" s="1"/>
      <c r="H3920" s="1"/>
      <c r="I3920" s="1"/>
      <c r="J3920" s="1"/>
      <c r="K3920" s="102" t="s">
        <v>6483</v>
      </c>
      <c r="L3920" s="102" t="str">
        <f>AD387</f>
        <v>J1a2a1a2d2b2b2c4d2a2a5a1b1a1f2~</v>
      </c>
      <c r="M3920" s="102"/>
      <c r="N3920" s="102"/>
      <c r="O3920" s="105">
        <v>2.2143274E7</v>
      </c>
      <c r="P3920" s="105">
        <v>1.9981388E7</v>
      </c>
      <c r="Q3920" s="102" t="s">
        <v>2563</v>
      </c>
      <c r="S3920" s="1"/>
      <c r="T3920" s="1"/>
      <c r="U3920" s="1"/>
      <c r="V3920" s="1"/>
      <c r="W3920" s="1"/>
      <c r="X3920" s="1"/>
      <c r="Y3920" s="1"/>
      <c r="Z3920" s="102"/>
      <c r="AA3920" s="102"/>
      <c r="AB3920" s="1"/>
      <c r="AC3920" s="1"/>
      <c r="AD3920" s="1"/>
      <c r="AE3920" s="1"/>
      <c r="AF3920" s="1"/>
      <c r="AG3920" s="1"/>
    </row>
    <row r="3921" ht="15.75" customHeight="1">
      <c r="A3921" s="1"/>
      <c r="B3921" s="1"/>
      <c r="C3921" s="1"/>
      <c r="D3921" s="1"/>
      <c r="E3921" s="1"/>
      <c r="F3921" s="1"/>
      <c r="G3921" s="1"/>
      <c r="H3921" s="1"/>
      <c r="I3921" s="1"/>
      <c r="J3921" s="1"/>
      <c r="K3921" s="102" t="s">
        <v>745</v>
      </c>
      <c r="L3921" s="102" t="str">
        <f>AC388</f>
        <v>J1a2a1a2d2b2b2c4d2a2a5a1b1a1g~</v>
      </c>
      <c r="M3921" s="102"/>
      <c r="N3921" s="102"/>
      <c r="O3921" s="105">
        <v>8809093.0</v>
      </c>
      <c r="P3921" s="105">
        <v>8941052.0</v>
      </c>
      <c r="Q3921" s="102" t="s">
        <v>2432</v>
      </c>
      <c r="S3921" s="1"/>
      <c r="T3921" s="1"/>
      <c r="U3921" s="1"/>
      <c r="V3921" s="1"/>
      <c r="W3921" s="1"/>
      <c r="X3921" s="1"/>
      <c r="Y3921" s="1"/>
      <c r="Z3921" s="102"/>
      <c r="AA3921" s="102"/>
      <c r="AB3921" s="1"/>
      <c r="AC3921" s="1"/>
      <c r="AD3921" s="1"/>
      <c r="AE3921" s="1"/>
      <c r="AF3921" s="1"/>
      <c r="AG3921" s="1"/>
    </row>
    <row r="3922" ht="15.75" customHeight="1">
      <c r="A3922" s="1"/>
      <c r="B3922" s="1"/>
      <c r="C3922" s="1"/>
      <c r="D3922" s="1"/>
      <c r="E3922" s="1"/>
      <c r="F3922" s="1"/>
      <c r="G3922" s="1"/>
      <c r="H3922" s="1"/>
      <c r="I3922" s="1"/>
      <c r="J3922" s="1"/>
      <c r="K3922" s="102" t="s">
        <v>6484</v>
      </c>
      <c r="L3922" s="102" t="str">
        <f>AD389</f>
        <v>J1a2a1a2d2b2b2c4d2a2a5a1b1a1g1~</v>
      </c>
      <c r="M3922" s="102" t="s">
        <v>6485</v>
      </c>
      <c r="N3922" s="102"/>
      <c r="O3922" s="105">
        <v>1.7741955E7</v>
      </c>
      <c r="P3922" s="105">
        <v>1.5630075E7</v>
      </c>
      <c r="Q3922" s="102" t="s">
        <v>2468</v>
      </c>
      <c r="S3922" s="1"/>
      <c r="T3922" s="1"/>
      <c r="U3922" s="1"/>
      <c r="V3922" s="1"/>
      <c r="W3922" s="1"/>
      <c r="X3922" s="1"/>
      <c r="Y3922" s="1"/>
      <c r="Z3922" s="102"/>
      <c r="AA3922" s="102"/>
      <c r="AB3922" s="1"/>
      <c r="AC3922" s="1"/>
      <c r="AD3922" s="1"/>
      <c r="AE3922" s="1"/>
      <c r="AF3922" s="1"/>
      <c r="AG3922" s="1"/>
    </row>
    <row r="3923" ht="15.75" customHeight="1">
      <c r="A3923" s="1"/>
      <c r="B3923" s="1"/>
      <c r="C3923" s="1"/>
      <c r="D3923" s="1"/>
      <c r="E3923" s="1"/>
      <c r="F3923" s="1"/>
      <c r="G3923" s="1"/>
      <c r="H3923" s="1"/>
      <c r="I3923" s="1"/>
      <c r="J3923" s="1"/>
      <c r="K3923" s="102" t="s">
        <v>6485</v>
      </c>
      <c r="L3923" s="102" t="str">
        <f t="shared" ref="L3923:L3924" si="59">AD389</f>
        <v>J1a2a1a2d2b2b2c4d2a2a5a1b1a1g1~</v>
      </c>
      <c r="M3923" s="102" t="s">
        <v>6484</v>
      </c>
      <c r="N3923" s="102"/>
      <c r="O3923" s="105">
        <v>1.7741955E7</v>
      </c>
      <c r="P3923" s="105">
        <v>1.5630075E7</v>
      </c>
      <c r="Q3923" s="102" t="s">
        <v>2468</v>
      </c>
      <c r="S3923" s="1"/>
      <c r="T3923" s="1"/>
      <c r="U3923" s="1"/>
      <c r="V3923" s="1"/>
      <c r="W3923" s="1"/>
      <c r="X3923" s="1"/>
      <c r="Y3923" s="1"/>
      <c r="Z3923" s="102"/>
      <c r="AA3923" s="102"/>
      <c r="AB3923" s="1"/>
      <c r="AC3923" s="1"/>
      <c r="AD3923" s="1"/>
      <c r="AE3923" s="1"/>
      <c r="AF3923" s="1"/>
      <c r="AG3923" s="1"/>
    </row>
    <row r="3924" ht="15.75" customHeight="1">
      <c r="A3924" s="1"/>
      <c r="B3924" s="1"/>
      <c r="C3924" s="1"/>
      <c r="D3924" s="1"/>
      <c r="E3924" s="1"/>
      <c r="F3924" s="1"/>
      <c r="G3924" s="1"/>
      <c r="H3924" s="1"/>
      <c r="I3924" s="1"/>
      <c r="J3924" s="1"/>
      <c r="K3924" s="102" t="s">
        <v>6486</v>
      </c>
      <c r="L3924" s="102" t="str">
        <f t="shared" si="59"/>
        <v>J1a2a1a2d2b2b2c4d2a2a5a1b1a1g2~</v>
      </c>
      <c r="M3924" s="102"/>
      <c r="N3924" s="102"/>
      <c r="O3924" s="105">
        <v>7959203.0</v>
      </c>
      <c r="P3924" s="105">
        <v>8091162.0</v>
      </c>
      <c r="Q3924" s="102" t="s">
        <v>2446</v>
      </c>
      <c r="S3924" s="1"/>
      <c r="T3924" s="1"/>
      <c r="U3924" s="1"/>
      <c r="V3924" s="1"/>
      <c r="W3924" s="1"/>
      <c r="X3924" s="1"/>
      <c r="Y3924" s="1"/>
      <c r="Z3924" s="102"/>
      <c r="AA3924" s="102"/>
      <c r="AB3924" s="1"/>
      <c r="AC3924" s="1"/>
      <c r="AD3924" s="1"/>
      <c r="AE3924" s="1"/>
      <c r="AF3924" s="1"/>
      <c r="AG3924" s="1"/>
    </row>
    <row r="3925" ht="15.75" customHeight="1">
      <c r="A3925" s="1"/>
      <c r="B3925" s="1"/>
      <c r="C3925" s="1"/>
      <c r="D3925" s="1"/>
      <c r="E3925" s="1"/>
      <c r="F3925" s="1"/>
      <c r="G3925" s="1"/>
      <c r="H3925" s="1"/>
      <c r="I3925" s="1"/>
      <c r="J3925" s="1"/>
      <c r="K3925" s="102" t="s">
        <v>6487</v>
      </c>
      <c r="L3925" s="102" t="str">
        <f>AD390</f>
        <v>J1a2a1a2d2b2b2c4d2a2a5a1b1a1g2~</v>
      </c>
      <c r="M3925" s="102"/>
      <c r="N3925" s="102"/>
      <c r="O3925" s="105">
        <v>1.8686902E7</v>
      </c>
      <c r="P3925" s="105">
        <v>1.6575022E7</v>
      </c>
      <c r="Q3925" s="102" t="s">
        <v>2439</v>
      </c>
      <c r="S3925" s="1"/>
      <c r="T3925" s="1"/>
      <c r="U3925" s="1"/>
      <c r="V3925" s="1"/>
      <c r="W3925" s="1"/>
      <c r="X3925" s="1"/>
      <c r="Y3925" s="1"/>
      <c r="Z3925" s="102"/>
      <c r="AA3925" s="102"/>
      <c r="AB3925" s="1"/>
      <c r="AC3925" s="1"/>
      <c r="AD3925" s="1"/>
      <c r="AE3925" s="1"/>
      <c r="AF3925" s="1"/>
      <c r="AG3925" s="1"/>
    </row>
    <row r="3926" ht="15.75" customHeight="1">
      <c r="A3926" s="1"/>
      <c r="B3926" s="1"/>
      <c r="C3926" s="1"/>
      <c r="D3926" s="1"/>
      <c r="E3926" s="1"/>
      <c r="F3926" s="1"/>
      <c r="G3926" s="1"/>
      <c r="H3926" s="1"/>
      <c r="I3926" s="1"/>
      <c r="J3926" s="1"/>
      <c r="K3926" s="102" t="s">
        <v>6488</v>
      </c>
      <c r="L3926" s="102" t="str">
        <f>AC391</f>
        <v>J1a2a1a2d2b2b2c4d2a2a5a1b1a1h~</v>
      </c>
      <c r="M3926" s="102"/>
      <c r="N3926" s="102" t="s">
        <v>6489</v>
      </c>
      <c r="O3926" s="105">
        <v>2.1064429E7</v>
      </c>
      <c r="P3926" s="105">
        <v>1.8902543E7</v>
      </c>
      <c r="Q3926" s="102" t="s">
        <v>2439</v>
      </c>
      <c r="S3926" s="1"/>
      <c r="T3926" s="1"/>
      <c r="U3926" s="1"/>
      <c r="V3926" s="1"/>
      <c r="W3926" s="1"/>
      <c r="X3926" s="1"/>
      <c r="Y3926" s="1"/>
      <c r="Z3926" s="102"/>
      <c r="AA3926" s="102"/>
      <c r="AB3926" s="1"/>
      <c r="AC3926" s="1"/>
      <c r="AD3926" s="1"/>
      <c r="AE3926" s="1"/>
      <c r="AF3926" s="1"/>
      <c r="AG3926" s="1"/>
    </row>
    <row r="3927" ht="15.75" customHeight="1">
      <c r="A3927" s="1"/>
      <c r="B3927" s="1"/>
      <c r="C3927" s="1"/>
      <c r="D3927" s="1"/>
      <c r="E3927" s="1"/>
      <c r="F3927" s="1"/>
      <c r="G3927" s="1"/>
      <c r="H3927" s="1"/>
      <c r="I3927" s="1"/>
      <c r="J3927" s="1"/>
      <c r="K3927" s="102" t="s">
        <v>6490</v>
      </c>
      <c r="L3927" s="102" t="str">
        <f>AC391</f>
        <v>J1a2a1a2d2b2b2c4d2a2a5a1b1a1h~</v>
      </c>
      <c r="M3927" s="102"/>
      <c r="N3927" s="102" t="s">
        <v>6491</v>
      </c>
      <c r="O3927" s="105">
        <v>2.1694222E7</v>
      </c>
      <c r="P3927" s="105">
        <v>1.9532336E7</v>
      </c>
      <c r="Q3927" s="102" t="s">
        <v>2439</v>
      </c>
      <c r="S3927" s="1"/>
      <c r="T3927" s="1"/>
      <c r="U3927" s="1"/>
      <c r="V3927" s="1"/>
      <c r="W3927" s="1"/>
      <c r="X3927" s="1"/>
      <c r="Y3927" s="1"/>
      <c r="Z3927" s="102"/>
      <c r="AA3927" s="102"/>
      <c r="AB3927" s="1"/>
      <c r="AC3927" s="1"/>
      <c r="AD3927" s="1"/>
      <c r="AE3927" s="1"/>
      <c r="AF3927" s="1"/>
      <c r="AG3927" s="1"/>
    </row>
    <row r="3928" ht="15.75" customHeight="1">
      <c r="A3928" s="1"/>
      <c r="B3928" s="1"/>
      <c r="C3928" s="1"/>
      <c r="D3928" s="1"/>
      <c r="E3928" s="1"/>
      <c r="F3928" s="1"/>
      <c r="G3928" s="1"/>
      <c r="H3928" s="1"/>
      <c r="I3928" s="1"/>
      <c r="J3928" s="1"/>
      <c r="K3928" s="102" t="s">
        <v>753</v>
      </c>
      <c r="L3928" s="102" t="str">
        <f>AD392</f>
        <v>J1a2a1a2d2b2b2c4d2a2a5a1b1a1h1~</v>
      </c>
      <c r="M3928" s="102"/>
      <c r="N3928" s="102"/>
      <c r="O3928" s="105">
        <v>1.6897026E7</v>
      </c>
      <c r="P3928" s="105">
        <v>1.4785146E7</v>
      </c>
      <c r="Q3928" s="102" t="s">
        <v>2432</v>
      </c>
      <c r="S3928" s="1"/>
      <c r="T3928" s="1"/>
      <c r="U3928" s="1"/>
      <c r="V3928" s="1"/>
      <c r="W3928" s="1"/>
      <c r="X3928" s="1"/>
      <c r="Y3928" s="1"/>
      <c r="Z3928" s="102"/>
      <c r="AA3928" s="102"/>
      <c r="AB3928" s="1"/>
      <c r="AC3928" s="1"/>
      <c r="AD3928" s="1"/>
      <c r="AE3928" s="1"/>
      <c r="AF3928" s="1"/>
      <c r="AG3928" s="1"/>
    </row>
    <row r="3929" ht="15.75" customHeight="1">
      <c r="A3929" s="1"/>
      <c r="B3929" s="1"/>
      <c r="C3929" s="1"/>
      <c r="D3929" s="1"/>
      <c r="E3929" s="1"/>
      <c r="F3929" s="1"/>
      <c r="G3929" s="1"/>
      <c r="H3929" s="1"/>
      <c r="I3929" s="1"/>
      <c r="J3929" s="1"/>
      <c r="K3929" s="102" t="s">
        <v>755</v>
      </c>
      <c r="L3929" s="102" t="str">
        <f>AE393</f>
        <v>J1a2a1a2d2b2b2c4d2a2a5a1b1a1h1a~</v>
      </c>
      <c r="M3929" s="102"/>
      <c r="N3929" s="102"/>
      <c r="O3929" s="105">
        <v>9865700.0</v>
      </c>
      <c r="P3929" s="105">
        <v>1.0028091E7</v>
      </c>
      <c r="Q3929" s="102" t="s">
        <v>2439</v>
      </c>
      <c r="S3929" s="1"/>
      <c r="T3929" s="1"/>
      <c r="U3929" s="1"/>
      <c r="V3929" s="1"/>
      <c r="W3929" s="1"/>
      <c r="X3929" s="1"/>
      <c r="Y3929" s="1"/>
      <c r="Z3929" s="102"/>
      <c r="AA3929" s="102"/>
      <c r="AB3929" s="1"/>
      <c r="AC3929" s="1"/>
      <c r="AD3929" s="1"/>
      <c r="AE3929" s="1"/>
      <c r="AF3929" s="1"/>
      <c r="AG3929" s="1"/>
    </row>
    <row r="3930" ht="15.75" customHeight="1">
      <c r="A3930" s="1"/>
      <c r="B3930" s="1"/>
      <c r="C3930" s="1"/>
      <c r="D3930" s="1"/>
      <c r="E3930" s="1"/>
      <c r="F3930" s="1"/>
      <c r="G3930" s="1"/>
      <c r="H3930" s="1"/>
      <c r="I3930" s="1"/>
      <c r="J3930" s="1"/>
      <c r="K3930" s="102" t="s">
        <v>6492</v>
      </c>
      <c r="L3930" s="102" t="str">
        <f>AF394</f>
        <v>J1a2a1a2d2b2b2c4d2a2a5a1b1a1h1a1~</v>
      </c>
      <c r="M3930" s="102"/>
      <c r="N3930" s="102"/>
      <c r="O3930" s="102">
        <v>8976688.0</v>
      </c>
      <c r="P3930" s="102">
        <v>9139079.0</v>
      </c>
      <c r="Q3930" s="102" t="s">
        <v>2468</v>
      </c>
      <c r="S3930" s="1"/>
      <c r="T3930" s="1"/>
      <c r="U3930" s="1"/>
      <c r="V3930" s="1"/>
      <c r="W3930" s="1"/>
      <c r="X3930" s="1"/>
      <c r="Y3930" s="1"/>
      <c r="Z3930" s="102">
        <v>8976688.0</v>
      </c>
      <c r="AA3930" s="102"/>
      <c r="AB3930" s="1"/>
      <c r="AC3930" s="1"/>
      <c r="AD3930" s="1"/>
      <c r="AE3930" s="1"/>
      <c r="AF3930" s="1"/>
      <c r="AG3930" s="1"/>
    </row>
    <row r="3931" ht="15.75" customHeight="1">
      <c r="A3931" s="1"/>
      <c r="B3931" s="1"/>
      <c r="C3931" s="1"/>
      <c r="D3931" s="1"/>
      <c r="E3931" s="1"/>
      <c r="F3931" s="1"/>
      <c r="G3931" s="1"/>
      <c r="H3931" s="1"/>
      <c r="I3931" s="1"/>
      <c r="J3931" s="1"/>
      <c r="K3931" s="102" t="s">
        <v>6493</v>
      </c>
      <c r="L3931" s="102" t="str">
        <f>AF394</f>
        <v>J1a2a1a2d2b2b2c4d2a2a5a1b1a1h1a1~</v>
      </c>
      <c r="M3931" s="102"/>
      <c r="N3931" s="102"/>
      <c r="O3931" s="105">
        <v>7089334.0</v>
      </c>
      <c r="P3931" s="105">
        <v>7221293.0</v>
      </c>
      <c r="Q3931" s="102" t="s">
        <v>2576</v>
      </c>
      <c r="S3931" s="1"/>
      <c r="T3931" s="1"/>
      <c r="U3931" s="1"/>
      <c r="V3931" s="1"/>
      <c r="W3931" s="1"/>
      <c r="X3931" s="1"/>
      <c r="Y3931" s="1"/>
      <c r="Z3931" s="102"/>
      <c r="AA3931" s="102"/>
      <c r="AB3931" s="1"/>
      <c r="AC3931" s="1"/>
      <c r="AD3931" s="1"/>
      <c r="AE3931" s="1"/>
      <c r="AF3931" s="1"/>
      <c r="AG3931" s="1"/>
    </row>
    <row r="3932" ht="15.75" customHeight="1">
      <c r="A3932" s="1"/>
      <c r="B3932" s="1"/>
      <c r="C3932" s="1"/>
      <c r="D3932" s="1"/>
      <c r="E3932" s="1"/>
      <c r="F3932" s="1"/>
      <c r="G3932" s="1"/>
      <c r="H3932" s="1"/>
      <c r="I3932" s="1"/>
      <c r="J3932" s="1"/>
      <c r="K3932" s="102" t="s">
        <v>6494</v>
      </c>
      <c r="L3932" s="102" t="str">
        <f>AF394</f>
        <v>J1a2a1a2d2b2b2c4d2a2a5a1b1a1h1a1~</v>
      </c>
      <c r="M3932" s="102"/>
      <c r="N3932" s="102"/>
      <c r="O3932" s="105">
        <v>1.641698E7</v>
      </c>
      <c r="P3932" s="105">
        <v>1.43051E7</v>
      </c>
      <c r="Q3932" s="102" t="s">
        <v>2468</v>
      </c>
      <c r="S3932" s="1"/>
      <c r="T3932" s="1"/>
      <c r="U3932" s="1"/>
      <c r="V3932" s="1"/>
      <c r="W3932" s="1"/>
      <c r="X3932" s="1"/>
      <c r="Y3932" s="1"/>
      <c r="Z3932" s="102"/>
      <c r="AA3932" s="102"/>
      <c r="AB3932" s="1"/>
      <c r="AC3932" s="1"/>
      <c r="AD3932" s="1"/>
      <c r="AE3932" s="1"/>
      <c r="AF3932" s="1"/>
      <c r="AG3932" s="1"/>
    </row>
    <row r="3933" ht="15.75" customHeight="1">
      <c r="A3933" s="1"/>
      <c r="B3933" s="1"/>
      <c r="C3933" s="1"/>
      <c r="D3933" s="1"/>
      <c r="E3933" s="1"/>
      <c r="F3933" s="1"/>
      <c r="G3933" s="1"/>
      <c r="H3933" s="1"/>
      <c r="I3933" s="1"/>
      <c r="J3933" s="1"/>
      <c r="K3933" s="102" t="s">
        <v>759</v>
      </c>
      <c r="L3933" s="102" t="str">
        <f>AG395</f>
        <v>J1a2a1a2d2b2b2c4d2a2a5a1b1a1h1a1a~</v>
      </c>
      <c r="M3933" s="102"/>
      <c r="N3933" s="102"/>
      <c r="O3933" s="105">
        <v>2760860.0</v>
      </c>
      <c r="P3933" s="105">
        <v>2892819.0</v>
      </c>
      <c r="Q3933" s="102" t="s">
        <v>2439</v>
      </c>
      <c r="S3933" s="1"/>
      <c r="T3933" s="1"/>
      <c r="U3933" s="1"/>
      <c r="V3933" s="1"/>
      <c r="W3933" s="1"/>
      <c r="X3933" s="1"/>
      <c r="Y3933" s="1"/>
      <c r="Z3933" s="102"/>
      <c r="AA3933" s="102"/>
      <c r="AB3933" s="1"/>
      <c r="AC3933" s="1"/>
      <c r="AD3933" s="1"/>
      <c r="AE3933" s="1"/>
      <c r="AF3933" s="1"/>
      <c r="AG3933" s="1"/>
    </row>
    <row r="3934" ht="15.75" customHeight="1">
      <c r="A3934" s="1"/>
      <c r="B3934" s="1"/>
      <c r="C3934" s="1"/>
      <c r="D3934" s="1"/>
      <c r="E3934" s="1"/>
      <c r="F3934" s="1"/>
      <c r="G3934" s="1"/>
      <c r="H3934" s="1"/>
      <c r="I3934" s="1"/>
      <c r="J3934" s="1"/>
      <c r="K3934" s="102" t="s">
        <v>6495</v>
      </c>
      <c r="L3934" s="102" t="str">
        <f>AH396</f>
        <v>J1a2a1a2d2b2b2c4d2a2a5a1b1a1h1a1a1~</v>
      </c>
      <c r="M3934" s="102"/>
      <c r="N3934" s="102"/>
      <c r="O3934" s="105">
        <v>2686067.0</v>
      </c>
      <c r="P3934" s="105">
        <v>2818026.0</v>
      </c>
      <c r="Q3934" s="102" t="s">
        <v>2439</v>
      </c>
      <c r="S3934" s="1"/>
      <c r="T3934" s="1"/>
      <c r="U3934" s="1"/>
      <c r="V3934" s="1"/>
      <c r="W3934" s="1"/>
      <c r="X3934" s="1"/>
      <c r="Y3934" s="1"/>
      <c r="Z3934" s="102"/>
      <c r="AA3934" s="102"/>
      <c r="AB3934" s="1"/>
      <c r="AC3934" s="1"/>
      <c r="AD3934" s="1"/>
      <c r="AE3934" s="1"/>
      <c r="AF3934" s="1"/>
      <c r="AG3934" s="1"/>
    </row>
    <row r="3935" ht="15.75" customHeight="1">
      <c r="A3935" s="1"/>
      <c r="B3935" s="1"/>
      <c r="C3935" s="1"/>
      <c r="D3935" s="1"/>
      <c r="E3935" s="1"/>
      <c r="F3935" s="1"/>
      <c r="G3935" s="1"/>
      <c r="H3935" s="1"/>
      <c r="I3935" s="1"/>
      <c r="J3935" s="1"/>
      <c r="K3935" s="102" t="s">
        <v>6496</v>
      </c>
      <c r="L3935" s="102" t="str">
        <f>AH396</f>
        <v>J1a2a1a2d2b2b2c4d2a2a5a1b1a1h1a1a1~</v>
      </c>
      <c r="M3935" s="102"/>
      <c r="N3935" s="102"/>
      <c r="O3935" s="105">
        <v>8722183.0</v>
      </c>
      <c r="P3935" s="105">
        <v>8854142.0</v>
      </c>
      <c r="Q3935" s="102" t="s">
        <v>2439</v>
      </c>
      <c r="S3935" s="1"/>
      <c r="T3935" s="1"/>
      <c r="U3935" s="1"/>
      <c r="V3935" s="1"/>
      <c r="W3935" s="1"/>
      <c r="X3935" s="1"/>
      <c r="Y3935" s="1"/>
      <c r="Z3935" s="102"/>
      <c r="AA3935" s="102"/>
      <c r="AB3935" s="1"/>
      <c r="AC3935" s="1"/>
      <c r="AD3935" s="1"/>
      <c r="AE3935" s="1"/>
      <c r="AF3935" s="1"/>
      <c r="AG3935" s="1"/>
    </row>
    <row r="3936" ht="15.75" customHeight="1">
      <c r="A3936" s="1"/>
      <c r="B3936" s="1"/>
      <c r="C3936" s="1"/>
      <c r="D3936" s="1"/>
      <c r="E3936" s="1"/>
      <c r="F3936" s="1"/>
      <c r="G3936" s="1"/>
      <c r="H3936" s="1"/>
      <c r="I3936" s="1"/>
      <c r="J3936" s="1"/>
      <c r="K3936" s="102" t="s">
        <v>6497</v>
      </c>
      <c r="L3936" s="102" t="str">
        <f>AH396</f>
        <v>J1a2a1a2d2b2b2c4d2a2a5a1b1a1h1a1a1~</v>
      </c>
      <c r="M3936" s="102"/>
      <c r="N3936" s="102"/>
      <c r="O3936" s="105">
        <v>8865154.0</v>
      </c>
      <c r="P3936" s="105">
        <v>8997113.0</v>
      </c>
      <c r="Q3936" s="102" t="s">
        <v>2501</v>
      </c>
      <c r="S3936" s="1"/>
      <c r="T3936" s="1"/>
      <c r="U3936" s="1"/>
      <c r="V3936" s="1"/>
      <c r="W3936" s="1"/>
      <c r="X3936" s="1"/>
      <c r="Y3936" s="1"/>
      <c r="Z3936" s="102"/>
      <c r="AA3936" s="102"/>
      <c r="AB3936" s="1"/>
      <c r="AC3936" s="1"/>
      <c r="AD3936" s="1"/>
      <c r="AE3936" s="1"/>
      <c r="AF3936" s="1"/>
      <c r="AG3936" s="1"/>
    </row>
    <row r="3937" ht="15.75" customHeight="1">
      <c r="A3937" s="1"/>
      <c r="B3937" s="1"/>
      <c r="C3937" s="1"/>
      <c r="D3937" s="1"/>
      <c r="E3937" s="1"/>
      <c r="F3937" s="1"/>
      <c r="G3937" s="1"/>
      <c r="H3937" s="1"/>
      <c r="I3937" s="1"/>
      <c r="J3937" s="1"/>
      <c r="K3937" s="102" t="s">
        <v>6498</v>
      </c>
      <c r="L3937" s="102" t="str">
        <f>AH396</f>
        <v>J1a2a1a2d2b2b2c4d2a2a5a1b1a1h1a1a1~</v>
      </c>
      <c r="M3937" s="102"/>
      <c r="N3937" s="102"/>
      <c r="O3937" s="105">
        <v>1.3644281E7</v>
      </c>
      <c r="P3937" s="105">
        <v>1.1488605E7</v>
      </c>
      <c r="Q3937" s="102" t="s">
        <v>2563</v>
      </c>
      <c r="S3937" s="1"/>
      <c r="T3937" s="1"/>
      <c r="U3937" s="1"/>
      <c r="V3937" s="1"/>
      <c r="W3937" s="1"/>
      <c r="X3937" s="1"/>
      <c r="Y3937" s="1"/>
      <c r="Z3937" s="102"/>
      <c r="AA3937" s="102"/>
      <c r="AB3937" s="1"/>
      <c r="AC3937" s="1"/>
      <c r="AD3937" s="1"/>
      <c r="AE3937" s="1"/>
      <c r="AF3937" s="1"/>
      <c r="AG3937" s="1"/>
    </row>
    <row r="3938" ht="15.75" customHeight="1">
      <c r="A3938" s="1"/>
      <c r="B3938" s="1"/>
      <c r="C3938" s="1"/>
      <c r="D3938" s="1"/>
      <c r="E3938" s="1"/>
      <c r="F3938" s="1"/>
      <c r="G3938" s="1"/>
      <c r="H3938" s="1"/>
      <c r="I3938" s="1"/>
      <c r="J3938" s="1"/>
      <c r="K3938" s="102" t="s">
        <v>6499</v>
      </c>
      <c r="L3938" s="102" t="str">
        <f>AB397</f>
        <v>J1a2a1a2d2b2b2c4d2a2a5a1b1a2~</v>
      </c>
      <c r="M3938" s="102"/>
      <c r="N3938" s="102"/>
      <c r="O3938" s="105">
        <v>2.3088154E7</v>
      </c>
      <c r="P3938" s="105">
        <v>2.0926268E7</v>
      </c>
      <c r="Q3938" s="102" t="s">
        <v>2529</v>
      </c>
      <c r="S3938" s="1"/>
      <c r="T3938" s="1"/>
      <c r="U3938" s="1"/>
      <c r="V3938" s="1"/>
      <c r="W3938" s="1"/>
      <c r="X3938" s="1"/>
      <c r="Y3938" s="1"/>
      <c r="Z3938" s="102"/>
      <c r="AA3938" s="102"/>
      <c r="AB3938" s="1"/>
      <c r="AC3938" s="1"/>
      <c r="AD3938" s="1"/>
      <c r="AE3938" s="1"/>
      <c r="AF3938" s="1"/>
      <c r="AG3938" s="1"/>
    </row>
    <row r="3939" ht="15.75" customHeight="1">
      <c r="A3939" s="1"/>
      <c r="B3939" s="1"/>
      <c r="C3939" s="1"/>
      <c r="D3939" s="1"/>
      <c r="E3939" s="1"/>
      <c r="F3939" s="1"/>
      <c r="G3939" s="1"/>
      <c r="H3939" s="1"/>
      <c r="I3939" s="1"/>
      <c r="J3939" s="1"/>
      <c r="K3939" s="102" t="s">
        <v>6500</v>
      </c>
      <c r="L3939" s="102" t="str">
        <f>AB397</f>
        <v>J1a2a1a2d2b2b2c4d2a2a5a1b1a2~</v>
      </c>
      <c r="M3939" s="102" t="s">
        <v>6501</v>
      </c>
      <c r="N3939" s="102"/>
      <c r="O3939" s="105">
        <v>1.5909574E7</v>
      </c>
      <c r="P3939" s="105">
        <v>1.3797694E7</v>
      </c>
      <c r="Q3939" s="102" t="s">
        <v>2501</v>
      </c>
      <c r="S3939" s="1"/>
      <c r="T3939" s="1"/>
      <c r="U3939" s="1"/>
      <c r="V3939" s="1"/>
      <c r="W3939" s="1"/>
      <c r="X3939" s="1"/>
      <c r="Y3939" s="1"/>
      <c r="Z3939" s="102"/>
      <c r="AA3939" s="102"/>
      <c r="AB3939" s="1"/>
      <c r="AC3939" s="1"/>
      <c r="AD3939" s="1"/>
      <c r="AE3939" s="1"/>
      <c r="AF3939" s="1"/>
      <c r="AG3939" s="1"/>
    </row>
    <row r="3940" ht="15.75" customHeight="1">
      <c r="A3940" s="1"/>
      <c r="B3940" s="1"/>
      <c r="C3940" s="1"/>
      <c r="D3940" s="1"/>
      <c r="E3940" s="1"/>
      <c r="F3940" s="1"/>
      <c r="G3940" s="1"/>
      <c r="H3940" s="1"/>
      <c r="I3940" s="1"/>
      <c r="J3940" s="1"/>
      <c r="K3940" s="102" t="s">
        <v>6501</v>
      </c>
      <c r="L3940" s="102" t="str">
        <f>AB397</f>
        <v>J1a2a1a2d2b2b2c4d2a2a5a1b1a2~</v>
      </c>
      <c r="M3940" s="102" t="s">
        <v>6500</v>
      </c>
      <c r="N3940" s="102"/>
      <c r="O3940" s="105">
        <v>1.5909574E7</v>
      </c>
      <c r="P3940" s="105">
        <v>1.3797694E7</v>
      </c>
      <c r="Q3940" s="102" t="s">
        <v>2501</v>
      </c>
      <c r="S3940" s="1"/>
      <c r="T3940" s="1"/>
      <c r="U3940" s="1"/>
      <c r="V3940" s="1"/>
      <c r="W3940" s="1"/>
      <c r="X3940" s="1"/>
      <c r="Y3940" s="1"/>
      <c r="Z3940" s="102"/>
      <c r="AA3940" s="102"/>
      <c r="AB3940" s="1"/>
      <c r="AC3940" s="1"/>
      <c r="AD3940" s="1"/>
      <c r="AE3940" s="1"/>
      <c r="AF3940" s="1"/>
      <c r="AG3940" s="1"/>
    </row>
    <row r="3941" ht="15.75" customHeight="1">
      <c r="A3941" s="1"/>
      <c r="B3941" s="1"/>
      <c r="C3941" s="1"/>
      <c r="D3941" s="1"/>
      <c r="E3941" s="1"/>
      <c r="F3941" s="1"/>
      <c r="G3941" s="1"/>
      <c r="H3941" s="1"/>
      <c r="I3941" s="1"/>
      <c r="J3941" s="1"/>
      <c r="K3941" s="102" t="s">
        <v>6502</v>
      </c>
      <c r="L3941" s="102" t="str">
        <f>AB397</f>
        <v>J1a2a1a2d2b2b2c4d2a2a5a1b1a2~</v>
      </c>
      <c r="M3941" s="102"/>
      <c r="N3941" s="102"/>
      <c r="O3941" s="105">
        <v>7558732.0</v>
      </c>
      <c r="P3941" s="105">
        <v>7690691.0</v>
      </c>
      <c r="Q3941" s="102" t="s">
        <v>2446</v>
      </c>
      <c r="S3941" s="1"/>
      <c r="T3941" s="1"/>
      <c r="U3941" s="1"/>
      <c r="V3941" s="1"/>
      <c r="W3941" s="1"/>
      <c r="X3941" s="1"/>
      <c r="Y3941" s="1"/>
      <c r="Z3941" s="102"/>
      <c r="AA3941" s="102"/>
      <c r="AB3941" s="1"/>
      <c r="AC3941" s="1"/>
      <c r="AD3941" s="1"/>
      <c r="AE3941" s="1"/>
      <c r="AF3941" s="1"/>
      <c r="AG3941" s="1"/>
    </row>
    <row r="3942" ht="15.75" customHeight="1">
      <c r="A3942" s="1"/>
      <c r="B3942" s="1"/>
      <c r="C3942" s="1"/>
      <c r="D3942" s="1"/>
      <c r="E3942" s="1"/>
      <c r="F3942" s="1"/>
      <c r="G3942" s="1"/>
      <c r="H3942" s="1"/>
      <c r="I3942" s="1"/>
      <c r="J3942" s="1"/>
      <c r="K3942" s="102" t="s">
        <v>6503</v>
      </c>
      <c r="L3942" s="102" t="str">
        <f>AB397</f>
        <v>J1a2a1a2d2b2b2c4d2a2a5a1b1a2~</v>
      </c>
      <c r="M3942" s="102"/>
      <c r="N3942" s="102"/>
      <c r="O3942" s="105">
        <v>7842163.0</v>
      </c>
      <c r="P3942" s="105">
        <v>7974122.0</v>
      </c>
      <c r="Q3942" s="102" t="s">
        <v>2446</v>
      </c>
      <c r="S3942" s="1"/>
      <c r="T3942" s="1"/>
      <c r="U3942" s="1"/>
      <c r="V3942" s="1"/>
      <c r="W3942" s="1"/>
      <c r="X3942" s="1"/>
      <c r="Y3942" s="1"/>
      <c r="Z3942" s="102"/>
      <c r="AA3942" s="102"/>
      <c r="AB3942" s="1"/>
      <c r="AC3942" s="1"/>
      <c r="AD3942" s="1"/>
      <c r="AE3942" s="1"/>
      <c r="AF3942" s="1"/>
      <c r="AG3942" s="1"/>
    </row>
    <row r="3943" ht="15.75" customHeight="1">
      <c r="A3943" s="1"/>
      <c r="B3943" s="1"/>
      <c r="C3943" s="1"/>
      <c r="D3943" s="1"/>
      <c r="E3943" s="1"/>
      <c r="F3943" s="1"/>
      <c r="G3943" s="1"/>
      <c r="H3943" s="1"/>
      <c r="I3943" s="1"/>
      <c r="J3943" s="1"/>
      <c r="K3943" s="102" t="s">
        <v>6504</v>
      </c>
      <c r="L3943" s="102" t="str">
        <f>AB397</f>
        <v>J1a2a1a2d2b2b2c4d2a2a5a1b1a2~</v>
      </c>
      <c r="M3943" s="102"/>
      <c r="N3943" s="102"/>
      <c r="O3943" s="105">
        <v>1.5899859E7</v>
      </c>
      <c r="P3943" s="105">
        <v>1.3787979E7</v>
      </c>
      <c r="Q3943" s="102" t="s">
        <v>2446</v>
      </c>
      <c r="S3943" s="1"/>
      <c r="T3943" s="1"/>
      <c r="U3943" s="1"/>
      <c r="V3943" s="1"/>
      <c r="W3943" s="1"/>
      <c r="X3943" s="1"/>
      <c r="Y3943" s="1"/>
      <c r="Z3943" s="102"/>
      <c r="AA3943" s="102"/>
      <c r="AB3943" s="1"/>
      <c r="AC3943" s="1"/>
      <c r="AD3943" s="1"/>
      <c r="AE3943" s="1"/>
      <c r="AF3943" s="1"/>
      <c r="AG3943" s="1"/>
    </row>
    <row r="3944" ht="15.75" customHeight="1">
      <c r="A3944" s="1"/>
      <c r="B3944" s="1"/>
      <c r="C3944" s="1"/>
      <c r="D3944" s="1"/>
      <c r="E3944" s="1"/>
      <c r="F3944" s="1"/>
      <c r="G3944" s="1"/>
      <c r="H3944" s="1"/>
      <c r="I3944" s="1"/>
      <c r="J3944" s="1"/>
      <c r="K3944" s="102" t="s">
        <v>6505</v>
      </c>
      <c r="L3944" s="102" t="str">
        <f>AB397</f>
        <v>J1a2a1a2d2b2b2c4d2a2a5a1b1a2~</v>
      </c>
      <c r="M3944" s="102"/>
      <c r="N3944" s="102"/>
      <c r="O3944" s="105">
        <v>1.6337803E7</v>
      </c>
      <c r="P3944" s="105">
        <v>1.4225923E7</v>
      </c>
      <c r="Q3944" s="102" t="s">
        <v>2529</v>
      </c>
      <c r="S3944" s="1"/>
      <c r="T3944" s="1"/>
      <c r="U3944" s="1"/>
      <c r="V3944" s="1"/>
      <c r="W3944" s="1"/>
      <c r="X3944" s="1"/>
      <c r="Y3944" s="1"/>
      <c r="Z3944" s="102"/>
      <c r="AA3944" s="102"/>
      <c r="AB3944" s="1"/>
      <c r="AC3944" s="1"/>
      <c r="AD3944" s="1"/>
      <c r="AE3944" s="1"/>
      <c r="AF3944" s="1"/>
      <c r="AG3944" s="1"/>
    </row>
    <row r="3945" ht="15.75" customHeight="1">
      <c r="A3945" s="1"/>
      <c r="B3945" s="1"/>
      <c r="C3945" s="1"/>
      <c r="D3945" s="1"/>
      <c r="E3945" s="1"/>
      <c r="F3945" s="1"/>
      <c r="G3945" s="1"/>
      <c r="H3945" s="1"/>
      <c r="I3945" s="1"/>
      <c r="J3945" s="1"/>
      <c r="K3945" s="102" t="s">
        <v>6506</v>
      </c>
      <c r="L3945" s="102" t="str">
        <f>AB397</f>
        <v>J1a2a1a2d2b2b2c4d2a2a5a1b1a2~</v>
      </c>
      <c r="M3945" s="102"/>
      <c r="N3945" s="102"/>
      <c r="O3945" s="105">
        <v>1.7101843E7</v>
      </c>
      <c r="P3945" s="105">
        <v>1.4989963E7</v>
      </c>
      <c r="Q3945" s="102" t="s">
        <v>2439</v>
      </c>
      <c r="S3945" s="1"/>
      <c r="T3945" s="1"/>
      <c r="U3945" s="1"/>
      <c r="V3945" s="1"/>
      <c r="W3945" s="1"/>
      <c r="X3945" s="1"/>
      <c r="Y3945" s="1"/>
      <c r="Z3945" s="102"/>
      <c r="AA3945" s="102"/>
      <c r="AB3945" s="1"/>
      <c r="AC3945" s="1"/>
      <c r="AD3945" s="1"/>
      <c r="AE3945" s="1"/>
      <c r="AF3945" s="1"/>
      <c r="AG3945" s="1"/>
    </row>
    <row r="3946" ht="15.75" customHeight="1">
      <c r="A3946" s="1"/>
      <c r="B3946" s="1"/>
      <c r="C3946" s="1"/>
      <c r="D3946" s="1"/>
      <c r="E3946" s="1"/>
      <c r="F3946" s="1"/>
      <c r="G3946" s="1"/>
      <c r="H3946" s="1"/>
      <c r="I3946" s="1"/>
      <c r="J3946" s="1"/>
      <c r="K3946" s="102" t="s">
        <v>6507</v>
      </c>
      <c r="L3946" s="102" t="str">
        <f>AB397</f>
        <v>J1a2a1a2d2b2b2c4d2a2a5a1b1a2~</v>
      </c>
      <c r="M3946" s="102"/>
      <c r="N3946" s="102"/>
      <c r="O3946" s="105">
        <v>1.7457962E7</v>
      </c>
      <c r="P3946" s="105">
        <v>1.5346082E7</v>
      </c>
      <c r="Q3946" s="102" t="s">
        <v>2432</v>
      </c>
      <c r="S3946" s="1"/>
      <c r="T3946" s="1"/>
      <c r="U3946" s="1"/>
      <c r="V3946" s="1"/>
      <c r="W3946" s="1"/>
      <c r="X3946" s="1"/>
      <c r="Y3946" s="1"/>
      <c r="Z3946" s="102"/>
      <c r="AA3946" s="102"/>
      <c r="AB3946" s="1"/>
      <c r="AC3946" s="1"/>
      <c r="AD3946" s="1"/>
      <c r="AE3946" s="1"/>
      <c r="AF3946" s="1"/>
      <c r="AG3946" s="1"/>
    </row>
    <row r="3947" ht="15.75" customHeight="1">
      <c r="A3947" s="1"/>
      <c r="B3947" s="1"/>
      <c r="C3947" s="1"/>
      <c r="D3947" s="1"/>
      <c r="E3947" s="1"/>
      <c r="F3947" s="1"/>
      <c r="G3947" s="1"/>
      <c r="H3947" s="1"/>
      <c r="I3947" s="1"/>
      <c r="J3947" s="1"/>
      <c r="K3947" s="102" t="s">
        <v>6508</v>
      </c>
      <c r="L3947" s="102" t="str">
        <f t="shared" ref="L3947:L3948" si="60">AB397</f>
        <v>J1a2a1a2d2b2b2c4d2a2a5a1b1a2~</v>
      </c>
      <c r="M3947" s="102"/>
      <c r="N3947" s="102"/>
      <c r="O3947" s="105">
        <v>1.753757E7</v>
      </c>
      <c r="P3947" s="105">
        <v>1.542569E7</v>
      </c>
      <c r="Q3947" s="102" t="s">
        <v>2468</v>
      </c>
      <c r="S3947" s="1"/>
      <c r="T3947" s="1"/>
      <c r="U3947" s="1"/>
      <c r="V3947" s="1"/>
      <c r="W3947" s="1"/>
      <c r="X3947" s="1"/>
      <c r="Y3947" s="1"/>
      <c r="Z3947" s="102"/>
      <c r="AA3947" s="102"/>
      <c r="AB3947" s="1"/>
      <c r="AC3947" s="1"/>
      <c r="AD3947" s="1"/>
      <c r="AE3947" s="1"/>
      <c r="AF3947" s="1"/>
      <c r="AG3947" s="1"/>
    </row>
    <row r="3948" ht="15.75" customHeight="1">
      <c r="A3948" s="1"/>
      <c r="B3948" s="1"/>
      <c r="C3948" s="1"/>
      <c r="D3948" s="1"/>
      <c r="E3948" s="1"/>
      <c r="F3948" s="1"/>
      <c r="G3948" s="1"/>
      <c r="H3948" s="1"/>
      <c r="I3948" s="1"/>
      <c r="J3948" s="1"/>
      <c r="K3948" s="102" t="s">
        <v>6509</v>
      </c>
      <c r="L3948" s="102" t="str">
        <f t="shared" si="60"/>
        <v>J1a2a1a2d2b2b2c4d2a2a5a1b1a3~</v>
      </c>
      <c r="M3948" s="102" t="s">
        <v>6510</v>
      </c>
      <c r="N3948" s="102"/>
      <c r="O3948" s="105">
        <v>1.767785E7</v>
      </c>
      <c r="P3948" s="105">
        <v>1.556597E7</v>
      </c>
      <c r="Q3948" s="102" t="s">
        <v>2529</v>
      </c>
      <c r="S3948" s="1"/>
      <c r="T3948" s="1"/>
      <c r="U3948" s="1"/>
      <c r="V3948" s="1"/>
      <c r="W3948" s="1"/>
      <c r="X3948" s="1"/>
      <c r="Y3948" s="1"/>
      <c r="Z3948" s="102"/>
      <c r="AA3948" s="102"/>
      <c r="AB3948" s="1"/>
      <c r="AC3948" s="1"/>
      <c r="AD3948" s="1"/>
      <c r="AE3948" s="1"/>
      <c r="AF3948" s="1"/>
      <c r="AG3948" s="1"/>
    </row>
    <row r="3949" ht="15.75" customHeight="1">
      <c r="A3949" s="1"/>
      <c r="B3949" s="1"/>
      <c r="C3949" s="1"/>
      <c r="D3949" s="1"/>
      <c r="E3949" s="1"/>
      <c r="F3949" s="1"/>
      <c r="G3949" s="1"/>
      <c r="H3949" s="1"/>
      <c r="I3949" s="1"/>
      <c r="J3949" s="1"/>
      <c r="K3949" s="102" t="s">
        <v>6510</v>
      </c>
      <c r="L3949" s="102" t="str">
        <f>AB398</f>
        <v>J1a2a1a2d2b2b2c4d2a2a5a1b1a3~</v>
      </c>
      <c r="M3949" s="102" t="s">
        <v>6509</v>
      </c>
      <c r="N3949" s="102"/>
      <c r="O3949" s="105">
        <v>1.767785E7</v>
      </c>
      <c r="P3949" s="105">
        <v>1.556597E7</v>
      </c>
      <c r="Q3949" s="102" t="s">
        <v>2529</v>
      </c>
      <c r="S3949" s="1"/>
      <c r="T3949" s="1"/>
      <c r="U3949" s="1"/>
      <c r="V3949" s="1"/>
      <c r="W3949" s="1"/>
      <c r="X3949" s="1"/>
      <c r="Y3949" s="1"/>
      <c r="Z3949" s="102"/>
      <c r="AA3949" s="102"/>
      <c r="AB3949" s="1"/>
      <c r="AC3949" s="1"/>
      <c r="AD3949" s="1"/>
      <c r="AE3949" s="1"/>
      <c r="AF3949" s="1"/>
      <c r="AG3949" s="1"/>
    </row>
    <row r="3950" ht="15.75" customHeight="1">
      <c r="A3950" s="1"/>
      <c r="B3950" s="1"/>
      <c r="C3950" s="1"/>
      <c r="D3950" s="1"/>
      <c r="E3950" s="1"/>
      <c r="F3950" s="1"/>
      <c r="G3950" s="1"/>
      <c r="H3950" s="1"/>
      <c r="I3950" s="1"/>
      <c r="J3950" s="1"/>
      <c r="K3950" s="102" t="s">
        <v>6511</v>
      </c>
      <c r="L3950" s="102" t="str">
        <f>AB398</f>
        <v>J1a2a1a2d2b2b2c4d2a2a5a1b1a3~</v>
      </c>
      <c r="M3950" s="102"/>
      <c r="N3950" s="102"/>
      <c r="O3950" s="105">
        <v>6779271.0</v>
      </c>
      <c r="P3950" s="105">
        <v>6911230.0</v>
      </c>
      <c r="Q3950" s="102" t="s">
        <v>2439</v>
      </c>
      <c r="S3950" s="1"/>
      <c r="T3950" s="1"/>
      <c r="U3950" s="1"/>
      <c r="V3950" s="1"/>
      <c r="W3950" s="1"/>
      <c r="X3950" s="1"/>
      <c r="Y3950" s="1"/>
      <c r="Z3950" s="102"/>
      <c r="AA3950" s="102"/>
      <c r="AB3950" s="1"/>
      <c r="AC3950" s="1"/>
      <c r="AD3950" s="1"/>
      <c r="AE3950" s="1"/>
      <c r="AF3950" s="1"/>
      <c r="AG3950" s="1"/>
    </row>
    <row r="3951" ht="15.75" customHeight="1">
      <c r="A3951" s="1"/>
      <c r="B3951" s="1"/>
      <c r="C3951" s="1"/>
      <c r="D3951" s="1"/>
      <c r="E3951" s="1"/>
      <c r="F3951" s="1"/>
      <c r="G3951" s="1"/>
      <c r="H3951" s="1"/>
      <c r="I3951" s="1"/>
      <c r="J3951" s="1"/>
      <c r="K3951" s="102" t="s">
        <v>6512</v>
      </c>
      <c r="L3951" s="102" t="str">
        <f>AB398</f>
        <v>J1a2a1a2d2b2b2c4d2a2a5a1b1a3~</v>
      </c>
      <c r="M3951" s="102"/>
      <c r="N3951" s="102"/>
      <c r="O3951" s="105">
        <v>1.5545287E7</v>
      </c>
      <c r="P3951" s="105">
        <v>1.3433407E7</v>
      </c>
      <c r="Q3951" s="102" t="s">
        <v>2468</v>
      </c>
      <c r="S3951" s="1"/>
      <c r="T3951" s="1"/>
      <c r="U3951" s="1"/>
      <c r="V3951" s="1"/>
      <c r="W3951" s="1"/>
      <c r="X3951" s="1"/>
      <c r="Y3951" s="1"/>
      <c r="Z3951" s="102"/>
      <c r="AA3951" s="102"/>
      <c r="AB3951" s="1"/>
      <c r="AC3951" s="1"/>
      <c r="AD3951" s="1"/>
      <c r="AE3951" s="1"/>
      <c r="AF3951" s="1"/>
      <c r="AG3951" s="1"/>
    </row>
    <row r="3952" ht="15.75" customHeight="1">
      <c r="A3952" s="1"/>
      <c r="B3952" s="1"/>
      <c r="C3952" s="1"/>
      <c r="D3952" s="1"/>
      <c r="E3952" s="1"/>
      <c r="F3952" s="1"/>
      <c r="G3952" s="1"/>
      <c r="H3952" s="1"/>
      <c r="I3952" s="1"/>
      <c r="J3952" s="1"/>
      <c r="K3952" s="102" t="s">
        <v>6513</v>
      </c>
      <c r="L3952" s="102" t="str">
        <f>AB398</f>
        <v>J1a2a1a2d2b2b2c4d2a2a5a1b1a3~</v>
      </c>
      <c r="M3952" s="102"/>
      <c r="N3952" s="102"/>
      <c r="O3952" s="105">
        <v>1.7271729E7</v>
      </c>
      <c r="P3952" s="105">
        <v>1.5159849E7</v>
      </c>
      <c r="Q3952" s="102" t="s">
        <v>2576</v>
      </c>
      <c r="S3952" s="1"/>
      <c r="T3952" s="1"/>
      <c r="U3952" s="1"/>
      <c r="V3952" s="1"/>
      <c r="W3952" s="1"/>
      <c r="X3952" s="1"/>
      <c r="Y3952" s="1"/>
      <c r="Z3952" s="102"/>
      <c r="AA3952" s="102"/>
      <c r="AB3952" s="1"/>
      <c r="AC3952" s="1"/>
      <c r="AD3952" s="1"/>
      <c r="AE3952" s="1"/>
      <c r="AF3952" s="1"/>
      <c r="AG3952" s="1"/>
    </row>
    <row r="3953" ht="15.75" customHeight="1">
      <c r="A3953" s="1"/>
      <c r="B3953" s="1"/>
      <c r="C3953" s="1"/>
      <c r="D3953" s="1"/>
      <c r="E3953" s="1"/>
      <c r="F3953" s="1"/>
      <c r="G3953" s="1"/>
      <c r="H3953" s="1"/>
      <c r="I3953" s="1"/>
      <c r="J3953" s="1"/>
      <c r="K3953" s="102" t="s">
        <v>6514</v>
      </c>
      <c r="L3953" s="102" t="str">
        <f>AB398</f>
        <v>J1a2a1a2d2b2b2c4d2a2a5a1b1a3~</v>
      </c>
      <c r="M3953" s="102"/>
      <c r="N3953" s="102"/>
      <c r="O3953" s="105">
        <v>1.9033785E7</v>
      </c>
      <c r="P3953" s="105">
        <v>1.6921905E7</v>
      </c>
      <c r="Q3953" s="102" t="s">
        <v>2533</v>
      </c>
      <c r="S3953" s="1"/>
      <c r="T3953" s="1"/>
      <c r="U3953" s="1"/>
      <c r="V3953" s="1"/>
      <c r="W3953" s="1"/>
      <c r="X3953" s="1"/>
      <c r="Y3953" s="1"/>
      <c r="Z3953" s="102"/>
      <c r="AA3953" s="102"/>
      <c r="AB3953" s="1"/>
      <c r="AC3953" s="1"/>
      <c r="AD3953" s="1"/>
      <c r="AE3953" s="1"/>
      <c r="AF3953" s="1"/>
      <c r="AG3953" s="1"/>
    </row>
    <row r="3954" ht="15.75" customHeight="1">
      <c r="A3954" s="1"/>
      <c r="B3954" s="1"/>
      <c r="C3954" s="1"/>
      <c r="D3954" s="1"/>
      <c r="E3954" s="1"/>
      <c r="F3954" s="1"/>
      <c r="G3954" s="1"/>
      <c r="H3954" s="1"/>
      <c r="I3954" s="1"/>
      <c r="J3954" s="1"/>
      <c r="K3954" s="102" t="s">
        <v>6515</v>
      </c>
      <c r="L3954" s="102" t="str">
        <f>AB398</f>
        <v>J1a2a1a2d2b2b2c4d2a2a5a1b1a3~</v>
      </c>
      <c r="M3954" s="102"/>
      <c r="N3954" s="102"/>
      <c r="O3954" s="105">
        <v>2.1648236E7</v>
      </c>
      <c r="P3954" s="105">
        <v>1.948635E7</v>
      </c>
      <c r="Q3954" s="102" t="s">
        <v>2468</v>
      </c>
      <c r="S3954" s="1"/>
      <c r="T3954" s="1"/>
      <c r="U3954" s="1"/>
      <c r="V3954" s="1"/>
      <c r="W3954" s="1"/>
      <c r="X3954" s="1"/>
      <c r="Y3954" s="1"/>
      <c r="Z3954" s="102"/>
      <c r="AA3954" s="102"/>
      <c r="AB3954" s="1"/>
      <c r="AC3954" s="1"/>
      <c r="AD3954" s="1"/>
      <c r="AE3954" s="1"/>
      <c r="AF3954" s="1"/>
      <c r="AG3954" s="1"/>
    </row>
    <row r="3955" ht="15.75" customHeight="1">
      <c r="A3955" s="1"/>
      <c r="B3955" s="1"/>
      <c r="C3955" s="1"/>
      <c r="D3955" s="1"/>
      <c r="E3955" s="1"/>
      <c r="F3955" s="1"/>
      <c r="G3955" s="1"/>
      <c r="H3955" s="1"/>
      <c r="I3955" s="1"/>
      <c r="J3955" s="1"/>
      <c r="K3955" s="102" t="s">
        <v>6516</v>
      </c>
      <c r="L3955" s="102" t="str">
        <f>AB398</f>
        <v>J1a2a1a2d2b2b2c4d2a2a5a1b1a3~</v>
      </c>
      <c r="M3955" s="102"/>
      <c r="N3955" s="102"/>
      <c r="O3955" s="105">
        <v>2.1993407E7</v>
      </c>
      <c r="P3955" s="105">
        <v>1.9831521E7</v>
      </c>
      <c r="Q3955" s="102" t="s">
        <v>2439</v>
      </c>
      <c r="S3955" s="1"/>
      <c r="T3955" s="1"/>
      <c r="U3955" s="1"/>
      <c r="V3955" s="1"/>
      <c r="W3955" s="1"/>
      <c r="X3955" s="1"/>
      <c r="Y3955" s="1"/>
      <c r="Z3955" s="102"/>
      <c r="AA3955" s="102"/>
      <c r="AB3955" s="1"/>
      <c r="AC3955" s="1"/>
      <c r="AD3955" s="1"/>
      <c r="AE3955" s="1"/>
      <c r="AF3955" s="1"/>
      <c r="AG3955" s="1"/>
    </row>
    <row r="3956" ht="15.75" customHeight="1">
      <c r="A3956" s="1"/>
      <c r="B3956" s="1"/>
      <c r="C3956" s="1"/>
      <c r="D3956" s="1"/>
      <c r="E3956" s="1"/>
      <c r="F3956" s="1"/>
      <c r="G3956" s="1"/>
      <c r="H3956" s="1"/>
      <c r="I3956" s="1"/>
      <c r="J3956" s="1"/>
      <c r="K3956" s="102" t="s">
        <v>6517</v>
      </c>
      <c r="L3956" s="102" t="str">
        <f>AB398</f>
        <v>J1a2a1a2d2b2b2c4d2a2a5a1b1a3~</v>
      </c>
      <c r="M3956" s="102"/>
      <c r="N3956" s="102"/>
      <c r="O3956" s="105">
        <v>2.2069704E7</v>
      </c>
      <c r="P3956" s="105">
        <v>1.9907818E7</v>
      </c>
      <c r="Q3956" s="102" t="s">
        <v>2501</v>
      </c>
      <c r="S3956" s="1"/>
      <c r="T3956" s="1"/>
      <c r="U3956" s="1"/>
      <c r="V3956" s="1"/>
      <c r="W3956" s="1"/>
      <c r="X3956" s="1"/>
      <c r="Y3956" s="1"/>
      <c r="Z3956" s="102"/>
      <c r="AA3956" s="102"/>
      <c r="AB3956" s="1"/>
      <c r="AC3956" s="1"/>
      <c r="AD3956" s="1"/>
      <c r="AE3956" s="1"/>
      <c r="AF3956" s="1"/>
      <c r="AG3956" s="1"/>
    </row>
    <row r="3957" ht="15.75" customHeight="1">
      <c r="A3957" s="1"/>
      <c r="B3957" s="1"/>
      <c r="C3957" s="1"/>
      <c r="D3957" s="1"/>
      <c r="E3957" s="1"/>
      <c r="F3957" s="1"/>
      <c r="G3957" s="1"/>
      <c r="H3957" s="1"/>
      <c r="I3957" s="1"/>
      <c r="J3957" s="1"/>
      <c r="K3957" s="102" t="s">
        <v>6518</v>
      </c>
      <c r="L3957" s="102" t="str">
        <f>AB398</f>
        <v>J1a2a1a2d2b2b2c4d2a2a5a1b1a3~</v>
      </c>
      <c r="M3957" s="102"/>
      <c r="N3957" s="102"/>
      <c r="O3957" s="105">
        <v>2.2749421E7</v>
      </c>
      <c r="P3957" s="105">
        <v>2.0587535E7</v>
      </c>
      <c r="Q3957" s="102" t="s">
        <v>2439</v>
      </c>
      <c r="S3957" s="1"/>
      <c r="T3957" s="1"/>
      <c r="U3957" s="1"/>
      <c r="V3957" s="1"/>
      <c r="W3957" s="1"/>
      <c r="X3957" s="1"/>
      <c r="Y3957" s="1"/>
      <c r="Z3957" s="102"/>
      <c r="AA3957" s="102"/>
      <c r="AB3957" s="1"/>
      <c r="AC3957" s="1"/>
      <c r="AD3957" s="1"/>
      <c r="AE3957" s="1"/>
      <c r="AF3957" s="1"/>
      <c r="AG3957" s="1"/>
    </row>
    <row r="3958" ht="15.75" customHeight="1">
      <c r="A3958" s="1"/>
      <c r="B3958" s="1"/>
      <c r="C3958" s="1"/>
      <c r="D3958" s="1"/>
      <c r="E3958" s="1"/>
      <c r="F3958" s="1"/>
      <c r="G3958" s="1"/>
      <c r="H3958" s="1"/>
      <c r="I3958" s="1"/>
      <c r="J3958" s="1"/>
      <c r="K3958" s="102" t="s">
        <v>6519</v>
      </c>
      <c r="L3958" s="102" t="str">
        <f t="shared" ref="L3958:L3959" si="61">AB398</f>
        <v>J1a2a1a2d2b2b2c4d2a2a5a1b1a3~</v>
      </c>
      <c r="M3958" s="102"/>
      <c r="N3958" s="102"/>
      <c r="O3958" s="105">
        <v>2.3160366E7</v>
      </c>
      <c r="P3958" s="105">
        <v>2.099848E7</v>
      </c>
      <c r="Q3958" s="102" t="s">
        <v>2423</v>
      </c>
      <c r="S3958" s="1"/>
      <c r="T3958" s="1"/>
      <c r="U3958" s="1"/>
      <c r="V3958" s="1"/>
      <c r="W3958" s="1"/>
      <c r="X3958" s="1"/>
      <c r="Y3958" s="1"/>
      <c r="Z3958" s="102"/>
      <c r="AA3958" s="102"/>
      <c r="AB3958" s="1"/>
      <c r="AC3958" s="1"/>
      <c r="AD3958" s="1"/>
      <c r="AE3958" s="1"/>
      <c r="AF3958" s="1"/>
      <c r="AG3958" s="1"/>
    </row>
    <row r="3959" ht="15.75" customHeight="1">
      <c r="A3959" s="1"/>
      <c r="B3959" s="1"/>
      <c r="C3959" s="1"/>
      <c r="D3959" s="1"/>
      <c r="E3959" s="1"/>
      <c r="F3959" s="1"/>
      <c r="G3959" s="1"/>
      <c r="H3959" s="1"/>
      <c r="I3959" s="1"/>
      <c r="J3959" s="1"/>
      <c r="K3959" s="102" t="s">
        <v>6520</v>
      </c>
      <c r="L3959" s="102" t="str">
        <f t="shared" si="61"/>
        <v>J1a2a1a2d2b2b2c4d2a2a5a1b1a4~</v>
      </c>
      <c r="M3959" s="102"/>
      <c r="N3959" s="102"/>
      <c r="O3959" s="105">
        <v>1.424828E7</v>
      </c>
      <c r="P3959" s="105">
        <v>1.2127574E7</v>
      </c>
      <c r="Q3959" s="102" t="s">
        <v>2501</v>
      </c>
      <c r="S3959" s="1"/>
      <c r="T3959" s="1"/>
      <c r="U3959" s="1"/>
      <c r="V3959" s="1"/>
      <c r="W3959" s="1"/>
      <c r="X3959" s="1"/>
      <c r="Y3959" s="1"/>
      <c r="Z3959" s="102"/>
      <c r="AA3959" s="102"/>
      <c r="AB3959" s="1"/>
      <c r="AC3959" s="1"/>
      <c r="AD3959" s="1"/>
      <c r="AE3959" s="1"/>
      <c r="AF3959" s="1"/>
      <c r="AG3959" s="1"/>
    </row>
    <row r="3960" ht="15.75" customHeight="1">
      <c r="A3960" s="1"/>
      <c r="B3960" s="1"/>
      <c r="C3960" s="1"/>
      <c r="D3960" s="1"/>
      <c r="E3960" s="1"/>
      <c r="F3960" s="1"/>
      <c r="G3960" s="1"/>
      <c r="H3960" s="1"/>
      <c r="I3960" s="1"/>
      <c r="J3960" s="1"/>
      <c r="K3960" s="102" t="s">
        <v>6521</v>
      </c>
      <c r="L3960" s="102" t="str">
        <f>AB399</f>
        <v>J1a2a1a2d2b2b2c4d2a2a5a1b1a4~</v>
      </c>
      <c r="M3960" s="102"/>
      <c r="N3960" s="102"/>
      <c r="O3960" s="105">
        <v>6734298.0</v>
      </c>
      <c r="P3960" s="105">
        <v>6866257.0</v>
      </c>
      <c r="Q3960" s="102" t="s">
        <v>2514</v>
      </c>
      <c r="S3960" s="1"/>
      <c r="T3960" s="1"/>
      <c r="U3960" s="1"/>
      <c r="V3960" s="1"/>
      <c r="W3960" s="1"/>
      <c r="X3960" s="1"/>
      <c r="Y3960" s="1"/>
      <c r="Z3960" s="102"/>
      <c r="AA3960" s="102"/>
      <c r="AB3960" s="1"/>
      <c r="AC3960" s="1"/>
      <c r="AD3960" s="1"/>
      <c r="AE3960" s="1"/>
      <c r="AF3960" s="1"/>
      <c r="AG3960" s="1"/>
    </row>
    <row r="3961" ht="15.75" customHeight="1">
      <c r="A3961" s="1"/>
      <c r="B3961" s="1"/>
      <c r="C3961" s="1"/>
      <c r="D3961" s="1"/>
      <c r="E3961" s="1"/>
      <c r="F3961" s="1"/>
      <c r="G3961" s="1"/>
      <c r="H3961" s="1"/>
      <c r="I3961" s="1"/>
      <c r="J3961" s="1"/>
      <c r="K3961" s="102" t="s">
        <v>6522</v>
      </c>
      <c r="L3961" s="102" t="str">
        <f>AB399</f>
        <v>J1a2a1a2d2b2b2c4d2a2a5a1b1a4~</v>
      </c>
      <c r="M3961" s="102"/>
      <c r="N3961" s="102"/>
      <c r="O3961" s="105">
        <v>7315591.0</v>
      </c>
      <c r="P3961" s="105">
        <v>7447550.0</v>
      </c>
      <c r="Q3961" s="102" t="s">
        <v>2446</v>
      </c>
      <c r="S3961" s="1"/>
      <c r="T3961" s="1"/>
      <c r="U3961" s="1"/>
      <c r="V3961" s="1"/>
      <c r="W3961" s="1"/>
      <c r="X3961" s="1"/>
      <c r="Y3961" s="1"/>
      <c r="Z3961" s="102"/>
      <c r="AA3961" s="102"/>
      <c r="AB3961" s="1"/>
      <c r="AC3961" s="1"/>
      <c r="AD3961" s="1"/>
      <c r="AE3961" s="1"/>
      <c r="AF3961" s="1"/>
      <c r="AG3961" s="1"/>
    </row>
    <row r="3962" ht="15.75" customHeight="1">
      <c r="A3962" s="1"/>
      <c r="B3962" s="1"/>
      <c r="C3962" s="1"/>
      <c r="D3962" s="1"/>
      <c r="E3962" s="1"/>
      <c r="F3962" s="1"/>
      <c r="G3962" s="1"/>
      <c r="H3962" s="1"/>
      <c r="I3962" s="1"/>
      <c r="J3962" s="1"/>
      <c r="K3962" s="102" t="s">
        <v>6523</v>
      </c>
      <c r="L3962" s="102" t="str">
        <f>AB399</f>
        <v>J1a2a1a2d2b2b2c4d2a2a5a1b1a4~</v>
      </c>
      <c r="M3962" s="102"/>
      <c r="N3962" s="102"/>
      <c r="O3962" s="105">
        <v>1.8235786E7</v>
      </c>
      <c r="P3962" s="105">
        <v>1.6123906E7</v>
      </c>
      <c r="Q3962" s="102" t="s">
        <v>2468</v>
      </c>
      <c r="S3962" s="1"/>
      <c r="T3962" s="1"/>
      <c r="U3962" s="1"/>
      <c r="V3962" s="1"/>
      <c r="W3962" s="1"/>
      <c r="X3962" s="1"/>
      <c r="Y3962" s="1"/>
      <c r="Z3962" s="102"/>
      <c r="AA3962" s="102"/>
      <c r="AB3962" s="1"/>
      <c r="AC3962" s="1"/>
      <c r="AD3962" s="1"/>
      <c r="AE3962" s="1"/>
      <c r="AF3962" s="1"/>
      <c r="AG3962" s="1"/>
    </row>
    <row r="3963" ht="15.75" customHeight="1">
      <c r="A3963" s="1"/>
      <c r="B3963" s="1"/>
      <c r="C3963" s="1"/>
      <c r="D3963" s="1"/>
      <c r="E3963" s="1"/>
      <c r="F3963" s="1"/>
      <c r="G3963" s="1"/>
      <c r="H3963" s="1"/>
      <c r="I3963" s="1"/>
      <c r="J3963" s="1"/>
      <c r="K3963" s="102" t="s">
        <v>6524</v>
      </c>
      <c r="L3963" s="102" t="str">
        <f>AB399</f>
        <v>J1a2a1a2d2b2b2c4d2a2a5a1b1a4~</v>
      </c>
      <c r="M3963" s="102"/>
      <c r="N3963" s="102"/>
      <c r="O3963" s="105">
        <v>2.2191028E7</v>
      </c>
      <c r="P3963" s="105">
        <v>2.0029142E7</v>
      </c>
      <c r="Q3963" s="102" t="s">
        <v>2533</v>
      </c>
      <c r="S3963" s="1"/>
      <c r="T3963" s="1"/>
      <c r="U3963" s="1"/>
      <c r="V3963" s="1"/>
      <c r="W3963" s="1"/>
      <c r="X3963" s="1"/>
      <c r="Y3963" s="1"/>
      <c r="Z3963" s="102"/>
      <c r="AA3963" s="102"/>
      <c r="AB3963" s="1"/>
      <c r="AC3963" s="1"/>
      <c r="AD3963" s="1"/>
      <c r="AE3963" s="1"/>
      <c r="AF3963" s="1"/>
      <c r="AG3963" s="1"/>
    </row>
    <row r="3964" ht="15.75" customHeight="1">
      <c r="A3964" s="1"/>
      <c r="B3964" s="1"/>
      <c r="C3964" s="1"/>
      <c r="D3964" s="1"/>
      <c r="E3964" s="1"/>
      <c r="F3964" s="1"/>
      <c r="G3964" s="1"/>
      <c r="H3964" s="1"/>
      <c r="I3964" s="1"/>
      <c r="J3964" s="1"/>
      <c r="K3964" s="102" t="s">
        <v>6525</v>
      </c>
      <c r="L3964" s="102" t="str">
        <f>AC400</f>
        <v>J1a2a1a2d2b2b2c4d2a2a5a1b1a4a~</v>
      </c>
      <c r="M3964" s="102" t="s">
        <v>6526</v>
      </c>
      <c r="N3964" s="102"/>
      <c r="O3964" s="105">
        <v>1.8708206E7</v>
      </c>
      <c r="P3964" s="105">
        <v>1.6596326E7</v>
      </c>
      <c r="Q3964" s="102" t="s">
        <v>2501</v>
      </c>
      <c r="S3964" s="1"/>
      <c r="T3964" s="1"/>
      <c r="U3964" s="1"/>
      <c r="V3964" s="1"/>
      <c r="W3964" s="1"/>
      <c r="X3964" s="1"/>
      <c r="Y3964" s="1"/>
      <c r="Z3964" s="102"/>
      <c r="AA3964" s="102"/>
      <c r="AB3964" s="1"/>
      <c r="AC3964" s="1"/>
      <c r="AD3964" s="1"/>
      <c r="AE3964" s="1"/>
      <c r="AF3964" s="1"/>
      <c r="AG3964" s="1"/>
    </row>
    <row r="3965" ht="15.75" customHeight="1">
      <c r="A3965" s="1"/>
      <c r="B3965" s="1"/>
      <c r="C3965" s="1"/>
      <c r="D3965" s="1"/>
      <c r="E3965" s="1"/>
      <c r="F3965" s="1"/>
      <c r="G3965" s="1"/>
      <c r="H3965" s="1"/>
      <c r="I3965" s="1"/>
      <c r="J3965" s="1"/>
      <c r="K3965" s="102" t="s">
        <v>6526</v>
      </c>
      <c r="L3965" s="102" t="str">
        <f>AC400</f>
        <v>J1a2a1a2d2b2b2c4d2a2a5a1b1a4a~</v>
      </c>
      <c r="M3965" s="102" t="s">
        <v>6525</v>
      </c>
      <c r="N3965" s="102"/>
      <c r="O3965" s="105">
        <v>1.8708206E7</v>
      </c>
      <c r="P3965" s="105">
        <v>1.6596326E7</v>
      </c>
      <c r="Q3965" s="102" t="s">
        <v>2501</v>
      </c>
      <c r="S3965" s="1"/>
      <c r="T3965" s="1"/>
      <c r="U3965" s="1"/>
      <c r="V3965" s="1"/>
      <c r="W3965" s="1"/>
      <c r="X3965" s="1"/>
      <c r="Y3965" s="1"/>
      <c r="Z3965" s="102"/>
      <c r="AA3965" s="102"/>
      <c r="AB3965" s="1"/>
      <c r="AC3965" s="1"/>
      <c r="AD3965" s="1"/>
      <c r="AE3965" s="1"/>
      <c r="AF3965" s="1"/>
      <c r="AG3965" s="1"/>
    </row>
    <row r="3966" ht="15.75" customHeight="1">
      <c r="A3966" s="1"/>
      <c r="B3966" s="1"/>
      <c r="C3966" s="1"/>
      <c r="D3966" s="1"/>
      <c r="E3966" s="1"/>
      <c r="F3966" s="1"/>
      <c r="G3966" s="1"/>
      <c r="H3966" s="1"/>
      <c r="I3966" s="1"/>
      <c r="J3966" s="1"/>
      <c r="K3966" s="102" t="s">
        <v>6527</v>
      </c>
      <c r="L3966" s="102" t="str">
        <f>AB401</f>
        <v>J1a2a1a2d2b2b2c4d2a2a5a1b1a5~</v>
      </c>
      <c r="M3966" s="102"/>
      <c r="N3966" s="102"/>
      <c r="O3966" s="105">
        <v>2.126316E7</v>
      </c>
      <c r="P3966" s="105">
        <v>1.9101274E7</v>
      </c>
      <c r="Q3966" s="102" t="s">
        <v>2501</v>
      </c>
      <c r="S3966" s="1"/>
      <c r="T3966" s="1"/>
      <c r="U3966" s="1"/>
      <c r="V3966" s="1"/>
      <c r="W3966" s="1"/>
      <c r="X3966" s="1"/>
      <c r="Y3966" s="1"/>
      <c r="Z3966" s="102"/>
      <c r="AA3966" s="102"/>
      <c r="AB3966" s="1"/>
      <c r="AC3966" s="1"/>
      <c r="AD3966" s="1"/>
      <c r="AE3966" s="1"/>
      <c r="AF3966" s="1"/>
      <c r="AG3966" s="1"/>
    </row>
    <row r="3967" ht="15.75" customHeight="1">
      <c r="A3967" s="1"/>
      <c r="B3967" s="1"/>
      <c r="C3967" s="1"/>
      <c r="D3967" s="1"/>
      <c r="E3967" s="1"/>
      <c r="F3967" s="1"/>
      <c r="G3967" s="1"/>
      <c r="H3967" s="1"/>
      <c r="I3967" s="1"/>
      <c r="J3967" s="1"/>
      <c r="K3967" s="102" t="s">
        <v>6528</v>
      </c>
      <c r="L3967" s="102" t="str">
        <f>AB401</f>
        <v>J1a2a1a2d2b2b2c4d2a2a5a1b1a5~</v>
      </c>
      <c r="M3967" s="102"/>
      <c r="N3967" s="102"/>
      <c r="O3967" s="105">
        <v>2.1993189E7</v>
      </c>
      <c r="P3967" s="105">
        <v>1.9831303E7</v>
      </c>
      <c r="Q3967" s="102" t="s">
        <v>2514</v>
      </c>
      <c r="S3967" s="1"/>
      <c r="T3967" s="1"/>
      <c r="U3967" s="1"/>
      <c r="V3967" s="1"/>
      <c r="W3967" s="1"/>
      <c r="X3967" s="1"/>
      <c r="Y3967" s="1"/>
      <c r="Z3967" s="102"/>
      <c r="AA3967" s="102"/>
      <c r="AB3967" s="1"/>
      <c r="AC3967" s="1"/>
      <c r="AD3967" s="1"/>
      <c r="AE3967" s="1"/>
      <c r="AF3967" s="1"/>
      <c r="AG3967" s="1"/>
    </row>
    <row r="3968" ht="15.75" customHeight="1">
      <c r="A3968" s="1"/>
      <c r="B3968" s="1"/>
      <c r="C3968" s="1"/>
      <c r="D3968" s="1"/>
      <c r="E3968" s="1"/>
      <c r="F3968" s="1"/>
      <c r="G3968" s="1"/>
      <c r="H3968" s="1"/>
      <c r="I3968" s="1"/>
      <c r="J3968" s="1"/>
      <c r="K3968" s="102" t="s">
        <v>6529</v>
      </c>
      <c r="L3968" s="102" t="str">
        <f>AB401</f>
        <v>J1a2a1a2d2b2b2c4d2a2a5a1b1a5~</v>
      </c>
      <c r="M3968" s="102"/>
      <c r="N3968" s="102"/>
      <c r="O3968" s="105">
        <v>2.4427012E7</v>
      </c>
      <c r="P3968" s="105">
        <v>2.2280865E7</v>
      </c>
      <c r="Q3968" s="102" t="s">
        <v>2529</v>
      </c>
      <c r="S3968" s="1"/>
      <c r="T3968" s="1"/>
      <c r="U3968" s="1"/>
      <c r="V3968" s="1"/>
      <c r="W3968" s="1"/>
      <c r="X3968" s="1"/>
      <c r="Y3968" s="1"/>
      <c r="Z3968" s="102"/>
      <c r="AA3968" s="102"/>
      <c r="AB3968" s="1"/>
      <c r="AC3968" s="1"/>
      <c r="AD3968" s="1"/>
      <c r="AE3968" s="1"/>
      <c r="AF3968" s="1"/>
      <c r="AG3968" s="1"/>
    </row>
    <row r="3969" ht="15.75" customHeight="1">
      <c r="A3969" s="1"/>
      <c r="B3969" s="1"/>
      <c r="C3969" s="1"/>
      <c r="D3969" s="1"/>
      <c r="E3969" s="1"/>
      <c r="F3969" s="1"/>
      <c r="G3969" s="1"/>
      <c r="H3969" s="1"/>
      <c r="I3969" s="1"/>
      <c r="J3969" s="1"/>
      <c r="K3969" s="102" t="s">
        <v>6530</v>
      </c>
      <c r="L3969" s="102" t="str">
        <f>AC402</f>
        <v>J1a2a1a2d2b2b2c4d2a2a5a1b1a5a~</v>
      </c>
      <c r="M3969" s="102"/>
      <c r="N3969" s="102"/>
      <c r="O3969" s="105">
        <v>2722637.0</v>
      </c>
      <c r="P3969" s="105">
        <v>2854596.0</v>
      </c>
      <c r="Q3969" s="102" t="s">
        <v>2468</v>
      </c>
      <c r="S3969" s="1"/>
      <c r="T3969" s="1"/>
      <c r="U3969" s="1"/>
      <c r="V3969" s="1"/>
      <c r="W3969" s="1"/>
      <c r="X3969" s="1"/>
      <c r="Y3969" s="1"/>
      <c r="Z3969" s="102"/>
      <c r="AA3969" s="102"/>
      <c r="AB3969" s="1"/>
      <c r="AC3969" s="1"/>
      <c r="AD3969" s="1"/>
      <c r="AE3969" s="1"/>
      <c r="AF3969" s="1"/>
      <c r="AG3969" s="1"/>
    </row>
    <row r="3970" ht="15.75" customHeight="1">
      <c r="A3970" s="1"/>
      <c r="B3970" s="1"/>
      <c r="C3970" s="1"/>
      <c r="D3970" s="1"/>
      <c r="E3970" s="1"/>
      <c r="F3970" s="1"/>
      <c r="G3970" s="1"/>
      <c r="H3970" s="1"/>
      <c r="I3970" s="1"/>
      <c r="J3970" s="1"/>
      <c r="K3970" s="102" t="s">
        <v>6531</v>
      </c>
      <c r="L3970" s="102" t="str">
        <f>AC402</f>
        <v>J1a2a1a2d2b2b2c4d2a2a5a1b1a5a~</v>
      </c>
      <c r="M3970" s="102"/>
      <c r="N3970" s="102"/>
      <c r="O3970" s="105">
        <v>7837844.0</v>
      </c>
      <c r="P3970" s="105">
        <v>7969803.0</v>
      </c>
      <c r="Q3970" s="102" t="s">
        <v>2468</v>
      </c>
      <c r="S3970" s="1"/>
      <c r="T3970" s="1"/>
      <c r="U3970" s="1"/>
      <c r="V3970" s="1"/>
      <c r="W3970" s="1"/>
      <c r="X3970" s="1"/>
      <c r="Y3970" s="1"/>
      <c r="Z3970" s="102"/>
      <c r="AA3970" s="102"/>
      <c r="AB3970" s="1"/>
      <c r="AC3970" s="1"/>
      <c r="AD3970" s="1"/>
      <c r="AE3970" s="1"/>
      <c r="AF3970" s="1"/>
      <c r="AG3970" s="1"/>
    </row>
    <row r="3971" ht="15.75" customHeight="1">
      <c r="A3971" s="1"/>
      <c r="B3971" s="1"/>
      <c r="C3971" s="1"/>
      <c r="D3971" s="1"/>
      <c r="E3971" s="1"/>
      <c r="F3971" s="1"/>
      <c r="G3971" s="1"/>
      <c r="H3971" s="1"/>
      <c r="I3971" s="1"/>
      <c r="J3971" s="1"/>
      <c r="K3971" s="102" t="s">
        <v>6532</v>
      </c>
      <c r="L3971" s="102" t="str">
        <f>AC402</f>
        <v>J1a2a1a2d2b2b2c4d2a2a5a1b1a5a~</v>
      </c>
      <c r="M3971" s="102"/>
      <c r="N3971" s="102"/>
      <c r="O3971" s="105">
        <v>8230799.0</v>
      </c>
      <c r="P3971" s="105">
        <v>8362758.0</v>
      </c>
      <c r="Q3971" s="102" t="s">
        <v>2529</v>
      </c>
      <c r="S3971" s="1"/>
      <c r="T3971" s="1"/>
      <c r="U3971" s="1"/>
      <c r="V3971" s="1"/>
      <c r="W3971" s="1"/>
      <c r="X3971" s="1"/>
      <c r="Y3971" s="1"/>
      <c r="Z3971" s="102"/>
      <c r="AA3971" s="102"/>
      <c r="AB3971" s="1"/>
      <c r="AC3971" s="1"/>
      <c r="AD3971" s="1"/>
      <c r="AE3971" s="1"/>
      <c r="AF3971" s="1"/>
      <c r="AG3971" s="1"/>
    </row>
    <row r="3972" ht="15.75" customHeight="1">
      <c r="A3972" s="1"/>
      <c r="B3972" s="1"/>
      <c r="C3972" s="1"/>
      <c r="D3972" s="1"/>
      <c r="E3972" s="1"/>
      <c r="F3972" s="1"/>
      <c r="G3972" s="1"/>
      <c r="H3972" s="1"/>
      <c r="I3972" s="1"/>
      <c r="J3972" s="1"/>
      <c r="K3972" s="102" t="s">
        <v>6533</v>
      </c>
      <c r="L3972" s="102" t="str">
        <f>AC402</f>
        <v>J1a2a1a2d2b2b2c4d2a2a5a1b1a5a~</v>
      </c>
      <c r="M3972" s="102"/>
      <c r="N3972" s="102"/>
      <c r="O3972" s="105">
        <v>9988286.0</v>
      </c>
      <c r="P3972" s="105">
        <v>1.0150677E7</v>
      </c>
      <c r="Q3972" s="102" t="s">
        <v>2454</v>
      </c>
      <c r="S3972" s="1"/>
      <c r="T3972" s="1"/>
      <c r="U3972" s="1"/>
      <c r="V3972" s="1"/>
      <c r="W3972" s="1"/>
      <c r="X3972" s="1"/>
      <c r="Y3972" s="1"/>
      <c r="Z3972" s="102"/>
      <c r="AA3972" s="102"/>
      <c r="AB3972" s="1"/>
      <c r="AC3972" s="1"/>
      <c r="AD3972" s="1"/>
      <c r="AE3972" s="1"/>
      <c r="AF3972" s="1"/>
      <c r="AG3972" s="1"/>
    </row>
    <row r="3973" ht="15.75" customHeight="1">
      <c r="A3973" s="1"/>
      <c r="B3973" s="1"/>
      <c r="C3973" s="1"/>
      <c r="D3973" s="1"/>
      <c r="E3973" s="1"/>
      <c r="F3973" s="1"/>
      <c r="G3973" s="1"/>
      <c r="H3973" s="1"/>
      <c r="I3973" s="1"/>
      <c r="J3973" s="1"/>
      <c r="K3973" s="102" t="s">
        <v>6527</v>
      </c>
      <c r="L3973" s="102" t="str">
        <f t="shared" ref="L3973:L3974" si="62">AC402</f>
        <v>J1a2a1a2d2b2b2c4d2a2a5a1b1a5a~</v>
      </c>
      <c r="M3973" s="102"/>
      <c r="N3973" s="102"/>
      <c r="O3973" s="105">
        <v>2.126316E7</v>
      </c>
      <c r="P3973" s="105">
        <v>1.9101274E7</v>
      </c>
      <c r="Q3973" s="102" t="s">
        <v>2501</v>
      </c>
      <c r="S3973" s="1"/>
      <c r="T3973" s="1"/>
      <c r="U3973" s="1"/>
      <c r="V3973" s="1"/>
      <c r="W3973" s="1"/>
      <c r="X3973" s="1"/>
      <c r="Y3973" s="1"/>
      <c r="Z3973" s="102"/>
      <c r="AA3973" s="102"/>
      <c r="AB3973" s="1"/>
      <c r="AC3973" s="1"/>
      <c r="AD3973" s="1"/>
      <c r="AE3973" s="1"/>
      <c r="AF3973" s="1"/>
      <c r="AG3973" s="1"/>
    </row>
    <row r="3974" ht="15.75" customHeight="1">
      <c r="A3974" s="1"/>
      <c r="B3974" s="1"/>
      <c r="C3974" s="1"/>
      <c r="D3974" s="1"/>
      <c r="E3974" s="1"/>
      <c r="F3974" s="1"/>
      <c r="G3974" s="1"/>
      <c r="H3974" s="1"/>
      <c r="I3974" s="1"/>
      <c r="J3974" s="1"/>
      <c r="K3974" s="102" t="s">
        <v>6534</v>
      </c>
      <c r="L3974" s="102" t="str">
        <f t="shared" si="62"/>
        <v>J1a2a1a2d2b2b2c4d2a2a5a1b1a5b~</v>
      </c>
      <c r="M3974" s="102"/>
      <c r="N3974" s="102"/>
      <c r="O3974" s="105">
        <v>1.4337831E7</v>
      </c>
      <c r="P3974" s="105">
        <v>1.2217126E7</v>
      </c>
      <c r="Q3974" s="102" t="s">
        <v>2501</v>
      </c>
      <c r="S3974" s="1"/>
      <c r="T3974" s="1"/>
      <c r="U3974" s="1"/>
      <c r="V3974" s="1"/>
      <c r="W3974" s="1"/>
      <c r="X3974" s="1"/>
      <c r="Y3974" s="1"/>
      <c r="Z3974" s="102"/>
      <c r="AA3974" s="102"/>
      <c r="AB3974" s="1"/>
      <c r="AC3974" s="1"/>
      <c r="AD3974" s="1"/>
      <c r="AE3974" s="1"/>
      <c r="AF3974" s="1"/>
      <c r="AG3974" s="1"/>
    </row>
    <row r="3975" ht="15.75" customHeight="1">
      <c r="A3975" s="1"/>
      <c r="B3975" s="1"/>
      <c r="C3975" s="1"/>
      <c r="D3975" s="1"/>
      <c r="E3975" s="1"/>
      <c r="F3975" s="1"/>
      <c r="G3975" s="1"/>
      <c r="H3975" s="1"/>
      <c r="I3975" s="1"/>
      <c r="J3975" s="1"/>
      <c r="K3975" s="102" t="s">
        <v>6535</v>
      </c>
      <c r="L3975" s="102" t="str">
        <f>AC403</f>
        <v>J1a2a1a2d2b2b2c4d2a2a5a1b1a5b~</v>
      </c>
      <c r="M3975" s="102"/>
      <c r="N3975" s="102"/>
      <c r="O3975" s="105">
        <v>1.4597879E7</v>
      </c>
      <c r="P3975" s="105">
        <v>1.2486079E7</v>
      </c>
      <c r="Q3975" s="102" t="s">
        <v>2501</v>
      </c>
      <c r="S3975" s="1"/>
      <c r="T3975" s="1"/>
      <c r="U3975" s="1"/>
      <c r="V3975" s="1"/>
      <c r="W3975" s="1"/>
      <c r="X3975" s="1"/>
      <c r="Y3975" s="1"/>
      <c r="Z3975" s="102"/>
      <c r="AA3975" s="102"/>
      <c r="AB3975" s="1"/>
      <c r="AC3975" s="1"/>
      <c r="AD3975" s="1"/>
      <c r="AE3975" s="1"/>
      <c r="AF3975" s="1"/>
      <c r="AG3975" s="1"/>
    </row>
    <row r="3976" ht="15.75" customHeight="1">
      <c r="A3976" s="1"/>
      <c r="B3976" s="1"/>
      <c r="C3976" s="1"/>
      <c r="D3976" s="1"/>
      <c r="E3976" s="1"/>
      <c r="F3976" s="1"/>
      <c r="G3976" s="1"/>
      <c r="H3976" s="1"/>
      <c r="I3976" s="1"/>
      <c r="J3976" s="1"/>
      <c r="K3976" s="102" t="s">
        <v>6536</v>
      </c>
      <c r="L3976" s="102" t="str">
        <f>AC403</f>
        <v>J1a2a1a2d2b2b2c4d2a2a5a1b1a5b~</v>
      </c>
      <c r="M3976" s="102"/>
      <c r="N3976" s="102"/>
      <c r="O3976" s="105">
        <v>2.3468425E7</v>
      </c>
      <c r="P3976" s="105">
        <v>2.1306539E7</v>
      </c>
      <c r="Q3976" s="102" t="s">
        <v>2423</v>
      </c>
      <c r="S3976" s="1"/>
      <c r="T3976" s="1"/>
      <c r="U3976" s="1"/>
      <c r="V3976" s="1"/>
      <c r="W3976" s="1"/>
      <c r="X3976" s="1"/>
      <c r="Y3976" s="1"/>
      <c r="Z3976" s="102"/>
      <c r="AA3976" s="102"/>
      <c r="AB3976" s="1"/>
      <c r="AC3976" s="1"/>
      <c r="AD3976" s="1"/>
      <c r="AE3976" s="1"/>
      <c r="AF3976" s="1"/>
      <c r="AG3976" s="1"/>
    </row>
    <row r="3977" ht="15.75" customHeight="1">
      <c r="A3977" s="1"/>
      <c r="B3977" s="1"/>
      <c r="C3977" s="1"/>
      <c r="D3977" s="1"/>
      <c r="E3977" s="1"/>
      <c r="F3977" s="1"/>
      <c r="G3977" s="1"/>
      <c r="H3977" s="1"/>
      <c r="I3977" s="1"/>
      <c r="J3977" s="1"/>
      <c r="K3977" s="102" t="s">
        <v>777</v>
      </c>
      <c r="L3977" s="102" t="str">
        <f>AD404</f>
        <v>J1a2a1a2d2b2b2c4d2a2a5a1b1a5b1~</v>
      </c>
      <c r="M3977" s="102"/>
      <c r="N3977" s="102"/>
      <c r="O3977" s="105">
        <v>9647232.0</v>
      </c>
      <c r="P3977" s="105">
        <v>9809623.0</v>
      </c>
      <c r="Q3977" s="102" t="s">
        <v>2501</v>
      </c>
      <c r="S3977" s="1"/>
      <c r="T3977" s="1"/>
      <c r="U3977" s="1"/>
      <c r="V3977" s="1"/>
      <c r="W3977" s="1"/>
      <c r="X3977" s="1"/>
      <c r="Y3977" s="1"/>
      <c r="Z3977" s="102"/>
      <c r="AA3977" s="102"/>
      <c r="AB3977" s="1"/>
      <c r="AC3977" s="1"/>
      <c r="AD3977" s="1"/>
      <c r="AE3977" s="1"/>
      <c r="AF3977" s="1"/>
      <c r="AG3977" s="1"/>
    </row>
    <row r="3978" ht="15.75" customHeight="1">
      <c r="A3978" s="1"/>
      <c r="B3978" s="1"/>
      <c r="C3978" s="1"/>
      <c r="D3978" s="1"/>
      <c r="E3978" s="1"/>
      <c r="F3978" s="1"/>
      <c r="G3978" s="1"/>
      <c r="H3978" s="1"/>
      <c r="I3978" s="1"/>
      <c r="J3978" s="1"/>
      <c r="K3978" s="102" t="s">
        <v>6537</v>
      </c>
      <c r="L3978" s="102" t="str">
        <f>AE405</f>
        <v>J1a2a1a2d2b2b2c4d2a2a5a1b1a5b1a~</v>
      </c>
      <c r="M3978" s="102" t="s">
        <v>6538</v>
      </c>
      <c r="N3978" s="102"/>
      <c r="O3978" s="105">
        <v>1.4899009E7</v>
      </c>
      <c r="P3978" s="105">
        <v>1.2787076E7</v>
      </c>
      <c r="Q3978" s="102" t="s">
        <v>2468</v>
      </c>
      <c r="S3978" s="1"/>
      <c r="T3978" s="1"/>
      <c r="U3978" s="1"/>
      <c r="V3978" s="1"/>
      <c r="W3978" s="1"/>
      <c r="X3978" s="1"/>
      <c r="Y3978" s="1"/>
      <c r="Z3978" s="102"/>
      <c r="AA3978" s="102"/>
      <c r="AB3978" s="1"/>
      <c r="AC3978" s="1"/>
      <c r="AD3978" s="1"/>
      <c r="AE3978" s="1"/>
      <c r="AF3978" s="1"/>
      <c r="AG3978" s="1"/>
    </row>
    <row r="3979" ht="15.75" customHeight="1">
      <c r="A3979" s="1"/>
      <c r="B3979" s="1"/>
      <c r="C3979" s="1"/>
      <c r="D3979" s="1"/>
      <c r="E3979" s="1"/>
      <c r="F3979" s="1"/>
      <c r="G3979" s="1"/>
      <c r="H3979" s="1"/>
      <c r="I3979" s="1"/>
      <c r="J3979" s="1"/>
      <c r="K3979" s="102" t="s">
        <v>6538</v>
      </c>
      <c r="L3979" s="102" t="str">
        <f>AE405</f>
        <v>J1a2a1a2d2b2b2c4d2a2a5a1b1a5b1a~</v>
      </c>
      <c r="M3979" s="102" t="s">
        <v>6537</v>
      </c>
      <c r="N3979" s="102"/>
      <c r="O3979" s="105">
        <v>1.4899009E7</v>
      </c>
      <c r="P3979" s="105">
        <v>1.2787076E7</v>
      </c>
      <c r="Q3979" s="102" t="s">
        <v>2468</v>
      </c>
      <c r="S3979" s="1"/>
      <c r="T3979" s="1"/>
      <c r="U3979" s="1"/>
      <c r="V3979" s="1"/>
      <c r="W3979" s="1"/>
      <c r="X3979" s="1"/>
      <c r="Y3979" s="1"/>
      <c r="Z3979" s="102"/>
      <c r="AA3979" s="102"/>
      <c r="AB3979" s="1"/>
      <c r="AC3979" s="1"/>
      <c r="AD3979" s="1"/>
      <c r="AE3979" s="1"/>
      <c r="AF3979" s="1"/>
      <c r="AG3979" s="1"/>
    </row>
    <row r="3980" ht="15.75" customHeight="1">
      <c r="A3980" s="1"/>
      <c r="B3980" s="1"/>
      <c r="C3980" s="1"/>
      <c r="D3980" s="1"/>
      <c r="E3980" s="1"/>
      <c r="F3980" s="1"/>
      <c r="G3980" s="1"/>
      <c r="H3980" s="1"/>
      <c r="I3980" s="1"/>
      <c r="J3980" s="1"/>
      <c r="K3980" s="102" t="s">
        <v>6539</v>
      </c>
      <c r="L3980" s="102" t="str">
        <f>AE405</f>
        <v>J1a2a1a2d2b2b2c4d2a2a5a1b1a5b1a~</v>
      </c>
      <c r="M3980" s="102" t="s">
        <v>6540</v>
      </c>
      <c r="N3980" s="102"/>
      <c r="O3980" s="105">
        <v>1.6940153E7</v>
      </c>
      <c r="P3980" s="105">
        <v>1.4828273E7</v>
      </c>
      <c r="Q3980" s="102" t="s">
        <v>2468</v>
      </c>
      <c r="S3980" s="1"/>
      <c r="T3980" s="1"/>
      <c r="U3980" s="1"/>
      <c r="V3980" s="1"/>
      <c r="W3980" s="1"/>
      <c r="X3980" s="1"/>
      <c r="Y3980" s="1"/>
      <c r="Z3980" s="102"/>
      <c r="AA3980" s="102"/>
      <c r="AB3980" s="1"/>
      <c r="AC3980" s="1"/>
      <c r="AD3980" s="1"/>
      <c r="AE3980" s="1"/>
      <c r="AF3980" s="1"/>
      <c r="AG3980" s="1"/>
    </row>
    <row r="3981" ht="15.75" customHeight="1">
      <c r="A3981" s="1"/>
      <c r="B3981" s="1"/>
      <c r="C3981" s="1"/>
      <c r="D3981" s="1"/>
      <c r="E3981" s="1"/>
      <c r="F3981" s="1"/>
      <c r="G3981" s="1"/>
      <c r="H3981" s="1"/>
      <c r="I3981" s="1"/>
      <c r="J3981" s="1"/>
      <c r="K3981" s="102" t="s">
        <v>6540</v>
      </c>
      <c r="L3981" s="102" t="str">
        <f>AE405</f>
        <v>J1a2a1a2d2b2b2c4d2a2a5a1b1a5b1a~</v>
      </c>
      <c r="M3981" s="102" t="s">
        <v>6539</v>
      </c>
      <c r="N3981" s="102"/>
      <c r="O3981" s="105">
        <v>1.6940153E7</v>
      </c>
      <c r="P3981" s="105">
        <v>1.4828273E7</v>
      </c>
      <c r="Q3981" s="102" t="s">
        <v>2468</v>
      </c>
      <c r="S3981" s="1"/>
      <c r="T3981" s="1"/>
      <c r="U3981" s="1"/>
      <c r="V3981" s="1"/>
      <c r="W3981" s="1"/>
      <c r="X3981" s="1"/>
      <c r="Y3981" s="1"/>
      <c r="Z3981" s="102"/>
      <c r="AA3981" s="102"/>
      <c r="AB3981" s="1"/>
      <c r="AC3981" s="1"/>
      <c r="AD3981" s="1"/>
      <c r="AE3981" s="1"/>
      <c r="AF3981" s="1"/>
      <c r="AG3981" s="1"/>
    </row>
    <row r="3982" ht="15.75" customHeight="1">
      <c r="A3982" s="1"/>
      <c r="B3982" s="1"/>
      <c r="C3982" s="1"/>
      <c r="D3982" s="1"/>
      <c r="E3982" s="1"/>
      <c r="F3982" s="1"/>
      <c r="G3982" s="1"/>
      <c r="H3982" s="1"/>
      <c r="I3982" s="1"/>
      <c r="J3982" s="1"/>
      <c r="K3982" s="102" t="s">
        <v>6541</v>
      </c>
      <c r="L3982" s="102" t="str">
        <f>AE405</f>
        <v>J1a2a1a2d2b2b2c4d2a2a5a1b1a5b1a~</v>
      </c>
      <c r="M3982" s="102" t="s">
        <v>6542</v>
      </c>
      <c r="N3982" s="102"/>
      <c r="O3982" s="105">
        <v>7056697.0</v>
      </c>
      <c r="P3982" s="105">
        <v>7188656.0</v>
      </c>
      <c r="Q3982" s="102" t="s">
        <v>2529</v>
      </c>
      <c r="S3982" s="1"/>
      <c r="T3982" s="1"/>
      <c r="U3982" s="1"/>
      <c r="V3982" s="1"/>
      <c r="W3982" s="1"/>
      <c r="X3982" s="1"/>
      <c r="Y3982" s="1"/>
      <c r="Z3982" s="102"/>
      <c r="AA3982" s="102"/>
      <c r="AB3982" s="1"/>
      <c r="AC3982" s="1"/>
      <c r="AD3982" s="1"/>
      <c r="AE3982" s="1"/>
      <c r="AF3982" s="1"/>
      <c r="AG3982" s="1"/>
    </row>
    <row r="3983" ht="15.75" customHeight="1">
      <c r="A3983" s="1"/>
      <c r="B3983" s="1"/>
      <c r="C3983" s="1"/>
      <c r="D3983" s="1"/>
      <c r="E3983" s="1"/>
      <c r="F3983" s="1"/>
      <c r="G3983" s="1"/>
      <c r="H3983" s="1"/>
      <c r="I3983" s="1"/>
      <c r="J3983" s="1"/>
      <c r="K3983" s="102" t="s">
        <v>6542</v>
      </c>
      <c r="L3983" s="102" t="str">
        <f>AE405</f>
        <v>J1a2a1a2d2b2b2c4d2a2a5a1b1a5b1a~</v>
      </c>
      <c r="M3983" s="102" t="s">
        <v>6541</v>
      </c>
      <c r="N3983" s="102"/>
      <c r="O3983" s="105">
        <v>7056697.0</v>
      </c>
      <c r="P3983" s="105">
        <v>7188656.0</v>
      </c>
      <c r="Q3983" s="102" t="s">
        <v>2529</v>
      </c>
      <c r="S3983" s="1"/>
      <c r="T3983" s="1"/>
      <c r="U3983" s="1"/>
      <c r="V3983" s="1"/>
      <c r="W3983" s="1"/>
      <c r="X3983" s="1"/>
      <c r="Y3983" s="1"/>
      <c r="Z3983" s="102">
        <v>7056697.0</v>
      </c>
      <c r="AA3983" s="102"/>
      <c r="AB3983" s="1"/>
      <c r="AC3983" s="1"/>
      <c r="AD3983" s="1"/>
      <c r="AE3983" s="1"/>
      <c r="AF3983" s="1"/>
      <c r="AG3983" s="1"/>
    </row>
    <row r="3984" ht="15.75" customHeight="1">
      <c r="A3984" s="1"/>
      <c r="B3984" s="1"/>
      <c r="C3984" s="1"/>
      <c r="D3984" s="1"/>
      <c r="E3984" s="1"/>
      <c r="F3984" s="1"/>
      <c r="G3984" s="1"/>
      <c r="H3984" s="1"/>
      <c r="I3984" s="1"/>
      <c r="J3984" s="1"/>
      <c r="K3984" s="102" t="s">
        <v>6543</v>
      </c>
      <c r="L3984" s="102" t="str">
        <f>AE405</f>
        <v>J1a2a1a2d2b2b2c4d2a2a5a1b1a5b1a~</v>
      </c>
      <c r="M3984" s="102" t="s">
        <v>6544</v>
      </c>
      <c r="N3984" s="102"/>
      <c r="O3984" s="105">
        <v>1.912068E7</v>
      </c>
      <c r="P3984" s="105">
        <v>1.70088E7</v>
      </c>
      <c r="Q3984" s="102" t="s">
        <v>2501</v>
      </c>
      <c r="S3984" s="1"/>
      <c r="T3984" s="1"/>
      <c r="U3984" s="1"/>
      <c r="V3984" s="1"/>
      <c r="W3984" s="1"/>
      <c r="X3984" s="1"/>
      <c r="Y3984" s="1"/>
      <c r="Z3984" s="102"/>
      <c r="AA3984" s="102"/>
      <c r="AB3984" s="1"/>
      <c r="AC3984" s="1"/>
      <c r="AD3984" s="1"/>
      <c r="AE3984" s="1"/>
      <c r="AF3984" s="1"/>
      <c r="AG3984" s="1"/>
    </row>
    <row r="3985" ht="15.75" customHeight="1">
      <c r="A3985" s="1"/>
      <c r="B3985" s="1"/>
      <c r="C3985" s="1"/>
      <c r="D3985" s="1"/>
      <c r="E3985" s="1"/>
      <c r="F3985" s="1"/>
      <c r="G3985" s="1"/>
      <c r="H3985" s="1"/>
      <c r="I3985" s="1"/>
      <c r="J3985" s="1"/>
      <c r="K3985" s="102" t="s">
        <v>6544</v>
      </c>
      <c r="L3985" s="102" t="str">
        <f>AE405</f>
        <v>J1a2a1a2d2b2b2c4d2a2a5a1b1a5b1a~</v>
      </c>
      <c r="M3985" s="102" t="s">
        <v>6543</v>
      </c>
      <c r="N3985" s="102"/>
      <c r="O3985" s="105">
        <v>1.912068E7</v>
      </c>
      <c r="P3985" s="105">
        <v>1.70088E7</v>
      </c>
      <c r="Q3985" s="102" t="s">
        <v>2501</v>
      </c>
      <c r="S3985" s="1"/>
      <c r="T3985" s="1"/>
      <c r="U3985" s="1"/>
      <c r="V3985" s="1"/>
      <c r="W3985" s="1"/>
      <c r="X3985" s="1"/>
      <c r="Y3985" s="1"/>
      <c r="Z3985" s="102"/>
      <c r="AA3985" s="102"/>
      <c r="AB3985" s="1"/>
      <c r="AC3985" s="1"/>
      <c r="AD3985" s="1"/>
      <c r="AE3985" s="1"/>
      <c r="AF3985" s="1"/>
      <c r="AG3985" s="1"/>
    </row>
    <row r="3986" ht="15.75" customHeight="1">
      <c r="A3986" s="1"/>
      <c r="B3986" s="1"/>
      <c r="C3986" s="1"/>
      <c r="D3986" s="1"/>
      <c r="E3986" s="1"/>
      <c r="F3986" s="1"/>
      <c r="G3986" s="1"/>
      <c r="H3986" s="1"/>
      <c r="I3986" s="1"/>
      <c r="J3986" s="1"/>
      <c r="K3986" s="102" t="s">
        <v>6545</v>
      </c>
      <c r="L3986" s="102" t="str">
        <f>AE405</f>
        <v>J1a2a1a2d2b2b2c4d2a2a5a1b1a5b1a~</v>
      </c>
      <c r="M3986" s="102" t="s">
        <v>6546</v>
      </c>
      <c r="N3986" s="102"/>
      <c r="O3986" s="105">
        <v>8362374.0</v>
      </c>
      <c r="P3986" s="105">
        <v>8494333.0</v>
      </c>
      <c r="Q3986" s="102" t="s">
        <v>2501</v>
      </c>
      <c r="S3986" s="1"/>
      <c r="T3986" s="1"/>
      <c r="U3986" s="1"/>
      <c r="V3986" s="1"/>
      <c r="W3986" s="1"/>
      <c r="X3986" s="1"/>
      <c r="Y3986" s="1"/>
      <c r="Z3986" s="102"/>
      <c r="AA3986" s="102"/>
      <c r="AB3986" s="1"/>
      <c r="AC3986" s="1"/>
      <c r="AD3986" s="1"/>
      <c r="AE3986" s="1"/>
      <c r="AF3986" s="1"/>
      <c r="AG3986" s="1"/>
    </row>
    <row r="3987" ht="15.75" customHeight="1">
      <c r="A3987" s="1"/>
      <c r="B3987" s="1"/>
      <c r="C3987" s="1"/>
      <c r="D3987" s="1"/>
      <c r="E3987" s="1"/>
      <c r="F3987" s="1"/>
      <c r="G3987" s="1"/>
      <c r="H3987" s="1"/>
      <c r="I3987" s="1"/>
      <c r="J3987" s="1"/>
      <c r="K3987" s="102" t="s">
        <v>6546</v>
      </c>
      <c r="L3987" s="102" t="str">
        <f>AE405</f>
        <v>J1a2a1a2d2b2b2c4d2a2a5a1b1a5b1a~</v>
      </c>
      <c r="M3987" s="102" t="s">
        <v>6545</v>
      </c>
      <c r="N3987" s="102"/>
      <c r="O3987" s="105">
        <v>8362374.0</v>
      </c>
      <c r="P3987" s="105">
        <v>8494333.0</v>
      </c>
      <c r="Q3987" s="102" t="s">
        <v>2501</v>
      </c>
      <c r="S3987" s="1"/>
      <c r="T3987" s="1"/>
      <c r="U3987" s="1"/>
      <c r="V3987" s="1"/>
      <c r="W3987" s="1"/>
      <c r="X3987" s="1"/>
      <c r="Y3987" s="1"/>
      <c r="Z3987" s="102"/>
      <c r="AA3987" s="102"/>
      <c r="AB3987" s="1"/>
      <c r="AC3987" s="1"/>
      <c r="AD3987" s="1"/>
      <c r="AE3987" s="1"/>
      <c r="AF3987" s="1"/>
      <c r="AG3987" s="1"/>
    </row>
    <row r="3988" ht="15.75" customHeight="1">
      <c r="A3988" s="1"/>
      <c r="B3988" s="1"/>
      <c r="C3988" s="1"/>
      <c r="D3988" s="1"/>
      <c r="E3988" s="1"/>
      <c r="F3988" s="1"/>
      <c r="G3988" s="1"/>
      <c r="H3988" s="1"/>
      <c r="I3988" s="1"/>
      <c r="J3988" s="1"/>
      <c r="K3988" s="102" t="s">
        <v>6547</v>
      </c>
      <c r="L3988" s="102" t="str">
        <f>AE405</f>
        <v>J1a2a1a2d2b2b2c4d2a2a5a1b1a5b1a~</v>
      </c>
      <c r="M3988" s="102" t="s">
        <v>6548</v>
      </c>
      <c r="N3988" s="102"/>
      <c r="O3988" s="105">
        <v>1.8755688E7</v>
      </c>
      <c r="P3988" s="105">
        <v>1.6643808E7</v>
      </c>
      <c r="Q3988" s="102" t="s">
        <v>2446</v>
      </c>
      <c r="S3988" s="1"/>
      <c r="T3988" s="1"/>
      <c r="U3988" s="1"/>
      <c r="V3988" s="1"/>
      <c r="W3988" s="1"/>
      <c r="X3988" s="1"/>
      <c r="Y3988" s="1"/>
      <c r="Z3988" s="102"/>
      <c r="AA3988" s="102"/>
      <c r="AB3988" s="1"/>
      <c r="AC3988" s="1"/>
      <c r="AD3988" s="1"/>
      <c r="AE3988" s="1"/>
      <c r="AF3988" s="1"/>
      <c r="AG3988" s="1"/>
    </row>
    <row r="3989" ht="15.75" customHeight="1">
      <c r="A3989" s="1"/>
      <c r="B3989" s="1"/>
      <c r="C3989" s="1"/>
      <c r="D3989" s="1"/>
      <c r="E3989" s="1"/>
      <c r="F3989" s="1"/>
      <c r="G3989" s="1"/>
      <c r="H3989" s="1"/>
      <c r="I3989" s="1"/>
      <c r="J3989" s="1"/>
      <c r="K3989" s="102" t="s">
        <v>6548</v>
      </c>
      <c r="L3989" s="102" t="str">
        <f>AE405</f>
        <v>J1a2a1a2d2b2b2c4d2a2a5a1b1a5b1a~</v>
      </c>
      <c r="M3989" s="102" t="s">
        <v>6547</v>
      </c>
      <c r="N3989" s="102"/>
      <c r="O3989" s="105">
        <v>1.8755688E7</v>
      </c>
      <c r="P3989" s="105">
        <v>1.6643808E7</v>
      </c>
      <c r="Q3989" s="102" t="s">
        <v>2446</v>
      </c>
      <c r="S3989" s="1"/>
      <c r="T3989" s="1"/>
      <c r="U3989" s="1"/>
      <c r="V3989" s="1"/>
      <c r="W3989" s="1"/>
      <c r="X3989" s="1"/>
      <c r="Y3989" s="1"/>
      <c r="Z3989" s="102"/>
      <c r="AA3989" s="102"/>
      <c r="AB3989" s="1"/>
      <c r="AC3989" s="1"/>
      <c r="AD3989" s="1"/>
      <c r="AE3989" s="1"/>
      <c r="AF3989" s="1"/>
      <c r="AG3989" s="1"/>
    </row>
    <row r="3990" ht="15.75" customHeight="1">
      <c r="A3990" s="1"/>
      <c r="B3990" s="1"/>
      <c r="C3990" s="1"/>
      <c r="D3990" s="1"/>
      <c r="E3990" s="1"/>
      <c r="F3990" s="1"/>
      <c r="G3990" s="1"/>
      <c r="H3990" s="1"/>
      <c r="I3990" s="1"/>
      <c r="J3990" s="1"/>
      <c r="K3990" s="102" t="s">
        <v>6549</v>
      </c>
      <c r="L3990" s="102" t="str">
        <f>AF406</f>
        <v>J1a2a1a2d2b2b2c4d2a2a5a1b1a5b1a1~</v>
      </c>
      <c r="M3990" s="102" t="s">
        <v>6550</v>
      </c>
      <c r="N3990" s="102"/>
      <c r="O3990" s="105">
        <v>1.6786559E7</v>
      </c>
      <c r="P3990" s="105">
        <v>1.4674679E7</v>
      </c>
      <c r="Q3990" s="102" t="s">
        <v>2439</v>
      </c>
      <c r="S3990" s="1"/>
      <c r="T3990" s="1"/>
      <c r="U3990" s="1"/>
      <c r="V3990" s="1"/>
      <c r="W3990" s="1"/>
      <c r="X3990" s="1"/>
      <c r="Y3990" s="1"/>
      <c r="Z3990" s="102"/>
      <c r="AA3990" s="102"/>
      <c r="AB3990" s="1"/>
      <c r="AC3990" s="1"/>
      <c r="AD3990" s="1"/>
      <c r="AE3990" s="1"/>
      <c r="AF3990" s="1"/>
      <c r="AG3990" s="1"/>
    </row>
    <row r="3991" ht="15.75" customHeight="1">
      <c r="A3991" s="1"/>
      <c r="B3991" s="1"/>
      <c r="C3991" s="1"/>
      <c r="D3991" s="1"/>
      <c r="E3991" s="1"/>
      <c r="F3991" s="1"/>
      <c r="G3991" s="1"/>
      <c r="H3991" s="1"/>
      <c r="I3991" s="1"/>
      <c r="J3991" s="1"/>
      <c r="K3991" s="102" t="s">
        <v>6550</v>
      </c>
      <c r="L3991" s="102" t="str">
        <f>AF406</f>
        <v>J1a2a1a2d2b2b2c4d2a2a5a1b1a5b1a1~</v>
      </c>
      <c r="M3991" s="102" t="s">
        <v>6549</v>
      </c>
      <c r="N3991" s="102"/>
      <c r="O3991" s="105">
        <v>1.6786559E7</v>
      </c>
      <c r="P3991" s="105">
        <v>1.4674679E7</v>
      </c>
      <c r="Q3991" s="102" t="s">
        <v>2439</v>
      </c>
      <c r="S3991" s="1"/>
      <c r="T3991" s="1"/>
      <c r="U3991" s="1"/>
      <c r="V3991" s="1"/>
      <c r="W3991" s="1"/>
      <c r="X3991" s="1"/>
      <c r="Y3991" s="1"/>
      <c r="Z3991" s="102"/>
      <c r="AA3991" s="102"/>
      <c r="AB3991" s="1"/>
      <c r="AC3991" s="1"/>
      <c r="AD3991" s="1"/>
      <c r="AE3991" s="1"/>
      <c r="AF3991" s="1"/>
      <c r="AG3991" s="1"/>
    </row>
    <row r="3992" ht="15.75" customHeight="1">
      <c r="A3992" s="1"/>
      <c r="B3992" s="1"/>
      <c r="C3992" s="1"/>
      <c r="D3992" s="1"/>
      <c r="E3992" s="1"/>
      <c r="F3992" s="1"/>
      <c r="G3992" s="1"/>
      <c r="H3992" s="1"/>
      <c r="I3992" s="1"/>
      <c r="J3992" s="1"/>
      <c r="K3992" s="102" t="s">
        <v>783</v>
      </c>
      <c r="L3992" s="102" t="str">
        <f>AE407</f>
        <v>J1a2a1a2d2b2b2c4d2a2a5a1b1a5b1b~</v>
      </c>
      <c r="M3992" s="102"/>
      <c r="N3992" s="102"/>
      <c r="O3992" s="105">
        <v>2891332.0</v>
      </c>
      <c r="P3992" s="105">
        <v>3023291.0</v>
      </c>
      <c r="Q3992" s="102" t="s">
        <v>2468</v>
      </c>
      <c r="S3992" s="1"/>
      <c r="T3992" s="1"/>
      <c r="U3992" s="1"/>
      <c r="V3992" s="1"/>
      <c r="W3992" s="1"/>
      <c r="X3992" s="1"/>
      <c r="Y3992" s="1"/>
      <c r="Z3992" s="102"/>
      <c r="AA3992" s="102"/>
      <c r="AB3992" s="1"/>
      <c r="AC3992" s="1"/>
      <c r="AD3992" s="1"/>
      <c r="AE3992" s="1"/>
      <c r="AF3992" s="1"/>
      <c r="AG3992" s="1"/>
    </row>
    <row r="3993" ht="15.75" customHeight="1">
      <c r="A3993" s="1"/>
      <c r="B3993" s="1"/>
      <c r="C3993" s="1"/>
      <c r="D3993" s="1"/>
      <c r="E3993" s="1"/>
      <c r="F3993" s="1"/>
      <c r="G3993" s="1"/>
      <c r="H3993" s="1"/>
      <c r="I3993" s="1"/>
      <c r="J3993" s="1"/>
      <c r="K3993" s="102" t="s">
        <v>6551</v>
      </c>
      <c r="L3993" s="102" t="str">
        <f>AF408</f>
        <v>J1a2a1a2d2b2b2c4d2a2a5a1b1a5b1b1~</v>
      </c>
      <c r="M3993" s="102" t="s">
        <v>6552</v>
      </c>
      <c r="N3993" s="102"/>
      <c r="O3993" s="105">
        <v>1.3987336E7</v>
      </c>
      <c r="P3993" s="105">
        <v>1.186663E7</v>
      </c>
      <c r="Q3993" s="102" t="s">
        <v>2468</v>
      </c>
      <c r="S3993" s="1"/>
      <c r="T3993" s="1"/>
      <c r="U3993" s="1"/>
      <c r="V3993" s="1"/>
      <c r="W3993" s="1"/>
      <c r="X3993" s="1"/>
      <c r="Y3993" s="1"/>
      <c r="Z3993" s="102"/>
      <c r="AA3993" s="102"/>
      <c r="AB3993" s="1"/>
      <c r="AC3993" s="1"/>
      <c r="AD3993" s="1"/>
      <c r="AE3993" s="1"/>
      <c r="AF3993" s="1"/>
      <c r="AG3993" s="1"/>
    </row>
    <row r="3994" ht="15.75" customHeight="1">
      <c r="A3994" s="1"/>
      <c r="B3994" s="1"/>
      <c r="C3994" s="1"/>
      <c r="D3994" s="1"/>
      <c r="E3994" s="1"/>
      <c r="F3994" s="1"/>
      <c r="G3994" s="1"/>
      <c r="H3994" s="1"/>
      <c r="I3994" s="1"/>
      <c r="J3994" s="1"/>
      <c r="K3994" s="102" t="s">
        <v>6552</v>
      </c>
      <c r="L3994" s="102" t="str">
        <f>AF408</f>
        <v>J1a2a1a2d2b2b2c4d2a2a5a1b1a5b1b1~</v>
      </c>
      <c r="M3994" s="102" t="s">
        <v>6551</v>
      </c>
      <c r="N3994" s="102"/>
      <c r="O3994" s="105">
        <v>1.3987336E7</v>
      </c>
      <c r="P3994" s="105">
        <v>1.186663E7</v>
      </c>
      <c r="Q3994" s="102" t="s">
        <v>2468</v>
      </c>
      <c r="S3994" s="1"/>
      <c r="T3994" s="1"/>
      <c r="U3994" s="1"/>
      <c r="V3994" s="1"/>
      <c r="W3994" s="1"/>
      <c r="X3994" s="1"/>
      <c r="Y3994" s="1"/>
      <c r="Z3994" s="102"/>
      <c r="AA3994" s="102"/>
      <c r="AB3994" s="1"/>
      <c r="AC3994" s="1"/>
      <c r="AD3994" s="1"/>
      <c r="AE3994" s="1"/>
      <c r="AF3994" s="1"/>
      <c r="AG3994" s="1"/>
    </row>
    <row r="3995" ht="15.75" customHeight="1">
      <c r="A3995" s="1"/>
      <c r="B3995" s="1"/>
      <c r="C3995" s="1"/>
      <c r="D3995" s="1"/>
      <c r="E3995" s="1"/>
      <c r="F3995" s="1"/>
      <c r="G3995" s="1"/>
      <c r="H3995" s="1"/>
      <c r="I3995" s="1"/>
      <c r="J3995" s="1"/>
      <c r="K3995" s="102" t="s">
        <v>6553</v>
      </c>
      <c r="L3995" s="102" t="str">
        <f>AF408</f>
        <v>J1a2a1a2d2b2b2c4d2a2a5a1b1a5b1b1~</v>
      </c>
      <c r="M3995" s="102"/>
      <c r="N3995" s="102"/>
      <c r="O3995" s="102">
        <v>1.5044087E7</v>
      </c>
      <c r="P3995" s="102">
        <v>1.2932177E7</v>
      </c>
      <c r="Q3995" s="102" t="s">
        <v>2529</v>
      </c>
      <c r="S3995" s="1"/>
      <c r="T3995" s="1"/>
      <c r="U3995" s="1"/>
      <c r="V3995" s="1"/>
      <c r="W3995" s="1"/>
      <c r="X3995" s="1"/>
      <c r="Y3995" s="1"/>
      <c r="Z3995" s="102">
        <v>1.5044087E7</v>
      </c>
      <c r="AA3995" s="102"/>
      <c r="AB3995" s="1"/>
      <c r="AC3995" s="1"/>
      <c r="AD3995" s="1"/>
      <c r="AE3995" s="1"/>
      <c r="AF3995" s="1"/>
      <c r="AG3995" s="1"/>
    </row>
    <row r="3996" ht="15.75" customHeight="1">
      <c r="A3996" s="1"/>
      <c r="B3996" s="1"/>
      <c r="C3996" s="1"/>
      <c r="D3996" s="1"/>
      <c r="E3996" s="1"/>
      <c r="F3996" s="1"/>
      <c r="G3996" s="1"/>
      <c r="H3996" s="1"/>
      <c r="I3996" s="1"/>
      <c r="J3996" s="1"/>
      <c r="K3996" s="102" t="s">
        <v>6554</v>
      </c>
      <c r="L3996" s="102" t="str">
        <f t="shared" ref="L3996:L3997" si="63">AF408</f>
        <v>J1a2a1a2d2b2b2c4d2a2a5a1b1a5b1b1~</v>
      </c>
      <c r="M3996" s="102"/>
      <c r="N3996" s="102"/>
      <c r="O3996" s="105">
        <v>1.5809591E7</v>
      </c>
      <c r="P3996" s="105">
        <v>1.3697711E7</v>
      </c>
      <c r="Q3996" s="102" t="s">
        <v>2501</v>
      </c>
      <c r="S3996" s="1"/>
      <c r="T3996" s="1"/>
      <c r="U3996" s="1"/>
      <c r="V3996" s="1"/>
      <c r="W3996" s="1"/>
      <c r="X3996" s="1"/>
      <c r="Y3996" s="1"/>
      <c r="Z3996" s="102"/>
      <c r="AA3996" s="102"/>
      <c r="AB3996" s="1"/>
      <c r="AC3996" s="1"/>
      <c r="AD3996" s="1"/>
      <c r="AE3996" s="1"/>
      <c r="AF3996" s="1"/>
      <c r="AG3996" s="1"/>
    </row>
    <row r="3997" ht="15.75" customHeight="1">
      <c r="A3997" s="1"/>
      <c r="B3997" s="1"/>
      <c r="C3997" s="1"/>
      <c r="D3997" s="1"/>
      <c r="E3997" s="1"/>
      <c r="F3997" s="1"/>
      <c r="G3997" s="1"/>
      <c r="H3997" s="1"/>
      <c r="I3997" s="1"/>
      <c r="J3997" s="1"/>
      <c r="K3997" s="102" t="s">
        <v>787</v>
      </c>
      <c r="L3997" s="102" t="str">
        <f t="shared" si="63"/>
        <v>J1a2a1a2d2b2b2c4d2a2a5a1b1a5b1b2~</v>
      </c>
      <c r="M3997" s="102"/>
      <c r="N3997" s="102"/>
      <c r="O3997" s="105">
        <v>1.8722163E7</v>
      </c>
      <c r="P3997" s="105">
        <v>1.6610283E7</v>
      </c>
      <c r="Q3997" s="102" t="s">
        <v>2468</v>
      </c>
      <c r="S3997" s="1"/>
      <c r="T3997" s="1"/>
      <c r="U3997" s="1"/>
      <c r="V3997" s="1"/>
      <c r="W3997" s="1"/>
      <c r="X3997" s="1"/>
      <c r="Y3997" s="1"/>
      <c r="Z3997" s="102"/>
      <c r="AA3997" s="102"/>
      <c r="AB3997" s="1"/>
      <c r="AC3997" s="1"/>
      <c r="AD3997" s="1"/>
      <c r="AE3997" s="1"/>
      <c r="AF3997" s="1"/>
      <c r="AG3997" s="1"/>
    </row>
    <row r="3998" ht="15.75" customHeight="1">
      <c r="A3998" s="1"/>
      <c r="B3998" s="1"/>
      <c r="C3998" s="1"/>
      <c r="D3998" s="1"/>
      <c r="E3998" s="1"/>
      <c r="F3998" s="1"/>
      <c r="G3998" s="1"/>
      <c r="H3998" s="1"/>
      <c r="I3998" s="1"/>
      <c r="J3998" s="1"/>
      <c r="K3998" s="102" t="s">
        <v>6555</v>
      </c>
      <c r="L3998" s="102" t="str">
        <f>AG410</f>
        <v>J1a2a1a2d2b2b2c4d2a2a5a1b1a5b1b2a~</v>
      </c>
      <c r="M3998" s="102"/>
      <c r="N3998" s="102"/>
      <c r="O3998" s="105">
        <v>8557817.0</v>
      </c>
      <c r="P3998" s="105">
        <v>8689776.0</v>
      </c>
      <c r="Q3998" s="102" t="s">
        <v>2529</v>
      </c>
      <c r="S3998" s="1"/>
      <c r="T3998" s="1"/>
      <c r="U3998" s="1"/>
      <c r="V3998" s="1"/>
      <c r="W3998" s="1"/>
      <c r="X3998" s="1"/>
      <c r="Y3998" s="1"/>
      <c r="Z3998" s="102"/>
      <c r="AA3998" s="102"/>
      <c r="AB3998" s="1"/>
      <c r="AC3998" s="1"/>
      <c r="AD3998" s="1"/>
      <c r="AE3998" s="1"/>
      <c r="AF3998" s="1"/>
      <c r="AG3998" s="1"/>
    </row>
    <row r="3999" ht="15.75" customHeight="1">
      <c r="A3999" s="1"/>
      <c r="B3999" s="1"/>
      <c r="C3999" s="1"/>
      <c r="D3999" s="1"/>
      <c r="E3999" s="1"/>
      <c r="F3999" s="1"/>
      <c r="G3999" s="1"/>
      <c r="H3999" s="1"/>
      <c r="I3999" s="1"/>
      <c r="J3999" s="1"/>
      <c r="K3999" s="102" t="s">
        <v>6556</v>
      </c>
      <c r="L3999" s="102" t="str">
        <f>AG410</f>
        <v>J1a2a1a2d2b2b2c4d2a2a5a1b1a5b1b2a~</v>
      </c>
      <c r="M3999" s="102"/>
      <c r="N3999" s="102"/>
      <c r="O3999" s="105">
        <v>9641567.0</v>
      </c>
      <c r="P3999" s="105">
        <v>9803958.0</v>
      </c>
      <c r="Q3999" s="102" t="s">
        <v>2533</v>
      </c>
      <c r="S3999" s="1"/>
      <c r="T3999" s="1"/>
      <c r="U3999" s="1"/>
      <c r="V3999" s="1"/>
      <c r="W3999" s="1"/>
      <c r="X3999" s="1"/>
      <c r="Y3999" s="1"/>
      <c r="Z3999" s="102"/>
      <c r="AA3999" s="102"/>
      <c r="AB3999" s="1"/>
      <c r="AC3999" s="1"/>
      <c r="AD3999" s="1"/>
      <c r="AE3999" s="1"/>
      <c r="AF3999" s="1"/>
      <c r="AG3999" s="1"/>
    </row>
    <row r="4000" ht="15.75" customHeight="1">
      <c r="A4000" s="1"/>
      <c r="B4000" s="1"/>
      <c r="C4000" s="1"/>
      <c r="D4000" s="1"/>
      <c r="E4000" s="1"/>
      <c r="F4000" s="1"/>
      <c r="G4000" s="1"/>
      <c r="H4000" s="1"/>
      <c r="I4000" s="1"/>
      <c r="J4000" s="1"/>
      <c r="K4000" s="102" t="s">
        <v>6557</v>
      </c>
      <c r="L4000" s="102" t="str">
        <f>AG410</f>
        <v>J1a2a1a2d2b2b2c4d2a2a5a1b1a5b1b2a~</v>
      </c>
      <c r="M4000" s="102"/>
      <c r="N4000" s="102"/>
      <c r="O4000" s="105">
        <v>1.593428E7</v>
      </c>
      <c r="P4000" s="105">
        <v>1.38224E7</v>
      </c>
      <c r="Q4000" s="102" t="s">
        <v>2533</v>
      </c>
      <c r="S4000" s="1"/>
      <c r="T4000" s="1"/>
      <c r="U4000" s="1"/>
      <c r="V4000" s="1"/>
      <c r="W4000" s="1"/>
      <c r="X4000" s="1"/>
      <c r="Y4000" s="1"/>
      <c r="Z4000" s="102"/>
      <c r="AA4000" s="102"/>
      <c r="AB4000" s="1"/>
      <c r="AC4000" s="1"/>
      <c r="AD4000" s="1"/>
      <c r="AE4000" s="1"/>
      <c r="AF4000" s="1"/>
      <c r="AG4000" s="1"/>
    </row>
    <row r="4001" ht="15.75" customHeight="1">
      <c r="A4001" s="1"/>
      <c r="B4001" s="1"/>
      <c r="C4001" s="1"/>
      <c r="D4001" s="1"/>
      <c r="E4001" s="1"/>
      <c r="F4001" s="1"/>
      <c r="G4001" s="1"/>
      <c r="H4001" s="1"/>
      <c r="I4001" s="1"/>
      <c r="J4001" s="1"/>
      <c r="K4001" s="102" t="s">
        <v>791</v>
      </c>
      <c r="L4001" s="102" t="str">
        <f>AB411</f>
        <v>J1a2a1a2d2b2b2c4d2a2a5a1b1a6~</v>
      </c>
      <c r="M4001" s="102"/>
      <c r="N4001" s="102"/>
      <c r="O4001" s="105">
        <v>2.1176295E7</v>
      </c>
      <c r="P4001" s="105">
        <v>1.9014409E7</v>
      </c>
      <c r="Q4001" s="102" t="s">
        <v>2529</v>
      </c>
      <c r="S4001" s="1"/>
      <c r="T4001" s="1"/>
      <c r="U4001" s="1"/>
      <c r="V4001" s="1"/>
      <c r="W4001" s="1"/>
      <c r="X4001" s="1"/>
      <c r="Y4001" s="1"/>
      <c r="Z4001" s="102"/>
      <c r="AA4001" s="102"/>
      <c r="AB4001" s="1"/>
      <c r="AC4001" s="1"/>
      <c r="AD4001" s="1"/>
      <c r="AE4001" s="1"/>
      <c r="AF4001" s="1"/>
      <c r="AG4001" s="1"/>
    </row>
    <row r="4002" ht="15.75" customHeight="1">
      <c r="A4002" s="1"/>
      <c r="B4002" s="1"/>
      <c r="C4002" s="1"/>
      <c r="D4002" s="1"/>
      <c r="E4002" s="1"/>
      <c r="F4002" s="1"/>
      <c r="G4002" s="1"/>
      <c r="H4002" s="1"/>
      <c r="I4002" s="1"/>
      <c r="J4002" s="1"/>
      <c r="K4002" s="102" t="s">
        <v>6558</v>
      </c>
      <c r="L4002" s="102" t="str">
        <f>AC412</f>
        <v>J1a2a1a2d2b2b2c4d2a2a5a1b1a6a~</v>
      </c>
      <c r="M4002" s="102"/>
      <c r="N4002" s="102"/>
      <c r="O4002" s="105">
        <v>8157612.0</v>
      </c>
      <c r="P4002" s="105">
        <v>8289571.0</v>
      </c>
      <c r="Q4002" s="102" t="s">
        <v>2533</v>
      </c>
      <c r="S4002" s="1"/>
      <c r="T4002" s="1"/>
      <c r="U4002" s="1"/>
      <c r="V4002" s="1"/>
      <c r="W4002" s="1"/>
      <c r="X4002" s="1"/>
      <c r="Y4002" s="1"/>
      <c r="Z4002" s="102"/>
      <c r="AA4002" s="102"/>
      <c r="AB4002" s="1"/>
      <c r="AC4002" s="1"/>
      <c r="AD4002" s="1"/>
      <c r="AE4002" s="1"/>
      <c r="AF4002" s="1"/>
      <c r="AG4002" s="1"/>
    </row>
    <row r="4003" ht="15.75" customHeight="1">
      <c r="A4003" s="1"/>
      <c r="B4003" s="1"/>
      <c r="C4003" s="1"/>
      <c r="D4003" s="1"/>
      <c r="E4003" s="1"/>
      <c r="F4003" s="1"/>
      <c r="G4003" s="1"/>
      <c r="H4003" s="1"/>
      <c r="I4003" s="1"/>
      <c r="J4003" s="1"/>
      <c r="K4003" s="102" t="s">
        <v>6559</v>
      </c>
      <c r="L4003" s="102" t="str">
        <f>AC412</f>
        <v>J1a2a1a2d2b2b2c4d2a2a5a1b1a6a~</v>
      </c>
      <c r="M4003" s="102"/>
      <c r="N4003" s="102" t="s">
        <v>6560</v>
      </c>
      <c r="O4003" s="105">
        <v>2.1316642E7</v>
      </c>
      <c r="P4003" s="105">
        <v>1.9154756E7</v>
      </c>
      <c r="Q4003" s="102" t="s">
        <v>2432</v>
      </c>
      <c r="S4003" s="1"/>
      <c r="T4003" s="1"/>
      <c r="U4003" s="1"/>
      <c r="V4003" s="1"/>
      <c r="W4003" s="1"/>
      <c r="X4003" s="1"/>
      <c r="Y4003" s="1"/>
      <c r="Z4003" s="102"/>
      <c r="AA4003" s="102"/>
      <c r="AB4003" s="1"/>
      <c r="AC4003" s="1"/>
      <c r="AD4003" s="1"/>
      <c r="AE4003" s="1"/>
      <c r="AF4003" s="1"/>
      <c r="AG4003" s="1"/>
    </row>
    <row r="4004" ht="15.75" customHeight="1">
      <c r="A4004" s="1"/>
      <c r="B4004" s="1"/>
      <c r="C4004" s="1"/>
      <c r="D4004" s="1"/>
      <c r="E4004" s="1"/>
      <c r="F4004" s="1"/>
      <c r="G4004" s="1"/>
      <c r="H4004" s="1"/>
      <c r="I4004" s="1"/>
      <c r="J4004" s="1"/>
      <c r="K4004" s="102" t="s">
        <v>6561</v>
      </c>
      <c r="L4004" s="102" t="str">
        <f>AA413</f>
        <v>J1a2a1a2d2b2b2c4d2a2a5a1b1b~</v>
      </c>
      <c r="M4004" s="102"/>
      <c r="N4004" s="102"/>
      <c r="O4004" s="105">
        <v>1.6340545E7</v>
      </c>
      <c r="P4004" s="105">
        <v>1.4228665E7</v>
      </c>
      <c r="Q4004" s="102" t="s">
        <v>2563</v>
      </c>
      <c r="S4004" s="1"/>
      <c r="T4004" s="1"/>
      <c r="U4004" s="1"/>
      <c r="V4004" s="1"/>
      <c r="W4004" s="1"/>
      <c r="X4004" s="1"/>
      <c r="Y4004" s="1"/>
      <c r="Z4004" s="102"/>
      <c r="AA4004" s="102"/>
      <c r="AB4004" s="1"/>
      <c r="AC4004" s="1"/>
      <c r="AD4004" s="1"/>
      <c r="AE4004" s="1"/>
      <c r="AF4004" s="1"/>
      <c r="AG4004" s="1"/>
    </row>
    <row r="4005" ht="15.75" customHeight="1">
      <c r="A4005" s="1"/>
      <c r="B4005" s="1"/>
      <c r="C4005" s="1"/>
      <c r="D4005" s="1"/>
      <c r="E4005" s="1"/>
      <c r="F4005" s="1"/>
      <c r="G4005" s="1"/>
      <c r="H4005" s="1"/>
      <c r="I4005" s="1"/>
      <c r="J4005" s="1"/>
      <c r="K4005" s="102" t="s">
        <v>6562</v>
      </c>
      <c r="L4005" s="102" t="str">
        <f>AA413</f>
        <v>J1a2a1a2d2b2b2c4d2a2a5a1b1b~</v>
      </c>
      <c r="M4005" s="102"/>
      <c r="N4005" s="102"/>
      <c r="O4005" s="105">
        <v>2.3131616E7</v>
      </c>
      <c r="P4005" s="105">
        <v>2.096973E7</v>
      </c>
      <c r="Q4005" s="102" t="s">
        <v>2446</v>
      </c>
      <c r="S4005" s="1"/>
      <c r="T4005" s="1"/>
      <c r="U4005" s="1"/>
      <c r="V4005" s="1"/>
      <c r="W4005" s="1"/>
      <c r="X4005" s="1"/>
      <c r="Y4005" s="1"/>
      <c r="Z4005" s="102"/>
      <c r="AA4005" s="102"/>
      <c r="AB4005" s="1"/>
      <c r="AC4005" s="1"/>
      <c r="AD4005" s="1"/>
      <c r="AE4005" s="1"/>
      <c r="AF4005" s="1"/>
      <c r="AG4005" s="1"/>
    </row>
    <row r="4006" ht="15.75" customHeight="1">
      <c r="A4006" s="1"/>
      <c r="B4006" s="1"/>
      <c r="C4006" s="1"/>
      <c r="D4006" s="1"/>
      <c r="E4006" s="1"/>
      <c r="F4006" s="1"/>
      <c r="G4006" s="1"/>
      <c r="H4006" s="1"/>
      <c r="I4006" s="1"/>
      <c r="J4006" s="1"/>
      <c r="K4006" s="102" t="s">
        <v>6563</v>
      </c>
      <c r="L4006" s="102" t="str">
        <f>AB414</f>
        <v>J1a2a1a2d2b2b2c4d2a2a5a1b1b1~</v>
      </c>
      <c r="M4006" s="102" t="s">
        <v>6564</v>
      </c>
      <c r="N4006" s="102"/>
      <c r="O4006" s="105">
        <v>1.5757958E7</v>
      </c>
      <c r="P4006" s="105">
        <v>1.3646078E7</v>
      </c>
      <c r="Q4006" s="102" t="s">
        <v>2514</v>
      </c>
      <c r="S4006" s="1"/>
      <c r="T4006" s="1"/>
      <c r="U4006" s="1"/>
      <c r="V4006" s="1"/>
      <c r="W4006" s="1"/>
      <c r="X4006" s="1"/>
      <c r="Y4006" s="1"/>
      <c r="Z4006" s="102"/>
      <c r="AA4006" s="102"/>
      <c r="AB4006" s="1"/>
      <c r="AC4006" s="1"/>
      <c r="AD4006" s="1"/>
      <c r="AE4006" s="1"/>
      <c r="AF4006" s="1"/>
      <c r="AG4006" s="1"/>
    </row>
    <row r="4007" ht="15.75" customHeight="1">
      <c r="A4007" s="1"/>
      <c r="B4007" s="1"/>
      <c r="C4007" s="1"/>
      <c r="D4007" s="1"/>
      <c r="E4007" s="1"/>
      <c r="F4007" s="1"/>
      <c r="G4007" s="1"/>
      <c r="H4007" s="1"/>
      <c r="I4007" s="1"/>
      <c r="J4007" s="1"/>
      <c r="K4007" s="102" t="s">
        <v>6564</v>
      </c>
      <c r="L4007" s="102" t="str">
        <f>AB414</f>
        <v>J1a2a1a2d2b2b2c4d2a2a5a1b1b1~</v>
      </c>
      <c r="M4007" s="102" t="s">
        <v>6563</v>
      </c>
      <c r="N4007" s="102"/>
      <c r="O4007" s="105">
        <v>1.5757958E7</v>
      </c>
      <c r="P4007" s="105">
        <v>1.3646078E7</v>
      </c>
      <c r="Q4007" s="102" t="s">
        <v>2514</v>
      </c>
      <c r="S4007" s="1"/>
      <c r="T4007" s="1"/>
      <c r="U4007" s="1"/>
      <c r="V4007" s="1"/>
      <c r="W4007" s="1"/>
      <c r="X4007" s="1"/>
      <c r="Y4007" s="1"/>
      <c r="Z4007" s="102"/>
      <c r="AA4007" s="102"/>
      <c r="AB4007" s="1"/>
      <c r="AC4007" s="1"/>
      <c r="AD4007" s="1"/>
      <c r="AE4007" s="1"/>
      <c r="AF4007" s="1"/>
      <c r="AG4007" s="1"/>
    </row>
    <row r="4008" ht="15.75" customHeight="1">
      <c r="A4008" s="1"/>
      <c r="B4008" s="1"/>
      <c r="C4008" s="1"/>
      <c r="D4008" s="1"/>
      <c r="E4008" s="1"/>
      <c r="F4008" s="1"/>
      <c r="G4008" s="1"/>
      <c r="H4008" s="1"/>
      <c r="I4008" s="1"/>
      <c r="J4008" s="1"/>
      <c r="K4008" s="102" t="s">
        <v>6565</v>
      </c>
      <c r="L4008" s="102" t="str">
        <f t="shared" ref="L4008:L4009" si="64">AB414</f>
        <v>J1a2a1a2d2b2b2c4d2a2a5a1b1b1~</v>
      </c>
      <c r="M4008" s="102"/>
      <c r="N4008" s="102"/>
      <c r="O4008" s="105">
        <v>2.302076E7</v>
      </c>
      <c r="P4008" s="105">
        <v>2.0858874E7</v>
      </c>
      <c r="Q4008" s="102" t="s">
        <v>2468</v>
      </c>
      <c r="S4008" s="1"/>
      <c r="T4008" s="1"/>
      <c r="U4008" s="1"/>
      <c r="V4008" s="1"/>
      <c r="W4008" s="1"/>
      <c r="X4008" s="1"/>
      <c r="Y4008" s="1"/>
      <c r="Z4008" s="102"/>
      <c r="AA4008" s="102"/>
      <c r="AB4008" s="1"/>
      <c r="AC4008" s="1"/>
      <c r="AD4008" s="1"/>
      <c r="AE4008" s="1"/>
      <c r="AF4008" s="1"/>
      <c r="AG4008" s="1"/>
    </row>
    <row r="4009" ht="15.75" customHeight="1">
      <c r="A4009" s="1"/>
      <c r="B4009" s="1"/>
      <c r="C4009" s="1"/>
      <c r="D4009" s="1"/>
      <c r="E4009" s="1"/>
      <c r="F4009" s="1"/>
      <c r="G4009" s="1"/>
      <c r="H4009" s="1"/>
      <c r="I4009" s="1"/>
      <c r="J4009" s="1"/>
      <c r="K4009" s="102" t="s">
        <v>6566</v>
      </c>
      <c r="L4009" s="102" t="str">
        <f t="shared" si="64"/>
        <v>J1a2a1a2d2b2b2c4d2a2a5a1b1b2~</v>
      </c>
      <c r="M4009" s="102"/>
      <c r="N4009" s="102"/>
      <c r="O4009" s="105">
        <v>8579574.0</v>
      </c>
      <c r="P4009" s="105">
        <v>8711533.0</v>
      </c>
      <c r="Q4009" s="102" t="s">
        <v>2501</v>
      </c>
      <c r="S4009" s="1"/>
      <c r="T4009" s="1"/>
      <c r="U4009" s="1"/>
      <c r="V4009" s="1"/>
      <c r="W4009" s="1"/>
      <c r="X4009" s="1"/>
      <c r="Y4009" s="1"/>
      <c r="Z4009" s="102"/>
      <c r="AA4009" s="102"/>
      <c r="AB4009" s="1"/>
      <c r="AC4009" s="1"/>
      <c r="AD4009" s="1"/>
      <c r="AE4009" s="1"/>
      <c r="AF4009" s="1"/>
      <c r="AG4009" s="1"/>
    </row>
    <row r="4010" ht="15.75" customHeight="1">
      <c r="A4010" s="1"/>
      <c r="B4010" s="1"/>
      <c r="C4010" s="1"/>
      <c r="D4010" s="1"/>
      <c r="E4010" s="1"/>
      <c r="F4010" s="1"/>
      <c r="G4010" s="1"/>
      <c r="H4010" s="1"/>
      <c r="I4010" s="1"/>
      <c r="J4010" s="1"/>
      <c r="K4010" s="102" t="s">
        <v>6567</v>
      </c>
      <c r="L4010" s="102" t="str">
        <f t="shared" ref="L4010:L4011" si="65">AB415</f>
        <v>J1a2a1a2d2b2b2c4d2a2a5a1b1b2~</v>
      </c>
      <c r="M4010" s="102"/>
      <c r="N4010" s="102"/>
      <c r="O4010" s="105">
        <v>1.7409828E7</v>
      </c>
      <c r="P4010" s="105">
        <v>1.5297948E7</v>
      </c>
      <c r="Q4010" s="102" t="s">
        <v>2533</v>
      </c>
      <c r="S4010" s="1"/>
      <c r="T4010" s="1"/>
      <c r="U4010" s="1"/>
      <c r="V4010" s="1"/>
      <c r="W4010" s="1"/>
      <c r="X4010" s="1"/>
      <c r="Y4010" s="1"/>
      <c r="Z4010" s="102"/>
      <c r="AA4010" s="102"/>
      <c r="AB4010" s="1"/>
      <c r="AC4010" s="1"/>
      <c r="AD4010" s="1"/>
      <c r="AE4010" s="1"/>
      <c r="AF4010" s="1"/>
      <c r="AG4010" s="1"/>
    </row>
    <row r="4011" ht="15.75" customHeight="1">
      <c r="A4011" s="1"/>
      <c r="B4011" s="1"/>
      <c r="C4011" s="1"/>
      <c r="D4011" s="1"/>
      <c r="E4011" s="1"/>
      <c r="F4011" s="1"/>
      <c r="G4011" s="1"/>
      <c r="H4011" s="1"/>
      <c r="I4011" s="1"/>
      <c r="J4011" s="1"/>
      <c r="K4011" s="102" t="s">
        <v>801</v>
      </c>
      <c r="L4011" s="102" t="str">
        <f t="shared" si="65"/>
        <v>J1a2a1a2d2b2b2c4d2a2a5a1b1b3~</v>
      </c>
      <c r="M4011" s="102"/>
      <c r="N4011" s="102"/>
      <c r="O4011" s="105">
        <v>1.59513E7</v>
      </c>
      <c r="P4011" s="105">
        <v>1.383942E7</v>
      </c>
      <c r="Q4011" s="102" t="s">
        <v>2514</v>
      </c>
      <c r="S4011" s="1"/>
      <c r="T4011" s="1"/>
      <c r="U4011" s="1"/>
      <c r="V4011" s="1"/>
      <c r="W4011" s="1"/>
      <c r="X4011" s="1"/>
      <c r="Y4011" s="1"/>
      <c r="Z4011" s="102"/>
      <c r="AA4011" s="102"/>
      <c r="AB4011" s="1"/>
      <c r="AC4011" s="1"/>
      <c r="AD4011" s="1"/>
      <c r="AE4011" s="1"/>
      <c r="AF4011" s="1"/>
      <c r="AG4011" s="1"/>
    </row>
    <row r="4012" ht="15.75" customHeight="1">
      <c r="A4012" s="1"/>
      <c r="B4012" s="1"/>
      <c r="C4012" s="1"/>
      <c r="D4012" s="1"/>
      <c r="E4012" s="1"/>
      <c r="F4012" s="1"/>
      <c r="G4012" s="1"/>
      <c r="H4012" s="1"/>
      <c r="I4012" s="1"/>
      <c r="J4012" s="1"/>
      <c r="K4012" s="102" t="s">
        <v>803</v>
      </c>
      <c r="L4012" s="102" t="str">
        <f t="shared" ref="L4012:L4013" si="66">Z417</f>
        <v>J1a2a1a2d2b2b2c4d2a2a5a1b2~</v>
      </c>
      <c r="M4012" s="102"/>
      <c r="N4012" s="102" t="s">
        <v>6568</v>
      </c>
      <c r="O4012" s="105">
        <v>1.42515E7</v>
      </c>
      <c r="P4012" s="105">
        <v>1.2130794E7</v>
      </c>
      <c r="Q4012" s="102" t="s">
        <v>2533</v>
      </c>
      <c r="S4012" s="1"/>
      <c r="T4012" s="1"/>
      <c r="U4012" s="1"/>
      <c r="V4012" s="1"/>
      <c r="W4012" s="1"/>
      <c r="X4012" s="1"/>
      <c r="Y4012" s="1"/>
      <c r="Z4012" s="102"/>
      <c r="AA4012" s="102"/>
      <c r="AB4012" s="1"/>
      <c r="AC4012" s="1"/>
      <c r="AD4012" s="1"/>
      <c r="AE4012" s="1"/>
      <c r="AF4012" s="1"/>
      <c r="AG4012" s="1"/>
    </row>
    <row r="4013" ht="15.75" customHeight="1">
      <c r="A4013" s="1"/>
      <c r="B4013" s="1"/>
      <c r="C4013" s="1"/>
      <c r="D4013" s="1"/>
      <c r="E4013" s="1"/>
      <c r="F4013" s="1"/>
      <c r="G4013" s="1"/>
      <c r="H4013" s="1"/>
      <c r="I4013" s="1"/>
      <c r="J4013" s="1"/>
      <c r="K4013" s="106" t="s">
        <v>6569</v>
      </c>
      <c r="L4013" s="102" t="str">
        <f t="shared" si="66"/>
        <v>J1a2a1a2d2b2b2c4d2a2a5a1b3~</v>
      </c>
      <c r="M4013" s="102" t="s">
        <v>6570</v>
      </c>
      <c r="N4013" s="102"/>
      <c r="O4013" s="105">
        <v>8069233.0</v>
      </c>
      <c r="P4013" s="105">
        <v>8201192.0</v>
      </c>
      <c r="Q4013" s="102" t="s">
        <v>2468</v>
      </c>
      <c r="S4013" s="1"/>
      <c r="T4013" s="1"/>
      <c r="U4013" s="1"/>
      <c r="V4013" s="1"/>
      <c r="W4013" s="1"/>
      <c r="X4013" s="1"/>
      <c r="Y4013" s="1"/>
      <c r="Z4013" s="102">
        <v>1.6431999E7</v>
      </c>
      <c r="AA4013" s="102" t="s">
        <v>6571</v>
      </c>
      <c r="AB4013" s="1"/>
      <c r="AC4013" s="1"/>
      <c r="AD4013" s="1"/>
      <c r="AE4013" s="1"/>
      <c r="AF4013" s="1"/>
      <c r="AG4013" s="1"/>
    </row>
    <row r="4014" ht="15.75" customHeight="1">
      <c r="A4014" s="1"/>
      <c r="B4014" s="1"/>
      <c r="C4014" s="1"/>
      <c r="D4014" s="1"/>
      <c r="E4014" s="1"/>
      <c r="F4014" s="1"/>
      <c r="G4014" s="1"/>
      <c r="H4014" s="1"/>
      <c r="I4014" s="1"/>
      <c r="J4014" s="1"/>
      <c r="K4014" s="102" t="s">
        <v>6570</v>
      </c>
      <c r="L4014" s="102" t="str">
        <f t="shared" ref="L4014:L4015" si="67">Z418</f>
        <v>J1a2a1a2d2b2b2c4d2a2a5a1b3~</v>
      </c>
      <c r="M4014" s="106" t="s">
        <v>6569</v>
      </c>
      <c r="N4014" s="102"/>
      <c r="O4014" s="105">
        <v>8069233.0</v>
      </c>
      <c r="P4014" s="105">
        <v>8201192.0</v>
      </c>
      <c r="Q4014" s="102" t="s">
        <v>2468</v>
      </c>
      <c r="S4014" s="1"/>
      <c r="T4014" s="1"/>
      <c r="U4014" s="1"/>
      <c r="V4014" s="1"/>
      <c r="W4014" s="1"/>
      <c r="X4014" s="1"/>
      <c r="Y4014" s="1"/>
      <c r="Z4014" s="102"/>
      <c r="AA4014" s="102"/>
      <c r="AB4014" s="1"/>
      <c r="AC4014" s="1"/>
      <c r="AD4014" s="1"/>
      <c r="AE4014" s="1"/>
      <c r="AF4014" s="1"/>
      <c r="AG4014" s="1"/>
    </row>
    <row r="4015" ht="15.75" customHeight="1">
      <c r="A4015" s="1"/>
      <c r="B4015" s="1"/>
      <c r="C4015" s="1"/>
      <c r="D4015" s="1"/>
      <c r="E4015" s="1"/>
      <c r="F4015" s="1"/>
      <c r="G4015" s="1"/>
      <c r="H4015" s="1"/>
      <c r="I4015" s="1"/>
      <c r="J4015" s="1"/>
      <c r="K4015" s="102" t="s">
        <v>6572</v>
      </c>
      <c r="L4015" s="102" t="str">
        <f t="shared" si="67"/>
        <v>J1a2a1a2d2b2b2c4d2a2a5a1b4~</v>
      </c>
      <c r="M4015" s="102" t="s">
        <v>6573</v>
      </c>
      <c r="N4015" s="102"/>
      <c r="O4015" s="105">
        <v>1.005957E7</v>
      </c>
      <c r="P4015" s="105">
        <v>1.0221961E7</v>
      </c>
      <c r="Q4015" s="102" t="s">
        <v>2576</v>
      </c>
      <c r="S4015" s="1"/>
      <c r="T4015" s="1"/>
      <c r="U4015" s="1"/>
      <c r="V4015" s="1"/>
      <c r="W4015" s="1"/>
      <c r="X4015" s="1"/>
      <c r="Y4015" s="1"/>
      <c r="Z4015" s="102"/>
      <c r="AA4015" s="102"/>
      <c r="AB4015" s="1"/>
      <c r="AC4015" s="1"/>
      <c r="AD4015" s="1"/>
      <c r="AE4015" s="1"/>
      <c r="AF4015" s="1"/>
      <c r="AG4015" s="1"/>
    </row>
    <row r="4016" ht="15.75" customHeight="1">
      <c r="A4016" s="1"/>
      <c r="B4016" s="1"/>
      <c r="C4016" s="1"/>
      <c r="D4016" s="1"/>
      <c r="E4016" s="1"/>
      <c r="F4016" s="1"/>
      <c r="G4016" s="1"/>
      <c r="H4016" s="1"/>
      <c r="I4016" s="1"/>
      <c r="J4016" s="1"/>
      <c r="K4016" s="102" t="s">
        <v>6573</v>
      </c>
      <c r="L4016" s="102" t="str">
        <f>Z419</f>
        <v>J1a2a1a2d2b2b2c4d2a2a5a1b4~</v>
      </c>
      <c r="M4016" s="102" t="s">
        <v>6572</v>
      </c>
      <c r="N4016" s="102"/>
      <c r="O4016" s="105">
        <v>1.005957E7</v>
      </c>
      <c r="P4016" s="105">
        <v>1.0221961E7</v>
      </c>
      <c r="Q4016" s="102" t="s">
        <v>2576</v>
      </c>
      <c r="S4016" s="1"/>
      <c r="T4016" s="1"/>
      <c r="U4016" s="1"/>
      <c r="V4016" s="1"/>
      <c r="W4016" s="1"/>
      <c r="X4016" s="1"/>
      <c r="Y4016" s="1"/>
      <c r="Z4016" s="102"/>
      <c r="AA4016" s="102"/>
      <c r="AB4016" s="1"/>
      <c r="AC4016" s="1"/>
      <c r="AD4016" s="1"/>
      <c r="AE4016" s="1"/>
      <c r="AF4016" s="1"/>
      <c r="AG4016" s="1"/>
    </row>
    <row r="4017" ht="15.75" customHeight="1">
      <c r="A4017" s="1"/>
      <c r="B4017" s="1"/>
      <c r="C4017" s="1"/>
      <c r="D4017" s="1"/>
      <c r="E4017" s="1"/>
      <c r="F4017" s="1"/>
      <c r="G4017" s="1"/>
      <c r="H4017" s="1"/>
      <c r="I4017" s="1"/>
      <c r="J4017" s="1"/>
      <c r="K4017" s="102" t="s">
        <v>6574</v>
      </c>
      <c r="L4017" s="102" t="str">
        <f>Z419</f>
        <v>J1a2a1a2d2b2b2c4d2a2a5a1b4~</v>
      </c>
      <c r="M4017" s="102"/>
      <c r="N4017" s="102"/>
      <c r="O4017" s="105">
        <v>1.4322859E7</v>
      </c>
      <c r="P4017" s="105">
        <v>1.2202153E7</v>
      </c>
      <c r="Q4017" s="102" t="s">
        <v>2446</v>
      </c>
      <c r="S4017" s="1"/>
      <c r="T4017" s="1"/>
      <c r="U4017" s="1"/>
      <c r="V4017" s="1"/>
      <c r="W4017" s="1"/>
      <c r="X4017" s="1"/>
      <c r="Y4017" s="1"/>
      <c r="Z4017" s="102"/>
      <c r="AA4017" s="102"/>
      <c r="AB4017" s="1"/>
      <c r="AC4017" s="1"/>
      <c r="AD4017" s="1"/>
      <c r="AE4017" s="1"/>
      <c r="AF4017" s="1"/>
      <c r="AG4017" s="1"/>
    </row>
    <row r="4018" ht="15.75" customHeight="1">
      <c r="A4018" s="1"/>
      <c r="B4018" s="1"/>
      <c r="C4018" s="1"/>
      <c r="D4018" s="1"/>
      <c r="E4018" s="1"/>
      <c r="F4018" s="1"/>
      <c r="G4018" s="1"/>
      <c r="H4018" s="1"/>
      <c r="I4018" s="1"/>
      <c r="J4018" s="1"/>
      <c r="K4018" s="102" t="s">
        <v>6575</v>
      </c>
      <c r="L4018" s="102" t="str">
        <f>Z419</f>
        <v>J1a2a1a2d2b2b2c4d2a2a5a1b4~</v>
      </c>
      <c r="M4018" s="102"/>
      <c r="N4018" s="102"/>
      <c r="O4018" s="105">
        <v>7761296.0</v>
      </c>
      <c r="P4018" s="105">
        <v>7893255.0</v>
      </c>
      <c r="Q4018" s="102" t="s">
        <v>2533</v>
      </c>
      <c r="S4018" s="1"/>
      <c r="T4018" s="1"/>
      <c r="U4018" s="1"/>
      <c r="V4018" s="1"/>
      <c r="W4018" s="1"/>
      <c r="X4018" s="1"/>
      <c r="Y4018" s="1"/>
      <c r="Z4018" s="102"/>
      <c r="AA4018" s="102"/>
      <c r="AB4018" s="1"/>
      <c r="AC4018" s="1"/>
      <c r="AD4018" s="1"/>
      <c r="AE4018" s="1"/>
      <c r="AF4018" s="1"/>
      <c r="AG4018" s="1"/>
    </row>
    <row r="4019" ht="15.75" customHeight="1">
      <c r="A4019" s="1"/>
      <c r="B4019" s="1"/>
      <c r="C4019" s="1"/>
      <c r="D4019" s="1"/>
      <c r="E4019" s="1"/>
      <c r="F4019" s="1"/>
      <c r="G4019" s="1"/>
      <c r="H4019" s="1"/>
      <c r="I4019" s="1"/>
      <c r="J4019" s="1"/>
      <c r="K4019" s="102" t="s">
        <v>6576</v>
      </c>
      <c r="L4019" s="102" t="str">
        <f>Z419</f>
        <v>J1a2a1a2d2b2b2c4d2a2a5a1b4~</v>
      </c>
      <c r="M4019" s="102"/>
      <c r="N4019" s="102"/>
      <c r="O4019" s="105">
        <v>2802953.0</v>
      </c>
      <c r="P4019" s="105">
        <v>2934912.0</v>
      </c>
      <c r="Q4019" s="102" t="s">
        <v>2439</v>
      </c>
      <c r="S4019" s="1"/>
      <c r="T4019" s="1"/>
      <c r="U4019" s="1"/>
      <c r="V4019" s="1"/>
      <c r="W4019" s="1"/>
      <c r="X4019" s="1"/>
      <c r="Y4019" s="1"/>
      <c r="Z4019" s="102"/>
      <c r="AA4019" s="102"/>
      <c r="AB4019" s="1"/>
      <c r="AC4019" s="1"/>
      <c r="AD4019" s="1"/>
      <c r="AE4019" s="1"/>
      <c r="AF4019" s="1"/>
      <c r="AG4019" s="1"/>
    </row>
    <row r="4020" ht="15.75" customHeight="1">
      <c r="A4020" s="1"/>
      <c r="B4020" s="1"/>
      <c r="C4020" s="1"/>
      <c r="D4020" s="1"/>
      <c r="E4020" s="1"/>
      <c r="F4020" s="1"/>
      <c r="G4020" s="1"/>
      <c r="H4020" s="1"/>
      <c r="I4020" s="1"/>
      <c r="J4020" s="1"/>
      <c r="K4020" s="102" t="s">
        <v>6577</v>
      </c>
      <c r="L4020" s="102" t="str">
        <f>Z419</f>
        <v>J1a2a1a2d2b2b2c4d2a2a5a1b4~</v>
      </c>
      <c r="M4020" s="102"/>
      <c r="N4020" s="102"/>
      <c r="O4020" s="102">
        <v>7812541.0</v>
      </c>
      <c r="P4020" s="102">
        <v>7944500.0</v>
      </c>
      <c r="Q4020" s="102" t="s">
        <v>2529</v>
      </c>
      <c r="S4020" s="1"/>
      <c r="T4020" s="1"/>
      <c r="U4020" s="1"/>
      <c r="V4020" s="1"/>
      <c r="W4020" s="1"/>
      <c r="X4020" s="1"/>
      <c r="Y4020" s="1"/>
      <c r="Z4020" s="102">
        <v>7812541.0</v>
      </c>
      <c r="AA4020" s="102"/>
      <c r="AB4020" s="1"/>
      <c r="AC4020" s="1"/>
      <c r="AD4020" s="1"/>
      <c r="AE4020" s="1"/>
      <c r="AF4020" s="1"/>
      <c r="AG4020" s="1"/>
    </row>
    <row r="4021" ht="15.75" customHeight="1">
      <c r="A4021" s="1"/>
      <c r="B4021" s="1"/>
      <c r="C4021" s="1"/>
      <c r="D4021" s="1"/>
      <c r="E4021" s="1"/>
      <c r="F4021" s="1"/>
      <c r="G4021" s="1"/>
      <c r="H4021" s="1"/>
      <c r="I4021" s="1"/>
      <c r="J4021" s="1"/>
      <c r="K4021" s="102" t="s">
        <v>6578</v>
      </c>
      <c r="L4021" s="102" t="str">
        <f>Z419</f>
        <v>J1a2a1a2d2b2b2c4d2a2a5a1b4~</v>
      </c>
      <c r="M4021" s="102"/>
      <c r="N4021" s="102"/>
      <c r="O4021" s="105">
        <v>9775695.0</v>
      </c>
      <c r="P4021" s="105">
        <v>9938086.0</v>
      </c>
      <c r="Q4021" s="102" t="s">
        <v>2501</v>
      </c>
      <c r="S4021" s="1"/>
      <c r="T4021" s="1"/>
      <c r="U4021" s="1"/>
      <c r="V4021" s="1"/>
      <c r="W4021" s="1"/>
      <c r="X4021" s="1"/>
      <c r="Y4021" s="1"/>
      <c r="Z4021" s="102"/>
      <c r="AA4021" s="102"/>
      <c r="AB4021" s="1"/>
      <c r="AC4021" s="1"/>
      <c r="AD4021" s="1"/>
      <c r="AE4021" s="1"/>
      <c r="AF4021" s="1"/>
      <c r="AG4021" s="1"/>
    </row>
    <row r="4022" ht="15.75" customHeight="1">
      <c r="A4022" s="1"/>
      <c r="B4022" s="1"/>
      <c r="C4022" s="1"/>
      <c r="D4022" s="1"/>
      <c r="E4022" s="1"/>
      <c r="F4022" s="1"/>
      <c r="G4022" s="1"/>
      <c r="H4022" s="1"/>
      <c r="I4022" s="1"/>
      <c r="J4022" s="1"/>
      <c r="K4022" s="102" t="s">
        <v>6579</v>
      </c>
      <c r="L4022" s="102" t="str">
        <f>Z419</f>
        <v>J1a2a1a2d2b2b2c4d2a2a5a1b4~</v>
      </c>
      <c r="M4022" s="102"/>
      <c r="N4022" s="102" t="s">
        <v>6580</v>
      </c>
      <c r="O4022" s="105">
        <v>1.4374861E7</v>
      </c>
      <c r="P4022" s="105">
        <v>1.2254157E7</v>
      </c>
      <c r="Q4022" s="102" t="s">
        <v>2501</v>
      </c>
      <c r="S4022" s="1"/>
      <c r="T4022" s="1"/>
      <c r="U4022" s="1"/>
      <c r="V4022" s="1"/>
      <c r="W4022" s="1"/>
      <c r="X4022" s="1"/>
      <c r="Y4022" s="1"/>
      <c r="Z4022" s="102"/>
      <c r="AA4022" s="102"/>
      <c r="AB4022" s="1"/>
      <c r="AC4022" s="1"/>
      <c r="AD4022" s="1"/>
      <c r="AE4022" s="1"/>
      <c r="AF4022" s="1"/>
      <c r="AG4022" s="1"/>
    </row>
    <row r="4023" ht="15.75" customHeight="1">
      <c r="A4023" s="1"/>
      <c r="B4023" s="1"/>
      <c r="C4023" s="1"/>
      <c r="D4023" s="1"/>
      <c r="E4023" s="1"/>
      <c r="F4023" s="1"/>
      <c r="G4023" s="1"/>
      <c r="H4023" s="1"/>
      <c r="I4023" s="1"/>
      <c r="J4023" s="1"/>
      <c r="K4023" s="102" t="s">
        <v>6581</v>
      </c>
      <c r="L4023" s="102" t="str">
        <f>Z419</f>
        <v>J1a2a1a2d2b2b2c4d2a2a5a1b4~</v>
      </c>
      <c r="M4023" s="102"/>
      <c r="N4023" s="102"/>
      <c r="O4023" s="105">
        <v>1.6436053E7</v>
      </c>
      <c r="P4023" s="105">
        <v>1.4324173E7</v>
      </c>
      <c r="Q4023" s="102" t="s">
        <v>2468</v>
      </c>
      <c r="S4023" s="1"/>
      <c r="T4023" s="1"/>
      <c r="U4023" s="1"/>
      <c r="V4023" s="1"/>
      <c r="W4023" s="1"/>
      <c r="X4023" s="1"/>
      <c r="Y4023" s="1"/>
      <c r="Z4023" s="102"/>
      <c r="AA4023" s="102"/>
      <c r="AB4023" s="1"/>
      <c r="AC4023" s="1"/>
      <c r="AD4023" s="1"/>
      <c r="AE4023" s="1"/>
      <c r="AF4023" s="1"/>
      <c r="AG4023" s="1"/>
    </row>
    <row r="4024" ht="15.75" customHeight="1">
      <c r="A4024" s="1"/>
      <c r="B4024" s="1"/>
      <c r="C4024" s="1"/>
      <c r="D4024" s="1"/>
      <c r="E4024" s="1"/>
      <c r="F4024" s="1"/>
      <c r="G4024" s="1"/>
      <c r="H4024" s="1"/>
      <c r="I4024" s="1"/>
      <c r="J4024" s="1"/>
      <c r="K4024" s="102" t="s">
        <v>6582</v>
      </c>
      <c r="L4024" s="102" t="str">
        <f>Z419</f>
        <v>J1a2a1a2d2b2b2c4d2a2a5a1b4~</v>
      </c>
      <c r="M4024" s="102"/>
      <c r="N4024" s="102"/>
      <c r="O4024" s="105">
        <v>2.2565446E7</v>
      </c>
      <c r="P4024" s="105">
        <v>2.040356E7</v>
      </c>
      <c r="Q4024" s="102" t="s">
        <v>2446</v>
      </c>
      <c r="S4024" s="1"/>
      <c r="T4024" s="1"/>
      <c r="U4024" s="1"/>
      <c r="V4024" s="1"/>
      <c r="W4024" s="1"/>
      <c r="X4024" s="1"/>
      <c r="Y4024" s="1"/>
      <c r="Z4024" s="102"/>
      <c r="AA4024" s="102"/>
      <c r="AB4024" s="1"/>
      <c r="AC4024" s="1"/>
      <c r="AD4024" s="1"/>
      <c r="AE4024" s="1"/>
      <c r="AF4024" s="1"/>
      <c r="AG4024" s="1"/>
    </row>
    <row r="4025" ht="15.75" customHeight="1">
      <c r="A4025" s="1"/>
      <c r="B4025" s="1"/>
      <c r="C4025" s="1"/>
      <c r="D4025" s="1"/>
      <c r="E4025" s="1"/>
      <c r="F4025" s="1"/>
      <c r="G4025" s="1"/>
      <c r="H4025" s="1"/>
      <c r="I4025" s="1"/>
      <c r="J4025" s="1"/>
      <c r="K4025" s="102" t="s">
        <v>6583</v>
      </c>
      <c r="L4025" s="102" t="str">
        <f>Z419</f>
        <v>J1a2a1a2d2b2b2c4d2a2a5a1b4~</v>
      </c>
      <c r="M4025" s="102"/>
      <c r="N4025" s="102"/>
      <c r="O4025" s="105">
        <v>2.2594728E7</v>
      </c>
      <c r="P4025" s="105">
        <v>2.0432842E7</v>
      </c>
      <c r="Q4025" s="102" t="s">
        <v>2446</v>
      </c>
      <c r="S4025" s="1"/>
      <c r="T4025" s="1"/>
      <c r="U4025" s="1"/>
      <c r="V4025" s="1"/>
      <c r="W4025" s="1"/>
      <c r="X4025" s="1"/>
      <c r="Y4025" s="1"/>
      <c r="Z4025" s="102"/>
      <c r="AA4025" s="102"/>
      <c r="AB4025" s="1"/>
      <c r="AC4025" s="1"/>
      <c r="AD4025" s="1"/>
      <c r="AE4025" s="1"/>
      <c r="AF4025" s="1"/>
      <c r="AG4025" s="1"/>
    </row>
    <row r="4026" ht="15.75" customHeight="1">
      <c r="A4026" s="1"/>
      <c r="B4026" s="1"/>
      <c r="C4026" s="1"/>
      <c r="D4026" s="1"/>
      <c r="E4026" s="1"/>
      <c r="F4026" s="1"/>
      <c r="G4026" s="1"/>
      <c r="H4026" s="1"/>
      <c r="I4026" s="1"/>
      <c r="J4026" s="1"/>
      <c r="K4026" s="102" t="s">
        <v>6584</v>
      </c>
      <c r="L4026" s="102" t="str">
        <f t="shared" ref="L4026:L4027" si="68">Z419</f>
        <v>J1a2a1a2d2b2b2c4d2a2a5a1b4~</v>
      </c>
      <c r="M4026" s="102"/>
      <c r="N4026" s="102"/>
      <c r="O4026" s="105">
        <v>2.4504006E7</v>
      </c>
      <c r="P4026" s="105">
        <v>2.2357859E7</v>
      </c>
      <c r="Q4026" s="102" t="s">
        <v>2529</v>
      </c>
      <c r="S4026" s="1"/>
      <c r="T4026" s="1"/>
      <c r="U4026" s="1"/>
      <c r="V4026" s="1"/>
      <c r="W4026" s="1"/>
      <c r="X4026" s="1"/>
      <c r="Y4026" s="1"/>
      <c r="Z4026" s="102"/>
      <c r="AA4026" s="102"/>
      <c r="AB4026" s="1"/>
      <c r="AC4026" s="1"/>
      <c r="AD4026" s="1"/>
      <c r="AE4026" s="1"/>
      <c r="AF4026" s="1"/>
      <c r="AG4026" s="1"/>
    </row>
    <row r="4027" ht="15.75" customHeight="1">
      <c r="A4027" s="1"/>
      <c r="B4027" s="1"/>
      <c r="C4027" s="1"/>
      <c r="D4027" s="1"/>
      <c r="E4027" s="1"/>
      <c r="F4027" s="1"/>
      <c r="G4027" s="1"/>
      <c r="H4027" s="1"/>
      <c r="I4027" s="1"/>
      <c r="J4027" s="1"/>
      <c r="K4027" s="102" t="s">
        <v>6585</v>
      </c>
      <c r="L4027" s="102" t="str">
        <f t="shared" si="68"/>
        <v>J1a2a1a2d2b2b2c4d2a2a5a1b5~</v>
      </c>
      <c r="M4027" s="102" t="s">
        <v>6586</v>
      </c>
      <c r="N4027" s="102"/>
      <c r="O4027" s="105">
        <v>2.1664825E7</v>
      </c>
      <c r="P4027" s="105">
        <v>1.9502939E7</v>
      </c>
      <c r="Q4027" s="102" t="s">
        <v>2468</v>
      </c>
      <c r="S4027" s="1"/>
      <c r="T4027" s="1"/>
      <c r="U4027" s="1"/>
      <c r="V4027" s="1"/>
      <c r="W4027" s="1"/>
      <c r="X4027" s="1"/>
      <c r="Y4027" s="1"/>
      <c r="Z4027" s="102"/>
      <c r="AA4027" s="102"/>
      <c r="AB4027" s="1"/>
      <c r="AC4027" s="1"/>
      <c r="AD4027" s="1"/>
      <c r="AE4027" s="1"/>
      <c r="AF4027" s="1"/>
      <c r="AG4027" s="1"/>
    </row>
    <row r="4028" ht="15.75" customHeight="1">
      <c r="A4028" s="1"/>
      <c r="B4028" s="1"/>
      <c r="C4028" s="1"/>
      <c r="D4028" s="1"/>
      <c r="E4028" s="1"/>
      <c r="F4028" s="1"/>
      <c r="G4028" s="1"/>
      <c r="H4028" s="1"/>
      <c r="I4028" s="1"/>
      <c r="J4028" s="1"/>
      <c r="K4028" s="102" t="s">
        <v>6586</v>
      </c>
      <c r="L4028" s="102" t="str">
        <f>Z420</f>
        <v>J1a2a1a2d2b2b2c4d2a2a5a1b5~</v>
      </c>
      <c r="M4028" s="102" t="s">
        <v>6585</v>
      </c>
      <c r="N4028" s="102"/>
      <c r="O4028" s="105">
        <v>2.1664825E7</v>
      </c>
      <c r="P4028" s="105">
        <v>1.9502939E7</v>
      </c>
      <c r="Q4028" s="102" t="s">
        <v>2468</v>
      </c>
      <c r="S4028" s="1"/>
      <c r="T4028" s="1"/>
      <c r="U4028" s="1"/>
      <c r="V4028" s="1"/>
      <c r="W4028" s="1"/>
      <c r="X4028" s="1"/>
      <c r="Y4028" s="1"/>
      <c r="Z4028" s="102">
        <v>2.1664825E7</v>
      </c>
      <c r="AA4028" s="102"/>
      <c r="AB4028" s="1"/>
      <c r="AC4028" s="1"/>
      <c r="AD4028" s="1"/>
      <c r="AE4028" s="1"/>
      <c r="AF4028" s="1"/>
      <c r="AG4028" s="1"/>
    </row>
    <row r="4029" ht="15.75" customHeight="1">
      <c r="A4029" s="1"/>
      <c r="B4029" s="1"/>
      <c r="C4029" s="1"/>
      <c r="D4029" s="1"/>
      <c r="E4029" s="1"/>
      <c r="F4029" s="1"/>
      <c r="G4029" s="1"/>
      <c r="H4029" s="1"/>
      <c r="I4029" s="1"/>
      <c r="J4029" s="1"/>
      <c r="K4029" s="102" t="s">
        <v>6587</v>
      </c>
      <c r="L4029" s="102" t="str">
        <f>Y421</f>
        <v>J1a2a1a2d2b2b2c4d2a2a5a1c~</v>
      </c>
      <c r="M4029" s="102"/>
      <c r="N4029" s="102"/>
      <c r="O4029" s="105">
        <v>7076797.0</v>
      </c>
      <c r="P4029" s="105">
        <v>7208756.0</v>
      </c>
      <c r="Q4029" s="102" t="s">
        <v>2529</v>
      </c>
      <c r="S4029" s="1"/>
      <c r="T4029" s="1"/>
      <c r="U4029" s="1"/>
      <c r="V4029" s="1"/>
      <c r="W4029" s="1"/>
      <c r="X4029" s="1"/>
      <c r="Y4029" s="1"/>
      <c r="Z4029" s="102"/>
      <c r="AA4029" s="102"/>
      <c r="AB4029" s="1"/>
      <c r="AC4029" s="1"/>
      <c r="AD4029" s="1"/>
      <c r="AE4029" s="1"/>
      <c r="AF4029" s="1"/>
      <c r="AG4029" s="1"/>
    </row>
    <row r="4030" ht="15.75" customHeight="1">
      <c r="A4030" s="1"/>
      <c r="B4030" s="1"/>
      <c r="C4030" s="1"/>
      <c r="D4030" s="1"/>
      <c r="E4030" s="1"/>
      <c r="F4030" s="1"/>
      <c r="G4030" s="1"/>
      <c r="H4030" s="1"/>
      <c r="I4030" s="1"/>
      <c r="J4030" s="1"/>
      <c r="K4030" s="102" t="s">
        <v>6588</v>
      </c>
      <c r="L4030" s="102" t="str">
        <f>Y421</f>
        <v>J1a2a1a2d2b2b2c4d2a2a5a1c~</v>
      </c>
      <c r="M4030" s="102"/>
      <c r="N4030" s="102"/>
      <c r="O4030" s="105">
        <v>7946542.0</v>
      </c>
      <c r="P4030" s="105">
        <v>8078501.0</v>
      </c>
      <c r="Q4030" s="102" t="s">
        <v>2454</v>
      </c>
      <c r="S4030" s="1"/>
      <c r="T4030" s="1"/>
      <c r="U4030" s="1"/>
      <c r="V4030" s="1"/>
      <c r="W4030" s="1"/>
      <c r="X4030" s="1"/>
      <c r="Y4030" s="1"/>
      <c r="Z4030" s="102"/>
      <c r="AA4030" s="102"/>
      <c r="AB4030" s="1"/>
      <c r="AC4030" s="1"/>
      <c r="AD4030" s="1"/>
      <c r="AE4030" s="1"/>
      <c r="AF4030" s="1"/>
      <c r="AG4030" s="1"/>
    </row>
    <row r="4031" ht="15.75" customHeight="1">
      <c r="A4031" s="1"/>
      <c r="B4031" s="1"/>
      <c r="C4031" s="1"/>
      <c r="D4031" s="1"/>
      <c r="E4031" s="1"/>
      <c r="F4031" s="1"/>
      <c r="G4031" s="1"/>
      <c r="H4031" s="1"/>
      <c r="I4031" s="1"/>
      <c r="J4031" s="1"/>
      <c r="K4031" s="102" t="s">
        <v>6589</v>
      </c>
      <c r="L4031" s="102" t="str">
        <f>Y421</f>
        <v>J1a2a1a2d2b2b2c4d2a2a5a1c~</v>
      </c>
      <c r="M4031" s="102"/>
      <c r="N4031" s="102"/>
      <c r="O4031" s="105">
        <v>1.8856475E7</v>
      </c>
      <c r="P4031" s="105">
        <v>1.6744595E7</v>
      </c>
      <c r="Q4031" s="102" t="s">
        <v>2468</v>
      </c>
      <c r="S4031" s="1"/>
      <c r="T4031" s="1"/>
      <c r="U4031" s="1"/>
      <c r="V4031" s="1"/>
      <c r="W4031" s="1"/>
      <c r="X4031" s="1"/>
      <c r="Y4031" s="1"/>
      <c r="Z4031" s="102"/>
      <c r="AA4031" s="102"/>
      <c r="AB4031" s="1"/>
      <c r="AC4031" s="1"/>
      <c r="AD4031" s="1"/>
      <c r="AE4031" s="1"/>
      <c r="AF4031" s="1"/>
      <c r="AG4031" s="1"/>
    </row>
    <row r="4032" ht="15.75" customHeight="1">
      <c r="A4032" s="1"/>
      <c r="B4032" s="1"/>
      <c r="C4032" s="1"/>
      <c r="D4032" s="1"/>
      <c r="E4032" s="1"/>
      <c r="F4032" s="1"/>
      <c r="G4032" s="1"/>
      <c r="H4032" s="1"/>
      <c r="I4032" s="1"/>
      <c r="J4032" s="1"/>
      <c r="K4032" s="102" t="s">
        <v>6590</v>
      </c>
      <c r="L4032" s="102" t="str">
        <f>Z422</f>
        <v>J1a2a1a2d2b2b2c4d2a2a5a1c1~</v>
      </c>
      <c r="M4032" s="102"/>
      <c r="N4032" s="102"/>
      <c r="O4032" s="105">
        <v>6405003.0</v>
      </c>
      <c r="P4032" s="105">
        <v>6536962.0</v>
      </c>
      <c r="Q4032" s="102" t="s">
        <v>2446</v>
      </c>
      <c r="S4032" s="1"/>
      <c r="T4032" s="1"/>
      <c r="U4032" s="1"/>
      <c r="V4032" s="1"/>
      <c r="W4032" s="1"/>
      <c r="X4032" s="1"/>
      <c r="Y4032" s="1"/>
      <c r="Z4032" s="102"/>
      <c r="AA4032" s="102"/>
      <c r="AB4032" s="1"/>
      <c r="AC4032" s="1"/>
      <c r="AD4032" s="1"/>
      <c r="AE4032" s="1"/>
      <c r="AF4032" s="1"/>
      <c r="AG4032" s="1"/>
    </row>
    <row r="4033" ht="15.75" customHeight="1">
      <c r="A4033" s="1"/>
      <c r="B4033" s="1"/>
      <c r="C4033" s="1"/>
      <c r="D4033" s="1"/>
      <c r="E4033" s="1"/>
      <c r="F4033" s="1"/>
      <c r="G4033" s="1"/>
      <c r="H4033" s="1"/>
      <c r="I4033" s="1"/>
      <c r="J4033" s="1"/>
      <c r="K4033" s="102" t="s">
        <v>6591</v>
      </c>
      <c r="L4033" s="102" t="str">
        <f>Z422</f>
        <v>J1a2a1a2d2b2b2c4d2a2a5a1c1~</v>
      </c>
      <c r="M4033" s="102"/>
      <c r="N4033" s="102"/>
      <c r="O4033" s="105">
        <v>1.4445345E7</v>
      </c>
      <c r="P4033" s="105">
        <v>1.2324618E7</v>
      </c>
      <c r="Q4033" s="102" t="s">
        <v>2529</v>
      </c>
      <c r="S4033" s="1"/>
      <c r="T4033" s="1"/>
      <c r="U4033" s="1"/>
      <c r="V4033" s="1"/>
      <c r="W4033" s="1"/>
      <c r="X4033" s="1"/>
      <c r="Y4033" s="1"/>
      <c r="Z4033" s="102"/>
      <c r="AA4033" s="102"/>
      <c r="AB4033" s="1"/>
      <c r="AC4033" s="1"/>
      <c r="AD4033" s="1"/>
      <c r="AE4033" s="1"/>
      <c r="AF4033" s="1"/>
      <c r="AG4033" s="1"/>
    </row>
    <row r="4034" ht="15.75" customHeight="1">
      <c r="A4034" s="1"/>
      <c r="B4034" s="1"/>
      <c r="C4034" s="1"/>
      <c r="D4034" s="1"/>
      <c r="E4034" s="1"/>
      <c r="F4034" s="1"/>
      <c r="G4034" s="1"/>
      <c r="H4034" s="1"/>
      <c r="I4034" s="1"/>
      <c r="J4034" s="1"/>
      <c r="K4034" s="102" t="s">
        <v>6592</v>
      </c>
      <c r="L4034" s="102" t="str">
        <f>Z422</f>
        <v>J1a2a1a2d2b2b2c4d2a2a5a1c1~</v>
      </c>
      <c r="M4034" s="102"/>
      <c r="N4034" s="102"/>
      <c r="O4034" s="105">
        <v>1.7095476E7</v>
      </c>
      <c r="P4034" s="105">
        <v>1.4983596E7</v>
      </c>
      <c r="Q4034" s="102" t="s">
        <v>2529</v>
      </c>
      <c r="S4034" s="1"/>
      <c r="T4034" s="1"/>
      <c r="U4034" s="1"/>
      <c r="V4034" s="1"/>
      <c r="W4034" s="1"/>
      <c r="X4034" s="1"/>
      <c r="Y4034" s="1"/>
      <c r="Z4034" s="102"/>
      <c r="AA4034" s="102"/>
      <c r="AB4034" s="1"/>
      <c r="AC4034" s="1"/>
      <c r="AD4034" s="1"/>
      <c r="AE4034" s="1"/>
      <c r="AF4034" s="1"/>
      <c r="AG4034" s="1"/>
    </row>
    <row r="4035" ht="15.75" customHeight="1">
      <c r="A4035" s="1"/>
      <c r="B4035" s="1"/>
      <c r="C4035" s="1"/>
      <c r="D4035" s="1"/>
      <c r="E4035" s="1"/>
      <c r="F4035" s="1"/>
      <c r="G4035" s="1"/>
      <c r="H4035" s="1"/>
      <c r="I4035" s="1"/>
      <c r="J4035" s="1"/>
      <c r="K4035" s="102" t="s">
        <v>6593</v>
      </c>
      <c r="L4035" s="102" t="str">
        <f>Z422</f>
        <v>J1a2a1a2d2b2b2c4d2a2a5a1c1~</v>
      </c>
      <c r="M4035" s="102"/>
      <c r="N4035" s="102"/>
      <c r="O4035" s="105">
        <v>2.1770949E7</v>
      </c>
      <c r="P4035" s="105">
        <v>1.9609063E7</v>
      </c>
      <c r="Q4035" s="102" t="s">
        <v>2533</v>
      </c>
      <c r="S4035" s="1"/>
      <c r="T4035" s="1"/>
      <c r="U4035" s="1"/>
      <c r="V4035" s="1"/>
      <c r="W4035" s="1"/>
      <c r="X4035" s="1"/>
      <c r="Y4035" s="1"/>
      <c r="Z4035" s="102"/>
      <c r="AA4035" s="102"/>
      <c r="AB4035" s="1"/>
      <c r="AC4035" s="1"/>
      <c r="AD4035" s="1"/>
      <c r="AE4035" s="1"/>
      <c r="AF4035" s="1"/>
      <c r="AG4035" s="1"/>
    </row>
    <row r="4036" ht="15.75" customHeight="1">
      <c r="A4036" s="1"/>
      <c r="B4036" s="1"/>
      <c r="C4036" s="1"/>
      <c r="D4036" s="1"/>
      <c r="E4036" s="1"/>
      <c r="F4036" s="1"/>
      <c r="G4036" s="1"/>
      <c r="H4036" s="1"/>
      <c r="I4036" s="1"/>
      <c r="J4036" s="1"/>
      <c r="K4036" s="102" t="s">
        <v>815</v>
      </c>
      <c r="L4036" s="102" t="str">
        <f>Y424</f>
        <v>J1a2a1a2d2b2b2c4d2a2a5a1d~</v>
      </c>
      <c r="M4036" s="102"/>
      <c r="N4036" s="102" t="s">
        <v>6594</v>
      </c>
      <c r="O4036" s="105">
        <v>1.938332E7</v>
      </c>
      <c r="P4036" s="105">
        <v>1.727144E7</v>
      </c>
      <c r="Q4036" s="102" t="s">
        <v>2446</v>
      </c>
      <c r="S4036" s="1"/>
      <c r="T4036" s="1"/>
      <c r="U4036" s="1"/>
      <c r="V4036" s="1"/>
      <c r="W4036" s="1"/>
      <c r="X4036" s="1"/>
      <c r="Y4036" s="1"/>
      <c r="Z4036" s="102"/>
      <c r="AA4036" s="102"/>
      <c r="AB4036" s="1"/>
      <c r="AC4036" s="1"/>
      <c r="AD4036" s="1"/>
      <c r="AE4036" s="1"/>
      <c r="AF4036" s="1"/>
      <c r="AG4036" s="1"/>
    </row>
    <row r="4037" ht="15.75" customHeight="1">
      <c r="A4037" s="1"/>
      <c r="B4037" s="1"/>
      <c r="C4037" s="1"/>
      <c r="D4037" s="1"/>
      <c r="E4037" s="1"/>
      <c r="F4037" s="1"/>
      <c r="G4037" s="1"/>
      <c r="H4037" s="1"/>
      <c r="I4037" s="1"/>
      <c r="J4037" s="1"/>
      <c r="K4037" s="102" t="s">
        <v>817</v>
      </c>
      <c r="L4037" s="102" t="str">
        <f>Z425</f>
        <v>J1a2a1a2d2b2b2c4d2a2a5a1d1~</v>
      </c>
      <c r="M4037" s="102"/>
      <c r="N4037" s="102" t="s">
        <v>6595</v>
      </c>
      <c r="O4037" s="105">
        <v>1.4343083E7</v>
      </c>
      <c r="P4037" s="105">
        <v>1.2222378E7</v>
      </c>
      <c r="Q4037" s="102" t="s">
        <v>2468</v>
      </c>
      <c r="S4037" s="1"/>
      <c r="T4037" s="1"/>
      <c r="U4037" s="1"/>
      <c r="V4037" s="1"/>
      <c r="W4037" s="1"/>
      <c r="X4037" s="1"/>
      <c r="Y4037" s="1"/>
      <c r="Z4037" s="102"/>
      <c r="AA4037" s="102"/>
      <c r="AB4037" s="1"/>
      <c r="AC4037" s="1"/>
      <c r="AD4037" s="1"/>
      <c r="AE4037" s="1"/>
      <c r="AF4037" s="1"/>
      <c r="AG4037" s="1"/>
    </row>
    <row r="4038" ht="15.75" customHeight="1">
      <c r="A4038" s="1"/>
      <c r="B4038" s="1"/>
      <c r="C4038" s="1"/>
      <c r="D4038" s="1"/>
      <c r="E4038" s="1"/>
      <c r="F4038" s="1"/>
      <c r="G4038" s="1"/>
      <c r="H4038" s="1"/>
      <c r="I4038" s="1"/>
      <c r="J4038" s="1"/>
      <c r="K4038" s="102" t="s">
        <v>819</v>
      </c>
      <c r="L4038" s="102" t="str">
        <f>AA426</f>
        <v>J1a2a1a2d2b2b2c4d2a2a5a1d1a~</v>
      </c>
      <c r="M4038" s="102"/>
      <c r="N4038" s="102" t="s">
        <v>6596</v>
      </c>
      <c r="O4038" s="105">
        <v>1.8213894E7</v>
      </c>
      <c r="P4038" s="105">
        <v>1.6102014E7</v>
      </c>
      <c r="Q4038" s="102" t="s">
        <v>2563</v>
      </c>
      <c r="S4038" s="1"/>
      <c r="T4038" s="1"/>
      <c r="U4038" s="1"/>
      <c r="V4038" s="1"/>
      <c r="W4038" s="1"/>
      <c r="X4038" s="1"/>
      <c r="Y4038" s="1"/>
      <c r="Z4038" s="102"/>
      <c r="AA4038" s="102"/>
      <c r="AB4038" s="1"/>
      <c r="AC4038" s="1"/>
      <c r="AD4038" s="1"/>
      <c r="AE4038" s="1"/>
      <c r="AF4038" s="1"/>
      <c r="AG4038" s="1"/>
    </row>
    <row r="4039" ht="15.75" customHeight="1">
      <c r="A4039" s="1"/>
      <c r="B4039" s="1"/>
      <c r="C4039" s="1"/>
      <c r="D4039" s="1"/>
      <c r="E4039" s="1"/>
      <c r="F4039" s="1"/>
      <c r="G4039" s="1"/>
      <c r="H4039" s="1"/>
      <c r="I4039" s="1"/>
      <c r="J4039" s="1"/>
      <c r="K4039" s="102" t="s">
        <v>6597</v>
      </c>
      <c r="L4039" s="102" t="str">
        <f>AB427</f>
        <v>J1a2a1a2d2b2b2c4d2a2a5a1d1a1~</v>
      </c>
      <c r="M4039" s="102"/>
      <c r="N4039" s="102" t="s">
        <v>6598</v>
      </c>
      <c r="O4039" s="105">
        <v>9111585.0</v>
      </c>
      <c r="P4039" s="105">
        <v>9273976.0</v>
      </c>
      <c r="Q4039" s="102" t="s">
        <v>2501</v>
      </c>
      <c r="S4039" s="1"/>
      <c r="T4039" s="1"/>
      <c r="U4039" s="1"/>
      <c r="V4039" s="1"/>
      <c r="W4039" s="1"/>
      <c r="X4039" s="1"/>
      <c r="Y4039" s="1"/>
      <c r="Z4039" s="102"/>
      <c r="AA4039" s="102"/>
      <c r="AB4039" s="1"/>
      <c r="AC4039" s="1"/>
      <c r="AD4039" s="1"/>
      <c r="AE4039" s="1"/>
      <c r="AF4039" s="1"/>
      <c r="AG4039" s="1"/>
    </row>
    <row r="4040" ht="15.75" customHeight="1">
      <c r="A4040" s="1"/>
      <c r="B4040" s="1"/>
      <c r="C4040" s="1"/>
      <c r="D4040" s="1"/>
      <c r="E4040" s="1"/>
      <c r="F4040" s="1"/>
      <c r="G4040" s="1"/>
      <c r="H4040" s="1"/>
      <c r="I4040" s="1"/>
      <c r="J4040" s="1"/>
      <c r="K4040" s="102" t="s">
        <v>6599</v>
      </c>
      <c r="L4040" s="102" t="str">
        <f>AB427</f>
        <v>J1a2a1a2d2b2b2c4d2a2a5a1d1a1~</v>
      </c>
      <c r="M4040" s="102"/>
      <c r="N4040" s="102" t="s">
        <v>6600</v>
      </c>
      <c r="O4040" s="105">
        <v>1.6548043E7</v>
      </c>
      <c r="P4040" s="105">
        <v>1.4436163E7</v>
      </c>
      <c r="Q4040" s="102" t="s">
        <v>2446</v>
      </c>
      <c r="S4040" s="1"/>
      <c r="T4040" s="1"/>
      <c r="U4040" s="1"/>
      <c r="V4040" s="1"/>
      <c r="W4040" s="1"/>
      <c r="X4040" s="1"/>
      <c r="Y4040" s="1"/>
      <c r="Z4040" s="102"/>
      <c r="AA4040" s="102"/>
      <c r="AB4040" s="1"/>
      <c r="AC4040" s="1"/>
      <c r="AD4040" s="1"/>
      <c r="AE4040" s="1"/>
      <c r="AF4040" s="1"/>
      <c r="AG4040" s="1"/>
    </row>
    <row r="4041" ht="15.75" customHeight="1">
      <c r="A4041" s="1"/>
      <c r="B4041" s="1"/>
      <c r="C4041" s="1"/>
      <c r="D4041" s="1"/>
      <c r="E4041" s="1"/>
      <c r="F4041" s="1"/>
      <c r="G4041" s="1"/>
      <c r="H4041" s="1"/>
      <c r="I4041" s="1"/>
      <c r="J4041" s="1"/>
      <c r="K4041" s="102" t="s">
        <v>6601</v>
      </c>
      <c r="L4041" s="102" t="str">
        <f>AB427</f>
        <v>J1a2a1a2d2b2b2c4d2a2a5a1d1a1~</v>
      </c>
      <c r="M4041" s="102"/>
      <c r="N4041" s="102" t="s">
        <v>6602</v>
      </c>
      <c r="O4041" s="105">
        <v>1.8048457E7</v>
      </c>
      <c r="P4041" s="105">
        <v>1.5936577E7</v>
      </c>
      <c r="Q4041" s="102" t="s">
        <v>2501</v>
      </c>
      <c r="S4041" s="1"/>
      <c r="T4041" s="1"/>
      <c r="U4041" s="1"/>
      <c r="V4041" s="1"/>
      <c r="W4041" s="1"/>
      <c r="X4041" s="1"/>
      <c r="Y4041" s="1"/>
      <c r="Z4041" s="102"/>
      <c r="AA4041" s="102"/>
      <c r="AB4041" s="1"/>
      <c r="AC4041" s="1"/>
      <c r="AD4041" s="1"/>
      <c r="AE4041" s="1"/>
      <c r="AF4041" s="1"/>
      <c r="AG4041" s="1"/>
    </row>
    <row r="4042" ht="15.75" customHeight="1">
      <c r="A4042" s="1"/>
      <c r="B4042" s="1"/>
      <c r="C4042" s="1"/>
      <c r="D4042" s="1"/>
      <c r="E4042" s="1"/>
      <c r="F4042" s="1"/>
      <c r="G4042" s="1"/>
      <c r="H4042" s="1"/>
      <c r="I4042" s="1"/>
      <c r="J4042" s="1"/>
      <c r="K4042" s="102" t="s">
        <v>6603</v>
      </c>
      <c r="L4042" s="102" t="str">
        <f>AB427</f>
        <v>J1a2a1a2d2b2b2c4d2a2a5a1d1a1~</v>
      </c>
      <c r="M4042" s="102"/>
      <c r="N4042" s="102" t="s">
        <v>6604</v>
      </c>
      <c r="O4042" s="105">
        <v>1.882426E7</v>
      </c>
      <c r="P4042" s="105">
        <v>1.671238E7</v>
      </c>
      <c r="Q4042" s="102" t="s">
        <v>2533</v>
      </c>
      <c r="S4042" s="1"/>
      <c r="T4042" s="1"/>
      <c r="U4042" s="1"/>
      <c r="V4042" s="1"/>
      <c r="W4042" s="1"/>
      <c r="X4042" s="1"/>
      <c r="Y4042" s="1"/>
      <c r="Z4042" s="102"/>
      <c r="AA4042" s="102"/>
      <c r="AB4042" s="1"/>
      <c r="AC4042" s="1"/>
      <c r="AD4042" s="1"/>
      <c r="AE4042" s="1"/>
      <c r="AF4042" s="1"/>
      <c r="AG4042" s="1"/>
    </row>
    <row r="4043" ht="15.75" customHeight="1">
      <c r="A4043" s="1"/>
      <c r="B4043" s="1"/>
      <c r="C4043" s="1"/>
      <c r="D4043" s="1"/>
      <c r="E4043" s="1"/>
      <c r="F4043" s="1"/>
      <c r="G4043" s="1"/>
      <c r="H4043" s="1"/>
      <c r="I4043" s="1"/>
      <c r="J4043" s="1"/>
      <c r="K4043" s="102" t="s">
        <v>823</v>
      </c>
      <c r="L4043" s="102" t="str">
        <f>AC428</f>
        <v>J1a2a1a2d2b2b2c4d2a2a5a1d1a1a~</v>
      </c>
      <c r="M4043" s="102"/>
      <c r="N4043" s="102" t="s">
        <v>6605</v>
      </c>
      <c r="O4043" s="105">
        <v>1.631435E7</v>
      </c>
      <c r="P4043" s="105">
        <v>1.420247E7</v>
      </c>
      <c r="Q4043" s="102" t="s">
        <v>2439</v>
      </c>
      <c r="S4043" s="1"/>
      <c r="T4043" s="1"/>
      <c r="U4043" s="1"/>
      <c r="V4043" s="1"/>
      <c r="W4043" s="1"/>
      <c r="X4043" s="1"/>
      <c r="Y4043" s="1"/>
      <c r="Z4043" s="102"/>
      <c r="AA4043" s="102"/>
      <c r="AB4043" s="1"/>
      <c r="AC4043" s="1"/>
      <c r="AD4043" s="1"/>
      <c r="AE4043" s="1"/>
      <c r="AF4043" s="1"/>
      <c r="AG4043" s="1"/>
    </row>
    <row r="4044" ht="15.75" customHeight="1">
      <c r="A4044" s="1"/>
      <c r="B4044" s="1"/>
      <c r="C4044" s="1"/>
      <c r="D4044" s="1"/>
      <c r="E4044" s="1"/>
      <c r="F4044" s="1"/>
      <c r="G4044" s="1"/>
      <c r="H4044" s="1"/>
      <c r="I4044" s="1"/>
      <c r="J4044" s="1"/>
      <c r="K4044" s="102" t="s">
        <v>6606</v>
      </c>
      <c r="L4044" s="102" t="str">
        <f>AD429</f>
        <v>J1a2a1a2d2b2b2c4d2a2a5a1d1a1a1~</v>
      </c>
      <c r="M4044" s="102"/>
      <c r="N4044" s="102"/>
      <c r="O4044" s="105">
        <v>1.3812716E7</v>
      </c>
      <c r="P4044" s="105">
        <v>1.169201E7</v>
      </c>
      <c r="Q4044" s="102" t="s">
        <v>2501</v>
      </c>
      <c r="S4044" s="1"/>
      <c r="T4044" s="1"/>
      <c r="U4044" s="1"/>
      <c r="V4044" s="1"/>
      <c r="W4044" s="1"/>
      <c r="X4044" s="1"/>
      <c r="Y4044" s="1"/>
      <c r="Z4044" s="102"/>
      <c r="AA4044" s="102"/>
      <c r="AB4044" s="1"/>
      <c r="AC4044" s="1"/>
      <c r="AD4044" s="1"/>
      <c r="AE4044" s="1"/>
      <c r="AF4044" s="1"/>
      <c r="AG4044" s="1"/>
    </row>
    <row r="4045" ht="15.75" customHeight="1">
      <c r="A4045" s="1"/>
      <c r="B4045" s="1"/>
      <c r="C4045" s="1"/>
      <c r="D4045" s="1"/>
      <c r="E4045" s="1"/>
      <c r="F4045" s="1"/>
      <c r="G4045" s="1"/>
      <c r="H4045" s="1"/>
      <c r="I4045" s="1"/>
      <c r="J4045" s="1"/>
      <c r="K4045" s="102" t="s">
        <v>6607</v>
      </c>
      <c r="L4045" s="102" t="str">
        <f>AD429</f>
        <v>J1a2a1a2d2b2b2c4d2a2a5a1d1a1a1~</v>
      </c>
      <c r="M4045" s="102"/>
      <c r="N4045" s="102"/>
      <c r="O4045" s="105">
        <v>6912379.0</v>
      </c>
      <c r="P4045" s="105">
        <v>7044338.0</v>
      </c>
      <c r="Q4045" s="102" t="s">
        <v>2468</v>
      </c>
      <c r="S4045" s="1"/>
      <c r="T4045" s="1"/>
      <c r="U4045" s="1"/>
      <c r="V4045" s="1"/>
      <c r="W4045" s="1"/>
      <c r="X4045" s="1"/>
      <c r="Y4045" s="1"/>
      <c r="Z4045" s="102"/>
      <c r="AA4045" s="102"/>
      <c r="AB4045" s="1"/>
      <c r="AC4045" s="1"/>
      <c r="AD4045" s="1"/>
      <c r="AE4045" s="1"/>
      <c r="AF4045" s="1"/>
      <c r="AG4045" s="1"/>
    </row>
    <row r="4046" ht="15.75" customHeight="1">
      <c r="A4046" s="1"/>
      <c r="B4046" s="1"/>
      <c r="C4046" s="1"/>
      <c r="D4046" s="1"/>
      <c r="E4046" s="1"/>
      <c r="F4046" s="1"/>
      <c r="G4046" s="1"/>
      <c r="H4046" s="1"/>
      <c r="I4046" s="1"/>
      <c r="J4046" s="1"/>
      <c r="K4046" s="102" t="s">
        <v>6608</v>
      </c>
      <c r="L4046" s="102" t="str">
        <f>AD429</f>
        <v>J1a2a1a2d2b2b2c4d2a2a5a1d1a1a1~</v>
      </c>
      <c r="M4046" s="102"/>
      <c r="N4046" s="102"/>
      <c r="O4046" s="105">
        <v>8087071.0</v>
      </c>
      <c r="P4046" s="105">
        <v>8219030.0</v>
      </c>
      <c r="Q4046" s="102" t="s">
        <v>2446</v>
      </c>
      <c r="S4046" s="1"/>
      <c r="T4046" s="1"/>
      <c r="U4046" s="1"/>
      <c r="V4046" s="1"/>
      <c r="W4046" s="1"/>
      <c r="X4046" s="1"/>
      <c r="Y4046" s="1"/>
      <c r="Z4046" s="102"/>
      <c r="AA4046" s="102"/>
      <c r="AB4046" s="1"/>
      <c r="AC4046" s="1"/>
      <c r="AD4046" s="1"/>
      <c r="AE4046" s="1"/>
      <c r="AF4046" s="1"/>
      <c r="AG4046" s="1"/>
    </row>
    <row r="4047" ht="15.75" customHeight="1">
      <c r="A4047" s="1"/>
      <c r="B4047" s="1"/>
      <c r="C4047" s="1"/>
      <c r="D4047" s="1"/>
      <c r="E4047" s="1"/>
      <c r="F4047" s="1"/>
      <c r="G4047" s="1"/>
      <c r="H4047" s="1"/>
      <c r="I4047" s="1"/>
      <c r="J4047" s="1"/>
      <c r="K4047" s="102" t="s">
        <v>6609</v>
      </c>
      <c r="L4047" s="102" t="str">
        <f>AE430</f>
        <v>J1a2a1a2d2b2b2c4d2a2a5a1d1a1a1a~</v>
      </c>
      <c r="M4047" s="102"/>
      <c r="N4047" s="102"/>
      <c r="O4047" s="105">
        <v>8891298.0</v>
      </c>
      <c r="P4047" s="105">
        <v>9023257.0</v>
      </c>
      <c r="Q4047" s="102" t="s">
        <v>2432</v>
      </c>
      <c r="S4047" s="1"/>
      <c r="T4047" s="1"/>
      <c r="U4047" s="1"/>
      <c r="V4047" s="1"/>
      <c r="W4047" s="1"/>
      <c r="X4047" s="1"/>
      <c r="Y4047" s="1"/>
      <c r="Z4047" s="102"/>
      <c r="AA4047" s="102"/>
      <c r="AB4047" s="1"/>
      <c r="AC4047" s="1"/>
      <c r="AD4047" s="1"/>
      <c r="AE4047" s="1"/>
      <c r="AF4047" s="1"/>
      <c r="AG4047" s="1"/>
    </row>
    <row r="4048" ht="15.75" customHeight="1">
      <c r="A4048" s="1"/>
      <c r="B4048" s="1"/>
      <c r="C4048" s="1"/>
      <c r="D4048" s="1"/>
      <c r="E4048" s="1"/>
      <c r="F4048" s="1"/>
      <c r="G4048" s="1"/>
      <c r="H4048" s="1"/>
      <c r="I4048" s="1"/>
      <c r="J4048" s="1"/>
      <c r="K4048" s="102" t="s">
        <v>6610</v>
      </c>
      <c r="L4048" s="102" t="str">
        <f>AE430</f>
        <v>J1a2a1a2d2b2b2c4d2a2a5a1d1a1a1a~</v>
      </c>
      <c r="M4048" s="102"/>
      <c r="N4048" s="102"/>
      <c r="O4048" s="105">
        <v>1.5505697E7</v>
      </c>
      <c r="P4048" s="105">
        <v>1.3393817E7</v>
      </c>
      <c r="Q4048" s="102" t="s">
        <v>2529</v>
      </c>
      <c r="S4048" s="1"/>
      <c r="T4048" s="1"/>
      <c r="U4048" s="1"/>
      <c r="V4048" s="1"/>
      <c r="W4048" s="1"/>
      <c r="X4048" s="1"/>
      <c r="Y4048" s="1"/>
      <c r="Z4048" s="102"/>
      <c r="AA4048" s="102"/>
      <c r="AB4048" s="1"/>
      <c r="AC4048" s="1"/>
      <c r="AD4048" s="1"/>
      <c r="AE4048" s="1"/>
      <c r="AF4048" s="1"/>
      <c r="AG4048" s="1"/>
    </row>
    <row r="4049" ht="15.75" customHeight="1">
      <c r="A4049" s="1"/>
      <c r="B4049" s="1"/>
      <c r="C4049" s="1"/>
      <c r="D4049" s="1"/>
      <c r="E4049" s="1"/>
      <c r="F4049" s="1"/>
      <c r="G4049" s="1"/>
      <c r="H4049" s="1"/>
      <c r="I4049" s="1"/>
      <c r="J4049" s="1"/>
      <c r="K4049" s="102" t="s">
        <v>6611</v>
      </c>
      <c r="L4049" s="102" t="str">
        <f>AE430</f>
        <v>J1a2a1a2d2b2b2c4d2a2a5a1d1a1a1a~</v>
      </c>
      <c r="M4049" s="102"/>
      <c r="N4049" s="102"/>
      <c r="O4049" s="105">
        <v>1.8840188E7</v>
      </c>
      <c r="P4049" s="105">
        <v>1.6728308E7</v>
      </c>
      <c r="Q4049" s="102" t="s">
        <v>2576</v>
      </c>
      <c r="S4049" s="1"/>
      <c r="T4049" s="1"/>
      <c r="U4049" s="1"/>
      <c r="V4049" s="1"/>
      <c r="W4049" s="1"/>
      <c r="X4049" s="1"/>
      <c r="Y4049" s="1"/>
      <c r="Z4049" s="102"/>
      <c r="AA4049" s="102"/>
      <c r="AB4049" s="1"/>
      <c r="AC4049" s="1"/>
      <c r="AD4049" s="1"/>
      <c r="AE4049" s="1"/>
      <c r="AF4049" s="1"/>
      <c r="AG4049" s="1"/>
    </row>
    <row r="4050" ht="15.75" customHeight="1">
      <c r="A4050" s="1"/>
      <c r="B4050" s="1"/>
      <c r="C4050" s="1"/>
      <c r="D4050" s="1"/>
      <c r="E4050" s="1"/>
      <c r="F4050" s="1"/>
      <c r="G4050" s="1"/>
      <c r="H4050" s="1"/>
      <c r="I4050" s="1"/>
      <c r="J4050" s="1"/>
      <c r="K4050" s="102" t="s">
        <v>6612</v>
      </c>
      <c r="L4050" s="102" t="str">
        <f>AE430</f>
        <v>J1a2a1a2d2b2b2c4d2a2a5a1d1a1a1a~</v>
      </c>
      <c r="M4050" s="102"/>
      <c r="N4050" s="102"/>
      <c r="O4050" s="105">
        <v>2.1568383E7</v>
      </c>
      <c r="P4050" s="105">
        <v>1.9406497E7</v>
      </c>
      <c r="Q4050" s="102" t="s">
        <v>2576</v>
      </c>
      <c r="S4050" s="1"/>
      <c r="T4050" s="1"/>
      <c r="U4050" s="1"/>
      <c r="V4050" s="1"/>
      <c r="W4050" s="1"/>
      <c r="X4050" s="1"/>
      <c r="Y4050" s="1"/>
      <c r="Z4050" s="102"/>
      <c r="AA4050" s="102"/>
      <c r="AB4050" s="1"/>
      <c r="AC4050" s="1"/>
      <c r="AD4050" s="1"/>
      <c r="AE4050" s="1"/>
      <c r="AF4050" s="1"/>
      <c r="AG4050" s="1"/>
    </row>
    <row r="4051" ht="15.75" customHeight="1">
      <c r="A4051" s="1"/>
      <c r="B4051" s="1"/>
      <c r="C4051" s="1"/>
      <c r="D4051" s="1"/>
      <c r="E4051" s="1"/>
      <c r="F4051" s="1"/>
      <c r="G4051" s="1"/>
      <c r="H4051" s="1"/>
      <c r="I4051" s="1"/>
      <c r="J4051" s="1"/>
      <c r="K4051" s="102" t="s">
        <v>829</v>
      </c>
      <c r="L4051" s="102" t="str">
        <f>AC431</f>
        <v>J1a2a1a2d2b2b2c4d2a2a5a1d1a1b~</v>
      </c>
      <c r="M4051" s="102"/>
      <c r="N4051" s="102" t="s">
        <v>6613</v>
      </c>
      <c r="O4051" s="105">
        <v>8466361.0</v>
      </c>
      <c r="P4051" s="105">
        <v>8598320.0</v>
      </c>
      <c r="Q4051" s="102" t="s">
        <v>2533</v>
      </c>
      <c r="S4051" s="1"/>
      <c r="T4051" s="1"/>
      <c r="U4051" s="1"/>
      <c r="V4051" s="1"/>
      <c r="W4051" s="1"/>
      <c r="X4051" s="1"/>
      <c r="Y4051" s="1"/>
      <c r="Z4051" s="102"/>
      <c r="AA4051" s="102"/>
      <c r="AB4051" s="1"/>
      <c r="AC4051" s="1"/>
      <c r="AD4051" s="1"/>
      <c r="AE4051" s="1"/>
      <c r="AF4051" s="1"/>
      <c r="AG4051" s="1"/>
    </row>
    <row r="4052" ht="15.75" customHeight="1">
      <c r="A4052" s="1"/>
      <c r="B4052" s="1"/>
      <c r="C4052" s="1"/>
      <c r="D4052" s="1"/>
      <c r="E4052" s="1"/>
      <c r="F4052" s="1"/>
      <c r="G4052" s="1"/>
      <c r="H4052" s="1"/>
      <c r="I4052" s="1"/>
      <c r="J4052" s="1"/>
      <c r="K4052" s="102" t="s">
        <v>831</v>
      </c>
      <c r="L4052" s="102" t="str">
        <f t="shared" ref="L4052:L4053" si="69">AD432</f>
        <v>J1a2a1a2d2b2b2c4d2a2a5a1d1a1b1~</v>
      </c>
      <c r="M4052" s="102"/>
      <c r="N4052" s="102"/>
      <c r="O4052" s="105">
        <v>9798931.0</v>
      </c>
      <c r="P4052" s="105">
        <v>9961322.0</v>
      </c>
      <c r="Q4052" s="102" t="s">
        <v>2446</v>
      </c>
      <c r="S4052" s="1"/>
      <c r="T4052" s="1"/>
      <c r="U4052" s="1"/>
      <c r="V4052" s="1"/>
      <c r="W4052" s="1"/>
      <c r="X4052" s="1"/>
      <c r="Y4052" s="1"/>
      <c r="Z4052" s="102"/>
      <c r="AA4052" s="102"/>
      <c r="AB4052" s="1"/>
      <c r="AC4052" s="1"/>
      <c r="AD4052" s="1"/>
      <c r="AE4052" s="1"/>
      <c r="AF4052" s="1"/>
      <c r="AG4052" s="1"/>
    </row>
    <row r="4053" ht="15.75" customHeight="1">
      <c r="A4053" s="1"/>
      <c r="B4053" s="1"/>
      <c r="C4053" s="1"/>
      <c r="D4053" s="1"/>
      <c r="E4053" s="1"/>
      <c r="F4053" s="1"/>
      <c r="G4053" s="1"/>
      <c r="H4053" s="1"/>
      <c r="I4053" s="1"/>
      <c r="J4053" s="1"/>
      <c r="K4053" s="102" t="s">
        <v>6614</v>
      </c>
      <c r="L4053" s="102" t="str">
        <f t="shared" si="69"/>
        <v>J1a2a1a2d2b2b2c4d2a2a5a1d1a1b2~</v>
      </c>
      <c r="M4053" s="102"/>
      <c r="N4053" s="102" t="s">
        <v>6615</v>
      </c>
      <c r="O4053" s="105">
        <v>8088107.0</v>
      </c>
      <c r="P4053" s="105">
        <v>8220066.0</v>
      </c>
      <c r="Q4053" s="102" t="s">
        <v>2468</v>
      </c>
      <c r="S4053" s="1"/>
      <c r="T4053" s="1"/>
      <c r="U4053" s="1"/>
      <c r="V4053" s="1"/>
      <c r="W4053" s="1"/>
      <c r="X4053" s="1"/>
      <c r="Y4053" s="1"/>
      <c r="Z4053" s="102"/>
      <c r="AA4053" s="102"/>
      <c r="AB4053" s="1"/>
      <c r="AC4053" s="1"/>
      <c r="AD4053" s="1"/>
      <c r="AE4053" s="1"/>
      <c r="AF4053" s="1"/>
      <c r="AG4053" s="1"/>
    </row>
    <row r="4054" ht="15.75" customHeight="1">
      <c r="A4054" s="1"/>
      <c r="B4054" s="1"/>
      <c r="C4054" s="1"/>
      <c r="D4054" s="1"/>
      <c r="E4054" s="1"/>
      <c r="F4054" s="1"/>
      <c r="G4054" s="1"/>
      <c r="H4054" s="1"/>
      <c r="I4054" s="1"/>
      <c r="J4054" s="1"/>
      <c r="K4054" s="102" t="s">
        <v>6616</v>
      </c>
      <c r="L4054" s="102" t="str">
        <f>AD433</f>
        <v>J1a2a1a2d2b2b2c4d2a2a5a1d1a1b2~</v>
      </c>
      <c r="M4054" s="102"/>
      <c r="N4054" s="102" t="s">
        <v>6617</v>
      </c>
      <c r="O4054" s="105">
        <v>1.3984572E7</v>
      </c>
      <c r="P4054" s="105">
        <v>1.1863866E7</v>
      </c>
      <c r="Q4054" s="102" t="s">
        <v>2439</v>
      </c>
      <c r="S4054" s="1"/>
      <c r="T4054" s="1"/>
      <c r="U4054" s="1"/>
      <c r="V4054" s="1"/>
      <c r="W4054" s="1"/>
      <c r="X4054" s="1"/>
      <c r="Y4054" s="1"/>
      <c r="Z4054" s="102"/>
      <c r="AA4054" s="102"/>
      <c r="AB4054" s="1"/>
      <c r="AC4054" s="1"/>
      <c r="AD4054" s="1"/>
      <c r="AE4054" s="1"/>
      <c r="AF4054" s="1"/>
      <c r="AG4054" s="1"/>
    </row>
    <row r="4055" ht="15.75" customHeight="1">
      <c r="A4055" s="1"/>
      <c r="B4055" s="1"/>
      <c r="C4055" s="1"/>
      <c r="D4055" s="1"/>
      <c r="E4055" s="1"/>
      <c r="F4055" s="1"/>
      <c r="G4055" s="1"/>
      <c r="H4055" s="1"/>
      <c r="I4055" s="1"/>
      <c r="J4055" s="1"/>
      <c r="K4055" s="102" t="s">
        <v>6618</v>
      </c>
      <c r="L4055" s="102" t="str">
        <f>AD433</f>
        <v>J1a2a1a2d2b2b2c4d2a2a5a1d1a1b2~</v>
      </c>
      <c r="M4055" s="102"/>
      <c r="N4055" s="102" t="s">
        <v>6619</v>
      </c>
      <c r="O4055" s="105">
        <v>1.823586E7</v>
      </c>
      <c r="P4055" s="105">
        <v>1.612398E7</v>
      </c>
      <c r="Q4055" s="102" t="s">
        <v>2446</v>
      </c>
      <c r="S4055" s="1"/>
      <c r="T4055" s="1"/>
      <c r="U4055" s="1"/>
      <c r="V4055" s="1"/>
      <c r="W4055" s="1"/>
      <c r="X4055" s="1"/>
      <c r="Y4055" s="1"/>
      <c r="Z4055" s="102"/>
      <c r="AA4055" s="102"/>
      <c r="AB4055" s="1"/>
      <c r="AC4055" s="1"/>
      <c r="AD4055" s="1"/>
      <c r="AE4055" s="1"/>
      <c r="AF4055" s="1"/>
      <c r="AG4055" s="1"/>
    </row>
    <row r="4056" ht="15.75" customHeight="1">
      <c r="A4056" s="1"/>
      <c r="B4056" s="1"/>
      <c r="C4056" s="1"/>
      <c r="D4056" s="1"/>
      <c r="E4056" s="1"/>
      <c r="F4056" s="1"/>
      <c r="G4056" s="1"/>
      <c r="H4056" s="1"/>
      <c r="I4056" s="1"/>
      <c r="J4056" s="1"/>
      <c r="K4056" s="102" t="s">
        <v>6620</v>
      </c>
      <c r="L4056" s="102" t="str">
        <f>AE434</f>
        <v>J1a2a1a2d2b2b2c4d2a2a5a1d1a1b2a~</v>
      </c>
      <c r="M4056" s="102" t="s">
        <v>6621</v>
      </c>
      <c r="N4056" s="102"/>
      <c r="O4056" s="105">
        <v>1.6641809E7</v>
      </c>
      <c r="P4056" s="105">
        <v>1.4529929E7</v>
      </c>
      <c r="Q4056" s="102" t="s">
        <v>2468</v>
      </c>
      <c r="S4056" s="1"/>
      <c r="T4056" s="1"/>
      <c r="U4056" s="1"/>
      <c r="V4056" s="1"/>
      <c r="W4056" s="1"/>
      <c r="X4056" s="1"/>
      <c r="Y4056" s="1"/>
      <c r="Z4056" s="102"/>
      <c r="AA4056" s="102"/>
      <c r="AB4056" s="1"/>
      <c r="AC4056" s="1"/>
      <c r="AD4056" s="1"/>
      <c r="AE4056" s="1"/>
      <c r="AF4056" s="1"/>
      <c r="AG4056" s="1"/>
    </row>
    <row r="4057" ht="15.75" customHeight="1">
      <c r="A4057" s="1"/>
      <c r="B4057" s="1"/>
      <c r="C4057" s="1"/>
      <c r="D4057" s="1"/>
      <c r="E4057" s="1"/>
      <c r="F4057" s="1"/>
      <c r="G4057" s="1"/>
      <c r="H4057" s="1"/>
      <c r="I4057" s="1"/>
      <c r="J4057" s="1"/>
      <c r="K4057" s="102" t="s">
        <v>6621</v>
      </c>
      <c r="L4057" s="102" t="str">
        <f>AE434</f>
        <v>J1a2a1a2d2b2b2c4d2a2a5a1d1a1b2a~</v>
      </c>
      <c r="M4057" s="102" t="s">
        <v>6620</v>
      </c>
      <c r="N4057" s="102"/>
      <c r="O4057" s="105">
        <v>1.6641809E7</v>
      </c>
      <c r="P4057" s="105">
        <v>1.4529929E7</v>
      </c>
      <c r="Q4057" s="102" t="s">
        <v>2468</v>
      </c>
      <c r="S4057" s="1"/>
      <c r="T4057" s="1"/>
      <c r="U4057" s="1"/>
      <c r="V4057" s="1"/>
      <c r="W4057" s="1"/>
      <c r="X4057" s="1"/>
      <c r="Y4057" s="1"/>
      <c r="Z4057" s="102"/>
      <c r="AA4057" s="102"/>
      <c r="AB4057" s="1"/>
      <c r="AC4057" s="1"/>
      <c r="AD4057" s="1"/>
      <c r="AE4057" s="1"/>
      <c r="AF4057" s="1"/>
      <c r="AG4057" s="1"/>
    </row>
    <row r="4058" ht="15.75" customHeight="1">
      <c r="A4058" s="1"/>
      <c r="B4058" s="1"/>
      <c r="C4058" s="1"/>
      <c r="D4058" s="1"/>
      <c r="E4058" s="1"/>
      <c r="F4058" s="1"/>
      <c r="G4058" s="1"/>
      <c r="H4058" s="1"/>
      <c r="I4058" s="1"/>
      <c r="J4058" s="1"/>
      <c r="K4058" s="102" t="s">
        <v>6622</v>
      </c>
      <c r="L4058" s="102" t="str">
        <f>AF435</f>
        <v>J1a2a1a2d2b2b2c4d2a2a5a1d1a1b2a1~</v>
      </c>
      <c r="M4058" s="102"/>
      <c r="N4058" s="102"/>
      <c r="O4058" s="105">
        <v>1.4475937E7</v>
      </c>
      <c r="P4058" s="105">
        <v>1.2355206E7</v>
      </c>
      <c r="Q4058" s="102" t="s">
        <v>2446</v>
      </c>
      <c r="S4058" s="1"/>
      <c r="T4058" s="1"/>
      <c r="U4058" s="1"/>
      <c r="V4058" s="1"/>
      <c r="W4058" s="1"/>
      <c r="X4058" s="1"/>
      <c r="Y4058" s="1"/>
      <c r="Z4058" s="102"/>
      <c r="AA4058" s="102"/>
      <c r="AB4058" s="1"/>
      <c r="AC4058" s="1"/>
      <c r="AD4058" s="1"/>
      <c r="AE4058" s="1"/>
      <c r="AF4058" s="1"/>
      <c r="AG4058" s="1"/>
    </row>
    <row r="4059" ht="15.75" customHeight="1">
      <c r="A4059" s="1"/>
      <c r="B4059" s="1"/>
      <c r="C4059" s="1"/>
      <c r="D4059" s="1"/>
      <c r="E4059" s="1"/>
      <c r="F4059" s="1"/>
      <c r="G4059" s="1"/>
      <c r="H4059" s="1"/>
      <c r="I4059" s="1"/>
      <c r="J4059" s="1"/>
      <c r="K4059" s="102" t="s">
        <v>6623</v>
      </c>
      <c r="L4059" s="102" t="str">
        <f>AF435</f>
        <v>J1a2a1a2d2b2b2c4d2a2a5a1d1a1b2a1~</v>
      </c>
      <c r="M4059" s="102"/>
      <c r="N4059" s="102"/>
      <c r="O4059" s="105">
        <v>1.9443414E7</v>
      </c>
      <c r="P4059" s="105">
        <v>1.7331534E7</v>
      </c>
      <c r="Q4059" s="102" t="s">
        <v>2529</v>
      </c>
      <c r="S4059" s="1"/>
      <c r="T4059" s="1"/>
      <c r="U4059" s="1"/>
      <c r="V4059" s="1"/>
      <c r="W4059" s="1"/>
      <c r="X4059" s="1"/>
      <c r="Y4059" s="1"/>
      <c r="Z4059" s="102"/>
      <c r="AA4059" s="102"/>
      <c r="AB4059" s="1"/>
      <c r="AC4059" s="1"/>
      <c r="AD4059" s="1"/>
      <c r="AE4059" s="1"/>
      <c r="AF4059" s="1"/>
      <c r="AG4059" s="1"/>
    </row>
    <row r="4060" ht="15.75" customHeight="1">
      <c r="A4060" s="1"/>
      <c r="B4060" s="1"/>
      <c r="C4060" s="1"/>
      <c r="D4060" s="1"/>
      <c r="E4060" s="1"/>
      <c r="F4060" s="1"/>
      <c r="G4060" s="1"/>
      <c r="H4060" s="1"/>
      <c r="I4060" s="1"/>
      <c r="J4060" s="1"/>
      <c r="K4060" s="102" t="s">
        <v>839</v>
      </c>
      <c r="L4060" s="102" t="str">
        <f>AG436</f>
        <v>J1a2a1a2d2b2b2c4d2a2a5a1d1a1b2a1a~</v>
      </c>
      <c r="M4060" s="102"/>
      <c r="N4060" s="102"/>
      <c r="O4060" s="105">
        <v>2.1328379E7</v>
      </c>
      <c r="P4060" s="105">
        <v>1.9166493E7</v>
      </c>
      <c r="Q4060" s="102" t="s">
        <v>2439</v>
      </c>
      <c r="S4060" s="1"/>
      <c r="T4060" s="1"/>
      <c r="U4060" s="1"/>
      <c r="V4060" s="1"/>
      <c r="W4060" s="1"/>
      <c r="X4060" s="1"/>
      <c r="Y4060" s="1"/>
      <c r="Z4060" s="102"/>
      <c r="AA4060" s="102"/>
      <c r="AB4060" s="1"/>
      <c r="AC4060" s="1"/>
      <c r="AD4060" s="1"/>
      <c r="AE4060" s="1"/>
      <c r="AF4060" s="1"/>
      <c r="AG4060" s="1"/>
    </row>
    <row r="4061" ht="15.75" customHeight="1">
      <c r="A4061" s="1"/>
      <c r="B4061" s="1"/>
      <c r="C4061" s="1"/>
      <c r="D4061" s="1"/>
      <c r="E4061" s="1"/>
      <c r="F4061" s="1"/>
      <c r="G4061" s="1"/>
      <c r="H4061" s="1"/>
      <c r="I4061" s="1"/>
      <c r="J4061" s="1"/>
      <c r="K4061" s="102" t="s">
        <v>841</v>
      </c>
      <c r="L4061" s="102" t="str">
        <f>AH437</f>
        <v>J1a2a1a2d2b2b2c4d2a2a5a1d1a1b2a1a1~</v>
      </c>
      <c r="M4061" s="102"/>
      <c r="N4061" s="102"/>
      <c r="O4061" s="105">
        <v>1.8404127E7</v>
      </c>
      <c r="P4061" s="105">
        <v>1.6292247E7</v>
      </c>
      <c r="Q4061" s="102" t="s">
        <v>2529</v>
      </c>
      <c r="S4061" s="1"/>
      <c r="T4061" s="1"/>
      <c r="U4061" s="1"/>
      <c r="V4061" s="1"/>
      <c r="W4061" s="1"/>
      <c r="X4061" s="1"/>
      <c r="Y4061" s="1"/>
      <c r="Z4061" s="102"/>
      <c r="AA4061" s="102"/>
      <c r="AB4061" s="1"/>
      <c r="AC4061" s="1"/>
      <c r="AD4061" s="1"/>
      <c r="AE4061" s="1"/>
      <c r="AF4061" s="1"/>
      <c r="AG4061" s="1"/>
    </row>
    <row r="4062" ht="15.75" customHeight="1">
      <c r="A4062" s="1"/>
      <c r="B4062" s="1"/>
      <c r="C4062" s="1"/>
      <c r="D4062" s="1"/>
      <c r="E4062" s="1"/>
      <c r="F4062" s="1"/>
      <c r="G4062" s="1"/>
      <c r="H4062" s="1"/>
      <c r="I4062" s="1"/>
      <c r="J4062" s="1"/>
      <c r="K4062" s="102" t="s">
        <v>843</v>
      </c>
      <c r="L4062" s="102" t="str">
        <f>Y439</f>
        <v>J1a2a1a2d2b2b2c4d2a2a5a1e~</v>
      </c>
      <c r="M4062" s="102"/>
      <c r="N4062" s="102" t="s">
        <v>6624</v>
      </c>
      <c r="O4062" s="105">
        <v>3930825.0</v>
      </c>
      <c r="P4062" s="105">
        <v>4062784.0</v>
      </c>
      <c r="Q4062" s="102" t="s">
        <v>2454</v>
      </c>
      <c r="S4062" s="1"/>
      <c r="T4062" s="1"/>
      <c r="U4062" s="1"/>
      <c r="V4062" s="1"/>
      <c r="W4062" s="1"/>
      <c r="X4062" s="1"/>
      <c r="Y4062" s="1"/>
      <c r="Z4062" s="102"/>
      <c r="AA4062" s="102"/>
      <c r="AB4062" s="1"/>
      <c r="AC4062" s="1"/>
      <c r="AD4062" s="1"/>
      <c r="AE4062" s="1"/>
      <c r="AF4062" s="1"/>
      <c r="AG4062" s="1"/>
    </row>
    <row r="4063" ht="15.75" customHeight="1">
      <c r="A4063" s="1"/>
      <c r="B4063" s="1"/>
      <c r="C4063" s="1"/>
      <c r="D4063" s="1"/>
      <c r="E4063" s="1"/>
      <c r="F4063" s="1"/>
      <c r="G4063" s="1"/>
      <c r="H4063" s="1"/>
      <c r="I4063" s="1"/>
      <c r="J4063" s="1"/>
      <c r="K4063" s="102" t="s">
        <v>6625</v>
      </c>
      <c r="L4063" s="102" t="str">
        <f>Z440</f>
        <v>J1a2a1a2d2b2b2c4d2a2a5a1e1~</v>
      </c>
      <c r="M4063" s="106" t="s">
        <v>6626</v>
      </c>
      <c r="N4063" s="106" t="s">
        <v>13</v>
      </c>
      <c r="O4063" s="102">
        <v>1.4456737E7</v>
      </c>
      <c r="P4063" s="102">
        <v>1.233601E7</v>
      </c>
      <c r="Q4063" s="102" t="s">
        <v>2533</v>
      </c>
      <c r="S4063" s="1"/>
      <c r="T4063" s="1"/>
      <c r="U4063" s="1"/>
      <c r="V4063" s="1"/>
      <c r="W4063" s="1"/>
      <c r="X4063" s="1"/>
      <c r="Y4063" s="1"/>
      <c r="Z4063" s="102">
        <v>1.4456737E7</v>
      </c>
      <c r="AA4063" s="102" t="s">
        <v>6626</v>
      </c>
      <c r="AB4063" s="1"/>
      <c r="AC4063" s="1"/>
      <c r="AD4063" s="1"/>
      <c r="AE4063" s="1"/>
      <c r="AF4063" s="1"/>
      <c r="AG4063" s="1"/>
    </row>
    <row r="4064" ht="15.75" customHeight="1">
      <c r="A4064" s="1"/>
      <c r="B4064" s="1"/>
      <c r="C4064" s="1"/>
      <c r="D4064" s="1"/>
      <c r="E4064" s="1"/>
      <c r="F4064" s="1"/>
      <c r="G4064" s="1"/>
      <c r="H4064" s="1"/>
      <c r="I4064" s="1"/>
      <c r="J4064" s="1"/>
      <c r="K4064" s="106" t="s">
        <v>6626</v>
      </c>
      <c r="L4064" s="102" t="str">
        <f>Z440</f>
        <v>J1a2a1a2d2b2b2c4d2a2a5a1e1~</v>
      </c>
      <c r="M4064" s="102" t="s">
        <v>6625</v>
      </c>
      <c r="N4064" s="106" t="s">
        <v>13</v>
      </c>
      <c r="O4064" s="102">
        <v>1.4456737E7</v>
      </c>
      <c r="P4064" s="102">
        <v>1.233601E7</v>
      </c>
      <c r="Q4064" s="102" t="s">
        <v>2533</v>
      </c>
      <c r="S4064" s="1"/>
      <c r="T4064" s="1"/>
      <c r="U4064" s="1"/>
      <c r="V4064" s="1"/>
      <c r="W4064" s="1"/>
      <c r="X4064" s="1"/>
      <c r="Y4064" s="1"/>
      <c r="Z4064" s="102"/>
      <c r="AA4064" s="102"/>
      <c r="AB4064" s="1"/>
      <c r="AC4064" s="1"/>
      <c r="AD4064" s="1"/>
      <c r="AE4064" s="1"/>
      <c r="AF4064" s="1"/>
      <c r="AG4064" s="1"/>
    </row>
    <row r="4065" ht="15.75" customHeight="1">
      <c r="A4065" s="1"/>
      <c r="B4065" s="1"/>
      <c r="C4065" s="1"/>
      <c r="D4065" s="1"/>
      <c r="E4065" s="1"/>
      <c r="F4065" s="1"/>
      <c r="G4065" s="1"/>
      <c r="H4065" s="1"/>
      <c r="I4065" s="1"/>
      <c r="J4065" s="1"/>
      <c r="K4065" s="102" t="s">
        <v>6627</v>
      </c>
      <c r="L4065" s="102" t="str">
        <f>AA441</f>
        <v>J1a2a1a2d2b2b2c4d2a2a5a1e1a~</v>
      </c>
      <c r="M4065" s="102" t="s">
        <v>6628</v>
      </c>
      <c r="N4065" s="102"/>
      <c r="O4065" s="105">
        <v>8615235.0</v>
      </c>
      <c r="P4065" s="105">
        <v>8747194.0</v>
      </c>
      <c r="Q4065" s="102" t="s">
        <v>2514</v>
      </c>
      <c r="S4065" s="1"/>
      <c r="T4065" s="1"/>
      <c r="U4065" s="1"/>
      <c r="V4065" s="1"/>
      <c r="W4065" s="1"/>
      <c r="X4065" s="1"/>
      <c r="Y4065" s="1"/>
      <c r="Z4065" s="102"/>
      <c r="AA4065" s="102"/>
      <c r="AB4065" s="1"/>
      <c r="AC4065" s="1"/>
      <c r="AD4065" s="1"/>
      <c r="AE4065" s="1"/>
      <c r="AF4065" s="1"/>
      <c r="AG4065" s="1"/>
    </row>
    <row r="4066" ht="15.75" customHeight="1">
      <c r="A4066" s="1"/>
      <c r="B4066" s="1"/>
      <c r="C4066" s="1"/>
      <c r="D4066" s="1"/>
      <c r="E4066" s="1"/>
      <c r="F4066" s="1"/>
      <c r="G4066" s="1"/>
      <c r="H4066" s="1"/>
      <c r="I4066" s="1"/>
      <c r="J4066" s="1"/>
      <c r="K4066" s="102" t="s">
        <v>6628</v>
      </c>
      <c r="L4066" s="102" t="str">
        <f>AA441</f>
        <v>J1a2a1a2d2b2b2c4d2a2a5a1e1a~</v>
      </c>
      <c r="M4066" s="102" t="s">
        <v>6627</v>
      </c>
      <c r="N4066" s="102"/>
      <c r="O4066" s="105">
        <v>8615235.0</v>
      </c>
      <c r="P4066" s="105">
        <v>8747194.0</v>
      </c>
      <c r="Q4066" s="102" t="s">
        <v>2514</v>
      </c>
      <c r="S4066" s="1"/>
      <c r="T4066" s="1"/>
      <c r="U4066" s="1"/>
      <c r="V4066" s="1"/>
      <c r="W4066" s="1"/>
      <c r="X4066" s="1"/>
      <c r="Y4066" s="1"/>
      <c r="Z4066" s="102"/>
      <c r="AA4066" s="102"/>
      <c r="AB4066" s="1"/>
      <c r="AC4066" s="1"/>
      <c r="AD4066" s="1"/>
      <c r="AE4066" s="1"/>
      <c r="AF4066" s="1"/>
      <c r="AG4066" s="1"/>
    </row>
    <row r="4067" ht="15.75" customHeight="1">
      <c r="A4067" s="1"/>
      <c r="B4067" s="1"/>
      <c r="C4067" s="1"/>
      <c r="D4067" s="1"/>
      <c r="E4067" s="1"/>
      <c r="F4067" s="1"/>
      <c r="G4067" s="1"/>
      <c r="H4067" s="1"/>
      <c r="I4067" s="1"/>
      <c r="J4067" s="1"/>
      <c r="K4067" s="102" t="s">
        <v>6629</v>
      </c>
      <c r="L4067" s="102" t="str">
        <f>AA441</f>
        <v>J1a2a1a2d2b2b2c4d2a2a5a1e1a~</v>
      </c>
      <c r="M4067" s="102" t="s">
        <v>6630</v>
      </c>
      <c r="N4067" s="102"/>
      <c r="O4067" s="105">
        <v>1.7376485E7</v>
      </c>
      <c r="P4067" s="105">
        <v>1.5264605E7</v>
      </c>
      <c r="Q4067" s="102" t="s">
        <v>2468</v>
      </c>
      <c r="S4067" s="1"/>
      <c r="T4067" s="1"/>
      <c r="U4067" s="1"/>
      <c r="V4067" s="1"/>
      <c r="W4067" s="1"/>
      <c r="X4067" s="1"/>
      <c r="Y4067" s="1"/>
      <c r="Z4067" s="102"/>
      <c r="AA4067" s="102"/>
      <c r="AB4067" s="1"/>
      <c r="AC4067" s="1"/>
      <c r="AD4067" s="1"/>
      <c r="AE4067" s="1"/>
      <c r="AF4067" s="1"/>
      <c r="AG4067" s="1"/>
    </row>
    <row r="4068" ht="15.75" customHeight="1">
      <c r="A4068" s="1"/>
      <c r="B4068" s="1"/>
      <c r="C4068" s="1"/>
      <c r="D4068" s="1"/>
      <c r="E4068" s="1"/>
      <c r="F4068" s="1"/>
      <c r="G4068" s="1"/>
      <c r="H4068" s="1"/>
      <c r="I4068" s="1"/>
      <c r="J4068" s="1"/>
      <c r="K4068" s="102" t="s">
        <v>6630</v>
      </c>
      <c r="L4068" s="102" t="str">
        <f>AA441</f>
        <v>J1a2a1a2d2b2b2c4d2a2a5a1e1a~</v>
      </c>
      <c r="M4068" s="102" t="s">
        <v>6629</v>
      </c>
      <c r="N4068" s="102"/>
      <c r="O4068" s="105">
        <v>1.7376485E7</v>
      </c>
      <c r="P4068" s="105">
        <v>1.5264605E7</v>
      </c>
      <c r="Q4068" s="102" t="s">
        <v>2468</v>
      </c>
      <c r="S4068" s="1"/>
      <c r="T4068" s="1"/>
      <c r="U4068" s="1"/>
      <c r="V4068" s="1"/>
      <c r="W4068" s="1"/>
      <c r="X4068" s="1"/>
      <c r="Y4068" s="1"/>
      <c r="Z4068" s="102"/>
      <c r="AA4068" s="102"/>
      <c r="AB4068" s="1"/>
      <c r="AC4068" s="1"/>
      <c r="AD4068" s="1"/>
      <c r="AE4068" s="1"/>
      <c r="AF4068" s="1"/>
      <c r="AG4068" s="1"/>
    </row>
    <row r="4069" ht="15.75" customHeight="1">
      <c r="A4069" s="1"/>
      <c r="B4069" s="1"/>
      <c r="C4069" s="1"/>
      <c r="D4069" s="1"/>
      <c r="E4069" s="1"/>
      <c r="F4069" s="1"/>
      <c r="G4069" s="1"/>
      <c r="H4069" s="1"/>
      <c r="I4069" s="1"/>
      <c r="J4069" s="1"/>
      <c r="K4069" s="102" t="s">
        <v>6631</v>
      </c>
      <c r="L4069" s="102" t="str">
        <f>AB442</f>
        <v>J1a2a1a2d2b2b2c4d2a2a5a1e1a1~</v>
      </c>
      <c r="M4069" s="102"/>
      <c r="N4069" s="102"/>
      <c r="O4069" s="105">
        <v>1.7563369E7</v>
      </c>
      <c r="P4069" s="105">
        <v>1.5451489E7</v>
      </c>
      <c r="Q4069" s="102" t="s">
        <v>2501</v>
      </c>
      <c r="S4069" s="1"/>
      <c r="T4069" s="1"/>
      <c r="U4069" s="1"/>
      <c r="V4069" s="1"/>
      <c r="W4069" s="1"/>
      <c r="X4069" s="1"/>
      <c r="Y4069" s="1"/>
      <c r="Z4069" s="102"/>
      <c r="AA4069" s="102"/>
      <c r="AB4069" s="1"/>
      <c r="AC4069" s="1"/>
      <c r="AD4069" s="1"/>
      <c r="AE4069" s="1"/>
      <c r="AF4069" s="1"/>
      <c r="AG4069" s="1"/>
    </row>
    <row r="4070" ht="15.75" customHeight="1">
      <c r="A4070" s="1"/>
      <c r="B4070" s="1"/>
      <c r="C4070" s="1"/>
      <c r="D4070" s="1"/>
      <c r="E4070" s="1"/>
      <c r="F4070" s="1"/>
      <c r="G4070" s="1"/>
      <c r="H4070" s="1"/>
      <c r="I4070" s="1"/>
      <c r="J4070" s="1"/>
      <c r="K4070" s="102" t="s">
        <v>6632</v>
      </c>
      <c r="L4070" s="102" t="str">
        <f>AB442</f>
        <v>J1a2a1a2d2b2b2c4d2a2a5a1e1a1~</v>
      </c>
      <c r="M4070" s="102"/>
      <c r="N4070" s="102"/>
      <c r="O4070" s="105">
        <v>2888130.0</v>
      </c>
      <c r="P4070" s="105">
        <v>3020089.0</v>
      </c>
      <c r="Q4070" s="102" t="s">
        <v>2468</v>
      </c>
      <c r="S4070" s="1"/>
      <c r="T4070" s="1"/>
      <c r="U4070" s="1"/>
      <c r="V4070" s="1"/>
      <c r="W4070" s="1"/>
      <c r="X4070" s="1"/>
      <c r="Y4070" s="1"/>
      <c r="Z4070" s="102"/>
      <c r="AA4070" s="102"/>
      <c r="AB4070" s="1"/>
      <c r="AC4070" s="1"/>
      <c r="AD4070" s="1"/>
      <c r="AE4070" s="1"/>
      <c r="AF4070" s="1"/>
      <c r="AG4070" s="1"/>
    </row>
    <row r="4071" ht="15.75" customHeight="1">
      <c r="A4071" s="1"/>
      <c r="B4071" s="1"/>
      <c r="C4071" s="1"/>
      <c r="D4071" s="1"/>
      <c r="E4071" s="1"/>
      <c r="F4071" s="1"/>
      <c r="G4071" s="1"/>
      <c r="H4071" s="1"/>
      <c r="I4071" s="1"/>
      <c r="J4071" s="1"/>
      <c r="K4071" s="102" t="s">
        <v>6633</v>
      </c>
      <c r="L4071" s="102" t="str">
        <f>AB442</f>
        <v>J1a2a1a2d2b2b2c4d2a2a5a1e1a1~</v>
      </c>
      <c r="M4071" s="102"/>
      <c r="N4071" s="102" t="s">
        <v>6634</v>
      </c>
      <c r="O4071" s="105">
        <v>1.3821698E7</v>
      </c>
      <c r="P4071" s="105">
        <v>1.1700992E7</v>
      </c>
      <c r="Q4071" s="102" t="s">
        <v>2533</v>
      </c>
      <c r="S4071" s="1"/>
      <c r="T4071" s="1"/>
      <c r="U4071" s="1"/>
      <c r="V4071" s="1"/>
      <c r="W4071" s="1"/>
      <c r="X4071" s="1"/>
      <c r="Y4071" s="1"/>
      <c r="Z4071" s="102"/>
      <c r="AA4071" s="102"/>
      <c r="AB4071" s="1"/>
      <c r="AC4071" s="1"/>
      <c r="AD4071" s="1"/>
      <c r="AE4071" s="1"/>
      <c r="AF4071" s="1"/>
      <c r="AG4071" s="1"/>
    </row>
    <row r="4072" ht="15.75" customHeight="1">
      <c r="A4072" s="1"/>
      <c r="B4072" s="1"/>
      <c r="C4072" s="1"/>
      <c r="D4072" s="1"/>
      <c r="E4072" s="1"/>
      <c r="F4072" s="1"/>
      <c r="G4072" s="1"/>
      <c r="H4072" s="1"/>
      <c r="I4072" s="1"/>
      <c r="J4072" s="1"/>
      <c r="K4072" s="102" t="s">
        <v>6635</v>
      </c>
      <c r="L4072" s="102" t="str">
        <f>AB442</f>
        <v>J1a2a1a2d2b2b2c4d2a2a5a1e1a1~</v>
      </c>
      <c r="M4072" s="102"/>
      <c r="N4072" s="102"/>
      <c r="O4072" s="105">
        <v>1.4186504E7</v>
      </c>
      <c r="P4072" s="105">
        <v>1.2065798E7</v>
      </c>
      <c r="Q4072" s="102" t="s">
        <v>2563</v>
      </c>
      <c r="S4072" s="1"/>
      <c r="T4072" s="1"/>
      <c r="U4072" s="1"/>
      <c r="V4072" s="1"/>
      <c r="W4072" s="1"/>
      <c r="X4072" s="1"/>
      <c r="Y4072" s="1"/>
      <c r="Z4072" s="102"/>
      <c r="AA4072" s="102"/>
      <c r="AB4072" s="1"/>
      <c r="AC4072" s="1"/>
      <c r="AD4072" s="1"/>
      <c r="AE4072" s="1"/>
      <c r="AF4072" s="1"/>
      <c r="AG4072" s="1"/>
    </row>
    <row r="4073" ht="15.75" customHeight="1">
      <c r="A4073" s="1"/>
      <c r="B4073" s="1"/>
      <c r="C4073" s="1"/>
      <c r="D4073" s="1"/>
      <c r="E4073" s="1"/>
      <c r="F4073" s="1"/>
      <c r="G4073" s="1"/>
      <c r="H4073" s="1"/>
      <c r="I4073" s="1"/>
      <c r="J4073" s="1"/>
      <c r="K4073" s="102" t="s">
        <v>6636</v>
      </c>
      <c r="L4073" s="102" t="str">
        <f>AB442</f>
        <v>J1a2a1a2d2b2b2c4d2a2a5a1e1a1~</v>
      </c>
      <c r="M4073" s="102"/>
      <c r="N4073" s="102"/>
      <c r="O4073" s="105">
        <v>1.723573E7</v>
      </c>
      <c r="P4073" s="105">
        <v>1.512385E7</v>
      </c>
      <c r="Q4073" s="102" t="s">
        <v>2563</v>
      </c>
      <c r="S4073" s="1"/>
      <c r="T4073" s="1"/>
      <c r="U4073" s="1"/>
      <c r="V4073" s="1"/>
      <c r="W4073" s="1"/>
      <c r="X4073" s="1"/>
      <c r="Y4073" s="1"/>
      <c r="Z4073" s="102"/>
      <c r="AA4073" s="102"/>
      <c r="AB4073" s="1"/>
      <c r="AC4073" s="1"/>
      <c r="AD4073" s="1"/>
      <c r="AE4073" s="1"/>
      <c r="AF4073" s="1"/>
      <c r="AG4073" s="1"/>
    </row>
    <row r="4074" ht="15.75" customHeight="1">
      <c r="A4074" s="1"/>
      <c r="B4074" s="1"/>
      <c r="C4074" s="1"/>
      <c r="D4074" s="1"/>
      <c r="E4074" s="1"/>
      <c r="F4074" s="1"/>
      <c r="G4074" s="1"/>
      <c r="H4074" s="1"/>
      <c r="I4074" s="1"/>
      <c r="J4074" s="1"/>
      <c r="K4074" s="102" t="s">
        <v>6637</v>
      </c>
      <c r="L4074" s="102" t="str">
        <f>AB442</f>
        <v>J1a2a1a2d2b2b2c4d2a2a5a1e1a1~</v>
      </c>
      <c r="M4074" s="102"/>
      <c r="N4074" s="102"/>
      <c r="O4074" s="105">
        <v>1.9283524E7</v>
      </c>
      <c r="P4074" s="105">
        <v>1.7171644E7</v>
      </c>
      <c r="Q4074" s="102" t="s">
        <v>2454</v>
      </c>
      <c r="S4074" s="1"/>
      <c r="T4074" s="1"/>
      <c r="U4074" s="1"/>
      <c r="V4074" s="1"/>
      <c r="W4074" s="1"/>
      <c r="X4074" s="1"/>
      <c r="Y4074" s="1"/>
      <c r="Z4074" s="102"/>
      <c r="AA4074" s="102"/>
      <c r="AB4074" s="1"/>
      <c r="AC4074" s="1"/>
      <c r="AD4074" s="1"/>
      <c r="AE4074" s="1"/>
      <c r="AF4074" s="1"/>
      <c r="AG4074" s="1"/>
    </row>
    <row r="4075" ht="15.75" customHeight="1">
      <c r="A4075" s="1"/>
      <c r="B4075" s="1"/>
      <c r="C4075" s="1"/>
      <c r="D4075" s="1"/>
      <c r="E4075" s="1"/>
      <c r="F4075" s="1"/>
      <c r="G4075" s="1"/>
      <c r="H4075" s="1"/>
      <c r="I4075" s="1"/>
      <c r="J4075" s="1"/>
      <c r="K4075" s="102" t="s">
        <v>6638</v>
      </c>
      <c r="L4075" s="102" t="str">
        <f>AB442</f>
        <v>J1a2a1a2d2b2b2c4d2a2a5a1e1a1~</v>
      </c>
      <c r="M4075" s="102"/>
      <c r="N4075" s="102"/>
      <c r="O4075" s="105">
        <v>2.1046368E7</v>
      </c>
      <c r="P4075" s="105">
        <v>1.8884482E7</v>
      </c>
      <c r="Q4075" s="102" t="s">
        <v>2423</v>
      </c>
      <c r="S4075" s="1"/>
      <c r="T4075" s="1"/>
      <c r="U4075" s="1"/>
      <c r="V4075" s="1"/>
      <c r="W4075" s="1"/>
      <c r="X4075" s="1"/>
      <c r="Y4075" s="1"/>
      <c r="Z4075" s="102"/>
      <c r="AA4075" s="102"/>
      <c r="AB4075" s="1"/>
      <c r="AC4075" s="1"/>
      <c r="AD4075" s="1"/>
      <c r="AE4075" s="1"/>
      <c r="AF4075" s="1"/>
      <c r="AG4075" s="1"/>
    </row>
    <row r="4076" ht="15.75" customHeight="1">
      <c r="A4076" s="1"/>
      <c r="B4076" s="1"/>
      <c r="C4076" s="1"/>
      <c r="D4076" s="1"/>
      <c r="E4076" s="1"/>
      <c r="F4076" s="1"/>
      <c r="G4076" s="1"/>
      <c r="H4076" s="1"/>
      <c r="I4076" s="1"/>
      <c r="J4076" s="1"/>
      <c r="K4076" s="102" t="s">
        <v>6639</v>
      </c>
      <c r="L4076" s="102" t="str">
        <f>AB442</f>
        <v>J1a2a1a2d2b2b2c4d2a2a5a1e1a1~</v>
      </c>
      <c r="M4076" s="102"/>
      <c r="N4076" s="102" t="s">
        <v>6640</v>
      </c>
      <c r="O4076" s="105">
        <v>2.1877887E7</v>
      </c>
      <c r="P4076" s="105">
        <v>1.9716001E7</v>
      </c>
      <c r="Q4076" s="102" t="s">
        <v>2501</v>
      </c>
      <c r="S4076" s="1"/>
      <c r="T4076" s="1"/>
      <c r="U4076" s="1"/>
      <c r="V4076" s="1"/>
      <c r="W4076" s="1"/>
      <c r="X4076" s="1"/>
      <c r="Y4076" s="1"/>
      <c r="Z4076" s="102"/>
      <c r="AA4076" s="102"/>
      <c r="AB4076" s="1"/>
      <c r="AC4076" s="1"/>
      <c r="AD4076" s="1"/>
      <c r="AE4076" s="1"/>
      <c r="AF4076" s="1"/>
      <c r="AG4076" s="1"/>
    </row>
    <row r="4077" ht="15.75" customHeight="1">
      <c r="A4077" s="1"/>
      <c r="B4077" s="1"/>
      <c r="C4077" s="1"/>
      <c r="D4077" s="1"/>
      <c r="E4077" s="1"/>
      <c r="F4077" s="1"/>
      <c r="G4077" s="1"/>
      <c r="H4077" s="1"/>
      <c r="I4077" s="1"/>
      <c r="J4077" s="1"/>
      <c r="K4077" s="102" t="s">
        <v>6641</v>
      </c>
      <c r="L4077" s="102" t="str">
        <f t="shared" ref="L4077:L4078" si="70">AB442</f>
        <v>J1a2a1a2d2b2b2c4d2a2a5a1e1a1~</v>
      </c>
      <c r="M4077" s="102"/>
      <c r="N4077" s="102"/>
      <c r="O4077" s="105">
        <v>2.2925719E7</v>
      </c>
      <c r="P4077" s="105">
        <v>2.0763833E7</v>
      </c>
      <c r="Q4077" s="102" t="s">
        <v>2501</v>
      </c>
      <c r="S4077" s="1"/>
      <c r="T4077" s="1"/>
      <c r="U4077" s="1"/>
      <c r="V4077" s="1"/>
      <c r="W4077" s="1"/>
      <c r="X4077" s="1"/>
      <c r="Y4077" s="1"/>
      <c r="Z4077" s="102"/>
      <c r="AA4077" s="102"/>
      <c r="AB4077" s="1"/>
      <c r="AC4077" s="1"/>
      <c r="AD4077" s="1"/>
      <c r="AE4077" s="1"/>
      <c r="AF4077" s="1"/>
      <c r="AG4077" s="1"/>
    </row>
    <row r="4078" ht="15.75" customHeight="1">
      <c r="A4078" s="1"/>
      <c r="B4078" s="1"/>
      <c r="C4078" s="1"/>
      <c r="D4078" s="1"/>
      <c r="E4078" s="1"/>
      <c r="F4078" s="1"/>
      <c r="G4078" s="1"/>
      <c r="H4078" s="1"/>
      <c r="I4078" s="1"/>
      <c r="J4078" s="1"/>
      <c r="K4078" s="102" t="s">
        <v>6642</v>
      </c>
      <c r="L4078" s="102" t="str">
        <f t="shared" si="70"/>
        <v>J1a2a1a2d2b2b2c4d2a2a5a1e1a2~</v>
      </c>
      <c r="M4078" s="102" t="s">
        <v>6643</v>
      </c>
      <c r="N4078" s="102"/>
      <c r="O4078" s="105">
        <v>2685264.0</v>
      </c>
      <c r="P4078" s="105">
        <v>2817223.0</v>
      </c>
      <c r="Q4078" s="102" t="s">
        <v>2432</v>
      </c>
      <c r="S4078" s="1"/>
      <c r="T4078" s="1"/>
      <c r="U4078" s="1"/>
      <c r="V4078" s="1"/>
      <c r="W4078" s="1"/>
      <c r="X4078" s="1"/>
      <c r="Y4078" s="1"/>
      <c r="Z4078" s="102"/>
      <c r="AA4078" s="102"/>
      <c r="AB4078" s="1"/>
      <c r="AC4078" s="1"/>
      <c r="AD4078" s="1"/>
      <c r="AE4078" s="1"/>
      <c r="AF4078" s="1"/>
      <c r="AG4078" s="1"/>
    </row>
    <row r="4079" ht="15.75" customHeight="1">
      <c r="A4079" s="1"/>
      <c r="B4079" s="1"/>
      <c r="C4079" s="1"/>
      <c r="D4079" s="1"/>
      <c r="E4079" s="1"/>
      <c r="F4079" s="1"/>
      <c r="G4079" s="1"/>
      <c r="H4079" s="1"/>
      <c r="I4079" s="1"/>
      <c r="J4079" s="1"/>
      <c r="K4079" s="102" t="s">
        <v>6643</v>
      </c>
      <c r="L4079" s="102" t="str">
        <f>AB443</f>
        <v>J1a2a1a2d2b2b2c4d2a2a5a1e1a2~</v>
      </c>
      <c r="M4079" s="102" t="s">
        <v>6642</v>
      </c>
      <c r="N4079" s="102" t="s">
        <v>6644</v>
      </c>
      <c r="O4079" s="105">
        <v>1.5147187E7</v>
      </c>
      <c r="P4079" s="105">
        <v>1.3035274E7</v>
      </c>
      <c r="Q4079" s="102" t="s">
        <v>2576</v>
      </c>
      <c r="S4079" s="1"/>
      <c r="T4079" s="1"/>
      <c r="U4079" s="1"/>
      <c r="V4079" s="1"/>
      <c r="W4079" s="1"/>
      <c r="X4079" s="1"/>
      <c r="Y4079" s="1"/>
      <c r="Z4079" s="102"/>
      <c r="AA4079" s="102"/>
      <c r="AB4079" s="1"/>
      <c r="AC4079" s="1"/>
      <c r="AD4079" s="1"/>
      <c r="AE4079" s="1"/>
      <c r="AF4079" s="1"/>
      <c r="AG4079" s="1"/>
    </row>
    <row r="4080" ht="15.75" customHeight="1">
      <c r="A4080" s="1"/>
      <c r="B4080" s="1"/>
      <c r="C4080" s="1"/>
      <c r="D4080" s="1"/>
      <c r="E4080" s="1"/>
      <c r="F4080" s="1"/>
      <c r="G4080" s="1"/>
      <c r="H4080" s="1"/>
      <c r="I4080" s="1"/>
      <c r="J4080" s="1"/>
      <c r="K4080" s="102" t="s">
        <v>6645</v>
      </c>
      <c r="L4080" s="102" t="str">
        <f>AB443</f>
        <v>J1a2a1a2d2b2b2c4d2a2a5a1e1a2~</v>
      </c>
      <c r="M4080" s="102" t="s">
        <v>6646</v>
      </c>
      <c r="N4080" s="102"/>
      <c r="O4080" s="105">
        <v>2881725.0</v>
      </c>
      <c r="P4080" s="105">
        <v>3013684.0</v>
      </c>
      <c r="Q4080" s="102" t="s">
        <v>2529</v>
      </c>
      <c r="S4080" s="1"/>
      <c r="T4080" s="1"/>
      <c r="U4080" s="1"/>
      <c r="V4080" s="1"/>
      <c r="W4080" s="1"/>
      <c r="X4080" s="1"/>
      <c r="Y4080" s="1"/>
      <c r="Z4080" s="102"/>
      <c r="AA4080" s="102"/>
      <c r="AB4080" s="1"/>
      <c r="AC4080" s="1"/>
      <c r="AD4080" s="1"/>
      <c r="AE4080" s="1"/>
      <c r="AF4080" s="1"/>
      <c r="AG4080" s="1"/>
    </row>
    <row r="4081" ht="15.75" customHeight="1">
      <c r="A4081" s="1"/>
      <c r="B4081" s="1"/>
      <c r="C4081" s="1"/>
      <c r="D4081" s="1"/>
      <c r="E4081" s="1"/>
      <c r="F4081" s="1"/>
      <c r="G4081" s="1"/>
      <c r="H4081" s="1"/>
      <c r="I4081" s="1"/>
      <c r="J4081" s="1"/>
      <c r="K4081" s="102" t="s">
        <v>6646</v>
      </c>
      <c r="L4081" s="102" t="str">
        <f>AB443</f>
        <v>J1a2a1a2d2b2b2c4d2a2a5a1e1a2~</v>
      </c>
      <c r="M4081" s="102" t="s">
        <v>6645</v>
      </c>
      <c r="N4081" s="102"/>
      <c r="O4081" s="105">
        <v>2881725.0</v>
      </c>
      <c r="P4081" s="105">
        <v>3013684.0</v>
      </c>
      <c r="Q4081" s="102" t="s">
        <v>2529</v>
      </c>
      <c r="S4081" s="1"/>
      <c r="T4081" s="1"/>
      <c r="U4081" s="1"/>
      <c r="V4081" s="1"/>
      <c r="W4081" s="1"/>
      <c r="X4081" s="1"/>
      <c r="Y4081" s="1"/>
      <c r="Z4081" s="102"/>
      <c r="AA4081" s="102"/>
      <c r="AB4081" s="1"/>
      <c r="AC4081" s="1"/>
      <c r="AD4081" s="1"/>
      <c r="AE4081" s="1"/>
      <c r="AF4081" s="1"/>
      <c r="AG4081" s="1"/>
    </row>
    <row r="4082" ht="15.75" customHeight="1">
      <c r="A4082" s="1"/>
      <c r="B4082" s="1"/>
      <c r="C4082" s="1"/>
      <c r="D4082" s="1"/>
      <c r="E4082" s="1"/>
      <c r="F4082" s="1"/>
      <c r="G4082" s="1"/>
      <c r="H4082" s="1"/>
      <c r="I4082" s="1"/>
      <c r="J4082" s="1"/>
      <c r="K4082" s="102" t="s">
        <v>6647</v>
      </c>
      <c r="L4082" s="102" t="str">
        <f>AB443</f>
        <v>J1a2a1a2d2b2b2c4d2a2a5a1e1a2~</v>
      </c>
      <c r="M4082" s="102" t="s">
        <v>6648</v>
      </c>
      <c r="N4082" s="102"/>
      <c r="O4082" s="105">
        <v>9820318.0</v>
      </c>
      <c r="P4082" s="105">
        <v>9982709.0</v>
      </c>
      <c r="Q4082" s="102" t="s">
        <v>2514</v>
      </c>
      <c r="S4082" s="1"/>
      <c r="T4082" s="1"/>
      <c r="U4082" s="1"/>
      <c r="V4082" s="1"/>
      <c r="W4082" s="1"/>
      <c r="X4082" s="1"/>
      <c r="Y4082" s="1"/>
      <c r="Z4082" s="102"/>
      <c r="AA4082" s="102"/>
      <c r="AB4082" s="1"/>
      <c r="AC4082" s="1"/>
      <c r="AD4082" s="1"/>
      <c r="AE4082" s="1"/>
      <c r="AF4082" s="1"/>
      <c r="AG4082" s="1"/>
    </row>
    <row r="4083" ht="15.75" customHeight="1">
      <c r="A4083" s="1"/>
      <c r="B4083" s="1"/>
      <c r="C4083" s="1"/>
      <c r="D4083" s="1"/>
      <c r="E4083" s="1"/>
      <c r="F4083" s="1"/>
      <c r="G4083" s="1"/>
      <c r="H4083" s="1"/>
      <c r="I4083" s="1"/>
      <c r="J4083" s="1"/>
      <c r="K4083" s="102" t="s">
        <v>6648</v>
      </c>
      <c r="L4083" s="102" t="str">
        <f>AB443</f>
        <v>J1a2a1a2d2b2b2c4d2a2a5a1e1a2~</v>
      </c>
      <c r="M4083" s="102" t="s">
        <v>6647</v>
      </c>
      <c r="N4083" s="102"/>
      <c r="O4083" s="105">
        <v>9820318.0</v>
      </c>
      <c r="P4083" s="105">
        <v>9982709.0</v>
      </c>
      <c r="Q4083" s="102" t="s">
        <v>2514</v>
      </c>
      <c r="S4083" s="1"/>
      <c r="T4083" s="1"/>
      <c r="U4083" s="1"/>
      <c r="V4083" s="1"/>
      <c r="W4083" s="1"/>
      <c r="X4083" s="1"/>
      <c r="Y4083" s="1"/>
      <c r="Z4083" s="102"/>
      <c r="AA4083" s="102"/>
      <c r="AB4083" s="1"/>
      <c r="AC4083" s="1"/>
      <c r="AD4083" s="1"/>
      <c r="AE4083" s="1"/>
      <c r="AF4083" s="1"/>
      <c r="AG4083" s="1"/>
    </row>
    <row r="4084" ht="15.75" customHeight="1">
      <c r="A4084" s="1"/>
      <c r="B4084" s="1"/>
      <c r="C4084" s="1"/>
      <c r="D4084" s="1"/>
      <c r="E4084" s="1"/>
      <c r="F4084" s="1"/>
      <c r="G4084" s="1"/>
      <c r="H4084" s="1"/>
      <c r="I4084" s="1"/>
      <c r="J4084" s="1"/>
      <c r="K4084" s="102" t="s">
        <v>6649</v>
      </c>
      <c r="L4084" s="102" t="str">
        <f>AB443</f>
        <v>J1a2a1a2d2b2b2c4d2a2a5a1e1a2~</v>
      </c>
      <c r="M4084" s="102" t="s">
        <v>6650</v>
      </c>
      <c r="N4084" s="102" t="s">
        <v>6651</v>
      </c>
      <c r="O4084" s="105">
        <v>1.3137005E7</v>
      </c>
      <c r="P4084" s="105">
        <v>1.0626491E7</v>
      </c>
      <c r="Q4084" s="102" t="s">
        <v>2501</v>
      </c>
      <c r="S4084" s="1"/>
      <c r="T4084" s="1"/>
      <c r="U4084" s="1"/>
      <c r="V4084" s="1"/>
      <c r="W4084" s="1"/>
      <c r="X4084" s="1"/>
      <c r="Y4084" s="1"/>
      <c r="Z4084" s="102"/>
      <c r="AA4084" s="102"/>
      <c r="AB4084" s="1"/>
      <c r="AC4084" s="1"/>
      <c r="AD4084" s="1"/>
      <c r="AE4084" s="1"/>
      <c r="AF4084" s="1"/>
      <c r="AG4084" s="1"/>
    </row>
    <row r="4085" ht="15.75" customHeight="1">
      <c r="A4085" s="1"/>
      <c r="B4085" s="1"/>
      <c r="C4085" s="1"/>
      <c r="D4085" s="1"/>
      <c r="E4085" s="1"/>
      <c r="F4085" s="1"/>
      <c r="G4085" s="1"/>
      <c r="H4085" s="1"/>
      <c r="I4085" s="1"/>
      <c r="J4085" s="1"/>
      <c r="K4085" s="102" t="s">
        <v>6650</v>
      </c>
      <c r="L4085" s="102" t="str">
        <f>AB443</f>
        <v>J1a2a1a2d2b2b2c4d2a2a5a1e1a2~</v>
      </c>
      <c r="M4085" s="102" t="s">
        <v>6649</v>
      </c>
      <c r="N4085" s="102" t="s">
        <v>6651</v>
      </c>
      <c r="O4085" s="105">
        <v>1.3137005E7</v>
      </c>
      <c r="P4085" s="105">
        <v>1.0626491E7</v>
      </c>
      <c r="Q4085" s="102" t="s">
        <v>2501</v>
      </c>
      <c r="S4085" s="1"/>
      <c r="T4085" s="1"/>
      <c r="U4085" s="1"/>
      <c r="V4085" s="1"/>
      <c r="W4085" s="1"/>
      <c r="X4085" s="1"/>
      <c r="Y4085" s="1"/>
      <c r="Z4085" s="102"/>
      <c r="AA4085" s="102"/>
      <c r="AB4085" s="1"/>
      <c r="AC4085" s="1"/>
      <c r="AD4085" s="1"/>
      <c r="AE4085" s="1"/>
      <c r="AF4085" s="1"/>
      <c r="AG4085" s="1"/>
    </row>
    <row r="4086" ht="15.75" customHeight="1">
      <c r="A4086" s="1"/>
      <c r="B4086" s="1"/>
      <c r="C4086" s="1"/>
      <c r="D4086" s="1"/>
      <c r="E4086" s="1"/>
      <c r="F4086" s="1"/>
      <c r="G4086" s="1"/>
      <c r="H4086" s="1"/>
      <c r="I4086" s="1"/>
      <c r="J4086" s="1"/>
      <c r="K4086" s="102" t="s">
        <v>6652</v>
      </c>
      <c r="L4086" s="102" t="str">
        <f>AB443</f>
        <v>J1a2a1a2d2b2b2c4d2a2a5a1e1a2~</v>
      </c>
      <c r="M4086" s="102" t="s">
        <v>6653</v>
      </c>
      <c r="N4086" s="102"/>
      <c r="O4086" s="105">
        <v>1.4096779E7</v>
      </c>
      <c r="P4086" s="105">
        <v>1.1976073E7</v>
      </c>
      <c r="Q4086" s="102" t="s">
        <v>2454</v>
      </c>
      <c r="S4086" s="1"/>
      <c r="T4086" s="1"/>
      <c r="U4086" s="1"/>
      <c r="V4086" s="1"/>
      <c r="W4086" s="1"/>
      <c r="X4086" s="1"/>
      <c r="Y4086" s="1"/>
      <c r="Z4086" s="102"/>
      <c r="AA4086" s="102"/>
      <c r="AB4086" s="1"/>
      <c r="AC4086" s="1"/>
      <c r="AD4086" s="1"/>
      <c r="AE4086" s="1"/>
      <c r="AF4086" s="1"/>
      <c r="AG4086" s="1"/>
    </row>
    <row r="4087" ht="15.75" customHeight="1">
      <c r="A4087" s="1"/>
      <c r="B4087" s="1"/>
      <c r="C4087" s="1"/>
      <c r="D4087" s="1"/>
      <c r="E4087" s="1"/>
      <c r="F4087" s="1"/>
      <c r="G4087" s="1"/>
      <c r="H4087" s="1"/>
      <c r="I4087" s="1"/>
      <c r="J4087" s="1"/>
      <c r="K4087" s="102" t="s">
        <v>6653</v>
      </c>
      <c r="L4087" s="102" t="str">
        <f>AB443</f>
        <v>J1a2a1a2d2b2b2c4d2a2a5a1e1a2~</v>
      </c>
      <c r="M4087" s="102" t="s">
        <v>6652</v>
      </c>
      <c r="N4087" s="102"/>
      <c r="O4087" s="105">
        <v>1.4096779E7</v>
      </c>
      <c r="P4087" s="105">
        <v>1.1976073E7</v>
      </c>
      <c r="Q4087" s="102" t="s">
        <v>2454</v>
      </c>
      <c r="S4087" s="1"/>
      <c r="T4087" s="1"/>
      <c r="U4087" s="1"/>
      <c r="V4087" s="1"/>
      <c r="W4087" s="1"/>
      <c r="X4087" s="1"/>
      <c r="Y4087" s="1"/>
      <c r="Z4087" s="102"/>
      <c r="AA4087" s="102"/>
      <c r="AB4087" s="1"/>
      <c r="AC4087" s="1"/>
      <c r="AD4087" s="1"/>
      <c r="AE4087" s="1"/>
      <c r="AF4087" s="1"/>
      <c r="AG4087" s="1"/>
    </row>
    <row r="4088" ht="15.75" customHeight="1">
      <c r="A4088" s="1"/>
      <c r="B4088" s="1"/>
      <c r="C4088" s="1"/>
      <c r="D4088" s="1"/>
      <c r="E4088" s="1"/>
      <c r="F4088" s="1"/>
      <c r="G4088" s="1"/>
      <c r="H4088" s="1"/>
      <c r="I4088" s="1"/>
      <c r="J4088" s="1"/>
      <c r="K4088" s="102" t="s">
        <v>6654</v>
      </c>
      <c r="L4088" s="102" t="str">
        <f>AB443</f>
        <v>J1a2a1a2d2b2b2c4d2a2a5a1e1a2~</v>
      </c>
      <c r="M4088" s="102" t="s">
        <v>6655</v>
      </c>
      <c r="N4088" s="102"/>
      <c r="O4088" s="105">
        <v>1.4122445E7</v>
      </c>
      <c r="P4088" s="105">
        <v>1.2001739E7</v>
      </c>
      <c r="Q4088" s="102" t="s">
        <v>2439</v>
      </c>
      <c r="S4088" s="1"/>
      <c r="T4088" s="1"/>
      <c r="U4088" s="1"/>
      <c r="V4088" s="1"/>
      <c r="W4088" s="1"/>
      <c r="X4088" s="1"/>
      <c r="Y4088" s="1"/>
      <c r="Z4088" s="102"/>
      <c r="AA4088" s="102"/>
      <c r="AB4088" s="1"/>
      <c r="AC4088" s="1"/>
      <c r="AD4088" s="1"/>
      <c r="AE4088" s="1"/>
      <c r="AF4088" s="1"/>
      <c r="AG4088" s="1"/>
    </row>
    <row r="4089" ht="15.75" customHeight="1">
      <c r="A4089" s="1"/>
      <c r="B4089" s="1"/>
      <c r="C4089" s="1"/>
      <c r="D4089" s="1"/>
      <c r="E4089" s="1"/>
      <c r="F4089" s="1"/>
      <c r="G4089" s="1"/>
      <c r="H4089" s="1"/>
      <c r="I4089" s="1"/>
      <c r="J4089" s="1"/>
      <c r="K4089" s="102" t="s">
        <v>6655</v>
      </c>
      <c r="L4089" s="102" t="str">
        <f>AB443</f>
        <v>J1a2a1a2d2b2b2c4d2a2a5a1e1a2~</v>
      </c>
      <c r="M4089" s="102" t="s">
        <v>6654</v>
      </c>
      <c r="N4089" s="102"/>
      <c r="O4089" s="105">
        <v>1.4122445E7</v>
      </c>
      <c r="P4089" s="105">
        <v>1.2001739E7</v>
      </c>
      <c r="Q4089" s="102" t="s">
        <v>2439</v>
      </c>
      <c r="S4089" s="1"/>
      <c r="T4089" s="1"/>
      <c r="U4089" s="1"/>
      <c r="V4089" s="1"/>
      <c r="W4089" s="1"/>
      <c r="X4089" s="1"/>
      <c r="Y4089" s="1"/>
      <c r="Z4089" s="102"/>
      <c r="AA4089" s="102"/>
      <c r="AB4089" s="1"/>
      <c r="AC4089" s="1"/>
      <c r="AD4089" s="1"/>
      <c r="AE4089" s="1"/>
      <c r="AF4089" s="1"/>
      <c r="AG4089" s="1"/>
    </row>
    <row r="4090" ht="15.75" customHeight="1">
      <c r="A4090" s="1"/>
      <c r="B4090" s="1"/>
      <c r="C4090" s="1"/>
      <c r="D4090" s="1"/>
      <c r="E4090" s="1"/>
      <c r="F4090" s="1"/>
      <c r="G4090" s="1"/>
      <c r="H4090" s="1"/>
      <c r="I4090" s="1"/>
      <c r="J4090" s="1"/>
      <c r="K4090" s="102" t="s">
        <v>6656</v>
      </c>
      <c r="L4090" s="102" t="str">
        <f>AB443</f>
        <v>J1a2a1a2d2b2b2c4d2a2a5a1e1a2~</v>
      </c>
      <c r="M4090" s="102" t="s">
        <v>6657</v>
      </c>
      <c r="N4090" s="102"/>
      <c r="O4090" s="105">
        <v>1.680735E7</v>
      </c>
      <c r="P4090" s="105">
        <v>1.469547E7</v>
      </c>
      <c r="Q4090" s="102" t="s">
        <v>2576</v>
      </c>
      <c r="S4090" s="1"/>
      <c r="T4090" s="1"/>
      <c r="U4090" s="1"/>
      <c r="V4090" s="1"/>
      <c r="W4090" s="1"/>
      <c r="X4090" s="1"/>
      <c r="Y4090" s="1"/>
      <c r="Z4090" s="102"/>
      <c r="AA4090" s="102"/>
      <c r="AB4090" s="1"/>
      <c r="AC4090" s="1"/>
      <c r="AD4090" s="1"/>
      <c r="AE4090" s="1"/>
      <c r="AF4090" s="1"/>
      <c r="AG4090" s="1"/>
    </row>
    <row r="4091" ht="15.75" customHeight="1">
      <c r="A4091" s="1"/>
      <c r="B4091" s="1"/>
      <c r="C4091" s="1"/>
      <c r="D4091" s="1"/>
      <c r="E4091" s="1"/>
      <c r="F4091" s="1"/>
      <c r="G4091" s="1"/>
      <c r="H4091" s="1"/>
      <c r="I4091" s="1"/>
      <c r="J4091" s="1"/>
      <c r="K4091" s="102" t="s">
        <v>6657</v>
      </c>
      <c r="L4091" s="102" t="str">
        <f>AB443</f>
        <v>J1a2a1a2d2b2b2c4d2a2a5a1e1a2~</v>
      </c>
      <c r="M4091" s="102" t="s">
        <v>6656</v>
      </c>
      <c r="N4091" s="102"/>
      <c r="O4091" s="105">
        <v>1.680735E7</v>
      </c>
      <c r="P4091" s="105">
        <v>1.469547E7</v>
      </c>
      <c r="Q4091" s="102" t="s">
        <v>2576</v>
      </c>
      <c r="S4091" s="1"/>
      <c r="T4091" s="1"/>
      <c r="U4091" s="1"/>
      <c r="V4091" s="1"/>
      <c r="W4091" s="1"/>
      <c r="X4091" s="1"/>
      <c r="Y4091" s="1"/>
      <c r="Z4091" s="102"/>
      <c r="AA4091" s="102"/>
      <c r="AB4091" s="1"/>
      <c r="AC4091" s="1"/>
      <c r="AD4091" s="1"/>
      <c r="AE4091" s="1"/>
      <c r="AF4091" s="1"/>
      <c r="AG4091" s="1"/>
    </row>
    <row r="4092" ht="15.75" customHeight="1">
      <c r="A4092" s="1"/>
      <c r="B4092" s="1"/>
      <c r="C4092" s="1"/>
      <c r="D4092" s="1"/>
      <c r="E4092" s="1"/>
      <c r="F4092" s="1"/>
      <c r="G4092" s="1"/>
      <c r="H4092" s="1"/>
      <c r="I4092" s="1"/>
      <c r="J4092" s="1"/>
      <c r="K4092" s="102" t="s">
        <v>6658</v>
      </c>
      <c r="L4092" s="102" t="str">
        <f>AB443</f>
        <v>J1a2a1a2d2b2b2c4d2a2a5a1e1a2~</v>
      </c>
      <c r="M4092" s="106" t="s">
        <v>6659</v>
      </c>
      <c r="N4092" s="102"/>
      <c r="O4092" s="105">
        <v>1.7939961E7</v>
      </c>
      <c r="P4092" s="105">
        <v>1.5828081E7</v>
      </c>
      <c r="Q4092" s="102" t="s">
        <v>2468</v>
      </c>
      <c r="S4092" s="1"/>
      <c r="T4092" s="1"/>
      <c r="U4092" s="1"/>
      <c r="V4092" s="1"/>
      <c r="W4092" s="1"/>
      <c r="X4092" s="1"/>
      <c r="Y4092" s="1"/>
      <c r="Z4092" s="102"/>
      <c r="AA4092" s="102"/>
      <c r="AB4092" s="1"/>
      <c r="AC4092" s="1"/>
      <c r="AD4092" s="1"/>
      <c r="AE4092" s="1"/>
      <c r="AF4092" s="1"/>
      <c r="AG4092" s="1"/>
    </row>
    <row r="4093" ht="15.75" customHeight="1">
      <c r="A4093" s="1"/>
      <c r="B4093" s="1"/>
      <c r="C4093" s="1"/>
      <c r="D4093" s="1"/>
      <c r="E4093" s="1"/>
      <c r="F4093" s="1"/>
      <c r="G4093" s="1"/>
      <c r="H4093" s="1"/>
      <c r="I4093" s="1"/>
      <c r="J4093" s="1"/>
      <c r="K4093" s="106" t="s">
        <v>6659</v>
      </c>
      <c r="L4093" s="102" t="str">
        <f>AB443</f>
        <v>J1a2a1a2d2b2b2c4d2a2a5a1e1a2~</v>
      </c>
      <c r="M4093" s="102" t="s">
        <v>6658</v>
      </c>
      <c r="N4093" s="102"/>
      <c r="O4093" s="105">
        <v>1.7939961E7</v>
      </c>
      <c r="P4093" s="105">
        <v>1.5828081E7</v>
      </c>
      <c r="Q4093" s="102" t="s">
        <v>2468</v>
      </c>
      <c r="S4093" s="1"/>
      <c r="T4093" s="1"/>
      <c r="U4093" s="1"/>
      <c r="V4093" s="1"/>
      <c r="W4093" s="1"/>
      <c r="X4093" s="1"/>
      <c r="Y4093" s="1"/>
      <c r="AA4093" s="102"/>
      <c r="AB4093" s="1"/>
      <c r="AC4093" s="1"/>
      <c r="AD4093" s="1"/>
      <c r="AE4093" s="1"/>
      <c r="AF4093" s="1"/>
      <c r="AG4093" s="1"/>
    </row>
    <row r="4094" ht="15.75" customHeight="1">
      <c r="A4094" s="1"/>
      <c r="B4094" s="1"/>
      <c r="C4094" s="1"/>
      <c r="D4094" s="1"/>
      <c r="E4094" s="1"/>
      <c r="F4094" s="1"/>
      <c r="G4094" s="1"/>
      <c r="H4094" s="1"/>
      <c r="I4094" s="1"/>
      <c r="J4094" s="1"/>
      <c r="K4094" s="102" t="s">
        <v>6660</v>
      </c>
      <c r="L4094" s="102" t="str">
        <f>AB443</f>
        <v>J1a2a1a2d2b2b2c4d2a2a5a1e1a2~</v>
      </c>
      <c r="M4094" s="102" t="s">
        <v>6661</v>
      </c>
      <c r="N4094" s="102"/>
      <c r="O4094" s="105">
        <v>1.7940189E7</v>
      </c>
      <c r="P4094" s="105">
        <v>1.5828309E7</v>
      </c>
      <c r="Q4094" s="102" t="s">
        <v>2514</v>
      </c>
      <c r="S4094" s="1"/>
      <c r="T4094" s="1"/>
      <c r="U4094" s="1"/>
      <c r="V4094" s="1"/>
      <c r="W4094" s="1"/>
      <c r="X4094" s="1"/>
      <c r="Y4094" s="1"/>
      <c r="AA4094" s="102"/>
      <c r="AB4094" s="1"/>
      <c r="AC4094" s="1"/>
      <c r="AD4094" s="1"/>
      <c r="AE4094" s="1"/>
      <c r="AF4094" s="1"/>
      <c r="AG4094" s="1"/>
    </row>
    <row r="4095" ht="15.75" customHeight="1">
      <c r="A4095" s="1"/>
      <c r="B4095" s="1"/>
      <c r="C4095" s="1"/>
      <c r="D4095" s="1"/>
      <c r="E4095" s="1"/>
      <c r="F4095" s="1"/>
      <c r="G4095" s="1"/>
      <c r="H4095" s="1"/>
      <c r="I4095" s="1"/>
      <c r="J4095" s="1"/>
      <c r="K4095" s="102" t="s">
        <v>6661</v>
      </c>
      <c r="L4095" s="102" t="str">
        <f>AB443</f>
        <v>J1a2a1a2d2b2b2c4d2a2a5a1e1a2~</v>
      </c>
      <c r="M4095" s="102" t="s">
        <v>6660</v>
      </c>
      <c r="N4095" s="102"/>
      <c r="O4095" s="105">
        <v>1.7940189E7</v>
      </c>
      <c r="P4095" s="105">
        <v>1.5828309E7</v>
      </c>
      <c r="Q4095" s="102" t="s">
        <v>2514</v>
      </c>
      <c r="S4095" s="1"/>
      <c r="T4095" s="1"/>
      <c r="U4095" s="1"/>
      <c r="V4095" s="1"/>
      <c r="W4095" s="1"/>
      <c r="X4095" s="1"/>
      <c r="Y4095" s="1"/>
      <c r="AA4095" s="102"/>
      <c r="AB4095" s="1"/>
      <c r="AC4095" s="1"/>
      <c r="AD4095" s="1"/>
      <c r="AE4095" s="1"/>
      <c r="AF4095" s="1"/>
      <c r="AG4095" s="1"/>
    </row>
    <row r="4096" ht="15.75" customHeight="1">
      <c r="A4096" s="1"/>
      <c r="B4096" s="1"/>
      <c r="C4096" s="1"/>
      <c r="D4096" s="1"/>
      <c r="E4096" s="1"/>
      <c r="F4096" s="1"/>
      <c r="G4096" s="1"/>
      <c r="H4096" s="1"/>
      <c r="I4096" s="1"/>
      <c r="J4096" s="1"/>
      <c r="K4096" s="102" t="s">
        <v>6662</v>
      </c>
      <c r="L4096" s="102" t="str">
        <f>AB443</f>
        <v>J1a2a1a2d2b2b2c4d2a2a5a1e1a2~</v>
      </c>
      <c r="M4096" s="102" t="s">
        <v>6663</v>
      </c>
      <c r="N4096" s="102"/>
      <c r="O4096" s="105">
        <v>1.9535926E7</v>
      </c>
      <c r="P4096" s="105">
        <v>1.7424046E7</v>
      </c>
      <c r="Q4096" s="102" t="s">
        <v>2468</v>
      </c>
      <c r="S4096" s="1"/>
      <c r="T4096" s="1"/>
      <c r="U4096" s="1"/>
      <c r="V4096" s="1"/>
      <c r="W4096" s="1"/>
      <c r="X4096" s="1"/>
      <c r="Y4096" s="1"/>
      <c r="AA4096" s="102"/>
      <c r="AB4096" s="1"/>
      <c r="AC4096" s="1"/>
      <c r="AD4096" s="1"/>
      <c r="AE4096" s="1"/>
      <c r="AF4096" s="1"/>
      <c r="AG4096" s="1"/>
    </row>
    <row r="4097" ht="15.75" customHeight="1">
      <c r="A4097" s="1"/>
      <c r="B4097" s="1"/>
      <c r="C4097" s="1"/>
      <c r="D4097" s="1"/>
      <c r="E4097" s="1"/>
      <c r="F4097" s="1"/>
      <c r="G4097" s="1"/>
      <c r="H4097" s="1"/>
      <c r="I4097" s="1"/>
      <c r="J4097" s="1"/>
      <c r="K4097" s="102" t="s">
        <v>6663</v>
      </c>
      <c r="L4097" s="102" t="str">
        <f>AB443</f>
        <v>J1a2a1a2d2b2b2c4d2a2a5a1e1a2~</v>
      </c>
      <c r="M4097" s="102" t="s">
        <v>6662</v>
      </c>
      <c r="N4097" s="102"/>
      <c r="O4097" s="105">
        <v>1.9535926E7</v>
      </c>
      <c r="P4097" s="105">
        <v>1.7424046E7</v>
      </c>
      <c r="Q4097" s="102" t="s">
        <v>2468</v>
      </c>
      <c r="S4097" s="1"/>
      <c r="T4097" s="1"/>
      <c r="U4097" s="1"/>
      <c r="V4097" s="1"/>
      <c r="W4097" s="1"/>
      <c r="X4097" s="1"/>
      <c r="Y4097" s="1"/>
      <c r="AA4097" s="102"/>
      <c r="AB4097" s="1"/>
      <c r="AC4097" s="1"/>
      <c r="AD4097" s="1"/>
      <c r="AE4097" s="1"/>
      <c r="AF4097" s="1"/>
      <c r="AG4097" s="1"/>
    </row>
    <row r="4098" ht="15.75" customHeight="1">
      <c r="A4098" s="1"/>
      <c r="B4098" s="1"/>
      <c r="C4098" s="1"/>
      <c r="D4098" s="1"/>
      <c r="E4098" s="1"/>
      <c r="F4098" s="1"/>
      <c r="G4098" s="1"/>
      <c r="H4098" s="1"/>
      <c r="I4098" s="1"/>
      <c r="J4098" s="1"/>
      <c r="K4098" s="102" t="s">
        <v>6664</v>
      </c>
      <c r="L4098" s="102" t="str">
        <f>AB443</f>
        <v>J1a2a1a2d2b2b2c4d2a2a5a1e1a2~</v>
      </c>
      <c r="M4098" s="102" t="s">
        <v>6665</v>
      </c>
      <c r="N4098" s="102"/>
      <c r="O4098" s="105">
        <v>2.3389074E7</v>
      </c>
      <c r="P4098" s="105">
        <v>2.1227188E7</v>
      </c>
      <c r="Q4098" s="102" t="s">
        <v>2533</v>
      </c>
      <c r="S4098" s="1"/>
      <c r="T4098" s="1"/>
      <c r="U4098" s="1"/>
      <c r="V4098" s="1"/>
      <c r="W4098" s="1"/>
      <c r="X4098" s="1"/>
      <c r="Y4098" s="1"/>
      <c r="AA4098" s="102"/>
      <c r="AB4098" s="1"/>
      <c r="AC4098" s="1"/>
      <c r="AD4098" s="1"/>
      <c r="AE4098" s="1"/>
      <c r="AF4098" s="1"/>
      <c r="AG4098" s="1"/>
    </row>
    <row r="4099" ht="15.75" customHeight="1">
      <c r="A4099" s="1"/>
      <c r="B4099" s="1"/>
      <c r="C4099" s="1"/>
      <c r="D4099" s="1"/>
      <c r="E4099" s="1"/>
      <c r="F4099" s="1"/>
      <c r="G4099" s="1"/>
      <c r="H4099" s="1"/>
      <c r="I4099" s="1"/>
      <c r="J4099" s="1"/>
      <c r="K4099" s="102" t="s">
        <v>6665</v>
      </c>
      <c r="L4099" s="102" t="str">
        <f>AB443</f>
        <v>J1a2a1a2d2b2b2c4d2a2a5a1e1a2~</v>
      </c>
      <c r="M4099" s="102" t="s">
        <v>6664</v>
      </c>
      <c r="N4099" s="102"/>
      <c r="O4099" s="105">
        <v>2.3389074E7</v>
      </c>
      <c r="P4099" s="105">
        <v>2.1227188E7</v>
      </c>
      <c r="Q4099" s="102" t="s">
        <v>2533</v>
      </c>
      <c r="S4099" s="1"/>
      <c r="T4099" s="1"/>
      <c r="U4099" s="1"/>
      <c r="V4099" s="1"/>
      <c r="W4099" s="1"/>
      <c r="X4099" s="1"/>
      <c r="Y4099" s="1"/>
      <c r="AA4099" s="102"/>
      <c r="AB4099" s="1"/>
      <c r="AC4099" s="1"/>
      <c r="AD4099" s="1"/>
      <c r="AE4099" s="1"/>
      <c r="AF4099" s="1"/>
      <c r="AG4099" s="1"/>
    </row>
    <row r="4100" ht="15.75" customHeight="1">
      <c r="A4100" s="1"/>
      <c r="B4100" s="1"/>
      <c r="C4100" s="1"/>
      <c r="D4100" s="1"/>
      <c r="E4100" s="1"/>
      <c r="F4100" s="1"/>
      <c r="G4100" s="1"/>
      <c r="H4100" s="1"/>
      <c r="I4100" s="1"/>
      <c r="J4100" s="1"/>
      <c r="K4100" s="102" t="s">
        <v>6666</v>
      </c>
      <c r="L4100" s="102" t="str">
        <f>AB443</f>
        <v>J1a2a1a2d2b2b2c4d2a2a5a1e1a2~</v>
      </c>
      <c r="M4100" s="102" t="s">
        <v>6667</v>
      </c>
      <c r="N4100" s="102"/>
      <c r="O4100" s="105">
        <v>9912583.0</v>
      </c>
      <c r="P4100" s="105">
        <v>1.0074974E7</v>
      </c>
      <c r="Q4100" s="102" t="s">
        <v>2468</v>
      </c>
      <c r="S4100" s="1"/>
      <c r="T4100" s="1"/>
      <c r="U4100" s="1"/>
      <c r="V4100" s="1"/>
      <c r="W4100" s="1"/>
      <c r="X4100" s="1"/>
      <c r="Y4100" s="1"/>
      <c r="AA4100" s="102"/>
      <c r="AB4100" s="1"/>
      <c r="AC4100" s="1"/>
      <c r="AD4100" s="1"/>
      <c r="AE4100" s="1"/>
      <c r="AF4100" s="1"/>
      <c r="AG4100" s="1"/>
    </row>
    <row r="4101" ht="15.75" customHeight="1">
      <c r="A4101" s="1"/>
      <c r="B4101" s="1"/>
      <c r="C4101" s="1"/>
      <c r="D4101" s="1"/>
      <c r="E4101" s="1"/>
      <c r="F4101" s="1"/>
      <c r="G4101" s="1"/>
      <c r="H4101" s="1"/>
      <c r="I4101" s="1"/>
      <c r="J4101" s="1"/>
      <c r="K4101" s="102" t="s">
        <v>6667</v>
      </c>
      <c r="L4101" s="102" t="str">
        <f>AB443</f>
        <v>J1a2a1a2d2b2b2c4d2a2a5a1e1a2~</v>
      </c>
      <c r="M4101" s="102" t="s">
        <v>6666</v>
      </c>
      <c r="N4101" s="102"/>
      <c r="O4101" s="105">
        <v>9912583.0</v>
      </c>
      <c r="P4101" s="105">
        <v>1.0074974E7</v>
      </c>
      <c r="Q4101" s="102" t="s">
        <v>2468</v>
      </c>
      <c r="S4101" s="1"/>
      <c r="T4101" s="1"/>
      <c r="U4101" s="1"/>
      <c r="V4101" s="1"/>
      <c r="W4101" s="1"/>
      <c r="X4101" s="1"/>
      <c r="Y4101" s="1"/>
      <c r="AA4101" s="102"/>
      <c r="AB4101" s="1"/>
      <c r="AC4101" s="1"/>
      <c r="AD4101" s="1"/>
      <c r="AE4101" s="1"/>
      <c r="AF4101" s="1"/>
      <c r="AG4101" s="1"/>
    </row>
    <row r="4102" ht="15.75" customHeight="1">
      <c r="A4102" s="1"/>
      <c r="B4102" s="1"/>
      <c r="C4102" s="1"/>
      <c r="D4102" s="1"/>
      <c r="E4102" s="1"/>
      <c r="F4102" s="1"/>
      <c r="G4102" s="1"/>
      <c r="H4102" s="1"/>
      <c r="I4102" s="1"/>
      <c r="J4102" s="1"/>
      <c r="K4102" s="102" t="s">
        <v>6668</v>
      </c>
      <c r="L4102" s="102" t="str">
        <f>AB443</f>
        <v>J1a2a1a2d2b2b2c4d2a2a5a1e1a2~</v>
      </c>
      <c r="M4102" s="102" t="s">
        <v>6669</v>
      </c>
      <c r="N4102" s="102"/>
      <c r="O4102" s="105">
        <v>1.9005501E7</v>
      </c>
      <c r="P4102" s="105">
        <v>1.6893621E7</v>
      </c>
      <c r="Q4102" s="102" t="s">
        <v>2501</v>
      </c>
      <c r="S4102" s="1"/>
      <c r="T4102" s="1"/>
      <c r="U4102" s="1"/>
      <c r="V4102" s="1"/>
      <c r="W4102" s="1"/>
      <c r="X4102" s="1"/>
      <c r="Y4102" s="1"/>
      <c r="AA4102" s="102"/>
      <c r="AB4102" s="1"/>
      <c r="AC4102" s="1"/>
      <c r="AD4102" s="1"/>
      <c r="AE4102" s="1"/>
      <c r="AF4102" s="1"/>
      <c r="AG4102" s="1"/>
    </row>
    <row r="4103" ht="15.75" customHeight="1">
      <c r="A4103" s="1"/>
      <c r="B4103" s="1"/>
      <c r="C4103" s="1"/>
      <c r="D4103" s="1"/>
      <c r="E4103" s="1"/>
      <c r="F4103" s="1"/>
      <c r="G4103" s="1"/>
      <c r="H4103" s="1"/>
      <c r="I4103" s="1"/>
      <c r="J4103" s="1"/>
      <c r="K4103" s="102" t="s">
        <v>6670</v>
      </c>
      <c r="L4103" s="102" t="str">
        <f>AB443</f>
        <v>J1a2a1a2d2b2b2c4d2a2a5a1e1a2~</v>
      </c>
      <c r="M4103" s="102" t="s">
        <v>6671</v>
      </c>
      <c r="N4103" s="102"/>
      <c r="O4103" s="105">
        <v>1.9005501E7</v>
      </c>
      <c r="P4103" s="105">
        <v>1.6893621E7</v>
      </c>
      <c r="Q4103" s="102" t="s">
        <v>2501</v>
      </c>
      <c r="S4103" s="1"/>
      <c r="T4103" s="1"/>
      <c r="U4103" s="1"/>
      <c r="V4103" s="1"/>
      <c r="W4103" s="1"/>
      <c r="X4103" s="1"/>
      <c r="Y4103" s="1"/>
      <c r="AA4103" s="102"/>
      <c r="AB4103" s="1"/>
      <c r="AC4103" s="1"/>
      <c r="AD4103" s="1"/>
      <c r="AE4103" s="1"/>
      <c r="AF4103" s="1"/>
      <c r="AG4103" s="1"/>
    </row>
    <row r="4104" ht="15.75" customHeight="1">
      <c r="A4104" s="1"/>
      <c r="B4104" s="1"/>
      <c r="C4104" s="1"/>
      <c r="D4104" s="1"/>
      <c r="E4104" s="1"/>
      <c r="F4104" s="1"/>
      <c r="G4104" s="1"/>
      <c r="H4104" s="1"/>
      <c r="I4104" s="1"/>
      <c r="J4104" s="1"/>
      <c r="K4104" s="102" t="s">
        <v>6672</v>
      </c>
      <c r="L4104" s="102" t="str">
        <f>AB443</f>
        <v>J1a2a1a2d2b2b2c4d2a2a5a1e1a2~</v>
      </c>
      <c r="M4104" s="102" t="s">
        <v>6673</v>
      </c>
      <c r="N4104" s="102"/>
      <c r="O4104" s="105">
        <v>1.9005501E7</v>
      </c>
      <c r="P4104" s="105">
        <v>1.6893621E7</v>
      </c>
      <c r="Q4104" s="102" t="s">
        <v>2501</v>
      </c>
      <c r="S4104" s="1"/>
      <c r="T4104" s="1"/>
      <c r="U4104" s="1"/>
      <c r="V4104" s="1"/>
      <c r="W4104" s="1"/>
      <c r="X4104" s="1"/>
      <c r="Y4104" s="1"/>
      <c r="AA4104" s="102"/>
      <c r="AB4104" s="1"/>
      <c r="AC4104" s="1"/>
      <c r="AD4104" s="1"/>
      <c r="AE4104" s="1"/>
      <c r="AF4104" s="1"/>
      <c r="AG4104" s="1"/>
    </row>
    <row r="4105" ht="15.75" customHeight="1">
      <c r="A4105" s="1"/>
      <c r="B4105" s="1"/>
      <c r="C4105" s="1"/>
      <c r="D4105" s="1"/>
      <c r="E4105" s="1"/>
      <c r="F4105" s="1"/>
      <c r="G4105" s="1"/>
      <c r="H4105" s="1"/>
      <c r="I4105" s="1"/>
      <c r="J4105" s="1"/>
      <c r="K4105" s="102" t="s">
        <v>6674</v>
      </c>
      <c r="L4105" s="102" t="str">
        <f>AB443</f>
        <v>J1a2a1a2d2b2b2c4d2a2a5a1e1a2~</v>
      </c>
      <c r="M4105" s="106" t="s">
        <v>6675</v>
      </c>
      <c r="N4105" s="102"/>
      <c r="O4105" s="102">
        <v>2.2018E7</v>
      </c>
      <c r="P4105" s="102">
        <v>1.9856114E7</v>
      </c>
      <c r="Q4105" s="102" t="s">
        <v>2432</v>
      </c>
      <c r="S4105" s="1"/>
      <c r="T4105" s="1"/>
      <c r="U4105" s="1"/>
      <c r="V4105" s="1"/>
      <c r="W4105" s="1"/>
      <c r="X4105" s="1"/>
      <c r="Y4105" s="1"/>
      <c r="AA4105" s="102" t="s">
        <v>6675</v>
      </c>
      <c r="AB4105" s="1"/>
      <c r="AC4105" s="1"/>
      <c r="AD4105" s="1"/>
      <c r="AE4105" s="1"/>
      <c r="AF4105" s="1"/>
      <c r="AG4105" s="1"/>
    </row>
    <row r="4106" ht="15.75" customHeight="1">
      <c r="A4106" s="1"/>
      <c r="B4106" s="1"/>
      <c r="C4106" s="1"/>
      <c r="D4106" s="1"/>
      <c r="E4106" s="1"/>
      <c r="F4106" s="1"/>
      <c r="G4106" s="1"/>
      <c r="H4106" s="1"/>
      <c r="I4106" s="1"/>
      <c r="J4106" s="1"/>
      <c r="K4106" s="106" t="s">
        <v>6675</v>
      </c>
      <c r="L4106" s="102" t="str">
        <f>AB443</f>
        <v>J1a2a1a2d2b2b2c4d2a2a5a1e1a2~</v>
      </c>
      <c r="M4106" s="102" t="s">
        <v>6674</v>
      </c>
      <c r="N4106" s="102"/>
      <c r="O4106" s="102">
        <v>2.2018E7</v>
      </c>
      <c r="P4106" s="102">
        <v>1.9856114E7</v>
      </c>
      <c r="Q4106" s="102" t="s">
        <v>2432</v>
      </c>
      <c r="S4106" s="1"/>
      <c r="T4106" s="1"/>
      <c r="U4106" s="1"/>
      <c r="V4106" s="1"/>
      <c r="W4106" s="1"/>
      <c r="X4106" s="1"/>
      <c r="Y4106" s="1"/>
      <c r="AA4106" s="102"/>
      <c r="AB4106" s="1"/>
      <c r="AC4106" s="1"/>
      <c r="AD4106" s="1"/>
      <c r="AE4106" s="1"/>
      <c r="AF4106" s="1"/>
      <c r="AG4106" s="1"/>
    </row>
    <row r="4107" ht="15.75" customHeight="1">
      <c r="A4107" s="1"/>
      <c r="B4107" s="1"/>
      <c r="C4107" s="1"/>
      <c r="D4107" s="1"/>
      <c r="E4107" s="1"/>
      <c r="F4107" s="1"/>
      <c r="G4107" s="1"/>
      <c r="H4107" s="1"/>
      <c r="I4107" s="1"/>
      <c r="J4107" s="1"/>
      <c r="K4107" s="102" t="s">
        <v>6676</v>
      </c>
      <c r="L4107" s="102" t="str">
        <f>AB443</f>
        <v>J1a2a1a2d2b2b2c4d2a2a5a1e1a2~</v>
      </c>
      <c r="M4107" s="102" t="s">
        <v>6677</v>
      </c>
      <c r="N4107" s="102"/>
      <c r="O4107" s="105">
        <v>2.3201155E7</v>
      </c>
      <c r="P4107" s="105">
        <v>2.1039269E7</v>
      </c>
      <c r="Q4107" s="102" t="s">
        <v>2439</v>
      </c>
      <c r="S4107" s="1"/>
      <c r="T4107" s="1"/>
      <c r="U4107" s="1"/>
      <c r="V4107" s="1"/>
      <c r="W4107" s="1"/>
      <c r="X4107" s="1"/>
      <c r="Y4107" s="1"/>
      <c r="AA4107" s="102"/>
      <c r="AB4107" s="1"/>
      <c r="AC4107" s="1"/>
      <c r="AD4107" s="1"/>
      <c r="AE4107" s="1"/>
      <c r="AF4107" s="1"/>
      <c r="AG4107" s="1"/>
    </row>
    <row r="4108" ht="15.75" customHeight="1">
      <c r="A4108" s="1"/>
      <c r="B4108" s="1"/>
      <c r="C4108" s="1"/>
      <c r="D4108" s="1"/>
      <c r="E4108" s="1"/>
      <c r="F4108" s="1"/>
      <c r="G4108" s="1"/>
      <c r="H4108" s="1"/>
      <c r="I4108" s="1"/>
      <c r="J4108" s="1"/>
      <c r="K4108" s="102" t="s">
        <v>6677</v>
      </c>
      <c r="L4108" s="102" t="str">
        <f>AB443</f>
        <v>J1a2a1a2d2b2b2c4d2a2a5a1e1a2~</v>
      </c>
      <c r="M4108" s="102" t="s">
        <v>6676</v>
      </c>
      <c r="N4108" s="102"/>
      <c r="O4108" s="105">
        <v>2.3201155E7</v>
      </c>
      <c r="P4108" s="105">
        <v>2.1039269E7</v>
      </c>
      <c r="Q4108" s="102" t="s">
        <v>2439</v>
      </c>
      <c r="S4108" s="1"/>
      <c r="T4108" s="1"/>
      <c r="U4108" s="1"/>
      <c r="V4108" s="1"/>
      <c r="W4108" s="1"/>
      <c r="X4108" s="1"/>
      <c r="Y4108" s="1"/>
      <c r="AA4108" s="102"/>
      <c r="AB4108" s="1"/>
      <c r="AC4108" s="1"/>
      <c r="AD4108" s="1"/>
      <c r="AE4108" s="1"/>
      <c r="AF4108" s="1"/>
      <c r="AG4108" s="1"/>
    </row>
    <row r="4109" ht="15.75" customHeight="1">
      <c r="A4109" s="1"/>
      <c r="B4109" s="1"/>
      <c r="C4109" s="1"/>
      <c r="D4109" s="1"/>
      <c r="E4109" s="1"/>
      <c r="F4109" s="1"/>
      <c r="G4109" s="1"/>
      <c r="H4109" s="1"/>
      <c r="I4109" s="1"/>
      <c r="J4109" s="1"/>
      <c r="K4109" s="102" t="s">
        <v>6678</v>
      </c>
      <c r="L4109" s="102" t="str">
        <f>AB443</f>
        <v>J1a2a1a2d2b2b2c4d2a2a5a1e1a2~</v>
      </c>
      <c r="M4109" s="102" t="s">
        <v>6679</v>
      </c>
      <c r="N4109" s="102" t="s">
        <v>6680</v>
      </c>
      <c r="O4109" s="105">
        <v>8070115.0</v>
      </c>
      <c r="P4109" s="105">
        <v>8202074.0</v>
      </c>
      <c r="Q4109" s="102" t="s">
        <v>2439</v>
      </c>
      <c r="S4109" s="1"/>
      <c r="T4109" s="1"/>
      <c r="U4109" s="1"/>
      <c r="V4109" s="1"/>
      <c r="W4109" s="1"/>
      <c r="X4109" s="1"/>
      <c r="Y4109" s="1"/>
      <c r="AA4109" s="102"/>
      <c r="AB4109" s="1"/>
      <c r="AC4109" s="1"/>
      <c r="AD4109" s="1"/>
      <c r="AE4109" s="1"/>
      <c r="AF4109" s="1"/>
      <c r="AG4109" s="1"/>
    </row>
    <row r="4110" ht="15.75" customHeight="1">
      <c r="A4110" s="1"/>
      <c r="B4110" s="1"/>
      <c r="C4110" s="1"/>
      <c r="D4110" s="1"/>
      <c r="E4110" s="1"/>
      <c r="F4110" s="1"/>
      <c r="G4110" s="1"/>
      <c r="H4110" s="1"/>
      <c r="I4110" s="1"/>
      <c r="J4110" s="1"/>
      <c r="K4110" s="102" t="s">
        <v>6681</v>
      </c>
      <c r="L4110" s="102" t="str">
        <f>AB443</f>
        <v>J1a2a1a2d2b2b2c4d2a2a5a1e1a2~</v>
      </c>
      <c r="M4110" s="102" t="s">
        <v>6682</v>
      </c>
      <c r="N4110" s="102" t="s">
        <v>6680</v>
      </c>
      <c r="O4110" s="105">
        <v>8070115.0</v>
      </c>
      <c r="P4110" s="105">
        <v>8202074.0</v>
      </c>
      <c r="Q4110" s="102" t="s">
        <v>2439</v>
      </c>
      <c r="S4110" s="1"/>
      <c r="T4110" s="1"/>
      <c r="U4110" s="1"/>
      <c r="V4110" s="1"/>
      <c r="W4110" s="1"/>
      <c r="X4110" s="1"/>
      <c r="Y4110" s="1"/>
      <c r="AA4110" s="102"/>
      <c r="AB4110" s="1"/>
      <c r="AC4110" s="1"/>
      <c r="AD4110" s="1"/>
      <c r="AE4110" s="1"/>
      <c r="AF4110" s="1"/>
      <c r="AG4110" s="1"/>
    </row>
    <row r="4111" ht="15.75" customHeight="1">
      <c r="A4111" s="1"/>
      <c r="B4111" s="1"/>
      <c r="C4111" s="1"/>
      <c r="D4111" s="1"/>
      <c r="E4111" s="1"/>
      <c r="F4111" s="1"/>
      <c r="G4111" s="1"/>
      <c r="H4111" s="1"/>
      <c r="I4111" s="1"/>
      <c r="J4111" s="1"/>
      <c r="K4111" s="102" t="s">
        <v>6683</v>
      </c>
      <c r="L4111" s="102" t="str">
        <f>AB443</f>
        <v>J1a2a1a2d2b2b2c4d2a2a5a1e1a2~</v>
      </c>
      <c r="M4111" s="102" t="s">
        <v>6684</v>
      </c>
      <c r="N4111" s="102" t="s">
        <v>6680</v>
      </c>
      <c r="O4111" s="105">
        <v>8070115.0</v>
      </c>
      <c r="P4111" s="105">
        <v>8202074.0</v>
      </c>
      <c r="Q4111" s="102" t="s">
        <v>2439</v>
      </c>
      <c r="S4111" s="1"/>
      <c r="T4111" s="1"/>
      <c r="U4111" s="1"/>
      <c r="V4111" s="1"/>
      <c r="W4111" s="1"/>
      <c r="X4111" s="1"/>
      <c r="Y4111" s="1"/>
      <c r="AA4111" s="102"/>
      <c r="AB4111" s="1"/>
      <c r="AC4111" s="1"/>
      <c r="AD4111" s="1"/>
      <c r="AE4111" s="1"/>
      <c r="AF4111" s="1"/>
      <c r="AG4111" s="1"/>
    </row>
    <row r="4112" ht="15.75" customHeight="1">
      <c r="A4112" s="1"/>
      <c r="B4112" s="1"/>
      <c r="C4112" s="1"/>
      <c r="D4112" s="1"/>
      <c r="E4112" s="1"/>
      <c r="F4112" s="1"/>
      <c r="G4112" s="1"/>
      <c r="H4112" s="1"/>
      <c r="I4112" s="1"/>
      <c r="J4112" s="1"/>
      <c r="K4112" s="102" t="s">
        <v>6685</v>
      </c>
      <c r="L4112" s="102" t="str">
        <f>AC444</f>
        <v>J1a2a1a2d2b2b2c4d2a2a5a1e1a2a~</v>
      </c>
      <c r="M4112" s="102" t="s">
        <v>6686</v>
      </c>
      <c r="N4112" s="102"/>
      <c r="O4112" s="105">
        <v>1.7548229E7</v>
      </c>
      <c r="P4112" s="105">
        <v>1.5436349E7</v>
      </c>
      <c r="Q4112" s="102" t="s">
        <v>2529</v>
      </c>
      <c r="S4112" s="1"/>
      <c r="T4112" s="1"/>
      <c r="U4112" s="1"/>
      <c r="V4112" s="1"/>
      <c r="W4112" s="1"/>
      <c r="X4112" s="1"/>
      <c r="Y4112" s="1"/>
      <c r="AA4112" s="102"/>
      <c r="AB4112" s="1"/>
      <c r="AC4112" s="1"/>
      <c r="AD4112" s="1"/>
      <c r="AE4112" s="1"/>
      <c r="AF4112" s="1"/>
      <c r="AG4112" s="1"/>
    </row>
    <row r="4113" ht="15.75" customHeight="1">
      <c r="A4113" s="1"/>
      <c r="B4113" s="1"/>
      <c r="C4113" s="1"/>
      <c r="D4113" s="1"/>
      <c r="E4113" s="1"/>
      <c r="F4113" s="1"/>
      <c r="G4113" s="1"/>
      <c r="H4113" s="1"/>
      <c r="I4113" s="1"/>
      <c r="J4113" s="1"/>
      <c r="K4113" s="102" t="s">
        <v>6686</v>
      </c>
      <c r="L4113" s="102" t="str">
        <f>AC444</f>
        <v>J1a2a1a2d2b2b2c4d2a2a5a1e1a2a~</v>
      </c>
      <c r="M4113" s="102" t="s">
        <v>6685</v>
      </c>
      <c r="N4113" s="102"/>
      <c r="O4113" s="105">
        <v>1.7548229E7</v>
      </c>
      <c r="P4113" s="105">
        <v>1.5436349E7</v>
      </c>
      <c r="Q4113" s="102" t="s">
        <v>2529</v>
      </c>
      <c r="S4113" s="1"/>
      <c r="T4113" s="1"/>
      <c r="U4113" s="1"/>
      <c r="V4113" s="1"/>
      <c r="W4113" s="1"/>
      <c r="X4113" s="1"/>
      <c r="Y4113" s="1"/>
      <c r="AA4113" s="102"/>
      <c r="AB4113" s="1"/>
      <c r="AC4113" s="1"/>
      <c r="AD4113" s="1"/>
      <c r="AE4113" s="1"/>
      <c r="AF4113" s="1"/>
      <c r="AG4113" s="1"/>
    </row>
    <row r="4114" ht="15.75" customHeight="1">
      <c r="A4114" s="1"/>
      <c r="B4114" s="1"/>
      <c r="C4114" s="1"/>
      <c r="D4114" s="1"/>
      <c r="E4114" s="1"/>
      <c r="F4114" s="1"/>
      <c r="G4114" s="1"/>
      <c r="H4114" s="1"/>
      <c r="I4114" s="1"/>
      <c r="J4114" s="1"/>
      <c r="K4114" s="102" t="s">
        <v>6687</v>
      </c>
      <c r="L4114" s="102" t="str">
        <f>AC444</f>
        <v>J1a2a1a2d2b2b2c4d2a2a5a1e1a2a~</v>
      </c>
      <c r="M4114" s="102" t="s">
        <v>6688</v>
      </c>
      <c r="N4114" s="102" t="s">
        <v>6689</v>
      </c>
      <c r="O4114" s="105">
        <v>2.2161239E7</v>
      </c>
      <c r="P4114" s="105">
        <v>1.9999353E7</v>
      </c>
      <c r="Q4114" s="102" t="s">
        <v>2501</v>
      </c>
      <c r="S4114" s="1"/>
      <c r="T4114" s="1"/>
      <c r="U4114" s="1"/>
      <c r="V4114" s="1"/>
      <c r="W4114" s="1"/>
      <c r="X4114" s="1"/>
      <c r="Y4114" s="1"/>
      <c r="AA4114" s="102"/>
      <c r="AB4114" s="1"/>
      <c r="AC4114" s="1"/>
      <c r="AD4114" s="1"/>
      <c r="AE4114" s="1"/>
      <c r="AF4114" s="1"/>
      <c r="AG4114" s="1"/>
    </row>
    <row r="4115" ht="15.75" customHeight="1">
      <c r="A4115" s="1"/>
      <c r="B4115" s="1"/>
      <c r="C4115" s="1"/>
      <c r="D4115" s="1"/>
      <c r="E4115" s="1"/>
      <c r="F4115" s="1"/>
      <c r="G4115" s="1"/>
      <c r="H4115" s="1"/>
      <c r="I4115" s="1"/>
      <c r="J4115" s="1"/>
      <c r="K4115" s="102" t="s">
        <v>6690</v>
      </c>
      <c r="L4115" s="102" t="str">
        <f>AC444</f>
        <v>J1a2a1a2d2b2b2c4d2a2a5a1e1a2a~</v>
      </c>
      <c r="M4115" s="102" t="s">
        <v>6691</v>
      </c>
      <c r="N4115" s="102" t="s">
        <v>6689</v>
      </c>
      <c r="O4115" s="105">
        <v>2.2161239E7</v>
      </c>
      <c r="P4115" s="105">
        <v>1.9999353E7</v>
      </c>
      <c r="Q4115" s="102" t="s">
        <v>2501</v>
      </c>
      <c r="S4115" s="1"/>
      <c r="T4115" s="1"/>
      <c r="U4115" s="1"/>
      <c r="V4115" s="1"/>
      <c r="W4115" s="1"/>
      <c r="X4115" s="1"/>
      <c r="Y4115" s="1"/>
      <c r="AA4115" s="102"/>
      <c r="AB4115" s="1"/>
      <c r="AC4115" s="1"/>
      <c r="AD4115" s="1"/>
      <c r="AE4115" s="1"/>
      <c r="AF4115" s="1"/>
      <c r="AG4115" s="1"/>
    </row>
    <row r="4116" ht="15.75" customHeight="1">
      <c r="A4116" s="1"/>
      <c r="B4116" s="1"/>
      <c r="C4116" s="1"/>
      <c r="D4116" s="1"/>
      <c r="E4116" s="1"/>
      <c r="F4116" s="1"/>
      <c r="G4116" s="1"/>
      <c r="H4116" s="1"/>
      <c r="I4116" s="1"/>
      <c r="J4116" s="1"/>
      <c r="K4116" s="102" t="s">
        <v>6692</v>
      </c>
      <c r="L4116" s="102" t="str">
        <f t="shared" ref="L4116:L4117" si="71">AC444</f>
        <v>J1a2a1a2d2b2b2c4d2a2a5a1e1a2a~</v>
      </c>
      <c r="M4116" s="102" t="s">
        <v>6693</v>
      </c>
      <c r="N4116" s="102" t="s">
        <v>6689</v>
      </c>
      <c r="O4116" s="105">
        <v>2.2161239E7</v>
      </c>
      <c r="P4116" s="105">
        <v>1.9999353E7</v>
      </c>
      <c r="Q4116" s="102" t="s">
        <v>2501</v>
      </c>
      <c r="S4116" s="1"/>
      <c r="T4116" s="1"/>
      <c r="U4116" s="1"/>
      <c r="V4116" s="1"/>
      <c r="W4116" s="1"/>
      <c r="X4116" s="1"/>
      <c r="Y4116" s="1"/>
      <c r="AA4116" s="102"/>
      <c r="AB4116" s="1"/>
      <c r="AC4116" s="1"/>
      <c r="AD4116" s="1"/>
      <c r="AE4116" s="1"/>
      <c r="AF4116" s="1"/>
      <c r="AG4116" s="1"/>
    </row>
    <row r="4117" ht="15.75" customHeight="1">
      <c r="A4117" s="1"/>
      <c r="B4117" s="1"/>
      <c r="C4117" s="1"/>
      <c r="D4117" s="1"/>
      <c r="E4117" s="1"/>
      <c r="F4117" s="1"/>
      <c r="G4117" s="1"/>
      <c r="H4117" s="1"/>
      <c r="I4117" s="1"/>
      <c r="J4117" s="1"/>
      <c r="K4117" s="102" t="s">
        <v>6694</v>
      </c>
      <c r="L4117" s="102" t="str">
        <f t="shared" si="71"/>
        <v>J1a2a1a2d2b2b2c4d2a2a5a1e1a2b~</v>
      </c>
      <c r="M4117" s="102"/>
      <c r="N4117" s="102"/>
      <c r="O4117" s="105">
        <v>6652878.0</v>
      </c>
      <c r="P4117" s="105">
        <v>6784837.0</v>
      </c>
      <c r="Q4117" s="102" t="s">
        <v>2432</v>
      </c>
      <c r="S4117" s="1"/>
      <c r="T4117" s="1"/>
      <c r="U4117" s="1"/>
      <c r="V4117" s="1"/>
      <c r="W4117" s="1"/>
      <c r="X4117" s="1"/>
      <c r="Y4117" s="1"/>
      <c r="AA4117" s="102"/>
      <c r="AB4117" s="1"/>
      <c r="AC4117" s="1"/>
      <c r="AD4117" s="1"/>
      <c r="AE4117" s="1"/>
      <c r="AF4117" s="1"/>
      <c r="AG4117" s="1"/>
    </row>
    <row r="4118" ht="15.75" customHeight="1">
      <c r="A4118" s="1"/>
      <c r="B4118" s="1"/>
      <c r="C4118" s="1"/>
      <c r="D4118" s="1"/>
      <c r="E4118" s="1"/>
      <c r="F4118" s="1"/>
      <c r="G4118" s="1"/>
      <c r="H4118" s="1"/>
      <c r="I4118" s="1"/>
      <c r="J4118" s="1"/>
      <c r="K4118" s="102" t="s">
        <v>6695</v>
      </c>
      <c r="L4118" s="102" t="str">
        <f>AC445</f>
        <v>J1a2a1a2d2b2b2c4d2a2a5a1e1a2b~</v>
      </c>
      <c r="M4118" s="102"/>
      <c r="N4118" s="102"/>
      <c r="O4118" s="105">
        <v>2.122404E7</v>
      </c>
      <c r="P4118" s="105">
        <v>1.9062154E7</v>
      </c>
      <c r="Q4118" s="102" t="s">
        <v>2468</v>
      </c>
      <c r="S4118" s="1"/>
      <c r="T4118" s="1"/>
      <c r="U4118" s="1"/>
      <c r="V4118" s="1"/>
      <c r="W4118" s="1"/>
      <c r="X4118" s="1"/>
      <c r="Y4118" s="1"/>
      <c r="AA4118" s="102"/>
      <c r="AB4118" s="1"/>
      <c r="AC4118" s="1"/>
      <c r="AD4118" s="1"/>
      <c r="AE4118" s="1"/>
      <c r="AF4118" s="1"/>
      <c r="AG4118" s="1"/>
    </row>
    <row r="4119" ht="15.75" customHeight="1">
      <c r="A4119" s="1"/>
      <c r="B4119" s="1"/>
      <c r="C4119" s="1"/>
      <c r="D4119" s="1"/>
      <c r="E4119" s="1"/>
      <c r="F4119" s="1"/>
      <c r="G4119" s="1"/>
      <c r="H4119" s="1"/>
      <c r="I4119" s="1"/>
      <c r="J4119" s="1"/>
      <c r="K4119" s="102" t="s">
        <v>857</v>
      </c>
      <c r="L4119" s="102" t="str">
        <f>AD446</f>
        <v>J1a2a1a2d2b2b2c4d2a2a5a1e1a2b1~</v>
      </c>
      <c r="M4119" s="102"/>
      <c r="N4119" s="102"/>
      <c r="O4119" s="105">
        <v>2.4414444E7</v>
      </c>
      <c r="P4119" s="105">
        <v>2.2268297E7</v>
      </c>
      <c r="Q4119" s="102" t="s">
        <v>2439</v>
      </c>
      <c r="S4119" s="1"/>
      <c r="T4119" s="1"/>
      <c r="U4119" s="1"/>
      <c r="V4119" s="1"/>
      <c r="W4119" s="1"/>
      <c r="X4119" s="1"/>
      <c r="Y4119" s="1"/>
      <c r="AA4119" s="102"/>
      <c r="AB4119" s="1"/>
      <c r="AC4119" s="1"/>
      <c r="AD4119" s="1"/>
      <c r="AE4119" s="1"/>
      <c r="AF4119" s="1"/>
      <c r="AG4119" s="1"/>
    </row>
    <row r="4120" ht="15.75" customHeight="1">
      <c r="A4120" s="1"/>
      <c r="B4120" s="1"/>
      <c r="C4120" s="1"/>
      <c r="D4120" s="1"/>
      <c r="E4120" s="1"/>
      <c r="F4120" s="1"/>
      <c r="G4120" s="1"/>
      <c r="H4120" s="1"/>
      <c r="I4120" s="1"/>
      <c r="J4120" s="1"/>
      <c r="K4120" s="102" t="s">
        <v>859</v>
      </c>
      <c r="L4120" s="102" t="str">
        <f>AA447</f>
        <v>J1a2a1a2d2b2b2c4d2a2a5a1e1b~</v>
      </c>
      <c r="M4120" s="102"/>
      <c r="N4120" s="102" t="s">
        <v>6696</v>
      </c>
      <c r="O4120" s="105">
        <v>6938809.0</v>
      </c>
      <c r="P4120" s="105">
        <v>7070768.0</v>
      </c>
      <c r="Q4120" s="102" t="s">
        <v>2501</v>
      </c>
      <c r="S4120" s="1"/>
      <c r="T4120" s="1"/>
      <c r="U4120" s="1"/>
      <c r="V4120" s="1"/>
      <c r="W4120" s="1"/>
      <c r="X4120" s="1"/>
      <c r="Y4120" s="1"/>
      <c r="AA4120" s="102"/>
      <c r="AB4120" s="1"/>
      <c r="AC4120" s="1"/>
      <c r="AD4120" s="1"/>
      <c r="AE4120" s="1"/>
      <c r="AF4120" s="1"/>
      <c r="AG4120" s="1"/>
    </row>
    <row r="4121" ht="15.75" customHeight="1">
      <c r="A4121" s="1"/>
      <c r="B4121" s="1"/>
      <c r="C4121" s="1"/>
      <c r="D4121" s="1"/>
      <c r="E4121" s="1"/>
      <c r="F4121" s="1"/>
      <c r="G4121" s="1"/>
      <c r="H4121" s="1"/>
      <c r="I4121" s="1"/>
      <c r="J4121" s="1"/>
      <c r="K4121" s="102" t="s">
        <v>6697</v>
      </c>
      <c r="L4121" s="102" t="str">
        <f>Z448</f>
        <v>J1a2a1a2d2b2b2c4d2a2a5a1e2~</v>
      </c>
      <c r="M4121" s="106" t="s">
        <v>6698</v>
      </c>
      <c r="N4121" s="102" t="s">
        <v>6699</v>
      </c>
      <c r="O4121" s="105">
        <v>2781400.0</v>
      </c>
      <c r="P4121" s="105">
        <v>2913359.0</v>
      </c>
      <c r="Q4121" s="102" t="s">
        <v>2468</v>
      </c>
      <c r="S4121" s="1"/>
      <c r="T4121" s="1"/>
      <c r="U4121" s="1"/>
      <c r="V4121" s="1"/>
      <c r="W4121" s="1"/>
      <c r="X4121" s="1"/>
      <c r="Y4121" s="1"/>
      <c r="AA4121" s="102"/>
      <c r="AB4121" s="1"/>
      <c r="AC4121" s="1"/>
      <c r="AD4121" s="1"/>
      <c r="AE4121" s="1"/>
      <c r="AF4121" s="1"/>
      <c r="AG4121" s="1"/>
    </row>
    <row r="4122" ht="15.75" customHeight="1">
      <c r="A4122" s="1"/>
      <c r="B4122" s="1"/>
      <c r="C4122" s="1"/>
      <c r="D4122" s="1"/>
      <c r="E4122" s="1"/>
      <c r="F4122" s="1"/>
      <c r="G4122" s="1"/>
      <c r="H4122" s="1"/>
      <c r="I4122" s="1"/>
      <c r="J4122" s="1"/>
      <c r="K4122" s="102" t="s">
        <v>6700</v>
      </c>
      <c r="L4122" s="102" t="str">
        <f>Z448</f>
        <v>J1a2a1a2d2b2b2c4d2a2a5a1e2~</v>
      </c>
      <c r="M4122" s="102" t="s">
        <v>6701</v>
      </c>
      <c r="N4122" s="102" t="s">
        <v>6699</v>
      </c>
      <c r="O4122" s="105">
        <v>2781400.0</v>
      </c>
      <c r="P4122" s="105">
        <v>2913359.0</v>
      </c>
      <c r="Q4122" s="102" t="s">
        <v>2468</v>
      </c>
      <c r="S4122" s="1"/>
      <c r="T4122" s="1"/>
      <c r="U4122" s="1"/>
      <c r="V4122" s="1"/>
      <c r="W4122" s="1"/>
      <c r="X4122" s="1"/>
      <c r="Y4122" s="1"/>
      <c r="AA4122" s="102"/>
      <c r="AB4122" s="1"/>
      <c r="AC4122" s="1"/>
      <c r="AD4122" s="1"/>
      <c r="AE4122" s="1"/>
      <c r="AF4122" s="1"/>
      <c r="AG4122" s="1"/>
    </row>
    <row r="4123" ht="15.75" customHeight="1">
      <c r="A4123" s="1"/>
      <c r="B4123" s="1"/>
      <c r="C4123" s="1"/>
      <c r="D4123" s="1"/>
      <c r="E4123" s="1"/>
      <c r="F4123" s="1"/>
      <c r="G4123" s="1"/>
      <c r="H4123" s="1"/>
      <c r="I4123" s="1"/>
      <c r="J4123" s="1"/>
      <c r="K4123" s="102" t="s">
        <v>6702</v>
      </c>
      <c r="L4123" s="102" t="str">
        <f>Z448</f>
        <v>J1a2a1a2d2b2b2c4d2a2a5a1e2~</v>
      </c>
      <c r="M4123" s="106" t="s">
        <v>6703</v>
      </c>
      <c r="N4123" s="102" t="s">
        <v>6699</v>
      </c>
      <c r="O4123" s="105">
        <v>2781400.0</v>
      </c>
      <c r="P4123" s="105">
        <v>2913359.0</v>
      </c>
      <c r="Q4123" s="102" t="s">
        <v>2468</v>
      </c>
      <c r="S4123" s="1"/>
      <c r="T4123" s="1"/>
      <c r="U4123" s="1"/>
      <c r="V4123" s="1"/>
      <c r="W4123" s="1"/>
      <c r="X4123" s="1"/>
      <c r="Y4123" s="1"/>
      <c r="AA4123" s="102"/>
      <c r="AB4123" s="1"/>
      <c r="AC4123" s="1"/>
      <c r="AD4123" s="1"/>
      <c r="AE4123" s="1"/>
      <c r="AF4123" s="1"/>
      <c r="AG4123" s="1"/>
    </row>
    <row r="4124" ht="15.75" customHeight="1">
      <c r="A4124" s="1"/>
      <c r="B4124" s="1"/>
      <c r="C4124" s="1"/>
      <c r="D4124" s="1"/>
      <c r="E4124" s="1"/>
      <c r="F4124" s="1"/>
      <c r="G4124" s="1"/>
      <c r="H4124" s="1"/>
      <c r="I4124" s="1"/>
      <c r="J4124" s="1"/>
      <c r="K4124" s="102" t="s">
        <v>6704</v>
      </c>
      <c r="L4124" s="102" t="str">
        <f>Z448</f>
        <v>J1a2a1a2d2b2b2c4d2a2a5a1e2~</v>
      </c>
      <c r="M4124" s="102" t="s">
        <v>6705</v>
      </c>
      <c r="N4124" s="102" t="s">
        <v>6706</v>
      </c>
      <c r="O4124" s="105">
        <v>1.6048538E7</v>
      </c>
      <c r="P4124" s="105">
        <v>1.3936658E7</v>
      </c>
      <c r="Q4124" s="102" t="s">
        <v>2501</v>
      </c>
      <c r="S4124" s="1"/>
      <c r="T4124" s="1"/>
      <c r="U4124" s="1"/>
      <c r="V4124" s="1"/>
      <c r="W4124" s="1"/>
      <c r="X4124" s="1"/>
      <c r="Y4124" s="1"/>
      <c r="AA4124" s="102"/>
      <c r="AB4124" s="1"/>
      <c r="AC4124" s="1"/>
      <c r="AD4124" s="1"/>
      <c r="AE4124" s="1"/>
      <c r="AF4124" s="1"/>
      <c r="AG4124" s="1"/>
    </row>
    <row r="4125" ht="15.75" customHeight="1">
      <c r="A4125" s="1"/>
      <c r="B4125" s="1"/>
      <c r="C4125" s="1"/>
      <c r="D4125" s="1"/>
      <c r="E4125" s="1"/>
      <c r="F4125" s="1"/>
      <c r="G4125" s="1"/>
      <c r="H4125" s="1"/>
      <c r="I4125" s="1"/>
      <c r="J4125" s="1"/>
      <c r="K4125" s="102" t="s">
        <v>6705</v>
      </c>
      <c r="L4125" s="102" t="str">
        <f>Z448</f>
        <v>J1a2a1a2d2b2b2c4d2a2a5a1e2~</v>
      </c>
      <c r="M4125" s="102" t="s">
        <v>6704</v>
      </c>
      <c r="N4125" s="102" t="s">
        <v>6706</v>
      </c>
      <c r="O4125" s="105">
        <v>1.6048538E7</v>
      </c>
      <c r="P4125" s="105">
        <v>1.3936658E7</v>
      </c>
      <c r="Q4125" s="102" t="s">
        <v>2501</v>
      </c>
      <c r="S4125" s="1"/>
      <c r="T4125" s="1"/>
      <c r="U4125" s="1"/>
      <c r="V4125" s="1"/>
      <c r="W4125" s="1"/>
      <c r="X4125" s="1"/>
      <c r="Y4125" s="1"/>
      <c r="AA4125" s="102"/>
      <c r="AB4125" s="1"/>
      <c r="AC4125" s="1"/>
      <c r="AD4125" s="1"/>
      <c r="AE4125" s="1"/>
      <c r="AF4125" s="1"/>
      <c r="AG4125" s="1"/>
    </row>
    <row r="4126" ht="15.75" customHeight="1">
      <c r="A4126" s="1"/>
      <c r="B4126" s="1"/>
      <c r="C4126" s="1"/>
      <c r="D4126" s="1"/>
      <c r="E4126" s="1"/>
      <c r="F4126" s="1"/>
      <c r="G4126" s="1"/>
      <c r="H4126" s="1"/>
      <c r="I4126" s="1"/>
      <c r="J4126" s="1"/>
      <c r="K4126" s="102" t="s">
        <v>6707</v>
      </c>
      <c r="L4126" s="102" t="str">
        <f>AA449</f>
        <v>J1a2a1a2d2b2b2c4d2a2a5a1e2a~</v>
      </c>
      <c r="M4126" s="102" t="s">
        <v>6708</v>
      </c>
      <c r="N4126" s="102" t="s">
        <v>6709</v>
      </c>
      <c r="O4126" s="105">
        <v>1.4026627E7</v>
      </c>
      <c r="P4126" s="105">
        <v>1.1905921E7</v>
      </c>
      <c r="Q4126" s="102" t="s">
        <v>2529</v>
      </c>
      <c r="S4126" s="1"/>
      <c r="T4126" s="1"/>
      <c r="U4126" s="1"/>
      <c r="V4126" s="1"/>
      <c r="W4126" s="1"/>
      <c r="X4126" s="1"/>
      <c r="Y4126" s="1"/>
      <c r="AA4126" s="102"/>
      <c r="AB4126" s="1"/>
      <c r="AC4126" s="1"/>
      <c r="AD4126" s="1"/>
      <c r="AE4126" s="1"/>
      <c r="AF4126" s="1"/>
      <c r="AG4126" s="1"/>
    </row>
    <row r="4127" ht="15.75" customHeight="1">
      <c r="A4127" s="1"/>
      <c r="B4127" s="1"/>
      <c r="C4127" s="1"/>
      <c r="D4127" s="1"/>
      <c r="E4127" s="1"/>
      <c r="F4127" s="1"/>
      <c r="G4127" s="1"/>
      <c r="H4127" s="1"/>
      <c r="I4127" s="1"/>
      <c r="J4127" s="1"/>
      <c r="K4127" s="102" t="s">
        <v>6708</v>
      </c>
      <c r="L4127" s="102" t="str">
        <f>AA449</f>
        <v>J1a2a1a2d2b2b2c4d2a2a5a1e2a~</v>
      </c>
      <c r="M4127" s="102" t="s">
        <v>6707</v>
      </c>
      <c r="N4127" s="102" t="s">
        <v>6709</v>
      </c>
      <c r="O4127" s="105">
        <v>1.4026627E7</v>
      </c>
      <c r="P4127" s="105">
        <v>1.1905921E7</v>
      </c>
      <c r="Q4127" s="102" t="s">
        <v>2529</v>
      </c>
      <c r="S4127" s="1"/>
      <c r="T4127" s="1"/>
      <c r="U4127" s="1"/>
      <c r="V4127" s="1"/>
      <c r="W4127" s="1"/>
      <c r="X4127" s="1"/>
      <c r="Y4127" s="1"/>
      <c r="AA4127" s="102"/>
      <c r="AB4127" s="1"/>
      <c r="AC4127" s="1"/>
      <c r="AD4127" s="1"/>
      <c r="AE4127" s="1"/>
      <c r="AF4127" s="1"/>
      <c r="AG4127" s="1"/>
    </row>
    <row r="4128" ht="15.75" customHeight="1">
      <c r="A4128" s="1"/>
      <c r="B4128" s="1"/>
      <c r="C4128" s="1"/>
      <c r="D4128" s="1"/>
      <c r="E4128" s="1"/>
      <c r="F4128" s="1"/>
      <c r="G4128" s="1"/>
      <c r="H4128" s="1"/>
      <c r="I4128" s="1"/>
      <c r="J4128" s="1"/>
      <c r="K4128" s="102" t="s">
        <v>6710</v>
      </c>
      <c r="L4128" s="102" t="str">
        <f>AA449</f>
        <v>J1a2a1a2d2b2b2c4d2a2a5a1e2a~</v>
      </c>
      <c r="M4128" s="102" t="s">
        <v>6643</v>
      </c>
      <c r="N4128" s="102" t="s">
        <v>6644</v>
      </c>
      <c r="O4128" s="105">
        <v>1.5147187E7</v>
      </c>
      <c r="P4128" s="105">
        <v>1.3035274E7</v>
      </c>
      <c r="Q4128" s="102" t="s">
        <v>2576</v>
      </c>
      <c r="S4128" s="1"/>
      <c r="T4128" s="1"/>
      <c r="U4128" s="1"/>
      <c r="V4128" s="1"/>
      <c r="W4128" s="1"/>
      <c r="X4128" s="1"/>
      <c r="Y4128" s="1"/>
      <c r="AA4128" s="102"/>
      <c r="AB4128" s="1"/>
      <c r="AC4128" s="1"/>
      <c r="AD4128" s="1"/>
      <c r="AE4128" s="1"/>
      <c r="AF4128" s="1"/>
      <c r="AG4128" s="1"/>
    </row>
    <row r="4129" ht="15.75" customHeight="1">
      <c r="A4129" s="1"/>
      <c r="B4129" s="1"/>
      <c r="C4129" s="1"/>
      <c r="D4129" s="1"/>
      <c r="E4129" s="1"/>
      <c r="F4129" s="1"/>
      <c r="G4129" s="1"/>
      <c r="H4129" s="1"/>
      <c r="I4129" s="1"/>
      <c r="J4129" s="1"/>
      <c r="K4129" s="102" t="s">
        <v>6643</v>
      </c>
      <c r="L4129" s="102" t="str">
        <f>AA449</f>
        <v>J1a2a1a2d2b2b2c4d2a2a5a1e2a~</v>
      </c>
      <c r="M4129" s="102" t="s">
        <v>6710</v>
      </c>
      <c r="N4129" s="102" t="s">
        <v>6644</v>
      </c>
      <c r="O4129" s="105">
        <v>1.5147187E7</v>
      </c>
      <c r="P4129" s="105">
        <v>1.3035274E7</v>
      </c>
      <c r="Q4129" s="102" t="s">
        <v>2576</v>
      </c>
      <c r="S4129" s="1"/>
      <c r="T4129" s="1"/>
      <c r="U4129" s="1"/>
      <c r="V4129" s="1"/>
      <c r="W4129" s="1"/>
      <c r="X4129" s="1"/>
      <c r="Y4129" s="1"/>
      <c r="AA4129" s="102"/>
      <c r="AB4129" s="1"/>
      <c r="AC4129" s="1"/>
      <c r="AD4129" s="1"/>
      <c r="AE4129" s="1"/>
      <c r="AF4129" s="1"/>
      <c r="AG4129" s="1"/>
    </row>
    <row r="4130" ht="15.75" customHeight="1">
      <c r="A4130" s="1"/>
      <c r="B4130" s="1"/>
      <c r="C4130" s="1"/>
      <c r="D4130" s="1"/>
      <c r="E4130" s="1"/>
      <c r="F4130" s="1"/>
      <c r="G4130" s="1"/>
      <c r="H4130" s="1"/>
      <c r="I4130" s="1"/>
      <c r="J4130" s="1"/>
      <c r="K4130" s="102" t="s">
        <v>6711</v>
      </c>
      <c r="L4130" s="102" t="str">
        <f>AA449</f>
        <v>J1a2a1a2d2b2b2c4d2a2a5a1e2a~</v>
      </c>
      <c r="M4130" s="102" t="s">
        <v>6712</v>
      </c>
      <c r="N4130" s="102" t="s">
        <v>6713</v>
      </c>
      <c r="O4130" s="105">
        <v>1.778039E7</v>
      </c>
      <c r="P4130" s="105">
        <v>1.566851E7</v>
      </c>
      <c r="Q4130" s="102" t="s">
        <v>2501</v>
      </c>
      <c r="S4130" s="1"/>
      <c r="T4130" s="1"/>
      <c r="U4130" s="1"/>
      <c r="V4130" s="1"/>
      <c r="W4130" s="1"/>
      <c r="X4130" s="1"/>
      <c r="Y4130" s="1"/>
      <c r="AA4130" s="102"/>
      <c r="AB4130" s="1"/>
      <c r="AC4130" s="1"/>
      <c r="AD4130" s="1"/>
      <c r="AE4130" s="1"/>
      <c r="AF4130" s="1"/>
      <c r="AG4130" s="1"/>
    </row>
    <row r="4131" ht="15.75" customHeight="1">
      <c r="A4131" s="1"/>
      <c r="B4131" s="1"/>
      <c r="C4131" s="1"/>
      <c r="D4131" s="1"/>
      <c r="E4131" s="1"/>
      <c r="F4131" s="1"/>
      <c r="G4131" s="1"/>
      <c r="H4131" s="1"/>
      <c r="I4131" s="1"/>
      <c r="J4131" s="1"/>
      <c r="K4131" s="102" t="s">
        <v>6712</v>
      </c>
      <c r="L4131" s="102" t="str">
        <f>AA449</f>
        <v>J1a2a1a2d2b2b2c4d2a2a5a1e2a~</v>
      </c>
      <c r="M4131" s="102" t="s">
        <v>6711</v>
      </c>
      <c r="N4131" s="102" t="s">
        <v>6713</v>
      </c>
      <c r="O4131" s="105">
        <v>1.778039E7</v>
      </c>
      <c r="P4131" s="105">
        <v>1.566851E7</v>
      </c>
      <c r="Q4131" s="102" t="s">
        <v>2501</v>
      </c>
      <c r="S4131" s="1"/>
      <c r="T4131" s="1"/>
      <c r="U4131" s="1"/>
      <c r="V4131" s="1"/>
      <c r="W4131" s="1"/>
      <c r="X4131" s="1"/>
      <c r="Y4131" s="1"/>
      <c r="AA4131" s="102"/>
      <c r="AB4131" s="1"/>
      <c r="AC4131" s="1"/>
      <c r="AD4131" s="1"/>
      <c r="AE4131" s="1"/>
      <c r="AF4131" s="1"/>
      <c r="AG4131" s="1"/>
    </row>
    <row r="4132" ht="15.75" customHeight="1">
      <c r="A4132" s="1"/>
      <c r="B4132" s="1"/>
      <c r="C4132" s="1"/>
      <c r="D4132" s="1"/>
      <c r="E4132" s="1"/>
      <c r="F4132" s="1"/>
      <c r="G4132" s="1"/>
      <c r="H4132" s="1"/>
      <c r="I4132" s="1"/>
      <c r="J4132" s="1"/>
      <c r="K4132" s="102" t="s">
        <v>6714</v>
      </c>
      <c r="L4132" s="102" t="str">
        <f>AA449</f>
        <v>J1a2a1a2d2b2b2c4d2a2a5a1e2a~</v>
      </c>
      <c r="M4132" s="102" t="s">
        <v>6715</v>
      </c>
      <c r="N4132" s="102"/>
      <c r="O4132" s="105">
        <v>1.8003856E7</v>
      </c>
      <c r="P4132" s="105">
        <v>1.5891976E7</v>
      </c>
      <c r="Q4132" s="102" t="s">
        <v>2439</v>
      </c>
      <c r="S4132" s="1"/>
      <c r="T4132" s="1"/>
      <c r="U4132" s="1"/>
      <c r="V4132" s="1"/>
      <c r="W4132" s="1"/>
      <c r="X4132" s="1"/>
      <c r="Y4132" s="1"/>
      <c r="AA4132" s="102"/>
      <c r="AB4132" s="1"/>
      <c r="AC4132" s="1"/>
      <c r="AD4132" s="1"/>
      <c r="AE4132" s="1"/>
      <c r="AF4132" s="1"/>
      <c r="AG4132" s="1"/>
    </row>
    <row r="4133" ht="15.75" customHeight="1">
      <c r="A4133" s="1"/>
      <c r="B4133" s="1"/>
      <c r="C4133" s="1"/>
      <c r="D4133" s="1"/>
      <c r="E4133" s="1"/>
      <c r="F4133" s="1"/>
      <c r="G4133" s="1"/>
      <c r="H4133" s="1"/>
      <c r="I4133" s="1"/>
      <c r="J4133" s="1"/>
      <c r="K4133" s="102" t="s">
        <v>6715</v>
      </c>
      <c r="L4133" s="102" t="str">
        <f>AA449</f>
        <v>J1a2a1a2d2b2b2c4d2a2a5a1e2a~</v>
      </c>
      <c r="M4133" s="102" t="s">
        <v>6714</v>
      </c>
      <c r="N4133" s="102"/>
      <c r="O4133" s="105">
        <v>1.8003856E7</v>
      </c>
      <c r="P4133" s="105">
        <v>1.5891976E7</v>
      </c>
      <c r="Q4133" s="102" t="s">
        <v>2439</v>
      </c>
      <c r="S4133" s="1"/>
      <c r="T4133" s="1"/>
      <c r="U4133" s="1"/>
      <c r="V4133" s="1"/>
      <c r="W4133" s="1"/>
      <c r="X4133" s="1"/>
      <c r="Y4133" s="1"/>
      <c r="AA4133" s="102"/>
      <c r="AB4133" s="1"/>
      <c r="AC4133" s="1"/>
      <c r="AD4133" s="1"/>
      <c r="AE4133" s="1"/>
      <c r="AF4133" s="1"/>
      <c r="AG4133" s="1"/>
    </row>
    <row r="4134" ht="15.75" customHeight="1">
      <c r="A4134" s="1"/>
      <c r="B4134" s="1"/>
      <c r="C4134" s="1"/>
      <c r="D4134" s="1"/>
      <c r="E4134" s="1"/>
      <c r="F4134" s="1"/>
      <c r="G4134" s="1"/>
      <c r="H4134" s="1"/>
      <c r="I4134" s="1"/>
      <c r="J4134" s="1"/>
      <c r="K4134" s="102" t="s">
        <v>6716</v>
      </c>
      <c r="L4134" s="102" t="str">
        <f>AA449</f>
        <v>J1a2a1a2d2b2b2c4d2a2a5a1e2a~</v>
      </c>
      <c r="M4134" s="102" t="s">
        <v>6717</v>
      </c>
      <c r="N4134" s="102" t="s">
        <v>6718</v>
      </c>
      <c r="O4134" s="105">
        <v>1.9238882E7</v>
      </c>
      <c r="P4134" s="105">
        <v>1.7127002E7</v>
      </c>
      <c r="Q4134" s="102" t="s">
        <v>2533</v>
      </c>
      <c r="S4134" s="1"/>
      <c r="T4134" s="1"/>
      <c r="U4134" s="1"/>
      <c r="V4134" s="1"/>
      <c r="W4134" s="1"/>
      <c r="X4134" s="1"/>
      <c r="Y4134" s="1"/>
      <c r="AA4134" s="102"/>
      <c r="AB4134" s="1"/>
      <c r="AC4134" s="1"/>
      <c r="AD4134" s="1"/>
      <c r="AE4134" s="1"/>
      <c r="AF4134" s="1"/>
      <c r="AG4134" s="1"/>
    </row>
    <row r="4135" ht="15.75" customHeight="1">
      <c r="A4135" s="1"/>
      <c r="B4135" s="1"/>
      <c r="C4135" s="1"/>
      <c r="D4135" s="1"/>
      <c r="E4135" s="1"/>
      <c r="F4135" s="1"/>
      <c r="G4135" s="1"/>
      <c r="H4135" s="1"/>
      <c r="I4135" s="1"/>
      <c r="J4135" s="1"/>
      <c r="K4135" s="102" t="s">
        <v>6717</v>
      </c>
      <c r="L4135" s="102" t="str">
        <f>AA449</f>
        <v>J1a2a1a2d2b2b2c4d2a2a5a1e2a~</v>
      </c>
      <c r="M4135" s="102" t="s">
        <v>6716</v>
      </c>
      <c r="N4135" s="102" t="s">
        <v>6718</v>
      </c>
      <c r="O4135" s="105">
        <v>1.9238882E7</v>
      </c>
      <c r="P4135" s="105">
        <v>1.7127002E7</v>
      </c>
      <c r="Q4135" s="102" t="s">
        <v>2533</v>
      </c>
      <c r="S4135" s="1"/>
      <c r="T4135" s="1"/>
      <c r="U4135" s="1"/>
      <c r="V4135" s="1"/>
      <c r="W4135" s="1"/>
      <c r="X4135" s="1"/>
      <c r="Y4135" s="1"/>
      <c r="AA4135" s="102"/>
      <c r="AB4135" s="1"/>
      <c r="AC4135" s="1"/>
      <c r="AD4135" s="1"/>
      <c r="AE4135" s="1"/>
      <c r="AF4135" s="1"/>
      <c r="AG4135" s="1"/>
    </row>
    <row r="4136" ht="15.75" customHeight="1">
      <c r="A4136" s="1"/>
      <c r="B4136" s="1"/>
      <c r="C4136" s="1"/>
      <c r="D4136" s="1"/>
      <c r="E4136" s="1"/>
      <c r="F4136" s="1"/>
      <c r="G4136" s="1"/>
      <c r="H4136" s="1"/>
      <c r="I4136" s="1"/>
      <c r="J4136" s="1"/>
      <c r="K4136" s="102" t="s">
        <v>6719</v>
      </c>
      <c r="L4136" s="102" t="str">
        <f>AB450</f>
        <v>J1a2a1a2d2b2b2c4d2a2a5a1e2a1~</v>
      </c>
      <c r="M4136" s="102" t="s">
        <v>6720</v>
      </c>
      <c r="N4136" s="102" t="s">
        <v>6721</v>
      </c>
      <c r="O4136" s="105">
        <v>1.6311117E7</v>
      </c>
      <c r="P4136" s="105">
        <v>1.4199237E7</v>
      </c>
      <c r="Q4136" s="102" t="s">
        <v>2533</v>
      </c>
      <c r="S4136" s="1"/>
      <c r="T4136" s="1"/>
      <c r="U4136" s="1"/>
      <c r="V4136" s="1"/>
      <c r="W4136" s="1"/>
      <c r="X4136" s="1"/>
      <c r="Y4136" s="1"/>
      <c r="AA4136" s="102"/>
      <c r="AB4136" s="1"/>
      <c r="AC4136" s="1"/>
      <c r="AD4136" s="1"/>
      <c r="AE4136" s="1"/>
      <c r="AF4136" s="1"/>
      <c r="AG4136" s="1"/>
    </row>
    <row r="4137" ht="15.75" customHeight="1">
      <c r="A4137" s="1"/>
      <c r="B4137" s="1"/>
      <c r="C4137" s="1"/>
      <c r="D4137" s="1"/>
      <c r="E4137" s="1"/>
      <c r="F4137" s="1"/>
      <c r="G4137" s="1"/>
      <c r="H4137" s="1"/>
      <c r="I4137" s="1"/>
      <c r="J4137" s="1"/>
      <c r="K4137" s="102" t="s">
        <v>6720</v>
      </c>
      <c r="L4137" s="102" t="str">
        <f>AB450</f>
        <v>J1a2a1a2d2b2b2c4d2a2a5a1e2a1~</v>
      </c>
      <c r="M4137" s="102" t="s">
        <v>6719</v>
      </c>
      <c r="N4137" s="102" t="s">
        <v>6721</v>
      </c>
      <c r="O4137" s="105">
        <v>1.6311117E7</v>
      </c>
      <c r="P4137" s="105">
        <v>1.4199237E7</v>
      </c>
      <c r="Q4137" s="102" t="s">
        <v>2533</v>
      </c>
      <c r="S4137" s="1"/>
      <c r="T4137" s="1"/>
      <c r="U4137" s="1"/>
      <c r="V4137" s="1"/>
      <c r="W4137" s="1"/>
      <c r="X4137" s="1"/>
      <c r="Y4137" s="1"/>
      <c r="AA4137" s="102"/>
      <c r="AB4137" s="1"/>
      <c r="AC4137" s="1"/>
      <c r="AD4137" s="1"/>
      <c r="AE4137" s="1"/>
      <c r="AF4137" s="1"/>
      <c r="AG4137" s="1"/>
    </row>
    <row r="4138" ht="15.75" customHeight="1">
      <c r="A4138" s="1"/>
      <c r="B4138" s="1"/>
      <c r="C4138" s="1"/>
      <c r="D4138" s="1"/>
      <c r="E4138" s="1"/>
      <c r="F4138" s="1"/>
      <c r="G4138" s="1"/>
      <c r="H4138" s="1"/>
      <c r="I4138" s="1"/>
      <c r="J4138" s="1"/>
      <c r="K4138" s="102" t="s">
        <v>6722</v>
      </c>
      <c r="L4138" s="102" t="str">
        <f>AB450</f>
        <v>J1a2a1a2d2b2b2c4d2a2a5a1e2a1~</v>
      </c>
      <c r="M4138" s="102" t="s">
        <v>6723</v>
      </c>
      <c r="N4138" s="102" t="s">
        <v>6724</v>
      </c>
      <c r="O4138" s="105">
        <v>1.7032643E7</v>
      </c>
      <c r="P4138" s="105">
        <v>1.4920763E7</v>
      </c>
      <c r="Q4138" s="102" t="s">
        <v>2563</v>
      </c>
      <c r="S4138" s="1"/>
      <c r="T4138" s="1"/>
      <c r="U4138" s="1"/>
      <c r="V4138" s="1"/>
      <c r="W4138" s="1"/>
      <c r="X4138" s="1"/>
      <c r="Y4138" s="1"/>
      <c r="AA4138" s="102"/>
      <c r="AB4138" s="1"/>
      <c r="AC4138" s="1"/>
      <c r="AD4138" s="1"/>
      <c r="AE4138" s="1"/>
      <c r="AF4138" s="1"/>
      <c r="AG4138" s="1"/>
    </row>
    <row r="4139" ht="15.75" customHeight="1">
      <c r="A4139" s="1"/>
      <c r="B4139" s="1"/>
      <c r="C4139" s="1"/>
      <c r="D4139" s="1"/>
      <c r="E4139" s="1"/>
      <c r="F4139" s="1"/>
      <c r="G4139" s="1"/>
      <c r="H4139" s="1"/>
      <c r="I4139" s="1"/>
      <c r="J4139" s="1"/>
      <c r="K4139" s="102" t="s">
        <v>6723</v>
      </c>
      <c r="L4139" s="102" t="str">
        <f>AB450</f>
        <v>J1a2a1a2d2b2b2c4d2a2a5a1e2a1~</v>
      </c>
      <c r="M4139" s="102" t="s">
        <v>6722</v>
      </c>
      <c r="N4139" s="102" t="s">
        <v>6724</v>
      </c>
      <c r="O4139" s="105">
        <v>1.7032643E7</v>
      </c>
      <c r="P4139" s="105">
        <v>1.4920763E7</v>
      </c>
      <c r="Q4139" s="102" t="s">
        <v>2563</v>
      </c>
      <c r="S4139" s="1"/>
      <c r="T4139" s="1"/>
      <c r="U4139" s="1"/>
      <c r="V4139" s="1"/>
      <c r="W4139" s="1"/>
      <c r="X4139" s="1"/>
      <c r="Y4139" s="1"/>
      <c r="AA4139" s="102"/>
      <c r="AB4139" s="1"/>
      <c r="AC4139" s="1"/>
      <c r="AD4139" s="1"/>
      <c r="AE4139" s="1"/>
      <c r="AF4139" s="1"/>
      <c r="AG4139" s="1"/>
    </row>
    <row r="4140" ht="15.75" customHeight="1">
      <c r="A4140" s="1"/>
      <c r="B4140" s="1"/>
      <c r="C4140" s="1"/>
      <c r="D4140" s="1"/>
      <c r="E4140" s="1"/>
      <c r="F4140" s="1"/>
      <c r="G4140" s="1"/>
      <c r="H4140" s="1"/>
      <c r="I4140" s="1"/>
      <c r="J4140" s="1"/>
      <c r="K4140" s="102" t="s">
        <v>6725</v>
      </c>
      <c r="L4140" s="102" t="str">
        <f>AC451</f>
        <v>J1a2a1a2d2b2b2c4d2a2a5a1e2a1a~</v>
      </c>
      <c r="M4140" s="102" t="s">
        <v>6726</v>
      </c>
      <c r="N4140" s="102" t="s">
        <v>6727</v>
      </c>
      <c r="O4140" s="105">
        <v>1.5206693E7</v>
      </c>
      <c r="P4140" s="105">
        <v>1.3094779E7</v>
      </c>
      <c r="Q4140" s="102" t="s">
        <v>2446</v>
      </c>
      <c r="S4140" s="1"/>
      <c r="T4140" s="1"/>
      <c r="U4140" s="1"/>
      <c r="V4140" s="1"/>
      <c r="W4140" s="1"/>
      <c r="X4140" s="1"/>
      <c r="Y4140" s="1"/>
      <c r="AA4140" s="102"/>
      <c r="AB4140" s="1"/>
      <c r="AC4140" s="1"/>
      <c r="AD4140" s="1"/>
      <c r="AE4140" s="1"/>
      <c r="AF4140" s="1"/>
      <c r="AG4140" s="1"/>
    </row>
    <row r="4141" ht="15.75" customHeight="1">
      <c r="A4141" s="1"/>
      <c r="B4141" s="1"/>
      <c r="C4141" s="1"/>
      <c r="D4141" s="1"/>
      <c r="E4141" s="1"/>
      <c r="F4141" s="1"/>
      <c r="G4141" s="1"/>
      <c r="H4141" s="1"/>
      <c r="I4141" s="1"/>
      <c r="J4141" s="1"/>
      <c r="K4141" s="102" t="s">
        <v>6726</v>
      </c>
      <c r="L4141" s="102" t="str">
        <f>AC451</f>
        <v>J1a2a1a2d2b2b2c4d2a2a5a1e2a1a~</v>
      </c>
      <c r="M4141" s="102" t="s">
        <v>6725</v>
      </c>
      <c r="N4141" s="102" t="s">
        <v>6727</v>
      </c>
      <c r="O4141" s="105">
        <v>1.5206693E7</v>
      </c>
      <c r="P4141" s="105">
        <v>1.3094779E7</v>
      </c>
      <c r="Q4141" s="102" t="s">
        <v>2446</v>
      </c>
      <c r="S4141" s="1"/>
      <c r="T4141" s="1"/>
      <c r="U4141" s="1"/>
      <c r="V4141" s="1"/>
      <c r="W4141" s="1"/>
      <c r="X4141" s="1"/>
      <c r="Y4141" s="1"/>
      <c r="AA4141" s="102"/>
      <c r="AB4141" s="1"/>
      <c r="AC4141" s="1"/>
      <c r="AD4141" s="1"/>
      <c r="AE4141" s="1"/>
      <c r="AF4141" s="1"/>
      <c r="AG4141" s="1"/>
    </row>
    <row r="4142" ht="15.75" customHeight="1">
      <c r="A4142" s="1"/>
      <c r="B4142" s="1"/>
      <c r="C4142" s="1"/>
      <c r="D4142" s="1"/>
      <c r="E4142" s="1"/>
      <c r="F4142" s="1"/>
      <c r="G4142" s="1"/>
      <c r="H4142" s="1"/>
      <c r="I4142" s="1"/>
      <c r="J4142" s="1"/>
      <c r="K4142" s="102" t="s">
        <v>6728</v>
      </c>
      <c r="L4142" s="102" t="str">
        <f>AD452</f>
        <v>J1a2a1a2d2b2b2c4d2a2a5a1e2a1a1~</v>
      </c>
      <c r="M4142" s="102"/>
      <c r="N4142" s="102" t="s">
        <v>6729</v>
      </c>
      <c r="O4142" s="105">
        <v>8680973.0</v>
      </c>
      <c r="P4142" s="105">
        <v>8812932.0</v>
      </c>
      <c r="Q4142" s="102" t="s">
        <v>2576</v>
      </c>
      <c r="S4142" s="1"/>
      <c r="T4142" s="1"/>
      <c r="U4142" s="1"/>
      <c r="V4142" s="1"/>
      <c r="W4142" s="1"/>
      <c r="X4142" s="1"/>
      <c r="Y4142" s="1"/>
      <c r="AA4142" s="102"/>
      <c r="AB4142" s="1"/>
      <c r="AC4142" s="1"/>
      <c r="AD4142" s="1"/>
      <c r="AE4142" s="1"/>
      <c r="AF4142" s="1"/>
      <c r="AG4142" s="1"/>
    </row>
    <row r="4143" ht="15.75" customHeight="1">
      <c r="A4143" s="1"/>
      <c r="B4143" s="1"/>
      <c r="C4143" s="1"/>
      <c r="D4143" s="1"/>
      <c r="E4143" s="1"/>
      <c r="F4143" s="1"/>
      <c r="G4143" s="1"/>
      <c r="H4143" s="1"/>
      <c r="I4143" s="1"/>
      <c r="J4143" s="1"/>
      <c r="K4143" s="102" t="s">
        <v>6730</v>
      </c>
      <c r="L4143" s="102" t="str">
        <f>AD452</f>
        <v>J1a2a1a2d2b2b2c4d2a2a5a1e2a1a1~</v>
      </c>
      <c r="M4143" s="102"/>
      <c r="N4143" s="102" t="s">
        <v>6731</v>
      </c>
      <c r="O4143" s="105">
        <v>1.4463913E7</v>
      </c>
      <c r="P4143" s="105">
        <v>1.2343186E7</v>
      </c>
      <c r="Q4143" s="102" t="s">
        <v>2468</v>
      </c>
      <c r="S4143" s="1"/>
      <c r="T4143" s="1"/>
      <c r="U4143" s="1"/>
      <c r="V4143" s="1"/>
      <c r="W4143" s="1"/>
      <c r="X4143" s="1"/>
      <c r="Y4143" s="1"/>
      <c r="AA4143" s="102"/>
      <c r="AB4143" s="1"/>
      <c r="AC4143" s="1"/>
      <c r="AD4143" s="1"/>
      <c r="AE4143" s="1"/>
      <c r="AF4143" s="1"/>
      <c r="AG4143" s="1"/>
    </row>
    <row r="4144" ht="15.75" customHeight="1">
      <c r="A4144" s="1"/>
      <c r="B4144" s="1"/>
      <c r="C4144" s="1"/>
      <c r="D4144" s="1"/>
      <c r="E4144" s="1"/>
      <c r="F4144" s="1"/>
      <c r="G4144" s="1"/>
      <c r="H4144" s="1"/>
      <c r="I4144" s="1"/>
      <c r="J4144" s="1"/>
      <c r="K4144" s="102" t="s">
        <v>6732</v>
      </c>
      <c r="L4144" s="102" t="str">
        <f>AD452</f>
        <v>J1a2a1a2d2b2b2c4d2a2a5a1e2a1a1~</v>
      </c>
      <c r="M4144" s="102"/>
      <c r="N4144" s="102" t="s">
        <v>6733</v>
      </c>
      <c r="O4144" s="105">
        <v>1.5562959E7</v>
      </c>
      <c r="P4144" s="105">
        <v>1.3451079E7</v>
      </c>
      <c r="Q4144" s="102" t="s">
        <v>2501</v>
      </c>
      <c r="S4144" s="1"/>
      <c r="T4144" s="1"/>
      <c r="U4144" s="1"/>
      <c r="V4144" s="1"/>
      <c r="W4144" s="1"/>
      <c r="X4144" s="1"/>
      <c r="Y4144" s="1"/>
      <c r="AA4144" s="102"/>
      <c r="AB4144" s="1"/>
      <c r="AC4144" s="1"/>
      <c r="AD4144" s="1"/>
      <c r="AE4144" s="1"/>
      <c r="AF4144" s="1"/>
      <c r="AG4144" s="1"/>
    </row>
    <row r="4145" ht="15.75" customHeight="1">
      <c r="A4145" s="1"/>
      <c r="B4145" s="1"/>
      <c r="C4145" s="1"/>
      <c r="D4145" s="1"/>
      <c r="E4145" s="1"/>
      <c r="F4145" s="1"/>
      <c r="G4145" s="1"/>
      <c r="H4145" s="1"/>
      <c r="I4145" s="1"/>
      <c r="J4145" s="1"/>
      <c r="K4145" s="102" t="s">
        <v>6734</v>
      </c>
      <c r="L4145" s="102" t="str">
        <f>AD452</f>
        <v>J1a2a1a2d2b2b2c4d2a2a5a1e2a1a1~</v>
      </c>
      <c r="M4145" s="102"/>
      <c r="N4145" s="102" t="s">
        <v>6735</v>
      </c>
      <c r="O4145" s="105">
        <v>1.6869133E7</v>
      </c>
      <c r="P4145" s="105">
        <v>1.4757253E7</v>
      </c>
      <c r="Q4145" s="102" t="s">
        <v>2439</v>
      </c>
      <c r="S4145" s="1"/>
      <c r="T4145" s="1"/>
      <c r="U4145" s="1"/>
      <c r="V4145" s="1"/>
      <c r="W4145" s="1"/>
      <c r="X4145" s="1"/>
      <c r="Y4145" s="1"/>
      <c r="AA4145" s="102"/>
      <c r="AB4145" s="1"/>
      <c r="AC4145" s="1"/>
      <c r="AD4145" s="1"/>
      <c r="AE4145" s="1"/>
      <c r="AF4145" s="1"/>
      <c r="AG4145" s="1"/>
    </row>
    <row r="4146" ht="15.75" customHeight="1">
      <c r="A4146" s="1"/>
      <c r="B4146" s="1"/>
      <c r="C4146" s="1"/>
      <c r="D4146" s="1"/>
      <c r="E4146" s="1"/>
      <c r="F4146" s="1"/>
      <c r="G4146" s="1"/>
      <c r="H4146" s="1"/>
      <c r="I4146" s="1"/>
      <c r="J4146" s="1"/>
      <c r="K4146" s="102" t="s">
        <v>871</v>
      </c>
      <c r="L4146" s="102" t="str">
        <f>AA453</f>
        <v>J1a2a1a2d2b2b2c4d2a2a5a1e2b~</v>
      </c>
      <c r="M4146" s="102"/>
      <c r="N4146" s="102" t="s">
        <v>6736</v>
      </c>
      <c r="O4146" s="105">
        <v>2.2112034E7</v>
      </c>
      <c r="P4146" s="105">
        <v>1.9950148E7</v>
      </c>
      <c r="Q4146" s="102" t="s">
        <v>2529</v>
      </c>
      <c r="S4146" s="1"/>
      <c r="T4146" s="1"/>
      <c r="U4146" s="1"/>
      <c r="V4146" s="1"/>
      <c r="W4146" s="1"/>
      <c r="X4146" s="1"/>
      <c r="Y4146" s="1"/>
      <c r="AA4146" s="102"/>
      <c r="AB4146" s="1"/>
      <c r="AC4146" s="1"/>
      <c r="AD4146" s="1"/>
      <c r="AE4146" s="1"/>
      <c r="AF4146" s="1"/>
      <c r="AG4146" s="1"/>
    </row>
    <row r="4147" ht="15.75" customHeight="1">
      <c r="A4147" s="1"/>
      <c r="B4147" s="1"/>
      <c r="C4147" s="1"/>
      <c r="D4147" s="1"/>
      <c r="E4147" s="1"/>
      <c r="F4147" s="1"/>
      <c r="G4147" s="1"/>
      <c r="H4147" s="1"/>
      <c r="I4147" s="1"/>
      <c r="J4147" s="1"/>
      <c r="K4147" s="102" t="s">
        <v>6737</v>
      </c>
      <c r="L4147" s="102" t="str">
        <f>AB454</f>
        <v>J1a2a1a2d2b2b2c4d2a2a5a1e2b1~</v>
      </c>
      <c r="M4147" s="102" t="s">
        <v>6738</v>
      </c>
      <c r="N4147" s="102" t="s">
        <v>6739</v>
      </c>
      <c r="O4147" s="105">
        <v>6844734.0</v>
      </c>
      <c r="P4147" s="105">
        <v>6976693.0</v>
      </c>
      <c r="Q4147" s="102" t="s">
        <v>2439</v>
      </c>
      <c r="S4147" s="1"/>
      <c r="T4147" s="1"/>
      <c r="U4147" s="1"/>
      <c r="V4147" s="1"/>
      <c r="W4147" s="1"/>
      <c r="X4147" s="1"/>
      <c r="Y4147" s="1"/>
      <c r="AA4147" s="102"/>
      <c r="AB4147" s="1"/>
      <c r="AC4147" s="1"/>
      <c r="AD4147" s="1"/>
      <c r="AE4147" s="1"/>
      <c r="AF4147" s="1"/>
      <c r="AG4147" s="1"/>
    </row>
    <row r="4148" ht="15.75" customHeight="1">
      <c r="A4148" s="1"/>
      <c r="B4148" s="1"/>
      <c r="C4148" s="1"/>
      <c r="D4148" s="1"/>
      <c r="E4148" s="1"/>
      <c r="F4148" s="1"/>
      <c r="G4148" s="1"/>
      <c r="H4148" s="1"/>
      <c r="I4148" s="1"/>
      <c r="J4148" s="1"/>
      <c r="K4148" s="102" t="s">
        <v>6738</v>
      </c>
      <c r="L4148" s="102" t="str">
        <f>AB454</f>
        <v>J1a2a1a2d2b2b2c4d2a2a5a1e2b1~</v>
      </c>
      <c r="M4148" s="102" t="s">
        <v>6737</v>
      </c>
      <c r="N4148" s="102" t="s">
        <v>6739</v>
      </c>
      <c r="O4148" s="105">
        <v>6844734.0</v>
      </c>
      <c r="P4148" s="105">
        <v>6976693.0</v>
      </c>
      <c r="Q4148" s="102" t="s">
        <v>2439</v>
      </c>
      <c r="S4148" s="1"/>
      <c r="T4148" s="1"/>
      <c r="U4148" s="1"/>
      <c r="V4148" s="1"/>
      <c r="W4148" s="1"/>
      <c r="X4148" s="1"/>
      <c r="Y4148" s="1"/>
      <c r="AA4148" s="102"/>
      <c r="AB4148" s="1"/>
      <c r="AC4148" s="1"/>
      <c r="AD4148" s="1"/>
      <c r="AE4148" s="1"/>
      <c r="AF4148" s="1"/>
      <c r="AG4148" s="1"/>
    </row>
    <row r="4149" ht="15.75" customHeight="1">
      <c r="A4149" s="1"/>
      <c r="B4149" s="1"/>
      <c r="C4149" s="1"/>
      <c r="D4149" s="1"/>
      <c r="E4149" s="1"/>
      <c r="F4149" s="1"/>
      <c r="G4149" s="1"/>
      <c r="H4149" s="1"/>
      <c r="I4149" s="1"/>
      <c r="J4149" s="1"/>
      <c r="K4149" s="102" t="s">
        <v>875</v>
      </c>
      <c r="L4149" s="102" t="str">
        <f>AC455</f>
        <v>J1a2a1a2d2b2b2c4d2a2a5a1e2b1a~</v>
      </c>
      <c r="M4149" s="102"/>
      <c r="N4149" s="102" t="s">
        <v>6740</v>
      </c>
      <c r="O4149" s="105">
        <v>1.8563369E7</v>
      </c>
      <c r="P4149" s="105">
        <v>1.6451489E7</v>
      </c>
      <c r="Q4149" s="102" t="s">
        <v>2501</v>
      </c>
      <c r="S4149" s="1"/>
      <c r="T4149" s="1"/>
      <c r="U4149" s="1"/>
      <c r="V4149" s="1"/>
      <c r="W4149" s="1"/>
      <c r="X4149" s="1"/>
      <c r="Y4149" s="1"/>
      <c r="AA4149" s="102"/>
      <c r="AB4149" s="1"/>
      <c r="AC4149" s="1"/>
      <c r="AD4149" s="1"/>
      <c r="AE4149" s="1"/>
      <c r="AF4149" s="1"/>
      <c r="AG4149" s="1"/>
    </row>
    <row r="4150" ht="15.75" customHeight="1">
      <c r="A4150" s="1"/>
      <c r="B4150" s="1"/>
      <c r="C4150" s="1"/>
      <c r="D4150" s="1"/>
      <c r="E4150" s="1"/>
      <c r="F4150" s="1"/>
      <c r="G4150" s="1"/>
      <c r="H4150" s="1"/>
      <c r="I4150" s="1"/>
      <c r="J4150" s="1"/>
      <c r="K4150" s="102" t="s">
        <v>877</v>
      </c>
      <c r="L4150" s="102" t="str">
        <f>AD456</f>
        <v>J1a2a1a2d2b2b2c4d2a2a5a1e2b1a1~</v>
      </c>
      <c r="M4150" s="102"/>
      <c r="N4150" s="102" t="s">
        <v>6741</v>
      </c>
      <c r="O4150" s="105">
        <v>2.2794814E7</v>
      </c>
      <c r="P4150" s="105">
        <v>2.0632928E7</v>
      </c>
      <c r="Q4150" s="102" t="s">
        <v>2576</v>
      </c>
      <c r="S4150" s="1"/>
      <c r="T4150" s="1"/>
      <c r="U4150" s="1"/>
      <c r="V4150" s="1"/>
      <c r="W4150" s="1"/>
      <c r="X4150" s="1"/>
      <c r="Y4150" s="1"/>
      <c r="AA4150" s="102"/>
      <c r="AB4150" s="1"/>
      <c r="AC4150" s="1"/>
      <c r="AD4150" s="1"/>
      <c r="AE4150" s="1"/>
      <c r="AF4150" s="1"/>
      <c r="AG4150" s="1"/>
    </row>
    <row r="4151" ht="15.75" customHeight="1">
      <c r="A4151" s="1"/>
      <c r="B4151" s="1"/>
      <c r="C4151" s="1"/>
      <c r="D4151" s="1"/>
      <c r="E4151" s="1"/>
      <c r="F4151" s="1"/>
      <c r="G4151" s="1"/>
      <c r="H4151" s="1"/>
      <c r="I4151" s="1"/>
      <c r="J4151" s="1"/>
      <c r="K4151" s="102" t="s">
        <v>6742</v>
      </c>
      <c r="L4151" s="102" t="str">
        <f>AE457</f>
        <v>J1a2a1a2d2b2b2c4d2a2a5a1e2b1a1a~</v>
      </c>
      <c r="M4151" s="102" t="s">
        <v>6743</v>
      </c>
      <c r="N4151" s="102"/>
      <c r="O4151" s="105">
        <v>2.8767167E7</v>
      </c>
      <c r="P4151" s="105">
        <v>2.662102E7</v>
      </c>
      <c r="Q4151" s="102" t="s">
        <v>2439</v>
      </c>
      <c r="S4151" s="1"/>
      <c r="T4151" s="1"/>
      <c r="U4151" s="1"/>
      <c r="V4151" s="1"/>
      <c r="W4151" s="1"/>
      <c r="X4151" s="1"/>
      <c r="Y4151" s="1"/>
      <c r="AA4151" s="102"/>
      <c r="AB4151" s="1"/>
      <c r="AC4151" s="1"/>
      <c r="AD4151" s="1"/>
      <c r="AE4151" s="1"/>
      <c r="AF4151" s="1"/>
      <c r="AG4151" s="1"/>
    </row>
    <row r="4152" ht="15.75" customHeight="1">
      <c r="A4152" s="1"/>
      <c r="B4152" s="1"/>
      <c r="C4152" s="1"/>
      <c r="D4152" s="1"/>
      <c r="E4152" s="1"/>
      <c r="F4152" s="1"/>
      <c r="G4152" s="1"/>
      <c r="H4152" s="1"/>
      <c r="I4152" s="1"/>
      <c r="J4152" s="1"/>
      <c r="K4152" s="102" t="s">
        <v>6743</v>
      </c>
      <c r="L4152" s="102" t="str">
        <f>AE457</f>
        <v>J1a2a1a2d2b2b2c4d2a2a5a1e2b1a1a~</v>
      </c>
      <c r="M4152" s="102" t="s">
        <v>6742</v>
      </c>
      <c r="N4152" s="102"/>
      <c r="O4152" s="105">
        <v>2.8767167E7</v>
      </c>
      <c r="P4152" s="105">
        <v>2.662102E7</v>
      </c>
      <c r="Q4152" s="102" t="s">
        <v>2439</v>
      </c>
      <c r="S4152" s="1"/>
      <c r="T4152" s="1"/>
      <c r="U4152" s="1"/>
      <c r="V4152" s="1"/>
      <c r="W4152" s="1"/>
      <c r="X4152" s="1"/>
      <c r="Y4152" s="1"/>
      <c r="AA4152" s="102"/>
      <c r="AB4152" s="1"/>
      <c r="AC4152" s="1"/>
      <c r="AD4152" s="1"/>
      <c r="AE4152" s="1"/>
      <c r="AF4152" s="1"/>
      <c r="AG4152" s="1"/>
    </row>
    <row r="4153" ht="15.75" customHeight="1">
      <c r="A4153" s="1"/>
      <c r="B4153" s="1"/>
      <c r="C4153" s="1"/>
      <c r="D4153" s="1"/>
      <c r="E4153" s="1"/>
      <c r="F4153" s="1"/>
      <c r="G4153" s="1"/>
      <c r="H4153" s="1"/>
      <c r="I4153" s="1"/>
      <c r="J4153" s="1"/>
      <c r="K4153" s="102" t="s">
        <v>6744</v>
      </c>
      <c r="L4153" s="102" t="str">
        <f>AE457</f>
        <v>J1a2a1a2d2b2b2c4d2a2a5a1e2b1a1a~</v>
      </c>
      <c r="M4153" s="102"/>
      <c r="N4153" s="102"/>
      <c r="O4153" s="105">
        <v>1.4652856E7</v>
      </c>
      <c r="P4153" s="105">
        <v>1.2540921E7</v>
      </c>
      <c r="Q4153" s="102" t="s">
        <v>2501</v>
      </c>
      <c r="S4153" s="1"/>
      <c r="T4153" s="1"/>
      <c r="U4153" s="1"/>
      <c r="V4153" s="1"/>
      <c r="W4153" s="1"/>
      <c r="X4153" s="1"/>
      <c r="Y4153" s="1"/>
      <c r="AA4153" s="102"/>
      <c r="AB4153" s="1"/>
      <c r="AC4153" s="1"/>
      <c r="AD4153" s="1"/>
      <c r="AE4153" s="1"/>
      <c r="AF4153" s="1"/>
      <c r="AG4153" s="1"/>
    </row>
    <row r="4154" ht="15.75" customHeight="1">
      <c r="A4154" s="1"/>
      <c r="B4154" s="1"/>
      <c r="C4154" s="1"/>
      <c r="D4154" s="1"/>
      <c r="E4154" s="1"/>
      <c r="F4154" s="1"/>
      <c r="G4154" s="1"/>
      <c r="H4154" s="1"/>
      <c r="I4154" s="1"/>
      <c r="J4154" s="1"/>
      <c r="K4154" s="102" t="s">
        <v>6745</v>
      </c>
      <c r="L4154" s="102" t="str">
        <f>AF458</f>
        <v>J1a2a1a2d2b2b2c4d2a2a5a1e2b1a1a1~</v>
      </c>
      <c r="M4154" s="102"/>
      <c r="N4154" s="102"/>
      <c r="O4154" s="105">
        <v>2.3609681E7</v>
      </c>
      <c r="P4154" s="105">
        <v>2.1447795E7</v>
      </c>
      <c r="Q4154" s="102" t="s">
        <v>2501</v>
      </c>
      <c r="S4154" s="1"/>
      <c r="T4154" s="1"/>
      <c r="U4154" s="1"/>
      <c r="V4154" s="1"/>
      <c r="W4154" s="1"/>
      <c r="X4154" s="1"/>
      <c r="Y4154" s="1"/>
      <c r="AA4154" s="102"/>
      <c r="AB4154" s="1"/>
      <c r="AC4154" s="1"/>
      <c r="AD4154" s="1"/>
      <c r="AE4154" s="1"/>
      <c r="AF4154" s="1"/>
      <c r="AG4154" s="1"/>
    </row>
    <row r="4155" ht="15.75" customHeight="1">
      <c r="A4155" s="1"/>
      <c r="B4155" s="1"/>
      <c r="C4155" s="1"/>
      <c r="D4155" s="1"/>
      <c r="E4155" s="1"/>
      <c r="F4155" s="1"/>
      <c r="G4155" s="1"/>
      <c r="H4155" s="1"/>
      <c r="I4155" s="1"/>
      <c r="J4155" s="1"/>
      <c r="K4155" s="106" t="s">
        <v>6746</v>
      </c>
      <c r="L4155" s="102" t="str">
        <f>AF458</f>
        <v>J1a2a1a2d2b2b2c4d2a2a5a1e2b1a1a1~</v>
      </c>
      <c r="M4155" s="102"/>
      <c r="N4155" s="102"/>
      <c r="O4155" s="104">
        <v>8203619.0</v>
      </c>
      <c r="P4155" s="104">
        <v>8335578.0</v>
      </c>
      <c r="Q4155" s="112" t="s">
        <v>2514</v>
      </c>
      <c r="S4155" s="1"/>
      <c r="T4155" s="1"/>
      <c r="U4155" s="1"/>
      <c r="V4155" s="1"/>
      <c r="W4155" s="1"/>
      <c r="X4155" s="1"/>
      <c r="Y4155" s="1"/>
      <c r="AA4155" s="102"/>
      <c r="AB4155" s="1"/>
      <c r="AC4155" s="1"/>
      <c r="AD4155" s="1"/>
      <c r="AE4155" s="1"/>
      <c r="AF4155" s="1"/>
      <c r="AG4155" s="1"/>
    </row>
    <row r="4156" ht="15.75" customHeight="1">
      <c r="A4156" s="1"/>
      <c r="B4156" s="1"/>
      <c r="C4156" s="1"/>
      <c r="D4156" s="1"/>
      <c r="E4156" s="1"/>
      <c r="F4156" s="1"/>
      <c r="G4156" s="1"/>
      <c r="H4156" s="1"/>
      <c r="I4156" s="1"/>
      <c r="J4156" s="1"/>
      <c r="K4156" s="106" t="s">
        <v>6747</v>
      </c>
      <c r="L4156" s="102" t="str">
        <f>AF458</f>
        <v>J1a2a1a2d2b2b2c4d2a2a5a1e2b1a1a1~</v>
      </c>
      <c r="M4156" s="102"/>
      <c r="N4156" s="102"/>
      <c r="O4156" s="104">
        <v>2.1332683E7</v>
      </c>
      <c r="P4156" s="104">
        <v>1.9170797E7</v>
      </c>
      <c r="Q4156" s="112" t="s">
        <v>2533</v>
      </c>
      <c r="S4156" s="1"/>
      <c r="T4156" s="1"/>
      <c r="U4156" s="1"/>
      <c r="V4156" s="1"/>
      <c r="W4156" s="1"/>
      <c r="X4156" s="1"/>
      <c r="Y4156" s="1"/>
      <c r="AA4156" s="102" t="s">
        <v>6748</v>
      </c>
      <c r="AB4156" s="1"/>
      <c r="AC4156" s="1"/>
      <c r="AD4156" s="1"/>
      <c r="AE4156" s="1"/>
      <c r="AF4156" s="1"/>
      <c r="AG4156" s="1"/>
    </row>
    <row r="4157" ht="15.75" customHeight="1">
      <c r="A4157" s="1"/>
      <c r="B4157" s="1"/>
      <c r="C4157" s="1"/>
      <c r="D4157" s="1"/>
      <c r="E4157" s="1"/>
      <c r="F4157" s="1"/>
      <c r="G4157" s="1"/>
      <c r="H4157" s="1"/>
      <c r="I4157" s="1"/>
      <c r="J4157" s="1"/>
      <c r="K4157" s="106" t="s">
        <v>6749</v>
      </c>
      <c r="L4157" s="102" t="str">
        <f>AF458</f>
        <v>J1a2a1a2d2b2b2c4d2a2a5a1e2b1a1a1~</v>
      </c>
      <c r="M4157" s="102"/>
      <c r="N4157" s="102"/>
      <c r="O4157" s="104">
        <v>2.1779341E7</v>
      </c>
      <c r="P4157" s="104">
        <v>1.9617455E7</v>
      </c>
      <c r="Q4157" s="112" t="s">
        <v>2514</v>
      </c>
      <c r="S4157" s="1"/>
      <c r="T4157" s="1"/>
      <c r="U4157" s="1"/>
      <c r="V4157" s="1"/>
      <c r="W4157" s="1"/>
      <c r="X4157" s="1"/>
      <c r="Y4157" s="1"/>
      <c r="AA4157" s="102"/>
      <c r="AB4157" s="1"/>
      <c r="AC4157" s="1"/>
      <c r="AD4157" s="1"/>
      <c r="AE4157" s="1"/>
      <c r="AF4157" s="1"/>
      <c r="AG4157" s="1"/>
    </row>
    <row r="4158" ht="15.75" customHeight="1">
      <c r="A4158" s="1"/>
      <c r="B4158" s="1"/>
      <c r="C4158" s="1"/>
      <c r="D4158" s="1"/>
      <c r="E4158" s="1"/>
      <c r="F4158" s="1"/>
      <c r="G4158" s="1"/>
      <c r="H4158" s="1"/>
      <c r="I4158" s="1"/>
      <c r="J4158" s="1"/>
      <c r="K4158" s="102" t="s">
        <v>6750</v>
      </c>
      <c r="L4158" s="102" t="str">
        <f>AF458</f>
        <v>J1a2a1a2d2b2b2c4d2a2a5a1e2b1a1a1~</v>
      </c>
      <c r="M4158" s="102"/>
      <c r="N4158" s="102"/>
      <c r="O4158" s="105">
        <v>2.3573534E7</v>
      </c>
      <c r="P4158" s="105">
        <v>2.1411648E7</v>
      </c>
      <c r="Q4158" s="102" t="s">
        <v>2468</v>
      </c>
      <c r="S4158" s="1"/>
      <c r="T4158" s="1"/>
      <c r="U4158" s="1"/>
      <c r="V4158" s="1"/>
      <c r="W4158" s="1"/>
      <c r="X4158" s="1"/>
      <c r="Y4158" s="1"/>
      <c r="AA4158" s="102"/>
      <c r="AB4158" s="1"/>
      <c r="AC4158" s="1"/>
      <c r="AD4158" s="1"/>
      <c r="AE4158" s="1"/>
      <c r="AF4158" s="1"/>
      <c r="AG4158" s="1"/>
    </row>
    <row r="4159" ht="15.75" customHeight="1">
      <c r="A4159" s="1"/>
      <c r="B4159" s="1"/>
      <c r="C4159" s="1"/>
      <c r="D4159" s="1"/>
      <c r="E4159" s="1"/>
      <c r="F4159" s="1"/>
      <c r="G4159" s="1"/>
      <c r="H4159" s="1"/>
      <c r="I4159" s="1"/>
      <c r="J4159" s="1"/>
      <c r="K4159" s="102" t="s">
        <v>6751</v>
      </c>
      <c r="L4159" s="102" t="str">
        <f t="shared" ref="L4159:L4160" si="72">AF458</f>
        <v>J1a2a1a2d2b2b2c4d2a2a5a1e2b1a1a1~</v>
      </c>
      <c r="M4159" s="102"/>
      <c r="N4159" s="102"/>
      <c r="O4159" s="105">
        <v>2.3615832E7</v>
      </c>
      <c r="P4159" s="105">
        <v>2.1453946E7</v>
      </c>
      <c r="Q4159" s="102" t="s">
        <v>2501</v>
      </c>
      <c r="S4159" s="1"/>
      <c r="T4159" s="1"/>
      <c r="U4159" s="1"/>
      <c r="V4159" s="1"/>
      <c r="W4159" s="1"/>
      <c r="X4159" s="1"/>
      <c r="Y4159" s="1"/>
      <c r="AA4159" s="102"/>
      <c r="AB4159" s="1"/>
      <c r="AC4159" s="1"/>
      <c r="AD4159" s="1"/>
      <c r="AE4159" s="1"/>
      <c r="AF4159" s="1"/>
      <c r="AG4159" s="1"/>
    </row>
    <row r="4160" ht="15.75" customHeight="1">
      <c r="A4160" s="1"/>
      <c r="B4160" s="1"/>
      <c r="C4160" s="1"/>
      <c r="D4160" s="1"/>
      <c r="E4160" s="1"/>
      <c r="F4160" s="1"/>
      <c r="G4160" s="1"/>
      <c r="H4160" s="1"/>
      <c r="I4160" s="1"/>
      <c r="J4160" s="1"/>
      <c r="K4160" s="102" t="s">
        <v>6752</v>
      </c>
      <c r="L4160" s="102" t="str">
        <f t="shared" si="72"/>
        <v>J1a2a1a2d2b2b2c4d2a2a5a1e2b1a1a2~</v>
      </c>
      <c r="M4160" s="102"/>
      <c r="N4160" s="102"/>
      <c r="O4160" s="105">
        <v>7161295.0</v>
      </c>
      <c r="P4160" s="105">
        <v>7293254.0</v>
      </c>
      <c r="Q4160" s="102" t="s">
        <v>2501</v>
      </c>
      <c r="S4160" s="1"/>
      <c r="T4160" s="1"/>
      <c r="U4160" s="1"/>
      <c r="V4160" s="1"/>
      <c r="W4160" s="1"/>
      <c r="X4160" s="1"/>
      <c r="Y4160" s="1"/>
      <c r="AA4160" s="102"/>
      <c r="AB4160" s="1"/>
      <c r="AC4160" s="1"/>
      <c r="AD4160" s="1"/>
      <c r="AE4160" s="1"/>
      <c r="AF4160" s="1"/>
      <c r="AG4160" s="1"/>
    </row>
    <row r="4161" ht="15.75" customHeight="1">
      <c r="A4161" s="1"/>
      <c r="B4161" s="1"/>
      <c r="C4161" s="1"/>
      <c r="D4161" s="1"/>
      <c r="E4161" s="1"/>
      <c r="F4161" s="1"/>
      <c r="G4161" s="1"/>
      <c r="H4161" s="1"/>
      <c r="I4161" s="1"/>
      <c r="J4161" s="1"/>
      <c r="K4161" s="102" t="s">
        <v>6753</v>
      </c>
      <c r="L4161" s="102" t="str">
        <f>AF459</f>
        <v>J1a2a1a2d2b2b2c4d2a2a5a1e2b1a1a2~</v>
      </c>
      <c r="M4161" s="102"/>
      <c r="N4161" s="102"/>
      <c r="O4161" s="105">
        <v>8900528.0</v>
      </c>
      <c r="P4161" s="105">
        <v>9032487.0</v>
      </c>
      <c r="Q4161" s="102" t="s">
        <v>2533</v>
      </c>
      <c r="S4161" s="1"/>
      <c r="T4161" s="1"/>
      <c r="U4161" s="1"/>
      <c r="V4161" s="1"/>
      <c r="W4161" s="1"/>
      <c r="X4161" s="1"/>
      <c r="Y4161" s="1"/>
      <c r="AA4161" s="102"/>
      <c r="AB4161" s="1"/>
      <c r="AC4161" s="1"/>
      <c r="AD4161" s="1"/>
      <c r="AE4161" s="1"/>
      <c r="AF4161" s="1"/>
      <c r="AG4161" s="1"/>
    </row>
    <row r="4162" ht="15.75" customHeight="1">
      <c r="A4162" s="1"/>
      <c r="B4162" s="1"/>
      <c r="C4162" s="1"/>
      <c r="D4162" s="1"/>
      <c r="E4162" s="1"/>
      <c r="F4162" s="1"/>
      <c r="G4162" s="1"/>
      <c r="H4162" s="1"/>
      <c r="I4162" s="1"/>
      <c r="J4162" s="1"/>
      <c r="K4162" s="102" t="s">
        <v>6754</v>
      </c>
      <c r="L4162" s="102" t="str">
        <f>AA460</f>
        <v>J1a2a1a2d2b2b2c4d2a2a5a1e2c~</v>
      </c>
      <c r="M4162" s="106" t="s">
        <v>6755</v>
      </c>
      <c r="N4162" s="102" t="s">
        <v>6756</v>
      </c>
      <c r="O4162" s="105">
        <v>2.3236659E7</v>
      </c>
      <c r="P4162" s="105">
        <v>2.1074773E7</v>
      </c>
      <c r="Q4162" s="102" t="s">
        <v>2439</v>
      </c>
      <c r="S4162" s="1"/>
      <c r="T4162" s="1"/>
      <c r="U4162" s="1"/>
      <c r="V4162" s="1"/>
      <c r="W4162" s="1"/>
      <c r="X4162" s="1"/>
      <c r="Y4162" s="1"/>
      <c r="AA4162" s="102"/>
      <c r="AB4162" s="1"/>
      <c r="AC4162" s="1"/>
      <c r="AD4162" s="1"/>
      <c r="AE4162" s="1"/>
      <c r="AF4162" s="1"/>
      <c r="AG4162" s="1"/>
    </row>
    <row r="4163" ht="15.75" customHeight="1">
      <c r="A4163" s="1"/>
      <c r="B4163" s="1"/>
      <c r="C4163" s="1"/>
      <c r="D4163" s="1"/>
      <c r="E4163" s="1"/>
      <c r="F4163" s="1"/>
      <c r="G4163" s="1"/>
      <c r="H4163" s="1"/>
      <c r="I4163" s="1"/>
      <c r="J4163" s="1"/>
      <c r="K4163" s="106" t="s">
        <v>6755</v>
      </c>
      <c r="L4163" s="102" t="str">
        <f>AA460</f>
        <v>J1a2a1a2d2b2b2c4d2a2a5a1e2c~</v>
      </c>
      <c r="M4163" s="102" t="s">
        <v>6754</v>
      </c>
      <c r="N4163" s="102" t="s">
        <v>6756</v>
      </c>
      <c r="O4163" s="105">
        <v>2.3236659E7</v>
      </c>
      <c r="P4163" s="105">
        <v>2.1074773E7</v>
      </c>
      <c r="Q4163" s="102" t="s">
        <v>2439</v>
      </c>
      <c r="S4163" s="1"/>
      <c r="T4163" s="1"/>
      <c r="U4163" s="1"/>
      <c r="V4163" s="1"/>
      <c r="W4163" s="1"/>
      <c r="X4163" s="1"/>
      <c r="Y4163" s="1"/>
      <c r="AA4163" s="102" t="s">
        <v>6757</v>
      </c>
      <c r="AB4163" s="1"/>
      <c r="AC4163" s="1"/>
      <c r="AD4163" s="1"/>
      <c r="AE4163" s="1"/>
      <c r="AF4163" s="1"/>
      <c r="AG4163" s="1"/>
    </row>
    <row r="4164" ht="15.75" customHeight="1">
      <c r="A4164" s="1"/>
      <c r="B4164" s="1"/>
      <c r="C4164" s="1"/>
      <c r="D4164" s="1"/>
      <c r="E4164" s="1"/>
      <c r="F4164" s="1"/>
      <c r="G4164" s="1"/>
      <c r="H4164" s="1"/>
      <c r="I4164" s="1"/>
      <c r="J4164" s="1"/>
      <c r="K4164" s="102" t="s">
        <v>887</v>
      </c>
      <c r="L4164" s="102" t="str">
        <f>AB461</f>
        <v>J1a2a1a2d2b2b2c4d2a2a5a1e2c1~</v>
      </c>
      <c r="M4164" s="102"/>
      <c r="N4164" s="102"/>
      <c r="O4164" s="105">
        <v>1.4733935E7</v>
      </c>
      <c r="P4164" s="105">
        <v>1.2622003E7</v>
      </c>
      <c r="Q4164" s="102" t="s">
        <v>2529</v>
      </c>
      <c r="S4164" s="1"/>
      <c r="T4164" s="1"/>
      <c r="U4164" s="1"/>
      <c r="V4164" s="1"/>
      <c r="W4164" s="1"/>
      <c r="X4164" s="1"/>
      <c r="Y4164" s="1"/>
      <c r="AA4164" s="102"/>
      <c r="AB4164" s="1"/>
      <c r="AC4164" s="1"/>
      <c r="AD4164" s="1"/>
      <c r="AE4164" s="1"/>
      <c r="AF4164" s="1"/>
      <c r="AG4164" s="1"/>
    </row>
    <row r="4165" ht="15.75" customHeight="1">
      <c r="A4165" s="1"/>
      <c r="B4165" s="1"/>
      <c r="C4165" s="1"/>
      <c r="D4165" s="1"/>
      <c r="E4165" s="1"/>
      <c r="F4165" s="1"/>
      <c r="G4165" s="1"/>
      <c r="H4165" s="1"/>
      <c r="I4165" s="1"/>
      <c r="J4165" s="1"/>
      <c r="K4165" s="102" t="s">
        <v>6758</v>
      </c>
      <c r="L4165" s="102" t="str">
        <f>AC462</f>
        <v>J1a2a1a2d2b2b2c4d2a2a5a1e2c1a~</v>
      </c>
      <c r="M4165" s="102"/>
      <c r="N4165" s="102"/>
      <c r="O4165" s="105">
        <v>1.4211105E7</v>
      </c>
      <c r="P4165" s="105">
        <v>1.2090399E7</v>
      </c>
      <c r="Q4165" s="102" t="s">
        <v>2501</v>
      </c>
      <c r="S4165" s="1"/>
      <c r="T4165" s="1"/>
      <c r="U4165" s="1"/>
      <c r="V4165" s="1"/>
      <c r="W4165" s="1"/>
      <c r="X4165" s="1"/>
      <c r="Y4165" s="1"/>
      <c r="AA4165" s="102"/>
      <c r="AB4165" s="1"/>
      <c r="AC4165" s="1"/>
      <c r="AD4165" s="1"/>
      <c r="AE4165" s="1"/>
      <c r="AF4165" s="1"/>
      <c r="AG4165" s="1"/>
    </row>
    <row r="4166" ht="15.75" customHeight="1">
      <c r="A4166" s="1"/>
      <c r="B4166" s="1"/>
      <c r="C4166" s="1"/>
      <c r="D4166" s="1"/>
      <c r="E4166" s="1"/>
      <c r="F4166" s="1"/>
      <c r="G4166" s="1"/>
      <c r="H4166" s="1"/>
      <c r="I4166" s="1"/>
      <c r="J4166" s="1"/>
      <c r="K4166" s="102" t="s">
        <v>6759</v>
      </c>
      <c r="L4166" s="102" t="str">
        <f>AC462</f>
        <v>J1a2a1a2d2b2b2c4d2a2a5a1e2c1a~</v>
      </c>
      <c r="M4166" s="102"/>
      <c r="N4166" s="102"/>
      <c r="O4166" s="105">
        <v>1.8662698E7</v>
      </c>
      <c r="P4166" s="105">
        <v>1.6550818E7</v>
      </c>
      <c r="Q4166" s="102" t="s">
        <v>2576</v>
      </c>
      <c r="S4166" s="1"/>
      <c r="T4166" s="1"/>
      <c r="U4166" s="1"/>
      <c r="V4166" s="1"/>
      <c r="W4166" s="1"/>
      <c r="X4166" s="1"/>
      <c r="Y4166" s="1"/>
      <c r="AA4166" s="102"/>
      <c r="AB4166" s="1"/>
      <c r="AC4166" s="1"/>
      <c r="AD4166" s="1"/>
      <c r="AE4166" s="1"/>
      <c r="AF4166" s="1"/>
      <c r="AG4166" s="1"/>
    </row>
    <row r="4167" ht="15.75" customHeight="1">
      <c r="A4167" s="1"/>
      <c r="B4167" s="1"/>
      <c r="C4167" s="1"/>
      <c r="D4167" s="1"/>
      <c r="E4167" s="1"/>
      <c r="F4167" s="1"/>
      <c r="G4167" s="1"/>
      <c r="H4167" s="1"/>
      <c r="I4167" s="1"/>
      <c r="J4167" s="1"/>
      <c r="K4167" s="102" t="s">
        <v>6760</v>
      </c>
      <c r="L4167" s="102" t="str">
        <f>AC462</f>
        <v>J1a2a1a2d2b2b2c4d2a2a5a1e2c1a~</v>
      </c>
      <c r="M4167" s="102"/>
      <c r="N4167" s="102"/>
      <c r="O4167" s="105">
        <v>2.1326488E7</v>
      </c>
      <c r="P4167" s="105">
        <v>1.9164602E7</v>
      </c>
      <c r="Q4167" s="102" t="s">
        <v>2529</v>
      </c>
      <c r="S4167" s="1"/>
      <c r="T4167" s="1"/>
      <c r="U4167" s="1"/>
      <c r="V4167" s="1"/>
      <c r="W4167" s="1"/>
      <c r="X4167" s="1"/>
      <c r="Y4167" s="1"/>
      <c r="AA4167" s="102"/>
      <c r="AB4167" s="1"/>
      <c r="AC4167" s="1"/>
      <c r="AD4167" s="1"/>
      <c r="AE4167" s="1"/>
      <c r="AF4167" s="1"/>
      <c r="AG4167" s="1"/>
    </row>
    <row r="4168" ht="15.75" customHeight="1">
      <c r="A4168" s="1"/>
      <c r="B4168" s="1"/>
      <c r="C4168" s="1"/>
      <c r="D4168" s="1"/>
      <c r="E4168" s="1"/>
      <c r="F4168" s="1"/>
      <c r="G4168" s="1"/>
      <c r="H4168" s="1"/>
      <c r="I4168" s="1"/>
      <c r="J4168" s="1"/>
      <c r="K4168" s="102" t="s">
        <v>6761</v>
      </c>
      <c r="L4168" s="102" t="str">
        <f>AB463</f>
        <v>J1a2a1a2d2b2b2c4d2a2a5a1e2c2~</v>
      </c>
      <c r="M4168" s="102" t="s">
        <v>6762</v>
      </c>
      <c r="N4168" s="102"/>
      <c r="O4168" s="105">
        <v>8141763.0</v>
      </c>
      <c r="P4168" s="105">
        <v>8273722.0</v>
      </c>
      <c r="Q4168" s="102" t="s">
        <v>2468</v>
      </c>
      <c r="S4168" s="1"/>
      <c r="T4168" s="1"/>
      <c r="U4168" s="1"/>
      <c r="V4168" s="1"/>
      <c r="W4168" s="1"/>
      <c r="X4168" s="1"/>
      <c r="Y4168" s="1"/>
      <c r="AA4168" s="102"/>
      <c r="AB4168" s="1"/>
      <c r="AC4168" s="1"/>
      <c r="AD4168" s="1"/>
      <c r="AE4168" s="1"/>
      <c r="AF4168" s="1"/>
      <c r="AG4168" s="1"/>
    </row>
    <row r="4169" ht="15.75" customHeight="1">
      <c r="A4169" s="1"/>
      <c r="B4169" s="1"/>
      <c r="C4169" s="1"/>
      <c r="D4169" s="1"/>
      <c r="E4169" s="1"/>
      <c r="F4169" s="1"/>
      <c r="G4169" s="1"/>
      <c r="H4169" s="1"/>
      <c r="I4169" s="1"/>
      <c r="J4169" s="1"/>
      <c r="K4169" s="102" t="s">
        <v>6762</v>
      </c>
      <c r="L4169" s="102" t="str">
        <f>AB463</f>
        <v>J1a2a1a2d2b2b2c4d2a2a5a1e2c2~</v>
      </c>
      <c r="M4169" s="102" t="s">
        <v>6761</v>
      </c>
      <c r="N4169" s="102"/>
      <c r="O4169" s="105">
        <v>8141763.0</v>
      </c>
      <c r="P4169" s="105">
        <v>8273722.0</v>
      </c>
      <c r="Q4169" s="102" t="s">
        <v>2468</v>
      </c>
      <c r="S4169" s="1"/>
      <c r="T4169" s="1"/>
      <c r="U4169" s="1"/>
      <c r="V4169" s="1"/>
      <c r="W4169" s="1"/>
      <c r="X4169" s="1"/>
      <c r="Y4169" s="1"/>
      <c r="AA4169" s="102"/>
      <c r="AB4169" s="1"/>
      <c r="AC4169" s="1"/>
      <c r="AD4169" s="1"/>
      <c r="AE4169" s="1"/>
      <c r="AF4169" s="1"/>
      <c r="AG4169" s="1"/>
    </row>
    <row r="4170" ht="15.75" customHeight="1">
      <c r="A4170" s="1"/>
      <c r="B4170" s="1"/>
      <c r="C4170" s="1"/>
      <c r="D4170" s="1"/>
      <c r="E4170" s="1"/>
      <c r="F4170" s="1"/>
      <c r="G4170" s="1"/>
      <c r="H4170" s="1"/>
      <c r="I4170" s="1"/>
      <c r="J4170" s="1"/>
      <c r="K4170" s="102" t="s">
        <v>6763</v>
      </c>
      <c r="L4170" s="102" t="str">
        <f>AB463</f>
        <v>J1a2a1a2d2b2b2c4d2a2a5a1e2c2~</v>
      </c>
      <c r="M4170" s="102"/>
      <c r="N4170" s="102"/>
      <c r="O4170" s="105">
        <v>1.818744E7</v>
      </c>
      <c r="P4170" s="105">
        <v>1.607556E7</v>
      </c>
      <c r="Q4170" s="102" t="s">
        <v>2439</v>
      </c>
      <c r="S4170" s="1"/>
      <c r="T4170" s="1"/>
      <c r="U4170" s="1"/>
      <c r="V4170" s="1"/>
      <c r="W4170" s="1"/>
      <c r="X4170" s="1"/>
      <c r="Y4170" s="1"/>
      <c r="AA4170" s="102"/>
      <c r="AB4170" s="1"/>
      <c r="AC4170" s="1"/>
      <c r="AD4170" s="1"/>
      <c r="AE4170" s="1"/>
      <c r="AF4170" s="1"/>
      <c r="AG4170" s="1"/>
    </row>
    <row r="4171" ht="15.75" customHeight="1">
      <c r="A4171" s="1"/>
      <c r="B4171" s="1"/>
      <c r="C4171" s="1"/>
      <c r="D4171" s="1"/>
      <c r="E4171" s="1"/>
      <c r="F4171" s="1"/>
      <c r="G4171" s="1"/>
      <c r="H4171" s="1"/>
      <c r="I4171" s="1"/>
      <c r="J4171" s="1"/>
      <c r="K4171" s="102" t="s">
        <v>6764</v>
      </c>
      <c r="L4171" s="102" t="str">
        <f>AC464</f>
        <v>J1a2a1a2d2b2b2c4d2a2a5a1e2c2a~</v>
      </c>
      <c r="M4171" s="102" t="s">
        <v>6765</v>
      </c>
      <c r="N4171" s="102"/>
      <c r="O4171" s="105">
        <v>1.8638718E7</v>
      </c>
      <c r="P4171" s="105">
        <v>1.6526838E7</v>
      </c>
      <c r="Q4171" s="102" t="s">
        <v>2439</v>
      </c>
      <c r="S4171" s="1"/>
      <c r="T4171" s="1"/>
      <c r="U4171" s="1"/>
      <c r="V4171" s="1"/>
      <c r="W4171" s="1"/>
      <c r="X4171" s="1"/>
      <c r="Y4171" s="1"/>
      <c r="AA4171" s="102"/>
      <c r="AB4171" s="1"/>
      <c r="AC4171" s="1"/>
      <c r="AD4171" s="1"/>
      <c r="AE4171" s="1"/>
      <c r="AF4171" s="1"/>
      <c r="AG4171" s="1"/>
    </row>
    <row r="4172" ht="15.75" customHeight="1">
      <c r="A4172" s="1"/>
      <c r="B4172" s="1"/>
      <c r="C4172" s="1"/>
      <c r="D4172" s="1"/>
      <c r="E4172" s="1"/>
      <c r="F4172" s="1"/>
      <c r="G4172" s="1"/>
      <c r="H4172" s="1"/>
      <c r="I4172" s="1"/>
      <c r="J4172" s="1"/>
      <c r="K4172" s="102" t="s">
        <v>6765</v>
      </c>
      <c r="L4172" s="102" t="str">
        <f>AC464</f>
        <v>J1a2a1a2d2b2b2c4d2a2a5a1e2c2a~</v>
      </c>
      <c r="M4172" s="102" t="s">
        <v>6764</v>
      </c>
      <c r="N4172" s="102"/>
      <c r="O4172" s="105">
        <v>1.8638718E7</v>
      </c>
      <c r="P4172" s="105">
        <v>1.6526838E7</v>
      </c>
      <c r="Q4172" s="102" t="s">
        <v>2439</v>
      </c>
      <c r="S4172" s="1"/>
      <c r="T4172" s="1"/>
      <c r="U4172" s="1"/>
      <c r="V4172" s="1"/>
      <c r="W4172" s="1"/>
      <c r="X4172" s="1"/>
      <c r="Y4172" s="1"/>
      <c r="AA4172" s="102"/>
      <c r="AB4172" s="1"/>
      <c r="AC4172" s="1"/>
      <c r="AD4172" s="1"/>
      <c r="AE4172" s="1"/>
      <c r="AF4172" s="1"/>
      <c r="AG4172" s="1"/>
    </row>
    <row r="4173" ht="15.75" customHeight="1">
      <c r="A4173" s="1"/>
      <c r="B4173" s="1"/>
      <c r="C4173" s="1"/>
      <c r="D4173" s="1"/>
      <c r="E4173" s="1"/>
      <c r="F4173" s="1"/>
      <c r="G4173" s="1"/>
      <c r="H4173" s="1"/>
      <c r="I4173" s="1"/>
      <c r="J4173" s="1"/>
      <c r="K4173" s="102" t="s">
        <v>6766</v>
      </c>
      <c r="L4173" s="102" t="str">
        <f>AD465</f>
        <v>J1a2a1a2d2b2b2c4d2a2a5a1e2c2a1~</v>
      </c>
      <c r="M4173" s="102" t="s">
        <v>6767</v>
      </c>
      <c r="N4173" s="102"/>
      <c r="O4173" s="105">
        <v>2.2028453E7</v>
      </c>
      <c r="P4173" s="105">
        <v>1.9866567E7</v>
      </c>
      <c r="Q4173" s="102" t="s">
        <v>2454</v>
      </c>
      <c r="S4173" s="1"/>
      <c r="T4173" s="1"/>
      <c r="U4173" s="1"/>
      <c r="V4173" s="1"/>
      <c r="W4173" s="1"/>
      <c r="X4173" s="1"/>
      <c r="Y4173" s="1"/>
      <c r="AA4173" s="102"/>
      <c r="AB4173" s="1"/>
      <c r="AC4173" s="1"/>
      <c r="AD4173" s="1"/>
      <c r="AE4173" s="1"/>
      <c r="AF4173" s="1"/>
      <c r="AG4173" s="1"/>
    </row>
    <row r="4174" ht="15.75" customHeight="1">
      <c r="A4174" s="1"/>
      <c r="B4174" s="1"/>
      <c r="C4174" s="1"/>
      <c r="D4174" s="1"/>
      <c r="E4174" s="1"/>
      <c r="F4174" s="1"/>
      <c r="G4174" s="1"/>
      <c r="H4174" s="1"/>
      <c r="I4174" s="1"/>
      <c r="J4174" s="1"/>
      <c r="K4174" s="102" t="s">
        <v>6767</v>
      </c>
      <c r="L4174" s="102" t="str">
        <f>AD465</f>
        <v>J1a2a1a2d2b2b2c4d2a2a5a1e2c2a1~</v>
      </c>
      <c r="M4174" s="102" t="s">
        <v>6766</v>
      </c>
      <c r="N4174" s="102"/>
      <c r="O4174" s="105">
        <v>2.2028453E7</v>
      </c>
      <c r="P4174" s="105">
        <v>1.9866567E7</v>
      </c>
      <c r="Q4174" s="102" t="s">
        <v>2454</v>
      </c>
      <c r="S4174" s="1"/>
      <c r="T4174" s="1"/>
      <c r="U4174" s="1"/>
      <c r="V4174" s="1"/>
      <c r="W4174" s="1"/>
      <c r="X4174" s="1"/>
      <c r="Y4174" s="1"/>
      <c r="AA4174" s="102"/>
      <c r="AB4174" s="1"/>
      <c r="AC4174" s="1"/>
      <c r="AD4174" s="1"/>
      <c r="AE4174" s="1"/>
      <c r="AF4174" s="1"/>
      <c r="AG4174" s="1"/>
    </row>
    <row r="4175" ht="15.75" customHeight="1">
      <c r="A4175" s="1"/>
      <c r="B4175" s="1"/>
      <c r="C4175" s="1"/>
      <c r="D4175" s="1"/>
      <c r="E4175" s="1"/>
      <c r="F4175" s="1"/>
      <c r="G4175" s="1"/>
      <c r="H4175" s="1"/>
      <c r="I4175" s="1"/>
      <c r="J4175" s="1"/>
      <c r="K4175" s="102" t="s">
        <v>6768</v>
      </c>
      <c r="L4175" s="102" t="str">
        <f>AE466</f>
        <v>J1a2a1a2d2b2b2c4d2a2a5a1e2c2a1a~</v>
      </c>
      <c r="M4175" s="102"/>
      <c r="N4175" s="102"/>
      <c r="O4175" s="105">
        <v>1.9128614E7</v>
      </c>
      <c r="P4175" s="105">
        <v>1.7016734E7</v>
      </c>
      <c r="Q4175" s="102" t="s">
        <v>2501</v>
      </c>
      <c r="S4175" s="1"/>
      <c r="T4175" s="1"/>
      <c r="U4175" s="1"/>
      <c r="V4175" s="1"/>
      <c r="W4175" s="1"/>
      <c r="X4175" s="1"/>
      <c r="Y4175" s="1"/>
      <c r="AA4175" s="102"/>
      <c r="AB4175" s="1"/>
      <c r="AC4175" s="1"/>
      <c r="AD4175" s="1"/>
      <c r="AE4175" s="1"/>
      <c r="AF4175" s="1"/>
      <c r="AG4175" s="1"/>
    </row>
    <row r="4176" ht="15.75" customHeight="1">
      <c r="A4176" s="1"/>
      <c r="B4176" s="1"/>
      <c r="C4176" s="1"/>
      <c r="D4176" s="1"/>
      <c r="E4176" s="1"/>
      <c r="F4176" s="1"/>
      <c r="G4176" s="1"/>
      <c r="H4176" s="1"/>
      <c r="I4176" s="1"/>
      <c r="J4176" s="1"/>
      <c r="K4176" s="102" t="s">
        <v>6769</v>
      </c>
      <c r="L4176" s="102" t="str">
        <f>AE466</f>
        <v>J1a2a1a2d2b2b2c4d2a2a5a1e2c2a1a~</v>
      </c>
      <c r="M4176" s="102"/>
      <c r="N4176" s="102"/>
      <c r="O4176" s="105">
        <v>1.9493256E7</v>
      </c>
      <c r="P4176" s="105">
        <v>1.7381376E7</v>
      </c>
      <c r="Q4176" s="102" t="s">
        <v>2439</v>
      </c>
      <c r="S4176" s="1"/>
      <c r="T4176" s="1"/>
      <c r="U4176" s="1"/>
      <c r="V4176" s="1"/>
      <c r="W4176" s="1"/>
      <c r="X4176" s="1"/>
      <c r="Y4176" s="1"/>
      <c r="AA4176" s="102"/>
      <c r="AB4176" s="1"/>
      <c r="AC4176" s="1"/>
      <c r="AD4176" s="1"/>
      <c r="AE4176" s="1"/>
      <c r="AF4176" s="1"/>
      <c r="AG4176" s="1"/>
    </row>
    <row r="4177" ht="15.75" customHeight="1">
      <c r="A4177" s="1"/>
      <c r="B4177" s="1"/>
      <c r="C4177" s="1"/>
      <c r="D4177" s="1"/>
      <c r="E4177" s="1"/>
      <c r="F4177" s="1"/>
      <c r="G4177" s="1"/>
      <c r="H4177" s="1"/>
      <c r="I4177" s="1"/>
      <c r="J4177" s="1"/>
      <c r="K4177" s="102" t="s">
        <v>6770</v>
      </c>
      <c r="L4177" s="102" t="str">
        <f>AB467</f>
        <v>J1a2a1a2d2b2b2c4d2a2a5a1e2c3~</v>
      </c>
      <c r="M4177" s="102" t="s">
        <v>6771</v>
      </c>
      <c r="N4177" s="102"/>
      <c r="O4177" s="105">
        <v>7085672.0</v>
      </c>
      <c r="P4177" s="105">
        <v>7217631.0</v>
      </c>
      <c r="Q4177" s="102" t="s">
        <v>2439</v>
      </c>
      <c r="S4177" s="1"/>
      <c r="T4177" s="1"/>
      <c r="U4177" s="1"/>
      <c r="V4177" s="1"/>
      <c r="W4177" s="1"/>
      <c r="X4177" s="1"/>
      <c r="Y4177" s="1"/>
      <c r="AA4177" s="102"/>
      <c r="AB4177" s="1"/>
      <c r="AC4177" s="1"/>
      <c r="AD4177" s="1"/>
      <c r="AE4177" s="1"/>
      <c r="AF4177" s="1"/>
      <c r="AG4177" s="1"/>
    </row>
    <row r="4178" ht="15.75" customHeight="1">
      <c r="A4178" s="1"/>
      <c r="B4178" s="1"/>
      <c r="C4178" s="1"/>
      <c r="D4178" s="1"/>
      <c r="E4178" s="1"/>
      <c r="F4178" s="1"/>
      <c r="G4178" s="1"/>
      <c r="H4178" s="1"/>
      <c r="I4178" s="1"/>
      <c r="J4178" s="1"/>
      <c r="K4178" s="102" t="s">
        <v>6771</v>
      </c>
      <c r="L4178" s="102" t="str">
        <f>AB467</f>
        <v>J1a2a1a2d2b2b2c4d2a2a5a1e2c3~</v>
      </c>
      <c r="M4178" s="102" t="s">
        <v>6770</v>
      </c>
      <c r="N4178" s="102"/>
      <c r="O4178" s="105">
        <v>7085672.0</v>
      </c>
      <c r="P4178" s="105">
        <v>7217631.0</v>
      </c>
      <c r="Q4178" s="102" t="s">
        <v>2439</v>
      </c>
      <c r="S4178" s="1"/>
      <c r="T4178" s="1"/>
      <c r="U4178" s="1"/>
      <c r="V4178" s="1"/>
      <c r="W4178" s="1"/>
      <c r="X4178" s="1"/>
      <c r="Y4178" s="1"/>
      <c r="AA4178" s="102"/>
      <c r="AB4178" s="1"/>
      <c r="AC4178" s="1"/>
      <c r="AD4178" s="1"/>
      <c r="AE4178" s="1"/>
      <c r="AF4178" s="1"/>
      <c r="AG4178" s="1"/>
    </row>
    <row r="4179" ht="15.75" customHeight="1">
      <c r="A4179" s="1"/>
      <c r="B4179" s="1"/>
      <c r="C4179" s="1"/>
      <c r="D4179" s="1"/>
      <c r="E4179" s="1"/>
      <c r="F4179" s="1"/>
      <c r="G4179" s="1"/>
      <c r="H4179" s="1"/>
      <c r="I4179" s="1"/>
      <c r="J4179" s="1"/>
      <c r="K4179" s="102" t="s">
        <v>6772</v>
      </c>
      <c r="L4179" s="102" t="str">
        <f>AB467</f>
        <v>J1a2a1a2d2b2b2c4d2a2a5a1e2c3~</v>
      </c>
      <c r="M4179" s="102" t="s">
        <v>6773</v>
      </c>
      <c r="N4179" s="102"/>
      <c r="O4179" s="105">
        <v>1.4081207E7</v>
      </c>
      <c r="P4179" s="105">
        <v>1.1960501E7</v>
      </c>
      <c r="Q4179" s="102" t="s">
        <v>2446</v>
      </c>
      <c r="S4179" s="1"/>
      <c r="T4179" s="1"/>
      <c r="U4179" s="1"/>
      <c r="V4179" s="1"/>
      <c r="W4179" s="1"/>
      <c r="X4179" s="1"/>
      <c r="Y4179" s="1"/>
      <c r="AA4179" s="102"/>
      <c r="AB4179" s="1"/>
      <c r="AC4179" s="1"/>
      <c r="AD4179" s="1"/>
      <c r="AE4179" s="1"/>
      <c r="AF4179" s="1"/>
      <c r="AG4179" s="1"/>
    </row>
    <row r="4180" ht="15.75" customHeight="1">
      <c r="A4180" s="1"/>
      <c r="B4180" s="1"/>
      <c r="C4180" s="1"/>
      <c r="D4180" s="1"/>
      <c r="E4180" s="1"/>
      <c r="F4180" s="1"/>
      <c r="G4180" s="1"/>
      <c r="H4180" s="1"/>
      <c r="I4180" s="1"/>
      <c r="J4180" s="1"/>
      <c r="K4180" s="102" t="s">
        <v>6773</v>
      </c>
      <c r="L4180" s="102" t="str">
        <f>AB467</f>
        <v>J1a2a1a2d2b2b2c4d2a2a5a1e2c3~</v>
      </c>
      <c r="M4180" s="102" t="s">
        <v>6772</v>
      </c>
      <c r="N4180" s="102"/>
      <c r="O4180" s="105">
        <v>1.4081207E7</v>
      </c>
      <c r="P4180" s="105">
        <v>1.1960501E7</v>
      </c>
      <c r="Q4180" s="102" t="s">
        <v>2446</v>
      </c>
      <c r="S4180" s="1"/>
      <c r="T4180" s="1"/>
      <c r="U4180" s="1"/>
      <c r="V4180" s="1"/>
      <c r="W4180" s="1"/>
      <c r="X4180" s="1"/>
      <c r="Y4180" s="1"/>
      <c r="AA4180" s="102"/>
      <c r="AB4180" s="1"/>
      <c r="AC4180" s="1"/>
      <c r="AD4180" s="1"/>
      <c r="AE4180" s="1"/>
      <c r="AF4180" s="1"/>
      <c r="AG4180" s="1"/>
    </row>
    <row r="4181" ht="15.75" customHeight="1">
      <c r="A4181" s="1"/>
      <c r="B4181" s="1"/>
      <c r="C4181" s="1"/>
      <c r="D4181" s="1"/>
      <c r="E4181" s="1"/>
      <c r="F4181" s="1"/>
      <c r="G4181" s="1"/>
      <c r="H4181" s="1"/>
      <c r="I4181" s="1"/>
      <c r="J4181" s="1"/>
      <c r="K4181" s="102" t="s">
        <v>6774</v>
      </c>
      <c r="L4181" s="102" t="str">
        <f>AB467</f>
        <v>J1a2a1a2d2b2b2c4d2a2a5a1e2c3~</v>
      </c>
      <c r="M4181" s="102" t="s">
        <v>6775</v>
      </c>
      <c r="N4181" s="102"/>
      <c r="O4181" s="105">
        <v>1.4743279E7</v>
      </c>
      <c r="P4181" s="105">
        <v>1.2631347E7</v>
      </c>
      <c r="Q4181" s="102" t="s">
        <v>2468</v>
      </c>
      <c r="S4181" s="1"/>
      <c r="T4181" s="1"/>
      <c r="U4181" s="1"/>
      <c r="V4181" s="1"/>
      <c r="W4181" s="1"/>
      <c r="X4181" s="1"/>
      <c r="Y4181" s="1"/>
      <c r="AA4181" s="102"/>
      <c r="AB4181" s="1"/>
      <c r="AC4181" s="1"/>
      <c r="AD4181" s="1"/>
      <c r="AE4181" s="1"/>
      <c r="AF4181" s="1"/>
      <c r="AG4181" s="1"/>
    </row>
    <row r="4182" ht="15.75" customHeight="1">
      <c r="A4182" s="1"/>
      <c r="B4182" s="1"/>
      <c r="C4182" s="1"/>
      <c r="D4182" s="1"/>
      <c r="E4182" s="1"/>
      <c r="F4182" s="1"/>
      <c r="G4182" s="1"/>
      <c r="H4182" s="1"/>
      <c r="I4182" s="1"/>
      <c r="J4182" s="1"/>
      <c r="K4182" s="102" t="s">
        <v>6775</v>
      </c>
      <c r="L4182" s="102" t="str">
        <f>AB467</f>
        <v>J1a2a1a2d2b2b2c4d2a2a5a1e2c3~</v>
      </c>
      <c r="M4182" s="102" t="s">
        <v>6774</v>
      </c>
      <c r="N4182" s="102"/>
      <c r="O4182" s="105">
        <v>1.4743279E7</v>
      </c>
      <c r="P4182" s="105">
        <v>1.2631347E7</v>
      </c>
      <c r="Q4182" s="102" t="s">
        <v>2468</v>
      </c>
      <c r="S4182" s="1"/>
      <c r="T4182" s="1"/>
      <c r="U4182" s="1"/>
      <c r="V4182" s="1"/>
      <c r="W4182" s="1"/>
      <c r="X4182" s="1"/>
      <c r="Y4182" s="1"/>
      <c r="AA4182" s="102"/>
      <c r="AB4182" s="1"/>
      <c r="AC4182" s="1"/>
      <c r="AD4182" s="1"/>
      <c r="AE4182" s="1"/>
      <c r="AF4182" s="1"/>
      <c r="AG4182" s="1"/>
    </row>
    <row r="4183" ht="15.75" customHeight="1">
      <c r="A4183" s="1"/>
      <c r="B4183" s="1"/>
      <c r="C4183" s="1"/>
      <c r="D4183" s="1"/>
      <c r="E4183" s="1"/>
      <c r="F4183" s="1"/>
      <c r="G4183" s="1"/>
      <c r="H4183" s="1"/>
      <c r="I4183" s="1"/>
      <c r="J4183" s="1"/>
      <c r="K4183" s="102" t="s">
        <v>6776</v>
      </c>
      <c r="L4183" s="102" t="str">
        <f>AB467</f>
        <v>J1a2a1a2d2b2b2c4d2a2a5a1e2c3~</v>
      </c>
      <c r="M4183" s="102" t="s">
        <v>6777</v>
      </c>
      <c r="N4183" s="102"/>
      <c r="O4183" s="105">
        <v>1.606181E7</v>
      </c>
      <c r="P4183" s="105">
        <v>1.394993E7</v>
      </c>
      <c r="Q4183" s="102" t="s">
        <v>2432</v>
      </c>
      <c r="S4183" s="1"/>
      <c r="T4183" s="1"/>
      <c r="U4183" s="1"/>
      <c r="V4183" s="1"/>
      <c r="W4183" s="1"/>
      <c r="X4183" s="1"/>
      <c r="Y4183" s="1"/>
      <c r="AA4183" s="102"/>
      <c r="AB4183" s="1"/>
      <c r="AC4183" s="1"/>
      <c r="AD4183" s="1"/>
      <c r="AE4183" s="1"/>
      <c r="AF4183" s="1"/>
      <c r="AG4183" s="1"/>
    </row>
    <row r="4184" ht="15.75" customHeight="1">
      <c r="A4184" s="1"/>
      <c r="B4184" s="1"/>
      <c r="C4184" s="1"/>
      <c r="D4184" s="1"/>
      <c r="E4184" s="1"/>
      <c r="F4184" s="1"/>
      <c r="G4184" s="1"/>
      <c r="H4184" s="1"/>
      <c r="I4184" s="1"/>
      <c r="J4184" s="1"/>
      <c r="K4184" s="102" t="s">
        <v>6777</v>
      </c>
      <c r="L4184" s="102" t="str">
        <f>AB467</f>
        <v>J1a2a1a2d2b2b2c4d2a2a5a1e2c3~</v>
      </c>
      <c r="M4184" s="102" t="s">
        <v>6776</v>
      </c>
      <c r="N4184" s="102"/>
      <c r="O4184" s="105">
        <v>1.606181E7</v>
      </c>
      <c r="P4184" s="105">
        <v>1.394993E7</v>
      </c>
      <c r="Q4184" s="102" t="s">
        <v>2432</v>
      </c>
      <c r="S4184" s="1"/>
      <c r="T4184" s="1"/>
      <c r="U4184" s="1"/>
      <c r="V4184" s="1"/>
      <c r="W4184" s="1"/>
      <c r="X4184" s="1"/>
      <c r="Y4184" s="1"/>
      <c r="AA4184" s="102"/>
      <c r="AB4184" s="1"/>
      <c r="AC4184" s="1"/>
      <c r="AD4184" s="1"/>
      <c r="AE4184" s="1"/>
      <c r="AF4184" s="1"/>
      <c r="AG4184" s="1"/>
    </row>
    <row r="4185" ht="15.75" customHeight="1">
      <c r="A4185" s="1"/>
      <c r="B4185" s="1"/>
      <c r="C4185" s="1"/>
      <c r="D4185" s="1"/>
      <c r="E4185" s="1"/>
      <c r="F4185" s="1"/>
      <c r="G4185" s="1"/>
      <c r="H4185" s="1"/>
      <c r="I4185" s="1"/>
      <c r="J4185" s="1"/>
      <c r="K4185" s="102" t="s">
        <v>6778</v>
      </c>
      <c r="L4185" s="102" t="str">
        <f>AB467</f>
        <v>J1a2a1a2d2b2b2c4d2a2a5a1e2c3~</v>
      </c>
      <c r="M4185" s="102" t="s">
        <v>6779</v>
      </c>
      <c r="N4185" s="102"/>
      <c r="O4185" s="105">
        <v>1.7207136E7</v>
      </c>
      <c r="P4185" s="105">
        <v>1.5095256E7</v>
      </c>
      <c r="Q4185" s="102" t="s">
        <v>2468</v>
      </c>
      <c r="S4185" s="1"/>
      <c r="T4185" s="1"/>
      <c r="U4185" s="1"/>
      <c r="V4185" s="1"/>
      <c r="W4185" s="1"/>
      <c r="X4185" s="1"/>
      <c r="Y4185" s="1"/>
      <c r="AA4185" s="102"/>
      <c r="AB4185" s="1"/>
      <c r="AC4185" s="1"/>
      <c r="AD4185" s="1"/>
      <c r="AE4185" s="1"/>
      <c r="AF4185" s="1"/>
      <c r="AG4185" s="1"/>
    </row>
    <row r="4186" ht="15.75" customHeight="1">
      <c r="A4186" s="1"/>
      <c r="B4186" s="1"/>
      <c r="C4186" s="1"/>
      <c r="D4186" s="1"/>
      <c r="E4186" s="1"/>
      <c r="F4186" s="1"/>
      <c r="G4186" s="1"/>
      <c r="H4186" s="1"/>
      <c r="I4186" s="1"/>
      <c r="J4186" s="1"/>
      <c r="K4186" s="102" t="s">
        <v>6779</v>
      </c>
      <c r="L4186" s="102" t="str">
        <f>AB467</f>
        <v>J1a2a1a2d2b2b2c4d2a2a5a1e2c3~</v>
      </c>
      <c r="M4186" s="102" t="s">
        <v>6778</v>
      </c>
      <c r="N4186" s="102"/>
      <c r="O4186" s="105">
        <v>1.7207136E7</v>
      </c>
      <c r="P4186" s="105">
        <v>1.5095256E7</v>
      </c>
      <c r="Q4186" s="102" t="s">
        <v>2468</v>
      </c>
      <c r="S4186" s="1"/>
      <c r="T4186" s="1"/>
      <c r="U4186" s="1"/>
      <c r="V4186" s="1"/>
      <c r="W4186" s="1"/>
      <c r="X4186" s="1"/>
      <c r="Y4186" s="1"/>
      <c r="AA4186" s="102"/>
      <c r="AB4186" s="1"/>
      <c r="AC4186" s="1"/>
      <c r="AD4186" s="1"/>
      <c r="AE4186" s="1"/>
      <c r="AF4186" s="1"/>
      <c r="AG4186" s="1"/>
    </row>
    <row r="4187" ht="15.75" customHeight="1">
      <c r="A4187" s="1"/>
      <c r="B4187" s="1"/>
      <c r="C4187" s="1"/>
      <c r="D4187" s="1"/>
      <c r="E4187" s="1"/>
      <c r="F4187" s="1"/>
      <c r="G4187" s="1"/>
      <c r="H4187" s="1"/>
      <c r="I4187" s="1"/>
      <c r="J4187" s="1"/>
      <c r="K4187" s="102" t="s">
        <v>6780</v>
      </c>
      <c r="L4187" s="102" t="str">
        <f>AB467</f>
        <v>J1a2a1a2d2b2b2c4d2a2a5a1e2c3~</v>
      </c>
      <c r="M4187" s="102" t="s">
        <v>6781</v>
      </c>
      <c r="N4187" s="102"/>
      <c r="O4187" s="105">
        <v>1.7910128E7</v>
      </c>
      <c r="P4187" s="105">
        <v>1.5798248E7</v>
      </c>
      <c r="Q4187" s="102" t="s">
        <v>2439</v>
      </c>
      <c r="S4187" s="1"/>
      <c r="T4187" s="1"/>
      <c r="U4187" s="1"/>
      <c r="V4187" s="1"/>
      <c r="W4187" s="1"/>
      <c r="X4187" s="1"/>
      <c r="Y4187" s="1"/>
      <c r="AA4187" s="102"/>
      <c r="AB4187" s="1"/>
      <c r="AC4187" s="1"/>
      <c r="AD4187" s="1"/>
      <c r="AE4187" s="1"/>
      <c r="AF4187" s="1"/>
      <c r="AG4187" s="1"/>
    </row>
    <row r="4188" ht="15.75" customHeight="1">
      <c r="A4188" s="1"/>
      <c r="B4188" s="1"/>
      <c r="C4188" s="1"/>
      <c r="D4188" s="1"/>
      <c r="E4188" s="1"/>
      <c r="F4188" s="1"/>
      <c r="G4188" s="1"/>
      <c r="H4188" s="1"/>
      <c r="I4188" s="1"/>
      <c r="J4188" s="1"/>
      <c r="K4188" s="102" t="s">
        <v>6781</v>
      </c>
      <c r="L4188" s="102" t="str">
        <f>AB467</f>
        <v>J1a2a1a2d2b2b2c4d2a2a5a1e2c3~</v>
      </c>
      <c r="M4188" s="102" t="s">
        <v>6780</v>
      </c>
      <c r="N4188" s="102"/>
      <c r="O4188" s="105">
        <v>1.7910128E7</v>
      </c>
      <c r="P4188" s="105">
        <v>1.5798248E7</v>
      </c>
      <c r="Q4188" s="102" t="s">
        <v>2439</v>
      </c>
      <c r="S4188" s="1"/>
      <c r="T4188" s="1"/>
      <c r="U4188" s="1"/>
      <c r="V4188" s="1"/>
      <c r="W4188" s="1"/>
      <c r="X4188" s="1"/>
      <c r="Y4188" s="1"/>
      <c r="AA4188" s="102"/>
      <c r="AB4188" s="1"/>
      <c r="AC4188" s="1"/>
      <c r="AD4188" s="1"/>
      <c r="AE4188" s="1"/>
      <c r="AF4188" s="1"/>
      <c r="AG4188" s="1"/>
    </row>
    <row r="4189" ht="15.75" customHeight="1">
      <c r="A4189" s="1"/>
      <c r="B4189" s="1"/>
      <c r="C4189" s="1"/>
      <c r="D4189" s="1"/>
      <c r="E4189" s="1"/>
      <c r="F4189" s="1"/>
      <c r="G4189" s="1"/>
      <c r="H4189" s="1"/>
      <c r="I4189" s="1"/>
      <c r="J4189" s="1"/>
      <c r="K4189" s="102" t="s">
        <v>6782</v>
      </c>
      <c r="L4189" s="102" t="str">
        <f>AB467</f>
        <v>J1a2a1a2d2b2b2c4d2a2a5a1e2c3~</v>
      </c>
      <c r="M4189" s="102" t="s">
        <v>6783</v>
      </c>
      <c r="N4189" s="102"/>
      <c r="O4189" s="105">
        <v>2.2013049E7</v>
      </c>
      <c r="P4189" s="105">
        <v>1.9851163E7</v>
      </c>
      <c r="Q4189" s="102" t="s">
        <v>2533</v>
      </c>
      <c r="S4189" s="1"/>
      <c r="T4189" s="1"/>
      <c r="U4189" s="1"/>
      <c r="V4189" s="1"/>
      <c r="W4189" s="1"/>
      <c r="X4189" s="1"/>
      <c r="Y4189" s="1"/>
      <c r="AA4189" s="102"/>
      <c r="AB4189" s="1"/>
      <c r="AC4189" s="1"/>
      <c r="AD4189" s="1"/>
      <c r="AE4189" s="1"/>
      <c r="AF4189" s="1"/>
      <c r="AG4189" s="1"/>
    </row>
    <row r="4190" ht="15.75" customHeight="1">
      <c r="A4190" s="1"/>
      <c r="B4190" s="1"/>
      <c r="C4190" s="1"/>
      <c r="D4190" s="1"/>
      <c r="E4190" s="1"/>
      <c r="F4190" s="1"/>
      <c r="G4190" s="1"/>
      <c r="H4190" s="1"/>
      <c r="I4190" s="1"/>
      <c r="J4190" s="1"/>
      <c r="K4190" s="102" t="s">
        <v>6783</v>
      </c>
      <c r="L4190" s="102" t="str">
        <f>AB467</f>
        <v>J1a2a1a2d2b2b2c4d2a2a5a1e2c3~</v>
      </c>
      <c r="M4190" s="102" t="s">
        <v>6782</v>
      </c>
      <c r="N4190" s="102"/>
      <c r="O4190" s="105">
        <v>2.2013049E7</v>
      </c>
      <c r="P4190" s="105">
        <v>1.9851163E7</v>
      </c>
      <c r="Q4190" s="102" t="s">
        <v>2533</v>
      </c>
      <c r="S4190" s="1"/>
      <c r="T4190" s="1"/>
      <c r="U4190" s="1"/>
      <c r="V4190" s="1"/>
      <c r="W4190" s="1"/>
      <c r="X4190" s="1"/>
      <c r="Y4190" s="1"/>
      <c r="AA4190" s="102"/>
      <c r="AB4190" s="1"/>
      <c r="AC4190" s="1"/>
      <c r="AD4190" s="1"/>
      <c r="AE4190" s="1"/>
      <c r="AF4190" s="1"/>
      <c r="AG4190" s="1"/>
    </row>
    <row r="4191" ht="15.75" customHeight="1">
      <c r="A4191" s="1"/>
      <c r="B4191" s="1"/>
      <c r="C4191" s="1"/>
      <c r="D4191" s="1"/>
      <c r="E4191" s="1"/>
      <c r="F4191" s="1"/>
      <c r="G4191" s="1"/>
      <c r="H4191" s="1"/>
      <c r="I4191" s="1"/>
      <c r="J4191" s="1"/>
      <c r="K4191" s="102" t="s">
        <v>6784</v>
      </c>
      <c r="L4191" s="102" t="str">
        <f>AB467</f>
        <v>J1a2a1a2d2b2b2c4d2a2a5a1e2c3~</v>
      </c>
      <c r="M4191" s="102" t="s">
        <v>6785</v>
      </c>
      <c r="N4191" s="102"/>
      <c r="O4191" s="105">
        <v>2.2994603E7</v>
      </c>
      <c r="P4191" s="105">
        <v>2.0832717E7</v>
      </c>
      <c r="Q4191" s="102" t="s">
        <v>2576</v>
      </c>
      <c r="S4191" s="1"/>
      <c r="T4191" s="1"/>
      <c r="U4191" s="1"/>
      <c r="V4191" s="1"/>
      <c r="W4191" s="1"/>
      <c r="X4191" s="1"/>
      <c r="Y4191" s="1"/>
      <c r="AA4191" s="102"/>
      <c r="AB4191" s="1"/>
      <c r="AC4191" s="1"/>
      <c r="AD4191" s="1"/>
      <c r="AE4191" s="1"/>
      <c r="AF4191" s="1"/>
      <c r="AG4191" s="1"/>
    </row>
    <row r="4192" ht="15.75" customHeight="1">
      <c r="A4192" s="1"/>
      <c r="B4192" s="1"/>
      <c r="C4192" s="1"/>
      <c r="D4192" s="1"/>
      <c r="E4192" s="1"/>
      <c r="F4192" s="1"/>
      <c r="G4192" s="1"/>
      <c r="H4192" s="1"/>
      <c r="I4192" s="1"/>
      <c r="J4192" s="1"/>
      <c r="K4192" s="102" t="s">
        <v>6785</v>
      </c>
      <c r="L4192" s="102" t="str">
        <f>AB467</f>
        <v>J1a2a1a2d2b2b2c4d2a2a5a1e2c3~</v>
      </c>
      <c r="M4192" s="102" t="s">
        <v>6784</v>
      </c>
      <c r="N4192" s="102"/>
      <c r="O4192" s="105">
        <v>2.2994603E7</v>
      </c>
      <c r="P4192" s="105">
        <v>2.0832717E7</v>
      </c>
      <c r="Q4192" s="102" t="s">
        <v>2576</v>
      </c>
      <c r="S4192" s="1"/>
      <c r="T4192" s="1"/>
      <c r="U4192" s="1"/>
      <c r="V4192" s="1"/>
      <c r="W4192" s="1"/>
      <c r="X4192" s="1"/>
      <c r="Y4192" s="1"/>
      <c r="AA4192" s="102"/>
      <c r="AB4192" s="1"/>
      <c r="AC4192" s="1"/>
      <c r="AD4192" s="1"/>
      <c r="AE4192" s="1"/>
      <c r="AF4192" s="1"/>
      <c r="AG4192" s="1"/>
    </row>
    <row r="4193" ht="15.75" customHeight="1">
      <c r="A4193" s="1"/>
      <c r="B4193" s="1"/>
      <c r="C4193" s="1"/>
      <c r="D4193" s="1"/>
      <c r="E4193" s="1"/>
      <c r="F4193" s="1"/>
      <c r="G4193" s="1"/>
      <c r="H4193" s="1"/>
      <c r="I4193" s="1"/>
      <c r="J4193" s="1"/>
      <c r="K4193" s="102" t="s">
        <v>6786</v>
      </c>
      <c r="L4193" s="102" t="str">
        <f>AB467</f>
        <v>J1a2a1a2d2b2b2c4d2a2a5a1e2c3~</v>
      </c>
      <c r="M4193" s="102" t="s">
        <v>6787</v>
      </c>
      <c r="N4193" s="102" t="s">
        <v>6788</v>
      </c>
      <c r="O4193" s="105">
        <v>2.308216E7</v>
      </c>
      <c r="P4193" s="105">
        <v>2.0920274E7</v>
      </c>
      <c r="Q4193" s="102" t="s">
        <v>2576</v>
      </c>
      <c r="S4193" s="1"/>
      <c r="T4193" s="1"/>
      <c r="U4193" s="1"/>
      <c r="V4193" s="1"/>
      <c r="W4193" s="1"/>
      <c r="X4193" s="1"/>
      <c r="Y4193" s="1"/>
      <c r="AA4193" s="102"/>
      <c r="AB4193" s="1"/>
      <c r="AC4193" s="1"/>
      <c r="AD4193" s="1"/>
      <c r="AE4193" s="1"/>
      <c r="AF4193" s="1"/>
      <c r="AG4193" s="1"/>
    </row>
    <row r="4194" ht="15.75" customHeight="1">
      <c r="A4194" s="1"/>
      <c r="B4194" s="1"/>
      <c r="C4194" s="1"/>
      <c r="D4194" s="1"/>
      <c r="E4194" s="1"/>
      <c r="F4194" s="1"/>
      <c r="G4194" s="1"/>
      <c r="H4194" s="1"/>
      <c r="I4194" s="1"/>
      <c r="J4194" s="1"/>
      <c r="K4194" s="102" t="s">
        <v>6787</v>
      </c>
      <c r="L4194" s="102" t="str">
        <f t="shared" ref="L4194:L4195" si="73">AB467</f>
        <v>J1a2a1a2d2b2b2c4d2a2a5a1e2c3~</v>
      </c>
      <c r="M4194" s="102" t="s">
        <v>6786</v>
      </c>
      <c r="N4194" s="102" t="s">
        <v>6788</v>
      </c>
      <c r="O4194" s="105">
        <v>2.308216E7</v>
      </c>
      <c r="P4194" s="105">
        <v>2.0920274E7</v>
      </c>
      <c r="Q4194" s="102" t="s">
        <v>2576</v>
      </c>
      <c r="S4194" s="1"/>
      <c r="T4194" s="1"/>
      <c r="U4194" s="1"/>
      <c r="V4194" s="1"/>
      <c r="W4194" s="1"/>
      <c r="X4194" s="1"/>
      <c r="Y4194" s="1"/>
      <c r="AA4194" s="102"/>
      <c r="AB4194" s="1"/>
      <c r="AC4194" s="1"/>
      <c r="AD4194" s="1"/>
      <c r="AE4194" s="1"/>
      <c r="AF4194" s="1"/>
      <c r="AG4194" s="1"/>
    </row>
    <row r="4195" ht="15.75" customHeight="1">
      <c r="A4195" s="1"/>
      <c r="B4195" s="1"/>
      <c r="C4195" s="1"/>
      <c r="D4195" s="1"/>
      <c r="E4195" s="1"/>
      <c r="F4195" s="1"/>
      <c r="G4195" s="1"/>
      <c r="H4195" s="1"/>
      <c r="I4195" s="1"/>
      <c r="J4195" s="1"/>
      <c r="K4195" s="102" t="s">
        <v>6789</v>
      </c>
      <c r="L4195" s="102" t="str">
        <f t="shared" si="73"/>
        <v>J1a2a1a2d2b2b2c4d2a2a5a1e2c4~</v>
      </c>
      <c r="M4195" s="102" t="s">
        <v>6790</v>
      </c>
      <c r="N4195" s="102" t="s">
        <v>6791</v>
      </c>
      <c r="O4195" s="105">
        <v>1.8699376E7</v>
      </c>
      <c r="P4195" s="105">
        <v>1.6587496E7</v>
      </c>
      <c r="Q4195" s="102" t="s">
        <v>2529</v>
      </c>
      <c r="S4195" s="1"/>
      <c r="T4195" s="1"/>
      <c r="U4195" s="1"/>
      <c r="V4195" s="1"/>
      <c r="W4195" s="1"/>
      <c r="X4195" s="1"/>
      <c r="Y4195" s="1"/>
      <c r="AA4195" s="102"/>
      <c r="AB4195" s="1"/>
      <c r="AC4195" s="1"/>
      <c r="AD4195" s="1"/>
      <c r="AE4195" s="1"/>
      <c r="AF4195" s="1"/>
      <c r="AG4195" s="1"/>
    </row>
    <row r="4196" ht="15.75" customHeight="1">
      <c r="A4196" s="1"/>
      <c r="B4196" s="1"/>
      <c r="C4196" s="1"/>
      <c r="D4196" s="1"/>
      <c r="E4196" s="1"/>
      <c r="F4196" s="1"/>
      <c r="G4196" s="1"/>
      <c r="H4196" s="1"/>
      <c r="I4196" s="1"/>
      <c r="J4196" s="1"/>
      <c r="K4196" s="102" t="s">
        <v>6792</v>
      </c>
      <c r="L4196" s="102" t="str">
        <f>AB468</f>
        <v>J1a2a1a2d2b2b2c4d2a2a5a1e2c4~</v>
      </c>
      <c r="M4196" s="102" t="s">
        <v>6793</v>
      </c>
      <c r="N4196" s="102" t="s">
        <v>6791</v>
      </c>
      <c r="O4196" s="105">
        <v>1.8699376E7</v>
      </c>
      <c r="P4196" s="105">
        <v>1.6587496E7</v>
      </c>
      <c r="Q4196" s="102" t="s">
        <v>2529</v>
      </c>
      <c r="S4196" s="1"/>
      <c r="T4196" s="1"/>
      <c r="U4196" s="1"/>
      <c r="V4196" s="1"/>
      <c r="W4196" s="1"/>
      <c r="X4196" s="1"/>
      <c r="Y4196" s="1"/>
      <c r="AA4196" s="102"/>
      <c r="AB4196" s="1"/>
      <c r="AC4196" s="1"/>
      <c r="AD4196" s="1"/>
      <c r="AE4196" s="1"/>
      <c r="AF4196" s="1"/>
      <c r="AG4196" s="1"/>
    </row>
    <row r="4197" ht="15.75" customHeight="1">
      <c r="A4197" s="1"/>
      <c r="B4197" s="1"/>
      <c r="C4197" s="1"/>
      <c r="D4197" s="1"/>
      <c r="E4197" s="1"/>
      <c r="F4197" s="1"/>
      <c r="G4197" s="1"/>
      <c r="H4197" s="1"/>
      <c r="I4197" s="1"/>
      <c r="J4197" s="1"/>
      <c r="K4197" s="102" t="s">
        <v>6794</v>
      </c>
      <c r="L4197" s="102" t="str">
        <f>AB468</f>
        <v>J1a2a1a2d2b2b2c4d2a2a5a1e2c4~</v>
      </c>
      <c r="M4197" s="102" t="s">
        <v>6795</v>
      </c>
      <c r="N4197" s="102" t="s">
        <v>6791</v>
      </c>
      <c r="O4197" s="105">
        <v>1.8699376E7</v>
      </c>
      <c r="P4197" s="105">
        <v>1.6587496E7</v>
      </c>
      <c r="Q4197" s="102" t="s">
        <v>2529</v>
      </c>
      <c r="S4197" s="1"/>
      <c r="T4197" s="1"/>
      <c r="U4197" s="1"/>
      <c r="V4197" s="1"/>
      <c r="W4197" s="1"/>
      <c r="X4197" s="1"/>
      <c r="Y4197" s="1"/>
      <c r="AA4197" s="102"/>
      <c r="AB4197" s="1"/>
      <c r="AC4197" s="1"/>
      <c r="AD4197" s="1"/>
      <c r="AE4197" s="1"/>
      <c r="AF4197" s="1"/>
      <c r="AG4197" s="1"/>
    </row>
    <row r="4198" ht="15.75" customHeight="1">
      <c r="A4198" s="1"/>
      <c r="B4198" s="1"/>
      <c r="C4198" s="1"/>
      <c r="D4198" s="1"/>
      <c r="E4198" s="1"/>
      <c r="F4198" s="1"/>
      <c r="G4198" s="1"/>
      <c r="H4198" s="1"/>
      <c r="I4198" s="1"/>
      <c r="J4198" s="1"/>
      <c r="K4198" s="102" t="s">
        <v>6796</v>
      </c>
      <c r="L4198" s="102" t="str">
        <f>AC469</f>
        <v>J1a2a1a2d2b2b2c4d2a2a5a1e2c4a~</v>
      </c>
      <c r="M4198" s="102" t="s">
        <v>6797</v>
      </c>
      <c r="N4198" s="102" t="s">
        <v>6798</v>
      </c>
      <c r="O4198" s="105">
        <v>1.6610308E7</v>
      </c>
      <c r="P4198" s="105">
        <v>1.4498428E7</v>
      </c>
      <c r="Q4198" s="102" t="s">
        <v>2439</v>
      </c>
      <c r="S4198" s="1"/>
      <c r="T4198" s="1"/>
      <c r="U4198" s="1"/>
      <c r="V4198" s="1"/>
      <c r="W4198" s="1"/>
      <c r="X4198" s="1"/>
      <c r="Y4198" s="1"/>
      <c r="AA4198" s="102"/>
      <c r="AB4198" s="1"/>
      <c r="AC4198" s="1"/>
      <c r="AD4198" s="1"/>
      <c r="AE4198" s="1"/>
      <c r="AF4198" s="1"/>
      <c r="AG4198" s="1"/>
    </row>
    <row r="4199" ht="15.75" customHeight="1">
      <c r="A4199" s="1"/>
      <c r="B4199" s="1"/>
      <c r="C4199" s="1"/>
      <c r="D4199" s="1"/>
      <c r="E4199" s="1"/>
      <c r="F4199" s="1"/>
      <c r="G4199" s="1"/>
      <c r="H4199" s="1"/>
      <c r="I4199" s="1"/>
      <c r="J4199" s="1"/>
      <c r="K4199" s="102" t="s">
        <v>6799</v>
      </c>
      <c r="L4199" s="102" t="str">
        <f>AC469</f>
        <v>J1a2a1a2d2b2b2c4d2a2a5a1e2c4a~</v>
      </c>
      <c r="M4199" s="102" t="s">
        <v>6800</v>
      </c>
      <c r="N4199" s="102" t="s">
        <v>6798</v>
      </c>
      <c r="O4199" s="105">
        <v>1.6610308E7</v>
      </c>
      <c r="P4199" s="105">
        <v>1.4498428E7</v>
      </c>
      <c r="Q4199" s="102" t="s">
        <v>2439</v>
      </c>
      <c r="S4199" s="1"/>
      <c r="T4199" s="1"/>
      <c r="U4199" s="1"/>
      <c r="V4199" s="1"/>
      <c r="W4199" s="1"/>
      <c r="X4199" s="1"/>
      <c r="Y4199" s="1"/>
      <c r="AA4199" s="102"/>
      <c r="AB4199" s="1"/>
      <c r="AC4199" s="1"/>
      <c r="AD4199" s="1"/>
      <c r="AE4199" s="1"/>
      <c r="AF4199" s="1"/>
      <c r="AG4199" s="1"/>
    </row>
    <row r="4200" ht="15.75" customHeight="1">
      <c r="A4200" s="1"/>
      <c r="B4200" s="1"/>
      <c r="C4200" s="1"/>
      <c r="D4200" s="1"/>
      <c r="E4200" s="1"/>
      <c r="F4200" s="1"/>
      <c r="G4200" s="1"/>
      <c r="H4200" s="1"/>
      <c r="I4200" s="1"/>
      <c r="J4200" s="1"/>
      <c r="K4200" s="102" t="s">
        <v>6801</v>
      </c>
      <c r="L4200" s="102" t="str">
        <f>AC469</f>
        <v>J1a2a1a2d2b2b2c4d2a2a5a1e2c4a~</v>
      </c>
      <c r="M4200" s="102" t="s">
        <v>6802</v>
      </c>
      <c r="N4200" s="102" t="s">
        <v>6798</v>
      </c>
      <c r="O4200" s="105">
        <v>1.6610308E7</v>
      </c>
      <c r="P4200" s="105">
        <v>1.4498428E7</v>
      </c>
      <c r="Q4200" s="102" t="s">
        <v>2439</v>
      </c>
      <c r="S4200" s="1"/>
      <c r="T4200" s="1"/>
      <c r="U4200" s="1"/>
      <c r="V4200" s="1"/>
      <c r="W4200" s="1"/>
      <c r="X4200" s="1"/>
      <c r="Y4200" s="1"/>
      <c r="AA4200" s="102"/>
      <c r="AB4200" s="1"/>
      <c r="AC4200" s="1"/>
      <c r="AD4200" s="1"/>
      <c r="AE4200" s="1"/>
      <c r="AF4200" s="1"/>
      <c r="AG4200" s="1"/>
    </row>
    <row r="4201" ht="15.75" customHeight="1">
      <c r="A4201" s="1"/>
      <c r="B4201" s="1"/>
      <c r="C4201" s="1"/>
      <c r="D4201" s="1"/>
      <c r="E4201" s="1"/>
      <c r="F4201" s="1"/>
      <c r="G4201" s="1"/>
      <c r="H4201" s="1"/>
      <c r="I4201" s="1"/>
      <c r="J4201" s="1"/>
      <c r="K4201" s="102" t="s">
        <v>6803</v>
      </c>
      <c r="L4201" s="102" t="str">
        <f>AD470</f>
        <v>J1a2a1a2d2b2b2c4d2a2a5a1e2c4a1~</v>
      </c>
      <c r="M4201" s="102" t="s">
        <v>6804</v>
      </c>
      <c r="N4201" s="102"/>
      <c r="O4201" s="105">
        <v>7260501.0</v>
      </c>
      <c r="P4201" s="105">
        <v>7392460.0</v>
      </c>
      <c r="Q4201" s="102" t="s">
        <v>2563</v>
      </c>
      <c r="S4201" s="1"/>
      <c r="T4201" s="1"/>
      <c r="U4201" s="1"/>
      <c r="V4201" s="1"/>
      <c r="W4201" s="1"/>
      <c r="X4201" s="1"/>
      <c r="Y4201" s="1"/>
      <c r="AA4201" s="102"/>
      <c r="AB4201" s="1"/>
      <c r="AC4201" s="1"/>
      <c r="AD4201" s="1"/>
      <c r="AE4201" s="1"/>
      <c r="AF4201" s="1"/>
      <c r="AG4201" s="1"/>
    </row>
    <row r="4202" ht="15.75" customHeight="1">
      <c r="A4202" s="1"/>
      <c r="B4202" s="1"/>
      <c r="C4202" s="1"/>
      <c r="D4202" s="1"/>
      <c r="E4202" s="1"/>
      <c r="F4202" s="1"/>
      <c r="G4202" s="1"/>
      <c r="H4202" s="1"/>
      <c r="I4202" s="1"/>
      <c r="J4202" s="1"/>
      <c r="K4202" s="102" t="s">
        <v>6804</v>
      </c>
      <c r="L4202" s="102" t="str">
        <f>AD470</f>
        <v>J1a2a1a2d2b2b2c4d2a2a5a1e2c4a1~</v>
      </c>
      <c r="M4202" s="102" t="s">
        <v>6803</v>
      </c>
      <c r="N4202" s="102"/>
      <c r="O4202" s="105">
        <v>7260501.0</v>
      </c>
      <c r="P4202" s="105">
        <v>7392460.0</v>
      </c>
      <c r="Q4202" s="102" t="s">
        <v>2563</v>
      </c>
      <c r="S4202" s="1"/>
      <c r="T4202" s="1"/>
      <c r="U4202" s="1"/>
      <c r="V4202" s="1"/>
      <c r="W4202" s="1"/>
      <c r="X4202" s="1"/>
      <c r="Y4202" s="1"/>
      <c r="AA4202" s="102"/>
      <c r="AB4202" s="1"/>
      <c r="AC4202" s="1"/>
      <c r="AD4202" s="1"/>
      <c r="AE4202" s="1"/>
      <c r="AF4202" s="1"/>
      <c r="AG4202" s="1"/>
    </row>
    <row r="4203" ht="15.75" customHeight="1">
      <c r="A4203" s="1"/>
      <c r="B4203" s="1"/>
      <c r="C4203" s="1"/>
      <c r="D4203" s="1"/>
      <c r="E4203" s="1"/>
      <c r="F4203" s="1"/>
      <c r="G4203" s="1"/>
      <c r="H4203" s="1"/>
      <c r="I4203" s="1"/>
      <c r="J4203" s="1"/>
      <c r="K4203" s="102" t="s">
        <v>6805</v>
      </c>
      <c r="L4203" s="102" t="str">
        <f>AE471</f>
        <v>J1a2a1a2d2b2b2c4d2a2a5a1e2c4a1a~</v>
      </c>
      <c r="M4203" s="102" t="s">
        <v>6806</v>
      </c>
      <c r="N4203" s="102"/>
      <c r="O4203" s="105">
        <v>2.3299434E7</v>
      </c>
      <c r="P4203" s="105">
        <v>2.1137548E7</v>
      </c>
      <c r="Q4203" s="102" t="s">
        <v>2514</v>
      </c>
      <c r="S4203" s="1"/>
      <c r="T4203" s="1"/>
      <c r="U4203" s="1"/>
      <c r="V4203" s="1"/>
      <c r="W4203" s="1"/>
      <c r="X4203" s="1"/>
      <c r="Y4203" s="1"/>
      <c r="AA4203" s="102"/>
      <c r="AB4203" s="1"/>
      <c r="AC4203" s="1"/>
      <c r="AD4203" s="1"/>
      <c r="AE4203" s="1"/>
      <c r="AF4203" s="1"/>
      <c r="AG4203" s="1"/>
    </row>
    <row r="4204" ht="15.75" customHeight="1">
      <c r="A4204" s="1"/>
      <c r="B4204" s="1"/>
      <c r="C4204" s="1"/>
      <c r="D4204" s="1"/>
      <c r="E4204" s="1"/>
      <c r="F4204" s="1"/>
      <c r="G4204" s="1"/>
      <c r="H4204" s="1"/>
      <c r="I4204" s="1"/>
      <c r="J4204" s="1"/>
      <c r="K4204" s="102" t="s">
        <v>6806</v>
      </c>
      <c r="L4204" s="102" t="str">
        <f>AE471</f>
        <v>J1a2a1a2d2b2b2c4d2a2a5a1e2c4a1a~</v>
      </c>
      <c r="M4204" s="102" t="s">
        <v>6805</v>
      </c>
      <c r="N4204" s="102"/>
      <c r="O4204" s="105">
        <v>2.3299434E7</v>
      </c>
      <c r="P4204" s="105">
        <v>2.1137548E7</v>
      </c>
      <c r="Q4204" s="102" t="s">
        <v>2514</v>
      </c>
      <c r="S4204" s="1"/>
      <c r="T4204" s="1"/>
      <c r="U4204" s="1"/>
      <c r="V4204" s="1"/>
      <c r="W4204" s="1"/>
      <c r="X4204" s="1"/>
      <c r="Y4204" s="1"/>
      <c r="AA4204" s="102"/>
      <c r="AB4204" s="1"/>
      <c r="AC4204" s="1"/>
      <c r="AD4204" s="1"/>
      <c r="AE4204" s="1"/>
      <c r="AF4204" s="1"/>
      <c r="AG4204" s="1"/>
    </row>
    <row r="4205" ht="15.75" customHeight="1">
      <c r="A4205" s="1"/>
      <c r="B4205" s="1"/>
      <c r="C4205" s="1"/>
      <c r="D4205" s="1"/>
      <c r="E4205" s="1"/>
      <c r="F4205" s="1"/>
      <c r="G4205" s="1"/>
      <c r="H4205" s="1"/>
      <c r="I4205" s="1"/>
      <c r="J4205" s="1"/>
      <c r="K4205" s="102" t="s">
        <v>6807</v>
      </c>
      <c r="L4205" s="102" t="str">
        <f>AD472</f>
        <v>J1a2a1a2d2b2b2c4d2a2a5a1e2c4a2~</v>
      </c>
      <c r="M4205" s="102"/>
      <c r="N4205" s="102"/>
      <c r="O4205" s="105">
        <v>7366328.0</v>
      </c>
      <c r="P4205" s="105">
        <v>7498287.0</v>
      </c>
      <c r="Q4205" s="102" t="s">
        <v>2468</v>
      </c>
      <c r="S4205" s="1"/>
      <c r="T4205" s="1"/>
      <c r="U4205" s="1"/>
      <c r="V4205" s="1"/>
      <c r="W4205" s="1"/>
      <c r="X4205" s="1"/>
      <c r="Y4205" s="1"/>
      <c r="AA4205" s="102"/>
      <c r="AB4205" s="1"/>
      <c r="AC4205" s="1"/>
      <c r="AD4205" s="1"/>
      <c r="AE4205" s="1"/>
      <c r="AF4205" s="1"/>
      <c r="AG4205" s="1"/>
    </row>
    <row r="4206" ht="15.75" customHeight="1">
      <c r="A4206" s="1"/>
      <c r="B4206" s="1"/>
      <c r="C4206" s="1"/>
      <c r="D4206" s="1"/>
      <c r="E4206" s="1"/>
      <c r="F4206" s="1"/>
      <c r="G4206" s="1"/>
      <c r="H4206" s="1"/>
      <c r="I4206" s="1"/>
      <c r="J4206" s="1"/>
      <c r="K4206" s="102" t="s">
        <v>6808</v>
      </c>
      <c r="L4206" s="102" t="str">
        <f>AD472</f>
        <v>J1a2a1a2d2b2b2c4d2a2a5a1e2c4a2~</v>
      </c>
      <c r="M4206" s="102"/>
      <c r="N4206" s="102"/>
      <c r="O4206" s="105">
        <v>1.7797333E7</v>
      </c>
      <c r="P4206" s="105">
        <v>1.5685453E7</v>
      </c>
      <c r="Q4206" s="102" t="s">
        <v>2533</v>
      </c>
      <c r="S4206" s="1"/>
      <c r="T4206" s="1"/>
      <c r="U4206" s="1"/>
      <c r="V4206" s="1"/>
      <c r="W4206" s="1"/>
      <c r="X4206" s="1"/>
      <c r="Y4206" s="1"/>
      <c r="AA4206" s="102"/>
      <c r="AB4206" s="1"/>
      <c r="AC4206" s="1"/>
      <c r="AD4206" s="1"/>
      <c r="AE4206" s="1"/>
      <c r="AF4206" s="1"/>
      <c r="AG4206" s="1"/>
    </row>
    <row r="4207" ht="15.75" customHeight="1">
      <c r="A4207" s="1"/>
      <c r="B4207" s="1"/>
      <c r="C4207" s="1"/>
      <c r="D4207" s="1"/>
      <c r="E4207" s="1"/>
      <c r="F4207" s="1"/>
      <c r="G4207" s="1"/>
      <c r="H4207" s="1"/>
      <c r="I4207" s="1"/>
      <c r="J4207" s="1"/>
      <c r="K4207" s="102" t="s">
        <v>6809</v>
      </c>
      <c r="L4207" s="102" t="str">
        <f>AE473</f>
        <v>J1a2a1a2d2b2b2c4d2a2a5a1e2c4a2a~</v>
      </c>
      <c r="M4207" s="102" t="s">
        <v>6810</v>
      </c>
      <c r="N4207" s="102"/>
      <c r="O4207" s="105">
        <v>8508586.0</v>
      </c>
      <c r="P4207" s="105">
        <v>8640545.0</v>
      </c>
      <c r="Q4207" s="102" t="s">
        <v>2529</v>
      </c>
      <c r="S4207" s="1"/>
      <c r="T4207" s="1"/>
      <c r="U4207" s="1"/>
      <c r="V4207" s="1"/>
      <c r="W4207" s="1"/>
      <c r="X4207" s="1"/>
      <c r="Y4207" s="1"/>
      <c r="AA4207" s="102"/>
      <c r="AB4207" s="1"/>
      <c r="AC4207" s="1"/>
      <c r="AD4207" s="1"/>
      <c r="AE4207" s="1"/>
      <c r="AF4207" s="1"/>
      <c r="AG4207" s="1"/>
    </row>
    <row r="4208" ht="15.75" customHeight="1">
      <c r="A4208" s="1"/>
      <c r="B4208" s="1"/>
      <c r="C4208" s="1"/>
      <c r="D4208" s="1"/>
      <c r="E4208" s="1"/>
      <c r="F4208" s="1"/>
      <c r="G4208" s="1"/>
      <c r="H4208" s="1"/>
      <c r="I4208" s="1"/>
      <c r="J4208" s="1"/>
      <c r="K4208" s="102" t="s">
        <v>6810</v>
      </c>
      <c r="L4208" s="102" t="str">
        <f>AE473</f>
        <v>J1a2a1a2d2b2b2c4d2a2a5a1e2c4a2a~</v>
      </c>
      <c r="M4208" s="102" t="s">
        <v>6809</v>
      </c>
      <c r="N4208" s="102"/>
      <c r="O4208" s="105">
        <v>8508586.0</v>
      </c>
      <c r="P4208" s="105">
        <v>8640545.0</v>
      </c>
      <c r="Q4208" s="102" t="s">
        <v>2529</v>
      </c>
      <c r="S4208" s="1"/>
      <c r="T4208" s="1"/>
      <c r="U4208" s="1"/>
      <c r="V4208" s="1"/>
      <c r="W4208" s="1"/>
      <c r="X4208" s="1"/>
      <c r="Y4208" s="1"/>
      <c r="AA4208" s="102"/>
      <c r="AB4208" s="1"/>
      <c r="AC4208" s="1"/>
      <c r="AD4208" s="1"/>
      <c r="AE4208" s="1"/>
      <c r="AF4208" s="1"/>
      <c r="AG4208" s="1"/>
    </row>
    <row r="4209" ht="15.75" customHeight="1">
      <c r="A4209" s="1"/>
      <c r="B4209" s="1"/>
      <c r="C4209" s="1"/>
      <c r="D4209" s="1"/>
      <c r="E4209" s="1"/>
      <c r="F4209" s="1"/>
      <c r="G4209" s="1"/>
      <c r="H4209" s="1"/>
      <c r="I4209" s="1"/>
      <c r="J4209" s="1"/>
      <c r="K4209" s="102" t="s">
        <v>6811</v>
      </c>
      <c r="L4209" s="102" t="str">
        <f>AE473</f>
        <v>J1a2a1a2d2b2b2c4d2a2a5a1e2c4a2a~</v>
      </c>
      <c r="M4209" s="102" t="s">
        <v>6812</v>
      </c>
      <c r="N4209" s="102"/>
      <c r="O4209" s="105">
        <v>2.216172E7</v>
      </c>
      <c r="P4209" s="105">
        <v>1.9999834E7</v>
      </c>
      <c r="Q4209" s="102" t="s">
        <v>2468</v>
      </c>
      <c r="S4209" s="1"/>
      <c r="T4209" s="1"/>
      <c r="U4209" s="1"/>
      <c r="V4209" s="1"/>
      <c r="W4209" s="1"/>
      <c r="X4209" s="1"/>
      <c r="Y4209" s="1"/>
      <c r="AA4209" s="102"/>
      <c r="AB4209" s="1"/>
      <c r="AC4209" s="1"/>
      <c r="AD4209" s="1"/>
      <c r="AE4209" s="1"/>
      <c r="AF4209" s="1"/>
      <c r="AG4209" s="1"/>
    </row>
    <row r="4210" ht="15.75" customHeight="1">
      <c r="A4210" s="1"/>
      <c r="B4210" s="1"/>
      <c r="C4210" s="1"/>
      <c r="D4210" s="1"/>
      <c r="E4210" s="1"/>
      <c r="F4210" s="1"/>
      <c r="G4210" s="1"/>
      <c r="H4210" s="1"/>
      <c r="I4210" s="1"/>
      <c r="J4210" s="1"/>
      <c r="K4210" s="102" t="s">
        <v>6812</v>
      </c>
      <c r="L4210" s="102" t="str">
        <f>AE473</f>
        <v>J1a2a1a2d2b2b2c4d2a2a5a1e2c4a2a~</v>
      </c>
      <c r="M4210" s="102" t="s">
        <v>6811</v>
      </c>
      <c r="N4210" s="102"/>
      <c r="O4210" s="105">
        <v>2.216172E7</v>
      </c>
      <c r="P4210" s="105">
        <v>1.9999834E7</v>
      </c>
      <c r="Q4210" s="102" t="s">
        <v>2468</v>
      </c>
      <c r="S4210" s="1"/>
      <c r="T4210" s="1"/>
      <c r="U4210" s="1"/>
      <c r="V4210" s="1"/>
      <c r="W4210" s="1"/>
      <c r="X4210" s="1"/>
      <c r="Y4210" s="1"/>
      <c r="AA4210" s="102"/>
      <c r="AB4210" s="1"/>
      <c r="AC4210" s="1"/>
      <c r="AD4210" s="1"/>
      <c r="AE4210" s="1"/>
      <c r="AF4210" s="1"/>
      <c r="AG4210" s="1"/>
    </row>
    <row r="4211" ht="15.75" customHeight="1">
      <c r="A4211" s="1"/>
      <c r="B4211" s="1"/>
      <c r="C4211" s="1"/>
      <c r="D4211" s="1"/>
      <c r="E4211" s="1"/>
      <c r="F4211" s="1"/>
      <c r="G4211" s="1"/>
      <c r="H4211" s="1"/>
      <c r="I4211" s="1"/>
      <c r="J4211" s="1"/>
      <c r="K4211" s="102" t="s">
        <v>913</v>
      </c>
      <c r="L4211" s="102" t="str">
        <f t="shared" ref="L4211:L4212" si="74">AF474</f>
        <v>J1a2a1a2d2b2b2c4d2a2a5a1e2c4a2a1~</v>
      </c>
      <c r="M4211" s="102"/>
      <c r="N4211" s="102"/>
      <c r="O4211" s="105">
        <v>2746877.0</v>
      </c>
      <c r="P4211" s="105">
        <v>2878836.0</v>
      </c>
      <c r="Q4211" s="102" t="s">
        <v>2423</v>
      </c>
      <c r="S4211" s="1"/>
      <c r="T4211" s="1"/>
      <c r="U4211" s="1"/>
      <c r="V4211" s="1"/>
      <c r="W4211" s="1"/>
      <c r="X4211" s="1"/>
      <c r="Y4211" s="1"/>
      <c r="AA4211" s="102"/>
      <c r="AB4211" s="1"/>
      <c r="AC4211" s="1"/>
      <c r="AD4211" s="1"/>
      <c r="AE4211" s="1"/>
      <c r="AF4211" s="1"/>
      <c r="AG4211" s="1"/>
    </row>
    <row r="4212" ht="15.75" customHeight="1">
      <c r="A4212" s="1"/>
      <c r="B4212" s="1"/>
      <c r="C4212" s="1"/>
      <c r="D4212" s="1"/>
      <c r="E4212" s="1"/>
      <c r="F4212" s="1"/>
      <c r="G4212" s="1"/>
      <c r="H4212" s="1"/>
      <c r="I4212" s="1"/>
      <c r="J4212" s="1"/>
      <c r="K4212" s="102" t="s">
        <v>6813</v>
      </c>
      <c r="L4212" s="102" t="str">
        <f t="shared" si="74"/>
        <v>J1a2a1a2d2b2b2c4d2a2a5a1e2c4a2a2~</v>
      </c>
      <c r="M4212" s="102" t="s">
        <v>6814</v>
      </c>
      <c r="N4212" s="102"/>
      <c r="O4212" s="105">
        <v>2.2211063E7</v>
      </c>
      <c r="P4212" s="105">
        <v>2.0049177E7</v>
      </c>
      <c r="Q4212" s="102" t="s">
        <v>2439</v>
      </c>
      <c r="S4212" s="1"/>
      <c r="T4212" s="1"/>
      <c r="U4212" s="1"/>
      <c r="V4212" s="1"/>
      <c r="W4212" s="1"/>
      <c r="X4212" s="1"/>
      <c r="Y4212" s="1"/>
      <c r="AA4212" s="102"/>
      <c r="AB4212" s="1"/>
      <c r="AC4212" s="1"/>
      <c r="AD4212" s="1"/>
      <c r="AE4212" s="1"/>
      <c r="AF4212" s="1"/>
      <c r="AG4212" s="1"/>
    </row>
    <row r="4213" ht="15.75" customHeight="1">
      <c r="A4213" s="1"/>
      <c r="B4213" s="1"/>
      <c r="C4213" s="1"/>
      <c r="D4213" s="1"/>
      <c r="E4213" s="1"/>
      <c r="F4213" s="1"/>
      <c r="G4213" s="1"/>
      <c r="H4213" s="1"/>
      <c r="I4213" s="1"/>
      <c r="J4213" s="1"/>
      <c r="K4213" s="102" t="s">
        <v>6814</v>
      </c>
      <c r="L4213" s="102" t="str">
        <f>AF475</f>
        <v>J1a2a1a2d2b2b2c4d2a2a5a1e2c4a2a2~</v>
      </c>
      <c r="M4213" s="102" t="s">
        <v>6813</v>
      </c>
      <c r="N4213" s="102"/>
      <c r="O4213" s="105">
        <v>2.2211063E7</v>
      </c>
      <c r="P4213" s="105">
        <v>2.0049177E7</v>
      </c>
      <c r="Q4213" s="102" t="s">
        <v>2439</v>
      </c>
      <c r="S4213" s="1"/>
      <c r="T4213" s="1"/>
      <c r="U4213" s="1"/>
      <c r="V4213" s="1"/>
      <c r="W4213" s="1"/>
      <c r="X4213" s="1"/>
      <c r="Y4213" s="1"/>
      <c r="AA4213" s="102"/>
      <c r="AB4213" s="1"/>
      <c r="AC4213" s="1"/>
      <c r="AD4213" s="1"/>
      <c r="AE4213" s="1"/>
      <c r="AF4213" s="1"/>
      <c r="AG4213" s="1"/>
    </row>
    <row r="4214" ht="15.75" customHeight="1">
      <c r="A4214" s="1"/>
      <c r="B4214" s="1"/>
      <c r="C4214" s="1"/>
      <c r="D4214" s="1"/>
      <c r="E4214" s="1"/>
      <c r="F4214" s="1"/>
      <c r="G4214" s="1"/>
      <c r="H4214" s="1"/>
      <c r="I4214" s="1"/>
      <c r="J4214" s="1"/>
      <c r="K4214" s="102" t="s">
        <v>6815</v>
      </c>
      <c r="L4214" s="102" t="str">
        <f>AF475</f>
        <v>J1a2a1a2d2b2b2c4d2a2a5a1e2c4a2a2~</v>
      </c>
      <c r="M4214" s="102" t="s">
        <v>6816</v>
      </c>
      <c r="N4214" s="102"/>
      <c r="O4214" s="105">
        <v>2.2832565E7</v>
      </c>
      <c r="P4214" s="105">
        <v>2.0670679E7</v>
      </c>
      <c r="Q4214" s="102" t="s">
        <v>2454</v>
      </c>
      <c r="S4214" s="1"/>
      <c r="T4214" s="1"/>
      <c r="U4214" s="1"/>
      <c r="V4214" s="1"/>
      <c r="W4214" s="1"/>
      <c r="X4214" s="1"/>
      <c r="Y4214" s="1"/>
      <c r="AA4214" s="102"/>
      <c r="AB4214" s="1"/>
      <c r="AC4214" s="1"/>
      <c r="AD4214" s="1"/>
      <c r="AE4214" s="1"/>
      <c r="AF4214" s="1"/>
      <c r="AG4214" s="1"/>
    </row>
    <row r="4215" ht="15.75" customHeight="1">
      <c r="A4215" s="1"/>
      <c r="B4215" s="1"/>
      <c r="C4215" s="1"/>
      <c r="D4215" s="1"/>
      <c r="E4215" s="1"/>
      <c r="F4215" s="1"/>
      <c r="G4215" s="1"/>
      <c r="H4215" s="1"/>
      <c r="I4215" s="1"/>
      <c r="J4215" s="1"/>
      <c r="K4215" s="102" t="s">
        <v>6816</v>
      </c>
      <c r="L4215" s="102" t="str">
        <f>AF475</f>
        <v>J1a2a1a2d2b2b2c4d2a2a5a1e2c4a2a2~</v>
      </c>
      <c r="M4215" s="102" t="s">
        <v>6815</v>
      </c>
      <c r="N4215" s="102"/>
      <c r="O4215" s="105">
        <v>2.2832565E7</v>
      </c>
      <c r="P4215" s="105">
        <v>2.0670679E7</v>
      </c>
      <c r="Q4215" s="102" t="s">
        <v>2454</v>
      </c>
      <c r="S4215" s="1"/>
      <c r="T4215" s="1"/>
      <c r="U4215" s="1"/>
      <c r="V4215" s="1"/>
      <c r="W4215" s="1"/>
      <c r="X4215" s="1"/>
      <c r="Y4215" s="1"/>
      <c r="AA4215" s="102"/>
      <c r="AB4215" s="1"/>
      <c r="AC4215" s="1"/>
      <c r="AD4215" s="1"/>
      <c r="AE4215" s="1"/>
      <c r="AF4215" s="1"/>
      <c r="AG4215" s="1"/>
    </row>
    <row r="4216" ht="15.75" customHeight="1">
      <c r="A4216" s="1"/>
      <c r="B4216" s="1"/>
      <c r="C4216" s="1"/>
      <c r="D4216" s="1"/>
      <c r="E4216" s="1"/>
      <c r="F4216" s="1"/>
      <c r="G4216" s="1"/>
      <c r="H4216" s="1"/>
      <c r="I4216" s="1"/>
      <c r="J4216" s="1"/>
      <c r="K4216" s="102" t="s">
        <v>6817</v>
      </c>
      <c r="L4216" s="102" t="str">
        <f>AG476</f>
        <v>J1a2a1a2d2b2b2c4d2a2a5a1e2c4a2a2a~</v>
      </c>
      <c r="M4216" s="102" t="s">
        <v>6816</v>
      </c>
      <c r="N4216" s="102"/>
      <c r="O4216" s="105">
        <v>1.8770553E7</v>
      </c>
      <c r="P4216" s="105">
        <v>1.6658673E7</v>
      </c>
      <c r="Q4216" s="102" t="s">
        <v>2439</v>
      </c>
      <c r="S4216" s="1"/>
      <c r="T4216" s="1"/>
      <c r="U4216" s="1"/>
      <c r="V4216" s="1"/>
      <c r="W4216" s="1"/>
      <c r="X4216" s="1"/>
      <c r="Y4216" s="1"/>
      <c r="AA4216" s="102"/>
      <c r="AB4216" s="1"/>
      <c r="AC4216" s="1"/>
      <c r="AD4216" s="1"/>
      <c r="AE4216" s="1"/>
      <c r="AF4216" s="1"/>
      <c r="AG4216" s="1"/>
    </row>
    <row r="4217" ht="15.75" customHeight="1">
      <c r="A4217" s="1"/>
      <c r="B4217" s="1"/>
      <c r="C4217" s="1"/>
      <c r="D4217" s="1"/>
      <c r="E4217" s="1"/>
      <c r="F4217" s="1"/>
      <c r="G4217" s="1"/>
      <c r="H4217" s="1"/>
      <c r="I4217" s="1"/>
      <c r="J4217" s="1"/>
      <c r="K4217" s="102" t="s">
        <v>6816</v>
      </c>
      <c r="L4217" s="102" t="str">
        <f>AG476</f>
        <v>J1a2a1a2d2b2b2c4d2a2a5a1e2c4a2a2a~</v>
      </c>
      <c r="M4217" s="102" t="s">
        <v>6817</v>
      </c>
      <c r="N4217" s="102"/>
      <c r="O4217" s="105">
        <v>2.2832565E7</v>
      </c>
      <c r="P4217" s="105">
        <v>2.0670679E7</v>
      </c>
      <c r="Q4217" s="102" t="s">
        <v>2454</v>
      </c>
      <c r="S4217" s="1"/>
      <c r="T4217" s="1"/>
      <c r="U4217" s="1"/>
      <c r="V4217" s="1"/>
      <c r="W4217" s="1"/>
      <c r="X4217" s="1"/>
      <c r="Y4217" s="1"/>
      <c r="AA4217" s="102"/>
      <c r="AB4217" s="1"/>
      <c r="AC4217" s="1"/>
      <c r="AD4217" s="1"/>
      <c r="AE4217" s="1"/>
      <c r="AF4217" s="1"/>
      <c r="AG4217" s="1"/>
    </row>
    <row r="4218" ht="15.75" customHeight="1">
      <c r="A4218" s="1"/>
      <c r="B4218" s="1"/>
      <c r="C4218" s="1"/>
      <c r="D4218" s="1"/>
      <c r="E4218" s="1"/>
      <c r="F4218" s="1"/>
      <c r="G4218" s="1"/>
      <c r="H4218" s="1"/>
      <c r="I4218" s="1"/>
      <c r="J4218" s="1"/>
      <c r="K4218" s="102" t="s">
        <v>920</v>
      </c>
      <c r="L4218" s="102" t="str">
        <f>AH477</f>
        <v>J1a2a1a2d2b2b2c4d2a2a5a1e2c4a2a2a1~</v>
      </c>
      <c r="M4218" s="102"/>
      <c r="N4218" s="102"/>
      <c r="O4218" s="102">
        <v>2.2168745E7</v>
      </c>
      <c r="P4218" s="102">
        <v>2.0006859E7</v>
      </c>
      <c r="Q4218" s="102" t="s">
        <v>2439</v>
      </c>
      <c r="S4218" s="1"/>
      <c r="T4218" s="1"/>
      <c r="U4218" s="1"/>
      <c r="V4218" s="1"/>
      <c r="W4218" s="1"/>
      <c r="X4218" s="1"/>
      <c r="Y4218" s="1"/>
      <c r="AA4218" s="102"/>
      <c r="AB4218" s="1"/>
      <c r="AC4218" s="1"/>
      <c r="AD4218" s="1"/>
      <c r="AE4218" s="1"/>
      <c r="AF4218" s="1"/>
      <c r="AG4218" s="1"/>
    </row>
    <row r="4219" ht="15.75" customHeight="1">
      <c r="A4219" s="1"/>
      <c r="B4219" s="1"/>
      <c r="C4219" s="1"/>
      <c r="D4219" s="1"/>
      <c r="E4219" s="1"/>
      <c r="F4219" s="1"/>
      <c r="G4219" s="1"/>
      <c r="H4219" s="1"/>
      <c r="I4219" s="1"/>
      <c r="J4219" s="1"/>
      <c r="K4219" s="102" t="s">
        <v>6818</v>
      </c>
      <c r="L4219" s="102" t="str">
        <f>AI478</f>
        <v>J1a2a1a2d2b2b2c4d2a2a5a1e2c4a2a2a1a~</v>
      </c>
      <c r="M4219" s="102"/>
      <c r="N4219" s="102"/>
      <c r="O4219" s="105">
        <v>2.123375E7</v>
      </c>
      <c r="P4219" s="105">
        <v>1.9071864E7</v>
      </c>
      <c r="Q4219" s="102" t="s">
        <v>2439</v>
      </c>
      <c r="S4219" s="1"/>
      <c r="T4219" s="1"/>
      <c r="U4219" s="1"/>
      <c r="V4219" s="1"/>
      <c r="W4219" s="1"/>
      <c r="X4219" s="1"/>
      <c r="Y4219" s="1"/>
      <c r="AA4219" s="102"/>
      <c r="AB4219" s="1"/>
      <c r="AC4219" s="1"/>
      <c r="AD4219" s="1"/>
      <c r="AE4219" s="1"/>
      <c r="AF4219" s="1"/>
      <c r="AG4219" s="1"/>
    </row>
    <row r="4220" ht="15.75" customHeight="1">
      <c r="A4220" s="1"/>
      <c r="B4220" s="1"/>
      <c r="C4220" s="1"/>
      <c r="D4220" s="1"/>
      <c r="E4220" s="1"/>
      <c r="F4220" s="1"/>
      <c r="G4220" s="1"/>
      <c r="H4220" s="1"/>
      <c r="I4220" s="1"/>
      <c r="J4220" s="1"/>
      <c r="K4220" s="102" t="s">
        <v>6819</v>
      </c>
      <c r="L4220" s="102" t="str">
        <f>AI478</f>
        <v>J1a2a1a2d2b2b2c4d2a2a5a1e2c4a2a2a1a~</v>
      </c>
      <c r="M4220" s="102"/>
      <c r="N4220" s="102"/>
      <c r="O4220" s="105">
        <v>2.3045202E7</v>
      </c>
      <c r="P4220" s="105">
        <v>2.0883316E7</v>
      </c>
      <c r="Q4220" s="102" t="s">
        <v>2446</v>
      </c>
      <c r="S4220" s="1"/>
      <c r="T4220" s="1"/>
      <c r="U4220" s="1"/>
      <c r="V4220" s="1"/>
      <c r="W4220" s="1"/>
      <c r="X4220" s="1"/>
      <c r="Y4220" s="1"/>
      <c r="AA4220" s="102"/>
      <c r="AB4220" s="1"/>
      <c r="AC4220" s="1"/>
      <c r="AD4220" s="1"/>
      <c r="AE4220" s="1"/>
      <c r="AF4220" s="1"/>
      <c r="AG4220" s="1"/>
    </row>
    <row r="4221" ht="15.75" customHeight="1">
      <c r="A4221" s="1"/>
      <c r="B4221" s="1"/>
      <c r="C4221" s="1"/>
      <c r="D4221" s="1"/>
      <c r="E4221" s="1"/>
      <c r="F4221" s="1"/>
      <c r="G4221" s="1"/>
      <c r="H4221" s="1"/>
      <c r="I4221" s="1"/>
      <c r="J4221" s="1"/>
      <c r="K4221" s="102" t="s">
        <v>6820</v>
      </c>
      <c r="L4221" s="102" t="str">
        <f>AI478</f>
        <v>J1a2a1a2d2b2b2c4d2a2a5a1e2c4a2a2a1a~</v>
      </c>
      <c r="M4221" s="102"/>
      <c r="N4221" s="102"/>
      <c r="O4221" s="105">
        <v>1.9561545E7</v>
      </c>
      <c r="P4221" s="105">
        <v>1.7449665E7</v>
      </c>
      <c r="Q4221" s="102" t="s">
        <v>2533</v>
      </c>
      <c r="S4221" s="1"/>
      <c r="T4221" s="1"/>
      <c r="U4221" s="1"/>
      <c r="V4221" s="1"/>
      <c r="W4221" s="1"/>
      <c r="X4221" s="1"/>
      <c r="Y4221" s="1"/>
      <c r="AA4221" s="102"/>
      <c r="AB4221" s="1"/>
      <c r="AC4221" s="1"/>
      <c r="AD4221" s="1"/>
      <c r="AE4221" s="1"/>
      <c r="AF4221" s="1"/>
      <c r="AG4221" s="1"/>
    </row>
    <row r="4222" ht="15.75" customHeight="1">
      <c r="A4222" s="1"/>
      <c r="B4222" s="1"/>
      <c r="C4222" s="1"/>
      <c r="D4222" s="1"/>
      <c r="E4222" s="1"/>
      <c r="F4222" s="1"/>
      <c r="G4222" s="1"/>
      <c r="H4222" s="1"/>
      <c r="I4222" s="1"/>
      <c r="J4222" s="1"/>
      <c r="K4222" s="102" t="s">
        <v>6821</v>
      </c>
      <c r="L4222" s="102" t="str">
        <f>AE479</f>
        <v>J1a2a1a2d2b2b2c4d2a2a5a1e2c4a2b~</v>
      </c>
      <c r="M4222" s="102" t="s">
        <v>6822</v>
      </c>
      <c r="N4222" s="102"/>
      <c r="O4222" s="105">
        <v>2.2242876E7</v>
      </c>
      <c r="P4222" s="105">
        <v>2.008099E7</v>
      </c>
      <c r="Q4222" s="102" t="s">
        <v>2533</v>
      </c>
      <c r="S4222" s="1"/>
      <c r="T4222" s="1"/>
      <c r="U4222" s="1"/>
      <c r="V4222" s="1"/>
      <c r="W4222" s="1"/>
      <c r="X4222" s="1"/>
      <c r="Y4222" s="1"/>
      <c r="AA4222" s="102"/>
      <c r="AB4222" s="1"/>
      <c r="AC4222" s="1"/>
      <c r="AD4222" s="1"/>
      <c r="AE4222" s="1"/>
      <c r="AF4222" s="1"/>
      <c r="AG4222" s="1"/>
    </row>
    <row r="4223" ht="15.75" customHeight="1">
      <c r="A4223" s="1"/>
      <c r="B4223" s="1"/>
      <c r="C4223" s="1"/>
      <c r="D4223" s="1"/>
      <c r="E4223" s="1"/>
      <c r="F4223" s="1"/>
      <c r="G4223" s="1"/>
      <c r="H4223" s="1"/>
      <c r="I4223" s="1"/>
      <c r="J4223" s="1"/>
      <c r="K4223" s="102" t="s">
        <v>6822</v>
      </c>
      <c r="L4223" s="102" t="str">
        <f t="shared" ref="L4223:L4225" si="75">AE479</f>
        <v>J1a2a1a2d2b2b2c4d2a2a5a1e2c4a2b~</v>
      </c>
      <c r="M4223" s="102" t="s">
        <v>6821</v>
      </c>
      <c r="N4223" s="102"/>
      <c r="O4223" s="105">
        <v>2.2242876E7</v>
      </c>
      <c r="P4223" s="105">
        <v>2.008099E7</v>
      </c>
      <c r="Q4223" s="102" t="s">
        <v>2533</v>
      </c>
      <c r="S4223" s="1"/>
      <c r="T4223" s="1"/>
      <c r="U4223" s="1"/>
      <c r="V4223" s="1"/>
      <c r="W4223" s="1"/>
      <c r="X4223" s="1"/>
      <c r="Y4223" s="1"/>
      <c r="AA4223" s="102"/>
      <c r="AB4223" s="1"/>
      <c r="AC4223" s="1"/>
      <c r="AD4223" s="1"/>
      <c r="AE4223" s="1"/>
      <c r="AF4223" s="1"/>
      <c r="AG4223" s="1"/>
    </row>
    <row r="4224" ht="15.75" customHeight="1">
      <c r="A4224" s="1"/>
      <c r="B4224" s="1"/>
      <c r="C4224" s="1"/>
      <c r="D4224" s="1"/>
      <c r="E4224" s="1"/>
      <c r="F4224" s="1"/>
      <c r="G4224" s="1"/>
      <c r="H4224" s="1"/>
      <c r="I4224" s="1"/>
      <c r="J4224" s="1"/>
      <c r="K4224" s="102" t="s">
        <v>926</v>
      </c>
      <c r="L4224" s="102" t="str">
        <f t="shared" si="75"/>
        <v>J1a2a1a2d2b2b2c4d2a2a5a1e2c4a2c~</v>
      </c>
      <c r="M4224" s="102"/>
      <c r="N4224" s="102"/>
      <c r="O4224" s="105">
        <v>1.6032528E7</v>
      </c>
      <c r="P4224" s="105">
        <v>1.3920648E7</v>
      </c>
      <c r="Q4224" s="102" t="s">
        <v>2454</v>
      </c>
      <c r="S4224" s="1"/>
      <c r="T4224" s="1"/>
      <c r="U4224" s="1"/>
      <c r="V4224" s="1"/>
      <c r="W4224" s="1"/>
      <c r="X4224" s="1"/>
      <c r="Y4224" s="1"/>
      <c r="AA4224" s="102"/>
      <c r="AB4224" s="1"/>
      <c r="AC4224" s="1"/>
      <c r="AD4224" s="1"/>
      <c r="AE4224" s="1"/>
      <c r="AF4224" s="1"/>
      <c r="AG4224" s="1"/>
    </row>
    <row r="4225" ht="15.75" customHeight="1">
      <c r="A4225" s="1"/>
      <c r="B4225" s="1"/>
      <c r="C4225" s="1"/>
      <c r="D4225" s="1"/>
      <c r="E4225" s="1"/>
      <c r="F4225" s="1"/>
      <c r="G4225" s="1"/>
      <c r="H4225" s="1"/>
      <c r="I4225" s="1"/>
      <c r="J4225" s="1"/>
      <c r="K4225" s="102" t="s">
        <v>6823</v>
      </c>
      <c r="L4225" s="102" t="str">
        <f t="shared" si="75"/>
        <v>J1a2a1a2d2b2b2c4d2a2a5a1e2c4a2d~</v>
      </c>
      <c r="M4225" s="102" t="s">
        <v>6824</v>
      </c>
      <c r="N4225" s="102"/>
      <c r="O4225" s="105">
        <v>1.8268866E7</v>
      </c>
      <c r="P4225" s="105">
        <v>1.6156986E7</v>
      </c>
      <c r="Q4225" s="102" t="s">
        <v>2468</v>
      </c>
      <c r="S4225" s="1"/>
      <c r="T4225" s="1"/>
      <c r="U4225" s="1"/>
      <c r="V4225" s="1"/>
      <c r="W4225" s="1"/>
      <c r="X4225" s="1"/>
      <c r="Y4225" s="1"/>
      <c r="AA4225" s="102"/>
      <c r="AB4225" s="1"/>
      <c r="AC4225" s="1"/>
      <c r="AD4225" s="1"/>
      <c r="AE4225" s="1"/>
      <c r="AF4225" s="1"/>
      <c r="AG4225" s="1"/>
    </row>
    <row r="4226" ht="15.75" customHeight="1">
      <c r="A4226" s="1"/>
      <c r="B4226" s="1"/>
      <c r="C4226" s="1"/>
      <c r="D4226" s="1"/>
      <c r="E4226" s="1"/>
      <c r="F4226" s="1"/>
      <c r="G4226" s="1"/>
      <c r="H4226" s="1"/>
      <c r="I4226" s="1"/>
      <c r="J4226" s="1"/>
      <c r="K4226" s="102" t="s">
        <v>6824</v>
      </c>
      <c r="L4226" s="102" t="str">
        <f>AE481</f>
        <v>J1a2a1a2d2b2b2c4d2a2a5a1e2c4a2d~</v>
      </c>
      <c r="M4226" s="102" t="s">
        <v>6823</v>
      </c>
      <c r="N4226" s="102"/>
      <c r="O4226" s="105">
        <v>1.8268866E7</v>
      </c>
      <c r="P4226" s="105">
        <v>1.6156986E7</v>
      </c>
      <c r="Q4226" s="102" t="s">
        <v>2468</v>
      </c>
      <c r="S4226" s="1"/>
      <c r="T4226" s="1"/>
      <c r="U4226" s="1"/>
      <c r="V4226" s="1"/>
      <c r="W4226" s="1"/>
      <c r="X4226" s="1"/>
      <c r="Y4226" s="1"/>
      <c r="AA4226" s="102"/>
      <c r="AB4226" s="1"/>
      <c r="AC4226" s="1"/>
      <c r="AD4226" s="1"/>
      <c r="AE4226" s="1"/>
      <c r="AF4226" s="1"/>
      <c r="AG4226" s="1"/>
    </row>
    <row r="4227" ht="15.75" customHeight="1">
      <c r="A4227" s="1"/>
      <c r="B4227" s="1"/>
      <c r="C4227" s="1"/>
      <c r="D4227" s="1"/>
      <c r="E4227" s="1"/>
      <c r="F4227" s="1"/>
      <c r="G4227" s="1"/>
      <c r="H4227" s="1"/>
      <c r="I4227" s="1"/>
      <c r="J4227" s="1"/>
      <c r="K4227" s="102" t="s">
        <v>930</v>
      </c>
      <c r="L4227" s="102" t="str">
        <f>AD482</f>
        <v>J1a2a1a2d2b2b2c4d2a2a5a1e2c4a3~</v>
      </c>
      <c r="M4227" s="102"/>
      <c r="N4227" s="102"/>
      <c r="O4227" s="105">
        <v>2697252.0</v>
      </c>
      <c r="P4227" s="105">
        <v>2829211.0</v>
      </c>
      <c r="Q4227" s="102" t="s">
        <v>2529</v>
      </c>
      <c r="S4227" s="1"/>
      <c r="T4227" s="1"/>
      <c r="U4227" s="1"/>
      <c r="V4227" s="1"/>
      <c r="W4227" s="1"/>
      <c r="X4227" s="1"/>
      <c r="Y4227" s="1"/>
      <c r="AA4227" s="102"/>
      <c r="AB4227" s="1"/>
      <c r="AC4227" s="1"/>
      <c r="AD4227" s="1"/>
      <c r="AE4227" s="1"/>
      <c r="AF4227" s="1"/>
      <c r="AG4227" s="1"/>
    </row>
    <row r="4228" ht="15.75" customHeight="1">
      <c r="A4228" s="1"/>
      <c r="B4228" s="1"/>
      <c r="C4228" s="1"/>
      <c r="D4228" s="1"/>
      <c r="E4228" s="1"/>
      <c r="F4228" s="1"/>
      <c r="G4228" s="1"/>
      <c r="H4228" s="1"/>
      <c r="I4228" s="1"/>
      <c r="J4228" s="1"/>
      <c r="K4228" s="102" t="s">
        <v>932</v>
      </c>
      <c r="L4228" s="102" t="str">
        <f>AE483</f>
        <v>J1a2a1a2d2b2b2c4d2a2a5a1e2c4a3a~</v>
      </c>
      <c r="M4228" s="102"/>
      <c r="N4228" s="102"/>
      <c r="O4228" s="105">
        <v>9102609.0</v>
      </c>
      <c r="P4228" s="105">
        <v>9265000.0</v>
      </c>
      <c r="Q4228" s="102" t="s">
        <v>2529</v>
      </c>
      <c r="S4228" s="1"/>
      <c r="T4228" s="1"/>
      <c r="U4228" s="1"/>
      <c r="V4228" s="1"/>
      <c r="W4228" s="1"/>
      <c r="X4228" s="1"/>
      <c r="Y4228" s="1"/>
      <c r="AA4228" s="102"/>
      <c r="AB4228" s="1"/>
      <c r="AC4228" s="1"/>
      <c r="AD4228" s="1"/>
      <c r="AE4228" s="1"/>
      <c r="AF4228" s="1"/>
      <c r="AG4228" s="1"/>
    </row>
    <row r="4229" ht="15.75" customHeight="1">
      <c r="A4229" s="1"/>
      <c r="B4229" s="1"/>
      <c r="C4229" s="1"/>
      <c r="D4229" s="1"/>
      <c r="E4229" s="1"/>
      <c r="F4229" s="1"/>
      <c r="G4229" s="1"/>
      <c r="H4229" s="1"/>
      <c r="I4229" s="1"/>
      <c r="J4229" s="1"/>
      <c r="K4229" s="102" t="s">
        <v>934</v>
      </c>
      <c r="L4229" s="102" t="str">
        <f>AF484</f>
        <v>J1a2a1a2d2b2b2c4d2a2a5a1e2c4a3a1~</v>
      </c>
      <c r="M4229" s="102"/>
      <c r="N4229" s="102"/>
      <c r="O4229" s="105">
        <v>9389919.0</v>
      </c>
      <c r="P4229" s="105">
        <v>9552310.0</v>
      </c>
      <c r="Q4229" s="102" t="s">
        <v>2501</v>
      </c>
      <c r="S4229" s="1"/>
      <c r="T4229" s="1"/>
      <c r="U4229" s="1"/>
      <c r="V4229" s="1"/>
      <c r="W4229" s="1"/>
      <c r="X4229" s="1"/>
      <c r="Y4229" s="1"/>
      <c r="AA4229" s="102"/>
      <c r="AB4229" s="1"/>
      <c r="AC4229" s="1"/>
      <c r="AD4229" s="1"/>
      <c r="AE4229" s="1"/>
      <c r="AF4229" s="1"/>
      <c r="AG4229" s="1"/>
    </row>
    <row r="4230" ht="15.75" customHeight="1">
      <c r="A4230" s="1"/>
      <c r="B4230" s="1"/>
      <c r="C4230" s="1"/>
      <c r="D4230" s="1"/>
      <c r="E4230" s="1"/>
      <c r="F4230" s="1"/>
      <c r="G4230" s="1"/>
      <c r="H4230" s="1"/>
      <c r="I4230" s="1"/>
      <c r="J4230" s="1"/>
      <c r="K4230" s="102" t="s">
        <v>6825</v>
      </c>
      <c r="L4230" s="102" t="str">
        <f>AG485</f>
        <v>J1a2a1a2d2b2b2c4d2a2a5a1e2c4a3a1a~</v>
      </c>
      <c r="M4230" s="102"/>
      <c r="N4230" s="102"/>
      <c r="O4230" s="105">
        <v>2.3233858E7</v>
      </c>
      <c r="P4230" s="105">
        <v>2.1071972E7</v>
      </c>
      <c r="Q4230" s="102" t="s">
        <v>2446</v>
      </c>
      <c r="S4230" s="1"/>
      <c r="T4230" s="1"/>
      <c r="U4230" s="1"/>
      <c r="V4230" s="1"/>
      <c r="W4230" s="1"/>
      <c r="X4230" s="1"/>
      <c r="Y4230" s="1"/>
      <c r="AA4230" s="102"/>
      <c r="AB4230" s="1"/>
      <c r="AC4230" s="1"/>
      <c r="AD4230" s="1"/>
      <c r="AE4230" s="1"/>
      <c r="AF4230" s="1"/>
      <c r="AG4230" s="1"/>
    </row>
    <row r="4231" ht="15.75" customHeight="1">
      <c r="A4231" s="1"/>
      <c r="B4231" s="1"/>
      <c r="C4231" s="1"/>
      <c r="D4231" s="1"/>
      <c r="E4231" s="1"/>
      <c r="F4231" s="1"/>
      <c r="G4231" s="1"/>
      <c r="H4231" s="1"/>
      <c r="I4231" s="1"/>
      <c r="J4231" s="1"/>
      <c r="K4231" s="102" t="s">
        <v>6826</v>
      </c>
      <c r="L4231" s="102" t="str">
        <f>AG485</f>
        <v>J1a2a1a2d2b2b2c4d2a2a5a1e2c4a3a1a~</v>
      </c>
      <c r="M4231" s="102"/>
      <c r="N4231" s="102"/>
      <c r="O4231" s="105">
        <v>8800103.0</v>
      </c>
      <c r="P4231" s="105">
        <v>8932062.0</v>
      </c>
      <c r="Q4231" s="102" t="s">
        <v>2576</v>
      </c>
      <c r="S4231" s="1"/>
      <c r="T4231" s="1"/>
      <c r="U4231" s="1"/>
      <c r="V4231" s="1"/>
      <c r="W4231" s="1"/>
      <c r="X4231" s="1"/>
      <c r="Y4231" s="1"/>
      <c r="AA4231" s="102"/>
      <c r="AB4231" s="1"/>
      <c r="AC4231" s="1"/>
      <c r="AD4231" s="1"/>
      <c r="AE4231" s="1"/>
      <c r="AF4231" s="1"/>
      <c r="AG4231" s="1"/>
    </row>
    <row r="4232" ht="15.75" customHeight="1">
      <c r="A4232" s="1"/>
      <c r="B4232" s="1"/>
      <c r="C4232" s="1"/>
      <c r="D4232" s="1"/>
      <c r="E4232" s="1"/>
      <c r="F4232" s="1"/>
      <c r="G4232" s="1"/>
      <c r="H4232" s="1"/>
      <c r="I4232" s="1"/>
      <c r="J4232" s="1"/>
      <c r="K4232" s="106" t="s">
        <v>6827</v>
      </c>
      <c r="L4232" s="102" t="str">
        <f>AG485</f>
        <v>J1a2a1a2d2b2b2c4d2a2a5a1e2c4a3a1a~</v>
      </c>
      <c r="M4232" s="102"/>
      <c r="N4232" s="102"/>
      <c r="O4232" s="104">
        <v>9856925.0</v>
      </c>
      <c r="P4232" s="111">
        <v>1.0019316E7</v>
      </c>
      <c r="Q4232" s="112" t="s">
        <v>2529</v>
      </c>
      <c r="S4232" s="1"/>
      <c r="T4232" s="1"/>
      <c r="U4232" s="1"/>
      <c r="V4232" s="1"/>
      <c r="W4232" s="1"/>
      <c r="X4232" s="1"/>
      <c r="Y4232" s="1"/>
      <c r="AA4232" s="102"/>
      <c r="AB4232" s="1"/>
      <c r="AC4232" s="1"/>
      <c r="AD4232" s="1"/>
      <c r="AE4232" s="1"/>
      <c r="AF4232" s="1"/>
      <c r="AG4232" s="1"/>
    </row>
    <row r="4233" ht="15.75" customHeight="1">
      <c r="A4233" s="1"/>
      <c r="B4233" s="1"/>
      <c r="C4233" s="1"/>
      <c r="D4233" s="1"/>
      <c r="E4233" s="1"/>
      <c r="F4233" s="1"/>
      <c r="G4233" s="1"/>
      <c r="H4233" s="1"/>
      <c r="I4233" s="1"/>
      <c r="J4233" s="1"/>
      <c r="K4233" s="102" t="s">
        <v>6828</v>
      </c>
      <c r="L4233" s="102" t="str">
        <f>AG485</f>
        <v>J1a2a1a2d2b2b2c4d2a2a5a1e2c4a3a1a~</v>
      </c>
      <c r="M4233" s="102"/>
      <c r="N4233" s="102"/>
      <c r="O4233" s="105">
        <v>1.4489214E7</v>
      </c>
      <c r="P4233" s="105">
        <v>1.2368483E7</v>
      </c>
      <c r="Q4233" s="102" t="s">
        <v>2439</v>
      </c>
      <c r="S4233" s="1"/>
      <c r="T4233" s="1"/>
      <c r="U4233" s="1"/>
      <c r="V4233" s="1"/>
      <c r="W4233" s="1"/>
      <c r="X4233" s="1"/>
      <c r="Y4233" s="1"/>
      <c r="AA4233" s="102"/>
      <c r="AB4233" s="1"/>
      <c r="AC4233" s="1"/>
      <c r="AD4233" s="1"/>
      <c r="AE4233" s="1"/>
      <c r="AF4233" s="1"/>
      <c r="AG4233" s="1"/>
    </row>
    <row r="4234" ht="15.75" customHeight="1">
      <c r="A4234" s="1"/>
      <c r="B4234" s="1"/>
      <c r="C4234" s="1"/>
      <c r="D4234" s="1"/>
      <c r="E4234" s="1"/>
      <c r="F4234" s="1"/>
      <c r="G4234" s="1"/>
      <c r="H4234" s="1"/>
      <c r="I4234" s="1"/>
      <c r="J4234" s="1"/>
      <c r="K4234" s="102" t="s">
        <v>6829</v>
      </c>
      <c r="L4234" s="102" t="str">
        <f>AG485</f>
        <v>J1a2a1a2d2b2b2c4d2a2a5a1e2c4a3a1a~</v>
      </c>
      <c r="M4234" s="102"/>
      <c r="N4234" s="102"/>
      <c r="O4234" s="105">
        <v>2.2074186E7</v>
      </c>
      <c r="P4234" s="105">
        <v>1.99123E7</v>
      </c>
      <c r="Q4234" s="102" t="s">
        <v>2529</v>
      </c>
      <c r="S4234" s="1"/>
      <c r="T4234" s="1"/>
      <c r="U4234" s="1"/>
      <c r="V4234" s="1"/>
      <c r="W4234" s="1"/>
      <c r="X4234" s="1"/>
      <c r="Y4234" s="1"/>
      <c r="AA4234" s="102"/>
      <c r="AB4234" s="1"/>
      <c r="AC4234" s="1"/>
      <c r="AD4234" s="1"/>
      <c r="AE4234" s="1"/>
      <c r="AF4234" s="1"/>
      <c r="AG4234" s="1"/>
    </row>
    <row r="4235" ht="15.75" customHeight="1">
      <c r="A4235" s="1"/>
      <c r="B4235" s="1"/>
      <c r="C4235" s="1"/>
      <c r="D4235" s="1"/>
      <c r="E4235" s="1"/>
      <c r="F4235" s="1"/>
      <c r="G4235" s="1"/>
      <c r="H4235" s="1"/>
      <c r="I4235" s="1"/>
      <c r="J4235" s="1"/>
      <c r="K4235" s="102" t="s">
        <v>6830</v>
      </c>
      <c r="L4235" s="102" t="str">
        <f>AG485</f>
        <v>J1a2a1a2d2b2b2c4d2a2a5a1e2c4a3a1a~</v>
      </c>
      <c r="M4235" s="102"/>
      <c r="N4235" s="102"/>
      <c r="O4235" s="105">
        <v>2.3258609E7</v>
      </c>
      <c r="P4235" s="105">
        <v>2.1096723E7</v>
      </c>
      <c r="Q4235" s="102" t="s">
        <v>2446</v>
      </c>
      <c r="S4235" s="1"/>
      <c r="T4235" s="1"/>
      <c r="U4235" s="1"/>
      <c r="V4235" s="1"/>
      <c r="W4235" s="1"/>
      <c r="X4235" s="1"/>
      <c r="Y4235" s="1"/>
      <c r="AA4235" s="102"/>
      <c r="AB4235" s="1"/>
      <c r="AC4235" s="1"/>
      <c r="AD4235" s="1"/>
      <c r="AE4235" s="1"/>
      <c r="AF4235" s="1"/>
      <c r="AG4235" s="1"/>
    </row>
    <row r="4236" ht="15.75" customHeight="1">
      <c r="A4236" s="1"/>
      <c r="B4236" s="1"/>
      <c r="C4236" s="1"/>
      <c r="D4236" s="1"/>
      <c r="E4236" s="1"/>
      <c r="F4236" s="1"/>
      <c r="G4236" s="1"/>
      <c r="H4236" s="1"/>
      <c r="I4236" s="1"/>
      <c r="J4236" s="1"/>
      <c r="K4236" s="102" t="s">
        <v>6826</v>
      </c>
      <c r="L4236" s="102" t="str">
        <f t="shared" ref="L4236:L4237" si="76">AE486</f>
        <v>J1a2a1a2d2b2b2c4d2a2a5a1e2c4a3b~</v>
      </c>
      <c r="M4236" s="102"/>
      <c r="N4236" s="102"/>
      <c r="O4236" s="105">
        <v>8800103.0</v>
      </c>
      <c r="P4236" s="105">
        <v>8932062.0</v>
      </c>
      <c r="Q4236" s="102" t="s">
        <v>2576</v>
      </c>
      <c r="S4236" s="1"/>
      <c r="T4236" s="1"/>
      <c r="U4236" s="1"/>
      <c r="V4236" s="1"/>
      <c r="W4236" s="1"/>
      <c r="X4236" s="1"/>
      <c r="Y4236" s="1"/>
      <c r="AA4236" s="102"/>
      <c r="AB4236" s="1"/>
      <c r="AC4236" s="1"/>
      <c r="AD4236" s="1"/>
      <c r="AE4236" s="1"/>
      <c r="AF4236" s="1"/>
      <c r="AG4236" s="1"/>
    </row>
    <row r="4237" ht="15.75" customHeight="1">
      <c r="A4237" s="1"/>
      <c r="B4237" s="1"/>
      <c r="C4237" s="1"/>
      <c r="D4237" s="1"/>
      <c r="E4237" s="1"/>
      <c r="F4237" s="1"/>
      <c r="G4237" s="1"/>
      <c r="H4237" s="1"/>
      <c r="I4237" s="1"/>
      <c r="J4237" s="1"/>
      <c r="K4237" s="102" t="s">
        <v>6831</v>
      </c>
      <c r="L4237" s="102" t="str">
        <f t="shared" si="76"/>
        <v>J1a2a1a2d2b2b2c4d2a2a5a1e2c4a3c~</v>
      </c>
      <c r="M4237" s="102"/>
      <c r="N4237" s="102"/>
      <c r="O4237" s="105">
        <v>1.6245067E7</v>
      </c>
      <c r="P4237" s="105">
        <v>1.4133187E7</v>
      </c>
      <c r="Q4237" s="102" t="s">
        <v>2576</v>
      </c>
      <c r="S4237" s="1"/>
      <c r="T4237" s="1"/>
      <c r="U4237" s="1"/>
      <c r="V4237" s="1"/>
      <c r="W4237" s="1"/>
      <c r="X4237" s="1"/>
      <c r="Y4237" s="1"/>
      <c r="AA4237" s="102"/>
      <c r="AB4237" s="1"/>
      <c r="AC4237" s="1"/>
      <c r="AD4237" s="1"/>
      <c r="AE4237" s="1"/>
      <c r="AF4237" s="1"/>
      <c r="AG4237" s="1"/>
    </row>
    <row r="4238" ht="15.75" customHeight="1">
      <c r="A4238" s="1"/>
      <c r="B4238" s="1"/>
      <c r="C4238" s="1"/>
      <c r="D4238" s="1"/>
      <c r="E4238" s="1"/>
      <c r="F4238" s="1"/>
      <c r="G4238" s="1"/>
      <c r="H4238" s="1"/>
      <c r="I4238" s="1"/>
      <c r="J4238" s="1"/>
      <c r="K4238" s="102" t="s">
        <v>6832</v>
      </c>
      <c r="L4238" s="102" t="str">
        <f>AE487</f>
        <v>J1a2a1a2d2b2b2c4d2a2a5a1e2c4a3c~</v>
      </c>
      <c r="M4238" s="102"/>
      <c r="N4238" s="102"/>
      <c r="O4238" s="105">
        <v>1.7229037E7</v>
      </c>
      <c r="P4238" s="105">
        <v>1.5117157E7</v>
      </c>
      <c r="Q4238" s="102" t="s">
        <v>2468</v>
      </c>
      <c r="S4238" s="1"/>
      <c r="T4238" s="1"/>
      <c r="U4238" s="1"/>
      <c r="V4238" s="1"/>
      <c r="W4238" s="1"/>
      <c r="X4238" s="1"/>
      <c r="Y4238" s="1"/>
      <c r="AA4238" s="102"/>
      <c r="AB4238" s="1"/>
      <c r="AC4238" s="1"/>
      <c r="AD4238" s="1"/>
      <c r="AE4238" s="1"/>
      <c r="AF4238" s="1"/>
      <c r="AG4238" s="1"/>
    </row>
    <row r="4239" ht="15.75" customHeight="1">
      <c r="A4239" s="1"/>
      <c r="B4239" s="1"/>
      <c r="C4239" s="1"/>
      <c r="D4239" s="1"/>
      <c r="E4239" s="1"/>
      <c r="F4239" s="1"/>
      <c r="G4239" s="1"/>
      <c r="H4239" s="1"/>
      <c r="I4239" s="1"/>
      <c r="J4239" s="1"/>
      <c r="K4239" s="102" t="s">
        <v>6833</v>
      </c>
      <c r="L4239" s="102" t="str">
        <f>AE487</f>
        <v>J1a2a1a2d2b2b2c4d2a2a5a1e2c4a3c~</v>
      </c>
      <c r="M4239" s="102"/>
      <c r="N4239" s="102"/>
      <c r="O4239" s="105">
        <v>1.8424833E7</v>
      </c>
      <c r="P4239" s="105">
        <v>1.6312953E7</v>
      </c>
      <c r="Q4239" s="102" t="s">
        <v>2514</v>
      </c>
      <c r="S4239" s="1"/>
      <c r="T4239" s="1"/>
      <c r="U4239" s="1"/>
      <c r="V4239" s="1"/>
      <c r="W4239" s="1"/>
      <c r="X4239" s="1"/>
      <c r="Y4239" s="1"/>
      <c r="AA4239" s="102"/>
      <c r="AB4239" s="1"/>
      <c r="AC4239" s="1"/>
      <c r="AD4239" s="1"/>
      <c r="AE4239" s="1"/>
      <c r="AF4239" s="1"/>
      <c r="AG4239" s="1"/>
    </row>
    <row r="4240" ht="15.75" customHeight="1">
      <c r="A4240" s="1"/>
      <c r="B4240" s="1"/>
      <c r="C4240" s="1"/>
      <c r="D4240" s="1"/>
      <c r="E4240" s="1"/>
      <c r="F4240" s="1"/>
      <c r="G4240" s="1"/>
      <c r="H4240" s="1"/>
      <c r="I4240" s="1"/>
      <c r="J4240" s="1"/>
      <c r="K4240" s="102" t="s">
        <v>6834</v>
      </c>
      <c r="L4240" s="102" t="str">
        <f>AE487</f>
        <v>J1a2a1a2d2b2b2c4d2a2a5a1e2c4a3c~</v>
      </c>
      <c r="M4240" s="102"/>
      <c r="N4240" s="102"/>
      <c r="O4240" s="105">
        <v>1.9158628E7</v>
      </c>
      <c r="P4240" s="105">
        <v>1.7046748E7</v>
      </c>
      <c r="Q4240" s="102" t="s">
        <v>2432</v>
      </c>
      <c r="S4240" s="1"/>
      <c r="T4240" s="1"/>
      <c r="U4240" s="1"/>
      <c r="V4240" s="1"/>
      <c r="W4240" s="1"/>
      <c r="X4240" s="1"/>
      <c r="Y4240" s="1"/>
      <c r="AA4240" s="102"/>
      <c r="AB4240" s="1"/>
      <c r="AC4240" s="1"/>
      <c r="AD4240" s="1"/>
      <c r="AE4240" s="1"/>
      <c r="AF4240" s="1"/>
      <c r="AG4240" s="1"/>
    </row>
    <row r="4241" ht="15.75" customHeight="1">
      <c r="A4241" s="1"/>
      <c r="B4241" s="1"/>
      <c r="C4241" s="1"/>
      <c r="D4241" s="1"/>
      <c r="E4241" s="1"/>
      <c r="F4241" s="1"/>
      <c r="G4241" s="1"/>
      <c r="H4241" s="1"/>
      <c r="I4241" s="1"/>
      <c r="J4241" s="1"/>
      <c r="K4241" s="102" t="s">
        <v>6835</v>
      </c>
      <c r="L4241" s="102" t="str">
        <f>AE487</f>
        <v>J1a2a1a2d2b2b2c4d2a2a5a1e2c4a3c~</v>
      </c>
      <c r="M4241" s="102"/>
      <c r="N4241" s="102"/>
      <c r="O4241" s="105">
        <v>2.4460655E7</v>
      </c>
      <c r="P4241" s="105">
        <v>2.2314508E7</v>
      </c>
      <c r="Q4241" s="102" t="s">
        <v>2576</v>
      </c>
      <c r="S4241" s="1"/>
      <c r="T4241" s="1"/>
      <c r="U4241" s="1"/>
      <c r="V4241" s="1"/>
      <c r="W4241" s="1"/>
      <c r="X4241" s="1"/>
      <c r="Y4241" s="1"/>
      <c r="AA4241" s="102"/>
      <c r="AB4241" s="1"/>
      <c r="AC4241" s="1"/>
      <c r="AD4241" s="1"/>
      <c r="AE4241" s="1"/>
      <c r="AF4241" s="1"/>
      <c r="AG4241" s="1"/>
    </row>
    <row r="4242" ht="15.75" customHeight="1">
      <c r="A4242" s="1"/>
      <c r="B4242" s="1"/>
      <c r="C4242" s="1"/>
      <c r="D4242" s="1"/>
      <c r="E4242" s="1"/>
      <c r="F4242" s="1"/>
      <c r="G4242" s="1"/>
      <c r="H4242" s="1"/>
      <c r="I4242" s="1"/>
      <c r="J4242" s="1"/>
      <c r="K4242" s="102" t="s">
        <v>942</v>
      </c>
      <c r="L4242" s="102" t="str">
        <f t="shared" ref="L4242:L4243" si="77">AA488</f>
        <v>J1a2a1a2d2b2b2c4d2a2a5a1e2d~</v>
      </c>
      <c r="M4242" s="102"/>
      <c r="N4242" s="102" t="s">
        <v>6836</v>
      </c>
      <c r="O4242" s="105">
        <v>2.1859144E7</v>
      </c>
      <c r="P4242" s="105">
        <v>1.9697258E7</v>
      </c>
      <c r="Q4242" s="102" t="s">
        <v>2501</v>
      </c>
      <c r="S4242" s="1"/>
      <c r="T4242" s="1"/>
      <c r="U4242" s="1"/>
      <c r="V4242" s="1"/>
      <c r="W4242" s="1"/>
      <c r="X4242" s="1"/>
      <c r="Y4242" s="1"/>
      <c r="AA4242" s="102"/>
      <c r="AB4242" s="1"/>
      <c r="AC4242" s="1"/>
      <c r="AD4242" s="1"/>
      <c r="AE4242" s="1"/>
      <c r="AF4242" s="1"/>
      <c r="AG4242" s="1"/>
    </row>
    <row r="4243" ht="15.75" customHeight="1">
      <c r="A4243" s="1"/>
      <c r="B4243" s="1"/>
      <c r="C4243" s="1"/>
      <c r="D4243" s="1"/>
      <c r="E4243" s="1"/>
      <c r="F4243" s="1"/>
      <c r="G4243" s="1"/>
      <c r="H4243" s="1"/>
      <c r="I4243" s="1"/>
      <c r="J4243" s="1"/>
      <c r="K4243" s="102" t="s">
        <v>944</v>
      </c>
      <c r="L4243" s="102" t="str">
        <f t="shared" si="77"/>
        <v>J1a2a1a2d2b2b2c4d2a2a5a1e2e~</v>
      </c>
      <c r="M4243" s="102"/>
      <c r="N4243" s="102" t="s">
        <v>6837</v>
      </c>
      <c r="O4243" s="105">
        <v>8463046.0</v>
      </c>
      <c r="P4243" s="105">
        <v>8595005.0</v>
      </c>
      <c r="Q4243" s="102" t="s">
        <v>2446</v>
      </c>
      <c r="S4243" s="1"/>
      <c r="T4243" s="1"/>
      <c r="U4243" s="1"/>
      <c r="V4243" s="1"/>
      <c r="W4243" s="1"/>
      <c r="X4243" s="1"/>
      <c r="Y4243" s="1"/>
      <c r="AA4243" s="102"/>
      <c r="AB4243" s="1"/>
      <c r="AC4243" s="1"/>
      <c r="AD4243" s="1"/>
      <c r="AE4243" s="1"/>
      <c r="AF4243" s="1"/>
      <c r="AG4243" s="1"/>
    </row>
    <row r="4244" ht="15.75" customHeight="1">
      <c r="A4244" s="1"/>
      <c r="B4244" s="1"/>
      <c r="C4244" s="1"/>
      <c r="D4244" s="1"/>
      <c r="E4244" s="1"/>
      <c r="F4244" s="1"/>
      <c r="G4244" s="1"/>
      <c r="H4244" s="1"/>
      <c r="I4244" s="1"/>
      <c r="J4244" s="1"/>
      <c r="K4244" s="102" t="s">
        <v>6838</v>
      </c>
      <c r="L4244" s="102" t="str">
        <f>Z490</f>
        <v>J1a2a1a2d2b2b2c4d2a2a5a1e3~</v>
      </c>
      <c r="M4244" s="102" t="s">
        <v>6839</v>
      </c>
      <c r="N4244" s="102" t="s">
        <v>6840</v>
      </c>
      <c r="O4244" s="105">
        <v>1.469932E7</v>
      </c>
      <c r="P4244" s="105">
        <v>1.2587386E7</v>
      </c>
      <c r="Q4244" s="102" t="s">
        <v>2432</v>
      </c>
      <c r="S4244" s="1"/>
      <c r="T4244" s="1"/>
      <c r="U4244" s="1"/>
      <c r="V4244" s="1"/>
      <c r="W4244" s="1"/>
      <c r="X4244" s="1"/>
      <c r="Y4244" s="1"/>
      <c r="AA4244" s="102"/>
      <c r="AB4244" s="1"/>
      <c r="AC4244" s="1"/>
      <c r="AD4244" s="1"/>
      <c r="AE4244" s="1"/>
      <c r="AF4244" s="1"/>
      <c r="AG4244" s="1"/>
    </row>
    <row r="4245" ht="15.75" customHeight="1">
      <c r="A4245" s="1"/>
      <c r="B4245" s="1"/>
      <c r="C4245" s="1"/>
      <c r="D4245" s="1"/>
      <c r="E4245" s="1"/>
      <c r="F4245" s="1"/>
      <c r="G4245" s="1"/>
      <c r="H4245" s="1"/>
      <c r="I4245" s="1"/>
      <c r="J4245" s="1"/>
      <c r="K4245" s="102" t="s">
        <v>6841</v>
      </c>
      <c r="L4245" s="102" t="str">
        <f>Z490</f>
        <v>J1a2a1a2d2b2b2c4d2a2a5a1e3~</v>
      </c>
      <c r="M4245" s="102" t="s">
        <v>6842</v>
      </c>
      <c r="N4245" s="102" t="s">
        <v>6840</v>
      </c>
      <c r="O4245" s="105">
        <v>1.469932E7</v>
      </c>
      <c r="P4245" s="105">
        <v>1.2587386E7</v>
      </c>
      <c r="Q4245" s="102" t="s">
        <v>2432</v>
      </c>
      <c r="S4245" s="1"/>
      <c r="T4245" s="1"/>
      <c r="U4245" s="1"/>
      <c r="V4245" s="1"/>
      <c r="W4245" s="1"/>
      <c r="X4245" s="1"/>
      <c r="Y4245" s="1"/>
      <c r="AA4245" s="102"/>
      <c r="AB4245" s="1"/>
      <c r="AC4245" s="1"/>
      <c r="AD4245" s="1"/>
      <c r="AE4245" s="1"/>
      <c r="AF4245" s="1"/>
      <c r="AG4245" s="1"/>
    </row>
    <row r="4246" ht="15.75" customHeight="1">
      <c r="A4246" s="1"/>
      <c r="B4246" s="1"/>
      <c r="C4246" s="1"/>
      <c r="D4246" s="1"/>
      <c r="E4246" s="1"/>
      <c r="F4246" s="1"/>
      <c r="G4246" s="1"/>
      <c r="H4246" s="1"/>
      <c r="I4246" s="1"/>
      <c r="J4246" s="1"/>
      <c r="K4246" s="102" t="s">
        <v>6702</v>
      </c>
      <c r="L4246" s="102" t="str">
        <f>Z490</f>
        <v>J1a2a1a2d2b2b2c4d2a2a5a1e3~</v>
      </c>
      <c r="M4246" s="102" t="s">
        <v>6843</v>
      </c>
      <c r="N4246" s="102" t="s">
        <v>6699</v>
      </c>
      <c r="O4246" s="105">
        <v>2781400.0</v>
      </c>
      <c r="P4246" s="105">
        <v>2913359.0</v>
      </c>
      <c r="Q4246" s="102" t="s">
        <v>2468</v>
      </c>
      <c r="S4246" s="1"/>
      <c r="T4246" s="1"/>
      <c r="U4246" s="1"/>
      <c r="V4246" s="1"/>
      <c r="W4246" s="1"/>
      <c r="X4246" s="1"/>
      <c r="Y4246" s="1"/>
      <c r="AA4246" s="102"/>
      <c r="AB4246" s="1"/>
      <c r="AC4246" s="1"/>
      <c r="AD4246" s="1"/>
      <c r="AE4246" s="1"/>
      <c r="AF4246" s="1"/>
      <c r="AG4246" s="1"/>
    </row>
    <row r="4247" ht="15.75" customHeight="1">
      <c r="A4247" s="1"/>
      <c r="B4247" s="1"/>
      <c r="C4247" s="1"/>
      <c r="D4247" s="1"/>
      <c r="E4247" s="1"/>
      <c r="F4247" s="1"/>
      <c r="G4247" s="1"/>
      <c r="H4247" s="1"/>
      <c r="I4247" s="1"/>
      <c r="J4247" s="1"/>
      <c r="K4247" s="102" t="s">
        <v>6844</v>
      </c>
      <c r="L4247" s="102" t="str">
        <f>AA491</f>
        <v>J1a2a1a2d2b2b2c4d2a2a5a1e3a~</v>
      </c>
      <c r="M4247" s="102"/>
      <c r="N4247" s="102"/>
      <c r="O4247" s="105">
        <v>2651166.0</v>
      </c>
      <c r="P4247" s="105">
        <v>2783125.0</v>
      </c>
      <c r="Q4247" s="102" t="s">
        <v>2439</v>
      </c>
      <c r="S4247" s="1"/>
      <c r="T4247" s="1"/>
      <c r="U4247" s="1"/>
      <c r="V4247" s="1"/>
      <c r="W4247" s="1"/>
      <c r="X4247" s="1"/>
      <c r="Y4247" s="1"/>
      <c r="AA4247" s="102"/>
      <c r="AB4247" s="1"/>
      <c r="AC4247" s="1"/>
      <c r="AD4247" s="1"/>
      <c r="AE4247" s="1"/>
      <c r="AF4247" s="1"/>
      <c r="AG4247" s="1"/>
    </row>
    <row r="4248" ht="15.75" customHeight="1">
      <c r="A4248" s="1"/>
      <c r="B4248" s="1"/>
      <c r="C4248" s="1"/>
      <c r="D4248" s="1"/>
      <c r="E4248" s="1"/>
      <c r="F4248" s="1"/>
      <c r="G4248" s="1"/>
      <c r="H4248" s="1"/>
      <c r="I4248" s="1"/>
      <c r="J4248" s="1"/>
      <c r="K4248" s="102" t="s">
        <v>6845</v>
      </c>
      <c r="L4248" s="102" t="str">
        <f>AA491</f>
        <v>J1a2a1a2d2b2b2c4d2a2a5a1e3a~</v>
      </c>
      <c r="M4248" s="102" t="s">
        <v>6846</v>
      </c>
      <c r="N4248" s="102"/>
      <c r="O4248" s="105">
        <v>2.1395333E7</v>
      </c>
      <c r="P4248" s="105">
        <v>1.9233447E7</v>
      </c>
      <c r="Q4248" s="102" t="s">
        <v>2501</v>
      </c>
      <c r="S4248" s="1"/>
      <c r="T4248" s="1"/>
      <c r="U4248" s="1"/>
      <c r="V4248" s="1"/>
      <c r="W4248" s="1"/>
      <c r="X4248" s="1"/>
      <c r="Y4248" s="1"/>
      <c r="AA4248" s="102"/>
      <c r="AB4248" s="1"/>
      <c r="AC4248" s="1"/>
      <c r="AD4248" s="1"/>
      <c r="AE4248" s="1"/>
      <c r="AF4248" s="1"/>
      <c r="AG4248" s="1"/>
    </row>
    <row r="4249" ht="15.75" customHeight="1">
      <c r="A4249" s="1"/>
      <c r="B4249" s="1"/>
      <c r="C4249" s="1"/>
      <c r="D4249" s="1"/>
      <c r="E4249" s="1"/>
      <c r="F4249" s="1"/>
      <c r="G4249" s="1"/>
      <c r="H4249" s="1"/>
      <c r="I4249" s="1"/>
      <c r="J4249" s="1"/>
      <c r="K4249" s="102" t="s">
        <v>6846</v>
      </c>
      <c r="L4249" s="102" t="str">
        <f>AA491</f>
        <v>J1a2a1a2d2b2b2c4d2a2a5a1e3a~</v>
      </c>
      <c r="M4249" s="102" t="s">
        <v>6845</v>
      </c>
      <c r="N4249" s="102"/>
      <c r="O4249" s="105">
        <v>2.1395333E7</v>
      </c>
      <c r="P4249" s="105">
        <v>1.9233447E7</v>
      </c>
      <c r="Q4249" s="102" t="s">
        <v>2501</v>
      </c>
      <c r="S4249" s="1"/>
      <c r="T4249" s="1"/>
      <c r="U4249" s="1"/>
      <c r="V4249" s="1"/>
      <c r="W4249" s="1"/>
      <c r="X4249" s="1"/>
      <c r="Y4249" s="1"/>
      <c r="AA4249" s="102"/>
      <c r="AB4249" s="1"/>
      <c r="AC4249" s="1"/>
      <c r="AD4249" s="1"/>
      <c r="AE4249" s="1"/>
      <c r="AF4249" s="1"/>
      <c r="AG4249" s="1"/>
    </row>
    <row r="4250" ht="15.75" customHeight="1">
      <c r="A4250" s="1"/>
      <c r="B4250" s="1"/>
      <c r="C4250" s="1"/>
      <c r="D4250" s="1"/>
      <c r="E4250" s="1"/>
      <c r="F4250" s="1"/>
      <c r="G4250" s="1"/>
      <c r="H4250" s="1"/>
      <c r="I4250" s="1"/>
      <c r="J4250" s="1"/>
      <c r="K4250" s="102" t="s">
        <v>6847</v>
      </c>
      <c r="L4250" s="102" t="str">
        <f>AA491</f>
        <v>J1a2a1a2d2b2b2c4d2a2a5a1e3a~</v>
      </c>
      <c r="M4250" s="102" t="s">
        <v>6848</v>
      </c>
      <c r="N4250" s="102"/>
      <c r="O4250" s="105">
        <v>2.3560943E7</v>
      </c>
      <c r="P4250" s="105">
        <v>2.1399057E7</v>
      </c>
      <c r="Q4250" s="102" t="s">
        <v>2439</v>
      </c>
      <c r="S4250" s="1"/>
      <c r="T4250" s="1"/>
      <c r="U4250" s="1"/>
      <c r="V4250" s="1"/>
      <c r="W4250" s="1"/>
      <c r="X4250" s="1"/>
      <c r="Y4250" s="1"/>
      <c r="AA4250" s="102"/>
      <c r="AB4250" s="1"/>
      <c r="AC4250" s="1"/>
      <c r="AD4250" s="1"/>
      <c r="AE4250" s="1"/>
      <c r="AF4250" s="1"/>
      <c r="AG4250" s="1"/>
    </row>
    <row r="4251" ht="15.75" customHeight="1">
      <c r="A4251" s="1"/>
      <c r="B4251" s="1"/>
      <c r="C4251" s="1"/>
      <c r="D4251" s="1"/>
      <c r="E4251" s="1"/>
      <c r="F4251" s="1"/>
      <c r="G4251" s="1"/>
      <c r="H4251" s="1"/>
      <c r="I4251" s="1"/>
      <c r="J4251" s="1"/>
      <c r="K4251" s="102" t="s">
        <v>6848</v>
      </c>
      <c r="L4251" s="102" t="str">
        <f>AA491</f>
        <v>J1a2a1a2d2b2b2c4d2a2a5a1e3a~</v>
      </c>
      <c r="M4251" s="102" t="s">
        <v>6847</v>
      </c>
      <c r="N4251" s="102"/>
      <c r="O4251" s="105">
        <v>2.3560943E7</v>
      </c>
      <c r="P4251" s="105">
        <v>2.1399057E7</v>
      </c>
      <c r="Q4251" s="102" t="s">
        <v>2439</v>
      </c>
      <c r="S4251" s="1"/>
      <c r="T4251" s="1"/>
      <c r="U4251" s="1"/>
      <c r="V4251" s="1"/>
      <c r="W4251" s="1"/>
      <c r="X4251" s="1"/>
      <c r="Y4251" s="1"/>
      <c r="AA4251" s="102"/>
      <c r="AB4251" s="1"/>
      <c r="AC4251" s="1"/>
      <c r="AD4251" s="1"/>
      <c r="AE4251" s="1"/>
      <c r="AF4251" s="1"/>
      <c r="AG4251" s="1"/>
    </row>
    <row r="4252" ht="15.75" customHeight="1">
      <c r="A4252" s="1"/>
      <c r="B4252" s="1"/>
      <c r="C4252" s="1"/>
      <c r="D4252" s="1"/>
      <c r="E4252" s="1"/>
      <c r="F4252" s="1"/>
      <c r="G4252" s="1"/>
      <c r="H4252" s="1"/>
      <c r="I4252" s="1"/>
      <c r="J4252" s="1"/>
      <c r="K4252" s="102" t="s">
        <v>6849</v>
      </c>
      <c r="L4252" s="102" t="str">
        <f>AA491</f>
        <v>J1a2a1a2d2b2b2c4d2a2a5a1e3a~</v>
      </c>
      <c r="M4252" s="102" t="s">
        <v>6850</v>
      </c>
      <c r="N4252" s="102"/>
      <c r="O4252" s="105">
        <v>2.3973924E7</v>
      </c>
      <c r="P4252" s="105">
        <v>2.1827777E7</v>
      </c>
      <c r="Q4252" s="102" t="s">
        <v>2423</v>
      </c>
      <c r="S4252" s="1"/>
      <c r="T4252" s="1"/>
      <c r="U4252" s="1"/>
      <c r="V4252" s="1"/>
      <c r="W4252" s="1"/>
      <c r="X4252" s="1"/>
      <c r="Y4252" s="1"/>
      <c r="AA4252" s="102"/>
      <c r="AB4252" s="1"/>
      <c r="AC4252" s="1"/>
      <c r="AD4252" s="1"/>
      <c r="AE4252" s="1"/>
      <c r="AF4252" s="1"/>
      <c r="AG4252" s="1"/>
    </row>
    <row r="4253" ht="15.75" customHeight="1">
      <c r="A4253" s="1"/>
      <c r="B4253" s="1"/>
      <c r="C4253" s="1"/>
      <c r="D4253" s="1"/>
      <c r="E4253" s="1"/>
      <c r="F4253" s="1"/>
      <c r="G4253" s="1"/>
      <c r="H4253" s="1"/>
      <c r="I4253" s="1"/>
      <c r="J4253" s="1"/>
      <c r="K4253" s="102" t="s">
        <v>6850</v>
      </c>
      <c r="L4253" s="102" t="str">
        <f>AA491</f>
        <v>J1a2a1a2d2b2b2c4d2a2a5a1e3a~</v>
      </c>
      <c r="M4253" s="102" t="s">
        <v>6849</v>
      </c>
      <c r="N4253" s="102"/>
      <c r="O4253" s="105">
        <v>2.3973924E7</v>
      </c>
      <c r="P4253" s="105">
        <v>2.1827777E7</v>
      </c>
      <c r="Q4253" s="102" t="s">
        <v>2423</v>
      </c>
      <c r="S4253" s="1"/>
      <c r="T4253" s="1"/>
      <c r="U4253" s="1"/>
      <c r="V4253" s="1"/>
      <c r="W4253" s="1"/>
      <c r="X4253" s="1"/>
      <c r="Y4253" s="1"/>
      <c r="AA4253" s="102"/>
      <c r="AB4253" s="1"/>
      <c r="AC4253" s="1"/>
      <c r="AD4253" s="1"/>
      <c r="AE4253" s="1"/>
      <c r="AF4253" s="1"/>
      <c r="AG4253" s="1"/>
    </row>
    <row r="4254" ht="15.75" customHeight="1">
      <c r="A4254" s="1"/>
      <c r="B4254" s="1"/>
      <c r="C4254" s="1"/>
      <c r="D4254" s="1"/>
      <c r="E4254" s="1"/>
      <c r="F4254" s="1"/>
      <c r="G4254" s="1"/>
      <c r="H4254" s="1"/>
      <c r="I4254" s="1"/>
      <c r="J4254" s="1"/>
      <c r="K4254" s="102" t="s">
        <v>6851</v>
      </c>
      <c r="L4254" s="102" t="str">
        <f>AA491</f>
        <v>J1a2a1a2d2b2b2c4d2a2a5a1e3a~</v>
      </c>
      <c r="M4254" s="102" t="s">
        <v>6852</v>
      </c>
      <c r="N4254" s="102" t="s">
        <v>6853</v>
      </c>
      <c r="O4254" s="105">
        <v>2.2915114E7</v>
      </c>
      <c r="P4254" s="105">
        <v>2.0753228E7</v>
      </c>
      <c r="Q4254" s="102" t="s">
        <v>2501</v>
      </c>
      <c r="S4254" s="1"/>
      <c r="T4254" s="1"/>
      <c r="U4254" s="1"/>
      <c r="V4254" s="1"/>
      <c r="W4254" s="1"/>
      <c r="X4254" s="1"/>
      <c r="Y4254" s="1"/>
      <c r="AA4254" s="102"/>
      <c r="AB4254" s="1"/>
      <c r="AC4254" s="1"/>
      <c r="AD4254" s="1"/>
      <c r="AE4254" s="1"/>
      <c r="AF4254" s="1"/>
      <c r="AG4254" s="1"/>
    </row>
    <row r="4255" ht="15.75" customHeight="1">
      <c r="A4255" s="1"/>
      <c r="B4255" s="1"/>
      <c r="C4255" s="1"/>
      <c r="D4255" s="1"/>
      <c r="E4255" s="1"/>
      <c r="F4255" s="1"/>
      <c r="G4255" s="1"/>
      <c r="H4255" s="1"/>
      <c r="I4255" s="1"/>
      <c r="J4255" s="1"/>
      <c r="K4255" s="102" t="s">
        <v>6852</v>
      </c>
      <c r="L4255" s="102" t="str">
        <f>AA491</f>
        <v>J1a2a1a2d2b2b2c4d2a2a5a1e3a~</v>
      </c>
      <c r="M4255" s="102" t="s">
        <v>6851</v>
      </c>
      <c r="N4255" s="102" t="s">
        <v>6853</v>
      </c>
      <c r="O4255" s="105">
        <v>2.2915114E7</v>
      </c>
      <c r="P4255" s="105">
        <v>2.0753228E7</v>
      </c>
      <c r="Q4255" s="102" t="s">
        <v>2501</v>
      </c>
      <c r="S4255" s="1"/>
      <c r="T4255" s="1"/>
      <c r="U4255" s="1"/>
      <c r="V4255" s="1"/>
      <c r="W4255" s="1"/>
      <c r="X4255" s="1"/>
      <c r="Y4255" s="1"/>
      <c r="AA4255" s="102"/>
      <c r="AB4255" s="1"/>
      <c r="AC4255" s="1"/>
      <c r="AD4255" s="1"/>
      <c r="AE4255" s="1"/>
      <c r="AF4255" s="1"/>
      <c r="AG4255" s="1"/>
    </row>
    <row r="4256" ht="15.75" customHeight="1">
      <c r="A4256" s="1"/>
      <c r="B4256" s="1"/>
      <c r="C4256" s="1"/>
      <c r="D4256" s="1"/>
      <c r="E4256" s="1"/>
      <c r="F4256" s="1"/>
      <c r="G4256" s="1"/>
      <c r="H4256" s="1"/>
      <c r="I4256" s="1"/>
      <c r="J4256" s="1"/>
      <c r="K4256" s="102" t="s">
        <v>6854</v>
      </c>
      <c r="L4256" s="102" t="str">
        <f>AA491</f>
        <v>J1a2a1a2d2b2b2c4d2a2a5a1e3a~</v>
      </c>
      <c r="M4256" s="102" t="s">
        <v>6855</v>
      </c>
      <c r="N4256" s="102"/>
      <c r="O4256" s="105">
        <v>1.5715055E7</v>
      </c>
      <c r="P4256" s="105">
        <v>1.3603175E7</v>
      </c>
      <c r="Q4256" s="102" t="s">
        <v>2533</v>
      </c>
      <c r="S4256" s="1"/>
      <c r="T4256" s="1"/>
      <c r="U4256" s="1"/>
      <c r="V4256" s="1"/>
      <c r="W4256" s="1"/>
      <c r="X4256" s="1"/>
      <c r="Y4256" s="1"/>
      <c r="AA4256" s="102"/>
      <c r="AB4256" s="1"/>
      <c r="AC4256" s="1"/>
      <c r="AD4256" s="1"/>
      <c r="AE4256" s="1"/>
      <c r="AF4256" s="1"/>
      <c r="AG4256" s="1"/>
    </row>
    <row r="4257" ht="15.75" customHeight="1">
      <c r="A4257" s="1"/>
      <c r="B4257" s="1"/>
      <c r="C4257" s="1"/>
      <c r="D4257" s="1"/>
      <c r="E4257" s="1"/>
      <c r="F4257" s="1"/>
      <c r="G4257" s="1"/>
      <c r="H4257" s="1"/>
      <c r="I4257" s="1"/>
      <c r="J4257" s="1"/>
      <c r="K4257" s="102" t="s">
        <v>6855</v>
      </c>
      <c r="L4257" s="102" t="str">
        <f>AA491</f>
        <v>J1a2a1a2d2b2b2c4d2a2a5a1e3a~</v>
      </c>
      <c r="M4257" s="102" t="s">
        <v>6854</v>
      </c>
      <c r="N4257" s="102"/>
      <c r="O4257" s="105">
        <v>1.5715055E7</v>
      </c>
      <c r="P4257" s="105">
        <v>1.3603175E7</v>
      </c>
      <c r="Q4257" s="102" t="s">
        <v>2533</v>
      </c>
      <c r="S4257" s="1"/>
      <c r="T4257" s="1"/>
      <c r="U4257" s="1"/>
      <c r="V4257" s="1"/>
      <c r="W4257" s="1"/>
      <c r="X4257" s="1"/>
      <c r="Y4257" s="1"/>
      <c r="AA4257" s="102"/>
      <c r="AB4257" s="1"/>
      <c r="AC4257" s="1"/>
      <c r="AD4257" s="1"/>
      <c r="AE4257" s="1"/>
      <c r="AF4257" s="1"/>
      <c r="AG4257" s="1"/>
    </row>
    <row r="4258" ht="15.75" customHeight="1">
      <c r="A4258" s="1"/>
      <c r="B4258" s="1"/>
      <c r="C4258" s="1"/>
      <c r="D4258" s="1"/>
      <c r="E4258" s="1"/>
      <c r="F4258" s="1"/>
      <c r="G4258" s="1"/>
      <c r="H4258" s="1"/>
      <c r="I4258" s="1"/>
      <c r="J4258" s="1"/>
      <c r="K4258" s="102" t="s">
        <v>6856</v>
      </c>
      <c r="L4258" s="102" t="str">
        <f>AA491</f>
        <v>J1a2a1a2d2b2b2c4d2a2a5a1e3a~</v>
      </c>
      <c r="M4258" s="102" t="s">
        <v>6857</v>
      </c>
      <c r="N4258" s="102"/>
      <c r="O4258" s="105">
        <v>1.7593219E7</v>
      </c>
      <c r="P4258" s="105">
        <v>1.5481339E7</v>
      </c>
      <c r="Q4258" s="102" t="s">
        <v>2432</v>
      </c>
      <c r="S4258" s="1"/>
      <c r="T4258" s="1"/>
      <c r="U4258" s="1"/>
      <c r="V4258" s="1"/>
      <c r="W4258" s="1"/>
      <c r="X4258" s="1"/>
      <c r="Y4258" s="1"/>
      <c r="AA4258" s="102"/>
      <c r="AB4258" s="1"/>
      <c r="AC4258" s="1"/>
      <c r="AD4258" s="1"/>
      <c r="AE4258" s="1"/>
      <c r="AF4258" s="1"/>
      <c r="AG4258" s="1"/>
    </row>
    <row r="4259" ht="15.75" customHeight="1">
      <c r="A4259" s="1"/>
      <c r="B4259" s="1"/>
      <c r="C4259" s="1"/>
      <c r="D4259" s="1"/>
      <c r="E4259" s="1"/>
      <c r="F4259" s="1"/>
      <c r="G4259" s="1"/>
      <c r="H4259" s="1"/>
      <c r="I4259" s="1"/>
      <c r="J4259" s="1"/>
      <c r="K4259" s="102" t="s">
        <v>6857</v>
      </c>
      <c r="L4259" s="102" t="str">
        <f>AA491</f>
        <v>J1a2a1a2d2b2b2c4d2a2a5a1e3a~</v>
      </c>
      <c r="M4259" s="102" t="s">
        <v>6856</v>
      </c>
      <c r="N4259" s="102"/>
      <c r="O4259" s="105">
        <v>1.7593219E7</v>
      </c>
      <c r="P4259" s="105">
        <v>1.5481339E7</v>
      </c>
      <c r="Q4259" s="102" t="s">
        <v>2432</v>
      </c>
      <c r="S4259" s="1"/>
      <c r="T4259" s="1"/>
      <c r="U4259" s="1"/>
      <c r="V4259" s="1"/>
      <c r="W4259" s="1"/>
      <c r="X4259" s="1"/>
      <c r="Y4259" s="1"/>
      <c r="AA4259" s="102"/>
      <c r="AB4259" s="1"/>
      <c r="AC4259" s="1"/>
      <c r="AD4259" s="1"/>
      <c r="AE4259" s="1"/>
      <c r="AF4259" s="1"/>
      <c r="AG4259" s="1"/>
    </row>
    <row r="4260" ht="15.75" customHeight="1">
      <c r="A4260" s="1"/>
      <c r="B4260" s="1"/>
      <c r="C4260" s="1"/>
      <c r="D4260" s="1"/>
      <c r="E4260" s="1"/>
      <c r="F4260" s="1"/>
      <c r="G4260" s="1"/>
      <c r="H4260" s="1"/>
      <c r="I4260" s="1"/>
      <c r="J4260" s="1"/>
      <c r="K4260" s="102" t="s">
        <v>6858</v>
      </c>
      <c r="L4260" s="102" t="str">
        <f>AA491</f>
        <v>J1a2a1a2d2b2b2c4d2a2a5a1e3a~</v>
      </c>
      <c r="M4260" s="102" t="s">
        <v>6859</v>
      </c>
      <c r="N4260" s="102"/>
      <c r="O4260" s="105">
        <v>1.9296057E7</v>
      </c>
      <c r="P4260" s="105">
        <v>1.7184177E7</v>
      </c>
      <c r="Q4260" s="102" t="s">
        <v>2432</v>
      </c>
      <c r="S4260" s="1"/>
      <c r="T4260" s="1"/>
      <c r="U4260" s="1"/>
      <c r="V4260" s="1"/>
      <c r="W4260" s="1"/>
      <c r="X4260" s="1"/>
      <c r="Y4260" s="1"/>
      <c r="AA4260" s="102"/>
      <c r="AB4260" s="1"/>
      <c r="AC4260" s="1"/>
      <c r="AD4260" s="1"/>
      <c r="AE4260" s="1"/>
      <c r="AF4260" s="1"/>
      <c r="AG4260" s="1"/>
    </row>
    <row r="4261" ht="15.75" customHeight="1">
      <c r="A4261" s="1"/>
      <c r="B4261" s="1"/>
      <c r="C4261" s="1"/>
      <c r="D4261" s="1"/>
      <c r="E4261" s="1"/>
      <c r="F4261" s="1"/>
      <c r="G4261" s="1"/>
      <c r="H4261" s="1"/>
      <c r="I4261" s="1"/>
      <c r="J4261" s="1"/>
      <c r="K4261" s="102" t="s">
        <v>6859</v>
      </c>
      <c r="L4261" s="102" t="str">
        <f>AA491</f>
        <v>J1a2a1a2d2b2b2c4d2a2a5a1e3a~</v>
      </c>
      <c r="M4261" s="102" t="s">
        <v>6858</v>
      </c>
      <c r="N4261" s="102"/>
      <c r="O4261" s="105">
        <v>1.9296057E7</v>
      </c>
      <c r="P4261" s="105">
        <v>1.7184177E7</v>
      </c>
      <c r="Q4261" s="102" t="s">
        <v>2432</v>
      </c>
      <c r="S4261" s="1"/>
      <c r="T4261" s="1"/>
      <c r="U4261" s="1"/>
      <c r="V4261" s="1"/>
      <c r="W4261" s="1"/>
      <c r="X4261" s="1"/>
      <c r="Y4261" s="1"/>
      <c r="AA4261" s="102"/>
      <c r="AB4261" s="1"/>
      <c r="AC4261" s="1"/>
      <c r="AD4261" s="1"/>
      <c r="AE4261" s="1"/>
      <c r="AF4261" s="1"/>
      <c r="AG4261" s="1"/>
    </row>
    <row r="4262" ht="15.75" customHeight="1">
      <c r="A4262" s="1"/>
      <c r="B4262" s="1"/>
      <c r="C4262" s="1"/>
      <c r="D4262" s="1"/>
      <c r="E4262" s="1"/>
      <c r="F4262" s="1"/>
      <c r="G4262" s="1"/>
      <c r="H4262" s="1"/>
      <c r="I4262" s="1"/>
      <c r="J4262" s="1"/>
      <c r="K4262" s="102" t="s">
        <v>6860</v>
      </c>
      <c r="L4262" s="102" t="str">
        <f>AA491</f>
        <v>J1a2a1a2d2b2b2c4d2a2a5a1e3a~</v>
      </c>
      <c r="M4262" s="102" t="s">
        <v>6861</v>
      </c>
      <c r="N4262" s="102"/>
      <c r="O4262" s="105">
        <v>8737657.0</v>
      </c>
      <c r="P4262" s="105">
        <v>8869616.0</v>
      </c>
      <c r="Q4262" s="102" t="s">
        <v>2446</v>
      </c>
      <c r="S4262" s="1"/>
      <c r="T4262" s="1"/>
      <c r="U4262" s="1"/>
      <c r="V4262" s="1"/>
      <c r="W4262" s="1"/>
      <c r="X4262" s="1"/>
      <c r="Y4262" s="1"/>
      <c r="AA4262" s="102"/>
      <c r="AB4262" s="1"/>
      <c r="AC4262" s="1"/>
      <c r="AD4262" s="1"/>
      <c r="AE4262" s="1"/>
      <c r="AF4262" s="1"/>
      <c r="AG4262" s="1"/>
    </row>
    <row r="4263" ht="15.75" customHeight="1">
      <c r="A4263" s="1"/>
      <c r="B4263" s="1"/>
      <c r="C4263" s="1"/>
      <c r="D4263" s="1"/>
      <c r="E4263" s="1"/>
      <c r="F4263" s="1"/>
      <c r="G4263" s="1"/>
      <c r="H4263" s="1"/>
      <c r="I4263" s="1"/>
      <c r="J4263" s="1"/>
      <c r="K4263" s="102" t="s">
        <v>6861</v>
      </c>
      <c r="L4263" s="102" t="str">
        <f>AA491</f>
        <v>J1a2a1a2d2b2b2c4d2a2a5a1e3a~</v>
      </c>
      <c r="M4263" s="102" t="s">
        <v>6860</v>
      </c>
      <c r="N4263" s="102"/>
      <c r="O4263" s="105">
        <v>8737657.0</v>
      </c>
      <c r="P4263" s="105">
        <v>8869616.0</v>
      </c>
      <c r="Q4263" s="102" t="s">
        <v>2446</v>
      </c>
      <c r="S4263" s="1"/>
      <c r="T4263" s="1"/>
      <c r="U4263" s="1"/>
      <c r="V4263" s="1"/>
      <c r="W4263" s="1"/>
      <c r="X4263" s="1"/>
      <c r="Y4263" s="1"/>
      <c r="AA4263" s="102"/>
      <c r="AB4263" s="1"/>
      <c r="AC4263" s="1"/>
      <c r="AD4263" s="1"/>
      <c r="AE4263" s="1"/>
      <c r="AF4263" s="1"/>
      <c r="AG4263" s="1"/>
    </row>
    <row r="4264" ht="15.75" customHeight="1">
      <c r="A4264" s="1"/>
      <c r="B4264" s="1"/>
      <c r="C4264" s="1"/>
      <c r="D4264" s="1"/>
      <c r="E4264" s="1"/>
      <c r="F4264" s="1"/>
      <c r="G4264" s="1"/>
      <c r="H4264" s="1"/>
      <c r="I4264" s="1"/>
      <c r="J4264" s="1"/>
      <c r="K4264" s="102" t="s">
        <v>6862</v>
      </c>
      <c r="L4264" s="102" t="str">
        <f>AA491</f>
        <v>J1a2a1a2d2b2b2c4d2a2a5a1e3a~</v>
      </c>
      <c r="M4264" s="102"/>
      <c r="N4264" s="102"/>
      <c r="O4264" s="105">
        <v>2.878845E7</v>
      </c>
      <c r="P4264" s="105">
        <v>2.6642303E7</v>
      </c>
      <c r="Q4264" s="102" t="s">
        <v>2468</v>
      </c>
      <c r="S4264" s="1"/>
      <c r="T4264" s="1"/>
      <c r="U4264" s="1"/>
      <c r="V4264" s="1"/>
      <c r="W4264" s="1"/>
      <c r="X4264" s="1"/>
      <c r="Y4264" s="1"/>
      <c r="AA4264" s="102"/>
      <c r="AB4264" s="1"/>
      <c r="AC4264" s="1"/>
      <c r="AD4264" s="1"/>
      <c r="AE4264" s="1"/>
      <c r="AF4264" s="1"/>
      <c r="AG4264" s="1"/>
    </row>
    <row r="4265" ht="15.75" customHeight="1">
      <c r="A4265" s="1"/>
      <c r="B4265" s="1"/>
      <c r="C4265" s="1"/>
      <c r="D4265" s="1"/>
      <c r="E4265" s="1"/>
      <c r="F4265" s="1"/>
      <c r="G4265" s="1"/>
      <c r="H4265" s="1"/>
      <c r="I4265" s="1"/>
      <c r="J4265" s="1"/>
      <c r="K4265" s="102" t="s">
        <v>6863</v>
      </c>
      <c r="L4265" s="102" t="str">
        <f t="shared" ref="L4265:L4266" si="78">AA491</f>
        <v>J1a2a1a2d2b2b2c4d2a2a5a1e3a~</v>
      </c>
      <c r="M4265" s="102"/>
      <c r="N4265" s="102"/>
      <c r="O4265" s="105">
        <v>7942652.0</v>
      </c>
      <c r="P4265" s="105">
        <v>8074611.0</v>
      </c>
      <c r="Q4265" s="102" t="s">
        <v>2576</v>
      </c>
      <c r="S4265" s="1"/>
      <c r="T4265" s="1"/>
      <c r="U4265" s="1"/>
      <c r="V4265" s="1"/>
      <c r="W4265" s="1"/>
      <c r="X4265" s="1"/>
      <c r="Y4265" s="1"/>
      <c r="AA4265" s="102"/>
      <c r="AB4265" s="1"/>
      <c r="AC4265" s="1"/>
      <c r="AD4265" s="1"/>
      <c r="AE4265" s="1"/>
      <c r="AF4265" s="1"/>
      <c r="AG4265" s="1"/>
    </row>
    <row r="4266" ht="15.75" customHeight="1">
      <c r="A4266" s="1"/>
      <c r="B4266" s="1"/>
      <c r="C4266" s="1"/>
      <c r="D4266" s="1"/>
      <c r="E4266" s="1"/>
      <c r="F4266" s="1"/>
      <c r="G4266" s="1"/>
      <c r="H4266" s="1"/>
      <c r="I4266" s="1"/>
      <c r="J4266" s="1"/>
      <c r="K4266" s="102" t="s">
        <v>6864</v>
      </c>
      <c r="L4266" s="102" t="str">
        <f t="shared" si="78"/>
        <v>J1a2a1a2d2b2b2c4d2a2a5a1e3b~</v>
      </c>
      <c r="M4266" s="102" t="s">
        <v>6865</v>
      </c>
      <c r="N4266" s="102"/>
      <c r="O4266" s="105">
        <v>2783173.0</v>
      </c>
      <c r="P4266" s="105">
        <v>2915132.0</v>
      </c>
      <c r="Q4266" s="102" t="s">
        <v>2439</v>
      </c>
      <c r="S4266" s="1"/>
      <c r="T4266" s="1"/>
      <c r="U4266" s="1"/>
      <c r="V4266" s="1"/>
      <c r="W4266" s="1"/>
      <c r="X4266" s="1"/>
      <c r="Y4266" s="1"/>
      <c r="AA4266" s="102"/>
      <c r="AB4266" s="1"/>
      <c r="AC4266" s="1"/>
      <c r="AD4266" s="1"/>
      <c r="AE4266" s="1"/>
      <c r="AF4266" s="1"/>
      <c r="AG4266" s="1"/>
    </row>
    <row r="4267" ht="15.75" customHeight="1">
      <c r="A4267" s="1"/>
      <c r="B4267" s="1"/>
      <c r="C4267" s="1"/>
      <c r="D4267" s="1"/>
      <c r="E4267" s="1"/>
      <c r="F4267" s="1"/>
      <c r="G4267" s="1"/>
      <c r="H4267" s="1"/>
      <c r="I4267" s="1"/>
      <c r="J4267" s="1"/>
      <c r="K4267" s="102" t="s">
        <v>6865</v>
      </c>
      <c r="L4267" s="102" t="str">
        <f>AA492</f>
        <v>J1a2a1a2d2b2b2c4d2a2a5a1e3b~</v>
      </c>
      <c r="M4267" s="102" t="s">
        <v>6864</v>
      </c>
      <c r="N4267" s="102"/>
      <c r="O4267" s="105">
        <v>2783173.0</v>
      </c>
      <c r="P4267" s="105">
        <v>2915132.0</v>
      </c>
      <c r="Q4267" s="102" t="s">
        <v>2439</v>
      </c>
      <c r="S4267" s="1"/>
      <c r="T4267" s="1"/>
      <c r="U4267" s="1"/>
      <c r="V4267" s="1"/>
      <c r="W4267" s="1"/>
      <c r="X4267" s="1"/>
      <c r="Y4267" s="1"/>
      <c r="AA4267" s="102"/>
      <c r="AB4267" s="1"/>
      <c r="AC4267" s="1"/>
      <c r="AD4267" s="1"/>
      <c r="AE4267" s="1"/>
      <c r="AF4267" s="1"/>
      <c r="AG4267" s="1"/>
    </row>
    <row r="4268" ht="15.75" customHeight="1">
      <c r="A4268" s="1"/>
      <c r="B4268" s="1"/>
      <c r="C4268" s="1"/>
      <c r="D4268" s="1"/>
      <c r="E4268" s="1"/>
      <c r="F4268" s="1"/>
      <c r="G4268" s="1"/>
      <c r="H4268" s="1"/>
      <c r="I4268" s="1"/>
      <c r="J4268" s="1"/>
      <c r="K4268" s="102" t="s">
        <v>6866</v>
      </c>
      <c r="L4268" s="102" t="str">
        <f>AA492</f>
        <v>J1a2a1a2d2b2b2c4d2a2a5a1e3b~</v>
      </c>
      <c r="M4268" s="102" t="s">
        <v>6867</v>
      </c>
      <c r="N4268" s="102"/>
      <c r="O4268" s="105">
        <v>8594986.0</v>
      </c>
      <c r="P4268" s="105">
        <v>8726945.0</v>
      </c>
      <c r="Q4268" s="102" t="s">
        <v>2432</v>
      </c>
      <c r="S4268" s="1"/>
      <c r="T4268" s="1"/>
      <c r="U4268" s="1"/>
      <c r="V4268" s="1"/>
      <c r="W4268" s="1"/>
      <c r="X4268" s="1"/>
      <c r="Y4268" s="1"/>
      <c r="AA4268" s="102"/>
      <c r="AB4268" s="1"/>
      <c r="AC4268" s="1"/>
      <c r="AD4268" s="1"/>
      <c r="AE4268" s="1"/>
      <c r="AF4268" s="1"/>
      <c r="AG4268" s="1"/>
    </row>
    <row r="4269" ht="15.75" customHeight="1">
      <c r="A4269" s="1"/>
      <c r="B4269" s="1"/>
      <c r="C4269" s="1"/>
      <c r="D4269" s="1"/>
      <c r="E4269" s="1"/>
      <c r="F4269" s="1"/>
      <c r="G4269" s="1"/>
      <c r="H4269" s="1"/>
      <c r="I4269" s="1"/>
      <c r="J4269" s="1"/>
      <c r="K4269" s="102" t="s">
        <v>6867</v>
      </c>
      <c r="L4269" s="102" t="str">
        <f>AA492</f>
        <v>J1a2a1a2d2b2b2c4d2a2a5a1e3b~</v>
      </c>
      <c r="M4269" s="102" t="s">
        <v>6866</v>
      </c>
      <c r="N4269" s="102"/>
      <c r="O4269" s="105">
        <v>8594986.0</v>
      </c>
      <c r="P4269" s="105">
        <v>8726945.0</v>
      </c>
      <c r="Q4269" s="102" t="s">
        <v>2432</v>
      </c>
      <c r="S4269" s="1"/>
      <c r="T4269" s="1"/>
      <c r="U4269" s="1"/>
      <c r="V4269" s="1"/>
      <c r="W4269" s="1"/>
      <c r="X4269" s="1"/>
      <c r="Y4269" s="1"/>
      <c r="AA4269" s="102"/>
      <c r="AB4269" s="1"/>
      <c r="AC4269" s="1"/>
      <c r="AD4269" s="1"/>
      <c r="AE4269" s="1"/>
      <c r="AF4269" s="1"/>
      <c r="AG4269" s="1"/>
    </row>
    <row r="4270" ht="15.75" customHeight="1">
      <c r="A4270" s="1"/>
      <c r="B4270" s="1"/>
      <c r="C4270" s="1"/>
      <c r="D4270" s="1"/>
      <c r="E4270" s="1"/>
      <c r="F4270" s="1"/>
      <c r="G4270" s="1"/>
      <c r="H4270" s="1"/>
      <c r="I4270" s="1"/>
      <c r="J4270" s="1"/>
      <c r="K4270" s="102" t="s">
        <v>6868</v>
      </c>
      <c r="L4270" s="102" t="str">
        <f>AA492</f>
        <v>J1a2a1a2d2b2b2c4d2a2a5a1e3b~</v>
      </c>
      <c r="M4270" s="102" t="s">
        <v>6869</v>
      </c>
      <c r="N4270" s="102"/>
      <c r="O4270" s="105">
        <v>1.5510084E7</v>
      </c>
      <c r="P4270" s="105">
        <v>1.3398204E7</v>
      </c>
      <c r="Q4270" s="102" t="s">
        <v>2423</v>
      </c>
      <c r="S4270" s="1"/>
      <c r="T4270" s="1"/>
      <c r="U4270" s="1"/>
      <c r="V4270" s="1"/>
      <c r="W4270" s="1"/>
      <c r="X4270" s="1"/>
      <c r="Y4270" s="1"/>
      <c r="AA4270" s="102"/>
      <c r="AB4270" s="1"/>
      <c r="AC4270" s="1"/>
      <c r="AD4270" s="1"/>
      <c r="AE4270" s="1"/>
      <c r="AF4270" s="1"/>
      <c r="AG4270" s="1"/>
    </row>
    <row r="4271" ht="15.75" customHeight="1">
      <c r="A4271" s="1"/>
      <c r="B4271" s="1"/>
      <c r="C4271" s="1"/>
      <c r="D4271" s="1"/>
      <c r="E4271" s="1"/>
      <c r="F4271" s="1"/>
      <c r="G4271" s="1"/>
      <c r="H4271" s="1"/>
      <c r="I4271" s="1"/>
      <c r="J4271" s="1"/>
      <c r="K4271" s="102" t="s">
        <v>6869</v>
      </c>
      <c r="L4271" s="102" t="str">
        <f>AA492</f>
        <v>J1a2a1a2d2b2b2c4d2a2a5a1e3b~</v>
      </c>
      <c r="M4271" s="102" t="s">
        <v>6868</v>
      </c>
      <c r="N4271" s="102"/>
      <c r="O4271" s="105">
        <v>1.5510084E7</v>
      </c>
      <c r="P4271" s="105">
        <v>1.3398204E7</v>
      </c>
      <c r="Q4271" s="102" t="s">
        <v>2423</v>
      </c>
      <c r="S4271" s="1"/>
      <c r="T4271" s="1"/>
      <c r="U4271" s="1"/>
      <c r="V4271" s="1"/>
      <c r="W4271" s="1"/>
      <c r="X4271" s="1"/>
      <c r="Y4271" s="1"/>
      <c r="AA4271" s="102"/>
      <c r="AB4271" s="1"/>
      <c r="AC4271" s="1"/>
      <c r="AD4271" s="1"/>
      <c r="AE4271" s="1"/>
      <c r="AF4271" s="1"/>
      <c r="AG4271" s="1"/>
    </row>
    <row r="4272" ht="15.75" customHeight="1">
      <c r="A4272" s="1"/>
      <c r="B4272" s="1"/>
      <c r="C4272" s="1"/>
      <c r="D4272" s="1"/>
      <c r="E4272" s="1"/>
      <c r="F4272" s="1"/>
      <c r="G4272" s="1"/>
      <c r="H4272" s="1"/>
      <c r="I4272" s="1"/>
      <c r="J4272" s="1"/>
      <c r="K4272" s="102" t="s">
        <v>6870</v>
      </c>
      <c r="L4272" s="102" t="str">
        <f>AA492</f>
        <v>J1a2a1a2d2b2b2c4d2a2a5a1e3b~</v>
      </c>
      <c r="M4272" s="102" t="s">
        <v>6871</v>
      </c>
      <c r="N4272" s="102"/>
      <c r="O4272" s="105">
        <v>2.4469829E7</v>
      </c>
      <c r="P4272" s="105">
        <v>2.2323682E7</v>
      </c>
      <c r="Q4272" s="102" t="s">
        <v>2439</v>
      </c>
      <c r="S4272" s="1"/>
      <c r="T4272" s="1"/>
      <c r="U4272" s="1"/>
      <c r="V4272" s="1"/>
      <c r="W4272" s="1"/>
      <c r="X4272" s="1"/>
      <c r="Y4272" s="1"/>
      <c r="AA4272" s="102"/>
      <c r="AB4272" s="1"/>
      <c r="AC4272" s="1"/>
      <c r="AD4272" s="1"/>
      <c r="AE4272" s="1"/>
      <c r="AF4272" s="1"/>
      <c r="AG4272" s="1"/>
    </row>
    <row r="4273" ht="15.75" customHeight="1">
      <c r="A4273" s="1"/>
      <c r="B4273" s="1"/>
      <c r="C4273" s="1"/>
      <c r="D4273" s="1"/>
      <c r="E4273" s="1"/>
      <c r="F4273" s="1"/>
      <c r="G4273" s="1"/>
      <c r="H4273" s="1"/>
      <c r="I4273" s="1"/>
      <c r="J4273" s="1"/>
      <c r="K4273" s="102" t="s">
        <v>6871</v>
      </c>
      <c r="L4273" s="102" t="str">
        <f>AA492</f>
        <v>J1a2a1a2d2b2b2c4d2a2a5a1e3b~</v>
      </c>
      <c r="M4273" s="102" t="s">
        <v>6870</v>
      </c>
      <c r="N4273" s="102"/>
      <c r="O4273" s="105">
        <v>2.4469829E7</v>
      </c>
      <c r="P4273" s="105">
        <v>2.2323682E7</v>
      </c>
      <c r="Q4273" s="102" t="s">
        <v>2439</v>
      </c>
      <c r="S4273" s="1"/>
      <c r="T4273" s="1"/>
      <c r="U4273" s="1"/>
      <c r="V4273" s="1"/>
      <c r="W4273" s="1"/>
      <c r="X4273" s="1"/>
      <c r="Y4273" s="1"/>
      <c r="AA4273" s="102"/>
      <c r="AB4273" s="1"/>
      <c r="AC4273" s="1"/>
      <c r="AD4273" s="1"/>
      <c r="AE4273" s="1"/>
      <c r="AF4273" s="1"/>
      <c r="AG4273" s="1"/>
    </row>
    <row r="4274" ht="15.75" customHeight="1">
      <c r="A4274" s="1"/>
      <c r="B4274" s="1"/>
      <c r="C4274" s="1"/>
      <c r="D4274" s="1"/>
      <c r="E4274" s="1"/>
      <c r="F4274" s="1"/>
      <c r="G4274" s="1"/>
      <c r="H4274" s="1"/>
      <c r="I4274" s="1"/>
      <c r="J4274" s="1"/>
      <c r="K4274" s="102" t="s">
        <v>6872</v>
      </c>
      <c r="L4274" s="102" t="str">
        <f>AA492</f>
        <v>J1a2a1a2d2b2b2c4d2a2a5a1e3b~</v>
      </c>
      <c r="M4274" s="102" t="s">
        <v>6873</v>
      </c>
      <c r="N4274" s="102"/>
      <c r="O4274" s="105">
        <v>1.4652889E7</v>
      </c>
      <c r="P4274" s="105">
        <v>1.2540954E7</v>
      </c>
      <c r="Q4274" s="102" t="s">
        <v>2439</v>
      </c>
      <c r="S4274" s="1"/>
      <c r="T4274" s="1"/>
      <c r="U4274" s="1"/>
      <c r="V4274" s="1"/>
      <c r="W4274" s="1"/>
      <c r="X4274" s="1"/>
      <c r="Y4274" s="1"/>
      <c r="AA4274" s="102"/>
      <c r="AB4274" s="1"/>
      <c r="AC4274" s="1"/>
      <c r="AD4274" s="1"/>
      <c r="AE4274" s="1"/>
      <c r="AF4274" s="1"/>
      <c r="AG4274" s="1"/>
    </row>
    <row r="4275" ht="15.75" customHeight="1">
      <c r="A4275" s="1"/>
      <c r="B4275" s="1"/>
      <c r="C4275" s="1"/>
      <c r="D4275" s="1"/>
      <c r="E4275" s="1"/>
      <c r="F4275" s="1"/>
      <c r="G4275" s="1"/>
      <c r="H4275" s="1"/>
      <c r="I4275" s="1"/>
      <c r="J4275" s="1"/>
      <c r="K4275" s="102" t="s">
        <v>6873</v>
      </c>
      <c r="L4275" s="102" t="str">
        <f>AA492</f>
        <v>J1a2a1a2d2b2b2c4d2a2a5a1e3b~</v>
      </c>
      <c r="M4275" s="102" t="s">
        <v>6872</v>
      </c>
      <c r="N4275" s="102"/>
      <c r="O4275" s="105">
        <v>1.4652889E7</v>
      </c>
      <c r="P4275" s="105">
        <v>1.2540954E7</v>
      </c>
      <c r="Q4275" s="102" t="s">
        <v>2439</v>
      </c>
      <c r="S4275" s="1"/>
      <c r="T4275" s="1"/>
      <c r="U4275" s="1"/>
      <c r="V4275" s="1"/>
      <c r="W4275" s="1"/>
      <c r="X4275" s="1"/>
      <c r="Y4275" s="1"/>
      <c r="AA4275" s="102"/>
      <c r="AB4275" s="1"/>
      <c r="AC4275" s="1"/>
      <c r="AD4275" s="1"/>
      <c r="AE4275" s="1"/>
      <c r="AF4275" s="1"/>
      <c r="AG4275" s="1"/>
    </row>
    <row r="4276" ht="15.75" customHeight="1">
      <c r="A4276" s="1"/>
      <c r="B4276" s="1"/>
      <c r="C4276" s="1"/>
      <c r="D4276" s="1"/>
      <c r="E4276" s="1"/>
      <c r="F4276" s="1"/>
      <c r="G4276" s="1"/>
      <c r="H4276" s="1"/>
      <c r="I4276" s="1"/>
      <c r="J4276" s="1"/>
      <c r="K4276" s="102" t="s">
        <v>6874</v>
      </c>
      <c r="L4276" s="102" t="str">
        <f>AA492</f>
        <v>J1a2a1a2d2b2b2c4d2a2a5a1e3b~</v>
      </c>
      <c r="M4276" s="102" t="s">
        <v>6875</v>
      </c>
      <c r="N4276" s="102"/>
      <c r="O4276" s="105">
        <v>2.4439812E7</v>
      </c>
      <c r="P4276" s="105">
        <v>2.2293665E7</v>
      </c>
      <c r="Q4276" s="102" t="s">
        <v>2468</v>
      </c>
      <c r="S4276" s="1"/>
      <c r="T4276" s="1"/>
      <c r="U4276" s="1"/>
      <c r="V4276" s="1"/>
      <c r="W4276" s="1"/>
      <c r="X4276" s="1"/>
      <c r="Y4276" s="1"/>
      <c r="AA4276" s="102"/>
      <c r="AB4276" s="1"/>
      <c r="AC4276" s="1"/>
      <c r="AD4276" s="1"/>
      <c r="AE4276" s="1"/>
      <c r="AF4276" s="1"/>
      <c r="AG4276" s="1"/>
    </row>
    <row r="4277" ht="15.75" customHeight="1">
      <c r="A4277" s="1"/>
      <c r="B4277" s="1"/>
      <c r="C4277" s="1"/>
      <c r="D4277" s="1"/>
      <c r="E4277" s="1"/>
      <c r="F4277" s="1"/>
      <c r="G4277" s="1"/>
      <c r="H4277" s="1"/>
      <c r="I4277" s="1"/>
      <c r="J4277" s="1"/>
      <c r="K4277" s="102" t="s">
        <v>6875</v>
      </c>
      <c r="L4277" s="102" t="str">
        <f>AA492</f>
        <v>J1a2a1a2d2b2b2c4d2a2a5a1e3b~</v>
      </c>
      <c r="M4277" s="102" t="s">
        <v>6874</v>
      </c>
      <c r="N4277" s="102"/>
      <c r="O4277" s="105">
        <v>2.4439812E7</v>
      </c>
      <c r="P4277" s="105">
        <v>2.2293665E7</v>
      </c>
      <c r="Q4277" s="102" t="s">
        <v>2468</v>
      </c>
      <c r="S4277" s="1"/>
      <c r="T4277" s="1"/>
      <c r="U4277" s="1"/>
      <c r="V4277" s="1"/>
      <c r="W4277" s="1"/>
      <c r="X4277" s="1"/>
      <c r="Y4277" s="1"/>
      <c r="AA4277" s="102"/>
      <c r="AB4277" s="1"/>
      <c r="AC4277" s="1"/>
      <c r="AD4277" s="1"/>
      <c r="AE4277" s="1"/>
      <c r="AF4277" s="1"/>
      <c r="AG4277" s="1"/>
    </row>
    <row r="4278" ht="15.75" customHeight="1">
      <c r="A4278" s="1"/>
      <c r="B4278" s="1"/>
      <c r="C4278" s="1"/>
      <c r="D4278" s="1"/>
      <c r="E4278" s="1"/>
      <c r="F4278" s="1"/>
      <c r="G4278" s="1"/>
      <c r="H4278" s="1"/>
      <c r="I4278" s="1"/>
      <c r="J4278" s="1"/>
      <c r="K4278" s="102" t="s">
        <v>6876</v>
      </c>
      <c r="L4278" s="102" t="str">
        <f>AA492</f>
        <v>J1a2a1a2d2b2b2c4d2a2a5a1e3b~</v>
      </c>
      <c r="M4278" s="102" t="s">
        <v>6877</v>
      </c>
      <c r="N4278" s="102"/>
      <c r="O4278" s="105">
        <v>1.3663155E7</v>
      </c>
      <c r="P4278" s="105">
        <v>1.1507479E7</v>
      </c>
      <c r="Q4278" s="102" t="s">
        <v>2454</v>
      </c>
      <c r="S4278" s="1"/>
      <c r="T4278" s="1"/>
      <c r="U4278" s="1"/>
      <c r="V4278" s="1"/>
      <c r="W4278" s="1"/>
      <c r="X4278" s="1"/>
      <c r="Y4278" s="1"/>
      <c r="AA4278" s="102"/>
      <c r="AB4278" s="1"/>
      <c r="AC4278" s="1"/>
      <c r="AD4278" s="1"/>
      <c r="AE4278" s="1"/>
      <c r="AF4278" s="1"/>
      <c r="AG4278" s="1"/>
    </row>
    <row r="4279" ht="15.75" customHeight="1">
      <c r="A4279" s="1"/>
      <c r="B4279" s="1"/>
      <c r="C4279" s="1"/>
      <c r="D4279" s="1"/>
      <c r="E4279" s="1"/>
      <c r="F4279" s="1"/>
      <c r="G4279" s="1"/>
      <c r="H4279" s="1"/>
      <c r="I4279" s="1"/>
      <c r="J4279" s="1"/>
      <c r="K4279" s="102" t="s">
        <v>6877</v>
      </c>
      <c r="L4279" s="102" t="str">
        <f>AA492</f>
        <v>J1a2a1a2d2b2b2c4d2a2a5a1e3b~</v>
      </c>
      <c r="M4279" s="102" t="s">
        <v>6876</v>
      </c>
      <c r="N4279" s="102"/>
      <c r="O4279" s="105">
        <v>1.3663155E7</v>
      </c>
      <c r="P4279" s="105">
        <v>1.1507479E7</v>
      </c>
      <c r="Q4279" s="102" t="s">
        <v>2454</v>
      </c>
      <c r="S4279" s="1"/>
      <c r="T4279" s="1"/>
      <c r="U4279" s="1"/>
      <c r="V4279" s="1"/>
      <c r="W4279" s="1"/>
      <c r="X4279" s="1"/>
      <c r="Y4279" s="1"/>
      <c r="AA4279" s="102"/>
      <c r="AB4279" s="1"/>
      <c r="AC4279" s="1"/>
      <c r="AD4279" s="1"/>
      <c r="AE4279" s="1"/>
      <c r="AF4279" s="1"/>
      <c r="AG4279" s="1"/>
    </row>
    <row r="4280" ht="15.75" customHeight="1">
      <c r="A4280" s="1"/>
      <c r="B4280" s="1"/>
      <c r="C4280" s="1"/>
      <c r="D4280" s="1"/>
      <c r="E4280" s="1"/>
      <c r="F4280" s="1"/>
      <c r="G4280" s="1"/>
      <c r="H4280" s="1"/>
      <c r="I4280" s="1"/>
      <c r="J4280" s="1"/>
      <c r="K4280" s="102" t="s">
        <v>6878</v>
      </c>
      <c r="L4280" s="102" t="str">
        <f>AB493</f>
        <v>J1a2a1a2d2b2b2c4d2a2a5a1e3b1~</v>
      </c>
      <c r="M4280" s="102"/>
      <c r="N4280" s="102"/>
      <c r="O4280" s="105">
        <v>1.4484273E7</v>
      </c>
      <c r="P4280" s="105">
        <v>1.2363542E7</v>
      </c>
      <c r="Q4280" s="102" t="s">
        <v>2501</v>
      </c>
      <c r="S4280" s="1"/>
      <c r="T4280" s="1"/>
      <c r="U4280" s="1"/>
      <c r="V4280" s="1"/>
      <c r="W4280" s="1"/>
      <c r="X4280" s="1"/>
      <c r="Y4280" s="1"/>
      <c r="AA4280" s="102"/>
      <c r="AB4280" s="1"/>
      <c r="AC4280" s="1"/>
      <c r="AD4280" s="1"/>
      <c r="AE4280" s="1"/>
      <c r="AF4280" s="1"/>
      <c r="AG4280" s="1"/>
    </row>
    <row r="4281" ht="15.75" customHeight="1">
      <c r="A4281" s="1"/>
      <c r="B4281" s="1"/>
      <c r="C4281" s="1"/>
      <c r="D4281" s="1"/>
      <c r="E4281" s="1"/>
      <c r="F4281" s="1"/>
      <c r="G4281" s="1"/>
      <c r="H4281" s="1"/>
      <c r="I4281" s="1"/>
      <c r="J4281" s="1"/>
      <c r="K4281" s="102" t="s">
        <v>6879</v>
      </c>
      <c r="L4281" s="102" t="str">
        <f>AB493</f>
        <v>J1a2a1a2d2b2b2c4d2a2a5a1e3b1~</v>
      </c>
      <c r="M4281" s="102"/>
      <c r="N4281" s="102"/>
      <c r="O4281" s="105">
        <v>2.257517E7</v>
      </c>
      <c r="P4281" s="105">
        <v>2.0413284E7</v>
      </c>
      <c r="Q4281" s="102" t="s">
        <v>2501</v>
      </c>
      <c r="S4281" s="1"/>
      <c r="T4281" s="1"/>
      <c r="U4281" s="1"/>
      <c r="V4281" s="1"/>
      <c r="W4281" s="1"/>
      <c r="X4281" s="1"/>
      <c r="Y4281" s="1"/>
      <c r="AA4281" s="102"/>
      <c r="AB4281" s="1"/>
      <c r="AC4281" s="1"/>
      <c r="AD4281" s="1"/>
      <c r="AE4281" s="1"/>
      <c r="AF4281" s="1"/>
      <c r="AG4281" s="1"/>
    </row>
    <row r="4282" ht="15.75" customHeight="1">
      <c r="A4282" s="1"/>
      <c r="B4282" s="1"/>
      <c r="C4282" s="1"/>
      <c r="D4282" s="1"/>
      <c r="E4282" s="1"/>
      <c r="F4282" s="1"/>
      <c r="G4282" s="1"/>
      <c r="H4282" s="1"/>
      <c r="I4282" s="1"/>
      <c r="J4282" s="1"/>
      <c r="K4282" s="102" t="s">
        <v>6880</v>
      </c>
      <c r="L4282" s="102" t="str">
        <f>AA494</f>
        <v>J1a2a1a2d2b2b2c4d2a2a5a1e3c~</v>
      </c>
      <c r="M4282" s="102" t="s">
        <v>6881</v>
      </c>
      <c r="N4282" s="102" t="s">
        <v>6882</v>
      </c>
      <c r="O4282" s="105">
        <v>2.1457929E7</v>
      </c>
      <c r="P4282" s="105">
        <v>1.9296043E7</v>
      </c>
      <c r="Q4282" s="102" t="s">
        <v>2533</v>
      </c>
      <c r="S4282" s="1"/>
      <c r="T4282" s="1"/>
      <c r="U4282" s="1"/>
      <c r="V4282" s="1"/>
      <c r="W4282" s="1"/>
      <c r="X4282" s="1"/>
      <c r="Y4282" s="1"/>
      <c r="AA4282" s="102"/>
      <c r="AB4282" s="1"/>
      <c r="AC4282" s="1"/>
      <c r="AD4282" s="1"/>
      <c r="AE4282" s="1"/>
      <c r="AF4282" s="1"/>
      <c r="AG4282" s="1"/>
    </row>
    <row r="4283" ht="15.75" customHeight="1">
      <c r="A4283" s="1"/>
      <c r="B4283" s="1"/>
      <c r="C4283" s="1"/>
      <c r="D4283" s="1"/>
      <c r="E4283" s="1"/>
      <c r="F4283" s="1"/>
      <c r="G4283" s="1"/>
      <c r="H4283" s="1"/>
      <c r="I4283" s="1"/>
      <c r="J4283" s="1"/>
      <c r="K4283" s="102" t="s">
        <v>6881</v>
      </c>
      <c r="L4283" s="102" t="str">
        <f>AA494</f>
        <v>J1a2a1a2d2b2b2c4d2a2a5a1e3c~</v>
      </c>
      <c r="M4283" s="102" t="s">
        <v>6880</v>
      </c>
      <c r="N4283" s="102" t="s">
        <v>6882</v>
      </c>
      <c r="O4283" s="105">
        <v>2.1457929E7</v>
      </c>
      <c r="P4283" s="105">
        <v>1.9296043E7</v>
      </c>
      <c r="Q4283" s="102" t="s">
        <v>2533</v>
      </c>
      <c r="S4283" s="1"/>
      <c r="T4283" s="1"/>
      <c r="U4283" s="1"/>
      <c r="V4283" s="1"/>
      <c r="W4283" s="1"/>
      <c r="X4283" s="1"/>
      <c r="Y4283" s="1"/>
      <c r="AA4283" s="102"/>
      <c r="AB4283" s="1"/>
      <c r="AC4283" s="1"/>
      <c r="AD4283" s="1"/>
      <c r="AE4283" s="1"/>
      <c r="AF4283" s="1"/>
      <c r="AG4283" s="1"/>
    </row>
    <row r="4284" ht="15.75" customHeight="1">
      <c r="A4284" s="1"/>
      <c r="B4284" s="1"/>
      <c r="C4284" s="1"/>
      <c r="D4284" s="1"/>
      <c r="E4284" s="1"/>
      <c r="F4284" s="1"/>
      <c r="G4284" s="1"/>
      <c r="H4284" s="1"/>
      <c r="I4284" s="1"/>
      <c r="J4284" s="1"/>
      <c r="K4284" s="102" t="s">
        <v>6883</v>
      </c>
      <c r="L4284" s="102" t="str">
        <f>AA494</f>
        <v>J1a2a1a2d2b2b2c4d2a2a5a1e3c~</v>
      </c>
      <c r="M4284" s="102"/>
      <c r="N4284" s="102" t="s">
        <v>6884</v>
      </c>
      <c r="O4284" s="105">
        <v>1.432291E7</v>
      </c>
      <c r="P4284" s="105">
        <v>1.2202204E7</v>
      </c>
      <c r="Q4284" s="102" t="s">
        <v>2501</v>
      </c>
      <c r="S4284" s="1"/>
      <c r="T4284" s="1"/>
      <c r="U4284" s="1"/>
      <c r="V4284" s="1"/>
      <c r="W4284" s="1"/>
      <c r="X4284" s="1"/>
      <c r="Y4284" s="1"/>
      <c r="AA4284" s="102"/>
      <c r="AB4284" s="1"/>
      <c r="AC4284" s="1"/>
      <c r="AD4284" s="1"/>
      <c r="AE4284" s="1"/>
      <c r="AF4284" s="1"/>
      <c r="AG4284" s="1"/>
    </row>
    <row r="4285" ht="15.75" customHeight="1">
      <c r="A4285" s="1"/>
      <c r="B4285" s="1"/>
      <c r="C4285" s="1"/>
      <c r="D4285" s="1"/>
      <c r="E4285" s="1"/>
      <c r="F4285" s="1"/>
      <c r="G4285" s="1"/>
      <c r="H4285" s="1"/>
      <c r="I4285" s="1"/>
      <c r="J4285" s="1"/>
      <c r="K4285" s="102" t="s">
        <v>6885</v>
      </c>
      <c r="L4285" s="102" t="str">
        <f>AB495</f>
        <v>J1a2a1a2d2b2b2c4d2a2a5a1e3c1~</v>
      </c>
      <c r="M4285" s="102" t="s">
        <v>6886</v>
      </c>
      <c r="N4285" s="102"/>
      <c r="O4285" s="105">
        <v>6951555.0</v>
      </c>
      <c r="P4285" s="105">
        <v>7083514.0</v>
      </c>
      <c r="Q4285" s="102" t="s">
        <v>2439</v>
      </c>
      <c r="S4285" s="1"/>
      <c r="T4285" s="1"/>
      <c r="U4285" s="1"/>
      <c r="V4285" s="1"/>
      <c r="W4285" s="1"/>
      <c r="X4285" s="1"/>
      <c r="Y4285" s="1"/>
      <c r="AA4285" s="102"/>
      <c r="AB4285" s="1"/>
      <c r="AC4285" s="1"/>
      <c r="AD4285" s="1"/>
      <c r="AE4285" s="1"/>
      <c r="AF4285" s="1"/>
      <c r="AG4285" s="1"/>
    </row>
    <row r="4286" ht="15.75" customHeight="1">
      <c r="A4286" s="1"/>
      <c r="B4286" s="1"/>
      <c r="C4286" s="1"/>
      <c r="D4286" s="1"/>
      <c r="E4286" s="1"/>
      <c r="F4286" s="1"/>
      <c r="G4286" s="1"/>
      <c r="H4286" s="1"/>
      <c r="I4286" s="1"/>
      <c r="J4286" s="1"/>
      <c r="K4286" s="102" t="s">
        <v>6887</v>
      </c>
      <c r="L4286" s="102" t="str">
        <f>AB495</f>
        <v>J1a2a1a2d2b2b2c4d2a2a5a1e3c1~</v>
      </c>
      <c r="M4286" s="102" t="s">
        <v>6888</v>
      </c>
      <c r="N4286" s="102"/>
      <c r="O4286" s="105">
        <v>6951555.0</v>
      </c>
      <c r="P4286" s="105">
        <v>7083514.0</v>
      </c>
      <c r="Q4286" s="102" t="s">
        <v>2439</v>
      </c>
      <c r="S4286" s="1"/>
      <c r="T4286" s="1"/>
      <c r="U4286" s="1"/>
      <c r="V4286" s="1"/>
      <c r="W4286" s="1"/>
      <c r="X4286" s="1"/>
      <c r="Y4286" s="1"/>
      <c r="AA4286" s="102"/>
      <c r="AB4286" s="1"/>
      <c r="AC4286" s="1"/>
      <c r="AD4286" s="1"/>
      <c r="AE4286" s="1"/>
      <c r="AF4286" s="1"/>
      <c r="AG4286" s="1"/>
    </row>
    <row r="4287" ht="15.75" customHeight="1">
      <c r="A4287" s="1"/>
      <c r="B4287" s="1"/>
      <c r="C4287" s="1"/>
      <c r="D4287" s="1"/>
      <c r="E4287" s="1"/>
      <c r="F4287" s="1"/>
      <c r="G4287" s="1"/>
      <c r="H4287" s="1"/>
      <c r="I4287" s="1"/>
      <c r="J4287" s="1"/>
      <c r="K4287" s="102" t="s">
        <v>6889</v>
      </c>
      <c r="L4287" s="102" t="str">
        <f>AB495</f>
        <v>J1a2a1a2d2b2b2c4d2a2a5a1e3c1~</v>
      </c>
      <c r="M4287" s="102" t="s">
        <v>6890</v>
      </c>
      <c r="N4287" s="102"/>
      <c r="O4287" s="105">
        <v>6951555.0</v>
      </c>
      <c r="P4287" s="105">
        <v>7083514.0</v>
      </c>
      <c r="Q4287" s="102" t="s">
        <v>2439</v>
      </c>
      <c r="S4287" s="1"/>
      <c r="T4287" s="1"/>
      <c r="U4287" s="1"/>
      <c r="V4287" s="1"/>
      <c r="W4287" s="1"/>
      <c r="X4287" s="1"/>
      <c r="Y4287" s="1"/>
      <c r="AA4287" s="102"/>
      <c r="AB4287" s="1"/>
      <c r="AC4287" s="1"/>
      <c r="AD4287" s="1"/>
      <c r="AE4287" s="1"/>
      <c r="AF4287" s="1"/>
      <c r="AG4287" s="1"/>
    </row>
    <row r="4288" ht="15.75" customHeight="1">
      <c r="A4288" s="1"/>
      <c r="B4288" s="1"/>
      <c r="C4288" s="1"/>
      <c r="D4288" s="1"/>
      <c r="E4288" s="1"/>
      <c r="F4288" s="1"/>
      <c r="G4288" s="1"/>
      <c r="H4288" s="1"/>
      <c r="I4288" s="1"/>
      <c r="J4288" s="1"/>
      <c r="K4288" s="102" t="s">
        <v>6891</v>
      </c>
      <c r="L4288" s="102" t="str">
        <f>AB495</f>
        <v>J1a2a1a2d2b2b2c4d2a2a5a1e3c1~</v>
      </c>
      <c r="M4288" s="102" t="s">
        <v>6892</v>
      </c>
      <c r="N4288" s="102" t="s">
        <v>6893</v>
      </c>
      <c r="O4288" s="105">
        <v>1.494662E7</v>
      </c>
      <c r="P4288" s="105">
        <v>1.2834694E7</v>
      </c>
      <c r="Q4288" s="102" t="s">
        <v>2514</v>
      </c>
      <c r="S4288" s="1"/>
      <c r="T4288" s="1"/>
      <c r="U4288" s="1"/>
      <c r="V4288" s="1"/>
      <c r="W4288" s="1"/>
      <c r="X4288" s="1"/>
      <c r="Y4288" s="1"/>
      <c r="AA4288" s="102"/>
      <c r="AB4288" s="1"/>
      <c r="AC4288" s="1"/>
      <c r="AD4288" s="1"/>
      <c r="AE4288" s="1"/>
      <c r="AF4288" s="1"/>
      <c r="AG4288" s="1"/>
    </row>
    <row r="4289" ht="15.75" customHeight="1">
      <c r="A4289" s="1"/>
      <c r="B4289" s="1"/>
      <c r="C4289" s="1"/>
      <c r="D4289" s="1"/>
      <c r="E4289" s="1"/>
      <c r="F4289" s="1"/>
      <c r="G4289" s="1"/>
      <c r="H4289" s="1"/>
      <c r="I4289" s="1"/>
      <c r="J4289" s="1"/>
      <c r="K4289" s="102" t="s">
        <v>6892</v>
      </c>
      <c r="L4289" s="102" t="str">
        <f>AB495</f>
        <v>J1a2a1a2d2b2b2c4d2a2a5a1e3c1~</v>
      </c>
      <c r="M4289" s="102" t="s">
        <v>6891</v>
      </c>
      <c r="N4289" s="102" t="s">
        <v>6893</v>
      </c>
      <c r="O4289" s="105">
        <v>1.494662E7</v>
      </c>
      <c r="P4289" s="105">
        <v>1.2834694E7</v>
      </c>
      <c r="Q4289" s="102" t="s">
        <v>2514</v>
      </c>
      <c r="S4289" s="1"/>
      <c r="T4289" s="1"/>
      <c r="U4289" s="1"/>
      <c r="V4289" s="1"/>
      <c r="W4289" s="1"/>
      <c r="X4289" s="1"/>
      <c r="Y4289" s="1"/>
      <c r="AA4289" s="102"/>
      <c r="AB4289" s="1"/>
      <c r="AC4289" s="1"/>
      <c r="AD4289" s="1"/>
      <c r="AE4289" s="1"/>
      <c r="AF4289" s="1"/>
      <c r="AG4289" s="1"/>
    </row>
    <row r="4290" ht="15.75" customHeight="1">
      <c r="A4290" s="1"/>
      <c r="B4290" s="1"/>
      <c r="C4290" s="1"/>
      <c r="D4290" s="1"/>
      <c r="E4290" s="1"/>
      <c r="F4290" s="1"/>
      <c r="G4290" s="1"/>
      <c r="H4290" s="1"/>
      <c r="I4290" s="1"/>
      <c r="J4290" s="1"/>
      <c r="K4290" s="102" t="s">
        <v>6894</v>
      </c>
      <c r="L4290" s="102" t="str">
        <f>AC496</f>
        <v>J1a2a1a2d2b2b2c4d2a2a5a1e3c1a~</v>
      </c>
      <c r="M4290" s="102"/>
      <c r="N4290" s="102"/>
      <c r="O4290" s="105">
        <v>2.1150443E7</v>
      </c>
      <c r="P4290" s="105">
        <v>1.8988557E7</v>
      </c>
      <c r="Q4290" s="102" t="s">
        <v>2468</v>
      </c>
      <c r="S4290" s="1"/>
      <c r="T4290" s="1"/>
      <c r="U4290" s="1"/>
      <c r="V4290" s="1"/>
      <c r="W4290" s="1"/>
      <c r="X4290" s="1"/>
      <c r="Y4290" s="1"/>
      <c r="AA4290" s="102"/>
      <c r="AB4290" s="1"/>
      <c r="AC4290" s="1"/>
      <c r="AD4290" s="1"/>
      <c r="AE4290" s="1"/>
      <c r="AF4290" s="1"/>
      <c r="AG4290" s="1"/>
    </row>
    <row r="4291" ht="15.75" customHeight="1">
      <c r="A4291" s="1"/>
      <c r="B4291" s="1"/>
      <c r="C4291" s="1"/>
      <c r="D4291" s="1"/>
      <c r="E4291" s="1"/>
      <c r="F4291" s="1"/>
      <c r="G4291" s="1"/>
      <c r="H4291" s="1"/>
      <c r="I4291" s="1"/>
      <c r="J4291" s="1"/>
      <c r="K4291" s="102" t="s">
        <v>6895</v>
      </c>
      <c r="L4291" s="102" t="str">
        <f>AC496</f>
        <v>J1a2a1a2d2b2b2c4d2a2a5a1e3c1a~</v>
      </c>
      <c r="M4291" s="102"/>
      <c r="N4291" s="102"/>
      <c r="O4291" s="105">
        <v>2.4454065E7</v>
      </c>
      <c r="P4291" s="105">
        <v>2.2307918E7</v>
      </c>
      <c r="Q4291" s="102" t="s">
        <v>2533</v>
      </c>
      <c r="S4291" s="1"/>
      <c r="T4291" s="1"/>
      <c r="U4291" s="1"/>
      <c r="V4291" s="1"/>
      <c r="W4291" s="1"/>
      <c r="X4291" s="1"/>
      <c r="Y4291" s="1"/>
      <c r="AA4291" s="102"/>
      <c r="AB4291" s="1"/>
      <c r="AC4291" s="1"/>
      <c r="AD4291" s="1"/>
      <c r="AE4291" s="1"/>
      <c r="AF4291" s="1"/>
      <c r="AG4291" s="1"/>
    </row>
    <row r="4292" ht="15.75" customHeight="1">
      <c r="A4292" s="1"/>
      <c r="B4292" s="1"/>
      <c r="C4292" s="1"/>
      <c r="D4292" s="1"/>
      <c r="E4292" s="1"/>
      <c r="F4292" s="1"/>
      <c r="G4292" s="1"/>
      <c r="H4292" s="1"/>
      <c r="I4292" s="1"/>
      <c r="J4292" s="1"/>
      <c r="K4292" s="102" t="s">
        <v>6896</v>
      </c>
      <c r="L4292" s="102" t="str">
        <f>AC496</f>
        <v>J1a2a1a2d2b2b2c4d2a2a5a1e3c1a~</v>
      </c>
      <c r="M4292" s="102"/>
      <c r="N4292" s="102"/>
      <c r="O4292" s="105">
        <v>2.4458148E7</v>
      </c>
      <c r="P4292" s="105">
        <v>2.2312001E7</v>
      </c>
      <c r="Q4292" s="102" t="s">
        <v>2439</v>
      </c>
      <c r="S4292" s="1"/>
      <c r="T4292" s="1"/>
      <c r="U4292" s="1"/>
      <c r="V4292" s="1"/>
      <c r="W4292" s="1"/>
      <c r="X4292" s="1"/>
      <c r="Y4292" s="1"/>
      <c r="AA4292" s="102"/>
      <c r="AB4292" s="1"/>
      <c r="AC4292" s="1"/>
      <c r="AD4292" s="1"/>
      <c r="AE4292" s="1"/>
      <c r="AF4292" s="1"/>
      <c r="AG4292" s="1"/>
    </row>
    <row r="4293" ht="15.75" customHeight="1">
      <c r="A4293" s="1"/>
      <c r="B4293" s="1"/>
      <c r="C4293" s="1"/>
      <c r="D4293" s="1"/>
      <c r="E4293" s="1"/>
      <c r="F4293" s="1"/>
      <c r="G4293" s="1"/>
      <c r="H4293" s="1"/>
      <c r="I4293" s="1"/>
      <c r="J4293" s="1"/>
      <c r="K4293" s="102" t="s">
        <v>6897</v>
      </c>
      <c r="L4293" s="102" t="str">
        <f>AA497</f>
        <v>J1a2a1a2d2b2b2c4d2a2a5a1e3d~</v>
      </c>
      <c r="M4293" s="102" t="s">
        <v>6898</v>
      </c>
      <c r="N4293" s="102" t="s">
        <v>6899</v>
      </c>
      <c r="O4293" s="105">
        <v>1.5867745E7</v>
      </c>
      <c r="P4293" s="105">
        <v>1.3755865E7</v>
      </c>
      <c r="Q4293" s="102" t="s">
        <v>2439</v>
      </c>
      <c r="S4293" s="1"/>
      <c r="T4293" s="1"/>
      <c r="U4293" s="1"/>
      <c r="V4293" s="1"/>
      <c r="W4293" s="1"/>
      <c r="X4293" s="1"/>
      <c r="Y4293" s="1"/>
      <c r="AA4293" s="102"/>
      <c r="AB4293" s="1"/>
      <c r="AC4293" s="1"/>
      <c r="AD4293" s="1"/>
      <c r="AE4293" s="1"/>
      <c r="AF4293" s="1"/>
      <c r="AG4293" s="1"/>
    </row>
    <row r="4294" ht="15.75" customHeight="1">
      <c r="A4294" s="1"/>
      <c r="B4294" s="1"/>
      <c r="C4294" s="1"/>
      <c r="D4294" s="1"/>
      <c r="E4294" s="1"/>
      <c r="F4294" s="1"/>
      <c r="G4294" s="1"/>
      <c r="H4294" s="1"/>
      <c r="I4294" s="1"/>
      <c r="J4294" s="1"/>
      <c r="K4294" s="102" t="s">
        <v>6898</v>
      </c>
      <c r="L4294" s="102" t="str">
        <f>AA497</f>
        <v>J1a2a1a2d2b2b2c4d2a2a5a1e3d~</v>
      </c>
      <c r="M4294" s="102" t="s">
        <v>6897</v>
      </c>
      <c r="N4294" s="102" t="s">
        <v>6899</v>
      </c>
      <c r="O4294" s="105">
        <v>1.5867745E7</v>
      </c>
      <c r="P4294" s="105">
        <v>1.3755865E7</v>
      </c>
      <c r="Q4294" s="102" t="s">
        <v>2439</v>
      </c>
      <c r="S4294" s="1"/>
      <c r="T4294" s="1"/>
      <c r="U4294" s="1"/>
      <c r="V4294" s="1"/>
      <c r="W4294" s="1"/>
      <c r="X4294" s="1"/>
      <c r="Y4294" s="1"/>
      <c r="AA4294" s="102"/>
      <c r="AB4294" s="1"/>
      <c r="AC4294" s="1"/>
      <c r="AD4294" s="1"/>
      <c r="AE4294" s="1"/>
      <c r="AF4294" s="1"/>
      <c r="AG4294" s="1"/>
    </row>
    <row r="4295" ht="15.75" customHeight="1">
      <c r="A4295" s="1"/>
      <c r="B4295" s="1"/>
      <c r="C4295" s="1"/>
      <c r="D4295" s="1"/>
      <c r="E4295" s="1"/>
      <c r="F4295" s="1"/>
      <c r="G4295" s="1"/>
      <c r="H4295" s="1"/>
      <c r="I4295" s="1"/>
      <c r="J4295" s="1"/>
      <c r="K4295" s="102" t="s">
        <v>6900</v>
      </c>
      <c r="L4295" s="102" t="str">
        <f>AA497</f>
        <v>J1a2a1a2d2b2b2c4d2a2a5a1e3d~</v>
      </c>
      <c r="M4295" s="102"/>
      <c r="N4295" s="102" t="s">
        <v>6901</v>
      </c>
      <c r="O4295" s="105">
        <v>2.2209321E7</v>
      </c>
      <c r="P4295" s="105">
        <v>2.0047435E7</v>
      </c>
      <c r="Q4295" s="102" t="s">
        <v>2576</v>
      </c>
      <c r="S4295" s="1"/>
      <c r="T4295" s="1"/>
      <c r="U4295" s="1"/>
      <c r="V4295" s="1"/>
      <c r="W4295" s="1"/>
      <c r="X4295" s="1"/>
      <c r="Y4295" s="1"/>
      <c r="AA4295" s="102"/>
      <c r="AB4295" s="1"/>
      <c r="AC4295" s="1"/>
      <c r="AD4295" s="1"/>
      <c r="AE4295" s="1"/>
      <c r="AF4295" s="1"/>
      <c r="AG4295" s="1"/>
    </row>
    <row r="4296" ht="15.75" customHeight="1">
      <c r="A4296" s="1"/>
      <c r="B4296" s="1"/>
      <c r="C4296" s="1"/>
      <c r="D4296" s="1"/>
      <c r="E4296" s="1"/>
      <c r="F4296" s="1"/>
      <c r="G4296" s="1"/>
      <c r="H4296" s="1"/>
      <c r="I4296" s="1"/>
      <c r="J4296" s="1"/>
      <c r="K4296" s="102" t="s">
        <v>6902</v>
      </c>
      <c r="L4296" s="102" t="str">
        <f>AB498</f>
        <v>J1a2a1a2d2b2b2c4d2a2a5a1e3d1~</v>
      </c>
      <c r="M4296" s="102" t="s">
        <v>6903</v>
      </c>
      <c r="N4296" s="102" t="s">
        <v>6904</v>
      </c>
      <c r="O4296" s="105">
        <v>7612461.0</v>
      </c>
      <c r="P4296" s="105">
        <v>7744420.0</v>
      </c>
      <c r="Q4296" s="102" t="s">
        <v>2514</v>
      </c>
      <c r="S4296" s="1"/>
      <c r="T4296" s="1"/>
      <c r="U4296" s="1"/>
      <c r="V4296" s="1"/>
      <c r="W4296" s="1"/>
      <c r="X4296" s="1"/>
      <c r="Y4296" s="1"/>
      <c r="AA4296" s="102"/>
      <c r="AB4296" s="1"/>
      <c r="AC4296" s="1"/>
      <c r="AD4296" s="1"/>
      <c r="AE4296" s="1"/>
      <c r="AF4296" s="1"/>
      <c r="AG4296" s="1"/>
    </row>
    <row r="4297" ht="15.75" customHeight="1">
      <c r="A4297" s="1"/>
      <c r="B4297" s="1"/>
      <c r="C4297" s="1"/>
      <c r="D4297" s="1"/>
      <c r="E4297" s="1"/>
      <c r="F4297" s="1"/>
      <c r="G4297" s="1"/>
      <c r="H4297" s="1"/>
      <c r="I4297" s="1"/>
      <c r="J4297" s="1"/>
      <c r="K4297" s="102" t="s">
        <v>6903</v>
      </c>
      <c r="L4297" s="102" t="str">
        <f>AB498</f>
        <v>J1a2a1a2d2b2b2c4d2a2a5a1e3d1~</v>
      </c>
      <c r="M4297" s="102" t="s">
        <v>6902</v>
      </c>
      <c r="N4297" s="102" t="s">
        <v>6904</v>
      </c>
      <c r="O4297" s="105">
        <v>7612461.0</v>
      </c>
      <c r="P4297" s="105">
        <v>7744420.0</v>
      </c>
      <c r="Q4297" s="102" t="s">
        <v>2514</v>
      </c>
      <c r="S4297" s="1"/>
      <c r="T4297" s="1"/>
      <c r="U4297" s="1"/>
      <c r="V4297" s="1"/>
      <c r="W4297" s="1"/>
      <c r="X4297" s="1"/>
      <c r="Y4297" s="1"/>
      <c r="AA4297" s="102"/>
      <c r="AB4297" s="1"/>
      <c r="AC4297" s="1"/>
      <c r="AD4297" s="1"/>
      <c r="AE4297" s="1"/>
      <c r="AF4297" s="1"/>
      <c r="AG4297" s="1"/>
    </row>
    <row r="4298" ht="15.75" customHeight="1">
      <c r="A4298" s="1"/>
      <c r="B4298" s="1"/>
      <c r="C4298" s="1"/>
      <c r="D4298" s="1"/>
      <c r="E4298" s="1"/>
      <c r="F4298" s="1"/>
      <c r="G4298" s="1"/>
      <c r="H4298" s="1"/>
      <c r="I4298" s="1"/>
      <c r="J4298" s="1"/>
      <c r="K4298" s="102" t="s">
        <v>6905</v>
      </c>
      <c r="L4298" s="102" t="str">
        <f>AB498</f>
        <v>J1a2a1a2d2b2b2c4d2a2a5a1e3d1~</v>
      </c>
      <c r="M4298" s="102" t="s">
        <v>6906</v>
      </c>
      <c r="N4298" s="102" t="s">
        <v>6907</v>
      </c>
      <c r="O4298" s="105">
        <v>7869650.0</v>
      </c>
      <c r="P4298" s="105">
        <v>8001609.0</v>
      </c>
      <c r="Q4298" s="102" t="s">
        <v>2432</v>
      </c>
      <c r="S4298" s="1"/>
      <c r="T4298" s="1"/>
      <c r="U4298" s="1"/>
      <c r="V4298" s="1"/>
      <c r="W4298" s="1"/>
      <c r="X4298" s="1"/>
      <c r="Y4298" s="1"/>
      <c r="AA4298" s="102"/>
      <c r="AB4298" s="1"/>
      <c r="AC4298" s="1"/>
      <c r="AD4298" s="1"/>
      <c r="AE4298" s="1"/>
      <c r="AF4298" s="1"/>
      <c r="AG4298" s="1"/>
    </row>
    <row r="4299" ht="15.75" customHeight="1">
      <c r="A4299" s="1"/>
      <c r="B4299" s="1"/>
      <c r="C4299" s="1"/>
      <c r="D4299" s="1"/>
      <c r="E4299" s="1"/>
      <c r="F4299" s="1"/>
      <c r="G4299" s="1"/>
      <c r="H4299" s="1"/>
      <c r="I4299" s="1"/>
      <c r="J4299" s="1"/>
      <c r="K4299" s="102" t="s">
        <v>6906</v>
      </c>
      <c r="L4299" s="102" t="str">
        <f>AB498</f>
        <v>J1a2a1a2d2b2b2c4d2a2a5a1e3d1~</v>
      </c>
      <c r="M4299" s="102" t="s">
        <v>6905</v>
      </c>
      <c r="N4299" s="102" t="s">
        <v>6907</v>
      </c>
      <c r="O4299" s="105">
        <v>7869650.0</v>
      </c>
      <c r="P4299" s="105">
        <v>8001609.0</v>
      </c>
      <c r="Q4299" s="102" t="s">
        <v>2432</v>
      </c>
      <c r="S4299" s="1"/>
      <c r="T4299" s="1"/>
      <c r="U4299" s="1"/>
      <c r="V4299" s="1"/>
      <c r="W4299" s="1"/>
      <c r="X4299" s="1"/>
      <c r="Y4299" s="1"/>
      <c r="AA4299" s="102"/>
      <c r="AB4299" s="1"/>
      <c r="AC4299" s="1"/>
      <c r="AD4299" s="1"/>
      <c r="AE4299" s="1"/>
      <c r="AF4299" s="1"/>
      <c r="AG4299" s="1"/>
    </row>
    <row r="4300" ht="15.75" customHeight="1">
      <c r="A4300" s="1"/>
      <c r="B4300" s="1"/>
      <c r="C4300" s="1"/>
      <c r="D4300" s="1"/>
      <c r="E4300" s="1"/>
      <c r="F4300" s="1"/>
      <c r="G4300" s="1"/>
      <c r="H4300" s="1"/>
      <c r="I4300" s="1"/>
      <c r="J4300" s="1"/>
      <c r="K4300" s="102" t="s">
        <v>6908</v>
      </c>
      <c r="L4300" s="102" t="str">
        <f>AB498</f>
        <v>J1a2a1a2d2b2b2c4d2a2a5a1e3d1~</v>
      </c>
      <c r="M4300" s="102" t="s">
        <v>6909</v>
      </c>
      <c r="N4300" s="102" t="s">
        <v>6910</v>
      </c>
      <c r="O4300" s="105">
        <v>1.4286291E7</v>
      </c>
      <c r="P4300" s="105">
        <v>1.2165585E7</v>
      </c>
      <c r="Q4300" s="102" t="s">
        <v>2529</v>
      </c>
      <c r="S4300" s="1"/>
      <c r="T4300" s="1"/>
      <c r="U4300" s="1"/>
      <c r="V4300" s="1"/>
      <c r="W4300" s="1"/>
      <c r="X4300" s="1"/>
      <c r="Y4300" s="1"/>
      <c r="AA4300" s="102"/>
      <c r="AB4300" s="1"/>
      <c r="AC4300" s="1"/>
      <c r="AD4300" s="1"/>
      <c r="AE4300" s="1"/>
      <c r="AF4300" s="1"/>
      <c r="AG4300" s="1"/>
    </row>
    <row r="4301" ht="15.75" customHeight="1">
      <c r="A4301" s="1"/>
      <c r="B4301" s="1"/>
      <c r="C4301" s="1"/>
      <c r="D4301" s="1"/>
      <c r="E4301" s="1"/>
      <c r="F4301" s="1"/>
      <c r="G4301" s="1"/>
      <c r="H4301" s="1"/>
      <c r="I4301" s="1"/>
      <c r="J4301" s="1"/>
      <c r="K4301" s="102" t="s">
        <v>6909</v>
      </c>
      <c r="L4301" s="102" t="str">
        <f>AB498</f>
        <v>J1a2a1a2d2b2b2c4d2a2a5a1e3d1~</v>
      </c>
      <c r="M4301" s="102" t="s">
        <v>6908</v>
      </c>
      <c r="N4301" s="102" t="s">
        <v>6910</v>
      </c>
      <c r="O4301" s="105">
        <v>1.4286291E7</v>
      </c>
      <c r="P4301" s="105">
        <v>1.2165585E7</v>
      </c>
      <c r="Q4301" s="102" t="s">
        <v>2529</v>
      </c>
      <c r="S4301" s="1"/>
      <c r="T4301" s="1"/>
      <c r="U4301" s="1"/>
      <c r="V4301" s="1"/>
      <c r="W4301" s="1"/>
      <c r="X4301" s="1"/>
      <c r="Y4301" s="1"/>
      <c r="AA4301" s="102"/>
      <c r="AB4301" s="1"/>
      <c r="AC4301" s="1"/>
      <c r="AD4301" s="1"/>
      <c r="AE4301" s="1"/>
      <c r="AF4301" s="1"/>
      <c r="AG4301" s="1"/>
    </row>
    <row r="4302" ht="15.75" customHeight="1">
      <c r="A4302" s="1"/>
      <c r="B4302" s="1"/>
      <c r="C4302" s="1"/>
      <c r="D4302" s="1"/>
      <c r="E4302" s="1"/>
      <c r="F4302" s="1"/>
      <c r="G4302" s="1"/>
      <c r="H4302" s="1"/>
      <c r="I4302" s="1"/>
      <c r="J4302" s="1"/>
      <c r="K4302" s="102" t="s">
        <v>6911</v>
      </c>
      <c r="L4302" s="102" t="str">
        <f>AB498</f>
        <v>J1a2a1a2d2b2b2c4d2a2a5a1e3d1~</v>
      </c>
      <c r="M4302" s="102" t="s">
        <v>6912</v>
      </c>
      <c r="N4302" s="102" t="s">
        <v>6913</v>
      </c>
      <c r="O4302" s="105">
        <v>1.6249134E7</v>
      </c>
      <c r="P4302" s="105">
        <v>1.4137254E7</v>
      </c>
      <c r="Q4302" s="102" t="s">
        <v>2454</v>
      </c>
      <c r="S4302" s="1"/>
      <c r="T4302" s="1"/>
      <c r="U4302" s="1"/>
      <c r="V4302" s="1"/>
      <c r="W4302" s="1"/>
      <c r="X4302" s="1"/>
      <c r="Y4302" s="1"/>
      <c r="AA4302" s="102"/>
      <c r="AB4302" s="1"/>
      <c r="AC4302" s="1"/>
      <c r="AD4302" s="1"/>
      <c r="AE4302" s="1"/>
      <c r="AF4302" s="1"/>
      <c r="AG4302" s="1"/>
    </row>
    <row r="4303" ht="15.75" customHeight="1">
      <c r="A4303" s="1"/>
      <c r="B4303" s="1"/>
      <c r="C4303" s="1"/>
      <c r="D4303" s="1"/>
      <c r="E4303" s="1"/>
      <c r="F4303" s="1"/>
      <c r="G4303" s="1"/>
      <c r="H4303" s="1"/>
      <c r="I4303" s="1"/>
      <c r="J4303" s="1"/>
      <c r="K4303" s="102" t="s">
        <v>6912</v>
      </c>
      <c r="L4303" s="102" t="str">
        <f>AB498</f>
        <v>J1a2a1a2d2b2b2c4d2a2a5a1e3d1~</v>
      </c>
      <c r="M4303" s="102" t="s">
        <v>6911</v>
      </c>
      <c r="N4303" s="102" t="s">
        <v>6913</v>
      </c>
      <c r="O4303" s="105">
        <v>1.6249134E7</v>
      </c>
      <c r="P4303" s="105">
        <v>1.4137254E7</v>
      </c>
      <c r="Q4303" s="102" t="s">
        <v>2454</v>
      </c>
      <c r="S4303" s="1"/>
      <c r="T4303" s="1"/>
      <c r="U4303" s="1"/>
      <c r="V4303" s="1"/>
      <c r="W4303" s="1"/>
      <c r="X4303" s="1"/>
      <c r="Y4303" s="1"/>
      <c r="AA4303" s="102"/>
      <c r="AB4303" s="1"/>
      <c r="AC4303" s="1"/>
      <c r="AD4303" s="1"/>
      <c r="AE4303" s="1"/>
      <c r="AF4303" s="1"/>
      <c r="AG4303" s="1"/>
    </row>
    <row r="4304" ht="15.75" customHeight="1">
      <c r="A4304" s="1"/>
      <c r="B4304" s="1"/>
      <c r="C4304" s="1"/>
      <c r="D4304" s="1"/>
      <c r="E4304" s="1"/>
      <c r="F4304" s="1"/>
      <c r="G4304" s="1"/>
      <c r="H4304" s="1"/>
      <c r="I4304" s="1"/>
      <c r="J4304" s="1"/>
      <c r="K4304" s="102" t="s">
        <v>6914</v>
      </c>
      <c r="L4304" s="102" t="str">
        <f>AB498</f>
        <v>J1a2a1a2d2b2b2c4d2a2a5a1e3d1~</v>
      </c>
      <c r="M4304" s="102" t="s">
        <v>6915</v>
      </c>
      <c r="N4304" s="102" t="s">
        <v>6916</v>
      </c>
      <c r="O4304" s="105">
        <v>1.6324592E7</v>
      </c>
      <c r="P4304" s="105">
        <v>1.4212712E7</v>
      </c>
      <c r="Q4304" s="102" t="s">
        <v>2439</v>
      </c>
      <c r="S4304" s="1"/>
      <c r="T4304" s="1"/>
      <c r="U4304" s="1"/>
      <c r="V4304" s="1"/>
      <c r="W4304" s="1"/>
      <c r="X4304" s="1"/>
      <c r="Y4304" s="1"/>
      <c r="AA4304" s="102"/>
      <c r="AB4304" s="1"/>
      <c r="AC4304" s="1"/>
      <c r="AD4304" s="1"/>
      <c r="AE4304" s="1"/>
      <c r="AF4304" s="1"/>
      <c r="AG4304" s="1"/>
    </row>
    <row r="4305" ht="15.75" customHeight="1">
      <c r="A4305" s="1"/>
      <c r="B4305" s="1"/>
      <c r="C4305" s="1"/>
      <c r="D4305" s="1"/>
      <c r="E4305" s="1"/>
      <c r="F4305" s="1"/>
      <c r="G4305" s="1"/>
      <c r="H4305" s="1"/>
      <c r="I4305" s="1"/>
      <c r="J4305" s="1"/>
      <c r="K4305" s="102" t="s">
        <v>6915</v>
      </c>
      <c r="L4305" s="102" t="str">
        <f>AB498</f>
        <v>J1a2a1a2d2b2b2c4d2a2a5a1e3d1~</v>
      </c>
      <c r="M4305" s="102" t="s">
        <v>6914</v>
      </c>
      <c r="N4305" s="102" t="s">
        <v>6916</v>
      </c>
      <c r="O4305" s="105">
        <v>1.6324592E7</v>
      </c>
      <c r="P4305" s="105">
        <v>1.4212712E7</v>
      </c>
      <c r="Q4305" s="102" t="s">
        <v>2439</v>
      </c>
      <c r="S4305" s="1"/>
      <c r="T4305" s="1"/>
      <c r="U4305" s="1"/>
      <c r="V4305" s="1"/>
      <c r="W4305" s="1"/>
      <c r="X4305" s="1"/>
      <c r="Y4305" s="1"/>
      <c r="AA4305" s="102"/>
      <c r="AB4305" s="1"/>
      <c r="AC4305" s="1"/>
      <c r="AD4305" s="1"/>
      <c r="AE4305" s="1"/>
      <c r="AF4305" s="1"/>
      <c r="AG4305" s="1"/>
    </row>
    <row r="4306" ht="15.75" customHeight="1">
      <c r="A4306" s="1"/>
      <c r="B4306" s="1"/>
      <c r="C4306" s="1"/>
      <c r="D4306" s="1"/>
      <c r="E4306" s="1"/>
      <c r="F4306" s="1"/>
      <c r="G4306" s="1"/>
      <c r="H4306" s="1"/>
      <c r="I4306" s="1"/>
      <c r="J4306" s="1"/>
      <c r="K4306" s="102" t="s">
        <v>6917</v>
      </c>
      <c r="L4306" s="102" t="str">
        <f>AB498</f>
        <v>J1a2a1a2d2b2b2c4d2a2a5a1e3d1~</v>
      </c>
      <c r="M4306" s="102" t="s">
        <v>6918</v>
      </c>
      <c r="N4306" s="102" t="s">
        <v>6919</v>
      </c>
      <c r="O4306" s="105">
        <v>1.7342463E7</v>
      </c>
      <c r="P4306" s="105">
        <v>1.5230583E7</v>
      </c>
      <c r="Q4306" s="102" t="s">
        <v>2439</v>
      </c>
      <c r="S4306" s="1"/>
      <c r="T4306" s="1"/>
      <c r="U4306" s="1"/>
      <c r="V4306" s="1"/>
      <c r="W4306" s="1"/>
      <c r="X4306" s="1"/>
      <c r="Y4306" s="1"/>
      <c r="AA4306" s="102"/>
      <c r="AB4306" s="1"/>
      <c r="AC4306" s="1"/>
      <c r="AD4306" s="1"/>
      <c r="AE4306" s="1"/>
      <c r="AF4306" s="1"/>
      <c r="AG4306" s="1"/>
    </row>
    <row r="4307" ht="15.75" customHeight="1">
      <c r="A4307" s="1"/>
      <c r="B4307" s="1"/>
      <c r="C4307" s="1"/>
      <c r="D4307" s="1"/>
      <c r="E4307" s="1"/>
      <c r="F4307" s="1"/>
      <c r="G4307" s="1"/>
      <c r="H4307" s="1"/>
      <c r="I4307" s="1"/>
      <c r="J4307" s="1"/>
      <c r="K4307" s="102" t="s">
        <v>6918</v>
      </c>
      <c r="L4307" s="102" t="str">
        <f>AB498</f>
        <v>J1a2a1a2d2b2b2c4d2a2a5a1e3d1~</v>
      </c>
      <c r="M4307" s="102" t="s">
        <v>6917</v>
      </c>
      <c r="N4307" s="102" t="s">
        <v>6919</v>
      </c>
      <c r="O4307" s="105">
        <v>1.7342463E7</v>
      </c>
      <c r="P4307" s="105">
        <v>1.5230583E7</v>
      </c>
      <c r="Q4307" s="102" t="s">
        <v>2439</v>
      </c>
      <c r="S4307" s="1"/>
      <c r="T4307" s="1"/>
      <c r="U4307" s="1"/>
      <c r="V4307" s="1"/>
      <c r="W4307" s="1"/>
      <c r="X4307" s="1"/>
      <c r="Y4307" s="1"/>
      <c r="AA4307" s="102"/>
      <c r="AB4307" s="1"/>
      <c r="AC4307" s="1"/>
      <c r="AD4307" s="1"/>
      <c r="AE4307" s="1"/>
      <c r="AF4307" s="1"/>
      <c r="AG4307" s="1"/>
    </row>
    <row r="4308" ht="15.75" customHeight="1">
      <c r="A4308" s="1"/>
      <c r="B4308" s="1"/>
      <c r="C4308" s="1"/>
      <c r="D4308" s="1"/>
      <c r="E4308" s="1"/>
      <c r="F4308" s="1"/>
      <c r="G4308" s="1"/>
      <c r="H4308" s="1"/>
      <c r="I4308" s="1"/>
      <c r="J4308" s="1"/>
      <c r="K4308" s="102" t="s">
        <v>6920</v>
      </c>
      <c r="L4308" s="102" t="str">
        <f>AB498</f>
        <v>J1a2a1a2d2b2b2c4d2a2a5a1e3d1~</v>
      </c>
      <c r="M4308" s="102"/>
      <c r="N4308" s="102"/>
      <c r="O4308" s="105">
        <v>2.8660594E7</v>
      </c>
      <c r="P4308" s="105">
        <v>2.6514447E7</v>
      </c>
      <c r="Q4308" s="102" t="s">
        <v>2576</v>
      </c>
      <c r="S4308" s="1"/>
      <c r="T4308" s="1"/>
      <c r="U4308" s="1"/>
      <c r="V4308" s="1"/>
      <c r="W4308" s="1"/>
      <c r="X4308" s="1"/>
      <c r="Y4308" s="1"/>
      <c r="AA4308" s="102"/>
      <c r="AB4308" s="1"/>
      <c r="AC4308" s="1"/>
      <c r="AD4308" s="1"/>
      <c r="AE4308" s="1"/>
      <c r="AF4308" s="1"/>
      <c r="AG4308" s="1"/>
    </row>
    <row r="4309" ht="15.75" customHeight="1">
      <c r="A4309" s="1"/>
      <c r="B4309" s="1"/>
      <c r="C4309" s="1"/>
      <c r="D4309" s="1"/>
      <c r="E4309" s="1"/>
      <c r="F4309" s="1"/>
      <c r="G4309" s="1"/>
      <c r="H4309" s="1"/>
      <c r="I4309" s="1"/>
      <c r="J4309" s="1"/>
      <c r="K4309" s="102" t="s">
        <v>6921</v>
      </c>
      <c r="L4309" s="102" t="str">
        <f>AC499</f>
        <v>J1a2a1a2d2b2b2c4d2a2a5a1e3d1a~</v>
      </c>
      <c r="M4309" s="102"/>
      <c r="N4309" s="102"/>
      <c r="O4309" s="105">
        <v>1.3987656E7</v>
      </c>
      <c r="P4309" s="105">
        <v>1.186695E7</v>
      </c>
      <c r="Q4309" s="102" t="s">
        <v>2533</v>
      </c>
      <c r="S4309" s="1"/>
      <c r="T4309" s="1"/>
      <c r="U4309" s="1"/>
      <c r="V4309" s="1"/>
      <c r="W4309" s="1"/>
      <c r="X4309" s="1"/>
      <c r="Y4309" s="1"/>
      <c r="AA4309" s="102"/>
      <c r="AB4309" s="1"/>
      <c r="AC4309" s="1"/>
      <c r="AD4309" s="1"/>
      <c r="AE4309" s="1"/>
      <c r="AF4309" s="1"/>
      <c r="AG4309" s="1"/>
    </row>
    <row r="4310" ht="15.75" customHeight="1">
      <c r="A4310" s="1"/>
      <c r="B4310" s="1"/>
      <c r="C4310" s="1"/>
      <c r="D4310" s="1"/>
      <c r="E4310" s="1"/>
      <c r="F4310" s="1"/>
      <c r="G4310" s="1"/>
      <c r="H4310" s="1"/>
      <c r="I4310" s="1"/>
      <c r="J4310" s="1"/>
      <c r="K4310" s="102" t="s">
        <v>6922</v>
      </c>
      <c r="L4310" s="102" t="str">
        <f t="shared" ref="L4310:L4311" si="79">AC499</f>
        <v>J1a2a1a2d2b2b2c4d2a2a5a1e3d1a~</v>
      </c>
      <c r="M4310" s="102"/>
      <c r="N4310" s="102"/>
      <c r="O4310" s="105">
        <v>1.7595222E7</v>
      </c>
      <c r="P4310" s="105">
        <v>1.5483342E7</v>
      </c>
      <c r="Q4310" s="102" t="s">
        <v>2514</v>
      </c>
      <c r="S4310" s="1"/>
      <c r="T4310" s="1"/>
      <c r="U4310" s="1"/>
      <c r="V4310" s="1"/>
      <c r="W4310" s="1"/>
      <c r="X4310" s="1"/>
      <c r="Y4310" s="1"/>
      <c r="AA4310" s="102"/>
      <c r="AB4310" s="1"/>
      <c r="AC4310" s="1"/>
      <c r="AD4310" s="1"/>
      <c r="AE4310" s="1"/>
      <c r="AF4310" s="1"/>
      <c r="AG4310" s="1"/>
    </row>
    <row r="4311" ht="15.75" customHeight="1">
      <c r="A4311" s="1"/>
      <c r="B4311" s="1"/>
      <c r="C4311" s="1"/>
      <c r="D4311" s="1"/>
      <c r="E4311" s="1"/>
      <c r="F4311" s="1"/>
      <c r="G4311" s="1"/>
      <c r="H4311" s="1"/>
      <c r="I4311" s="1"/>
      <c r="J4311" s="1"/>
      <c r="K4311" s="102" t="s">
        <v>967</v>
      </c>
      <c r="L4311" s="102" t="str">
        <f t="shared" si="79"/>
        <v>J1a2a1a2d2b2b2c4d2a2a5a1e3d1b~</v>
      </c>
      <c r="M4311" s="102"/>
      <c r="N4311" s="102" t="s">
        <v>6923</v>
      </c>
      <c r="O4311" s="105">
        <v>2.2522204E7</v>
      </c>
      <c r="P4311" s="105">
        <v>2.0360318E7</v>
      </c>
      <c r="Q4311" s="102" t="s">
        <v>2446</v>
      </c>
      <c r="S4311" s="1"/>
      <c r="T4311" s="1"/>
      <c r="U4311" s="1"/>
      <c r="V4311" s="1"/>
      <c r="W4311" s="1"/>
      <c r="X4311" s="1"/>
      <c r="Y4311" s="1"/>
      <c r="AA4311" s="102"/>
      <c r="AB4311" s="1"/>
      <c r="AC4311" s="1"/>
      <c r="AD4311" s="1"/>
      <c r="AE4311" s="1"/>
      <c r="AF4311" s="1"/>
      <c r="AG4311" s="1"/>
    </row>
    <row r="4312" ht="15.75" customHeight="1">
      <c r="A4312" s="1"/>
      <c r="B4312" s="1"/>
      <c r="C4312" s="1"/>
      <c r="D4312" s="1"/>
      <c r="E4312" s="1"/>
      <c r="F4312" s="1"/>
      <c r="G4312" s="1"/>
      <c r="H4312" s="1"/>
      <c r="I4312" s="1"/>
      <c r="J4312" s="1"/>
      <c r="K4312" s="102" t="s">
        <v>6924</v>
      </c>
      <c r="L4312" s="102" t="str">
        <f>AD501</f>
        <v>J1a2a1a2d2b2b2c4d2a2a5a1e3d1b1~</v>
      </c>
      <c r="M4312" s="102"/>
      <c r="N4312" s="102" t="s">
        <v>6925</v>
      </c>
      <c r="O4312" s="105">
        <v>2869735.0</v>
      </c>
      <c r="P4312" s="105">
        <v>3001694.0</v>
      </c>
      <c r="Q4312" s="102" t="s">
        <v>2423</v>
      </c>
      <c r="S4312" s="1"/>
      <c r="T4312" s="1"/>
      <c r="U4312" s="1"/>
      <c r="V4312" s="1"/>
      <c r="W4312" s="1"/>
      <c r="X4312" s="1"/>
      <c r="Y4312" s="1"/>
      <c r="AA4312" s="102"/>
      <c r="AB4312" s="1"/>
      <c r="AC4312" s="1"/>
      <c r="AD4312" s="1"/>
      <c r="AE4312" s="1"/>
      <c r="AF4312" s="1"/>
      <c r="AG4312" s="1"/>
    </row>
    <row r="4313" ht="15.75" customHeight="1">
      <c r="A4313" s="1"/>
      <c r="B4313" s="1"/>
      <c r="C4313" s="1"/>
      <c r="D4313" s="1"/>
      <c r="E4313" s="1"/>
      <c r="F4313" s="1"/>
      <c r="G4313" s="1"/>
      <c r="H4313" s="1"/>
      <c r="I4313" s="1"/>
      <c r="J4313" s="1"/>
      <c r="K4313" s="102" t="s">
        <v>6926</v>
      </c>
      <c r="L4313" s="102" t="str">
        <f>AD501</f>
        <v>J1a2a1a2d2b2b2c4d2a2a5a1e3d1b1~</v>
      </c>
      <c r="M4313" s="102"/>
      <c r="N4313" s="102" t="s">
        <v>6927</v>
      </c>
      <c r="O4313" s="105">
        <v>6751707.0</v>
      </c>
      <c r="P4313" s="105">
        <v>6883666.0</v>
      </c>
      <c r="Q4313" s="102" t="s">
        <v>2439</v>
      </c>
      <c r="S4313" s="1"/>
      <c r="T4313" s="1"/>
      <c r="U4313" s="1"/>
      <c r="V4313" s="1"/>
      <c r="W4313" s="1"/>
      <c r="X4313" s="1"/>
      <c r="Y4313" s="1"/>
      <c r="AA4313" s="102"/>
      <c r="AB4313" s="1"/>
      <c r="AC4313" s="1"/>
      <c r="AD4313" s="1"/>
      <c r="AE4313" s="1"/>
      <c r="AF4313" s="1"/>
      <c r="AG4313" s="1"/>
    </row>
    <row r="4314" ht="15.75" customHeight="1">
      <c r="A4314" s="1"/>
      <c r="B4314" s="1"/>
      <c r="C4314" s="1"/>
      <c r="D4314" s="1"/>
      <c r="E4314" s="1"/>
      <c r="F4314" s="1"/>
      <c r="G4314" s="1"/>
      <c r="H4314" s="1"/>
      <c r="I4314" s="1"/>
      <c r="J4314" s="1"/>
      <c r="K4314" s="102" t="s">
        <v>6928</v>
      </c>
      <c r="L4314" s="102" t="str">
        <f>AD501</f>
        <v>J1a2a1a2d2b2b2c4d2a2a5a1e3d1b1~</v>
      </c>
      <c r="M4314" s="102"/>
      <c r="N4314" s="102" t="s">
        <v>6929</v>
      </c>
      <c r="O4314" s="105">
        <v>8512269.0</v>
      </c>
      <c r="P4314" s="105">
        <v>8644228.0</v>
      </c>
      <c r="Q4314" s="102" t="s">
        <v>2501</v>
      </c>
      <c r="S4314" s="1"/>
      <c r="T4314" s="1"/>
      <c r="U4314" s="1"/>
      <c r="V4314" s="1"/>
      <c r="W4314" s="1"/>
      <c r="X4314" s="1"/>
      <c r="Y4314" s="1"/>
      <c r="AA4314" s="102"/>
      <c r="AB4314" s="1"/>
      <c r="AC4314" s="1"/>
      <c r="AD4314" s="1"/>
      <c r="AE4314" s="1"/>
      <c r="AF4314" s="1"/>
      <c r="AG4314" s="1"/>
    </row>
    <row r="4315" ht="15.75" customHeight="1">
      <c r="A4315" s="1"/>
      <c r="B4315" s="1"/>
      <c r="C4315" s="1"/>
      <c r="D4315" s="1"/>
      <c r="E4315" s="1"/>
      <c r="F4315" s="1"/>
      <c r="G4315" s="1"/>
      <c r="H4315" s="1"/>
      <c r="I4315" s="1"/>
      <c r="J4315" s="1"/>
      <c r="K4315" s="102" t="s">
        <v>6930</v>
      </c>
      <c r="L4315" s="102" t="str">
        <f>AD501</f>
        <v>J1a2a1a2d2b2b2c4d2a2a5a1e3d1b1~</v>
      </c>
      <c r="M4315" s="102"/>
      <c r="N4315" s="102" t="s">
        <v>6931</v>
      </c>
      <c r="O4315" s="105">
        <v>1.3990822E7</v>
      </c>
      <c r="P4315" s="105">
        <v>1.1870116E7</v>
      </c>
      <c r="Q4315" s="102" t="s">
        <v>2454</v>
      </c>
      <c r="S4315" s="1"/>
      <c r="T4315" s="1"/>
      <c r="U4315" s="1"/>
      <c r="V4315" s="1"/>
      <c r="W4315" s="1"/>
      <c r="X4315" s="1"/>
      <c r="Y4315" s="1"/>
      <c r="AA4315" s="102"/>
      <c r="AB4315" s="1"/>
      <c r="AC4315" s="1"/>
      <c r="AD4315" s="1"/>
      <c r="AE4315" s="1"/>
      <c r="AF4315" s="1"/>
      <c r="AG4315" s="1"/>
    </row>
    <row r="4316" ht="15.75" customHeight="1">
      <c r="A4316" s="1"/>
      <c r="B4316" s="1"/>
      <c r="C4316" s="1"/>
      <c r="D4316" s="1"/>
      <c r="E4316" s="1"/>
      <c r="F4316" s="1"/>
      <c r="G4316" s="1"/>
      <c r="H4316" s="1"/>
      <c r="I4316" s="1"/>
      <c r="J4316" s="1"/>
      <c r="K4316" s="102" t="s">
        <v>6932</v>
      </c>
      <c r="L4316" s="102" t="str">
        <f>AC502</f>
        <v>J1a2a1a2d2b2b2c4d2a2a5a1e3d1c~</v>
      </c>
      <c r="M4316" s="102" t="s">
        <v>6933</v>
      </c>
      <c r="N4316" s="102" t="s">
        <v>6934</v>
      </c>
      <c r="O4316" s="105">
        <v>1.5518179E7</v>
      </c>
      <c r="P4316" s="105">
        <v>1.3406299E7</v>
      </c>
      <c r="Q4316" s="102" t="s">
        <v>2533</v>
      </c>
      <c r="S4316" s="1"/>
      <c r="T4316" s="1"/>
      <c r="U4316" s="1"/>
      <c r="V4316" s="1"/>
      <c r="W4316" s="1"/>
      <c r="X4316" s="1"/>
      <c r="Y4316" s="1"/>
      <c r="AA4316" s="102"/>
      <c r="AB4316" s="1"/>
      <c r="AC4316" s="1"/>
      <c r="AD4316" s="1"/>
      <c r="AE4316" s="1"/>
      <c r="AF4316" s="1"/>
      <c r="AG4316" s="1"/>
    </row>
    <row r="4317" ht="15.75" customHeight="1">
      <c r="A4317" s="1"/>
      <c r="B4317" s="1"/>
      <c r="C4317" s="1"/>
      <c r="D4317" s="1"/>
      <c r="E4317" s="1"/>
      <c r="F4317" s="1"/>
      <c r="G4317" s="1"/>
      <c r="H4317" s="1"/>
      <c r="I4317" s="1"/>
      <c r="J4317" s="1"/>
      <c r="K4317" s="102" t="s">
        <v>6933</v>
      </c>
      <c r="L4317" s="102" t="str">
        <f>AC502</f>
        <v>J1a2a1a2d2b2b2c4d2a2a5a1e3d1c~</v>
      </c>
      <c r="M4317" s="102" t="s">
        <v>6932</v>
      </c>
      <c r="N4317" s="102" t="s">
        <v>6934</v>
      </c>
      <c r="O4317" s="105">
        <v>1.5518179E7</v>
      </c>
      <c r="P4317" s="105">
        <v>1.3406299E7</v>
      </c>
      <c r="Q4317" s="102" t="s">
        <v>2533</v>
      </c>
      <c r="S4317" s="1"/>
      <c r="T4317" s="1"/>
      <c r="U4317" s="1"/>
      <c r="V4317" s="1"/>
      <c r="W4317" s="1"/>
      <c r="X4317" s="1"/>
      <c r="Y4317" s="1"/>
      <c r="AA4317" s="102"/>
      <c r="AB4317" s="1"/>
      <c r="AC4317" s="1"/>
      <c r="AD4317" s="1"/>
      <c r="AE4317" s="1"/>
      <c r="AF4317" s="1"/>
      <c r="AG4317" s="1"/>
    </row>
    <row r="4318" ht="15.75" customHeight="1">
      <c r="A4318" s="1"/>
      <c r="B4318" s="1"/>
      <c r="C4318" s="1"/>
      <c r="D4318" s="1"/>
      <c r="E4318" s="1"/>
      <c r="F4318" s="1"/>
      <c r="G4318" s="1"/>
      <c r="H4318" s="1"/>
      <c r="I4318" s="1"/>
      <c r="J4318" s="1"/>
      <c r="K4318" s="102" t="s">
        <v>6935</v>
      </c>
      <c r="L4318" s="102" t="str">
        <f>AD503</f>
        <v>J1a2a1a2d2b2b2c4d2a2a5a1e3d1c1~</v>
      </c>
      <c r="M4318" s="102"/>
      <c r="N4318" s="102"/>
      <c r="O4318" s="105">
        <v>2794522.0</v>
      </c>
      <c r="P4318" s="105">
        <v>2926481.0</v>
      </c>
      <c r="Q4318" s="102" t="s">
        <v>2501</v>
      </c>
      <c r="S4318" s="1"/>
      <c r="T4318" s="1"/>
      <c r="U4318" s="1"/>
      <c r="V4318" s="1"/>
      <c r="W4318" s="1"/>
      <c r="X4318" s="1"/>
      <c r="Y4318" s="1"/>
      <c r="AA4318" s="102"/>
      <c r="AB4318" s="1"/>
      <c r="AC4318" s="1"/>
      <c r="AD4318" s="1"/>
      <c r="AE4318" s="1"/>
      <c r="AF4318" s="1"/>
      <c r="AG4318" s="1"/>
    </row>
    <row r="4319" ht="15.75" customHeight="1">
      <c r="A4319" s="1"/>
      <c r="B4319" s="1"/>
      <c r="C4319" s="1"/>
      <c r="D4319" s="1"/>
      <c r="E4319" s="1"/>
      <c r="F4319" s="1"/>
      <c r="G4319" s="1"/>
      <c r="H4319" s="1"/>
      <c r="I4319" s="1"/>
      <c r="J4319" s="1"/>
      <c r="K4319" s="102" t="s">
        <v>6936</v>
      </c>
      <c r="L4319" s="102" t="str">
        <f>AD503</f>
        <v>J1a2a1a2d2b2b2c4d2a2a5a1e3d1c1~</v>
      </c>
      <c r="M4319" s="102"/>
      <c r="N4319" s="102"/>
      <c r="O4319" s="105">
        <v>8306946.0</v>
      </c>
      <c r="P4319" s="105">
        <v>8438905.0</v>
      </c>
      <c r="Q4319" s="102" t="s">
        <v>2468</v>
      </c>
      <c r="S4319" s="1"/>
      <c r="T4319" s="1"/>
      <c r="U4319" s="1"/>
      <c r="V4319" s="1"/>
      <c r="W4319" s="1"/>
      <c r="X4319" s="1"/>
      <c r="Y4319" s="1"/>
      <c r="AA4319" s="102"/>
      <c r="AB4319" s="1"/>
      <c r="AC4319" s="1"/>
      <c r="AD4319" s="1"/>
      <c r="AE4319" s="1"/>
      <c r="AF4319" s="1"/>
      <c r="AG4319" s="1"/>
    </row>
    <row r="4320" ht="15.75" customHeight="1">
      <c r="A4320" s="1"/>
      <c r="B4320" s="1"/>
      <c r="C4320" s="1"/>
      <c r="D4320" s="1"/>
      <c r="E4320" s="1"/>
      <c r="F4320" s="1"/>
      <c r="G4320" s="1"/>
      <c r="H4320" s="1"/>
      <c r="I4320" s="1"/>
      <c r="J4320" s="1"/>
      <c r="K4320" s="102" t="s">
        <v>6937</v>
      </c>
      <c r="L4320" s="102" t="str">
        <f>AD503</f>
        <v>J1a2a1a2d2b2b2c4d2a2a5a1e3d1c1~</v>
      </c>
      <c r="M4320" s="102"/>
      <c r="N4320" s="102"/>
      <c r="O4320" s="105">
        <v>8875156.0</v>
      </c>
      <c r="P4320" s="105">
        <v>9007115.0</v>
      </c>
      <c r="Q4320" s="102" t="s">
        <v>2501</v>
      </c>
      <c r="S4320" s="1"/>
      <c r="T4320" s="1"/>
      <c r="U4320" s="1"/>
      <c r="V4320" s="1"/>
      <c r="W4320" s="1"/>
      <c r="X4320" s="1"/>
      <c r="Y4320" s="1"/>
      <c r="AA4320" s="102"/>
      <c r="AB4320" s="1"/>
      <c r="AC4320" s="1"/>
      <c r="AD4320" s="1"/>
      <c r="AE4320" s="1"/>
      <c r="AF4320" s="1"/>
      <c r="AG4320" s="1"/>
    </row>
    <row r="4321" ht="15.75" customHeight="1">
      <c r="A4321" s="1"/>
      <c r="B4321" s="1"/>
      <c r="C4321" s="1"/>
      <c r="D4321" s="1"/>
      <c r="E4321" s="1"/>
      <c r="F4321" s="1"/>
      <c r="G4321" s="1"/>
      <c r="H4321" s="1"/>
      <c r="I4321" s="1"/>
      <c r="J4321" s="1"/>
      <c r="K4321" s="102" t="s">
        <v>6938</v>
      </c>
      <c r="L4321" s="102" t="str">
        <f>AD503</f>
        <v>J1a2a1a2d2b2b2c4d2a2a5a1e3d1c1~</v>
      </c>
      <c r="M4321" s="102"/>
      <c r="N4321" s="102"/>
      <c r="O4321" s="105">
        <v>1.5493403E7</v>
      </c>
      <c r="P4321" s="105">
        <v>1.3381523E7</v>
      </c>
      <c r="Q4321" s="102" t="s">
        <v>2563</v>
      </c>
      <c r="S4321" s="1"/>
      <c r="T4321" s="1"/>
      <c r="U4321" s="1"/>
      <c r="V4321" s="1"/>
      <c r="W4321" s="1"/>
      <c r="X4321" s="1"/>
      <c r="Y4321" s="1"/>
      <c r="AA4321" s="102"/>
      <c r="AB4321" s="1"/>
      <c r="AC4321" s="1"/>
      <c r="AD4321" s="1"/>
      <c r="AE4321" s="1"/>
      <c r="AF4321" s="1"/>
      <c r="AG4321" s="1"/>
    </row>
    <row r="4322" ht="15.75" customHeight="1">
      <c r="A4322" s="1"/>
      <c r="B4322" s="1"/>
      <c r="C4322" s="1"/>
      <c r="D4322" s="1"/>
      <c r="E4322" s="1"/>
      <c r="F4322" s="1"/>
      <c r="G4322" s="1"/>
      <c r="H4322" s="1"/>
      <c r="I4322" s="1"/>
      <c r="J4322" s="1"/>
      <c r="K4322" s="102" t="s">
        <v>6939</v>
      </c>
      <c r="L4322" s="102" t="str">
        <f t="shared" ref="L4322:L4323" si="80">AD503</f>
        <v>J1a2a1a2d2b2b2c4d2a2a5a1e3d1c1~</v>
      </c>
      <c r="M4322" s="102"/>
      <c r="N4322" s="102"/>
      <c r="O4322" s="105">
        <v>1.7410806E7</v>
      </c>
      <c r="P4322" s="105">
        <v>1.5298926E7</v>
      </c>
      <c r="Q4322" s="102" t="s">
        <v>2468</v>
      </c>
      <c r="S4322" s="1"/>
      <c r="T4322" s="1"/>
      <c r="U4322" s="1"/>
      <c r="V4322" s="1"/>
      <c r="W4322" s="1"/>
      <c r="X4322" s="1"/>
      <c r="Y4322" s="1"/>
      <c r="AA4322" s="102"/>
      <c r="AB4322" s="1"/>
      <c r="AC4322" s="1"/>
      <c r="AD4322" s="1"/>
      <c r="AE4322" s="1"/>
      <c r="AF4322" s="1"/>
      <c r="AG4322" s="1"/>
    </row>
    <row r="4323" ht="15.75" customHeight="1">
      <c r="A4323" s="1"/>
      <c r="B4323" s="1"/>
      <c r="C4323" s="1"/>
      <c r="D4323" s="1"/>
      <c r="E4323" s="1"/>
      <c r="F4323" s="1"/>
      <c r="G4323" s="1"/>
      <c r="H4323" s="1"/>
      <c r="I4323" s="1"/>
      <c r="J4323" s="1"/>
      <c r="K4323" s="102" t="s">
        <v>975</v>
      </c>
      <c r="L4323" s="102" t="str">
        <f t="shared" si="80"/>
        <v>J1a2a1a2d2b2b2c4d2a2a5a1e3d1c2~</v>
      </c>
      <c r="M4323" s="102"/>
      <c r="N4323" s="102"/>
      <c r="O4323" s="105">
        <v>1.7195867E7</v>
      </c>
      <c r="P4323" s="105">
        <v>1.5083987E7</v>
      </c>
      <c r="Q4323" s="102" t="s">
        <v>2439</v>
      </c>
      <c r="S4323" s="1"/>
      <c r="T4323" s="1"/>
      <c r="U4323" s="1"/>
      <c r="V4323" s="1"/>
      <c r="W4323" s="1"/>
      <c r="X4323" s="1"/>
      <c r="Y4323" s="1"/>
      <c r="AA4323" s="102"/>
      <c r="AB4323" s="1"/>
      <c r="AC4323" s="1"/>
      <c r="AD4323" s="1"/>
      <c r="AE4323" s="1"/>
      <c r="AF4323" s="1"/>
      <c r="AG4323" s="1"/>
    </row>
    <row r="4324" ht="15.75" customHeight="1">
      <c r="A4324" s="1"/>
      <c r="B4324" s="1"/>
      <c r="C4324" s="1"/>
      <c r="D4324" s="1"/>
      <c r="E4324" s="1"/>
      <c r="F4324" s="1"/>
      <c r="G4324" s="1"/>
      <c r="H4324" s="1"/>
      <c r="I4324" s="1"/>
      <c r="J4324" s="1"/>
      <c r="K4324" s="102" t="s">
        <v>977</v>
      </c>
      <c r="L4324" s="102" t="str">
        <f>AC505</f>
        <v>J1a2a1a2d2b2b2c4d2a2a5a1e3d1d~</v>
      </c>
      <c r="M4324" s="102"/>
      <c r="N4324" s="102"/>
      <c r="O4324" s="105">
        <v>7550700.0</v>
      </c>
      <c r="P4324" s="105">
        <v>7682659.0</v>
      </c>
      <c r="Q4324" s="102" t="s">
        <v>2454</v>
      </c>
      <c r="S4324" s="1"/>
      <c r="T4324" s="1"/>
      <c r="U4324" s="1"/>
      <c r="V4324" s="1"/>
      <c r="W4324" s="1"/>
      <c r="X4324" s="1"/>
      <c r="Y4324" s="1"/>
      <c r="AA4324" s="102"/>
      <c r="AB4324" s="1"/>
      <c r="AC4324" s="1"/>
      <c r="AD4324" s="1"/>
      <c r="AE4324" s="1"/>
      <c r="AF4324" s="1"/>
      <c r="AG4324" s="1"/>
    </row>
    <row r="4325" ht="15.75" customHeight="1">
      <c r="A4325" s="1"/>
      <c r="B4325" s="1"/>
      <c r="C4325" s="1"/>
      <c r="D4325" s="1"/>
      <c r="E4325" s="1"/>
      <c r="F4325" s="1"/>
      <c r="G4325" s="1"/>
      <c r="H4325" s="1"/>
      <c r="I4325" s="1"/>
      <c r="J4325" s="1"/>
      <c r="K4325" s="102" t="s">
        <v>6940</v>
      </c>
      <c r="L4325" s="102" t="str">
        <f>AA506</f>
        <v>J1a2a1a2d2b2b2c4d2a2a5a1e3e~</v>
      </c>
      <c r="M4325" s="102"/>
      <c r="N4325" s="102"/>
      <c r="O4325" s="105">
        <v>9900197.0</v>
      </c>
      <c r="P4325" s="105">
        <v>1.0062588E7</v>
      </c>
      <c r="Q4325" s="102" t="s">
        <v>2563</v>
      </c>
      <c r="S4325" s="1"/>
      <c r="T4325" s="1"/>
      <c r="U4325" s="1"/>
      <c r="V4325" s="1"/>
      <c r="W4325" s="1"/>
      <c r="X4325" s="1"/>
      <c r="Y4325" s="1"/>
      <c r="AA4325" s="102"/>
      <c r="AB4325" s="1"/>
      <c r="AC4325" s="1"/>
      <c r="AD4325" s="1"/>
      <c r="AE4325" s="1"/>
      <c r="AF4325" s="1"/>
      <c r="AG4325" s="1"/>
    </row>
    <row r="4326" ht="15.75" customHeight="1">
      <c r="A4326" s="1"/>
      <c r="B4326" s="1"/>
      <c r="C4326" s="1"/>
      <c r="D4326" s="1"/>
      <c r="E4326" s="1"/>
      <c r="F4326" s="1"/>
      <c r="G4326" s="1"/>
      <c r="H4326" s="1"/>
      <c r="I4326" s="1"/>
      <c r="J4326" s="1"/>
      <c r="K4326" s="102" t="s">
        <v>6941</v>
      </c>
      <c r="L4326" s="102" t="str">
        <f>AA506</f>
        <v>J1a2a1a2d2b2b2c4d2a2a5a1e3e~</v>
      </c>
      <c r="M4326" s="102"/>
      <c r="N4326" s="102"/>
      <c r="O4326" s="105">
        <v>1.7735938E7</v>
      </c>
      <c r="P4326" s="105">
        <v>1.5624058E7</v>
      </c>
      <c r="Q4326" s="102" t="s">
        <v>2454</v>
      </c>
      <c r="S4326" s="1"/>
      <c r="T4326" s="1"/>
      <c r="U4326" s="1"/>
      <c r="V4326" s="1"/>
      <c r="W4326" s="1"/>
      <c r="X4326" s="1"/>
      <c r="Y4326" s="1"/>
      <c r="AA4326" s="102"/>
      <c r="AB4326" s="1"/>
      <c r="AC4326" s="1"/>
      <c r="AD4326" s="1"/>
      <c r="AE4326" s="1"/>
      <c r="AF4326" s="1"/>
      <c r="AG4326" s="1"/>
    </row>
    <row r="4327" ht="15.75" customHeight="1">
      <c r="A4327" s="1"/>
      <c r="B4327" s="1"/>
      <c r="C4327" s="1"/>
      <c r="D4327" s="1"/>
      <c r="E4327" s="1"/>
      <c r="F4327" s="1"/>
      <c r="G4327" s="1"/>
      <c r="H4327" s="1"/>
      <c r="I4327" s="1"/>
      <c r="J4327" s="1"/>
      <c r="K4327" s="102" t="s">
        <v>981</v>
      </c>
      <c r="L4327" s="102" t="str">
        <f t="shared" ref="L4327:L4328" si="81">AB507</f>
        <v>J1a2a1a2d2b2b2c4d2a2a5a1e3e1~</v>
      </c>
      <c r="M4327" s="102"/>
      <c r="N4327" s="102"/>
      <c r="O4327" s="105">
        <v>7933083.0</v>
      </c>
      <c r="P4327" s="105">
        <v>8065042.0</v>
      </c>
      <c r="Q4327" s="102" t="s">
        <v>2446</v>
      </c>
      <c r="S4327" s="1"/>
      <c r="T4327" s="1"/>
      <c r="U4327" s="1"/>
      <c r="V4327" s="1"/>
      <c r="W4327" s="1"/>
      <c r="X4327" s="1"/>
      <c r="Y4327" s="1"/>
      <c r="AA4327" s="102"/>
      <c r="AB4327" s="1"/>
      <c r="AC4327" s="1"/>
      <c r="AD4327" s="1"/>
      <c r="AE4327" s="1"/>
      <c r="AF4327" s="1"/>
      <c r="AG4327" s="1"/>
    </row>
    <row r="4328" ht="15.75" customHeight="1">
      <c r="A4328" s="1"/>
      <c r="B4328" s="1"/>
      <c r="C4328" s="1"/>
      <c r="D4328" s="1"/>
      <c r="E4328" s="1"/>
      <c r="F4328" s="1"/>
      <c r="G4328" s="1"/>
      <c r="H4328" s="1"/>
      <c r="I4328" s="1"/>
      <c r="J4328" s="1"/>
      <c r="K4328" s="106" t="s">
        <v>6942</v>
      </c>
      <c r="L4328" s="102" t="str">
        <f t="shared" si="81"/>
        <v>J1a2a1a2d2b2b2c4d2a2a5a1e3e2~</v>
      </c>
      <c r="M4328" s="102"/>
      <c r="N4328" s="102"/>
      <c r="O4328" s="104">
        <v>2.1610232E7</v>
      </c>
      <c r="P4328" s="111">
        <v>1.9448346E7</v>
      </c>
      <c r="Q4328" s="112" t="s">
        <v>2468</v>
      </c>
      <c r="S4328" s="1"/>
      <c r="T4328" s="1"/>
      <c r="U4328" s="1"/>
      <c r="V4328" s="1"/>
      <c r="W4328" s="1"/>
      <c r="X4328" s="1"/>
      <c r="Y4328" s="1"/>
      <c r="AA4328" s="102"/>
      <c r="AB4328" s="1"/>
      <c r="AC4328" s="1"/>
      <c r="AD4328" s="1"/>
      <c r="AE4328" s="1"/>
      <c r="AF4328" s="1"/>
      <c r="AG4328" s="1"/>
    </row>
    <row r="4329" ht="15.75" customHeight="1">
      <c r="A4329" s="1"/>
      <c r="B4329" s="1"/>
      <c r="C4329" s="1"/>
      <c r="D4329" s="1"/>
      <c r="E4329" s="1"/>
      <c r="F4329" s="1"/>
      <c r="G4329" s="1"/>
      <c r="H4329" s="1"/>
      <c r="I4329" s="1"/>
      <c r="J4329" s="1"/>
      <c r="K4329" s="102" t="s">
        <v>6943</v>
      </c>
      <c r="L4329" s="102" t="str">
        <f t="shared" ref="L4329:L4330" si="82">AB508</f>
        <v>J1a2a1a2d2b2b2c4d2a2a5a1e3e2~</v>
      </c>
      <c r="M4329" s="102"/>
      <c r="N4329" s="102" t="s">
        <v>6944</v>
      </c>
      <c r="O4329" s="105">
        <v>2.1505859E7</v>
      </c>
      <c r="P4329" s="105">
        <v>1.9343973E7</v>
      </c>
      <c r="Q4329" s="102" t="s">
        <v>2439</v>
      </c>
      <c r="S4329" s="1"/>
      <c r="T4329" s="1"/>
      <c r="U4329" s="1"/>
      <c r="V4329" s="1"/>
      <c r="W4329" s="1"/>
      <c r="X4329" s="1"/>
      <c r="Y4329" s="1"/>
      <c r="AA4329" s="102"/>
      <c r="AB4329" s="1"/>
      <c r="AC4329" s="1"/>
      <c r="AD4329" s="1"/>
      <c r="AE4329" s="1"/>
      <c r="AF4329" s="1"/>
      <c r="AG4329" s="1"/>
    </row>
    <row r="4330" ht="15.75" customHeight="1">
      <c r="A4330" s="1"/>
      <c r="B4330" s="1"/>
      <c r="C4330" s="1"/>
      <c r="D4330" s="1"/>
      <c r="E4330" s="1"/>
      <c r="F4330" s="1"/>
      <c r="G4330" s="1"/>
      <c r="H4330" s="1"/>
      <c r="I4330" s="1"/>
      <c r="J4330" s="1"/>
      <c r="K4330" s="102" t="s">
        <v>6945</v>
      </c>
      <c r="L4330" s="102" t="str">
        <f t="shared" si="82"/>
        <v>J1a2a1a2d2b2b2c4d2a2a5a1e3e3~</v>
      </c>
      <c r="M4330" s="102" t="s">
        <v>6946</v>
      </c>
      <c r="N4330" s="102"/>
      <c r="O4330" s="105">
        <v>7103731.0</v>
      </c>
      <c r="P4330" s="105">
        <v>7235690.0</v>
      </c>
      <c r="Q4330" s="102" t="s">
        <v>2439</v>
      </c>
      <c r="S4330" s="1"/>
      <c r="T4330" s="1"/>
      <c r="U4330" s="1"/>
      <c r="V4330" s="1"/>
      <c r="W4330" s="1"/>
      <c r="X4330" s="1"/>
      <c r="Y4330" s="1"/>
      <c r="AA4330" s="102"/>
      <c r="AB4330" s="1"/>
      <c r="AC4330" s="1"/>
      <c r="AD4330" s="1"/>
      <c r="AE4330" s="1"/>
      <c r="AF4330" s="1"/>
      <c r="AG4330" s="1"/>
    </row>
    <row r="4331" ht="15.75" customHeight="1">
      <c r="A4331" s="1"/>
      <c r="B4331" s="1"/>
      <c r="C4331" s="1"/>
      <c r="D4331" s="1"/>
      <c r="E4331" s="1"/>
      <c r="F4331" s="1"/>
      <c r="G4331" s="1"/>
      <c r="H4331" s="1"/>
      <c r="I4331" s="1"/>
      <c r="J4331" s="1"/>
      <c r="K4331" s="102" t="s">
        <v>6946</v>
      </c>
      <c r="L4331" s="102" t="str">
        <f>AB509</f>
        <v>J1a2a1a2d2b2b2c4d2a2a5a1e3e3~</v>
      </c>
      <c r="M4331" s="102" t="s">
        <v>6945</v>
      </c>
      <c r="N4331" s="102"/>
      <c r="O4331" s="105">
        <v>7103731.0</v>
      </c>
      <c r="P4331" s="105">
        <v>7235690.0</v>
      </c>
      <c r="Q4331" s="102" t="s">
        <v>2439</v>
      </c>
      <c r="S4331" s="1"/>
      <c r="T4331" s="1"/>
      <c r="U4331" s="1"/>
      <c r="V4331" s="1"/>
      <c r="W4331" s="1"/>
      <c r="X4331" s="1"/>
      <c r="Y4331" s="1"/>
      <c r="AA4331" s="102"/>
      <c r="AB4331" s="1"/>
      <c r="AC4331" s="1"/>
      <c r="AD4331" s="1"/>
      <c r="AE4331" s="1"/>
      <c r="AF4331" s="1"/>
      <c r="AG4331" s="1"/>
    </row>
    <row r="4332" ht="15.75" customHeight="1">
      <c r="A4332" s="1"/>
      <c r="B4332" s="1"/>
      <c r="C4332" s="1"/>
      <c r="D4332" s="1"/>
      <c r="E4332" s="1"/>
      <c r="F4332" s="1"/>
      <c r="G4332" s="1"/>
      <c r="H4332" s="1"/>
      <c r="I4332" s="1"/>
      <c r="J4332" s="1"/>
      <c r="K4332" s="102" t="s">
        <v>6947</v>
      </c>
      <c r="L4332" s="102" t="str">
        <f>AB509</f>
        <v>J1a2a1a2d2b2b2c4d2a2a5a1e3e3~</v>
      </c>
      <c r="M4332" s="102"/>
      <c r="N4332" s="102"/>
      <c r="O4332" s="105">
        <v>1.3236295E7</v>
      </c>
      <c r="P4332" s="105">
        <v>1.1080619E7</v>
      </c>
      <c r="Q4332" s="102" t="s">
        <v>2439</v>
      </c>
      <c r="S4332" s="1"/>
      <c r="T4332" s="1"/>
      <c r="U4332" s="1"/>
      <c r="V4332" s="1"/>
      <c r="W4332" s="1"/>
      <c r="X4332" s="1"/>
      <c r="Y4332" s="1"/>
      <c r="AA4332" s="102"/>
      <c r="AB4332" s="1"/>
      <c r="AC4332" s="1"/>
      <c r="AD4332" s="1"/>
      <c r="AE4332" s="1"/>
      <c r="AF4332" s="1"/>
      <c r="AG4332" s="1"/>
    </row>
    <row r="4333" ht="15.75" customHeight="1">
      <c r="A4333" s="1"/>
      <c r="B4333" s="1"/>
      <c r="C4333" s="1"/>
      <c r="D4333" s="1"/>
      <c r="E4333" s="1"/>
      <c r="F4333" s="1"/>
      <c r="G4333" s="1"/>
      <c r="H4333" s="1"/>
      <c r="I4333" s="1"/>
      <c r="J4333" s="1"/>
      <c r="K4333" s="102" t="s">
        <v>6948</v>
      </c>
      <c r="L4333" s="102" t="str">
        <f>AC510</f>
        <v>J1a2a1a2d2b2b2c4d2a2a5a1e3e3a~</v>
      </c>
      <c r="M4333" s="102" t="s">
        <v>6949</v>
      </c>
      <c r="N4333" s="102" t="s">
        <v>6950</v>
      </c>
      <c r="O4333" s="105">
        <v>8467166.0</v>
      </c>
      <c r="P4333" s="105">
        <v>8599125.0</v>
      </c>
      <c r="Q4333" s="102" t="s">
        <v>2501</v>
      </c>
      <c r="S4333" s="1"/>
      <c r="T4333" s="1"/>
      <c r="U4333" s="1"/>
      <c r="V4333" s="1"/>
      <c r="W4333" s="1"/>
      <c r="X4333" s="1"/>
      <c r="Y4333" s="1"/>
      <c r="AA4333" s="102"/>
      <c r="AB4333" s="1"/>
      <c r="AC4333" s="1"/>
      <c r="AD4333" s="1"/>
      <c r="AE4333" s="1"/>
      <c r="AF4333" s="1"/>
      <c r="AG4333" s="1"/>
    </row>
    <row r="4334" ht="15.75" customHeight="1">
      <c r="A4334" s="1"/>
      <c r="B4334" s="1"/>
      <c r="C4334" s="1"/>
      <c r="D4334" s="1"/>
      <c r="E4334" s="1"/>
      <c r="F4334" s="1"/>
      <c r="G4334" s="1"/>
      <c r="H4334" s="1"/>
      <c r="I4334" s="1"/>
      <c r="J4334" s="1"/>
      <c r="K4334" s="102" t="s">
        <v>6949</v>
      </c>
      <c r="L4334" s="102" t="str">
        <f>AC510</f>
        <v>J1a2a1a2d2b2b2c4d2a2a5a1e3e3a~</v>
      </c>
      <c r="M4334" s="102" t="s">
        <v>6948</v>
      </c>
      <c r="N4334" s="102" t="s">
        <v>6950</v>
      </c>
      <c r="O4334" s="105">
        <v>8467166.0</v>
      </c>
      <c r="P4334" s="105">
        <v>8599125.0</v>
      </c>
      <c r="Q4334" s="102" t="s">
        <v>2501</v>
      </c>
      <c r="S4334" s="1"/>
      <c r="T4334" s="1"/>
      <c r="U4334" s="1"/>
      <c r="V4334" s="1"/>
      <c r="W4334" s="1"/>
      <c r="X4334" s="1"/>
      <c r="Y4334" s="1"/>
      <c r="AA4334" s="102"/>
      <c r="AB4334" s="1"/>
      <c r="AC4334" s="1"/>
      <c r="AD4334" s="1"/>
      <c r="AE4334" s="1"/>
      <c r="AF4334" s="1"/>
      <c r="AG4334" s="1"/>
    </row>
    <row r="4335" ht="15.75" customHeight="1">
      <c r="A4335" s="1"/>
      <c r="B4335" s="1"/>
      <c r="C4335" s="1"/>
      <c r="D4335" s="1"/>
      <c r="E4335" s="1"/>
      <c r="F4335" s="1"/>
      <c r="G4335" s="1"/>
      <c r="H4335" s="1"/>
      <c r="I4335" s="1"/>
      <c r="J4335" s="1"/>
      <c r="K4335" s="102" t="s">
        <v>6951</v>
      </c>
      <c r="L4335" s="102" t="str">
        <f>AC510</f>
        <v>J1a2a1a2d2b2b2c4d2a2a5a1e3e3a~</v>
      </c>
      <c r="M4335" s="102" t="s">
        <v>6952</v>
      </c>
      <c r="N4335" s="102"/>
      <c r="O4335" s="105">
        <v>2.1303654E7</v>
      </c>
      <c r="P4335" s="105">
        <v>1.9141768E7</v>
      </c>
      <c r="Q4335" s="102" t="s">
        <v>2501</v>
      </c>
      <c r="S4335" s="1"/>
      <c r="T4335" s="1"/>
      <c r="U4335" s="1"/>
      <c r="V4335" s="1"/>
      <c r="W4335" s="1"/>
      <c r="X4335" s="1"/>
      <c r="Y4335" s="1"/>
      <c r="AA4335" s="102"/>
      <c r="AB4335" s="1"/>
      <c r="AC4335" s="1"/>
      <c r="AD4335" s="1"/>
      <c r="AE4335" s="1"/>
      <c r="AF4335" s="1"/>
      <c r="AG4335" s="1"/>
    </row>
    <row r="4336" ht="15.75" customHeight="1">
      <c r="A4336" s="1"/>
      <c r="B4336" s="1"/>
      <c r="C4336" s="1"/>
      <c r="D4336" s="1"/>
      <c r="E4336" s="1"/>
      <c r="F4336" s="1"/>
      <c r="G4336" s="1"/>
      <c r="H4336" s="1"/>
      <c r="I4336" s="1"/>
      <c r="J4336" s="1"/>
      <c r="K4336" s="102" t="s">
        <v>6952</v>
      </c>
      <c r="L4336" s="102" t="str">
        <f>AC510</f>
        <v>J1a2a1a2d2b2b2c4d2a2a5a1e3e3a~</v>
      </c>
      <c r="M4336" s="102" t="s">
        <v>6951</v>
      </c>
      <c r="N4336" s="102"/>
      <c r="O4336" s="105">
        <v>2.1303654E7</v>
      </c>
      <c r="P4336" s="105">
        <v>1.9141768E7</v>
      </c>
      <c r="Q4336" s="102" t="s">
        <v>2501</v>
      </c>
      <c r="S4336" s="1"/>
      <c r="T4336" s="1"/>
      <c r="U4336" s="1"/>
      <c r="V4336" s="1"/>
      <c r="W4336" s="1"/>
      <c r="X4336" s="1"/>
      <c r="Y4336" s="1"/>
      <c r="AA4336" s="102"/>
      <c r="AB4336" s="1"/>
      <c r="AC4336" s="1"/>
      <c r="AD4336" s="1"/>
      <c r="AE4336" s="1"/>
      <c r="AF4336" s="1"/>
      <c r="AG4336" s="1"/>
    </row>
    <row r="4337" ht="15.75" customHeight="1">
      <c r="A4337" s="1"/>
      <c r="B4337" s="1"/>
      <c r="C4337" s="1"/>
      <c r="D4337" s="1"/>
      <c r="E4337" s="1"/>
      <c r="F4337" s="1"/>
      <c r="G4337" s="1"/>
      <c r="H4337" s="1"/>
      <c r="I4337" s="1"/>
      <c r="J4337" s="1"/>
      <c r="K4337" s="102" t="s">
        <v>6953</v>
      </c>
      <c r="L4337" s="102" t="str">
        <f>AC510</f>
        <v>J1a2a1a2d2b2b2c4d2a2a5a1e3e3a~</v>
      </c>
      <c r="M4337" s="102" t="s">
        <v>6954</v>
      </c>
      <c r="N4337" s="102"/>
      <c r="O4337" s="105">
        <v>2.2005347E7</v>
      </c>
      <c r="P4337" s="105">
        <v>1.9843461E7</v>
      </c>
      <c r="Q4337" s="102" t="s">
        <v>2439</v>
      </c>
      <c r="S4337" s="1"/>
      <c r="T4337" s="1"/>
      <c r="U4337" s="1"/>
      <c r="V4337" s="1"/>
      <c r="W4337" s="1"/>
      <c r="X4337" s="1"/>
      <c r="Y4337" s="1"/>
      <c r="AA4337" s="102"/>
      <c r="AB4337" s="1"/>
      <c r="AC4337" s="1"/>
      <c r="AD4337" s="1"/>
      <c r="AE4337" s="1"/>
      <c r="AF4337" s="1"/>
      <c r="AG4337" s="1"/>
    </row>
    <row r="4338" ht="15.75" customHeight="1">
      <c r="A4338" s="1"/>
      <c r="B4338" s="1"/>
      <c r="C4338" s="1"/>
      <c r="D4338" s="1"/>
      <c r="E4338" s="1"/>
      <c r="F4338" s="1"/>
      <c r="G4338" s="1"/>
      <c r="H4338" s="1"/>
      <c r="I4338" s="1"/>
      <c r="J4338" s="1"/>
      <c r="K4338" s="102" t="s">
        <v>6954</v>
      </c>
      <c r="L4338" s="102" t="str">
        <f>AC510</f>
        <v>J1a2a1a2d2b2b2c4d2a2a5a1e3e3a~</v>
      </c>
      <c r="M4338" s="102" t="s">
        <v>6953</v>
      </c>
      <c r="N4338" s="102"/>
      <c r="O4338" s="105">
        <v>2.2005347E7</v>
      </c>
      <c r="P4338" s="105">
        <v>1.9843461E7</v>
      </c>
      <c r="Q4338" s="102" t="s">
        <v>2439</v>
      </c>
      <c r="S4338" s="1"/>
      <c r="T4338" s="1"/>
      <c r="U4338" s="1"/>
      <c r="V4338" s="1"/>
      <c r="W4338" s="1"/>
      <c r="X4338" s="1"/>
      <c r="Y4338" s="1"/>
      <c r="AA4338" s="102"/>
      <c r="AB4338" s="1"/>
      <c r="AC4338" s="1"/>
      <c r="AD4338" s="1"/>
      <c r="AE4338" s="1"/>
      <c r="AF4338" s="1"/>
      <c r="AG4338" s="1"/>
    </row>
    <row r="4339" ht="15.75" customHeight="1">
      <c r="A4339" s="1"/>
      <c r="B4339" s="1"/>
      <c r="C4339" s="1"/>
      <c r="D4339" s="1"/>
      <c r="E4339" s="1"/>
      <c r="F4339" s="1"/>
      <c r="G4339" s="1"/>
      <c r="H4339" s="1"/>
      <c r="I4339" s="1"/>
      <c r="J4339" s="1"/>
      <c r="K4339" s="102" t="s">
        <v>989</v>
      </c>
      <c r="L4339" s="102" t="str">
        <f>AD511</f>
        <v>J1a2a1a2d2b2b2c4d2a2a5a1e3e3a1~</v>
      </c>
      <c r="M4339" s="102"/>
      <c r="N4339" s="102"/>
      <c r="O4339" s="105">
        <v>1.6917229E7</v>
      </c>
      <c r="P4339" s="105">
        <v>1.4805349E7</v>
      </c>
      <c r="Q4339" s="102" t="s">
        <v>2432</v>
      </c>
      <c r="S4339" s="1"/>
      <c r="T4339" s="1"/>
      <c r="U4339" s="1"/>
      <c r="V4339" s="1"/>
      <c r="W4339" s="1"/>
      <c r="X4339" s="1"/>
      <c r="Y4339" s="1"/>
      <c r="AA4339" s="102"/>
      <c r="AB4339" s="1"/>
      <c r="AC4339" s="1"/>
      <c r="AD4339" s="1"/>
      <c r="AE4339" s="1"/>
      <c r="AF4339" s="1"/>
      <c r="AG4339" s="1"/>
    </row>
    <row r="4340" ht="15.75" customHeight="1">
      <c r="A4340" s="1"/>
      <c r="B4340" s="1"/>
      <c r="C4340" s="1"/>
      <c r="D4340" s="1"/>
      <c r="E4340" s="1"/>
      <c r="F4340" s="1"/>
      <c r="G4340" s="1"/>
      <c r="H4340" s="1"/>
      <c r="I4340" s="1"/>
      <c r="J4340" s="1"/>
      <c r="K4340" s="102" t="s">
        <v>6955</v>
      </c>
      <c r="L4340" s="102" t="str">
        <f>AE512</f>
        <v>J1a2a1a2d2b2b2c4d2a2a5a1e3e3a1a~</v>
      </c>
      <c r="M4340" s="102" t="s">
        <v>6956</v>
      </c>
      <c r="N4340" s="102"/>
      <c r="O4340" s="105">
        <v>2.2662605E7</v>
      </c>
      <c r="P4340" s="105">
        <v>2.0500719E7</v>
      </c>
      <c r="Q4340" s="102" t="s">
        <v>2501</v>
      </c>
      <c r="S4340" s="1"/>
      <c r="T4340" s="1"/>
      <c r="U4340" s="1"/>
      <c r="V4340" s="1"/>
      <c r="W4340" s="1"/>
      <c r="X4340" s="1"/>
      <c r="Y4340" s="1"/>
      <c r="AA4340" s="102"/>
      <c r="AB4340" s="1"/>
      <c r="AC4340" s="1"/>
      <c r="AD4340" s="1"/>
      <c r="AE4340" s="1"/>
      <c r="AF4340" s="1"/>
      <c r="AG4340" s="1"/>
    </row>
    <row r="4341" ht="15.75" customHeight="1">
      <c r="A4341" s="1"/>
      <c r="B4341" s="1"/>
      <c r="C4341" s="1"/>
      <c r="D4341" s="1"/>
      <c r="E4341" s="1"/>
      <c r="F4341" s="1"/>
      <c r="G4341" s="1"/>
      <c r="H4341" s="1"/>
      <c r="I4341" s="1"/>
      <c r="J4341" s="1"/>
      <c r="K4341" s="102" t="s">
        <v>6956</v>
      </c>
      <c r="L4341" s="102" t="str">
        <f>AE512</f>
        <v>J1a2a1a2d2b2b2c4d2a2a5a1e3e3a1a~</v>
      </c>
      <c r="M4341" s="102" t="s">
        <v>6955</v>
      </c>
      <c r="N4341" s="102"/>
      <c r="O4341" s="105">
        <v>2.2662605E7</v>
      </c>
      <c r="P4341" s="105">
        <v>2.0500719E7</v>
      </c>
      <c r="Q4341" s="102" t="s">
        <v>2501</v>
      </c>
      <c r="S4341" s="1"/>
      <c r="T4341" s="1"/>
      <c r="U4341" s="1"/>
      <c r="V4341" s="1"/>
      <c r="W4341" s="1"/>
      <c r="X4341" s="1"/>
      <c r="Y4341" s="1"/>
      <c r="AA4341" s="102"/>
      <c r="AB4341" s="1"/>
      <c r="AC4341" s="1"/>
      <c r="AD4341" s="1"/>
      <c r="AE4341" s="1"/>
      <c r="AF4341" s="1"/>
      <c r="AG4341" s="1"/>
    </row>
    <row r="4342" ht="15.75" customHeight="1">
      <c r="A4342" s="1"/>
      <c r="B4342" s="1"/>
      <c r="C4342" s="1"/>
      <c r="D4342" s="1"/>
      <c r="E4342" s="1"/>
      <c r="F4342" s="1"/>
      <c r="G4342" s="1"/>
      <c r="H4342" s="1"/>
      <c r="I4342" s="1"/>
      <c r="J4342" s="1"/>
      <c r="K4342" s="102" t="s">
        <v>6957</v>
      </c>
      <c r="L4342" s="102" t="str">
        <f>AF513</f>
        <v>J1a2a1a2d2b2b2c4d2a2a5a1e3e3a1a1~</v>
      </c>
      <c r="M4342" s="102" t="s">
        <v>6958</v>
      </c>
      <c r="N4342" s="102"/>
      <c r="O4342" s="105">
        <v>1.6865443E7</v>
      </c>
      <c r="P4342" s="105">
        <v>1.4753563E7</v>
      </c>
      <c r="Q4342" s="102" t="s">
        <v>2423</v>
      </c>
      <c r="S4342" s="1"/>
      <c r="T4342" s="1"/>
      <c r="U4342" s="1"/>
      <c r="V4342" s="1"/>
      <c r="W4342" s="1"/>
      <c r="X4342" s="1"/>
      <c r="Y4342" s="1"/>
      <c r="AA4342" s="102"/>
      <c r="AB4342" s="1"/>
      <c r="AC4342" s="1"/>
      <c r="AD4342" s="1"/>
      <c r="AE4342" s="1"/>
      <c r="AF4342" s="1"/>
      <c r="AG4342" s="1"/>
    </row>
    <row r="4343" ht="15.75" customHeight="1">
      <c r="A4343" s="1"/>
      <c r="B4343" s="1"/>
      <c r="C4343" s="1"/>
      <c r="D4343" s="1"/>
      <c r="E4343" s="1"/>
      <c r="F4343" s="1"/>
      <c r="G4343" s="1"/>
      <c r="H4343" s="1"/>
      <c r="I4343" s="1"/>
      <c r="J4343" s="1"/>
      <c r="K4343" s="102" t="s">
        <v>6958</v>
      </c>
      <c r="L4343" s="102" t="str">
        <f>AF513</f>
        <v>J1a2a1a2d2b2b2c4d2a2a5a1e3e3a1a1~</v>
      </c>
      <c r="M4343" s="102" t="s">
        <v>6957</v>
      </c>
      <c r="N4343" s="102"/>
      <c r="O4343" s="105">
        <v>1.6865443E7</v>
      </c>
      <c r="P4343" s="105">
        <v>1.4753563E7</v>
      </c>
      <c r="Q4343" s="102" t="s">
        <v>2423</v>
      </c>
      <c r="S4343" s="1"/>
      <c r="T4343" s="1"/>
      <c r="U4343" s="1"/>
      <c r="V4343" s="1"/>
      <c r="W4343" s="1"/>
      <c r="X4343" s="1"/>
      <c r="Y4343" s="1"/>
      <c r="AA4343" s="102"/>
      <c r="AB4343" s="1"/>
      <c r="AC4343" s="1"/>
      <c r="AD4343" s="1"/>
      <c r="AE4343" s="1"/>
      <c r="AF4343" s="1"/>
      <c r="AG4343" s="1"/>
    </row>
    <row r="4344" ht="15.75" customHeight="1">
      <c r="A4344" s="1"/>
      <c r="B4344" s="1"/>
      <c r="C4344" s="1"/>
      <c r="D4344" s="1"/>
      <c r="E4344" s="1"/>
      <c r="F4344" s="1"/>
      <c r="G4344" s="1"/>
      <c r="H4344" s="1"/>
      <c r="I4344" s="1"/>
      <c r="J4344" s="1"/>
      <c r="K4344" s="102" t="s">
        <v>6959</v>
      </c>
      <c r="L4344" s="102" t="str">
        <f>AF513</f>
        <v>J1a2a1a2d2b2b2c4d2a2a5a1e3e3a1a1~</v>
      </c>
      <c r="M4344" s="102" t="s">
        <v>6960</v>
      </c>
      <c r="N4344" s="102"/>
      <c r="O4344" s="105">
        <v>1.713966E7</v>
      </c>
      <c r="P4344" s="105">
        <v>1.502778E7</v>
      </c>
      <c r="Q4344" s="102" t="s">
        <v>2501</v>
      </c>
      <c r="S4344" s="1"/>
      <c r="T4344" s="1"/>
      <c r="U4344" s="1"/>
      <c r="V4344" s="1"/>
      <c r="W4344" s="1"/>
      <c r="X4344" s="1"/>
      <c r="Y4344" s="1"/>
      <c r="AA4344" s="102"/>
      <c r="AB4344" s="1"/>
      <c r="AC4344" s="1"/>
      <c r="AD4344" s="1"/>
      <c r="AE4344" s="1"/>
      <c r="AF4344" s="1"/>
      <c r="AG4344" s="1"/>
    </row>
    <row r="4345" ht="15.75" customHeight="1">
      <c r="A4345" s="1"/>
      <c r="B4345" s="1"/>
      <c r="C4345" s="1"/>
      <c r="D4345" s="1"/>
      <c r="E4345" s="1"/>
      <c r="F4345" s="1"/>
      <c r="G4345" s="1"/>
      <c r="H4345" s="1"/>
      <c r="I4345" s="1"/>
      <c r="J4345" s="1"/>
      <c r="K4345" s="102" t="s">
        <v>6960</v>
      </c>
      <c r="L4345" s="102" t="str">
        <f>AF513</f>
        <v>J1a2a1a2d2b2b2c4d2a2a5a1e3e3a1a1~</v>
      </c>
      <c r="M4345" s="102" t="s">
        <v>6959</v>
      </c>
      <c r="N4345" s="102"/>
      <c r="O4345" s="105">
        <v>1.713966E7</v>
      </c>
      <c r="P4345" s="105">
        <v>1.502778E7</v>
      </c>
      <c r="Q4345" s="102" t="s">
        <v>2501</v>
      </c>
      <c r="S4345" s="1"/>
      <c r="T4345" s="1"/>
      <c r="U4345" s="1"/>
      <c r="V4345" s="1"/>
      <c r="W4345" s="1"/>
      <c r="X4345" s="1"/>
      <c r="Y4345" s="1"/>
      <c r="AA4345" s="102"/>
      <c r="AB4345" s="1"/>
      <c r="AC4345" s="1"/>
      <c r="AD4345" s="1"/>
      <c r="AE4345" s="1"/>
      <c r="AF4345" s="1"/>
      <c r="AG4345" s="1"/>
    </row>
    <row r="4346" ht="15.75" customHeight="1">
      <c r="A4346" s="1"/>
      <c r="B4346" s="1"/>
      <c r="C4346" s="1"/>
      <c r="D4346" s="1"/>
      <c r="E4346" s="1"/>
      <c r="F4346" s="1"/>
      <c r="G4346" s="1"/>
      <c r="H4346" s="1"/>
      <c r="I4346" s="1"/>
      <c r="J4346" s="1"/>
      <c r="K4346" s="102" t="s">
        <v>6961</v>
      </c>
      <c r="L4346" s="102" t="str">
        <f>AF513</f>
        <v>J1a2a1a2d2b2b2c4d2a2a5a1e3e3a1a1~</v>
      </c>
      <c r="M4346" s="102" t="s">
        <v>6962</v>
      </c>
      <c r="N4346" s="102"/>
      <c r="O4346" s="105">
        <v>1.8731824E7</v>
      </c>
      <c r="P4346" s="105">
        <v>1.6619944E7</v>
      </c>
      <c r="Q4346" s="102" t="s">
        <v>2501</v>
      </c>
      <c r="S4346" s="1"/>
      <c r="T4346" s="1"/>
      <c r="U4346" s="1"/>
      <c r="V4346" s="1"/>
      <c r="W4346" s="1"/>
      <c r="X4346" s="1"/>
      <c r="Y4346" s="1"/>
      <c r="AA4346" s="102"/>
      <c r="AB4346" s="1"/>
      <c r="AC4346" s="1"/>
      <c r="AD4346" s="1"/>
      <c r="AE4346" s="1"/>
      <c r="AF4346" s="1"/>
      <c r="AG4346" s="1"/>
    </row>
    <row r="4347" ht="15.75" customHeight="1">
      <c r="A4347" s="1"/>
      <c r="B4347" s="1"/>
      <c r="C4347" s="1"/>
      <c r="D4347" s="1"/>
      <c r="E4347" s="1"/>
      <c r="F4347" s="1"/>
      <c r="G4347" s="1"/>
      <c r="H4347" s="1"/>
      <c r="I4347" s="1"/>
      <c r="J4347" s="1"/>
      <c r="K4347" s="102" t="s">
        <v>6962</v>
      </c>
      <c r="L4347" s="102" t="str">
        <f>AF513</f>
        <v>J1a2a1a2d2b2b2c4d2a2a5a1e3e3a1a1~</v>
      </c>
      <c r="M4347" s="102" t="s">
        <v>6961</v>
      </c>
      <c r="N4347" s="102"/>
      <c r="O4347" s="105">
        <v>1.8731824E7</v>
      </c>
      <c r="P4347" s="105">
        <v>1.6619944E7</v>
      </c>
      <c r="Q4347" s="102" t="s">
        <v>2501</v>
      </c>
      <c r="S4347" s="1"/>
      <c r="T4347" s="1"/>
      <c r="U4347" s="1"/>
      <c r="V4347" s="1"/>
      <c r="W4347" s="1"/>
      <c r="X4347" s="1"/>
      <c r="Y4347" s="1"/>
      <c r="AA4347" s="102"/>
      <c r="AB4347" s="1"/>
      <c r="AC4347" s="1"/>
      <c r="AD4347" s="1"/>
      <c r="AE4347" s="1"/>
      <c r="AF4347" s="1"/>
      <c r="AG4347" s="1"/>
    </row>
    <row r="4348" ht="15.75" customHeight="1">
      <c r="A4348" s="1"/>
      <c r="B4348" s="1"/>
      <c r="C4348" s="1"/>
      <c r="D4348" s="1"/>
      <c r="E4348" s="1"/>
      <c r="F4348" s="1"/>
      <c r="G4348" s="1"/>
      <c r="H4348" s="1"/>
      <c r="I4348" s="1"/>
      <c r="J4348" s="1"/>
      <c r="K4348" s="102" t="s">
        <v>6963</v>
      </c>
      <c r="L4348" s="102" t="str">
        <f>AG514</f>
        <v>J1a2a1a2d2b2b2c4d2a2a5a1e3e3a1a1a~</v>
      </c>
      <c r="M4348" s="102" t="s">
        <v>6964</v>
      </c>
      <c r="N4348" s="102"/>
      <c r="O4348" s="105">
        <v>8906654.0</v>
      </c>
      <c r="P4348" s="105">
        <v>9038613.0</v>
      </c>
      <c r="Q4348" s="102" t="s">
        <v>2501</v>
      </c>
      <c r="S4348" s="1"/>
      <c r="T4348" s="1"/>
      <c r="U4348" s="1"/>
      <c r="V4348" s="1"/>
      <c r="W4348" s="1"/>
      <c r="X4348" s="1"/>
      <c r="Y4348" s="1"/>
      <c r="AA4348" s="102"/>
      <c r="AB4348" s="1"/>
      <c r="AC4348" s="1"/>
      <c r="AD4348" s="1"/>
      <c r="AE4348" s="1"/>
      <c r="AF4348" s="1"/>
      <c r="AG4348" s="1"/>
    </row>
    <row r="4349" ht="15.75" customHeight="1">
      <c r="A4349" s="1"/>
      <c r="B4349" s="1"/>
      <c r="C4349" s="1"/>
      <c r="D4349" s="1"/>
      <c r="E4349" s="1"/>
      <c r="F4349" s="1"/>
      <c r="G4349" s="1"/>
      <c r="H4349" s="1"/>
      <c r="I4349" s="1"/>
      <c r="J4349" s="1"/>
      <c r="K4349" s="102" t="s">
        <v>6964</v>
      </c>
      <c r="L4349" s="102" t="str">
        <f>AG514</f>
        <v>J1a2a1a2d2b2b2c4d2a2a5a1e3e3a1a1a~</v>
      </c>
      <c r="M4349" s="102" t="s">
        <v>6963</v>
      </c>
      <c r="N4349" s="102"/>
      <c r="O4349" s="105">
        <v>8906654.0</v>
      </c>
      <c r="P4349" s="105">
        <v>9038613.0</v>
      </c>
      <c r="Q4349" s="102" t="s">
        <v>2501</v>
      </c>
      <c r="S4349" s="1"/>
      <c r="T4349" s="1"/>
      <c r="U4349" s="1"/>
      <c r="V4349" s="1"/>
      <c r="W4349" s="1"/>
      <c r="X4349" s="1"/>
      <c r="Y4349" s="1"/>
      <c r="AA4349" s="102"/>
      <c r="AB4349" s="1"/>
      <c r="AC4349" s="1"/>
      <c r="AD4349" s="1"/>
      <c r="AE4349" s="1"/>
      <c r="AF4349" s="1"/>
      <c r="AG4349" s="1"/>
    </row>
    <row r="4350" ht="15.75" customHeight="1">
      <c r="A4350" s="1"/>
      <c r="B4350" s="1"/>
      <c r="C4350" s="1"/>
      <c r="D4350" s="1"/>
      <c r="E4350" s="1"/>
      <c r="F4350" s="1"/>
      <c r="G4350" s="1"/>
      <c r="H4350" s="1"/>
      <c r="I4350" s="1"/>
      <c r="J4350" s="1"/>
      <c r="K4350" s="102" t="s">
        <v>6965</v>
      </c>
      <c r="L4350" s="102" t="str">
        <f>AH515</f>
        <v>J1a2a1a2d2b2b2c4d2a2a5a1e3e3a1a1a1~</v>
      </c>
      <c r="M4350" s="102" t="s">
        <v>6966</v>
      </c>
      <c r="N4350" s="102"/>
      <c r="O4350" s="102">
        <v>2.2131877E7</v>
      </c>
      <c r="P4350" s="102">
        <v>1.9969991E7</v>
      </c>
      <c r="Q4350" s="102" t="s">
        <v>2423</v>
      </c>
      <c r="S4350" s="1"/>
      <c r="T4350" s="1"/>
      <c r="U4350" s="1"/>
      <c r="V4350" s="1"/>
      <c r="W4350" s="1"/>
      <c r="X4350" s="1"/>
      <c r="Y4350" s="1"/>
      <c r="AA4350" s="102"/>
      <c r="AB4350" s="1"/>
      <c r="AC4350" s="1"/>
      <c r="AD4350" s="1"/>
      <c r="AE4350" s="1"/>
      <c r="AF4350" s="1"/>
      <c r="AG4350" s="1"/>
    </row>
    <row r="4351" ht="15.75" customHeight="1">
      <c r="A4351" s="1"/>
      <c r="B4351" s="1"/>
      <c r="C4351" s="1"/>
      <c r="D4351" s="1"/>
      <c r="E4351" s="1"/>
      <c r="F4351" s="1"/>
      <c r="G4351" s="1"/>
      <c r="H4351" s="1"/>
      <c r="I4351" s="1"/>
      <c r="J4351" s="1"/>
      <c r="K4351" s="102" t="s">
        <v>6966</v>
      </c>
      <c r="L4351" s="102" t="str">
        <f>AH515</f>
        <v>J1a2a1a2d2b2b2c4d2a2a5a1e3e3a1a1a1~</v>
      </c>
      <c r="M4351" s="102" t="s">
        <v>6965</v>
      </c>
      <c r="N4351" s="102"/>
      <c r="O4351" s="102">
        <v>2.2131877E7</v>
      </c>
      <c r="P4351" s="102">
        <v>1.9969991E7</v>
      </c>
      <c r="Q4351" s="102" t="s">
        <v>2423</v>
      </c>
      <c r="S4351" s="1"/>
      <c r="T4351" s="1"/>
      <c r="U4351" s="1"/>
      <c r="V4351" s="1"/>
      <c r="W4351" s="1"/>
      <c r="X4351" s="1"/>
      <c r="Y4351" s="1"/>
      <c r="AA4351" s="102"/>
      <c r="AB4351" s="1"/>
      <c r="AC4351" s="1"/>
      <c r="AD4351" s="1"/>
      <c r="AE4351" s="1"/>
      <c r="AF4351" s="1"/>
      <c r="AG4351" s="1"/>
    </row>
    <row r="4352" ht="15.75" customHeight="1">
      <c r="A4352" s="1"/>
      <c r="B4352" s="1"/>
      <c r="C4352" s="1"/>
      <c r="D4352" s="1"/>
      <c r="E4352" s="1"/>
      <c r="F4352" s="1"/>
      <c r="G4352" s="1"/>
      <c r="H4352" s="1"/>
      <c r="I4352" s="1"/>
      <c r="J4352" s="1"/>
      <c r="K4352" s="102" t="s">
        <v>999</v>
      </c>
      <c r="L4352" s="102" t="str">
        <f>AE516</f>
        <v>J1a2a1a2d2b2b2c4d2a2a5a1e3e3a1b~</v>
      </c>
      <c r="M4352" s="102"/>
      <c r="N4352" s="102"/>
      <c r="O4352" s="105">
        <v>2.2936514E7</v>
      </c>
      <c r="P4352" s="105">
        <v>2.0774628E7</v>
      </c>
      <c r="Q4352" s="102" t="s">
        <v>2501</v>
      </c>
      <c r="S4352" s="1"/>
      <c r="T4352" s="1"/>
      <c r="U4352" s="1"/>
      <c r="V4352" s="1"/>
      <c r="W4352" s="1"/>
      <c r="X4352" s="1"/>
      <c r="Y4352" s="1"/>
      <c r="AA4352" s="102"/>
      <c r="AB4352" s="1"/>
      <c r="AC4352" s="1"/>
      <c r="AD4352" s="1"/>
      <c r="AE4352" s="1"/>
      <c r="AF4352" s="1"/>
      <c r="AG4352" s="1"/>
    </row>
    <row r="4353" ht="15.75" customHeight="1">
      <c r="A4353" s="1"/>
      <c r="B4353" s="1"/>
      <c r="C4353" s="1"/>
      <c r="D4353" s="1"/>
      <c r="E4353" s="1"/>
      <c r="F4353" s="1"/>
      <c r="G4353" s="1"/>
      <c r="H4353" s="1"/>
      <c r="I4353" s="1"/>
      <c r="J4353" s="1"/>
      <c r="K4353" s="102" t="s">
        <v>6967</v>
      </c>
      <c r="L4353" s="102" t="str">
        <f>AD517</f>
        <v>J1a2a1a2d2b2b2c4d2a2a5a1e3e3a2~</v>
      </c>
      <c r="M4353" s="102"/>
      <c r="N4353" s="102"/>
      <c r="O4353" s="105">
        <v>2821650.0</v>
      </c>
      <c r="P4353" s="105">
        <v>2953609.0</v>
      </c>
      <c r="Q4353" s="102" t="s">
        <v>2468</v>
      </c>
      <c r="S4353" s="1"/>
      <c r="T4353" s="1"/>
      <c r="U4353" s="1"/>
      <c r="V4353" s="1"/>
      <c r="W4353" s="1"/>
      <c r="X4353" s="1"/>
      <c r="Y4353" s="1"/>
      <c r="AA4353" s="102"/>
      <c r="AB4353" s="1"/>
      <c r="AC4353" s="1"/>
      <c r="AD4353" s="1"/>
      <c r="AE4353" s="1"/>
      <c r="AF4353" s="1"/>
      <c r="AG4353" s="1"/>
    </row>
    <row r="4354" ht="15.75" customHeight="1">
      <c r="A4354" s="1"/>
      <c r="B4354" s="1"/>
      <c r="C4354" s="1"/>
      <c r="D4354" s="1"/>
      <c r="E4354" s="1"/>
      <c r="F4354" s="1"/>
      <c r="G4354" s="1"/>
      <c r="H4354" s="1"/>
      <c r="I4354" s="1"/>
      <c r="J4354" s="1"/>
      <c r="K4354" s="106" t="s">
        <v>6968</v>
      </c>
      <c r="L4354" s="102" t="str">
        <f>AD517</f>
        <v>J1a2a1a2d2b2b2c4d2a2a5a1e3e3a2~</v>
      </c>
      <c r="M4354" s="102"/>
      <c r="N4354" s="102"/>
      <c r="O4354" s="104">
        <v>1.8084496E7</v>
      </c>
      <c r="P4354" s="111">
        <v>1.5972616E7</v>
      </c>
      <c r="Q4354" s="112" t="s">
        <v>2454</v>
      </c>
      <c r="S4354" s="1"/>
      <c r="T4354" s="1"/>
      <c r="U4354" s="1"/>
      <c r="V4354" s="1"/>
      <c r="W4354" s="1"/>
      <c r="X4354" s="1"/>
      <c r="Y4354" s="1"/>
      <c r="AA4354" s="102"/>
      <c r="AB4354" s="1"/>
      <c r="AC4354" s="1"/>
      <c r="AD4354" s="1"/>
      <c r="AE4354" s="1"/>
      <c r="AF4354" s="1"/>
      <c r="AG4354" s="1"/>
    </row>
    <row r="4355" ht="15.75" customHeight="1">
      <c r="A4355" s="1"/>
      <c r="B4355" s="1"/>
      <c r="C4355" s="1"/>
      <c r="D4355" s="1"/>
      <c r="E4355" s="1"/>
      <c r="F4355" s="1"/>
      <c r="G4355" s="1"/>
      <c r="H4355" s="1"/>
      <c r="I4355" s="1"/>
      <c r="J4355" s="1"/>
      <c r="K4355" s="102" t="s">
        <v>1003</v>
      </c>
      <c r="L4355" s="102" t="str">
        <f>AA518</f>
        <v>J1a2a1a2d2b2b2c4d2a2a5a1e3f~</v>
      </c>
      <c r="M4355" s="102"/>
      <c r="N4355" s="102" t="s">
        <v>6969</v>
      </c>
      <c r="O4355" s="105">
        <v>6834785.0</v>
      </c>
      <c r="P4355" s="105">
        <v>6966744.0</v>
      </c>
      <c r="Q4355" s="102" t="s">
        <v>2439</v>
      </c>
      <c r="S4355" s="1"/>
      <c r="T4355" s="1"/>
      <c r="U4355" s="1"/>
      <c r="V4355" s="1"/>
      <c r="W4355" s="1"/>
      <c r="X4355" s="1"/>
      <c r="Y4355" s="1"/>
      <c r="AA4355" s="102"/>
      <c r="AB4355" s="1"/>
      <c r="AC4355" s="1"/>
      <c r="AD4355" s="1"/>
      <c r="AE4355" s="1"/>
      <c r="AF4355" s="1"/>
      <c r="AG4355" s="1"/>
    </row>
    <row r="4356" ht="15.75" customHeight="1">
      <c r="A4356" s="1"/>
      <c r="B4356" s="1"/>
      <c r="C4356" s="1"/>
      <c r="D4356" s="1"/>
      <c r="E4356" s="1"/>
      <c r="F4356" s="1"/>
      <c r="G4356" s="1"/>
      <c r="H4356" s="1"/>
      <c r="I4356" s="1"/>
      <c r="J4356" s="1"/>
      <c r="K4356" s="102" t="s">
        <v>6970</v>
      </c>
      <c r="L4356" s="102" t="str">
        <f>Z519</f>
        <v>J1a2a1a2d2b2b2c4d2a2a5a1e4~</v>
      </c>
      <c r="M4356" s="102" t="s">
        <v>6971</v>
      </c>
      <c r="N4356" s="102" t="s">
        <v>6972</v>
      </c>
      <c r="O4356" s="105">
        <v>1.8213027E7</v>
      </c>
      <c r="P4356" s="105">
        <v>1.6101147E7</v>
      </c>
      <c r="Q4356" s="102" t="s">
        <v>2468</v>
      </c>
      <c r="S4356" s="1"/>
      <c r="T4356" s="1"/>
      <c r="U4356" s="1"/>
      <c r="V4356" s="1"/>
      <c r="W4356" s="1"/>
      <c r="X4356" s="1"/>
      <c r="Y4356" s="1"/>
      <c r="AA4356" s="102"/>
      <c r="AB4356" s="1"/>
      <c r="AC4356" s="1"/>
      <c r="AD4356" s="1"/>
      <c r="AE4356" s="1"/>
      <c r="AF4356" s="1"/>
      <c r="AG4356" s="1"/>
    </row>
    <row r="4357" ht="15.75" customHeight="1">
      <c r="A4357" s="1"/>
      <c r="B4357" s="1"/>
      <c r="C4357" s="1"/>
      <c r="D4357" s="1"/>
      <c r="E4357" s="1"/>
      <c r="F4357" s="1"/>
      <c r="G4357" s="1"/>
      <c r="H4357" s="1"/>
      <c r="I4357" s="1"/>
      <c r="J4357" s="1"/>
      <c r="K4357" s="102" t="s">
        <v>6973</v>
      </c>
      <c r="L4357" s="102" t="str">
        <f>Z519</f>
        <v>J1a2a1a2d2b2b2c4d2a2a5a1e4~</v>
      </c>
      <c r="M4357" s="102" t="s">
        <v>6974</v>
      </c>
      <c r="N4357" s="102" t="s">
        <v>6972</v>
      </c>
      <c r="O4357" s="105">
        <v>1.8213027E7</v>
      </c>
      <c r="P4357" s="105">
        <v>1.6101147E7</v>
      </c>
      <c r="Q4357" s="102" t="s">
        <v>2468</v>
      </c>
      <c r="S4357" s="1"/>
      <c r="T4357" s="1"/>
      <c r="U4357" s="1"/>
      <c r="V4357" s="1"/>
      <c r="W4357" s="1"/>
      <c r="X4357" s="1"/>
      <c r="Y4357" s="1"/>
      <c r="AA4357" s="102"/>
      <c r="AB4357" s="1"/>
      <c r="AC4357" s="1"/>
      <c r="AD4357" s="1"/>
      <c r="AE4357" s="1"/>
      <c r="AF4357" s="1"/>
      <c r="AG4357" s="1"/>
    </row>
    <row r="4358" ht="15.75" customHeight="1">
      <c r="A4358" s="1"/>
      <c r="B4358" s="1"/>
      <c r="C4358" s="1"/>
      <c r="D4358" s="1"/>
      <c r="E4358" s="1"/>
      <c r="F4358" s="1"/>
      <c r="G4358" s="1"/>
      <c r="H4358" s="1"/>
      <c r="I4358" s="1"/>
      <c r="J4358" s="1"/>
      <c r="K4358" s="102" t="s">
        <v>6975</v>
      </c>
      <c r="L4358" s="102" t="str">
        <f>Z519</f>
        <v>J1a2a1a2d2b2b2c4d2a2a5a1e4~</v>
      </c>
      <c r="M4358" s="102" t="s">
        <v>6976</v>
      </c>
      <c r="N4358" s="102" t="s">
        <v>6972</v>
      </c>
      <c r="O4358" s="105">
        <v>1.8213027E7</v>
      </c>
      <c r="P4358" s="105">
        <v>1.6101147E7</v>
      </c>
      <c r="Q4358" s="102" t="s">
        <v>2468</v>
      </c>
      <c r="S4358" s="1"/>
      <c r="T4358" s="1"/>
      <c r="U4358" s="1"/>
      <c r="V4358" s="1"/>
      <c r="W4358" s="1"/>
      <c r="X4358" s="1"/>
      <c r="Y4358" s="1"/>
      <c r="AA4358" s="102"/>
      <c r="AB4358" s="1"/>
      <c r="AC4358" s="1"/>
      <c r="AD4358" s="1"/>
      <c r="AE4358" s="1"/>
      <c r="AF4358" s="1"/>
      <c r="AG4358" s="1"/>
    </row>
    <row r="4359" ht="15.75" customHeight="1">
      <c r="A4359" s="1"/>
      <c r="B4359" s="1"/>
      <c r="C4359" s="1"/>
      <c r="D4359" s="1"/>
      <c r="E4359" s="1"/>
      <c r="F4359" s="1"/>
      <c r="G4359" s="1"/>
      <c r="H4359" s="1"/>
      <c r="I4359" s="1"/>
      <c r="J4359" s="1"/>
      <c r="K4359" s="102" t="s">
        <v>6977</v>
      </c>
      <c r="L4359" s="102" t="str">
        <f>AA520</f>
        <v>J1a2a1a2d2b2b2c4d2a2a5a1e4a~</v>
      </c>
      <c r="M4359" s="102" t="s">
        <v>6978</v>
      </c>
      <c r="N4359" s="102" t="s">
        <v>6979</v>
      </c>
      <c r="O4359" s="105">
        <v>1.522354E7</v>
      </c>
      <c r="P4359" s="105">
        <v>1.3111626E7</v>
      </c>
      <c r="Q4359" s="102" t="s">
        <v>2501</v>
      </c>
      <c r="S4359" s="1"/>
      <c r="T4359" s="1"/>
      <c r="U4359" s="1"/>
      <c r="V4359" s="1"/>
      <c r="W4359" s="1"/>
      <c r="X4359" s="1"/>
      <c r="Y4359" s="1"/>
      <c r="AA4359" s="102"/>
      <c r="AB4359" s="1"/>
      <c r="AC4359" s="1"/>
      <c r="AD4359" s="1"/>
      <c r="AE4359" s="1"/>
      <c r="AF4359" s="1"/>
      <c r="AG4359" s="1"/>
    </row>
    <row r="4360" ht="15.75" customHeight="1">
      <c r="A4360" s="1"/>
      <c r="B4360" s="1"/>
      <c r="C4360" s="1"/>
      <c r="D4360" s="1"/>
      <c r="E4360" s="1"/>
      <c r="F4360" s="1"/>
      <c r="G4360" s="1"/>
      <c r="H4360" s="1"/>
      <c r="I4360" s="1"/>
      <c r="J4360" s="1"/>
      <c r="K4360" s="102" t="s">
        <v>6980</v>
      </c>
      <c r="L4360" s="102" t="str">
        <f>AA520</f>
        <v>J1a2a1a2d2b2b2c4d2a2a5a1e4a~</v>
      </c>
      <c r="M4360" s="102" t="s">
        <v>6981</v>
      </c>
      <c r="N4360" s="102" t="s">
        <v>6979</v>
      </c>
      <c r="O4360" s="105">
        <v>1.522354E7</v>
      </c>
      <c r="P4360" s="105">
        <v>1.3111626E7</v>
      </c>
      <c r="Q4360" s="102" t="s">
        <v>2501</v>
      </c>
      <c r="S4360" s="1"/>
      <c r="T4360" s="1"/>
      <c r="U4360" s="1"/>
      <c r="V4360" s="1"/>
      <c r="W4360" s="1"/>
      <c r="X4360" s="1"/>
      <c r="Y4360" s="1"/>
      <c r="AA4360" s="102"/>
      <c r="AB4360" s="1"/>
      <c r="AC4360" s="1"/>
      <c r="AD4360" s="1"/>
      <c r="AE4360" s="1"/>
      <c r="AF4360" s="1"/>
      <c r="AG4360" s="1"/>
    </row>
    <row r="4361" ht="15.75" customHeight="1">
      <c r="A4361" s="1"/>
      <c r="B4361" s="1"/>
      <c r="C4361" s="1"/>
      <c r="D4361" s="1"/>
      <c r="E4361" s="1"/>
      <c r="F4361" s="1"/>
      <c r="G4361" s="1"/>
      <c r="H4361" s="1"/>
      <c r="I4361" s="1"/>
      <c r="J4361" s="1"/>
      <c r="K4361" s="102" t="s">
        <v>6982</v>
      </c>
      <c r="L4361" s="102" t="str">
        <f>AA520</f>
        <v>J1a2a1a2d2b2b2c4d2a2a5a1e4a~</v>
      </c>
      <c r="M4361" s="102" t="s">
        <v>6983</v>
      </c>
      <c r="N4361" s="102" t="s">
        <v>6979</v>
      </c>
      <c r="O4361" s="105">
        <v>1.522354E7</v>
      </c>
      <c r="P4361" s="105">
        <v>1.3111626E7</v>
      </c>
      <c r="Q4361" s="102" t="s">
        <v>2501</v>
      </c>
      <c r="S4361" s="1"/>
      <c r="T4361" s="1"/>
      <c r="U4361" s="1"/>
      <c r="V4361" s="1"/>
      <c r="W4361" s="1"/>
      <c r="X4361" s="1"/>
      <c r="Y4361" s="1"/>
      <c r="AA4361" s="102"/>
      <c r="AB4361" s="1"/>
      <c r="AC4361" s="1"/>
      <c r="AD4361" s="1"/>
      <c r="AE4361" s="1"/>
      <c r="AF4361" s="1"/>
      <c r="AG4361" s="1"/>
    </row>
    <row r="4362" ht="15.75" customHeight="1">
      <c r="A4362" s="1"/>
      <c r="B4362" s="1"/>
      <c r="C4362" s="1"/>
      <c r="D4362" s="1"/>
      <c r="E4362" s="1"/>
      <c r="F4362" s="1"/>
      <c r="G4362" s="1"/>
      <c r="H4362" s="1"/>
      <c r="I4362" s="1"/>
      <c r="J4362" s="1"/>
      <c r="K4362" s="102" t="s">
        <v>6984</v>
      </c>
      <c r="L4362" s="102" t="str">
        <f>AB521</f>
        <v>J1a2a1a2d2b2b2c4d2a2a5a1e4a1~</v>
      </c>
      <c r="M4362" s="102"/>
      <c r="N4362" s="102" t="s">
        <v>6985</v>
      </c>
      <c r="O4362" s="105">
        <v>2.3618992E7</v>
      </c>
      <c r="P4362" s="105">
        <v>2.1457106E7</v>
      </c>
      <c r="Q4362" s="102" t="s">
        <v>2432</v>
      </c>
      <c r="S4362" s="1"/>
      <c r="T4362" s="1"/>
      <c r="U4362" s="1"/>
      <c r="V4362" s="1"/>
      <c r="W4362" s="1"/>
      <c r="X4362" s="1"/>
      <c r="Y4362" s="1"/>
      <c r="AA4362" s="102"/>
      <c r="AB4362" s="1"/>
      <c r="AC4362" s="1"/>
      <c r="AD4362" s="1"/>
      <c r="AE4362" s="1"/>
      <c r="AF4362" s="1"/>
      <c r="AG4362" s="1"/>
    </row>
    <row r="4363" ht="15.75" customHeight="1">
      <c r="A4363" s="1"/>
      <c r="B4363" s="1"/>
      <c r="C4363" s="1"/>
      <c r="D4363" s="1"/>
      <c r="E4363" s="1"/>
      <c r="F4363" s="1"/>
      <c r="G4363" s="1"/>
      <c r="H4363" s="1"/>
      <c r="I4363" s="1"/>
      <c r="J4363" s="1"/>
      <c r="K4363" s="102" t="s">
        <v>6986</v>
      </c>
      <c r="L4363" s="102" t="str">
        <f>AB521</f>
        <v>J1a2a1a2d2b2b2c4d2a2a5a1e4a1~</v>
      </c>
      <c r="M4363" s="102"/>
      <c r="N4363" s="102"/>
      <c r="O4363" s="105">
        <v>2.3775068E7</v>
      </c>
      <c r="P4363" s="105">
        <v>2.1613182E7</v>
      </c>
      <c r="Q4363" s="102" t="s">
        <v>2533</v>
      </c>
      <c r="S4363" s="1"/>
      <c r="T4363" s="1"/>
      <c r="U4363" s="1"/>
      <c r="V4363" s="1"/>
      <c r="W4363" s="1"/>
      <c r="X4363" s="1"/>
      <c r="Y4363" s="1"/>
      <c r="AA4363" s="102"/>
      <c r="AB4363" s="1"/>
      <c r="AC4363" s="1"/>
      <c r="AD4363" s="1"/>
      <c r="AE4363" s="1"/>
      <c r="AF4363" s="1"/>
      <c r="AG4363" s="1"/>
    </row>
    <row r="4364" ht="15.75" customHeight="1">
      <c r="A4364" s="1"/>
      <c r="B4364" s="1"/>
      <c r="C4364" s="1"/>
      <c r="D4364" s="1"/>
      <c r="E4364" s="1"/>
      <c r="F4364" s="1"/>
      <c r="G4364" s="1"/>
      <c r="H4364" s="1"/>
      <c r="I4364" s="1"/>
      <c r="J4364" s="1"/>
      <c r="K4364" s="102" t="s">
        <v>6987</v>
      </c>
      <c r="L4364" s="102" t="str">
        <f>AC522</f>
        <v>J1a2a1a2d2b2b2c4d2a2a5a1e4a1a~</v>
      </c>
      <c r="M4364" s="102"/>
      <c r="N4364" s="102"/>
      <c r="O4364" s="105">
        <v>1.5030883E7</v>
      </c>
      <c r="P4364" s="105">
        <v>1.2918971E7</v>
      </c>
      <c r="Q4364" s="102" t="s">
        <v>2529</v>
      </c>
      <c r="S4364" s="1"/>
      <c r="T4364" s="1"/>
      <c r="U4364" s="1"/>
      <c r="V4364" s="1"/>
      <c r="W4364" s="1"/>
      <c r="X4364" s="1"/>
      <c r="Y4364" s="1"/>
      <c r="AA4364" s="102"/>
      <c r="AB4364" s="1"/>
      <c r="AC4364" s="1"/>
      <c r="AD4364" s="1"/>
      <c r="AE4364" s="1"/>
      <c r="AF4364" s="1"/>
      <c r="AG4364" s="1"/>
    </row>
    <row r="4365" ht="15.75" customHeight="1">
      <c r="A4365" s="1"/>
      <c r="B4365" s="1"/>
      <c r="C4365" s="1"/>
      <c r="D4365" s="1"/>
      <c r="E4365" s="1"/>
      <c r="F4365" s="1"/>
      <c r="G4365" s="1"/>
      <c r="H4365" s="1"/>
      <c r="I4365" s="1"/>
      <c r="J4365" s="1"/>
      <c r="K4365" s="102" t="s">
        <v>6988</v>
      </c>
      <c r="L4365" s="102" t="str">
        <f>AC522</f>
        <v>J1a2a1a2d2b2b2c4d2a2a5a1e4a1a~</v>
      </c>
      <c r="M4365" s="102"/>
      <c r="N4365" s="102"/>
      <c r="O4365" s="105">
        <v>1.6303968E7</v>
      </c>
      <c r="P4365" s="105">
        <v>1.4192088E7</v>
      </c>
      <c r="Q4365" s="102" t="s">
        <v>2529</v>
      </c>
      <c r="S4365" s="1"/>
      <c r="T4365" s="1"/>
      <c r="U4365" s="1"/>
      <c r="V4365" s="1"/>
      <c r="W4365" s="1"/>
      <c r="X4365" s="1"/>
      <c r="Y4365" s="1"/>
      <c r="AA4365" s="102"/>
      <c r="AB4365" s="1"/>
      <c r="AC4365" s="1"/>
      <c r="AD4365" s="1"/>
      <c r="AE4365" s="1"/>
      <c r="AF4365" s="1"/>
      <c r="AG4365" s="1"/>
    </row>
    <row r="4366" ht="15.75" customHeight="1">
      <c r="A4366" s="1"/>
      <c r="B4366" s="1"/>
      <c r="C4366" s="1"/>
      <c r="D4366" s="1"/>
      <c r="E4366" s="1"/>
      <c r="F4366" s="1"/>
      <c r="G4366" s="1"/>
      <c r="H4366" s="1"/>
      <c r="I4366" s="1"/>
      <c r="J4366" s="1"/>
      <c r="K4366" s="102" t="s">
        <v>6989</v>
      </c>
      <c r="L4366" s="102" t="str">
        <f>AC522</f>
        <v>J1a2a1a2d2b2b2c4d2a2a5a1e4a1a~</v>
      </c>
      <c r="M4366" s="102"/>
      <c r="N4366" s="102"/>
      <c r="O4366" s="105">
        <v>1.7354662E7</v>
      </c>
      <c r="P4366" s="105">
        <v>1.5242782E7</v>
      </c>
      <c r="Q4366" s="102" t="s">
        <v>2446</v>
      </c>
      <c r="S4366" s="1"/>
      <c r="T4366" s="1"/>
      <c r="U4366" s="1"/>
      <c r="V4366" s="1"/>
      <c r="W4366" s="1"/>
      <c r="X4366" s="1"/>
      <c r="Y4366" s="1"/>
      <c r="AA4366" s="102"/>
      <c r="AB4366" s="1"/>
      <c r="AC4366" s="1"/>
      <c r="AD4366" s="1"/>
      <c r="AE4366" s="1"/>
      <c r="AF4366" s="1"/>
      <c r="AG4366" s="1"/>
    </row>
    <row r="4367" ht="15.75" customHeight="1">
      <c r="A4367" s="1"/>
      <c r="B4367" s="1"/>
      <c r="C4367" s="1"/>
      <c r="D4367" s="1"/>
      <c r="E4367" s="1"/>
      <c r="F4367" s="1"/>
      <c r="G4367" s="1"/>
      <c r="H4367" s="1"/>
      <c r="I4367" s="1"/>
      <c r="J4367" s="1"/>
      <c r="K4367" s="102" t="s">
        <v>6990</v>
      </c>
      <c r="L4367" s="102" t="str">
        <f>AB523</f>
        <v>J1a2a1a2d2b2b2c4d2a2a5a1e4a2~</v>
      </c>
      <c r="M4367" s="102"/>
      <c r="N4367" s="102" t="s">
        <v>6991</v>
      </c>
      <c r="O4367" s="105">
        <v>1.5071097E7</v>
      </c>
      <c r="P4367" s="105">
        <v>1.2959188E7</v>
      </c>
      <c r="Q4367" s="102" t="s">
        <v>2514</v>
      </c>
      <c r="S4367" s="1"/>
      <c r="T4367" s="1"/>
      <c r="U4367" s="1"/>
      <c r="V4367" s="1"/>
      <c r="W4367" s="1"/>
      <c r="X4367" s="1"/>
      <c r="Y4367" s="1"/>
      <c r="AA4367" s="102"/>
      <c r="AB4367" s="1"/>
      <c r="AC4367" s="1"/>
      <c r="AD4367" s="1"/>
      <c r="AE4367" s="1"/>
      <c r="AF4367" s="1"/>
      <c r="AG4367" s="1"/>
    </row>
    <row r="4368" ht="15.75" customHeight="1">
      <c r="A4368" s="1"/>
      <c r="B4368" s="1"/>
      <c r="C4368" s="1"/>
      <c r="D4368" s="1"/>
      <c r="E4368" s="1"/>
      <c r="F4368" s="1"/>
      <c r="G4368" s="1"/>
      <c r="H4368" s="1"/>
      <c r="I4368" s="1"/>
      <c r="J4368" s="1"/>
      <c r="K4368" s="102" t="s">
        <v>6992</v>
      </c>
      <c r="L4368" s="102" t="str">
        <f>AB523</f>
        <v>J1a2a1a2d2b2b2c4d2a2a5a1e4a2~</v>
      </c>
      <c r="M4368" s="102"/>
      <c r="N4368" s="102" t="s">
        <v>6993</v>
      </c>
      <c r="O4368" s="105">
        <v>1.5752431E7</v>
      </c>
      <c r="P4368" s="105">
        <v>1.3640551E7</v>
      </c>
      <c r="Q4368" s="102" t="s">
        <v>2439</v>
      </c>
      <c r="S4368" s="1"/>
      <c r="T4368" s="1"/>
      <c r="U4368" s="1"/>
      <c r="V4368" s="1"/>
      <c r="W4368" s="1"/>
      <c r="X4368" s="1"/>
      <c r="Y4368" s="1"/>
      <c r="AA4368" s="102"/>
      <c r="AB4368" s="1"/>
      <c r="AC4368" s="1"/>
      <c r="AD4368" s="1"/>
      <c r="AE4368" s="1"/>
      <c r="AF4368" s="1"/>
      <c r="AG4368" s="1"/>
    </row>
    <row r="4369" ht="15.75" customHeight="1">
      <c r="A4369" s="1"/>
      <c r="B4369" s="1"/>
      <c r="C4369" s="1"/>
      <c r="D4369" s="1"/>
      <c r="E4369" s="1"/>
      <c r="F4369" s="1"/>
      <c r="G4369" s="1"/>
      <c r="H4369" s="1"/>
      <c r="I4369" s="1"/>
      <c r="J4369" s="1"/>
      <c r="K4369" s="102" t="s">
        <v>6994</v>
      </c>
      <c r="L4369" s="102" t="str">
        <f>AB523</f>
        <v>J1a2a1a2d2b2b2c4d2a2a5a1e4a2~</v>
      </c>
      <c r="M4369" s="102"/>
      <c r="N4369" s="102" t="s">
        <v>6995</v>
      </c>
      <c r="O4369" s="105">
        <v>1.7773289E7</v>
      </c>
      <c r="P4369" s="105">
        <v>1.5661409E7</v>
      </c>
      <c r="Q4369" s="102" t="s">
        <v>2468</v>
      </c>
      <c r="S4369" s="1"/>
      <c r="T4369" s="1"/>
      <c r="U4369" s="1"/>
      <c r="V4369" s="1"/>
      <c r="W4369" s="1"/>
      <c r="X4369" s="1"/>
      <c r="Y4369" s="1"/>
      <c r="AA4369" s="102"/>
      <c r="AB4369" s="1"/>
      <c r="AC4369" s="1"/>
      <c r="AD4369" s="1"/>
      <c r="AE4369" s="1"/>
      <c r="AF4369" s="1"/>
      <c r="AG4369" s="1"/>
    </row>
    <row r="4370" ht="15.75" customHeight="1">
      <c r="A4370" s="1"/>
      <c r="B4370" s="1"/>
      <c r="C4370" s="1"/>
      <c r="D4370" s="1"/>
      <c r="E4370" s="1"/>
      <c r="F4370" s="1"/>
      <c r="G4370" s="1"/>
      <c r="H4370" s="1"/>
      <c r="I4370" s="1"/>
      <c r="J4370" s="1"/>
      <c r="K4370" s="102" t="s">
        <v>6996</v>
      </c>
      <c r="L4370" s="102" t="str">
        <f>AB523</f>
        <v>J1a2a1a2d2b2b2c4d2a2a5a1e4a2~</v>
      </c>
      <c r="M4370" s="102"/>
      <c r="N4370" s="102"/>
      <c r="O4370" s="105">
        <v>1.93467E7</v>
      </c>
      <c r="P4370" s="105">
        <v>1.723482E7</v>
      </c>
      <c r="Q4370" s="102" t="s">
        <v>2468</v>
      </c>
      <c r="S4370" s="1"/>
      <c r="T4370" s="1"/>
      <c r="U4370" s="1"/>
      <c r="V4370" s="1"/>
      <c r="W4370" s="1"/>
      <c r="X4370" s="1"/>
      <c r="Y4370" s="1"/>
      <c r="AA4370" s="102"/>
      <c r="AB4370" s="1"/>
      <c r="AC4370" s="1"/>
      <c r="AD4370" s="1"/>
      <c r="AE4370" s="1"/>
      <c r="AF4370" s="1"/>
      <c r="AG4370" s="1"/>
    </row>
    <row r="4371" ht="15.75" customHeight="1">
      <c r="A4371" s="1"/>
      <c r="B4371" s="1"/>
      <c r="C4371" s="1"/>
      <c r="D4371" s="1"/>
      <c r="E4371" s="1"/>
      <c r="F4371" s="1"/>
      <c r="G4371" s="1"/>
      <c r="H4371" s="1"/>
      <c r="I4371" s="1"/>
      <c r="J4371" s="1"/>
      <c r="K4371" s="102" t="s">
        <v>6997</v>
      </c>
      <c r="L4371" s="102" t="str">
        <f>AC524</f>
        <v>J1a2a1a2d2b2b2c4d2a2a5a1e4a2a~</v>
      </c>
      <c r="M4371" s="102"/>
      <c r="N4371" s="102" t="s">
        <v>6998</v>
      </c>
      <c r="O4371" s="105">
        <v>2.1983047E7</v>
      </c>
      <c r="P4371" s="105">
        <v>1.9821161E7</v>
      </c>
      <c r="Q4371" s="102" t="s">
        <v>2468</v>
      </c>
      <c r="S4371" s="1"/>
      <c r="T4371" s="1"/>
      <c r="U4371" s="1"/>
      <c r="V4371" s="1"/>
      <c r="W4371" s="1"/>
      <c r="X4371" s="1"/>
      <c r="Y4371" s="1"/>
      <c r="AA4371" s="102"/>
      <c r="AB4371" s="1"/>
      <c r="AC4371" s="1"/>
      <c r="AD4371" s="1"/>
      <c r="AE4371" s="1"/>
      <c r="AF4371" s="1"/>
      <c r="AG4371" s="1"/>
    </row>
    <row r="4372" ht="15.75" customHeight="1">
      <c r="A4372" s="1"/>
      <c r="B4372" s="1"/>
      <c r="C4372" s="1"/>
      <c r="D4372" s="1"/>
      <c r="E4372" s="1"/>
      <c r="F4372" s="1"/>
      <c r="G4372" s="1"/>
      <c r="H4372" s="1"/>
      <c r="I4372" s="1"/>
      <c r="J4372" s="1"/>
      <c r="K4372" s="102" t="s">
        <v>6999</v>
      </c>
      <c r="L4372" s="102" t="str">
        <f>AC524</f>
        <v>J1a2a1a2d2b2b2c4d2a2a5a1e4a2a~</v>
      </c>
      <c r="M4372" s="102"/>
      <c r="N4372" s="102"/>
      <c r="O4372" s="105">
        <v>7367164.0</v>
      </c>
      <c r="P4372" s="105">
        <v>7499123.0</v>
      </c>
      <c r="Q4372" s="102" t="s">
        <v>2501</v>
      </c>
      <c r="S4372" s="1"/>
      <c r="T4372" s="1"/>
      <c r="U4372" s="1"/>
      <c r="V4372" s="1"/>
      <c r="W4372" s="1"/>
      <c r="X4372" s="1"/>
      <c r="Y4372" s="1"/>
      <c r="AA4372" s="102"/>
      <c r="AB4372" s="1"/>
      <c r="AC4372" s="1"/>
      <c r="AD4372" s="1"/>
      <c r="AE4372" s="1"/>
      <c r="AF4372" s="1"/>
      <c r="AG4372" s="1"/>
    </row>
    <row r="4373" ht="15.75" customHeight="1">
      <c r="A4373" s="1"/>
      <c r="B4373" s="1"/>
      <c r="C4373" s="1"/>
      <c r="D4373" s="1"/>
      <c r="E4373" s="1"/>
      <c r="F4373" s="1"/>
      <c r="G4373" s="1"/>
      <c r="H4373" s="1"/>
      <c r="I4373" s="1"/>
      <c r="J4373" s="1"/>
      <c r="K4373" s="102" t="s">
        <v>7000</v>
      </c>
      <c r="L4373" s="102" t="str">
        <f>AB525</f>
        <v>J1a2a1a2d2b2b2c4d2a2a5a1e4a3~</v>
      </c>
      <c r="M4373" s="102"/>
      <c r="N4373" s="102"/>
      <c r="O4373" s="105">
        <v>8736318.0</v>
      </c>
      <c r="P4373" s="105">
        <v>8868277.0</v>
      </c>
      <c r="Q4373" s="102" t="s">
        <v>2439</v>
      </c>
      <c r="S4373" s="1"/>
      <c r="T4373" s="1"/>
      <c r="U4373" s="1"/>
      <c r="V4373" s="1"/>
      <c r="W4373" s="1"/>
      <c r="X4373" s="1"/>
      <c r="Y4373" s="1"/>
      <c r="AA4373" s="102"/>
      <c r="AB4373" s="1"/>
      <c r="AC4373" s="1"/>
      <c r="AD4373" s="1"/>
      <c r="AE4373" s="1"/>
      <c r="AF4373" s="1"/>
      <c r="AG4373" s="1"/>
    </row>
    <row r="4374" ht="15.75" customHeight="1">
      <c r="A4374" s="1"/>
      <c r="B4374" s="1"/>
      <c r="C4374" s="1"/>
      <c r="D4374" s="1"/>
      <c r="E4374" s="1"/>
      <c r="F4374" s="1"/>
      <c r="G4374" s="1"/>
      <c r="H4374" s="1"/>
      <c r="I4374" s="1"/>
      <c r="J4374" s="1"/>
      <c r="K4374" s="102" t="s">
        <v>7001</v>
      </c>
      <c r="L4374" s="102" t="str">
        <f>AB525</f>
        <v>J1a2a1a2d2b2b2c4d2a2a5a1e4a3~</v>
      </c>
      <c r="M4374" s="102"/>
      <c r="N4374" s="102"/>
      <c r="O4374" s="105">
        <v>1.3836089E7</v>
      </c>
      <c r="P4374" s="105">
        <v>1.1715383E7</v>
      </c>
      <c r="Q4374" s="102" t="s">
        <v>2439</v>
      </c>
      <c r="S4374" s="1"/>
      <c r="T4374" s="1"/>
      <c r="U4374" s="1"/>
      <c r="V4374" s="1"/>
      <c r="W4374" s="1"/>
      <c r="X4374" s="1"/>
      <c r="Y4374" s="1"/>
      <c r="AA4374" s="102"/>
      <c r="AB4374" s="1"/>
      <c r="AC4374" s="1"/>
      <c r="AD4374" s="1"/>
      <c r="AE4374" s="1"/>
      <c r="AF4374" s="1"/>
      <c r="AG4374" s="1"/>
    </row>
    <row r="4375" ht="15.75" customHeight="1">
      <c r="A4375" s="1"/>
      <c r="B4375" s="1"/>
      <c r="C4375" s="1"/>
      <c r="D4375" s="1"/>
      <c r="E4375" s="1"/>
      <c r="F4375" s="1"/>
      <c r="G4375" s="1"/>
      <c r="H4375" s="1"/>
      <c r="I4375" s="1"/>
      <c r="J4375" s="1"/>
      <c r="K4375" s="102" t="s">
        <v>7002</v>
      </c>
      <c r="L4375" s="102" t="str">
        <f>AB525</f>
        <v>J1a2a1a2d2b2b2c4d2a2a5a1e4a3~</v>
      </c>
      <c r="M4375" s="102"/>
      <c r="N4375" s="102"/>
      <c r="O4375" s="105">
        <v>2.29983E7</v>
      </c>
      <c r="P4375" s="105">
        <v>2.0836414E7</v>
      </c>
      <c r="Q4375" s="102" t="s">
        <v>2468</v>
      </c>
      <c r="S4375" s="1"/>
      <c r="T4375" s="1"/>
      <c r="U4375" s="1"/>
      <c r="V4375" s="1"/>
      <c r="W4375" s="1"/>
      <c r="X4375" s="1"/>
      <c r="Y4375" s="1"/>
      <c r="AA4375" s="102"/>
      <c r="AB4375" s="1"/>
      <c r="AC4375" s="1"/>
      <c r="AD4375" s="1"/>
      <c r="AE4375" s="1"/>
      <c r="AF4375" s="1"/>
      <c r="AG4375" s="1"/>
    </row>
    <row r="4376" ht="15.75" customHeight="1">
      <c r="A4376" s="1"/>
      <c r="B4376" s="1"/>
      <c r="C4376" s="1"/>
      <c r="D4376" s="1"/>
      <c r="E4376" s="1"/>
      <c r="F4376" s="1"/>
      <c r="G4376" s="1"/>
      <c r="H4376" s="1"/>
      <c r="I4376" s="1"/>
      <c r="J4376" s="1"/>
      <c r="K4376" s="102" t="s">
        <v>7003</v>
      </c>
      <c r="L4376" s="102" t="str">
        <f>AC526</f>
        <v>J1a2a1a2d2b2b2c4d2a2a5a1e4a3a~</v>
      </c>
      <c r="M4376" s="102"/>
      <c r="N4376" s="102"/>
      <c r="O4376" s="105">
        <v>1.5129163E7</v>
      </c>
      <c r="P4376" s="105">
        <v>1.301725E7</v>
      </c>
      <c r="Q4376" s="102" t="s">
        <v>2529</v>
      </c>
      <c r="S4376" s="1"/>
      <c r="T4376" s="1"/>
      <c r="U4376" s="1"/>
      <c r="V4376" s="1"/>
      <c r="W4376" s="1"/>
      <c r="X4376" s="1"/>
      <c r="Y4376" s="1"/>
      <c r="AA4376" s="102"/>
      <c r="AB4376" s="1"/>
      <c r="AC4376" s="1"/>
      <c r="AD4376" s="1"/>
      <c r="AE4376" s="1"/>
      <c r="AF4376" s="1"/>
      <c r="AG4376" s="1"/>
    </row>
    <row r="4377" ht="15.75" customHeight="1">
      <c r="A4377" s="1"/>
      <c r="B4377" s="1"/>
      <c r="C4377" s="1"/>
      <c r="D4377" s="1"/>
      <c r="E4377" s="1"/>
      <c r="F4377" s="1"/>
      <c r="G4377" s="1"/>
      <c r="H4377" s="1"/>
      <c r="I4377" s="1"/>
      <c r="J4377" s="1"/>
      <c r="K4377" s="102" t="s">
        <v>7004</v>
      </c>
      <c r="L4377" s="102" t="str">
        <f>AC526</f>
        <v>J1a2a1a2d2b2b2c4d2a2a5a1e4a3a~</v>
      </c>
      <c r="M4377" s="102"/>
      <c r="N4377" s="102"/>
      <c r="O4377" s="105">
        <v>1.9143324E7</v>
      </c>
      <c r="P4377" s="105">
        <v>1.7031444E7</v>
      </c>
      <c r="Q4377" s="102" t="s">
        <v>2501</v>
      </c>
      <c r="S4377" s="1"/>
      <c r="T4377" s="1"/>
      <c r="U4377" s="1"/>
      <c r="V4377" s="1"/>
      <c r="W4377" s="1"/>
      <c r="X4377" s="1"/>
      <c r="Y4377" s="1"/>
      <c r="AA4377" s="102"/>
      <c r="AB4377" s="1"/>
      <c r="AC4377" s="1"/>
      <c r="AD4377" s="1"/>
      <c r="AE4377" s="1"/>
      <c r="AF4377" s="1"/>
      <c r="AG4377" s="1"/>
    </row>
    <row r="4378" ht="15.75" customHeight="1">
      <c r="A4378" s="1"/>
      <c r="B4378" s="1"/>
      <c r="C4378" s="1"/>
      <c r="D4378" s="1"/>
      <c r="E4378" s="1"/>
      <c r="F4378" s="1"/>
      <c r="G4378" s="1"/>
      <c r="H4378" s="1"/>
      <c r="I4378" s="1"/>
      <c r="J4378" s="1"/>
      <c r="K4378" s="102" t="s">
        <v>7005</v>
      </c>
      <c r="L4378" s="102" t="str">
        <f>AC526</f>
        <v>J1a2a1a2d2b2b2c4d2a2a5a1e4a3a~</v>
      </c>
      <c r="M4378" s="102"/>
      <c r="N4378" s="102"/>
      <c r="O4378" s="105">
        <v>2.3295832E7</v>
      </c>
      <c r="P4378" s="105">
        <v>2.1133946E7</v>
      </c>
      <c r="Q4378" s="102" t="s">
        <v>2468</v>
      </c>
      <c r="S4378" s="1"/>
      <c r="T4378" s="1"/>
      <c r="U4378" s="1"/>
      <c r="V4378" s="1"/>
      <c r="W4378" s="1"/>
      <c r="X4378" s="1"/>
      <c r="Y4378" s="1"/>
      <c r="AA4378" s="102"/>
      <c r="AB4378" s="1"/>
      <c r="AC4378" s="1"/>
      <c r="AD4378" s="1"/>
      <c r="AE4378" s="1"/>
      <c r="AF4378" s="1"/>
      <c r="AG4378" s="1"/>
    </row>
    <row r="4379" ht="15.75" customHeight="1">
      <c r="A4379" s="1"/>
      <c r="B4379" s="1"/>
      <c r="C4379" s="1"/>
      <c r="D4379" s="1"/>
      <c r="E4379" s="1"/>
      <c r="F4379" s="1"/>
      <c r="G4379" s="1"/>
      <c r="H4379" s="1"/>
      <c r="I4379" s="1"/>
      <c r="J4379" s="1"/>
      <c r="K4379" s="102" t="s">
        <v>7006</v>
      </c>
      <c r="L4379" s="102" t="str">
        <f>AC526</f>
        <v>J1a2a1a2d2b2b2c4d2a2a5a1e4a3a~</v>
      </c>
      <c r="M4379" s="102"/>
      <c r="N4379" s="102"/>
      <c r="O4379" s="105">
        <v>2.4440111E7</v>
      </c>
      <c r="P4379" s="105">
        <v>2.2293964E7</v>
      </c>
      <c r="Q4379" s="102" t="s">
        <v>2529</v>
      </c>
      <c r="S4379" s="1"/>
      <c r="T4379" s="1"/>
      <c r="U4379" s="1"/>
      <c r="V4379" s="1"/>
      <c r="W4379" s="1"/>
      <c r="X4379" s="1"/>
      <c r="Y4379" s="1"/>
      <c r="AA4379" s="102"/>
      <c r="AB4379" s="1"/>
      <c r="AC4379" s="1"/>
      <c r="AD4379" s="1"/>
      <c r="AE4379" s="1"/>
      <c r="AF4379" s="1"/>
      <c r="AG4379" s="1"/>
    </row>
    <row r="4380" ht="15.75" customHeight="1">
      <c r="A4380" s="1"/>
      <c r="B4380" s="1"/>
      <c r="C4380" s="1"/>
      <c r="D4380" s="1"/>
      <c r="E4380" s="1"/>
      <c r="F4380" s="1"/>
      <c r="G4380" s="1"/>
      <c r="H4380" s="1"/>
      <c r="I4380" s="1"/>
      <c r="J4380" s="1"/>
      <c r="K4380" s="102" t="s">
        <v>7007</v>
      </c>
      <c r="L4380" s="102" t="str">
        <f>AB527</f>
        <v>J1a2a1a2d2b2b2c4d2a2a5a1e4a4~</v>
      </c>
      <c r="M4380" s="102" t="s">
        <v>7008</v>
      </c>
      <c r="N4380" s="102" t="s">
        <v>7009</v>
      </c>
      <c r="O4380" s="105">
        <v>2.3153274E7</v>
      </c>
      <c r="P4380" s="105">
        <v>2.0991388E7</v>
      </c>
      <c r="Q4380" s="102" t="s">
        <v>2439</v>
      </c>
      <c r="S4380" s="1"/>
      <c r="T4380" s="1"/>
      <c r="U4380" s="1"/>
      <c r="V4380" s="1"/>
      <c r="W4380" s="1"/>
      <c r="X4380" s="1"/>
      <c r="Y4380" s="1"/>
      <c r="AA4380" s="102"/>
      <c r="AB4380" s="1"/>
      <c r="AC4380" s="1"/>
      <c r="AD4380" s="1"/>
      <c r="AE4380" s="1"/>
      <c r="AF4380" s="1"/>
      <c r="AG4380" s="1"/>
    </row>
    <row r="4381" ht="15.75" customHeight="1">
      <c r="A4381" s="1"/>
      <c r="B4381" s="1"/>
      <c r="C4381" s="1"/>
      <c r="D4381" s="1"/>
      <c r="E4381" s="1"/>
      <c r="F4381" s="1"/>
      <c r="G4381" s="1"/>
      <c r="H4381" s="1"/>
      <c r="I4381" s="1"/>
      <c r="J4381" s="1"/>
      <c r="K4381" s="102" t="s">
        <v>7008</v>
      </c>
      <c r="L4381" s="102" t="str">
        <f>AB527</f>
        <v>J1a2a1a2d2b2b2c4d2a2a5a1e4a4~</v>
      </c>
      <c r="M4381" s="102" t="s">
        <v>7007</v>
      </c>
      <c r="N4381" s="102" t="s">
        <v>7009</v>
      </c>
      <c r="O4381" s="105">
        <v>2.3153274E7</v>
      </c>
      <c r="P4381" s="105">
        <v>2.0991388E7</v>
      </c>
      <c r="Q4381" s="102" t="s">
        <v>2439</v>
      </c>
      <c r="S4381" s="1"/>
      <c r="T4381" s="1"/>
      <c r="U4381" s="1"/>
      <c r="V4381" s="1"/>
      <c r="W4381" s="1"/>
      <c r="X4381" s="1"/>
      <c r="Y4381" s="1"/>
      <c r="AA4381" s="102"/>
      <c r="AB4381" s="1"/>
      <c r="AC4381" s="1"/>
      <c r="AD4381" s="1"/>
      <c r="AE4381" s="1"/>
      <c r="AF4381" s="1"/>
      <c r="AG4381" s="1"/>
    </row>
    <row r="4382" ht="15.75" customHeight="1">
      <c r="A4382" s="1"/>
      <c r="B4382" s="1"/>
      <c r="C4382" s="1"/>
      <c r="D4382" s="1"/>
      <c r="E4382" s="1"/>
      <c r="F4382" s="1"/>
      <c r="G4382" s="1"/>
      <c r="H4382" s="1"/>
      <c r="I4382" s="1"/>
      <c r="J4382" s="1"/>
      <c r="K4382" s="102" t="s">
        <v>7010</v>
      </c>
      <c r="L4382" s="102" t="str">
        <f>AC528</f>
        <v>J1a2a1a2d2b2b2c4d2a2a5a1e4a4a~</v>
      </c>
      <c r="M4382" s="102" t="s">
        <v>7011</v>
      </c>
      <c r="N4382" s="102"/>
      <c r="O4382" s="105">
        <v>2756648.0</v>
      </c>
      <c r="P4382" s="105">
        <v>2888607.0</v>
      </c>
      <c r="Q4382" s="102" t="s">
        <v>2439</v>
      </c>
      <c r="S4382" s="1"/>
      <c r="T4382" s="1"/>
      <c r="U4382" s="1"/>
      <c r="V4382" s="1"/>
      <c r="W4382" s="1"/>
      <c r="X4382" s="1"/>
      <c r="Y4382" s="1"/>
      <c r="AA4382" s="102"/>
      <c r="AB4382" s="1"/>
      <c r="AC4382" s="1"/>
      <c r="AD4382" s="1"/>
      <c r="AE4382" s="1"/>
      <c r="AF4382" s="1"/>
      <c r="AG4382" s="1"/>
    </row>
    <row r="4383" ht="15.75" customHeight="1">
      <c r="A4383" s="1"/>
      <c r="B4383" s="1"/>
      <c r="C4383" s="1"/>
      <c r="D4383" s="1"/>
      <c r="E4383" s="1"/>
      <c r="F4383" s="1"/>
      <c r="G4383" s="1"/>
      <c r="H4383" s="1"/>
      <c r="I4383" s="1"/>
      <c r="J4383" s="1"/>
      <c r="K4383" s="102" t="s">
        <v>7011</v>
      </c>
      <c r="L4383" s="102" t="str">
        <f>AC528</f>
        <v>J1a2a1a2d2b2b2c4d2a2a5a1e4a4a~</v>
      </c>
      <c r="M4383" s="102" t="s">
        <v>7010</v>
      </c>
      <c r="N4383" s="102"/>
      <c r="O4383" s="105">
        <v>2756648.0</v>
      </c>
      <c r="P4383" s="105">
        <v>2888607.0</v>
      </c>
      <c r="Q4383" s="102" t="s">
        <v>2439</v>
      </c>
      <c r="S4383" s="1"/>
      <c r="T4383" s="1"/>
      <c r="U4383" s="1"/>
      <c r="V4383" s="1"/>
      <c r="W4383" s="1"/>
      <c r="X4383" s="1"/>
      <c r="Y4383" s="1"/>
      <c r="AA4383" s="102"/>
      <c r="AB4383" s="1"/>
      <c r="AC4383" s="1"/>
      <c r="AD4383" s="1"/>
      <c r="AE4383" s="1"/>
      <c r="AF4383" s="1"/>
      <c r="AG4383" s="1"/>
    </row>
    <row r="4384" ht="15.75" customHeight="1">
      <c r="A4384" s="1"/>
      <c r="B4384" s="1"/>
      <c r="C4384" s="1"/>
      <c r="D4384" s="1"/>
      <c r="E4384" s="1"/>
      <c r="F4384" s="1"/>
      <c r="G4384" s="1"/>
      <c r="H4384" s="1"/>
      <c r="I4384" s="1"/>
      <c r="J4384" s="1"/>
      <c r="K4384" s="102" t="s">
        <v>7012</v>
      </c>
      <c r="L4384" s="102" t="str">
        <f>AC528</f>
        <v>J1a2a1a2d2b2b2c4d2a2a5a1e4a4a~</v>
      </c>
      <c r="M4384" s="102" t="s">
        <v>7013</v>
      </c>
      <c r="N4384" s="102"/>
      <c r="O4384" s="105">
        <v>8722706.0</v>
      </c>
      <c r="P4384" s="105">
        <v>8854665.0</v>
      </c>
      <c r="Q4384" s="102" t="s">
        <v>2529</v>
      </c>
      <c r="S4384" s="1"/>
      <c r="T4384" s="1"/>
      <c r="U4384" s="1"/>
      <c r="V4384" s="1"/>
      <c r="W4384" s="1"/>
      <c r="X4384" s="1"/>
      <c r="Y4384" s="1"/>
      <c r="AA4384" s="102"/>
      <c r="AB4384" s="1"/>
      <c r="AC4384" s="1"/>
      <c r="AD4384" s="1"/>
      <c r="AE4384" s="1"/>
      <c r="AF4384" s="1"/>
      <c r="AG4384" s="1"/>
    </row>
    <row r="4385" ht="15.75" customHeight="1">
      <c r="A4385" s="1"/>
      <c r="B4385" s="1"/>
      <c r="C4385" s="1"/>
      <c r="D4385" s="1"/>
      <c r="E4385" s="1"/>
      <c r="F4385" s="1"/>
      <c r="G4385" s="1"/>
      <c r="H4385" s="1"/>
      <c r="I4385" s="1"/>
      <c r="J4385" s="1"/>
      <c r="K4385" s="102" t="s">
        <v>7013</v>
      </c>
      <c r="L4385" s="102" t="str">
        <f>AC528</f>
        <v>J1a2a1a2d2b2b2c4d2a2a5a1e4a4a~</v>
      </c>
      <c r="M4385" s="102" t="s">
        <v>7012</v>
      </c>
      <c r="N4385" s="102"/>
      <c r="O4385" s="105">
        <v>8722706.0</v>
      </c>
      <c r="P4385" s="105">
        <v>8854665.0</v>
      </c>
      <c r="Q4385" s="102" t="s">
        <v>2529</v>
      </c>
      <c r="S4385" s="1"/>
      <c r="T4385" s="1"/>
      <c r="U4385" s="1"/>
      <c r="V4385" s="1"/>
      <c r="W4385" s="1"/>
      <c r="X4385" s="1"/>
      <c r="Y4385" s="1"/>
      <c r="AA4385" s="102"/>
      <c r="AB4385" s="1"/>
      <c r="AC4385" s="1"/>
      <c r="AD4385" s="1"/>
      <c r="AE4385" s="1"/>
      <c r="AF4385" s="1"/>
      <c r="AG4385" s="1"/>
    </row>
    <row r="4386" ht="15.75" customHeight="1">
      <c r="A4386" s="1"/>
      <c r="B4386" s="1"/>
      <c r="C4386" s="1"/>
      <c r="D4386" s="1"/>
      <c r="E4386" s="1"/>
      <c r="F4386" s="1"/>
      <c r="G4386" s="1"/>
      <c r="H4386" s="1"/>
      <c r="I4386" s="1"/>
      <c r="J4386" s="1"/>
      <c r="K4386" s="102" t="s">
        <v>7014</v>
      </c>
      <c r="L4386" s="102" t="str">
        <f>AD529</f>
        <v>J1a2a1a2d2b2b2c4d2a2a5a1e4a4a1~</v>
      </c>
      <c r="M4386" s="102"/>
      <c r="N4386" s="102"/>
      <c r="O4386" s="105">
        <v>1.5745579E7</v>
      </c>
      <c r="P4386" s="105">
        <v>1.3633699E7</v>
      </c>
      <c r="Q4386" s="102" t="s">
        <v>2439</v>
      </c>
      <c r="S4386" s="1"/>
      <c r="T4386" s="1"/>
      <c r="U4386" s="1"/>
      <c r="V4386" s="1"/>
      <c r="W4386" s="1"/>
      <c r="X4386" s="1"/>
      <c r="Y4386" s="1"/>
      <c r="AA4386" s="102"/>
      <c r="AB4386" s="1"/>
      <c r="AC4386" s="1"/>
      <c r="AD4386" s="1"/>
      <c r="AE4386" s="1"/>
      <c r="AF4386" s="1"/>
      <c r="AG4386" s="1"/>
    </row>
    <row r="4387" ht="15.75" customHeight="1">
      <c r="A4387" s="1"/>
      <c r="B4387" s="1"/>
      <c r="C4387" s="1"/>
      <c r="D4387" s="1"/>
      <c r="E4387" s="1"/>
      <c r="F4387" s="1"/>
      <c r="G4387" s="1"/>
      <c r="H4387" s="1"/>
      <c r="I4387" s="1"/>
      <c r="J4387" s="1"/>
      <c r="K4387" s="102" t="s">
        <v>7015</v>
      </c>
      <c r="L4387" s="102" t="str">
        <f>AD529</f>
        <v>J1a2a1a2d2b2b2c4d2a2a5a1e4a4a1~</v>
      </c>
      <c r="M4387" s="102"/>
      <c r="N4387" s="102"/>
      <c r="O4387" s="105">
        <v>7339478.0</v>
      </c>
      <c r="P4387" s="105">
        <v>7471437.0</v>
      </c>
      <c r="Q4387" s="102" t="s">
        <v>2501</v>
      </c>
      <c r="S4387" s="1"/>
      <c r="T4387" s="1"/>
      <c r="U4387" s="1"/>
      <c r="V4387" s="1"/>
      <c r="W4387" s="1"/>
      <c r="X4387" s="1"/>
      <c r="Y4387" s="1"/>
      <c r="AA4387" s="102"/>
      <c r="AB4387" s="1"/>
      <c r="AC4387" s="1"/>
      <c r="AD4387" s="1"/>
      <c r="AE4387" s="1"/>
      <c r="AF4387" s="1"/>
      <c r="AG4387" s="1"/>
    </row>
    <row r="4388" ht="15.75" customHeight="1">
      <c r="A4388" s="1"/>
      <c r="B4388" s="1"/>
      <c r="C4388" s="1"/>
      <c r="D4388" s="1"/>
      <c r="E4388" s="1"/>
      <c r="F4388" s="1"/>
      <c r="G4388" s="1"/>
      <c r="H4388" s="1"/>
      <c r="I4388" s="1"/>
      <c r="J4388" s="1"/>
      <c r="K4388" s="102" t="s">
        <v>7016</v>
      </c>
      <c r="L4388" s="102" t="str">
        <f>AD529</f>
        <v>J1a2a1a2d2b2b2c4d2a2a5a1e4a4a1~</v>
      </c>
      <c r="M4388" s="102"/>
      <c r="N4388" s="102"/>
      <c r="O4388" s="105">
        <v>8123412.0</v>
      </c>
      <c r="P4388" s="105">
        <v>8255371.0</v>
      </c>
      <c r="Q4388" s="102" t="s">
        <v>2446</v>
      </c>
      <c r="S4388" s="1"/>
      <c r="T4388" s="1"/>
      <c r="U4388" s="1"/>
      <c r="V4388" s="1"/>
      <c r="W4388" s="1"/>
      <c r="X4388" s="1"/>
      <c r="Y4388" s="1"/>
      <c r="AA4388" s="102"/>
      <c r="AB4388" s="1"/>
      <c r="AC4388" s="1"/>
      <c r="AD4388" s="1"/>
      <c r="AE4388" s="1"/>
      <c r="AF4388" s="1"/>
      <c r="AG4388" s="1"/>
    </row>
    <row r="4389" ht="15.75" customHeight="1">
      <c r="A4389" s="1"/>
      <c r="B4389" s="1"/>
      <c r="C4389" s="1"/>
      <c r="D4389" s="1"/>
      <c r="E4389" s="1"/>
      <c r="F4389" s="1"/>
      <c r="G4389" s="1"/>
      <c r="H4389" s="1"/>
      <c r="I4389" s="1"/>
      <c r="J4389" s="1"/>
      <c r="K4389" s="102" t="s">
        <v>7017</v>
      </c>
      <c r="L4389" s="102" t="str">
        <f>AD529</f>
        <v>J1a2a1a2d2b2b2c4d2a2a5a1e4a4a1~</v>
      </c>
      <c r="M4389" s="102"/>
      <c r="N4389" s="102"/>
      <c r="O4389" s="105">
        <v>1.555194E7</v>
      </c>
      <c r="P4389" s="105">
        <v>1.344006E7</v>
      </c>
      <c r="Q4389" s="102" t="s">
        <v>2439</v>
      </c>
      <c r="S4389" s="1"/>
      <c r="T4389" s="1"/>
      <c r="U4389" s="1"/>
      <c r="V4389" s="1"/>
      <c r="W4389" s="1"/>
      <c r="X4389" s="1"/>
      <c r="Y4389" s="1"/>
      <c r="AA4389" s="102"/>
      <c r="AB4389" s="1"/>
      <c r="AC4389" s="1"/>
      <c r="AD4389" s="1"/>
      <c r="AE4389" s="1"/>
      <c r="AF4389" s="1"/>
      <c r="AG4389" s="1"/>
    </row>
    <row r="4390" ht="15.75" customHeight="1">
      <c r="A4390" s="1"/>
      <c r="B4390" s="1"/>
      <c r="C4390" s="1"/>
      <c r="D4390" s="1"/>
      <c r="E4390" s="1"/>
      <c r="F4390" s="1"/>
      <c r="G4390" s="1"/>
      <c r="H4390" s="1"/>
      <c r="I4390" s="1"/>
      <c r="J4390" s="1"/>
      <c r="K4390" s="102" t="s">
        <v>7018</v>
      </c>
      <c r="L4390" s="102" t="str">
        <f>AD529</f>
        <v>J1a2a1a2d2b2b2c4d2a2a5a1e4a4a1~</v>
      </c>
      <c r="M4390" s="102"/>
      <c r="N4390" s="102"/>
      <c r="O4390" s="105">
        <v>2.2139172E7</v>
      </c>
      <c r="P4390" s="105">
        <v>1.9977286E7</v>
      </c>
      <c r="Q4390" s="102" t="s">
        <v>2468</v>
      </c>
      <c r="S4390" s="1"/>
      <c r="T4390" s="1"/>
      <c r="U4390" s="1"/>
      <c r="V4390" s="1"/>
      <c r="W4390" s="1"/>
      <c r="X4390" s="1"/>
      <c r="Y4390" s="1"/>
      <c r="AA4390" s="102"/>
      <c r="AB4390" s="1"/>
      <c r="AC4390" s="1"/>
      <c r="AD4390" s="1"/>
      <c r="AE4390" s="1"/>
      <c r="AF4390" s="1"/>
      <c r="AG4390" s="1"/>
    </row>
    <row r="4391" ht="15.75" customHeight="1">
      <c r="A4391" s="1"/>
      <c r="B4391" s="1"/>
      <c r="C4391" s="1"/>
      <c r="D4391" s="1"/>
      <c r="E4391" s="1"/>
      <c r="F4391" s="1"/>
      <c r="G4391" s="1"/>
      <c r="H4391" s="1"/>
      <c r="I4391" s="1"/>
      <c r="J4391" s="1"/>
      <c r="K4391" s="102" t="s">
        <v>1027</v>
      </c>
      <c r="L4391" s="102" t="str">
        <f>AB530</f>
        <v>J1a2a1a2d2b2b2c4d2a2a5a1e4a5~</v>
      </c>
      <c r="M4391" s="102"/>
      <c r="N4391" s="102"/>
      <c r="O4391" s="105">
        <v>2.3589892E7</v>
      </c>
      <c r="P4391" s="105">
        <v>2.1428006E7</v>
      </c>
      <c r="Q4391" s="102" t="s">
        <v>2439</v>
      </c>
      <c r="S4391" s="1"/>
      <c r="T4391" s="1"/>
      <c r="U4391" s="1"/>
      <c r="V4391" s="1"/>
      <c r="W4391" s="1"/>
      <c r="X4391" s="1"/>
      <c r="Y4391" s="1"/>
      <c r="AA4391" s="102"/>
      <c r="AB4391" s="1"/>
      <c r="AC4391" s="1"/>
      <c r="AD4391" s="1"/>
      <c r="AE4391" s="1"/>
      <c r="AF4391" s="1"/>
      <c r="AG4391" s="1"/>
    </row>
    <row r="4392" ht="15.75" customHeight="1">
      <c r="A4392" s="1"/>
      <c r="B4392" s="1"/>
      <c r="C4392" s="1"/>
      <c r="D4392" s="1"/>
      <c r="E4392" s="1"/>
      <c r="F4392" s="1"/>
      <c r="G4392" s="1"/>
      <c r="H4392" s="1"/>
      <c r="I4392" s="1"/>
      <c r="J4392" s="1"/>
      <c r="K4392" s="102" t="s">
        <v>7019</v>
      </c>
      <c r="L4392" s="102" t="str">
        <f>AC531</f>
        <v>J1a2a1a2d2b2b2c4d2a2a5a1e4a5a~</v>
      </c>
      <c r="M4392" s="102" t="s">
        <v>7020</v>
      </c>
      <c r="N4392" s="102" t="s">
        <v>7021</v>
      </c>
      <c r="O4392" s="105">
        <v>7065874.0</v>
      </c>
      <c r="P4392" s="105">
        <v>7197833.0</v>
      </c>
      <c r="Q4392" s="102" t="s">
        <v>2439</v>
      </c>
      <c r="S4392" s="1"/>
      <c r="T4392" s="1"/>
      <c r="U4392" s="1"/>
      <c r="V4392" s="1"/>
      <c r="W4392" s="1"/>
      <c r="X4392" s="1"/>
      <c r="Y4392" s="1"/>
      <c r="AA4392" s="102"/>
      <c r="AB4392" s="1"/>
      <c r="AC4392" s="1"/>
      <c r="AD4392" s="1"/>
      <c r="AE4392" s="1"/>
      <c r="AF4392" s="1"/>
      <c r="AG4392" s="1"/>
    </row>
    <row r="4393" ht="15.75" customHeight="1">
      <c r="A4393" s="1"/>
      <c r="B4393" s="1"/>
      <c r="C4393" s="1"/>
      <c r="D4393" s="1"/>
      <c r="E4393" s="1"/>
      <c r="F4393" s="1"/>
      <c r="G4393" s="1"/>
      <c r="H4393" s="1"/>
      <c r="I4393" s="1"/>
      <c r="J4393" s="1"/>
      <c r="K4393" s="102" t="s">
        <v>7020</v>
      </c>
      <c r="L4393" s="102" t="str">
        <f t="shared" ref="L4393:L4394" si="83">AC531</f>
        <v>J1a2a1a2d2b2b2c4d2a2a5a1e4a5a~</v>
      </c>
      <c r="M4393" s="102" t="s">
        <v>7019</v>
      </c>
      <c r="N4393" s="102" t="s">
        <v>7021</v>
      </c>
      <c r="O4393" s="105">
        <v>7065874.0</v>
      </c>
      <c r="P4393" s="105">
        <v>7197833.0</v>
      </c>
      <c r="Q4393" s="102" t="s">
        <v>2439</v>
      </c>
      <c r="S4393" s="1"/>
      <c r="T4393" s="1"/>
      <c r="U4393" s="1"/>
      <c r="V4393" s="1"/>
      <c r="W4393" s="1"/>
      <c r="X4393" s="1"/>
      <c r="Y4393" s="1"/>
      <c r="AA4393" s="102"/>
      <c r="AB4393" s="1"/>
      <c r="AC4393" s="1"/>
      <c r="AD4393" s="1"/>
      <c r="AE4393" s="1"/>
      <c r="AF4393" s="1"/>
      <c r="AG4393" s="1"/>
    </row>
    <row r="4394" ht="15.75" customHeight="1">
      <c r="A4394" s="1"/>
      <c r="B4394" s="1"/>
      <c r="C4394" s="1"/>
      <c r="D4394" s="1"/>
      <c r="E4394" s="1"/>
      <c r="F4394" s="1"/>
      <c r="G4394" s="1"/>
      <c r="H4394" s="1"/>
      <c r="I4394" s="1"/>
      <c r="J4394" s="1"/>
      <c r="K4394" s="102" t="s">
        <v>1031</v>
      </c>
      <c r="L4394" s="102" t="str">
        <f t="shared" si="83"/>
        <v>J1a2a1a2d2b2b2c4d2a2a5a1e4a5b~</v>
      </c>
      <c r="M4394" s="102"/>
      <c r="N4394" s="102"/>
      <c r="O4394" s="105">
        <v>8032788.0</v>
      </c>
      <c r="P4394" s="105">
        <v>8164747.0</v>
      </c>
      <c r="Q4394" s="102" t="s">
        <v>2439</v>
      </c>
      <c r="S4394" s="1"/>
      <c r="T4394" s="1"/>
      <c r="U4394" s="1"/>
      <c r="V4394" s="1"/>
      <c r="W4394" s="1"/>
      <c r="X4394" s="1"/>
      <c r="Y4394" s="1"/>
      <c r="AA4394" s="102"/>
      <c r="AB4394" s="1"/>
      <c r="AC4394" s="1"/>
      <c r="AD4394" s="1"/>
      <c r="AE4394" s="1"/>
      <c r="AF4394" s="1"/>
      <c r="AG4394" s="1"/>
    </row>
    <row r="4395" ht="15.75" customHeight="1">
      <c r="A4395" s="1"/>
      <c r="B4395" s="1"/>
      <c r="C4395" s="1"/>
      <c r="D4395" s="1"/>
      <c r="E4395" s="1"/>
      <c r="F4395" s="1"/>
      <c r="G4395" s="1"/>
      <c r="H4395" s="1"/>
      <c r="I4395" s="1"/>
      <c r="J4395" s="1"/>
      <c r="K4395" s="102" t="s">
        <v>7022</v>
      </c>
      <c r="L4395" s="102" t="str">
        <f>AD533</f>
        <v>J1a2a1a2d2b2b2c4d2a2a5a1e4a5b1~</v>
      </c>
      <c r="M4395" s="102" t="s">
        <v>7023</v>
      </c>
      <c r="N4395" s="102" t="s">
        <v>7024</v>
      </c>
      <c r="O4395" s="105">
        <v>1.8937926E7</v>
      </c>
      <c r="P4395" s="105">
        <v>1.6826046E7</v>
      </c>
      <c r="Q4395" s="102" t="s">
        <v>2501</v>
      </c>
      <c r="S4395" s="1"/>
      <c r="T4395" s="1"/>
      <c r="U4395" s="1"/>
      <c r="V4395" s="1"/>
      <c r="W4395" s="1"/>
      <c r="X4395" s="1"/>
      <c r="Y4395" s="1"/>
      <c r="AA4395" s="102"/>
      <c r="AB4395" s="1"/>
      <c r="AC4395" s="1"/>
      <c r="AD4395" s="1"/>
      <c r="AE4395" s="1"/>
      <c r="AF4395" s="1"/>
      <c r="AG4395" s="1"/>
    </row>
    <row r="4396" ht="15.75" customHeight="1">
      <c r="A4396" s="1"/>
      <c r="B4396" s="1"/>
      <c r="C4396" s="1"/>
      <c r="D4396" s="1"/>
      <c r="E4396" s="1"/>
      <c r="F4396" s="1"/>
      <c r="G4396" s="1"/>
      <c r="H4396" s="1"/>
      <c r="I4396" s="1"/>
      <c r="J4396" s="1"/>
      <c r="K4396" s="102" t="s">
        <v>7023</v>
      </c>
      <c r="L4396" s="102" t="str">
        <f>AD533</f>
        <v>J1a2a1a2d2b2b2c4d2a2a5a1e4a5b1~</v>
      </c>
      <c r="M4396" s="102" t="s">
        <v>7022</v>
      </c>
      <c r="N4396" s="102" t="s">
        <v>7024</v>
      </c>
      <c r="O4396" s="105">
        <v>1.8937926E7</v>
      </c>
      <c r="P4396" s="105">
        <v>1.6826046E7</v>
      </c>
      <c r="Q4396" s="102" t="s">
        <v>2501</v>
      </c>
      <c r="S4396" s="1"/>
      <c r="T4396" s="1"/>
      <c r="U4396" s="1"/>
      <c r="V4396" s="1"/>
      <c r="W4396" s="1"/>
      <c r="X4396" s="1"/>
      <c r="Y4396" s="1"/>
      <c r="AA4396" s="102"/>
      <c r="AB4396" s="1"/>
      <c r="AC4396" s="1"/>
      <c r="AD4396" s="1"/>
      <c r="AE4396" s="1"/>
      <c r="AF4396" s="1"/>
      <c r="AG4396" s="1"/>
    </row>
    <row r="4397" ht="15.75" customHeight="1">
      <c r="A4397" s="1"/>
      <c r="B4397" s="1"/>
      <c r="C4397" s="1"/>
      <c r="D4397" s="1"/>
      <c r="E4397" s="1"/>
      <c r="F4397" s="1"/>
      <c r="G4397" s="1"/>
      <c r="H4397" s="1"/>
      <c r="I4397" s="1"/>
      <c r="J4397" s="1"/>
      <c r="K4397" s="102" t="s">
        <v>7025</v>
      </c>
      <c r="L4397" s="102" t="str">
        <f>AD533</f>
        <v>J1a2a1a2d2b2b2c4d2a2a5a1e4a5b1~</v>
      </c>
      <c r="M4397" s="102"/>
      <c r="N4397" s="102" t="s">
        <v>7026</v>
      </c>
      <c r="O4397" s="105">
        <v>2.1515006E7</v>
      </c>
      <c r="P4397" s="105">
        <v>1.935312E7</v>
      </c>
      <c r="Q4397" s="102" t="s">
        <v>2439</v>
      </c>
      <c r="S4397" s="1"/>
      <c r="T4397" s="1"/>
      <c r="U4397" s="1"/>
      <c r="V4397" s="1"/>
      <c r="W4397" s="1"/>
      <c r="X4397" s="1"/>
      <c r="Y4397" s="1"/>
      <c r="AA4397" s="102"/>
      <c r="AB4397" s="1"/>
      <c r="AC4397" s="1"/>
      <c r="AD4397" s="1"/>
      <c r="AE4397" s="1"/>
      <c r="AF4397" s="1"/>
      <c r="AG4397" s="1"/>
    </row>
    <row r="4398" ht="15.75" customHeight="1">
      <c r="A4398" s="1"/>
      <c r="B4398" s="1"/>
      <c r="C4398" s="1"/>
      <c r="D4398" s="1"/>
      <c r="E4398" s="1"/>
      <c r="F4398" s="1"/>
      <c r="G4398" s="1"/>
      <c r="H4398" s="1"/>
      <c r="I4398" s="1"/>
      <c r="J4398" s="1"/>
      <c r="K4398" s="102" t="s">
        <v>7019</v>
      </c>
      <c r="L4398" s="102" t="str">
        <f>AD533</f>
        <v>J1a2a1a2d2b2b2c4d2a2a5a1e4a5b1~</v>
      </c>
      <c r="M4398" s="102"/>
      <c r="N4398" s="102" t="s">
        <v>7021</v>
      </c>
      <c r="O4398" s="105">
        <v>7065874.0</v>
      </c>
      <c r="P4398" s="105">
        <v>7197833.0</v>
      </c>
      <c r="Q4398" s="102" t="s">
        <v>2439</v>
      </c>
      <c r="S4398" s="1"/>
      <c r="T4398" s="1"/>
      <c r="U4398" s="1"/>
      <c r="V4398" s="1"/>
      <c r="W4398" s="1"/>
      <c r="X4398" s="1"/>
      <c r="Y4398" s="1"/>
      <c r="AA4398" s="102"/>
      <c r="AB4398" s="1"/>
      <c r="AC4398" s="1"/>
      <c r="AD4398" s="1"/>
      <c r="AE4398" s="1"/>
      <c r="AF4398" s="1"/>
      <c r="AG4398" s="1"/>
    </row>
    <row r="4399" ht="15.75" customHeight="1">
      <c r="A4399" s="1"/>
      <c r="B4399" s="1"/>
      <c r="C4399" s="1"/>
      <c r="D4399" s="1"/>
      <c r="E4399" s="1"/>
      <c r="F4399" s="1"/>
      <c r="G4399" s="1"/>
      <c r="H4399" s="1"/>
      <c r="I4399" s="1"/>
      <c r="J4399" s="1"/>
      <c r="K4399" s="102" t="s">
        <v>7027</v>
      </c>
      <c r="L4399" s="102" t="str">
        <f>AD533</f>
        <v>J1a2a1a2d2b2b2c4d2a2a5a1e4a5b1~</v>
      </c>
      <c r="M4399" s="102"/>
      <c r="N4399" s="102" t="s">
        <v>7028</v>
      </c>
      <c r="O4399" s="105">
        <v>7928175.0</v>
      </c>
      <c r="P4399" s="105">
        <v>8060134.0</v>
      </c>
      <c r="Q4399" s="102" t="s">
        <v>2454</v>
      </c>
      <c r="S4399" s="1"/>
      <c r="T4399" s="1"/>
      <c r="U4399" s="1"/>
      <c r="V4399" s="1"/>
      <c r="W4399" s="1"/>
      <c r="X4399" s="1"/>
      <c r="Y4399" s="1"/>
      <c r="AA4399" s="102"/>
      <c r="AB4399" s="1"/>
      <c r="AC4399" s="1"/>
      <c r="AD4399" s="1"/>
      <c r="AE4399" s="1"/>
      <c r="AF4399" s="1"/>
      <c r="AG4399" s="1"/>
    </row>
    <row r="4400" ht="15.75" customHeight="1">
      <c r="A4400" s="1"/>
      <c r="B4400" s="1"/>
      <c r="C4400" s="1"/>
      <c r="D4400" s="1"/>
      <c r="E4400" s="1"/>
      <c r="F4400" s="1"/>
      <c r="G4400" s="1"/>
      <c r="H4400" s="1"/>
      <c r="I4400" s="1"/>
      <c r="J4400" s="1"/>
      <c r="K4400" s="102" t="s">
        <v>7029</v>
      </c>
      <c r="L4400" s="102" t="str">
        <f>AD533</f>
        <v>J1a2a1a2d2b2b2c4d2a2a5a1e4a5b1~</v>
      </c>
      <c r="M4400" s="102"/>
      <c r="N4400" s="102" t="s">
        <v>7030</v>
      </c>
      <c r="O4400" s="105">
        <v>8712973.0</v>
      </c>
      <c r="P4400" s="105">
        <v>8844932.0</v>
      </c>
      <c r="Q4400" s="102" t="s">
        <v>2533</v>
      </c>
      <c r="S4400" s="1"/>
      <c r="T4400" s="1"/>
      <c r="U4400" s="1"/>
      <c r="V4400" s="1"/>
      <c r="W4400" s="1"/>
      <c r="X4400" s="1"/>
      <c r="Y4400" s="1"/>
      <c r="AA4400" s="102"/>
      <c r="AB4400" s="1"/>
      <c r="AC4400" s="1"/>
      <c r="AD4400" s="1"/>
      <c r="AE4400" s="1"/>
      <c r="AF4400" s="1"/>
      <c r="AG4400" s="1"/>
    </row>
    <row r="4401" ht="15.75" customHeight="1">
      <c r="A4401" s="1"/>
      <c r="B4401" s="1"/>
      <c r="C4401" s="1"/>
      <c r="D4401" s="1"/>
      <c r="E4401" s="1"/>
      <c r="F4401" s="1"/>
      <c r="G4401" s="1"/>
      <c r="H4401" s="1"/>
      <c r="I4401" s="1"/>
      <c r="J4401" s="1"/>
      <c r="K4401" s="102" t="s">
        <v>7031</v>
      </c>
      <c r="L4401" s="102" t="str">
        <f>AD533</f>
        <v>J1a2a1a2d2b2b2c4d2a2a5a1e4a5b1~</v>
      </c>
      <c r="M4401" s="102"/>
      <c r="N4401" s="102"/>
      <c r="O4401" s="105">
        <v>1.4187183E7</v>
      </c>
      <c r="P4401" s="105">
        <v>1.2066477E7</v>
      </c>
      <c r="Q4401" s="102" t="s">
        <v>2501</v>
      </c>
      <c r="S4401" s="1"/>
      <c r="T4401" s="1"/>
      <c r="U4401" s="1"/>
      <c r="V4401" s="1"/>
      <c r="W4401" s="1"/>
      <c r="X4401" s="1"/>
      <c r="Y4401" s="1"/>
      <c r="AA4401" s="102"/>
      <c r="AB4401" s="1"/>
      <c r="AC4401" s="1"/>
      <c r="AD4401" s="1"/>
      <c r="AE4401" s="1"/>
      <c r="AF4401" s="1"/>
      <c r="AG4401" s="1"/>
    </row>
    <row r="4402" ht="15.75" customHeight="1">
      <c r="A4402" s="1"/>
      <c r="B4402" s="1"/>
      <c r="C4402" s="1"/>
      <c r="D4402" s="1"/>
      <c r="E4402" s="1"/>
      <c r="F4402" s="1"/>
      <c r="G4402" s="1"/>
      <c r="H4402" s="1"/>
      <c r="I4402" s="1"/>
      <c r="J4402" s="1"/>
      <c r="K4402" s="102" t="s">
        <v>7032</v>
      </c>
      <c r="L4402" s="102" t="str">
        <f>AE534</f>
        <v>J1a2a1a2d2b2b2c4d2a2a5a1e4a5b1a~</v>
      </c>
      <c r="M4402" s="102" t="s">
        <v>7033</v>
      </c>
      <c r="N4402" s="102"/>
      <c r="O4402" s="105">
        <v>1.4917191E7</v>
      </c>
      <c r="P4402" s="105">
        <v>1.2805258E7</v>
      </c>
      <c r="Q4402" s="102" t="s">
        <v>2529</v>
      </c>
      <c r="S4402" s="1"/>
      <c r="T4402" s="1"/>
      <c r="U4402" s="1"/>
      <c r="V4402" s="1"/>
      <c r="W4402" s="1"/>
      <c r="X4402" s="1"/>
      <c r="Y4402" s="1"/>
      <c r="AA4402" s="102"/>
      <c r="AB4402" s="1"/>
      <c r="AC4402" s="1"/>
      <c r="AD4402" s="1"/>
      <c r="AE4402" s="1"/>
      <c r="AF4402" s="1"/>
      <c r="AG4402" s="1"/>
    </row>
    <row r="4403" ht="15.75" customHeight="1">
      <c r="A4403" s="1"/>
      <c r="B4403" s="1"/>
      <c r="C4403" s="1"/>
      <c r="D4403" s="1"/>
      <c r="E4403" s="1"/>
      <c r="F4403" s="1"/>
      <c r="G4403" s="1"/>
      <c r="H4403" s="1"/>
      <c r="I4403" s="1"/>
      <c r="J4403" s="1"/>
      <c r="K4403" s="102" t="s">
        <v>7033</v>
      </c>
      <c r="L4403" s="102" t="str">
        <f>AE534</f>
        <v>J1a2a1a2d2b2b2c4d2a2a5a1e4a5b1a~</v>
      </c>
      <c r="M4403" s="102" t="s">
        <v>7032</v>
      </c>
      <c r="N4403" s="102"/>
      <c r="O4403" s="105">
        <v>1.4917191E7</v>
      </c>
      <c r="P4403" s="105">
        <v>1.2805258E7</v>
      </c>
      <c r="Q4403" s="102" t="s">
        <v>2529</v>
      </c>
      <c r="S4403" s="1"/>
      <c r="T4403" s="1"/>
      <c r="U4403" s="1"/>
      <c r="V4403" s="1"/>
      <c r="W4403" s="1"/>
      <c r="X4403" s="1"/>
      <c r="Y4403" s="1"/>
      <c r="AA4403" s="102"/>
      <c r="AB4403" s="1"/>
      <c r="AC4403" s="1"/>
      <c r="AD4403" s="1"/>
      <c r="AE4403" s="1"/>
      <c r="AF4403" s="1"/>
      <c r="AG4403" s="1"/>
    </row>
    <row r="4404" ht="15.75" customHeight="1">
      <c r="A4404" s="1"/>
      <c r="B4404" s="1"/>
      <c r="C4404" s="1"/>
      <c r="D4404" s="1"/>
      <c r="E4404" s="1"/>
      <c r="F4404" s="1"/>
      <c r="G4404" s="1"/>
      <c r="H4404" s="1"/>
      <c r="I4404" s="1"/>
      <c r="J4404" s="1"/>
      <c r="K4404" s="102" t="s">
        <v>7034</v>
      </c>
      <c r="L4404" s="102" t="str">
        <f>AF535</f>
        <v>J1a2a1a2d2b2b2c4d2a2a5a1e4a5b1a1~</v>
      </c>
      <c r="M4404" s="102" t="s">
        <v>7035</v>
      </c>
      <c r="N4404" s="102"/>
      <c r="O4404" s="105">
        <v>7219806.0</v>
      </c>
      <c r="P4404" s="105">
        <v>7351765.0</v>
      </c>
      <c r="Q4404" s="102" t="s">
        <v>2468</v>
      </c>
      <c r="S4404" s="1"/>
      <c r="T4404" s="1"/>
      <c r="U4404" s="1"/>
      <c r="V4404" s="1"/>
      <c r="W4404" s="1"/>
      <c r="X4404" s="1"/>
      <c r="Y4404" s="1"/>
      <c r="AA4404" s="102"/>
      <c r="AB4404" s="1"/>
      <c r="AC4404" s="1"/>
      <c r="AD4404" s="1"/>
      <c r="AE4404" s="1"/>
      <c r="AF4404" s="1"/>
      <c r="AG4404" s="1"/>
    </row>
    <row r="4405" ht="15.75" customHeight="1">
      <c r="A4405" s="1"/>
      <c r="B4405" s="1"/>
      <c r="C4405" s="1"/>
      <c r="D4405" s="1"/>
      <c r="E4405" s="1"/>
      <c r="F4405" s="1"/>
      <c r="G4405" s="1"/>
      <c r="H4405" s="1"/>
      <c r="I4405" s="1"/>
      <c r="J4405" s="1"/>
      <c r="K4405" s="102" t="s">
        <v>7035</v>
      </c>
      <c r="L4405" s="102" t="str">
        <f>AF535</f>
        <v>J1a2a1a2d2b2b2c4d2a2a5a1e4a5b1a1~</v>
      </c>
      <c r="M4405" s="102" t="s">
        <v>7034</v>
      </c>
      <c r="N4405" s="102"/>
      <c r="O4405" s="105">
        <v>7219806.0</v>
      </c>
      <c r="P4405" s="105">
        <v>7351765.0</v>
      </c>
      <c r="Q4405" s="102" t="s">
        <v>2468</v>
      </c>
      <c r="S4405" s="1"/>
      <c r="T4405" s="1"/>
      <c r="U4405" s="1"/>
      <c r="V4405" s="1"/>
      <c r="W4405" s="1"/>
      <c r="X4405" s="1"/>
      <c r="Y4405" s="1"/>
      <c r="AA4405" s="102"/>
      <c r="AB4405" s="1"/>
      <c r="AC4405" s="1"/>
      <c r="AD4405" s="1"/>
      <c r="AE4405" s="1"/>
      <c r="AF4405" s="1"/>
      <c r="AG4405" s="1"/>
    </row>
    <row r="4406" ht="15.75" customHeight="1">
      <c r="A4406" s="1"/>
      <c r="B4406" s="1"/>
      <c r="C4406" s="1"/>
      <c r="D4406" s="1"/>
      <c r="E4406" s="1"/>
      <c r="F4406" s="1"/>
      <c r="G4406" s="1"/>
      <c r="H4406" s="1"/>
      <c r="I4406" s="1"/>
      <c r="J4406" s="1"/>
      <c r="K4406" s="102" t="s">
        <v>7036</v>
      </c>
      <c r="L4406" s="102" t="str">
        <f>AF535</f>
        <v>J1a2a1a2d2b2b2c4d2a2a5a1e4a5b1a1~</v>
      </c>
      <c r="M4406" s="102" t="s">
        <v>7037</v>
      </c>
      <c r="N4406" s="102"/>
      <c r="O4406" s="105">
        <v>1.5661577E7</v>
      </c>
      <c r="P4406" s="105">
        <v>1.3549697E7</v>
      </c>
      <c r="Q4406" s="102" t="s">
        <v>2563</v>
      </c>
      <c r="S4406" s="1"/>
      <c r="T4406" s="1"/>
      <c r="U4406" s="1"/>
      <c r="V4406" s="1"/>
      <c r="W4406" s="1"/>
      <c r="X4406" s="1"/>
      <c r="Y4406" s="1"/>
      <c r="AA4406" s="102"/>
      <c r="AB4406" s="1"/>
      <c r="AC4406" s="1"/>
      <c r="AD4406" s="1"/>
      <c r="AE4406" s="1"/>
      <c r="AF4406" s="1"/>
      <c r="AG4406" s="1"/>
    </row>
    <row r="4407" ht="15.75" customHeight="1">
      <c r="A4407" s="1"/>
      <c r="B4407" s="1"/>
      <c r="C4407" s="1"/>
      <c r="D4407" s="1"/>
      <c r="E4407" s="1"/>
      <c r="F4407" s="1"/>
      <c r="G4407" s="1"/>
      <c r="H4407" s="1"/>
      <c r="I4407" s="1"/>
      <c r="J4407" s="1"/>
      <c r="K4407" s="102" t="s">
        <v>7037</v>
      </c>
      <c r="L4407" s="102" t="str">
        <f>AF535</f>
        <v>J1a2a1a2d2b2b2c4d2a2a5a1e4a5b1a1~</v>
      </c>
      <c r="M4407" s="102" t="s">
        <v>7036</v>
      </c>
      <c r="N4407" s="102"/>
      <c r="O4407" s="105">
        <v>1.5661577E7</v>
      </c>
      <c r="P4407" s="105">
        <v>1.3549697E7</v>
      </c>
      <c r="Q4407" s="102" t="s">
        <v>2563</v>
      </c>
      <c r="S4407" s="1"/>
      <c r="T4407" s="1"/>
      <c r="U4407" s="1"/>
      <c r="V4407" s="1"/>
      <c r="W4407" s="1"/>
      <c r="X4407" s="1"/>
      <c r="Y4407" s="1"/>
      <c r="AA4407" s="102"/>
      <c r="AB4407" s="1"/>
      <c r="AC4407" s="1"/>
      <c r="AD4407" s="1"/>
      <c r="AE4407" s="1"/>
      <c r="AF4407" s="1"/>
      <c r="AG4407" s="1"/>
    </row>
    <row r="4408" ht="15.75" customHeight="1">
      <c r="A4408" s="1"/>
      <c r="B4408" s="1"/>
      <c r="C4408" s="1"/>
      <c r="D4408" s="1"/>
      <c r="E4408" s="1"/>
      <c r="F4408" s="1"/>
      <c r="G4408" s="1"/>
      <c r="H4408" s="1"/>
      <c r="I4408" s="1"/>
      <c r="J4408" s="1"/>
      <c r="K4408" s="102" t="s">
        <v>7038</v>
      </c>
      <c r="L4408" s="102" t="str">
        <f>AG536</f>
        <v>J1a2a1a2d2b2b2c4d2a2a5a1e4a5b1a1a~</v>
      </c>
      <c r="M4408" s="102" t="s">
        <v>7039</v>
      </c>
      <c r="N4408" s="102"/>
      <c r="O4408" s="105">
        <v>1.8021045E7</v>
      </c>
      <c r="P4408" s="105">
        <v>1.5909165E7</v>
      </c>
      <c r="Q4408" s="102" t="s">
        <v>2501</v>
      </c>
      <c r="S4408" s="1"/>
      <c r="T4408" s="1"/>
      <c r="U4408" s="1"/>
      <c r="V4408" s="1"/>
      <c r="W4408" s="1"/>
      <c r="X4408" s="1"/>
      <c r="Y4408" s="1"/>
      <c r="AA4408" s="102"/>
      <c r="AB4408" s="1"/>
      <c r="AC4408" s="1"/>
      <c r="AD4408" s="1"/>
      <c r="AE4408" s="1"/>
      <c r="AF4408" s="1"/>
      <c r="AG4408" s="1"/>
    </row>
    <row r="4409" ht="15.75" customHeight="1">
      <c r="A4409" s="1"/>
      <c r="B4409" s="1"/>
      <c r="C4409" s="1"/>
      <c r="D4409" s="1"/>
      <c r="E4409" s="1"/>
      <c r="F4409" s="1"/>
      <c r="G4409" s="1"/>
      <c r="H4409" s="1"/>
      <c r="I4409" s="1"/>
      <c r="J4409" s="1"/>
      <c r="K4409" s="102" t="s">
        <v>7039</v>
      </c>
      <c r="L4409" s="102" t="str">
        <f>AG536</f>
        <v>J1a2a1a2d2b2b2c4d2a2a5a1e4a5b1a1a~</v>
      </c>
      <c r="M4409" s="102" t="s">
        <v>7038</v>
      </c>
      <c r="N4409" s="102"/>
      <c r="O4409" s="105">
        <v>1.8021045E7</v>
      </c>
      <c r="P4409" s="105">
        <v>1.5909165E7</v>
      </c>
      <c r="Q4409" s="102" t="s">
        <v>2501</v>
      </c>
      <c r="S4409" s="1"/>
      <c r="T4409" s="1"/>
      <c r="U4409" s="1"/>
      <c r="V4409" s="1"/>
      <c r="W4409" s="1"/>
      <c r="X4409" s="1"/>
      <c r="Y4409" s="1"/>
      <c r="AA4409" s="102"/>
      <c r="AB4409" s="1"/>
      <c r="AC4409" s="1"/>
      <c r="AD4409" s="1"/>
      <c r="AE4409" s="1"/>
      <c r="AF4409" s="1"/>
      <c r="AG4409" s="1"/>
    </row>
    <row r="4410" ht="15.75" customHeight="1">
      <c r="A4410" s="1"/>
      <c r="B4410" s="1"/>
      <c r="C4410" s="1"/>
      <c r="D4410" s="1"/>
      <c r="E4410" s="1"/>
      <c r="F4410" s="1"/>
      <c r="G4410" s="1"/>
      <c r="H4410" s="1"/>
      <c r="I4410" s="1"/>
      <c r="J4410" s="1"/>
      <c r="K4410" s="102" t="s">
        <v>7040</v>
      </c>
      <c r="L4410" s="102" t="str">
        <f>AB537</f>
        <v>J1a2a1a2d2b2b2c4d2a2a5a1e4a6~</v>
      </c>
      <c r="M4410" s="102" t="s">
        <v>7041</v>
      </c>
      <c r="N4410" s="102" t="s">
        <v>7042</v>
      </c>
      <c r="O4410" s="105">
        <v>1.7904976E7</v>
      </c>
      <c r="P4410" s="105">
        <v>1.5793096E7</v>
      </c>
      <c r="Q4410" s="102" t="s">
        <v>2468</v>
      </c>
      <c r="S4410" s="1"/>
      <c r="T4410" s="1"/>
      <c r="U4410" s="1"/>
      <c r="V4410" s="1"/>
      <c r="W4410" s="1"/>
      <c r="X4410" s="1"/>
      <c r="Y4410" s="1"/>
      <c r="AA4410" s="102"/>
      <c r="AB4410" s="1"/>
      <c r="AC4410" s="1"/>
      <c r="AD4410" s="1"/>
      <c r="AE4410" s="1"/>
      <c r="AF4410" s="1"/>
      <c r="AG4410" s="1"/>
    </row>
    <row r="4411" ht="15.75" customHeight="1">
      <c r="A4411" s="1"/>
      <c r="B4411" s="1"/>
      <c r="C4411" s="1"/>
      <c r="D4411" s="1"/>
      <c r="E4411" s="1"/>
      <c r="F4411" s="1"/>
      <c r="G4411" s="1"/>
      <c r="H4411" s="1"/>
      <c r="I4411" s="1"/>
      <c r="J4411" s="1"/>
      <c r="K4411" s="102" t="s">
        <v>7043</v>
      </c>
      <c r="L4411" s="102" t="str">
        <f>AB537</f>
        <v>J1a2a1a2d2b2b2c4d2a2a5a1e4a6~</v>
      </c>
      <c r="M4411" s="102" t="s">
        <v>7044</v>
      </c>
      <c r="N4411" s="102" t="s">
        <v>7042</v>
      </c>
      <c r="O4411" s="105">
        <v>1.7904976E7</v>
      </c>
      <c r="P4411" s="105">
        <v>1.5793096E7</v>
      </c>
      <c r="Q4411" s="102" t="s">
        <v>2468</v>
      </c>
      <c r="S4411" s="1"/>
      <c r="T4411" s="1"/>
      <c r="U4411" s="1"/>
      <c r="V4411" s="1"/>
      <c r="W4411" s="1"/>
      <c r="X4411" s="1"/>
      <c r="Y4411" s="1"/>
      <c r="AA4411" s="102"/>
      <c r="AB4411" s="1"/>
      <c r="AC4411" s="1"/>
      <c r="AD4411" s="1"/>
      <c r="AE4411" s="1"/>
      <c r="AF4411" s="1"/>
      <c r="AG4411" s="1"/>
    </row>
    <row r="4412" ht="15.75" customHeight="1">
      <c r="A4412" s="1"/>
      <c r="B4412" s="1"/>
      <c r="C4412" s="1"/>
      <c r="D4412" s="1"/>
      <c r="E4412" s="1"/>
      <c r="F4412" s="1"/>
      <c r="G4412" s="1"/>
      <c r="H4412" s="1"/>
      <c r="I4412" s="1"/>
      <c r="J4412" s="1"/>
      <c r="K4412" s="102" t="s">
        <v>7045</v>
      </c>
      <c r="L4412" s="102" t="str">
        <f>AB537</f>
        <v>J1a2a1a2d2b2b2c4d2a2a5a1e4a6~</v>
      </c>
      <c r="M4412" s="102" t="s">
        <v>7046</v>
      </c>
      <c r="N4412" s="102" t="s">
        <v>7042</v>
      </c>
      <c r="O4412" s="105">
        <v>1.7904976E7</v>
      </c>
      <c r="P4412" s="105">
        <v>1.5793096E7</v>
      </c>
      <c r="Q4412" s="102" t="s">
        <v>2468</v>
      </c>
      <c r="S4412" s="1"/>
      <c r="T4412" s="1"/>
      <c r="U4412" s="1"/>
      <c r="V4412" s="1"/>
      <c r="W4412" s="1"/>
      <c r="X4412" s="1"/>
      <c r="Y4412" s="1"/>
      <c r="AA4412" s="102"/>
      <c r="AB4412" s="1"/>
      <c r="AC4412" s="1"/>
      <c r="AD4412" s="1"/>
      <c r="AE4412" s="1"/>
      <c r="AF4412" s="1"/>
      <c r="AG4412" s="1"/>
    </row>
    <row r="4413" ht="15.75" customHeight="1">
      <c r="A4413" s="1"/>
      <c r="B4413" s="1"/>
      <c r="C4413" s="1"/>
      <c r="D4413" s="1"/>
      <c r="E4413" s="1"/>
      <c r="F4413" s="1"/>
      <c r="G4413" s="1"/>
      <c r="H4413" s="1"/>
      <c r="I4413" s="1"/>
      <c r="J4413" s="1"/>
      <c r="K4413" s="102" t="s">
        <v>7047</v>
      </c>
      <c r="L4413" s="102" t="str">
        <f>AB537</f>
        <v>J1a2a1a2d2b2b2c4d2a2a5a1e4a6~</v>
      </c>
      <c r="M4413" s="102" t="s">
        <v>7048</v>
      </c>
      <c r="N4413" s="102" t="s">
        <v>7049</v>
      </c>
      <c r="O4413" s="105">
        <v>7539837.0</v>
      </c>
      <c r="P4413" s="105">
        <v>7671796.0</v>
      </c>
      <c r="Q4413" s="102" t="s">
        <v>2529</v>
      </c>
      <c r="S4413" s="1"/>
      <c r="T4413" s="1"/>
      <c r="U4413" s="1"/>
      <c r="V4413" s="1"/>
      <c r="W4413" s="1"/>
      <c r="X4413" s="1"/>
      <c r="Y4413" s="1"/>
      <c r="AA4413" s="102"/>
      <c r="AB4413" s="1"/>
      <c r="AC4413" s="1"/>
      <c r="AD4413" s="1"/>
      <c r="AE4413" s="1"/>
      <c r="AF4413" s="1"/>
      <c r="AG4413" s="1"/>
    </row>
    <row r="4414" ht="15.75" customHeight="1">
      <c r="A4414" s="1"/>
      <c r="B4414" s="1"/>
      <c r="C4414" s="1"/>
      <c r="D4414" s="1"/>
      <c r="E4414" s="1"/>
      <c r="F4414" s="1"/>
      <c r="G4414" s="1"/>
      <c r="H4414" s="1"/>
      <c r="I4414" s="1"/>
      <c r="J4414" s="1"/>
      <c r="K4414" s="102" t="s">
        <v>7050</v>
      </c>
      <c r="L4414" s="102" t="str">
        <f>AB537</f>
        <v>J1a2a1a2d2b2b2c4d2a2a5a1e4a6~</v>
      </c>
      <c r="M4414" s="102" t="s">
        <v>7051</v>
      </c>
      <c r="N4414" s="102" t="s">
        <v>7049</v>
      </c>
      <c r="O4414" s="105">
        <v>7539837.0</v>
      </c>
      <c r="P4414" s="105">
        <v>7671796.0</v>
      </c>
      <c r="Q4414" s="102" t="s">
        <v>2529</v>
      </c>
      <c r="S4414" s="1"/>
      <c r="T4414" s="1"/>
      <c r="U4414" s="1"/>
      <c r="V4414" s="1"/>
      <c r="W4414" s="1"/>
      <c r="X4414" s="1"/>
      <c r="Y4414" s="1"/>
      <c r="AA4414" s="102"/>
      <c r="AB4414" s="1"/>
      <c r="AC4414" s="1"/>
      <c r="AD4414" s="1"/>
      <c r="AE4414" s="1"/>
      <c r="AF4414" s="1"/>
      <c r="AG4414" s="1"/>
    </row>
    <row r="4415" ht="15.75" customHeight="1">
      <c r="A4415" s="1"/>
      <c r="B4415" s="1"/>
      <c r="C4415" s="1"/>
      <c r="D4415" s="1"/>
      <c r="E4415" s="1"/>
      <c r="F4415" s="1"/>
      <c r="G4415" s="1"/>
      <c r="H4415" s="1"/>
      <c r="I4415" s="1"/>
      <c r="J4415" s="1"/>
      <c r="K4415" s="102" t="s">
        <v>7052</v>
      </c>
      <c r="L4415" s="102" t="str">
        <f>AB537</f>
        <v>J1a2a1a2d2b2b2c4d2a2a5a1e4a6~</v>
      </c>
      <c r="M4415" s="102" t="s">
        <v>7053</v>
      </c>
      <c r="N4415" s="102" t="s">
        <v>7049</v>
      </c>
      <c r="O4415" s="105">
        <v>7539837.0</v>
      </c>
      <c r="P4415" s="105">
        <v>7671796.0</v>
      </c>
      <c r="Q4415" s="102" t="s">
        <v>2529</v>
      </c>
      <c r="S4415" s="1"/>
      <c r="T4415" s="1"/>
      <c r="U4415" s="1"/>
      <c r="V4415" s="1"/>
      <c r="W4415" s="1"/>
      <c r="X4415" s="1"/>
      <c r="Y4415" s="1"/>
      <c r="AA4415" s="102"/>
      <c r="AB4415" s="1"/>
      <c r="AC4415" s="1"/>
      <c r="AD4415" s="1"/>
      <c r="AE4415" s="1"/>
      <c r="AF4415" s="1"/>
      <c r="AG4415" s="1"/>
    </row>
    <row r="4416" ht="15.75" customHeight="1">
      <c r="A4416" s="1"/>
      <c r="B4416" s="1"/>
      <c r="C4416" s="1"/>
      <c r="D4416" s="1"/>
      <c r="E4416" s="1"/>
      <c r="F4416" s="1"/>
      <c r="G4416" s="1"/>
      <c r="H4416" s="1"/>
      <c r="I4416" s="1"/>
      <c r="J4416" s="1"/>
      <c r="K4416" s="102" t="s">
        <v>7054</v>
      </c>
      <c r="L4416" s="102" t="str">
        <f>AC538</f>
        <v>J1a2a1a2d2b2b2c4d2a2a5a1e4a6a~</v>
      </c>
      <c r="M4416" s="102"/>
      <c r="N4416" s="102"/>
      <c r="O4416" s="105">
        <v>9099402.0</v>
      </c>
      <c r="P4416" s="105">
        <v>9261793.0</v>
      </c>
      <c r="Q4416" s="102" t="s">
        <v>2576</v>
      </c>
      <c r="S4416" s="1"/>
      <c r="T4416" s="1"/>
      <c r="U4416" s="1"/>
      <c r="V4416" s="1"/>
      <c r="W4416" s="1"/>
      <c r="X4416" s="1"/>
      <c r="Y4416" s="1"/>
      <c r="AA4416" s="102"/>
      <c r="AB4416" s="1"/>
      <c r="AC4416" s="1"/>
      <c r="AD4416" s="1"/>
      <c r="AE4416" s="1"/>
      <c r="AF4416" s="1"/>
      <c r="AG4416" s="1"/>
    </row>
    <row r="4417" ht="15.75" customHeight="1">
      <c r="A4417" s="1"/>
      <c r="B4417" s="1"/>
      <c r="C4417" s="1"/>
      <c r="D4417" s="1"/>
      <c r="E4417" s="1"/>
      <c r="F4417" s="1"/>
      <c r="G4417" s="1"/>
      <c r="H4417" s="1"/>
      <c r="I4417" s="1"/>
      <c r="J4417" s="1"/>
      <c r="K4417" s="102" t="s">
        <v>7055</v>
      </c>
      <c r="L4417" s="102" t="str">
        <f>AC538</f>
        <v>J1a2a1a2d2b2b2c4d2a2a5a1e4a6a~</v>
      </c>
      <c r="M4417" s="102"/>
      <c r="N4417" s="102"/>
      <c r="O4417" s="105">
        <v>1.645698E7</v>
      </c>
      <c r="P4417" s="105">
        <v>1.43451E7</v>
      </c>
      <c r="Q4417" s="102" t="s">
        <v>2533</v>
      </c>
      <c r="S4417" s="1"/>
      <c r="T4417" s="1"/>
      <c r="U4417" s="1"/>
      <c r="V4417" s="1"/>
      <c r="W4417" s="1"/>
      <c r="X4417" s="1"/>
      <c r="Y4417" s="1"/>
      <c r="AA4417" s="102"/>
      <c r="AB4417" s="1"/>
      <c r="AC4417" s="1"/>
      <c r="AD4417" s="1"/>
      <c r="AE4417" s="1"/>
      <c r="AF4417" s="1"/>
      <c r="AG4417" s="1"/>
    </row>
    <row r="4418" ht="15.75" customHeight="1">
      <c r="A4418" s="1"/>
      <c r="B4418" s="1"/>
      <c r="C4418" s="1"/>
      <c r="D4418" s="1"/>
      <c r="E4418" s="1"/>
      <c r="F4418" s="1"/>
      <c r="G4418" s="1"/>
      <c r="H4418" s="1"/>
      <c r="I4418" s="1"/>
      <c r="J4418" s="1"/>
      <c r="K4418" s="102" t="s">
        <v>7056</v>
      </c>
      <c r="L4418" s="102" t="str">
        <f>AC538</f>
        <v>J1a2a1a2d2b2b2c4d2a2a5a1e4a6a~</v>
      </c>
      <c r="M4418" s="102"/>
      <c r="N4418" s="102"/>
      <c r="O4418" s="105">
        <v>1.8220758E7</v>
      </c>
      <c r="P4418" s="105">
        <v>1.6108878E7</v>
      </c>
      <c r="Q4418" s="102" t="s">
        <v>2439</v>
      </c>
      <c r="S4418" s="1"/>
      <c r="T4418" s="1"/>
      <c r="U4418" s="1"/>
      <c r="V4418" s="1"/>
      <c r="W4418" s="1"/>
      <c r="X4418" s="1"/>
      <c r="Y4418" s="1"/>
      <c r="AA4418" s="102"/>
      <c r="AB4418" s="1"/>
      <c r="AC4418" s="1"/>
      <c r="AD4418" s="1"/>
      <c r="AE4418" s="1"/>
      <c r="AF4418" s="1"/>
      <c r="AG4418" s="1"/>
    </row>
    <row r="4419" ht="15.75" customHeight="1">
      <c r="A4419" s="1"/>
      <c r="B4419" s="1"/>
      <c r="C4419" s="1"/>
      <c r="D4419" s="1"/>
      <c r="E4419" s="1"/>
      <c r="F4419" s="1"/>
      <c r="G4419" s="1"/>
      <c r="H4419" s="1"/>
      <c r="I4419" s="1"/>
      <c r="J4419" s="1"/>
      <c r="K4419" s="102" t="s">
        <v>7057</v>
      </c>
      <c r="L4419" s="102" t="str">
        <f>AC538</f>
        <v>J1a2a1a2d2b2b2c4d2a2a5a1e4a6a~</v>
      </c>
      <c r="M4419" s="102"/>
      <c r="N4419" s="102"/>
      <c r="O4419" s="105">
        <v>1.9181529E7</v>
      </c>
      <c r="P4419" s="105">
        <v>1.7069649E7</v>
      </c>
      <c r="Q4419" s="102" t="s">
        <v>2529</v>
      </c>
      <c r="S4419" s="1"/>
      <c r="T4419" s="1"/>
      <c r="U4419" s="1"/>
      <c r="V4419" s="1"/>
      <c r="W4419" s="1"/>
      <c r="X4419" s="1"/>
      <c r="Y4419" s="1"/>
      <c r="AA4419" s="102"/>
      <c r="AB4419" s="1"/>
      <c r="AC4419" s="1"/>
      <c r="AD4419" s="1"/>
      <c r="AE4419" s="1"/>
      <c r="AF4419" s="1"/>
      <c r="AG4419" s="1"/>
    </row>
    <row r="4420" ht="15.75" customHeight="1">
      <c r="A4420" s="1"/>
      <c r="B4420" s="1"/>
      <c r="C4420" s="1"/>
      <c r="D4420" s="1"/>
      <c r="E4420" s="1"/>
      <c r="F4420" s="1"/>
      <c r="G4420" s="1"/>
      <c r="H4420" s="1"/>
      <c r="I4420" s="1"/>
      <c r="J4420" s="1"/>
      <c r="K4420" s="102" t="s">
        <v>7058</v>
      </c>
      <c r="L4420" s="102" t="str">
        <f t="shared" ref="L4420:L4421" si="84">AC538</f>
        <v>J1a2a1a2d2b2b2c4d2a2a5a1e4a6a~</v>
      </c>
      <c r="M4420" s="102"/>
      <c r="N4420" s="102"/>
      <c r="O4420" s="105">
        <v>8428346.0</v>
      </c>
      <c r="P4420" s="105">
        <v>8560305.0</v>
      </c>
      <c r="Q4420" s="102" t="s">
        <v>2439</v>
      </c>
      <c r="S4420" s="1"/>
      <c r="T4420" s="1"/>
      <c r="U4420" s="1"/>
      <c r="V4420" s="1"/>
      <c r="W4420" s="1"/>
      <c r="X4420" s="1"/>
      <c r="Y4420" s="1"/>
      <c r="AA4420" s="102"/>
      <c r="AB4420" s="1"/>
      <c r="AC4420" s="1"/>
      <c r="AD4420" s="1"/>
      <c r="AE4420" s="1"/>
      <c r="AF4420" s="1"/>
      <c r="AG4420" s="1"/>
    </row>
    <row r="4421" ht="15.75" customHeight="1">
      <c r="A4421" s="1"/>
      <c r="B4421" s="1"/>
      <c r="C4421" s="1"/>
      <c r="D4421" s="1"/>
      <c r="E4421" s="1"/>
      <c r="F4421" s="1"/>
      <c r="G4421" s="1"/>
      <c r="H4421" s="1"/>
      <c r="I4421" s="1"/>
      <c r="J4421" s="1"/>
      <c r="K4421" s="102" t="s">
        <v>7059</v>
      </c>
      <c r="L4421" s="102" t="str">
        <f t="shared" si="84"/>
        <v>J1a2a1a2d2b2b2c4d2a2a5a1e4a6b~</v>
      </c>
      <c r="M4421" s="102"/>
      <c r="N4421" s="102" t="s">
        <v>7060</v>
      </c>
      <c r="O4421" s="105">
        <v>6667230.0</v>
      </c>
      <c r="P4421" s="105">
        <v>6799189.0</v>
      </c>
      <c r="Q4421" s="102" t="s">
        <v>2439</v>
      </c>
      <c r="S4421" s="1"/>
      <c r="T4421" s="1"/>
      <c r="U4421" s="1"/>
      <c r="V4421" s="1"/>
      <c r="W4421" s="1"/>
      <c r="X4421" s="1"/>
      <c r="Y4421" s="1"/>
      <c r="AA4421" s="102"/>
      <c r="AB4421" s="1"/>
      <c r="AC4421" s="1"/>
      <c r="AD4421" s="1"/>
      <c r="AE4421" s="1"/>
      <c r="AF4421" s="1"/>
      <c r="AG4421" s="1"/>
    </row>
    <row r="4422" ht="15.75" customHeight="1">
      <c r="A4422" s="1"/>
      <c r="B4422" s="1"/>
      <c r="C4422" s="1"/>
      <c r="D4422" s="1"/>
      <c r="E4422" s="1"/>
      <c r="F4422" s="1"/>
      <c r="G4422" s="1"/>
      <c r="H4422" s="1"/>
      <c r="I4422" s="1"/>
      <c r="J4422" s="1"/>
      <c r="K4422" s="102" t="s">
        <v>7061</v>
      </c>
      <c r="L4422" s="102" t="str">
        <f>AC539</f>
        <v>J1a2a1a2d2b2b2c4d2a2a5a1e4a6b~</v>
      </c>
      <c r="M4422" s="102"/>
      <c r="N4422" s="102" t="s">
        <v>7062</v>
      </c>
      <c r="O4422" s="105">
        <v>1.5751998E7</v>
      </c>
      <c r="P4422" s="105">
        <v>1.3640118E7</v>
      </c>
      <c r="Q4422" s="102" t="s">
        <v>2439</v>
      </c>
      <c r="S4422" s="1"/>
      <c r="T4422" s="1"/>
      <c r="U4422" s="1"/>
      <c r="V4422" s="1"/>
      <c r="W4422" s="1"/>
      <c r="X4422" s="1"/>
      <c r="Y4422" s="1"/>
      <c r="AA4422" s="102"/>
      <c r="AB4422" s="1"/>
      <c r="AC4422" s="1"/>
      <c r="AD4422" s="1"/>
      <c r="AE4422" s="1"/>
      <c r="AF4422" s="1"/>
      <c r="AG4422" s="1"/>
    </row>
    <row r="4423" ht="15.75" customHeight="1">
      <c r="A4423" s="1"/>
      <c r="B4423" s="1"/>
      <c r="C4423" s="1"/>
      <c r="D4423" s="1"/>
      <c r="E4423" s="1"/>
      <c r="F4423" s="1"/>
      <c r="G4423" s="1"/>
      <c r="H4423" s="1"/>
      <c r="I4423" s="1"/>
      <c r="J4423" s="1"/>
      <c r="K4423" s="102" t="s">
        <v>7063</v>
      </c>
      <c r="L4423" s="102" t="str">
        <f>AC539</f>
        <v>J1a2a1a2d2b2b2c4d2a2a5a1e4a6b~</v>
      </c>
      <c r="M4423" s="102"/>
      <c r="N4423" s="102" t="s">
        <v>7064</v>
      </c>
      <c r="O4423" s="105">
        <v>1.6393256E7</v>
      </c>
      <c r="P4423" s="105">
        <v>1.4281376E7</v>
      </c>
      <c r="Q4423" s="102" t="s">
        <v>2432</v>
      </c>
      <c r="S4423" s="1"/>
      <c r="T4423" s="1"/>
      <c r="U4423" s="1"/>
      <c r="V4423" s="1"/>
      <c r="W4423" s="1"/>
      <c r="X4423" s="1"/>
      <c r="Y4423" s="1"/>
      <c r="AA4423" s="102"/>
      <c r="AB4423" s="1"/>
      <c r="AC4423" s="1"/>
      <c r="AD4423" s="1"/>
      <c r="AE4423" s="1"/>
      <c r="AF4423" s="1"/>
      <c r="AG4423" s="1"/>
    </row>
    <row r="4424" ht="15.75" customHeight="1">
      <c r="A4424" s="1"/>
      <c r="B4424" s="1"/>
      <c r="C4424" s="1"/>
      <c r="D4424" s="1"/>
      <c r="E4424" s="1"/>
      <c r="F4424" s="1"/>
      <c r="G4424" s="1"/>
      <c r="H4424" s="1"/>
      <c r="I4424" s="1"/>
      <c r="J4424" s="1"/>
      <c r="K4424" s="102" t="s">
        <v>7065</v>
      </c>
      <c r="L4424" s="102" t="str">
        <f>AC539</f>
        <v>J1a2a1a2d2b2b2c4d2a2a5a1e4a6b~</v>
      </c>
      <c r="M4424" s="102"/>
      <c r="N4424" s="102" t="s">
        <v>7066</v>
      </c>
      <c r="O4424" s="105">
        <v>2.4426186E7</v>
      </c>
      <c r="P4424" s="105">
        <v>2.2280039E7</v>
      </c>
      <c r="Q4424" s="102" t="s">
        <v>2432</v>
      </c>
      <c r="S4424" s="1"/>
      <c r="T4424" s="1"/>
      <c r="U4424" s="1"/>
      <c r="V4424" s="1"/>
      <c r="W4424" s="1"/>
      <c r="X4424" s="1"/>
      <c r="Y4424" s="1"/>
      <c r="AA4424" s="102"/>
      <c r="AB4424" s="1"/>
      <c r="AC4424" s="1"/>
      <c r="AD4424" s="1"/>
      <c r="AE4424" s="1"/>
      <c r="AF4424" s="1"/>
      <c r="AG4424" s="1"/>
    </row>
    <row r="4425" ht="15.75" customHeight="1">
      <c r="A4425" s="1"/>
      <c r="B4425" s="1"/>
      <c r="C4425" s="1"/>
      <c r="D4425" s="1"/>
      <c r="E4425" s="1"/>
      <c r="F4425" s="1"/>
      <c r="G4425" s="1"/>
      <c r="H4425" s="1"/>
      <c r="I4425" s="1"/>
      <c r="J4425" s="1"/>
      <c r="K4425" s="102" t="s">
        <v>7067</v>
      </c>
      <c r="L4425" s="102" t="str">
        <f>AC539</f>
        <v>J1a2a1a2d2b2b2c4d2a2a5a1e4a6b~</v>
      </c>
      <c r="M4425" s="102"/>
      <c r="N4425" s="102" t="s">
        <v>7068</v>
      </c>
      <c r="O4425" s="105">
        <v>1.6868355E7</v>
      </c>
      <c r="P4425" s="105">
        <v>1.4756475E7</v>
      </c>
      <c r="Q4425" s="102" t="s">
        <v>2501</v>
      </c>
      <c r="S4425" s="1"/>
      <c r="T4425" s="1"/>
      <c r="U4425" s="1"/>
      <c r="V4425" s="1"/>
      <c r="W4425" s="1"/>
      <c r="X4425" s="1"/>
      <c r="Y4425" s="1"/>
      <c r="AA4425" s="102"/>
      <c r="AB4425" s="1"/>
      <c r="AC4425" s="1"/>
      <c r="AD4425" s="1"/>
      <c r="AE4425" s="1"/>
      <c r="AF4425" s="1"/>
      <c r="AG4425" s="1"/>
    </row>
    <row r="4426" ht="15.75" customHeight="1">
      <c r="A4426" s="1"/>
      <c r="B4426" s="1"/>
      <c r="C4426" s="1"/>
      <c r="D4426" s="1"/>
      <c r="E4426" s="1"/>
      <c r="F4426" s="1"/>
      <c r="G4426" s="1"/>
      <c r="H4426" s="1"/>
      <c r="I4426" s="1"/>
      <c r="J4426" s="1"/>
      <c r="K4426" s="102" t="s">
        <v>1047</v>
      </c>
      <c r="L4426" s="102" t="str">
        <f>AD540</f>
        <v>J1a2a1a2d2b2b2c4d2a2a5a1e4a6b1~</v>
      </c>
      <c r="M4426" s="102"/>
      <c r="N4426" s="102" t="s">
        <v>7069</v>
      </c>
      <c r="O4426" s="105">
        <v>2.1298469E7</v>
      </c>
      <c r="P4426" s="105">
        <v>1.9136583E7</v>
      </c>
      <c r="Q4426" s="102" t="s">
        <v>2446</v>
      </c>
      <c r="S4426" s="1"/>
      <c r="T4426" s="1"/>
      <c r="U4426" s="1"/>
      <c r="V4426" s="1"/>
      <c r="W4426" s="1"/>
      <c r="X4426" s="1"/>
      <c r="Y4426" s="1"/>
      <c r="AA4426" s="102"/>
      <c r="AB4426" s="1"/>
      <c r="AC4426" s="1"/>
      <c r="AD4426" s="1"/>
      <c r="AE4426" s="1"/>
      <c r="AF4426" s="1"/>
      <c r="AG4426" s="1"/>
    </row>
    <row r="4427" ht="15.75" customHeight="1">
      <c r="A4427" s="1"/>
      <c r="B4427" s="1"/>
      <c r="C4427" s="1"/>
      <c r="D4427" s="1"/>
      <c r="E4427" s="1"/>
      <c r="F4427" s="1"/>
      <c r="G4427" s="1"/>
      <c r="H4427" s="1"/>
      <c r="I4427" s="1"/>
      <c r="J4427" s="1"/>
      <c r="K4427" s="102" t="s">
        <v>7070</v>
      </c>
      <c r="L4427" s="102" t="str">
        <f>AC541</f>
        <v>J1a2a1a2d2b2b2c4d2a2a5a1e4a6c~</v>
      </c>
      <c r="M4427" s="102" t="s">
        <v>7071</v>
      </c>
      <c r="N4427" s="102"/>
      <c r="O4427" s="105">
        <v>1.4403525E7</v>
      </c>
      <c r="P4427" s="105">
        <v>1.2282822E7</v>
      </c>
      <c r="Q4427" s="102" t="s">
        <v>2439</v>
      </c>
      <c r="S4427" s="1"/>
      <c r="T4427" s="1"/>
      <c r="U4427" s="1"/>
      <c r="V4427" s="1"/>
      <c r="W4427" s="1"/>
      <c r="X4427" s="1"/>
      <c r="Y4427" s="1"/>
      <c r="AA4427" s="102"/>
      <c r="AB4427" s="1"/>
      <c r="AC4427" s="1"/>
      <c r="AD4427" s="1"/>
      <c r="AE4427" s="1"/>
      <c r="AF4427" s="1"/>
      <c r="AG4427" s="1"/>
    </row>
    <row r="4428" ht="15.75" customHeight="1">
      <c r="A4428" s="1"/>
      <c r="B4428" s="1"/>
      <c r="C4428" s="1"/>
      <c r="D4428" s="1"/>
      <c r="E4428" s="1"/>
      <c r="F4428" s="1"/>
      <c r="G4428" s="1"/>
      <c r="H4428" s="1"/>
      <c r="I4428" s="1"/>
      <c r="J4428" s="1"/>
      <c r="K4428" s="102" t="s">
        <v>7071</v>
      </c>
      <c r="L4428" s="102" t="str">
        <f>AC541</f>
        <v>J1a2a1a2d2b2b2c4d2a2a5a1e4a6c~</v>
      </c>
      <c r="M4428" s="102" t="s">
        <v>7070</v>
      </c>
      <c r="N4428" s="102"/>
      <c r="O4428" s="105">
        <v>1.4403525E7</v>
      </c>
      <c r="P4428" s="105">
        <v>1.2282822E7</v>
      </c>
      <c r="Q4428" s="102" t="s">
        <v>2439</v>
      </c>
      <c r="S4428" s="1"/>
      <c r="T4428" s="1"/>
      <c r="U4428" s="1"/>
      <c r="V4428" s="1"/>
      <c r="W4428" s="1"/>
      <c r="X4428" s="1"/>
      <c r="Y4428" s="1"/>
      <c r="AA4428" s="102"/>
      <c r="AB4428" s="1"/>
      <c r="AC4428" s="1"/>
      <c r="AD4428" s="1"/>
      <c r="AE4428" s="1"/>
      <c r="AF4428" s="1"/>
      <c r="AG4428" s="1"/>
    </row>
    <row r="4429" ht="15.75" customHeight="1">
      <c r="A4429" s="1"/>
      <c r="B4429" s="1"/>
      <c r="C4429" s="1"/>
      <c r="D4429" s="1"/>
      <c r="E4429" s="1"/>
      <c r="F4429" s="1"/>
      <c r="G4429" s="1"/>
      <c r="H4429" s="1"/>
      <c r="I4429" s="1"/>
      <c r="J4429" s="1"/>
      <c r="K4429" s="102" t="s">
        <v>7072</v>
      </c>
      <c r="L4429" s="102" t="str">
        <f>AD542</f>
        <v>J1a2a1a2d2b2b2c4d2a2a5a1e4a6c1~</v>
      </c>
      <c r="M4429" s="102"/>
      <c r="N4429" s="102"/>
      <c r="O4429" s="105">
        <v>7980111.0</v>
      </c>
      <c r="P4429" s="105">
        <v>8112070.0</v>
      </c>
      <c r="Q4429" s="102" t="s">
        <v>2468</v>
      </c>
      <c r="S4429" s="1"/>
      <c r="T4429" s="1"/>
      <c r="U4429" s="1"/>
      <c r="V4429" s="1"/>
      <c r="W4429" s="1"/>
      <c r="X4429" s="1"/>
      <c r="Y4429" s="1"/>
      <c r="AA4429" s="102"/>
      <c r="AB4429" s="1"/>
      <c r="AC4429" s="1"/>
      <c r="AD4429" s="1"/>
      <c r="AE4429" s="1"/>
      <c r="AF4429" s="1"/>
      <c r="AG4429" s="1"/>
    </row>
    <row r="4430" ht="15.75" customHeight="1">
      <c r="A4430" s="1"/>
      <c r="B4430" s="1"/>
      <c r="C4430" s="1"/>
      <c r="D4430" s="1"/>
      <c r="E4430" s="1"/>
      <c r="F4430" s="1"/>
      <c r="G4430" s="1"/>
      <c r="H4430" s="1"/>
      <c r="I4430" s="1"/>
      <c r="J4430" s="1"/>
      <c r="K4430" s="102" t="s">
        <v>7073</v>
      </c>
      <c r="L4430" s="102" t="str">
        <f>AD542</f>
        <v>J1a2a1a2d2b2b2c4d2a2a5a1e4a6c1~</v>
      </c>
      <c r="M4430" s="102"/>
      <c r="N4430" s="102"/>
      <c r="O4430" s="105">
        <v>1.5769703E7</v>
      </c>
      <c r="P4430" s="105">
        <v>1.3657823E7</v>
      </c>
      <c r="Q4430" s="102" t="s">
        <v>2439</v>
      </c>
      <c r="S4430" s="1"/>
      <c r="T4430" s="1"/>
      <c r="U4430" s="1"/>
      <c r="V4430" s="1"/>
      <c r="W4430" s="1"/>
      <c r="X4430" s="1"/>
      <c r="Y4430" s="1"/>
      <c r="AA4430" s="102"/>
      <c r="AB4430" s="1"/>
      <c r="AC4430" s="1"/>
      <c r="AD4430" s="1"/>
      <c r="AE4430" s="1"/>
      <c r="AF4430" s="1"/>
      <c r="AG4430" s="1"/>
    </row>
    <row r="4431" ht="15.75" customHeight="1">
      <c r="A4431" s="1"/>
      <c r="B4431" s="1"/>
      <c r="C4431" s="1"/>
      <c r="D4431" s="1"/>
      <c r="E4431" s="1"/>
      <c r="F4431" s="1"/>
      <c r="G4431" s="1"/>
      <c r="H4431" s="1"/>
      <c r="I4431" s="1"/>
      <c r="J4431" s="1"/>
      <c r="K4431" s="102" t="s">
        <v>7074</v>
      </c>
      <c r="L4431" s="102" t="str">
        <f>AD542</f>
        <v>J1a2a1a2d2b2b2c4d2a2a5a1e4a6c1~</v>
      </c>
      <c r="M4431" s="102"/>
      <c r="N4431" s="102"/>
      <c r="O4431" s="105">
        <v>1.5982815E7</v>
      </c>
      <c r="P4431" s="105">
        <v>1.3870935E7</v>
      </c>
      <c r="Q4431" s="102" t="s">
        <v>2529</v>
      </c>
      <c r="S4431" s="1"/>
      <c r="T4431" s="1"/>
      <c r="U4431" s="1"/>
      <c r="V4431" s="1"/>
      <c r="W4431" s="1"/>
      <c r="X4431" s="1"/>
      <c r="Y4431" s="1"/>
      <c r="AA4431" s="102"/>
      <c r="AB4431" s="1"/>
      <c r="AC4431" s="1"/>
      <c r="AD4431" s="1"/>
      <c r="AE4431" s="1"/>
      <c r="AF4431" s="1"/>
      <c r="AG4431" s="1"/>
    </row>
    <row r="4432" ht="15.75" customHeight="1">
      <c r="A4432" s="1"/>
      <c r="B4432" s="1"/>
      <c r="C4432" s="1"/>
      <c r="D4432" s="1"/>
      <c r="E4432" s="1"/>
      <c r="F4432" s="1"/>
      <c r="G4432" s="1"/>
      <c r="H4432" s="1"/>
      <c r="I4432" s="1"/>
      <c r="J4432" s="1"/>
      <c r="K4432" s="102" t="s">
        <v>7075</v>
      </c>
      <c r="L4432" s="102" t="str">
        <f>AD542</f>
        <v>J1a2a1a2d2b2b2c4d2a2a5a1e4a6c1~</v>
      </c>
      <c r="M4432" s="102"/>
      <c r="N4432" s="102"/>
      <c r="O4432" s="105">
        <v>1.7018568E7</v>
      </c>
      <c r="P4432" s="105">
        <v>1.4906688E7</v>
      </c>
      <c r="Q4432" s="102" t="s">
        <v>2501</v>
      </c>
      <c r="S4432" s="1"/>
      <c r="T4432" s="1"/>
      <c r="U4432" s="1"/>
      <c r="V4432" s="1"/>
      <c r="W4432" s="1"/>
      <c r="X4432" s="1"/>
      <c r="Y4432" s="1"/>
      <c r="AA4432" s="102"/>
      <c r="AB4432" s="1"/>
      <c r="AC4432" s="1"/>
      <c r="AD4432" s="1"/>
      <c r="AE4432" s="1"/>
      <c r="AF4432" s="1"/>
      <c r="AG4432" s="1"/>
    </row>
    <row r="4433" ht="15.75" customHeight="1">
      <c r="A4433" s="1"/>
      <c r="B4433" s="1"/>
      <c r="C4433" s="1"/>
      <c r="D4433" s="1"/>
      <c r="E4433" s="1"/>
      <c r="F4433" s="1"/>
      <c r="G4433" s="1"/>
      <c r="H4433" s="1"/>
      <c r="I4433" s="1"/>
      <c r="J4433" s="1"/>
      <c r="K4433" s="102" t="s">
        <v>7076</v>
      </c>
      <c r="L4433" s="102" t="str">
        <f t="shared" ref="L4433:L4434" si="85">AD542</f>
        <v>J1a2a1a2d2b2b2c4d2a2a5a1e4a6c1~</v>
      </c>
      <c r="M4433" s="102"/>
      <c r="N4433" s="102"/>
      <c r="O4433" s="105">
        <v>1.7271166E7</v>
      </c>
      <c r="P4433" s="105">
        <v>1.5159286E7</v>
      </c>
      <c r="Q4433" s="102" t="s">
        <v>2439</v>
      </c>
      <c r="S4433" s="1"/>
      <c r="T4433" s="1"/>
      <c r="U4433" s="1"/>
      <c r="V4433" s="1"/>
      <c r="W4433" s="1"/>
      <c r="X4433" s="1"/>
      <c r="Y4433" s="1"/>
      <c r="AA4433" s="102"/>
      <c r="AB4433" s="1"/>
      <c r="AC4433" s="1"/>
      <c r="AD4433" s="1"/>
      <c r="AE4433" s="1"/>
      <c r="AF4433" s="1"/>
      <c r="AG4433" s="1"/>
    </row>
    <row r="4434" ht="15.75" customHeight="1">
      <c r="A4434" s="1"/>
      <c r="B4434" s="1"/>
      <c r="C4434" s="1"/>
      <c r="D4434" s="1"/>
      <c r="E4434" s="1"/>
      <c r="F4434" s="1"/>
      <c r="G4434" s="1"/>
      <c r="H4434" s="1"/>
      <c r="I4434" s="1"/>
      <c r="J4434" s="1"/>
      <c r="K4434" s="102" t="s">
        <v>7077</v>
      </c>
      <c r="L4434" s="102" t="str">
        <f t="shared" si="85"/>
        <v>J1a2a1a2d2b2b2c4d2a2a5a1e4a6c2~</v>
      </c>
      <c r="M4434" s="102"/>
      <c r="N4434" s="102" t="s">
        <v>7078</v>
      </c>
      <c r="O4434" s="105">
        <v>7627644.0</v>
      </c>
      <c r="P4434" s="105">
        <v>7759603.0</v>
      </c>
      <c r="Q4434" s="102" t="s">
        <v>2501</v>
      </c>
      <c r="S4434" s="1"/>
      <c r="T4434" s="1"/>
      <c r="U4434" s="1"/>
      <c r="V4434" s="1"/>
      <c r="W4434" s="1"/>
      <c r="X4434" s="1"/>
      <c r="Y4434" s="1"/>
      <c r="AA4434" s="102"/>
      <c r="AB4434" s="1"/>
      <c r="AC4434" s="1"/>
      <c r="AD4434" s="1"/>
      <c r="AE4434" s="1"/>
      <c r="AF4434" s="1"/>
      <c r="AG4434" s="1"/>
    </row>
    <row r="4435" ht="15.75" customHeight="1">
      <c r="A4435" s="1"/>
      <c r="B4435" s="1"/>
      <c r="C4435" s="1"/>
      <c r="D4435" s="1"/>
      <c r="E4435" s="1"/>
      <c r="F4435" s="1"/>
      <c r="G4435" s="1"/>
      <c r="H4435" s="1"/>
      <c r="I4435" s="1"/>
      <c r="J4435" s="1"/>
      <c r="K4435" s="102" t="s">
        <v>7079</v>
      </c>
      <c r="L4435" s="102" t="str">
        <f>AD543</f>
        <v>J1a2a1a2d2b2b2c4d2a2a5a1e4a6c2~</v>
      </c>
      <c r="M4435" s="102"/>
      <c r="N4435" s="102"/>
      <c r="O4435" s="105">
        <v>8219936.0</v>
      </c>
      <c r="P4435" s="105">
        <v>8351895.0</v>
      </c>
      <c r="Q4435" s="102" t="s">
        <v>2576</v>
      </c>
      <c r="S4435" s="1"/>
      <c r="T4435" s="1"/>
      <c r="U4435" s="1"/>
      <c r="V4435" s="1"/>
      <c r="W4435" s="1"/>
      <c r="X4435" s="1"/>
      <c r="Y4435" s="1"/>
      <c r="AA4435" s="102"/>
      <c r="AB4435" s="1"/>
      <c r="AC4435" s="1"/>
      <c r="AD4435" s="1"/>
      <c r="AE4435" s="1"/>
      <c r="AF4435" s="1"/>
      <c r="AG4435" s="1"/>
    </row>
    <row r="4436" ht="15.75" customHeight="1">
      <c r="A4436" s="1"/>
      <c r="B4436" s="1"/>
      <c r="C4436" s="1"/>
      <c r="D4436" s="1"/>
      <c r="E4436" s="1"/>
      <c r="F4436" s="1"/>
      <c r="G4436" s="1"/>
      <c r="H4436" s="1"/>
      <c r="I4436" s="1"/>
      <c r="J4436" s="1"/>
      <c r="K4436" s="102" t="s">
        <v>7080</v>
      </c>
      <c r="L4436" s="102" t="str">
        <f>AD543</f>
        <v>J1a2a1a2d2b2b2c4d2a2a5a1e4a6c2~</v>
      </c>
      <c r="M4436" s="102"/>
      <c r="N4436" s="102"/>
      <c r="O4436" s="105">
        <v>1.4588209E7</v>
      </c>
      <c r="P4436" s="105">
        <v>1.2476409E7</v>
      </c>
      <c r="Q4436" s="102" t="s">
        <v>2501</v>
      </c>
      <c r="S4436" s="1"/>
      <c r="T4436" s="1"/>
      <c r="U4436" s="1"/>
      <c r="V4436" s="1"/>
      <c r="W4436" s="1"/>
      <c r="X4436" s="1"/>
      <c r="Y4436" s="1"/>
      <c r="AA4436" s="102"/>
      <c r="AB4436" s="1"/>
      <c r="AC4436" s="1"/>
      <c r="AD4436" s="1"/>
      <c r="AE4436" s="1"/>
      <c r="AF4436" s="1"/>
      <c r="AG4436" s="1"/>
    </row>
    <row r="4437" ht="15.75" customHeight="1">
      <c r="A4437" s="1"/>
      <c r="B4437" s="1"/>
      <c r="C4437" s="1"/>
      <c r="D4437" s="1"/>
      <c r="E4437" s="1"/>
      <c r="F4437" s="1"/>
      <c r="G4437" s="1"/>
      <c r="H4437" s="1"/>
      <c r="I4437" s="1"/>
      <c r="J4437" s="1"/>
      <c r="K4437" s="102" t="s">
        <v>7081</v>
      </c>
      <c r="L4437" s="102" t="str">
        <f>AD543</f>
        <v>J1a2a1a2d2b2b2c4d2a2a5a1e4a6c2~</v>
      </c>
      <c r="M4437" s="102"/>
      <c r="N4437" s="102"/>
      <c r="O4437" s="105">
        <v>1.9486401E7</v>
      </c>
      <c r="P4437" s="105">
        <v>1.7374521E7</v>
      </c>
      <c r="Q4437" s="102" t="s">
        <v>2446</v>
      </c>
      <c r="S4437" s="1"/>
      <c r="T4437" s="1"/>
      <c r="U4437" s="1"/>
      <c r="V4437" s="1"/>
      <c r="W4437" s="1"/>
      <c r="X4437" s="1"/>
      <c r="Y4437" s="1"/>
      <c r="AA4437" s="102"/>
      <c r="AB4437" s="1"/>
      <c r="AC4437" s="1"/>
      <c r="AD4437" s="1"/>
      <c r="AE4437" s="1"/>
      <c r="AF4437" s="1"/>
      <c r="AG4437" s="1"/>
    </row>
    <row r="4438" ht="15.75" customHeight="1">
      <c r="A4438" s="1"/>
      <c r="B4438" s="1"/>
      <c r="C4438" s="1"/>
      <c r="D4438" s="1"/>
      <c r="E4438" s="1"/>
      <c r="F4438" s="1"/>
      <c r="G4438" s="1"/>
      <c r="H4438" s="1"/>
      <c r="I4438" s="1"/>
      <c r="J4438" s="1"/>
      <c r="K4438" s="102" t="s">
        <v>7082</v>
      </c>
      <c r="L4438" s="102" t="str">
        <f>AC544</f>
        <v>J1a2a1a2d2b2b2c4d2a2a5a1e4a6d~</v>
      </c>
      <c r="M4438" s="102"/>
      <c r="N4438" s="102"/>
      <c r="O4438" s="105">
        <v>7215683.0</v>
      </c>
      <c r="P4438" s="105">
        <v>7347642.0</v>
      </c>
      <c r="Q4438" s="102" t="s">
        <v>2439</v>
      </c>
      <c r="S4438" s="1"/>
      <c r="T4438" s="1"/>
      <c r="U4438" s="1"/>
      <c r="V4438" s="1"/>
      <c r="W4438" s="1"/>
      <c r="X4438" s="1"/>
      <c r="Y4438" s="1"/>
      <c r="AA4438" s="102"/>
      <c r="AB4438" s="1"/>
      <c r="AC4438" s="1"/>
      <c r="AD4438" s="1"/>
      <c r="AE4438" s="1"/>
      <c r="AF4438" s="1"/>
      <c r="AG4438" s="1"/>
    </row>
    <row r="4439" ht="15.75" customHeight="1">
      <c r="A4439" s="1"/>
      <c r="B4439" s="1"/>
      <c r="C4439" s="1"/>
      <c r="D4439" s="1"/>
      <c r="E4439" s="1"/>
      <c r="F4439" s="1"/>
      <c r="G4439" s="1"/>
      <c r="H4439" s="1"/>
      <c r="I4439" s="1"/>
      <c r="J4439" s="1"/>
      <c r="K4439" s="102" t="s">
        <v>7083</v>
      </c>
      <c r="L4439" s="102" t="str">
        <f>AC544</f>
        <v>J1a2a1a2d2b2b2c4d2a2a5a1e4a6d~</v>
      </c>
      <c r="M4439" s="102"/>
      <c r="N4439" s="102"/>
      <c r="O4439" s="105">
        <v>8407066.0</v>
      </c>
      <c r="P4439" s="105">
        <v>8539025.0</v>
      </c>
      <c r="Q4439" s="102" t="s">
        <v>2533</v>
      </c>
      <c r="S4439" s="1"/>
      <c r="T4439" s="1"/>
      <c r="U4439" s="1"/>
      <c r="V4439" s="1"/>
      <c r="W4439" s="1"/>
      <c r="X4439" s="1"/>
      <c r="Y4439" s="1"/>
      <c r="AA4439" s="102"/>
      <c r="AB4439" s="1"/>
      <c r="AC4439" s="1"/>
      <c r="AD4439" s="1"/>
      <c r="AE4439" s="1"/>
      <c r="AF4439" s="1"/>
      <c r="AG4439" s="1"/>
    </row>
    <row r="4440" ht="15.75" customHeight="1">
      <c r="A4440" s="1"/>
      <c r="B4440" s="1"/>
      <c r="C4440" s="1"/>
      <c r="D4440" s="1"/>
      <c r="E4440" s="1"/>
      <c r="F4440" s="1"/>
      <c r="G4440" s="1"/>
      <c r="H4440" s="1"/>
      <c r="I4440" s="1"/>
      <c r="J4440" s="1"/>
      <c r="K4440" s="102" t="s">
        <v>7084</v>
      </c>
      <c r="L4440" s="102" t="str">
        <f>AC544</f>
        <v>J1a2a1a2d2b2b2c4d2a2a5a1e4a6d~</v>
      </c>
      <c r="M4440" s="102"/>
      <c r="N4440" s="102"/>
      <c r="O4440" s="105">
        <v>1.8096143E7</v>
      </c>
      <c r="P4440" s="105">
        <v>1.5984263E7</v>
      </c>
      <c r="Q4440" s="102" t="s">
        <v>2501</v>
      </c>
      <c r="S4440" s="1"/>
      <c r="T4440" s="1"/>
      <c r="U4440" s="1"/>
      <c r="V4440" s="1"/>
      <c r="W4440" s="1"/>
      <c r="X4440" s="1"/>
      <c r="Y4440" s="1"/>
      <c r="AA4440" s="102"/>
      <c r="AB4440" s="1"/>
      <c r="AC4440" s="1"/>
      <c r="AD4440" s="1"/>
      <c r="AE4440" s="1"/>
      <c r="AF4440" s="1"/>
      <c r="AG4440" s="1"/>
    </row>
    <row r="4441" ht="15.75" customHeight="1">
      <c r="A4441" s="1"/>
      <c r="B4441" s="1"/>
      <c r="C4441" s="1"/>
      <c r="D4441" s="1"/>
      <c r="E4441" s="1"/>
      <c r="F4441" s="1"/>
      <c r="G4441" s="1"/>
      <c r="H4441" s="1"/>
      <c r="I4441" s="1"/>
      <c r="J4441" s="1"/>
      <c r="K4441" s="102" t="s">
        <v>7085</v>
      </c>
      <c r="L4441" s="102" t="str">
        <f>AC544</f>
        <v>J1a2a1a2d2b2b2c4d2a2a5a1e4a6d~</v>
      </c>
      <c r="M4441" s="102"/>
      <c r="N4441" s="102"/>
      <c r="O4441" s="105">
        <v>2.1343928E7</v>
      </c>
      <c r="P4441" s="105">
        <v>1.9182042E7</v>
      </c>
      <c r="Q4441" s="102" t="s">
        <v>2501</v>
      </c>
      <c r="S4441" s="1"/>
      <c r="T4441" s="1"/>
      <c r="U4441" s="1"/>
      <c r="V4441" s="1"/>
      <c r="W4441" s="1"/>
      <c r="X4441" s="1"/>
      <c r="Y4441" s="1"/>
      <c r="AA4441" s="102"/>
      <c r="AB4441" s="1"/>
      <c r="AC4441" s="1"/>
      <c r="AD4441" s="1"/>
      <c r="AE4441" s="1"/>
      <c r="AF4441" s="1"/>
      <c r="AG4441" s="1"/>
    </row>
    <row r="4442" ht="15.75" customHeight="1">
      <c r="A4442" s="1"/>
      <c r="B4442" s="1"/>
      <c r="C4442" s="1"/>
      <c r="D4442" s="1"/>
      <c r="E4442" s="1"/>
      <c r="F4442" s="1"/>
      <c r="G4442" s="1"/>
      <c r="H4442" s="1"/>
      <c r="I4442" s="1"/>
      <c r="J4442" s="1"/>
      <c r="K4442" s="102" t="s">
        <v>7086</v>
      </c>
      <c r="L4442" s="102" t="str">
        <f>AC544</f>
        <v>J1a2a1a2d2b2b2c4d2a2a5a1e4a6d~</v>
      </c>
      <c r="M4442" s="102"/>
      <c r="N4442" s="102"/>
      <c r="O4442" s="105">
        <v>7816519.0</v>
      </c>
      <c r="P4442" s="105">
        <v>7948478.0</v>
      </c>
      <c r="Q4442" s="102" t="s">
        <v>2533</v>
      </c>
      <c r="S4442" s="1"/>
      <c r="T4442" s="1"/>
      <c r="U4442" s="1"/>
      <c r="V4442" s="1"/>
      <c r="W4442" s="1"/>
      <c r="X4442" s="1"/>
      <c r="Y4442" s="1"/>
      <c r="AA4442" s="102"/>
      <c r="AB4442" s="1"/>
      <c r="AC4442" s="1"/>
      <c r="AD4442" s="1"/>
      <c r="AE4442" s="1"/>
      <c r="AF4442" s="1"/>
      <c r="AG4442" s="1"/>
    </row>
    <row r="4443" ht="15.75" customHeight="1">
      <c r="A4443" s="1"/>
      <c r="B4443" s="1"/>
      <c r="C4443" s="1"/>
      <c r="D4443" s="1"/>
      <c r="E4443" s="1"/>
      <c r="F4443" s="1"/>
      <c r="G4443" s="1"/>
      <c r="H4443" s="1"/>
      <c r="I4443" s="1"/>
      <c r="J4443" s="1"/>
      <c r="K4443" s="102" t="s">
        <v>7087</v>
      </c>
      <c r="L4443" s="102" t="str">
        <f>AC544</f>
        <v>J1a2a1a2d2b2b2c4d2a2a5a1e4a6d~</v>
      </c>
      <c r="M4443" s="102"/>
      <c r="N4443" s="102"/>
      <c r="O4443" s="105">
        <v>1.4912871E7</v>
      </c>
      <c r="P4443" s="105">
        <v>1.2800938E7</v>
      </c>
      <c r="Q4443" s="102" t="s">
        <v>2446</v>
      </c>
      <c r="S4443" s="1"/>
      <c r="T4443" s="1"/>
      <c r="U4443" s="1"/>
      <c r="V4443" s="1"/>
      <c r="W4443" s="1"/>
      <c r="X4443" s="1"/>
      <c r="Y4443" s="1"/>
      <c r="AA4443" s="102"/>
      <c r="AB4443" s="1"/>
      <c r="AC4443" s="1"/>
      <c r="AD4443" s="1"/>
      <c r="AE4443" s="1"/>
      <c r="AF4443" s="1"/>
      <c r="AG4443" s="1"/>
    </row>
    <row r="4444" ht="15.75" customHeight="1">
      <c r="A4444" s="1"/>
      <c r="B4444" s="1"/>
      <c r="C4444" s="1"/>
      <c r="D4444" s="1"/>
      <c r="E4444" s="1"/>
      <c r="F4444" s="1"/>
      <c r="G4444" s="1"/>
      <c r="H4444" s="1"/>
      <c r="I4444" s="1"/>
      <c r="J4444" s="1"/>
      <c r="K4444" s="102" t="s">
        <v>7088</v>
      </c>
      <c r="L4444" s="102" t="str">
        <f t="shared" ref="L4444:L4445" si="86">AC544</f>
        <v>J1a2a1a2d2b2b2c4d2a2a5a1e4a6d~</v>
      </c>
      <c r="M4444" s="102"/>
      <c r="N4444" s="102"/>
      <c r="O4444" s="105">
        <v>1.6538772E7</v>
      </c>
      <c r="P4444" s="105">
        <v>1.4426892E7</v>
      </c>
      <c r="Q4444" s="102" t="s">
        <v>2468</v>
      </c>
      <c r="S4444" s="1"/>
      <c r="T4444" s="1"/>
      <c r="U4444" s="1"/>
      <c r="V4444" s="1"/>
      <c r="W4444" s="1"/>
      <c r="X4444" s="1"/>
      <c r="Y4444" s="1"/>
      <c r="AA4444" s="102"/>
      <c r="AB4444" s="1"/>
      <c r="AC4444" s="1"/>
      <c r="AD4444" s="1"/>
      <c r="AE4444" s="1"/>
      <c r="AF4444" s="1"/>
      <c r="AG4444" s="1"/>
    </row>
    <row r="4445" ht="15.75" customHeight="1">
      <c r="A4445" s="1"/>
      <c r="B4445" s="1"/>
      <c r="C4445" s="1"/>
      <c r="D4445" s="1"/>
      <c r="E4445" s="1"/>
      <c r="F4445" s="1"/>
      <c r="G4445" s="1"/>
      <c r="H4445" s="1"/>
      <c r="I4445" s="1"/>
      <c r="J4445" s="1"/>
      <c r="K4445" s="102" t="s">
        <v>7089</v>
      </c>
      <c r="L4445" s="102" t="str">
        <f t="shared" si="86"/>
        <v>J1a2a1a2d2b2b2c4d2a2a5a1e4a6e~</v>
      </c>
      <c r="M4445" s="102"/>
      <c r="N4445" s="102"/>
      <c r="O4445" s="105">
        <v>1.6175246E7</v>
      </c>
      <c r="P4445" s="105">
        <v>1.4063366E7</v>
      </c>
      <c r="Q4445" s="102" t="s">
        <v>2439</v>
      </c>
      <c r="S4445" s="1"/>
      <c r="T4445" s="1"/>
      <c r="U4445" s="1"/>
      <c r="V4445" s="1"/>
      <c r="W4445" s="1"/>
      <c r="X4445" s="1"/>
      <c r="Y4445" s="1"/>
      <c r="AA4445" s="102"/>
      <c r="AB4445" s="1"/>
      <c r="AC4445" s="1"/>
      <c r="AD4445" s="1"/>
      <c r="AE4445" s="1"/>
      <c r="AF4445" s="1"/>
      <c r="AG4445" s="1"/>
    </row>
    <row r="4446" ht="15.75" customHeight="1">
      <c r="A4446" s="1"/>
      <c r="B4446" s="1"/>
      <c r="C4446" s="1"/>
      <c r="D4446" s="1"/>
      <c r="E4446" s="1"/>
      <c r="F4446" s="1"/>
      <c r="G4446" s="1"/>
      <c r="H4446" s="1"/>
      <c r="I4446" s="1"/>
      <c r="J4446" s="1"/>
      <c r="K4446" s="102" t="s">
        <v>7090</v>
      </c>
      <c r="L4446" s="102" t="str">
        <f>AC545</f>
        <v>J1a2a1a2d2b2b2c4d2a2a5a1e4a6e~</v>
      </c>
      <c r="M4446" s="102"/>
      <c r="N4446" s="102"/>
      <c r="O4446" s="105">
        <v>2.2723823E7</v>
      </c>
      <c r="P4446" s="105">
        <v>2.0561937E7</v>
      </c>
      <c r="Q4446" s="102" t="s">
        <v>2576</v>
      </c>
      <c r="S4446" s="1"/>
      <c r="T4446" s="1"/>
      <c r="U4446" s="1"/>
      <c r="V4446" s="1"/>
      <c r="W4446" s="1"/>
      <c r="X4446" s="1"/>
      <c r="Y4446" s="1"/>
      <c r="AA4446" s="102"/>
      <c r="AB4446" s="1"/>
      <c r="AC4446" s="1"/>
      <c r="AD4446" s="1"/>
      <c r="AE4446" s="1"/>
      <c r="AF4446" s="1"/>
      <c r="AG4446" s="1"/>
    </row>
    <row r="4447" ht="15.75" customHeight="1">
      <c r="A4447" s="1"/>
      <c r="B4447" s="1"/>
      <c r="C4447" s="1"/>
      <c r="D4447" s="1"/>
      <c r="E4447" s="1"/>
      <c r="F4447" s="1"/>
      <c r="G4447" s="1"/>
      <c r="H4447" s="1"/>
      <c r="I4447" s="1"/>
      <c r="J4447" s="1"/>
      <c r="K4447" s="102" t="s">
        <v>7091</v>
      </c>
      <c r="L4447" s="102" t="str">
        <f>AC545</f>
        <v>J1a2a1a2d2b2b2c4d2a2a5a1e4a6e~</v>
      </c>
      <c r="M4447" s="102"/>
      <c r="N4447" s="102"/>
      <c r="O4447" s="105">
        <v>7780262.0</v>
      </c>
      <c r="P4447" s="105">
        <v>7912221.0</v>
      </c>
      <c r="Q4447" s="102" t="s">
        <v>2468</v>
      </c>
      <c r="S4447" s="1"/>
      <c r="T4447" s="1"/>
      <c r="U4447" s="1"/>
      <c r="V4447" s="1"/>
      <c r="W4447" s="1"/>
      <c r="X4447" s="1"/>
      <c r="Y4447" s="1"/>
      <c r="AA4447" s="102"/>
      <c r="AB4447" s="1"/>
      <c r="AC4447" s="1"/>
      <c r="AD4447" s="1"/>
      <c r="AE4447" s="1"/>
      <c r="AF4447" s="1"/>
      <c r="AG4447" s="1"/>
    </row>
    <row r="4448" ht="15.75" customHeight="1">
      <c r="A4448" s="1"/>
      <c r="B4448" s="1"/>
      <c r="C4448" s="1"/>
      <c r="D4448" s="1"/>
      <c r="E4448" s="1"/>
      <c r="F4448" s="1"/>
      <c r="G4448" s="1"/>
      <c r="H4448" s="1"/>
      <c r="I4448" s="1"/>
      <c r="J4448" s="1"/>
      <c r="K4448" s="102" t="s">
        <v>7092</v>
      </c>
      <c r="L4448" s="102" t="str">
        <f>AC545</f>
        <v>J1a2a1a2d2b2b2c4d2a2a5a1e4a6e~</v>
      </c>
      <c r="M4448" s="102"/>
      <c r="N4448" s="102"/>
      <c r="O4448" s="105">
        <v>1.8405629E7</v>
      </c>
      <c r="P4448" s="105">
        <v>1.6293749E7</v>
      </c>
      <c r="Q4448" s="102" t="s">
        <v>2529</v>
      </c>
      <c r="S4448" s="1"/>
      <c r="T4448" s="1"/>
      <c r="U4448" s="1"/>
      <c r="V4448" s="1"/>
      <c r="W4448" s="1"/>
      <c r="X4448" s="1"/>
      <c r="Y4448" s="1"/>
      <c r="AA4448" s="102"/>
      <c r="AB4448" s="1"/>
      <c r="AC4448" s="1"/>
      <c r="AD4448" s="1"/>
      <c r="AE4448" s="1"/>
      <c r="AF4448" s="1"/>
      <c r="AG4448" s="1"/>
    </row>
    <row r="4449" ht="15.75" customHeight="1">
      <c r="A4449" s="1"/>
      <c r="B4449" s="1"/>
      <c r="C4449" s="1"/>
      <c r="D4449" s="1"/>
      <c r="E4449" s="1"/>
      <c r="F4449" s="1"/>
      <c r="G4449" s="1"/>
      <c r="H4449" s="1"/>
      <c r="I4449" s="1"/>
      <c r="J4449" s="1"/>
      <c r="K4449" s="102" t="s">
        <v>7093</v>
      </c>
      <c r="L4449" s="102" t="str">
        <f>AC545</f>
        <v>J1a2a1a2d2b2b2c4d2a2a5a1e4a6e~</v>
      </c>
      <c r="M4449" s="102"/>
      <c r="N4449" s="102"/>
      <c r="O4449" s="105">
        <v>2.0810241E7</v>
      </c>
      <c r="P4449" s="105">
        <v>1.8648355E7</v>
      </c>
      <c r="Q4449" s="102" t="s">
        <v>2514</v>
      </c>
      <c r="S4449" s="1"/>
      <c r="T4449" s="1"/>
      <c r="U4449" s="1"/>
      <c r="V4449" s="1"/>
      <c r="W4449" s="1"/>
      <c r="X4449" s="1"/>
      <c r="Y4449" s="1"/>
      <c r="AA4449" s="102"/>
      <c r="AB4449" s="1"/>
      <c r="AC4449" s="1"/>
      <c r="AD4449" s="1"/>
      <c r="AE4449" s="1"/>
      <c r="AF4449" s="1"/>
      <c r="AG4449" s="1"/>
    </row>
    <row r="4450" ht="15.75" customHeight="1">
      <c r="A4450" s="1"/>
      <c r="B4450" s="1"/>
      <c r="C4450" s="1"/>
      <c r="D4450" s="1"/>
      <c r="E4450" s="1"/>
      <c r="F4450" s="1"/>
      <c r="G4450" s="1"/>
      <c r="H4450" s="1"/>
      <c r="I4450" s="1"/>
      <c r="J4450" s="1"/>
      <c r="K4450" s="102" t="s">
        <v>7094</v>
      </c>
      <c r="L4450" s="102" t="str">
        <f t="shared" ref="L4450:L4452" si="87">AC545</f>
        <v>J1a2a1a2d2b2b2c4d2a2a5a1e4a6e~</v>
      </c>
      <c r="M4450" s="102"/>
      <c r="N4450" s="102"/>
      <c r="O4450" s="105">
        <v>2.3231765E7</v>
      </c>
      <c r="P4450" s="105">
        <v>2.1069879E7</v>
      </c>
      <c r="Q4450" s="102" t="s">
        <v>2501</v>
      </c>
      <c r="S4450" s="1"/>
      <c r="T4450" s="1"/>
      <c r="U4450" s="1"/>
      <c r="V4450" s="1"/>
      <c r="W4450" s="1"/>
      <c r="X4450" s="1"/>
      <c r="Y4450" s="1"/>
      <c r="AA4450" s="102"/>
      <c r="AB4450" s="1"/>
      <c r="AC4450" s="1"/>
      <c r="AD4450" s="1"/>
      <c r="AE4450" s="1"/>
      <c r="AF4450" s="1"/>
      <c r="AG4450" s="1"/>
    </row>
    <row r="4451" ht="15.75" customHeight="1">
      <c r="A4451" s="1"/>
      <c r="B4451" s="1"/>
      <c r="C4451" s="1"/>
      <c r="D4451" s="1"/>
      <c r="E4451" s="1"/>
      <c r="F4451" s="1"/>
      <c r="G4451" s="1"/>
      <c r="H4451" s="1"/>
      <c r="I4451" s="1"/>
      <c r="J4451" s="1"/>
      <c r="K4451" s="102" t="s">
        <v>1059</v>
      </c>
      <c r="L4451" s="102" t="str">
        <f t="shared" si="87"/>
        <v>J1a2a1a2d2b2b2c4d2a2a5a1e4a6f~</v>
      </c>
      <c r="M4451" s="102"/>
      <c r="N4451" s="102"/>
      <c r="O4451" s="105">
        <v>2764731.0</v>
      </c>
      <c r="P4451" s="105">
        <v>2896690.0</v>
      </c>
      <c r="Q4451" s="102" t="s">
        <v>2529</v>
      </c>
      <c r="S4451" s="1"/>
      <c r="T4451" s="1"/>
      <c r="U4451" s="1"/>
      <c r="V4451" s="1"/>
      <c r="W4451" s="1"/>
      <c r="X4451" s="1"/>
      <c r="Y4451" s="1"/>
      <c r="AA4451" s="102"/>
      <c r="AB4451" s="1"/>
      <c r="AC4451" s="1"/>
      <c r="AD4451" s="1"/>
      <c r="AE4451" s="1"/>
      <c r="AF4451" s="1"/>
      <c r="AG4451" s="1"/>
    </row>
    <row r="4452" ht="15.75" customHeight="1">
      <c r="A4452" s="1"/>
      <c r="B4452" s="1"/>
      <c r="C4452" s="1"/>
      <c r="D4452" s="1"/>
      <c r="E4452" s="1"/>
      <c r="F4452" s="1"/>
      <c r="G4452" s="1"/>
      <c r="H4452" s="1"/>
      <c r="I4452" s="1"/>
      <c r="J4452" s="1"/>
      <c r="K4452" s="102" t="s">
        <v>7095</v>
      </c>
      <c r="L4452" s="102" t="str">
        <f t="shared" si="87"/>
        <v>J1a2a1a2d2b2b2c4d2a2a5a1e4a6g~</v>
      </c>
      <c r="M4452" s="102"/>
      <c r="N4452" s="102"/>
      <c r="O4452" s="105">
        <v>1.7802743E7</v>
      </c>
      <c r="P4452" s="105">
        <v>1.5690863E7</v>
      </c>
      <c r="Q4452" s="102" t="s">
        <v>2533</v>
      </c>
      <c r="S4452" s="1"/>
      <c r="T4452" s="1"/>
      <c r="U4452" s="1"/>
      <c r="V4452" s="1"/>
      <c r="W4452" s="1"/>
      <c r="X4452" s="1"/>
      <c r="Y4452" s="1"/>
      <c r="AA4452" s="102"/>
      <c r="AB4452" s="1"/>
      <c r="AC4452" s="1"/>
      <c r="AD4452" s="1"/>
      <c r="AE4452" s="1"/>
      <c r="AF4452" s="1"/>
      <c r="AG4452" s="1"/>
    </row>
    <row r="4453" ht="15.75" customHeight="1">
      <c r="A4453" s="1"/>
      <c r="B4453" s="1"/>
      <c r="C4453" s="1"/>
      <c r="D4453" s="1"/>
      <c r="E4453" s="1"/>
      <c r="F4453" s="1"/>
      <c r="G4453" s="1"/>
      <c r="H4453" s="1"/>
      <c r="I4453" s="1"/>
      <c r="J4453" s="1"/>
      <c r="K4453" s="102" t="s">
        <v>7096</v>
      </c>
      <c r="L4453" s="102" t="str">
        <f>AC547</f>
        <v>J1a2a1a2d2b2b2c4d2a2a5a1e4a6g~</v>
      </c>
      <c r="M4453" s="102"/>
      <c r="N4453" s="102"/>
      <c r="O4453" s="105">
        <v>8013045.0</v>
      </c>
      <c r="P4453" s="105">
        <v>8145004.0</v>
      </c>
      <c r="Q4453" s="102" t="s">
        <v>2446</v>
      </c>
      <c r="S4453" s="1"/>
      <c r="T4453" s="1"/>
      <c r="U4453" s="1"/>
      <c r="V4453" s="1"/>
      <c r="W4453" s="1"/>
      <c r="X4453" s="1"/>
      <c r="Y4453" s="1"/>
      <c r="AA4453" s="102"/>
      <c r="AB4453" s="1"/>
      <c r="AC4453" s="1"/>
      <c r="AD4453" s="1"/>
      <c r="AE4453" s="1"/>
      <c r="AF4453" s="1"/>
      <c r="AG4453" s="1"/>
    </row>
    <row r="4454" ht="15.75" customHeight="1">
      <c r="A4454" s="1"/>
      <c r="B4454" s="1"/>
      <c r="C4454" s="1"/>
      <c r="D4454" s="1"/>
      <c r="E4454" s="1"/>
      <c r="F4454" s="1"/>
      <c r="G4454" s="1"/>
      <c r="H4454" s="1"/>
      <c r="I4454" s="1"/>
      <c r="J4454" s="1"/>
      <c r="K4454" s="102" t="s">
        <v>7097</v>
      </c>
      <c r="L4454" s="102" t="str">
        <f>AD548</f>
        <v>J1a2a1a2d2b2b2c4d2a2a5a1e4a6g1~</v>
      </c>
      <c r="M4454" s="102"/>
      <c r="N4454" s="102"/>
      <c r="O4454" s="105">
        <v>1.6855094E7</v>
      </c>
      <c r="P4454" s="105">
        <v>1.4743214E7</v>
      </c>
      <c r="Q4454" s="102" t="s">
        <v>2533</v>
      </c>
      <c r="S4454" s="1"/>
      <c r="T4454" s="1"/>
      <c r="U4454" s="1"/>
      <c r="V4454" s="1"/>
      <c r="W4454" s="1"/>
      <c r="X4454" s="1"/>
      <c r="Y4454" s="1"/>
      <c r="AA4454" s="102"/>
      <c r="AB4454" s="1"/>
      <c r="AC4454" s="1"/>
      <c r="AD4454" s="1"/>
      <c r="AE4454" s="1"/>
      <c r="AF4454" s="1"/>
      <c r="AG4454" s="1"/>
    </row>
    <row r="4455" ht="15.75" customHeight="1">
      <c r="A4455" s="1"/>
      <c r="B4455" s="1"/>
      <c r="C4455" s="1"/>
      <c r="D4455" s="1"/>
      <c r="E4455" s="1"/>
      <c r="F4455" s="1"/>
      <c r="G4455" s="1"/>
      <c r="H4455" s="1"/>
      <c r="I4455" s="1"/>
      <c r="J4455" s="1"/>
      <c r="K4455" s="102" t="s">
        <v>7098</v>
      </c>
      <c r="L4455" s="102" t="str">
        <f>AC549</f>
        <v>J1a2a1a2d2b2b2c4d2a2a5a1e4a6h~</v>
      </c>
      <c r="M4455" s="102" t="s">
        <v>7099</v>
      </c>
      <c r="N4455" s="102"/>
      <c r="O4455" s="105">
        <v>1.7405234E7</v>
      </c>
      <c r="P4455" s="105">
        <v>1.5293354E7</v>
      </c>
      <c r="Q4455" s="102" t="s">
        <v>2454</v>
      </c>
      <c r="S4455" s="1"/>
      <c r="T4455" s="1"/>
      <c r="U4455" s="1"/>
      <c r="V4455" s="1"/>
      <c r="W4455" s="1"/>
      <c r="X4455" s="1"/>
      <c r="Y4455" s="1"/>
      <c r="AA4455" s="102"/>
      <c r="AB4455" s="1"/>
      <c r="AC4455" s="1"/>
      <c r="AD4455" s="1"/>
      <c r="AE4455" s="1"/>
      <c r="AF4455" s="1"/>
      <c r="AG4455" s="1"/>
    </row>
    <row r="4456" ht="15.75" customHeight="1">
      <c r="A4456" s="1"/>
      <c r="B4456" s="1"/>
      <c r="C4456" s="1"/>
      <c r="D4456" s="1"/>
      <c r="E4456" s="1"/>
      <c r="F4456" s="1"/>
      <c r="G4456" s="1"/>
      <c r="H4456" s="1"/>
      <c r="I4456" s="1"/>
      <c r="J4456" s="1"/>
      <c r="K4456" s="102" t="s">
        <v>7099</v>
      </c>
      <c r="L4456" s="102" t="str">
        <f>AC549</f>
        <v>J1a2a1a2d2b2b2c4d2a2a5a1e4a6h~</v>
      </c>
      <c r="M4456" s="102" t="s">
        <v>7098</v>
      </c>
      <c r="N4456" s="102"/>
      <c r="O4456" s="105">
        <v>1.7405234E7</v>
      </c>
      <c r="P4456" s="105">
        <v>1.5293354E7</v>
      </c>
      <c r="Q4456" s="102" t="s">
        <v>2454</v>
      </c>
      <c r="S4456" s="1"/>
      <c r="T4456" s="1"/>
      <c r="U4456" s="1"/>
      <c r="V4456" s="1"/>
      <c r="W4456" s="1"/>
      <c r="X4456" s="1"/>
      <c r="Y4456" s="1"/>
      <c r="AA4456" s="102"/>
      <c r="AB4456" s="1"/>
      <c r="AC4456" s="1"/>
      <c r="AD4456" s="1"/>
      <c r="AE4456" s="1"/>
      <c r="AF4456" s="1"/>
      <c r="AG4456" s="1"/>
    </row>
    <row r="4457" ht="15.75" customHeight="1">
      <c r="A4457" s="1"/>
      <c r="B4457" s="1"/>
      <c r="C4457" s="1"/>
      <c r="D4457" s="1"/>
      <c r="E4457" s="1"/>
      <c r="F4457" s="1"/>
      <c r="G4457" s="1"/>
      <c r="H4457" s="1"/>
      <c r="I4457" s="1"/>
      <c r="J4457" s="1"/>
      <c r="K4457" s="102" t="s">
        <v>7100</v>
      </c>
      <c r="L4457" s="102" t="str">
        <f>AC549</f>
        <v>J1a2a1a2d2b2b2c4d2a2a5a1e4a6h~</v>
      </c>
      <c r="M4457" s="102"/>
      <c r="N4457" s="102"/>
      <c r="O4457" s="105">
        <v>2.3093643E7</v>
      </c>
      <c r="P4457" s="105">
        <v>2.0931757E7</v>
      </c>
      <c r="Q4457" s="102" t="s">
        <v>2432</v>
      </c>
      <c r="S4457" s="1"/>
      <c r="T4457" s="1"/>
      <c r="U4457" s="1"/>
      <c r="V4457" s="1"/>
      <c r="W4457" s="1"/>
      <c r="X4457" s="1"/>
      <c r="Y4457" s="1"/>
      <c r="AA4457" s="102"/>
      <c r="AB4457" s="1"/>
      <c r="AC4457" s="1"/>
      <c r="AD4457" s="1"/>
      <c r="AE4457" s="1"/>
      <c r="AF4457" s="1"/>
      <c r="AG4457" s="1"/>
    </row>
    <row r="4458" ht="15.75" customHeight="1">
      <c r="A4458" s="1"/>
      <c r="B4458" s="1"/>
      <c r="C4458" s="1"/>
      <c r="D4458" s="1"/>
      <c r="E4458" s="1"/>
      <c r="F4458" s="1"/>
      <c r="G4458" s="1"/>
      <c r="H4458" s="1"/>
      <c r="I4458" s="1"/>
      <c r="J4458" s="1"/>
      <c r="K4458" s="102" t="s">
        <v>7101</v>
      </c>
      <c r="L4458" s="102" t="str">
        <f>AC549</f>
        <v>J1a2a1a2d2b2b2c4d2a2a5a1e4a6h~</v>
      </c>
      <c r="M4458" s="102" t="s">
        <v>7102</v>
      </c>
      <c r="N4458" s="102"/>
      <c r="O4458" s="105">
        <v>2.3460689E7</v>
      </c>
      <c r="P4458" s="105">
        <v>2.1298803E7</v>
      </c>
      <c r="Q4458" s="102" t="s">
        <v>2529</v>
      </c>
      <c r="S4458" s="1"/>
      <c r="T4458" s="1"/>
      <c r="U4458" s="1"/>
      <c r="V4458" s="1"/>
      <c r="W4458" s="1"/>
      <c r="X4458" s="1"/>
      <c r="Y4458" s="1"/>
      <c r="AA4458" s="102"/>
      <c r="AB4458" s="1"/>
      <c r="AC4458" s="1"/>
      <c r="AD4458" s="1"/>
      <c r="AE4458" s="1"/>
      <c r="AF4458" s="1"/>
      <c r="AG4458" s="1"/>
    </row>
    <row r="4459" ht="15.75" customHeight="1">
      <c r="A4459" s="1"/>
      <c r="B4459" s="1"/>
      <c r="C4459" s="1"/>
      <c r="D4459" s="1"/>
      <c r="E4459" s="1"/>
      <c r="F4459" s="1"/>
      <c r="G4459" s="1"/>
      <c r="H4459" s="1"/>
      <c r="I4459" s="1"/>
      <c r="J4459" s="1"/>
      <c r="K4459" s="102" t="s">
        <v>7102</v>
      </c>
      <c r="L4459" s="102" t="str">
        <f>AC549</f>
        <v>J1a2a1a2d2b2b2c4d2a2a5a1e4a6h~</v>
      </c>
      <c r="M4459" s="102" t="s">
        <v>7101</v>
      </c>
      <c r="N4459" s="102"/>
      <c r="O4459" s="105">
        <v>2.3460689E7</v>
      </c>
      <c r="P4459" s="105">
        <v>2.1298803E7</v>
      </c>
      <c r="Q4459" s="102" t="s">
        <v>2529</v>
      </c>
      <c r="S4459" s="1"/>
      <c r="T4459" s="1"/>
      <c r="U4459" s="1"/>
      <c r="V4459" s="1"/>
      <c r="W4459" s="1"/>
      <c r="X4459" s="1"/>
      <c r="Y4459" s="1"/>
      <c r="AA4459" s="102"/>
      <c r="AB4459" s="1"/>
      <c r="AC4459" s="1"/>
      <c r="AD4459" s="1"/>
      <c r="AE4459" s="1"/>
      <c r="AF4459" s="1"/>
      <c r="AG4459" s="1"/>
    </row>
    <row r="4460" ht="15.75" customHeight="1">
      <c r="A4460" s="1"/>
      <c r="B4460" s="1"/>
      <c r="C4460" s="1"/>
      <c r="D4460" s="1"/>
      <c r="E4460" s="1"/>
      <c r="F4460" s="1"/>
      <c r="G4460" s="1"/>
      <c r="H4460" s="1"/>
      <c r="I4460" s="1"/>
      <c r="J4460" s="1"/>
      <c r="K4460" s="102" t="s">
        <v>7103</v>
      </c>
      <c r="L4460" s="102" t="str">
        <f>AD550</f>
        <v>J1a2a1a2d2b2b2c4d2a2a5a1e4a6h1~</v>
      </c>
      <c r="M4460" s="102"/>
      <c r="N4460" s="102"/>
      <c r="O4460" s="105">
        <v>1.4285146E7</v>
      </c>
      <c r="P4460" s="105">
        <v>1.216444E7</v>
      </c>
      <c r="Q4460" s="102" t="s">
        <v>2501</v>
      </c>
      <c r="S4460" s="1"/>
      <c r="T4460" s="1"/>
      <c r="U4460" s="1"/>
      <c r="V4460" s="1"/>
      <c r="W4460" s="1"/>
      <c r="X4460" s="1"/>
      <c r="Y4460" s="1"/>
      <c r="AA4460" s="102"/>
      <c r="AB4460" s="1"/>
      <c r="AC4460" s="1"/>
      <c r="AD4460" s="1"/>
      <c r="AE4460" s="1"/>
      <c r="AF4460" s="1"/>
      <c r="AG4460" s="1"/>
    </row>
    <row r="4461" ht="15.75" customHeight="1">
      <c r="A4461" s="1"/>
      <c r="B4461" s="1"/>
      <c r="C4461" s="1"/>
      <c r="D4461" s="1"/>
      <c r="E4461" s="1"/>
      <c r="F4461" s="1"/>
      <c r="G4461" s="1"/>
      <c r="H4461" s="1"/>
      <c r="I4461" s="1"/>
      <c r="J4461" s="1"/>
      <c r="K4461" s="102" t="s">
        <v>7104</v>
      </c>
      <c r="L4461" s="102" t="str">
        <f>AD550</f>
        <v>J1a2a1a2d2b2b2c4d2a2a5a1e4a6h1~</v>
      </c>
      <c r="M4461" s="102"/>
      <c r="N4461" s="102"/>
      <c r="O4461" s="105">
        <v>1.4285147E7</v>
      </c>
      <c r="P4461" s="105">
        <v>1.2164441E7</v>
      </c>
      <c r="Q4461" s="102" t="s">
        <v>2432</v>
      </c>
      <c r="S4461" s="1"/>
      <c r="T4461" s="1"/>
      <c r="U4461" s="1"/>
      <c r="V4461" s="1"/>
      <c r="W4461" s="1"/>
      <c r="X4461" s="1"/>
      <c r="Y4461" s="1"/>
      <c r="AA4461" s="102"/>
      <c r="AB4461" s="1"/>
      <c r="AC4461" s="1"/>
      <c r="AD4461" s="1"/>
      <c r="AE4461" s="1"/>
      <c r="AF4461" s="1"/>
      <c r="AG4461" s="1"/>
    </row>
    <row r="4462" ht="15.75" customHeight="1">
      <c r="A4462" s="1"/>
      <c r="B4462" s="1"/>
      <c r="C4462" s="1"/>
      <c r="D4462" s="1"/>
      <c r="E4462" s="1"/>
      <c r="F4462" s="1"/>
      <c r="G4462" s="1"/>
      <c r="H4462" s="1"/>
      <c r="I4462" s="1"/>
      <c r="J4462" s="1"/>
      <c r="K4462" s="102" t="s">
        <v>7105</v>
      </c>
      <c r="L4462" s="102" t="str">
        <f>AD550</f>
        <v>J1a2a1a2d2b2b2c4d2a2a5a1e4a6h1~</v>
      </c>
      <c r="M4462" s="102"/>
      <c r="N4462" s="102"/>
      <c r="O4462" s="105">
        <v>8271536.0</v>
      </c>
      <c r="P4462" s="105">
        <v>8403495.0</v>
      </c>
      <c r="Q4462" s="102" t="s">
        <v>2529</v>
      </c>
      <c r="S4462" s="1"/>
      <c r="T4462" s="1"/>
      <c r="U4462" s="1"/>
      <c r="V4462" s="1"/>
      <c r="W4462" s="1"/>
      <c r="X4462" s="1"/>
      <c r="Y4462" s="1"/>
      <c r="AA4462" s="102"/>
      <c r="AB4462" s="1"/>
      <c r="AC4462" s="1"/>
      <c r="AD4462" s="1"/>
      <c r="AE4462" s="1"/>
      <c r="AF4462" s="1"/>
      <c r="AG4462" s="1"/>
    </row>
    <row r="4463" ht="15.75" customHeight="1">
      <c r="A4463" s="1"/>
      <c r="B4463" s="1"/>
      <c r="C4463" s="1"/>
      <c r="D4463" s="1"/>
      <c r="E4463" s="1"/>
      <c r="F4463" s="1"/>
      <c r="G4463" s="1"/>
      <c r="H4463" s="1"/>
      <c r="I4463" s="1"/>
      <c r="J4463" s="1"/>
      <c r="K4463" s="102" t="s">
        <v>7106</v>
      </c>
      <c r="L4463" s="102" t="str">
        <f>AD550</f>
        <v>J1a2a1a2d2b2b2c4d2a2a5a1e4a6h1~</v>
      </c>
      <c r="M4463" s="102"/>
      <c r="N4463" s="102"/>
      <c r="O4463" s="105">
        <v>1.4847954E7</v>
      </c>
      <c r="P4463" s="105">
        <v>1.273602E7</v>
      </c>
      <c r="Q4463" s="102" t="s">
        <v>2529</v>
      </c>
      <c r="S4463" s="1"/>
      <c r="T4463" s="1"/>
      <c r="U4463" s="1"/>
      <c r="V4463" s="1"/>
      <c r="W4463" s="1"/>
      <c r="X4463" s="1"/>
      <c r="Y4463" s="1"/>
      <c r="AA4463" s="102"/>
      <c r="AB4463" s="1"/>
      <c r="AC4463" s="1"/>
      <c r="AD4463" s="1"/>
      <c r="AE4463" s="1"/>
      <c r="AF4463" s="1"/>
      <c r="AG4463" s="1"/>
    </row>
    <row r="4464" ht="15.75" customHeight="1">
      <c r="A4464" s="1"/>
      <c r="B4464" s="1"/>
      <c r="C4464" s="1"/>
      <c r="D4464" s="1"/>
      <c r="E4464" s="1"/>
      <c r="F4464" s="1"/>
      <c r="G4464" s="1"/>
      <c r="H4464" s="1"/>
      <c r="I4464" s="1"/>
      <c r="J4464" s="1"/>
      <c r="K4464" s="102" t="s">
        <v>7107</v>
      </c>
      <c r="L4464" s="102" t="str">
        <f>AC551</f>
        <v>J1a2a1a2d2b2b2c4d2a2a5a1e4a6i~</v>
      </c>
      <c r="M4464" s="102" t="s">
        <v>7108</v>
      </c>
      <c r="N4464" s="102"/>
      <c r="O4464" s="105">
        <v>1.3834356E7</v>
      </c>
      <c r="P4464" s="105">
        <v>1.171365E7</v>
      </c>
      <c r="Q4464" s="102" t="s">
        <v>2501</v>
      </c>
      <c r="S4464" s="1"/>
      <c r="T4464" s="1"/>
      <c r="U4464" s="1"/>
      <c r="V4464" s="1"/>
      <c r="W4464" s="1"/>
      <c r="X4464" s="1"/>
      <c r="Y4464" s="1"/>
      <c r="AA4464" s="102"/>
      <c r="AB4464" s="1"/>
      <c r="AC4464" s="1"/>
      <c r="AD4464" s="1"/>
      <c r="AE4464" s="1"/>
      <c r="AF4464" s="1"/>
      <c r="AG4464" s="1"/>
    </row>
    <row r="4465" ht="15.75" customHeight="1">
      <c r="A4465" s="1"/>
      <c r="B4465" s="1"/>
      <c r="C4465" s="1"/>
      <c r="D4465" s="1"/>
      <c r="E4465" s="1"/>
      <c r="F4465" s="1"/>
      <c r="G4465" s="1"/>
      <c r="H4465" s="1"/>
      <c r="I4465" s="1"/>
      <c r="J4465" s="1"/>
      <c r="K4465" s="102" t="s">
        <v>7109</v>
      </c>
      <c r="L4465" s="102" t="str">
        <f>AC551</f>
        <v>J1a2a1a2d2b2b2c4d2a2a5a1e4a6i~</v>
      </c>
      <c r="M4465" s="102" t="s">
        <v>7110</v>
      </c>
      <c r="N4465" s="102"/>
      <c r="O4465" s="105">
        <v>1.3834356E7</v>
      </c>
      <c r="P4465" s="105">
        <v>1.171365E7</v>
      </c>
      <c r="Q4465" s="102" t="s">
        <v>2501</v>
      </c>
      <c r="S4465" s="1"/>
      <c r="T4465" s="1"/>
      <c r="U4465" s="1"/>
      <c r="V4465" s="1"/>
      <c r="W4465" s="1"/>
      <c r="X4465" s="1"/>
      <c r="Y4465" s="1"/>
      <c r="AA4465" s="102"/>
      <c r="AB4465" s="1"/>
      <c r="AC4465" s="1"/>
      <c r="AD4465" s="1"/>
      <c r="AE4465" s="1"/>
      <c r="AF4465" s="1"/>
      <c r="AG4465" s="1"/>
    </row>
    <row r="4466" ht="15.75" customHeight="1">
      <c r="A4466" s="1"/>
      <c r="B4466" s="1"/>
      <c r="C4466" s="1"/>
      <c r="D4466" s="1"/>
      <c r="E4466" s="1"/>
      <c r="F4466" s="1"/>
      <c r="G4466" s="1"/>
      <c r="H4466" s="1"/>
      <c r="I4466" s="1"/>
      <c r="J4466" s="1"/>
      <c r="K4466" s="102" t="s">
        <v>7111</v>
      </c>
      <c r="L4466" s="102" t="str">
        <f>AC551</f>
        <v>J1a2a1a2d2b2b2c4d2a2a5a1e4a6i~</v>
      </c>
      <c r="M4466" s="102" t="s">
        <v>7112</v>
      </c>
      <c r="N4466" s="102"/>
      <c r="O4466" s="105">
        <v>1.3834356E7</v>
      </c>
      <c r="P4466" s="105">
        <v>1.171365E7</v>
      </c>
      <c r="Q4466" s="102" t="s">
        <v>2501</v>
      </c>
      <c r="S4466" s="1"/>
      <c r="T4466" s="1"/>
      <c r="U4466" s="1"/>
      <c r="V4466" s="1"/>
      <c r="W4466" s="1"/>
      <c r="X4466" s="1"/>
      <c r="Y4466" s="1"/>
      <c r="AA4466" s="102"/>
      <c r="AB4466" s="1"/>
      <c r="AC4466" s="1"/>
      <c r="AD4466" s="1"/>
      <c r="AE4466" s="1"/>
      <c r="AF4466" s="1"/>
      <c r="AG4466" s="1"/>
    </row>
    <row r="4467" ht="15.75" customHeight="1">
      <c r="A4467" s="1"/>
      <c r="B4467" s="1"/>
      <c r="C4467" s="1"/>
      <c r="D4467" s="1"/>
      <c r="E4467" s="1"/>
      <c r="F4467" s="1"/>
      <c r="G4467" s="1"/>
      <c r="H4467" s="1"/>
      <c r="I4467" s="1"/>
      <c r="J4467" s="1"/>
      <c r="K4467" s="102" t="s">
        <v>7113</v>
      </c>
      <c r="L4467" s="102" t="str">
        <f>AD552</f>
        <v>J1a2a1a2d2b2b2c4d2a2a5a1e4a6i1~</v>
      </c>
      <c r="M4467" s="102" t="s">
        <v>7114</v>
      </c>
      <c r="N4467" s="102" t="s">
        <v>7115</v>
      </c>
      <c r="O4467" s="105">
        <v>7395818.0</v>
      </c>
      <c r="P4467" s="105">
        <v>7527777.0</v>
      </c>
      <c r="Q4467" s="102" t="s">
        <v>2529</v>
      </c>
      <c r="S4467" s="1"/>
      <c r="T4467" s="1"/>
      <c r="U4467" s="1"/>
      <c r="V4467" s="1"/>
      <c r="W4467" s="1"/>
      <c r="X4467" s="1"/>
      <c r="Y4467" s="1"/>
      <c r="AA4467" s="102"/>
      <c r="AB4467" s="1"/>
      <c r="AC4467" s="1"/>
      <c r="AD4467" s="1"/>
      <c r="AE4467" s="1"/>
      <c r="AF4467" s="1"/>
      <c r="AG4467" s="1"/>
    </row>
    <row r="4468" ht="15.75" customHeight="1">
      <c r="A4468" s="1"/>
      <c r="B4468" s="1"/>
      <c r="C4468" s="1"/>
      <c r="D4468" s="1"/>
      <c r="E4468" s="1"/>
      <c r="F4468" s="1"/>
      <c r="G4468" s="1"/>
      <c r="H4468" s="1"/>
      <c r="I4468" s="1"/>
      <c r="J4468" s="1"/>
      <c r="K4468" s="102" t="s">
        <v>7114</v>
      </c>
      <c r="L4468" s="102" t="str">
        <f>AD552</f>
        <v>J1a2a1a2d2b2b2c4d2a2a5a1e4a6i1~</v>
      </c>
      <c r="M4468" s="102" t="s">
        <v>7113</v>
      </c>
      <c r="N4468" s="102" t="s">
        <v>7115</v>
      </c>
      <c r="O4468" s="105">
        <v>7395818.0</v>
      </c>
      <c r="P4468" s="105">
        <v>7527777.0</v>
      </c>
      <c r="Q4468" s="102" t="s">
        <v>2529</v>
      </c>
      <c r="S4468" s="1"/>
      <c r="T4468" s="1"/>
      <c r="U4468" s="1"/>
      <c r="V4468" s="1"/>
      <c r="W4468" s="1"/>
      <c r="X4468" s="1"/>
      <c r="Y4468" s="1"/>
      <c r="AA4468" s="102"/>
      <c r="AB4468" s="1"/>
      <c r="AC4468" s="1"/>
      <c r="AD4468" s="1"/>
      <c r="AE4468" s="1"/>
      <c r="AF4468" s="1"/>
      <c r="AG4468" s="1"/>
    </row>
    <row r="4469" ht="15.75" customHeight="1">
      <c r="A4469" s="1"/>
      <c r="B4469" s="1"/>
      <c r="C4469" s="1"/>
      <c r="D4469" s="1"/>
      <c r="E4469" s="1"/>
      <c r="F4469" s="1"/>
      <c r="G4469" s="1"/>
      <c r="H4469" s="1"/>
      <c r="I4469" s="1"/>
      <c r="J4469" s="1"/>
      <c r="K4469" s="102" t="s">
        <v>7116</v>
      </c>
      <c r="L4469" s="102" t="str">
        <f>AD552</f>
        <v>J1a2a1a2d2b2b2c4d2a2a5a1e4a6i1~</v>
      </c>
      <c r="M4469" s="102"/>
      <c r="N4469" s="102"/>
      <c r="O4469" s="105">
        <v>1.5204735E7</v>
      </c>
      <c r="P4469" s="105">
        <v>1.3092821E7</v>
      </c>
      <c r="Q4469" s="102" t="s">
        <v>2468</v>
      </c>
      <c r="S4469" s="1"/>
      <c r="T4469" s="1"/>
      <c r="U4469" s="1"/>
      <c r="V4469" s="1"/>
      <c r="W4469" s="1"/>
      <c r="X4469" s="1"/>
      <c r="Y4469" s="1"/>
      <c r="AA4469" s="102"/>
      <c r="AB4469" s="1"/>
      <c r="AC4469" s="1"/>
      <c r="AD4469" s="1"/>
      <c r="AE4469" s="1"/>
      <c r="AF4469" s="1"/>
      <c r="AG4469" s="1"/>
    </row>
    <row r="4470" ht="15.75" customHeight="1">
      <c r="A4470" s="1"/>
      <c r="B4470" s="1"/>
      <c r="C4470" s="1"/>
      <c r="D4470" s="1"/>
      <c r="E4470" s="1"/>
      <c r="F4470" s="1"/>
      <c r="G4470" s="1"/>
      <c r="H4470" s="1"/>
      <c r="I4470" s="1"/>
      <c r="J4470" s="1"/>
      <c r="K4470" s="106" t="s">
        <v>1073</v>
      </c>
      <c r="L4470" s="102" t="str">
        <f>AE553</f>
        <v>J1a2a1a2d2b2b2c4d2a2a5a1e4a6i1a~</v>
      </c>
      <c r="M4470" s="102"/>
      <c r="N4470" s="102"/>
      <c r="O4470" s="111">
        <v>1.7010467E7</v>
      </c>
      <c r="P4470" s="111">
        <v>1.4898587E7</v>
      </c>
      <c r="Q4470" s="112" t="s">
        <v>2423</v>
      </c>
      <c r="S4470" s="1"/>
      <c r="T4470" s="1"/>
      <c r="U4470" s="1"/>
      <c r="V4470" s="1"/>
      <c r="W4470" s="1"/>
      <c r="X4470" s="1"/>
      <c r="Y4470" s="1"/>
      <c r="AA4470" s="102"/>
      <c r="AB4470" s="1"/>
      <c r="AC4470" s="1"/>
      <c r="AD4470" s="1"/>
      <c r="AE4470" s="1"/>
      <c r="AF4470" s="1"/>
      <c r="AG4470" s="1"/>
    </row>
    <row r="4471" ht="15.75" customHeight="1">
      <c r="A4471" s="1"/>
      <c r="B4471" s="1"/>
      <c r="C4471" s="1"/>
      <c r="D4471" s="1"/>
      <c r="E4471" s="1"/>
      <c r="F4471" s="1"/>
      <c r="G4471" s="1"/>
      <c r="H4471" s="1"/>
      <c r="I4471" s="1"/>
      <c r="J4471" s="1"/>
      <c r="K4471" s="102" t="s">
        <v>7117</v>
      </c>
      <c r="L4471" s="102" t="str">
        <f>AF554</f>
        <v>J1a2a1a2d2b2b2c4d2a2a5a1e4a6i1a1~</v>
      </c>
      <c r="M4471" s="102"/>
      <c r="N4471" s="102"/>
      <c r="O4471" s="105">
        <v>6931848.0</v>
      </c>
      <c r="P4471" s="105">
        <v>7063807.0</v>
      </c>
      <c r="Q4471" s="102" t="s">
        <v>2501</v>
      </c>
      <c r="S4471" s="1"/>
      <c r="T4471" s="1"/>
      <c r="U4471" s="1"/>
      <c r="V4471" s="1"/>
      <c r="W4471" s="1"/>
      <c r="X4471" s="1"/>
      <c r="Y4471" s="1"/>
      <c r="AA4471" s="102"/>
      <c r="AB4471" s="1"/>
      <c r="AC4471" s="1"/>
      <c r="AD4471" s="1"/>
      <c r="AE4471" s="1"/>
      <c r="AF4471" s="1"/>
      <c r="AG4471" s="1"/>
    </row>
    <row r="4472" ht="15.75" customHeight="1">
      <c r="A4472" s="1"/>
      <c r="B4472" s="1"/>
      <c r="C4472" s="1"/>
      <c r="D4472" s="1"/>
      <c r="E4472" s="1"/>
      <c r="F4472" s="1"/>
      <c r="G4472" s="1"/>
      <c r="H4472" s="1"/>
      <c r="I4472" s="1"/>
      <c r="J4472" s="1"/>
      <c r="K4472" s="102" t="s">
        <v>7118</v>
      </c>
      <c r="L4472" s="102" t="str">
        <f>AF554</f>
        <v>J1a2a1a2d2b2b2c4d2a2a5a1e4a6i1a1~</v>
      </c>
      <c r="M4472" s="102"/>
      <c r="N4472" s="102"/>
      <c r="O4472" s="105">
        <v>1.9273744E7</v>
      </c>
      <c r="P4472" s="105">
        <v>1.7161864E7</v>
      </c>
      <c r="Q4472" s="102" t="s">
        <v>2514</v>
      </c>
      <c r="S4472" s="1"/>
      <c r="T4472" s="1"/>
      <c r="U4472" s="1"/>
      <c r="V4472" s="1"/>
      <c r="W4472" s="1"/>
      <c r="X4472" s="1"/>
      <c r="Y4472" s="1"/>
      <c r="AA4472" s="102"/>
      <c r="AB4472" s="1"/>
      <c r="AC4472" s="1"/>
      <c r="AD4472" s="1"/>
      <c r="AE4472" s="1"/>
      <c r="AF4472" s="1"/>
      <c r="AG4472" s="1"/>
    </row>
    <row r="4473" ht="15.75" customHeight="1">
      <c r="A4473" s="1"/>
      <c r="B4473" s="1"/>
      <c r="C4473" s="1"/>
      <c r="D4473" s="1"/>
      <c r="E4473" s="1"/>
      <c r="F4473" s="1"/>
      <c r="G4473" s="1"/>
      <c r="H4473" s="1"/>
      <c r="I4473" s="1"/>
      <c r="J4473" s="1"/>
      <c r="K4473" s="102" t="s">
        <v>7119</v>
      </c>
      <c r="L4473" s="102" t="str">
        <f>AE555</f>
        <v>J1a2a1a2d2b2b2c4d2a2a5a1e4a6i1b~</v>
      </c>
      <c r="M4473" s="102"/>
      <c r="N4473" s="102"/>
      <c r="O4473" s="105">
        <v>8447903.0</v>
      </c>
      <c r="P4473" s="105">
        <v>8579862.0</v>
      </c>
      <c r="Q4473" s="102" t="s">
        <v>2501</v>
      </c>
      <c r="S4473" s="1"/>
      <c r="T4473" s="1"/>
      <c r="U4473" s="1"/>
      <c r="V4473" s="1"/>
      <c r="W4473" s="1"/>
      <c r="X4473" s="1"/>
      <c r="Y4473" s="1"/>
      <c r="AA4473" s="102"/>
      <c r="AB4473" s="1"/>
      <c r="AC4473" s="1"/>
      <c r="AD4473" s="1"/>
      <c r="AE4473" s="1"/>
      <c r="AF4473" s="1"/>
      <c r="AG4473" s="1"/>
    </row>
    <row r="4474" ht="15.75" customHeight="1">
      <c r="A4474" s="1"/>
      <c r="B4474" s="1"/>
      <c r="C4474" s="1"/>
      <c r="D4474" s="1"/>
      <c r="E4474" s="1"/>
      <c r="F4474" s="1"/>
      <c r="G4474" s="1"/>
      <c r="H4474" s="1"/>
      <c r="I4474" s="1"/>
      <c r="J4474" s="1"/>
      <c r="K4474" s="102" t="s">
        <v>7120</v>
      </c>
      <c r="L4474" s="102" t="str">
        <f>AE555</f>
        <v>J1a2a1a2d2b2b2c4d2a2a5a1e4a6i1b~</v>
      </c>
      <c r="M4474" s="102"/>
      <c r="N4474" s="102"/>
      <c r="O4474" s="105">
        <v>9129833.0</v>
      </c>
      <c r="P4474" s="105">
        <v>9292224.0</v>
      </c>
      <c r="Q4474" s="102" t="s">
        <v>2514</v>
      </c>
      <c r="S4474" s="1"/>
      <c r="T4474" s="1"/>
      <c r="U4474" s="1"/>
      <c r="V4474" s="1"/>
      <c r="W4474" s="1"/>
      <c r="X4474" s="1"/>
      <c r="Y4474" s="1"/>
      <c r="AA4474" s="102"/>
      <c r="AB4474" s="1"/>
      <c r="AC4474" s="1"/>
      <c r="AD4474" s="1"/>
      <c r="AE4474" s="1"/>
      <c r="AF4474" s="1"/>
      <c r="AG4474" s="1"/>
    </row>
    <row r="4475" ht="15.75" customHeight="1">
      <c r="A4475" s="1"/>
      <c r="B4475" s="1"/>
      <c r="C4475" s="1"/>
      <c r="D4475" s="1"/>
      <c r="E4475" s="1"/>
      <c r="F4475" s="1"/>
      <c r="G4475" s="1"/>
      <c r="H4475" s="1"/>
      <c r="I4475" s="1"/>
      <c r="J4475" s="1"/>
      <c r="K4475" s="102" t="s">
        <v>7121</v>
      </c>
      <c r="L4475" s="102" t="str">
        <f>AE555</f>
        <v>J1a2a1a2d2b2b2c4d2a2a5a1e4a6i1b~</v>
      </c>
      <c r="M4475" s="102"/>
      <c r="N4475" s="102"/>
      <c r="O4475" s="105">
        <v>2.3164467E7</v>
      </c>
      <c r="P4475" s="105">
        <v>2.1002581E7</v>
      </c>
      <c r="Q4475" s="102" t="s">
        <v>2576</v>
      </c>
      <c r="S4475" s="1"/>
      <c r="T4475" s="1"/>
      <c r="U4475" s="1"/>
      <c r="V4475" s="1"/>
      <c r="W4475" s="1"/>
      <c r="X4475" s="1"/>
      <c r="Y4475" s="1"/>
      <c r="AA4475" s="102"/>
      <c r="AB4475" s="1"/>
      <c r="AC4475" s="1"/>
      <c r="AD4475" s="1"/>
      <c r="AE4475" s="1"/>
      <c r="AF4475" s="1"/>
      <c r="AG4475" s="1"/>
    </row>
    <row r="4476" ht="15.75" customHeight="1">
      <c r="A4476" s="1"/>
      <c r="B4476" s="1"/>
      <c r="C4476" s="1"/>
      <c r="D4476" s="1"/>
      <c r="E4476" s="1"/>
      <c r="F4476" s="1"/>
      <c r="G4476" s="1"/>
      <c r="H4476" s="1"/>
      <c r="I4476" s="1"/>
      <c r="J4476" s="1"/>
      <c r="K4476" s="102" t="s">
        <v>7122</v>
      </c>
      <c r="L4476" s="102" t="str">
        <f>AD556</f>
        <v>J1a2a1a2d2b2b2c4d2a2a5a1e4a6i2~</v>
      </c>
      <c r="M4476" s="102"/>
      <c r="N4476" s="102" t="s">
        <v>7123</v>
      </c>
      <c r="O4476" s="105">
        <v>2.3789503E7</v>
      </c>
      <c r="P4476" s="105">
        <v>2.1627617E7</v>
      </c>
      <c r="Q4476" s="102" t="s">
        <v>2446</v>
      </c>
      <c r="S4476" s="1"/>
      <c r="T4476" s="1"/>
      <c r="U4476" s="1"/>
      <c r="V4476" s="1"/>
      <c r="W4476" s="1"/>
      <c r="X4476" s="1"/>
      <c r="Y4476" s="1"/>
      <c r="AA4476" s="102"/>
      <c r="AB4476" s="1"/>
      <c r="AC4476" s="1"/>
      <c r="AD4476" s="1"/>
      <c r="AE4476" s="1"/>
      <c r="AF4476" s="1"/>
      <c r="AG4476" s="1"/>
    </row>
    <row r="4477" ht="15.75" customHeight="1">
      <c r="A4477" s="1"/>
      <c r="B4477" s="1"/>
      <c r="C4477" s="1"/>
      <c r="D4477" s="1"/>
      <c r="E4477" s="1"/>
      <c r="F4477" s="1"/>
      <c r="G4477" s="1"/>
      <c r="H4477" s="1"/>
      <c r="I4477" s="1"/>
      <c r="J4477" s="1"/>
      <c r="K4477" s="102" t="s">
        <v>7124</v>
      </c>
      <c r="L4477" s="102" t="str">
        <f>AD556</f>
        <v>J1a2a1a2d2b2b2c4d2a2a5a1e4a6i2~</v>
      </c>
      <c r="M4477" s="102"/>
      <c r="N4477" s="102"/>
      <c r="O4477" s="105">
        <v>8728521.0</v>
      </c>
      <c r="P4477" s="105">
        <v>8860480.0</v>
      </c>
      <c r="Q4477" s="102" t="s">
        <v>2468</v>
      </c>
      <c r="S4477" s="1"/>
      <c r="T4477" s="1"/>
      <c r="U4477" s="1"/>
      <c r="V4477" s="1"/>
      <c r="W4477" s="1"/>
      <c r="X4477" s="1"/>
      <c r="Y4477" s="1"/>
      <c r="AA4477" s="102"/>
      <c r="AB4477" s="1"/>
      <c r="AC4477" s="1"/>
      <c r="AD4477" s="1"/>
      <c r="AE4477" s="1"/>
      <c r="AF4477" s="1"/>
      <c r="AG4477" s="1"/>
    </row>
    <row r="4478" ht="15.75" customHeight="1">
      <c r="A4478" s="1"/>
      <c r="B4478" s="1"/>
      <c r="C4478" s="1"/>
      <c r="D4478" s="1"/>
      <c r="E4478" s="1"/>
      <c r="F4478" s="1"/>
      <c r="G4478" s="1"/>
      <c r="H4478" s="1"/>
      <c r="I4478" s="1"/>
      <c r="J4478" s="1"/>
      <c r="K4478" s="102" t="s">
        <v>7125</v>
      </c>
      <c r="L4478" s="102" t="str">
        <f>AD556</f>
        <v>J1a2a1a2d2b2b2c4d2a2a5a1e4a6i2~</v>
      </c>
      <c r="M4478" s="102"/>
      <c r="N4478" s="102"/>
      <c r="O4478" s="105">
        <v>8764686.0</v>
      </c>
      <c r="P4478" s="105">
        <v>8896645.0</v>
      </c>
      <c r="Q4478" s="102" t="s">
        <v>2501</v>
      </c>
      <c r="S4478" s="1"/>
      <c r="T4478" s="1"/>
      <c r="U4478" s="1"/>
      <c r="V4478" s="1"/>
      <c r="W4478" s="1"/>
      <c r="X4478" s="1"/>
      <c r="Y4478" s="1"/>
      <c r="AA4478" s="102"/>
      <c r="AB4478" s="1"/>
      <c r="AC4478" s="1"/>
      <c r="AD4478" s="1"/>
      <c r="AE4478" s="1"/>
      <c r="AF4478" s="1"/>
      <c r="AG4478" s="1"/>
    </row>
    <row r="4479" ht="15.75" customHeight="1">
      <c r="A4479" s="1"/>
      <c r="B4479" s="1"/>
      <c r="C4479" s="1"/>
      <c r="D4479" s="1"/>
      <c r="E4479" s="1"/>
      <c r="F4479" s="1"/>
      <c r="G4479" s="1"/>
      <c r="H4479" s="1"/>
      <c r="I4479" s="1"/>
      <c r="J4479" s="1"/>
      <c r="K4479" s="102" t="s">
        <v>7126</v>
      </c>
      <c r="L4479" s="102" t="str">
        <f>AD556</f>
        <v>J1a2a1a2d2b2b2c4d2a2a5a1e4a6i2~</v>
      </c>
      <c r="M4479" s="102"/>
      <c r="N4479" s="102" t="s">
        <v>7127</v>
      </c>
      <c r="O4479" s="105">
        <v>1.6235793E7</v>
      </c>
      <c r="P4479" s="105">
        <v>1.4123913E7</v>
      </c>
      <c r="Q4479" s="102" t="s">
        <v>2501</v>
      </c>
      <c r="S4479" s="1"/>
      <c r="T4479" s="1"/>
      <c r="U4479" s="1"/>
      <c r="V4479" s="1"/>
      <c r="W4479" s="1"/>
      <c r="X4479" s="1"/>
      <c r="Y4479" s="1"/>
      <c r="AA4479" s="102"/>
      <c r="AB4479" s="1"/>
      <c r="AC4479" s="1"/>
      <c r="AD4479" s="1"/>
      <c r="AE4479" s="1"/>
      <c r="AF4479" s="1"/>
      <c r="AG4479" s="1"/>
    </row>
    <row r="4480" ht="15.75" customHeight="1">
      <c r="A4480" s="1"/>
      <c r="B4480" s="1"/>
      <c r="C4480" s="1"/>
      <c r="D4480" s="1"/>
      <c r="E4480" s="1"/>
      <c r="F4480" s="1"/>
      <c r="G4480" s="1"/>
      <c r="H4480" s="1"/>
      <c r="I4480" s="1"/>
      <c r="J4480" s="1"/>
      <c r="K4480" s="106" t="s">
        <v>7128</v>
      </c>
      <c r="L4480" s="102" t="str">
        <f>AD556</f>
        <v>J1a2a1a2d2b2b2c4d2a2a5a1e4a6i2~</v>
      </c>
      <c r="M4480" s="102"/>
      <c r="N4480" s="102"/>
      <c r="O4480" s="109">
        <v>2.1879463E7</v>
      </c>
      <c r="P4480" s="109">
        <v>1.9717577E7</v>
      </c>
      <c r="Q4480" s="106" t="s">
        <v>2514</v>
      </c>
      <c r="S4480" s="1"/>
      <c r="T4480" s="1"/>
      <c r="U4480" s="1"/>
      <c r="V4480" s="1"/>
      <c r="W4480" s="1"/>
      <c r="X4480" s="1"/>
      <c r="Y4480" s="1"/>
      <c r="AA4480" s="102"/>
      <c r="AB4480" s="1"/>
      <c r="AC4480" s="1"/>
      <c r="AD4480" s="1"/>
      <c r="AE4480" s="1"/>
      <c r="AF4480" s="1"/>
      <c r="AG4480" s="1"/>
    </row>
    <row r="4481" ht="15.75" customHeight="1">
      <c r="A4481" s="1"/>
      <c r="B4481" s="1"/>
      <c r="C4481" s="1"/>
      <c r="D4481" s="1"/>
      <c r="E4481" s="1"/>
      <c r="F4481" s="1"/>
      <c r="G4481" s="1"/>
      <c r="H4481" s="1"/>
      <c r="I4481" s="1"/>
      <c r="J4481" s="1"/>
      <c r="K4481" s="102" t="s">
        <v>1081</v>
      </c>
      <c r="L4481" s="102" t="str">
        <f t="shared" ref="L4481:L4482" si="88">AE557</f>
        <v>J1a2a1a2d2b2b2c4d2a2a5a1e4a6i2a~</v>
      </c>
      <c r="M4481" s="102"/>
      <c r="N4481" s="102"/>
      <c r="O4481" s="105">
        <v>8655894.0</v>
      </c>
      <c r="P4481" s="105">
        <v>8787853.0</v>
      </c>
      <c r="Q4481" s="102" t="s">
        <v>2446</v>
      </c>
      <c r="S4481" s="1"/>
      <c r="T4481" s="1"/>
      <c r="U4481" s="1"/>
      <c r="V4481" s="1"/>
      <c r="W4481" s="1"/>
      <c r="X4481" s="1"/>
      <c r="Y4481" s="1"/>
      <c r="AA4481" s="102"/>
      <c r="AB4481" s="1"/>
      <c r="AC4481" s="1"/>
      <c r="AD4481" s="1"/>
      <c r="AE4481" s="1"/>
      <c r="AF4481" s="1"/>
      <c r="AG4481" s="1"/>
    </row>
    <row r="4482" ht="15.75" customHeight="1">
      <c r="A4482" s="1"/>
      <c r="B4482" s="1"/>
      <c r="C4482" s="1"/>
      <c r="D4482" s="1"/>
      <c r="E4482" s="1"/>
      <c r="F4482" s="1"/>
      <c r="G4482" s="1"/>
      <c r="H4482" s="1"/>
      <c r="I4482" s="1"/>
      <c r="J4482" s="1"/>
      <c r="K4482" s="102" t="s">
        <v>1083</v>
      </c>
      <c r="L4482" s="102" t="str">
        <f t="shared" si="88"/>
        <v>J1a2a1a2d2b2b2c4d2a2a5a1e4a6i2b~</v>
      </c>
      <c r="M4482" s="102"/>
      <c r="N4482" s="102"/>
      <c r="O4482" s="105">
        <v>7074830.0</v>
      </c>
      <c r="P4482" s="105">
        <v>7206789.0</v>
      </c>
      <c r="Q4482" s="102" t="s">
        <v>2514</v>
      </c>
      <c r="S4482" s="1"/>
      <c r="T4482" s="1"/>
      <c r="U4482" s="1"/>
      <c r="V4482" s="1"/>
      <c r="W4482" s="1"/>
      <c r="X4482" s="1"/>
      <c r="Y4482" s="1"/>
      <c r="AA4482" s="102"/>
      <c r="AB4482" s="1"/>
      <c r="AC4482" s="1"/>
      <c r="AD4482" s="1"/>
      <c r="AE4482" s="1"/>
      <c r="AF4482" s="1"/>
      <c r="AG4482" s="1"/>
    </row>
    <row r="4483" ht="15.75" customHeight="1">
      <c r="A4483" s="1"/>
      <c r="B4483" s="1"/>
      <c r="C4483" s="1"/>
      <c r="D4483" s="1"/>
      <c r="E4483" s="1"/>
      <c r="F4483" s="1"/>
      <c r="G4483" s="1"/>
      <c r="H4483" s="1"/>
      <c r="I4483" s="1"/>
      <c r="J4483" s="1"/>
      <c r="K4483" s="102" t="s">
        <v>1085</v>
      </c>
      <c r="L4483" s="102" t="str">
        <f>AD559</f>
        <v>J1a2a1a2d2b2b2c4d2a2a5a1e4a6i3~</v>
      </c>
      <c r="M4483" s="102"/>
      <c r="N4483" s="102"/>
      <c r="O4483" s="105">
        <v>1.4370567E7</v>
      </c>
      <c r="P4483" s="105">
        <v>1.2249863E7</v>
      </c>
      <c r="Q4483" s="102" t="s">
        <v>2529</v>
      </c>
      <c r="S4483" s="1"/>
      <c r="T4483" s="1"/>
      <c r="U4483" s="1"/>
      <c r="V4483" s="1"/>
      <c r="W4483" s="1"/>
      <c r="X4483" s="1"/>
      <c r="Y4483" s="1"/>
      <c r="AA4483" s="102"/>
      <c r="AB4483" s="1"/>
      <c r="AC4483" s="1"/>
      <c r="AD4483" s="1"/>
      <c r="AE4483" s="1"/>
      <c r="AF4483" s="1"/>
      <c r="AG4483" s="1"/>
    </row>
    <row r="4484" ht="15.75" customHeight="1">
      <c r="A4484" s="1"/>
      <c r="B4484" s="1"/>
      <c r="C4484" s="1"/>
      <c r="D4484" s="1"/>
      <c r="E4484" s="1"/>
      <c r="F4484" s="1"/>
      <c r="G4484" s="1"/>
      <c r="H4484" s="1"/>
      <c r="I4484" s="1"/>
      <c r="J4484" s="1"/>
      <c r="K4484" s="102" t="s">
        <v>7129</v>
      </c>
      <c r="L4484" s="102" t="str">
        <f>AE560</f>
        <v>J1a2a1a2d2b2b2c4d2a2a5a1e4a6i3a~</v>
      </c>
      <c r="M4484" s="102"/>
      <c r="N4484" s="102"/>
      <c r="O4484" s="105">
        <v>1.3659124E7</v>
      </c>
      <c r="P4484" s="105">
        <v>1.1503448E7</v>
      </c>
      <c r="Q4484" s="102" t="s">
        <v>2533</v>
      </c>
      <c r="S4484" s="1"/>
      <c r="T4484" s="1"/>
      <c r="U4484" s="1"/>
      <c r="V4484" s="1"/>
      <c r="W4484" s="1"/>
      <c r="X4484" s="1"/>
      <c r="Y4484" s="1"/>
      <c r="AA4484" s="102"/>
      <c r="AB4484" s="1"/>
      <c r="AC4484" s="1"/>
      <c r="AD4484" s="1"/>
      <c r="AE4484" s="1"/>
      <c r="AF4484" s="1"/>
      <c r="AG4484" s="1"/>
    </row>
    <row r="4485" ht="15.75" customHeight="1">
      <c r="A4485" s="1"/>
      <c r="B4485" s="1"/>
      <c r="C4485" s="1"/>
      <c r="D4485" s="1"/>
      <c r="E4485" s="1"/>
      <c r="F4485" s="1"/>
      <c r="G4485" s="1"/>
      <c r="H4485" s="1"/>
      <c r="I4485" s="1"/>
      <c r="J4485" s="1"/>
      <c r="K4485" s="102" t="s">
        <v>7130</v>
      </c>
      <c r="L4485" s="102" t="str">
        <f>AE560</f>
        <v>J1a2a1a2d2b2b2c4d2a2a5a1e4a6i3a~</v>
      </c>
      <c r="M4485" s="102"/>
      <c r="N4485" s="102"/>
      <c r="O4485" s="105">
        <v>1.6868268E7</v>
      </c>
      <c r="P4485" s="105">
        <v>1.4756388E7</v>
      </c>
      <c r="Q4485" s="102" t="s">
        <v>2514</v>
      </c>
      <c r="S4485" s="1"/>
      <c r="T4485" s="1"/>
      <c r="U4485" s="1"/>
      <c r="V4485" s="1"/>
      <c r="W4485" s="1"/>
      <c r="X4485" s="1"/>
      <c r="Y4485" s="1"/>
      <c r="AA4485" s="102"/>
      <c r="AB4485" s="1"/>
      <c r="AC4485" s="1"/>
      <c r="AD4485" s="1"/>
      <c r="AE4485" s="1"/>
      <c r="AF4485" s="1"/>
      <c r="AG4485" s="1"/>
    </row>
    <row r="4486" ht="15.75" customHeight="1">
      <c r="A4486" s="1"/>
      <c r="B4486" s="1"/>
      <c r="C4486" s="1"/>
      <c r="D4486" s="1"/>
      <c r="E4486" s="1"/>
      <c r="F4486" s="1"/>
      <c r="G4486" s="1"/>
      <c r="H4486" s="1"/>
      <c r="I4486" s="1"/>
      <c r="J4486" s="1"/>
      <c r="K4486" s="102" t="s">
        <v>7131</v>
      </c>
      <c r="L4486" s="102" t="str">
        <f t="shared" ref="L4486:L4487" si="89">AE560</f>
        <v>J1a2a1a2d2b2b2c4d2a2a5a1e4a6i3a~</v>
      </c>
      <c r="M4486" s="102"/>
      <c r="N4486" s="102"/>
      <c r="O4486" s="105">
        <v>2.144164E7</v>
      </c>
      <c r="P4486" s="105">
        <v>1.9279754E7</v>
      </c>
      <c r="Q4486" s="102" t="s">
        <v>2454</v>
      </c>
      <c r="S4486" s="1"/>
      <c r="T4486" s="1"/>
      <c r="U4486" s="1"/>
      <c r="V4486" s="1"/>
      <c r="W4486" s="1"/>
      <c r="X4486" s="1"/>
      <c r="Y4486" s="1"/>
      <c r="AA4486" s="102"/>
      <c r="AB4486" s="1"/>
      <c r="AC4486" s="1"/>
      <c r="AD4486" s="1"/>
      <c r="AE4486" s="1"/>
      <c r="AF4486" s="1"/>
      <c r="AG4486" s="1"/>
    </row>
    <row r="4487" ht="15.75" customHeight="1">
      <c r="A4487" s="1"/>
      <c r="B4487" s="1"/>
      <c r="C4487" s="1"/>
      <c r="D4487" s="1"/>
      <c r="E4487" s="1"/>
      <c r="F4487" s="1"/>
      <c r="G4487" s="1"/>
      <c r="H4487" s="1"/>
      <c r="I4487" s="1"/>
      <c r="J4487" s="1"/>
      <c r="K4487" s="102" t="s">
        <v>7132</v>
      </c>
      <c r="L4487" s="102" t="str">
        <f t="shared" si="89"/>
        <v>J1a2a1a2d2b2b2c4d2a2a5a1e4a6i3b~</v>
      </c>
      <c r="M4487" s="102"/>
      <c r="N4487" s="102"/>
      <c r="O4487" s="105">
        <v>7406382.0</v>
      </c>
      <c r="P4487" s="105">
        <v>7538341.0</v>
      </c>
      <c r="Q4487" s="102" t="s">
        <v>2501</v>
      </c>
      <c r="S4487" s="1"/>
      <c r="T4487" s="1"/>
      <c r="U4487" s="1"/>
      <c r="V4487" s="1"/>
      <c r="W4487" s="1"/>
      <c r="X4487" s="1"/>
      <c r="Y4487" s="1"/>
      <c r="AA4487" s="102"/>
      <c r="AB4487" s="1"/>
      <c r="AC4487" s="1"/>
      <c r="AD4487" s="1"/>
      <c r="AE4487" s="1"/>
      <c r="AF4487" s="1"/>
      <c r="AG4487" s="1"/>
    </row>
    <row r="4488" ht="15.75" customHeight="1">
      <c r="A4488" s="1"/>
      <c r="B4488" s="1"/>
      <c r="C4488" s="1"/>
      <c r="D4488" s="1"/>
      <c r="E4488" s="1"/>
      <c r="F4488" s="1"/>
      <c r="G4488" s="1"/>
      <c r="H4488" s="1"/>
      <c r="I4488" s="1"/>
      <c r="J4488" s="1"/>
      <c r="K4488" s="102" t="s">
        <v>7133</v>
      </c>
      <c r="L4488" s="102" t="str">
        <f>AE561</f>
        <v>J1a2a1a2d2b2b2c4d2a2a5a1e4a6i3b~</v>
      </c>
      <c r="M4488" s="102"/>
      <c r="N4488" s="102"/>
      <c r="O4488" s="105">
        <v>8376844.0</v>
      </c>
      <c r="P4488" s="105">
        <v>8508803.0</v>
      </c>
      <c r="Q4488" s="102" t="s">
        <v>2439</v>
      </c>
      <c r="S4488" s="1"/>
      <c r="T4488" s="1"/>
      <c r="U4488" s="1"/>
      <c r="V4488" s="1"/>
      <c r="W4488" s="1"/>
      <c r="X4488" s="1"/>
      <c r="Y4488" s="1"/>
      <c r="AA4488" s="102"/>
      <c r="AB4488" s="1"/>
      <c r="AC4488" s="1"/>
      <c r="AD4488" s="1"/>
      <c r="AE4488" s="1"/>
      <c r="AF4488" s="1"/>
      <c r="AG4488" s="1"/>
    </row>
    <row r="4489" ht="15.75" customHeight="1">
      <c r="A4489" s="1"/>
      <c r="B4489" s="1"/>
      <c r="C4489" s="1"/>
      <c r="D4489" s="1"/>
      <c r="E4489" s="1"/>
      <c r="F4489" s="1"/>
      <c r="G4489" s="1"/>
      <c r="H4489" s="1"/>
      <c r="I4489" s="1"/>
      <c r="J4489" s="1"/>
      <c r="K4489" s="102" t="s">
        <v>7134</v>
      </c>
      <c r="L4489" s="102" t="str">
        <f>AE561</f>
        <v>J1a2a1a2d2b2b2c4d2a2a5a1e4a6i3b~</v>
      </c>
      <c r="M4489" s="102"/>
      <c r="N4489" s="102"/>
      <c r="O4489" s="105">
        <v>1.6920697E7</v>
      </c>
      <c r="P4489" s="105">
        <v>1.4808817E7</v>
      </c>
      <c r="Q4489" s="102" t="s">
        <v>2432</v>
      </c>
      <c r="S4489" s="1"/>
      <c r="T4489" s="1"/>
      <c r="U4489" s="1"/>
      <c r="V4489" s="1"/>
      <c r="W4489" s="1"/>
      <c r="X4489" s="1"/>
      <c r="Y4489" s="1"/>
      <c r="AA4489" s="102"/>
      <c r="AB4489" s="1"/>
      <c r="AC4489" s="1"/>
      <c r="AD4489" s="1"/>
      <c r="AE4489" s="1"/>
      <c r="AF4489" s="1"/>
      <c r="AG4489" s="1"/>
    </row>
    <row r="4490" ht="15.75" customHeight="1">
      <c r="A4490" s="1"/>
      <c r="B4490" s="1"/>
      <c r="C4490" s="1"/>
      <c r="D4490" s="1"/>
      <c r="E4490" s="1"/>
      <c r="F4490" s="1"/>
      <c r="G4490" s="1"/>
      <c r="H4490" s="1"/>
      <c r="I4490" s="1"/>
      <c r="J4490" s="1"/>
      <c r="K4490" s="102" t="s">
        <v>7135</v>
      </c>
      <c r="L4490" s="102" t="str">
        <f>AE561</f>
        <v>J1a2a1a2d2b2b2c4d2a2a5a1e4a6i3b~</v>
      </c>
      <c r="M4490" s="102"/>
      <c r="N4490" s="102"/>
      <c r="O4490" s="105">
        <v>1.7772852E7</v>
      </c>
      <c r="P4490" s="105">
        <v>1.5660972E7</v>
      </c>
      <c r="Q4490" s="102" t="s">
        <v>2514</v>
      </c>
      <c r="S4490" s="1"/>
      <c r="T4490" s="1"/>
      <c r="U4490" s="1"/>
      <c r="V4490" s="1"/>
      <c r="W4490" s="1"/>
      <c r="X4490" s="1"/>
      <c r="Y4490" s="1"/>
      <c r="AA4490" s="102"/>
      <c r="AB4490" s="1"/>
      <c r="AC4490" s="1"/>
      <c r="AD4490" s="1"/>
      <c r="AE4490" s="1"/>
      <c r="AF4490" s="1"/>
      <c r="AG4490" s="1"/>
    </row>
    <row r="4491" ht="15.75" customHeight="1">
      <c r="A4491" s="1"/>
      <c r="B4491" s="1"/>
      <c r="C4491" s="1"/>
      <c r="D4491" s="1"/>
      <c r="E4491" s="1"/>
      <c r="F4491" s="1"/>
      <c r="G4491" s="1"/>
      <c r="H4491" s="1"/>
      <c r="I4491" s="1"/>
      <c r="J4491" s="1"/>
      <c r="K4491" s="102" t="s">
        <v>7136</v>
      </c>
      <c r="L4491" s="102" t="str">
        <f>AE561</f>
        <v>J1a2a1a2d2b2b2c4d2a2a5a1e4a6i3b~</v>
      </c>
      <c r="M4491" s="102"/>
      <c r="N4491" s="102"/>
      <c r="O4491" s="105">
        <v>1.8903521E7</v>
      </c>
      <c r="P4491" s="105">
        <v>1.6791641E7</v>
      </c>
      <c r="Q4491" s="102" t="s">
        <v>2468</v>
      </c>
      <c r="S4491" s="1"/>
      <c r="T4491" s="1"/>
      <c r="U4491" s="1"/>
      <c r="V4491" s="1"/>
      <c r="W4491" s="1"/>
      <c r="X4491" s="1"/>
      <c r="Y4491" s="1"/>
      <c r="AA4491" s="102"/>
      <c r="AB4491" s="1"/>
      <c r="AC4491" s="1"/>
      <c r="AD4491" s="1"/>
      <c r="AE4491" s="1"/>
      <c r="AF4491" s="1"/>
      <c r="AG4491" s="1"/>
    </row>
    <row r="4492" ht="15.75" customHeight="1">
      <c r="A4492" s="1"/>
      <c r="B4492" s="1"/>
      <c r="C4492" s="1"/>
      <c r="D4492" s="1"/>
      <c r="E4492" s="1"/>
      <c r="F4492" s="1"/>
      <c r="G4492" s="1"/>
      <c r="H4492" s="1"/>
      <c r="I4492" s="1"/>
      <c r="J4492" s="1"/>
      <c r="K4492" s="102" t="s">
        <v>7137</v>
      </c>
      <c r="L4492" s="102" t="str">
        <f>AE561</f>
        <v>J1a2a1a2d2b2b2c4d2a2a5a1e4a6i3b~</v>
      </c>
      <c r="M4492" s="102"/>
      <c r="N4492" s="102"/>
      <c r="O4492" s="105">
        <v>1.9140885E7</v>
      </c>
      <c r="P4492" s="105">
        <v>1.7029005E7</v>
      </c>
      <c r="Q4492" s="102" t="s">
        <v>2468</v>
      </c>
      <c r="S4492" s="1"/>
      <c r="T4492" s="1"/>
      <c r="U4492" s="1"/>
      <c r="V4492" s="1"/>
      <c r="W4492" s="1"/>
      <c r="X4492" s="1"/>
      <c r="Y4492" s="1"/>
      <c r="AA4492" s="102"/>
      <c r="AB4492" s="1"/>
      <c r="AC4492" s="1"/>
      <c r="AD4492" s="1"/>
      <c r="AE4492" s="1"/>
      <c r="AF4492" s="1"/>
      <c r="AG4492" s="1"/>
    </row>
    <row r="4493" ht="15.75" customHeight="1">
      <c r="A4493" s="1"/>
      <c r="B4493" s="1"/>
      <c r="C4493" s="1"/>
      <c r="D4493" s="1"/>
      <c r="E4493" s="1"/>
      <c r="F4493" s="1"/>
      <c r="G4493" s="1"/>
      <c r="H4493" s="1"/>
      <c r="I4493" s="1"/>
      <c r="J4493" s="1"/>
      <c r="K4493" s="102" t="s">
        <v>7138</v>
      </c>
      <c r="L4493" s="102" t="str">
        <f t="shared" ref="L4493:L4494" si="90">AE561</f>
        <v>J1a2a1a2d2b2b2c4d2a2a5a1e4a6i3b~</v>
      </c>
      <c r="M4493" s="102"/>
      <c r="N4493" s="102"/>
      <c r="O4493" s="105">
        <v>1.9446012E7</v>
      </c>
      <c r="P4493" s="105">
        <v>1.7334132E7</v>
      </c>
      <c r="Q4493" s="102" t="s">
        <v>2423</v>
      </c>
      <c r="S4493" s="1"/>
      <c r="T4493" s="1"/>
      <c r="U4493" s="1"/>
      <c r="V4493" s="1"/>
      <c r="W4493" s="1"/>
      <c r="X4493" s="1"/>
      <c r="Y4493" s="1"/>
      <c r="AA4493" s="102"/>
      <c r="AB4493" s="1"/>
      <c r="AC4493" s="1"/>
      <c r="AD4493" s="1"/>
      <c r="AE4493" s="1"/>
      <c r="AF4493" s="1"/>
      <c r="AG4493" s="1"/>
    </row>
    <row r="4494" ht="15.75" customHeight="1">
      <c r="A4494" s="1"/>
      <c r="B4494" s="1"/>
      <c r="C4494" s="1"/>
      <c r="D4494" s="1"/>
      <c r="E4494" s="1"/>
      <c r="F4494" s="1"/>
      <c r="G4494" s="1"/>
      <c r="H4494" s="1"/>
      <c r="I4494" s="1"/>
      <c r="J4494" s="1"/>
      <c r="K4494" s="102" t="s">
        <v>7139</v>
      </c>
      <c r="L4494" s="102" t="str">
        <f t="shared" si="90"/>
        <v>J1a2a1a2d2b2b2c4d2a2a5a1e4a6i3c~</v>
      </c>
      <c r="M4494" s="102"/>
      <c r="N4494" s="102"/>
      <c r="O4494" s="105">
        <v>9166787.0</v>
      </c>
      <c r="P4494" s="105">
        <v>9329178.0</v>
      </c>
      <c r="Q4494" s="102" t="s">
        <v>2439</v>
      </c>
      <c r="S4494" s="1"/>
      <c r="T4494" s="1"/>
      <c r="U4494" s="1"/>
      <c r="V4494" s="1"/>
      <c r="W4494" s="1"/>
      <c r="X4494" s="1"/>
      <c r="Y4494" s="1"/>
      <c r="AA4494" s="102"/>
      <c r="AB4494" s="1"/>
      <c r="AC4494" s="1"/>
      <c r="AD4494" s="1"/>
      <c r="AE4494" s="1"/>
      <c r="AF4494" s="1"/>
      <c r="AG4494" s="1"/>
    </row>
    <row r="4495" ht="15.75" customHeight="1">
      <c r="A4495" s="1"/>
      <c r="B4495" s="1"/>
      <c r="C4495" s="1"/>
      <c r="D4495" s="1"/>
      <c r="E4495" s="1"/>
      <c r="F4495" s="1"/>
      <c r="G4495" s="1"/>
      <c r="H4495" s="1"/>
      <c r="I4495" s="1"/>
      <c r="J4495" s="1"/>
      <c r="K4495" s="102" t="s">
        <v>7140</v>
      </c>
      <c r="L4495" s="102" t="str">
        <f>AE562</f>
        <v>J1a2a1a2d2b2b2c4d2a2a5a1e4a6i3c~</v>
      </c>
      <c r="M4495" s="102"/>
      <c r="N4495" s="102"/>
      <c r="O4495" s="105">
        <v>1.558383E7</v>
      </c>
      <c r="P4495" s="105">
        <v>1.347195E7</v>
      </c>
      <c r="Q4495" s="102" t="s">
        <v>2529</v>
      </c>
      <c r="S4495" s="1"/>
      <c r="T4495" s="1"/>
      <c r="U4495" s="1"/>
      <c r="V4495" s="1"/>
      <c r="W4495" s="1"/>
      <c r="X4495" s="1"/>
      <c r="Y4495" s="1"/>
      <c r="AA4495" s="102"/>
      <c r="AB4495" s="1"/>
      <c r="AC4495" s="1"/>
      <c r="AD4495" s="1"/>
      <c r="AE4495" s="1"/>
      <c r="AF4495" s="1"/>
      <c r="AG4495" s="1"/>
    </row>
    <row r="4496" ht="15.75" customHeight="1">
      <c r="A4496" s="1"/>
      <c r="B4496" s="1"/>
      <c r="C4496" s="1"/>
      <c r="D4496" s="1"/>
      <c r="E4496" s="1"/>
      <c r="F4496" s="1"/>
      <c r="G4496" s="1"/>
      <c r="H4496" s="1"/>
      <c r="I4496" s="1"/>
      <c r="J4496" s="1"/>
      <c r="K4496" s="102" t="s">
        <v>7141</v>
      </c>
      <c r="L4496" s="102" t="str">
        <f>AE562</f>
        <v>J1a2a1a2d2b2b2c4d2a2a5a1e4a6i3c~</v>
      </c>
      <c r="M4496" s="102"/>
      <c r="N4496" s="102"/>
      <c r="O4496" s="105">
        <v>1.5935934E7</v>
      </c>
      <c r="P4496" s="105">
        <v>1.3824054E7</v>
      </c>
      <c r="Q4496" s="102" t="s">
        <v>2501</v>
      </c>
      <c r="S4496" s="1"/>
      <c r="T4496" s="1"/>
      <c r="U4496" s="1"/>
      <c r="V4496" s="1"/>
      <c r="W4496" s="1"/>
      <c r="X4496" s="1"/>
      <c r="Y4496" s="1"/>
      <c r="AA4496" s="102"/>
      <c r="AB4496" s="1"/>
      <c r="AC4496" s="1"/>
      <c r="AD4496" s="1"/>
      <c r="AE4496" s="1"/>
      <c r="AF4496" s="1"/>
      <c r="AG4496" s="1"/>
    </row>
    <row r="4497" ht="15.75" customHeight="1">
      <c r="A4497" s="1"/>
      <c r="B4497" s="1"/>
      <c r="C4497" s="1"/>
      <c r="D4497" s="1"/>
      <c r="E4497" s="1"/>
      <c r="F4497" s="1"/>
      <c r="G4497" s="1"/>
      <c r="H4497" s="1"/>
      <c r="I4497" s="1"/>
      <c r="J4497" s="1"/>
      <c r="K4497" s="102" t="s">
        <v>7142</v>
      </c>
      <c r="L4497" s="102" t="str">
        <f>AE562</f>
        <v>J1a2a1a2d2b2b2c4d2a2a5a1e4a6i3c~</v>
      </c>
      <c r="M4497" s="102"/>
      <c r="N4497" s="102"/>
      <c r="O4497" s="105">
        <v>1.6904924E7</v>
      </c>
      <c r="P4497" s="105">
        <v>1.4793044E7</v>
      </c>
      <c r="Q4497" s="102" t="s">
        <v>2432</v>
      </c>
      <c r="S4497" s="1"/>
      <c r="T4497" s="1"/>
      <c r="U4497" s="1"/>
      <c r="V4497" s="1"/>
      <c r="W4497" s="1"/>
      <c r="X4497" s="1"/>
      <c r="Y4497" s="1"/>
      <c r="AA4497" s="102"/>
      <c r="AB4497" s="1"/>
      <c r="AC4497" s="1"/>
      <c r="AD4497" s="1"/>
      <c r="AE4497" s="1"/>
      <c r="AF4497" s="1"/>
      <c r="AG4497" s="1"/>
    </row>
    <row r="4498" ht="15.75" customHeight="1">
      <c r="A4498" s="1"/>
      <c r="B4498" s="1"/>
      <c r="C4498" s="1"/>
      <c r="D4498" s="1"/>
      <c r="E4498" s="1"/>
      <c r="F4498" s="1"/>
      <c r="G4498" s="1"/>
      <c r="H4498" s="1"/>
      <c r="I4498" s="1"/>
      <c r="J4498" s="1"/>
      <c r="K4498" s="102" t="s">
        <v>7143</v>
      </c>
      <c r="L4498" s="102" t="str">
        <f>AE562</f>
        <v>J1a2a1a2d2b2b2c4d2a2a5a1e4a6i3c~</v>
      </c>
      <c r="M4498" s="102"/>
      <c r="N4498" s="102"/>
      <c r="O4498" s="105">
        <v>1.7204235E7</v>
      </c>
      <c r="P4498" s="105">
        <v>1.5092355E7</v>
      </c>
      <c r="Q4498" s="102" t="s">
        <v>2529</v>
      </c>
      <c r="S4498" s="1"/>
      <c r="T4498" s="1"/>
      <c r="U4498" s="1"/>
      <c r="V4498" s="1"/>
      <c r="W4498" s="1"/>
      <c r="X4498" s="1"/>
      <c r="Y4498" s="1"/>
      <c r="AA4498" s="102"/>
      <c r="AB4498" s="1"/>
      <c r="AC4498" s="1"/>
      <c r="AD4498" s="1"/>
      <c r="AE4498" s="1"/>
      <c r="AF4498" s="1"/>
      <c r="AG4498" s="1"/>
    </row>
    <row r="4499" ht="15.75" customHeight="1">
      <c r="A4499" s="1"/>
      <c r="B4499" s="1"/>
      <c r="C4499" s="1"/>
      <c r="D4499" s="1"/>
      <c r="E4499" s="1"/>
      <c r="F4499" s="1"/>
      <c r="G4499" s="1"/>
      <c r="H4499" s="1"/>
      <c r="I4499" s="1"/>
      <c r="J4499" s="1"/>
      <c r="K4499" s="102" t="s">
        <v>7144</v>
      </c>
      <c r="L4499" s="102" t="str">
        <f>AE562</f>
        <v>J1a2a1a2d2b2b2c4d2a2a5a1e4a6i3c~</v>
      </c>
      <c r="M4499" s="102"/>
      <c r="N4499" s="102"/>
      <c r="O4499" s="105">
        <v>1.7811613E7</v>
      </c>
      <c r="P4499" s="105">
        <v>1.5699733E7</v>
      </c>
      <c r="Q4499" s="102" t="s">
        <v>2563</v>
      </c>
      <c r="S4499" s="1"/>
      <c r="T4499" s="1"/>
      <c r="U4499" s="1"/>
      <c r="V4499" s="1"/>
      <c r="W4499" s="1"/>
      <c r="X4499" s="1"/>
      <c r="Y4499" s="1"/>
      <c r="AA4499" s="102"/>
      <c r="AB4499" s="1"/>
      <c r="AC4499" s="1"/>
      <c r="AD4499" s="1"/>
      <c r="AE4499" s="1"/>
      <c r="AF4499" s="1"/>
      <c r="AG4499" s="1"/>
    </row>
    <row r="4500" ht="15.75" customHeight="1">
      <c r="A4500" s="1"/>
      <c r="B4500" s="1"/>
      <c r="C4500" s="1"/>
      <c r="D4500" s="1"/>
      <c r="E4500" s="1"/>
      <c r="F4500" s="1"/>
      <c r="G4500" s="1"/>
      <c r="H4500" s="1"/>
      <c r="I4500" s="1"/>
      <c r="J4500" s="1"/>
      <c r="K4500" s="102" t="s">
        <v>7145</v>
      </c>
      <c r="L4500" s="102" t="str">
        <f>AE562</f>
        <v>J1a2a1a2d2b2b2c4d2a2a5a1e4a6i3c~</v>
      </c>
      <c r="M4500" s="102"/>
      <c r="N4500" s="102"/>
      <c r="O4500" s="105">
        <v>1.7889082E7</v>
      </c>
      <c r="P4500" s="105">
        <v>1.5777202E7</v>
      </c>
      <c r="Q4500" s="102" t="s">
        <v>2454</v>
      </c>
      <c r="S4500" s="1"/>
      <c r="T4500" s="1"/>
      <c r="U4500" s="1"/>
      <c r="V4500" s="1"/>
      <c r="W4500" s="1"/>
      <c r="X4500" s="1"/>
      <c r="Y4500" s="1"/>
      <c r="AA4500" s="102"/>
      <c r="AB4500" s="1"/>
      <c r="AC4500" s="1"/>
      <c r="AD4500" s="1"/>
      <c r="AE4500" s="1"/>
      <c r="AF4500" s="1"/>
      <c r="AG4500" s="1"/>
    </row>
    <row r="4501" ht="15.75" customHeight="1">
      <c r="A4501" s="1"/>
      <c r="B4501" s="1"/>
      <c r="C4501" s="1"/>
      <c r="D4501" s="1"/>
      <c r="E4501" s="1"/>
      <c r="F4501" s="1"/>
      <c r="G4501" s="1"/>
      <c r="H4501" s="1"/>
      <c r="I4501" s="1"/>
      <c r="J4501" s="1"/>
      <c r="K4501" s="102" t="s">
        <v>7146</v>
      </c>
      <c r="L4501" s="102" t="str">
        <f>AE562</f>
        <v>J1a2a1a2d2b2b2c4d2a2a5a1e4a6i3c~</v>
      </c>
      <c r="M4501" s="102"/>
      <c r="N4501" s="102"/>
      <c r="O4501" s="105">
        <v>1.9095816E7</v>
      </c>
      <c r="P4501" s="105">
        <v>1.6983936E7</v>
      </c>
      <c r="Q4501" s="102" t="s">
        <v>2533</v>
      </c>
      <c r="S4501" s="1"/>
      <c r="T4501" s="1"/>
      <c r="U4501" s="1"/>
      <c r="V4501" s="1"/>
      <c r="W4501" s="1"/>
      <c r="X4501" s="1"/>
      <c r="Y4501" s="1"/>
      <c r="AA4501" s="102"/>
      <c r="AB4501" s="1"/>
      <c r="AC4501" s="1"/>
      <c r="AD4501" s="1"/>
      <c r="AE4501" s="1"/>
      <c r="AF4501" s="1"/>
      <c r="AG4501" s="1"/>
    </row>
    <row r="4502" ht="15.75" customHeight="1">
      <c r="A4502" s="1"/>
      <c r="B4502" s="1"/>
      <c r="C4502" s="1"/>
      <c r="D4502" s="1"/>
      <c r="E4502" s="1"/>
      <c r="F4502" s="1"/>
      <c r="G4502" s="1"/>
      <c r="H4502" s="1"/>
      <c r="I4502" s="1"/>
      <c r="J4502" s="1"/>
      <c r="K4502" s="102" t="s">
        <v>7147</v>
      </c>
      <c r="L4502" s="102" t="str">
        <f>AE562</f>
        <v>J1a2a1a2d2b2b2c4d2a2a5a1e4a6i3c~</v>
      </c>
      <c r="M4502" s="102"/>
      <c r="N4502" s="102"/>
      <c r="O4502" s="105">
        <v>2.220163E7</v>
      </c>
      <c r="P4502" s="105">
        <v>2.0039744E7</v>
      </c>
      <c r="Q4502" s="102" t="s">
        <v>2439</v>
      </c>
      <c r="S4502" s="1"/>
      <c r="T4502" s="1"/>
      <c r="U4502" s="1"/>
      <c r="V4502" s="1"/>
      <c r="W4502" s="1"/>
      <c r="X4502" s="1"/>
      <c r="Y4502" s="1"/>
      <c r="AA4502" s="102"/>
      <c r="AB4502" s="1"/>
      <c r="AC4502" s="1"/>
      <c r="AD4502" s="1"/>
      <c r="AE4502" s="1"/>
      <c r="AF4502" s="1"/>
      <c r="AG4502" s="1"/>
    </row>
    <row r="4503" ht="15.75" customHeight="1">
      <c r="A4503" s="1"/>
      <c r="B4503" s="1"/>
      <c r="C4503" s="1"/>
      <c r="D4503" s="1"/>
      <c r="E4503" s="1"/>
      <c r="F4503" s="1"/>
      <c r="G4503" s="1"/>
      <c r="H4503" s="1"/>
      <c r="I4503" s="1"/>
      <c r="J4503" s="1"/>
      <c r="K4503" s="102" t="s">
        <v>7148</v>
      </c>
      <c r="L4503" s="102" t="str">
        <f>AE562</f>
        <v>J1a2a1a2d2b2b2c4d2a2a5a1e4a6i3c~</v>
      </c>
      <c r="M4503" s="102"/>
      <c r="N4503" s="102"/>
      <c r="O4503" s="105">
        <v>2.3565001E7</v>
      </c>
      <c r="P4503" s="105">
        <v>2.1403115E7</v>
      </c>
      <c r="Q4503" s="102" t="s">
        <v>2432</v>
      </c>
      <c r="S4503" s="1"/>
      <c r="T4503" s="1"/>
      <c r="U4503" s="1"/>
      <c r="V4503" s="1"/>
      <c r="W4503" s="1"/>
      <c r="X4503" s="1"/>
      <c r="Y4503" s="1"/>
      <c r="AA4503" s="102"/>
      <c r="AB4503" s="1"/>
      <c r="AC4503" s="1"/>
      <c r="AD4503" s="1"/>
      <c r="AE4503" s="1"/>
      <c r="AF4503" s="1"/>
      <c r="AG4503" s="1"/>
    </row>
    <row r="4504" ht="15.75" customHeight="1">
      <c r="A4504" s="1"/>
      <c r="B4504" s="1"/>
      <c r="C4504" s="1"/>
      <c r="D4504" s="1"/>
      <c r="E4504" s="1"/>
      <c r="F4504" s="1"/>
      <c r="G4504" s="1"/>
      <c r="H4504" s="1"/>
      <c r="I4504" s="1"/>
      <c r="J4504" s="1"/>
      <c r="K4504" s="102" t="s">
        <v>1093</v>
      </c>
      <c r="L4504" s="102" t="str">
        <f>AD563</f>
        <v>J1a2a1a2d2b2b2c4d2a2a5a1e4a6i4~</v>
      </c>
      <c r="M4504" s="102"/>
      <c r="N4504" s="102"/>
      <c r="O4504" s="105">
        <v>2.3190204E7</v>
      </c>
      <c r="P4504" s="105">
        <v>2.1028318E7</v>
      </c>
      <c r="Q4504" s="102" t="s">
        <v>2533</v>
      </c>
      <c r="S4504" s="1"/>
      <c r="T4504" s="1"/>
      <c r="U4504" s="1"/>
      <c r="V4504" s="1"/>
      <c r="W4504" s="1"/>
      <c r="X4504" s="1"/>
      <c r="Y4504" s="1"/>
      <c r="AA4504" s="102"/>
      <c r="AB4504" s="1"/>
      <c r="AC4504" s="1"/>
      <c r="AD4504" s="1"/>
      <c r="AE4504" s="1"/>
      <c r="AF4504" s="1"/>
      <c r="AG4504" s="1"/>
    </row>
    <row r="4505" ht="15.75" customHeight="1">
      <c r="A4505" s="1"/>
      <c r="B4505" s="1"/>
      <c r="C4505" s="1"/>
      <c r="D4505" s="1"/>
      <c r="E4505" s="1"/>
      <c r="F4505" s="1"/>
      <c r="G4505" s="1"/>
      <c r="H4505" s="1"/>
      <c r="I4505" s="1"/>
      <c r="J4505" s="1"/>
      <c r="K4505" s="102" t="s">
        <v>7149</v>
      </c>
      <c r="L4505" s="102" t="str">
        <f>AE564</f>
        <v>J1a2a1a2d2b2b2c4d2a2a5a1e4a6i4a~</v>
      </c>
      <c r="M4505" s="102"/>
      <c r="N4505" s="102" t="s">
        <v>7150</v>
      </c>
      <c r="O4505" s="105">
        <v>2888739.0</v>
      </c>
      <c r="P4505" s="105">
        <v>3020698.0</v>
      </c>
      <c r="Q4505" s="102" t="s">
        <v>2501</v>
      </c>
      <c r="S4505" s="1"/>
      <c r="T4505" s="1"/>
      <c r="U4505" s="1"/>
      <c r="V4505" s="1"/>
      <c r="W4505" s="1"/>
      <c r="X4505" s="1"/>
      <c r="Y4505" s="1"/>
      <c r="AA4505" s="102"/>
      <c r="AB4505" s="1"/>
      <c r="AC4505" s="1"/>
      <c r="AD4505" s="1"/>
      <c r="AE4505" s="1"/>
      <c r="AF4505" s="1"/>
      <c r="AG4505" s="1"/>
    </row>
    <row r="4506" ht="15.75" customHeight="1">
      <c r="A4506" s="1"/>
      <c r="B4506" s="1"/>
      <c r="C4506" s="1"/>
      <c r="D4506" s="1"/>
      <c r="E4506" s="1"/>
      <c r="F4506" s="1"/>
      <c r="G4506" s="1"/>
      <c r="H4506" s="1"/>
      <c r="I4506" s="1"/>
      <c r="J4506" s="1"/>
      <c r="K4506" s="102" t="s">
        <v>7151</v>
      </c>
      <c r="L4506" s="102" t="str">
        <f>AE564</f>
        <v>J1a2a1a2d2b2b2c4d2a2a5a1e4a6i4a~</v>
      </c>
      <c r="M4506" s="102"/>
      <c r="N4506" s="102"/>
      <c r="O4506" s="105">
        <v>2.1371686E7</v>
      </c>
      <c r="P4506" s="105">
        <v>1.92098E7</v>
      </c>
      <c r="Q4506" s="102" t="s">
        <v>2563</v>
      </c>
      <c r="S4506" s="1"/>
      <c r="T4506" s="1"/>
      <c r="U4506" s="1"/>
      <c r="V4506" s="1"/>
      <c r="W4506" s="1"/>
      <c r="X4506" s="1"/>
      <c r="Y4506" s="1"/>
      <c r="AA4506" s="102"/>
      <c r="AB4506" s="1"/>
      <c r="AC4506" s="1"/>
      <c r="AD4506" s="1"/>
      <c r="AE4506" s="1"/>
      <c r="AF4506" s="1"/>
      <c r="AG4506" s="1"/>
    </row>
    <row r="4507" ht="15.75" customHeight="1">
      <c r="A4507" s="1"/>
      <c r="B4507" s="1"/>
      <c r="C4507" s="1"/>
      <c r="D4507" s="1"/>
      <c r="E4507" s="1"/>
      <c r="F4507" s="1"/>
      <c r="G4507" s="1"/>
      <c r="H4507" s="1"/>
      <c r="I4507" s="1"/>
      <c r="J4507" s="1"/>
      <c r="K4507" s="102" t="s">
        <v>7152</v>
      </c>
      <c r="L4507" s="102" t="str">
        <f>AE564</f>
        <v>J1a2a1a2d2b2b2c4d2a2a5a1e4a6i4a~</v>
      </c>
      <c r="M4507" s="102"/>
      <c r="N4507" s="102"/>
      <c r="O4507" s="105">
        <v>2888738.0</v>
      </c>
      <c r="P4507" s="105">
        <v>3020697.0</v>
      </c>
      <c r="Q4507" s="102" t="s">
        <v>2439</v>
      </c>
      <c r="S4507" s="1"/>
      <c r="T4507" s="1"/>
      <c r="U4507" s="1"/>
      <c r="V4507" s="1"/>
      <c r="W4507" s="1"/>
      <c r="X4507" s="1"/>
      <c r="Y4507" s="1"/>
      <c r="AA4507" s="102"/>
      <c r="AB4507" s="1"/>
      <c r="AC4507" s="1"/>
      <c r="AD4507" s="1"/>
      <c r="AE4507" s="1"/>
      <c r="AF4507" s="1"/>
      <c r="AG4507" s="1"/>
    </row>
    <row r="4508" ht="15.75" customHeight="1">
      <c r="A4508" s="1"/>
      <c r="B4508" s="1"/>
      <c r="C4508" s="1"/>
      <c r="D4508" s="1"/>
      <c r="E4508" s="1"/>
      <c r="F4508" s="1"/>
      <c r="G4508" s="1"/>
      <c r="H4508" s="1"/>
      <c r="I4508" s="1"/>
      <c r="J4508" s="1"/>
      <c r="K4508" s="102" t="s">
        <v>7153</v>
      </c>
      <c r="L4508" s="102" t="str">
        <f>AE564</f>
        <v>J1a2a1a2d2b2b2c4d2a2a5a1e4a6i4a~</v>
      </c>
      <c r="M4508" s="102"/>
      <c r="N4508" s="102" t="s">
        <v>7154</v>
      </c>
      <c r="O4508" s="105">
        <v>7066545.0</v>
      </c>
      <c r="P4508" s="105">
        <v>7198504.0</v>
      </c>
      <c r="Q4508" s="102" t="s">
        <v>2529</v>
      </c>
      <c r="S4508" s="1"/>
      <c r="T4508" s="1"/>
      <c r="U4508" s="1"/>
      <c r="V4508" s="1"/>
      <c r="W4508" s="1"/>
      <c r="X4508" s="1"/>
      <c r="Y4508" s="1"/>
      <c r="AA4508" s="102"/>
      <c r="AB4508" s="1"/>
      <c r="AC4508" s="1"/>
      <c r="AD4508" s="1"/>
      <c r="AE4508" s="1"/>
      <c r="AF4508" s="1"/>
      <c r="AG4508" s="1"/>
    </row>
    <row r="4509" ht="15.75" customHeight="1">
      <c r="A4509" s="1"/>
      <c r="B4509" s="1"/>
      <c r="C4509" s="1"/>
      <c r="D4509" s="1"/>
      <c r="E4509" s="1"/>
      <c r="F4509" s="1"/>
      <c r="G4509" s="1"/>
      <c r="H4509" s="1"/>
      <c r="I4509" s="1"/>
      <c r="J4509" s="1"/>
      <c r="K4509" s="102" t="s">
        <v>7155</v>
      </c>
      <c r="L4509" s="102" t="str">
        <f t="shared" ref="L4509:L4511" si="91">AE564</f>
        <v>J1a2a1a2d2b2b2c4d2a2a5a1e4a6i4a~</v>
      </c>
      <c r="M4509" s="102"/>
      <c r="N4509" s="102"/>
      <c r="O4509" s="105">
        <v>1.8115876E7</v>
      </c>
      <c r="P4509" s="105">
        <v>1.6003996E7</v>
      </c>
      <c r="Q4509" s="102" t="s">
        <v>2439</v>
      </c>
      <c r="S4509" s="1"/>
      <c r="T4509" s="1"/>
      <c r="U4509" s="1"/>
      <c r="V4509" s="1"/>
      <c r="W4509" s="1"/>
      <c r="X4509" s="1"/>
      <c r="Y4509" s="1"/>
      <c r="AA4509" s="102"/>
      <c r="AB4509" s="1"/>
      <c r="AC4509" s="1"/>
      <c r="AD4509" s="1"/>
      <c r="AE4509" s="1"/>
      <c r="AF4509" s="1"/>
      <c r="AG4509" s="1"/>
    </row>
    <row r="4510" ht="15.75" customHeight="1">
      <c r="A4510" s="1"/>
      <c r="B4510" s="1"/>
      <c r="C4510" s="1"/>
      <c r="D4510" s="1"/>
      <c r="E4510" s="1"/>
      <c r="F4510" s="1"/>
      <c r="G4510" s="1"/>
      <c r="H4510" s="1"/>
      <c r="I4510" s="1"/>
      <c r="J4510" s="1"/>
      <c r="K4510" s="102" t="s">
        <v>1097</v>
      </c>
      <c r="L4510" s="102" t="str">
        <f t="shared" si="91"/>
        <v>J1a2a1a2d2b2b2c4d2a2a5a1e4a6i4b~</v>
      </c>
      <c r="M4510" s="102"/>
      <c r="N4510" s="102"/>
      <c r="O4510" s="105">
        <v>7216601.0</v>
      </c>
      <c r="P4510" s="105">
        <v>7348560.0</v>
      </c>
      <c r="Q4510" s="102" t="s">
        <v>2533</v>
      </c>
      <c r="S4510" s="1"/>
      <c r="T4510" s="1"/>
      <c r="U4510" s="1"/>
      <c r="V4510" s="1"/>
      <c r="W4510" s="1"/>
      <c r="X4510" s="1"/>
      <c r="Y4510" s="1"/>
      <c r="AA4510" s="102"/>
      <c r="AB4510" s="1"/>
      <c r="AC4510" s="1"/>
      <c r="AD4510" s="1"/>
      <c r="AE4510" s="1"/>
      <c r="AF4510" s="1"/>
      <c r="AG4510" s="1"/>
    </row>
    <row r="4511" ht="15.75" customHeight="1">
      <c r="A4511" s="1"/>
      <c r="B4511" s="1"/>
      <c r="C4511" s="1"/>
      <c r="D4511" s="1"/>
      <c r="E4511" s="1"/>
      <c r="F4511" s="1"/>
      <c r="G4511" s="1"/>
      <c r="H4511" s="1"/>
      <c r="I4511" s="1"/>
      <c r="J4511" s="1"/>
      <c r="K4511" s="102" t="s">
        <v>1099</v>
      </c>
      <c r="L4511" s="102" t="str">
        <f t="shared" si="91"/>
        <v>J1a2a1a2d2b2b2c4d2a2a5a1e4a6i4c~</v>
      </c>
      <c r="M4511" s="102"/>
      <c r="N4511" s="102"/>
      <c r="O4511" s="105">
        <v>8118117.0</v>
      </c>
      <c r="P4511" s="105">
        <v>8250076.0</v>
      </c>
      <c r="Q4511" s="102" t="s">
        <v>2446</v>
      </c>
      <c r="S4511" s="1"/>
      <c r="T4511" s="1"/>
      <c r="U4511" s="1"/>
      <c r="V4511" s="1"/>
      <c r="W4511" s="1"/>
      <c r="X4511" s="1"/>
      <c r="Y4511" s="1"/>
      <c r="AA4511" s="102"/>
      <c r="AB4511" s="1"/>
      <c r="AC4511" s="1"/>
      <c r="AD4511" s="1"/>
      <c r="AE4511" s="1"/>
      <c r="AF4511" s="1"/>
      <c r="AG4511" s="1"/>
    </row>
    <row r="4512" ht="15.75" customHeight="1">
      <c r="A4512" s="1"/>
      <c r="B4512" s="1"/>
      <c r="C4512" s="1"/>
      <c r="D4512" s="1"/>
      <c r="E4512" s="1"/>
      <c r="F4512" s="1"/>
      <c r="G4512" s="1"/>
      <c r="H4512" s="1"/>
      <c r="I4512" s="1"/>
      <c r="J4512" s="1"/>
      <c r="K4512" s="102" t="s">
        <v>7156</v>
      </c>
      <c r="L4512" s="102" t="str">
        <f>AF567</f>
        <v>J1a2a1a2d2b2b2c4d2a2a5a1e4a6i4c1~</v>
      </c>
      <c r="M4512" s="102"/>
      <c r="N4512" s="102"/>
      <c r="O4512" s="105">
        <v>1.6611622E7</v>
      </c>
      <c r="P4512" s="105">
        <v>1.4499742E7</v>
      </c>
      <c r="Q4512" s="102" t="s">
        <v>2439</v>
      </c>
      <c r="S4512" s="1"/>
      <c r="T4512" s="1"/>
      <c r="U4512" s="1"/>
      <c r="V4512" s="1"/>
      <c r="W4512" s="1"/>
      <c r="X4512" s="1"/>
      <c r="Y4512" s="1"/>
      <c r="AA4512" s="102"/>
      <c r="AB4512" s="1"/>
      <c r="AC4512" s="1"/>
      <c r="AD4512" s="1"/>
      <c r="AE4512" s="1"/>
      <c r="AF4512" s="1"/>
      <c r="AG4512" s="1"/>
    </row>
    <row r="4513" ht="15.75" customHeight="1">
      <c r="A4513" s="1"/>
      <c r="B4513" s="1"/>
      <c r="C4513" s="1"/>
      <c r="D4513" s="1"/>
      <c r="E4513" s="1"/>
      <c r="F4513" s="1"/>
      <c r="G4513" s="1"/>
      <c r="H4513" s="1"/>
      <c r="I4513" s="1"/>
      <c r="J4513" s="1"/>
      <c r="K4513" s="102" t="s">
        <v>7157</v>
      </c>
      <c r="L4513" s="102" t="str">
        <f>AF567</f>
        <v>J1a2a1a2d2b2b2c4d2a2a5a1e4a6i4c1~</v>
      </c>
      <c r="M4513" s="102"/>
      <c r="N4513" s="102"/>
      <c r="O4513" s="105">
        <v>2.2762512E7</v>
      </c>
      <c r="P4513" s="105">
        <v>2.0600626E7</v>
      </c>
      <c r="Q4513" s="102" t="s">
        <v>2468</v>
      </c>
      <c r="S4513" s="1"/>
      <c r="T4513" s="1"/>
      <c r="U4513" s="1"/>
      <c r="V4513" s="1"/>
      <c r="W4513" s="1"/>
      <c r="X4513" s="1"/>
      <c r="Y4513" s="1"/>
      <c r="AA4513" s="102"/>
      <c r="AB4513" s="1"/>
      <c r="AC4513" s="1"/>
      <c r="AD4513" s="1"/>
      <c r="AE4513" s="1"/>
      <c r="AF4513" s="1"/>
      <c r="AG4513" s="1"/>
    </row>
    <row r="4514" ht="15.75" customHeight="1">
      <c r="A4514" s="1"/>
      <c r="B4514" s="1"/>
      <c r="C4514" s="1"/>
      <c r="D4514" s="1"/>
      <c r="E4514" s="1"/>
      <c r="F4514" s="1"/>
      <c r="G4514" s="1"/>
      <c r="H4514" s="1"/>
      <c r="I4514" s="1"/>
      <c r="J4514" s="1"/>
      <c r="K4514" s="102" t="s">
        <v>7158</v>
      </c>
      <c r="L4514" s="102" t="str">
        <f>AG568</f>
        <v>J1a2a1a2d2b2b2c4d2a2a5a1e4a6i4c1a~</v>
      </c>
      <c r="M4514" s="102"/>
      <c r="N4514" s="102"/>
      <c r="O4514" s="105">
        <v>1.9545929E7</v>
      </c>
      <c r="P4514" s="105">
        <v>1.7434049E7</v>
      </c>
      <c r="Q4514" s="102" t="s">
        <v>2501</v>
      </c>
      <c r="S4514" s="1"/>
      <c r="T4514" s="1"/>
      <c r="U4514" s="1"/>
      <c r="V4514" s="1"/>
      <c r="W4514" s="1"/>
      <c r="X4514" s="1"/>
      <c r="Y4514" s="1"/>
      <c r="AA4514" s="102"/>
      <c r="AB4514" s="1"/>
      <c r="AC4514" s="1"/>
      <c r="AD4514" s="1"/>
      <c r="AE4514" s="1"/>
      <c r="AF4514" s="1"/>
      <c r="AG4514" s="1"/>
    </row>
    <row r="4515" ht="15.75" customHeight="1">
      <c r="A4515" s="1"/>
      <c r="B4515" s="1"/>
      <c r="C4515" s="1"/>
      <c r="D4515" s="1"/>
      <c r="E4515" s="1"/>
      <c r="F4515" s="1"/>
      <c r="G4515" s="1"/>
      <c r="H4515" s="1"/>
      <c r="I4515" s="1"/>
      <c r="J4515" s="1"/>
      <c r="K4515" s="102" t="s">
        <v>7159</v>
      </c>
      <c r="L4515" s="102" t="str">
        <f>AG568</f>
        <v>J1a2a1a2d2b2b2c4d2a2a5a1e4a6i4c1a~</v>
      </c>
      <c r="M4515" s="102"/>
      <c r="N4515" s="102"/>
      <c r="O4515" s="105">
        <v>1.483631E7</v>
      </c>
      <c r="P4515" s="105">
        <v>1.2724377E7</v>
      </c>
      <c r="Q4515" s="102" t="s">
        <v>2529</v>
      </c>
      <c r="S4515" s="1"/>
      <c r="T4515" s="1"/>
      <c r="U4515" s="1"/>
      <c r="V4515" s="1"/>
      <c r="W4515" s="1"/>
      <c r="X4515" s="1"/>
      <c r="Y4515" s="1"/>
      <c r="AA4515" s="102"/>
      <c r="AB4515" s="1"/>
      <c r="AC4515" s="1"/>
      <c r="AD4515" s="1"/>
      <c r="AE4515" s="1"/>
      <c r="AF4515" s="1"/>
      <c r="AG4515" s="1"/>
    </row>
    <row r="4516" ht="15.75" customHeight="1">
      <c r="A4516" s="1"/>
      <c r="B4516" s="1"/>
      <c r="C4516" s="1"/>
      <c r="D4516" s="1"/>
      <c r="E4516" s="1"/>
      <c r="F4516" s="1"/>
      <c r="G4516" s="1"/>
      <c r="H4516" s="1"/>
      <c r="I4516" s="1"/>
      <c r="J4516" s="1"/>
      <c r="K4516" s="102" t="s">
        <v>7160</v>
      </c>
      <c r="L4516" s="102" t="str">
        <f>AH569</f>
        <v>J1a2a1a2d2b2b2c4d2a2a5a1e4a6i4c1a1~</v>
      </c>
      <c r="M4516" s="106" t="s">
        <v>7161</v>
      </c>
      <c r="N4516" s="102" t="s">
        <v>7162</v>
      </c>
      <c r="O4516" s="105">
        <v>8498830.0</v>
      </c>
      <c r="P4516" s="105">
        <v>8630789.0</v>
      </c>
      <c r="Q4516" s="102" t="s">
        <v>2439</v>
      </c>
      <c r="S4516" s="1"/>
      <c r="T4516" s="1"/>
      <c r="U4516" s="1"/>
      <c r="V4516" s="1"/>
      <c r="W4516" s="1"/>
      <c r="X4516" s="1"/>
      <c r="Y4516" s="1"/>
      <c r="AA4516" s="102"/>
      <c r="AB4516" s="1"/>
      <c r="AC4516" s="1"/>
      <c r="AD4516" s="1"/>
      <c r="AE4516" s="1"/>
      <c r="AF4516" s="1"/>
      <c r="AG4516" s="1"/>
    </row>
    <row r="4517" ht="15.75" customHeight="1">
      <c r="A4517" s="1"/>
      <c r="B4517" s="1"/>
      <c r="C4517" s="1"/>
      <c r="D4517" s="1"/>
      <c r="E4517" s="1"/>
      <c r="F4517" s="1"/>
      <c r="G4517" s="1"/>
      <c r="H4517" s="1"/>
      <c r="I4517" s="1"/>
      <c r="J4517" s="1"/>
      <c r="K4517" s="106" t="s">
        <v>7163</v>
      </c>
      <c r="L4517" s="102" t="str">
        <f>AH569</f>
        <v>J1a2a1a2d2b2b2c4d2a2a5a1e4a6i4c1a1~</v>
      </c>
      <c r="M4517" s="102" t="s">
        <v>7164</v>
      </c>
      <c r="N4517" s="102" t="s">
        <v>7162</v>
      </c>
      <c r="O4517" s="105">
        <v>8498830.0</v>
      </c>
      <c r="P4517" s="105">
        <v>8630789.0</v>
      </c>
      <c r="Q4517" s="102" t="s">
        <v>2439</v>
      </c>
      <c r="S4517" s="1"/>
      <c r="T4517" s="1"/>
      <c r="U4517" s="1"/>
      <c r="V4517" s="1"/>
      <c r="W4517" s="1"/>
      <c r="X4517" s="1"/>
      <c r="Y4517" s="1"/>
      <c r="AA4517" s="102" t="s">
        <v>7165</v>
      </c>
      <c r="AB4517" s="1"/>
      <c r="AC4517" s="1"/>
      <c r="AD4517" s="1"/>
      <c r="AE4517" s="1"/>
      <c r="AF4517" s="1"/>
      <c r="AG4517" s="1"/>
    </row>
    <row r="4518" ht="15.75" customHeight="1">
      <c r="A4518" s="1"/>
      <c r="B4518" s="1"/>
      <c r="C4518" s="1"/>
      <c r="D4518" s="1"/>
      <c r="E4518" s="1"/>
      <c r="F4518" s="1"/>
      <c r="G4518" s="1"/>
      <c r="H4518" s="1"/>
      <c r="I4518" s="1"/>
      <c r="J4518" s="1"/>
      <c r="K4518" s="102" t="s">
        <v>7166</v>
      </c>
      <c r="L4518" s="102" t="str">
        <f t="shared" ref="L4518:L4519" si="92">AH569</f>
        <v>J1a2a1a2d2b2b2c4d2a2a5a1e4a6i4c1a1~</v>
      </c>
      <c r="M4518" s="106" t="s">
        <v>7167</v>
      </c>
      <c r="N4518" s="102" t="s">
        <v>7162</v>
      </c>
      <c r="O4518" s="105">
        <v>8498830.0</v>
      </c>
      <c r="P4518" s="105">
        <v>8630789.0</v>
      </c>
      <c r="Q4518" s="102" t="s">
        <v>2439</v>
      </c>
      <c r="S4518" s="1"/>
      <c r="T4518" s="1"/>
      <c r="U4518" s="1"/>
      <c r="V4518" s="1"/>
      <c r="W4518" s="1"/>
      <c r="X4518" s="1"/>
      <c r="Y4518" s="1"/>
      <c r="AA4518" s="102" t="s">
        <v>7168</v>
      </c>
      <c r="AB4518" s="1"/>
      <c r="AC4518" s="1"/>
      <c r="AD4518" s="1"/>
      <c r="AE4518" s="1"/>
      <c r="AF4518" s="1"/>
      <c r="AG4518" s="1"/>
    </row>
    <row r="4519" ht="15.75" customHeight="1">
      <c r="A4519" s="1"/>
      <c r="B4519" s="1"/>
      <c r="C4519" s="1"/>
      <c r="D4519" s="1"/>
      <c r="E4519" s="1"/>
      <c r="F4519" s="1"/>
      <c r="G4519" s="1"/>
      <c r="H4519" s="1"/>
      <c r="I4519" s="1"/>
      <c r="J4519" s="1"/>
      <c r="K4519" s="102" t="s">
        <v>7169</v>
      </c>
      <c r="L4519" s="102" t="str">
        <f t="shared" si="92"/>
        <v>J1a2a1a2d2b2b2c4d2a2a5a1e4a6i4c1a2~</v>
      </c>
      <c r="M4519" s="102"/>
      <c r="N4519" s="102"/>
      <c r="O4519" s="105">
        <v>8494575.0</v>
      </c>
      <c r="P4519" s="105">
        <v>8626534.0</v>
      </c>
      <c r="Q4519" s="102" t="s">
        <v>2501</v>
      </c>
      <c r="S4519" s="1"/>
      <c r="T4519" s="1"/>
      <c r="U4519" s="1"/>
      <c r="V4519" s="1"/>
      <c r="W4519" s="1"/>
      <c r="X4519" s="1"/>
      <c r="Y4519" s="1"/>
      <c r="AA4519" s="102"/>
      <c r="AB4519" s="1"/>
      <c r="AC4519" s="1"/>
      <c r="AD4519" s="1"/>
      <c r="AE4519" s="1"/>
      <c r="AF4519" s="1"/>
      <c r="AG4519" s="1"/>
    </row>
    <row r="4520" ht="15.75" customHeight="1">
      <c r="A4520" s="1"/>
      <c r="B4520" s="1"/>
      <c r="C4520" s="1"/>
      <c r="D4520" s="1"/>
      <c r="E4520" s="1"/>
      <c r="F4520" s="1"/>
      <c r="G4520" s="1"/>
      <c r="H4520" s="1"/>
      <c r="I4520" s="1"/>
      <c r="J4520" s="1"/>
      <c r="K4520" s="102" t="s">
        <v>7170</v>
      </c>
      <c r="L4520" s="102" t="str">
        <f>AH570</f>
        <v>J1a2a1a2d2b2b2c4d2a2a5a1e4a6i4c1a2~</v>
      </c>
      <c r="M4520" s="102"/>
      <c r="N4520" s="102"/>
      <c r="O4520" s="105">
        <v>1.8559016E7</v>
      </c>
      <c r="P4520" s="105">
        <v>1.6447136E7</v>
      </c>
      <c r="Q4520" s="102" t="s">
        <v>2468</v>
      </c>
      <c r="S4520" s="1"/>
      <c r="T4520" s="1"/>
      <c r="U4520" s="1"/>
      <c r="V4520" s="1"/>
      <c r="W4520" s="1"/>
      <c r="X4520" s="1"/>
      <c r="Y4520" s="1"/>
      <c r="AA4520" s="102"/>
      <c r="AB4520" s="1"/>
      <c r="AC4520" s="1"/>
      <c r="AD4520" s="1"/>
      <c r="AE4520" s="1"/>
      <c r="AF4520" s="1"/>
      <c r="AG4520" s="1"/>
    </row>
    <row r="4521" ht="15.75" customHeight="1">
      <c r="A4521" s="1"/>
      <c r="B4521" s="1"/>
      <c r="C4521" s="1"/>
      <c r="D4521" s="1"/>
      <c r="E4521" s="1"/>
      <c r="F4521" s="1"/>
      <c r="G4521" s="1"/>
      <c r="H4521" s="1"/>
      <c r="I4521" s="1"/>
      <c r="J4521" s="1"/>
      <c r="K4521" s="102" t="s">
        <v>7171</v>
      </c>
      <c r="L4521" s="102" t="str">
        <f>AH570</f>
        <v>J1a2a1a2d2b2b2c4d2a2a5a1e4a6i4c1a2~</v>
      </c>
      <c r="M4521" s="102"/>
      <c r="N4521" s="102"/>
      <c r="O4521" s="105">
        <v>1.8931634E7</v>
      </c>
      <c r="P4521" s="105">
        <v>1.6819754E7</v>
      </c>
      <c r="Q4521" s="102" t="s">
        <v>2533</v>
      </c>
      <c r="S4521" s="1"/>
      <c r="T4521" s="1"/>
      <c r="U4521" s="1"/>
      <c r="V4521" s="1"/>
      <c r="W4521" s="1"/>
      <c r="X4521" s="1"/>
      <c r="Y4521" s="1"/>
      <c r="AA4521" s="102"/>
      <c r="AB4521" s="1"/>
      <c r="AC4521" s="1"/>
      <c r="AD4521" s="1"/>
      <c r="AE4521" s="1"/>
      <c r="AF4521" s="1"/>
      <c r="AG4521" s="1"/>
    </row>
    <row r="4522" ht="15.75" customHeight="1">
      <c r="A4522" s="1"/>
      <c r="B4522" s="1"/>
      <c r="C4522" s="1"/>
      <c r="D4522" s="1"/>
      <c r="E4522" s="1"/>
      <c r="F4522" s="1"/>
      <c r="G4522" s="1"/>
      <c r="H4522" s="1"/>
      <c r="I4522" s="1"/>
      <c r="J4522" s="1"/>
      <c r="K4522" s="102" t="s">
        <v>1109</v>
      </c>
      <c r="L4522" s="102" t="str">
        <f>AD571</f>
        <v>J1a2a1a2d2b2b2c4d2a2a5a1e4a6i5~</v>
      </c>
      <c r="M4522" s="102"/>
      <c r="N4522" s="102"/>
      <c r="O4522" s="105">
        <v>1.7624882E7</v>
      </c>
      <c r="P4522" s="105">
        <v>1.5513002E7</v>
      </c>
      <c r="Q4522" s="102" t="s">
        <v>2468</v>
      </c>
      <c r="S4522" s="1"/>
      <c r="T4522" s="1"/>
      <c r="U4522" s="1"/>
      <c r="V4522" s="1"/>
      <c r="W4522" s="1"/>
      <c r="X4522" s="1"/>
      <c r="Y4522" s="1"/>
      <c r="AA4522" s="102"/>
      <c r="AB4522" s="1"/>
      <c r="AC4522" s="1"/>
      <c r="AD4522" s="1"/>
      <c r="AE4522" s="1"/>
      <c r="AF4522" s="1"/>
      <c r="AG4522" s="1"/>
    </row>
    <row r="4523" ht="15.75" customHeight="1">
      <c r="A4523" s="1"/>
      <c r="B4523" s="1"/>
      <c r="C4523" s="1"/>
      <c r="D4523" s="1"/>
      <c r="E4523" s="1"/>
      <c r="F4523" s="1"/>
      <c r="G4523" s="1"/>
      <c r="H4523" s="1"/>
      <c r="I4523" s="1"/>
      <c r="J4523" s="1"/>
      <c r="K4523" s="102" t="s">
        <v>7172</v>
      </c>
      <c r="L4523" s="102" t="str">
        <f>AE572</f>
        <v>J1a2a1a2d2b2b2c4d2a2a5a1e4a6i5a~</v>
      </c>
      <c r="M4523" s="102" t="s">
        <v>7173</v>
      </c>
      <c r="N4523" s="102"/>
      <c r="O4523" s="105">
        <v>7105293.0</v>
      </c>
      <c r="P4523" s="105">
        <v>7237252.0</v>
      </c>
      <c r="Q4523" s="102" t="s">
        <v>2529</v>
      </c>
      <c r="S4523" s="1"/>
      <c r="T4523" s="1"/>
      <c r="U4523" s="1"/>
      <c r="V4523" s="1"/>
      <c r="W4523" s="1"/>
      <c r="X4523" s="1"/>
      <c r="Y4523" s="1"/>
      <c r="AA4523" s="102"/>
      <c r="AB4523" s="1"/>
      <c r="AC4523" s="1"/>
      <c r="AD4523" s="1"/>
      <c r="AE4523" s="1"/>
      <c r="AF4523" s="1"/>
      <c r="AG4523" s="1"/>
    </row>
    <row r="4524" ht="15.75" customHeight="1">
      <c r="A4524" s="1"/>
      <c r="B4524" s="1"/>
      <c r="C4524" s="1"/>
      <c r="D4524" s="1"/>
      <c r="E4524" s="1"/>
      <c r="F4524" s="1"/>
      <c r="G4524" s="1"/>
      <c r="H4524" s="1"/>
      <c r="I4524" s="1"/>
      <c r="J4524" s="1"/>
      <c r="K4524" s="102" t="s">
        <v>7173</v>
      </c>
      <c r="L4524" s="102" t="str">
        <f>AE572</f>
        <v>J1a2a1a2d2b2b2c4d2a2a5a1e4a6i5a~</v>
      </c>
      <c r="M4524" s="102" t="s">
        <v>7172</v>
      </c>
      <c r="N4524" s="102"/>
      <c r="O4524" s="105">
        <v>7105293.0</v>
      </c>
      <c r="P4524" s="105">
        <v>7237252.0</v>
      </c>
      <c r="Q4524" s="102" t="s">
        <v>2529</v>
      </c>
      <c r="S4524" s="1"/>
      <c r="T4524" s="1"/>
      <c r="U4524" s="1"/>
      <c r="V4524" s="1"/>
      <c r="W4524" s="1"/>
      <c r="X4524" s="1"/>
      <c r="Y4524" s="1"/>
      <c r="AA4524" s="102"/>
      <c r="AB4524" s="1"/>
      <c r="AC4524" s="1"/>
      <c r="AD4524" s="1"/>
      <c r="AE4524" s="1"/>
      <c r="AF4524" s="1"/>
      <c r="AG4524" s="1"/>
    </row>
    <row r="4525" ht="15.75" customHeight="1">
      <c r="A4525" s="1"/>
      <c r="B4525" s="1"/>
      <c r="C4525" s="1"/>
      <c r="D4525" s="1"/>
      <c r="E4525" s="1"/>
      <c r="F4525" s="1"/>
      <c r="G4525" s="1"/>
      <c r="H4525" s="1"/>
      <c r="I4525" s="1"/>
      <c r="J4525" s="1"/>
      <c r="K4525" s="102" t="s">
        <v>7174</v>
      </c>
      <c r="L4525" s="102" t="str">
        <f>AE572</f>
        <v>J1a2a1a2d2b2b2c4d2a2a5a1e4a6i5a~</v>
      </c>
      <c r="M4525" s="102" t="s">
        <v>7175</v>
      </c>
      <c r="N4525" s="102"/>
      <c r="O4525" s="105">
        <v>7551150.0</v>
      </c>
      <c r="P4525" s="105">
        <v>7683109.0</v>
      </c>
      <c r="Q4525" s="102" t="s">
        <v>2446</v>
      </c>
      <c r="S4525" s="1"/>
      <c r="T4525" s="1"/>
      <c r="U4525" s="1"/>
      <c r="V4525" s="1"/>
      <c r="W4525" s="1"/>
      <c r="X4525" s="1"/>
      <c r="Y4525" s="1"/>
      <c r="AA4525" s="102"/>
      <c r="AB4525" s="1"/>
      <c r="AC4525" s="1"/>
      <c r="AD4525" s="1"/>
      <c r="AE4525" s="1"/>
      <c r="AF4525" s="1"/>
      <c r="AG4525" s="1"/>
    </row>
    <row r="4526" ht="15.75" customHeight="1">
      <c r="A4526" s="1"/>
      <c r="B4526" s="1"/>
      <c r="C4526" s="1"/>
      <c r="D4526" s="1"/>
      <c r="E4526" s="1"/>
      <c r="F4526" s="1"/>
      <c r="G4526" s="1"/>
      <c r="H4526" s="1"/>
      <c r="I4526" s="1"/>
      <c r="J4526" s="1"/>
      <c r="K4526" s="102" t="s">
        <v>7175</v>
      </c>
      <c r="L4526" s="102" t="str">
        <f>AE572</f>
        <v>J1a2a1a2d2b2b2c4d2a2a5a1e4a6i5a~</v>
      </c>
      <c r="M4526" s="102" t="s">
        <v>7174</v>
      </c>
      <c r="N4526" s="102" t="s">
        <v>7176</v>
      </c>
      <c r="O4526" s="105">
        <v>1.8097503E7</v>
      </c>
      <c r="P4526" s="105">
        <v>1.5985623E7</v>
      </c>
      <c r="Q4526" s="102" t="s">
        <v>2514</v>
      </c>
      <c r="S4526" s="1"/>
      <c r="T4526" s="1"/>
      <c r="U4526" s="1"/>
      <c r="V4526" s="1"/>
      <c r="W4526" s="1"/>
      <c r="X4526" s="1"/>
      <c r="Y4526" s="1"/>
      <c r="AA4526" s="102"/>
      <c r="AB4526" s="1"/>
      <c r="AC4526" s="1"/>
      <c r="AD4526" s="1"/>
      <c r="AE4526" s="1"/>
      <c r="AF4526" s="1"/>
      <c r="AG4526" s="1"/>
    </row>
    <row r="4527" ht="15.75" customHeight="1">
      <c r="A4527" s="1"/>
      <c r="B4527" s="1"/>
      <c r="C4527" s="1"/>
      <c r="D4527" s="1"/>
      <c r="E4527" s="1"/>
      <c r="F4527" s="1"/>
      <c r="G4527" s="1"/>
      <c r="H4527" s="1"/>
      <c r="I4527" s="1"/>
      <c r="J4527" s="1"/>
      <c r="K4527" s="102" t="s">
        <v>7177</v>
      </c>
      <c r="L4527" s="102" t="str">
        <f>AE572</f>
        <v>J1a2a1a2d2b2b2c4d2a2a5a1e4a6i5a~</v>
      </c>
      <c r="M4527" s="102" t="s">
        <v>7178</v>
      </c>
      <c r="N4527" s="102"/>
      <c r="O4527" s="105">
        <v>9376377.0</v>
      </c>
      <c r="P4527" s="105">
        <v>9538768.0</v>
      </c>
      <c r="Q4527" s="102" t="s">
        <v>2423</v>
      </c>
      <c r="S4527" s="1"/>
      <c r="T4527" s="1"/>
      <c r="U4527" s="1"/>
      <c r="V4527" s="1"/>
      <c r="W4527" s="1"/>
      <c r="X4527" s="1"/>
      <c r="Y4527" s="1"/>
      <c r="AA4527" s="102"/>
      <c r="AB4527" s="1"/>
      <c r="AC4527" s="1"/>
      <c r="AD4527" s="1"/>
      <c r="AE4527" s="1"/>
      <c r="AF4527" s="1"/>
      <c r="AG4527" s="1"/>
    </row>
    <row r="4528" ht="15.75" customHeight="1">
      <c r="A4528" s="1"/>
      <c r="B4528" s="1"/>
      <c r="C4528" s="1"/>
      <c r="D4528" s="1"/>
      <c r="E4528" s="1"/>
      <c r="F4528" s="1"/>
      <c r="G4528" s="1"/>
      <c r="H4528" s="1"/>
      <c r="I4528" s="1"/>
      <c r="J4528" s="1"/>
      <c r="K4528" s="102" t="s">
        <v>7178</v>
      </c>
      <c r="L4528" s="102" t="str">
        <f>AE572</f>
        <v>J1a2a1a2d2b2b2c4d2a2a5a1e4a6i5a~</v>
      </c>
      <c r="M4528" s="102" t="s">
        <v>7177</v>
      </c>
      <c r="N4528" s="102"/>
      <c r="O4528" s="105">
        <v>9376377.0</v>
      </c>
      <c r="P4528" s="105">
        <v>9538768.0</v>
      </c>
      <c r="Q4528" s="102" t="s">
        <v>2423</v>
      </c>
      <c r="S4528" s="1"/>
      <c r="T4528" s="1"/>
      <c r="U4528" s="1"/>
      <c r="V4528" s="1"/>
      <c r="W4528" s="1"/>
      <c r="X4528" s="1"/>
      <c r="Y4528" s="1"/>
      <c r="AA4528" s="102"/>
      <c r="AB4528" s="1"/>
      <c r="AC4528" s="1"/>
      <c r="AD4528" s="1"/>
      <c r="AE4528" s="1"/>
      <c r="AF4528" s="1"/>
      <c r="AG4528" s="1"/>
    </row>
    <row r="4529" ht="15.75" customHeight="1">
      <c r="A4529" s="1"/>
      <c r="B4529" s="1"/>
      <c r="C4529" s="1"/>
      <c r="D4529" s="1"/>
      <c r="E4529" s="1"/>
      <c r="F4529" s="1"/>
      <c r="G4529" s="1"/>
      <c r="H4529" s="1"/>
      <c r="I4529" s="1"/>
      <c r="J4529" s="1"/>
      <c r="K4529" s="102" t="s">
        <v>7179</v>
      </c>
      <c r="L4529" s="102" t="str">
        <f>AE572</f>
        <v>J1a2a1a2d2b2b2c4d2a2a5a1e4a6i5a~</v>
      </c>
      <c r="M4529" s="102" t="s">
        <v>7180</v>
      </c>
      <c r="N4529" s="102" t="s">
        <v>7181</v>
      </c>
      <c r="O4529" s="105">
        <v>9864181.0</v>
      </c>
      <c r="P4529" s="105">
        <v>1.0026572E7</v>
      </c>
      <c r="Q4529" s="102" t="s">
        <v>2468</v>
      </c>
      <c r="S4529" s="1"/>
      <c r="T4529" s="1"/>
      <c r="U4529" s="1"/>
      <c r="V4529" s="1"/>
      <c r="W4529" s="1"/>
      <c r="X4529" s="1"/>
      <c r="Y4529" s="1"/>
      <c r="AA4529" s="102"/>
      <c r="AB4529" s="1"/>
      <c r="AC4529" s="1"/>
      <c r="AD4529" s="1"/>
      <c r="AE4529" s="1"/>
      <c r="AF4529" s="1"/>
      <c r="AG4529" s="1"/>
    </row>
    <row r="4530" ht="15.75" customHeight="1">
      <c r="A4530" s="1"/>
      <c r="B4530" s="1"/>
      <c r="C4530" s="1"/>
      <c r="D4530" s="1"/>
      <c r="E4530" s="1"/>
      <c r="F4530" s="1"/>
      <c r="G4530" s="1"/>
      <c r="H4530" s="1"/>
      <c r="I4530" s="1"/>
      <c r="J4530" s="1"/>
      <c r="K4530" s="102" t="s">
        <v>7180</v>
      </c>
      <c r="L4530" s="102" t="str">
        <f>AE572</f>
        <v>J1a2a1a2d2b2b2c4d2a2a5a1e4a6i5a~</v>
      </c>
      <c r="M4530" s="102" t="s">
        <v>7179</v>
      </c>
      <c r="N4530" s="102" t="s">
        <v>7181</v>
      </c>
      <c r="O4530" s="105">
        <v>9864181.0</v>
      </c>
      <c r="P4530" s="105">
        <v>1.0026572E7</v>
      </c>
      <c r="Q4530" s="102" t="s">
        <v>2468</v>
      </c>
      <c r="S4530" s="1"/>
      <c r="T4530" s="1"/>
      <c r="U4530" s="1"/>
      <c r="V4530" s="1"/>
      <c r="W4530" s="1"/>
      <c r="X4530" s="1"/>
      <c r="Y4530" s="1"/>
      <c r="AA4530" s="102"/>
      <c r="AB4530" s="1"/>
      <c r="AC4530" s="1"/>
      <c r="AD4530" s="1"/>
      <c r="AE4530" s="1"/>
      <c r="AF4530" s="1"/>
      <c r="AG4530" s="1"/>
    </row>
    <row r="4531" ht="15.75" customHeight="1">
      <c r="A4531" s="1"/>
      <c r="B4531" s="1"/>
      <c r="C4531" s="1"/>
      <c r="D4531" s="1"/>
      <c r="E4531" s="1"/>
      <c r="F4531" s="1"/>
      <c r="G4531" s="1"/>
      <c r="H4531" s="1"/>
      <c r="I4531" s="1"/>
      <c r="J4531" s="1"/>
      <c r="K4531" s="102" t="s">
        <v>7182</v>
      </c>
      <c r="L4531" s="102" t="str">
        <f>AE572</f>
        <v>J1a2a1a2d2b2b2c4d2a2a5a1e4a6i5a~</v>
      </c>
      <c r="M4531" s="102" t="s">
        <v>7183</v>
      </c>
      <c r="N4531" s="102"/>
      <c r="O4531" s="105">
        <v>2.2804171E7</v>
      </c>
      <c r="P4531" s="105">
        <v>2.0642285E7</v>
      </c>
      <c r="Q4531" s="102" t="s">
        <v>2439</v>
      </c>
      <c r="S4531" s="1"/>
      <c r="T4531" s="1"/>
      <c r="U4531" s="1"/>
      <c r="V4531" s="1"/>
      <c r="W4531" s="1"/>
      <c r="X4531" s="1"/>
      <c r="Y4531" s="1"/>
      <c r="AA4531" s="102"/>
      <c r="AB4531" s="1"/>
      <c r="AC4531" s="1"/>
      <c r="AD4531" s="1"/>
      <c r="AE4531" s="1"/>
      <c r="AF4531" s="1"/>
      <c r="AG4531" s="1"/>
    </row>
    <row r="4532" ht="15.75" customHeight="1">
      <c r="A4532" s="1"/>
      <c r="B4532" s="1"/>
      <c r="C4532" s="1"/>
      <c r="D4532" s="1"/>
      <c r="E4532" s="1"/>
      <c r="F4532" s="1"/>
      <c r="G4532" s="1"/>
      <c r="H4532" s="1"/>
      <c r="I4532" s="1"/>
      <c r="J4532" s="1"/>
      <c r="K4532" s="102" t="s">
        <v>7183</v>
      </c>
      <c r="L4532" s="102" t="str">
        <f>AE572</f>
        <v>J1a2a1a2d2b2b2c4d2a2a5a1e4a6i5a~</v>
      </c>
      <c r="M4532" s="102" t="s">
        <v>7182</v>
      </c>
      <c r="N4532" s="102"/>
      <c r="O4532" s="105">
        <v>2.2804171E7</v>
      </c>
      <c r="P4532" s="105">
        <v>2.0642285E7</v>
      </c>
      <c r="Q4532" s="102" t="s">
        <v>2439</v>
      </c>
      <c r="S4532" s="1"/>
      <c r="T4532" s="1"/>
      <c r="U4532" s="1"/>
      <c r="V4532" s="1"/>
      <c r="W4532" s="1"/>
      <c r="X4532" s="1"/>
      <c r="Y4532" s="1"/>
      <c r="AA4532" s="102"/>
      <c r="AB4532" s="1"/>
      <c r="AC4532" s="1"/>
      <c r="AD4532" s="1"/>
      <c r="AE4532" s="1"/>
      <c r="AF4532" s="1"/>
      <c r="AG4532" s="1"/>
    </row>
    <row r="4533" ht="15.75" customHeight="1">
      <c r="A4533" s="1"/>
      <c r="B4533" s="1"/>
      <c r="C4533" s="1"/>
      <c r="D4533" s="1"/>
      <c r="E4533" s="1"/>
      <c r="F4533" s="1"/>
      <c r="G4533" s="1"/>
      <c r="H4533" s="1"/>
      <c r="I4533" s="1"/>
      <c r="J4533" s="1"/>
      <c r="K4533" s="102" t="s">
        <v>7184</v>
      </c>
      <c r="L4533" s="102" t="str">
        <f t="shared" ref="L4533:L4534" si="93">AE572</f>
        <v>J1a2a1a2d2b2b2c4d2a2a5a1e4a6i5a~</v>
      </c>
      <c r="M4533" s="102"/>
      <c r="N4533" s="102"/>
      <c r="O4533" s="105">
        <v>2.2023757E7</v>
      </c>
      <c r="P4533" s="105">
        <v>1.9861871E7</v>
      </c>
      <c r="Q4533" s="102" t="s">
        <v>2423</v>
      </c>
      <c r="S4533" s="1"/>
      <c r="T4533" s="1"/>
      <c r="U4533" s="1"/>
      <c r="V4533" s="1"/>
      <c r="W4533" s="1"/>
      <c r="X4533" s="1"/>
      <c r="Y4533" s="1"/>
      <c r="AA4533" s="102"/>
      <c r="AB4533" s="1"/>
      <c r="AC4533" s="1"/>
      <c r="AD4533" s="1"/>
      <c r="AE4533" s="1"/>
      <c r="AF4533" s="1"/>
      <c r="AG4533" s="1"/>
    </row>
    <row r="4534" ht="15.75" customHeight="1">
      <c r="A4534" s="1"/>
      <c r="B4534" s="1"/>
      <c r="C4534" s="1"/>
      <c r="D4534" s="1"/>
      <c r="E4534" s="1"/>
      <c r="F4534" s="1"/>
      <c r="G4534" s="1"/>
      <c r="H4534" s="1"/>
      <c r="I4534" s="1"/>
      <c r="J4534" s="1"/>
      <c r="K4534" s="102" t="s">
        <v>1113</v>
      </c>
      <c r="L4534" s="102" t="str">
        <f t="shared" si="93"/>
        <v>J1a2a1a2d2b2b2c4d2a2a5a1e4a6i5b~</v>
      </c>
      <c r="M4534" s="102"/>
      <c r="N4534" s="102"/>
      <c r="O4534" s="105">
        <v>1.5184093E7</v>
      </c>
      <c r="P4534" s="105">
        <v>1.3072179E7</v>
      </c>
      <c r="Q4534" s="102" t="s">
        <v>2529</v>
      </c>
      <c r="S4534" s="1"/>
      <c r="T4534" s="1"/>
      <c r="U4534" s="1"/>
      <c r="V4534" s="1"/>
      <c r="W4534" s="1"/>
      <c r="X4534" s="1"/>
      <c r="Y4534" s="1"/>
      <c r="AA4534" s="102"/>
      <c r="AB4534" s="1"/>
      <c r="AC4534" s="1"/>
      <c r="AD4534" s="1"/>
      <c r="AE4534" s="1"/>
      <c r="AF4534" s="1"/>
      <c r="AG4534" s="1"/>
    </row>
    <row r="4535" ht="15.75" customHeight="1">
      <c r="A4535" s="1"/>
      <c r="B4535" s="1"/>
      <c r="C4535" s="1"/>
      <c r="D4535" s="1"/>
      <c r="E4535" s="1"/>
      <c r="F4535" s="1"/>
      <c r="G4535" s="1"/>
      <c r="H4535" s="1"/>
      <c r="I4535" s="1"/>
      <c r="J4535" s="1"/>
      <c r="K4535" s="102" t="s">
        <v>7185</v>
      </c>
      <c r="L4535" s="102" t="str">
        <f>AF574</f>
        <v>J1a2a1a2d2b2b2c4d2a2a5a1e4a6i5b1~</v>
      </c>
      <c r="M4535" s="102"/>
      <c r="N4535" s="102"/>
      <c r="O4535" s="105">
        <v>2.4511309E7</v>
      </c>
      <c r="P4535" s="105">
        <v>2.2365162E7</v>
      </c>
      <c r="Q4535" s="102" t="s">
        <v>2468</v>
      </c>
      <c r="S4535" s="1"/>
      <c r="T4535" s="1"/>
      <c r="U4535" s="1"/>
      <c r="V4535" s="1"/>
      <c r="W4535" s="1"/>
      <c r="X4535" s="1"/>
      <c r="Y4535" s="1"/>
      <c r="AA4535" s="102"/>
      <c r="AB4535" s="1"/>
      <c r="AC4535" s="1"/>
      <c r="AD4535" s="1"/>
      <c r="AE4535" s="1"/>
      <c r="AF4535" s="1"/>
      <c r="AG4535" s="1"/>
    </row>
    <row r="4536" ht="15.75" customHeight="1">
      <c r="A4536" s="1"/>
      <c r="B4536" s="1"/>
      <c r="C4536" s="1"/>
      <c r="D4536" s="1"/>
      <c r="E4536" s="1"/>
      <c r="F4536" s="1"/>
      <c r="G4536" s="1"/>
      <c r="H4536" s="1"/>
      <c r="I4536" s="1"/>
      <c r="J4536" s="1"/>
      <c r="K4536" s="102" t="s">
        <v>7186</v>
      </c>
      <c r="L4536" s="102" t="str">
        <f>AF574</f>
        <v>J1a2a1a2d2b2b2c4d2a2a5a1e4a6i5b1~</v>
      </c>
      <c r="M4536" s="102"/>
      <c r="N4536" s="102"/>
      <c r="O4536" s="105">
        <v>2653060.0</v>
      </c>
      <c r="P4536" s="105">
        <v>2785019.0</v>
      </c>
      <c r="Q4536" s="102" t="s">
        <v>2576</v>
      </c>
      <c r="S4536" s="1"/>
      <c r="T4536" s="1"/>
      <c r="U4536" s="1"/>
      <c r="V4536" s="1"/>
      <c r="W4536" s="1"/>
      <c r="X4536" s="1"/>
      <c r="Y4536" s="1"/>
      <c r="AA4536" s="102"/>
      <c r="AB4536" s="1"/>
      <c r="AC4536" s="1"/>
      <c r="AD4536" s="1"/>
      <c r="AE4536" s="1"/>
      <c r="AF4536" s="1"/>
      <c r="AG4536" s="1"/>
    </row>
    <row r="4537" ht="15.75" customHeight="1">
      <c r="A4537" s="1"/>
      <c r="B4537" s="1"/>
      <c r="C4537" s="1"/>
      <c r="D4537" s="1"/>
      <c r="E4537" s="1"/>
      <c r="F4537" s="1"/>
      <c r="G4537" s="1"/>
      <c r="H4537" s="1"/>
      <c r="I4537" s="1"/>
      <c r="J4537" s="1"/>
      <c r="K4537" s="102" t="s">
        <v>7187</v>
      </c>
      <c r="L4537" s="102" t="str">
        <f>AF574</f>
        <v>J1a2a1a2d2b2b2c4d2a2a5a1e4a6i5b1~</v>
      </c>
      <c r="M4537" s="102"/>
      <c r="N4537" s="102"/>
      <c r="O4537" s="105">
        <v>8511273.0</v>
      </c>
      <c r="P4537" s="105">
        <v>8643232.0</v>
      </c>
      <c r="Q4537" s="102" t="s">
        <v>2439</v>
      </c>
      <c r="S4537" s="1"/>
      <c r="T4537" s="1"/>
      <c r="U4537" s="1"/>
      <c r="V4537" s="1"/>
      <c r="W4537" s="1"/>
      <c r="X4537" s="1"/>
      <c r="Y4537" s="1"/>
      <c r="AA4537" s="102"/>
      <c r="AB4537" s="1"/>
      <c r="AC4537" s="1"/>
      <c r="AD4537" s="1"/>
      <c r="AE4537" s="1"/>
      <c r="AF4537" s="1"/>
      <c r="AG4537" s="1"/>
    </row>
    <row r="4538" ht="15.75" customHeight="1">
      <c r="A4538" s="1"/>
      <c r="B4538" s="1"/>
      <c r="C4538" s="1"/>
      <c r="D4538" s="1"/>
      <c r="E4538" s="1"/>
      <c r="F4538" s="1"/>
      <c r="G4538" s="1"/>
      <c r="H4538" s="1"/>
      <c r="I4538" s="1"/>
      <c r="J4538" s="1"/>
      <c r="K4538" s="102" t="s">
        <v>7188</v>
      </c>
      <c r="L4538" s="102" t="str">
        <f>AG575</f>
        <v>J1a2a1a2d2b2b2c4d2a2a5a1e4a6i5b1a~</v>
      </c>
      <c r="M4538" s="102"/>
      <c r="N4538" s="102"/>
      <c r="O4538" s="105">
        <v>7729319.0</v>
      </c>
      <c r="P4538" s="105">
        <v>7861278.0</v>
      </c>
      <c r="Q4538" s="102" t="s">
        <v>2454</v>
      </c>
      <c r="S4538" s="1"/>
      <c r="T4538" s="1"/>
      <c r="U4538" s="1"/>
      <c r="V4538" s="1"/>
      <c r="W4538" s="1"/>
      <c r="X4538" s="1"/>
      <c r="Y4538" s="1"/>
      <c r="AA4538" s="102"/>
      <c r="AB4538" s="1"/>
      <c r="AC4538" s="1"/>
      <c r="AD4538" s="1"/>
      <c r="AE4538" s="1"/>
      <c r="AF4538" s="1"/>
      <c r="AG4538" s="1"/>
    </row>
    <row r="4539" ht="15.75" customHeight="1">
      <c r="A4539" s="1"/>
      <c r="B4539" s="1"/>
      <c r="C4539" s="1"/>
      <c r="D4539" s="1"/>
      <c r="E4539" s="1"/>
      <c r="F4539" s="1"/>
      <c r="G4539" s="1"/>
      <c r="H4539" s="1"/>
      <c r="I4539" s="1"/>
      <c r="J4539" s="1"/>
      <c r="K4539" s="102" t="s">
        <v>7189</v>
      </c>
      <c r="L4539" s="102" t="str">
        <f>AG575</f>
        <v>J1a2a1a2d2b2b2c4d2a2a5a1e4a6i5b1a~</v>
      </c>
      <c r="M4539" s="102"/>
      <c r="N4539" s="102"/>
      <c r="O4539" s="105">
        <v>8640719.0</v>
      </c>
      <c r="P4539" s="105">
        <v>8772678.0</v>
      </c>
      <c r="Q4539" s="102" t="s">
        <v>2501</v>
      </c>
      <c r="S4539" s="1"/>
      <c r="T4539" s="1"/>
      <c r="U4539" s="1"/>
      <c r="V4539" s="1"/>
      <c r="W4539" s="1"/>
      <c r="X4539" s="1"/>
      <c r="Y4539" s="1"/>
      <c r="AA4539" s="102"/>
      <c r="AB4539" s="1"/>
      <c r="AC4539" s="1"/>
      <c r="AD4539" s="1"/>
      <c r="AE4539" s="1"/>
      <c r="AF4539" s="1"/>
      <c r="AG4539" s="1"/>
    </row>
    <row r="4540" ht="15.75" customHeight="1">
      <c r="A4540" s="1"/>
      <c r="B4540" s="1"/>
      <c r="C4540" s="1"/>
      <c r="D4540" s="1"/>
      <c r="E4540" s="1"/>
      <c r="F4540" s="1"/>
      <c r="G4540" s="1"/>
      <c r="H4540" s="1"/>
      <c r="I4540" s="1"/>
      <c r="J4540" s="1"/>
      <c r="K4540" s="102" t="s">
        <v>7190</v>
      </c>
      <c r="L4540" s="102" t="str">
        <f>AG575</f>
        <v>J1a2a1a2d2b2b2c4d2a2a5a1e4a6i5b1a~</v>
      </c>
      <c r="M4540" s="102"/>
      <c r="N4540" s="102"/>
      <c r="O4540" s="105">
        <v>2.280512E7</v>
      </c>
      <c r="P4540" s="105">
        <v>2.0643234E7</v>
      </c>
      <c r="Q4540" s="102" t="s">
        <v>2501</v>
      </c>
      <c r="S4540" s="1"/>
      <c r="T4540" s="1"/>
      <c r="U4540" s="1"/>
      <c r="V4540" s="1"/>
      <c r="W4540" s="1"/>
      <c r="X4540" s="1"/>
      <c r="Y4540" s="1"/>
      <c r="AA4540" s="102"/>
      <c r="AB4540" s="1"/>
      <c r="AC4540" s="1"/>
      <c r="AD4540" s="1"/>
      <c r="AE4540" s="1"/>
      <c r="AF4540" s="1"/>
      <c r="AG4540" s="1"/>
    </row>
    <row r="4541" ht="15.75" customHeight="1">
      <c r="A4541" s="1"/>
      <c r="B4541" s="1"/>
      <c r="C4541" s="1"/>
      <c r="D4541" s="1"/>
      <c r="E4541" s="1"/>
      <c r="F4541" s="1"/>
      <c r="G4541" s="1"/>
      <c r="H4541" s="1"/>
      <c r="I4541" s="1"/>
      <c r="J4541" s="1"/>
      <c r="K4541" s="102" t="s">
        <v>7191</v>
      </c>
      <c r="L4541" s="102" t="str">
        <f>AF576</f>
        <v>J1a2a1a2d2b2b2c4d2a2a5a1e4a6i5b2~</v>
      </c>
      <c r="M4541" s="102"/>
      <c r="N4541" s="102"/>
      <c r="O4541" s="105">
        <v>9097395.0</v>
      </c>
      <c r="P4541" s="105">
        <v>9259786.0</v>
      </c>
      <c r="Q4541" s="102" t="s">
        <v>2468</v>
      </c>
      <c r="S4541" s="1"/>
      <c r="T4541" s="1"/>
      <c r="U4541" s="1"/>
      <c r="V4541" s="1"/>
      <c r="W4541" s="1"/>
      <c r="X4541" s="1"/>
      <c r="Y4541" s="1"/>
      <c r="AA4541" s="102"/>
      <c r="AB4541" s="1"/>
      <c r="AC4541" s="1"/>
      <c r="AD4541" s="1"/>
      <c r="AE4541" s="1"/>
      <c r="AF4541" s="1"/>
      <c r="AG4541" s="1"/>
    </row>
    <row r="4542" ht="15.75" customHeight="1">
      <c r="A4542" s="1"/>
      <c r="B4542" s="1"/>
      <c r="C4542" s="1"/>
      <c r="D4542" s="1"/>
      <c r="E4542" s="1"/>
      <c r="F4542" s="1"/>
      <c r="G4542" s="1"/>
      <c r="H4542" s="1"/>
      <c r="I4542" s="1"/>
      <c r="J4542" s="1"/>
      <c r="K4542" s="102" t="s">
        <v>7192</v>
      </c>
      <c r="L4542" s="102" t="str">
        <f>AF576</f>
        <v>J1a2a1a2d2b2b2c4d2a2a5a1e4a6i5b2~</v>
      </c>
      <c r="M4542" s="102"/>
      <c r="N4542" s="102"/>
      <c r="O4542" s="105">
        <v>1.9162556E7</v>
      </c>
      <c r="P4542" s="105">
        <v>1.7050676E7</v>
      </c>
      <c r="Q4542" s="102" t="s">
        <v>2501</v>
      </c>
      <c r="S4542" s="1"/>
      <c r="T4542" s="1"/>
      <c r="U4542" s="1"/>
      <c r="V4542" s="1"/>
      <c r="W4542" s="1"/>
      <c r="X4542" s="1"/>
      <c r="Y4542" s="1"/>
      <c r="AA4542" s="102"/>
      <c r="AB4542" s="1"/>
      <c r="AC4542" s="1"/>
      <c r="AD4542" s="1"/>
      <c r="AE4542" s="1"/>
      <c r="AF4542" s="1"/>
      <c r="AG4542" s="1"/>
    </row>
    <row r="4543" ht="15.75" customHeight="1">
      <c r="A4543" s="1"/>
      <c r="B4543" s="1"/>
      <c r="C4543" s="1"/>
      <c r="D4543" s="1"/>
      <c r="E4543" s="1"/>
      <c r="F4543" s="1"/>
      <c r="G4543" s="1"/>
      <c r="H4543" s="1"/>
      <c r="I4543" s="1"/>
      <c r="J4543" s="1"/>
      <c r="K4543" s="102" t="s">
        <v>7193</v>
      </c>
      <c r="L4543" s="102" t="str">
        <f>AF576</f>
        <v>J1a2a1a2d2b2b2c4d2a2a5a1e4a6i5b2~</v>
      </c>
      <c r="M4543" s="102"/>
      <c r="N4543" s="102"/>
      <c r="O4543" s="105">
        <v>2.1542902E7</v>
      </c>
      <c r="P4543" s="105">
        <v>1.9381016E7</v>
      </c>
      <c r="Q4543" s="102" t="s">
        <v>2439</v>
      </c>
      <c r="S4543" s="1"/>
      <c r="T4543" s="1"/>
      <c r="U4543" s="1"/>
      <c r="V4543" s="1"/>
      <c r="W4543" s="1"/>
      <c r="X4543" s="1"/>
      <c r="Y4543" s="1"/>
      <c r="AA4543" s="102"/>
      <c r="AB4543" s="1"/>
      <c r="AC4543" s="1"/>
      <c r="AD4543" s="1"/>
      <c r="AE4543" s="1"/>
      <c r="AF4543" s="1"/>
      <c r="AG4543" s="1"/>
    </row>
    <row r="4544" ht="15.75" customHeight="1">
      <c r="A4544" s="1"/>
      <c r="B4544" s="1"/>
      <c r="C4544" s="1"/>
      <c r="D4544" s="1"/>
      <c r="E4544" s="1"/>
      <c r="F4544" s="1"/>
      <c r="G4544" s="1"/>
      <c r="H4544" s="1"/>
      <c r="I4544" s="1"/>
      <c r="J4544" s="1"/>
      <c r="K4544" s="102" t="s">
        <v>7194</v>
      </c>
      <c r="L4544" s="102" t="str">
        <f>AF576</f>
        <v>J1a2a1a2d2b2b2c4d2a2a5a1e4a6i5b2~</v>
      </c>
      <c r="M4544" s="102"/>
      <c r="N4544" s="102"/>
      <c r="O4544" s="105">
        <v>2.4380873E7</v>
      </c>
      <c r="P4544" s="105">
        <v>2.2234726E7</v>
      </c>
      <c r="Q4544" s="102" t="s">
        <v>2439</v>
      </c>
      <c r="S4544" s="1"/>
      <c r="T4544" s="1"/>
      <c r="U4544" s="1"/>
      <c r="V4544" s="1"/>
      <c r="W4544" s="1"/>
      <c r="X4544" s="1"/>
      <c r="Y4544" s="1"/>
      <c r="AA4544" s="102"/>
      <c r="AB4544" s="1"/>
      <c r="AC4544" s="1"/>
      <c r="AD4544" s="1"/>
      <c r="AE4544" s="1"/>
      <c r="AF4544" s="1"/>
      <c r="AG4544" s="1"/>
    </row>
    <row r="4545" ht="15.75" customHeight="1">
      <c r="A4545" s="1"/>
      <c r="B4545" s="1"/>
      <c r="C4545" s="1"/>
      <c r="D4545" s="1"/>
      <c r="E4545" s="1"/>
      <c r="F4545" s="1"/>
      <c r="G4545" s="1"/>
      <c r="H4545" s="1"/>
      <c r="I4545" s="1"/>
      <c r="J4545" s="1"/>
      <c r="K4545" s="102" t="s">
        <v>7195</v>
      </c>
      <c r="L4545" s="102" t="str">
        <f>AF576</f>
        <v>J1a2a1a2d2b2b2c4d2a2a5a1e4a6i5b2~</v>
      </c>
      <c r="M4545" s="102"/>
      <c r="N4545" s="102"/>
      <c r="O4545" s="105">
        <v>1.9441659E7</v>
      </c>
      <c r="P4545" s="105">
        <v>1.7329779E7</v>
      </c>
      <c r="Q4545" s="102" t="s">
        <v>2563</v>
      </c>
      <c r="S4545" s="1"/>
      <c r="T4545" s="1"/>
      <c r="U4545" s="1"/>
      <c r="V4545" s="1"/>
      <c r="W4545" s="1"/>
      <c r="X4545" s="1"/>
      <c r="Y4545" s="1"/>
      <c r="AA4545" s="102"/>
      <c r="AB4545" s="1"/>
      <c r="AC4545" s="1"/>
      <c r="AD4545" s="1"/>
      <c r="AE4545" s="1"/>
      <c r="AF4545" s="1"/>
      <c r="AG4545" s="1"/>
    </row>
    <row r="4546" ht="15.75" customHeight="1">
      <c r="A4546" s="1"/>
      <c r="B4546" s="1"/>
      <c r="C4546" s="1"/>
      <c r="D4546" s="1"/>
      <c r="E4546" s="1"/>
      <c r="F4546" s="1"/>
      <c r="G4546" s="1"/>
      <c r="H4546" s="1"/>
      <c r="I4546" s="1"/>
      <c r="J4546" s="1"/>
      <c r="K4546" s="102" t="s">
        <v>7196</v>
      </c>
      <c r="L4546" s="102" t="str">
        <f>AF576</f>
        <v>J1a2a1a2d2b2b2c4d2a2a5a1e4a6i5b2~</v>
      </c>
      <c r="M4546" s="102"/>
      <c r="N4546" s="102"/>
      <c r="O4546" s="105">
        <v>8253833.0</v>
      </c>
      <c r="P4546" s="105">
        <v>8385792.0</v>
      </c>
      <c r="Q4546" s="102" t="s">
        <v>2439</v>
      </c>
      <c r="S4546" s="1"/>
      <c r="T4546" s="1"/>
      <c r="U4546" s="1"/>
      <c r="V4546" s="1"/>
      <c r="W4546" s="1"/>
      <c r="X4546" s="1"/>
      <c r="Y4546" s="1"/>
      <c r="AA4546" s="102"/>
      <c r="AB4546" s="1"/>
      <c r="AC4546" s="1"/>
      <c r="AD4546" s="1"/>
      <c r="AE4546" s="1"/>
      <c r="AF4546" s="1"/>
      <c r="AG4546" s="1"/>
    </row>
    <row r="4547" ht="15.75" customHeight="1">
      <c r="A4547" s="1"/>
      <c r="B4547" s="1"/>
      <c r="C4547" s="1"/>
      <c r="D4547" s="1"/>
      <c r="E4547" s="1"/>
      <c r="F4547" s="1"/>
      <c r="G4547" s="1"/>
      <c r="H4547" s="1"/>
      <c r="I4547" s="1"/>
      <c r="J4547" s="1"/>
      <c r="K4547" s="106" t="s">
        <v>7197</v>
      </c>
      <c r="L4547" s="102" t="str">
        <f>AD577</f>
        <v>J1a2a1a2d2b2b2c4d2a2a5a1e4a6i6~</v>
      </c>
      <c r="M4547" s="102" t="s">
        <v>7198</v>
      </c>
      <c r="N4547" s="102"/>
      <c r="O4547" s="105">
        <v>1.8766275E7</v>
      </c>
      <c r="P4547" s="105">
        <v>1.6654395E7</v>
      </c>
      <c r="Q4547" s="102" t="s">
        <v>2439</v>
      </c>
      <c r="S4547" s="1"/>
      <c r="T4547" s="1"/>
      <c r="U4547" s="1"/>
      <c r="V4547" s="1"/>
      <c r="W4547" s="1"/>
      <c r="X4547" s="1"/>
      <c r="Y4547" s="1"/>
      <c r="AA4547" s="102"/>
      <c r="AB4547" s="1"/>
      <c r="AC4547" s="1"/>
      <c r="AD4547" s="1"/>
      <c r="AE4547" s="1"/>
      <c r="AF4547" s="1"/>
      <c r="AG4547" s="1"/>
    </row>
    <row r="4548" ht="15.75" customHeight="1">
      <c r="A4548" s="1"/>
      <c r="B4548" s="1"/>
      <c r="C4548" s="1"/>
      <c r="D4548" s="1"/>
      <c r="E4548" s="1"/>
      <c r="F4548" s="1"/>
      <c r="G4548" s="1"/>
      <c r="H4548" s="1"/>
      <c r="I4548" s="1"/>
      <c r="J4548" s="1"/>
      <c r="K4548" s="102" t="s">
        <v>7198</v>
      </c>
      <c r="L4548" s="102" t="str">
        <f t="shared" ref="L4548:L4550" si="94">AD577</f>
        <v>J1a2a1a2d2b2b2c4d2a2a5a1e4a6i6~</v>
      </c>
      <c r="M4548" s="102" t="s">
        <v>7197</v>
      </c>
      <c r="N4548" s="102"/>
      <c r="O4548" s="105">
        <v>1.8766275E7</v>
      </c>
      <c r="P4548" s="105">
        <v>1.6654395E7</v>
      </c>
      <c r="Q4548" s="102" t="s">
        <v>2439</v>
      </c>
      <c r="S4548" s="1"/>
      <c r="T4548" s="1"/>
      <c r="U4548" s="1"/>
      <c r="V4548" s="1"/>
      <c r="W4548" s="1"/>
      <c r="X4548" s="1"/>
      <c r="Y4548" s="1"/>
      <c r="AA4548" s="102"/>
      <c r="AB4548" s="1"/>
      <c r="AC4548" s="1"/>
      <c r="AD4548" s="1"/>
      <c r="AE4548" s="1"/>
      <c r="AF4548" s="1"/>
      <c r="AG4548" s="1"/>
    </row>
    <row r="4549" ht="15.75" customHeight="1">
      <c r="A4549" s="1"/>
      <c r="B4549" s="1"/>
      <c r="C4549" s="1"/>
      <c r="D4549" s="1"/>
      <c r="E4549" s="1"/>
      <c r="F4549" s="1"/>
      <c r="G4549" s="1"/>
      <c r="H4549" s="1"/>
      <c r="I4549" s="1"/>
      <c r="J4549" s="1"/>
      <c r="K4549" s="102" t="s">
        <v>1123</v>
      </c>
      <c r="L4549" s="102" t="str">
        <f t="shared" si="94"/>
        <v>J1a2a1a2d2b2b2c4d2a2a5a1e4a6i7~</v>
      </c>
      <c r="M4549" s="102"/>
      <c r="N4549" s="102" t="s">
        <v>7199</v>
      </c>
      <c r="O4549" s="105">
        <v>2.1551692E7</v>
      </c>
      <c r="P4549" s="105">
        <v>1.9389806E7</v>
      </c>
      <c r="Q4549" s="102" t="s">
        <v>2529</v>
      </c>
      <c r="S4549" s="1"/>
      <c r="T4549" s="1"/>
      <c r="U4549" s="1"/>
      <c r="V4549" s="1"/>
      <c r="W4549" s="1"/>
      <c r="X4549" s="1"/>
      <c r="Y4549" s="1"/>
      <c r="AA4549" s="102"/>
      <c r="AB4549" s="1"/>
      <c r="AC4549" s="1"/>
      <c r="AD4549" s="1"/>
      <c r="AE4549" s="1"/>
      <c r="AF4549" s="1"/>
      <c r="AG4549" s="1"/>
    </row>
    <row r="4550" ht="15.75" customHeight="1">
      <c r="A4550" s="1"/>
      <c r="B4550" s="1"/>
      <c r="C4550" s="1"/>
      <c r="D4550" s="1"/>
      <c r="E4550" s="1"/>
      <c r="F4550" s="1"/>
      <c r="G4550" s="1"/>
      <c r="H4550" s="1"/>
      <c r="I4550" s="1"/>
      <c r="J4550" s="1"/>
      <c r="K4550" s="102" t="s">
        <v>7200</v>
      </c>
      <c r="L4550" s="102" t="str">
        <f t="shared" si="94"/>
        <v>J1a2a1a2d2b2b2c4d2a2a5a1e4a6i8~</v>
      </c>
      <c r="M4550" s="102"/>
      <c r="N4550" s="102"/>
      <c r="O4550" s="105">
        <v>7651017.0</v>
      </c>
      <c r="P4550" s="105">
        <v>7782976.0</v>
      </c>
      <c r="Q4550" s="102" t="s">
        <v>2514</v>
      </c>
      <c r="S4550" s="1"/>
      <c r="T4550" s="1"/>
      <c r="U4550" s="1"/>
      <c r="V4550" s="1"/>
      <c r="W4550" s="1"/>
      <c r="X4550" s="1"/>
      <c r="Y4550" s="1"/>
      <c r="AA4550" s="102"/>
      <c r="AB4550" s="1"/>
      <c r="AC4550" s="1"/>
      <c r="AD4550" s="1"/>
      <c r="AE4550" s="1"/>
      <c r="AF4550" s="1"/>
      <c r="AG4550" s="1"/>
    </row>
    <row r="4551" ht="15.75" customHeight="1">
      <c r="A4551" s="1"/>
      <c r="B4551" s="1"/>
      <c r="C4551" s="1"/>
      <c r="D4551" s="1"/>
      <c r="E4551" s="1"/>
      <c r="F4551" s="1"/>
      <c r="G4551" s="1"/>
      <c r="H4551" s="1"/>
      <c r="I4551" s="1"/>
      <c r="J4551" s="1"/>
      <c r="K4551" s="102" t="s">
        <v>7201</v>
      </c>
      <c r="L4551" s="102" t="str">
        <f>AD579</f>
        <v>J1a2a1a2d2b2b2c4d2a2a5a1e4a6i8~</v>
      </c>
      <c r="M4551" s="102"/>
      <c r="N4551" s="102"/>
      <c r="O4551" s="105">
        <v>8414655.0</v>
      </c>
      <c r="P4551" s="105">
        <v>8546614.0</v>
      </c>
      <c r="Q4551" s="102" t="s">
        <v>2439</v>
      </c>
      <c r="S4551" s="1"/>
      <c r="T4551" s="1"/>
      <c r="U4551" s="1"/>
      <c r="V4551" s="1"/>
      <c r="W4551" s="1"/>
      <c r="X4551" s="1"/>
      <c r="Y4551" s="1"/>
      <c r="AA4551" s="102"/>
      <c r="AB4551" s="1"/>
      <c r="AC4551" s="1"/>
      <c r="AD4551" s="1"/>
      <c r="AE4551" s="1"/>
      <c r="AF4551" s="1"/>
      <c r="AG4551" s="1"/>
    </row>
    <row r="4552" ht="15.75" customHeight="1">
      <c r="A4552" s="1"/>
      <c r="B4552" s="1"/>
      <c r="C4552" s="1"/>
      <c r="D4552" s="1"/>
      <c r="E4552" s="1"/>
      <c r="F4552" s="1"/>
      <c r="G4552" s="1"/>
      <c r="H4552" s="1"/>
      <c r="I4552" s="1"/>
      <c r="J4552" s="1"/>
      <c r="K4552" s="102" t="s">
        <v>7202</v>
      </c>
      <c r="L4552" s="102" t="str">
        <f>AD579</f>
        <v>J1a2a1a2d2b2b2c4d2a2a5a1e4a6i8~</v>
      </c>
      <c r="M4552" s="102"/>
      <c r="N4552" s="102"/>
      <c r="O4552" s="105">
        <v>1.5277368E7</v>
      </c>
      <c r="P4552" s="105">
        <v>1.3165457E7</v>
      </c>
      <c r="Q4552" s="102" t="s">
        <v>2439</v>
      </c>
      <c r="S4552" s="1"/>
      <c r="T4552" s="1"/>
      <c r="U4552" s="1"/>
      <c r="V4552" s="1"/>
      <c r="W4552" s="1"/>
      <c r="X4552" s="1"/>
      <c r="Y4552" s="1"/>
      <c r="AA4552" s="102"/>
      <c r="AB4552" s="1"/>
      <c r="AC4552" s="1"/>
      <c r="AD4552" s="1"/>
      <c r="AE4552" s="1"/>
      <c r="AF4552" s="1"/>
      <c r="AG4552" s="1"/>
    </row>
    <row r="4553" ht="15.75" customHeight="1">
      <c r="A4553" s="1"/>
      <c r="B4553" s="1"/>
      <c r="C4553" s="1"/>
      <c r="D4553" s="1"/>
      <c r="E4553" s="1"/>
      <c r="F4553" s="1"/>
      <c r="G4553" s="1"/>
      <c r="H4553" s="1"/>
      <c r="I4553" s="1"/>
      <c r="J4553" s="1"/>
      <c r="K4553" s="102" t="s">
        <v>7203</v>
      </c>
      <c r="L4553" s="102" t="str">
        <f>AD579</f>
        <v>J1a2a1a2d2b2b2c4d2a2a5a1e4a6i8~</v>
      </c>
      <c r="M4553" s="102"/>
      <c r="N4553" s="102"/>
      <c r="O4553" s="105">
        <v>1.7398632E7</v>
      </c>
      <c r="P4553" s="105">
        <v>1.5286752E7</v>
      </c>
      <c r="Q4553" s="102" t="s">
        <v>2468</v>
      </c>
      <c r="S4553" s="1"/>
      <c r="T4553" s="1"/>
      <c r="U4553" s="1"/>
      <c r="V4553" s="1"/>
      <c r="W4553" s="1"/>
      <c r="X4553" s="1"/>
      <c r="Y4553" s="1"/>
      <c r="AA4553" s="102"/>
      <c r="AB4553" s="1"/>
      <c r="AC4553" s="1"/>
      <c r="AD4553" s="1"/>
      <c r="AE4553" s="1"/>
      <c r="AF4553" s="1"/>
      <c r="AG4553" s="1"/>
    </row>
    <row r="4554" ht="15.75" customHeight="1">
      <c r="A4554" s="1"/>
      <c r="B4554" s="1"/>
      <c r="C4554" s="1"/>
      <c r="D4554" s="1"/>
      <c r="E4554" s="1"/>
      <c r="F4554" s="1"/>
      <c r="G4554" s="1"/>
      <c r="H4554" s="1"/>
      <c r="I4554" s="1"/>
      <c r="J4554" s="1"/>
      <c r="K4554" s="102" t="s">
        <v>7204</v>
      </c>
      <c r="L4554" s="102" t="str">
        <f>AD579</f>
        <v>J1a2a1a2d2b2b2c4d2a2a5a1e4a6i8~</v>
      </c>
      <c r="M4554" s="102"/>
      <c r="N4554" s="102"/>
      <c r="O4554" s="105">
        <v>1.9483095E7</v>
      </c>
      <c r="P4554" s="105">
        <v>1.7371215E7</v>
      </c>
      <c r="Q4554" s="102" t="s">
        <v>2439</v>
      </c>
      <c r="S4554" s="1"/>
      <c r="T4554" s="1"/>
      <c r="U4554" s="1"/>
      <c r="V4554" s="1"/>
      <c r="W4554" s="1"/>
      <c r="X4554" s="1"/>
      <c r="Y4554" s="1"/>
      <c r="AA4554" s="102"/>
      <c r="AB4554" s="1"/>
      <c r="AC4554" s="1"/>
      <c r="AD4554" s="1"/>
      <c r="AE4554" s="1"/>
      <c r="AF4554" s="1"/>
      <c r="AG4554" s="1"/>
    </row>
    <row r="4555" ht="15.75" customHeight="1">
      <c r="A4555" s="1"/>
      <c r="B4555" s="1"/>
      <c r="C4555" s="1"/>
      <c r="D4555" s="1"/>
      <c r="E4555" s="1"/>
      <c r="F4555" s="1"/>
      <c r="G4555" s="1"/>
      <c r="H4555" s="1"/>
      <c r="I4555" s="1"/>
      <c r="J4555" s="1"/>
      <c r="K4555" s="102" t="s">
        <v>7205</v>
      </c>
      <c r="L4555" s="102" t="str">
        <f t="shared" ref="L4555:L4556" si="95">AD579</f>
        <v>J1a2a1a2d2b2b2c4d2a2a5a1e4a6i8~</v>
      </c>
      <c r="M4555" s="102"/>
      <c r="N4555" s="102"/>
      <c r="O4555" s="105">
        <v>2.3118448E7</v>
      </c>
      <c r="P4555" s="105">
        <v>2.0956562E7</v>
      </c>
      <c r="Q4555" s="102" t="s">
        <v>2468</v>
      </c>
      <c r="S4555" s="1"/>
      <c r="T4555" s="1"/>
      <c r="U4555" s="1"/>
      <c r="V4555" s="1"/>
      <c r="W4555" s="1"/>
      <c r="X4555" s="1"/>
      <c r="Y4555" s="1"/>
      <c r="AA4555" s="102"/>
      <c r="AB4555" s="1"/>
      <c r="AC4555" s="1"/>
      <c r="AD4555" s="1"/>
      <c r="AE4555" s="1"/>
      <c r="AF4555" s="1"/>
      <c r="AG4555" s="1"/>
    </row>
    <row r="4556" ht="15.75" customHeight="1">
      <c r="A4556" s="1"/>
      <c r="B4556" s="1"/>
      <c r="C4556" s="1"/>
      <c r="D4556" s="1"/>
      <c r="E4556" s="1"/>
      <c r="F4556" s="1"/>
      <c r="G4556" s="1"/>
      <c r="H4556" s="1"/>
      <c r="I4556" s="1"/>
      <c r="J4556" s="1"/>
      <c r="K4556" s="102" t="s">
        <v>7206</v>
      </c>
      <c r="L4556" s="102" t="str">
        <f t="shared" si="95"/>
        <v>J1a2a1a2d2b2b2c4d2a2a5a1e4a6i9~</v>
      </c>
      <c r="M4556" s="102"/>
      <c r="N4556" s="102"/>
      <c r="O4556" s="105">
        <v>6743795.0</v>
      </c>
      <c r="P4556" s="105">
        <v>6875754.0</v>
      </c>
      <c r="Q4556" s="102" t="s">
        <v>2439</v>
      </c>
      <c r="S4556" s="1"/>
      <c r="T4556" s="1"/>
      <c r="U4556" s="1"/>
      <c r="V4556" s="1"/>
      <c r="W4556" s="1"/>
      <c r="X4556" s="1"/>
      <c r="Y4556" s="1"/>
      <c r="AA4556" s="102"/>
      <c r="AB4556" s="1"/>
      <c r="AC4556" s="1"/>
      <c r="AD4556" s="1"/>
      <c r="AE4556" s="1"/>
      <c r="AF4556" s="1"/>
      <c r="AG4556" s="1"/>
    </row>
    <row r="4557" ht="15.75" customHeight="1">
      <c r="A4557" s="1"/>
      <c r="B4557" s="1"/>
      <c r="C4557" s="1"/>
      <c r="D4557" s="1"/>
      <c r="E4557" s="1"/>
      <c r="F4557" s="1"/>
      <c r="G4557" s="1"/>
      <c r="H4557" s="1"/>
      <c r="I4557" s="1"/>
      <c r="J4557" s="1"/>
      <c r="K4557" s="102" t="s">
        <v>7207</v>
      </c>
      <c r="L4557" s="102" t="str">
        <f>AD580</f>
        <v>J1a2a1a2d2b2b2c4d2a2a5a1e4a6i9~</v>
      </c>
      <c r="M4557" s="102"/>
      <c r="N4557" s="102"/>
      <c r="O4557" s="105">
        <v>1.4971179E7</v>
      </c>
      <c r="P4557" s="105">
        <v>1.2859254E7</v>
      </c>
      <c r="Q4557" s="102" t="s">
        <v>2468</v>
      </c>
      <c r="S4557" s="1"/>
      <c r="T4557" s="1"/>
      <c r="U4557" s="1"/>
      <c r="V4557" s="1"/>
      <c r="W4557" s="1"/>
      <c r="X4557" s="1"/>
      <c r="Y4557" s="1"/>
      <c r="AA4557" s="102"/>
      <c r="AB4557" s="1"/>
      <c r="AC4557" s="1"/>
      <c r="AD4557" s="1"/>
      <c r="AE4557" s="1"/>
      <c r="AF4557" s="1"/>
      <c r="AG4557" s="1"/>
    </row>
    <row r="4558" ht="15.75" customHeight="1">
      <c r="A4558" s="1"/>
      <c r="B4558" s="1"/>
      <c r="C4558" s="1"/>
      <c r="D4558" s="1"/>
      <c r="E4558" s="1"/>
      <c r="F4558" s="1"/>
      <c r="G4558" s="1"/>
      <c r="H4558" s="1"/>
      <c r="I4558" s="1"/>
      <c r="J4558" s="1"/>
      <c r="K4558" s="102" t="s">
        <v>7208</v>
      </c>
      <c r="L4558" s="102" t="str">
        <f>AD580</f>
        <v>J1a2a1a2d2b2b2c4d2a2a5a1e4a6i9~</v>
      </c>
      <c r="M4558" s="102"/>
      <c r="N4558" s="102"/>
      <c r="O4558" s="105">
        <v>1.6359802E7</v>
      </c>
      <c r="P4558" s="105">
        <v>1.4247922E7</v>
      </c>
      <c r="Q4558" s="102" t="s">
        <v>2446</v>
      </c>
      <c r="S4558" s="1"/>
      <c r="T4558" s="1"/>
      <c r="U4558" s="1"/>
      <c r="V4558" s="1"/>
      <c r="W4558" s="1"/>
      <c r="X4558" s="1"/>
      <c r="Y4558" s="1"/>
      <c r="AA4558" s="102"/>
      <c r="AB4558" s="1"/>
      <c r="AC4558" s="1"/>
      <c r="AD4558" s="1"/>
      <c r="AE4558" s="1"/>
      <c r="AF4558" s="1"/>
      <c r="AG4558" s="1"/>
    </row>
    <row r="4559" ht="15.75" customHeight="1">
      <c r="A4559" s="1"/>
      <c r="B4559" s="1"/>
      <c r="C4559" s="1"/>
      <c r="D4559" s="1"/>
      <c r="E4559" s="1"/>
      <c r="F4559" s="1"/>
      <c r="G4559" s="1"/>
      <c r="H4559" s="1"/>
      <c r="I4559" s="1"/>
      <c r="J4559" s="1"/>
      <c r="K4559" s="102" t="s">
        <v>7209</v>
      </c>
      <c r="L4559" s="102" t="str">
        <f>AD580</f>
        <v>J1a2a1a2d2b2b2c4d2a2a5a1e4a6i9~</v>
      </c>
      <c r="M4559" s="102"/>
      <c r="N4559" s="102"/>
      <c r="O4559" s="105">
        <v>1.7048573E7</v>
      </c>
      <c r="P4559" s="105">
        <v>1.4936693E7</v>
      </c>
      <c r="Q4559" s="102" t="s">
        <v>2576</v>
      </c>
      <c r="S4559" s="1"/>
      <c r="T4559" s="1"/>
      <c r="U4559" s="1"/>
      <c r="V4559" s="1"/>
      <c r="W4559" s="1"/>
      <c r="X4559" s="1"/>
      <c r="Y4559" s="1"/>
      <c r="AA4559" s="102"/>
      <c r="AB4559" s="1"/>
      <c r="AC4559" s="1"/>
      <c r="AD4559" s="1"/>
      <c r="AE4559" s="1"/>
      <c r="AF4559" s="1"/>
      <c r="AG4559" s="1"/>
    </row>
    <row r="4560" ht="15.75" customHeight="1">
      <c r="A4560" s="1"/>
      <c r="B4560" s="1"/>
      <c r="C4560" s="1"/>
      <c r="D4560" s="1"/>
      <c r="E4560" s="1"/>
      <c r="F4560" s="1"/>
      <c r="G4560" s="1"/>
      <c r="H4560" s="1"/>
      <c r="I4560" s="1"/>
      <c r="J4560" s="1"/>
      <c r="K4560" s="102" t="s">
        <v>7210</v>
      </c>
      <c r="L4560" s="102" t="str">
        <f t="shared" ref="L4560:L4562" si="96">AD580</f>
        <v>J1a2a1a2d2b2b2c4d2a2a5a1e4a6i9~</v>
      </c>
      <c r="M4560" s="102"/>
      <c r="N4560" s="102"/>
      <c r="O4560" s="105">
        <v>2.4500475E7</v>
      </c>
      <c r="P4560" s="105">
        <v>2.2354328E7</v>
      </c>
      <c r="Q4560" s="102" t="s">
        <v>2439</v>
      </c>
      <c r="S4560" s="1"/>
      <c r="T4560" s="1"/>
      <c r="U4560" s="1"/>
      <c r="V4560" s="1"/>
      <c r="W4560" s="1"/>
      <c r="X4560" s="1"/>
      <c r="Y4560" s="1"/>
      <c r="AA4560" s="102"/>
      <c r="AB4560" s="1"/>
      <c r="AC4560" s="1"/>
      <c r="AD4560" s="1"/>
      <c r="AE4560" s="1"/>
      <c r="AF4560" s="1"/>
      <c r="AG4560" s="1"/>
    </row>
    <row r="4561" ht="15.75" customHeight="1">
      <c r="A4561" s="1"/>
      <c r="B4561" s="1"/>
      <c r="C4561" s="1"/>
      <c r="D4561" s="1"/>
      <c r="E4561" s="1"/>
      <c r="F4561" s="1"/>
      <c r="G4561" s="1"/>
      <c r="H4561" s="1"/>
      <c r="I4561" s="1"/>
      <c r="J4561" s="1"/>
      <c r="K4561" s="102" t="s">
        <v>7211</v>
      </c>
      <c r="L4561" s="102" t="str">
        <f t="shared" si="96"/>
        <v>J1a2a1a2d2b2b2c4d2a2a5a1e4a6i10~</v>
      </c>
      <c r="M4561" s="102"/>
      <c r="N4561" s="102"/>
      <c r="O4561" s="105">
        <v>1.9565264E7</v>
      </c>
      <c r="P4561" s="105">
        <v>1.7453384E7</v>
      </c>
      <c r="Q4561" s="102" t="s">
        <v>2439</v>
      </c>
      <c r="S4561" s="1"/>
      <c r="T4561" s="1"/>
      <c r="U4561" s="1"/>
      <c r="V4561" s="1"/>
      <c r="W4561" s="1"/>
      <c r="X4561" s="1"/>
      <c r="Y4561" s="1"/>
      <c r="AA4561" s="102"/>
      <c r="AB4561" s="1"/>
      <c r="AC4561" s="1"/>
      <c r="AD4561" s="1"/>
      <c r="AE4561" s="1"/>
      <c r="AF4561" s="1"/>
      <c r="AG4561" s="1"/>
    </row>
    <row r="4562" ht="15.75" customHeight="1">
      <c r="A4562" s="1"/>
      <c r="B4562" s="1"/>
      <c r="C4562" s="1"/>
      <c r="D4562" s="1"/>
      <c r="E4562" s="1"/>
      <c r="F4562" s="1"/>
      <c r="G4562" s="1"/>
      <c r="H4562" s="1"/>
      <c r="I4562" s="1"/>
      <c r="J4562" s="1"/>
      <c r="K4562" s="102" t="s">
        <v>7212</v>
      </c>
      <c r="L4562" s="102" t="str">
        <f t="shared" si="96"/>
        <v>J1a2a1a2d2b2b2c4d2a2a5a1e4a6i11~</v>
      </c>
      <c r="M4562" s="102"/>
      <c r="N4562" s="102"/>
      <c r="O4562" s="105">
        <v>1.4265634E7</v>
      </c>
      <c r="P4562" s="105">
        <v>1.2144928E7</v>
      </c>
      <c r="Q4562" s="102" t="s">
        <v>2468</v>
      </c>
      <c r="S4562" s="1"/>
      <c r="T4562" s="1"/>
      <c r="U4562" s="1"/>
      <c r="V4562" s="1"/>
      <c r="W4562" s="1"/>
      <c r="X4562" s="1"/>
      <c r="Y4562" s="1"/>
      <c r="AA4562" s="102"/>
      <c r="AB4562" s="1"/>
      <c r="AC4562" s="1"/>
      <c r="AD4562" s="1"/>
      <c r="AE4562" s="1"/>
      <c r="AF4562" s="1"/>
      <c r="AG4562" s="1"/>
    </row>
    <row r="4563" ht="15.75" customHeight="1">
      <c r="A4563" s="1"/>
      <c r="B4563" s="1"/>
      <c r="C4563" s="1"/>
      <c r="D4563" s="1"/>
      <c r="E4563" s="1"/>
      <c r="F4563" s="1"/>
      <c r="G4563" s="1"/>
      <c r="H4563" s="1"/>
      <c r="I4563" s="1"/>
      <c r="J4563" s="1"/>
      <c r="K4563" s="102" t="s">
        <v>7213</v>
      </c>
      <c r="L4563" s="102" t="str">
        <f>AD582</f>
        <v>J1a2a1a2d2b2b2c4d2a2a5a1e4a6i11~</v>
      </c>
      <c r="M4563" s="102"/>
      <c r="N4563" s="102"/>
      <c r="O4563" s="105">
        <v>1.5809813E7</v>
      </c>
      <c r="P4563" s="105">
        <v>1.3697933E7</v>
      </c>
      <c r="Q4563" s="102" t="s">
        <v>2439</v>
      </c>
      <c r="S4563" s="1"/>
      <c r="T4563" s="1"/>
      <c r="U4563" s="1"/>
      <c r="V4563" s="1"/>
      <c r="W4563" s="1"/>
      <c r="X4563" s="1"/>
      <c r="Y4563" s="1"/>
      <c r="AA4563" s="102"/>
      <c r="AB4563" s="1"/>
      <c r="AC4563" s="1"/>
      <c r="AD4563" s="1"/>
      <c r="AE4563" s="1"/>
      <c r="AF4563" s="1"/>
      <c r="AG4563" s="1"/>
    </row>
    <row r="4564" ht="15.75" customHeight="1">
      <c r="A4564" s="1"/>
      <c r="B4564" s="1"/>
      <c r="C4564" s="1"/>
      <c r="D4564" s="1"/>
      <c r="E4564" s="1"/>
      <c r="F4564" s="1"/>
      <c r="G4564" s="1"/>
      <c r="H4564" s="1"/>
      <c r="I4564" s="1"/>
      <c r="J4564" s="1"/>
      <c r="K4564" s="102" t="s">
        <v>7214</v>
      </c>
      <c r="L4564" s="102" t="str">
        <f>AD582</f>
        <v>J1a2a1a2d2b2b2c4d2a2a5a1e4a6i11~</v>
      </c>
      <c r="M4564" s="102"/>
      <c r="N4564" s="102"/>
      <c r="O4564" s="105">
        <v>1.6854537E7</v>
      </c>
      <c r="P4564" s="105">
        <v>1.4742657E7</v>
      </c>
      <c r="Q4564" s="102" t="s">
        <v>2529</v>
      </c>
      <c r="S4564" s="1"/>
      <c r="T4564" s="1"/>
      <c r="U4564" s="1"/>
      <c r="V4564" s="1"/>
      <c r="W4564" s="1"/>
      <c r="X4564" s="1"/>
      <c r="Y4564" s="1"/>
      <c r="AA4564" s="102"/>
      <c r="AB4564" s="1"/>
      <c r="AC4564" s="1"/>
      <c r="AD4564" s="1"/>
      <c r="AE4564" s="1"/>
      <c r="AF4564" s="1"/>
      <c r="AG4564" s="1"/>
    </row>
    <row r="4565" ht="15.75" customHeight="1">
      <c r="A4565" s="1"/>
      <c r="B4565" s="1"/>
      <c r="C4565" s="1"/>
      <c r="D4565" s="1"/>
      <c r="E4565" s="1"/>
      <c r="F4565" s="1"/>
      <c r="G4565" s="1"/>
      <c r="H4565" s="1"/>
      <c r="I4565" s="1"/>
      <c r="J4565" s="1"/>
      <c r="K4565" s="102" t="s">
        <v>7215</v>
      </c>
      <c r="L4565" s="102" t="str">
        <f>AD582</f>
        <v>J1a2a1a2d2b2b2c4d2a2a5a1e4a6i11~</v>
      </c>
      <c r="M4565" s="102"/>
      <c r="N4565" s="102"/>
      <c r="O4565" s="105">
        <v>1.7207669E7</v>
      </c>
      <c r="P4565" s="105">
        <v>1.5095789E7</v>
      </c>
      <c r="Q4565" s="102" t="s">
        <v>2514</v>
      </c>
      <c r="S4565" s="1"/>
      <c r="T4565" s="1"/>
      <c r="U4565" s="1"/>
      <c r="V4565" s="1"/>
      <c r="W4565" s="1"/>
      <c r="X4565" s="1"/>
      <c r="Y4565" s="1"/>
      <c r="AA4565" s="102"/>
      <c r="AB4565" s="1"/>
      <c r="AC4565" s="1"/>
      <c r="AD4565" s="1"/>
      <c r="AE4565" s="1"/>
      <c r="AF4565" s="1"/>
      <c r="AG4565" s="1"/>
    </row>
    <row r="4566" ht="15.75" customHeight="1">
      <c r="A4566" s="1"/>
      <c r="B4566" s="1"/>
      <c r="C4566" s="1"/>
      <c r="D4566" s="1"/>
      <c r="E4566" s="1"/>
      <c r="F4566" s="1"/>
      <c r="G4566" s="1"/>
      <c r="H4566" s="1"/>
      <c r="I4566" s="1"/>
      <c r="J4566" s="1"/>
      <c r="K4566" s="102" t="s">
        <v>7216</v>
      </c>
      <c r="L4566" s="102" t="str">
        <f t="shared" ref="L4566:L4567" si="97">AD582</f>
        <v>J1a2a1a2d2b2b2c4d2a2a5a1e4a6i11~</v>
      </c>
      <c r="M4566" s="102"/>
      <c r="N4566" s="102"/>
      <c r="O4566" s="105">
        <v>1.7288991E7</v>
      </c>
      <c r="P4566" s="105">
        <v>1.5177111E7</v>
      </c>
      <c r="Q4566" s="102" t="s">
        <v>2529</v>
      </c>
      <c r="S4566" s="1"/>
      <c r="T4566" s="1"/>
      <c r="U4566" s="1"/>
      <c r="V4566" s="1"/>
      <c r="W4566" s="1"/>
      <c r="X4566" s="1"/>
      <c r="Y4566" s="1"/>
      <c r="AA4566" s="102"/>
      <c r="AB4566" s="1"/>
      <c r="AC4566" s="1"/>
      <c r="AD4566" s="1"/>
      <c r="AE4566" s="1"/>
      <c r="AF4566" s="1"/>
      <c r="AG4566" s="1"/>
    </row>
    <row r="4567" ht="15.75" customHeight="1">
      <c r="A4567" s="1"/>
      <c r="B4567" s="1"/>
      <c r="C4567" s="1"/>
      <c r="D4567" s="1"/>
      <c r="E4567" s="1"/>
      <c r="F4567" s="1"/>
      <c r="G4567" s="1"/>
      <c r="H4567" s="1"/>
      <c r="I4567" s="1"/>
      <c r="J4567" s="1"/>
      <c r="K4567" s="102" t="s">
        <v>7217</v>
      </c>
      <c r="L4567" s="102" t="str">
        <f t="shared" si="97"/>
        <v>J1a2a1a2d2b2b2c4d2a2a5a1e4a6i12~</v>
      </c>
      <c r="M4567" s="102" t="s">
        <v>7218</v>
      </c>
      <c r="N4567" s="102" t="s">
        <v>7219</v>
      </c>
      <c r="O4567" s="105">
        <v>9398715.0</v>
      </c>
      <c r="P4567" s="105">
        <v>9561106.0</v>
      </c>
      <c r="Q4567" s="102" t="s">
        <v>2529</v>
      </c>
      <c r="S4567" s="1"/>
      <c r="T4567" s="1"/>
      <c r="U4567" s="1"/>
      <c r="V4567" s="1"/>
      <c r="W4567" s="1"/>
      <c r="X4567" s="1"/>
      <c r="Y4567" s="1"/>
      <c r="AA4567" s="102"/>
      <c r="AB4567" s="1"/>
      <c r="AC4567" s="1"/>
      <c r="AD4567" s="1"/>
      <c r="AE4567" s="1"/>
      <c r="AF4567" s="1"/>
      <c r="AG4567" s="1"/>
    </row>
    <row r="4568" ht="15.75" customHeight="1">
      <c r="A4568" s="1"/>
      <c r="B4568" s="1"/>
      <c r="C4568" s="1"/>
      <c r="D4568" s="1"/>
      <c r="E4568" s="1"/>
      <c r="F4568" s="1"/>
      <c r="G4568" s="1"/>
      <c r="H4568" s="1"/>
      <c r="I4568" s="1"/>
      <c r="J4568" s="1"/>
      <c r="K4568" s="102" t="s">
        <v>7218</v>
      </c>
      <c r="L4568" s="102" t="str">
        <f>AD583</f>
        <v>J1a2a1a2d2b2b2c4d2a2a5a1e4a6i12~</v>
      </c>
      <c r="M4568" s="102" t="s">
        <v>7217</v>
      </c>
      <c r="N4568" s="102" t="s">
        <v>7219</v>
      </c>
      <c r="O4568" s="105">
        <v>9398715.0</v>
      </c>
      <c r="P4568" s="105">
        <v>9561106.0</v>
      </c>
      <c r="Q4568" s="102" t="s">
        <v>2529</v>
      </c>
      <c r="S4568" s="1"/>
      <c r="T4568" s="1"/>
      <c r="U4568" s="1"/>
      <c r="V4568" s="1"/>
      <c r="W4568" s="1"/>
      <c r="X4568" s="1"/>
      <c r="Y4568" s="1"/>
      <c r="AA4568" s="102"/>
      <c r="AB4568" s="1"/>
      <c r="AC4568" s="1"/>
      <c r="AD4568" s="1"/>
      <c r="AE4568" s="1"/>
      <c r="AF4568" s="1"/>
      <c r="AG4568" s="1"/>
    </row>
    <row r="4569" ht="15.75" customHeight="1">
      <c r="A4569" s="1"/>
      <c r="B4569" s="1"/>
      <c r="C4569" s="1"/>
      <c r="D4569" s="1"/>
      <c r="E4569" s="1"/>
      <c r="F4569" s="1"/>
      <c r="G4569" s="1"/>
      <c r="H4569" s="1"/>
      <c r="I4569" s="1"/>
      <c r="J4569" s="1"/>
      <c r="K4569" s="102" t="s">
        <v>7220</v>
      </c>
      <c r="L4569" s="102" t="str">
        <f>AD583</f>
        <v>J1a2a1a2d2b2b2c4d2a2a5a1e4a6i12~</v>
      </c>
      <c r="M4569" s="102"/>
      <c r="N4569" s="102"/>
      <c r="O4569" s="105">
        <v>1.3671134E7</v>
      </c>
      <c r="P4569" s="105">
        <v>1.1515458E7</v>
      </c>
      <c r="Q4569" s="102" t="s">
        <v>2454</v>
      </c>
      <c r="S4569" s="1"/>
      <c r="T4569" s="1"/>
      <c r="U4569" s="1"/>
      <c r="V4569" s="1"/>
      <c r="W4569" s="1"/>
      <c r="X4569" s="1"/>
      <c r="Y4569" s="1"/>
      <c r="AA4569" s="102"/>
      <c r="AB4569" s="1"/>
      <c r="AC4569" s="1"/>
      <c r="AD4569" s="1"/>
      <c r="AE4569" s="1"/>
      <c r="AF4569" s="1"/>
      <c r="AG4569" s="1"/>
    </row>
    <row r="4570" ht="15.75" customHeight="1">
      <c r="A4570" s="1"/>
      <c r="B4570" s="1"/>
      <c r="C4570" s="1"/>
      <c r="D4570" s="1"/>
      <c r="E4570" s="1"/>
      <c r="F4570" s="1"/>
      <c r="G4570" s="1"/>
      <c r="H4570" s="1"/>
      <c r="I4570" s="1"/>
      <c r="J4570" s="1"/>
      <c r="K4570" s="102" t="s">
        <v>7221</v>
      </c>
      <c r="L4570" s="102" t="str">
        <f>AD583</f>
        <v>J1a2a1a2d2b2b2c4d2a2a5a1e4a6i12~</v>
      </c>
      <c r="M4570" s="102"/>
      <c r="N4570" s="102"/>
      <c r="O4570" s="105">
        <v>1.4667644E7</v>
      </c>
      <c r="P4570" s="105">
        <v>1.255571E7</v>
      </c>
      <c r="Q4570" s="102" t="s">
        <v>2501</v>
      </c>
      <c r="S4570" s="1"/>
      <c r="T4570" s="1"/>
      <c r="U4570" s="1"/>
      <c r="V4570" s="1"/>
      <c r="W4570" s="1"/>
      <c r="X4570" s="1"/>
      <c r="Y4570" s="1"/>
      <c r="AA4570" s="102"/>
      <c r="AB4570" s="1"/>
      <c r="AC4570" s="1"/>
      <c r="AD4570" s="1"/>
      <c r="AE4570" s="1"/>
      <c r="AF4570" s="1"/>
      <c r="AG4570" s="1"/>
    </row>
    <row r="4571" ht="15.75" customHeight="1">
      <c r="A4571" s="1"/>
      <c r="B4571" s="1"/>
      <c r="C4571" s="1"/>
      <c r="D4571" s="1"/>
      <c r="E4571" s="1"/>
      <c r="F4571" s="1"/>
      <c r="G4571" s="1"/>
      <c r="H4571" s="1"/>
      <c r="I4571" s="1"/>
      <c r="J4571" s="1"/>
      <c r="K4571" s="102" t="s">
        <v>7222</v>
      </c>
      <c r="L4571" s="102" t="str">
        <f>AD583</f>
        <v>J1a2a1a2d2b2b2c4d2a2a5a1e4a6i12~</v>
      </c>
      <c r="M4571" s="102"/>
      <c r="N4571" s="102" t="s">
        <v>7223</v>
      </c>
      <c r="O4571" s="105">
        <v>1.5611642E7</v>
      </c>
      <c r="P4571" s="105">
        <v>1.3499762E7</v>
      </c>
      <c r="Q4571" s="102" t="s">
        <v>2439</v>
      </c>
      <c r="S4571" s="1"/>
      <c r="T4571" s="1"/>
      <c r="U4571" s="1"/>
      <c r="V4571" s="1"/>
      <c r="W4571" s="1"/>
      <c r="X4571" s="1"/>
      <c r="Y4571" s="1"/>
      <c r="AA4571" s="102"/>
      <c r="AB4571" s="1"/>
      <c r="AC4571" s="1"/>
      <c r="AD4571" s="1"/>
      <c r="AE4571" s="1"/>
      <c r="AF4571" s="1"/>
      <c r="AG4571" s="1"/>
    </row>
    <row r="4572" ht="15.75" customHeight="1">
      <c r="A4572" s="1"/>
      <c r="B4572" s="1"/>
      <c r="C4572" s="1"/>
      <c r="D4572" s="1"/>
      <c r="E4572" s="1"/>
      <c r="F4572" s="1"/>
      <c r="G4572" s="1"/>
      <c r="H4572" s="1"/>
      <c r="I4572" s="1"/>
      <c r="J4572" s="1"/>
      <c r="K4572" s="102" t="s">
        <v>7224</v>
      </c>
      <c r="L4572" s="102" t="str">
        <f t="shared" ref="L4572:L4573" si="98">AD583</f>
        <v>J1a2a1a2d2b2b2c4d2a2a5a1e4a6i12~</v>
      </c>
      <c r="M4572" s="102"/>
      <c r="N4572" s="102"/>
      <c r="O4572" s="105">
        <v>1.8905887E7</v>
      </c>
      <c r="P4572" s="105">
        <v>1.6794007E7</v>
      </c>
      <c r="Q4572" s="102" t="s">
        <v>2529</v>
      </c>
      <c r="S4572" s="1"/>
      <c r="T4572" s="1"/>
      <c r="U4572" s="1"/>
      <c r="V4572" s="1"/>
      <c r="W4572" s="1"/>
      <c r="X4572" s="1"/>
      <c r="Y4572" s="1"/>
      <c r="AA4572" s="102"/>
      <c r="AB4572" s="1"/>
      <c r="AC4572" s="1"/>
      <c r="AD4572" s="1"/>
      <c r="AE4572" s="1"/>
      <c r="AF4572" s="1"/>
      <c r="AG4572" s="1"/>
    </row>
    <row r="4573" ht="15.75" customHeight="1">
      <c r="A4573" s="1"/>
      <c r="B4573" s="1"/>
      <c r="C4573" s="1"/>
      <c r="D4573" s="1"/>
      <c r="E4573" s="1"/>
      <c r="F4573" s="1"/>
      <c r="G4573" s="1"/>
      <c r="H4573" s="1"/>
      <c r="I4573" s="1"/>
      <c r="J4573" s="1"/>
      <c r="K4573" s="102" t="s">
        <v>7225</v>
      </c>
      <c r="L4573" s="102" t="str">
        <f t="shared" si="98"/>
        <v>J1a2a1a2d2b2b2c4d2a2a5a1e4a6i13~</v>
      </c>
      <c r="M4573" s="102"/>
      <c r="N4573" s="102"/>
      <c r="O4573" s="105">
        <v>8359146.0</v>
      </c>
      <c r="P4573" s="105">
        <v>8491105.0</v>
      </c>
      <c r="Q4573" s="102" t="s">
        <v>2514</v>
      </c>
      <c r="S4573" s="1"/>
      <c r="T4573" s="1"/>
      <c r="U4573" s="1"/>
      <c r="V4573" s="1"/>
      <c r="W4573" s="1"/>
      <c r="X4573" s="1"/>
      <c r="Y4573" s="1"/>
      <c r="AA4573" s="102"/>
      <c r="AB4573" s="1"/>
      <c r="AC4573" s="1"/>
      <c r="AD4573" s="1"/>
      <c r="AE4573" s="1"/>
      <c r="AF4573" s="1"/>
      <c r="AG4573" s="1"/>
    </row>
    <row r="4574" ht="15.75" customHeight="1">
      <c r="A4574" s="1"/>
      <c r="B4574" s="1"/>
      <c r="C4574" s="1"/>
      <c r="D4574" s="1"/>
      <c r="E4574" s="1"/>
      <c r="F4574" s="1"/>
      <c r="G4574" s="1"/>
      <c r="H4574" s="1"/>
      <c r="I4574" s="1"/>
      <c r="J4574" s="1"/>
      <c r="K4574" s="102" t="s">
        <v>7226</v>
      </c>
      <c r="L4574" s="102" t="str">
        <f>AD584</f>
        <v>J1a2a1a2d2b2b2c4d2a2a5a1e4a6i13~</v>
      </c>
      <c r="M4574" s="102"/>
      <c r="N4574" s="102"/>
      <c r="O4574" s="105">
        <v>1.4005033E7</v>
      </c>
      <c r="P4574" s="105">
        <v>1.1884327E7</v>
      </c>
      <c r="Q4574" s="102" t="s">
        <v>2533</v>
      </c>
      <c r="S4574" s="1"/>
      <c r="T4574" s="1"/>
      <c r="U4574" s="1"/>
      <c r="V4574" s="1"/>
      <c r="W4574" s="1"/>
      <c r="X4574" s="1"/>
      <c r="Y4574" s="1"/>
      <c r="AA4574" s="102"/>
      <c r="AB4574" s="1"/>
      <c r="AC4574" s="1"/>
      <c r="AD4574" s="1"/>
      <c r="AE4574" s="1"/>
      <c r="AF4574" s="1"/>
      <c r="AG4574" s="1"/>
    </row>
    <row r="4575" ht="15.75" customHeight="1">
      <c r="A4575" s="1"/>
      <c r="B4575" s="1"/>
      <c r="C4575" s="1"/>
      <c r="D4575" s="1"/>
      <c r="E4575" s="1"/>
      <c r="F4575" s="1"/>
      <c r="G4575" s="1"/>
      <c r="H4575" s="1"/>
      <c r="I4575" s="1"/>
      <c r="J4575" s="1"/>
      <c r="K4575" s="102" t="s">
        <v>7227</v>
      </c>
      <c r="L4575" s="102" t="str">
        <f>AD584</f>
        <v>J1a2a1a2d2b2b2c4d2a2a5a1e4a6i13~</v>
      </c>
      <c r="M4575" s="102"/>
      <c r="N4575" s="102"/>
      <c r="O4575" s="105">
        <v>1.5714899E7</v>
      </c>
      <c r="P4575" s="105">
        <v>1.3603019E7</v>
      </c>
      <c r="Q4575" s="102" t="s">
        <v>2529</v>
      </c>
      <c r="S4575" s="1"/>
      <c r="T4575" s="1"/>
      <c r="U4575" s="1"/>
      <c r="V4575" s="1"/>
      <c r="W4575" s="1"/>
      <c r="X4575" s="1"/>
      <c r="Y4575" s="1"/>
      <c r="AA4575" s="102"/>
      <c r="AB4575" s="1"/>
      <c r="AC4575" s="1"/>
      <c r="AD4575" s="1"/>
      <c r="AE4575" s="1"/>
      <c r="AF4575" s="1"/>
      <c r="AG4575" s="1"/>
    </row>
    <row r="4576" ht="15.75" customHeight="1">
      <c r="A4576" s="1"/>
      <c r="B4576" s="1"/>
      <c r="C4576" s="1"/>
      <c r="D4576" s="1"/>
      <c r="E4576" s="1"/>
      <c r="F4576" s="1"/>
      <c r="G4576" s="1"/>
      <c r="H4576" s="1"/>
      <c r="I4576" s="1"/>
      <c r="J4576" s="1"/>
      <c r="K4576" s="102" t="s">
        <v>7228</v>
      </c>
      <c r="L4576" s="102" t="str">
        <f>AD584</f>
        <v>J1a2a1a2d2b2b2c4d2a2a5a1e4a6i13~</v>
      </c>
      <c r="M4576" s="102"/>
      <c r="N4576" s="102"/>
      <c r="O4576" s="105">
        <v>1.9466728E7</v>
      </c>
      <c r="P4576" s="105">
        <v>1.7354848E7</v>
      </c>
      <c r="Q4576" s="102" t="s">
        <v>2533</v>
      </c>
      <c r="S4576" s="1"/>
      <c r="T4576" s="1"/>
      <c r="U4576" s="1"/>
      <c r="V4576" s="1"/>
      <c r="W4576" s="1"/>
      <c r="X4576" s="1"/>
      <c r="Y4576" s="1"/>
      <c r="AA4576" s="102"/>
      <c r="AB4576" s="1"/>
      <c r="AC4576" s="1"/>
      <c r="AD4576" s="1"/>
      <c r="AE4576" s="1"/>
      <c r="AF4576" s="1"/>
      <c r="AG4576" s="1"/>
    </row>
    <row r="4577" ht="15.75" customHeight="1">
      <c r="A4577" s="1"/>
      <c r="B4577" s="1"/>
      <c r="C4577" s="1"/>
      <c r="D4577" s="1"/>
      <c r="E4577" s="1"/>
      <c r="F4577" s="1"/>
      <c r="G4577" s="1"/>
      <c r="H4577" s="1"/>
      <c r="I4577" s="1"/>
      <c r="J4577" s="1"/>
      <c r="K4577" s="102" t="s">
        <v>7229</v>
      </c>
      <c r="L4577" s="102" t="str">
        <f t="shared" ref="L4577:L4578" si="99">AD584</f>
        <v>J1a2a1a2d2b2b2c4d2a2a5a1e4a6i13~</v>
      </c>
      <c r="M4577" s="102"/>
      <c r="N4577" s="102"/>
      <c r="O4577" s="105">
        <v>2.452262E7</v>
      </c>
      <c r="P4577" s="105">
        <v>2.2376473E7</v>
      </c>
      <c r="Q4577" s="102" t="s">
        <v>2501</v>
      </c>
      <c r="S4577" s="1"/>
      <c r="T4577" s="1"/>
      <c r="U4577" s="1"/>
      <c r="V4577" s="1"/>
      <c r="W4577" s="1"/>
      <c r="X4577" s="1"/>
      <c r="Y4577" s="1"/>
      <c r="AA4577" s="102"/>
      <c r="AB4577" s="1"/>
      <c r="AC4577" s="1"/>
      <c r="AD4577" s="1"/>
      <c r="AE4577" s="1"/>
      <c r="AF4577" s="1"/>
      <c r="AG4577" s="1"/>
    </row>
    <row r="4578" ht="15.75" customHeight="1">
      <c r="A4578" s="1"/>
      <c r="B4578" s="1"/>
      <c r="C4578" s="1"/>
      <c r="D4578" s="1"/>
      <c r="E4578" s="1"/>
      <c r="F4578" s="1"/>
      <c r="G4578" s="1"/>
      <c r="H4578" s="1"/>
      <c r="I4578" s="1"/>
      <c r="J4578" s="1"/>
      <c r="K4578" s="102" t="s">
        <v>7230</v>
      </c>
      <c r="L4578" s="102" t="str">
        <f t="shared" si="99"/>
        <v>J1a2a1a2d2b2b2c4d2a2a5a1e4a6i14~</v>
      </c>
      <c r="M4578" s="102"/>
      <c r="N4578" s="102"/>
      <c r="O4578" s="105">
        <v>7225942.0</v>
      </c>
      <c r="P4578" s="105">
        <v>7357901.0</v>
      </c>
      <c r="Q4578" s="102" t="s">
        <v>2529</v>
      </c>
      <c r="S4578" s="1"/>
      <c r="T4578" s="1"/>
      <c r="U4578" s="1"/>
      <c r="V4578" s="1"/>
      <c r="W4578" s="1"/>
      <c r="X4578" s="1"/>
      <c r="Y4578" s="1"/>
      <c r="AA4578" s="102"/>
      <c r="AB4578" s="1"/>
      <c r="AC4578" s="1"/>
      <c r="AD4578" s="1"/>
      <c r="AE4578" s="1"/>
      <c r="AF4578" s="1"/>
      <c r="AG4578" s="1"/>
    </row>
    <row r="4579" ht="15.75" customHeight="1">
      <c r="A4579" s="1"/>
      <c r="B4579" s="1"/>
      <c r="C4579" s="1"/>
      <c r="D4579" s="1"/>
      <c r="E4579" s="1"/>
      <c r="F4579" s="1"/>
      <c r="G4579" s="1"/>
      <c r="H4579" s="1"/>
      <c r="I4579" s="1"/>
      <c r="J4579" s="1"/>
      <c r="K4579" s="102" t="s">
        <v>7231</v>
      </c>
      <c r="L4579" s="102" t="str">
        <f>AD585</f>
        <v>J1a2a1a2d2b2b2c4d2a2a5a1e4a6i14~</v>
      </c>
      <c r="M4579" s="102"/>
      <c r="N4579" s="102"/>
      <c r="O4579" s="105">
        <v>1.4008441E7</v>
      </c>
      <c r="P4579" s="105">
        <v>1.1887735E7</v>
      </c>
      <c r="Q4579" s="102" t="s">
        <v>2439</v>
      </c>
      <c r="S4579" s="1"/>
      <c r="T4579" s="1"/>
      <c r="U4579" s="1"/>
      <c r="V4579" s="1"/>
      <c r="W4579" s="1"/>
      <c r="X4579" s="1"/>
      <c r="Y4579" s="1"/>
      <c r="AA4579" s="102"/>
      <c r="AB4579" s="1"/>
      <c r="AC4579" s="1"/>
      <c r="AD4579" s="1"/>
      <c r="AE4579" s="1"/>
      <c r="AF4579" s="1"/>
      <c r="AG4579" s="1"/>
    </row>
    <row r="4580" ht="15.75" customHeight="1">
      <c r="A4580" s="1"/>
      <c r="B4580" s="1"/>
      <c r="C4580" s="1"/>
      <c r="D4580" s="1"/>
      <c r="E4580" s="1"/>
      <c r="F4580" s="1"/>
      <c r="G4580" s="1"/>
      <c r="H4580" s="1"/>
      <c r="I4580" s="1"/>
      <c r="J4580" s="1"/>
      <c r="K4580" s="102" t="s">
        <v>7232</v>
      </c>
      <c r="L4580" s="102" t="str">
        <f>AD585</f>
        <v>J1a2a1a2d2b2b2c4d2a2a5a1e4a6i14~</v>
      </c>
      <c r="M4580" s="102"/>
      <c r="N4580" s="102"/>
      <c r="O4580" s="105">
        <v>1.9257198E7</v>
      </c>
      <c r="P4580" s="105">
        <v>1.7145318E7</v>
      </c>
      <c r="Q4580" s="102" t="s">
        <v>2446</v>
      </c>
      <c r="S4580" s="1"/>
      <c r="T4580" s="1"/>
      <c r="U4580" s="1"/>
      <c r="V4580" s="1"/>
      <c r="W4580" s="1"/>
      <c r="X4580" s="1"/>
      <c r="Y4580" s="1"/>
      <c r="AA4580" s="102"/>
      <c r="AB4580" s="1"/>
      <c r="AC4580" s="1"/>
      <c r="AD4580" s="1"/>
      <c r="AE4580" s="1"/>
      <c r="AF4580" s="1"/>
      <c r="AG4580" s="1"/>
    </row>
    <row r="4581" ht="15.75" customHeight="1">
      <c r="A4581" s="1"/>
      <c r="B4581" s="1"/>
      <c r="C4581" s="1"/>
      <c r="D4581" s="1"/>
      <c r="E4581" s="1"/>
      <c r="F4581" s="1"/>
      <c r="G4581" s="1"/>
      <c r="H4581" s="1"/>
      <c r="I4581" s="1"/>
      <c r="J4581" s="1"/>
      <c r="K4581" s="102" t="s">
        <v>7233</v>
      </c>
      <c r="L4581" s="102" t="str">
        <f>AD585</f>
        <v>J1a2a1a2d2b2b2c4d2a2a5a1e4a6i14~</v>
      </c>
      <c r="M4581" s="102"/>
      <c r="N4581" s="102"/>
      <c r="O4581" s="105">
        <v>2.2861853E7</v>
      </c>
      <c r="P4581" s="105">
        <v>2.0699967E7</v>
      </c>
      <c r="Q4581" s="102" t="s">
        <v>2533</v>
      </c>
      <c r="S4581" s="1"/>
      <c r="T4581" s="1"/>
      <c r="U4581" s="1"/>
      <c r="V4581" s="1"/>
      <c r="W4581" s="1"/>
      <c r="X4581" s="1"/>
      <c r="Y4581" s="1"/>
      <c r="AA4581" s="102"/>
      <c r="AB4581" s="1"/>
      <c r="AC4581" s="1"/>
      <c r="AD4581" s="1"/>
      <c r="AE4581" s="1"/>
      <c r="AF4581" s="1"/>
      <c r="AG4581" s="1"/>
    </row>
    <row r="4582" ht="15.75" customHeight="1">
      <c r="A4582" s="1"/>
      <c r="B4582" s="1"/>
      <c r="C4582" s="1"/>
      <c r="D4582" s="1"/>
      <c r="E4582" s="1"/>
      <c r="F4582" s="1"/>
      <c r="G4582" s="1"/>
      <c r="H4582" s="1"/>
      <c r="I4582" s="1"/>
      <c r="J4582" s="1"/>
      <c r="K4582" s="102" t="s">
        <v>1139</v>
      </c>
      <c r="L4582" s="102" t="str">
        <f>AE586</f>
        <v>J1a2a1a2d2b2b2c4d2a2a5a1e4a6i14a~</v>
      </c>
      <c r="M4582" s="102"/>
      <c r="N4582" s="102"/>
      <c r="O4582" s="105">
        <v>2.152104E7</v>
      </c>
      <c r="P4582" s="105">
        <v>1.9359154E7</v>
      </c>
      <c r="Q4582" s="102" t="s">
        <v>2423</v>
      </c>
      <c r="S4582" s="1"/>
      <c r="T4582" s="1"/>
      <c r="U4582" s="1"/>
      <c r="V4582" s="1"/>
      <c r="W4582" s="1"/>
      <c r="X4582" s="1"/>
      <c r="Y4582" s="1"/>
      <c r="AA4582" s="102"/>
      <c r="AB4582" s="1"/>
      <c r="AC4582" s="1"/>
      <c r="AD4582" s="1"/>
      <c r="AE4582" s="1"/>
      <c r="AF4582" s="1"/>
      <c r="AG4582" s="1"/>
    </row>
    <row r="4583" ht="15.75" customHeight="1">
      <c r="A4583" s="1"/>
      <c r="B4583" s="1"/>
      <c r="C4583" s="1"/>
      <c r="D4583" s="1"/>
      <c r="E4583" s="1"/>
      <c r="F4583" s="1"/>
      <c r="G4583" s="1"/>
      <c r="H4583" s="1"/>
      <c r="I4583" s="1"/>
      <c r="J4583" s="1"/>
      <c r="K4583" s="102" t="s">
        <v>7234</v>
      </c>
      <c r="L4583" s="102" t="str">
        <f>AC587</f>
        <v>J1a2a1a2d2b2b2c4d2a2a5a1e4a6j~</v>
      </c>
      <c r="M4583" s="102"/>
      <c r="N4583" s="102" t="s">
        <v>7235</v>
      </c>
      <c r="O4583" s="105">
        <v>1.6695644E7</v>
      </c>
      <c r="P4583" s="105">
        <v>1.4583764E7</v>
      </c>
      <c r="Q4583" s="102" t="s">
        <v>2533</v>
      </c>
      <c r="S4583" s="1"/>
      <c r="T4583" s="1"/>
      <c r="U4583" s="1"/>
      <c r="V4583" s="1"/>
      <c r="W4583" s="1"/>
      <c r="X4583" s="1"/>
      <c r="Y4583" s="1"/>
      <c r="AA4583" s="102"/>
      <c r="AB4583" s="1"/>
      <c r="AC4583" s="1"/>
      <c r="AD4583" s="1"/>
      <c r="AE4583" s="1"/>
      <c r="AF4583" s="1"/>
      <c r="AG4583" s="1"/>
    </row>
    <row r="4584" ht="15.75" customHeight="1">
      <c r="A4584" s="1"/>
      <c r="B4584" s="1"/>
      <c r="C4584" s="1"/>
      <c r="D4584" s="1"/>
      <c r="E4584" s="1"/>
      <c r="F4584" s="1"/>
      <c r="G4584" s="1"/>
      <c r="H4584" s="1"/>
      <c r="I4584" s="1"/>
      <c r="J4584" s="1"/>
      <c r="K4584" s="102" t="s">
        <v>7236</v>
      </c>
      <c r="L4584" s="102" t="str">
        <f>AC587</f>
        <v>J1a2a1a2d2b2b2c4d2a2a5a1e4a6j~</v>
      </c>
      <c r="M4584" s="102"/>
      <c r="N4584" s="102" t="s">
        <v>7237</v>
      </c>
      <c r="O4584" s="105">
        <v>1.6696292E7</v>
      </c>
      <c r="P4584" s="105">
        <v>1.4584412E7</v>
      </c>
      <c r="Q4584" s="102" t="s">
        <v>2576</v>
      </c>
      <c r="S4584" s="1"/>
      <c r="T4584" s="1"/>
      <c r="U4584" s="1"/>
      <c r="V4584" s="1"/>
      <c r="W4584" s="1"/>
      <c r="X4584" s="1"/>
      <c r="Y4584" s="1"/>
      <c r="AA4584" s="102"/>
      <c r="AB4584" s="1"/>
      <c r="AC4584" s="1"/>
      <c r="AD4584" s="1"/>
      <c r="AE4584" s="1"/>
      <c r="AF4584" s="1"/>
      <c r="AG4584" s="1"/>
    </row>
    <row r="4585" ht="15.75" customHeight="1">
      <c r="A4585" s="1"/>
      <c r="B4585" s="1"/>
      <c r="C4585" s="1"/>
      <c r="D4585" s="1"/>
      <c r="E4585" s="1"/>
      <c r="F4585" s="1"/>
      <c r="G4585" s="1"/>
      <c r="H4585" s="1"/>
      <c r="I4585" s="1"/>
      <c r="J4585" s="1"/>
      <c r="K4585" s="102" t="s">
        <v>7238</v>
      </c>
      <c r="L4585" s="102" t="str">
        <f>AD588</f>
        <v>J1a2a1a2d2b2b2c4d2a2a5a1e4a6j1~</v>
      </c>
      <c r="M4585" s="102" t="s">
        <v>7239</v>
      </c>
      <c r="N4585" s="102"/>
      <c r="O4585" s="105">
        <v>1.4048276E7</v>
      </c>
      <c r="P4585" s="105">
        <v>1.192757E7</v>
      </c>
      <c r="Q4585" s="102" t="s">
        <v>2501</v>
      </c>
      <c r="S4585" s="1"/>
      <c r="T4585" s="1"/>
      <c r="U4585" s="1"/>
      <c r="V4585" s="1"/>
      <c r="W4585" s="1"/>
      <c r="X4585" s="1"/>
      <c r="Y4585" s="1"/>
      <c r="AA4585" s="102"/>
      <c r="AB4585" s="1"/>
      <c r="AC4585" s="1"/>
      <c r="AD4585" s="1"/>
      <c r="AE4585" s="1"/>
      <c r="AF4585" s="1"/>
      <c r="AG4585" s="1"/>
    </row>
    <row r="4586" ht="15.75" customHeight="1">
      <c r="A4586" s="1"/>
      <c r="B4586" s="1"/>
      <c r="C4586" s="1"/>
      <c r="D4586" s="1"/>
      <c r="E4586" s="1"/>
      <c r="F4586" s="1"/>
      <c r="G4586" s="1"/>
      <c r="H4586" s="1"/>
      <c r="I4586" s="1"/>
      <c r="J4586" s="1"/>
      <c r="K4586" s="102" t="s">
        <v>7239</v>
      </c>
      <c r="L4586" s="102" t="str">
        <f>AD588</f>
        <v>J1a2a1a2d2b2b2c4d2a2a5a1e4a6j1~</v>
      </c>
      <c r="M4586" s="102" t="s">
        <v>7238</v>
      </c>
      <c r="N4586" s="102"/>
      <c r="O4586" s="105">
        <v>1.4048276E7</v>
      </c>
      <c r="P4586" s="105">
        <v>1.192757E7</v>
      </c>
      <c r="Q4586" s="102" t="s">
        <v>2501</v>
      </c>
      <c r="S4586" s="1"/>
      <c r="T4586" s="1"/>
      <c r="U4586" s="1"/>
      <c r="V4586" s="1"/>
      <c r="W4586" s="1"/>
      <c r="X4586" s="1"/>
      <c r="Y4586" s="1"/>
      <c r="AA4586" s="102"/>
      <c r="AB4586" s="1"/>
      <c r="AC4586" s="1"/>
      <c r="AD4586" s="1"/>
      <c r="AE4586" s="1"/>
      <c r="AF4586" s="1"/>
      <c r="AG4586" s="1"/>
    </row>
    <row r="4587" ht="15.75" customHeight="1">
      <c r="A4587" s="1"/>
      <c r="B4587" s="1"/>
      <c r="C4587" s="1"/>
      <c r="D4587" s="1"/>
      <c r="E4587" s="1"/>
      <c r="F4587" s="1"/>
      <c r="G4587" s="1"/>
      <c r="H4587" s="1"/>
      <c r="I4587" s="1"/>
      <c r="J4587" s="1"/>
      <c r="K4587" s="102" t="s">
        <v>7240</v>
      </c>
      <c r="L4587" s="102" t="str">
        <f>AD588</f>
        <v>J1a2a1a2d2b2b2c4d2a2a5a1e4a6j1~</v>
      </c>
      <c r="M4587" s="102" t="s">
        <v>7241</v>
      </c>
      <c r="N4587" s="102"/>
      <c r="O4587" s="105">
        <v>1.4294972E7</v>
      </c>
      <c r="P4587" s="105">
        <v>1.2174266E7</v>
      </c>
      <c r="Q4587" s="102" t="s">
        <v>2501</v>
      </c>
      <c r="S4587" s="1"/>
      <c r="T4587" s="1"/>
      <c r="U4587" s="1"/>
      <c r="V4587" s="1"/>
      <c r="W4587" s="1"/>
      <c r="X4587" s="1"/>
      <c r="Y4587" s="1"/>
      <c r="AA4587" s="102"/>
      <c r="AB4587" s="1"/>
      <c r="AC4587" s="1"/>
      <c r="AD4587" s="1"/>
      <c r="AE4587" s="1"/>
      <c r="AF4587" s="1"/>
      <c r="AG4587" s="1"/>
    </row>
    <row r="4588" ht="15.75" customHeight="1">
      <c r="A4588" s="1"/>
      <c r="B4588" s="1"/>
      <c r="C4588" s="1"/>
      <c r="D4588" s="1"/>
      <c r="E4588" s="1"/>
      <c r="F4588" s="1"/>
      <c r="G4588" s="1"/>
      <c r="H4588" s="1"/>
      <c r="I4588" s="1"/>
      <c r="J4588" s="1"/>
      <c r="K4588" s="102" t="s">
        <v>7241</v>
      </c>
      <c r="L4588" s="102" t="str">
        <f>AD588</f>
        <v>J1a2a1a2d2b2b2c4d2a2a5a1e4a6j1~</v>
      </c>
      <c r="M4588" s="102" t="s">
        <v>7240</v>
      </c>
      <c r="N4588" s="102"/>
      <c r="O4588" s="105">
        <v>1.4294972E7</v>
      </c>
      <c r="P4588" s="105">
        <v>1.2174266E7</v>
      </c>
      <c r="Q4588" s="102" t="s">
        <v>2501</v>
      </c>
      <c r="S4588" s="1"/>
      <c r="T4588" s="1"/>
      <c r="U4588" s="1"/>
      <c r="V4588" s="1"/>
      <c r="W4588" s="1"/>
      <c r="X4588" s="1"/>
      <c r="Y4588" s="1"/>
      <c r="AA4588" s="102"/>
      <c r="AB4588" s="1"/>
      <c r="AC4588" s="1"/>
      <c r="AD4588" s="1"/>
      <c r="AE4588" s="1"/>
      <c r="AF4588" s="1"/>
      <c r="AG4588" s="1"/>
    </row>
    <row r="4589" ht="15.75" customHeight="1">
      <c r="A4589" s="1"/>
      <c r="B4589" s="1"/>
      <c r="C4589" s="1"/>
      <c r="D4589" s="1"/>
      <c r="E4589" s="1"/>
      <c r="F4589" s="1"/>
      <c r="G4589" s="1"/>
      <c r="H4589" s="1"/>
      <c r="I4589" s="1"/>
      <c r="J4589" s="1"/>
      <c r="K4589" s="102" t="s">
        <v>7242</v>
      </c>
      <c r="L4589" s="102" t="str">
        <f>AD588</f>
        <v>J1a2a1a2d2b2b2c4d2a2a5a1e4a6j1~</v>
      </c>
      <c r="M4589" s="102" t="s">
        <v>7243</v>
      </c>
      <c r="N4589" s="102"/>
      <c r="O4589" s="105">
        <v>1.7506711E7</v>
      </c>
      <c r="P4589" s="105">
        <v>1.5394831E7</v>
      </c>
      <c r="Q4589" s="102" t="s">
        <v>2446</v>
      </c>
      <c r="S4589" s="1"/>
      <c r="T4589" s="1"/>
      <c r="U4589" s="1"/>
      <c r="V4589" s="1"/>
      <c r="W4589" s="1"/>
      <c r="X4589" s="1"/>
      <c r="Y4589" s="1"/>
      <c r="AA4589" s="102"/>
      <c r="AB4589" s="1"/>
      <c r="AC4589" s="1"/>
      <c r="AD4589" s="1"/>
      <c r="AE4589" s="1"/>
      <c r="AF4589" s="1"/>
      <c r="AG4589" s="1"/>
    </row>
    <row r="4590" ht="15.75" customHeight="1">
      <c r="A4590" s="1"/>
      <c r="B4590" s="1"/>
      <c r="C4590" s="1"/>
      <c r="D4590" s="1"/>
      <c r="E4590" s="1"/>
      <c r="F4590" s="1"/>
      <c r="G4590" s="1"/>
      <c r="H4590" s="1"/>
      <c r="I4590" s="1"/>
      <c r="J4590" s="1"/>
      <c r="K4590" s="102" t="s">
        <v>7243</v>
      </c>
      <c r="L4590" s="102" t="str">
        <f>AD588</f>
        <v>J1a2a1a2d2b2b2c4d2a2a5a1e4a6j1~</v>
      </c>
      <c r="M4590" s="102" t="s">
        <v>7242</v>
      </c>
      <c r="N4590" s="102"/>
      <c r="O4590" s="105">
        <v>1.7506711E7</v>
      </c>
      <c r="P4590" s="105">
        <v>1.5394831E7</v>
      </c>
      <c r="Q4590" s="102" t="s">
        <v>2446</v>
      </c>
      <c r="S4590" s="1"/>
      <c r="T4590" s="1"/>
      <c r="U4590" s="1"/>
      <c r="V4590" s="1"/>
      <c r="W4590" s="1"/>
      <c r="X4590" s="1"/>
      <c r="Y4590" s="1"/>
      <c r="AA4590" s="102"/>
      <c r="AB4590" s="1"/>
      <c r="AC4590" s="1"/>
      <c r="AD4590" s="1"/>
      <c r="AE4590" s="1"/>
      <c r="AF4590" s="1"/>
      <c r="AG4590" s="1"/>
    </row>
    <row r="4591" ht="15.75" customHeight="1">
      <c r="A4591" s="1"/>
      <c r="B4591" s="1"/>
      <c r="C4591" s="1"/>
      <c r="D4591" s="1"/>
      <c r="E4591" s="1"/>
      <c r="F4591" s="1"/>
      <c r="G4591" s="1"/>
      <c r="H4591" s="1"/>
      <c r="I4591" s="1"/>
      <c r="J4591" s="1"/>
      <c r="K4591" s="102" t="s">
        <v>7244</v>
      </c>
      <c r="L4591" s="102" t="str">
        <f>AE589</f>
        <v>J1a2a1a2d2b2b2c4d2a2a5a1e4a6j1a~</v>
      </c>
      <c r="M4591" s="102" t="s">
        <v>7245</v>
      </c>
      <c r="N4591" s="102" t="s">
        <v>7246</v>
      </c>
      <c r="O4591" s="105">
        <v>1.6508455E7</v>
      </c>
      <c r="P4591" s="105">
        <v>1.4396575E7</v>
      </c>
      <c r="Q4591" s="102" t="s">
        <v>2501</v>
      </c>
      <c r="S4591" s="1"/>
      <c r="T4591" s="1"/>
      <c r="U4591" s="1"/>
      <c r="V4591" s="1"/>
      <c r="W4591" s="1"/>
      <c r="X4591" s="1"/>
      <c r="Y4591" s="1"/>
      <c r="AA4591" s="102"/>
      <c r="AB4591" s="1"/>
      <c r="AC4591" s="1"/>
      <c r="AD4591" s="1"/>
      <c r="AE4591" s="1"/>
      <c r="AF4591" s="1"/>
      <c r="AG4591" s="1"/>
    </row>
    <row r="4592" ht="15.75" customHeight="1">
      <c r="A4592" s="1"/>
      <c r="B4592" s="1"/>
      <c r="C4592" s="1"/>
      <c r="D4592" s="1"/>
      <c r="E4592" s="1"/>
      <c r="F4592" s="1"/>
      <c r="G4592" s="1"/>
      <c r="H4592" s="1"/>
      <c r="I4592" s="1"/>
      <c r="J4592" s="1"/>
      <c r="K4592" s="102" t="s">
        <v>7245</v>
      </c>
      <c r="L4592" s="102" t="str">
        <f>AE589</f>
        <v>J1a2a1a2d2b2b2c4d2a2a5a1e4a6j1a~</v>
      </c>
      <c r="M4592" s="102" t="s">
        <v>7244</v>
      </c>
      <c r="N4592" s="102" t="s">
        <v>7246</v>
      </c>
      <c r="O4592" s="105">
        <v>1.6508455E7</v>
      </c>
      <c r="P4592" s="105">
        <v>1.4396575E7</v>
      </c>
      <c r="Q4592" s="102" t="s">
        <v>2501</v>
      </c>
      <c r="S4592" s="1"/>
      <c r="T4592" s="1"/>
      <c r="U4592" s="1"/>
      <c r="V4592" s="1"/>
      <c r="W4592" s="1"/>
      <c r="X4592" s="1"/>
      <c r="Y4592" s="1"/>
      <c r="AA4592" s="102"/>
      <c r="AB4592" s="1"/>
      <c r="AC4592" s="1"/>
      <c r="AD4592" s="1"/>
      <c r="AE4592" s="1"/>
      <c r="AF4592" s="1"/>
      <c r="AG4592" s="1"/>
    </row>
    <row r="4593" ht="15.75" customHeight="1">
      <c r="A4593" s="1"/>
      <c r="B4593" s="1"/>
      <c r="C4593" s="1"/>
      <c r="D4593" s="1"/>
      <c r="E4593" s="1"/>
      <c r="F4593" s="1"/>
      <c r="G4593" s="1"/>
      <c r="H4593" s="1"/>
      <c r="I4593" s="1"/>
      <c r="J4593" s="1"/>
      <c r="K4593" s="102" t="s">
        <v>7247</v>
      </c>
      <c r="L4593" s="102" t="str">
        <f>AE589</f>
        <v>J1a2a1a2d2b2b2c4d2a2a5a1e4a6j1a~</v>
      </c>
      <c r="M4593" s="102"/>
      <c r="N4593" s="102"/>
      <c r="O4593" s="105">
        <v>1.5304903E7</v>
      </c>
      <c r="P4593" s="105">
        <v>1.3193002E7</v>
      </c>
      <c r="Q4593" s="102" t="s">
        <v>2529</v>
      </c>
      <c r="S4593" s="1"/>
      <c r="T4593" s="1"/>
      <c r="U4593" s="1"/>
      <c r="V4593" s="1"/>
      <c r="W4593" s="1"/>
      <c r="X4593" s="1"/>
      <c r="Y4593" s="1"/>
      <c r="AA4593" s="102"/>
      <c r="AB4593" s="1"/>
      <c r="AC4593" s="1"/>
      <c r="AD4593" s="1"/>
      <c r="AE4593" s="1"/>
      <c r="AF4593" s="1"/>
      <c r="AG4593" s="1"/>
    </row>
    <row r="4594" ht="15.75" customHeight="1">
      <c r="A4594" s="1"/>
      <c r="B4594" s="1"/>
      <c r="C4594" s="1"/>
      <c r="D4594" s="1"/>
      <c r="E4594" s="1"/>
      <c r="F4594" s="1"/>
      <c r="G4594" s="1"/>
      <c r="H4594" s="1"/>
      <c r="I4594" s="1"/>
      <c r="J4594" s="1"/>
      <c r="K4594" s="102" t="s">
        <v>7248</v>
      </c>
      <c r="L4594" s="102" t="str">
        <f>AE589</f>
        <v>J1a2a1a2d2b2b2c4d2a2a5a1e4a6j1a~</v>
      </c>
      <c r="M4594" s="102"/>
      <c r="N4594" s="102"/>
      <c r="O4594" s="105">
        <v>1.8044143E7</v>
      </c>
      <c r="P4594" s="105">
        <v>1.5932263E7</v>
      </c>
      <c r="Q4594" s="102" t="s">
        <v>2501</v>
      </c>
      <c r="S4594" s="1"/>
      <c r="T4594" s="1"/>
      <c r="U4594" s="1"/>
      <c r="V4594" s="1"/>
      <c r="W4594" s="1"/>
      <c r="X4594" s="1"/>
      <c r="Y4594" s="1"/>
      <c r="AA4594" s="102"/>
      <c r="AB4594" s="1"/>
      <c r="AC4594" s="1"/>
      <c r="AD4594" s="1"/>
      <c r="AE4594" s="1"/>
      <c r="AF4594" s="1"/>
      <c r="AG4594" s="1"/>
    </row>
    <row r="4595" ht="15.75" customHeight="1">
      <c r="A4595" s="1"/>
      <c r="B4595" s="1"/>
      <c r="C4595" s="1"/>
      <c r="D4595" s="1"/>
      <c r="E4595" s="1"/>
      <c r="F4595" s="1"/>
      <c r="G4595" s="1"/>
      <c r="H4595" s="1"/>
      <c r="I4595" s="1"/>
      <c r="J4595" s="1"/>
      <c r="K4595" s="102" t="s">
        <v>1147</v>
      </c>
      <c r="L4595" s="102" t="str">
        <f>AF590</f>
        <v>J1a2a1a2d2b2b2c4d2a2a5a1e4a6j1a1~</v>
      </c>
      <c r="M4595" s="102"/>
      <c r="N4595" s="102"/>
      <c r="O4595" s="105">
        <v>1.3820391E7</v>
      </c>
      <c r="P4595" s="105">
        <v>1.1699685E7</v>
      </c>
      <c r="Q4595" s="102" t="s">
        <v>2432</v>
      </c>
      <c r="S4595" s="1"/>
      <c r="T4595" s="1"/>
      <c r="U4595" s="1"/>
      <c r="V4595" s="1"/>
      <c r="W4595" s="1"/>
      <c r="X4595" s="1"/>
      <c r="Y4595" s="1"/>
      <c r="AA4595" s="102"/>
      <c r="AB4595" s="1"/>
      <c r="AC4595" s="1"/>
      <c r="AD4595" s="1"/>
      <c r="AE4595" s="1"/>
      <c r="AF4595" s="1"/>
      <c r="AG4595" s="1"/>
    </row>
    <row r="4596" ht="15.75" customHeight="1">
      <c r="A4596" s="1"/>
      <c r="B4596" s="1"/>
      <c r="C4596" s="1"/>
      <c r="D4596" s="1"/>
      <c r="E4596" s="1"/>
      <c r="F4596" s="1"/>
      <c r="G4596" s="1"/>
      <c r="H4596" s="1"/>
      <c r="I4596" s="1"/>
      <c r="J4596" s="1"/>
      <c r="K4596" s="102" t="s">
        <v>7249</v>
      </c>
      <c r="L4596" s="102" t="str">
        <f>AE591</f>
        <v>J1a2a1a2d2b2b2c4d2a2a5a1e4a6j1b~</v>
      </c>
      <c r="M4596" s="102" t="s">
        <v>7250</v>
      </c>
      <c r="N4596" s="102"/>
      <c r="O4596" s="105">
        <v>1.6646747E7</v>
      </c>
      <c r="P4596" s="105">
        <v>1.4534867E7</v>
      </c>
      <c r="Q4596" s="102" t="s">
        <v>2432</v>
      </c>
      <c r="S4596" s="1"/>
      <c r="T4596" s="1"/>
      <c r="U4596" s="1"/>
      <c r="V4596" s="1"/>
      <c r="W4596" s="1"/>
      <c r="X4596" s="1"/>
      <c r="Y4596" s="1"/>
      <c r="AA4596" s="102"/>
      <c r="AB4596" s="1"/>
      <c r="AC4596" s="1"/>
      <c r="AD4596" s="1"/>
      <c r="AE4596" s="1"/>
      <c r="AF4596" s="1"/>
      <c r="AG4596" s="1"/>
    </row>
    <row r="4597" ht="15.75" customHeight="1">
      <c r="A4597" s="1"/>
      <c r="B4597" s="1"/>
      <c r="C4597" s="1"/>
      <c r="D4597" s="1"/>
      <c r="E4597" s="1"/>
      <c r="F4597" s="1"/>
      <c r="G4597" s="1"/>
      <c r="H4597" s="1"/>
      <c r="I4597" s="1"/>
      <c r="J4597" s="1"/>
      <c r="K4597" s="102" t="s">
        <v>7250</v>
      </c>
      <c r="L4597" s="102" t="str">
        <f>AE591</f>
        <v>J1a2a1a2d2b2b2c4d2a2a5a1e4a6j1b~</v>
      </c>
      <c r="M4597" s="102" t="s">
        <v>7249</v>
      </c>
      <c r="N4597" s="102"/>
      <c r="O4597" s="105">
        <v>1.6646747E7</v>
      </c>
      <c r="P4597" s="105">
        <v>1.4534867E7</v>
      </c>
      <c r="Q4597" s="102" t="s">
        <v>2432</v>
      </c>
      <c r="S4597" s="1"/>
      <c r="T4597" s="1"/>
      <c r="U4597" s="1"/>
      <c r="V4597" s="1"/>
      <c r="W4597" s="1"/>
      <c r="X4597" s="1"/>
      <c r="Y4597" s="1"/>
      <c r="AA4597" s="102"/>
      <c r="AB4597" s="1"/>
      <c r="AC4597" s="1"/>
      <c r="AD4597" s="1"/>
      <c r="AE4597" s="1"/>
      <c r="AF4597" s="1"/>
      <c r="AG4597" s="1"/>
    </row>
    <row r="4598" ht="15.75" customHeight="1">
      <c r="A4598" s="1"/>
      <c r="B4598" s="1"/>
      <c r="C4598" s="1"/>
      <c r="D4598" s="1"/>
      <c r="E4598" s="1"/>
      <c r="F4598" s="1"/>
      <c r="G4598" s="1"/>
      <c r="H4598" s="1"/>
      <c r="I4598" s="1"/>
      <c r="J4598" s="1"/>
      <c r="K4598" s="102" t="s">
        <v>7251</v>
      </c>
      <c r="L4598" s="102" t="str">
        <f>AE591</f>
        <v>J1a2a1a2d2b2b2c4d2a2a5a1e4a6j1b~</v>
      </c>
      <c r="M4598" s="102"/>
      <c r="N4598" s="102"/>
      <c r="O4598" s="105">
        <v>1.5689691E7</v>
      </c>
      <c r="P4598" s="105">
        <v>1.3577811E7</v>
      </c>
      <c r="Q4598" s="102" t="s">
        <v>2468</v>
      </c>
      <c r="S4598" s="1"/>
      <c r="T4598" s="1"/>
      <c r="U4598" s="1"/>
      <c r="V4598" s="1"/>
      <c r="W4598" s="1"/>
      <c r="X4598" s="1"/>
      <c r="Y4598" s="1"/>
      <c r="AA4598" s="102"/>
      <c r="AB4598" s="1"/>
      <c r="AC4598" s="1"/>
      <c r="AD4598" s="1"/>
      <c r="AE4598" s="1"/>
      <c r="AF4598" s="1"/>
      <c r="AG4598" s="1"/>
    </row>
    <row r="4599" ht="15.75" customHeight="1">
      <c r="A4599" s="1"/>
      <c r="B4599" s="1"/>
      <c r="C4599" s="1"/>
      <c r="D4599" s="1"/>
      <c r="E4599" s="1"/>
      <c r="F4599" s="1"/>
      <c r="G4599" s="1"/>
      <c r="H4599" s="1"/>
      <c r="I4599" s="1"/>
      <c r="J4599" s="1"/>
      <c r="K4599" s="102" t="s">
        <v>7252</v>
      </c>
      <c r="L4599" s="102" t="str">
        <f>AF592</f>
        <v>J1a2a1a2d2b2b2c4d2a2a5a1e4a6j1b1~</v>
      </c>
      <c r="M4599" s="102" t="s">
        <v>7253</v>
      </c>
      <c r="N4599" s="102" t="s">
        <v>7254</v>
      </c>
      <c r="O4599" s="105">
        <v>2662741.0</v>
      </c>
      <c r="P4599" s="105">
        <v>2794700.0</v>
      </c>
      <c r="Q4599" s="102" t="s">
        <v>2439</v>
      </c>
      <c r="S4599" s="1"/>
      <c r="T4599" s="1"/>
      <c r="U4599" s="1"/>
      <c r="V4599" s="1"/>
      <c r="W4599" s="1"/>
      <c r="X4599" s="1"/>
      <c r="Y4599" s="1"/>
      <c r="AA4599" s="102"/>
      <c r="AB4599" s="1"/>
      <c r="AC4599" s="1"/>
      <c r="AD4599" s="1"/>
      <c r="AE4599" s="1"/>
      <c r="AF4599" s="1"/>
      <c r="AG4599" s="1"/>
    </row>
    <row r="4600" ht="15.75" customHeight="1">
      <c r="A4600" s="1"/>
      <c r="B4600" s="1"/>
      <c r="C4600" s="1"/>
      <c r="D4600" s="1"/>
      <c r="E4600" s="1"/>
      <c r="F4600" s="1"/>
      <c r="G4600" s="1"/>
      <c r="H4600" s="1"/>
      <c r="I4600" s="1"/>
      <c r="J4600" s="1"/>
      <c r="K4600" s="102" t="s">
        <v>7253</v>
      </c>
      <c r="L4600" s="102" t="str">
        <f>AF592</f>
        <v>J1a2a1a2d2b2b2c4d2a2a5a1e4a6j1b1~</v>
      </c>
      <c r="M4600" s="102" t="s">
        <v>7252</v>
      </c>
      <c r="N4600" s="102" t="s">
        <v>7254</v>
      </c>
      <c r="O4600" s="105">
        <v>2662741.0</v>
      </c>
      <c r="P4600" s="105">
        <v>2794700.0</v>
      </c>
      <c r="Q4600" s="102" t="s">
        <v>2439</v>
      </c>
      <c r="S4600" s="1"/>
      <c r="T4600" s="1"/>
      <c r="U4600" s="1"/>
      <c r="V4600" s="1"/>
      <c r="W4600" s="1"/>
      <c r="X4600" s="1"/>
      <c r="Y4600" s="1"/>
      <c r="AA4600" s="102"/>
      <c r="AB4600" s="1"/>
      <c r="AC4600" s="1"/>
      <c r="AD4600" s="1"/>
      <c r="AE4600" s="1"/>
      <c r="AF4600" s="1"/>
      <c r="AG4600" s="1"/>
    </row>
    <row r="4601" ht="15.75" customHeight="1">
      <c r="A4601" s="1"/>
      <c r="B4601" s="1"/>
      <c r="C4601" s="1"/>
      <c r="D4601" s="1"/>
      <c r="E4601" s="1"/>
      <c r="F4601" s="1"/>
      <c r="G4601" s="1"/>
      <c r="H4601" s="1"/>
      <c r="I4601" s="1"/>
      <c r="J4601" s="1"/>
      <c r="K4601" s="102" t="s">
        <v>7255</v>
      </c>
      <c r="L4601" s="102" t="str">
        <f>AE593</f>
        <v>J1a2a1a2d2b2b2c4d2a2a5a1e4a6j1c~</v>
      </c>
      <c r="M4601" s="102"/>
      <c r="N4601" s="102" t="s">
        <v>7256</v>
      </c>
      <c r="O4601" s="105">
        <v>1.4374564E7</v>
      </c>
      <c r="P4601" s="105">
        <v>1.225386E7</v>
      </c>
      <c r="Q4601" s="102" t="s">
        <v>2501</v>
      </c>
      <c r="S4601" s="1"/>
      <c r="T4601" s="1"/>
      <c r="U4601" s="1"/>
      <c r="V4601" s="1"/>
      <c r="W4601" s="1"/>
      <c r="X4601" s="1"/>
      <c r="Y4601" s="1"/>
      <c r="AA4601" s="102"/>
      <c r="AB4601" s="1"/>
      <c r="AC4601" s="1"/>
      <c r="AD4601" s="1"/>
      <c r="AE4601" s="1"/>
      <c r="AF4601" s="1"/>
      <c r="AG4601" s="1"/>
    </row>
    <row r="4602" ht="15.75" customHeight="1">
      <c r="A4602" s="1"/>
      <c r="B4602" s="1"/>
      <c r="C4602" s="1"/>
      <c r="D4602" s="1"/>
      <c r="E4602" s="1"/>
      <c r="F4602" s="1"/>
      <c r="G4602" s="1"/>
      <c r="H4602" s="1"/>
      <c r="I4602" s="1"/>
      <c r="J4602" s="1"/>
      <c r="K4602" s="102" t="s">
        <v>7257</v>
      </c>
      <c r="L4602" s="102" t="str">
        <f>AE593</f>
        <v>J1a2a1a2d2b2b2c4d2a2a5a1e4a6j1c~</v>
      </c>
      <c r="M4602" s="102"/>
      <c r="N4602" s="102"/>
      <c r="O4602" s="105">
        <v>2.8741527E7</v>
      </c>
      <c r="P4602" s="105">
        <v>2.659538E7</v>
      </c>
      <c r="Q4602" s="102" t="s">
        <v>2529</v>
      </c>
      <c r="S4602" s="1"/>
      <c r="T4602" s="1"/>
      <c r="U4602" s="1"/>
      <c r="V4602" s="1"/>
      <c r="W4602" s="1"/>
      <c r="X4602" s="1"/>
      <c r="Y4602" s="1"/>
      <c r="AA4602" s="102"/>
      <c r="AB4602" s="1"/>
      <c r="AC4602" s="1"/>
      <c r="AD4602" s="1"/>
      <c r="AE4602" s="1"/>
      <c r="AF4602" s="1"/>
      <c r="AG4602" s="1"/>
    </row>
    <row r="4603" ht="15.75" customHeight="1">
      <c r="A4603" s="1"/>
      <c r="B4603" s="1"/>
      <c r="C4603" s="1"/>
      <c r="D4603" s="1"/>
      <c r="E4603" s="1"/>
      <c r="F4603" s="1"/>
      <c r="G4603" s="1"/>
      <c r="H4603" s="1"/>
      <c r="I4603" s="1"/>
      <c r="J4603" s="1"/>
      <c r="K4603" s="102" t="s">
        <v>1155</v>
      </c>
      <c r="L4603" s="102" t="str">
        <f>AF594</f>
        <v>J1a2a1a2d2b2b2c4d2a2a5a1e4a6j1c1~</v>
      </c>
      <c r="M4603" s="102"/>
      <c r="N4603" s="102"/>
      <c r="O4603" s="105">
        <v>7940885.0</v>
      </c>
      <c r="P4603" s="105">
        <v>8072844.0</v>
      </c>
      <c r="Q4603" s="102" t="s">
        <v>2501</v>
      </c>
      <c r="S4603" s="1"/>
      <c r="T4603" s="1"/>
      <c r="U4603" s="1"/>
      <c r="V4603" s="1"/>
      <c r="W4603" s="1"/>
      <c r="X4603" s="1"/>
      <c r="Y4603" s="1"/>
      <c r="AA4603" s="102"/>
      <c r="AB4603" s="1"/>
      <c r="AC4603" s="1"/>
      <c r="AD4603" s="1"/>
      <c r="AE4603" s="1"/>
      <c r="AF4603" s="1"/>
      <c r="AG4603" s="1"/>
    </row>
    <row r="4604" ht="15.75" customHeight="1">
      <c r="A4604" s="1"/>
      <c r="B4604" s="1"/>
      <c r="C4604" s="1"/>
      <c r="D4604" s="1"/>
      <c r="E4604" s="1"/>
      <c r="F4604" s="1"/>
      <c r="G4604" s="1"/>
      <c r="H4604" s="1"/>
      <c r="I4604" s="1"/>
      <c r="J4604" s="1"/>
      <c r="K4604" s="102" t="s">
        <v>1157</v>
      </c>
      <c r="L4604" s="102" t="str">
        <f>AG595</f>
        <v>J1a2a1a2d2b2b2c4d2a2a5a1e4a6j1c1a~</v>
      </c>
      <c r="M4604" s="102"/>
      <c r="N4604" s="102"/>
      <c r="O4604" s="105">
        <v>1.558265E7</v>
      </c>
      <c r="P4604" s="105">
        <v>1.347077E7</v>
      </c>
      <c r="Q4604" s="102" t="s">
        <v>2468</v>
      </c>
      <c r="S4604" s="1"/>
      <c r="T4604" s="1"/>
      <c r="U4604" s="1"/>
      <c r="V4604" s="1"/>
      <c r="W4604" s="1"/>
      <c r="X4604" s="1"/>
      <c r="Y4604" s="1"/>
      <c r="AA4604" s="102"/>
      <c r="AB4604" s="1"/>
      <c r="AC4604" s="1"/>
      <c r="AD4604" s="1"/>
      <c r="AE4604" s="1"/>
      <c r="AF4604" s="1"/>
      <c r="AG4604" s="1"/>
    </row>
    <row r="4605" ht="15.75" customHeight="1">
      <c r="A4605" s="1"/>
      <c r="B4605" s="1"/>
      <c r="C4605" s="1"/>
      <c r="D4605" s="1"/>
      <c r="E4605" s="1"/>
      <c r="F4605" s="1"/>
      <c r="G4605" s="1"/>
      <c r="H4605" s="1"/>
      <c r="I4605" s="1"/>
      <c r="J4605" s="1"/>
      <c r="K4605" s="102" t="s">
        <v>1159</v>
      </c>
      <c r="L4605" s="102" t="str">
        <f t="shared" ref="L4605:L4606" si="100">AH596</f>
        <v>J1a2a1a2d2b2b2c4d2a2a5a1e4a6j1c1a1~</v>
      </c>
      <c r="M4605" s="102"/>
      <c r="N4605" s="102"/>
      <c r="O4605" s="105">
        <v>1.6835603E7</v>
      </c>
      <c r="P4605" s="105">
        <v>1.4723723E7</v>
      </c>
      <c r="Q4605" s="102" t="s">
        <v>2529</v>
      </c>
      <c r="S4605" s="1"/>
      <c r="T4605" s="1"/>
      <c r="U4605" s="1"/>
      <c r="V4605" s="1"/>
      <c r="W4605" s="1"/>
      <c r="X4605" s="1"/>
      <c r="Y4605" s="1"/>
      <c r="AA4605" s="102"/>
      <c r="AB4605" s="1"/>
      <c r="AC4605" s="1"/>
      <c r="AD4605" s="1"/>
      <c r="AE4605" s="1"/>
      <c r="AF4605" s="1"/>
      <c r="AG4605" s="1"/>
    </row>
    <row r="4606" ht="15.75" customHeight="1">
      <c r="A4606" s="1"/>
      <c r="B4606" s="1"/>
      <c r="C4606" s="1"/>
      <c r="D4606" s="1"/>
      <c r="E4606" s="1"/>
      <c r="F4606" s="1"/>
      <c r="G4606" s="1"/>
      <c r="H4606" s="1"/>
      <c r="I4606" s="1"/>
      <c r="J4606" s="1"/>
      <c r="K4606" s="102" t="s">
        <v>1161</v>
      </c>
      <c r="L4606" s="102" t="str">
        <f t="shared" si="100"/>
        <v>J1a2a1a2d2b2b2c4d2a2a5a1e4a6j1c1a2~</v>
      </c>
      <c r="M4606" s="102"/>
      <c r="N4606" s="102"/>
      <c r="O4606" s="105">
        <v>1.4330737E7</v>
      </c>
      <c r="P4606" s="105">
        <v>1.2210031E7</v>
      </c>
      <c r="Q4606" s="102" t="s">
        <v>2501</v>
      </c>
      <c r="S4606" s="1"/>
      <c r="T4606" s="1"/>
      <c r="U4606" s="1"/>
      <c r="V4606" s="1"/>
      <c r="W4606" s="1"/>
      <c r="X4606" s="1"/>
      <c r="Y4606" s="1"/>
      <c r="AA4606" s="102"/>
      <c r="AB4606" s="1"/>
      <c r="AC4606" s="1"/>
      <c r="AD4606" s="1"/>
      <c r="AE4606" s="1"/>
      <c r="AF4606" s="1"/>
      <c r="AG4606" s="1"/>
    </row>
    <row r="4607" ht="15.75" customHeight="1">
      <c r="A4607" s="1"/>
      <c r="B4607" s="1"/>
      <c r="C4607" s="1"/>
      <c r="D4607" s="1"/>
      <c r="E4607" s="1"/>
      <c r="F4607" s="1"/>
      <c r="G4607" s="1"/>
      <c r="H4607" s="1"/>
      <c r="I4607" s="1"/>
      <c r="J4607" s="1"/>
      <c r="K4607" s="102" t="s">
        <v>7258</v>
      </c>
      <c r="L4607" s="102" t="str">
        <f>AD598</f>
        <v>J1a2a1a2d2b2b2c4d2a2a5a1e4a6j2~</v>
      </c>
      <c r="M4607" s="102"/>
      <c r="N4607" s="102"/>
      <c r="O4607" s="105">
        <v>7009285.0</v>
      </c>
      <c r="P4607" s="105">
        <v>7141244.0</v>
      </c>
      <c r="Q4607" s="102" t="s">
        <v>2446</v>
      </c>
      <c r="S4607" s="1"/>
      <c r="T4607" s="1"/>
      <c r="U4607" s="1"/>
      <c r="V4607" s="1"/>
      <c r="W4607" s="1"/>
      <c r="X4607" s="1"/>
      <c r="Y4607" s="1"/>
      <c r="AA4607" s="102"/>
      <c r="AB4607" s="1"/>
      <c r="AC4607" s="1"/>
      <c r="AD4607" s="1"/>
      <c r="AE4607" s="1"/>
      <c r="AF4607" s="1"/>
      <c r="AG4607" s="1"/>
    </row>
    <row r="4608" ht="15.75" customHeight="1">
      <c r="A4608" s="1"/>
      <c r="B4608" s="1"/>
      <c r="C4608" s="1"/>
      <c r="D4608" s="1"/>
      <c r="E4608" s="1"/>
      <c r="F4608" s="1"/>
      <c r="G4608" s="1"/>
      <c r="H4608" s="1"/>
      <c r="I4608" s="1"/>
      <c r="J4608" s="1"/>
      <c r="K4608" s="102" t="s">
        <v>7259</v>
      </c>
      <c r="L4608" s="102" t="str">
        <f>AD598</f>
        <v>J1a2a1a2d2b2b2c4d2a2a5a1e4a6j2~</v>
      </c>
      <c r="M4608" s="102"/>
      <c r="N4608" s="102"/>
      <c r="O4608" s="105">
        <v>1.4134633E7</v>
      </c>
      <c r="P4608" s="105">
        <v>1.2013927E7</v>
      </c>
      <c r="Q4608" s="102" t="s">
        <v>2468</v>
      </c>
      <c r="S4608" s="1"/>
      <c r="T4608" s="1"/>
      <c r="U4608" s="1"/>
      <c r="V4608" s="1"/>
      <c r="W4608" s="1"/>
      <c r="X4608" s="1"/>
      <c r="Y4608" s="1"/>
      <c r="AA4608" s="102"/>
      <c r="AB4608" s="1"/>
      <c r="AC4608" s="1"/>
      <c r="AD4608" s="1"/>
      <c r="AE4608" s="1"/>
      <c r="AF4608" s="1"/>
      <c r="AG4608" s="1"/>
    </row>
    <row r="4609" ht="15.75" customHeight="1">
      <c r="A4609" s="1"/>
      <c r="B4609" s="1"/>
      <c r="C4609" s="1"/>
      <c r="D4609" s="1"/>
      <c r="E4609" s="1"/>
      <c r="F4609" s="1"/>
      <c r="G4609" s="1"/>
      <c r="H4609" s="1"/>
      <c r="I4609" s="1"/>
      <c r="J4609" s="1"/>
      <c r="K4609" s="102" t="s">
        <v>7260</v>
      </c>
      <c r="L4609" s="102" t="str">
        <f>AD598</f>
        <v>J1a2a1a2d2b2b2c4d2a2a5a1e4a6j2~</v>
      </c>
      <c r="M4609" s="102" t="s">
        <v>7261</v>
      </c>
      <c r="N4609" s="102" t="s">
        <v>7262</v>
      </c>
      <c r="O4609" s="105">
        <v>1.5880817E7</v>
      </c>
      <c r="P4609" s="105">
        <v>1.3768937E7</v>
      </c>
      <c r="Q4609" s="102" t="s">
        <v>2529</v>
      </c>
      <c r="S4609" s="1"/>
      <c r="T4609" s="1"/>
      <c r="U4609" s="1"/>
      <c r="V4609" s="1"/>
      <c r="W4609" s="1"/>
      <c r="X4609" s="1"/>
      <c r="Y4609" s="1"/>
      <c r="AA4609" s="102"/>
      <c r="AB4609" s="1"/>
      <c r="AC4609" s="1"/>
      <c r="AD4609" s="1"/>
      <c r="AE4609" s="1"/>
      <c r="AF4609" s="1"/>
      <c r="AG4609" s="1"/>
    </row>
    <row r="4610" ht="15.75" customHeight="1">
      <c r="A4610" s="1"/>
      <c r="B4610" s="1"/>
      <c r="C4610" s="1"/>
      <c r="D4610" s="1"/>
      <c r="E4610" s="1"/>
      <c r="F4610" s="1"/>
      <c r="G4610" s="1"/>
      <c r="H4610" s="1"/>
      <c r="I4610" s="1"/>
      <c r="J4610" s="1"/>
      <c r="K4610" s="102" t="s">
        <v>7261</v>
      </c>
      <c r="L4610" s="102" t="str">
        <f>AD598</f>
        <v>J1a2a1a2d2b2b2c4d2a2a5a1e4a6j2~</v>
      </c>
      <c r="M4610" s="102" t="s">
        <v>7260</v>
      </c>
      <c r="N4610" s="102" t="s">
        <v>7262</v>
      </c>
      <c r="O4610" s="105">
        <v>1.5880817E7</v>
      </c>
      <c r="P4610" s="105">
        <v>1.3768937E7</v>
      </c>
      <c r="Q4610" s="102" t="s">
        <v>2529</v>
      </c>
      <c r="S4610" s="1"/>
      <c r="T4610" s="1"/>
      <c r="U4610" s="1"/>
      <c r="V4610" s="1"/>
      <c r="W4610" s="1"/>
      <c r="X4610" s="1"/>
      <c r="Y4610" s="1"/>
      <c r="AA4610" s="102"/>
      <c r="AB4610" s="1"/>
      <c r="AC4610" s="1"/>
      <c r="AD4610" s="1"/>
      <c r="AE4610" s="1"/>
      <c r="AF4610" s="1"/>
      <c r="AG4610" s="1"/>
    </row>
    <row r="4611" ht="15.75" customHeight="1">
      <c r="A4611" s="1"/>
      <c r="B4611" s="1"/>
      <c r="C4611" s="1"/>
      <c r="D4611" s="1"/>
      <c r="E4611" s="1"/>
      <c r="F4611" s="1"/>
      <c r="G4611" s="1"/>
      <c r="H4611" s="1"/>
      <c r="I4611" s="1"/>
      <c r="J4611" s="1"/>
      <c r="K4611" s="102" t="s">
        <v>1165</v>
      </c>
      <c r="L4611" s="102" t="str">
        <f t="shared" ref="L4611:L4612" si="101">AE599</f>
        <v>J1a2a1a2d2b2b2c4d2a2a5a1e4a6j2a~</v>
      </c>
      <c r="M4611" s="102"/>
      <c r="N4611" s="102"/>
      <c r="O4611" s="105">
        <v>7987387.0</v>
      </c>
      <c r="P4611" s="105">
        <v>8119346.0</v>
      </c>
      <c r="Q4611" s="102" t="s">
        <v>2439</v>
      </c>
      <c r="S4611" s="1"/>
      <c r="T4611" s="1"/>
      <c r="U4611" s="1"/>
      <c r="V4611" s="1"/>
      <c r="W4611" s="1"/>
      <c r="X4611" s="1"/>
      <c r="Y4611" s="1"/>
      <c r="AA4611" s="102"/>
      <c r="AB4611" s="1"/>
      <c r="AC4611" s="1"/>
      <c r="AD4611" s="1"/>
      <c r="AE4611" s="1"/>
      <c r="AF4611" s="1"/>
      <c r="AG4611" s="1"/>
    </row>
    <row r="4612" ht="15.75" customHeight="1">
      <c r="A4612" s="1"/>
      <c r="B4612" s="1"/>
      <c r="C4612" s="1"/>
      <c r="D4612" s="1"/>
      <c r="E4612" s="1"/>
      <c r="F4612" s="1"/>
      <c r="G4612" s="1"/>
      <c r="H4612" s="1"/>
      <c r="I4612" s="1"/>
      <c r="J4612" s="1"/>
      <c r="K4612" s="102" t="s">
        <v>7263</v>
      </c>
      <c r="L4612" s="102" t="str">
        <f t="shared" si="101"/>
        <v>J1a2a1a2d2b2b2c4d2a2a5a1e4a6j2b~</v>
      </c>
      <c r="M4612" s="102" t="s">
        <v>7264</v>
      </c>
      <c r="N4612" s="102" t="s">
        <v>7265</v>
      </c>
      <c r="O4612" s="105">
        <v>8506137.0</v>
      </c>
      <c r="P4612" s="105">
        <v>8638096.0</v>
      </c>
      <c r="Q4612" s="102" t="s">
        <v>2501</v>
      </c>
      <c r="S4612" s="1"/>
      <c r="T4612" s="1"/>
      <c r="U4612" s="1"/>
      <c r="V4612" s="1"/>
      <c r="W4612" s="1"/>
      <c r="X4612" s="1"/>
      <c r="Y4612" s="1"/>
      <c r="AA4612" s="102"/>
      <c r="AB4612" s="1"/>
      <c r="AC4612" s="1"/>
      <c r="AD4612" s="1"/>
      <c r="AE4612" s="1"/>
      <c r="AF4612" s="1"/>
      <c r="AG4612" s="1"/>
    </row>
    <row r="4613" ht="15.75" customHeight="1">
      <c r="A4613" s="1"/>
      <c r="B4613" s="1"/>
      <c r="C4613" s="1"/>
      <c r="D4613" s="1"/>
      <c r="E4613" s="1"/>
      <c r="F4613" s="1"/>
      <c r="G4613" s="1"/>
      <c r="H4613" s="1"/>
      <c r="I4613" s="1"/>
      <c r="J4613" s="1"/>
      <c r="K4613" s="102" t="s">
        <v>7264</v>
      </c>
      <c r="L4613" s="102" t="str">
        <f>AE600</f>
        <v>J1a2a1a2d2b2b2c4d2a2a5a1e4a6j2b~</v>
      </c>
      <c r="M4613" s="102" t="s">
        <v>7263</v>
      </c>
      <c r="N4613" s="102" t="s">
        <v>7265</v>
      </c>
      <c r="O4613" s="105">
        <v>8506137.0</v>
      </c>
      <c r="P4613" s="105">
        <v>8638096.0</v>
      </c>
      <c r="Q4613" s="102" t="s">
        <v>2501</v>
      </c>
      <c r="S4613" s="1"/>
      <c r="T4613" s="1"/>
      <c r="U4613" s="1"/>
      <c r="V4613" s="1"/>
      <c r="W4613" s="1"/>
      <c r="X4613" s="1"/>
      <c r="Y4613" s="1"/>
      <c r="AA4613" s="102"/>
      <c r="AB4613" s="1"/>
      <c r="AC4613" s="1"/>
      <c r="AD4613" s="1"/>
      <c r="AE4613" s="1"/>
      <c r="AF4613" s="1"/>
      <c r="AG4613" s="1"/>
    </row>
    <row r="4614" ht="15.75" customHeight="1">
      <c r="A4614" s="1"/>
      <c r="B4614" s="1"/>
      <c r="C4614" s="1"/>
      <c r="D4614" s="1"/>
      <c r="E4614" s="1"/>
      <c r="F4614" s="1"/>
      <c r="G4614" s="1"/>
      <c r="H4614" s="1"/>
      <c r="I4614" s="1"/>
      <c r="J4614" s="1"/>
      <c r="K4614" s="102" t="s">
        <v>7266</v>
      </c>
      <c r="L4614" s="102" t="str">
        <f>AE600</f>
        <v>J1a2a1a2d2b2b2c4d2a2a5a1e4a6j2b~</v>
      </c>
      <c r="M4614" s="102" t="s">
        <v>7267</v>
      </c>
      <c r="N4614" s="102"/>
      <c r="O4614" s="105">
        <v>9164153.0</v>
      </c>
      <c r="P4614" s="105">
        <v>9326544.0</v>
      </c>
      <c r="Q4614" s="102" t="s">
        <v>2439</v>
      </c>
      <c r="S4614" s="1"/>
      <c r="T4614" s="1"/>
      <c r="U4614" s="1"/>
      <c r="V4614" s="1"/>
      <c r="W4614" s="1"/>
      <c r="X4614" s="1"/>
      <c r="Y4614" s="1"/>
      <c r="AA4614" s="102"/>
      <c r="AB4614" s="1"/>
      <c r="AC4614" s="1"/>
      <c r="AD4614" s="1"/>
      <c r="AE4614" s="1"/>
      <c r="AF4614" s="1"/>
      <c r="AG4614" s="1"/>
    </row>
    <row r="4615" ht="15.75" customHeight="1">
      <c r="A4615" s="1"/>
      <c r="B4615" s="1"/>
      <c r="C4615" s="1"/>
      <c r="D4615" s="1"/>
      <c r="E4615" s="1"/>
      <c r="F4615" s="1"/>
      <c r="G4615" s="1"/>
      <c r="H4615" s="1"/>
      <c r="I4615" s="1"/>
      <c r="J4615" s="1"/>
      <c r="K4615" s="102" t="s">
        <v>7267</v>
      </c>
      <c r="L4615" s="102" t="str">
        <f>AE600</f>
        <v>J1a2a1a2d2b2b2c4d2a2a5a1e4a6j2b~</v>
      </c>
      <c r="M4615" s="102" t="s">
        <v>7266</v>
      </c>
      <c r="N4615" s="102"/>
      <c r="O4615" s="105">
        <v>9164153.0</v>
      </c>
      <c r="P4615" s="105">
        <v>9326544.0</v>
      </c>
      <c r="Q4615" s="102" t="s">
        <v>2439</v>
      </c>
      <c r="S4615" s="1"/>
      <c r="T4615" s="1"/>
      <c r="U4615" s="1"/>
      <c r="V4615" s="1"/>
      <c r="W4615" s="1"/>
      <c r="X4615" s="1"/>
      <c r="Y4615" s="1"/>
      <c r="AA4615" s="102"/>
      <c r="AB4615" s="1"/>
      <c r="AC4615" s="1"/>
      <c r="AD4615" s="1"/>
      <c r="AE4615" s="1"/>
      <c r="AF4615" s="1"/>
      <c r="AG4615" s="1"/>
    </row>
    <row r="4616" ht="15.75" customHeight="1">
      <c r="A4616" s="1"/>
      <c r="B4616" s="1"/>
      <c r="C4616" s="1"/>
      <c r="D4616" s="1"/>
      <c r="E4616" s="1"/>
      <c r="F4616" s="1"/>
      <c r="G4616" s="1"/>
      <c r="H4616" s="1"/>
      <c r="I4616" s="1"/>
      <c r="J4616" s="1"/>
      <c r="K4616" s="102" t="s">
        <v>7268</v>
      </c>
      <c r="L4616" s="102" t="str">
        <f>AE600</f>
        <v>J1a2a1a2d2b2b2c4d2a2a5a1e4a6j2b~</v>
      </c>
      <c r="M4616" s="102" t="s">
        <v>7269</v>
      </c>
      <c r="N4616" s="102"/>
      <c r="O4616" s="105">
        <v>1.4417037E7</v>
      </c>
      <c r="P4616" s="105">
        <v>1.2296334E7</v>
      </c>
      <c r="Q4616" s="102" t="s">
        <v>2501</v>
      </c>
      <c r="S4616" s="1"/>
      <c r="T4616" s="1"/>
      <c r="U4616" s="1"/>
      <c r="V4616" s="1"/>
      <c r="W4616" s="1"/>
      <c r="X4616" s="1"/>
      <c r="Y4616" s="1"/>
      <c r="AA4616" s="102"/>
      <c r="AB4616" s="1"/>
      <c r="AC4616" s="1"/>
      <c r="AD4616" s="1"/>
      <c r="AE4616" s="1"/>
      <c r="AF4616" s="1"/>
      <c r="AG4616" s="1"/>
    </row>
    <row r="4617" ht="15.75" customHeight="1">
      <c r="A4617" s="1"/>
      <c r="B4617" s="1"/>
      <c r="C4617" s="1"/>
      <c r="D4617" s="1"/>
      <c r="E4617" s="1"/>
      <c r="F4617" s="1"/>
      <c r="G4617" s="1"/>
      <c r="H4617" s="1"/>
      <c r="I4617" s="1"/>
      <c r="J4617" s="1"/>
      <c r="K4617" s="102" t="s">
        <v>7269</v>
      </c>
      <c r="L4617" s="102" t="str">
        <f>AE600</f>
        <v>J1a2a1a2d2b2b2c4d2a2a5a1e4a6j2b~</v>
      </c>
      <c r="M4617" s="102" t="s">
        <v>7268</v>
      </c>
      <c r="N4617" s="102"/>
      <c r="O4617" s="105">
        <v>1.4417037E7</v>
      </c>
      <c r="P4617" s="105">
        <v>1.2296334E7</v>
      </c>
      <c r="Q4617" s="102" t="s">
        <v>2501</v>
      </c>
      <c r="S4617" s="1"/>
      <c r="T4617" s="1"/>
      <c r="U4617" s="1"/>
      <c r="V4617" s="1"/>
      <c r="W4617" s="1"/>
      <c r="X4617" s="1"/>
      <c r="Y4617" s="1"/>
      <c r="AA4617" s="102"/>
      <c r="AB4617" s="1"/>
      <c r="AC4617" s="1"/>
      <c r="AD4617" s="1"/>
      <c r="AE4617" s="1"/>
      <c r="AF4617" s="1"/>
      <c r="AG4617" s="1"/>
    </row>
    <row r="4618" ht="15.75" customHeight="1">
      <c r="A4618" s="1"/>
      <c r="B4618" s="1"/>
      <c r="C4618" s="1"/>
      <c r="D4618" s="1"/>
      <c r="E4618" s="1"/>
      <c r="F4618" s="1"/>
      <c r="G4618" s="1"/>
      <c r="H4618" s="1"/>
      <c r="I4618" s="1"/>
      <c r="J4618" s="1"/>
      <c r="K4618" s="102" t="s">
        <v>7270</v>
      </c>
      <c r="L4618" s="102" t="str">
        <f>AE600</f>
        <v>J1a2a1a2d2b2b2c4d2a2a5a1e4a6j2b~</v>
      </c>
      <c r="M4618" s="102" t="s">
        <v>7271</v>
      </c>
      <c r="N4618" s="102"/>
      <c r="O4618" s="105">
        <v>1.4472263E7</v>
      </c>
      <c r="P4618" s="105">
        <v>1.2351532E7</v>
      </c>
      <c r="Q4618" s="102" t="s">
        <v>2439</v>
      </c>
      <c r="S4618" s="1"/>
      <c r="T4618" s="1"/>
      <c r="U4618" s="1"/>
      <c r="V4618" s="1"/>
      <c r="W4618" s="1"/>
      <c r="X4618" s="1"/>
      <c r="Y4618" s="1"/>
      <c r="AA4618" s="102"/>
      <c r="AB4618" s="1"/>
      <c r="AC4618" s="1"/>
      <c r="AD4618" s="1"/>
      <c r="AE4618" s="1"/>
      <c r="AF4618" s="1"/>
      <c r="AG4618" s="1"/>
    </row>
    <row r="4619" ht="15.75" customHeight="1">
      <c r="A4619" s="1"/>
      <c r="B4619" s="1"/>
      <c r="C4619" s="1"/>
      <c r="D4619" s="1"/>
      <c r="E4619" s="1"/>
      <c r="F4619" s="1"/>
      <c r="G4619" s="1"/>
      <c r="H4619" s="1"/>
      <c r="I4619" s="1"/>
      <c r="J4619" s="1"/>
      <c r="K4619" s="102" t="s">
        <v>7271</v>
      </c>
      <c r="L4619" s="102" t="str">
        <f>AE600</f>
        <v>J1a2a1a2d2b2b2c4d2a2a5a1e4a6j2b~</v>
      </c>
      <c r="M4619" s="102" t="s">
        <v>7270</v>
      </c>
      <c r="N4619" s="102"/>
      <c r="O4619" s="105">
        <v>1.4472263E7</v>
      </c>
      <c r="P4619" s="105">
        <v>1.2351532E7</v>
      </c>
      <c r="Q4619" s="102" t="s">
        <v>2439</v>
      </c>
      <c r="S4619" s="1"/>
      <c r="T4619" s="1"/>
      <c r="U4619" s="1"/>
      <c r="V4619" s="1"/>
      <c r="W4619" s="1"/>
      <c r="X4619" s="1"/>
      <c r="Y4619" s="1"/>
      <c r="AA4619" s="102"/>
      <c r="AB4619" s="1"/>
      <c r="AC4619" s="1"/>
      <c r="AD4619" s="1"/>
      <c r="AE4619" s="1"/>
      <c r="AF4619" s="1"/>
      <c r="AG4619" s="1"/>
    </row>
    <row r="4620" ht="15.75" customHeight="1">
      <c r="A4620" s="1"/>
      <c r="B4620" s="1"/>
      <c r="C4620" s="1"/>
      <c r="D4620" s="1"/>
      <c r="E4620" s="1"/>
      <c r="F4620" s="1"/>
      <c r="G4620" s="1"/>
      <c r="H4620" s="1"/>
      <c r="I4620" s="1"/>
      <c r="J4620" s="1"/>
      <c r="K4620" s="102" t="s">
        <v>7272</v>
      </c>
      <c r="L4620" s="102" t="str">
        <f>AE600</f>
        <v>J1a2a1a2d2b2b2c4d2a2a5a1e4a6j2b~</v>
      </c>
      <c r="M4620" s="102" t="s">
        <v>7273</v>
      </c>
      <c r="N4620" s="102" t="s">
        <v>7274</v>
      </c>
      <c r="O4620" s="105">
        <v>1.690639E7</v>
      </c>
      <c r="P4620" s="105">
        <v>1.479451E7</v>
      </c>
      <c r="Q4620" s="102" t="s">
        <v>2576</v>
      </c>
      <c r="S4620" s="1"/>
      <c r="T4620" s="1"/>
      <c r="U4620" s="1"/>
      <c r="V4620" s="1"/>
      <c r="W4620" s="1"/>
      <c r="X4620" s="1"/>
      <c r="Y4620" s="1"/>
      <c r="AA4620" s="102"/>
      <c r="AB4620" s="1"/>
      <c r="AC4620" s="1"/>
      <c r="AD4620" s="1"/>
      <c r="AE4620" s="1"/>
      <c r="AF4620" s="1"/>
      <c r="AG4620" s="1"/>
    </row>
    <row r="4621" ht="15.75" customHeight="1">
      <c r="A4621" s="1"/>
      <c r="B4621" s="1"/>
      <c r="C4621" s="1"/>
      <c r="D4621" s="1"/>
      <c r="E4621" s="1"/>
      <c r="F4621" s="1"/>
      <c r="G4621" s="1"/>
      <c r="H4621" s="1"/>
      <c r="I4621" s="1"/>
      <c r="J4621" s="1"/>
      <c r="K4621" s="102" t="s">
        <v>7273</v>
      </c>
      <c r="L4621" s="102" t="str">
        <f>AE600</f>
        <v>J1a2a1a2d2b2b2c4d2a2a5a1e4a6j2b~</v>
      </c>
      <c r="M4621" s="102" t="s">
        <v>7272</v>
      </c>
      <c r="N4621" s="102" t="s">
        <v>7274</v>
      </c>
      <c r="O4621" s="105">
        <v>1.690639E7</v>
      </c>
      <c r="P4621" s="105">
        <v>1.479451E7</v>
      </c>
      <c r="Q4621" s="102" t="s">
        <v>2576</v>
      </c>
      <c r="S4621" s="1"/>
      <c r="T4621" s="1"/>
      <c r="U4621" s="1"/>
      <c r="V4621" s="1"/>
      <c r="W4621" s="1"/>
      <c r="X4621" s="1"/>
      <c r="Y4621" s="1"/>
      <c r="AA4621" s="102"/>
      <c r="AB4621" s="1"/>
      <c r="AC4621" s="1"/>
      <c r="AD4621" s="1"/>
      <c r="AE4621" s="1"/>
      <c r="AF4621" s="1"/>
      <c r="AG4621" s="1"/>
    </row>
    <row r="4622" ht="15.75" customHeight="1">
      <c r="A4622" s="1"/>
      <c r="B4622" s="1"/>
      <c r="C4622" s="1"/>
      <c r="D4622" s="1"/>
      <c r="E4622" s="1"/>
      <c r="F4622" s="1"/>
      <c r="G4622" s="1"/>
      <c r="H4622" s="1"/>
      <c r="I4622" s="1"/>
      <c r="J4622" s="1"/>
      <c r="K4622" s="102" t="s">
        <v>7275</v>
      </c>
      <c r="L4622" s="102" t="str">
        <f>AE600</f>
        <v>J1a2a1a2d2b2b2c4d2a2a5a1e4a6j2b~</v>
      </c>
      <c r="M4622" s="102" t="s">
        <v>7276</v>
      </c>
      <c r="N4622" s="102" t="s">
        <v>7277</v>
      </c>
      <c r="O4622" s="105">
        <v>1.7410083E7</v>
      </c>
      <c r="P4622" s="105">
        <v>1.5298203E7</v>
      </c>
      <c r="Q4622" s="102" t="s">
        <v>2501</v>
      </c>
      <c r="S4622" s="1"/>
      <c r="T4622" s="1"/>
      <c r="U4622" s="1"/>
      <c r="V4622" s="1"/>
      <c r="W4622" s="1"/>
      <c r="X4622" s="1"/>
      <c r="Y4622" s="1"/>
      <c r="AA4622" s="102"/>
      <c r="AB4622" s="1"/>
      <c r="AC4622" s="1"/>
      <c r="AD4622" s="1"/>
      <c r="AE4622" s="1"/>
      <c r="AF4622" s="1"/>
      <c r="AG4622" s="1"/>
    </row>
    <row r="4623" ht="15.75" customHeight="1">
      <c r="A4623" s="1"/>
      <c r="B4623" s="1"/>
      <c r="C4623" s="1"/>
      <c r="D4623" s="1"/>
      <c r="E4623" s="1"/>
      <c r="F4623" s="1"/>
      <c r="G4623" s="1"/>
      <c r="H4623" s="1"/>
      <c r="I4623" s="1"/>
      <c r="J4623" s="1"/>
      <c r="K4623" s="102" t="s">
        <v>7276</v>
      </c>
      <c r="L4623" s="102" t="str">
        <f>AE600</f>
        <v>J1a2a1a2d2b2b2c4d2a2a5a1e4a6j2b~</v>
      </c>
      <c r="M4623" s="102" t="s">
        <v>7275</v>
      </c>
      <c r="N4623" s="102" t="s">
        <v>7277</v>
      </c>
      <c r="O4623" s="105">
        <v>1.7410083E7</v>
      </c>
      <c r="P4623" s="105">
        <v>1.5298203E7</v>
      </c>
      <c r="Q4623" s="102" t="s">
        <v>2501</v>
      </c>
      <c r="S4623" s="1"/>
      <c r="T4623" s="1"/>
      <c r="U4623" s="1"/>
      <c r="V4623" s="1"/>
      <c r="W4623" s="1"/>
      <c r="X4623" s="1"/>
      <c r="Y4623" s="1"/>
      <c r="AA4623" s="102"/>
      <c r="AB4623" s="1"/>
      <c r="AC4623" s="1"/>
      <c r="AD4623" s="1"/>
      <c r="AE4623" s="1"/>
      <c r="AF4623" s="1"/>
      <c r="AG4623" s="1"/>
    </row>
    <row r="4624" ht="15.75" customHeight="1">
      <c r="A4624" s="1"/>
      <c r="B4624" s="1"/>
      <c r="C4624" s="1"/>
      <c r="D4624" s="1"/>
      <c r="E4624" s="1"/>
      <c r="F4624" s="1"/>
      <c r="G4624" s="1"/>
      <c r="H4624" s="1"/>
      <c r="I4624" s="1"/>
      <c r="J4624" s="1"/>
      <c r="K4624" s="102" t="s">
        <v>7278</v>
      </c>
      <c r="L4624" s="102" t="str">
        <f>AE600</f>
        <v>J1a2a1a2d2b2b2c4d2a2a5a1e4a6j2b~</v>
      </c>
      <c r="M4624" s="102"/>
      <c r="N4624" s="102"/>
      <c r="O4624" s="105">
        <v>2.318983E7</v>
      </c>
      <c r="P4624" s="105">
        <v>2.1027944E7</v>
      </c>
      <c r="Q4624" s="102" t="s">
        <v>2423</v>
      </c>
      <c r="S4624" s="1"/>
      <c r="T4624" s="1"/>
      <c r="U4624" s="1"/>
      <c r="V4624" s="1"/>
      <c r="W4624" s="1"/>
      <c r="X4624" s="1"/>
      <c r="Y4624" s="1"/>
      <c r="AA4624" s="102"/>
      <c r="AB4624" s="1"/>
      <c r="AC4624" s="1"/>
      <c r="AD4624" s="1"/>
      <c r="AE4624" s="1"/>
      <c r="AF4624" s="1"/>
      <c r="AG4624" s="1"/>
    </row>
    <row r="4625" ht="15.75" customHeight="1">
      <c r="A4625" s="1"/>
      <c r="B4625" s="1"/>
      <c r="C4625" s="1"/>
      <c r="D4625" s="1"/>
      <c r="E4625" s="1"/>
      <c r="F4625" s="1"/>
      <c r="G4625" s="1"/>
      <c r="H4625" s="1"/>
      <c r="I4625" s="1"/>
      <c r="J4625" s="1"/>
      <c r="K4625" s="102" t="s">
        <v>1169</v>
      </c>
      <c r="L4625" s="102" t="str">
        <f>AF601</f>
        <v>J1a2a1a2d2b2b2c4d2a2a5a1e4a6j2b1~</v>
      </c>
      <c r="M4625" s="102"/>
      <c r="N4625" s="102"/>
      <c r="O4625" s="105">
        <v>1.7427516E7</v>
      </c>
      <c r="P4625" s="105">
        <v>1.5315636E7</v>
      </c>
      <c r="Q4625" s="102" t="s">
        <v>2446</v>
      </c>
      <c r="S4625" s="1"/>
      <c r="T4625" s="1"/>
      <c r="U4625" s="1"/>
      <c r="V4625" s="1"/>
      <c r="W4625" s="1"/>
      <c r="X4625" s="1"/>
      <c r="Y4625" s="1"/>
      <c r="AA4625" s="102"/>
      <c r="AB4625" s="1"/>
      <c r="AC4625" s="1"/>
      <c r="AD4625" s="1"/>
      <c r="AE4625" s="1"/>
      <c r="AF4625" s="1"/>
      <c r="AG4625" s="1"/>
    </row>
    <row r="4626" ht="15.75" customHeight="1">
      <c r="A4626" s="1"/>
      <c r="B4626" s="1"/>
      <c r="C4626" s="1"/>
      <c r="D4626" s="1"/>
      <c r="E4626" s="1"/>
      <c r="F4626" s="1"/>
      <c r="G4626" s="1"/>
      <c r="H4626" s="1"/>
      <c r="I4626" s="1"/>
      <c r="J4626" s="1"/>
      <c r="K4626" s="102" t="s">
        <v>1171</v>
      </c>
      <c r="L4626" s="102" t="str">
        <f t="shared" ref="L4626:L4627" si="102">AG602</f>
        <v>J1a2a1a2d2b2b2c4d2a2a5a1e4a6j2b1a~</v>
      </c>
      <c r="M4626" s="102"/>
      <c r="N4626" s="102"/>
      <c r="O4626" s="105">
        <v>2.2909248E7</v>
      </c>
      <c r="P4626" s="105">
        <v>2.0747362E7</v>
      </c>
      <c r="Q4626" s="102" t="s">
        <v>2468</v>
      </c>
      <c r="S4626" s="1"/>
      <c r="T4626" s="1"/>
      <c r="U4626" s="1"/>
      <c r="V4626" s="1"/>
      <c r="W4626" s="1"/>
      <c r="X4626" s="1"/>
      <c r="Y4626" s="1"/>
      <c r="AA4626" s="102"/>
      <c r="AB4626" s="1"/>
      <c r="AC4626" s="1"/>
      <c r="AD4626" s="1"/>
      <c r="AE4626" s="1"/>
      <c r="AF4626" s="1"/>
      <c r="AG4626" s="1"/>
    </row>
    <row r="4627" ht="15.75" customHeight="1">
      <c r="A4627" s="1"/>
      <c r="B4627" s="1"/>
      <c r="C4627" s="1"/>
      <c r="D4627" s="1"/>
      <c r="E4627" s="1"/>
      <c r="F4627" s="1"/>
      <c r="G4627" s="1"/>
      <c r="H4627" s="1"/>
      <c r="I4627" s="1"/>
      <c r="J4627" s="1"/>
      <c r="K4627" s="102" t="s">
        <v>1173</v>
      </c>
      <c r="L4627" s="102" t="str">
        <f t="shared" si="102"/>
        <v>J1a2a1a2d2b2b2c4d2a2a5a1e4a6j2b1b~</v>
      </c>
      <c r="M4627" s="102"/>
      <c r="N4627" s="102"/>
      <c r="O4627" s="105">
        <v>9449787.0</v>
      </c>
      <c r="P4627" s="105">
        <v>9612178.0</v>
      </c>
      <c r="Q4627" s="102" t="s">
        <v>2576</v>
      </c>
      <c r="S4627" s="1"/>
      <c r="T4627" s="1"/>
      <c r="U4627" s="1"/>
      <c r="V4627" s="1"/>
      <c r="W4627" s="1"/>
      <c r="X4627" s="1"/>
      <c r="Y4627" s="1"/>
      <c r="AA4627" s="102"/>
      <c r="AB4627" s="1"/>
      <c r="AC4627" s="1"/>
      <c r="AD4627" s="1"/>
      <c r="AE4627" s="1"/>
      <c r="AF4627" s="1"/>
      <c r="AG4627" s="1"/>
    </row>
    <row r="4628" ht="15.75" customHeight="1">
      <c r="A4628" s="1"/>
      <c r="B4628" s="1"/>
      <c r="C4628" s="1"/>
      <c r="D4628" s="1"/>
      <c r="E4628" s="1"/>
      <c r="F4628" s="1"/>
      <c r="G4628" s="1"/>
      <c r="H4628" s="1"/>
      <c r="I4628" s="1"/>
      <c r="J4628" s="1"/>
      <c r="K4628" s="102" t="s">
        <v>1175</v>
      </c>
      <c r="L4628" s="102" t="str">
        <f>AF604</f>
        <v>J1a2a1a2d2b2b2c4d2a2a5a1e4a6j2b2~</v>
      </c>
      <c r="M4628" s="102"/>
      <c r="N4628" s="102" t="s">
        <v>7279</v>
      </c>
      <c r="O4628" s="105">
        <v>1.7884812E7</v>
      </c>
      <c r="P4628" s="105">
        <v>1.5772932E7</v>
      </c>
      <c r="Q4628" s="102" t="s">
        <v>2501</v>
      </c>
      <c r="S4628" s="1"/>
      <c r="T4628" s="1"/>
      <c r="U4628" s="1"/>
      <c r="V4628" s="1"/>
      <c r="W4628" s="1"/>
      <c r="X4628" s="1"/>
      <c r="Y4628" s="1"/>
      <c r="AA4628" s="102"/>
      <c r="AB4628" s="1"/>
      <c r="AC4628" s="1"/>
      <c r="AD4628" s="1"/>
      <c r="AE4628" s="1"/>
      <c r="AF4628" s="1"/>
      <c r="AG4628" s="1"/>
    </row>
    <row r="4629" ht="15.75" customHeight="1">
      <c r="A4629" s="1"/>
      <c r="B4629" s="1"/>
      <c r="C4629" s="1"/>
      <c r="D4629" s="1"/>
      <c r="E4629" s="1"/>
      <c r="F4629" s="1"/>
      <c r="G4629" s="1"/>
      <c r="H4629" s="1"/>
      <c r="I4629" s="1"/>
      <c r="J4629" s="1"/>
      <c r="K4629" s="102" t="s">
        <v>7280</v>
      </c>
      <c r="L4629" s="102" t="str">
        <f>AG605</f>
        <v>J1a2a1a2d2b2b2c4d2a2a5a1e4a6j2b2a~</v>
      </c>
      <c r="M4629" s="102"/>
      <c r="N4629" s="102" t="s">
        <v>7281</v>
      </c>
      <c r="O4629" s="105">
        <v>1.9164161E7</v>
      </c>
      <c r="P4629" s="105">
        <v>1.7052281E7</v>
      </c>
      <c r="Q4629" s="102" t="s">
        <v>2439</v>
      </c>
      <c r="S4629" s="1"/>
      <c r="T4629" s="1"/>
      <c r="U4629" s="1"/>
      <c r="V4629" s="1"/>
      <c r="W4629" s="1"/>
      <c r="X4629" s="1"/>
      <c r="Y4629" s="1"/>
      <c r="AA4629" s="102"/>
      <c r="AB4629" s="1"/>
      <c r="AC4629" s="1"/>
      <c r="AD4629" s="1"/>
      <c r="AE4629" s="1"/>
      <c r="AF4629" s="1"/>
      <c r="AG4629" s="1"/>
    </row>
    <row r="4630" ht="15.75" customHeight="1">
      <c r="A4630" s="1"/>
      <c r="B4630" s="1"/>
      <c r="C4630" s="1"/>
      <c r="D4630" s="1"/>
      <c r="E4630" s="1"/>
      <c r="F4630" s="1"/>
      <c r="G4630" s="1"/>
      <c r="H4630" s="1"/>
      <c r="I4630" s="1"/>
      <c r="J4630" s="1"/>
      <c r="K4630" s="102" t="s">
        <v>7282</v>
      </c>
      <c r="L4630" s="102" t="str">
        <f>AG605</f>
        <v>J1a2a1a2d2b2b2c4d2a2a5a1e4a6j2b2a~</v>
      </c>
      <c r="M4630" s="102"/>
      <c r="N4630" s="102" t="s">
        <v>7283</v>
      </c>
      <c r="O4630" s="105">
        <v>2.3120322E7</v>
      </c>
      <c r="P4630" s="105">
        <v>2.0958436E7</v>
      </c>
      <c r="Q4630" s="102" t="s">
        <v>2501</v>
      </c>
      <c r="S4630" s="1"/>
      <c r="T4630" s="1"/>
      <c r="U4630" s="1"/>
      <c r="V4630" s="1"/>
      <c r="W4630" s="1"/>
      <c r="X4630" s="1"/>
      <c r="Y4630" s="1"/>
      <c r="AA4630" s="102"/>
      <c r="AB4630" s="1"/>
      <c r="AC4630" s="1"/>
      <c r="AD4630" s="1"/>
      <c r="AE4630" s="1"/>
      <c r="AF4630" s="1"/>
      <c r="AG4630" s="1"/>
    </row>
    <row r="4631" ht="15.75" customHeight="1">
      <c r="A4631" s="1"/>
      <c r="B4631" s="1"/>
      <c r="C4631" s="1"/>
      <c r="D4631" s="1"/>
      <c r="E4631" s="1"/>
      <c r="F4631" s="1"/>
      <c r="G4631" s="1"/>
      <c r="H4631" s="1"/>
      <c r="I4631" s="1"/>
      <c r="J4631" s="1"/>
      <c r="K4631" s="102" t="s">
        <v>7284</v>
      </c>
      <c r="L4631" s="102" t="str">
        <f>AH606</f>
        <v>J1a2a1a2d2b2b2c4d2a2a5a1e4a6j2b2a1~</v>
      </c>
      <c r="M4631" s="102"/>
      <c r="N4631" s="102"/>
      <c r="O4631" s="105">
        <v>1.9389575E7</v>
      </c>
      <c r="P4631" s="105">
        <v>1.7277695E7</v>
      </c>
      <c r="Q4631" s="102" t="s">
        <v>2529</v>
      </c>
      <c r="S4631" s="1"/>
      <c r="T4631" s="1"/>
      <c r="U4631" s="1"/>
      <c r="V4631" s="1"/>
      <c r="W4631" s="1"/>
      <c r="X4631" s="1"/>
      <c r="Y4631" s="1"/>
      <c r="AA4631" s="102"/>
      <c r="AB4631" s="1"/>
      <c r="AC4631" s="1"/>
      <c r="AD4631" s="1"/>
      <c r="AE4631" s="1"/>
      <c r="AF4631" s="1"/>
      <c r="AG4631" s="1"/>
    </row>
    <row r="4632" ht="15.75" customHeight="1">
      <c r="A4632" s="1"/>
      <c r="B4632" s="1"/>
      <c r="C4632" s="1"/>
      <c r="D4632" s="1"/>
      <c r="E4632" s="1"/>
      <c r="F4632" s="1"/>
      <c r="G4632" s="1"/>
      <c r="H4632" s="1"/>
      <c r="I4632" s="1"/>
      <c r="J4632" s="1"/>
      <c r="K4632" s="102" t="s">
        <v>7285</v>
      </c>
      <c r="L4632" s="102" t="str">
        <f t="shared" ref="L4632:L4634" si="103">AH606</f>
        <v>J1a2a1a2d2b2b2c4d2a2a5a1e4a6j2b2a1~</v>
      </c>
      <c r="M4632" s="102"/>
      <c r="N4632" s="102"/>
      <c r="O4632" s="105">
        <v>1.6585511E7</v>
      </c>
      <c r="P4632" s="105">
        <v>1.4473631E7</v>
      </c>
      <c r="Q4632" s="102" t="s">
        <v>2468</v>
      </c>
      <c r="S4632" s="1"/>
      <c r="T4632" s="1"/>
      <c r="U4632" s="1"/>
      <c r="V4632" s="1"/>
      <c r="W4632" s="1"/>
      <c r="X4632" s="1"/>
      <c r="Y4632" s="1"/>
      <c r="AA4632" s="102"/>
      <c r="AB4632" s="1"/>
      <c r="AC4632" s="1"/>
      <c r="AD4632" s="1"/>
      <c r="AE4632" s="1"/>
      <c r="AF4632" s="1"/>
      <c r="AG4632" s="1"/>
    </row>
    <row r="4633" ht="15.75" customHeight="1">
      <c r="A4633" s="1"/>
      <c r="B4633" s="1"/>
      <c r="C4633" s="1"/>
      <c r="D4633" s="1"/>
      <c r="E4633" s="1"/>
      <c r="F4633" s="1"/>
      <c r="G4633" s="1"/>
      <c r="H4633" s="1"/>
      <c r="I4633" s="1"/>
      <c r="J4633" s="1"/>
      <c r="K4633" s="102" t="s">
        <v>1181</v>
      </c>
      <c r="L4633" s="102" t="str">
        <f t="shared" si="103"/>
        <v>J1a2a1a2d2b2b2c4d2a2a5a1e4a6j2b2a2~</v>
      </c>
      <c r="M4633" s="102"/>
      <c r="N4633" s="102" t="s">
        <v>7286</v>
      </c>
      <c r="O4633" s="105">
        <v>1.5820296E7</v>
      </c>
      <c r="P4633" s="105">
        <v>1.3708416E7</v>
      </c>
      <c r="Q4633" s="102" t="s">
        <v>2468</v>
      </c>
      <c r="S4633" s="1"/>
      <c r="T4633" s="1"/>
      <c r="U4633" s="1"/>
      <c r="V4633" s="1"/>
      <c r="W4633" s="1"/>
      <c r="X4633" s="1"/>
      <c r="Y4633" s="1"/>
      <c r="AA4633" s="102"/>
      <c r="AB4633" s="1"/>
      <c r="AC4633" s="1"/>
      <c r="AD4633" s="1"/>
      <c r="AE4633" s="1"/>
      <c r="AF4633" s="1"/>
      <c r="AG4633" s="1"/>
    </row>
    <row r="4634" ht="15.75" customHeight="1">
      <c r="A4634" s="1"/>
      <c r="B4634" s="1"/>
      <c r="C4634" s="1"/>
      <c r="D4634" s="1"/>
      <c r="E4634" s="1"/>
      <c r="F4634" s="1"/>
      <c r="G4634" s="1"/>
      <c r="H4634" s="1"/>
      <c r="I4634" s="1"/>
      <c r="J4634" s="1"/>
      <c r="K4634" s="102" t="s">
        <v>1183</v>
      </c>
      <c r="L4634" s="102" t="str">
        <f t="shared" si="103"/>
        <v>J1a2a1a2d2b2b2c4d2a2a5a1e4a6j2b2a3~</v>
      </c>
      <c r="M4634" s="102"/>
      <c r="N4634" s="102"/>
      <c r="O4634" s="105">
        <v>1.9007268E7</v>
      </c>
      <c r="P4634" s="105">
        <v>1.6895388E7</v>
      </c>
      <c r="Q4634" s="102" t="s">
        <v>2501</v>
      </c>
      <c r="S4634" s="1"/>
      <c r="T4634" s="1"/>
      <c r="U4634" s="1"/>
      <c r="V4634" s="1"/>
      <c r="W4634" s="1"/>
      <c r="X4634" s="1"/>
      <c r="Y4634" s="1"/>
      <c r="AA4634" s="102"/>
      <c r="AB4634" s="1"/>
      <c r="AC4634" s="1"/>
      <c r="AD4634" s="1"/>
      <c r="AE4634" s="1"/>
      <c r="AF4634" s="1"/>
      <c r="AG4634" s="1"/>
    </row>
    <row r="4635" ht="15.75" customHeight="1">
      <c r="A4635" s="1"/>
      <c r="B4635" s="1"/>
      <c r="C4635" s="1"/>
      <c r="D4635" s="1"/>
      <c r="E4635" s="1"/>
      <c r="F4635" s="1"/>
      <c r="G4635" s="1"/>
      <c r="H4635" s="1"/>
      <c r="I4635" s="1"/>
      <c r="J4635" s="1"/>
      <c r="K4635" s="102" t="s">
        <v>1185</v>
      </c>
      <c r="L4635" s="102" t="str">
        <f>AI609</f>
        <v>J1a2a1a2d2b2b2c4d2a2a5a1e4a6j2b2a3a~</v>
      </c>
      <c r="M4635" s="102"/>
      <c r="N4635" s="102"/>
      <c r="O4635" s="105">
        <v>2780182.0</v>
      </c>
      <c r="P4635" s="105">
        <v>2912141.0</v>
      </c>
      <c r="Q4635" s="102" t="s">
        <v>2501</v>
      </c>
      <c r="S4635" s="1"/>
      <c r="T4635" s="1"/>
      <c r="U4635" s="1"/>
      <c r="V4635" s="1"/>
      <c r="W4635" s="1"/>
      <c r="X4635" s="1"/>
      <c r="Y4635" s="1"/>
      <c r="AA4635" s="102"/>
      <c r="AB4635" s="1"/>
      <c r="AC4635" s="1"/>
      <c r="AD4635" s="1"/>
      <c r="AE4635" s="1"/>
      <c r="AF4635" s="1"/>
      <c r="AG4635" s="1"/>
    </row>
    <row r="4636" ht="15.75" customHeight="1">
      <c r="A4636" s="1"/>
      <c r="B4636" s="1"/>
      <c r="C4636" s="1"/>
      <c r="D4636" s="1"/>
      <c r="E4636" s="1"/>
      <c r="F4636" s="1"/>
      <c r="G4636" s="1"/>
      <c r="H4636" s="1"/>
      <c r="I4636" s="1"/>
      <c r="J4636" s="1"/>
      <c r="K4636" s="102" t="s">
        <v>7287</v>
      </c>
      <c r="L4636" s="102" t="str">
        <f>AE610</f>
        <v>J1a2a1a2d2b2b2c4d2a2a5a1e4a6j2c~</v>
      </c>
      <c r="M4636" s="102"/>
      <c r="N4636" s="102"/>
      <c r="O4636" s="105">
        <v>1.4679671E7</v>
      </c>
      <c r="P4636" s="105">
        <v>1.2567737E7</v>
      </c>
      <c r="Q4636" s="102" t="s">
        <v>2529</v>
      </c>
      <c r="S4636" s="1"/>
      <c r="T4636" s="1"/>
      <c r="U4636" s="1"/>
      <c r="V4636" s="1"/>
      <c r="W4636" s="1"/>
      <c r="X4636" s="1"/>
      <c r="Y4636" s="1"/>
      <c r="AA4636" s="102"/>
      <c r="AB4636" s="1"/>
      <c r="AC4636" s="1"/>
      <c r="AD4636" s="1"/>
      <c r="AE4636" s="1"/>
      <c r="AF4636" s="1"/>
      <c r="AG4636" s="1"/>
    </row>
    <row r="4637" ht="15.75" customHeight="1">
      <c r="A4637" s="1"/>
      <c r="B4637" s="1"/>
      <c r="C4637" s="1"/>
      <c r="D4637" s="1"/>
      <c r="E4637" s="1"/>
      <c r="F4637" s="1"/>
      <c r="G4637" s="1"/>
      <c r="H4637" s="1"/>
      <c r="I4637" s="1"/>
      <c r="J4637" s="1"/>
      <c r="K4637" s="102" t="s">
        <v>7288</v>
      </c>
      <c r="L4637" s="102" t="str">
        <f>AE610</f>
        <v>J1a2a1a2d2b2b2c4d2a2a5a1e4a6j2c~</v>
      </c>
      <c r="M4637" s="102"/>
      <c r="N4637" s="102"/>
      <c r="O4637" s="105">
        <v>1.9459522E7</v>
      </c>
      <c r="P4637" s="105">
        <v>1.7347642E7</v>
      </c>
      <c r="Q4637" s="102" t="s">
        <v>2439</v>
      </c>
      <c r="S4637" s="1"/>
      <c r="T4637" s="1"/>
      <c r="U4637" s="1"/>
      <c r="V4637" s="1"/>
      <c r="W4637" s="1"/>
      <c r="X4637" s="1"/>
      <c r="Y4637" s="1"/>
      <c r="AA4637" s="102"/>
      <c r="AB4637" s="1"/>
      <c r="AC4637" s="1"/>
      <c r="AD4637" s="1"/>
      <c r="AE4637" s="1"/>
      <c r="AF4637" s="1"/>
      <c r="AG4637" s="1"/>
    </row>
    <row r="4638" ht="15.75" customHeight="1">
      <c r="A4638" s="1"/>
      <c r="B4638" s="1"/>
      <c r="C4638" s="1"/>
      <c r="D4638" s="1"/>
      <c r="E4638" s="1"/>
      <c r="F4638" s="1"/>
      <c r="G4638" s="1"/>
      <c r="H4638" s="1"/>
      <c r="I4638" s="1"/>
      <c r="J4638" s="1"/>
      <c r="K4638" s="102" t="s">
        <v>1189</v>
      </c>
      <c r="L4638" s="102" t="str">
        <f>AC611</f>
        <v>J1a2a1a2d2b2b2c4d2a2a5a1e4a6k~</v>
      </c>
      <c r="M4638" s="102"/>
      <c r="N4638" s="102" t="s">
        <v>7289</v>
      </c>
      <c r="O4638" s="105">
        <v>8592084.0</v>
      </c>
      <c r="P4638" s="105">
        <v>8724043.0</v>
      </c>
      <c r="Q4638" s="102" t="s">
        <v>2501</v>
      </c>
      <c r="S4638" s="1"/>
      <c r="T4638" s="1"/>
      <c r="U4638" s="1"/>
      <c r="V4638" s="1"/>
      <c r="W4638" s="1"/>
      <c r="X4638" s="1"/>
      <c r="Y4638" s="1"/>
      <c r="AA4638" s="102"/>
      <c r="AB4638" s="1"/>
      <c r="AC4638" s="1"/>
      <c r="AD4638" s="1"/>
      <c r="AE4638" s="1"/>
      <c r="AF4638" s="1"/>
      <c r="AG4638" s="1"/>
    </row>
    <row r="4639" ht="15.75" customHeight="1">
      <c r="A4639" s="1"/>
      <c r="B4639" s="1"/>
      <c r="C4639" s="1"/>
      <c r="D4639" s="1"/>
      <c r="E4639" s="1"/>
      <c r="F4639" s="1"/>
      <c r="G4639" s="1"/>
      <c r="H4639" s="1"/>
      <c r="I4639" s="1"/>
      <c r="J4639" s="1"/>
      <c r="K4639" s="102" t="s">
        <v>7290</v>
      </c>
      <c r="L4639" s="102" t="str">
        <f>AD612</f>
        <v>J1a2a1a2d2b2b2c4d2a2a5a1e4a6k1~</v>
      </c>
      <c r="M4639" s="102" t="s">
        <v>7291</v>
      </c>
      <c r="N4639" s="102"/>
      <c r="O4639" s="105">
        <v>7053106.0</v>
      </c>
      <c r="P4639" s="105">
        <v>7185065.0</v>
      </c>
      <c r="Q4639" s="102" t="s">
        <v>2454</v>
      </c>
      <c r="S4639" s="1"/>
      <c r="T4639" s="1"/>
      <c r="U4639" s="1"/>
      <c r="V4639" s="1"/>
      <c r="W4639" s="1"/>
      <c r="X4639" s="1"/>
      <c r="Y4639" s="1"/>
      <c r="AA4639" s="102"/>
      <c r="AB4639" s="1"/>
      <c r="AC4639" s="1"/>
      <c r="AD4639" s="1"/>
      <c r="AE4639" s="1"/>
      <c r="AF4639" s="1"/>
      <c r="AG4639" s="1"/>
    </row>
    <row r="4640" ht="15.75" customHeight="1">
      <c r="A4640" s="1"/>
      <c r="B4640" s="1"/>
      <c r="C4640" s="1"/>
      <c r="D4640" s="1"/>
      <c r="E4640" s="1"/>
      <c r="F4640" s="1"/>
      <c r="G4640" s="1"/>
      <c r="H4640" s="1"/>
      <c r="I4640" s="1"/>
      <c r="J4640" s="1"/>
      <c r="K4640" s="102" t="s">
        <v>7291</v>
      </c>
      <c r="L4640" s="102" t="str">
        <f>AD612</f>
        <v>J1a2a1a2d2b2b2c4d2a2a5a1e4a6k1~</v>
      </c>
      <c r="M4640" s="102" t="s">
        <v>7290</v>
      </c>
      <c r="N4640" s="102"/>
      <c r="O4640" s="105">
        <v>7053106.0</v>
      </c>
      <c r="P4640" s="105">
        <v>7185065.0</v>
      </c>
      <c r="Q4640" s="102" t="s">
        <v>2454</v>
      </c>
      <c r="S4640" s="1"/>
      <c r="T4640" s="1"/>
      <c r="U4640" s="1"/>
      <c r="V4640" s="1"/>
      <c r="W4640" s="1"/>
      <c r="X4640" s="1"/>
      <c r="Y4640" s="1"/>
      <c r="AA4640" s="102"/>
      <c r="AB4640" s="1"/>
      <c r="AC4640" s="1"/>
      <c r="AD4640" s="1"/>
      <c r="AE4640" s="1"/>
      <c r="AF4640" s="1"/>
      <c r="AG4640" s="1"/>
    </row>
    <row r="4641" ht="15.75" customHeight="1">
      <c r="A4641" s="1"/>
      <c r="B4641" s="1"/>
      <c r="C4641" s="1"/>
      <c r="D4641" s="1"/>
      <c r="E4641" s="1"/>
      <c r="F4641" s="1"/>
      <c r="G4641" s="1"/>
      <c r="H4641" s="1"/>
      <c r="I4641" s="1"/>
      <c r="J4641" s="1"/>
      <c r="K4641" s="102" t="s">
        <v>7292</v>
      </c>
      <c r="L4641" s="102" t="str">
        <f>AD612</f>
        <v>J1a2a1a2d2b2b2c4d2a2a5a1e4a6k1~</v>
      </c>
      <c r="M4641" s="102" t="s">
        <v>7293</v>
      </c>
      <c r="N4641" s="102"/>
      <c r="O4641" s="105">
        <v>2.1387696E7</v>
      </c>
      <c r="P4641" s="105">
        <v>1.922581E7</v>
      </c>
      <c r="Q4641" s="102" t="s">
        <v>2529</v>
      </c>
      <c r="S4641" s="1"/>
      <c r="T4641" s="1"/>
      <c r="U4641" s="1"/>
      <c r="V4641" s="1"/>
      <c r="W4641" s="1"/>
      <c r="X4641" s="1"/>
      <c r="Y4641" s="1"/>
      <c r="AA4641" s="102"/>
      <c r="AB4641" s="1"/>
      <c r="AC4641" s="1"/>
      <c r="AD4641" s="1"/>
      <c r="AE4641" s="1"/>
      <c r="AF4641" s="1"/>
      <c r="AG4641" s="1"/>
    </row>
    <row r="4642" ht="15.75" customHeight="1">
      <c r="A4642" s="1"/>
      <c r="B4642" s="1"/>
      <c r="C4642" s="1"/>
      <c r="D4642" s="1"/>
      <c r="E4642" s="1"/>
      <c r="F4642" s="1"/>
      <c r="G4642" s="1"/>
      <c r="H4642" s="1"/>
      <c r="I4642" s="1"/>
      <c r="J4642" s="1"/>
      <c r="K4642" s="102" t="s">
        <v>7293</v>
      </c>
      <c r="L4642" s="102" t="str">
        <f t="shared" ref="L4642:L4643" si="104">AD612</f>
        <v>J1a2a1a2d2b2b2c4d2a2a5a1e4a6k1~</v>
      </c>
      <c r="M4642" s="102" t="s">
        <v>7292</v>
      </c>
      <c r="N4642" s="102"/>
      <c r="O4642" s="105">
        <v>2.1387696E7</v>
      </c>
      <c r="P4642" s="105">
        <v>1.922581E7</v>
      </c>
      <c r="Q4642" s="102" t="s">
        <v>2529</v>
      </c>
      <c r="S4642" s="1"/>
      <c r="T4642" s="1"/>
      <c r="U4642" s="1"/>
      <c r="V4642" s="1"/>
      <c r="W4642" s="1"/>
      <c r="X4642" s="1"/>
      <c r="Y4642" s="1"/>
      <c r="AA4642" s="102"/>
      <c r="AB4642" s="1"/>
      <c r="AC4642" s="1"/>
      <c r="AD4642" s="1"/>
      <c r="AE4642" s="1"/>
      <c r="AF4642" s="1"/>
      <c r="AG4642" s="1"/>
    </row>
    <row r="4643" ht="15.75" customHeight="1">
      <c r="A4643" s="1"/>
      <c r="B4643" s="1"/>
      <c r="C4643" s="1"/>
      <c r="D4643" s="1"/>
      <c r="E4643" s="1"/>
      <c r="F4643" s="1"/>
      <c r="G4643" s="1"/>
      <c r="H4643" s="1"/>
      <c r="I4643" s="1"/>
      <c r="J4643" s="1"/>
      <c r="K4643" s="102" t="s">
        <v>7294</v>
      </c>
      <c r="L4643" s="102" t="str">
        <f t="shared" si="104"/>
        <v>J1a2a1a2d2b2b2c4d2a2a5a1e4a6k2~</v>
      </c>
      <c r="M4643" s="102"/>
      <c r="N4643" s="102"/>
      <c r="O4643" s="105">
        <v>6730960.0</v>
      </c>
      <c r="P4643" s="105">
        <v>6862919.0</v>
      </c>
      <c r="Q4643" s="102" t="s">
        <v>2576</v>
      </c>
      <c r="S4643" s="1"/>
      <c r="T4643" s="1"/>
      <c r="U4643" s="1"/>
      <c r="V4643" s="1"/>
      <c r="W4643" s="1"/>
      <c r="X4643" s="1"/>
      <c r="Y4643" s="1"/>
      <c r="AA4643" s="102"/>
      <c r="AB4643" s="1"/>
      <c r="AC4643" s="1"/>
      <c r="AD4643" s="1"/>
      <c r="AE4643" s="1"/>
      <c r="AF4643" s="1"/>
      <c r="AG4643" s="1"/>
    </row>
    <row r="4644" ht="15.75" customHeight="1">
      <c r="A4644" s="1"/>
      <c r="B4644" s="1"/>
      <c r="C4644" s="1"/>
      <c r="D4644" s="1"/>
      <c r="E4644" s="1"/>
      <c r="F4644" s="1"/>
      <c r="G4644" s="1"/>
      <c r="H4644" s="1"/>
      <c r="I4644" s="1"/>
      <c r="J4644" s="1"/>
      <c r="K4644" s="102" t="s">
        <v>7295</v>
      </c>
      <c r="L4644" s="102" t="str">
        <f>AD613</f>
        <v>J1a2a1a2d2b2b2c4d2a2a5a1e4a6k2~</v>
      </c>
      <c r="M4644" s="102" t="s">
        <v>7296</v>
      </c>
      <c r="N4644" s="102"/>
      <c r="O4644" s="105">
        <v>1.8937999E7</v>
      </c>
      <c r="P4644" s="105">
        <v>1.6826119E7</v>
      </c>
      <c r="Q4644" s="102" t="s">
        <v>2432</v>
      </c>
      <c r="S4644" s="1"/>
      <c r="T4644" s="1"/>
      <c r="U4644" s="1"/>
      <c r="V4644" s="1"/>
      <c r="W4644" s="1"/>
      <c r="X4644" s="1"/>
      <c r="Y4644" s="1"/>
      <c r="AA4644" s="102"/>
      <c r="AB4644" s="1"/>
      <c r="AC4644" s="1"/>
      <c r="AD4644" s="1"/>
      <c r="AE4644" s="1"/>
      <c r="AF4644" s="1"/>
      <c r="AG4644" s="1"/>
    </row>
    <row r="4645" ht="15.75" customHeight="1">
      <c r="A4645" s="1"/>
      <c r="B4645" s="1"/>
      <c r="C4645" s="1"/>
      <c r="D4645" s="1"/>
      <c r="E4645" s="1"/>
      <c r="F4645" s="1"/>
      <c r="G4645" s="1"/>
      <c r="H4645" s="1"/>
      <c r="I4645" s="1"/>
      <c r="J4645" s="1"/>
      <c r="K4645" s="102" t="s">
        <v>7296</v>
      </c>
      <c r="L4645" s="102" t="str">
        <f>AD613</f>
        <v>J1a2a1a2d2b2b2c4d2a2a5a1e4a6k2~</v>
      </c>
      <c r="M4645" s="102" t="s">
        <v>7295</v>
      </c>
      <c r="N4645" s="102"/>
      <c r="O4645" s="105">
        <v>1.8937999E7</v>
      </c>
      <c r="P4645" s="105">
        <v>1.6826119E7</v>
      </c>
      <c r="Q4645" s="102" t="s">
        <v>2432</v>
      </c>
      <c r="S4645" s="1"/>
      <c r="T4645" s="1"/>
      <c r="U4645" s="1"/>
      <c r="V4645" s="1"/>
      <c r="W4645" s="1"/>
      <c r="X4645" s="1"/>
      <c r="Y4645" s="1"/>
      <c r="AA4645" s="102"/>
      <c r="AB4645" s="1"/>
      <c r="AC4645" s="1"/>
      <c r="AD4645" s="1"/>
      <c r="AE4645" s="1"/>
      <c r="AF4645" s="1"/>
      <c r="AG4645" s="1"/>
    </row>
    <row r="4646" ht="15.75" customHeight="1">
      <c r="A4646" s="1"/>
      <c r="B4646" s="1"/>
      <c r="C4646" s="1"/>
      <c r="D4646" s="1"/>
      <c r="E4646" s="1"/>
      <c r="F4646" s="1"/>
      <c r="G4646" s="1"/>
      <c r="H4646" s="1"/>
      <c r="I4646" s="1"/>
      <c r="J4646" s="1"/>
      <c r="K4646" s="102" t="s">
        <v>7297</v>
      </c>
      <c r="L4646" s="102" t="str">
        <f>AD613</f>
        <v>J1a2a1a2d2b2b2c4d2a2a5a1e4a6k2~</v>
      </c>
      <c r="M4646" s="102" t="s">
        <v>7298</v>
      </c>
      <c r="N4646" s="102"/>
      <c r="O4646" s="105">
        <v>1.9287125E7</v>
      </c>
      <c r="P4646" s="105">
        <v>1.7175245E7</v>
      </c>
      <c r="Q4646" s="102" t="s">
        <v>2529</v>
      </c>
      <c r="S4646" s="1"/>
      <c r="T4646" s="1"/>
      <c r="U4646" s="1"/>
      <c r="V4646" s="1"/>
      <c r="W4646" s="1"/>
      <c r="X4646" s="1"/>
      <c r="Y4646" s="1"/>
      <c r="AA4646" s="102"/>
      <c r="AB4646" s="1"/>
      <c r="AC4646" s="1"/>
      <c r="AD4646" s="1"/>
      <c r="AE4646" s="1"/>
      <c r="AF4646" s="1"/>
      <c r="AG4646" s="1"/>
    </row>
    <row r="4647" ht="15.75" customHeight="1">
      <c r="A4647" s="1"/>
      <c r="B4647" s="1"/>
      <c r="C4647" s="1"/>
      <c r="D4647" s="1"/>
      <c r="E4647" s="1"/>
      <c r="F4647" s="1"/>
      <c r="G4647" s="1"/>
      <c r="H4647" s="1"/>
      <c r="I4647" s="1"/>
      <c r="J4647" s="1"/>
      <c r="K4647" s="102" t="s">
        <v>7298</v>
      </c>
      <c r="L4647" s="102" t="str">
        <f>AD613</f>
        <v>J1a2a1a2d2b2b2c4d2a2a5a1e4a6k2~</v>
      </c>
      <c r="M4647" s="102" t="s">
        <v>7297</v>
      </c>
      <c r="N4647" s="102"/>
      <c r="O4647" s="105">
        <v>1.9287125E7</v>
      </c>
      <c r="P4647" s="105">
        <v>1.7175245E7</v>
      </c>
      <c r="Q4647" s="102" t="s">
        <v>2529</v>
      </c>
      <c r="S4647" s="1"/>
      <c r="T4647" s="1"/>
      <c r="U4647" s="1"/>
      <c r="V4647" s="1"/>
      <c r="W4647" s="1"/>
      <c r="X4647" s="1"/>
      <c r="Y4647" s="1"/>
      <c r="AA4647" s="102"/>
      <c r="AB4647" s="1"/>
      <c r="AC4647" s="1"/>
      <c r="AD4647" s="1"/>
      <c r="AE4647" s="1"/>
      <c r="AF4647" s="1"/>
      <c r="AG4647" s="1"/>
    </row>
    <row r="4648" ht="15.75" customHeight="1">
      <c r="A4648" s="1"/>
      <c r="B4648" s="1"/>
      <c r="C4648" s="1"/>
      <c r="D4648" s="1"/>
      <c r="E4648" s="1"/>
      <c r="F4648" s="1"/>
      <c r="G4648" s="1"/>
      <c r="H4648" s="1"/>
      <c r="I4648" s="1"/>
      <c r="J4648" s="1"/>
      <c r="K4648" s="102" t="s">
        <v>7299</v>
      </c>
      <c r="L4648" s="102" t="str">
        <f>AD613</f>
        <v>J1a2a1a2d2b2b2c4d2a2a5a1e4a6k2~</v>
      </c>
      <c r="M4648" s="102" t="s">
        <v>7300</v>
      </c>
      <c r="N4648" s="102"/>
      <c r="O4648" s="105">
        <v>2.1810082E7</v>
      </c>
      <c r="P4648" s="105">
        <v>1.9648196E7</v>
      </c>
      <c r="Q4648" s="102" t="s">
        <v>2514</v>
      </c>
      <c r="S4648" s="1"/>
      <c r="T4648" s="1"/>
      <c r="U4648" s="1"/>
      <c r="V4648" s="1"/>
      <c r="W4648" s="1"/>
      <c r="X4648" s="1"/>
      <c r="Y4648" s="1"/>
      <c r="AA4648" s="102"/>
      <c r="AB4648" s="1"/>
      <c r="AC4648" s="1"/>
      <c r="AD4648" s="1"/>
      <c r="AE4648" s="1"/>
      <c r="AF4648" s="1"/>
      <c r="AG4648" s="1"/>
    </row>
    <row r="4649" ht="15.75" customHeight="1">
      <c r="A4649" s="1"/>
      <c r="B4649" s="1"/>
      <c r="C4649" s="1"/>
      <c r="D4649" s="1"/>
      <c r="E4649" s="1"/>
      <c r="F4649" s="1"/>
      <c r="G4649" s="1"/>
      <c r="H4649" s="1"/>
      <c r="I4649" s="1"/>
      <c r="J4649" s="1"/>
      <c r="K4649" s="102" t="s">
        <v>7300</v>
      </c>
      <c r="L4649" s="102" t="str">
        <f>AD613</f>
        <v>J1a2a1a2d2b2b2c4d2a2a5a1e4a6k2~</v>
      </c>
      <c r="M4649" s="102" t="s">
        <v>7299</v>
      </c>
      <c r="N4649" s="102"/>
      <c r="O4649" s="105">
        <v>2.1810082E7</v>
      </c>
      <c r="P4649" s="105">
        <v>1.9648196E7</v>
      </c>
      <c r="Q4649" s="102" t="s">
        <v>2514</v>
      </c>
      <c r="S4649" s="1"/>
      <c r="T4649" s="1"/>
      <c r="U4649" s="1"/>
      <c r="V4649" s="1"/>
      <c r="W4649" s="1"/>
      <c r="X4649" s="1"/>
      <c r="Y4649" s="1"/>
      <c r="AA4649" s="102"/>
      <c r="AB4649" s="1"/>
      <c r="AC4649" s="1"/>
      <c r="AD4649" s="1"/>
      <c r="AE4649" s="1"/>
      <c r="AF4649" s="1"/>
      <c r="AG4649" s="1"/>
    </row>
    <row r="4650" ht="15.75" customHeight="1">
      <c r="A4650" s="1"/>
      <c r="B4650" s="1"/>
      <c r="C4650" s="1"/>
      <c r="D4650" s="1"/>
      <c r="E4650" s="1"/>
      <c r="F4650" s="1"/>
      <c r="G4650" s="1"/>
      <c r="H4650" s="1"/>
      <c r="I4650" s="1"/>
      <c r="J4650" s="1"/>
      <c r="K4650" s="102" t="s">
        <v>7301</v>
      </c>
      <c r="L4650" s="102" t="str">
        <f>AD613</f>
        <v>J1a2a1a2d2b2b2c4d2a2a5a1e4a6k2~</v>
      </c>
      <c r="M4650" s="102" t="s">
        <v>7302</v>
      </c>
      <c r="N4650" s="102"/>
      <c r="O4650" s="105">
        <v>2.2047486E7</v>
      </c>
      <c r="P4650" s="105">
        <v>1.98856E7</v>
      </c>
      <c r="Q4650" s="102" t="s">
        <v>2529</v>
      </c>
      <c r="S4650" s="1"/>
      <c r="T4650" s="1"/>
      <c r="U4650" s="1"/>
      <c r="V4650" s="1"/>
      <c r="W4650" s="1"/>
      <c r="X4650" s="1"/>
      <c r="Y4650" s="1"/>
      <c r="AA4650" s="102"/>
      <c r="AB4650" s="1"/>
      <c r="AC4650" s="1"/>
      <c r="AD4650" s="1"/>
      <c r="AE4650" s="1"/>
      <c r="AF4650" s="1"/>
      <c r="AG4650" s="1"/>
    </row>
    <row r="4651" ht="15.75" customHeight="1">
      <c r="A4651" s="1"/>
      <c r="B4651" s="1"/>
      <c r="C4651" s="1"/>
      <c r="D4651" s="1"/>
      <c r="E4651" s="1"/>
      <c r="F4651" s="1"/>
      <c r="G4651" s="1"/>
      <c r="H4651" s="1"/>
      <c r="I4651" s="1"/>
      <c r="J4651" s="1"/>
      <c r="K4651" s="102" t="s">
        <v>7302</v>
      </c>
      <c r="L4651" s="102" t="str">
        <f>AD613</f>
        <v>J1a2a1a2d2b2b2c4d2a2a5a1e4a6k2~</v>
      </c>
      <c r="M4651" s="102" t="s">
        <v>7301</v>
      </c>
      <c r="N4651" s="102"/>
      <c r="O4651" s="105">
        <v>2.2047486E7</v>
      </c>
      <c r="P4651" s="105">
        <v>1.98856E7</v>
      </c>
      <c r="Q4651" s="102" t="s">
        <v>2529</v>
      </c>
      <c r="S4651" s="1"/>
      <c r="T4651" s="1"/>
      <c r="U4651" s="1"/>
      <c r="V4651" s="1"/>
      <c r="W4651" s="1"/>
      <c r="X4651" s="1"/>
      <c r="Y4651" s="1"/>
      <c r="AA4651" s="102"/>
      <c r="AB4651" s="1"/>
      <c r="AC4651" s="1"/>
      <c r="AD4651" s="1"/>
      <c r="AE4651" s="1"/>
      <c r="AF4651" s="1"/>
      <c r="AG4651" s="1"/>
    </row>
    <row r="4652" ht="15.75" customHeight="1">
      <c r="A4652" s="1"/>
      <c r="B4652" s="1"/>
      <c r="C4652" s="1"/>
      <c r="D4652" s="1"/>
      <c r="E4652" s="1"/>
      <c r="F4652" s="1"/>
      <c r="G4652" s="1"/>
      <c r="H4652" s="1"/>
      <c r="I4652" s="1"/>
      <c r="J4652" s="1"/>
      <c r="K4652" s="102" t="s">
        <v>7303</v>
      </c>
      <c r="L4652" s="102" t="str">
        <f>AD613</f>
        <v>J1a2a1a2d2b2b2c4d2a2a5a1e4a6k2~</v>
      </c>
      <c r="M4652" s="102" t="s">
        <v>7304</v>
      </c>
      <c r="N4652" s="102"/>
      <c r="O4652" s="105">
        <v>2.2210967E7</v>
      </c>
      <c r="P4652" s="105">
        <v>2.0049081E7</v>
      </c>
      <c r="Q4652" s="102" t="s">
        <v>2529</v>
      </c>
      <c r="S4652" s="1"/>
      <c r="T4652" s="1"/>
      <c r="U4652" s="1"/>
      <c r="V4652" s="1"/>
      <c r="W4652" s="1"/>
      <c r="X4652" s="1"/>
      <c r="Y4652" s="1"/>
      <c r="AA4652" s="102"/>
      <c r="AB4652" s="1"/>
      <c r="AC4652" s="1"/>
      <c r="AD4652" s="1"/>
      <c r="AE4652" s="1"/>
      <c r="AF4652" s="1"/>
      <c r="AG4652" s="1"/>
    </row>
    <row r="4653" ht="15.75" customHeight="1">
      <c r="A4653" s="1"/>
      <c r="B4653" s="1"/>
      <c r="C4653" s="1"/>
      <c r="D4653" s="1"/>
      <c r="E4653" s="1"/>
      <c r="F4653" s="1"/>
      <c r="G4653" s="1"/>
      <c r="H4653" s="1"/>
      <c r="I4653" s="1"/>
      <c r="J4653" s="1"/>
      <c r="K4653" s="102" t="s">
        <v>7304</v>
      </c>
      <c r="L4653" s="102" t="str">
        <f>AD613</f>
        <v>J1a2a1a2d2b2b2c4d2a2a5a1e4a6k2~</v>
      </c>
      <c r="M4653" s="102" t="s">
        <v>7303</v>
      </c>
      <c r="N4653" s="102"/>
      <c r="O4653" s="105">
        <v>2.2210967E7</v>
      </c>
      <c r="P4653" s="105">
        <v>2.0049081E7</v>
      </c>
      <c r="Q4653" s="102" t="s">
        <v>2529</v>
      </c>
      <c r="S4653" s="1"/>
      <c r="T4653" s="1"/>
      <c r="U4653" s="1"/>
      <c r="V4653" s="1"/>
      <c r="W4653" s="1"/>
      <c r="X4653" s="1"/>
      <c r="Y4653" s="1"/>
      <c r="AA4653" s="102"/>
      <c r="AB4653" s="1"/>
      <c r="AC4653" s="1"/>
      <c r="AD4653" s="1"/>
      <c r="AE4653" s="1"/>
      <c r="AF4653" s="1"/>
      <c r="AG4653" s="1"/>
    </row>
    <row r="4654" ht="15.75" customHeight="1">
      <c r="A4654" s="1"/>
      <c r="B4654" s="1"/>
      <c r="C4654" s="1"/>
      <c r="D4654" s="1"/>
      <c r="E4654" s="1"/>
      <c r="F4654" s="1"/>
      <c r="G4654" s="1"/>
      <c r="H4654" s="1"/>
      <c r="I4654" s="1"/>
      <c r="J4654" s="1"/>
      <c r="K4654" s="102" t="s">
        <v>7305</v>
      </c>
      <c r="L4654" s="102" t="str">
        <f>AD613</f>
        <v>J1a2a1a2d2b2b2c4d2a2a5a1e4a6k2~</v>
      </c>
      <c r="M4654" s="102"/>
      <c r="N4654" s="102"/>
      <c r="O4654" s="105">
        <v>2.2624756E7</v>
      </c>
      <c r="P4654" s="105">
        <v>2.046287E7</v>
      </c>
      <c r="Q4654" s="102" t="s">
        <v>2468</v>
      </c>
      <c r="S4654" s="1"/>
      <c r="T4654" s="1"/>
      <c r="U4654" s="1"/>
      <c r="V4654" s="1"/>
      <c r="W4654" s="1"/>
      <c r="X4654" s="1"/>
      <c r="Y4654" s="1"/>
      <c r="AA4654" s="102"/>
      <c r="AB4654" s="1"/>
      <c r="AC4654" s="1"/>
      <c r="AD4654" s="1"/>
      <c r="AE4654" s="1"/>
      <c r="AF4654" s="1"/>
      <c r="AG4654" s="1"/>
    </row>
    <row r="4655" ht="15.75" customHeight="1">
      <c r="A4655" s="1"/>
      <c r="B4655" s="1"/>
      <c r="C4655" s="1"/>
      <c r="D4655" s="1"/>
      <c r="E4655" s="1"/>
      <c r="F4655" s="1"/>
      <c r="G4655" s="1"/>
      <c r="H4655" s="1"/>
      <c r="I4655" s="1"/>
      <c r="J4655" s="1"/>
      <c r="K4655" s="102" t="s">
        <v>7306</v>
      </c>
      <c r="L4655" s="102" t="str">
        <f>AD613</f>
        <v>J1a2a1a2d2b2b2c4d2a2a5a1e4a6k2~</v>
      </c>
      <c r="M4655" s="102"/>
      <c r="N4655" s="102"/>
      <c r="O4655" s="105">
        <v>7917562.0</v>
      </c>
      <c r="P4655" s="105">
        <v>8049521.0</v>
      </c>
      <c r="Q4655" s="102" t="s">
        <v>2576</v>
      </c>
      <c r="S4655" s="1"/>
      <c r="T4655" s="1"/>
      <c r="U4655" s="1"/>
      <c r="V4655" s="1"/>
      <c r="W4655" s="1"/>
      <c r="X4655" s="1"/>
      <c r="Y4655" s="1"/>
      <c r="AA4655" s="102"/>
      <c r="AB4655" s="1"/>
      <c r="AC4655" s="1"/>
      <c r="AD4655" s="1"/>
      <c r="AE4655" s="1"/>
      <c r="AF4655" s="1"/>
      <c r="AG4655" s="1"/>
    </row>
    <row r="4656" ht="15.75" customHeight="1">
      <c r="A4656" s="1"/>
      <c r="B4656" s="1"/>
      <c r="C4656" s="1"/>
      <c r="D4656" s="1"/>
      <c r="E4656" s="1"/>
      <c r="F4656" s="1"/>
      <c r="G4656" s="1"/>
      <c r="H4656" s="1"/>
      <c r="I4656" s="1"/>
      <c r="J4656" s="1"/>
      <c r="K4656" s="102" t="s">
        <v>7307</v>
      </c>
      <c r="L4656" s="102" t="str">
        <f>AE614</f>
        <v>J1a2a1a2d2b2b2c4d2a2a5a1e4a6k2a~</v>
      </c>
      <c r="M4656" s="102"/>
      <c r="N4656" s="102"/>
      <c r="O4656" s="105">
        <v>2687941.0</v>
      </c>
      <c r="P4656" s="105">
        <v>2819900.0</v>
      </c>
      <c r="Q4656" s="102" t="s">
        <v>2501</v>
      </c>
      <c r="S4656" s="1"/>
      <c r="T4656" s="1"/>
      <c r="U4656" s="1"/>
      <c r="V4656" s="1"/>
      <c r="W4656" s="1"/>
      <c r="X4656" s="1"/>
      <c r="Y4656" s="1"/>
      <c r="AA4656" s="102"/>
      <c r="AB4656" s="1"/>
      <c r="AC4656" s="1"/>
      <c r="AD4656" s="1"/>
      <c r="AE4656" s="1"/>
      <c r="AF4656" s="1"/>
      <c r="AG4656" s="1"/>
    </row>
    <row r="4657" ht="15.75" customHeight="1">
      <c r="A4657" s="1"/>
      <c r="B4657" s="1"/>
      <c r="C4657" s="1"/>
      <c r="D4657" s="1"/>
      <c r="E4657" s="1"/>
      <c r="F4657" s="1"/>
      <c r="G4657" s="1"/>
      <c r="H4657" s="1"/>
      <c r="I4657" s="1"/>
      <c r="J4657" s="1"/>
      <c r="K4657" s="102" t="s">
        <v>7308</v>
      </c>
      <c r="L4657" s="102" t="str">
        <f>AE614</f>
        <v>J1a2a1a2d2b2b2c4d2a2a5a1e4a6k2a~</v>
      </c>
      <c r="M4657" s="102"/>
      <c r="N4657" s="102"/>
      <c r="O4657" s="105">
        <v>6704232.0</v>
      </c>
      <c r="P4657" s="105">
        <v>6836191.0</v>
      </c>
      <c r="Q4657" s="102" t="s">
        <v>2576</v>
      </c>
      <c r="S4657" s="1"/>
      <c r="T4657" s="1"/>
      <c r="U4657" s="1"/>
      <c r="V4657" s="1"/>
      <c r="W4657" s="1"/>
      <c r="X4657" s="1"/>
      <c r="Y4657" s="1"/>
      <c r="AA4657" s="102"/>
      <c r="AB4657" s="1"/>
      <c r="AC4657" s="1"/>
      <c r="AD4657" s="1"/>
      <c r="AE4657" s="1"/>
      <c r="AF4657" s="1"/>
      <c r="AG4657" s="1"/>
    </row>
    <row r="4658" ht="15.75" customHeight="1">
      <c r="A4658" s="1"/>
      <c r="B4658" s="1"/>
      <c r="C4658" s="1"/>
      <c r="D4658" s="1"/>
      <c r="E4658" s="1"/>
      <c r="F4658" s="1"/>
      <c r="G4658" s="1"/>
      <c r="H4658" s="1"/>
      <c r="I4658" s="1"/>
      <c r="J4658" s="1"/>
      <c r="K4658" s="102" t="s">
        <v>7309</v>
      </c>
      <c r="L4658" s="102" t="str">
        <f t="shared" ref="L4658:L4659" si="105">AE614</f>
        <v>J1a2a1a2d2b2b2c4d2a2a5a1e4a6k2a~</v>
      </c>
      <c r="M4658" s="102"/>
      <c r="N4658" s="102"/>
      <c r="O4658" s="105">
        <v>1.4918605E7</v>
      </c>
      <c r="P4658" s="105">
        <v>1.2806672E7</v>
      </c>
      <c r="Q4658" s="102" t="s">
        <v>2501</v>
      </c>
      <c r="S4658" s="1"/>
      <c r="T4658" s="1"/>
      <c r="U4658" s="1"/>
      <c r="V4658" s="1"/>
      <c r="W4658" s="1"/>
      <c r="X4658" s="1"/>
      <c r="Y4658" s="1"/>
      <c r="AA4658" s="102"/>
      <c r="AB4658" s="1"/>
      <c r="AC4658" s="1"/>
      <c r="AD4658" s="1"/>
      <c r="AE4658" s="1"/>
      <c r="AF4658" s="1"/>
      <c r="AG4658" s="1"/>
    </row>
    <row r="4659" ht="15.75" customHeight="1">
      <c r="A4659" s="1"/>
      <c r="B4659" s="1"/>
      <c r="C4659" s="1"/>
      <c r="D4659" s="1"/>
      <c r="E4659" s="1"/>
      <c r="F4659" s="1"/>
      <c r="G4659" s="1"/>
      <c r="H4659" s="1"/>
      <c r="I4659" s="1"/>
      <c r="J4659" s="1"/>
      <c r="K4659" s="102" t="s">
        <v>7310</v>
      </c>
      <c r="L4659" s="102" t="str">
        <f t="shared" si="105"/>
        <v>J1a2a1a2d2b2b2c4d2a2a5a1e4a6k2b~</v>
      </c>
      <c r="M4659" s="102"/>
      <c r="N4659" s="102"/>
      <c r="O4659" s="105">
        <v>2.4440498E7</v>
      </c>
      <c r="P4659" s="105">
        <v>2.2294351E7</v>
      </c>
      <c r="Q4659" s="102" t="s">
        <v>2529</v>
      </c>
      <c r="S4659" s="1"/>
      <c r="T4659" s="1"/>
      <c r="U4659" s="1"/>
      <c r="V4659" s="1"/>
      <c r="W4659" s="1"/>
      <c r="X4659" s="1"/>
      <c r="Y4659" s="1"/>
      <c r="AA4659" s="102"/>
      <c r="AB4659" s="1"/>
      <c r="AC4659" s="1"/>
      <c r="AD4659" s="1"/>
      <c r="AE4659" s="1"/>
      <c r="AF4659" s="1"/>
      <c r="AG4659" s="1"/>
    </row>
    <row r="4660" ht="15.75" customHeight="1">
      <c r="A4660" s="1"/>
      <c r="B4660" s="1"/>
      <c r="C4660" s="1"/>
      <c r="D4660" s="1"/>
      <c r="E4660" s="1"/>
      <c r="F4660" s="1"/>
      <c r="G4660" s="1"/>
      <c r="H4660" s="1"/>
      <c r="I4660" s="1"/>
      <c r="J4660" s="1"/>
      <c r="K4660" s="102" t="s">
        <v>7311</v>
      </c>
      <c r="L4660" s="102" t="str">
        <f>AF616</f>
        <v>J1a2a1a2d2b2b2c4d2a2a5a1e4a6k2b1~</v>
      </c>
      <c r="M4660" s="102"/>
      <c r="N4660" s="102"/>
      <c r="O4660" s="105">
        <v>1.8594912E7</v>
      </c>
      <c r="P4660" s="105">
        <v>1.6483032E7</v>
      </c>
      <c r="Q4660" s="102" t="s">
        <v>2501</v>
      </c>
      <c r="S4660" s="1"/>
      <c r="T4660" s="1"/>
      <c r="U4660" s="1"/>
      <c r="V4660" s="1"/>
      <c r="W4660" s="1"/>
      <c r="X4660" s="1"/>
      <c r="Y4660" s="1"/>
      <c r="AA4660" s="102"/>
      <c r="AB4660" s="1"/>
      <c r="AC4660" s="1"/>
      <c r="AD4660" s="1"/>
      <c r="AE4660" s="1"/>
      <c r="AF4660" s="1"/>
      <c r="AG4660" s="1"/>
    </row>
    <row r="4661" ht="15.75" customHeight="1">
      <c r="A4661" s="1"/>
      <c r="B4661" s="1"/>
      <c r="C4661" s="1"/>
      <c r="D4661" s="1"/>
      <c r="E4661" s="1"/>
      <c r="F4661" s="1"/>
      <c r="G4661" s="1"/>
      <c r="H4661" s="1"/>
      <c r="I4661" s="1"/>
      <c r="J4661" s="1"/>
      <c r="K4661" s="102" t="s">
        <v>7312</v>
      </c>
      <c r="L4661" s="102" t="str">
        <f>AF616</f>
        <v>J1a2a1a2d2b2b2c4d2a2a5a1e4a6k2b1~</v>
      </c>
      <c r="M4661" s="102"/>
      <c r="N4661" s="102"/>
      <c r="O4661" s="105">
        <v>1.8885931E7</v>
      </c>
      <c r="P4661" s="105">
        <v>1.6774051E7</v>
      </c>
      <c r="Q4661" s="102" t="s">
        <v>2501</v>
      </c>
      <c r="S4661" s="1"/>
      <c r="T4661" s="1"/>
      <c r="U4661" s="1"/>
      <c r="V4661" s="1"/>
      <c r="W4661" s="1"/>
      <c r="X4661" s="1"/>
      <c r="Y4661" s="1"/>
      <c r="AA4661" s="102"/>
      <c r="AB4661" s="1"/>
      <c r="AC4661" s="1"/>
      <c r="AD4661" s="1"/>
      <c r="AE4661" s="1"/>
      <c r="AF4661" s="1"/>
      <c r="AG4661" s="1"/>
    </row>
    <row r="4662" ht="15.75" customHeight="1">
      <c r="A4662" s="1"/>
      <c r="B4662" s="1"/>
      <c r="C4662" s="1"/>
      <c r="D4662" s="1"/>
      <c r="E4662" s="1"/>
      <c r="F4662" s="1"/>
      <c r="G4662" s="1"/>
      <c r="H4662" s="1"/>
      <c r="I4662" s="1"/>
      <c r="J4662" s="1"/>
      <c r="K4662" s="102" t="s">
        <v>7313</v>
      </c>
      <c r="L4662" s="102" t="str">
        <f>AF616</f>
        <v>J1a2a1a2d2b2b2c4d2a2a5a1e4a6k2b1~</v>
      </c>
      <c r="M4662" s="102"/>
      <c r="N4662" s="102"/>
      <c r="O4662" s="105">
        <v>2.1387346E7</v>
      </c>
      <c r="P4662" s="105">
        <v>1.922546E7</v>
      </c>
      <c r="Q4662" s="102" t="s">
        <v>2439</v>
      </c>
      <c r="S4662" s="1"/>
      <c r="T4662" s="1"/>
      <c r="U4662" s="1"/>
      <c r="V4662" s="1"/>
      <c r="W4662" s="1"/>
      <c r="X4662" s="1"/>
      <c r="Y4662" s="1"/>
      <c r="AA4662" s="102"/>
      <c r="AB4662" s="1"/>
      <c r="AC4662" s="1"/>
      <c r="AD4662" s="1"/>
      <c r="AE4662" s="1"/>
      <c r="AF4662" s="1"/>
      <c r="AG4662" s="1"/>
    </row>
    <row r="4663" ht="15.75" customHeight="1">
      <c r="A4663" s="1"/>
      <c r="B4663" s="1"/>
      <c r="C4663" s="1"/>
      <c r="D4663" s="1"/>
      <c r="E4663" s="1"/>
      <c r="F4663" s="1"/>
      <c r="G4663" s="1"/>
      <c r="H4663" s="1"/>
      <c r="I4663" s="1"/>
      <c r="J4663" s="1"/>
      <c r="K4663" s="102" t="s">
        <v>1201</v>
      </c>
      <c r="L4663" s="102" t="str">
        <f t="shared" ref="L4663:L4664" si="106">AE617</f>
        <v>J1a2a1a2d2b2b2c4d2a2a5a1e4a6k2c~</v>
      </c>
      <c r="M4663" s="102"/>
      <c r="N4663" s="102"/>
      <c r="O4663" s="105">
        <v>6885229.0</v>
      </c>
      <c r="P4663" s="105">
        <v>7017188.0</v>
      </c>
      <c r="Q4663" s="102" t="s">
        <v>2576</v>
      </c>
      <c r="S4663" s="1"/>
      <c r="T4663" s="1"/>
      <c r="U4663" s="1"/>
      <c r="V4663" s="1"/>
      <c r="W4663" s="1"/>
      <c r="X4663" s="1"/>
      <c r="Y4663" s="1"/>
      <c r="AA4663" s="102"/>
      <c r="AB4663" s="1"/>
      <c r="AC4663" s="1"/>
      <c r="AD4663" s="1"/>
      <c r="AE4663" s="1"/>
      <c r="AF4663" s="1"/>
      <c r="AG4663" s="1"/>
    </row>
    <row r="4664" ht="15.75" customHeight="1">
      <c r="A4664" s="1"/>
      <c r="B4664" s="1"/>
      <c r="C4664" s="1"/>
      <c r="D4664" s="1"/>
      <c r="E4664" s="1"/>
      <c r="F4664" s="1"/>
      <c r="G4664" s="1"/>
      <c r="H4664" s="1"/>
      <c r="I4664" s="1"/>
      <c r="J4664" s="1"/>
      <c r="K4664" s="102" t="s">
        <v>1203</v>
      </c>
      <c r="L4664" s="102" t="str">
        <f t="shared" si="106"/>
        <v>J1a2a1a2d2b2b2c4d2a2a5a1e4a6k2d~</v>
      </c>
      <c r="M4664" s="102"/>
      <c r="N4664" s="102"/>
      <c r="O4664" s="105">
        <v>8349801.0</v>
      </c>
      <c r="P4664" s="105">
        <v>8481760.0</v>
      </c>
      <c r="Q4664" s="102" t="s">
        <v>2446</v>
      </c>
      <c r="S4664" s="1"/>
      <c r="T4664" s="1"/>
      <c r="U4664" s="1"/>
      <c r="V4664" s="1"/>
      <c r="W4664" s="1"/>
      <c r="X4664" s="1"/>
      <c r="Y4664" s="1"/>
      <c r="AA4664" s="102"/>
      <c r="AB4664" s="1"/>
      <c r="AC4664" s="1"/>
      <c r="AD4664" s="1"/>
      <c r="AE4664" s="1"/>
      <c r="AF4664" s="1"/>
      <c r="AG4664" s="1"/>
    </row>
    <row r="4665" ht="15.75" customHeight="1">
      <c r="A4665" s="1"/>
      <c r="B4665" s="1"/>
      <c r="C4665" s="1"/>
      <c r="D4665" s="1"/>
      <c r="E4665" s="1"/>
      <c r="F4665" s="1"/>
      <c r="G4665" s="1"/>
      <c r="H4665" s="1"/>
      <c r="I4665" s="1"/>
      <c r="J4665" s="1"/>
      <c r="K4665" s="102" t="s">
        <v>1205</v>
      </c>
      <c r="L4665" s="102" t="str">
        <f>AF619</f>
        <v>J1a2a1a2d2b2b2c4d2a2a5a1e4a6k2d1~</v>
      </c>
      <c r="M4665" s="102"/>
      <c r="N4665" s="102" t="s">
        <v>7314</v>
      </c>
      <c r="O4665" s="105">
        <v>2.3232972E7</v>
      </c>
      <c r="P4665" s="105">
        <v>2.1071086E7</v>
      </c>
      <c r="Q4665" s="102" t="s">
        <v>2501</v>
      </c>
      <c r="S4665" s="1"/>
      <c r="T4665" s="1"/>
      <c r="U4665" s="1"/>
      <c r="V4665" s="1"/>
      <c r="W4665" s="1"/>
      <c r="X4665" s="1"/>
      <c r="Y4665" s="1"/>
      <c r="AA4665" s="102"/>
      <c r="AB4665" s="1"/>
      <c r="AC4665" s="1"/>
      <c r="AD4665" s="1"/>
      <c r="AE4665" s="1"/>
      <c r="AF4665" s="1"/>
      <c r="AG4665" s="1"/>
    </row>
    <row r="4666" ht="15.75" customHeight="1">
      <c r="A4666" s="1"/>
      <c r="B4666" s="1"/>
      <c r="C4666" s="1"/>
      <c r="D4666" s="1"/>
      <c r="E4666" s="1"/>
      <c r="F4666" s="1"/>
      <c r="G4666" s="1"/>
      <c r="H4666" s="1"/>
      <c r="I4666" s="1"/>
      <c r="J4666" s="1"/>
      <c r="K4666" s="102" t="s">
        <v>1207</v>
      </c>
      <c r="L4666" s="102" t="str">
        <f t="shared" ref="L4666:L4668" si="107">AE620</f>
        <v>J1a2a1a2d2b2b2c4d2a2a5a1e4a6k2e~</v>
      </c>
      <c r="M4666" s="102"/>
      <c r="N4666" s="102"/>
      <c r="O4666" s="105">
        <v>7193241.0</v>
      </c>
      <c r="P4666" s="105">
        <v>7325200.0</v>
      </c>
      <c r="Q4666" s="102" t="s">
        <v>2501</v>
      </c>
      <c r="S4666" s="1"/>
      <c r="T4666" s="1"/>
      <c r="U4666" s="1"/>
      <c r="V4666" s="1"/>
      <c r="W4666" s="1"/>
      <c r="X4666" s="1"/>
      <c r="Y4666" s="1"/>
      <c r="AA4666" s="102"/>
      <c r="AB4666" s="1"/>
      <c r="AC4666" s="1"/>
      <c r="AD4666" s="1"/>
      <c r="AE4666" s="1"/>
      <c r="AF4666" s="1"/>
      <c r="AG4666" s="1"/>
    </row>
    <row r="4667" ht="15.75" customHeight="1">
      <c r="A4667" s="1"/>
      <c r="B4667" s="1"/>
      <c r="C4667" s="1"/>
      <c r="D4667" s="1"/>
      <c r="E4667" s="1"/>
      <c r="F4667" s="1"/>
      <c r="G4667" s="1"/>
      <c r="H4667" s="1"/>
      <c r="I4667" s="1"/>
      <c r="J4667" s="1"/>
      <c r="K4667" s="102" t="s">
        <v>1209</v>
      </c>
      <c r="L4667" s="102" t="str">
        <f t="shared" si="107"/>
        <v>J1a2a1a2d2b2b2c4d2a2a5a1e4a6k2f~</v>
      </c>
      <c r="M4667" s="102"/>
      <c r="N4667" s="102"/>
      <c r="O4667" s="105">
        <v>1.4626236E7</v>
      </c>
      <c r="P4667" s="105">
        <v>1.2514304E7</v>
      </c>
      <c r="Q4667" s="102" t="s">
        <v>2529</v>
      </c>
      <c r="S4667" s="1"/>
      <c r="T4667" s="1"/>
      <c r="U4667" s="1"/>
      <c r="V4667" s="1"/>
      <c r="W4667" s="1"/>
      <c r="X4667" s="1"/>
      <c r="Y4667" s="1"/>
      <c r="AA4667" s="102"/>
      <c r="AB4667" s="1"/>
      <c r="AC4667" s="1"/>
      <c r="AD4667" s="1"/>
      <c r="AE4667" s="1"/>
      <c r="AF4667" s="1"/>
      <c r="AG4667" s="1"/>
    </row>
    <row r="4668" ht="15.75" customHeight="1">
      <c r="A4668" s="1"/>
      <c r="B4668" s="1"/>
      <c r="C4668" s="1"/>
      <c r="D4668" s="1"/>
      <c r="E4668" s="1"/>
      <c r="F4668" s="1"/>
      <c r="G4668" s="1"/>
      <c r="H4668" s="1"/>
      <c r="I4668" s="1"/>
      <c r="J4668" s="1"/>
      <c r="K4668" s="102" t="s">
        <v>7315</v>
      </c>
      <c r="L4668" s="102" t="str">
        <f t="shared" si="107"/>
        <v>J1a2a1a2d2b2b2c4d2a2a5a1e4a6k2g~</v>
      </c>
      <c r="M4668" s="102" t="s">
        <v>7316</v>
      </c>
      <c r="N4668" s="102"/>
      <c r="O4668" s="105">
        <v>8425244.0</v>
      </c>
      <c r="P4668" s="105">
        <v>8557203.0</v>
      </c>
      <c r="Q4668" s="102" t="s">
        <v>2439</v>
      </c>
      <c r="S4668" s="1"/>
      <c r="T4668" s="1"/>
      <c r="U4668" s="1"/>
      <c r="V4668" s="1"/>
      <c r="W4668" s="1"/>
      <c r="X4668" s="1"/>
      <c r="Y4668" s="1"/>
      <c r="AA4668" s="102"/>
      <c r="AB4668" s="1"/>
      <c r="AC4668" s="1"/>
      <c r="AD4668" s="1"/>
      <c r="AE4668" s="1"/>
      <c r="AF4668" s="1"/>
      <c r="AG4668" s="1"/>
    </row>
    <row r="4669" ht="15.75" customHeight="1">
      <c r="A4669" s="1"/>
      <c r="B4669" s="1"/>
      <c r="C4669" s="1"/>
      <c r="D4669" s="1"/>
      <c r="E4669" s="1"/>
      <c r="F4669" s="1"/>
      <c r="G4669" s="1"/>
      <c r="H4669" s="1"/>
      <c r="I4669" s="1"/>
      <c r="J4669" s="1"/>
      <c r="K4669" s="102" t="s">
        <v>7316</v>
      </c>
      <c r="L4669" s="102" t="str">
        <f>AE622</f>
        <v>J1a2a1a2d2b2b2c4d2a2a5a1e4a6k2g~</v>
      </c>
      <c r="M4669" s="102" t="s">
        <v>7315</v>
      </c>
      <c r="N4669" s="102"/>
      <c r="O4669" s="105">
        <v>8425244.0</v>
      </c>
      <c r="P4669" s="105">
        <v>8557203.0</v>
      </c>
      <c r="Q4669" s="102" t="s">
        <v>2439</v>
      </c>
      <c r="S4669" s="1"/>
      <c r="T4669" s="1"/>
      <c r="U4669" s="1"/>
      <c r="V4669" s="1"/>
      <c r="W4669" s="1"/>
      <c r="X4669" s="1"/>
      <c r="Y4669" s="1"/>
      <c r="AA4669" s="102"/>
      <c r="AB4669" s="1"/>
      <c r="AC4669" s="1"/>
      <c r="AD4669" s="1"/>
      <c r="AE4669" s="1"/>
      <c r="AF4669" s="1"/>
      <c r="AG4669" s="1"/>
    </row>
    <row r="4670" ht="15.75" customHeight="1">
      <c r="A4670" s="1"/>
      <c r="B4670" s="1"/>
      <c r="C4670" s="1"/>
      <c r="D4670" s="1"/>
      <c r="E4670" s="1"/>
      <c r="F4670" s="1"/>
      <c r="G4670" s="1"/>
      <c r="H4670" s="1"/>
      <c r="I4670" s="1"/>
      <c r="J4670" s="1"/>
      <c r="K4670" s="102" t="s">
        <v>7317</v>
      </c>
      <c r="L4670" s="102" t="str">
        <f>AE622</f>
        <v>J1a2a1a2d2b2b2c4d2a2a5a1e4a6k2g~</v>
      </c>
      <c r="M4670" s="102"/>
      <c r="N4670" s="102"/>
      <c r="O4670" s="105">
        <v>1.8158669E7</v>
      </c>
      <c r="P4670" s="105">
        <v>1.6046789E7</v>
      </c>
      <c r="Q4670" s="102" t="s">
        <v>2501</v>
      </c>
      <c r="S4670" s="1"/>
      <c r="T4670" s="1"/>
      <c r="U4670" s="1"/>
      <c r="V4670" s="1"/>
      <c r="W4670" s="1"/>
      <c r="X4670" s="1"/>
      <c r="Y4670" s="1"/>
      <c r="AA4670" s="102"/>
      <c r="AB4670" s="1"/>
      <c r="AC4670" s="1"/>
      <c r="AD4670" s="1"/>
      <c r="AE4670" s="1"/>
      <c r="AF4670" s="1"/>
      <c r="AG4670" s="1"/>
    </row>
    <row r="4671" ht="15.75" customHeight="1">
      <c r="A4671" s="1"/>
      <c r="B4671" s="1"/>
      <c r="C4671" s="1"/>
      <c r="D4671" s="1"/>
      <c r="E4671" s="1"/>
      <c r="F4671" s="1"/>
      <c r="G4671" s="1"/>
      <c r="H4671" s="1"/>
      <c r="I4671" s="1"/>
      <c r="J4671" s="1"/>
      <c r="K4671" s="102" t="s">
        <v>1213</v>
      </c>
      <c r="L4671" s="102" t="str">
        <f>AF623</f>
        <v>J1a2a1a2d2b2b2c4d2a2a5a1e4a6k2g1~</v>
      </c>
      <c r="M4671" s="102"/>
      <c r="N4671" s="102"/>
      <c r="O4671" s="105">
        <v>9994357.0</v>
      </c>
      <c r="P4671" s="105">
        <v>1.0156748E7</v>
      </c>
      <c r="Q4671" s="102" t="s">
        <v>2468</v>
      </c>
      <c r="S4671" s="1"/>
      <c r="T4671" s="1"/>
      <c r="U4671" s="1"/>
      <c r="V4671" s="1"/>
      <c r="W4671" s="1"/>
      <c r="X4671" s="1"/>
      <c r="Y4671" s="1"/>
      <c r="AA4671" s="102"/>
      <c r="AB4671" s="1"/>
      <c r="AC4671" s="1"/>
      <c r="AD4671" s="1"/>
      <c r="AE4671" s="1"/>
      <c r="AF4671" s="1"/>
      <c r="AG4671" s="1"/>
    </row>
    <row r="4672" ht="15.75" customHeight="1">
      <c r="A4672" s="1"/>
      <c r="B4672" s="1"/>
      <c r="C4672" s="1"/>
      <c r="D4672" s="1"/>
      <c r="E4672" s="1"/>
      <c r="F4672" s="1"/>
      <c r="G4672" s="1"/>
      <c r="H4672" s="1"/>
      <c r="I4672" s="1"/>
      <c r="J4672" s="1"/>
      <c r="K4672" s="102" t="s">
        <v>7318</v>
      </c>
      <c r="L4672" s="102" t="str">
        <f>AE624</f>
        <v>J1a2a1a2d2b2b2c4d2a2a5a1e4a6k2h~</v>
      </c>
      <c r="M4672" s="102" t="s">
        <v>7319</v>
      </c>
      <c r="N4672" s="102"/>
      <c r="O4672" s="105">
        <v>7933845.0</v>
      </c>
      <c r="P4672" s="105">
        <v>8065804.0</v>
      </c>
      <c r="Q4672" s="102" t="s">
        <v>2529</v>
      </c>
      <c r="S4672" s="1"/>
      <c r="T4672" s="1"/>
      <c r="U4672" s="1"/>
      <c r="V4672" s="1"/>
      <c r="W4672" s="1"/>
      <c r="X4672" s="1"/>
      <c r="Y4672" s="1"/>
      <c r="AA4672" s="102"/>
      <c r="AB4672" s="1"/>
      <c r="AC4672" s="1"/>
      <c r="AD4672" s="1"/>
      <c r="AE4672" s="1"/>
      <c r="AF4672" s="1"/>
      <c r="AG4672" s="1"/>
    </row>
    <row r="4673" ht="15.75" customHeight="1">
      <c r="A4673" s="1"/>
      <c r="B4673" s="1"/>
      <c r="C4673" s="1"/>
      <c r="D4673" s="1"/>
      <c r="E4673" s="1"/>
      <c r="F4673" s="1"/>
      <c r="G4673" s="1"/>
      <c r="H4673" s="1"/>
      <c r="I4673" s="1"/>
      <c r="J4673" s="1"/>
      <c r="K4673" s="102" t="s">
        <v>7319</v>
      </c>
      <c r="L4673" s="102" t="str">
        <f>AE624</f>
        <v>J1a2a1a2d2b2b2c4d2a2a5a1e4a6k2h~</v>
      </c>
      <c r="M4673" s="102" t="s">
        <v>7318</v>
      </c>
      <c r="N4673" s="102"/>
      <c r="O4673" s="105">
        <v>7933845.0</v>
      </c>
      <c r="P4673" s="105">
        <v>8065804.0</v>
      </c>
      <c r="Q4673" s="102" t="s">
        <v>2529</v>
      </c>
      <c r="S4673" s="1"/>
      <c r="T4673" s="1"/>
      <c r="U4673" s="1"/>
      <c r="V4673" s="1"/>
      <c r="W4673" s="1"/>
      <c r="X4673" s="1"/>
      <c r="Y4673" s="1"/>
      <c r="AA4673" s="102"/>
      <c r="AB4673" s="1"/>
      <c r="AC4673" s="1"/>
      <c r="AD4673" s="1"/>
      <c r="AE4673" s="1"/>
      <c r="AF4673" s="1"/>
      <c r="AG4673" s="1"/>
    </row>
    <row r="4674" ht="15.75" customHeight="1">
      <c r="A4674" s="1"/>
      <c r="B4674" s="1"/>
      <c r="C4674" s="1"/>
      <c r="D4674" s="1"/>
      <c r="E4674" s="1"/>
      <c r="F4674" s="1"/>
      <c r="G4674" s="1"/>
      <c r="H4674" s="1"/>
      <c r="I4674" s="1"/>
      <c r="J4674" s="1"/>
      <c r="K4674" s="102" t="s">
        <v>7320</v>
      </c>
      <c r="L4674" s="102" t="str">
        <f>AE624</f>
        <v>J1a2a1a2d2b2b2c4d2a2a5a1e4a6k2h~</v>
      </c>
      <c r="M4674" s="102" t="s">
        <v>7321</v>
      </c>
      <c r="N4674" s="102"/>
      <c r="O4674" s="105">
        <v>7934743.0</v>
      </c>
      <c r="P4674" s="105">
        <v>8066702.0</v>
      </c>
      <c r="Q4674" s="102" t="s">
        <v>2439</v>
      </c>
      <c r="S4674" s="1"/>
      <c r="T4674" s="1"/>
      <c r="U4674" s="1"/>
      <c r="V4674" s="1"/>
      <c r="W4674" s="1"/>
      <c r="X4674" s="1"/>
      <c r="Y4674" s="1"/>
      <c r="AA4674" s="102"/>
      <c r="AB4674" s="1"/>
      <c r="AC4674" s="1"/>
      <c r="AD4674" s="1"/>
      <c r="AE4674" s="1"/>
      <c r="AF4674" s="1"/>
      <c r="AG4674" s="1"/>
    </row>
    <row r="4675" ht="15.75" customHeight="1">
      <c r="A4675" s="1"/>
      <c r="B4675" s="1"/>
      <c r="C4675" s="1"/>
      <c r="D4675" s="1"/>
      <c r="E4675" s="1"/>
      <c r="F4675" s="1"/>
      <c r="G4675" s="1"/>
      <c r="H4675" s="1"/>
      <c r="I4675" s="1"/>
      <c r="J4675" s="1"/>
      <c r="K4675" s="102" t="s">
        <v>7322</v>
      </c>
      <c r="L4675" s="102" t="str">
        <f>AE624</f>
        <v>J1a2a1a2d2b2b2c4d2a2a5a1e4a6k2h~</v>
      </c>
      <c r="M4675" s="102" t="s">
        <v>7323</v>
      </c>
      <c r="N4675" s="102"/>
      <c r="O4675" s="105">
        <v>7934743.0</v>
      </c>
      <c r="P4675" s="105">
        <v>8066702.0</v>
      </c>
      <c r="Q4675" s="102" t="s">
        <v>2439</v>
      </c>
      <c r="S4675" s="1"/>
      <c r="T4675" s="1"/>
      <c r="U4675" s="1"/>
      <c r="V4675" s="1"/>
      <c r="W4675" s="1"/>
      <c r="X4675" s="1"/>
      <c r="Y4675" s="1"/>
      <c r="AA4675" s="102"/>
      <c r="AB4675" s="1"/>
      <c r="AC4675" s="1"/>
      <c r="AD4675" s="1"/>
      <c r="AE4675" s="1"/>
      <c r="AF4675" s="1"/>
      <c r="AG4675" s="1"/>
    </row>
    <row r="4676" ht="15.75" customHeight="1">
      <c r="A4676" s="1"/>
      <c r="B4676" s="1"/>
      <c r="C4676" s="1"/>
      <c r="D4676" s="1"/>
      <c r="E4676" s="1"/>
      <c r="F4676" s="1"/>
      <c r="G4676" s="1"/>
      <c r="H4676" s="1"/>
      <c r="I4676" s="1"/>
      <c r="J4676" s="1"/>
      <c r="K4676" s="102" t="s">
        <v>7324</v>
      </c>
      <c r="L4676" s="102" t="str">
        <f>AE624</f>
        <v>J1a2a1a2d2b2b2c4d2a2a5a1e4a6k2h~</v>
      </c>
      <c r="M4676" s="102" t="s">
        <v>7325</v>
      </c>
      <c r="N4676" s="102"/>
      <c r="O4676" s="105">
        <v>7934743.0</v>
      </c>
      <c r="P4676" s="105">
        <v>8066702.0</v>
      </c>
      <c r="Q4676" s="102" t="s">
        <v>2439</v>
      </c>
      <c r="S4676" s="1"/>
      <c r="T4676" s="1"/>
      <c r="U4676" s="1"/>
      <c r="V4676" s="1"/>
      <c r="W4676" s="1"/>
      <c r="X4676" s="1"/>
      <c r="Y4676" s="1"/>
      <c r="AA4676" s="102"/>
      <c r="AB4676" s="1"/>
      <c r="AC4676" s="1"/>
      <c r="AD4676" s="1"/>
      <c r="AE4676" s="1"/>
      <c r="AF4676" s="1"/>
      <c r="AG4676" s="1"/>
    </row>
    <row r="4677" ht="15.75" customHeight="1">
      <c r="A4677" s="1"/>
      <c r="B4677" s="1"/>
      <c r="C4677" s="1"/>
      <c r="D4677" s="1"/>
      <c r="E4677" s="1"/>
      <c r="F4677" s="1"/>
      <c r="G4677" s="1"/>
      <c r="H4677" s="1"/>
      <c r="I4677" s="1"/>
      <c r="J4677" s="1"/>
      <c r="K4677" s="102" t="s">
        <v>7326</v>
      </c>
      <c r="L4677" s="102" t="str">
        <f>AF625</f>
        <v>J1a2a1a2d2b2b2c4d2a2a5a1e4a6k2h1~</v>
      </c>
      <c r="M4677" s="102" t="s">
        <v>7327</v>
      </c>
      <c r="N4677" s="102"/>
      <c r="O4677" s="105">
        <v>1.7927629E7</v>
      </c>
      <c r="P4677" s="105">
        <v>1.5815749E7</v>
      </c>
      <c r="Q4677" s="102" t="s">
        <v>2432</v>
      </c>
      <c r="S4677" s="1"/>
      <c r="T4677" s="1"/>
      <c r="U4677" s="1"/>
      <c r="V4677" s="1"/>
      <c r="W4677" s="1"/>
      <c r="X4677" s="1"/>
      <c r="Y4677" s="1"/>
      <c r="AA4677" s="102"/>
      <c r="AB4677" s="1"/>
      <c r="AC4677" s="1"/>
      <c r="AD4677" s="1"/>
      <c r="AE4677" s="1"/>
      <c r="AF4677" s="1"/>
      <c r="AG4677" s="1"/>
    </row>
    <row r="4678" ht="15.75" customHeight="1">
      <c r="A4678" s="1"/>
      <c r="B4678" s="1"/>
      <c r="C4678" s="1"/>
      <c r="D4678" s="1"/>
      <c r="E4678" s="1"/>
      <c r="F4678" s="1"/>
      <c r="G4678" s="1"/>
      <c r="H4678" s="1"/>
      <c r="I4678" s="1"/>
      <c r="J4678" s="1"/>
      <c r="K4678" s="102" t="s">
        <v>7327</v>
      </c>
      <c r="L4678" s="102" t="str">
        <f t="shared" ref="L4678:L4679" si="108">AF625</f>
        <v>J1a2a1a2d2b2b2c4d2a2a5a1e4a6k2h1~</v>
      </c>
      <c r="M4678" s="102" t="s">
        <v>7326</v>
      </c>
      <c r="N4678" s="102"/>
      <c r="O4678" s="105">
        <v>1.7927629E7</v>
      </c>
      <c r="P4678" s="105">
        <v>1.5815749E7</v>
      </c>
      <c r="Q4678" s="102" t="s">
        <v>2432</v>
      </c>
      <c r="S4678" s="1"/>
      <c r="T4678" s="1"/>
      <c r="U4678" s="1"/>
      <c r="V4678" s="1"/>
      <c r="W4678" s="1"/>
      <c r="X4678" s="1"/>
      <c r="Y4678" s="1"/>
      <c r="AA4678" s="102"/>
      <c r="AB4678" s="1"/>
      <c r="AC4678" s="1"/>
      <c r="AD4678" s="1"/>
      <c r="AE4678" s="1"/>
      <c r="AF4678" s="1"/>
      <c r="AG4678" s="1"/>
    </row>
    <row r="4679" ht="15.75" customHeight="1">
      <c r="A4679" s="1"/>
      <c r="B4679" s="1"/>
      <c r="C4679" s="1"/>
      <c r="D4679" s="1"/>
      <c r="E4679" s="1"/>
      <c r="F4679" s="1"/>
      <c r="G4679" s="1"/>
      <c r="H4679" s="1"/>
      <c r="I4679" s="1"/>
      <c r="J4679" s="1"/>
      <c r="K4679" s="102" t="s">
        <v>7328</v>
      </c>
      <c r="L4679" s="102" t="str">
        <f t="shared" si="108"/>
        <v>J1a2a1a2d2b2b2c4d2a2a5a1e4a6k2h2~</v>
      </c>
      <c r="M4679" s="102" t="s">
        <v>7329</v>
      </c>
      <c r="N4679" s="102"/>
      <c r="O4679" s="105">
        <v>8202174.0</v>
      </c>
      <c r="P4679" s="105">
        <v>8334133.0</v>
      </c>
      <c r="Q4679" s="102" t="s">
        <v>2533</v>
      </c>
      <c r="S4679" s="1"/>
      <c r="T4679" s="1"/>
      <c r="U4679" s="1"/>
      <c r="V4679" s="1"/>
      <c r="W4679" s="1"/>
      <c r="X4679" s="1"/>
      <c r="Y4679" s="1"/>
      <c r="AA4679" s="102"/>
      <c r="AB4679" s="1"/>
      <c r="AC4679" s="1"/>
      <c r="AD4679" s="1"/>
      <c r="AE4679" s="1"/>
      <c r="AF4679" s="1"/>
      <c r="AG4679" s="1"/>
    </row>
    <row r="4680" ht="15.75" customHeight="1">
      <c r="A4680" s="1"/>
      <c r="B4680" s="1"/>
      <c r="C4680" s="1"/>
      <c r="D4680" s="1"/>
      <c r="E4680" s="1"/>
      <c r="F4680" s="1"/>
      <c r="G4680" s="1"/>
      <c r="H4680" s="1"/>
      <c r="I4680" s="1"/>
      <c r="J4680" s="1"/>
      <c r="K4680" s="102" t="s">
        <v>7329</v>
      </c>
      <c r="L4680" s="102" t="str">
        <f>AF626</f>
        <v>J1a2a1a2d2b2b2c4d2a2a5a1e4a6k2h2~</v>
      </c>
      <c r="M4680" s="102" t="s">
        <v>7328</v>
      </c>
      <c r="N4680" s="102"/>
      <c r="O4680" s="105">
        <v>8202174.0</v>
      </c>
      <c r="P4680" s="105">
        <v>8334133.0</v>
      </c>
      <c r="Q4680" s="102" t="s">
        <v>2533</v>
      </c>
      <c r="S4680" s="1"/>
      <c r="T4680" s="1"/>
      <c r="U4680" s="1"/>
      <c r="V4680" s="1"/>
      <c r="W4680" s="1"/>
      <c r="X4680" s="1"/>
      <c r="Y4680" s="1"/>
      <c r="AA4680" s="102"/>
      <c r="AB4680" s="1"/>
      <c r="AC4680" s="1"/>
      <c r="AD4680" s="1"/>
      <c r="AE4680" s="1"/>
      <c r="AF4680" s="1"/>
      <c r="AG4680" s="1"/>
    </row>
    <row r="4681" ht="15.75" customHeight="1">
      <c r="A4681" s="1"/>
      <c r="B4681" s="1"/>
      <c r="C4681" s="1"/>
      <c r="D4681" s="1"/>
      <c r="E4681" s="1"/>
      <c r="F4681" s="1"/>
      <c r="G4681" s="1"/>
      <c r="H4681" s="1"/>
      <c r="I4681" s="1"/>
      <c r="J4681" s="1"/>
      <c r="K4681" s="102" t="s">
        <v>7330</v>
      </c>
      <c r="L4681" s="102" t="str">
        <f>AF626</f>
        <v>J1a2a1a2d2b2b2c4d2a2a5a1e4a6k2h2~</v>
      </c>
      <c r="M4681" s="102" t="s">
        <v>7331</v>
      </c>
      <c r="N4681" s="102"/>
      <c r="O4681" s="105">
        <v>1.3665052E7</v>
      </c>
      <c r="P4681" s="105">
        <v>1.1509376E7</v>
      </c>
      <c r="Q4681" s="102" t="s">
        <v>2529</v>
      </c>
      <c r="S4681" s="1"/>
      <c r="T4681" s="1"/>
      <c r="U4681" s="1"/>
      <c r="V4681" s="1"/>
      <c r="W4681" s="1"/>
      <c r="X4681" s="1"/>
      <c r="Y4681" s="1"/>
      <c r="AA4681" s="102"/>
      <c r="AB4681" s="1"/>
      <c r="AC4681" s="1"/>
      <c r="AD4681" s="1"/>
      <c r="AE4681" s="1"/>
      <c r="AF4681" s="1"/>
      <c r="AG4681" s="1"/>
    </row>
    <row r="4682" ht="15.75" customHeight="1">
      <c r="A4682" s="1"/>
      <c r="B4682" s="1"/>
      <c r="C4682" s="1"/>
      <c r="D4682" s="1"/>
      <c r="E4682" s="1"/>
      <c r="F4682" s="1"/>
      <c r="G4682" s="1"/>
      <c r="H4682" s="1"/>
      <c r="I4682" s="1"/>
      <c r="J4682" s="1"/>
      <c r="K4682" s="102" t="s">
        <v>7331</v>
      </c>
      <c r="L4682" s="102" t="str">
        <f>AF626</f>
        <v>J1a2a1a2d2b2b2c4d2a2a5a1e4a6k2h2~</v>
      </c>
      <c r="M4682" s="102" t="s">
        <v>7330</v>
      </c>
      <c r="N4682" s="102"/>
      <c r="O4682" s="105">
        <v>1.3665052E7</v>
      </c>
      <c r="P4682" s="105">
        <v>1.1509376E7</v>
      </c>
      <c r="Q4682" s="102" t="s">
        <v>2529</v>
      </c>
      <c r="S4682" s="1"/>
      <c r="T4682" s="1"/>
      <c r="U4682" s="1"/>
      <c r="V4682" s="1"/>
      <c r="W4682" s="1"/>
      <c r="X4682" s="1"/>
      <c r="Y4682" s="1"/>
      <c r="AA4682" s="102"/>
      <c r="AB4682" s="1"/>
      <c r="AC4682" s="1"/>
      <c r="AD4682" s="1"/>
      <c r="AE4682" s="1"/>
      <c r="AF4682" s="1"/>
      <c r="AG4682" s="1"/>
    </row>
    <row r="4683" ht="15.75" customHeight="1">
      <c r="A4683" s="1"/>
      <c r="B4683" s="1"/>
      <c r="C4683" s="1"/>
      <c r="D4683" s="1"/>
      <c r="E4683" s="1"/>
      <c r="F4683" s="1"/>
      <c r="G4683" s="1"/>
      <c r="H4683" s="1"/>
      <c r="I4683" s="1"/>
      <c r="J4683" s="1"/>
      <c r="K4683" s="102" t="s">
        <v>7332</v>
      </c>
      <c r="L4683" s="102" t="str">
        <f>AF626</f>
        <v>J1a2a1a2d2b2b2c4d2a2a5a1e4a6k2h2~</v>
      </c>
      <c r="M4683" s="102" t="s">
        <v>7333</v>
      </c>
      <c r="N4683" s="102"/>
      <c r="O4683" s="105">
        <v>2.3113003E7</v>
      </c>
      <c r="P4683" s="105">
        <v>2.0951117E7</v>
      </c>
      <c r="Q4683" s="102" t="s">
        <v>2439</v>
      </c>
      <c r="S4683" s="1"/>
      <c r="T4683" s="1"/>
      <c r="U4683" s="1"/>
      <c r="V4683" s="1"/>
      <c r="W4683" s="1"/>
      <c r="X4683" s="1"/>
      <c r="Y4683" s="1"/>
      <c r="AA4683" s="102"/>
      <c r="AB4683" s="1"/>
      <c r="AC4683" s="1"/>
      <c r="AD4683" s="1"/>
      <c r="AE4683" s="1"/>
      <c r="AF4683" s="1"/>
      <c r="AG4683" s="1"/>
    </row>
    <row r="4684" ht="15.75" customHeight="1">
      <c r="A4684" s="1"/>
      <c r="B4684" s="1"/>
      <c r="C4684" s="1"/>
      <c r="D4684" s="1"/>
      <c r="E4684" s="1"/>
      <c r="F4684" s="1"/>
      <c r="G4684" s="1"/>
      <c r="H4684" s="1"/>
      <c r="I4684" s="1"/>
      <c r="J4684" s="1"/>
      <c r="K4684" s="102" t="s">
        <v>7333</v>
      </c>
      <c r="L4684" s="102" t="str">
        <f>AF626</f>
        <v>J1a2a1a2d2b2b2c4d2a2a5a1e4a6k2h2~</v>
      </c>
      <c r="M4684" s="102" t="s">
        <v>7332</v>
      </c>
      <c r="N4684" s="102"/>
      <c r="O4684" s="105">
        <v>2.3113003E7</v>
      </c>
      <c r="P4684" s="105">
        <v>2.0951117E7</v>
      </c>
      <c r="Q4684" s="102" t="s">
        <v>2439</v>
      </c>
      <c r="S4684" s="1"/>
      <c r="T4684" s="1"/>
      <c r="U4684" s="1"/>
      <c r="V4684" s="1"/>
      <c r="W4684" s="1"/>
      <c r="X4684" s="1"/>
      <c r="Y4684" s="1"/>
      <c r="AA4684" s="102"/>
      <c r="AB4684" s="1"/>
      <c r="AC4684" s="1"/>
      <c r="AD4684" s="1"/>
      <c r="AE4684" s="1"/>
      <c r="AF4684" s="1"/>
      <c r="AG4684" s="1"/>
    </row>
    <row r="4685" ht="15.75" customHeight="1">
      <c r="A4685" s="1"/>
      <c r="B4685" s="1"/>
      <c r="C4685" s="1"/>
      <c r="D4685" s="1"/>
      <c r="E4685" s="1"/>
      <c r="F4685" s="1"/>
      <c r="G4685" s="1"/>
      <c r="H4685" s="1"/>
      <c r="I4685" s="1"/>
      <c r="J4685" s="1"/>
      <c r="K4685" s="102" t="s">
        <v>7334</v>
      </c>
      <c r="L4685" s="102" t="str">
        <f>AG627</f>
        <v>J1a2a1a2d2b2b2c4d2a2a5a1e4a6k2h2a~</v>
      </c>
      <c r="M4685" s="106" t="s">
        <v>7335</v>
      </c>
      <c r="N4685" s="102"/>
      <c r="O4685" s="105">
        <v>7820431.0</v>
      </c>
      <c r="P4685" s="105">
        <v>7952390.0</v>
      </c>
      <c r="Q4685" s="102" t="s">
        <v>2501</v>
      </c>
      <c r="S4685" s="1"/>
      <c r="T4685" s="1"/>
      <c r="U4685" s="1"/>
      <c r="V4685" s="1"/>
      <c r="W4685" s="1"/>
      <c r="X4685" s="1"/>
      <c r="Y4685" s="1"/>
      <c r="AA4685" s="102"/>
      <c r="AB4685" s="1"/>
      <c r="AC4685" s="1"/>
      <c r="AD4685" s="1"/>
      <c r="AE4685" s="1"/>
      <c r="AF4685" s="1"/>
      <c r="AG4685" s="1"/>
    </row>
    <row r="4686" ht="15.75" customHeight="1">
      <c r="A4686" s="1"/>
      <c r="B4686" s="1"/>
      <c r="C4686" s="1"/>
      <c r="D4686" s="1"/>
      <c r="E4686" s="1"/>
      <c r="F4686" s="1"/>
      <c r="G4686" s="1"/>
      <c r="H4686" s="1"/>
      <c r="I4686" s="1"/>
      <c r="J4686" s="1"/>
      <c r="K4686" s="106" t="s">
        <v>7335</v>
      </c>
      <c r="L4686" s="102" t="str">
        <f>AG627</f>
        <v>J1a2a1a2d2b2b2c4d2a2a5a1e4a6k2h2a~</v>
      </c>
      <c r="M4686" s="102" t="s">
        <v>7334</v>
      </c>
      <c r="N4686" s="102"/>
      <c r="O4686" s="105">
        <v>7820431.0</v>
      </c>
      <c r="P4686" s="105">
        <v>7952390.0</v>
      </c>
      <c r="Q4686" s="102" t="s">
        <v>2501</v>
      </c>
      <c r="S4686" s="1"/>
      <c r="T4686" s="1"/>
      <c r="U4686" s="1"/>
      <c r="V4686" s="1"/>
      <c r="W4686" s="1"/>
      <c r="X4686" s="1"/>
      <c r="Y4686" s="1"/>
      <c r="AA4686" s="102"/>
      <c r="AB4686" s="1"/>
      <c r="AC4686" s="1"/>
      <c r="AD4686" s="1"/>
      <c r="AE4686" s="1"/>
      <c r="AF4686" s="1"/>
      <c r="AG4686" s="1"/>
    </row>
    <row r="4687" ht="15.75" customHeight="1">
      <c r="A4687" s="1"/>
      <c r="B4687" s="1"/>
      <c r="C4687" s="1"/>
      <c r="D4687" s="1"/>
      <c r="E4687" s="1"/>
      <c r="F4687" s="1"/>
      <c r="G4687" s="1"/>
      <c r="H4687" s="1"/>
      <c r="I4687" s="1"/>
      <c r="J4687" s="1"/>
      <c r="K4687" s="108" t="s">
        <v>1223</v>
      </c>
      <c r="L4687" t="str">
        <f>AE628</f>
        <v>J1a2a1a2d2b2b2c4d2a2a5a1e4a6k2i~</v>
      </c>
      <c r="N4687" s="108" t="s">
        <v>7336</v>
      </c>
      <c r="O4687" s="108">
        <v>1.8973357E7</v>
      </c>
      <c r="P4687" s="108">
        <v>1.6861477E7</v>
      </c>
      <c r="Q4687" s="108" t="s">
        <v>2501</v>
      </c>
      <c r="S4687" s="1"/>
      <c r="T4687" s="1"/>
      <c r="U4687" s="1"/>
      <c r="V4687" s="1"/>
      <c r="W4687" s="1"/>
      <c r="X4687" s="1"/>
      <c r="Y4687" s="1"/>
      <c r="AA4687" s="102"/>
      <c r="AB4687" s="1"/>
      <c r="AC4687" s="1"/>
      <c r="AD4687" s="1"/>
      <c r="AE4687" s="1"/>
      <c r="AF4687" s="1"/>
      <c r="AG4687" s="1"/>
    </row>
    <row r="4688" ht="15.75" customHeight="1">
      <c r="A4688" s="1"/>
      <c r="B4688" s="1"/>
      <c r="C4688" s="1"/>
      <c r="D4688" s="1"/>
      <c r="E4688" s="1"/>
      <c r="F4688" s="1"/>
      <c r="G4688" s="1"/>
      <c r="H4688" s="1"/>
      <c r="I4688" s="1"/>
      <c r="J4688" s="1"/>
      <c r="K4688" s="102" t="s">
        <v>7337</v>
      </c>
      <c r="L4688" s="102" t="str">
        <f>AC629</f>
        <v>J1a2a1a2d2b2b2c4d2a2a5a1e4a6l~</v>
      </c>
      <c r="M4688" s="102"/>
      <c r="N4688" s="102"/>
      <c r="O4688" s="105">
        <v>2891353.0</v>
      </c>
      <c r="P4688" s="105">
        <v>3023312.0</v>
      </c>
      <c r="Q4688" s="102" t="s">
        <v>2576</v>
      </c>
      <c r="S4688" s="1"/>
      <c r="T4688" s="1"/>
      <c r="U4688" s="1"/>
      <c r="V4688" s="1"/>
      <c r="W4688" s="1"/>
      <c r="X4688" s="1"/>
      <c r="Y4688" s="1"/>
      <c r="AA4688" s="102"/>
      <c r="AB4688" s="1"/>
      <c r="AC4688" s="1"/>
      <c r="AD4688" s="1"/>
      <c r="AE4688" s="1"/>
      <c r="AF4688" s="1"/>
      <c r="AG4688" s="1"/>
    </row>
    <row r="4689" ht="15.75" customHeight="1">
      <c r="A4689" s="1"/>
      <c r="B4689" s="1"/>
      <c r="C4689" s="1"/>
      <c r="D4689" s="1"/>
      <c r="E4689" s="1"/>
      <c r="F4689" s="1"/>
      <c r="G4689" s="1"/>
      <c r="H4689" s="1"/>
      <c r="I4689" s="1"/>
      <c r="J4689" s="1"/>
      <c r="K4689" s="102" t="s">
        <v>7338</v>
      </c>
      <c r="L4689" s="102" t="str">
        <f>AC629</f>
        <v>J1a2a1a2d2b2b2c4d2a2a5a1e4a6l~</v>
      </c>
      <c r="M4689" s="102"/>
      <c r="N4689" s="102"/>
      <c r="O4689" s="105">
        <v>1.9359398E7</v>
      </c>
      <c r="P4689" s="105">
        <v>1.7247518E7</v>
      </c>
      <c r="Q4689" s="102" t="s">
        <v>2454</v>
      </c>
      <c r="S4689" s="1"/>
      <c r="T4689" s="1"/>
      <c r="U4689" s="1"/>
      <c r="V4689" s="1"/>
      <c r="W4689" s="1"/>
      <c r="X4689" s="1"/>
      <c r="Y4689" s="1"/>
      <c r="AA4689" s="102"/>
      <c r="AB4689" s="1"/>
      <c r="AC4689" s="1"/>
      <c r="AD4689" s="1"/>
      <c r="AE4689" s="1"/>
      <c r="AF4689" s="1"/>
      <c r="AG4689" s="1"/>
    </row>
    <row r="4690" ht="15.75" customHeight="1">
      <c r="A4690" s="1"/>
      <c r="B4690" s="1"/>
      <c r="C4690" s="1"/>
      <c r="D4690" s="1"/>
      <c r="E4690" s="1"/>
      <c r="F4690" s="1"/>
      <c r="G4690" s="1"/>
      <c r="H4690" s="1"/>
      <c r="I4690" s="1"/>
      <c r="J4690" s="1"/>
      <c r="K4690" s="102" t="s">
        <v>1227</v>
      </c>
      <c r="L4690" s="102" t="str">
        <f>AA630</f>
        <v>J1a2a1a2d2b2b2c4d2a2a5a1e4b~</v>
      </c>
      <c r="M4690" s="102"/>
      <c r="N4690" s="102" t="s">
        <v>7339</v>
      </c>
      <c r="O4690" s="105">
        <v>1.7924298E7</v>
      </c>
      <c r="P4690" s="105">
        <v>1.5812418E7</v>
      </c>
      <c r="Q4690" s="102" t="s">
        <v>2446</v>
      </c>
      <c r="S4690" s="1"/>
      <c r="T4690" s="1"/>
      <c r="U4690" s="1"/>
      <c r="V4690" s="1"/>
      <c r="W4690" s="1"/>
      <c r="X4690" s="1"/>
      <c r="Y4690" s="1"/>
      <c r="AA4690" s="102"/>
      <c r="AB4690" s="1"/>
      <c r="AC4690" s="1"/>
      <c r="AD4690" s="1"/>
      <c r="AE4690" s="1"/>
      <c r="AF4690" s="1"/>
      <c r="AG4690" s="1"/>
    </row>
    <row r="4691" ht="15.75" customHeight="1">
      <c r="A4691" s="1"/>
      <c r="B4691" s="1"/>
      <c r="C4691" s="1"/>
      <c r="D4691" s="1"/>
      <c r="E4691" s="1"/>
      <c r="F4691" s="1"/>
      <c r="G4691" s="1"/>
      <c r="H4691" s="1"/>
      <c r="I4691" s="1"/>
      <c r="J4691" s="1"/>
      <c r="K4691" s="102" t="s">
        <v>7340</v>
      </c>
      <c r="L4691" s="102" t="str">
        <f>Z631</f>
        <v>J1a2a1a2d2b2b2c4d2a2a5a1e5~</v>
      </c>
      <c r="M4691" s="102" t="s">
        <v>7341</v>
      </c>
      <c r="N4691" s="102" t="s">
        <v>7342</v>
      </c>
      <c r="O4691" s="105">
        <v>8259111.0</v>
      </c>
      <c r="P4691" s="105">
        <v>8391070.0</v>
      </c>
      <c r="Q4691" s="102" t="s">
        <v>2439</v>
      </c>
      <c r="S4691" s="1"/>
      <c r="T4691" s="1"/>
      <c r="U4691" s="1"/>
      <c r="V4691" s="1"/>
      <c r="W4691" s="1"/>
      <c r="X4691" s="1"/>
      <c r="Y4691" s="1"/>
      <c r="AA4691" s="102"/>
      <c r="AB4691" s="1"/>
      <c r="AC4691" s="1"/>
      <c r="AD4691" s="1"/>
      <c r="AE4691" s="1"/>
      <c r="AF4691" s="1"/>
      <c r="AG4691" s="1"/>
    </row>
    <row r="4692" ht="15.75" customHeight="1">
      <c r="A4692" s="1"/>
      <c r="B4692" s="1"/>
      <c r="C4692" s="1"/>
      <c r="D4692" s="1"/>
      <c r="E4692" s="1"/>
      <c r="F4692" s="1"/>
      <c r="G4692" s="1"/>
      <c r="H4692" s="1"/>
      <c r="I4692" s="1"/>
      <c r="J4692" s="1"/>
      <c r="K4692" s="102" t="s">
        <v>7341</v>
      </c>
      <c r="L4692" s="102" t="str">
        <f>Z631</f>
        <v>J1a2a1a2d2b2b2c4d2a2a5a1e5~</v>
      </c>
      <c r="M4692" s="102" t="s">
        <v>7340</v>
      </c>
      <c r="N4692" s="102" t="s">
        <v>7342</v>
      </c>
      <c r="O4692" s="105">
        <v>8259111.0</v>
      </c>
      <c r="P4692" s="105">
        <v>8391070.0</v>
      </c>
      <c r="Q4692" s="102" t="s">
        <v>2439</v>
      </c>
      <c r="S4692" s="1"/>
      <c r="T4692" s="1"/>
      <c r="U4692" s="1"/>
      <c r="V4692" s="1"/>
      <c r="W4692" s="1"/>
      <c r="X4692" s="1"/>
      <c r="Y4692" s="1"/>
      <c r="AA4692" s="102"/>
      <c r="AB4692" s="1"/>
      <c r="AC4692" s="1"/>
      <c r="AD4692" s="1"/>
      <c r="AE4692" s="1"/>
      <c r="AF4692" s="1"/>
      <c r="AG4692" s="1"/>
    </row>
    <row r="4693" ht="15.75" customHeight="1">
      <c r="A4693" s="1"/>
      <c r="B4693" s="1"/>
      <c r="C4693" s="1"/>
      <c r="D4693" s="1"/>
      <c r="E4693" s="1"/>
      <c r="F4693" s="1"/>
      <c r="G4693" s="1"/>
      <c r="H4693" s="1"/>
      <c r="I4693" s="1"/>
      <c r="J4693" s="1"/>
      <c r="K4693" s="102" t="s">
        <v>7343</v>
      </c>
      <c r="L4693" s="102" t="str">
        <f>Z631</f>
        <v>J1a2a1a2d2b2b2c4d2a2a5a1e5~</v>
      </c>
      <c r="M4693" s="106" t="s">
        <v>7344</v>
      </c>
      <c r="N4693" s="102" t="s">
        <v>7345</v>
      </c>
      <c r="O4693" s="105">
        <v>1.9360654E7</v>
      </c>
      <c r="P4693" s="105">
        <v>1.7248774E7</v>
      </c>
      <c r="Q4693" s="102" t="s">
        <v>2446</v>
      </c>
      <c r="S4693" s="1"/>
      <c r="T4693" s="1"/>
      <c r="U4693" s="1"/>
      <c r="V4693" s="1"/>
      <c r="W4693" s="1"/>
      <c r="X4693" s="1"/>
      <c r="Y4693" s="1"/>
      <c r="AA4693" s="102"/>
      <c r="AB4693" s="1"/>
      <c r="AC4693" s="1"/>
      <c r="AD4693" s="1"/>
      <c r="AE4693" s="1"/>
      <c r="AF4693" s="1"/>
      <c r="AG4693" s="1"/>
    </row>
    <row r="4694" ht="15.75" customHeight="1">
      <c r="A4694" s="1"/>
      <c r="B4694" s="1"/>
      <c r="C4694" s="1"/>
      <c r="D4694" s="1"/>
      <c r="E4694" s="1"/>
      <c r="F4694" s="1"/>
      <c r="G4694" s="1"/>
      <c r="H4694" s="1"/>
      <c r="I4694" s="1"/>
      <c r="J4694" s="1"/>
      <c r="K4694" s="106" t="s">
        <v>7344</v>
      </c>
      <c r="L4694" s="102" t="str">
        <f>Z631</f>
        <v>J1a2a1a2d2b2b2c4d2a2a5a1e5~</v>
      </c>
      <c r="M4694" s="102" t="s">
        <v>7343</v>
      </c>
      <c r="N4694" s="102" t="s">
        <v>7345</v>
      </c>
      <c r="O4694" s="105">
        <v>1.9360654E7</v>
      </c>
      <c r="P4694" s="105">
        <v>1.7248774E7</v>
      </c>
      <c r="Q4694" s="102" t="s">
        <v>2446</v>
      </c>
      <c r="S4694" s="1"/>
      <c r="T4694" s="1"/>
      <c r="U4694" s="1"/>
      <c r="V4694" s="1"/>
      <c r="W4694" s="1"/>
      <c r="X4694" s="1"/>
      <c r="Y4694" s="1"/>
      <c r="AA4694" s="102"/>
      <c r="AB4694" s="1"/>
      <c r="AC4694" s="1"/>
      <c r="AD4694" s="1"/>
      <c r="AE4694" s="1"/>
      <c r="AF4694" s="1"/>
      <c r="AG4694" s="1"/>
    </row>
    <row r="4695" ht="15.75" customHeight="1">
      <c r="A4695" s="1"/>
      <c r="B4695" s="1"/>
      <c r="C4695" s="1"/>
      <c r="D4695" s="1"/>
      <c r="E4695" s="1"/>
      <c r="F4695" s="1"/>
      <c r="G4695" s="1"/>
      <c r="H4695" s="1"/>
      <c r="I4695" s="1"/>
      <c r="J4695" s="1"/>
      <c r="K4695" s="102" t="s">
        <v>1231</v>
      </c>
      <c r="L4695" s="102" t="str">
        <f>X632</f>
        <v>J1a2a1a2d2b2b2c4d2a2a5a2~</v>
      </c>
      <c r="M4695" s="102"/>
      <c r="N4695" s="102"/>
      <c r="O4695" s="102">
        <v>7180541.0</v>
      </c>
      <c r="P4695" s="102">
        <v>7312500.0</v>
      </c>
      <c r="Q4695" s="102" t="s">
        <v>2439</v>
      </c>
      <c r="S4695" s="1"/>
      <c r="T4695" s="1"/>
      <c r="U4695" s="1"/>
      <c r="V4695" s="1"/>
      <c r="W4695" s="1"/>
      <c r="X4695" s="1"/>
      <c r="Y4695" s="1"/>
      <c r="AA4695" s="102"/>
      <c r="AB4695" s="1"/>
      <c r="AC4695" s="1"/>
      <c r="AD4695" s="1"/>
      <c r="AE4695" s="1"/>
      <c r="AF4695" s="1"/>
      <c r="AG4695" s="1"/>
    </row>
    <row r="4696" ht="15.75" customHeight="1">
      <c r="A4696" s="1"/>
      <c r="B4696" s="1"/>
      <c r="C4696" s="1"/>
      <c r="D4696" s="1"/>
      <c r="E4696" s="1"/>
      <c r="F4696" s="1"/>
      <c r="G4696" s="1"/>
      <c r="H4696" s="1"/>
      <c r="I4696" s="1"/>
      <c r="J4696" s="1"/>
      <c r="K4696" s="102" t="s">
        <v>7346</v>
      </c>
      <c r="L4696" s="102" t="str">
        <f>V633</f>
        <v>J1a2a1a2d2b2b2c4d2a2a6~</v>
      </c>
      <c r="M4696" s="102"/>
      <c r="N4696" s="102"/>
      <c r="O4696" s="105">
        <v>2805989.0</v>
      </c>
      <c r="P4696" s="105">
        <v>2937948.0</v>
      </c>
      <c r="Q4696" s="102" t="s">
        <v>2468</v>
      </c>
      <c r="S4696" s="1"/>
      <c r="T4696" s="1"/>
      <c r="U4696" s="1"/>
      <c r="V4696" s="1"/>
      <c r="W4696" s="1"/>
      <c r="X4696" s="1"/>
      <c r="Y4696" s="1"/>
      <c r="AA4696" s="102"/>
      <c r="AB4696" s="1"/>
      <c r="AC4696" s="1"/>
      <c r="AD4696" s="1"/>
      <c r="AE4696" s="1"/>
      <c r="AF4696" s="1"/>
      <c r="AG4696" s="1"/>
    </row>
    <row r="4697" ht="15.75" customHeight="1">
      <c r="A4697" s="1"/>
      <c r="B4697" s="1"/>
      <c r="C4697" s="1"/>
      <c r="D4697" s="1"/>
      <c r="E4697" s="1"/>
      <c r="F4697" s="1"/>
      <c r="G4697" s="1"/>
      <c r="H4697" s="1"/>
      <c r="I4697" s="1"/>
      <c r="J4697" s="1"/>
      <c r="K4697" s="102" t="s">
        <v>7347</v>
      </c>
      <c r="L4697" s="102" t="str">
        <f>V633</f>
        <v>J1a2a1a2d2b2b2c4d2a2a6~</v>
      </c>
      <c r="M4697" s="102"/>
      <c r="N4697" s="102"/>
      <c r="O4697" s="105">
        <v>7912521.0</v>
      </c>
      <c r="P4697" s="105">
        <v>8044480.0</v>
      </c>
      <c r="Q4697" s="102" t="s">
        <v>2501</v>
      </c>
      <c r="S4697" s="1"/>
      <c r="T4697" s="1"/>
      <c r="U4697" s="1"/>
      <c r="V4697" s="1"/>
      <c r="W4697" s="1"/>
      <c r="X4697" s="1"/>
      <c r="Y4697" s="1"/>
      <c r="AA4697" s="102"/>
      <c r="AB4697" s="1"/>
      <c r="AC4697" s="1"/>
      <c r="AD4697" s="1"/>
      <c r="AE4697" s="1"/>
      <c r="AF4697" s="1"/>
      <c r="AG4697" s="1"/>
    </row>
    <row r="4698" ht="15.75" customHeight="1">
      <c r="A4698" s="1"/>
      <c r="B4698" s="1"/>
      <c r="C4698" s="1"/>
      <c r="D4698" s="1"/>
      <c r="E4698" s="1"/>
      <c r="F4698" s="1"/>
      <c r="G4698" s="1"/>
      <c r="H4698" s="1"/>
      <c r="I4698" s="1"/>
      <c r="J4698" s="1"/>
      <c r="K4698" s="102" t="s">
        <v>7348</v>
      </c>
      <c r="L4698" s="102" t="str">
        <f>V633</f>
        <v>J1a2a1a2d2b2b2c4d2a2a6~</v>
      </c>
      <c r="M4698" s="102"/>
      <c r="N4698" s="102"/>
      <c r="O4698" s="105">
        <v>8187526.0</v>
      </c>
      <c r="P4698" s="105">
        <v>8319485.0</v>
      </c>
      <c r="Q4698" s="102" t="s">
        <v>2468</v>
      </c>
      <c r="S4698" s="1"/>
      <c r="T4698" s="1"/>
      <c r="U4698" s="1"/>
      <c r="V4698" s="1"/>
      <c r="W4698" s="1"/>
      <c r="X4698" s="1"/>
      <c r="Y4698" s="1"/>
      <c r="AA4698" s="102"/>
      <c r="AB4698" s="1"/>
      <c r="AC4698" s="1"/>
      <c r="AD4698" s="1"/>
      <c r="AE4698" s="1"/>
      <c r="AF4698" s="1"/>
      <c r="AG4698" s="1"/>
    </row>
    <row r="4699" ht="15.75" customHeight="1">
      <c r="A4699" s="1"/>
      <c r="B4699" s="1"/>
      <c r="C4699" s="1"/>
      <c r="D4699" s="1"/>
      <c r="E4699" s="1"/>
      <c r="F4699" s="1"/>
      <c r="G4699" s="1"/>
      <c r="H4699" s="1"/>
      <c r="I4699" s="1"/>
      <c r="J4699" s="1"/>
      <c r="K4699" s="102" t="s">
        <v>7349</v>
      </c>
      <c r="L4699" s="102" t="str">
        <f t="shared" ref="L4699:L4700" si="109">V633</f>
        <v>J1a2a1a2d2b2b2c4d2a2a6~</v>
      </c>
      <c r="M4699" s="102"/>
      <c r="N4699" s="102"/>
      <c r="O4699" s="105">
        <v>9898053.0</v>
      </c>
      <c r="P4699" s="105">
        <v>1.0060444E7</v>
      </c>
      <c r="Q4699" s="102" t="s">
        <v>2533</v>
      </c>
      <c r="S4699" s="1"/>
      <c r="T4699" s="1"/>
      <c r="U4699" s="1"/>
      <c r="V4699" s="1"/>
      <c r="W4699" s="1"/>
      <c r="X4699" s="1"/>
      <c r="Y4699" s="1"/>
      <c r="AA4699" s="102"/>
      <c r="AB4699" s="1"/>
      <c r="AC4699" s="1"/>
      <c r="AD4699" s="1"/>
      <c r="AE4699" s="1"/>
      <c r="AF4699" s="1"/>
      <c r="AG4699" s="1"/>
    </row>
    <row r="4700" ht="15.75" customHeight="1">
      <c r="A4700" s="1"/>
      <c r="B4700" s="1"/>
      <c r="C4700" s="1"/>
      <c r="D4700" s="1"/>
      <c r="E4700" s="1"/>
      <c r="F4700" s="1"/>
      <c r="G4700" s="1"/>
      <c r="H4700" s="1"/>
      <c r="I4700" s="1"/>
      <c r="J4700" s="1"/>
      <c r="K4700" s="102" t="s">
        <v>7350</v>
      </c>
      <c r="L4700" s="102" t="str">
        <f t="shared" si="109"/>
        <v>J1a2a1a2d2b2b2c4d2a2a7~</v>
      </c>
      <c r="M4700" s="102" t="s">
        <v>7351</v>
      </c>
      <c r="N4700" s="102"/>
      <c r="O4700" s="105">
        <v>1.4452988E7</v>
      </c>
      <c r="P4700" s="105">
        <v>1.2332261E7</v>
      </c>
      <c r="Q4700" s="102" t="s">
        <v>2529</v>
      </c>
      <c r="S4700" s="1"/>
      <c r="T4700" s="1"/>
      <c r="U4700" s="1"/>
      <c r="V4700" s="1"/>
      <c r="W4700" s="1"/>
      <c r="X4700" s="1"/>
      <c r="Y4700" s="1"/>
      <c r="AA4700" s="102"/>
      <c r="AB4700" s="1"/>
      <c r="AC4700" s="1"/>
      <c r="AD4700" s="1"/>
      <c r="AE4700" s="1"/>
      <c r="AF4700" s="1"/>
      <c r="AG4700" s="1"/>
    </row>
    <row r="4701" ht="15.75" customHeight="1">
      <c r="A4701" s="1"/>
      <c r="B4701" s="1"/>
      <c r="C4701" s="1"/>
      <c r="D4701" s="1"/>
      <c r="E4701" s="1"/>
      <c r="F4701" s="1"/>
      <c r="G4701" s="1"/>
      <c r="H4701" s="1"/>
      <c r="I4701" s="1"/>
      <c r="J4701" s="1"/>
      <c r="K4701" s="102" t="s">
        <v>7352</v>
      </c>
      <c r="L4701" s="102" t="str">
        <f>V634</f>
        <v>J1a2a1a2d2b2b2c4d2a2a7~</v>
      </c>
      <c r="M4701" s="102" t="s">
        <v>7353</v>
      </c>
      <c r="N4701" s="102"/>
      <c r="O4701" s="105">
        <v>1.4452988E7</v>
      </c>
      <c r="P4701" s="105">
        <v>1.2332261E7</v>
      </c>
      <c r="Q4701" s="102" t="s">
        <v>2529</v>
      </c>
      <c r="S4701" s="1"/>
      <c r="T4701" s="1"/>
      <c r="U4701" s="1"/>
      <c r="V4701" s="1"/>
      <c r="W4701" s="1"/>
      <c r="X4701" s="1"/>
      <c r="Y4701" s="1"/>
      <c r="AA4701" s="102"/>
      <c r="AB4701" s="1"/>
      <c r="AC4701" s="1"/>
      <c r="AD4701" s="1"/>
      <c r="AE4701" s="1"/>
      <c r="AF4701" s="1"/>
      <c r="AG4701" s="1"/>
    </row>
    <row r="4702" ht="15.75" customHeight="1">
      <c r="A4702" s="1"/>
      <c r="B4702" s="1"/>
      <c r="C4702" s="1"/>
      <c r="D4702" s="1"/>
      <c r="E4702" s="1"/>
      <c r="F4702" s="1"/>
      <c r="G4702" s="1"/>
      <c r="H4702" s="1"/>
      <c r="I4702" s="1"/>
      <c r="J4702" s="1"/>
      <c r="K4702" s="102" t="s">
        <v>7354</v>
      </c>
      <c r="L4702" s="102" t="str">
        <f>V634</f>
        <v>J1a2a1a2d2b2b2c4d2a2a7~</v>
      </c>
      <c r="M4702" s="102" t="s">
        <v>7355</v>
      </c>
      <c r="N4702" s="102"/>
      <c r="O4702" s="105">
        <v>1.4452988E7</v>
      </c>
      <c r="P4702" s="105">
        <v>1.2332261E7</v>
      </c>
      <c r="Q4702" s="102" t="s">
        <v>2529</v>
      </c>
      <c r="S4702" s="1"/>
      <c r="T4702" s="1"/>
      <c r="U4702" s="1"/>
      <c r="V4702" s="1"/>
      <c r="W4702" s="1"/>
      <c r="X4702" s="1"/>
      <c r="Y4702" s="1"/>
      <c r="AA4702" s="102"/>
      <c r="AB4702" s="1"/>
      <c r="AC4702" s="1"/>
      <c r="AD4702" s="1"/>
      <c r="AE4702" s="1"/>
      <c r="AF4702" s="1"/>
      <c r="AG4702" s="1"/>
    </row>
    <row r="4703" ht="15.75" customHeight="1">
      <c r="A4703" s="1"/>
      <c r="B4703" s="1"/>
      <c r="C4703" s="1"/>
      <c r="D4703" s="1"/>
      <c r="E4703" s="1"/>
      <c r="F4703" s="1"/>
      <c r="G4703" s="1"/>
      <c r="H4703" s="1"/>
      <c r="I4703" s="1"/>
      <c r="J4703" s="1"/>
      <c r="K4703" s="102" t="s">
        <v>7356</v>
      </c>
      <c r="L4703" s="102" t="str">
        <f>V634</f>
        <v>J1a2a1a2d2b2b2c4d2a2a7~</v>
      </c>
      <c r="M4703" s="102"/>
      <c r="N4703" s="102"/>
      <c r="O4703" s="105">
        <v>2.1385722E7</v>
      </c>
      <c r="P4703" s="105">
        <v>1.9223836E7</v>
      </c>
      <c r="Q4703" s="102" t="s">
        <v>2423</v>
      </c>
      <c r="S4703" s="1"/>
      <c r="T4703" s="1"/>
      <c r="U4703" s="1"/>
      <c r="V4703" s="1"/>
      <c r="W4703" s="1"/>
      <c r="X4703" s="1"/>
      <c r="Y4703" s="1"/>
      <c r="AA4703" s="102"/>
      <c r="AB4703" s="1"/>
      <c r="AC4703" s="1"/>
      <c r="AD4703" s="1"/>
      <c r="AE4703" s="1"/>
      <c r="AF4703" s="1"/>
      <c r="AG4703" s="1"/>
    </row>
    <row r="4704" ht="15.75" customHeight="1">
      <c r="A4704" s="1"/>
      <c r="B4704" s="1"/>
      <c r="C4704" s="1"/>
      <c r="D4704" s="1"/>
      <c r="E4704" s="1"/>
      <c r="F4704" s="1"/>
      <c r="G4704" s="1"/>
      <c r="H4704" s="1"/>
      <c r="I4704" s="1"/>
      <c r="J4704" s="1"/>
      <c r="K4704" s="102" t="s">
        <v>7357</v>
      </c>
      <c r="L4704" s="102" t="str">
        <f>V634</f>
        <v>J1a2a1a2d2b2b2c4d2a2a7~</v>
      </c>
      <c r="M4704" s="102"/>
      <c r="N4704" s="102"/>
      <c r="O4704" s="105">
        <v>2.337537E7</v>
      </c>
      <c r="P4704" s="105">
        <v>2.1213484E7</v>
      </c>
      <c r="Q4704" s="102" t="s">
        <v>2514</v>
      </c>
      <c r="S4704" s="1"/>
      <c r="T4704" s="1"/>
      <c r="U4704" s="1"/>
      <c r="V4704" s="1"/>
      <c r="W4704" s="1"/>
      <c r="X4704" s="1"/>
      <c r="Y4704" s="1"/>
      <c r="AA4704" s="102"/>
      <c r="AB4704" s="1"/>
      <c r="AC4704" s="1"/>
      <c r="AD4704" s="1"/>
      <c r="AE4704" s="1"/>
      <c r="AF4704" s="1"/>
      <c r="AG4704" s="1"/>
    </row>
    <row r="4705" ht="15.75" customHeight="1">
      <c r="A4705" s="1"/>
      <c r="B4705" s="1"/>
      <c r="C4705" s="1"/>
      <c r="D4705" s="1"/>
      <c r="E4705" s="1"/>
      <c r="F4705" s="1"/>
      <c r="G4705" s="1"/>
      <c r="H4705" s="1"/>
      <c r="I4705" s="1"/>
      <c r="J4705" s="1"/>
      <c r="K4705" s="102" t="s">
        <v>7358</v>
      </c>
      <c r="L4705" s="102" t="str">
        <f>V634</f>
        <v>J1a2a1a2d2b2b2c4d2a2a7~</v>
      </c>
      <c r="M4705" s="102"/>
      <c r="N4705" s="102"/>
      <c r="O4705" s="105">
        <v>1.9149575E7</v>
      </c>
      <c r="P4705" s="105">
        <v>1.7037695E7</v>
      </c>
      <c r="Q4705" s="102" t="s">
        <v>2439</v>
      </c>
      <c r="S4705" s="1"/>
      <c r="T4705" s="1"/>
      <c r="U4705" s="1"/>
      <c r="V4705" s="1"/>
      <c r="W4705" s="1"/>
      <c r="X4705" s="1"/>
      <c r="Y4705" s="1"/>
      <c r="AA4705" s="102"/>
      <c r="AB4705" s="1"/>
      <c r="AC4705" s="1"/>
      <c r="AD4705" s="1"/>
      <c r="AE4705" s="1"/>
      <c r="AF4705" s="1"/>
      <c r="AG4705" s="1"/>
    </row>
    <row r="4706" ht="15.75" customHeight="1">
      <c r="A4706" s="1"/>
      <c r="B4706" s="1"/>
      <c r="C4706" s="1"/>
      <c r="D4706" s="1"/>
      <c r="E4706" s="1"/>
      <c r="F4706" s="1"/>
      <c r="G4706" s="1"/>
      <c r="H4706" s="1"/>
      <c r="I4706" s="1"/>
      <c r="J4706" s="1"/>
      <c r="K4706" s="102" t="s">
        <v>7359</v>
      </c>
      <c r="L4706" s="102" t="str">
        <f t="shared" ref="L4706:L4707" si="110">V634</f>
        <v>J1a2a1a2d2b2b2c4d2a2a7~</v>
      </c>
      <c r="M4706" s="102"/>
      <c r="N4706" s="102"/>
      <c r="O4706" s="105">
        <v>2.8784894E7</v>
      </c>
      <c r="P4706" s="105">
        <v>2.6638747E7</v>
      </c>
      <c r="Q4706" s="102" t="s">
        <v>2576</v>
      </c>
      <c r="S4706" s="1"/>
      <c r="T4706" s="1"/>
      <c r="U4706" s="1"/>
      <c r="V4706" s="1"/>
      <c r="W4706" s="1"/>
      <c r="X4706" s="1"/>
      <c r="Y4706" s="1"/>
      <c r="AA4706" s="102"/>
      <c r="AB4706" s="1"/>
      <c r="AC4706" s="1"/>
      <c r="AD4706" s="1"/>
      <c r="AE4706" s="1"/>
      <c r="AF4706" s="1"/>
      <c r="AG4706" s="1"/>
    </row>
    <row r="4707" ht="15.75" customHeight="1">
      <c r="A4707" s="1"/>
      <c r="B4707" s="1"/>
      <c r="C4707" s="1"/>
      <c r="D4707" s="1"/>
      <c r="E4707" s="1"/>
      <c r="F4707" s="1"/>
      <c r="G4707" s="1"/>
      <c r="H4707" s="1"/>
      <c r="I4707" s="1"/>
      <c r="J4707" s="1"/>
      <c r="K4707" s="102" t="s">
        <v>7360</v>
      </c>
      <c r="L4707" s="102" t="str">
        <f t="shared" si="110"/>
        <v>J1a2a1a2d2b2b2c4d2a2a8~</v>
      </c>
      <c r="M4707" s="102"/>
      <c r="N4707" s="102" t="s">
        <v>7361</v>
      </c>
      <c r="O4707" s="105">
        <v>1.7841235E7</v>
      </c>
      <c r="P4707" s="105">
        <v>1.5729355E7</v>
      </c>
      <c r="Q4707" s="102" t="s">
        <v>2501</v>
      </c>
      <c r="S4707" s="1"/>
      <c r="T4707" s="1"/>
      <c r="U4707" s="1"/>
      <c r="V4707" s="1"/>
      <c r="W4707" s="1"/>
      <c r="X4707" s="1"/>
      <c r="Y4707" s="1"/>
      <c r="AA4707" s="102"/>
      <c r="AB4707" s="1"/>
      <c r="AC4707" s="1"/>
      <c r="AD4707" s="1"/>
      <c r="AE4707" s="1"/>
      <c r="AF4707" s="1"/>
      <c r="AG4707" s="1"/>
    </row>
    <row r="4708" ht="15.75" customHeight="1">
      <c r="A4708" s="1"/>
      <c r="B4708" s="1"/>
      <c r="C4708" s="1"/>
      <c r="D4708" s="1"/>
      <c r="E4708" s="1"/>
      <c r="F4708" s="1"/>
      <c r="G4708" s="1"/>
      <c r="H4708" s="1"/>
      <c r="I4708" s="1"/>
      <c r="J4708" s="1"/>
      <c r="K4708" s="102" t="s">
        <v>7362</v>
      </c>
      <c r="L4708" s="102" t="str">
        <f>V635</f>
        <v>J1a2a1a2d2b2b2c4d2a2a8~</v>
      </c>
      <c r="M4708" s="102"/>
      <c r="N4708" s="102"/>
      <c r="O4708" s="105">
        <v>8360699.0</v>
      </c>
      <c r="P4708" s="105">
        <v>8492658.0</v>
      </c>
      <c r="Q4708" s="102" t="s">
        <v>2423</v>
      </c>
      <c r="S4708" s="1"/>
      <c r="T4708" s="1"/>
      <c r="U4708" s="1"/>
      <c r="V4708" s="1"/>
      <c r="W4708" s="1"/>
      <c r="X4708" s="1"/>
      <c r="Y4708" s="1"/>
      <c r="AA4708" s="102"/>
      <c r="AB4708" s="1"/>
      <c r="AC4708" s="1"/>
      <c r="AD4708" s="1"/>
      <c r="AE4708" s="1"/>
      <c r="AF4708" s="1"/>
      <c r="AG4708" s="1"/>
    </row>
    <row r="4709" ht="15.75" customHeight="1">
      <c r="A4709" s="1"/>
      <c r="B4709" s="1"/>
      <c r="C4709" s="1"/>
      <c r="D4709" s="1"/>
      <c r="E4709" s="1"/>
      <c r="F4709" s="1"/>
      <c r="G4709" s="1"/>
      <c r="H4709" s="1"/>
      <c r="I4709" s="1"/>
      <c r="J4709" s="1"/>
      <c r="K4709" s="102" t="s">
        <v>7363</v>
      </c>
      <c r="L4709" s="102" t="str">
        <f>V635</f>
        <v>J1a2a1a2d2b2b2c4d2a2a8~</v>
      </c>
      <c r="M4709" s="102"/>
      <c r="N4709" s="102"/>
      <c r="O4709" s="105">
        <v>1.3657092E7</v>
      </c>
      <c r="P4709" s="105">
        <v>1.1501416E7</v>
      </c>
      <c r="Q4709" s="102" t="s">
        <v>2468</v>
      </c>
      <c r="S4709" s="1"/>
      <c r="T4709" s="1"/>
      <c r="U4709" s="1"/>
      <c r="V4709" s="1"/>
      <c r="W4709" s="1"/>
      <c r="X4709" s="1"/>
      <c r="Y4709" s="1"/>
      <c r="AA4709" s="102"/>
      <c r="AB4709" s="1"/>
      <c r="AC4709" s="1"/>
      <c r="AD4709" s="1"/>
      <c r="AE4709" s="1"/>
      <c r="AF4709" s="1"/>
      <c r="AG4709" s="1"/>
    </row>
    <row r="4710" ht="15.75" customHeight="1">
      <c r="A4710" s="1"/>
      <c r="B4710" s="1"/>
      <c r="C4710" s="1"/>
      <c r="D4710" s="1"/>
      <c r="E4710" s="1"/>
      <c r="F4710" s="1"/>
      <c r="G4710" s="1"/>
      <c r="H4710" s="1"/>
      <c r="I4710" s="1"/>
      <c r="J4710" s="1"/>
      <c r="K4710" s="102" t="s">
        <v>7364</v>
      </c>
      <c r="L4710" s="102" t="str">
        <f>V635</f>
        <v>J1a2a1a2d2b2b2c4d2a2a8~</v>
      </c>
      <c r="M4710" s="102"/>
      <c r="N4710" s="102"/>
      <c r="O4710" s="105">
        <v>1.5265195E7</v>
      </c>
      <c r="P4710" s="105">
        <v>1.3153284E7</v>
      </c>
      <c r="Q4710" s="102" t="s">
        <v>2432</v>
      </c>
      <c r="S4710" s="1"/>
      <c r="T4710" s="1"/>
      <c r="U4710" s="1"/>
      <c r="V4710" s="1"/>
      <c r="W4710" s="1"/>
      <c r="X4710" s="1"/>
      <c r="Y4710" s="1"/>
      <c r="AA4710" s="102"/>
      <c r="AB4710" s="1"/>
      <c r="AC4710" s="1"/>
      <c r="AD4710" s="1"/>
      <c r="AE4710" s="1"/>
      <c r="AF4710" s="1"/>
      <c r="AG4710" s="1"/>
    </row>
    <row r="4711" ht="15.75" customHeight="1">
      <c r="A4711" s="1"/>
      <c r="B4711" s="1"/>
      <c r="C4711" s="1"/>
      <c r="D4711" s="1"/>
      <c r="E4711" s="1"/>
      <c r="F4711" s="1"/>
      <c r="G4711" s="1"/>
      <c r="H4711" s="1"/>
      <c r="I4711" s="1"/>
      <c r="J4711" s="1"/>
      <c r="K4711" s="102" t="s">
        <v>7365</v>
      </c>
      <c r="L4711" s="102" t="str">
        <f>V635</f>
        <v>J1a2a1a2d2b2b2c4d2a2a8~</v>
      </c>
      <c r="M4711" s="102"/>
      <c r="N4711" s="102" t="s">
        <v>7366</v>
      </c>
      <c r="O4711" s="105">
        <v>2.3043226E7</v>
      </c>
      <c r="P4711" s="105">
        <v>2.088134E7</v>
      </c>
      <c r="Q4711" s="102" t="s">
        <v>2501</v>
      </c>
      <c r="S4711" s="1"/>
      <c r="T4711" s="1"/>
      <c r="U4711" s="1"/>
      <c r="V4711" s="1"/>
      <c r="W4711" s="1"/>
      <c r="X4711" s="1"/>
      <c r="Y4711" s="1"/>
      <c r="AA4711" s="102"/>
      <c r="AB4711" s="1"/>
      <c r="AC4711" s="1"/>
      <c r="AD4711" s="1"/>
      <c r="AE4711" s="1"/>
      <c r="AF4711" s="1"/>
      <c r="AG4711" s="1"/>
    </row>
    <row r="4712" ht="15.75" customHeight="1">
      <c r="A4712" s="1"/>
      <c r="B4712" s="1"/>
      <c r="C4712" s="1"/>
      <c r="D4712" s="1"/>
      <c r="E4712" s="1"/>
      <c r="F4712" s="1"/>
      <c r="G4712" s="1"/>
      <c r="H4712" s="1"/>
      <c r="I4712" s="1"/>
      <c r="J4712" s="1"/>
      <c r="K4712" s="102" t="s">
        <v>1239</v>
      </c>
      <c r="L4712" s="102" t="str">
        <f t="shared" ref="L4712:L4713" si="111">U636</f>
        <v>J1a2a1a2d2b2b2c4d2a2b~</v>
      </c>
      <c r="M4712" s="102"/>
      <c r="N4712" s="102"/>
      <c r="O4712" s="105">
        <v>1.7764999E7</v>
      </c>
      <c r="P4712" s="105">
        <v>1.5653119E7</v>
      </c>
      <c r="Q4712" s="102" t="s">
        <v>2468</v>
      </c>
      <c r="S4712" s="1"/>
      <c r="T4712" s="1"/>
      <c r="U4712" s="1"/>
      <c r="V4712" s="1"/>
      <c r="W4712" s="1"/>
      <c r="X4712" s="1"/>
      <c r="Y4712" s="1"/>
      <c r="AA4712" s="102"/>
      <c r="AB4712" s="1"/>
      <c r="AC4712" s="1"/>
      <c r="AD4712" s="1"/>
      <c r="AE4712" s="1"/>
      <c r="AF4712" s="1"/>
      <c r="AG4712" s="1"/>
    </row>
    <row r="4713" ht="15.75" customHeight="1">
      <c r="A4713" s="1"/>
      <c r="B4713" s="1"/>
      <c r="C4713" s="1"/>
      <c r="D4713" s="1"/>
      <c r="E4713" s="1"/>
      <c r="F4713" s="1"/>
      <c r="G4713" s="1"/>
      <c r="H4713" s="1"/>
      <c r="I4713" s="1"/>
      <c r="J4713" s="1"/>
      <c r="K4713" s="102" t="s">
        <v>1241</v>
      </c>
      <c r="L4713" s="102" t="str">
        <f t="shared" si="111"/>
        <v>J1a2a1a2d2b2b2c4d2a2c~</v>
      </c>
      <c r="M4713" s="102"/>
      <c r="N4713" s="102" t="s">
        <v>5764</v>
      </c>
      <c r="O4713" s="105">
        <v>1.789283E7</v>
      </c>
      <c r="P4713" s="105">
        <v>1.578095E7</v>
      </c>
      <c r="Q4713" s="102" t="s">
        <v>2576</v>
      </c>
      <c r="S4713" s="1"/>
      <c r="T4713" s="1"/>
      <c r="U4713" s="1"/>
      <c r="V4713" s="1"/>
      <c r="W4713" s="1"/>
      <c r="X4713" s="1"/>
      <c r="Y4713" s="1"/>
      <c r="AA4713" s="102"/>
      <c r="AB4713" s="1"/>
      <c r="AC4713" s="1"/>
      <c r="AD4713" s="1"/>
      <c r="AE4713" s="1"/>
      <c r="AF4713" s="1"/>
      <c r="AG4713" s="1"/>
    </row>
    <row r="4714" ht="15.75" customHeight="1">
      <c r="A4714" s="1"/>
      <c r="B4714" s="1"/>
      <c r="C4714" s="1"/>
      <c r="D4714" s="1"/>
      <c r="E4714" s="1"/>
      <c r="F4714" s="1"/>
      <c r="G4714" s="1"/>
      <c r="H4714" s="1"/>
      <c r="I4714" s="1"/>
      <c r="J4714" s="1"/>
      <c r="K4714" s="102" t="s">
        <v>7367</v>
      </c>
      <c r="L4714" s="102" t="str">
        <f>V638</f>
        <v>J1a2a1a2d2b2b2c4d2a2c1~</v>
      </c>
      <c r="M4714" s="102" t="s">
        <v>7368</v>
      </c>
      <c r="N4714" s="102"/>
      <c r="O4714" s="105">
        <v>7046740.0</v>
      </c>
      <c r="P4714" s="105">
        <v>7178699.0</v>
      </c>
      <c r="Q4714" s="102" t="s">
        <v>2446</v>
      </c>
      <c r="S4714" s="1"/>
      <c r="T4714" s="1"/>
      <c r="U4714" s="1"/>
      <c r="V4714" s="1"/>
      <c r="W4714" s="1"/>
      <c r="X4714" s="1"/>
      <c r="Y4714" s="1"/>
      <c r="AA4714" s="102"/>
      <c r="AB4714" s="1"/>
      <c r="AC4714" s="1"/>
      <c r="AD4714" s="1"/>
      <c r="AE4714" s="1"/>
      <c r="AF4714" s="1"/>
      <c r="AG4714" s="1"/>
    </row>
    <row r="4715" ht="15.75" customHeight="1">
      <c r="A4715" s="1"/>
      <c r="B4715" s="1"/>
      <c r="C4715" s="1"/>
      <c r="D4715" s="1"/>
      <c r="E4715" s="1"/>
      <c r="F4715" s="1"/>
      <c r="G4715" s="1"/>
      <c r="H4715" s="1"/>
      <c r="I4715" s="1"/>
      <c r="J4715" s="1"/>
      <c r="K4715" s="102" t="s">
        <v>7368</v>
      </c>
      <c r="L4715" s="102" t="str">
        <f>V638</f>
        <v>J1a2a1a2d2b2b2c4d2a2c1~</v>
      </c>
      <c r="M4715" s="102" t="s">
        <v>7367</v>
      </c>
      <c r="N4715" s="102"/>
      <c r="O4715" s="105">
        <v>7046740.0</v>
      </c>
      <c r="P4715" s="105">
        <v>7178699.0</v>
      </c>
      <c r="Q4715" s="102" t="s">
        <v>2446</v>
      </c>
      <c r="S4715" s="1"/>
      <c r="T4715" s="1"/>
      <c r="U4715" s="1"/>
      <c r="V4715" s="1"/>
      <c r="W4715" s="1"/>
      <c r="X4715" s="1"/>
      <c r="Y4715" s="1"/>
      <c r="AA4715" s="102"/>
      <c r="AB4715" s="1"/>
      <c r="AC4715" s="1"/>
      <c r="AD4715" s="1"/>
      <c r="AE4715" s="1"/>
      <c r="AF4715" s="1"/>
      <c r="AG4715" s="1"/>
    </row>
    <row r="4716" ht="15.75" customHeight="1">
      <c r="A4716" s="1"/>
      <c r="B4716" s="1"/>
      <c r="C4716" s="1"/>
      <c r="D4716" s="1"/>
      <c r="E4716" s="1"/>
      <c r="F4716" s="1"/>
      <c r="G4716" s="1"/>
      <c r="H4716" s="1"/>
      <c r="I4716" s="1"/>
      <c r="J4716" s="1"/>
      <c r="K4716" s="102" t="s">
        <v>7369</v>
      </c>
      <c r="L4716" s="102" t="str">
        <f>V638</f>
        <v>J1a2a1a2d2b2b2c4d2a2c1~</v>
      </c>
      <c r="M4716" s="102"/>
      <c r="N4716" s="102"/>
      <c r="O4716" s="105">
        <v>7230195.0</v>
      </c>
      <c r="P4716" s="105">
        <v>7362154.0</v>
      </c>
      <c r="Q4716" s="102" t="s">
        <v>2529</v>
      </c>
      <c r="S4716" s="1"/>
      <c r="T4716" s="1"/>
      <c r="U4716" s="1"/>
      <c r="V4716" s="1"/>
      <c r="W4716" s="1"/>
      <c r="X4716" s="1"/>
      <c r="Y4716" s="1"/>
      <c r="AA4716" s="102"/>
      <c r="AB4716" s="1"/>
      <c r="AC4716" s="1"/>
      <c r="AD4716" s="1"/>
      <c r="AE4716" s="1"/>
      <c r="AF4716" s="1"/>
      <c r="AG4716" s="1"/>
    </row>
    <row r="4717" ht="15.75" customHeight="1">
      <c r="A4717" s="1"/>
      <c r="B4717" s="1"/>
      <c r="C4717" s="1"/>
      <c r="D4717" s="1"/>
      <c r="E4717" s="1"/>
      <c r="F4717" s="1"/>
      <c r="G4717" s="1"/>
      <c r="H4717" s="1"/>
      <c r="I4717" s="1"/>
      <c r="J4717" s="1"/>
      <c r="K4717" s="102" t="s">
        <v>7370</v>
      </c>
      <c r="L4717" s="102" t="str">
        <f t="shared" ref="L4717:L4718" si="112">V638</f>
        <v>J1a2a1a2d2b2b2c4d2a2c1~</v>
      </c>
      <c r="M4717" s="102"/>
      <c r="N4717" s="102"/>
      <c r="O4717" s="105">
        <v>9902883.0</v>
      </c>
      <c r="P4717" s="105">
        <v>1.0065274E7</v>
      </c>
      <c r="Q4717" s="102" t="s">
        <v>2468</v>
      </c>
      <c r="S4717" s="1"/>
      <c r="T4717" s="1"/>
      <c r="U4717" s="1"/>
      <c r="V4717" s="1"/>
      <c r="W4717" s="1"/>
      <c r="X4717" s="1"/>
      <c r="Y4717" s="1"/>
      <c r="AA4717" s="102"/>
      <c r="AB4717" s="1"/>
      <c r="AC4717" s="1"/>
      <c r="AD4717" s="1"/>
      <c r="AE4717" s="1"/>
      <c r="AF4717" s="1"/>
      <c r="AG4717" s="1"/>
    </row>
    <row r="4718" ht="15.75" customHeight="1">
      <c r="A4718" s="1"/>
      <c r="B4718" s="1"/>
      <c r="C4718" s="1"/>
      <c r="D4718" s="1"/>
      <c r="E4718" s="1"/>
      <c r="F4718" s="1"/>
      <c r="G4718" s="1"/>
      <c r="H4718" s="1"/>
      <c r="I4718" s="1"/>
      <c r="J4718" s="1"/>
      <c r="K4718" s="102" t="s">
        <v>7371</v>
      </c>
      <c r="L4718" s="102" t="str">
        <f t="shared" si="112"/>
        <v>J1a2a1a2d2b2b2c4d2a2c2~</v>
      </c>
      <c r="M4718" s="102"/>
      <c r="N4718" s="102"/>
      <c r="O4718" s="105">
        <v>6903967.0</v>
      </c>
      <c r="P4718" s="105">
        <v>7035926.0</v>
      </c>
      <c r="Q4718" s="102" t="s">
        <v>2501</v>
      </c>
      <c r="S4718" s="1"/>
      <c r="T4718" s="1"/>
      <c r="U4718" s="1"/>
      <c r="V4718" s="1"/>
      <c r="W4718" s="1"/>
      <c r="X4718" s="1"/>
      <c r="Y4718" s="1"/>
      <c r="AA4718" s="102"/>
      <c r="AB4718" s="1"/>
      <c r="AC4718" s="1"/>
      <c r="AD4718" s="1"/>
      <c r="AE4718" s="1"/>
      <c r="AF4718" s="1"/>
      <c r="AG4718" s="1"/>
    </row>
    <row r="4719" ht="15.75" customHeight="1">
      <c r="A4719" s="1"/>
      <c r="B4719" s="1"/>
      <c r="C4719" s="1"/>
      <c r="D4719" s="1"/>
      <c r="E4719" s="1"/>
      <c r="F4719" s="1"/>
      <c r="G4719" s="1"/>
      <c r="H4719" s="1"/>
      <c r="I4719" s="1"/>
      <c r="J4719" s="1"/>
      <c r="K4719" s="102" t="s">
        <v>5767</v>
      </c>
      <c r="L4719" s="102" t="str">
        <f>V639</f>
        <v>J1a2a1a2d2b2b2c4d2a2c2~</v>
      </c>
      <c r="M4719" s="102"/>
      <c r="N4719" s="102"/>
      <c r="O4719" s="105">
        <v>8082710.0</v>
      </c>
      <c r="P4719" s="105">
        <v>8214669.0</v>
      </c>
      <c r="Q4719" s="102" t="s">
        <v>2529</v>
      </c>
      <c r="S4719" s="1"/>
      <c r="T4719" s="1"/>
      <c r="U4719" s="1"/>
      <c r="V4719" s="1"/>
      <c r="W4719" s="1"/>
      <c r="X4719" s="1"/>
      <c r="Y4719" s="1"/>
      <c r="AA4719" s="102"/>
      <c r="AB4719" s="1"/>
      <c r="AC4719" s="1"/>
      <c r="AD4719" s="1"/>
      <c r="AE4719" s="1"/>
      <c r="AF4719" s="1"/>
      <c r="AG4719" s="1"/>
    </row>
    <row r="4720" ht="15.75" customHeight="1">
      <c r="A4720" s="1"/>
      <c r="B4720" s="1"/>
      <c r="C4720" s="1"/>
      <c r="D4720" s="1"/>
      <c r="E4720" s="1"/>
      <c r="F4720" s="1"/>
      <c r="G4720" s="1"/>
      <c r="H4720" s="1"/>
      <c r="I4720" s="1"/>
      <c r="J4720" s="1"/>
      <c r="K4720" s="102" t="s">
        <v>7372</v>
      </c>
      <c r="L4720" s="102" t="str">
        <f>V639</f>
        <v>J1a2a1a2d2b2b2c4d2a2c2~</v>
      </c>
      <c r="M4720" s="102"/>
      <c r="N4720" s="102"/>
      <c r="O4720" s="105">
        <v>1.6331472E7</v>
      </c>
      <c r="P4720" s="105">
        <v>1.4219592E7</v>
      </c>
      <c r="Q4720" s="102" t="s">
        <v>2439</v>
      </c>
      <c r="S4720" s="1"/>
      <c r="T4720" s="1"/>
      <c r="U4720" s="1"/>
      <c r="V4720" s="1"/>
      <c r="W4720" s="1"/>
      <c r="X4720" s="1"/>
      <c r="Y4720" s="1"/>
      <c r="AA4720" s="102"/>
      <c r="AB4720" s="1"/>
      <c r="AC4720" s="1"/>
      <c r="AD4720" s="1"/>
      <c r="AE4720" s="1"/>
      <c r="AF4720" s="1"/>
      <c r="AG4720" s="1"/>
    </row>
    <row r="4721" ht="15.75" customHeight="1">
      <c r="A4721" s="1"/>
      <c r="B4721" s="1"/>
      <c r="C4721" s="1"/>
      <c r="D4721" s="1"/>
      <c r="E4721" s="1"/>
      <c r="F4721" s="1"/>
      <c r="G4721" s="1"/>
      <c r="H4721" s="1"/>
      <c r="I4721" s="1"/>
      <c r="J4721" s="1"/>
      <c r="K4721" s="102" t="s">
        <v>7373</v>
      </c>
      <c r="L4721" s="102" t="str">
        <f>W640</f>
        <v>J1a2a1a2d2b2b2c4d2a2c2a~</v>
      </c>
      <c r="M4721" s="102"/>
      <c r="N4721" s="102"/>
      <c r="O4721" s="105">
        <v>1.5720058E7</v>
      </c>
      <c r="P4721" s="105">
        <v>1.3608178E7</v>
      </c>
      <c r="Q4721" s="102" t="s">
        <v>2501</v>
      </c>
      <c r="S4721" s="1"/>
      <c r="T4721" s="1"/>
      <c r="U4721" s="1"/>
      <c r="V4721" s="1"/>
      <c r="W4721" s="1"/>
      <c r="X4721" s="1"/>
      <c r="Y4721" s="1"/>
      <c r="AA4721" s="102"/>
      <c r="AB4721" s="1"/>
      <c r="AC4721" s="1"/>
      <c r="AD4721" s="1"/>
      <c r="AE4721" s="1"/>
      <c r="AF4721" s="1"/>
      <c r="AG4721" s="1"/>
    </row>
    <row r="4722" ht="15.75" customHeight="1">
      <c r="A4722" s="1"/>
      <c r="B4722" s="1"/>
      <c r="C4722" s="1"/>
      <c r="D4722" s="1"/>
      <c r="E4722" s="1"/>
      <c r="F4722" s="1"/>
      <c r="G4722" s="1"/>
      <c r="H4722" s="1"/>
      <c r="I4722" s="1"/>
      <c r="J4722" s="1"/>
      <c r="K4722" s="102" t="s">
        <v>7374</v>
      </c>
      <c r="L4722" s="102" t="str">
        <f>W640</f>
        <v>J1a2a1a2d2b2b2c4d2a2c2a~</v>
      </c>
      <c r="M4722" s="102"/>
      <c r="N4722" s="102"/>
      <c r="O4722" s="105">
        <v>1.7253057E7</v>
      </c>
      <c r="P4722" s="105">
        <v>1.5141177E7</v>
      </c>
      <c r="Q4722" s="102" t="s">
        <v>2529</v>
      </c>
      <c r="S4722" s="1"/>
      <c r="T4722" s="1"/>
      <c r="U4722" s="1"/>
      <c r="V4722" s="1"/>
      <c r="W4722" s="1"/>
      <c r="X4722" s="1"/>
      <c r="Y4722" s="1"/>
      <c r="AA4722" s="102"/>
      <c r="AB4722" s="1"/>
      <c r="AC4722" s="1"/>
      <c r="AD4722" s="1"/>
      <c r="AE4722" s="1"/>
      <c r="AF4722" s="1"/>
      <c r="AG4722" s="1"/>
    </row>
    <row r="4723" ht="15.75" customHeight="1">
      <c r="A4723" s="1"/>
      <c r="B4723" s="1"/>
      <c r="C4723" s="1"/>
      <c r="D4723" s="1"/>
      <c r="E4723" s="1"/>
      <c r="F4723" s="1"/>
      <c r="G4723" s="1"/>
      <c r="H4723" s="1"/>
      <c r="I4723" s="1"/>
      <c r="J4723" s="1"/>
      <c r="K4723" s="102" t="s">
        <v>7375</v>
      </c>
      <c r="L4723" s="102" t="str">
        <f>T641</f>
        <v>J1a2a1a2d2b2b2c4d2a3~</v>
      </c>
      <c r="M4723" s="102" t="s">
        <v>7376</v>
      </c>
      <c r="N4723" s="102"/>
      <c r="O4723" s="105">
        <v>8388678.0</v>
      </c>
      <c r="P4723" s="105">
        <v>8520637.0</v>
      </c>
      <c r="Q4723" s="102" t="s">
        <v>2468</v>
      </c>
      <c r="S4723" s="1"/>
      <c r="T4723" s="1"/>
      <c r="U4723" s="1"/>
      <c r="V4723" s="1"/>
      <c r="W4723" s="1"/>
      <c r="X4723" s="1"/>
      <c r="Y4723" s="1"/>
      <c r="AA4723" s="102"/>
      <c r="AB4723" s="1"/>
      <c r="AC4723" s="1"/>
      <c r="AD4723" s="1"/>
      <c r="AE4723" s="1"/>
      <c r="AF4723" s="1"/>
      <c r="AG4723" s="1"/>
    </row>
    <row r="4724" ht="15.75" customHeight="1">
      <c r="A4724" s="1"/>
      <c r="B4724" s="1"/>
      <c r="C4724" s="1"/>
      <c r="D4724" s="1"/>
      <c r="E4724" s="1"/>
      <c r="F4724" s="1"/>
      <c r="G4724" s="1"/>
      <c r="H4724" s="1"/>
      <c r="I4724" s="1"/>
      <c r="J4724" s="1"/>
      <c r="K4724" s="102" t="s">
        <v>7376</v>
      </c>
      <c r="L4724" s="102" t="str">
        <f>T641</f>
        <v>J1a2a1a2d2b2b2c4d2a3~</v>
      </c>
      <c r="M4724" s="102" t="s">
        <v>7375</v>
      </c>
      <c r="N4724" s="102"/>
      <c r="O4724" s="105">
        <v>8388678.0</v>
      </c>
      <c r="P4724" s="105">
        <v>8520637.0</v>
      </c>
      <c r="Q4724" s="102" t="s">
        <v>2468</v>
      </c>
      <c r="S4724" s="1"/>
      <c r="T4724" s="1"/>
      <c r="U4724" s="1"/>
      <c r="V4724" s="1"/>
      <c r="W4724" s="1"/>
      <c r="X4724" s="1"/>
      <c r="Y4724" s="1"/>
      <c r="AA4724" s="102"/>
      <c r="AB4724" s="1"/>
      <c r="AC4724" s="1"/>
      <c r="AD4724" s="1"/>
      <c r="AE4724" s="1"/>
      <c r="AF4724" s="1"/>
      <c r="AG4724" s="1"/>
    </row>
    <row r="4725" ht="15.75" customHeight="1">
      <c r="A4725" s="1"/>
      <c r="B4725" s="1"/>
      <c r="C4725" s="1"/>
      <c r="D4725" s="1"/>
      <c r="E4725" s="1"/>
      <c r="F4725" s="1"/>
      <c r="G4725" s="1"/>
      <c r="H4725" s="1"/>
      <c r="I4725" s="1"/>
      <c r="J4725" s="1"/>
      <c r="K4725" s="102" t="s">
        <v>1251</v>
      </c>
      <c r="L4725" s="102" t="str">
        <f>U642</f>
        <v>J1a2a1a2d2b2b2c4d2a3a~</v>
      </c>
      <c r="M4725" s="102"/>
      <c r="N4725" s="102"/>
      <c r="O4725" s="105">
        <v>1.5654122E7</v>
      </c>
      <c r="P4725" s="105">
        <v>1.3542242E7</v>
      </c>
      <c r="Q4725" s="102" t="s">
        <v>2563</v>
      </c>
      <c r="S4725" s="1"/>
      <c r="T4725" s="1"/>
      <c r="U4725" s="1"/>
      <c r="V4725" s="1"/>
      <c r="W4725" s="1"/>
      <c r="X4725" s="1"/>
      <c r="Y4725" s="1"/>
      <c r="AA4725" s="102"/>
      <c r="AB4725" s="1"/>
      <c r="AC4725" s="1"/>
      <c r="AD4725" s="1"/>
      <c r="AE4725" s="1"/>
      <c r="AF4725" s="1"/>
      <c r="AG4725" s="1"/>
    </row>
    <row r="4726" ht="15.75" customHeight="1">
      <c r="A4726" s="1"/>
      <c r="B4726" s="1"/>
      <c r="C4726" s="1"/>
      <c r="D4726" s="1"/>
      <c r="E4726" s="1"/>
      <c r="F4726" s="1"/>
      <c r="G4726" s="1"/>
      <c r="H4726" s="1"/>
      <c r="I4726" s="1"/>
      <c r="J4726" s="1"/>
      <c r="K4726" s="102" t="s">
        <v>7377</v>
      </c>
      <c r="L4726" s="102" t="str">
        <f>Q643</f>
        <v>J1a2a1a2d2b2b2c4e~</v>
      </c>
      <c r="M4726" s="102"/>
      <c r="N4726" s="102"/>
      <c r="O4726" s="105">
        <v>7113017.0</v>
      </c>
      <c r="P4726" s="105">
        <v>7244976.0</v>
      </c>
      <c r="Q4726" s="102" t="s">
        <v>2468</v>
      </c>
      <c r="S4726" s="1"/>
      <c r="T4726" s="1"/>
      <c r="U4726" s="1"/>
      <c r="V4726" s="1"/>
      <c r="W4726" s="1"/>
      <c r="X4726" s="1"/>
      <c r="Y4726" s="1"/>
      <c r="AA4726" s="102"/>
      <c r="AB4726" s="1"/>
      <c r="AC4726" s="1"/>
      <c r="AD4726" s="1"/>
      <c r="AE4726" s="1"/>
      <c r="AF4726" s="1"/>
      <c r="AG4726" s="1"/>
    </row>
    <row r="4727" ht="15.75" customHeight="1">
      <c r="A4727" s="1"/>
      <c r="B4727" s="1"/>
      <c r="C4727" s="1"/>
      <c r="D4727" s="1"/>
      <c r="E4727" s="1"/>
      <c r="F4727" s="1"/>
      <c r="G4727" s="1"/>
      <c r="H4727" s="1"/>
      <c r="I4727" s="1"/>
      <c r="J4727" s="1"/>
      <c r="K4727" s="102" t="s">
        <v>7378</v>
      </c>
      <c r="L4727" s="102" t="str">
        <f>Q643</f>
        <v>J1a2a1a2d2b2b2c4e~</v>
      </c>
      <c r="M4727" s="102"/>
      <c r="N4727" s="102"/>
      <c r="O4727" s="105">
        <v>1.4397662E7</v>
      </c>
      <c r="P4727" s="105">
        <v>1.2276958E7</v>
      </c>
      <c r="Q4727" s="102" t="s">
        <v>2563</v>
      </c>
      <c r="S4727" s="1"/>
      <c r="T4727" s="1"/>
      <c r="U4727" s="1"/>
      <c r="V4727" s="1"/>
      <c r="W4727" s="1"/>
      <c r="X4727" s="1"/>
      <c r="Y4727" s="1"/>
      <c r="AA4727" s="102"/>
      <c r="AB4727" s="1"/>
      <c r="AC4727" s="1"/>
      <c r="AD4727" s="1"/>
      <c r="AE4727" s="1"/>
      <c r="AF4727" s="1"/>
      <c r="AG4727" s="1"/>
    </row>
    <row r="4728" ht="15.75" customHeight="1">
      <c r="A4728" s="1"/>
      <c r="B4728" s="1"/>
      <c r="C4728" s="1"/>
      <c r="D4728" s="1"/>
      <c r="E4728" s="1"/>
      <c r="F4728" s="1"/>
      <c r="G4728" s="1"/>
      <c r="H4728" s="1"/>
      <c r="I4728" s="1"/>
      <c r="J4728" s="1"/>
      <c r="K4728" s="102" t="s">
        <v>7379</v>
      </c>
      <c r="L4728" s="102" t="str">
        <f>Q643</f>
        <v>J1a2a1a2d2b2b2c4e~</v>
      </c>
      <c r="M4728" s="102"/>
      <c r="N4728" s="102"/>
      <c r="O4728" s="105">
        <v>1.6519694E7</v>
      </c>
      <c r="P4728" s="105">
        <v>1.4407814E7</v>
      </c>
      <c r="Q4728" s="102" t="s">
        <v>2529</v>
      </c>
      <c r="S4728" s="1"/>
      <c r="T4728" s="1"/>
      <c r="U4728" s="1"/>
      <c r="V4728" s="1"/>
      <c r="W4728" s="1"/>
      <c r="X4728" s="1"/>
      <c r="Y4728" s="1"/>
      <c r="AA4728" s="102"/>
      <c r="AB4728" s="1"/>
      <c r="AC4728" s="1"/>
      <c r="AD4728" s="1"/>
      <c r="AE4728" s="1"/>
      <c r="AF4728" s="1"/>
      <c r="AG4728" s="1"/>
    </row>
    <row r="4729" ht="15.75" customHeight="1">
      <c r="A4729" s="1"/>
      <c r="B4729" s="1"/>
      <c r="C4729" s="1"/>
      <c r="D4729" s="1"/>
      <c r="E4729" s="1"/>
      <c r="F4729" s="1"/>
      <c r="G4729" s="1"/>
      <c r="H4729" s="1"/>
      <c r="I4729" s="1"/>
      <c r="J4729" s="1"/>
      <c r="K4729" s="102" t="s">
        <v>7380</v>
      </c>
      <c r="L4729" s="102" t="str">
        <f>Q643</f>
        <v>J1a2a1a2d2b2b2c4e~</v>
      </c>
      <c r="M4729" s="102"/>
      <c r="N4729" s="102"/>
      <c r="O4729" s="105">
        <v>1.7365352E7</v>
      </c>
      <c r="P4729" s="105">
        <v>1.5253472E7</v>
      </c>
      <c r="Q4729" s="102" t="s">
        <v>2423</v>
      </c>
      <c r="S4729" s="1"/>
      <c r="T4729" s="1"/>
      <c r="U4729" s="1"/>
      <c r="V4729" s="1"/>
      <c r="W4729" s="1"/>
      <c r="X4729" s="1"/>
      <c r="Y4729" s="1"/>
      <c r="AA4729" s="102"/>
      <c r="AB4729" s="1"/>
      <c r="AC4729" s="1"/>
      <c r="AD4729" s="1"/>
      <c r="AE4729" s="1"/>
      <c r="AF4729" s="1"/>
      <c r="AG4729" s="1"/>
    </row>
    <row r="4730" ht="15.75" customHeight="1">
      <c r="A4730" s="1"/>
      <c r="B4730" s="1"/>
      <c r="C4730" s="1"/>
      <c r="D4730" s="1"/>
      <c r="E4730" s="1"/>
      <c r="F4730" s="1"/>
      <c r="G4730" s="1"/>
      <c r="H4730" s="1"/>
      <c r="I4730" s="1"/>
      <c r="J4730" s="1"/>
      <c r="K4730" s="102" t="s">
        <v>7381</v>
      </c>
      <c r="L4730" s="102" t="str">
        <f>Q643</f>
        <v>J1a2a1a2d2b2b2c4e~</v>
      </c>
      <c r="M4730" s="102"/>
      <c r="N4730" s="102"/>
      <c r="O4730" s="105">
        <v>2.2567897E7</v>
      </c>
      <c r="P4730" s="105">
        <v>2.0406011E7</v>
      </c>
      <c r="Q4730" s="102" t="s">
        <v>2439</v>
      </c>
      <c r="S4730" s="1"/>
      <c r="T4730" s="1"/>
      <c r="U4730" s="1"/>
      <c r="V4730" s="1"/>
      <c r="W4730" s="1"/>
      <c r="X4730" s="1"/>
      <c r="Y4730" s="1"/>
      <c r="AA4730" s="102"/>
      <c r="AB4730" s="1"/>
      <c r="AC4730" s="1"/>
      <c r="AD4730" s="1"/>
      <c r="AE4730" s="1"/>
      <c r="AF4730" s="1"/>
      <c r="AG4730" s="1"/>
    </row>
    <row r="4731" ht="15.75" customHeight="1">
      <c r="A4731" s="1"/>
      <c r="B4731" s="1"/>
      <c r="C4731" s="1"/>
      <c r="D4731" s="1"/>
      <c r="E4731" s="1"/>
      <c r="F4731" s="1"/>
      <c r="G4731" s="1"/>
      <c r="H4731" s="1"/>
      <c r="I4731" s="1"/>
      <c r="J4731" s="1"/>
      <c r="K4731" s="102" t="s">
        <v>7382</v>
      </c>
      <c r="L4731" s="102" t="str">
        <f>Q643</f>
        <v>J1a2a1a2d2b2b2c4e~</v>
      </c>
      <c r="M4731" s="102"/>
      <c r="N4731" s="102"/>
      <c r="O4731" s="105">
        <v>1.6798358E7</v>
      </c>
      <c r="P4731" s="105">
        <v>1.4686478E7</v>
      </c>
      <c r="Q4731" s="102" t="s">
        <v>2529</v>
      </c>
      <c r="S4731" s="1"/>
      <c r="T4731" s="1"/>
      <c r="U4731" s="1"/>
      <c r="V4731" s="1"/>
      <c r="W4731" s="1"/>
      <c r="X4731" s="1"/>
      <c r="Y4731" s="1"/>
      <c r="AA4731" s="102"/>
      <c r="AB4731" s="1"/>
      <c r="AC4731" s="1"/>
      <c r="AD4731" s="1"/>
      <c r="AE4731" s="1"/>
      <c r="AF4731" s="1"/>
      <c r="AG4731" s="1"/>
    </row>
    <row r="4732" ht="15.75" customHeight="1">
      <c r="A4732" s="1"/>
      <c r="B4732" s="1"/>
      <c r="C4732" s="1"/>
      <c r="D4732" s="1"/>
      <c r="E4732" s="1"/>
      <c r="F4732" s="1"/>
      <c r="G4732" s="1"/>
      <c r="H4732" s="1"/>
      <c r="I4732" s="1"/>
      <c r="J4732" s="1"/>
      <c r="K4732" s="102" t="s">
        <v>7383</v>
      </c>
      <c r="L4732" s="102" t="str">
        <f>R644</f>
        <v>J1a2a1a2d2b2b2c4e1~</v>
      </c>
      <c r="M4732" s="102"/>
      <c r="N4732" s="102"/>
      <c r="O4732" s="105">
        <v>1.4748593E7</v>
      </c>
      <c r="P4732" s="105">
        <v>1.2636662E7</v>
      </c>
      <c r="Q4732" s="102" t="s">
        <v>2501</v>
      </c>
      <c r="S4732" s="1"/>
      <c r="T4732" s="1"/>
      <c r="U4732" s="1"/>
      <c r="V4732" s="1"/>
      <c r="W4732" s="1"/>
      <c r="X4732" s="1"/>
      <c r="Y4732" s="1"/>
      <c r="AA4732" s="102"/>
      <c r="AB4732" s="1"/>
      <c r="AC4732" s="1"/>
      <c r="AD4732" s="1"/>
      <c r="AE4732" s="1"/>
      <c r="AF4732" s="1"/>
      <c r="AG4732" s="1"/>
    </row>
    <row r="4733" ht="15.75" customHeight="1">
      <c r="A4733" s="1"/>
      <c r="B4733" s="1"/>
      <c r="C4733" s="1"/>
      <c r="D4733" s="1"/>
      <c r="E4733" s="1"/>
      <c r="F4733" s="1"/>
      <c r="G4733" s="1"/>
      <c r="H4733" s="1"/>
      <c r="I4733" s="1"/>
      <c r="J4733" s="1"/>
      <c r="K4733" s="102" t="s">
        <v>7384</v>
      </c>
      <c r="L4733" s="102" t="str">
        <f>R644</f>
        <v>J1a2a1a2d2b2b2c4e1~</v>
      </c>
      <c r="M4733" s="102"/>
      <c r="N4733" s="102"/>
      <c r="O4733" s="105">
        <v>1.6347241E7</v>
      </c>
      <c r="P4733" s="105">
        <v>1.4235361E7</v>
      </c>
      <c r="Q4733" s="102" t="s">
        <v>2501</v>
      </c>
      <c r="S4733" s="1"/>
      <c r="T4733" s="1"/>
      <c r="U4733" s="1"/>
      <c r="V4733" s="1"/>
      <c r="W4733" s="1"/>
      <c r="X4733" s="1"/>
      <c r="Y4733" s="1"/>
      <c r="AA4733" s="102"/>
      <c r="AB4733" s="1"/>
      <c r="AC4733" s="1"/>
      <c r="AD4733" s="1"/>
      <c r="AE4733" s="1"/>
      <c r="AF4733" s="1"/>
      <c r="AG4733" s="1"/>
    </row>
    <row r="4734" ht="15.75" customHeight="1">
      <c r="A4734" s="1"/>
      <c r="B4734" s="1"/>
      <c r="C4734" s="1"/>
      <c r="D4734" s="1"/>
      <c r="E4734" s="1"/>
      <c r="F4734" s="1"/>
      <c r="G4734" s="1"/>
      <c r="H4734" s="1"/>
      <c r="I4734" s="1"/>
      <c r="J4734" s="1"/>
      <c r="K4734" s="102" t="s">
        <v>7385</v>
      </c>
      <c r="L4734" s="102" t="str">
        <f>R644</f>
        <v>J1a2a1a2d2b2b2c4e1~</v>
      </c>
      <c r="M4734" s="102"/>
      <c r="N4734" s="102"/>
      <c r="O4734" s="105">
        <v>1.6328166E7</v>
      </c>
      <c r="P4734" s="105">
        <v>1.4216286E7</v>
      </c>
      <c r="Q4734" s="102" t="s">
        <v>2439</v>
      </c>
      <c r="S4734" s="1"/>
      <c r="T4734" s="1"/>
      <c r="U4734" s="1"/>
      <c r="V4734" s="1"/>
      <c r="W4734" s="1"/>
      <c r="X4734" s="1"/>
      <c r="Y4734" s="1"/>
      <c r="AA4734" s="102"/>
      <c r="AB4734" s="1"/>
      <c r="AC4734" s="1"/>
      <c r="AD4734" s="1"/>
      <c r="AE4734" s="1"/>
      <c r="AF4734" s="1"/>
      <c r="AG4734" s="1"/>
    </row>
    <row r="4735" ht="15.75" customHeight="1">
      <c r="A4735" s="1"/>
      <c r="B4735" s="1"/>
      <c r="C4735" s="1"/>
      <c r="D4735" s="1"/>
      <c r="E4735" s="1"/>
      <c r="F4735" s="1"/>
      <c r="G4735" s="1"/>
      <c r="H4735" s="1"/>
      <c r="I4735" s="1"/>
      <c r="J4735" s="1"/>
      <c r="K4735" s="102" t="s">
        <v>7386</v>
      </c>
      <c r="L4735" s="102" t="str">
        <f>S645</f>
        <v>J1a2a1a2d2b2b2c4e1a~</v>
      </c>
      <c r="M4735" s="102"/>
      <c r="N4735" s="102"/>
      <c r="O4735" s="105">
        <v>1.441804E7</v>
      </c>
      <c r="P4735" s="105">
        <v>1.2297337E7</v>
      </c>
      <c r="Q4735" s="102" t="s">
        <v>2514</v>
      </c>
      <c r="S4735" s="1"/>
      <c r="T4735" s="1"/>
      <c r="U4735" s="1"/>
      <c r="V4735" s="1"/>
      <c r="W4735" s="1"/>
      <c r="X4735" s="1"/>
      <c r="Y4735" s="1"/>
      <c r="AA4735" s="102"/>
      <c r="AB4735" s="1"/>
      <c r="AC4735" s="1"/>
      <c r="AD4735" s="1"/>
      <c r="AE4735" s="1"/>
      <c r="AF4735" s="1"/>
      <c r="AG4735" s="1"/>
    </row>
    <row r="4736" ht="15.75" customHeight="1">
      <c r="A4736" s="1"/>
      <c r="B4736" s="1"/>
      <c r="C4736" s="1"/>
      <c r="D4736" s="1"/>
      <c r="E4736" s="1"/>
      <c r="F4736" s="1"/>
      <c r="G4736" s="1"/>
      <c r="H4736" s="1"/>
      <c r="I4736" s="1"/>
      <c r="J4736" s="1"/>
      <c r="K4736" s="102" t="s">
        <v>7387</v>
      </c>
      <c r="L4736" s="102" t="str">
        <f>S645</f>
        <v>J1a2a1a2d2b2b2c4e1a~</v>
      </c>
      <c r="M4736" s="102"/>
      <c r="N4736" s="102"/>
      <c r="O4736" s="105">
        <v>7315407.0</v>
      </c>
      <c r="P4736" s="105">
        <v>7447366.0</v>
      </c>
      <c r="Q4736" s="102" t="s">
        <v>2563</v>
      </c>
      <c r="S4736" s="1"/>
      <c r="T4736" s="1"/>
      <c r="U4736" s="1"/>
      <c r="V4736" s="1"/>
      <c r="W4736" s="1"/>
      <c r="X4736" s="1"/>
      <c r="Y4736" s="1"/>
      <c r="AA4736" s="102"/>
      <c r="AB4736" s="1"/>
      <c r="AC4736" s="1"/>
      <c r="AD4736" s="1"/>
      <c r="AE4736" s="1"/>
      <c r="AF4736" s="1"/>
      <c r="AG4736" s="1"/>
    </row>
    <row r="4737" ht="15.75" customHeight="1">
      <c r="A4737" s="1"/>
      <c r="B4737" s="1"/>
      <c r="C4737" s="1"/>
      <c r="D4737" s="1"/>
      <c r="E4737" s="1"/>
      <c r="F4737" s="1"/>
      <c r="G4737" s="1"/>
      <c r="H4737" s="1"/>
      <c r="I4737" s="1"/>
      <c r="J4737" s="1"/>
      <c r="K4737" s="102" t="s">
        <v>7388</v>
      </c>
      <c r="L4737" s="102" t="str">
        <f>S645</f>
        <v>J1a2a1a2d2b2b2c4e1a~</v>
      </c>
      <c r="M4737" s="102"/>
      <c r="N4737" s="102"/>
      <c r="O4737" s="105">
        <v>1.8904457E7</v>
      </c>
      <c r="P4737" s="105">
        <v>1.6792577E7</v>
      </c>
      <c r="Q4737" s="102" t="s">
        <v>2468</v>
      </c>
      <c r="S4737" s="1"/>
      <c r="T4737" s="1"/>
      <c r="U4737" s="1"/>
      <c r="V4737" s="1"/>
      <c r="W4737" s="1"/>
      <c r="X4737" s="1"/>
      <c r="Y4737" s="1"/>
      <c r="AA4737" s="102"/>
      <c r="AB4737" s="1"/>
      <c r="AC4737" s="1"/>
      <c r="AD4737" s="1"/>
      <c r="AE4737" s="1"/>
      <c r="AF4737" s="1"/>
      <c r="AG4737" s="1"/>
    </row>
    <row r="4738" ht="15.75" customHeight="1">
      <c r="A4738" s="1"/>
      <c r="B4738" s="1"/>
      <c r="C4738" s="1"/>
      <c r="D4738" s="1"/>
      <c r="E4738" s="1"/>
      <c r="F4738" s="1"/>
      <c r="G4738" s="1"/>
      <c r="H4738" s="1"/>
      <c r="I4738" s="1"/>
      <c r="J4738" s="1"/>
      <c r="K4738" s="102" t="s">
        <v>7389</v>
      </c>
      <c r="L4738" s="102" t="str">
        <f>P646</f>
        <v>J1a2a1a2d2b2b2c5~</v>
      </c>
      <c r="M4738" s="102" t="s">
        <v>7390</v>
      </c>
      <c r="N4738" s="102" t="s">
        <v>7391</v>
      </c>
      <c r="O4738" s="105">
        <v>1.380782E7</v>
      </c>
      <c r="P4738" s="105">
        <v>1.1687114E7</v>
      </c>
      <c r="Q4738" s="102" t="s">
        <v>2439</v>
      </c>
      <c r="S4738" s="1"/>
      <c r="T4738" s="1"/>
      <c r="U4738" s="1"/>
      <c r="V4738" s="1"/>
      <c r="W4738" s="1"/>
      <c r="X4738" s="1"/>
      <c r="Y4738" s="1"/>
      <c r="AA4738" s="102"/>
      <c r="AB4738" s="1"/>
      <c r="AC4738" s="1"/>
      <c r="AD4738" s="1"/>
      <c r="AE4738" s="1"/>
      <c r="AF4738" s="1"/>
      <c r="AG4738" s="1"/>
    </row>
    <row r="4739" ht="15.75" customHeight="1">
      <c r="A4739" s="1"/>
      <c r="B4739" s="1"/>
      <c r="C4739" s="1"/>
      <c r="D4739" s="1"/>
      <c r="E4739" s="1"/>
      <c r="F4739" s="1"/>
      <c r="G4739" s="1"/>
      <c r="H4739" s="1"/>
      <c r="I4739" s="1"/>
      <c r="J4739" s="1"/>
      <c r="K4739" s="102" t="s">
        <v>7390</v>
      </c>
      <c r="L4739" s="102" t="str">
        <f>P646</f>
        <v>J1a2a1a2d2b2b2c5~</v>
      </c>
      <c r="M4739" s="102" t="s">
        <v>7389</v>
      </c>
      <c r="N4739" s="102" t="s">
        <v>7391</v>
      </c>
      <c r="O4739" s="105">
        <v>1.380782E7</v>
      </c>
      <c r="P4739" s="105">
        <v>1.1687114E7</v>
      </c>
      <c r="Q4739" s="102" t="s">
        <v>2439</v>
      </c>
      <c r="S4739" s="1"/>
      <c r="T4739" s="1"/>
      <c r="U4739" s="1"/>
      <c r="V4739" s="1"/>
      <c r="W4739" s="1"/>
      <c r="X4739" s="1"/>
      <c r="Y4739" s="1"/>
      <c r="AA4739" s="102"/>
      <c r="AB4739" s="1"/>
      <c r="AC4739" s="1"/>
      <c r="AD4739" s="1"/>
      <c r="AE4739" s="1"/>
      <c r="AF4739" s="1"/>
      <c r="AG4739" s="1"/>
    </row>
    <row r="4740" ht="15.75" customHeight="1">
      <c r="A4740" s="1"/>
      <c r="B4740" s="1"/>
      <c r="C4740" s="1"/>
      <c r="D4740" s="1"/>
      <c r="E4740" s="1"/>
      <c r="F4740" s="1"/>
      <c r="G4740" s="1"/>
      <c r="H4740" s="1"/>
      <c r="I4740" s="1"/>
      <c r="J4740" s="1"/>
      <c r="K4740" s="102" t="s">
        <v>7392</v>
      </c>
      <c r="L4740" s="102" t="str">
        <f>P646</f>
        <v>J1a2a1a2d2b2b2c5~</v>
      </c>
      <c r="M4740" s="102"/>
      <c r="N4740" s="102" t="s">
        <v>7393</v>
      </c>
      <c r="O4740" s="105">
        <v>1.9159035E7</v>
      </c>
      <c r="P4740" s="105">
        <v>1.7047155E7</v>
      </c>
      <c r="Q4740" s="102" t="s">
        <v>2501</v>
      </c>
      <c r="S4740" s="1"/>
      <c r="T4740" s="1"/>
      <c r="U4740" s="1"/>
      <c r="V4740" s="1"/>
      <c r="W4740" s="1"/>
      <c r="X4740" s="1"/>
      <c r="Y4740" s="1"/>
      <c r="AA4740" s="102"/>
      <c r="AB4740" s="1"/>
      <c r="AC4740" s="1"/>
      <c r="AD4740" s="1"/>
      <c r="AE4740" s="1"/>
      <c r="AF4740" s="1"/>
      <c r="AG4740" s="1"/>
    </row>
    <row r="4741" ht="15.75" customHeight="1">
      <c r="A4741" s="1"/>
      <c r="B4741" s="1"/>
      <c r="C4741" s="1"/>
      <c r="D4741" s="1"/>
      <c r="E4741" s="1"/>
      <c r="F4741" s="1"/>
      <c r="G4741" s="1"/>
      <c r="H4741" s="1"/>
      <c r="I4741" s="1"/>
      <c r="J4741" s="1"/>
      <c r="K4741" s="102" t="s">
        <v>7394</v>
      </c>
      <c r="L4741" s="102" t="str">
        <f>P646</f>
        <v>J1a2a1a2d2b2b2c5~</v>
      </c>
      <c r="M4741" s="102"/>
      <c r="N4741" s="102"/>
      <c r="O4741" s="105">
        <v>6656765.0</v>
      </c>
      <c r="P4741" s="105">
        <v>6788724.0</v>
      </c>
      <c r="Q4741" s="102" t="s">
        <v>2529</v>
      </c>
      <c r="S4741" s="1"/>
      <c r="T4741" s="1"/>
      <c r="U4741" s="1"/>
      <c r="V4741" s="1"/>
      <c r="W4741" s="1"/>
      <c r="X4741" s="1"/>
      <c r="Y4741" s="1"/>
      <c r="AA4741" s="102"/>
      <c r="AB4741" s="1"/>
      <c r="AC4741" s="1"/>
      <c r="AD4741" s="1"/>
      <c r="AE4741" s="1"/>
      <c r="AF4741" s="1"/>
      <c r="AG4741" s="1"/>
    </row>
    <row r="4742" ht="15.75" customHeight="1">
      <c r="A4742" s="1"/>
      <c r="B4742" s="1"/>
      <c r="C4742" s="1"/>
      <c r="D4742" s="1"/>
      <c r="E4742" s="1"/>
      <c r="F4742" s="1"/>
      <c r="G4742" s="1"/>
      <c r="H4742" s="1"/>
      <c r="I4742" s="1"/>
      <c r="J4742" s="1"/>
      <c r="K4742" s="102" t="s">
        <v>7395</v>
      </c>
      <c r="L4742" s="102" t="str">
        <f>P646</f>
        <v>J1a2a1a2d2b2b2c5~</v>
      </c>
      <c r="M4742" s="102"/>
      <c r="N4742" s="102"/>
      <c r="O4742" s="105">
        <v>7528573.0</v>
      </c>
      <c r="P4742" s="105">
        <v>7660532.0</v>
      </c>
      <c r="Q4742" s="102" t="s">
        <v>2501</v>
      </c>
      <c r="S4742" s="1"/>
      <c r="T4742" s="1"/>
      <c r="U4742" s="1"/>
      <c r="V4742" s="1"/>
      <c r="W4742" s="1"/>
      <c r="X4742" s="1"/>
      <c r="Y4742" s="1"/>
      <c r="AA4742" s="102"/>
      <c r="AB4742" s="1"/>
      <c r="AC4742" s="1"/>
      <c r="AD4742" s="1"/>
      <c r="AE4742" s="1"/>
      <c r="AF4742" s="1"/>
      <c r="AG4742" s="1"/>
    </row>
    <row r="4743" ht="15.75" customHeight="1">
      <c r="A4743" s="1"/>
      <c r="B4743" s="1"/>
      <c r="C4743" s="1"/>
      <c r="D4743" s="1"/>
      <c r="E4743" s="1"/>
      <c r="F4743" s="1"/>
      <c r="G4743" s="1"/>
      <c r="H4743" s="1"/>
      <c r="I4743" s="1"/>
      <c r="J4743" s="1"/>
      <c r="K4743" s="102" t="s">
        <v>7396</v>
      </c>
      <c r="L4743" s="102" t="str">
        <f>P646</f>
        <v>J1a2a1a2d2b2b2c5~</v>
      </c>
      <c r="M4743" s="102"/>
      <c r="N4743" s="102"/>
      <c r="O4743" s="105">
        <v>8104738.0</v>
      </c>
      <c r="P4743" s="105">
        <v>8236697.0</v>
      </c>
      <c r="Q4743" s="102" t="s">
        <v>2468</v>
      </c>
      <c r="S4743" s="1"/>
      <c r="T4743" s="1"/>
      <c r="U4743" s="1"/>
      <c r="V4743" s="1"/>
      <c r="W4743" s="1"/>
      <c r="X4743" s="1"/>
      <c r="Y4743" s="1"/>
      <c r="AA4743" s="102"/>
      <c r="AB4743" s="1"/>
      <c r="AC4743" s="1"/>
      <c r="AD4743" s="1"/>
      <c r="AE4743" s="1"/>
      <c r="AF4743" s="1"/>
      <c r="AG4743" s="1"/>
    </row>
    <row r="4744" ht="15.75" customHeight="1">
      <c r="A4744" s="1"/>
      <c r="B4744" s="1"/>
      <c r="C4744" s="1"/>
      <c r="D4744" s="1"/>
      <c r="E4744" s="1"/>
      <c r="F4744" s="1"/>
      <c r="G4744" s="1"/>
      <c r="H4744" s="1"/>
      <c r="I4744" s="1"/>
      <c r="J4744" s="1"/>
      <c r="K4744" s="102" t="s">
        <v>7397</v>
      </c>
      <c r="L4744" s="102" t="str">
        <f>G647</f>
        <v>J1a2a1b~</v>
      </c>
      <c r="M4744" s="102"/>
      <c r="N4744" s="102" t="s">
        <v>7398</v>
      </c>
      <c r="O4744" s="105">
        <v>8113767.0</v>
      </c>
      <c r="P4744" s="105">
        <v>8245726.0</v>
      </c>
      <c r="Q4744" s="102" t="s">
        <v>2439</v>
      </c>
      <c r="S4744" s="1"/>
      <c r="T4744" s="1"/>
      <c r="U4744" s="1"/>
      <c r="V4744" s="1"/>
      <c r="W4744" s="1"/>
      <c r="X4744" s="1"/>
      <c r="Y4744" s="1"/>
      <c r="AA4744" s="102"/>
      <c r="AB4744" s="1"/>
      <c r="AC4744" s="1"/>
      <c r="AD4744" s="1"/>
      <c r="AE4744" s="1"/>
      <c r="AF4744" s="1"/>
      <c r="AG4744" s="1"/>
    </row>
    <row r="4745" ht="15.75" customHeight="1">
      <c r="A4745" s="1"/>
      <c r="B4745" s="1"/>
      <c r="C4745" s="1"/>
      <c r="D4745" s="1"/>
      <c r="E4745" s="1"/>
      <c r="F4745" s="1"/>
      <c r="G4745" s="1"/>
      <c r="H4745" s="1"/>
      <c r="I4745" s="1"/>
      <c r="J4745" s="1"/>
      <c r="K4745" s="102" t="s">
        <v>7399</v>
      </c>
      <c r="L4745" s="102" t="str">
        <f>G647</f>
        <v>J1a2a1b~</v>
      </c>
      <c r="M4745" s="102"/>
      <c r="N4745" s="102" t="s">
        <v>7400</v>
      </c>
      <c r="O4745" s="105">
        <v>8314831.0</v>
      </c>
      <c r="P4745" s="105">
        <v>8446790.0</v>
      </c>
      <c r="Q4745" s="102" t="s">
        <v>2468</v>
      </c>
      <c r="S4745" s="1"/>
      <c r="T4745" s="1"/>
      <c r="U4745" s="1"/>
      <c r="V4745" s="1"/>
      <c r="W4745" s="1"/>
      <c r="X4745" s="1"/>
      <c r="Y4745" s="1"/>
      <c r="AA4745" s="102"/>
      <c r="AB4745" s="1"/>
      <c r="AC4745" s="1"/>
      <c r="AD4745" s="1"/>
      <c r="AE4745" s="1"/>
      <c r="AF4745" s="1"/>
      <c r="AG4745" s="1"/>
    </row>
    <row r="4746" ht="15.75" customHeight="1">
      <c r="A4746" s="1"/>
      <c r="B4746" s="1"/>
      <c r="C4746" s="1"/>
      <c r="D4746" s="1"/>
      <c r="E4746" s="1"/>
      <c r="F4746" s="1"/>
      <c r="G4746" s="1"/>
      <c r="H4746" s="1"/>
      <c r="I4746" s="1"/>
      <c r="J4746" s="1"/>
      <c r="K4746" s="102" t="s">
        <v>7401</v>
      </c>
      <c r="L4746" s="102" t="str">
        <f>G647</f>
        <v>J1a2a1b~</v>
      </c>
      <c r="M4746" s="102"/>
      <c r="N4746" s="102"/>
      <c r="O4746" s="105">
        <v>1.4401627E7</v>
      </c>
      <c r="P4746" s="105">
        <v>1.2280924E7</v>
      </c>
      <c r="Q4746" s="102" t="s">
        <v>2529</v>
      </c>
      <c r="S4746" s="1"/>
      <c r="T4746" s="1"/>
      <c r="U4746" s="1"/>
      <c r="V4746" s="1"/>
      <c r="W4746" s="1"/>
      <c r="X4746" s="1"/>
      <c r="Y4746" s="1"/>
      <c r="AA4746" s="102"/>
      <c r="AB4746" s="1"/>
      <c r="AC4746" s="1"/>
      <c r="AD4746" s="1"/>
      <c r="AE4746" s="1"/>
      <c r="AF4746" s="1"/>
      <c r="AG4746" s="1"/>
    </row>
    <row r="4747" ht="15.75" customHeight="1">
      <c r="A4747" s="1"/>
      <c r="B4747" s="1"/>
      <c r="C4747" s="1"/>
      <c r="D4747" s="1"/>
      <c r="E4747" s="1"/>
      <c r="F4747" s="1"/>
      <c r="G4747" s="1"/>
      <c r="H4747" s="1"/>
      <c r="I4747" s="1"/>
      <c r="J4747" s="1"/>
      <c r="K4747" s="102" t="s">
        <v>7402</v>
      </c>
      <c r="L4747" s="102" t="str">
        <f>G647</f>
        <v>J1a2a1b~</v>
      </c>
      <c r="M4747" s="102"/>
      <c r="N4747" s="102" t="s">
        <v>7403</v>
      </c>
      <c r="O4747" s="105">
        <v>1.6460584E7</v>
      </c>
      <c r="P4747" s="105">
        <v>1.4348704E7</v>
      </c>
      <c r="Q4747" s="102" t="s">
        <v>2533</v>
      </c>
      <c r="S4747" s="1"/>
      <c r="T4747" s="1"/>
      <c r="U4747" s="1"/>
      <c r="V4747" s="1"/>
      <c r="W4747" s="1"/>
      <c r="X4747" s="1"/>
      <c r="Y4747" s="1"/>
      <c r="AA4747" s="102"/>
      <c r="AB4747" s="1"/>
      <c r="AC4747" s="1"/>
      <c r="AD4747" s="1"/>
      <c r="AE4747" s="1"/>
      <c r="AF4747" s="1"/>
      <c r="AG4747" s="1"/>
    </row>
    <row r="4748" ht="15.75" customHeight="1">
      <c r="A4748" s="1"/>
      <c r="B4748" s="1"/>
      <c r="C4748" s="1"/>
      <c r="D4748" s="1"/>
      <c r="E4748" s="1"/>
      <c r="F4748" s="1"/>
      <c r="G4748" s="1"/>
      <c r="H4748" s="1"/>
      <c r="I4748" s="1"/>
      <c r="J4748" s="1"/>
      <c r="K4748" s="102" t="s">
        <v>7404</v>
      </c>
      <c r="L4748" s="102" t="str">
        <f>G647</f>
        <v>J1a2a1b~</v>
      </c>
      <c r="M4748" s="102"/>
      <c r="N4748" s="102" t="s">
        <v>7405</v>
      </c>
      <c r="O4748" s="105">
        <v>1.6843743E7</v>
      </c>
      <c r="P4748" s="105">
        <v>1.4731863E7</v>
      </c>
      <c r="Q4748" s="102" t="s">
        <v>2533</v>
      </c>
      <c r="S4748" s="1"/>
      <c r="T4748" s="1"/>
      <c r="U4748" s="1"/>
      <c r="V4748" s="1"/>
      <c r="W4748" s="1"/>
      <c r="X4748" s="1"/>
      <c r="Y4748" s="1"/>
      <c r="AA4748" s="102"/>
      <c r="AB4748" s="1"/>
      <c r="AC4748" s="1"/>
      <c r="AD4748" s="1"/>
      <c r="AE4748" s="1"/>
      <c r="AF4748" s="1"/>
      <c r="AG4748" s="1"/>
    </row>
    <row r="4749" ht="15.75" customHeight="1">
      <c r="A4749" s="1"/>
      <c r="B4749" s="1"/>
      <c r="C4749" s="1"/>
      <c r="D4749" s="1"/>
      <c r="E4749" s="1"/>
      <c r="F4749" s="1"/>
      <c r="G4749" s="1"/>
      <c r="H4749" s="1"/>
      <c r="I4749" s="1"/>
      <c r="J4749" s="1"/>
      <c r="K4749" s="102" t="s">
        <v>7406</v>
      </c>
      <c r="L4749" s="102" t="str">
        <f>G647</f>
        <v>J1a2a1b~</v>
      </c>
      <c r="M4749" s="102"/>
      <c r="N4749" s="102" t="s">
        <v>7407</v>
      </c>
      <c r="O4749" s="105">
        <v>2.1098866E7</v>
      </c>
      <c r="P4749" s="105">
        <v>1.893698E7</v>
      </c>
      <c r="Q4749" s="102" t="s">
        <v>2533</v>
      </c>
      <c r="S4749" s="1"/>
      <c r="T4749" s="1"/>
      <c r="U4749" s="1"/>
      <c r="V4749" s="1"/>
      <c r="W4749" s="1"/>
      <c r="X4749" s="1"/>
      <c r="Y4749" s="1"/>
      <c r="AA4749" s="102"/>
      <c r="AB4749" s="1"/>
      <c r="AC4749" s="1"/>
      <c r="AD4749" s="1"/>
      <c r="AE4749" s="1"/>
      <c r="AF4749" s="1"/>
      <c r="AG4749" s="1"/>
    </row>
    <row r="4750" ht="15.75" customHeight="1">
      <c r="A4750" s="1"/>
      <c r="B4750" s="1"/>
      <c r="C4750" s="1"/>
      <c r="D4750" s="1"/>
      <c r="E4750" s="1"/>
      <c r="F4750" s="1"/>
      <c r="G4750" s="1"/>
      <c r="H4750" s="1"/>
      <c r="I4750" s="1"/>
      <c r="J4750" s="1"/>
      <c r="K4750" s="102" t="s">
        <v>7408</v>
      </c>
      <c r="L4750" s="102" t="str">
        <f>H648</f>
        <v>J1a2a1b1~</v>
      </c>
      <c r="M4750" s="102"/>
      <c r="N4750" s="102" t="s">
        <v>7409</v>
      </c>
      <c r="O4750" s="105">
        <v>8590419.0</v>
      </c>
      <c r="P4750" s="105">
        <v>8722378.0</v>
      </c>
      <c r="Q4750" s="102" t="s">
        <v>2501</v>
      </c>
      <c r="S4750" s="1"/>
      <c r="T4750" s="1"/>
      <c r="U4750" s="1"/>
      <c r="V4750" s="1"/>
      <c r="W4750" s="1"/>
      <c r="X4750" s="1"/>
      <c r="Y4750" s="1"/>
      <c r="AA4750" s="102"/>
      <c r="AB4750" s="1"/>
      <c r="AC4750" s="1"/>
      <c r="AD4750" s="1"/>
      <c r="AE4750" s="1"/>
      <c r="AF4750" s="1"/>
      <c r="AG4750" s="1"/>
    </row>
    <row r="4751" ht="15.75" customHeight="1">
      <c r="A4751" s="1"/>
      <c r="B4751" s="1"/>
      <c r="C4751" s="1"/>
      <c r="D4751" s="1"/>
      <c r="E4751" s="1"/>
      <c r="F4751" s="1"/>
      <c r="G4751" s="1"/>
      <c r="H4751" s="1"/>
      <c r="I4751" s="1"/>
      <c r="J4751" s="1"/>
      <c r="K4751" s="102" t="s">
        <v>7410</v>
      </c>
      <c r="L4751" s="102" t="str">
        <f>H648</f>
        <v>J1a2a1b1~</v>
      </c>
      <c r="M4751" s="102"/>
      <c r="N4751" s="102"/>
      <c r="O4751" s="105">
        <v>9809673.0</v>
      </c>
      <c r="P4751" s="105">
        <v>9972064.0</v>
      </c>
      <c r="Q4751" s="102" t="s">
        <v>2514</v>
      </c>
      <c r="S4751" s="1"/>
      <c r="T4751" s="1"/>
      <c r="U4751" s="1"/>
      <c r="V4751" s="1"/>
      <c r="W4751" s="1"/>
      <c r="X4751" s="1"/>
      <c r="Y4751" s="1"/>
      <c r="AA4751" s="102"/>
      <c r="AB4751" s="1"/>
      <c r="AC4751" s="1"/>
      <c r="AD4751" s="1"/>
      <c r="AE4751" s="1"/>
      <c r="AF4751" s="1"/>
      <c r="AG4751" s="1"/>
    </row>
    <row r="4752" ht="15.75" customHeight="1">
      <c r="A4752" s="1"/>
      <c r="B4752" s="1"/>
      <c r="C4752" s="1"/>
      <c r="D4752" s="1"/>
      <c r="E4752" s="1"/>
      <c r="F4752" s="1"/>
      <c r="G4752" s="1"/>
      <c r="H4752" s="1"/>
      <c r="I4752" s="1"/>
      <c r="J4752" s="1"/>
      <c r="K4752" s="102" t="s">
        <v>7411</v>
      </c>
      <c r="L4752" s="102" t="str">
        <f>H648</f>
        <v>J1a2a1b1~</v>
      </c>
      <c r="M4752" s="102"/>
      <c r="N4752" s="102" t="s">
        <v>7412</v>
      </c>
      <c r="O4752" s="105">
        <v>1.3663597E7</v>
      </c>
      <c r="P4752" s="105">
        <v>1.1507921E7</v>
      </c>
      <c r="Q4752" s="102" t="s">
        <v>2501</v>
      </c>
      <c r="S4752" s="1"/>
      <c r="T4752" s="1"/>
      <c r="U4752" s="1"/>
      <c r="V4752" s="1"/>
      <c r="W4752" s="1"/>
      <c r="X4752" s="1"/>
      <c r="Y4752" s="1"/>
      <c r="AA4752" s="102"/>
      <c r="AB4752" s="1"/>
      <c r="AC4752" s="1"/>
      <c r="AD4752" s="1"/>
      <c r="AE4752" s="1"/>
      <c r="AF4752" s="1"/>
      <c r="AG4752" s="1"/>
    </row>
    <row r="4753" ht="15.75" customHeight="1">
      <c r="A4753" s="1"/>
      <c r="B4753" s="1"/>
      <c r="C4753" s="1"/>
      <c r="D4753" s="1"/>
      <c r="E4753" s="1"/>
      <c r="F4753" s="1"/>
      <c r="G4753" s="1"/>
      <c r="H4753" s="1"/>
      <c r="I4753" s="1"/>
      <c r="J4753" s="1"/>
      <c r="K4753" s="102" t="s">
        <v>7413</v>
      </c>
      <c r="L4753" s="102" t="str">
        <f>H648</f>
        <v>J1a2a1b1~</v>
      </c>
      <c r="M4753" s="102"/>
      <c r="N4753" s="102" t="s">
        <v>7414</v>
      </c>
      <c r="O4753" s="105">
        <v>1.5067149E7</v>
      </c>
      <c r="P4753" s="105">
        <v>1.295524E7</v>
      </c>
      <c r="Q4753" s="106" t="s">
        <v>2501</v>
      </c>
      <c r="S4753" s="1"/>
      <c r="T4753" s="1"/>
      <c r="U4753" s="1"/>
      <c r="V4753" s="1"/>
      <c r="W4753" s="1"/>
      <c r="X4753" s="1"/>
      <c r="Y4753" s="1"/>
      <c r="AA4753" s="102"/>
      <c r="AB4753" s="1"/>
      <c r="AC4753" s="1"/>
      <c r="AD4753" s="1"/>
      <c r="AE4753" s="1"/>
      <c r="AF4753" s="1"/>
      <c r="AG4753" s="1"/>
    </row>
    <row r="4754" ht="15.75" customHeight="1">
      <c r="A4754" s="1"/>
      <c r="B4754" s="1"/>
      <c r="C4754" s="1"/>
      <c r="D4754" s="1"/>
      <c r="E4754" s="1"/>
      <c r="F4754" s="1"/>
      <c r="G4754" s="1"/>
      <c r="H4754" s="1"/>
      <c r="I4754" s="1"/>
      <c r="J4754" s="1"/>
      <c r="K4754" s="102" t="s">
        <v>7415</v>
      </c>
      <c r="L4754" s="102" t="str">
        <f>H648</f>
        <v>J1a2a1b1~</v>
      </c>
      <c r="M4754" s="102"/>
      <c r="N4754" s="102" t="s">
        <v>7416</v>
      </c>
      <c r="O4754" s="105">
        <v>1.7936997E7</v>
      </c>
      <c r="P4754" s="105">
        <v>1.5825117E7</v>
      </c>
      <c r="Q4754" s="102" t="s">
        <v>2501</v>
      </c>
      <c r="S4754" s="1"/>
      <c r="T4754" s="1"/>
      <c r="U4754" s="1"/>
      <c r="V4754" s="1"/>
      <c r="W4754" s="1"/>
      <c r="X4754" s="1"/>
      <c r="Y4754" s="1"/>
      <c r="AA4754" s="102"/>
      <c r="AB4754" s="1"/>
      <c r="AC4754" s="1"/>
      <c r="AD4754" s="1"/>
      <c r="AE4754" s="1"/>
      <c r="AF4754" s="1"/>
      <c r="AG4754" s="1"/>
    </row>
    <row r="4755" ht="15.75" customHeight="1">
      <c r="A4755" s="1"/>
      <c r="B4755" s="1"/>
      <c r="C4755" s="1"/>
      <c r="D4755" s="1"/>
      <c r="E4755" s="1"/>
      <c r="F4755" s="1"/>
      <c r="G4755" s="1"/>
      <c r="H4755" s="1"/>
      <c r="I4755" s="1"/>
      <c r="J4755" s="1"/>
      <c r="K4755" s="102" t="s">
        <v>7417</v>
      </c>
      <c r="L4755" s="102" t="str">
        <f>H648</f>
        <v>J1a2a1b1~</v>
      </c>
      <c r="M4755" s="102"/>
      <c r="N4755" s="102" t="s">
        <v>7418</v>
      </c>
      <c r="O4755" s="105">
        <v>1.8145083E7</v>
      </c>
      <c r="P4755" s="105">
        <v>1.6033203E7</v>
      </c>
      <c r="Q4755" s="102" t="s">
        <v>2439</v>
      </c>
      <c r="S4755" s="1"/>
      <c r="T4755" s="1"/>
      <c r="U4755" s="1"/>
      <c r="V4755" s="1"/>
      <c r="W4755" s="1"/>
      <c r="X4755" s="1"/>
      <c r="Y4755" s="1"/>
      <c r="AA4755" s="102"/>
      <c r="AB4755" s="1"/>
      <c r="AC4755" s="1"/>
      <c r="AD4755" s="1"/>
      <c r="AE4755" s="1"/>
      <c r="AF4755" s="1"/>
      <c r="AG4755" s="1"/>
    </row>
    <row r="4756" ht="15.75" customHeight="1">
      <c r="A4756" s="1"/>
      <c r="B4756" s="1"/>
      <c r="C4756" s="1"/>
      <c r="D4756" s="1"/>
      <c r="E4756" s="1"/>
      <c r="F4756" s="1"/>
      <c r="G4756" s="1"/>
      <c r="H4756" s="1"/>
      <c r="I4756" s="1"/>
      <c r="J4756" s="1"/>
      <c r="K4756" s="102" t="s">
        <v>7419</v>
      </c>
      <c r="L4756" s="102" t="str">
        <f>H648</f>
        <v>J1a2a1b1~</v>
      </c>
      <c r="M4756" s="102"/>
      <c r="N4756" s="102" t="s">
        <v>7420</v>
      </c>
      <c r="O4756" s="105">
        <v>1.8658212E7</v>
      </c>
      <c r="P4756" s="105">
        <v>1.6546332E7</v>
      </c>
      <c r="Q4756" s="102" t="s">
        <v>2501</v>
      </c>
      <c r="S4756" s="1"/>
      <c r="T4756" s="1"/>
      <c r="U4756" s="1"/>
      <c r="V4756" s="1"/>
      <c r="W4756" s="1"/>
      <c r="X4756" s="1"/>
      <c r="Y4756" s="1"/>
      <c r="AA4756" s="102"/>
      <c r="AB4756" s="1"/>
      <c r="AC4756" s="1"/>
      <c r="AD4756" s="1"/>
      <c r="AE4756" s="1"/>
      <c r="AF4756" s="1"/>
      <c r="AG4756" s="1"/>
    </row>
    <row r="4757" ht="15.75" customHeight="1">
      <c r="A4757" s="1"/>
      <c r="B4757" s="1"/>
      <c r="C4757" s="1"/>
      <c r="D4757" s="1"/>
      <c r="E4757" s="1"/>
      <c r="F4757" s="1"/>
      <c r="G4757" s="1"/>
      <c r="H4757" s="1"/>
      <c r="I4757" s="1"/>
      <c r="J4757" s="1"/>
      <c r="K4757" s="102" t="s">
        <v>7421</v>
      </c>
      <c r="L4757" s="102" t="str">
        <f>H648</f>
        <v>J1a2a1b1~</v>
      </c>
      <c r="M4757" s="102"/>
      <c r="N4757" s="102" t="s">
        <v>7422</v>
      </c>
      <c r="O4757" s="105">
        <v>1.8664321E7</v>
      </c>
      <c r="P4757" s="105">
        <v>1.6552441E7</v>
      </c>
      <c r="Q4757" s="102" t="s">
        <v>2501</v>
      </c>
      <c r="S4757" s="1"/>
      <c r="T4757" s="1"/>
      <c r="U4757" s="1"/>
      <c r="V4757" s="1"/>
      <c r="W4757" s="1"/>
      <c r="X4757" s="1"/>
      <c r="Y4757" s="1"/>
      <c r="AA4757" s="102"/>
      <c r="AB4757" s="1"/>
      <c r="AC4757" s="1"/>
      <c r="AD4757" s="1"/>
      <c r="AE4757" s="1"/>
      <c r="AF4757" s="1"/>
      <c r="AG4757" s="1"/>
    </row>
    <row r="4758" ht="15.75" customHeight="1">
      <c r="A4758" s="1"/>
      <c r="B4758" s="1"/>
      <c r="C4758" s="1"/>
      <c r="D4758" s="1"/>
      <c r="E4758" s="1"/>
      <c r="F4758" s="1"/>
      <c r="G4758" s="1"/>
      <c r="H4758" s="1"/>
      <c r="I4758" s="1"/>
      <c r="J4758" s="1"/>
      <c r="K4758" s="102" t="s">
        <v>7423</v>
      </c>
      <c r="L4758" s="102" t="str">
        <f>H648</f>
        <v>J1a2a1b1~</v>
      </c>
      <c r="M4758" s="102"/>
      <c r="N4758" s="102" t="s">
        <v>7424</v>
      </c>
      <c r="O4758" s="105">
        <v>2.0826446E7</v>
      </c>
      <c r="P4758" s="105">
        <v>1.866456E7</v>
      </c>
      <c r="Q4758" s="102" t="s">
        <v>2501</v>
      </c>
      <c r="S4758" s="1"/>
      <c r="T4758" s="1"/>
      <c r="U4758" s="1"/>
      <c r="V4758" s="1"/>
      <c r="W4758" s="1"/>
      <c r="X4758" s="1"/>
      <c r="Y4758" s="1"/>
      <c r="AA4758" s="102"/>
      <c r="AB4758" s="1"/>
      <c r="AC4758" s="1"/>
      <c r="AD4758" s="1"/>
      <c r="AE4758" s="1"/>
      <c r="AF4758" s="1"/>
      <c r="AG4758" s="1"/>
    </row>
    <row r="4759" ht="15.75" customHeight="1">
      <c r="A4759" s="1"/>
      <c r="B4759" s="1"/>
      <c r="C4759" s="1"/>
      <c r="D4759" s="1"/>
      <c r="E4759" s="1"/>
      <c r="F4759" s="1"/>
      <c r="G4759" s="1"/>
      <c r="H4759" s="1"/>
      <c r="I4759" s="1"/>
      <c r="J4759" s="1"/>
      <c r="K4759" s="102" t="s">
        <v>7425</v>
      </c>
      <c r="L4759" s="102" t="str">
        <f>H648</f>
        <v>J1a2a1b1~</v>
      </c>
      <c r="M4759" s="102"/>
      <c r="N4759" s="102" t="s">
        <v>7426</v>
      </c>
      <c r="O4759" s="105">
        <v>2.2106567E7</v>
      </c>
      <c r="P4759" s="105">
        <v>1.9944681E7</v>
      </c>
      <c r="Q4759" s="102" t="s">
        <v>2529</v>
      </c>
      <c r="S4759" s="1"/>
      <c r="T4759" s="1"/>
      <c r="U4759" s="1"/>
      <c r="V4759" s="1"/>
      <c r="W4759" s="1"/>
      <c r="X4759" s="1"/>
      <c r="Y4759" s="1"/>
      <c r="AA4759" s="102"/>
      <c r="AB4759" s="1"/>
      <c r="AC4759" s="1"/>
      <c r="AD4759" s="1"/>
      <c r="AE4759" s="1"/>
      <c r="AF4759" s="1"/>
      <c r="AG4759" s="1"/>
    </row>
    <row r="4760" ht="15.75" customHeight="1">
      <c r="A4760" s="1"/>
      <c r="B4760" s="1"/>
      <c r="C4760" s="1"/>
      <c r="D4760" s="1"/>
      <c r="E4760" s="1"/>
      <c r="F4760" s="1"/>
      <c r="G4760" s="1"/>
      <c r="H4760" s="1"/>
      <c r="I4760" s="1"/>
      <c r="J4760" s="1"/>
      <c r="K4760" s="102" t="s">
        <v>7427</v>
      </c>
      <c r="L4760" s="102" t="str">
        <f>H648</f>
        <v>J1a2a1b1~</v>
      </c>
      <c r="M4760" s="102"/>
      <c r="N4760" s="102" t="s">
        <v>7428</v>
      </c>
      <c r="O4760" s="105">
        <v>2.2116651E7</v>
      </c>
      <c r="P4760" s="105">
        <v>1.9954765E7</v>
      </c>
      <c r="Q4760" s="102" t="s">
        <v>2468</v>
      </c>
      <c r="S4760" s="1"/>
      <c r="T4760" s="1"/>
      <c r="U4760" s="1"/>
      <c r="V4760" s="1"/>
      <c r="W4760" s="1"/>
      <c r="X4760" s="1"/>
      <c r="Y4760" s="1"/>
      <c r="AA4760" s="102"/>
      <c r="AB4760" s="1"/>
      <c r="AC4760" s="1"/>
      <c r="AD4760" s="1"/>
      <c r="AE4760" s="1"/>
      <c r="AF4760" s="1"/>
      <c r="AG4760" s="1"/>
    </row>
    <row r="4761" ht="15.75" customHeight="1">
      <c r="A4761" s="1"/>
      <c r="B4761" s="1"/>
      <c r="C4761" s="1"/>
      <c r="D4761" s="1"/>
      <c r="E4761" s="1"/>
      <c r="F4761" s="1"/>
      <c r="G4761" s="1"/>
      <c r="H4761" s="1"/>
      <c r="I4761" s="1"/>
      <c r="J4761" s="1"/>
      <c r="K4761" s="102" t="s">
        <v>7429</v>
      </c>
      <c r="L4761" s="102" t="str">
        <f>H648</f>
        <v>J1a2a1b1~</v>
      </c>
      <c r="M4761" s="102"/>
      <c r="N4761" s="102" t="s">
        <v>7430</v>
      </c>
      <c r="O4761" s="105">
        <v>2.2523058E7</v>
      </c>
      <c r="P4761" s="105">
        <v>2.0361172E7</v>
      </c>
      <c r="Q4761" s="102" t="s">
        <v>2529</v>
      </c>
      <c r="S4761" s="1"/>
      <c r="T4761" s="1"/>
      <c r="U4761" s="1"/>
      <c r="V4761" s="1"/>
      <c r="W4761" s="1"/>
      <c r="X4761" s="1"/>
      <c r="Y4761" s="1"/>
      <c r="AA4761" s="102"/>
      <c r="AB4761" s="1"/>
      <c r="AC4761" s="1"/>
      <c r="AD4761" s="1"/>
      <c r="AE4761" s="1"/>
      <c r="AF4761" s="1"/>
      <c r="AG4761" s="1"/>
    </row>
    <row r="4762" ht="15.75" customHeight="1">
      <c r="A4762" s="1"/>
      <c r="B4762" s="1"/>
      <c r="C4762" s="1"/>
      <c r="D4762" s="1"/>
      <c r="E4762" s="1"/>
      <c r="F4762" s="1"/>
      <c r="G4762" s="1"/>
      <c r="H4762" s="1"/>
      <c r="I4762" s="1"/>
      <c r="J4762" s="1"/>
      <c r="K4762" s="102" t="s">
        <v>7431</v>
      </c>
      <c r="L4762" s="102" t="str">
        <f>H648</f>
        <v>J1a2a1b1~</v>
      </c>
      <c r="M4762" s="102"/>
      <c r="N4762" s="102" t="s">
        <v>7432</v>
      </c>
      <c r="O4762" s="105">
        <v>2.2685881E7</v>
      </c>
      <c r="P4762" s="105">
        <v>2.0523995E7</v>
      </c>
      <c r="Q4762" s="102" t="s">
        <v>2439</v>
      </c>
      <c r="S4762" s="1"/>
      <c r="T4762" s="1"/>
      <c r="U4762" s="1"/>
      <c r="V4762" s="1"/>
      <c r="W4762" s="1"/>
      <c r="X4762" s="1"/>
      <c r="Y4762" s="1"/>
      <c r="AA4762" s="102"/>
      <c r="AB4762" s="1"/>
      <c r="AC4762" s="1"/>
      <c r="AD4762" s="1"/>
      <c r="AE4762" s="1"/>
      <c r="AF4762" s="1"/>
      <c r="AG4762" s="1"/>
    </row>
    <row r="4763" ht="15.75" customHeight="1">
      <c r="A4763" s="1"/>
      <c r="B4763" s="1"/>
      <c r="C4763" s="1"/>
      <c r="D4763" s="1"/>
      <c r="E4763" s="1"/>
      <c r="F4763" s="1"/>
      <c r="G4763" s="1"/>
      <c r="H4763" s="1"/>
      <c r="I4763" s="1"/>
      <c r="J4763" s="1"/>
      <c r="K4763" s="102" t="s">
        <v>7433</v>
      </c>
      <c r="L4763" s="102" t="str">
        <f>H648</f>
        <v>J1a2a1b1~</v>
      </c>
      <c r="M4763" s="102"/>
      <c r="N4763" s="102" t="s">
        <v>7434</v>
      </c>
      <c r="O4763" s="105">
        <v>2.3383613E7</v>
      </c>
      <c r="P4763" s="105">
        <v>2.1221727E7</v>
      </c>
      <c r="Q4763" s="102" t="s">
        <v>2529</v>
      </c>
      <c r="S4763" s="1"/>
      <c r="T4763" s="1"/>
      <c r="U4763" s="1"/>
      <c r="V4763" s="1"/>
      <c r="W4763" s="1"/>
      <c r="X4763" s="1"/>
      <c r="Y4763" s="1"/>
      <c r="AA4763" s="102"/>
      <c r="AB4763" s="1"/>
      <c r="AC4763" s="1"/>
      <c r="AD4763" s="1"/>
      <c r="AE4763" s="1"/>
      <c r="AF4763" s="1"/>
      <c r="AG4763" s="1"/>
    </row>
    <row r="4764" ht="15.75" customHeight="1">
      <c r="A4764" s="1"/>
      <c r="B4764" s="1"/>
      <c r="C4764" s="1"/>
      <c r="D4764" s="1"/>
      <c r="E4764" s="1"/>
      <c r="F4764" s="1"/>
      <c r="G4764" s="1"/>
      <c r="H4764" s="1"/>
      <c r="I4764" s="1"/>
      <c r="J4764" s="1"/>
      <c r="K4764" s="102" t="s">
        <v>7435</v>
      </c>
      <c r="L4764" s="102" t="str">
        <f>H648</f>
        <v>J1a2a1b1~</v>
      </c>
      <c r="M4764" s="102"/>
      <c r="N4764" s="102"/>
      <c r="O4764" s="105">
        <v>2.3839033E7</v>
      </c>
      <c r="P4764" s="105">
        <v>2.1677147E7</v>
      </c>
      <c r="Q4764" s="102" t="s">
        <v>2446</v>
      </c>
      <c r="S4764" s="1"/>
      <c r="T4764" s="1"/>
      <c r="U4764" s="1"/>
      <c r="V4764" s="1"/>
      <c r="W4764" s="1"/>
      <c r="X4764" s="1"/>
      <c r="Y4764" s="1"/>
      <c r="AA4764" s="102"/>
      <c r="AB4764" s="1"/>
      <c r="AC4764" s="1"/>
      <c r="AD4764" s="1"/>
      <c r="AE4764" s="1"/>
      <c r="AF4764" s="1"/>
      <c r="AG4764" s="1"/>
    </row>
    <row r="4765" ht="15.75" customHeight="1">
      <c r="A4765" s="1"/>
      <c r="B4765" s="1"/>
      <c r="C4765" s="1"/>
      <c r="D4765" s="1"/>
      <c r="E4765" s="1"/>
      <c r="F4765" s="1"/>
      <c r="G4765" s="1"/>
      <c r="H4765" s="1"/>
      <c r="I4765" s="1"/>
      <c r="J4765" s="1"/>
      <c r="K4765" s="102" t="s">
        <v>7436</v>
      </c>
      <c r="L4765" s="102" t="str">
        <f>I649</f>
        <v>J1a2a1b1a~</v>
      </c>
      <c r="M4765" s="102"/>
      <c r="N4765" s="102" t="s">
        <v>7437</v>
      </c>
      <c r="O4765" s="105">
        <v>6774772.0</v>
      </c>
      <c r="P4765" s="105">
        <v>6906731.0</v>
      </c>
      <c r="Q4765" s="102" t="s">
        <v>2529</v>
      </c>
      <c r="S4765" s="1"/>
      <c r="T4765" s="1"/>
      <c r="U4765" s="1"/>
      <c r="V4765" s="1"/>
      <c r="W4765" s="1"/>
      <c r="X4765" s="1"/>
      <c r="Y4765" s="1"/>
      <c r="AA4765" s="102"/>
      <c r="AB4765" s="1"/>
      <c r="AC4765" s="1"/>
      <c r="AD4765" s="1"/>
      <c r="AE4765" s="1"/>
      <c r="AF4765" s="1"/>
      <c r="AG4765" s="1"/>
    </row>
    <row r="4766" ht="15.75" customHeight="1">
      <c r="A4766" s="1"/>
      <c r="B4766" s="1"/>
      <c r="C4766" s="1"/>
      <c r="D4766" s="1"/>
      <c r="E4766" s="1"/>
      <c r="F4766" s="1"/>
      <c r="G4766" s="1"/>
      <c r="H4766" s="1"/>
      <c r="I4766" s="1"/>
      <c r="J4766" s="1"/>
      <c r="K4766" s="102" t="s">
        <v>7438</v>
      </c>
      <c r="L4766" s="102" t="str">
        <f>I649</f>
        <v>J1a2a1b1a~</v>
      </c>
      <c r="M4766" s="102"/>
      <c r="N4766" s="102"/>
      <c r="O4766" s="105">
        <v>7543811.0</v>
      </c>
      <c r="P4766" s="105">
        <v>7675770.0</v>
      </c>
      <c r="Q4766" s="102" t="s">
        <v>2439</v>
      </c>
      <c r="S4766" s="1"/>
      <c r="T4766" s="1"/>
      <c r="U4766" s="1"/>
      <c r="V4766" s="1"/>
      <c r="W4766" s="1"/>
      <c r="X4766" s="1"/>
      <c r="Y4766" s="1"/>
      <c r="AA4766" s="102"/>
      <c r="AB4766" s="1"/>
      <c r="AC4766" s="1"/>
      <c r="AD4766" s="1"/>
      <c r="AE4766" s="1"/>
      <c r="AF4766" s="1"/>
      <c r="AG4766" s="1"/>
    </row>
    <row r="4767" ht="15.75" customHeight="1">
      <c r="A4767" s="1"/>
      <c r="B4767" s="1"/>
      <c r="C4767" s="1"/>
      <c r="D4767" s="1"/>
      <c r="E4767" s="1"/>
      <c r="F4767" s="1"/>
      <c r="G4767" s="1"/>
      <c r="H4767" s="1"/>
      <c r="I4767" s="1"/>
      <c r="J4767" s="1"/>
      <c r="K4767" s="102" t="s">
        <v>7439</v>
      </c>
      <c r="L4767" s="102" t="str">
        <f>I649</f>
        <v>J1a2a1b1a~</v>
      </c>
      <c r="M4767" s="102"/>
      <c r="N4767" s="102"/>
      <c r="O4767" s="105">
        <v>7629532.0</v>
      </c>
      <c r="P4767" s="105">
        <v>7761491.0</v>
      </c>
      <c r="Q4767" s="102" t="s">
        <v>2423</v>
      </c>
      <c r="S4767" s="1"/>
      <c r="T4767" s="1"/>
      <c r="U4767" s="1"/>
      <c r="V4767" s="1"/>
      <c r="W4767" s="1"/>
      <c r="X4767" s="1"/>
      <c r="Y4767" s="1"/>
      <c r="AA4767" s="102"/>
      <c r="AB4767" s="1"/>
      <c r="AC4767" s="1"/>
      <c r="AD4767" s="1"/>
      <c r="AE4767" s="1"/>
      <c r="AF4767" s="1"/>
      <c r="AG4767" s="1"/>
    </row>
    <row r="4768" ht="15.75" customHeight="1">
      <c r="A4768" s="1"/>
      <c r="B4768" s="1"/>
      <c r="C4768" s="1"/>
      <c r="D4768" s="1"/>
      <c r="E4768" s="1"/>
      <c r="F4768" s="1"/>
      <c r="G4768" s="1"/>
      <c r="H4768" s="1"/>
      <c r="I4768" s="1"/>
      <c r="J4768" s="1"/>
      <c r="K4768" s="102" t="s">
        <v>7440</v>
      </c>
      <c r="L4768" s="102" t="str">
        <f>I649</f>
        <v>J1a2a1b1a~</v>
      </c>
      <c r="M4768" s="102"/>
      <c r="N4768" s="102"/>
      <c r="O4768" s="105">
        <v>8624211.0</v>
      </c>
      <c r="P4768" s="105">
        <v>8756170.0</v>
      </c>
      <c r="Q4768" s="102" t="s">
        <v>2501</v>
      </c>
      <c r="S4768" s="1"/>
      <c r="T4768" s="1"/>
      <c r="U4768" s="1"/>
      <c r="V4768" s="1"/>
      <c r="W4768" s="1"/>
      <c r="X4768" s="1"/>
      <c r="Y4768" s="1"/>
      <c r="AA4768" s="102"/>
      <c r="AB4768" s="1"/>
      <c r="AC4768" s="1"/>
      <c r="AD4768" s="1"/>
      <c r="AE4768" s="1"/>
      <c r="AF4768" s="1"/>
      <c r="AG4768" s="1"/>
    </row>
    <row r="4769" ht="15.75" customHeight="1">
      <c r="A4769" s="1"/>
      <c r="B4769" s="1"/>
      <c r="C4769" s="1"/>
      <c r="D4769" s="1"/>
      <c r="E4769" s="1"/>
      <c r="F4769" s="1"/>
      <c r="G4769" s="1"/>
      <c r="H4769" s="1"/>
      <c r="I4769" s="1"/>
      <c r="J4769" s="1"/>
      <c r="K4769" s="102" t="s">
        <v>7441</v>
      </c>
      <c r="L4769" s="102" t="str">
        <f>I649</f>
        <v>J1a2a1b1a~</v>
      </c>
      <c r="M4769" s="102"/>
      <c r="N4769" s="102"/>
      <c r="O4769" s="105">
        <v>1.4102654E7</v>
      </c>
      <c r="P4769" s="105">
        <v>1.1981948E7</v>
      </c>
      <c r="Q4769" s="102" t="s">
        <v>2501</v>
      </c>
      <c r="S4769" s="1"/>
      <c r="T4769" s="1"/>
      <c r="U4769" s="1"/>
      <c r="V4769" s="1"/>
      <c r="W4769" s="1"/>
      <c r="X4769" s="1"/>
      <c r="Y4769" s="1"/>
      <c r="AA4769" s="102"/>
      <c r="AB4769" s="1"/>
      <c r="AC4769" s="1"/>
      <c r="AD4769" s="1"/>
      <c r="AE4769" s="1"/>
      <c r="AF4769" s="1"/>
      <c r="AG4769" s="1"/>
    </row>
    <row r="4770" ht="15.75" customHeight="1">
      <c r="A4770" s="1"/>
      <c r="B4770" s="1"/>
      <c r="C4770" s="1"/>
      <c r="D4770" s="1"/>
      <c r="E4770" s="1"/>
      <c r="F4770" s="1"/>
      <c r="G4770" s="1"/>
      <c r="H4770" s="1"/>
      <c r="I4770" s="1"/>
      <c r="J4770" s="1"/>
      <c r="K4770" s="102" t="s">
        <v>7442</v>
      </c>
      <c r="L4770" s="102" t="str">
        <f>I649</f>
        <v>J1a2a1b1a~</v>
      </c>
      <c r="M4770" s="102"/>
      <c r="N4770" s="102" t="s">
        <v>7443</v>
      </c>
      <c r="O4770" s="105">
        <v>1.5994122E7</v>
      </c>
      <c r="P4770" s="105">
        <v>1.3882242E7</v>
      </c>
      <c r="Q4770" s="102" t="s">
        <v>2446</v>
      </c>
      <c r="S4770" s="1"/>
      <c r="T4770" s="1"/>
      <c r="U4770" s="1"/>
      <c r="V4770" s="1"/>
      <c r="W4770" s="1"/>
      <c r="X4770" s="1"/>
      <c r="Y4770" s="1"/>
      <c r="AA4770" s="102"/>
      <c r="AB4770" s="1"/>
      <c r="AC4770" s="1"/>
      <c r="AD4770" s="1"/>
      <c r="AE4770" s="1"/>
      <c r="AF4770" s="1"/>
      <c r="AG4770" s="1"/>
    </row>
    <row r="4771" ht="15.75" customHeight="1">
      <c r="A4771" s="1"/>
      <c r="B4771" s="1"/>
      <c r="C4771" s="1"/>
      <c r="D4771" s="1"/>
      <c r="E4771" s="1"/>
      <c r="F4771" s="1"/>
      <c r="G4771" s="1"/>
      <c r="H4771" s="1"/>
      <c r="I4771" s="1"/>
      <c r="J4771" s="1"/>
      <c r="K4771" s="102" t="s">
        <v>7444</v>
      </c>
      <c r="L4771" s="102" t="str">
        <f>I649</f>
        <v>J1a2a1b1a~</v>
      </c>
      <c r="M4771" s="102"/>
      <c r="N4771" s="102"/>
      <c r="O4771" s="105">
        <v>1.6414935E7</v>
      </c>
      <c r="P4771" s="105">
        <v>1.4303055E7</v>
      </c>
      <c r="Q4771" s="102" t="s">
        <v>2501</v>
      </c>
      <c r="S4771" s="1"/>
      <c r="T4771" s="1"/>
      <c r="U4771" s="1"/>
      <c r="V4771" s="1"/>
      <c r="W4771" s="1"/>
      <c r="X4771" s="1"/>
      <c r="Y4771" s="1"/>
      <c r="AA4771" s="102"/>
      <c r="AB4771" s="1"/>
      <c r="AC4771" s="1"/>
      <c r="AD4771" s="1"/>
      <c r="AE4771" s="1"/>
      <c r="AF4771" s="1"/>
      <c r="AG4771" s="1"/>
    </row>
    <row r="4772" ht="15.75" customHeight="1">
      <c r="A4772" s="1"/>
      <c r="B4772" s="1"/>
      <c r="C4772" s="1"/>
      <c r="D4772" s="1"/>
      <c r="E4772" s="1"/>
      <c r="F4772" s="1"/>
      <c r="G4772" s="1"/>
      <c r="H4772" s="1"/>
      <c r="I4772" s="1"/>
      <c r="J4772" s="1"/>
      <c r="K4772" s="102" t="s">
        <v>7445</v>
      </c>
      <c r="L4772" s="102" t="str">
        <f>I649</f>
        <v>J1a2a1b1a~</v>
      </c>
      <c r="M4772" s="102"/>
      <c r="N4772" s="102"/>
      <c r="O4772" s="105">
        <v>1.712153E7</v>
      </c>
      <c r="P4772" s="105">
        <v>1.500965E7</v>
      </c>
      <c r="Q4772" s="102" t="s">
        <v>2439</v>
      </c>
      <c r="S4772" s="1"/>
      <c r="T4772" s="1"/>
      <c r="U4772" s="1"/>
      <c r="V4772" s="1"/>
      <c r="W4772" s="1"/>
      <c r="X4772" s="1"/>
      <c r="Y4772" s="1"/>
      <c r="AA4772" s="102"/>
      <c r="AB4772" s="1"/>
      <c r="AC4772" s="1"/>
      <c r="AD4772" s="1"/>
      <c r="AE4772" s="1"/>
      <c r="AF4772" s="1"/>
      <c r="AG4772" s="1"/>
    </row>
    <row r="4773" ht="15.75" customHeight="1">
      <c r="A4773" s="1"/>
      <c r="B4773" s="1"/>
      <c r="C4773" s="1"/>
      <c r="D4773" s="1"/>
      <c r="E4773" s="1"/>
      <c r="F4773" s="1"/>
      <c r="G4773" s="1"/>
      <c r="H4773" s="1"/>
      <c r="I4773" s="1"/>
      <c r="J4773" s="1"/>
      <c r="K4773" s="102" t="s">
        <v>7446</v>
      </c>
      <c r="L4773" s="102" t="str">
        <f>I649</f>
        <v>J1a2a1b1a~</v>
      </c>
      <c r="M4773" s="102"/>
      <c r="N4773" s="102"/>
      <c r="O4773" s="105">
        <v>1.7436404E7</v>
      </c>
      <c r="P4773" s="105">
        <v>1.5324524E7</v>
      </c>
      <c r="Q4773" s="102" t="s">
        <v>2454</v>
      </c>
      <c r="S4773" s="1"/>
      <c r="T4773" s="1"/>
      <c r="U4773" s="1"/>
      <c r="V4773" s="1"/>
      <c r="W4773" s="1"/>
      <c r="X4773" s="1"/>
      <c r="Y4773" s="1"/>
      <c r="AA4773" s="102"/>
      <c r="AB4773" s="1"/>
      <c r="AC4773" s="1"/>
      <c r="AD4773" s="1"/>
      <c r="AE4773" s="1"/>
      <c r="AF4773" s="1"/>
      <c r="AG4773" s="1"/>
    </row>
    <row r="4774" ht="15.75" customHeight="1">
      <c r="A4774" s="1"/>
      <c r="B4774" s="1"/>
      <c r="C4774" s="1"/>
      <c r="D4774" s="1"/>
      <c r="E4774" s="1"/>
      <c r="F4774" s="1"/>
      <c r="G4774" s="1"/>
      <c r="H4774" s="1"/>
      <c r="I4774" s="1"/>
      <c r="J4774" s="1"/>
      <c r="K4774" s="102" t="s">
        <v>7447</v>
      </c>
      <c r="L4774" s="102" t="str">
        <f>I649</f>
        <v>J1a2a1b1a~</v>
      </c>
      <c r="M4774" s="102"/>
      <c r="N4774" s="102" t="s">
        <v>7448</v>
      </c>
      <c r="O4774" s="105">
        <v>1.7892301E7</v>
      </c>
      <c r="P4774" s="105">
        <v>1.5780421E7</v>
      </c>
      <c r="Q4774" s="102" t="s">
        <v>2468</v>
      </c>
      <c r="S4774" s="1"/>
      <c r="T4774" s="1"/>
      <c r="U4774" s="1"/>
      <c r="V4774" s="1"/>
      <c r="W4774" s="1"/>
      <c r="X4774" s="1"/>
      <c r="Y4774" s="1"/>
      <c r="AA4774" s="102"/>
      <c r="AB4774" s="1"/>
      <c r="AC4774" s="1"/>
      <c r="AD4774" s="1"/>
      <c r="AE4774" s="1"/>
      <c r="AF4774" s="1"/>
      <c r="AG4774" s="1"/>
    </row>
    <row r="4775" ht="15.75" customHeight="1">
      <c r="A4775" s="1"/>
      <c r="B4775" s="1"/>
      <c r="C4775" s="1"/>
      <c r="D4775" s="1"/>
      <c r="E4775" s="1"/>
      <c r="F4775" s="1"/>
      <c r="G4775" s="1"/>
      <c r="H4775" s="1"/>
      <c r="I4775" s="1"/>
      <c r="J4775" s="1"/>
      <c r="K4775" s="102" t="s">
        <v>7449</v>
      </c>
      <c r="L4775" s="102" t="str">
        <f>I649</f>
        <v>J1a2a1b1a~</v>
      </c>
      <c r="M4775" s="102"/>
      <c r="N4775" s="102" t="s">
        <v>7450</v>
      </c>
      <c r="O4775" s="105">
        <v>1.8017994E7</v>
      </c>
      <c r="P4775" s="105">
        <v>1.5906114E7</v>
      </c>
      <c r="Q4775" s="102" t="s">
        <v>2454</v>
      </c>
      <c r="S4775" s="1"/>
      <c r="T4775" s="1"/>
      <c r="U4775" s="1"/>
      <c r="V4775" s="1"/>
      <c r="W4775" s="1"/>
      <c r="X4775" s="1"/>
      <c r="Y4775" s="1"/>
      <c r="AA4775" s="102"/>
      <c r="AB4775" s="1"/>
      <c r="AC4775" s="1"/>
      <c r="AD4775" s="1"/>
      <c r="AE4775" s="1"/>
      <c r="AF4775" s="1"/>
      <c r="AG4775" s="1"/>
    </row>
    <row r="4776" ht="15.75" customHeight="1">
      <c r="A4776" s="1"/>
      <c r="B4776" s="1"/>
      <c r="C4776" s="1"/>
      <c r="D4776" s="1"/>
      <c r="E4776" s="1"/>
      <c r="F4776" s="1"/>
      <c r="G4776" s="1"/>
      <c r="H4776" s="1"/>
      <c r="I4776" s="1"/>
      <c r="J4776" s="1"/>
      <c r="K4776" s="102" t="s">
        <v>7451</v>
      </c>
      <c r="L4776" s="102" t="str">
        <f>I649</f>
        <v>J1a2a1b1a~</v>
      </c>
      <c r="M4776" s="102"/>
      <c r="N4776" s="102"/>
      <c r="O4776" s="105">
        <v>1.8075059E7</v>
      </c>
      <c r="P4776" s="105">
        <v>1.5963179E7</v>
      </c>
      <c r="Q4776" s="102" t="s">
        <v>2501</v>
      </c>
      <c r="S4776" s="1"/>
      <c r="T4776" s="1"/>
      <c r="U4776" s="1"/>
      <c r="V4776" s="1"/>
      <c r="W4776" s="1"/>
      <c r="X4776" s="1"/>
      <c r="Y4776" s="1"/>
      <c r="AA4776" s="102"/>
      <c r="AB4776" s="1"/>
      <c r="AC4776" s="1"/>
      <c r="AD4776" s="1"/>
      <c r="AE4776" s="1"/>
      <c r="AF4776" s="1"/>
      <c r="AG4776" s="1"/>
    </row>
    <row r="4777" ht="15.75" customHeight="1">
      <c r="A4777" s="1"/>
      <c r="B4777" s="1"/>
      <c r="C4777" s="1"/>
      <c r="D4777" s="1"/>
      <c r="E4777" s="1"/>
      <c r="F4777" s="1"/>
      <c r="G4777" s="1"/>
      <c r="H4777" s="1"/>
      <c r="I4777" s="1"/>
      <c r="J4777" s="1"/>
      <c r="K4777" s="102" t="s">
        <v>7452</v>
      </c>
      <c r="L4777" s="102" t="str">
        <f>I649</f>
        <v>J1a2a1b1a~</v>
      </c>
      <c r="M4777" s="102"/>
      <c r="N4777" s="102" t="s">
        <v>7453</v>
      </c>
      <c r="O4777" s="105">
        <v>1.9140354E7</v>
      </c>
      <c r="P4777" s="105">
        <v>1.7028474E7</v>
      </c>
      <c r="Q4777" s="102" t="s">
        <v>2501</v>
      </c>
      <c r="S4777" s="1"/>
      <c r="T4777" s="1"/>
      <c r="U4777" s="1"/>
      <c r="V4777" s="1"/>
      <c r="W4777" s="1"/>
      <c r="X4777" s="1"/>
      <c r="Y4777" s="1"/>
      <c r="AA4777" s="102"/>
      <c r="AB4777" s="1"/>
      <c r="AC4777" s="1"/>
      <c r="AD4777" s="1"/>
      <c r="AE4777" s="1"/>
      <c r="AF4777" s="1"/>
      <c r="AG4777" s="1"/>
    </row>
    <row r="4778" ht="15.75" customHeight="1">
      <c r="A4778" s="1"/>
      <c r="B4778" s="1"/>
      <c r="C4778" s="1"/>
      <c r="D4778" s="1"/>
      <c r="E4778" s="1"/>
      <c r="F4778" s="1"/>
      <c r="G4778" s="1"/>
      <c r="H4778" s="1"/>
      <c r="I4778" s="1"/>
      <c r="J4778" s="1"/>
      <c r="K4778" s="102" t="s">
        <v>7454</v>
      </c>
      <c r="L4778" s="102" t="str">
        <f>I649</f>
        <v>J1a2a1b1a~</v>
      </c>
      <c r="M4778" s="102"/>
      <c r="N4778" s="102" t="s">
        <v>7455</v>
      </c>
      <c r="O4778" s="105">
        <v>1.9444993E7</v>
      </c>
      <c r="P4778" s="105">
        <v>1.7333113E7</v>
      </c>
      <c r="Q4778" s="102" t="s">
        <v>2501</v>
      </c>
      <c r="S4778" s="1"/>
      <c r="T4778" s="1"/>
      <c r="U4778" s="1"/>
      <c r="V4778" s="1"/>
      <c r="W4778" s="1"/>
      <c r="X4778" s="1"/>
      <c r="Y4778" s="1"/>
      <c r="AA4778" s="102"/>
      <c r="AB4778" s="1"/>
      <c r="AC4778" s="1"/>
      <c r="AD4778" s="1"/>
      <c r="AE4778" s="1"/>
      <c r="AF4778" s="1"/>
      <c r="AG4778" s="1"/>
    </row>
    <row r="4779" ht="15.75" customHeight="1">
      <c r="A4779" s="1"/>
      <c r="B4779" s="1"/>
      <c r="C4779" s="1"/>
      <c r="D4779" s="1"/>
      <c r="E4779" s="1"/>
      <c r="F4779" s="1"/>
      <c r="G4779" s="1"/>
      <c r="H4779" s="1"/>
      <c r="I4779" s="1"/>
      <c r="J4779" s="1"/>
      <c r="K4779" s="102" t="s">
        <v>7456</v>
      </c>
      <c r="L4779" s="102" t="str">
        <f>I649</f>
        <v>J1a2a1b1a~</v>
      </c>
      <c r="M4779" s="102"/>
      <c r="N4779" s="102"/>
      <c r="O4779" s="105">
        <v>2.1289117E7</v>
      </c>
      <c r="P4779" s="105">
        <v>1.9127231E7</v>
      </c>
      <c r="Q4779" s="102" t="s">
        <v>2468</v>
      </c>
      <c r="S4779" s="1"/>
      <c r="T4779" s="1"/>
      <c r="U4779" s="1"/>
      <c r="V4779" s="1"/>
      <c r="W4779" s="1"/>
      <c r="X4779" s="1"/>
      <c r="Y4779" s="1"/>
      <c r="AA4779" s="102"/>
      <c r="AB4779" s="1"/>
      <c r="AC4779" s="1"/>
      <c r="AD4779" s="1"/>
      <c r="AE4779" s="1"/>
      <c r="AF4779" s="1"/>
      <c r="AG4779" s="1"/>
    </row>
    <row r="4780" ht="15.75" customHeight="1">
      <c r="A4780" s="1"/>
      <c r="B4780" s="1"/>
      <c r="C4780" s="1"/>
      <c r="D4780" s="1"/>
      <c r="E4780" s="1"/>
      <c r="F4780" s="1"/>
      <c r="G4780" s="1"/>
      <c r="H4780" s="1"/>
      <c r="I4780" s="1"/>
      <c r="J4780" s="1"/>
      <c r="K4780" s="102" t="s">
        <v>7457</v>
      </c>
      <c r="L4780" s="102" t="str">
        <f>I649</f>
        <v>J1a2a1b1a~</v>
      </c>
      <c r="M4780" s="102"/>
      <c r="N4780" s="102" t="s">
        <v>7458</v>
      </c>
      <c r="O4780" s="105">
        <v>2.1761695E7</v>
      </c>
      <c r="P4780" s="105">
        <v>1.9599809E7</v>
      </c>
      <c r="Q4780" s="102" t="s">
        <v>2533</v>
      </c>
      <c r="S4780" s="1"/>
      <c r="T4780" s="1"/>
      <c r="U4780" s="1"/>
      <c r="V4780" s="1"/>
      <c r="W4780" s="1"/>
      <c r="X4780" s="1"/>
      <c r="Y4780" s="1"/>
      <c r="AA4780" s="102"/>
      <c r="AB4780" s="1"/>
      <c r="AC4780" s="1"/>
      <c r="AD4780" s="1"/>
      <c r="AE4780" s="1"/>
      <c r="AF4780" s="1"/>
      <c r="AG4780" s="1"/>
    </row>
    <row r="4781" ht="15.75" customHeight="1">
      <c r="A4781" s="1"/>
      <c r="B4781" s="1"/>
      <c r="C4781" s="1"/>
      <c r="D4781" s="1"/>
      <c r="E4781" s="1"/>
      <c r="F4781" s="1"/>
      <c r="G4781" s="1"/>
      <c r="H4781" s="1"/>
      <c r="I4781" s="1"/>
      <c r="J4781" s="1"/>
      <c r="K4781" s="102" t="s">
        <v>7459</v>
      </c>
      <c r="L4781" s="102" t="str">
        <f>I649</f>
        <v>J1a2a1b1a~</v>
      </c>
      <c r="M4781" s="102"/>
      <c r="N4781" s="102"/>
      <c r="O4781" s="105">
        <v>2.1960773E7</v>
      </c>
      <c r="P4781" s="105">
        <v>1.9798887E7</v>
      </c>
      <c r="Q4781" s="102" t="s">
        <v>2439</v>
      </c>
      <c r="S4781" s="1"/>
      <c r="T4781" s="1"/>
      <c r="U4781" s="1"/>
      <c r="V4781" s="1"/>
      <c r="W4781" s="1"/>
      <c r="X4781" s="1"/>
      <c r="Y4781" s="1"/>
      <c r="AA4781" s="102"/>
      <c r="AB4781" s="1"/>
      <c r="AC4781" s="1"/>
      <c r="AD4781" s="1"/>
      <c r="AE4781" s="1"/>
      <c r="AF4781" s="1"/>
      <c r="AG4781" s="1"/>
    </row>
    <row r="4782" ht="15.75" customHeight="1">
      <c r="A4782" s="1"/>
      <c r="B4782" s="1"/>
      <c r="C4782" s="1"/>
      <c r="D4782" s="1"/>
      <c r="E4782" s="1"/>
      <c r="F4782" s="1"/>
      <c r="G4782" s="1"/>
      <c r="H4782" s="1"/>
      <c r="I4782" s="1"/>
      <c r="J4782" s="1"/>
      <c r="K4782" s="102" t="s">
        <v>7460</v>
      </c>
      <c r="L4782" s="102" t="str">
        <f>I649</f>
        <v>J1a2a1b1a~</v>
      </c>
      <c r="M4782" s="102"/>
      <c r="N4782" s="102"/>
      <c r="O4782" s="105">
        <v>2.2559392E7</v>
      </c>
      <c r="P4782" s="105">
        <v>2.0397506E7</v>
      </c>
      <c r="Q4782" s="102" t="s">
        <v>2533</v>
      </c>
      <c r="S4782" s="1"/>
      <c r="T4782" s="1"/>
      <c r="U4782" s="1"/>
      <c r="V4782" s="1"/>
      <c r="W4782" s="1"/>
      <c r="X4782" s="1"/>
      <c r="Y4782" s="1"/>
      <c r="AA4782" s="102"/>
      <c r="AB4782" s="1"/>
      <c r="AC4782" s="1"/>
      <c r="AD4782" s="1"/>
      <c r="AE4782" s="1"/>
      <c r="AF4782" s="1"/>
      <c r="AG4782" s="1"/>
    </row>
    <row r="4783" ht="15.75" customHeight="1">
      <c r="A4783" s="1"/>
      <c r="B4783" s="1"/>
      <c r="C4783" s="1"/>
      <c r="D4783" s="1"/>
      <c r="E4783" s="1"/>
      <c r="F4783" s="1"/>
      <c r="G4783" s="1"/>
      <c r="H4783" s="1"/>
      <c r="I4783" s="1"/>
      <c r="J4783" s="1"/>
      <c r="K4783" s="102" t="s">
        <v>7461</v>
      </c>
      <c r="L4783" s="102" t="str">
        <f>I649</f>
        <v>J1a2a1b1a~</v>
      </c>
      <c r="M4783" s="102"/>
      <c r="N4783" s="102" t="s">
        <v>7462</v>
      </c>
      <c r="O4783" s="105">
        <v>2.2677174E7</v>
      </c>
      <c r="P4783" s="105">
        <v>2.0515288E7</v>
      </c>
      <c r="Q4783" s="102" t="s">
        <v>2454</v>
      </c>
      <c r="S4783" s="1"/>
      <c r="T4783" s="1"/>
      <c r="U4783" s="1"/>
      <c r="V4783" s="1"/>
      <c r="W4783" s="1"/>
      <c r="X4783" s="1"/>
      <c r="Y4783" s="1"/>
      <c r="AA4783" s="102"/>
      <c r="AB4783" s="1"/>
      <c r="AC4783" s="1"/>
      <c r="AD4783" s="1"/>
      <c r="AE4783" s="1"/>
      <c r="AF4783" s="1"/>
      <c r="AG4783" s="1"/>
    </row>
    <row r="4784" ht="15.75" customHeight="1">
      <c r="A4784" s="1"/>
      <c r="B4784" s="1"/>
      <c r="C4784" s="1"/>
      <c r="D4784" s="1"/>
      <c r="E4784" s="1"/>
      <c r="F4784" s="1"/>
      <c r="G4784" s="1"/>
      <c r="H4784" s="1"/>
      <c r="I4784" s="1"/>
      <c r="J4784" s="1"/>
      <c r="K4784" s="102" t="s">
        <v>7463</v>
      </c>
      <c r="L4784" s="102" t="str">
        <f>I649</f>
        <v>J1a2a1b1a~</v>
      </c>
      <c r="M4784" s="102"/>
      <c r="N4784" s="102" t="s">
        <v>7464</v>
      </c>
      <c r="O4784" s="105">
        <v>2.3032117E7</v>
      </c>
      <c r="P4784" s="105">
        <v>2.0870231E7</v>
      </c>
      <c r="Q4784" s="102" t="s">
        <v>2529</v>
      </c>
      <c r="S4784" s="1"/>
      <c r="T4784" s="1"/>
      <c r="U4784" s="1"/>
      <c r="V4784" s="1"/>
      <c r="W4784" s="1"/>
      <c r="X4784" s="1"/>
      <c r="Y4784" s="1"/>
      <c r="AA4784" s="102"/>
      <c r="AB4784" s="1"/>
      <c r="AC4784" s="1"/>
      <c r="AD4784" s="1"/>
      <c r="AE4784" s="1"/>
      <c r="AF4784" s="1"/>
      <c r="AG4784" s="1"/>
    </row>
    <row r="4785" ht="15.75" customHeight="1">
      <c r="A4785" s="1"/>
      <c r="B4785" s="1"/>
      <c r="C4785" s="1"/>
      <c r="D4785" s="1"/>
      <c r="E4785" s="1"/>
      <c r="F4785" s="1"/>
      <c r="G4785" s="1"/>
      <c r="H4785" s="1"/>
      <c r="I4785" s="1"/>
      <c r="J4785" s="1"/>
      <c r="K4785" s="102" t="s">
        <v>7465</v>
      </c>
      <c r="L4785" s="102" t="str">
        <f>I649</f>
        <v>J1a2a1b1a~</v>
      </c>
      <c r="M4785" s="102"/>
      <c r="N4785" s="102" t="s">
        <v>7466</v>
      </c>
      <c r="O4785" s="105">
        <v>2.3118233E7</v>
      </c>
      <c r="P4785" s="105">
        <v>2.0956347E7</v>
      </c>
      <c r="Q4785" s="102" t="s">
        <v>2468</v>
      </c>
      <c r="S4785" s="1"/>
      <c r="T4785" s="1"/>
      <c r="U4785" s="1"/>
      <c r="V4785" s="1"/>
      <c r="W4785" s="1"/>
      <c r="X4785" s="1"/>
      <c r="Y4785" s="1"/>
      <c r="AA4785" s="102"/>
      <c r="AB4785" s="1"/>
      <c r="AC4785" s="1"/>
      <c r="AD4785" s="1"/>
      <c r="AE4785" s="1"/>
      <c r="AF4785" s="1"/>
      <c r="AG4785" s="1"/>
    </row>
    <row r="4786" ht="15.75" customHeight="1">
      <c r="A4786" s="1"/>
      <c r="B4786" s="1"/>
      <c r="C4786" s="1"/>
      <c r="D4786" s="1"/>
      <c r="E4786" s="1"/>
      <c r="F4786" s="1"/>
      <c r="G4786" s="1"/>
      <c r="H4786" s="1"/>
      <c r="I4786" s="1"/>
      <c r="J4786" s="1"/>
      <c r="K4786" s="102" t="s">
        <v>7467</v>
      </c>
      <c r="L4786" s="102" t="str">
        <f>I649</f>
        <v>J1a2a1b1a~</v>
      </c>
      <c r="M4786" s="102"/>
      <c r="N4786" s="102"/>
      <c r="O4786" s="105">
        <v>2.32976E7</v>
      </c>
      <c r="P4786" s="105">
        <v>2.1135714E7</v>
      </c>
      <c r="Q4786" s="102" t="s">
        <v>2501</v>
      </c>
      <c r="S4786" s="1"/>
      <c r="T4786" s="1"/>
      <c r="U4786" s="1"/>
      <c r="V4786" s="1"/>
      <c r="W4786" s="1"/>
      <c r="X4786" s="1"/>
      <c r="Y4786" s="1"/>
      <c r="AA4786" s="102"/>
      <c r="AB4786" s="1"/>
      <c r="AC4786" s="1"/>
      <c r="AD4786" s="1"/>
      <c r="AE4786" s="1"/>
      <c r="AF4786" s="1"/>
      <c r="AG4786" s="1"/>
    </row>
    <row r="4787" ht="15.75" customHeight="1">
      <c r="A4787" s="1"/>
      <c r="B4787" s="1"/>
      <c r="C4787" s="1"/>
      <c r="D4787" s="1"/>
      <c r="E4787" s="1"/>
      <c r="F4787" s="1"/>
      <c r="G4787" s="1"/>
      <c r="H4787" s="1"/>
      <c r="I4787" s="1"/>
      <c r="J4787" s="1"/>
      <c r="K4787" s="102" t="s">
        <v>7468</v>
      </c>
      <c r="L4787" s="102" t="str">
        <f>I649</f>
        <v>J1a2a1b1a~</v>
      </c>
      <c r="M4787" s="102"/>
      <c r="N4787" s="102"/>
      <c r="O4787" s="105">
        <v>2.3578824E7</v>
      </c>
      <c r="P4787" s="105">
        <v>2.1416938E7</v>
      </c>
      <c r="Q4787" s="102" t="s">
        <v>2423</v>
      </c>
      <c r="S4787" s="1"/>
      <c r="T4787" s="1"/>
      <c r="U4787" s="1"/>
      <c r="V4787" s="1"/>
      <c r="W4787" s="1"/>
      <c r="X4787" s="1"/>
      <c r="Y4787" s="1"/>
      <c r="AA4787" s="102"/>
      <c r="AB4787" s="1"/>
      <c r="AC4787" s="1"/>
      <c r="AD4787" s="1"/>
      <c r="AE4787" s="1"/>
      <c r="AF4787" s="1"/>
      <c r="AG4787" s="1"/>
    </row>
    <row r="4788" ht="15.75" customHeight="1">
      <c r="A4788" s="1"/>
      <c r="B4788" s="1"/>
      <c r="C4788" s="1"/>
      <c r="D4788" s="1"/>
      <c r="E4788" s="1"/>
      <c r="F4788" s="1"/>
      <c r="G4788" s="1"/>
      <c r="H4788" s="1"/>
      <c r="I4788" s="1"/>
      <c r="J4788" s="1"/>
      <c r="K4788" s="102" t="s">
        <v>7469</v>
      </c>
      <c r="L4788" s="102" t="str">
        <f>I649</f>
        <v>J1a2a1b1a~</v>
      </c>
      <c r="M4788" s="102"/>
      <c r="N4788" s="102" t="s">
        <v>7470</v>
      </c>
      <c r="O4788" s="105">
        <v>2.4441379E7</v>
      </c>
      <c r="P4788" s="105">
        <v>2.2295232E7</v>
      </c>
      <c r="Q4788" s="102" t="s">
        <v>2501</v>
      </c>
      <c r="S4788" s="1"/>
      <c r="T4788" s="1"/>
      <c r="U4788" s="1"/>
      <c r="V4788" s="1"/>
      <c r="W4788" s="1"/>
      <c r="X4788" s="1"/>
      <c r="Y4788" s="1"/>
      <c r="AA4788" s="102"/>
      <c r="AB4788" s="1"/>
      <c r="AC4788" s="1"/>
      <c r="AD4788" s="1"/>
      <c r="AE4788" s="1"/>
      <c r="AF4788" s="1"/>
      <c r="AG4788" s="1"/>
    </row>
    <row r="4789" ht="15.75" customHeight="1">
      <c r="A4789" s="1"/>
      <c r="B4789" s="1"/>
      <c r="C4789" s="1"/>
      <c r="D4789" s="1"/>
      <c r="E4789" s="1"/>
      <c r="F4789" s="1"/>
      <c r="G4789" s="1"/>
      <c r="H4789" s="1"/>
      <c r="I4789" s="1"/>
      <c r="J4789" s="1"/>
      <c r="K4789" s="102" t="s">
        <v>7471</v>
      </c>
      <c r="L4789" s="102" t="str">
        <f>J650</f>
        <v>J1a2a1b1a1~</v>
      </c>
      <c r="M4789" s="102"/>
      <c r="N4789" s="102" t="s">
        <v>7472</v>
      </c>
      <c r="O4789" s="105">
        <v>6931399.0</v>
      </c>
      <c r="P4789" s="105">
        <v>7063358.0</v>
      </c>
      <c r="Q4789" s="102" t="s">
        <v>2514</v>
      </c>
      <c r="S4789" s="1"/>
      <c r="T4789" s="1"/>
      <c r="U4789" s="1"/>
      <c r="V4789" s="1"/>
      <c r="W4789" s="1"/>
      <c r="X4789" s="1"/>
      <c r="Y4789" s="1"/>
      <c r="AA4789" s="102"/>
      <c r="AB4789" s="1"/>
      <c r="AC4789" s="1"/>
      <c r="AD4789" s="1"/>
      <c r="AE4789" s="1"/>
      <c r="AF4789" s="1"/>
      <c r="AG4789" s="1"/>
    </row>
    <row r="4790" ht="15.75" customHeight="1">
      <c r="A4790" s="1"/>
      <c r="B4790" s="1"/>
      <c r="C4790" s="1"/>
      <c r="D4790" s="1"/>
      <c r="E4790" s="1"/>
      <c r="F4790" s="1"/>
      <c r="G4790" s="1"/>
      <c r="H4790" s="1"/>
      <c r="I4790" s="1"/>
      <c r="J4790" s="1"/>
      <c r="K4790" s="102" t="s">
        <v>7473</v>
      </c>
      <c r="L4790" s="102" t="str">
        <f>J650</f>
        <v>J1a2a1b1a1~</v>
      </c>
      <c r="M4790" s="102"/>
      <c r="N4790" s="102"/>
      <c r="O4790" s="105">
        <v>7785009.0</v>
      </c>
      <c r="P4790" s="105">
        <v>7916968.0</v>
      </c>
      <c r="Q4790" s="102" t="s">
        <v>2423</v>
      </c>
      <c r="S4790" s="1"/>
      <c r="T4790" s="1"/>
      <c r="U4790" s="1"/>
      <c r="V4790" s="1"/>
      <c r="W4790" s="1"/>
      <c r="X4790" s="1"/>
      <c r="Y4790" s="1"/>
      <c r="AA4790" s="102"/>
      <c r="AB4790" s="1"/>
      <c r="AC4790" s="1"/>
      <c r="AD4790" s="1"/>
      <c r="AE4790" s="1"/>
      <c r="AF4790" s="1"/>
      <c r="AG4790" s="1"/>
    </row>
    <row r="4791" ht="15.75" customHeight="1">
      <c r="A4791" s="1"/>
      <c r="B4791" s="1"/>
      <c r="C4791" s="1"/>
      <c r="D4791" s="1"/>
      <c r="E4791" s="1"/>
      <c r="F4791" s="1"/>
      <c r="G4791" s="1"/>
      <c r="H4791" s="1"/>
      <c r="I4791" s="1"/>
      <c r="J4791" s="1"/>
      <c r="K4791" s="102" t="s">
        <v>7474</v>
      </c>
      <c r="L4791" s="102" t="str">
        <f>J650</f>
        <v>J1a2a1b1a1~</v>
      </c>
      <c r="M4791" s="102"/>
      <c r="N4791" s="102"/>
      <c r="O4791" s="105">
        <v>7846149.0</v>
      </c>
      <c r="P4791" s="105">
        <v>7978108.0</v>
      </c>
      <c r="Q4791" s="102" t="s">
        <v>2529</v>
      </c>
      <c r="S4791" s="1"/>
      <c r="T4791" s="1"/>
      <c r="U4791" s="1"/>
      <c r="V4791" s="1"/>
      <c r="W4791" s="1"/>
      <c r="X4791" s="1"/>
      <c r="Y4791" s="1"/>
      <c r="AA4791" s="102"/>
      <c r="AB4791" s="1"/>
      <c r="AC4791" s="1"/>
      <c r="AD4791" s="1"/>
      <c r="AE4791" s="1"/>
      <c r="AF4791" s="1"/>
      <c r="AG4791" s="1"/>
    </row>
    <row r="4792" ht="15.75" customHeight="1">
      <c r="A4792" s="1"/>
      <c r="B4792" s="1"/>
      <c r="C4792" s="1"/>
      <c r="D4792" s="1"/>
      <c r="E4792" s="1"/>
      <c r="F4792" s="1"/>
      <c r="G4792" s="1"/>
      <c r="H4792" s="1"/>
      <c r="I4792" s="1"/>
      <c r="J4792" s="1"/>
      <c r="K4792" s="102" t="s">
        <v>7475</v>
      </c>
      <c r="L4792" s="102" t="str">
        <f>J650</f>
        <v>J1a2a1b1a1~</v>
      </c>
      <c r="M4792" s="102"/>
      <c r="N4792" s="102"/>
      <c r="O4792" s="105">
        <v>7960689.0</v>
      </c>
      <c r="P4792" s="105">
        <v>8092648.0</v>
      </c>
      <c r="Q4792" s="102" t="s">
        <v>2468</v>
      </c>
      <c r="S4792" s="1"/>
      <c r="T4792" s="1"/>
      <c r="U4792" s="1"/>
      <c r="V4792" s="1"/>
      <c r="W4792" s="1"/>
      <c r="X4792" s="1"/>
      <c r="Y4792" s="1"/>
      <c r="AA4792" s="102"/>
      <c r="AB4792" s="1"/>
      <c r="AC4792" s="1"/>
      <c r="AD4792" s="1"/>
      <c r="AE4792" s="1"/>
      <c r="AF4792" s="1"/>
      <c r="AG4792" s="1"/>
    </row>
    <row r="4793" ht="15.75" customHeight="1">
      <c r="A4793" s="1"/>
      <c r="B4793" s="1"/>
      <c r="C4793" s="1"/>
      <c r="D4793" s="1"/>
      <c r="E4793" s="1"/>
      <c r="F4793" s="1"/>
      <c r="G4793" s="1"/>
      <c r="H4793" s="1"/>
      <c r="I4793" s="1"/>
      <c r="J4793" s="1"/>
      <c r="K4793" s="102" t="s">
        <v>7476</v>
      </c>
      <c r="L4793" s="102" t="str">
        <f>J650</f>
        <v>J1a2a1b1a1~</v>
      </c>
      <c r="M4793" s="102"/>
      <c r="N4793" s="102"/>
      <c r="O4793" s="105">
        <v>8298882.0</v>
      </c>
      <c r="P4793" s="105">
        <v>8430841.0</v>
      </c>
      <c r="Q4793" s="102" t="s">
        <v>2446</v>
      </c>
      <c r="S4793" s="1"/>
      <c r="T4793" s="1"/>
      <c r="U4793" s="1"/>
      <c r="V4793" s="1"/>
      <c r="W4793" s="1"/>
      <c r="X4793" s="1"/>
      <c r="Y4793" s="1"/>
      <c r="AA4793" s="102"/>
      <c r="AB4793" s="1"/>
      <c r="AC4793" s="1"/>
      <c r="AD4793" s="1"/>
      <c r="AE4793" s="1"/>
      <c r="AF4793" s="1"/>
      <c r="AG4793" s="1"/>
    </row>
    <row r="4794" ht="15.75" customHeight="1">
      <c r="A4794" s="1"/>
      <c r="B4794" s="1"/>
      <c r="C4794" s="1"/>
      <c r="D4794" s="1"/>
      <c r="E4794" s="1"/>
      <c r="F4794" s="1"/>
      <c r="G4794" s="1"/>
      <c r="H4794" s="1"/>
      <c r="I4794" s="1"/>
      <c r="J4794" s="1"/>
      <c r="K4794" s="102" t="s">
        <v>7477</v>
      </c>
      <c r="L4794" s="102" t="str">
        <f>J650</f>
        <v>J1a2a1b1a1~</v>
      </c>
      <c r="M4794" s="102"/>
      <c r="N4794" s="102"/>
      <c r="O4794" s="105">
        <v>9765294.0</v>
      </c>
      <c r="P4794" s="105">
        <v>9927685.0</v>
      </c>
      <c r="Q4794" s="102" t="s">
        <v>2529</v>
      </c>
      <c r="S4794" s="1"/>
      <c r="T4794" s="1"/>
      <c r="U4794" s="1"/>
      <c r="V4794" s="1"/>
      <c r="W4794" s="1"/>
      <c r="X4794" s="1"/>
      <c r="Y4794" s="1"/>
      <c r="AA4794" s="102"/>
      <c r="AB4794" s="1"/>
      <c r="AC4794" s="1"/>
      <c r="AD4794" s="1"/>
      <c r="AE4794" s="1"/>
      <c r="AF4794" s="1"/>
      <c r="AG4794" s="1"/>
    </row>
    <row r="4795" ht="15.75" customHeight="1">
      <c r="A4795" s="1"/>
      <c r="B4795" s="1"/>
      <c r="C4795" s="1"/>
      <c r="D4795" s="1"/>
      <c r="E4795" s="1"/>
      <c r="F4795" s="1"/>
      <c r="G4795" s="1"/>
      <c r="H4795" s="1"/>
      <c r="I4795" s="1"/>
      <c r="J4795" s="1"/>
      <c r="K4795" s="102" t="s">
        <v>7478</v>
      </c>
      <c r="L4795" s="102" t="str">
        <f>J650</f>
        <v>J1a2a1b1a1~</v>
      </c>
      <c r="M4795" s="102"/>
      <c r="N4795" s="102"/>
      <c r="O4795" s="105">
        <v>9822091.0</v>
      </c>
      <c r="P4795" s="105">
        <v>9984482.0</v>
      </c>
      <c r="Q4795" s="102" t="s">
        <v>2468</v>
      </c>
      <c r="S4795" s="1"/>
      <c r="T4795" s="1"/>
      <c r="U4795" s="1"/>
      <c r="V4795" s="1"/>
      <c r="W4795" s="1"/>
      <c r="X4795" s="1"/>
      <c r="Y4795" s="1"/>
      <c r="AA4795" s="102"/>
      <c r="AB4795" s="1"/>
      <c r="AC4795" s="1"/>
      <c r="AD4795" s="1"/>
      <c r="AE4795" s="1"/>
      <c r="AF4795" s="1"/>
      <c r="AG4795" s="1"/>
    </row>
    <row r="4796" ht="15.75" customHeight="1">
      <c r="A4796" s="1"/>
      <c r="B4796" s="1"/>
      <c r="C4796" s="1"/>
      <c r="D4796" s="1"/>
      <c r="E4796" s="1"/>
      <c r="F4796" s="1"/>
      <c r="G4796" s="1"/>
      <c r="H4796" s="1"/>
      <c r="I4796" s="1"/>
      <c r="J4796" s="1"/>
      <c r="K4796" s="102" t="s">
        <v>7479</v>
      </c>
      <c r="L4796" s="102" t="str">
        <f>J650</f>
        <v>J1a2a1b1a1~</v>
      </c>
      <c r="M4796" s="102"/>
      <c r="N4796" s="102" t="s">
        <v>7480</v>
      </c>
      <c r="O4796" s="105">
        <v>1.3666833E7</v>
      </c>
      <c r="P4796" s="105">
        <v>1.1511157E7</v>
      </c>
      <c r="Q4796" s="102" t="s">
        <v>2446</v>
      </c>
      <c r="S4796" s="1"/>
      <c r="T4796" s="1"/>
      <c r="U4796" s="1"/>
      <c r="V4796" s="1"/>
      <c r="W4796" s="1"/>
      <c r="X4796" s="1"/>
      <c r="Y4796" s="1"/>
      <c r="AA4796" s="102"/>
      <c r="AB4796" s="1"/>
      <c r="AC4796" s="1"/>
      <c r="AD4796" s="1"/>
      <c r="AE4796" s="1"/>
      <c r="AF4796" s="1"/>
      <c r="AG4796" s="1"/>
    </row>
    <row r="4797" ht="15.75" customHeight="1">
      <c r="A4797" s="1"/>
      <c r="B4797" s="1"/>
      <c r="C4797" s="1"/>
      <c r="D4797" s="1"/>
      <c r="E4797" s="1"/>
      <c r="F4797" s="1"/>
      <c r="G4797" s="1"/>
      <c r="H4797" s="1"/>
      <c r="I4797" s="1"/>
      <c r="J4797" s="1"/>
      <c r="K4797" s="102" t="s">
        <v>7481</v>
      </c>
      <c r="L4797" s="102" t="str">
        <f>J650</f>
        <v>J1a2a1b1a1~</v>
      </c>
      <c r="M4797" s="102"/>
      <c r="N4797" s="102"/>
      <c r="O4797" s="105">
        <v>1.4466617E7</v>
      </c>
      <c r="P4797" s="105">
        <v>1.234589E7</v>
      </c>
      <c r="Q4797" s="102" t="s">
        <v>2533</v>
      </c>
      <c r="S4797" s="1"/>
      <c r="T4797" s="1"/>
      <c r="U4797" s="1"/>
      <c r="V4797" s="1"/>
      <c r="W4797" s="1"/>
      <c r="X4797" s="1"/>
      <c r="Y4797" s="1"/>
      <c r="AA4797" s="102"/>
      <c r="AB4797" s="1"/>
      <c r="AC4797" s="1"/>
      <c r="AD4797" s="1"/>
      <c r="AE4797" s="1"/>
      <c r="AF4797" s="1"/>
      <c r="AG4797" s="1"/>
    </row>
    <row r="4798" ht="15.75" customHeight="1">
      <c r="A4798" s="1"/>
      <c r="B4798" s="1"/>
      <c r="C4798" s="1"/>
      <c r="D4798" s="1"/>
      <c r="E4798" s="1"/>
      <c r="F4798" s="1"/>
      <c r="G4798" s="1"/>
      <c r="H4798" s="1"/>
      <c r="I4798" s="1"/>
      <c r="J4798" s="1"/>
      <c r="K4798" s="102" t="s">
        <v>7482</v>
      </c>
      <c r="L4798" s="102" t="str">
        <f>J650</f>
        <v>J1a2a1b1a1~</v>
      </c>
      <c r="M4798" s="102"/>
      <c r="N4798" s="102"/>
      <c r="O4798" s="105">
        <v>1.5620783E7</v>
      </c>
      <c r="P4798" s="105">
        <v>1.3508903E7</v>
      </c>
      <c r="Q4798" s="102" t="s">
        <v>2501</v>
      </c>
      <c r="S4798" s="1"/>
      <c r="T4798" s="1"/>
      <c r="U4798" s="1"/>
      <c r="V4798" s="1"/>
      <c r="W4798" s="1"/>
      <c r="X4798" s="1"/>
      <c r="Y4798" s="1"/>
      <c r="AA4798" s="102"/>
      <c r="AB4798" s="1"/>
      <c r="AC4798" s="1"/>
      <c r="AD4798" s="1"/>
      <c r="AE4798" s="1"/>
      <c r="AF4798" s="1"/>
      <c r="AG4798" s="1"/>
    </row>
    <row r="4799" ht="15.75" customHeight="1">
      <c r="A4799" s="1"/>
      <c r="B4799" s="1"/>
      <c r="C4799" s="1"/>
      <c r="D4799" s="1"/>
      <c r="E4799" s="1"/>
      <c r="F4799" s="1"/>
      <c r="G4799" s="1"/>
      <c r="H4799" s="1"/>
      <c r="I4799" s="1"/>
      <c r="J4799" s="1"/>
      <c r="K4799" s="102" t="s">
        <v>7483</v>
      </c>
      <c r="L4799" s="102" t="str">
        <f>J650</f>
        <v>J1a2a1b1a1~</v>
      </c>
      <c r="M4799" s="102"/>
      <c r="N4799" s="102"/>
      <c r="O4799" s="105">
        <v>1.5715547E7</v>
      </c>
      <c r="P4799" s="105">
        <v>1.3603667E7</v>
      </c>
      <c r="Q4799" s="102" t="s">
        <v>2439</v>
      </c>
      <c r="S4799" s="1"/>
      <c r="T4799" s="1"/>
      <c r="U4799" s="1"/>
      <c r="V4799" s="1"/>
      <c r="W4799" s="1"/>
      <c r="X4799" s="1"/>
      <c r="Y4799" s="1"/>
      <c r="AA4799" s="102"/>
      <c r="AB4799" s="1"/>
      <c r="AC4799" s="1"/>
      <c r="AD4799" s="1"/>
      <c r="AE4799" s="1"/>
      <c r="AF4799" s="1"/>
      <c r="AG4799" s="1"/>
    </row>
    <row r="4800" ht="15.75" customHeight="1">
      <c r="A4800" s="1"/>
      <c r="B4800" s="1"/>
      <c r="C4800" s="1"/>
      <c r="D4800" s="1"/>
      <c r="E4800" s="1"/>
      <c r="F4800" s="1"/>
      <c r="G4800" s="1"/>
      <c r="H4800" s="1"/>
      <c r="I4800" s="1"/>
      <c r="J4800" s="1"/>
      <c r="K4800" s="102" t="s">
        <v>7484</v>
      </c>
      <c r="L4800" s="102" t="str">
        <f>J650</f>
        <v>J1a2a1b1a1~</v>
      </c>
      <c r="M4800" s="102"/>
      <c r="N4800" s="102"/>
      <c r="O4800" s="105">
        <v>1.6202478E7</v>
      </c>
      <c r="P4800" s="105">
        <v>1.4090598E7</v>
      </c>
      <c r="Q4800" s="102" t="s">
        <v>2468</v>
      </c>
      <c r="S4800" s="1"/>
      <c r="T4800" s="1"/>
      <c r="U4800" s="1"/>
      <c r="V4800" s="1"/>
      <c r="W4800" s="1"/>
      <c r="X4800" s="1"/>
      <c r="Y4800" s="1"/>
      <c r="AA4800" s="102"/>
      <c r="AB4800" s="1"/>
      <c r="AC4800" s="1"/>
      <c r="AD4800" s="1"/>
      <c r="AE4800" s="1"/>
      <c r="AF4800" s="1"/>
      <c r="AG4800" s="1"/>
    </row>
    <row r="4801" ht="15.75" customHeight="1">
      <c r="A4801" s="1"/>
      <c r="B4801" s="1"/>
      <c r="C4801" s="1"/>
      <c r="D4801" s="1"/>
      <c r="E4801" s="1"/>
      <c r="F4801" s="1"/>
      <c r="G4801" s="1"/>
      <c r="H4801" s="1"/>
      <c r="I4801" s="1"/>
      <c r="J4801" s="1"/>
      <c r="K4801" s="102" t="s">
        <v>7485</v>
      </c>
      <c r="L4801" s="102" t="str">
        <f>J650</f>
        <v>J1a2a1b1a1~</v>
      </c>
      <c r="M4801" s="102"/>
      <c r="N4801" s="102"/>
      <c r="O4801" s="105">
        <v>1.6585456E7</v>
      </c>
      <c r="P4801" s="105">
        <v>1.4473576E7</v>
      </c>
      <c r="Q4801" s="102" t="s">
        <v>2423</v>
      </c>
      <c r="S4801" s="1"/>
      <c r="T4801" s="1"/>
      <c r="U4801" s="1"/>
      <c r="V4801" s="1"/>
      <c r="W4801" s="1"/>
      <c r="X4801" s="1"/>
      <c r="Y4801" s="1"/>
      <c r="AA4801" s="102"/>
      <c r="AB4801" s="1"/>
      <c r="AC4801" s="1"/>
      <c r="AD4801" s="1"/>
      <c r="AE4801" s="1"/>
      <c r="AF4801" s="1"/>
      <c r="AG4801" s="1"/>
    </row>
    <row r="4802" ht="15.75" customHeight="1">
      <c r="A4802" s="1"/>
      <c r="B4802" s="1"/>
      <c r="C4802" s="1"/>
      <c r="D4802" s="1"/>
      <c r="E4802" s="1"/>
      <c r="F4802" s="1"/>
      <c r="G4802" s="1"/>
      <c r="H4802" s="1"/>
      <c r="I4802" s="1"/>
      <c r="J4802" s="1"/>
      <c r="K4802" s="102" t="s">
        <v>7486</v>
      </c>
      <c r="L4802" s="102" t="str">
        <f>J650</f>
        <v>J1a2a1b1a1~</v>
      </c>
      <c r="M4802" s="102"/>
      <c r="N4802" s="102"/>
      <c r="O4802" s="105">
        <v>1.6626385E7</v>
      </c>
      <c r="P4802" s="105">
        <v>1.4514505E7</v>
      </c>
      <c r="Q4802" s="102" t="s">
        <v>2501</v>
      </c>
      <c r="S4802" s="1"/>
      <c r="T4802" s="1"/>
      <c r="U4802" s="1"/>
      <c r="V4802" s="1"/>
      <c r="W4802" s="1"/>
      <c r="X4802" s="1"/>
      <c r="Y4802" s="1"/>
      <c r="AA4802" s="102"/>
      <c r="AB4802" s="1"/>
      <c r="AC4802" s="1"/>
      <c r="AD4802" s="1"/>
      <c r="AE4802" s="1"/>
      <c r="AF4802" s="1"/>
      <c r="AG4802" s="1"/>
    </row>
    <row r="4803" ht="15.75" customHeight="1">
      <c r="A4803" s="1"/>
      <c r="B4803" s="1"/>
      <c r="C4803" s="1"/>
      <c r="D4803" s="1"/>
      <c r="E4803" s="1"/>
      <c r="F4803" s="1"/>
      <c r="G4803" s="1"/>
      <c r="H4803" s="1"/>
      <c r="I4803" s="1"/>
      <c r="J4803" s="1"/>
      <c r="K4803" s="102" t="s">
        <v>7487</v>
      </c>
      <c r="L4803" s="102" t="str">
        <f>J650</f>
        <v>J1a2a1b1a1~</v>
      </c>
      <c r="M4803" s="102"/>
      <c r="N4803" s="102"/>
      <c r="O4803" s="105">
        <v>1.7116457E7</v>
      </c>
      <c r="P4803" s="105">
        <v>1.5004577E7</v>
      </c>
      <c r="Q4803" s="102" t="s">
        <v>2432</v>
      </c>
      <c r="S4803" s="1"/>
      <c r="T4803" s="1"/>
      <c r="U4803" s="1"/>
      <c r="V4803" s="1"/>
      <c r="W4803" s="1"/>
      <c r="X4803" s="1"/>
      <c r="Y4803" s="1"/>
      <c r="AA4803" s="102"/>
      <c r="AB4803" s="1"/>
      <c r="AC4803" s="1"/>
      <c r="AD4803" s="1"/>
      <c r="AE4803" s="1"/>
      <c r="AF4803" s="1"/>
      <c r="AG4803" s="1"/>
    </row>
    <row r="4804" ht="15.75" customHeight="1">
      <c r="A4804" s="1"/>
      <c r="B4804" s="1"/>
      <c r="C4804" s="1"/>
      <c r="D4804" s="1"/>
      <c r="E4804" s="1"/>
      <c r="F4804" s="1"/>
      <c r="G4804" s="1"/>
      <c r="H4804" s="1"/>
      <c r="I4804" s="1"/>
      <c r="J4804" s="1"/>
      <c r="K4804" s="102" t="s">
        <v>7488</v>
      </c>
      <c r="L4804" s="102" t="str">
        <f>J650</f>
        <v>J1a2a1b1a1~</v>
      </c>
      <c r="M4804" s="102"/>
      <c r="N4804" s="102"/>
      <c r="O4804" s="105">
        <v>1.7658824E7</v>
      </c>
      <c r="P4804" s="105">
        <v>1.5546944E7</v>
      </c>
      <c r="Q4804" s="102" t="s">
        <v>2529</v>
      </c>
      <c r="S4804" s="1"/>
      <c r="T4804" s="1"/>
      <c r="U4804" s="1"/>
      <c r="V4804" s="1"/>
      <c r="W4804" s="1"/>
      <c r="X4804" s="1"/>
      <c r="Y4804" s="1"/>
      <c r="AA4804" s="102"/>
      <c r="AB4804" s="1"/>
      <c r="AC4804" s="1"/>
      <c r="AD4804" s="1"/>
      <c r="AE4804" s="1"/>
      <c r="AF4804" s="1"/>
      <c r="AG4804" s="1"/>
    </row>
    <row r="4805" ht="15.75" customHeight="1">
      <c r="A4805" s="1"/>
      <c r="B4805" s="1"/>
      <c r="C4805" s="1"/>
      <c r="D4805" s="1"/>
      <c r="E4805" s="1"/>
      <c r="F4805" s="1"/>
      <c r="G4805" s="1"/>
      <c r="H4805" s="1"/>
      <c r="I4805" s="1"/>
      <c r="J4805" s="1"/>
      <c r="K4805" s="102" t="s">
        <v>7489</v>
      </c>
      <c r="L4805" s="102" t="str">
        <f>J650</f>
        <v>J1a2a1b1a1~</v>
      </c>
      <c r="M4805" s="102"/>
      <c r="N4805" s="102"/>
      <c r="O4805" s="105">
        <v>1.77188E7</v>
      </c>
      <c r="P4805" s="105">
        <v>1.560692E7</v>
      </c>
      <c r="Q4805" s="102" t="s">
        <v>2533</v>
      </c>
      <c r="S4805" s="1"/>
      <c r="T4805" s="1"/>
      <c r="U4805" s="1"/>
      <c r="V4805" s="1"/>
      <c r="W4805" s="1"/>
      <c r="X4805" s="1"/>
      <c r="Y4805" s="1"/>
      <c r="AA4805" s="102"/>
      <c r="AB4805" s="1"/>
      <c r="AC4805" s="1"/>
      <c r="AD4805" s="1"/>
      <c r="AE4805" s="1"/>
      <c r="AF4805" s="1"/>
      <c r="AG4805" s="1"/>
    </row>
    <row r="4806" ht="15.75" customHeight="1">
      <c r="A4806" s="1"/>
      <c r="B4806" s="1"/>
      <c r="C4806" s="1"/>
      <c r="D4806" s="1"/>
      <c r="E4806" s="1"/>
      <c r="F4806" s="1"/>
      <c r="G4806" s="1"/>
      <c r="H4806" s="1"/>
      <c r="I4806" s="1"/>
      <c r="J4806" s="1"/>
      <c r="K4806" s="102" t="s">
        <v>7490</v>
      </c>
      <c r="L4806" s="102" t="str">
        <f>J650</f>
        <v>J1a2a1b1a1~</v>
      </c>
      <c r="M4806" s="102"/>
      <c r="N4806" s="102"/>
      <c r="O4806" s="105">
        <v>1.7729184E7</v>
      </c>
      <c r="P4806" s="105">
        <v>1.5617304E7</v>
      </c>
      <c r="Q4806" s="102" t="s">
        <v>2439</v>
      </c>
      <c r="S4806" s="1"/>
      <c r="T4806" s="1"/>
      <c r="U4806" s="1"/>
      <c r="V4806" s="1"/>
      <c r="W4806" s="1"/>
      <c r="X4806" s="1"/>
      <c r="Y4806" s="1"/>
      <c r="AA4806" s="102"/>
      <c r="AB4806" s="1"/>
      <c r="AC4806" s="1"/>
      <c r="AD4806" s="1"/>
      <c r="AE4806" s="1"/>
      <c r="AF4806" s="1"/>
      <c r="AG4806" s="1"/>
    </row>
    <row r="4807" ht="15.75" customHeight="1">
      <c r="A4807" s="1"/>
      <c r="B4807" s="1"/>
      <c r="C4807" s="1"/>
      <c r="D4807" s="1"/>
      <c r="E4807" s="1"/>
      <c r="F4807" s="1"/>
      <c r="G4807" s="1"/>
      <c r="H4807" s="1"/>
      <c r="I4807" s="1"/>
      <c r="J4807" s="1"/>
      <c r="K4807" s="102" t="s">
        <v>7491</v>
      </c>
      <c r="L4807" s="102" t="str">
        <f>J650</f>
        <v>J1a2a1b1a1~</v>
      </c>
      <c r="M4807" s="102"/>
      <c r="N4807" s="102"/>
      <c r="O4807" s="105">
        <v>1.8025915E7</v>
      </c>
      <c r="P4807" s="105">
        <v>1.5914035E7</v>
      </c>
      <c r="Q4807" s="102" t="s">
        <v>2423</v>
      </c>
      <c r="S4807" s="1"/>
      <c r="T4807" s="1"/>
      <c r="U4807" s="1"/>
      <c r="V4807" s="1"/>
      <c r="W4807" s="1"/>
      <c r="X4807" s="1"/>
      <c r="Y4807" s="1"/>
      <c r="AA4807" s="102"/>
      <c r="AB4807" s="1"/>
      <c r="AC4807" s="1"/>
      <c r="AD4807" s="1"/>
      <c r="AE4807" s="1"/>
      <c r="AF4807" s="1"/>
      <c r="AG4807" s="1"/>
    </row>
    <row r="4808" ht="15.75" customHeight="1">
      <c r="A4808" s="1"/>
      <c r="B4808" s="1"/>
      <c r="C4808" s="1"/>
      <c r="D4808" s="1"/>
      <c r="E4808" s="1"/>
      <c r="F4808" s="1"/>
      <c r="G4808" s="1"/>
      <c r="H4808" s="1"/>
      <c r="I4808" s="1"/>
      <c r="J4808" s="1"/>
      <c r="K4808" s="102" t="s">
        <v>7492</v>
      </c>
      <c r="L4808" s="102" t="str">
        <f>J650</f>
        <v>J1a2a1b1a1~</v>
      </c>
      <c r="M4808" s="102"/>
      <c r="N4808" s="102"/>
      <c r="O4808" s="105">
        <v>1.8073398E7</v>
      </c>
      <c r="P4808" s="105">
        <v>1.5961518E7</v>
      </c>
      <c r="Q4808" s="102" t="s">
        <v>2446</v>
      </c>
      <c r="S4808" s="1"/>
      <c r="T4808" s="1"/>
      <c r="U4808" s="1"/>
      <c r="V4808" s="1"/>
      <c r="W4808" s="1"/>
      <c r="X4808" s="1"/>
      <c r="Y4808" s="1"/>
      <c r="AA4808" s="102"/>
      <c r="AB4808" s="1"/>
      <c r="AC4808" s="1"/>
      <c r="AD4808" s="1"/>
      <c r="AE4808" s="1"/>
      <c r="AF4808" s="1"/>
      <c r="AG4808" s="1"/>
    </row>
    <row r="4809" ht="15.75" customHeight="1">
      <c r="A4809" s="1"/>
      <c r="B4809" s="1"/>
      <c r="C4809" s="1"/>
      <c r="D4809" s="1"/>
      <c r="E4809" s="1"/>
      <c r="F4809" s="1"/>
      <c r="G4809" s="1"/>
      <c r="H4809" s="1"/>
      <c r="I4809" s="1"/>
      <c r="J4809" s="1"/>
      <c r="K4809" s="102" t="s">
        <v>7493</v>
      </c>
      <c r="L4809" s="102" t="str">
        <f>J650</f>
        <v>J1a2a1b1a1~</v>
      </c>
      <c r="M4809" s="102"/>
      <c r="N4809" s="102"/>
      <c r="O4809" s="105">
        <v>1.8238026E7</v>
      </c>
      <c r="P4809" s="105">
        <v>1.6126146E7</v>
      </c>
      <c r="Q4809" s="102" t="s">
        <v>2529</v>
      </c>
      <c r="S4809" s="1"/>
      <c r="T4809" s="1"/>
      <c r="U4809" s="1"/>
      <c r="V4809" s="1"/>
      <c r="W4809" s="1"/>
      <c r="X4809" s="1"/>
      <c r="Y4809" s="1"/>
      <c r="AA4809" s="102"/>
      <c r="AB4809" s="1"/>
      <c r="AC4809" s="1"/>
      <c r="AD4809" s="1"/>
      <c r="AE4809" s="1"/>
      <c r="AF4809" s="1"/>
      <c r="AG4809" s="1"/>
    </row>
    <row r="4810" ht="15.75" customHeight="1">
      <c r="A4810" s="1"/>
      <c r="B4810" s="1"/>
      <c r="C4810" s="1"/>
      <c r="D4810" s="1"/>
      <c r="E4810" s="1"/>
      <c r="F4810" s="1"/>
      <c r="G4810" s="1"/>
      <c r="H4810" s="1"/>
      <c r="I4810" s="1"/>
      <c r="J4810" s="1"/>
      <c r="K4810" s="102" t="s">
        <v>7494</v>
      </c>
      <c r="L4810" s="102" t="str">
        <f>J650</f>
        <v>J1a2a1b1a1~</v>
      </c>
      <c r="M4810" s="102"/>
      <c r="N4810" s="102"/>
      <c r="O4810" s="105">
        <v>1.82565E7</v>
      </c>
      <c r="P4810" s="105">
        <v>1.614462E7</v>
      </c>
      <c r="Q4810" s="102" t="s">
        <v>2563</v>
      </c>
      <c r="S4810" s="1"/>
      <c r="T4810" s="1"/>
      <c r="U4810" s="1"/>
      <c r="V4810" s="1"/>
      <c r="W4810" s="1"/>
      <c r="X4810" s="1"/>
      <c r="Y4810" s="1"/>
      <c r="AA4810" s="102"/>
      <c r="AB4810" s="1"/>
      <c r="AC4810" s="1"/>
      <c r="AD4810" s="1"/>
      <c r="AE4810" s="1"/>
      <c r="AF4810" s="1"/>
      <c r="AG4810" s="1"/>
    </row>
    <row r="4811" ht="15.75" customHeight="1">
      <c r="A4811" s="1"/>
      <c r="B4811" s="1"/>
      <c r="C4811" s="1"/>
      <c r="D4811" s="1"/>
      <c r="E4811" s="1"/>
      <c r="F4811" s="1"/>
      <c r="G4811" s="1"/>
      <c r="H4811" s="1"/>
      <c r="I4811" s="1"/>
      <c r="J4811" s="1"/>
      <c r="K4811" s="102" t="s">
        <v>7495</v>
      </c>
      <c r="L4811" s="102" t="str">
        <f>J650</f>
        <v>J1a2a1b1a1~</v>
      </c>
      <c r="M4811" s="102"/>
      <c r="N4811" s="102"/>
      <c r="O4811" s="105">
        <v>1.8413196E7</v>
      </c>
      <c r="P4811" s="105">
        <v>1.6301316E7</v>
      </c>
      <c r="Q4811" s="102" t="s">
        <v>2468</v>
      </c>
      <c r="S4811" s="1"/>
      <c r="T4811" s="1"/>
      <c r="U4811" s="1"/>
      <c r="V4811" s="1"/>
      <c r="W4811" s="1"/>
      <c r="X4811" s="1"/>
      <c r="Y4811" s="1"/>
      <c r="AA4811" s="102"/>
      <c r="AB4811" s="1"/>
      <c r="AC4811" s="1"/>
      <c r="AD4811" s="1"/>
      <c r="AE4811" s="1"/>
      <c r="AF4811" s="1"/>
      <c r="AG4811" s="1"/>
    </row>
    <row r="4812" ht="15.75" customHeight="1">
      <c r="A4812" s="1"/>
      <c r="B4812" s="1"/>
      <c r="C4812" s="1"/>
      <c r="D4812" s="1"/>
      <c r="E4812" s="1"/>
      <c r="F4812" s="1"/>
      <c r="G4812" s="1"/>
      <c r="H4812" s="1"/>
      <c r="I4812" s="1"/>
      <c r="J4812" s="1"/>
      <c r="K4812" s="102" t="s">
        <v>7496</v>
      </c>
      <c r="L4812" s="102" t="str">
        <f>J650</f>
        <v>J1a2a1b1a1~</v>
      </c>
      <c r="M4812" s="102"/>
      <c r="N4812" s="102"/>
      <c r="O4812" s="105">
        <v>1.9091911E7</v>
      </c>
      <c r="P4812" s="105">
        <v>1.6980031E7</v>
      </c>
      <c r="Q4812" s="102" t="s">
        <v>2529</v>
      </c>
      <c r="S4812" s="1"/>
      <c r="T4812" s="1"/>
      <c r="U4812" s="1"/>
      <c r="V4812" s="1"/>
      <c r="W4812" s="1"/>
      <c r="X4812" s="1"/>
      <c r="Y4812" s="1"/>
      <c r="AA4812" s="102"/>
      <c r="AB4812" s="1"/>
      <c r="AC4812" s="1"/>
      <c r="AD4812" s="1"/>
      <c r="AE4812" s="1"/>
      <c r="AF4812" s="1"/>
      <c r="AG4812" s="1"/>
    </row>
    <row r="4813" ht="15.75" customHeight="1">
      <c r="A4813" s="1"/>
      <c r="B4813" s="1"/>
      <c r="C4813" s="1"/>
      <c r="D4813" s="1"/>
      <c r="E4813" s="1"/>
      <c r="F4813" s="1"/>
      <c r="G4813" s="1"/>
      <c r="H4813" s="1"/>
      <c r="I4813" s="1"/>
      <c r="J4813" s="1"/>
      <c r="K4813" s="102" t="s">
        <v>7497</v>
      </c>
      <c r="L4813" s="102" t="str">
        <f>J650</f>
        <v>J1a2a1b1a1~</v>
      </c>
      <c r="M4813" s="102"/>
      <c r="N4813" s="102"/>
      <c r="O4813" s="105">
        <v>1.9200055E7</v>
      </c>
      <c r="P4813" s="105">
        <v>1.7088175E7</v>
      </c>
      <c r="Q4813" s="102" t="s">
        <v>2432</v>
      </c>
      <c r="S4813" s="1"/>
      <c r="T4813" s="1"/>
      <c r="U4813" s="1"/>
      <c r="V4813" s="1"/>
      <c r="W4813" s="1"/>
      <c r="X4813" s="1"/>
      <c r="Y4813" s="1"/>
      <c r="AA4813" s="102"/>
      <c r="AB4813" s="1"/>
      <c r="AC4813" s="1"/>
      <c r="AD4813" s="1"/>
      <c r="AE4813" s="1"/>
      <c r="AF4813" s="1"/>
      <c r="AG4813" s="1"/>
    </row>
    <row r="4814" ht="15.75" customHeight="1">
      <c r="A4814" s="1"/>
      <c r="B4814" s="1"/>
      <c r="C4814" s="1"/>
      <c r="D4814" s="1"/>
      <c r="E4814" s="1"/>
      <c r="F4814" s="1"/>
      <c r="G4814" s="1"/>
      <c r="H4814" s="1"/>
      <c r="I4814" s="1"/>
      <c r="J4814" s="1"/>
      <c r="K4814" s="102" t="s">
        <v>7498</v>
      </c>
      <c r="L4814" s="102" t="str">
        <f>J650</f>
        <v>J1a2a1b1a1~</v>
      </c>
      <c r="M4814" s="102"/>
      <c r="N4814" s="102"/>
      <c r="O4814" s="105">
        <v>1.9277279E7</v>
      </c>
      <c r="P4814" s="105">
        <v>1.7165399E7</v>
      </c>
      <c r="Q4814" s="102" t="s">
        <v>2501</v>
      </c>
      <c r="S4814" s="1"/>
      <c r="T4814" s="1"/>
      <c r="U4814" s="1"/>
      <c r="V4814" s="1"/>
      <c r="W4814" s="1"/>
      <c r="X4814" s="1"/>
      <c r="Y4814" s="1"/>
      <c r="AA4814" s="102"/>
      <c r="AB4814" s="1"/>
      <c r="AC4814" s="1"/>
      <c r="AD4814" s="1"/>
      <c r="AE4814" s="1"/>
      <c r="AF4814" s="1"/>
      <c r="AG4814" s="1"/>
    </row>
    <row r="4815" ht="15.75" customHeight="1">
      <c r="A4815" s="1"/>
      <c r="B4815" s="1"/>
      <c r="C4815" s="1"/>
      <c r="D4815" s="1"/>
      <c r="E4815" s="1"/>
      <c r="F4815" s="1"/>
      <c r="G4815" s="1"/>
      <c r="H4815" s="1"/>
      <c r="I4815" s="1"/>
      <c r="J4815" s="1"/>
      <c r="K4815" s="102" t="s">
        <v>7499</v>
      </c>
      <c r="L4815" s="102" t="str">
        <f>J650</f>
        <v>J1a2a1b1a1~</v>
      </c>
      <c r="M4815" s="102"/>
      <c r="N4815" s="102"/>
      <c r="O4815" s="105">
        <v>2.1367032E7</v>
      </c>
      <c r="P4815" s="105">
        <v>1.9205146E7</v>
      </c>
      <c r="Q4815" s="102" t="s">
        <v>2454</v>
      </c>
      <c r="S4815" s="1"/>
      <c r="T4815" s="1"/>
      <c r="U4815" s="1"/>
      <c r="V4815" s="1"/>
      <c r="W4815" s="1"/>
      <c r="X4815" s="1"/>
      <c r="Y4815" s="1"/>
      <c r="AA4815" s="102"/>
      <c r="AB4815" s="1"/>
      <c r="AC4815" s="1"/>
      <c r="AD4815" s="1"/>
      <c r="AE4815" s="1"/>
      <c r="AF4815" s="1"/>
      <c r="AG4815" s="1"/>
    </row>
    <row r="4816" ht="15.75" customHeight="1">
      <c r="A4816" s="1"/>
      <c r="B4816" s="1"/>
      <c r="C4816" s="1"/>
      <c r="D4816" s="1"/>
      <c r="E4816" s="1"/>
      <c r="F4816" s="1"/>
      <c r="G4816" s="1"/>
      <c r="H4816" s="1"/>
      <c r="I4816" s="1"/>
      <c r="J4816" s="1"/>
      <c r="K4816" s="102" t="s">
        <v>7500</v>
      </c>
      <c r="L4816" s="102" t="str">
        <f>J650</f>
        <v>J1a2a1b1a1~</v>
      </c>
      <c r="M4816" s="102"/>
      <c r="N4816" s="102"/>
      <c r="O4816" s="105">
        <v>2.1470244E7</v>
      </c>
      <c r="P4816" s="105">
        <v>1.9308358E7</v>
      </c>
      <c r="Q4816" s="102" t="s">
        <v>2446</v>
      </c>
      <c r="S4816" s="1"/>
      <c r="T4816" s="1"/>
      <c r="U4816" s="1"/>
      <c r="V4816" s="1"/>
      <c r="W4816" s="1"/>
      <c r="X4816" s="1"/>
      <c r="Y4816" s="1"/>
      <c r="AA4816" s="102"/>
      <c r="AB4816" s="1"/>
      <c r="AC4816" s="1"/>
      <c r="AD4816" s="1"/>
      <c r="AE4816" s="1"/>
      <c r="AF4816" s="1"/>
      <c r="AG4816" s="1"/>
    </row>
    <row r="4817" ht="15.75" customHeight="1">
      <c r="A4817" s="1"/>
      <c r="B4817" s="1"/>
      <c r="C4817" s="1"/>
      <c r="D4817" s="1"/>
      <c r="E4817" s="1"/>
      <c r="F4817" s="1"/>
      <c r="G4817" s="1"/>
      <c r="H4817" s="1"/>
      <c r="I4817" s="1"/>
      <c r="J4817" s="1"/>
      <c r="K4817" s="102" t="s">
        <v>7501</v>
      </c>
      <c r="L4817" s="102" t="str">
        <f>J650</f>
        <v>J1a2a1b1a1~</v>
      </c>
      <c r="M4817" s="102"/>
      <c r="N4817" s="102"/>
      <c r="O4817" s="105">
        <v>2.1506005E7</v>
      </c>
      <c r="P4817" s="105">
        <v>1.9344119E7</v>
      </c>
      <c r="Q4817" s="102" t="s">
        <v>2446</v>
      </c>
      <c r="S4817" s="1"/>
      <c r="T4817" s="1"/>
      <c r="U4817" s="1"/>
      <c r="V4817" s="1"/>
      <c r="W4817" s="1"/>
      <c r="X4817" s="1"/>
      <c r="Y4817" s="1"/>
      <c r="AA4817" s="102"/>
      <c r="AB4817" s="1"/>
      <c r="AC4817" s="1"/>
      <c r="AD4817" s="1"/>
      <c r="AE4817" s="1"/>
      <c r="AF4817" s="1"/>
      <c r="AG4817" s="1"/>
    </row>
    <row r="4818" ht="15.75" customHeight="1">
      <c r="A4818" s="1"/>
      <c r="B4818" s="1"/>
      <c r="C4818" s="1"/>
      <c r="D4818" s="1"/>
      <c r="E4818" s="1"/>
      <c r="F4818" s="1"/>
      <c r="G4818" s="1"/>
      <c r="H4818" s="1"/>
      <c r="I4818" s="1"/>
      <c r="J4818" s="1"/>
      <c r="K4818" s="102" t="s">
        <v>7502</v>
      </c>
      <c r="L4818" s="102" t="str">
        <f>J650</f>
        <v>J1a2a1b1a1~</v>
      </c>
      <c r="M4818" s="102"/>
      <c r="N4818" s="102"/>
      <c r="O4818" s="105">
        <v>2.1698813E7</v>
      </c>
      <c r="P4818" s="105">
        <v>1.9536927E7</v>
      </c>
      <c r="Q4818" s="102" t="s">
        <v>2468</v>
      </c>
      <c r="S4818" s="1"/>
      <c r="T4818" s="1"/>
      <c r="U4818" s="1"/>
      <c r="V4818" s="1"/>
      <c r="W4818" s="1"/>
      <c r="X4818" s="1"/>
      <c r="Y4818" s="1"/>
      <c r="AA4818" s="102"/>
      <c r="AB4818" s="1"/>
      <c r="AC4818" s="1"/>
      <c r="AD4818" s="1"/>
      <c r="AE4818" s="1"/>
      <c r="AF4818" s="1"/>
      <c r="AG4818" s="1"/>
    </row>
    <row r="4819" ht="15.75" customHeight="1">
      <c r="A4819" s="1"/>
      <c r="B4819" s="1"/>
      <c r="C4819" s="1"/>
      <c r="D4819" s="1"/>
      <c r="E4819" s="1"/>
      <c r="F4819" s="1"/>
      <c r="G4819" s="1"/>
      <c r="H4819" s="1"/>
      <c r="I4819" s="1"/>
      <c r="J4819" s="1"/>
      <c r="K4819" s="102" t="s">
        <v>7503</v>
      </c>
      <c r="L4819" s="102" t="str">
        <f>J650</f>
        <v>J1a2a1b1a1~</v>
      </c>
      <c r="M4819" s="102"/>
      <c r="N4819" s="102"/>
      <c r="O4819" s="105">
        <v>2.1933578E7</v>
      </c>
      <c r="P4819" s="105">
        <v>1.9771692E7</v>
      </c>
      <c r="Q4819" s="102" t="s">
        <v>2468</v>
      </c>
      <c r="S4819" s="1"/>
      <c r="T4819" s="1"/>
      <c r="U4819" s="1"/>
      <c r="V4819" s="1"/>
      <c r="W4819" s="1"/>
      <c r="X4819" s="1"/>
      <c r="Y4819" s="1"/>
      <c r="AA4819" s="102"/>
      <c r="AB4819" s="1"/>
      <c r="AC4819" s="1"/>
      <c r="AD4819" s="1"/>
      <c r="AE4819" s="1"/>
      <c r="AF4819" s="1"/>
      <c r="AG4819" s="1"/>
    </row>
    <row r="4820" ht="15.75" customHeight="1">
      <c r="A4820" s="1"/>
      <c r="B4820" s="1"/>
      <c r="C4820" s="1"/>
      <c r="D4820" s="1"/>
      <c r="E4820" s="1"/>
      <c r="F4820" s="1"/>
      <c r="G4820" s="1"/>
      <c r="H4820" s="1"/>
      <c r="I4820" s="1"/>
      <c r="J4820" s="1"/>
      <c r="K4820" s="102" t="s">
        <v>7504</v>
      </c>
      <c r="L4820" s="102" t="str">
        <f>J650</f>
        <v>J1a2a1b1a1~</v>
      </c>
      <c r="M4820" s="102"/>
      <c r="N4820" s="102"/>
      <c r="O4820" s="105">
        <v>2.1977242E7</v>
      </c>
      <c r="P4820" s="105">
        <v>1.9815356E7</v>
      </c>
      <c r="Q4820" s="102" t="s">
        <v>2439</v>
      </c>
      <c r="S4820" s="1"/>
      <c r="T4820" s="1"/>
      <c r="U4820" s="1"/>
      <c r="V4820" s="1"/>
      <c r="W4820" s="1"/>
      <c r="X4820" s="1"/>
      <c r="Y4820" s="1"/>
      <c r="AA4820" s="102"/>
      <c r="AB4820" s="1"/>
      <c r="AC4820" s="1"/>
      <c r="AD4820" s="1"/>
      <c r="AE4820" s="1"/>
      <c r="AF4820" s="1"/>
      <c r="AG4820" s="1"/>
    </row>
    <row r="4821" ht="15.75" customHeight="1">
      <c r="A4821" s="1"/>
      <c r="B4821" s="1"/>
      <c r="C4821" s="1"/>
      <c r="D4821" s="1"/>
      <c r="E4821" s="1"/>
      <c r="F4821" s="1"/>
      <c r="G4821" s="1"/>
      <c r="H4821" s="1"/>
      <c r="I4821" s="1"/>
      <c r="J4821" s="1"/>
      <c r="K4821" s="102" t="s">
        <v>7505</v>
      </c>
      <c r="L4821" s="102" t="str">
        <f>J650</f>
        <v>J1a2a1b1a1~</v>
      </c>
      <c r="M4821" s="102"/>
      <c r="N4821" s="102"/>
      <c r="O4821" s="105">
        <v>2.264913E7</v>
      </c>
      <c r="P4821" s="105">
        <v>2.0487244E7</v>
      </c>
      <c r="Q4821" s="102" t="s">
        <v>2529</v>
      </c>
      <c r="S4821" s="1"/>
      <c r="T4821" s="1"/>
      <c r="U4821" s="1"/>
      <c r="V4821" s="1"/>
      <c r="W4821" s="1"/>
      <c r="X4821" s="1"/>
      <c r="Y4821" s="1"/>
      <c r="AA4821" s="102"/>
      <c r="AB4821" s="1"/>
      <c r="AC4821" s="1"/>
      <c r="AD4821" s="1"/>
      <c r="AE4821" s="1"/>
      <c r="AF4821" s="1"/>
      <c r="AG4821" s="1"/>
    </row>
    <row r="4822" ht="15.75" customHeight="1">
      <c r="A4822" s="1"/>
      <c r="B4822" s="1"/>
      <c r="C4822" s="1"/>
      <c r="D4822" s="1"/>
      <c r="E4822" s="1"/>
      <c r="F4822" s="1"/>
      <c r="G4822" s="1"/>
      <c r="H4822" s="1"/>
      <c r="I4822" s="1"/>
      <c r="J4822" s="1"/>
      <c r="K4822" s="102" t="s">
        <v>7506</v>
      </c>
      <c r="L4822" s="102" t="str">
        <f>J650</f>
        <v>J1a2a1b1a1~</v>
      </c>
      <c r="M4822" s="102"/>
      <c r="N4822" s="102"/>
      <c r="O4822" s="105">
        <v>2.2766983E7</v>
      </c>
      <c r="P4822" s="105">
        <v>2.0605097E7</v>
      </c>
      <c r="Q4822" s="102" t="s">
        <v>2446</v>
      </c>
      <c r="S4822" s="1"/>
      <c r="T4822" s="1"/>
      <c r="U4822" s="1"/>
      <c r="V4822" s="1"/>
      <c r="W4822" s="1"/>
      <c r="X4822" s="1"/>
      <c r="Y4822" s="1"/>
      <c r="AA4822" s="102"/>
      <c r="AB4822" s="1"/>
      <c r="AC4822" s="1"/>
      <c r="AD4822" s="1"/>
      <c r="AE4822" s="1"/>
      <c r="AF4822" s="1"/>
      <c r="AG4822" s="1"/>
    </row>
    <row r="4823" ht="15.75" customHeight="1">
      <c r="A4823" s="1"/>
      <c r="B4823" s="1"/>
      <c r="C4823" s="1"/>
      <c r="D4823" s="1"/>
      <c r="E4823" s="1"/>
      <c r="F4823" s="1"/>
      <c r="G4823" s="1"/>
      <c r="H4823" s="1"/>
      <c r="I4823" s="1"/>
      <c r="J4823" s="1"/>
      <c r="K4823" s="102" t="s">
        <v>7507</v>
      </c>
      <c r="L4823" s="102" t="str">
        <f>J650</f>
        <v>J1a2a1b1a1~</v>
      </c>
      <c r="M4823" s="102"/>
      <c r="N4823" s="102"/>
      <c r="O4823" s="105">
        <v>2.3147153E7</v>
      </c>
      <c r="P4823" s="105">
        <v>2.0985267E7</v>
      </c>
      <c r="Q4823" s="102" t="s">
        <v>2446</v>
      </c>
      <c r="S4823" s="1"/>
      <c r="T4823" s="1"/>
      <c r="U4823" s="1"/>
      <c r="V4823" s="1"/>
      <c r="W4823" s="1"/>
      <c r="X4823" s="1"/>
      <c r="Y4823" s="1"/>
      <c r="AA4823" s="102"/>
      <c r="AB4823" s="1"/>
      <c r="AC4823" s="1"/>
      <c r="AD4823" s="1"/>
      <c r="AE4823" s="1"/>
      <c r="AF4823" s="1"/>
      <c r="AG4823" s="1"/>
    </row>
    <row r="4824" ht="15.75" customHeight="1">
      <c r="A4824" s="1"/>
      <c r="B4824" s="1"/>
      <c r="C4824" s="1"/>
      <c r="D4824" s="1"/>
      <c r="E4824" s="1"/>
      <c r="F4824" s="1"/>
      <c r="G4824" s="1"/>
      <c r="H4824" s="1"/>
      <c r="I4824" s="1"/>
      <c r="J4824" s="1"/>
      <c r="K4824" s="102" t="s">
        <v>7508</v>
      </c>
      <c r="L4824" s="102" t="str">
        <f>J650</f>
        <v>J1a2a1b1a1~</v>
      </c>
      <c r="M4824" s="102"/>
      <c r="N4824" s="102"/>
      <c r="O4824" s="105">
        <v>2.3250588E7</v>
      </c>
      <c r="P4824" s="105">
        <v>2.1088702E7</v>
      </c>
      <c r="Q4824" s="102" t="s">
        <v>2432</v>
      </c>
      <c r="S4824" s="1"/>
      <c r="T4824" s="1"/>
      <c r="U4824" s="1"/>
      <c r="V4824" s="1"/>
      <c r="W4824" s="1"/>
      <c r="X4824" s="1"/>
      <c r="Y4824" s="1"/>
      <c r="AA4824" s="102"/>
      <c r="AB4824" s="1"/>
      <c r="AC4824" s="1"/>
      <c r="AD4824" s="1"/>
      <c r="AE4824" s="1"/>
      <c r="AF4824" s="1"/>
      <c r="AG4824" s="1"/>
    </row>
    <row r="4825" ht="15.75" customHeight="1">
      <c r="A4825" s="1"/>
      <c r="B4825" s="1"/>
      <c r="C4825" s="1"/>
      <c r="D4825" s="1"/>
      <c r="E4825" s="1"/>
      <c r="F4825" s="1"/>
      <c r="G4825" s="1"/>
      <c r="H4825" s="1"/>
      <c r="I4825" s="1"/>
      <c r="J4825" s="1"/>
      <c r="K4825" s="102" t="s">
        <v>7509</v>
      </c>
      <c r="L4825" s="102" t="str">
        <f>J650</f>
        <v>J1a2a1b1a1~</v>
      </c>
      <c r="M4825" s="102"/>
      <c r="N4825" s="102"/>
      <c r="O4825" s="105">
        <v>2.3491951E7</v>
      </c>
      <c r="P4825" s="105">
        <v>2.1330065E7</v>
      </c>
      <c r="Q4825" s="102" t="s">
        <v>2468</v>
      </c>
      <c r="S4825" s="1"/>
      <c r="T4825" s="1"/>
      <c r="U4825" s="1"/>
      <c r="V4825" s="1"/>
      <c r="W4825" s="1"/>
      <c r="X4825" s="1"/>
      <c r="Y4825" s="1"/>
      <c r="AA4825" s="102"/>
      <c r="AB4825" s="1"/>
      <c r="AC4825" s="1"/>
      <c r="AD4825" s="1"/>
      <c r="AE4825" s="1"/>
      <c r="AF4825" s="1"/>
      <c r="AG4825" s="1"/>
    </row>
    <row r="4826" ht="15.75" customHeight="1">
      <c r="A4826" s="1"/>
      <c r="B4826" s="1"/>
      <c r="C4826" s="1"/>
      <c r="D4826" s="1"/>
      <c r="E4826" s="1"/>
      <c r="F4826" s="1"/>
      <c r="G4826" s="1"/>
      <c r="H4826" s="1"/>
      <c r="I4826" s="1"/>
      <c r="J4826" s="1"/>
      <c r="K4826" s="102" t="s">
        <v>7510</v>
      </c>
      <c r="L4826" s="102" t="str">
        <f>J650</f>
        <v>J1a2a1b1a1~</v>
      </c>
      <c r="M4826" s="102"/>
      <c r="N4826" s="102"/>
      <c r="O4826" s="105">
        <v>2.3500602E7</v>
      </c>
      <c r="P4826" s="105">
        <v>2.1338716E7</v>
      </c>
      <c r="Q4826" s="102" t="s">
        <v>2501</v>
      </c>
      <c r="S4826" s="1"/>
      <c r="T4826" s="1"/>
      <c r="U4826" s="1"/>
      <c r="V4826" s="1"/>
      <c r="W4826" s="1"/>
      <c r="X4826" s="1"/>
      <c r="Y4826" s="1"/>
      <c r="AA4826" s="102"/>
      <c r="AB4826" s="1"/>
      <c r="AC4826" s="1"/>
      <c r="AD4826" s="1"/>
      <c r="AE4826" s="1"/>
      <c r="AF4826" s="1"/>
      <c r="AG4826" s="1"/>
    </row>
    <row r="4827" ht="15.75" customHeight="1">
      <c r="A4827" s="1"/>
      <c r="B4827" s="1"/>
      <c r="C4827" s="1"/>
      <c r="D4827" s="1"/>
      <c r="E4827" s="1"/>
      <c r="F4827" s="1"/>
      <c r="G4827" s="1"/>
      <c r="H4827" s="1"/>
      <c r="I4827" s="1"/>
      <c r="J4827" s="1"/>
      <c r="K4827" s="102" t="s">
        <v>7511</v>
      </c>
      <c r="L4827" s="102" t="str">
        <f>J650</f>
        <v>J1a2a1b1a1~</v>
      </c>
      <c r="M4827" s="102"/>
      <c r="N4827" s="102"/>
      <c r="O4827" s="105">
        <v>2.3556769E7</v>
      </c>
      <c r="P4827" s="105">
        <v>2.1394883E7</v>
      </c>
      <c r="Q4827" s="102" t="s">
        <v>2501</v>
      </c>
      <c r="S4827" s="1"/>
      <c r="T4827" s="1"/>
      <c r="U4827" s="1"/>
      <c r="V4827" s="1"/>
      <c r="W4827" s="1"/>
      <c r="X4827" s="1"/>
      <c r="Y4827" s="1"/>
      <c r="AA4827" s="102"/>
      <c r="AB4827" s="1"/>
      <c r="AC4827" s="1"/>
      <c r="AD4827" s="1"/>
      <c r="AE4827" s="1"/>
      <c r="AF4827" s="1"/>
      <c r="AG4827" s="1"/>
    </row>
    <row r="4828" ht="15.75" customHeight="1">
      <c r="A4828" s="1"/>
      <c r="B4828" s="1"/>
      <c r="C4828" s="1"/>
      <c r="D4828" s="1"/>
      <c r="E4828" s="1"/>
      <c r="F4828" s="1"/>
      <c r="G4828" s="1"/>
      <c r="H4828" s="1"/>
      <c r="I4828" s="1"/>
      <c r="J4828" s="1"/>
      <c r="K4828" s="102" t="s">
        <v>7512</v>
      </c>
      <c r="L4828" s="102" t="str">
        <f>J650</f>
        <v>J1a2a1b1a1~</v>
      </c>
      <c r="M4828" s="102"/>
      <c r="N4828" s="102"/>
      <c r="O4828" s="105">
        <v>2.3613423E7</v>
      </c>
      <c r="P4828" s="105">
        <v>2.1451537E7</v>
      </c>
      <c r="Q4828" s="102" t="s">
        <v>2514</v>
      </c>
      <c r="S4828" s="1"/>
      <c r="T4828" s="1"/>
      <c r="U4828" s="1"/>
      <c r="V4828" s="1"/>
      <c r="W4828" s="1"/>
      <c r="X4828" s="1"/>
      <c r="Y4828" s="1"/>
      <c r="AA4828" s="102"/>
      <c r="AB4828" s="1"/>
      <c r="AC4828" s="1"/>
      <c r="AD4828" s="1"/>
      <c r="AE4828" s="1"/>
      <c r="AF4828" s="1"/>
      <c r="AG4828" s="1"/>
    </row>
    <row r="4829" ht="15.75" customHeight="1">
      <c r="A4829" s="1"/>
      <c r="B4829" s="1"/>
      <c r="C4829" s="1"/>
      <c r="D4829" s="1"/>
      <c r="E4829" s="1"/>
      <c r="F4829" s="1"/>
      <c r="G4829" s="1"/>
      <c r="H4829" s="1"/>
      <c r="I4829" s="1"/>
      <c r="J4829" s="1"/>
      <c r="K4829" s="102" t="s">
        <v>7513</v>
      </c>
      <c r="L4829" s="102" t="str">
        <f>F651</f>
        <v>J1a2a2~</v>
      </c>
      <c r="M4829" s="102"/>
      <c r="N4829" s="102"/>
      <c r="O4829" s="105">
        <v>1.4301501E7</v>
      </c>
      <c r="P4829" s="105">
        <v>1.2180795E7</v>
      </c>
      <c r="Q4829" s="102" t="s">
        <v>2432</v>
      </c>
      <c r="S4829" s="1"/>
      <c r="T4829" s="1"/>
      <c r="U4829" s="1"/>
      <c r="V4829" s="1"/>
      <c r="W4829" s="1"/>
      <c r="X4829" s="1"/>
      <c r="Y4829" s="1"/>
      <c r="AA4829" s="102"/>
      <c r="AB4829" s="1"/>
      <c r="AC4829" s="1"/>
      <c r="AD4829" s="1"/>
      <c r="AE4829" s="1"/>
      <c r="AF4829" s="1"/>
      <c r="AG4829" s="1"/>
    </row>
    <row r="4830" ht="15.75" customHeight="1">
      <c r="A4830" s="1"/>
      <c r="B4830" s="1"/>
      <c r="C4830" s="1"/>
      <c r="D4830" s="1"/>
      <c r="E4830" s="1"/>
      <c r="F4830" s="1"/>
      <c r="G4830" s="1"/>
      <c r="H4830" s="1"/>
      <c r="I4830" s="1"/>
      <c r="J4830" s="1"/>
      <c r="K4830" s="102" t="s">
        <v>7514</v>
      </c>
      <c r="L4830" s="102" t="str">
        <f>G652</f>
        <v>J1a2a2a~</v>
      </c>
      <c r="M4830" s="102"/>
      <c r="N4830" s="102"/>
      <c r="O4830" s="105">
        <v>6872548.0</v>
      </c>
      <c r="P4830" s="105">
        <v>7004507.0</v>
      </c>
      <c r="Q4830" s="102" t="s">
        <v>2468</v>
      </c>
      <c r="S4830" s="1"/>
      <c r="T4830" s="1"/>
      <c r="U4830" s="1"/>
      <c r="V4830" s="1"/>
      <c r="W4830" s="1"/>
      <c r="X4830" s="1"/>
      <c r="Y4830" s="1"/>
      <c r="AA4830" s="102"/>
      <c r="AB4830" s="1"/>
      <c r="AC4830" s="1"/>
      <c r="AD4830" s="1"/>
      <c r="AE4830" s="1"/>
      <c r="AF4830" s="1"/>
      <c r="AG4830" s="1"/>
    </row>
    <row r="4831" ht="15.75" customHeight="1">
      <c r="A4831" s="1"/>
      <c r="B4831" s="1"/>
      <c r="C4831" s="1"/>
      <c r="D4831" s="1"/>
      <c r="E4831" s="1"/>
      <c r="F4831" s="1"/>
      <c r="G4831" s="1"/>
      <c r="H4831" s="1"/>
      <c r="I4831" s="1"/>
      <c r="J4831" s="1"/>
      <c r="K4831" s="102" t="s">
        <v>7515</v>
      </c>
      <c r="L4831" s="102" t="str">
        <f>G652</f>
        <v>J1a2a2a~</v>
      </c>
      <c r="M4831" s="102"/>
      <c r="N4831" s="102"/>
      <c r="O4831" s="105">
        <v>6636527.0</v>
      </c>
      <c r="P4831" s="105">
        <v>6768486.0</v>
      </c>
      <c r="Q4831" s="102" t="s">
        <v>2454</v>
      </c>
      <c r="S4831" s="1"/>
      <c r="T4831" s="1"/>
      <c r="U4831" s="1"/>
      <c r="V4831" s="1"/>
      <c r="W4831" s="1"/>
      <c r="X4831" s="1"/>
      <c r="Y4831" s="1"/>
      <c r="AA4831" s="102"/>
      <c r="AB4831" s="1"/>
      <c r="AC4831" s="1"/>
      <c r="AD4831" s="1"/>
      <c r="AE4831" s="1"/>
      <c r="AF4831" s="1"/>
      <c r="AG4831" s="1"/>
    </row>
    <row r="4832" ht="15.75" customHeight="1">
      <c r="A4832" s="1"/>
      <c r="B4832" s="1"/>
      <c r="C4832" s="1"/>
      <c r="D4832" s="1"/>
      <c r="E4832" s="1"/>
      <c r="F4832" s="1"/>
      <c r="G4832" s="1"/>
      <c r="H4832" s="1"/>
      <c r="I4832" s="1"/>
      <c r="J4832" s="1"/>
      <c r="K4832" s="102" t="s">
        <v>7516</v>
      </c>
      <c r="L4832" s="102" t="str">
        <f>G652</f>
        <v>J1a2a2a~</v>
      </c>
      <c r="M4832" s="102"/>
      <c r="N4832" s="102"/>
      <c r="O4832" s="105">
        <v>6657158.0</v>
      </c>
      <c r="P4832" s="105">
        <v>6789117.0</v>
      </c>
      <c r="Q4832" s="102" t="s">
        <v>2529</v>
      </c>
      <c r="S4832" s="1"/>
      <c r="T4832" s="1"/>
      <c r="U4832" s="1"/>
      <c r="V4832" s="1"/>
      <c r="W4832" s="1"/>
      <c r="X4832" s="1"/>
      <c r="Y4832" s="1"/>
      <c r="AA4832" s="102"/>
      <c r="AB4832" s="1"/>
      <c r="AC4832" s="1"/>
      <c r="AD4832" s="1"/>
      <c r="AE4832" s="1"/>
      <c r="AF4832" s="1"/>
      <c r="AG4832" s="1"/>
    </row>
    <row r="4833" ht="15.75" customHeight="1">
      <c r="A4833" s="1"/>
      <c r="B4833" s="1"/>
      <c r="C4833" s="1"/>
      <c r="D4833" s="1"/>
      <c r="E4833" s="1"/>
      <c r="F4833" s="1"/>
      <c r="G4833" s="1"/>
      <c r="H4833" s="1"/>
      <c r="I4833" s="1"/>
      <c r="J4833" s="1"/>
      <c r="K4833" s="102" t="s">
        <v>7517</v>
      </c>
      <c r="L4833" s="102" t="str">
        <f>G652</f>
        <v>J1a2a2a~</v>
      </c>
      <c r="M4833" s="102"/>
      <c r="N4833" s="102"/>
      <c r="O4833" s="105">
        <v>6661109.0</v>
      </c>
      <c r="P4833" s="105">
        <v>6793068.0</v>
      </c>
      <c r="Q4833" s="102" t="s">
        <v>2501</v>
      </c>
      <c r="S4833" s="1"/>
      <c r="T4833" s="1"/>
      <c r="U4833" s="1"/>
      <c r="V4833" s="1"/>
      <c r="W4833" s="1"/>
      <c r="X4833" s="1"/>
      <c r="Y4833" s="1"/>
      <c r="AA4833" s="102"/>
      <c r="AB4833" s="1"/>
      <c r="AC4833" s="1"/>
      <c r="AD4833" s="1"/>
      <c r="AE4833" s="1"/>
      <c r="AF4833" s="1"/>
      <c r="AG4833" s="1"/>
    </row>
    <row r="4834" ht="15.75" customHeight="1">
      <c r="A4834" s="1"/>
      <c r="B4834" s="1"/>
      <c r="C4834" s="1"/>
      <c r="D4834" s="1"/>
      <c r="E4834" s="1"/>
      <c r="F4834" s="1"/>
      <c r="G4834" s="1"/>
      <c r="H4834" s="1"/>
      <c r="I4834" s="1"/>
      <c r="J4834" s="1"/>
      <c r="K4834" s="102" t="s">
        <v>7518</v>
      </c>
      <c r="L4834" s="102" t="str">
        <f>G652</f>
        <v>J1a2a2a~</v>
      </c>
      <c r="M4834" s="102"/>
      <c r="N4834" s="102"/>
      <c r="O4834" s="105">
        <v>7849969.0</v>
      </c>
      <c r="P4834" s="105">
        <v>7981928.0</v>
      </c>
      <c r="Q4834" s="102" t="s">
        <v>2423</v>
      </c>
      <c r="S4834" s="1"/>
      <c r="T4834" s="1"/>
      <c r="U4834" s="1"/>
      <c r="V4834" s="1"/>
      <c r="W4834" s="1"/>
      <c r="X4834" s="1"/>
      <c r="Y4834" s="1"/>
      <c r="AA4834" s="102"/>
      <c r="AB4834" s="1"/>
      <c r="AC4834" s="1"/>
      <c r="AD4834" s="1"/>
      <c r="AE4834" s="1"/>
      <c r="AF4834" s="1"/>
      <c r="AG4834" s="1"/>
    </row>
    <row r="4835" ht="15.75" customHeight="1">
      <c r="A4835" s="1"/>
      <c r="B4835" s="1"/>
      <c r="C4835" s="1"/>
      <c r="D4835" s="1"/>
      <c r="E4835" s="1"/>
      <c r="F4835" s="1"/>
      <c r="G4835" s="1"/>
      <c r="H4835" s="1"/>
      <c r="I4835" s="1"/>
      <c r="J4835" s="1"/>
      <c r="K4835" s="102" t="s">
        <v>7519</v>
      </c>
      <c r="L4835" s="102" t="str">
        <f>G652</f>
        <v>J1a2a2a~</v>
      </c>
      <c r="M4835" s="102"/>
      <c r="N4835" s="102"/>
      <c r="O4835" s="105">
        <v>7876218.0</v>
      </c>
      <c r="P4835" s="105">
        <v>8008177.0</v>
      </c>
      <c r="Q4835" s="102" t="s">
        <v>2468</v>
      </c>
      <c r="S4835" s="1"/>
      <c r="T4835" s="1"/>
      <c r="U4835" s="1"/>
      <c r="V4835" s="1"/>
      <c r="W4835" s="1"/>
      <c r="X4835" s="1"/>
      <c r="Y4835" s="1"/>
      <c r="AA4835" s="102"/>
      <c r="AB4835" s="1"/>
      <c r="AC4835" s="1"/>
      <c r="AD4835" s="1"/>
      <c r="AE4835" s="1"/>
      <c r="AF4835" s="1"/>
      <c r="AG4835" s="1"/>
    </row>
    <row r="4836" ht="15.75" customHeight="1">
      <c r="A4836" s="1"/>
      <c r="B4836" s="1"/>
      <c r="C4836" s="1"/>
      <c r="D4836" s="1"/>
      <c r="E4836" s="1"/>
      <c r="F4836" s="1"/>
      <c r="G4836" s="1"/>
      <c r="H4836" s="1"/>
      <c r="I4836" s="1"/>
      <c r="J4836" s="1"/>
      <c r="K4836" s="102" t="s">
        <v>7520</v>
      </c>
      <c r="L4836" s="102" t="str">
        <f>G652</f>
        <v>J1a2a2a~</v>
      </c>
      <c r="M4836" s="102"/>
      <c r="N4836" s="102"/>
      <c r="O4836" s="105">
        <v>7951656.0</v>
      </c>
      <c r="P4836" s="105">
        <v>8083615.0</v>
      </c>
      <c r="Q4836" s="102" t="s">
        <v>2501</v>
      </c>
      <c r="S4836" s="1"/>
      <c r="T4836" s="1"/>
      <c r="U4836" s="1"/>
      <c r="V4836" s="1"/>
      <c r="W4836" s="1"/>
      <c r="X4836" s="1"/>
      <c r="Y4836" s="1"/>
      <c r="AA4836" s="102"/>
      <c r="AB4836" s="1"/>
      <c r="AC4836" s="1"/>
      <c r="AD4836" s="1"/>
      <c r="AE4836" s="1"/>
      <c r="AF4836" s="1"/>
      <c r="AG4836" s="1"/>
    </row>
    <row r="4837" ht="15.75" customHeight="1">
      <c r="A4837" s="1"/>
      <c r="B4837" s="1"/>
      <c r="C4837" s="1"/>
      <c r="D4837" s="1"/>
      <c r="E4837" s="1"/>
      <c r="F4837" s="1"/>
      <c r="G4837" s="1"/>
      <c r="H4837" s="1"/>
      <c r="I4837" s="1"/>
      <c r="J4837" s="1"/>
      <c r="K4837" s="102" t="s">
        <v>7521</v>
      </c>
      <c r="L4837" s="102" t="str">
        <f>G652</f>
        <v>J1a2a2a~</v>
      </c>
      <c r="M4837" s="102"/>
      <c r="N4837" s="102"/>
      <c r="O4837" s="105">
        <v>7959232.0</v>
      </c>
      <c r="P4837" s="105">
        <v>8091191.0</v>
      </c>
      <c r="Q4837" s="102" t="s">
        <v>2533</v>
      </c>
      <c r="S4837" s="1"/>
      <c r="T4837" s="1"/>
      <c r="U4837" s="1"/>
      <c r="V4837" s="1"/>
      <c r="W4837" s="1"/>
      <c r="X4837" s="1"/>
      <c r="Y4837" s="1"/>
      <c r="AA4837" s="102"/>
      <c r="AB4837" s="1"/>
      <c r="AC4837" s="1"/>
      <c r="AD4837" s="1"/>
      <c r="AE4837" s="1"/>
      <c r="AF4837" s="1"/>
      <c r="AG4837" s="1"/>
    </row>
    <row r="4838" ht="15.75" customHeight="1">
      <c r="A4838" s="1"/>
      <c r="B4838" s="1"/>
      <c r="C4838" s="1"/>
      <c r="D4838" s="1"/>
      <c r="E4838" s="1"/>
      <c r="F4838" s="1"/>
      <c r="G4838" s="1"/>
      <c r="H4838" s="1"/>
      <c r="I4838" s="1"/>
      <c r="J4838" s="1"/>
      <c r="K4838" s="102" t="s">
        <v>3258</v>
      </c>
      <c r="L4838" s="102" t="str">
        <f>G652</f>
        <v>J1a2a2a~</v>
      </c>
      <c r="M4838" s="102"/>
      <c r="N4838" s="102"/>
      <c r="O4838" s="105">
        <v>7961473.0</v>
      </c>
      <c r="P4838" s="105">
        <v>8093432.0</v>
      </c>
      <c r="Q4838" s="102" t="s">
        <v>2439</v>
      </c>
      <c r="S4838" s="1"/>
      <c r="T4838" s="1"/>
      <c r="U4838" s="1"/>
      <c r="V4838" s="1"/>
      <c r="W4838" s="1"/>
      <c r="X4838" s="1"/>
      <c r="Y4838" s="1"/>
      <c r="AA4838" s="102"/>
      <c r="AB4838" s="1"/>
      <c r="AC4838" s="1"/>
      <c r="AD4838" s="1"/>
      <c r="AE4838" s="1"/>
      <c r="AF4838" s="1"/>
      <c r="AG4838" s="1"/>
    </row>
    <row r="4839" ht="15.75" customHeight="1">
      <c r="A4839" s="1"/>
      <c r="B4839" s="1"/>
      <c r="C4839" s="1"/>
      <c r="D4839" s="1"/>
      <c r="E4839" s="1"/>
      <c r="F4839" s="1"/>
      <c r="G4839" s="1"/>
      <c r="H4839" s="1"/>
      <c r="I4839" s="1"/>
      <c r="J4839" s="1"/>
      <c r="K4839" s="102" t="s">
        <v>7522</v>
      </c>
      <c r="L4839" s="102" t="str">
        <f>G652</f>
        <v>J1a2a2a~</v>
      </c>
      <c r="M4839" s="102"/>
      <c r="N4839" s="102"/>
      <c r="O4839" s="105">
        <v>8193034.0</v>
      </c>
      <c r="P4839" s="105">
        <v>8324993.0</v>
      </c>
      <c r="Q4839" s="102" t="s">
        <v>2439</v>
      </c>
      <c r="S4839" s="1"/>
      <c r="T4839" s="1"/>
      <c r="U4839" s="1"/>
      <c r="V4839" s="1"/>
      <c r="W4839" s="1"/>
      <c r="X4839" s="1"/>
      <c r="Y4839" s="1"/>
      <c r="AA4839" s="102"/>
      <c r="AB4839" s="1"/>
      <c r="AC4839" s="1"/>
      <c r="AD4839" s="1"/>
      <c r="AE4839" s="1"/>
      <c r="AF4839" s="1"/>
      <c r="AG4839" s="1"/>
    </row>
    <row r="4840" ht="15.75" customHeight="1">
      <c r="A4840" s="1"/>
      <c r="B4840" s="1"/>
      <c r="C4840" s="1"/>
      <c r="D4840" s="1"/>
      <c r="E4840" s="1"/>
      <c r="F4840" s="1"/>
      <c r="G4840" s="1"/>
      <c r="H4840" s="1"/>
      <c r="I4840" s="1"/>
      <c r="J4840" s="1"/>
      <c r="K4840" s="102" t="s">
        <v>7523</v>
      </c>
      <c r="L4840" s="102" t="str">
        <f>G652</f>
        <v>J1a2a2a~</v>
      </c>
      <c r="M4840" s="102"/>
      <c r="N4840" s="102"/>
      <c r="O4840" s="105">
        <v>8230753.0</v>
      </c>
      <c r="P4840" s="105">
        <v>8362712.0</v>
      </c>
      <c r="Q4840" s="102" t="s">
        <v>2529</v>
      </c>
      <c r="S4840" s="1"/>
      <c r="T4840" s="1"/>
      <c r="U4840" s="1"/>
      <c r="V4840" s="1"/>
      <c r="W4840" s="1"/>
      <c r="X4840" s="1"/>
      <c r="Y4840" s="1"/>
      <c r="AA4840" s="102"/>
      <c r="AB4840" s="1"/>
      <c r="AC4840" s="1"/>
      <c r="AD4840" s="1"/>
      <c r="AE4840" s="1"/>
      <c r="AF4840" s="1"/>
      <c r="AG4840" s="1"/>
    </row>
    <row r="4841" ht="15.75" customHeight="1">
      <c r="A4841" s="1"/>
      <c r="B4841" s="1"/>
      <c r="C4841" s="1"/>
      <c r="D4841" s="1"/>
      <c r="E4841" s="1"/>
      <c r="F4841" s="1"/>
      <c r="G4841" s="1"/>
      <c r="H4841" s="1"/>
      <c r="I4841" s="1"/>
      <c r="J4841" s="1"/>
      <c r="K4841" s="102" t="s">
        <v>7524</v>
      </c>
      <c r="L4841" s="102" t="str">
        <f>G652</f>
        <v>J1a2a2a~</v>
      </c>
      <c r="M4841" s="102"/>
      <c r="N4841" s="102"/>
      <c r="O4841" s="105">
        <v>8317684.0</v>
      </c>
      <c r="P4841" s="105">
        <v>8449643.0</v>
      </c>
      <c r="Q4841" s="102" t="s">
        <v>2439</v>
      </c>
      <c r="S4841" s="1"/>
      <c r="T4841" s="1"/>
      <c r="U4841" s="1"/>
      <c r="V4841" s="1"/>
      <c r="W4841" s="1"/>
      <c r="X4841" s="1"/>
      <c r="Y4841" s="1"/>
      <c r="AA4841" s="102"/>
      <c r="AB4841" s="1"/>
      <c r="AC4841" s="1"/>
      <c r="AD4841" s="1"/>
      <c r="AE4841" s="1"/>
      <c r="AF4841" s="1"/>
      <c r="AG4841" s="1"/>
    </row>
    <row r="4842" ht="15.75" customHeight="1">
      <c r="A4842" s="1"/>
      <c r="B4842" s="1"/>
      <c r="C4842" s="1"/>
      <c r="D4842" s="1"/>
      <c r="E4842" s="1"/>
      <c r="F4842" s="1"/>
      <c r="G4842" s="1"/>
      <c r="H4842" s="1"/>
      <c r="I4842" s="1"/>
      <c r="J4842" s="1"/>
      <c r="K4842" s="102" t="s">
        <v>7525</v>
      </c>
      <c r="L4842" s="102" t="str">
        <f>G652</f>
        <v>J1a2a2a~</v>
      </c>
      <c r="M4842" s="102"/>
      <c r="N4842" s="102"/>
      <c r="O4842" s="105">
        <v>8334180.0</v>
      </c>
      <c r="P4842" s="105">
        <v>8466139.0</v>
      </c>
      <c r="Q4842" s="102" t="s">
        <v>2529</v>
      </c>
      <c r="S4842" s="1"/>
      <c r="T4842" s="1"/>
      <c r="U4842" s="1"/>
      <c r="V4842" s="1"/>
      <c r="W4842" s="1"/>
      <c r="X4842" s="1"/>
      <c r="Y4842" s="1"/>
      <c r="AA4842" s="102"/>
      <c r="AB4842" s="1"/>
      <c r="AC4842" s="1"/>
      <c r="AD4842" s="1"/>
      <c r="AE4842" s="1"/>
      <c r="AF4842" s="1"/>
      <c r="AG4842" s="1"/>
    </row>
    <row r="4843" ht="15.75" customHeight="1">
      <c r="A4843" s="1"/>
      <c r="B4843" s="1"/>
      <c r="C4843" s="1"/>
      <c r="D4843" s="1"/>
      <c r="E4843" s="1"/>
      <c r="F4843" s="1"/>
      <c r="G4843" s="1"/>
      <c r="H4843" s="1"/>
      <c r="I4843" s="1"/>
      <c r="J4843" s="1"/>
      <c r="K4843" s="102" t="s">
        <v>7526</v>
      </c>
      <c r="L4843" s="102" t="str">
        <f>G652</f>
        <v>J1a2a2a~</v>
      </c>
      <c r="M4843" s="102"/>
      <c r="N4843" s="102"/>
      <c r="O4843" s="105">
        <v>8349495.0</v>
      </c>
      <c r="P4843" s="105">
        <v>8481454.0</v>
      </c>
      <c r="Q4843" s="102" t="s">
        <v>2501</v>
      </c>
      <c r="S4843" s="1"/>
      <c r="T4843" s="1"/>
      <c r="U4843" s="1"/>
      <c r="V4843" s="1"/>
      <c r="W4843" s="1"/>
      <c r="X4843" s="1"/>
      <c r="Y4843" s="1"/>
      <c r="AA4843" s="102"/>
      <c r="AB4843" s="1"/>
      <c r="AC4843" s="1"/>
      <c r="AD4843" s="1"/>
      <c r="AE4843" s="1"/>
      <c r="AF4843" s="1"/>
      <c r="AG4843" s="1"/>
    </row>
    <row r="4844" ht="15.75" customHeight="1">
      <c r="A4844" s="1"/>
      <c r="B4844" s="1"/>
      <c r="C4844" s="1"/>
      <c r="D4844" s="1"/>
      <c r="E4844" s="1"/>
      <c r="F4844" s="1"/>
      <c r="G4844" s="1"/>
      <c r="H4844" s="1"/>
      <c r="I4844" s="1"/>
      <c r="J4844" s="1"/>
      <c r="K4844" s="102" t="s">
        <v>7527</v>
      </c>
      <c r="L4844" s="102" t="str">
        <f>G652</f>
        <v>J1a2a2a~</v>
      </c>
      <c r="M4844" s="102"/>
      <c r="N4844" s="102"/>
      <c r="O4844" s="105">
        <v>8833976.0</v>
      </c>
      <c r="P4844" s="105">
        <v>8965935.0</v>
      </c>
      <c r="Q4844" s="102" t="s">
        <v>2446</v>
      </c>
      <c r="S4844" s="1"/>
      <c r="T4844" s="1"/>
      <c r="U4844" s="1"/>
      <c r="V4844" s="1"/>
      <c r="W4844" s="1"/>
      <c r="X4844" s="1"/>
      <c r="Y4844" s="1"/>
      <c r="AA4844" s="102"/>
      <c r="AB4844" s="1"/>
      <c r="AC4844" s="1"/>
      <c r="AD4844" s="1"/>
      <c r="AE4844" s="1"/>
      <c r="AF4844" s="1"/>
      <c r="AG4844" s="1"/>
    </row>
    <row r="4845" ht="15.75" customHeight="1">
      <c r="A4845" s="1"/>
      <c r="B4845" s="1"/>
      <c r="C4845" s="1"/>
      <c r="D4845" s="1"/>
      <c r="E4845" s="1"/>
      <c r="F4845" s="1"/>
      <c r="G4845" s="1"/>
      <c r="H4845" s="1"/>
      <c r="I4845" s="1"/>
      <c r="J4845" s="1"/>
      <c r="K4845" s="102" t="s">
        <v>7528</v>
      </c>
      <c r="L4845" s="102" t="str">
        <f>G652</f>
        <v>J1a2a2a~</v>
      </c>
      <c r="M4845" s="102"/>
      <c r="N4845" s="102"/>
      <c r="O4845" s="105">
        <v>8903561.0</v>
      </c>
      <c r="P4845" s="105">
        <v>9035520.0</v>
      </c>
      <c r="Q4845" s="102" t="s">
        <v>2439</v>
      </c>
      <c r="S4845" s="1"/>
      <c r="T4845" s="1"/>
      <c r="U4845" s="1"/>
      <c r="V4845" s="1"/>
      <c r="W4845" s="1"/>
      <c r="X4845" s="1"/>
      <c r="Y4845" s="1"/>
      <c r="AA4845" s="102"/>
      <c r="AB4845" s="1"/>
      <c r="AC4845" s="1"/>
      <c r="AD4845" s="1"/>
      <c r="AE4845" s="1"/>
      <c r="AF4845" s="1"/>
      <c r="AG4845" s="1"/>
    </row>
    <row r="4846" ht="15.75" customHeight="1">
      <c r="A4846" s="1"/>
      <c r="B4846" s="1"/>
      <c r="C4846" s="1"/>
      <c r="D4846" s="1"/>
      <c r="E4846" s="1"/>
      <c r="F4846" s="1"/>
      <c r="G4846" s="1"/>
      <c r="H4846" s="1"/>
      <c r="I4846" s="1"/>
      <c r="J4846" s="1"/>
      <c r="K4846" s="102" t="s">
        <v>7529</v>
      </c>
      <c r="L4846" s="102" t="str">
        <f>G652</f>
        <v>J1a2a2a~</v>
      </c>
      <c r="M4846" s="102"/>
      <c r="N4846" s="102"/>
      <c r="O4846" s="105">
        <v>9111822.0</v>
      </c>
      <c r="P4846" s="105">
        <v>9274213.0</v>
      </c>
      <c r="Q4846" s="102" t="s">
        <v>2576</v>
      </c>
      <c r="S4846" s="1"/>
      <c r="T4846" s="1"/>
      <c r="U4846" s="1"/>
      <c r="V4846" s="1"/>
      <c r="W4846" s="1"/>
      <c r="X4846" s="1"/>
      <c r="Y4846" s="1"/>
      <c r="AA4846" s="102"/>
      <c r="AB4846" s="1"/>
      <c r="AC4846" s="1"/>
      <c r="AD4846" s="1"/>
      <c r="AE4846" s="1"/>
      <c r="AF4846" s="1"/>
      <c r="AG4846" s="1"/>
    </row>
    <row r="4847" ht="15.75" customHeight="1">
      <c r="A4847" s="1"/>
      <c r="B4847" s="1"/>
      <c r="C4847" s="1"/>
      <c r="D4847" s="1"/>
      <c r="E4847" s="1"/>
      <c r="F4847" s="1"/>
      <c r="G4847" s="1"/>
      <c r="H4847" s="1"/>
      <c r="I4847" s="1"/>
      <c r="J4847" s="1"/>
      <c r="K4847" s="102" t="s">
        <v>7530</v>
      </c>
      <c r="L4847" s="102" t="str">
        <f>G652</f>
        <v>J1a2a2a~</v>
      </c>
      <c r="M4847" s="102"/>
      <c r="N4847" s="102"/>
      <c r="O4847" s="105">
        <v>1.4010118E7</v>
      </c>
      <c r="P4847" s="105">
        <v>1.1889412E7</v>
      </c>
      <c r="Q4847" s="102" t="s">
        <v>2439</v>
      </c>
      <c r="S4847" s="1"/>
      <c r="T4847" s="1"/>
      <c r="U4847" s="1"/>
      <c r="V4847" s="1"/>
      <c r="W4847" s="1"/>
      <c r="X4847" s="1"/>
      <c r="Y4847" s="1"/>
      <c r="AA4847" s="102"/>
      <c r="AB4847" s="1"/>
      <c r="AC4847" s="1"/>
      <c r="AD4847" s="1"/>
      <c r="AE4847" s="1"/>
      <c r="AF4847" s="1"/>
      <c r="AG4847" s="1"/>
    </row>
    <row r="4848" ht="15.75" customHeight="1">
      <c r="A4848" s="1"/>
      <c r="B4848" s="1"/>
      <c r="C4848" s="1"/>
      <c r="D4848" s="1"/>
      <c r="E4848" s="1"/>
      <c r="F4848" s="1"/>
      <c r="G4848" s="1"/>
      <c r="H4848" s="1"/>
      <c r="I4848" s="1"/>
      <c r="J4848" s="1"/>
      <c r="K4848" s="102" t="s">
        <v>7531</v>
      </c>
      <c r="L4848" s="102" t="str">
        <f>G652</f>
        <v>J1a2a2a~</v>
      </c>
      <c r="M4848" s="102"/>
      <c r="N4848" s="102"/>
      <c r="O4848" s="105">
        <v>1.4149992E7</v>
      </c>
      <c r="P4848" s="105">
        <v>1.2029286E7</v>
      </c>
      <c r="Q4848" s="102" t="s">
        <v>2501</v>
      </c>
      <c r="S4848" s="1"/>
      <c r="T4848" s="1"/>
      <c r="U4848" s="1"/>
      <c r="V4848" s="1"/>
      <c r="W4848" s="1"/>
      <c r="X4848" s="1"/>
      <c r="Y4848" s="1"/>
      <c r="AA4848" s="102"/>
      <c r="AB4848" s="1"/>
      <c r="AC4848" s="1"/>
      <c r="AD4848" s="1"/>
      <c r="AE4848" s="1"/>
      <c r="AF4848" s="1"/>
      <c r="AG4848" s="1"/>
    </row>
    <row r="4849" ht="15.75" customHeight="1">
      <c r="A4849" s="1"/>
      <c r="B4849" s="1"/>
      <c r="C4849" s="1"/>
      <c r="D4849" s="1"/>
      <c r="E4849" s="1"/>
      <c r="F4849" s="1"/>
      <c r="G4849" s="1"/>
      <c r="H4849" s="1"/>
      <c r="I4849" s="1"/>
      <c r="J4849" s="1"/>
      <c r="K4849" s="102" t="s">
        <v>7532</v>
      </c>
      <c r="L4849" s="102" t="str">
        <f>G652</f>
        <v>J1a2a2a~</v>
      </c>
      <c r="M4849" s="102"/>
      <c r="N4849" s="102"/>
      <c r="O4849" s="105">
        <v>1.4529876E7</v>
      </c>
      <c r="P4849" s="105">
        <v>1.2418077E7</v>
      </c>
      <c r="Q4849" s="102" t="s">
        <v>2446</v>
      </c>
      <c r="S4849" s="1"/>
      <c r="T4849" s="1"/>
      <c r="U4849" s="1"/>
      <c r="V4849" s="1"/>
      <c r="W4849" s="1"/>
      <c r="X4849" s="1"/>
      <c r="Y4849" s="1"/>
      <c r="AA4849" s="102"/>
      <c r="AB4849" s="1"/>
      <c r="AC4849" s="1"/>
      <c r="AD4849" s="1"/>
      <c r="AE4849" s="1"/>
      <c r="AF4849" s="1"/>
      <c r="AG4849" s="1"/>
    </row>
    <row r="4850" ht="15.75" customHeight="1">
      <c r="A4850" s="1"/>
      <c r="B4850" s="1"/>
      <c r="C4850" s="1"/>
      <c r="D4850" s="1"/>
      <c r="E4850" s="1"/>
      <c r="F4850" s="1"/>
      <c r="G4850" s="1"/>
      <c r="H4850" s="1"/>
      <c r="I4850" s="1"/>
      <c r="J4850" s="1"/>
      <c r="K4850" s="102" t="s">
        <v>7533</v>
      </c>
      <c r="L4850" s="102" t="str">
        <f>G652</f>
        <v>J1a2a2a~</v>
      </c>
      <c r="M4850" s="102"/>
      <c r="N4850" s="102"/>
      <c r="O4850" s="105">
        <v>1.4578674E7</v>
      </c>
      <c r="P4850" s="105">
        <v>1.2466874E7</v>
      </c>
      <c r="Q4850" s="102" t="s">
        <v>2468</v>
      </c>
      <c r="S4850" s="1"/>
      <c r="T4850" s="1"/>
      <c r="U4850" s="1"/>
      <c r="V4850" s="1"/>
      <c r="W4850" s="1"/>
      <c r="X4850" s="1"/>
      <c r="Y4850" s="1"/>
      <c r="AA4850" s="102"/>
      <c r="AB4850" s="1"/>
      <c r="AC4850" s="1"/>
      <c r="AD4850" s="1"/>
      <c r="AE4850" s="1"/>
      <c r="AF4850" s="1"/>
      <c r="AG4850" s="1"/>
    </row>
    <row r="4851" ht="15.75" customHeight="1">
      <c r="A4851" s="1"/>
      <c r="B4851" s="1"/>
      <c r="C4851" s="1"/>
      <c r="D4851" s="1"/>
      <c r="E4851" s="1"/>
      <c r="F4851" s="1"/>
      <c r="G4851" s="1"/>
      <c r="H4851" s="1"/>
      <c r="I4851" s="1"/>
      <c r="J4851" s="1"/>
      <c r="K4851" s="102" t="s">
        <v>7534</v>
      </c>
      <c r="L4851" s="102" t="str">
        <f>G652</f>
        <v>J1a2a2a~</v>
      </c>
      <c r="M4851" s="102"/>
      <c r="N4851" s="102"/>
      <c r="O4851" s="102">
        <v>1.4513156E7</v>
      </c>
      <c r="P4851" s="102">
        <v>1.2401361E7</v>
      </c>
      <c r="Q4851" s="102" t="s">
        <v>2533</v>
      </c>
      <c r="S4851" s="1"/>
      <c r="T4851" s="1"/>
      <c r="U4851" s="1"/>
      <c r="V4851" s="1"/>
      <c r="W4851" s="1"/>
      <c r="X4851" s="1"/>
      <c r="Y4851" s="1"/>
      <c r="AA4851" s="102"/>
      <c r="AB4851" s="1"/>
      <c r="AC4851" s="1"/>
      <c r="AD4851" s="1"/>
      <c r="AE4851" s="1"/>
      <c r="AF4851" s="1"/>
      <c r="AG4851" s="1"/>
    </row>
    <row r="4852" ht="15.75" customHeight="1">
      <c r="A4852" s="1"/>
      <c r="B4852" s="1"/>
      <c r="C4852" s="1"/>
      <c r="D4852" s="1"/>
      <c r="E4852" s="1"/>
      <c r="F4852" s="1"/>
      <c r="G4852" s="1"/>
      <c r="H4852" s="1"/>
      <c r="I4852" s="1"/>
      <c r="J4852" s="1"/>
      <c r="K4852" s="102" t="s">
        <v>7535</v>
      </c>
      <c r="L4852" s="102" t="str">
        <f>G652</f>
        <v>J1a2a2a~</v>
      </c>
      <c r="M4852" s="102"/>
      <c r="N4852" s="102"/>
      <c r="O4852" s="105">
        <v>1.4621415E7</v>
      </c>
      <c r="P4852" s="105">
        <v>1.2509613E7</v>
      </c>
      <c r="Q4852" s="102" t="s">
        <v>2439</v>
      </c>
      <c r="S4852" s="1"/>
      <c r="T4852" s="1"/>
      <c r="U4852" s="1"/>
      <c r="V4852" s="1"/>
      <c r="W4852" s="1"/>
      <c r="X4852" s="1"/>
      <c r="Y4852" s="1"/>
      <c r="AA4852" s="102"/>
      <c r="AB4852" s="1"/>
      <c r="AC4852" s="1"/>
      <c r="AD4852" s="1"/>
      <c r="AE4852" s="1"/>
      <c r="AF4852" s="1"/>
      <c r="AG4852" s="1"/>
    </row>
    <row r="4853" ht="15.75" customHeight="1">
      <c r="A4853" s="1"/>
      <c r="B4853" s="1"/>
      <c r="C4853" s="1"/>
      <c r="D4853" s="1"/>
      <c r="E4853" s="1"/>
      <c r="F4853" s="1"/>
      <c r="G4853" s="1"/>
      <c r="H4853" s="1"/>
      <c r="I4853" s="1"/>
      <c r="J4853" s="1"/>
      <c r="K4853" s="102" t="s">
        <v>7536</v>
      </c>
      <c r="L4853" s="102" t="str">
        <f>G652</f>
        <v>J1a2a2a~</v>
      </c>
      <c r="M4853" s="102"/>
      <c r="N4853" s="102"/>
      <c r="O4853" s="105">
        <v>1.4789845E7</v>
      </c>
      <c r="P4853" s="105">
        <v>1.2677916E7</v>
      </c>
      <c r="Q4853" s="102" t="s">
        <v>2468</v>
      </c>
      <c r="S4853" s="1"/>
      <c r="T4853" s="1"/>
      <c r="U4853" s="1"/>
      <c r="V4853" s="1"/>
      <c r="W4853" s="1"/>
      <c r="X4853" s="1"/>
      <c r="Y4853" s="1"/>
      <c r="AA4853" s="102"/>
      <c r="AB4853" s="1"/>
      <c r="AC4853" s="1"/>
      <c r="AD4853" s="1"/>
      <c r="AE4853" s="1"/>
      <c r="AF4853" s="1"/>
      <c r="AG4853" s="1"/>
    </row>
    <row r="4854" ht="15.75" customHeight="1">
      <c r="A4854" s="1"/>
      <c r="B4854" s="1"/>
      <c r="C4854" s="1"/>
      <c r="D4854" s="1"/>
      <c r="E4854" s="1"/>
      <c r="F4854" s="1"/>
      <c r="G4854" s="1"/>
      <c r="H4854" s="1"/>
      <c r="I4854" s="1"/>
      <c r="J4854" s="1"/>
      <c r="K4854" s="102" t="s">
        <v>7537</v>
      </c>
      <c r="L4854" s="102" t="str">
        <f>G652</f>
        <v>J1a2a2a~</v>
      </c>
      <c r="M4854" s="102"/>
      <c r="N4854" s="102"/>
      <c r="O4854" s="105">
        <v>1.482293E7</v>
      </c>
      <c r="P4854" s="105">
        <v>1.2710997E7</v>
      </c>
      <c r="Q4854" s="102" t="s">
        <v>2529</v>
      </c>
      <c r="S4854" s="1"/>
      <c r="T4854" s="1"/>
      <c r="U4854" s="1"/>
      <c r="V4854" s="1"/>
      <c r="W4854" s="1"/>
      <c r="X4854" s="1"/>
      <c r="Y4854" s="1"/>
      <c r="AA4854" s="102"/>
      <c r="AB4854" s="1"/>
      <c r="AC4854" s="1"/>
      <c r="AD4854" s="1"/>
      <c r="AE4854" s="1"/>
      <c r="AF4854" s="1"/>
      <c r="AG4854" s="1"/>
    </row>
    <row r="4855" ht="15.75" customHeight="1">
      <c r="A4855" s="1"/>
      <c r="B4855" s="1"/>
      <c r="C4855" s="1"/>
      <c r="D4855" s="1"/>
      <c r="E4855" s="1"/>
      <c r="F4855" s="1"/>
      <c r="G4855" s="1"/>
      <c r="H4855" s="1"/>
      <c r="I4855" s="1"/>
      <c r="J4855" s="1"/>
      <c r="K4855" s="102" t="s">
        <v>7538</v>
      </c>
      <c r="L4855" s="102" t="str">
        <f>G652</f>
        <v>J1a2a2a~</v>
      </c>
      <c r="M4855" s="102"/>
      <c r="N4855" s="102"/>
      <c r="O4855" s="105">
        <v>1.5192976E7</v>
      </c>
      <c r="P4855" s="105">
        <v>1.3081062E7</v>
      </c>
      <c r="Q4855" s="102" t="s">
        <v>2439</v>
      </c>
      <c r="S4855" s="1"/>
      <c r="T4855" s="1"/>
      <c r="U4855" s="1"/>
      <c r="V4855" s="1"/>
      <c r="W4855" s="1"/>
      <c r="X4855" s="1"/>
      <c r="Y4855" s="1"/>
      <c r="AA4855" s="102"/>
      <c r="AB4855" s="1"/>
      <c r="AC4855" s="1"/>
      <c r="AD4855" s="1"/>
      <c r="AE4855" s="1"/>
      <c r="AF4855" s="1"/>
      <c r="AG4855" s="1"/>
    </row>
    <row r="4856" ht="15.75" customHeight="1">
      <c r="A4856" s="1"/>
      <c r="B4856" s="1"/>
      <c r="C4856" s="1"/>
      <c r="D4856" s="1"/>
      <c r="E4856" s="1"/>
      <c r="F4856" s="1"/>
      <c r="G4856" s="1"/>
      <c r="H4856" s="1"/>
      <c r="I4856" s="1"/>
      <c r="J4856" s="1"/>
      <c r="K4856" s="102" t="s">
        <v>7539</v>
      </c>
      <c r="L4856" s="102" t="str">
        <f>G652</f>
        <v>J1a2a2a~</v>
      </c>
      <c r="M4856" s="102"/>
      <c r="N4856" s="102"/>
      <c r="O4856" s="105">
        <v>1.5450577E7</v>
      </c>
      <c r="P4856" s="105">
        <v>1.3338697E7</v>
      </c>
      <c r="Q4856" s="102" t="s">
        <v>2439</v>
      </c>
      <c r="S4856" s="1"/>
      <c r="T4856" s="1"/>
      <c r="U4856" s="1"/>
      <c r="V4856" s="1"/>
      <c r="W4856" s="1"/>
      <c r="X4856" s="1"/>
      <c r="Y4856" s="1"/>
      <c r="AA4856" s="102"/>
      <c r="AB4856" s="1"/>
      <c r="AC4856" s="1"/>
      <c r="AD4856" s="1"/>
      <c r="AE4856" s="1"/>
      <c r="AF4856" s="1"/>
      <c r="AG4856" s="1"/>
    </row>
    <row r="4857" ht="15.75" customHeight="1">
      <c r="A4857" s="1"/>
      <c r="B4857" s="1"/>
      <c r="C4857" s="1"/>
      <c r="D4857" s="1"/>
      <c r="E4857" s="1"/>
      <c r="F4857" s="1"/>
      <c r="G4857" s="1"/>
      <c r="H4857" s="1"/>
      <c r="I4857" s="1"/>
      <c r="J4857" s="1"/>
      <c r="K4857" s="102" t="s">
        <v>7540</v>
      </c>
      <c r="L4857" s="102" t="str">
        <f>G652</f>
        <v>J1a2a2a~</v>
      </c>
      <c r="M4857" s="102"/>
      <c r="N4857" s="102"/>
      <c r="O4857" s="105">
        <v>1.5539833E7</v>
      </c>
      <c r="P4857" s="105">
        <v>1.3427953E7</v>
      </c>
      <c r="Q4857" s="102" t="s">
        <v>2533</v>
      </c>
      <c r="S4857" s="1"/>
      <c r="T4857" s="1"/>
      <c r="U4857" s="1"/>
      <c r="V4857" s="1"/>
      <c r="W4857" s="1"/>
      <c r="X4857" s="1"/>
      <c r="Y4857" s="1"/>
      <c r="AA4857" s="102"/>
      <c r="AB4857" s="1"/>
      <c r="AC4857" s="1"/>
      <c r="AD4857" s="1"/>
      <c r="AE4857" s="1"/>
      <c r="AF4857" s="1"/>
      <c r="AG4857" s="1"/>
    </row>
    <row r="4858" ht="15.75" customHeight="1">
      <c r="A4858" s="1"/>
      <c r="B4858" s="1"/>
      <c r="C4858" s="1"/>
      <c r="D4858" s="1"/>
      <c r="E4858" s="1"/>
      <c r="F4858" s="1"/>
      <c r="G4858" s="1"/>
      <c r="H4858" s="1"/>
      <c r="I4858" s="1"/>
      <c r="J4858" s="1"/>
      <c r="K4858" s="102" t="s">
        <v>7541</v>
      </c>
      <c r="L4858" s="102" t="str">
        <f>G652</f>
        <v>J1a2a2a~</v>
      </c>
      <c r="M4858" s="102"/>
      <c r="N4858" s="102"/>
      <c r="O4858" s="105">
        <v>1.574459E7</v>
      </c>
      <c r="P4858" s="105">
        <v>1.363271E7</v>
      </c>
      <c r="Q4858" s="102" t="s">
        <v>2432</v>
      </c>
      <c r="S4858" s="1"/>
      <c r="T4858" s="1"/>
      <c r="U4858" s="1"/>
      <c r="V4858" s="1"/>
      <c r="W4858" s="1"/>
      <c r="X4858" s="1"/>
      <c r="Y4858" s="1"/>
      <c r="AA4858" s="102"/>
      <c r="AB4858" s="1"/>
      <c r="AC4858" s="1"/>
      <c r="AD4858" s="1"/>
      <c r="AE4858" s="1"/>
      <c r="AF4858" s="1"/>
      <c r="AG4858" s="1"/>
    </row>
    <row r="4859" ht="15.75" customHeight="1">
      <c r="A4859" s="1"/>
      <c r="B4859" s="1"/>
      <c r="C4859" s="1"/>
      <c r="D4859" s="1"/>
      <c r="E4859" s="1"/>
      <c r="F4859" s="1"/>
      <c r="G4859" s="1"/>
      <c r="H4859" s="1"/>
      <c r="I4859" s="1"/>
      <c r="J4859" s="1"/>
      <c r="K4859" s="102" t="s">
        <v>7542</v>
      </c>
      <c r="L4859" s="102" t="str">
        <f>G652</f>
        <v>J1a2a2a~</v>
      </c>
      <c r="M4859" s="102"/>
      <c r="N4859" s="102"/>
      <c r="O4859" s="105">
        <v>1.5990263E7</v>
      </c>
      <c r="P4859" s="105">
        <v>1.3878383E7</v>
      </c>
      <c r="Q4859" s="102" t="s">
        <v>2576</v>
      </c>
      <c r="S4859" s="1"/>
      <c r="T4859" s="1"/>
      <c r="U4859" s="1"/>
      <c r="V4859" s="1"/>
      <c r="W4859" s="1"/>
      <c r="X4859" s="1"/>
      <c r="Y4859" s="1"/>
      <c r="AA4859" s="102"/>
      <c r="AB4859" s="1"/>
      <c r="AC4859" s="1"/>
      <c r="AD4859" s="1"/>
      <c r="AE4859" s="1"/>
      <c r="AF4859" s="1"/>
      <c r="AG4859" s="1"/>
    </row>
    <row r="4860" ht="15.75" customHeight="1">
      <c r="A4860" s="1"/>
      <c r="B4860" s="1"/>
      <c r="C4860" s="1"/>
      <c r="D4860" s="1"/>
      <c r="E4860" s="1"/>
      <c r="F4860" s="1"/>
      <c r="G4860" s="1"/>
      <c r="H4860" s="1"/>
      <c r="I4860" s="1"/>
      <c r="J4860" s="1"/>
      <c r="K4860" s="102" t="s">
        <v>7543</v>
      </c>
      <c r="L4860" s="102" t="str">
        <f>G652</f>
        <v>J1a2a2a~</v>
      </c>
      <c r="M4860" s="102"/>
      <c r="N4860" s="102"/>
      <c r="O4860" s="105">
        <v>1.6639369E7</v>
      </c>
      <c r="P4860" s="105">
        <v>1.4527489E7</v>
      </c>
      <c r="Q4860" s="102" t="s">
        <v>2529</v>
      </c>
      <c r="S4860" s="1"/>
      <c r="T4860" s="1"/>
      <c r="U4860" s="1"/>
      <c r="V4860" s="1"/>
      <c r="W4860" s="1"/>
      <c r="X4860" s="1"/>
      <c r="Y4860" s="1"/>
      <c r="AA4860" s="102"/>
      <c r="AB4860" s="1"/>
      <c r="AC4860" s="1"/>
      <c r="AD4860" s="1"/>
      <c r="AE4860" s="1"/>
      <c r="AF4860" s="1"/>
      <c r="AG4860" s="1"/>
    </row>
    <row r="4861" ht="15.75" customHeight="1">
      <c r="A4861" s="1"/>
      <c r="B4861" s="1"/>
      <c r="C4861" s="1"/>
      <c r="D4861" s="1"/>
      <c r="E4861" s="1"/>
      <c r="F4861" s="1"/>
      <c r="G4861" s="1"/>
      <c r="H4861" s="1"/>
      <c r="I4861" s="1"/>
      <c r="J4861" s="1"/>
      <c r="K4861" s="102" t="s">
        <v>7544</v>
      </c>
      <c r="L4861" s="102" t="str">
        <f>G652</f>
        <v>J1a2a2a~</v>
      </c>
      <c r="M4861" s="102"/>
      <c r="N4861" s="102"/>
      <c r="O4861" s="105">
        <v>1.6919721E7</v>
      </c>
      <c r="P4861" s="105">
        <v>1.4807841E7</v>
      </c>
      <c r="Q4861" s="102" t="s">
        <v>2446</v>
      </c>
      <c r="S4861" s="1"/>
      <c r="T4861" s="1"/>
      <c r="U4861" s="1"/>
      <c r="V4861" s="1"/>
      <c r="W4861" s="1"/>
      <c r="X4861" s="1"/>
      <c r="Y4861" s="1"/>
      <c r="AA4861" s="102"/>
      <c r="AB4861" s="1"/>
      <c r="AC4861" s="1"/>
      <c r="AD4861" s="1"/>
      <c r="AE4861" s="1"/>
      <c r="AF4861" s="1"/>
      <c r="AG4861" s="1"/>
    </row>
    <row r="4862" ht="15.75" customHeight="1">
      <c r="A4862" s="1"/>
      <c r="B4862" s="1"/>
      <c r="C4862" s="1"/>
      <c r="D4862" s="1"/>
      <c r="E4862" s="1"/>
      <c r="F4862" s="1"/>
      <c r="G4862" s="1"/>
      <c r="H4862" s="1"/>
      <c r="I4862" s="1"/>
      <c r="J4862" s="1"/>
      <c r="K4862" s="102" t="s">
        <v>7545</v>
      </c>
      <c r="L4862" s="102" t="str">
        <f>G652</f>
        <v>J1a2a2a~</v>
      </c>
      <c r="M4862" s="102"/>
      <c r="N4862" s="102"/>
      <c r="O4862" s="105">
        <v>1.7016453E7</v>
      </c>
      <c r="P4862" s="105">
        <v>1.4904573E7</v>
      </c>
      <c r="Q4862" s="102" t="s">
        <v>2446</v>
      </c>
      <c r="S4862" s="1"/>
      <c r="T4862" s="1"/>
      <c r="U4862" s="1"/>
      <c r="V4862" s="1"/>
      <c r="W4862" s="1"/>
      <c r="X4862" s="1"/>
      <c r="Y4862" s="1"/>
      <c r="AA4862" s="102"/>
      <c r="AB4862" s="1"/>
      <c r="AC4862" s="1"/>
      <c r="AD4862" s="1"/>
      <c r="AE4862" s="1"/>
      <c r="AF4862" s="1"/>
      <c r="AG4862" s="1"/>
    </row>
    <row r="4863" ht="15.75" customHeight="1">
      <c r="A4863" s="1"/>
      <c r="B4863" s="1"/>
      <c r="C4863" s="1"/>
      <c r="D4863" s="1"/>
      <c r="E4863" s="1"/>
      <c r="F4863" s="1"/>
      <c r="G4863" s="1"/>
      <c r="H4863" s="1"/>
      <c r="I4863" s="1"/>
      <c r="J4863" s="1"/>
      <c r="K4863" s="102" t="s">
        <v>7546</v>
      </c>
      <c r="L4863" s="102" t="str">
        <f>G652</f>
        <v>J1a2a2a~</v>
      </c>
      <c r="M4863" s="102"/>
      <c r="N4863" s="102"/>
      <c r="O4863" s="105">
        <v>1.7225375E7</v>
      </c>
      <c r="P4863" s="105">
        <v>1.5113495E7</v>
      </c>
      <c r="Q4863" s="102" t="s">
        <v>2423</v>
      </c>
      <c r="S4863" s="1"/>
      <c r="T4863" s="1"/>
      <c r="U4863" s="1"/>
      <c r="V4863" s="1"/>
      <c r="W4863" s="1"/>
      <c r="X4863" s="1"/>
      <c r="Y4863" s="1"/>
      <c r="AA4863" s="102"/>
      <c r="AB4863" s="1"/>
      <c r="AC4863" s="1"/>
      <c r="AD4863" s="1"/>
      <c r="AE4863" s="1"/>
      <c r="AF4863" s="1"/>
      <c r="AG4863" s="1"/>
    </row>
    <row r="4864" ht="15.75" customHeight="1">
      <c r="A4864" s="1"/>
      <c r="B4864" s="1"/>
      <c r="C4864" s="1"/>
      <c r="D4864" s="1"/>
      <c r="E4864" s="1"/>
      <c r="F4864" s="1"/>
      <c r="G4864" s="1"/>
      <c r="H4864" s="1"/>
      <c r="I4864" s="1"/>
      <c r="J4864" s="1"/>
      <c r="K4864" s="102" t="s">
        <v>3260</v>
      </c>
      <c r="L4864" s="102" t="str">
        <f>G652</f>
        <v>J1a2a2a~</v>
      </c>
      <c r="M4864" s="102"/>
      <c r="N4864" s="102"/>
      <c r="O4864" s="105">
        <v>1.727865E7</v>
      </c>
      <c r="P4864" s="105">
        <v>1.516677E7</v>
      </c>
      <c r="Q4864" s="102" t="s">
        <v>2454</v>
      </c>
      <c r="S4864" s="1"/>
      <c r="T4864" s="1"/>
      <c r="U4864" s="1"/>
      <c r="V4864" s="1"/>
      <c r="W4864" s="1"/>
      <c r="X4864" s="1"/>
      <c r="Y4864" s="1"/>
      <c r="AA4864" s="102"/>
      <c r="AB4864" s="1"/>
      <c r="AC4864" s="1"/>
      <c r="AD4864" s="1"/>
      <c r="AE4864" s="1"/>
      <c r="AF4864" s="1"/>
      <c r="AG4864" s="1"/>
    </row>
    <row r="4865" ht="15.75" customHeight="1">
      <c r="A4865" s="1"/>
      <c r="B4865" s="1"/>
      <c r="C4865" s="1"/>
      <c r="D4865" s="1"/>
      <c r="E4865" s="1"/>
      <c r="F4865" s="1"/>
      <c r="G4865" s="1"/>
      <c r="H4865" s="1"/>
      <c r="I4865" s="1"/>
      <c r="J4865" s="1"/>
      <c r="K4865" s="102" t="s">
        <v>7547</v>
      </c>
      <c r="L4865" s="102" t="str">
        <f>G652</f>
        <v>J1a2a2a~</v>
      </c>
      <c r="M4865" s="102"/>
      <c r="N4865" s="102"/>
      <c r="O4865" s="105">
        <v>1.7438247E7</v>
      </c>
      <c r="P4865" s="105">
        <v>1.5326367E7</v>
      </c>
      <c r="Q4865" s="102" t="s">
        <v>2563</v>
      </c>
      <c r="S4865" s="1"/>
      <c r="T4865" s="1"/>
      <c r="U4865" s="1"/>
      <c r="V4865" s="1"/>
      <c r="W4865" s="1"/>
      <c r="X4865" s="1"/>
      <c r="Y4865" s="1"/>
      <c r="AA4865" s="102"/>
      <c r="AB4865" s="1"/>
      <c r="AC4865" s="1"/>
      <c r="AD4865" s="1"/>
      <c r="AE4865" s="1"/>
      <c r="AF4865" s="1"/>
      <c r="AG4865" s="1"/>
    </row>
    <row r="4866" ht="15.75" customHeight="1">
      <c r="A4866" s="1"/>
      <c r="B4866" s="1"/>
      <c r="C4866" s="1"/>
      <c r="D4866" s="1"/>
      <c r="E4866" s="1"/>
      <c r="F4866" s="1"/>
      <c r="G4866" s="1"/>
      <c r="H4866" s="1"/>
      <c r="I4866" s="1"/>
      <c r="J4866" s="1"/>
      <c r="K4866" s="102" t="s">
        <v>7548</v>
      </c>
      <c r="L4866" s="102" t="str">
        <f>G652</f>
        <v>J1a2a2a~</v>
      </c>
      <c r="M4866" s="102"/>
      <c r="N4866" s="102"/>
      <c r="O4866" s="105">
        <v>1.7960919E7</v>
      </c>
      <c r="P4866" s="105">
        <v>1.5849039E7</v>
      </c>
      <c r="Q4866" s="102" t="s">
        <v>2501</v>
      </c>
      <c r="S4866" s="1"/>
      <c r="T4866" s="1"/>
      <c r="U4866" s="1"/>
      <c r="V4866" s="1"/>
      <c r="W4866" s="1"/>
      <c r="X4866" s="1"/>
      <c r="Y4866" s="1"/>
      <c r="AA4866" s="102"/>
      <c r="AB4866" s="1"/>
      <c r="AC4866" s="1"/>
      <c r="AD4866" s="1"/>
      <c r="AE4866" s="1"/>
      <c r="AF4866" s="1"/>
      <c r="AG4866" s="1"/>
    </row>
    <row r="4867" ht="15.75" customHeight="1">
      <c r="A4867" s="1"/>
      <c r="B4867" s="1"/>
      <c r="C4867" s="1"/>
      <c r="D4867" s="1"/>
      <c r="E4867" s="1"/>
      <c r="F4867" s="1"/>
      <c r="G4867" s="1"/>
      <c r="H4867" s="1"/>
      <c r="I4867" s="1"/>
      <c r="J4867" s="1"/>
      <c r="K4867" s="102" t="s">
        <v>7549</v>
      </c>
      <c r="L4867" s="102" t="str">
        <f>G652</f>
        <v>J1a2a2a~</v>
      </c>
      <c r="M4867" s="102"/>
      <c r="N4867" s="102" t="s">
        <v>7550</v>
      </c>
      <c r="O4867" s="105">
        <v>1.7972137E7</v>
      </c>
      <c r="P4867" s="105">
        <v>1.5860257E7</v>
      </c>
      <c r="Q4867" s="102" t="s">
        <v>2529</v>
      </c>
      <c r="S4867" s="1"/>
      <c r="T4867" s="1"/>
      <c r="U4867" s="1"/>
      <c r="V4867" s="1"/>
      <c r="W4867" s="1"/>
      <c r="X4867" s="1"/>
      <c r="Y4867" s="1"/>
      <c r="AA4867" s="102"/>
      <c r="AB4867" s="1"/>
      <c r="AC4867" s="1"/>
      <c r="AD4867" s="1"/>
      <c r="AE4867" s="1"/>
      <c r="AF4867" s="1"/>
      <c r="AG4867" s="1"/>
    </row>
    <row r="4868" ht="15.75" customHeight="1">
      <c r="A4868" s="1"/>
      <c r="B4868" s="1"/>
      <c r="C4868" s="1"/>
      <c r="D4868" s="1"/>
      <c r="E4868" s="1"/>
      <c r="F4868" s="1"/>
      <c r="G4868" s="1"/>
      <c r="H4868" s="1"/>
      <c r="I4868" s="1"/>
      <c r="J4868" s="1"/>
      <c r="K4868" s="102" t="s">
        <v>7551</v>
      </c>
      <c r="L4868" s="102" t="str">
        <f>G652</f>
        <v>J1a2a2a~</v>
      </c>
      <c r="M4868" s="102"/>
      <c r="N4868" s="102"/>
      <c r="O4868" s="105">
        <v>1.8122302E7</v>
      </c>
      <c r="P4868" s="105">
        <v>1.6010422E7</v>
      </c>
      <c r="Q4868" s="102" t="s">
        <v>2439</v>
      </c>
      <c r="S4868" s="1"/>
      <c r="T4868" s="1"/>
      <c r="U4868" s="1"/>
      <c r="V4868" s="1"/>
      <c r="W4868" s="1"/>
      <c r="X4868" s="1"/>
      <c r="Y4868" s="1"/>
      <c r="AA4868" s="102"/>
      <c r="AB4868" s="1"/>
      <c r="AC4868" s="1"/>
      <c r="AD4868" s="1"/>
      <c r="AE4868" s="1"/>
      <c r="AF4868" s="1"/>
      <c r="AG4868" s="1"/>
    </row>
    <row r="4869" ht="15.75" customHeight="1">
      <c r="A4869" s="1"/>
      <c r="B4869" s="1"/>
      <c r="C4869" s="1"/>
      <c r="D4869" s="1"/>
      <c r="E4869" s="1"/>
      <c r="F4869" s="1"/>
      <c r="G4869" s="1"/>
      <c r="H4869" s="1"/>
      <c r="I4869" s="1"/>
      <c r="J4869" s="1"/>
      <c r="K4869" s="102" t="s">
        <v>7552</v>
      </c>
      <c r="L4869" s="102" t="str">
        <f>G652</f>
        <v>J1a2a2a~</v>
      </c>
      <c r="M4869" s="102"/>
      <c r="N4869" s="102"/>
      <c r="O4869" s="105">
        <v>1.8384483E7</v>
      </c>
      <c r="P4869" s="105">
        <v>1.6272603E7</v>
      </c>
      <c r="Q4869" s="102" t="s">
        <v>2468</v>
      </c>
      <c r="S4869" s="1"/>
      <c r="T4869" s="1"/>
      <c r="U4869" s="1"/>
      <c r="V4869" s="1"/>
      <c r="W4869" s="1"/>
      <c r="X4869" s="1"/>
      <c r="Y4869" s="1"/>
      <c r="AA4869" s="102"/>
      <c r="AB4869" s="1"/>
      <c r="AC4869" s="1"/>
      <c r="AD4869" s="1"/>
      <c r="AE4869" s="1"/>
      <c r="AF4869" s="1"/>
      <c r="AG4869" s="1"/>
    </row>
    <row r="4870" ht="15.75" customHeight="1">
      <c r="A4870" s="1"/>
      <c r="B4870" s="1"/>
      <c r="C4870" s="1"/>
      <c r="D4870" s="1"/>
      <c r="E4870" s="1"/>
      <c r="F4870" s="1"/>
      <c r="G4870" s="1"/>
      <c r="H4870" s="1"/>
      <c r="I4870" s="1"/>
      <c r="J4870" s="1"/>
      <c r="K4870" s="102" t="s">
        <v>7553</v>
      </c>
      <c r="L4870" s="102" t="str">
        <f>G652</f>
        <v>J1a2a2a~</v>
      </c>
      <c r="M4870" s="102"/>
      <c r="N4870" s="102"/>
      <c r="O4870" s="105">
        <v>1.839287E7</v>
      </c>
      <c r="P4870" s="105">
        <v>1.628099E7</v>
      </c>
      <c r="Q4870" s="102" t="s">
        <v>2468</v>
      </c>
      <c r="S4870" s="1"/>
      <c r="T4870" s="1"/>
      <c r="U4870" s="1"/>
      <c r="V4870" s="1"/>
      <c r="W4870" s="1"/>
      <c r="X4870" s="1"/>
      <c r="Y4870" s="1"/>
      <c r="AA4870" s="102"/>
      <c r="AB4870" s="1"/>
      <c r="AC4870" s="1"/>
      <c r="AD4870" s="1"/>
      <c r="AE4870" s="1"/>
      <c r="AF4870" s="1"/>
      <c r="AG4870" s="1"/>
    </row>
    <row r="4871" ht="15.75" customHeight="1">
      <c r="A4871" s="1"/>
      <c r="B4871" s="1"/>
      <c r="C4871" s="1"/>
      <c r="D4871" s="1"/>
      <c r="E4871" s="1"/>
      <c r="F4871" s="1"/>
      <c r="G4871" s="1"/>
      <c r="H4871" s="1"/>
      <c r="I4871" s="1"/>
      <c r="J4871" s="1"/>
      <c r="K4871" s="102" t="s">
        <v>7554</v>
      </c>
      <c r="L4871" s="102" t="str">
        <f>G652</f>
        <v>J1a2a2a~</v>
      </c>
      <c r="M4871" s="102"/>
      <c r="N4871" s="102"/>
      <c r="O4871" s="105">
        <v>1.8832868E7</v>
      </c>
      <c r="P4871" s="105">
        <v>1.6720988E7</v>
      </c>
      <c r="Q4871" s="102" t="s">
        <v>2439</v>
      </c>
      <c r="S4871" s="1"/>
      <c r="T4871" s="1"/>
      <c r="U4871" s="1"/>
      <c r="V4871" s="1"/>
      <c r="W4871" s="1"/>
      <c r="X4871" s="1"/>
      <c r="Y4871" s="1"/>
      <c r="AA4871" s="102"/>
      <c r="AB4871" s="1"/>
      <c r="AC4871" s="1"/>
      <c r="AD4871" s="1"/>
      <c r="AE4871" s="1"/>
      <c r="AF4871" s="1"/>
      <c r="AG4871" s="1"/>
    </row>
    <row r="4872" ht="15.75" customHeight="1">
      <c r="A4872" s="1"/>
      <c r="B4872" s="1"/>
      <c r="C4872" s="1"/>
      <c r="D4872" s="1"/>
      <c r="E4872" s="1"/>
      <c r="F4872" s="1"/>
      <c r="G4872" s="1"/>
      <c r="H4872" s="1"/>
      <c r="I4872" s="1"/>
      <c r="J4872" s="1"/>
      <c r="K4872" s="102" t="s">
        <v>7555</v>
      </c>
      <c r="L4872" s="102" t="str">
        <f>G652</f>
        <v>J1a2a2a~</v>
      </c>
      <c r="M4872" s="102"/>
      <c r="N4872" s="102"/>
      <c r="O4872" s="105">
        <v>1.8844118E7</v>
      </c>
      <c r="P4872" s="105">
        <v>1.6732238E7</v>
      </c>
      <c r="Q4872" s="102" t="s">
        <v>2576</v>
      </c>
      <c r="S4872" s="1"/>
      <c r="T4872" s="1"/>
      <c r="U4872" s="1"/>
      <c r="V4872" s="1"/>
      <c r="W4872" s="1"/>
      <c r="X4872" s="1"/>
      <c r="Y4872" s="1"/>
      <c r="AA4872" s="102"/>
      <c r="AB4872" s="1"/>
      <c r="AC4872" s="1"/>
      <c r="AD4872" s="1"/>
      <c r="AE4872" s="1"/>
      <c r="AF4872" s="1"/>
      <c r="AG4872" s="1"/>
    </row>
    <row r="4873" ht="15.75" customHeight="1">
      <c r="A4873" s="1"/>
      <c r="B4873" s="1"/>
      <c r="C4873" s="1"/>
      <c r="D4873" s="1"/>
      <c r="E4873" s="1"/>
      <c r="F4873" s="1"/>
      <c r="G4873" s="1"/>
      <c r="H4873" s="1"/>
      <c r="I4873" s="1"/>
      <c r="J4873" s="1"/>
      <c r="K4873" s="102" t="s">
        <v>7556</v>
      </c>
      <c r="L4873" s="102" t="str">
        <f>G652</f>
        <v>J1a2a2a~</v>
      </c>
      <c r="M4873" s="102"/>
      <c r="N4873" s="102"/>
      <c r="O4873" s="105">
        <v>1.8933572E7</v>
      </c>
      <c r="P4873" s="105">
        <v>1.6821692E7</v>
      </c>
      <c r="Q4873" s="102" t="s">
        <v>2514</v>
      </c>
      <c r="S4873" s="1"/>
      <c r="T4873" s="1"/>
      <c r="U4873" s="1"/>
      <c r="V4873" s="1"/>
      <c r="W4873" s="1"/>
      <c r="X4873" s="1"/>
      <c r="Y4873" s="1"/>
      <c r="AA4873" s="102"/>
      <c r="AB4873" s="1"/>
      <c r="AC4873" s="1"/>
      <c r="AD4873" s="1"/>
      <c r="AE4873" s="1"/>
      <c r="AF4873" s="1"/>
      <c r="AG4873" s="1"/>
    </row>
    <row r="4874" ht="15.75" customHeight="1">
      <c r="A4874" s="1"/>
      <c r="B4874" s="1"/>
      <c r="C4874" s="1"/>
      <c r="D4874" s="1"/>
      <c r="E4874" s="1"/>
      <c r="F4874" s="1"/>
      <c r="G4874" s="1"/>
      <c r="H4874" s="1"/>
      <c r="I4874" s="1"/>
      <c r="J4874" s="1"/>
      <c r="K4874" s="102" t="s">
        <v>7557</v>
      </c>
      <c r="L4874" s="102" t="str">
        <f>G652</f>
        <v>J1a2a2a~</v>
      </c>
      <c r="M4874" s="102"/>
      <c r="N4874" s="102"/>
      <c r="O4874" s="105">
        <v>1.9031515E7</v>
      </c>
      <c r="P4874" s="105">
        <v>1.6919635E7</v>
      </c>
      <c r="Q4874" s="102" t="s">
        <v>2454</v>
      </c>
      <c r="S4874" s="1"/>
      <c r="T4874" s="1"/>
      <c r="U4874" s="1"/>
      <c r="V4874" s="1"/>
      <c r="W4874" s="1"/>
      <c r="X4874" s="1"/>
      <c r="Y4874" s="1"/>
      <c r="AA4874" s="102"/>
      <c r="AB4874" s="1"/>
      <c r="AC4874" s="1"/>
      <c r="AD4874" s="1"/>
      <c r="AE4874" s="1"/>
      <c r="AF4874" s="1"/>
      <c r="AG4874" s="1"/>
    </row>
    <row r="4875" ht="15.75" customHeight="1">
      <c r="A4875" s="1"/>
      <c r="B4875" s="1"/>
      <c r="C4875" s="1"/>
      <c r="D4875" s="1"/>
      <c r="E4875" s="1"/>
      <c r="F4875" s="1"/>
      <c r="G4875" s="1"/>
      <c r="H4875" s="1"/>
      <c r="I4875" s="1"/>
      <c r="J4875" s="1"/>
      <c r="K4875" s="102" t="s">
        <v>7558</v>
      </c>
      <c r="L4875" s="102" t="str">
        <f>G652</f>
        <v>J1a2a2a~</v>
      </c>
      <c r="M4875" s="102"/>
      <c r="N4875" s="102"/>
      <c r="O4875" s="105">
        <v>1.9036457E7</v>
      </c>
      <c r="P4875" s="105">
        <v>1.6924577E7</v>
      </c>
      <c r="Q4875" s="102" t="s">
        <v>2529</v>
      </c>
      <c r="S4875" s="1"/>
      <c r="T4875" s="1"/>
      <c r="U4875" s="1"/>
      <c r="V4875" s="1"/>
      <c r="W4875" s="1"/>
      <c r="X4875" s="1"/>
      <c r="Y4875" s="1"/>
      <c r="AA4875" s="102"/>
      <c r="AB4875" s="1"/>
      <c r="AC4875" s="1"/>
      <c r="AD4875" s="1"/>
      <c r="AE4875" s="1"/>
      <c r="AF4875" s="1"/>
      <c r="AG4875" s="1"/>
    </row>
    <row r="4876" ht="15.75" customHeight="1">
      <c r="A4876" s="1"/>
      <c r="B4876" s="1"/>
      <c r="C4876" s="1"/>
      <c r="D4876" s="1"/>
      <c r="E4876" s="1"/>
      <c r="F4876" s="1"/>
      <c r="G4876" s="1"/>
      <c r="H4876" s="1"/>
      <c r="I4876" s="1"/>
      <c r="J4876" s="1"/>
      <c r="K4876" s="102" t="s">
        <v>7559</v>
      </c>
      <c r="L4876" s="102" t="str">
        <f>G652</f>
        <v>J1a2a2a~</v>
      </c>
      <c r="M4876" s="102"/>
      <c r="N4876" s="102"/>
      <c r="O4876" s="105">
        <v>1.9215447E7</v>
      </c>
      <c r="P4876" s="105">
        <v>1.7103567E7</v>
      </c>
      <c r="Q4876" s="102" t="s">
        <v>2432</v>
      </c>
      <c r="S4876" s="1"/>
      <c r="T4876" s="1"/>
      <c r="U4876" s="1"/>
      <c r="V4876" s="1"/>
      <c r="W4876" s="1"/>
      <c r="X4876" s="1"/>
      <c r="Y4876" s="1"/>
      <c r="AA4876" s="102"/>
      <c r="AB4876" s="1"/>
      <c r="AC4876" s="1"/>
      <c r="AD4876" s="1"/>
      <c r="AE4876" s="1"/>
      <c r="AF4876" s="1"/>
      <c r="AG4876" s="1"/>
    </row>
    <row r="4877" ht="15.75" customHeight="1">
      <c r="A4877" s="1"/>
      <c r="B4877" s="1"/>
      <c r="C4877" s="1"/>
      <c r="D4877" s="1"/>
      <c r="E4877" s="1"/>
      <c r="F4877" s="1"/>
      <c r="G4877" s="1"/>
      <c r="H4877" s="1"/>
      <c r="I4877" s="1"/>
      <c r="J4877" s="1"/>
      <c r="K4877" s="102" t="s">
        <v>7560</v>
      </c>
      <c r="L4877" s="102" t="str">
        <f>G652</f>
        <v>J1a2a2a~</v>
      </c>
      <c r="M4877" s="102"/>
      <c r="N4877" s="102"/>
      <c r="O4877" s="105">
        <v>1.9317153E7</v>
      </c>
      <c r="P4877" s="105">
        <v>1.7205273E7</v>
      </c>
      <c r="Q4877" s="102" t="s">
        <v>2533</v>
      </c>
      <c r="S4877" s="1"/>
      <c r="T4877" s="1"/>
      <c r="U4877" s="1"/>
      <c r="V4877" s="1"/>
      <c r="W4877" s="1"/>
      <c r="X4877" s="1"/>
      <c r="Y4877" s="1"/>
      <c r="AA4877" s="102"/>
      <c r="AB4877" s="1"/>
      <c r="AC4877" s="1"/>
      <c r="AD4877" s="1"/>
      <c r="AE4877" s="1"/>
      <c r="AF4877" s="1"/>
      <c r="AG4877" s="1"/>
    </row>
    <row r="4878" ht="15.75" customHeight="1">
      <c r="A4878" s="1"/>
      <c r="B4878" s="1"/>
      <c r="C4878" s="1"/>
      <c r="D4878" s="1"/>
      <c r="E4878" s="1"/>
      <c r="F4878" s="1"/>
      <c r="G4878" s="1"/>
      <c r="H4878" s="1"/>
      <c r="I4878" s="1"/>
      <c r="J4878" s="1"/>
      <c r="K4878" s="102" t="s">
        <v>7561</v>
      </c>
      <c r="L4878" s="102" t="str">
        <f>G652</f>
        <v>J1a2a2a~</v>
      </c>
      <c r="M4878" s="102"/>
      <c r="N4878" s="102"/>
      <c r="O4878" s="105">
        <v>2.1343156E7</v>
      </c>
      <c r="P4878" s="105">
        <v>1.918127E7</v>
      </c>
      <c r="Q4878" s="102" t="s">
        <v>2533</v>
      </c>
      <c r="S4878" s="1"/>
      <c r="T4878" s="1"/>
      <c r="U4878" s="1"/>
      <c r="V4878" s="1"/>
      <c r="W4878" s="1"/>
      <c r="X4878" s="1"/>
      <c r="Y4878" s="1"/>
      <c r="AA4878" s="102"/>
      <c r="AB4878" s="1"/>
      <c r="AC4878" s="1"/>
      <c r="AD4878" s="1"/>
      <c r="AE4878" s="1"/>
      <c r="AF4878" s="1"/>
      <c r="AG4878" s="1"/>
    </row>
    <row r="4879" ht="15.75" customHeight="1">
      <c r="A4879" s="1"/>
      <c r="B4879" s="1"/>
      <c r="C4879" s="1"/>
      <c r="D4879" s="1"/>
      <c r="E4879" s="1"/>
      <c r="F4879" s="1"/>
      <c r="G4879" s="1"/>
      <c r="H4879" s="1"/>
      <c r="I4879" s="1"/>
      <c r="J4879" s="1"/>
      <c r="K4879" s="102" t="s">
        <v>7562</v>
      </c>
      <c r="L4879" s="102" t="str">
        <f>G652</f>
        <v>J1a2a2a~</v>
      </c>
      <c r="M4879" s="102"/>
      <c r="N4879" s="102"/>
      <c r="O4879" s="105">
        <v>2.1541164E7</v>
      </c>
      <c r="P4879" s="105">
        <v>1.9379278E7</v>
      </c>
      <c r="Q4879" s="102" t="s">
        <v>2439</v>
      </c>
      <c r="S4879" s="1"/>
      <c r="T4879" s="1"/>
      <c r="U4879" s="1"/>
      <c r="V4879" s="1"/>
      <c r="W4879" s="1"/>
      <c r="X4879" s="1"/>
      <c r="Y4879" s="1"/>
      <c r="AA4879" s="102"/>
      <c r="AB4879" s="1"/>
      <c r="AC4879" s="1"/>
      <c r="AD4879" s="1"/>
      <c r="AE4879" s="1"/>
      <c r="AF4879" s="1"/>
      <c r="AG4879" s="1"/>
    </row>
    <row r="4880" ht="15.75" customHeight="1">
      <c r="A4880" s="1"/>
      <c r="B4880" s="1"/>
      <c r="C4880" s="1"/>
      <c r="D4880" s="1"/>
      <c r="E4880" s="1"/>
      <c r="F4880" s="1"/>
      <c r="G4880" s="1"/>
      <c r="H4880" s="1"/>
      <c r="I4880" s="1"/>
      <c r="J4880" s="1"/>
      <c r="K4880" s="102" t="s">
        <v>7563</v>
      </c>
      <c r="L4880" s="102" t="str">
        <f>G652</f>
        <v>J1a2a2a~</v>
      </c>
      <c r="M4880" s="102"/>
      <c r="N4880" s="102"/>
      <c r="O4880" s="105">
        <v>2.1607998E7</v>
      </c>
      <c r="P4880" s="105">
        <v>1.9446112E7</v>
      </c>
      <c r="Q4880" s="102" t="s">
        <v>2468</v>
      </c>
      <c r="S4880" s="1"/>
      <c r="T4880" s="1"/>
      <c r="U4880" s="1"/>
      <c r="V4880" s="1"/>
      <c r="W4880" s="1"/>
      <c r="X4880" s="1"/>
      <c r="Y4880" s="1"/>
      <c r="AA4880" s="102"/>
      <c r="AB4880" s="1"/>
      <c r="AC4880" s="1"/>
      <c r="AD4880" s="1"/>
      <c r="AE4880" s="1"/>
      <c r="AF4880" s="1"/>
      <c r="AG4880" s="1"/>
    </row>
    <row r="4881" ht="15.75" customHeight="1">
      <c r="A4881" s="1"/>
      <c r="B4881" s="1"/>
      <c r="C4881" s="1"/>
      <c r="D4881" s="1"/>
      <c r="E4881" s="1"/>
      <c r="F4881" s="1"/>
      <c r="G4881" s="1"/>
      <c r="H4881" s="1"/>
      <c r="I4881" s="1"/>
      <c r="J4881" s="1"/>
      <c r="K4881" s="102" t="s">
        <v>7564</v>
      </c>
      <c r="L4881" s="102" t="str">
        <f>G652</f>
        <v>J1a2a2a~</v>
      </c>
      <c r="M4881" s="102"/>
      <c r="N4881" s="102"/>
      <c r="O4881" s="105">
        <v>2.1638005E7</v>
      </c>
      <c r="P4881" s="105">
        <v>1.9476119E7</v>
      </c>
      <c r="Q4881" s="102" t="s">
        <v>2529</v>
      </c>
      <c r="S4881" s="1"/>
      <c r="T4881" s="1"/>
      <c r="U4881" s="1"/>
      <c r="V4881" s="1"/>
      <c r="W4881" s="1"/>
      <c r="X4881" s="1"/>
      <c r="Y4881" s="1"/>
      <c r="AA4881" s="102"/>
      <c r="AB4881" s="1"/>
      <c r="AC4881" s="1"/>
      <c r="AD4881" s="1"/>
      <c r="AE4881" s="1"/>
      <c r="AF4881" s="1"/>
      <c r="AG4881" s="1"/>
    </row>
    <row r="4882" ht="15.75" customHeight="1">
      <c r="A4882" s="1"/>
      <c r="B4882" s="1"/>
      <c r="C4882" s="1"/>
      <c r="D4882" s="1"/>
      <c r="E4882" s="1"/>
      <c r="F4882" s="1"/>
      <c r="G4882" s="1"/>
      <c r="H4882" s="1"/>
      <c r="I4882" s="1"/>
      <c r="J4882" s="1"/>
      <c r="K4882" s="102" t="s">
        <v>7565</v>
      </c>
      <c r="L4882" s="102" t="str">
        <f>G652</f>
        <v>J1a2a2a~</v>
      </c>
      <c r="M4882" s="102"/>
      <c r="N4882" s="102"/>
      <c r="O4882" s="105">
        <v>2.1900543E7</v>
      </c>
      <c r="P4882" s="105">
        <v>1.9738657E7</v>
      </c>
      <c r="Q4882" s="102" t="s">
        <v>2576</v>
      </c>
      <c r="S4882" s="1"/>
      <c r="T4882" s="1"/>
      <c r="U4882" s="1"/>
      <c r="V4882" s="1"/>
      <c r="W4882" s="1"/>
      <c r="X4882" s="1"/>
      <c r="Y4882" s="1"/>
      <c r="AA4882" s="102"/>
      <c r="AB4882" s="1"/>
      <c r="AC4882" s="1"/>
      <c r="AD4882" s="1"/>
      <c r="AE4882" s="1"/>
      <c r="AF4882" s="1"/>
      <c r="AG4882" s="1"/>
    </row>
    <row r="4883" ht="15.75" customHeight="1">
      <c r="A4883" s="1"/>
      <c r="B4883" s="1"/>
      <c r="C4883" s="1"/>
      <c r="D4883" s="1"/>
      <c r="E4883" s="1"/>
      <c r="F4883" s="1"/>
      <c r="G4883" s="1"/>
      <c r="H4883" s="1"/>
      <c r="I4883" s="1"/>
      <c r="J4883" s="1"/>
      <c r="K4883" s="102" t="s">
        <v>7566</v>
      </c>
      <c r="L4883" s="102" t="str">
        <f>G652</f>
        <v>J1a2a2a~</v>
      </c>
      <c r="M4883" s="102"/>
      <c r="N4883" s="102"/>
      <c r="O4883" s="105">
        <v>2.1900852E7</v>
      </c>
      <c r="P4883" s="105">
        <v>1.9738966E7</v>
      </c>
      <c r="Q4883" s="102" t="s">
        <v>2529</v>
      </c>
      <c r="S4883" s="1"/>
      <c r="T4883" s="1"/>
      <c r="U4883" s="1"/>
      <c r="V4883" s="1"/>
      <c r="W4883" s="1"/>
      <c r="X4883" s="1"/>
      <c r="Y4883" s="1"/>
      <c r="AA4883" s="102"/>
      <c r="AB4883" s="1"/>
      <c r="AC4883" s="1"/>
      <c r="AD4883" s="1"/>
      <c r="AE4883" s="1"/>
      <c r="AF4883" s="1"/>
      <c r="AG4883" s="1"/>
    </row>
    <row r="4884" ht="15.75" customHeight="1">
      <c r="A4884" s="1"/>
      <c r="B4884" s="1"/>
      <c r="C4884" s="1"/>
      <c r="D4884" s="1"/>
      <c r="E4884" s="1"/>
      <c r="F4884" s="1"/>
      <c r="G4884" s="1"/>
      <c r="H4884" s="1"/>
      <c r="I4884" s="1"/>
      <c r="J4884" s="1"/>
      <c r="K4884" s="102" t="s">
        <v>7567</v>
      </c>
      <c r="L4884" s="102" t="str">
        <f>G652</f>
        <v>J1a2a2a~</v>
      </c>
      <c r="M4884" s="102"/>
      <c r="N4884" s="102"/>
      <c r="O4884" s="105">
        <v>2.1922379E7</v>
      </c>
      <c r="P4884" s="105">
        <v>1.9760493E7</v>
      </c>
      <c r="Q4884" s="102" t="s">
        <v>2529</v>
      </c>
      <c r="S4884" s="1"/>
      <c r="T4884" s="1"/>
      <c r="U4884" s="1"/>
      <c r="V4884" s="1"/>
      <c r="W4884" s="1"/>
      <c r="X4884" s="1"/>
      <c r="Y4884" s="1"/>
      <c r="AA4884" s="102"/>
      <c r="AB4884" s="1"/>
      <c r="AC4884" s="1"/>
      <c r="AD4884" s="1"/>
      <c r="AE4884" s="1"/>
      <c r="AF4884" s="1"/>
      <c r="AG4884" s="1"/>
    </row>
    <row r="4885" ht="15.75" customHeight="1">
      <c r="A4885" s="1"/>
      <c r="B4885" s="1"/>
      <c r="C4885" s="1"/>
      <c r="D4885" s="1"/>
      <c r="E4885" s="1"/>
      <c r="F4885" s="1"/>
      <c r="G4885" s="1"/>
      <c r="H4885" s="1"/>
      <c r="I4885" s="1"/>
      <c r="J4885" s="1"/>
      <c r="K4885" s="102" t="s">
        <v>7568</v>
      </c>
      <c r="L4885" s="102" t="str">
        <f>G652</f>
        <v>J1a2a2a~</v>
      </c>
      <c r="M4885" s="102"/>
      <c r="N4885" s="102"/>
      <c r="O4885" s="105">
        <v>2.1935575E7</v>
      </c>
      <c r="P4885" s="105">
        <v>1.9773689E7</v>
      </c>
      <c r="Q4885" s="102" t="s">
        <v>2439</v>
      </c>
      <c r="S4885" s="1"/>
      <c r="T4885" s="1"/>
      <c r="U4885" s="1"/>
      <c r="V4885" s="1"/>
      <c r="W4885" s="1"/>
      <c r="X4885" s="1"/>
      <c r="Y4885" s="1"/>
      <c r="AA4885" s="102"/>
      <c r="AB4885" s="1"/>
      <c r="AC4885" s="1"/>
      <c r="AD4885" s="1"/>
      <c r="AE4885" s="1"/>
      <c r="AF4885" s="1"/>
      <c r="AG4885" s="1"/>
    </row>
    <row r="4886" ht="15.75" customHeight="1">
      <c r="A4886" s="1"/>
      <c r="B4886" s="1"/>
      <c r="C4886" s="1"/>
      <c r="D4886" s="1"/>
      <c r="E4886" s="1"/>
      <c r="F4886" s="1"/>
      <c r="G4886" s="1"/>
      <c r="H4886" s="1"/>
      <c r="I4886" s="1"/>
      <c r="J4886" s="1"/>
      <c r="K4886" s="102" t="s">
        <v>7569</v>
      </c>
      <c r="L4886" s="102" t="str">
        <f>G652</f>
        <v>J1a2a2a~</v>
      </c>
      <c r="M4886" s="102"/>
      <c r="N4886" s="102"/>
      <c r="O4886" s="105">
        <v>2.1977345E7</v>
      </c>
      <c r="P4886" s="105">
        <v>1.9815459E7</v>
      </c>
      <c r="Q4886" s="102" t="s">
        <v>2446</v>
      </c>
      <c r="S4886" s="1"/>
      <c r="T4886" s="1"/>
      <c r="U4886" s="1"/>
      <c r="V4886" s="1"/>
      <c r="W4886" s="1"/>
      <c r="X4886" s="1"/>
      <c r="Y4886" s="1"/>
      <c r="AA4886" s="102"/>
      <c r="AB4886" s="1"/>
      <c r="AC4886" s="1"/>
      <c r="AD4886" s="1"/>
      <c r="AE4886" s="1"/>
      <c r="AF4886" s="1"/>
      <c r="AG4886" s="1"/>
    </row>
    <row r="4887" ht="15.75" customHeight="1">
      <c r="A4887" s="1"/>
      <c r="B4887" s="1"/>
      <c r="C4887" s="1"/>
      <c r="D4887" s="1"/>
      <c r="E4887" s="1"/>
      <c r="F4887" s="1"/>
      <c r="G4887" s="1"/>
      <c r="H4887" s="1"/>
      <c r="I4887" s="1"/>
      <c r="J4887" s="1"/>
      <c r="K4887" s="102" t="s">
        <v>7570</v>
      </c>
      <c r="L4887" s="102" t="str">
        <f>G652</f>
        <v>J1a2a2a~</v>
      </c>
      <c r="M4887" s="102"/>
      <c r="N4887" s="102"/>
      <c r="O4887" s="105">
        <v>2.2018239E7</v>
      </c>
      <c r="P4887" s="105">
        <v>1.9856353E7</v>
      </c>
      <c r="Q4887" s="102" t="s">
        <v>2439</v>
      </c>
      <c r="S4887" s="1"/>
      <c r="T4887" s="1"/>
      <c r="U4887" s="1"/>
      <c r="V4887" s="1"/>
      <c r="W4887" s="1"/>
      <c r="X4887" s="1"/>
      <c r="Y4887" s="1"/>
      <c r="AA4887" s="102"/>
      <c r="AB4887" s="1"/>
      <c r="AC4887" s="1"/>
      <c r="AD4887" s="1"/>
      <c r="AE4887" s="1"/>
      <c r="AF4887" s="1"/>
      <c r="AG4887" s="1"/>
    </row>
    <row r="4888" ht="15.75" customHeight="1">
      <c r="A4888" s="1"/>
      <c r="B4888" s="1"/>
      <c r="C4888" s="1"/>
      <c r="D4888" s="1"/>
      <c r="E4888" s="1"/>
      <c r="F4888" s="1"/>
      <c r="G4888" s="1"/>
      <c r="H4888" s="1"/>
      <c r="I4888" s="1"/>
      <c r="J4888" s="1"/>
      <c r="K4888" s="102" t="s">
        <v>7571</v>
      </c>
      <c r="L4888" s="102" t="str">
        <f>G652</f>
        <v>J1a2a2a~</v>
      </c>
      <c r="M4888" s="102"/>
      <c r="N4888" s="102"/>
      <c r="O4888" s="105">
        <v>2.2538766E7</v>
      </c>
      <c r="P4888" s="105">
        <v>2.037688E7</v>
      </c>
      <c r="Q4888" s="102" t="s">
        <v>2576</v>
      </c>
      <c r="S4888" s="1"/>
      <c r="T4888" s="1"/>
      <c r="U4888" s="1"/>
      <c r="V4888" s="1"/>
      <c r="W4888" s="1"/>
      <c r="X4888" s="1"/>
      <c r="Y4888" s="1"/>
      <c r="AA4888" s="102"/>
      <c r="AB4888" s="1"/>
      <c r="AC4888" s="1"/>
      <c r="AD4888" s="1"/>
      <c r="AE4888" s="1"/>
      <c r="AF4888" s="1"/>
      <c r="AG4888" s="1"/>
    </row>
    <row r="4889" ht="15.75" customHeight="1">
      <c r="A4889" s="1"/>
      <c r="B4889" s="1"/>
      <c r="C4889" s="1"/>
      <c r="D4889" s="1"/>
      <c r="E4889" s="1"/>
      <c r="F4889" s="1"/>
      <c r="G4889" s="1"/>
      <c r="H4889" s="1"/>
      <c r="I4889" s="1"/>
      <c r="J4889" s="1"/>
      <c r="K4889" s="102" t="s">
        <v>7572</v>
      </c>
      <c r="L4889" s="102" t="str">
        <f>G652</f>
        <v>J1a2a2a~</v>
      </c>
      <c r="M4889" s="102"/>
      <c r="N4889" s="102"/>
      <c r="O4889" s="105">
        <v>2.2540695E7</v>
      </c>
      <c r="P4889" s="105">
        <v>2.0378809E7</v>
      </c>
      <c r="Q4889" s="102" t="s">
        <v>2501</v>
      </c>
      <c r="S4889" s="1"/>
      <c r="T4889" s="1"/>
      <c r="U4889" s="1"/>
      <c r="V4889" s="1"/>
      <c r="W4889" s="1"/>
      <c r="X4889" s="1"/>
      <c r="Y4889" s="1"/>
      <c r="AA4889" s="102"/>
      <c r="AB4889" s="1"/>
      <c r="AC4889" s="1"/>
      <c r="AD4889" s="1"/>
      <c r="AE4889" s="1"/>
      <c r="AF4889" s="1"/>
      <c r="AG4889" s="1"/>
    </row>
    <row r="4890" ht="15.75" customHeight="1">
      <c r="A4890" s="1"/>
      <c r="B4890" s="1"/>
      <c r="C4890" s="1"/>
      <c r="D4890" s="1"/>
      <c r="E4890" s="1"/>
      <c r="F4890" s="1"/>
      <c r="G4890" s="1"/>
      <c r="H4890" s="1"/>
      <c r="I4890" s="1"/>
      <c r="J4890" s="1"/>
      <c r="K4890" s="102" t="s">
        <v>7573</v>
      </c>
      <c r="L4890" s="102" t="str">
        <f>G652</f>
        <v>J1a2a2a~</v>
      </c>
      <c r="M4890" s="102"/>
      <c r="N4890" s="102"/>
      <c r="O4890" s="105">
        <v>2.2589384E7</v>
      </c>
      <c r="P4890" s="105">
        <v>2.0427498E7</v>
      </c>
      <c r="Q4890" s="102" t="s">
        <v>2468</v>
      </c>
      <c r="S4890" s="1"/>
      <c r="T4890" s="1"/>
      <c r="U4890" s="1"/>
      <c r="V4890" s="1"/>
      <c r="W4890" s="1"/>
      <c r="X4890" s="1"/>
      <c r="Y4890" s="1"/>
      <c r="AA4890" s="102"/>
      <c r="AB4890" s="1"/>
      <c r="AC4890" s="1"/>
      <c r="AD4890" s="1"/>
      <c r="AE4890" s="1"/>
      <c r="AF4890" s="1"/>
      <c r="AG4890" s="1"/>
    </row>
    <row r="4891" ht="15.75" customHeight="1">
      <c r="A4891" s="1"/>
      <c r="B4891" s="1"/>
      <c r="C4891" s="1"/>
      <c r="D4891" s="1"/>
      <c r="E4891" s="1"/>
      <c r="F4891" s="1"/>
      <c r="G4891" s="1"/>
      <c r="H4891" s="1"/>
      <c r="I4891" s="1"/>
      <c r="J4891" s="1"/>
      <c r="K4891" s="102" t="s">
        <v>7574</v>
      </c>
      <c r="L4891" s="102" t="str">
        <f>G652</f>
        <v>J1a2a2a~</v>
      </c>
      <c r="M4891" s="102"/>
      <c r="N4891" s="102"/>
      <c r="O4891" s="105">
        <v>2.2940301E7</v>
      </c>
      <c r="P4891" s="105">
        <v>2.0778415E7</v>
      </c>
      <c r="Q4891" s="102" t="s">
        <v>2501</v>
      </c>
      <c r="S4891" s="1"/>
      <c r="T4891" s="1"/>
      <c r="U4891" s="1"/>
      <c r="V4891" s="1"/>
      <c r="W4891" s="1"/>
      <c r="X4891" s="1"/>
      <c r="Y4891" s="1"/>
      <c r="AA4891" s="102"/>
      <c r="AB4891" s="1"/>
      <c r="AC4891" s="1"/>
      <c r="AD4891" s="1"/>
      <c r="AE4891" s="1"/>
      <c r="AF4891" s="1"/>
      <c r="AG4891" s="1"/>
    </row>
    <row r="4892" ht="15.75" customHeight="1">
      <c r="A4892" s="1"/>
      <c r="B4892" s="1"/>
      <c r="C4892" s="1"/>
      <c r="D4892" s="1"/>
      <c r="E4892" s="1"/>
      <c r="F4892" s="1"/>
      <c r="G4892" s="1"/>
      <c r="H4892" s="1"/>
      <c r="I4892" s="1"/>
      <c r="J4892" s="1"/>
      <c r="K4892" s="102" t="s">
        <v>7575</v>
      </c>
      <c r="L4892" s="102" t="str">
        <f>G652</f>
        <v>J1a2a2a~</v>
      </c>
      <c r="M4892" s="102"/>
      <c r="N4892" s="102"/>
      <c r="O4892" s="105">
        <v>2.3012097E7</v>
      </c>
      <c r="P4892" s="105">
        <v>2.0850211E7</v>
      </c>
      <c r="Q4892" s="102" t="s">
        <v>2439</v>
      </c>
      <c r="S4892" s="1"/>
      <c r="T4892" s="1"/>
      <c r="U4892" s="1"/>
      <c r="V4892" s="1"/>
      <c r="W4892" s="1"/>
      <c r="X4892" s="1"/>
      <c r="Y4892" s="1"/>
      <c r="AA4892" s="102"/>
      <c r="AB4892" s="1"/>
      <c r="AC4892" s="1"/>
      <c r="AD4892" s="1"/>
      <c r="AE4892" s="1"/>
      <c r="AF4892" s="1"/>
      <c r="AG4892" s="1"/>
    </row>
    <row r="4893" ht="15.75" customHeight="1">
      <c r="A4893" s="1"/>
      <c r="B4893" s="1"/>
      <c r="C4893" s="1"/>
      <c r="D4893" s="1"/>
      <c r="E4893" s="1"/>
      <c r="F4893" s="1"/>
      <c r="G4893" s="1"/>
      <c r="H4893" s="1"/>
      <c r="I4893" s="1"/>
      <c r="J4893" s="1"/>
      <c r="K4893" s="102" t="s">
        <v>7576</v>
      </c>
      <c r="L4893" s="102" t="str">
        <f>G652</f>
        <v>J1a2a2a~</v>
      </c>
      <c r="M4893" s="102"/>
      <c r="N4893" s="102"/>
      <c r="O4893" s="105">
        <v>2.314578E7</v>
      </c>
      <c r="P4893" s="105">
        <v>2.0983894E7</v>
      </c>
      <c r="Q4893" s="102" t="s">
        <v>2576</v>
      </c>
      <c r="S4893" s="1"/>
      <c r="T4893" s="1"/>
      <c r="U4893" s="1"/>
      <c r="V4893" s="1"/>
      <c r="W4893" s="1"/>
      <c r="X4893" s="1"/>
      <c r="Y4893" s="1"/>
      <c r="AA4893" s="102"/>
      <c r="AB4893" s="1"/>
      <c r="AC4893" s="1"/>
      <c r="AD4893" s="1"/>
      <c r="AE4893" s="1"/>
      <c r="AF4893" s="1"/>
      <c r="AG4893" s="1"/>
    </row>
    <row r="4894" ht="15.75" customHeight="1">
      <c r="A4894" s="1"/>
      <c r="B4894" s="1"/>
      <c r="C4894" s="1"/>
      <c r="D4894" s="1"/>
      <c r="E4894" s="1"/>
      <c r="F4894" s="1"/>
      <c r="G4894" s="1"/>
      <c r="H4894" s="1"/>
      <c r="I4894" s="1"/>
      <c r="J4894" s="1"/>
      <c r="K4894" s="102" t="s">
        <v>7577</v>
      </c>
      <c r="L4894" s="102" t="str">
        <f>G652</f>
        <v>J1a2a2a~</v>
      </c>
      <c r="M4894" s="102"/>
      <c r="N4894" s="102"/>
      <c r="O4894" s="105">
        <v>2.3607693E7</v>
      </c>
      <c r="P4894" s="105">
        <v>2.1445807E7</v>
      </c>
      <c r="Q4894" s="102" t="s">
        <v>2576</v>
      </c>
      <c r="S4894" s="1"/>
      <c r="T4894" s="1"/>
      <c r="U4894" s="1"/>
      <c r="V4894" s="1"/>
      <c r="W4894" s="1"/>
      <c r="X4894" s="1"/>
      <c r="Y4894" s="1"/>
      <c r="AA4894" s="102"/>
      <c r="AB4894" s="1"/>
      <c r="AC4894" s="1"/>
      <c r="AD4894" s="1"/>
      <c r="AE4894" s="1"/>
      <c r="AF4894" s="1"/>
      <c r="AG4894" s="1"/>
    </row>
    <row r="4895" ht="15.75" customHeight="1">
      <c r="A4895" s="1"/>
      <c r="B4895" s="1"/>
      <c r="C4895" s="1"/>
      <c r="D4895" s="1"/>
      <c r="E4895" s="1"/>
      <c r="F4895" s="1"/>
      <c r="G4895" s="1"/>
      <c r="H4895" s="1"/>
      <c r="I4895" s="1"/>
      <c r="J4895" s="1"/>
      <c r="K4895" s="102" t="s">
        <v>7578</v>
      </c>
      <c r="L4895" s="102" t="str">
        <f>G652</f>
        <v>J1a2a2a~</v>
      </c>
      <c r="M4895" s="102"/>
      <c r="N4895" s="102"/>
      <c r="O4895" s="105">
        <v>2.379228E7</v>
      </c>
      <c r="P4895" s="105">
        <v>2.1630394E7</v>
      </c>
      <c r="Q4895" s="102" t="s">
        <v>2529</v>
      </c>
      <c r="S4895" s="1"/>
      <c r="T4895" s="1"/>
      <c r="U4895" s="1"/>
      <c r="V4895" s="1"/>
      <c r="W4895" s="1"/>
      <c r="X4895" s="1"/>
      <c r="Y4895" s="1"/>
      <c r="AA4895" s="102"/>
      <c r="AB4895" s="1"/>
      <c r="AC4895" s="1"/>
      <c r="AD4895" s="1"/>
      <c r="AE4895" s="1"/>
      <c r="AF4895" s="1"/>
      <c r="AG4895" s="1"/>
    </row>
    <row r="4896" ht="15.75" customHeight="1">
      <c r="A4896" s="1"/>
      <c r="B4896" s="1"/>
      <c r="C4896" s="1"/>
      <c r="D4896" s="1"/>
      <c r="E4896" s="1"/>
      <c r="F4896" s="1"/>
      <c r="G4896" s="1"/>
      <c r="H4896" s="1"/>
      <c r="I4896" s="1"/>
      <c r="J4896" s="1"/>
      <c r="K4896" s="102" t="s">
        <v>7579</v>
      </c>
      <c r="L4896" s="102" t="str">
        <f>G652</f>
        <v>J1a2a2a~</v>
      </c>
      <c r="M4896" s="102"/>
      <c r="N4896" s="102"/>
      <c r="O4896" s="105">
        <v>2.8768465E7</v>
      </c>
      <c r="P4896" s="105">
        <v>2.6622318E7</v>
      </c>
      <c r="Q4896" s="102" t="s">
        <v>2529</v>
      </c>
      <c r="S4896" s="1"/>
      <c r="T4896" s="1"/>
      <c r="U4896" s="1"/>
      <c r="V4896" s="1"/>
      <c r="W4896" s="1"/>
      <c r="X4896" s="1"/>
      <c r="Y4896" s="1"/>
      <c r="AA4896" s="102"/>
      <c r="AB4896" s="1"/>
      <c r="AC4896" s="1"/>
      <c r="AD4896" s="1"/>
      <c r="AE4896" s="1"/>
      <c r="AF4896" s="1"/>
      <c r="AG4896" s="1"/>
    </row>
    <row r="4897" ht="15.75" customHeight="1">
      <c r="A4897" s="1"/>
      <c r="B4897" s="1"/>
      <c r="C4897" s="1"/>
      <c r="D4897" s="1"/>
      <c r="E4897" s="1"/>
      <c r="F4897" s="1"/>
      <c r="G4897" s="1"/>
      <c r="H4897" s="1"/>
      <c r="I4897" s="1"/>
      <c r="J4897" s="1"/>
      <c r="K4897" s="102" t="s">
        <v>7580</v>
      </c>
      <c r="L4897" s="102" t="str">
        <f>G652</f>
        <v>J1a2a2a~</v>
      </c>
      <c r="M4897" s="102"/>
      <c r="N4897" s="102" t="s">
        <v>7581</v>
      </c>
      <c r="O4897" s="105">
        <v>9927309.0</v>
      </c>
      <c r="P4897" s="105">
        <v>1.00897E7</v>
      </c>
      <c r="Q4897" s="102" t="s">
        <v>2439</v>
      </c>
      <c r="S4897" s="1"/>
      <c r="T4897" s="1"/>
      <c r="U4897" s="1"/>
      <c r="V4897" s="1"/>
      <c r="W4897" s="1"/>
      <c r="X4897" s="1"/>
      <c r="Y4897" s="1"/>
      <c r="AA4897" s="102"/>
      <c r="AB4897" s="1"/>
      <c r="AC4897" s="1"/>
      <c r="AD4897" s="1"/>
      <c r="AE4897" s="1"/>
      <c r="AF4897" s="1"/>
      <c r="AG4897" s="1"/>
    </row>
    <row r="4898" ht="15.75" customHeight="1">
      <c r="A4898" s="1"/>
      <c r="B4898" s="1"/>
      <c r="C4898" s="1"/>
      <c r="D4898" s="1"/>
      <c r="E4898" s="1"/>
      <c r="F4898" s="1"/>
      <c r="G4898" s="1"/>
      <c r="H4898" s="1"/>
      <c r="I4898" s="1"/>
      <c r="J4898" s="1"/>
      <c r="K4898" s="102" t="s">
        <v>7582</v>
      </c>
      <c r="L4898" s="102" t="str">
        <f>G652</f>
        <v>J1a2a2a~</v>
      </c>
      <c r="M4898" s="106" t="s">
        <v>7583</v>
      </c>
      <c r="N4898" s="102"/>
      <c r="O4898" s="105">
        <v>1.8959456E7</v>
      </c>
      <c r="P4898" s="105">
        <v>1.6847576E7</v>
      </c>
      <c r="Q4898" s="102" t="s">
        <v>2439</v>
      </c>
      <c r="S4898" s="1"/>
      <c r="T4898" s="1"/>
      <c r="U4898" s="1"/>
      <c r="V4898" s="1"/>
      <c r="W4898" s="1"/>
      <c r="X4898" s="1"/>
      <c r="Y4898" s="1"/>
      <c r="AA4898" s="102"/>
      <c r="AB4898" s="1"/>
      <c r="AC4898" s="1"/>
      <c r="AD4898" s="1"/>
      <c r="AE4898" s="1"/>
      <c r="AF4898" s="1"/>
      <c r="AG4898" s="1"/>
    </row>
    <row r="4899" ht="15.75" customHeight="1">
      <c r="A4899" s="1"/>
      <c r="B4899" s="1"/>
      <c r="C4899" s="1"/>
      <c r="D4899" s="1"/>
      <c r="E4899" s="1"/>
      <c r="F4899" s="1"/>
      <c r="G4899" s="1"/>
      <c r="H4899" s="1"/>
      <c r="I4899" s="1"/>
      <c r="J4899" s="1"/>
      <c r="K4899" s="102" t="s">
        <v>7583</v>
      </c>
      <c r="L4899" s="102" t="str">
        <f>G652</f>
        <v>J1a2a2a~</v>
      </c>
      <c r="M4899" s="106" t="s">
        <v>7582</v>
      </c>
      <c r="N4899" s="102"/>
      <c r="O4899" s="105">
        <v>1.8959456E7</v>
      </c>
      <c r="P4899" s="105">
        <v>1.6847576E7</v>
      </c>
      <c r="Q4899" s="102" t="s">
        <v>2439</v>
      </c>
      <c r="S4899" s="1"/>
      <c r="T4899" s="1"/>
      <c r="U4899" s="1"/>
      <c r="V4899" s="1"/>
      <c r="W4899" s="1"/>
      <c r="X4899" s="1"/>
      <c r="Y4899" s="1"/>
      <c r="AA4899" s="102"/>
      <c r="AB4899" s="1"/>
      <c r="AC4899" s="1"/>
      <c r="AD4899" s="1"/>
      <c r="AE4899" s="1"/>
      <c r="AF4899" s="1"/>
      <c r="AG4899" s="1"/>
    </row>
    <row r="4900" ht="15.75" customHeight="1">
      <c r="A4900" s="1"/>
      <c r="B4900" s="1"/>
      <c r="C4900" s="1"/>
      <c r="D4900" s="1"/>
      <c r="E4900" s="1"/>
      <c r="F4900" s="1"/>
      <c r="G4900" s="1"/>
      <c r="H4900" s="1"/>
      <c r="I4900" s="1"/>
      <c r="J4900" s="1"/>
      <c r="K4900" s="102" t="s">
        <v>7584</v>
      </c>
      <c r="L4900" s="102" t="str">
        <f>G652</f>
        <v>J1a2a2a~</v>
      </c>
      <c r="M4900" s="102"/>
      <c r="N4900" s="102"/>
      <c r="O4900" s="105">
        <v>9864577.0</v>
      </c>
      <c r="P4900" s="105">
        <v>1.0026968E7</v>
      </c>
      <c r="Q4900" s="102" t="s">
        <v>2468</v>
      </c>
      <c r="S4900" s="1"/>
      <c r="T4900" s="1"/>
      <c r="U4900" s="1"/>
      <c r="V4900" s="1"/>
      <c r="W4900" s="1"/>
      <c r="X4900" s="1"/>
      <c r="Y4900" s="1"/>
      <c r="AA4900" s="102"/>
      <c r="AB4900" s="1"/>
      <c r="AC4900" s="1"/>
      <c r="AD4900" s="1"/>
      <c r="AE4900" s="1"/>
      <c r="AF4900" s="1"/>
      <c r="AG4900" s="1"/>
    </row>
    <row r="4901" ht="15.75" customHeight="1">
      <c r="A4901" s="1"/>
      <c r="B4901" s="1"/>
      <c r="C4901" s="1"/>
      <c r="D4901" s="1"/>
      <c r="E4901" s="1"/>
      <c r="F4901" s="1"/>
      <c r="G4901" s="1"/>
      <c r="H4901" s="1"/>
      <c r="I4901" s="1"/>
      <c r="J4901" s="1"/>
      <c r="K4901" s="102" t="s">
        <v>7585</v>
      </c>
      <c r="L4901" s="102" t="str">
        <f>G652</f>
        <v>J1a2a2a~</v>
      </c>
      <c r="M4901" s="102"/>
      <c r="N4901" s="102"/>
      <c r="O4901" s="105">
        <v>9864609.0</v>
      </c>
      <c r="P4901" s="105">
        <v>1.0027E7</v>
      </c>
      <c r="Q4901" s="102" t="s">
        <v>2576</v>
      </c>
      <c r="S4901" s="1"/>
      <c r="T4901" s="1"/>
      <c r="U4901" s="1"/>
      <c r="V4901" s="1"/>
      <c r="W4901" s="1"/>
      <c r="X4901" s="1"/>
      <c r="Y4901" s="1"/>
      <c r="AA4901" s="102"/>
      <c r="AB4901" s="1"/>
      <c r="AC4901" s="1"/>
      <c r="AD4901" s="1"/>
      <c r="AE4901" s="1"/>
      <c r="AF4901" s="1"/>
      <c r="AG4901" s="1"/>
    </row>
    <row r="4902" ht="15.75" customHeight="1">
      <c r="A4902" s="1"/>
      <c r="B4902" s="1"/>
      <c r="C4902" s="1"/>
      <c r="D4902" s="1"/>
      <c r="E4902" s="1"/>
      <c r="F4902" s="1"/>
      <c r="G4902" s="1"/>
      <c r="H4902" s="1"/>
      <c r="I4902" s="1"/>
      <c r="J4902" s="1"/>
      <c r="K4902" s="102" t="s">
        <v>7586</v>
      </c>
      <c r="L4902" s="102" t="str">
        <f>G652</f>
        <v>J1a2a2a~</v>
      </c>
      <c r="M4902" s="102"/>
      <c r="N4902" s="102"/>
      <c r="O4902" s="105">
        <v>1.7881223E7</v>
      </c>
      <c r="P4902" s="105">
        <v>1.5769343E7</v>
      </c>
      <c r="Q4902" s="102" t="s">
        <v>2529</v>
      </c>
      <c r="S4902" s="1"/>
      <c r="T4902" s="1"/>
      <c r="U4902" s="1"/>
      <c r="V4902" s="1"/>
      <c r="W4902" s="1"/>
      <c r="X4902" s="1"/>
      <c r="Y4902" s="1"/>
      <c r="AA4902" s="102"/>
      <c r="AB4902" s="1"/>
      <c r="AC4902" s="1"/>
      <c r="AD4902" s="1"/>
      <c r="AE4902" s="1"/>
      <c r="AF4902" s="1"/>
      <c r="AG4902" s="1"/>
    </row>
    <row r="4903" ht="15.75" customHeight="1">
      <c r="A4903" s="1"/>
      <c r="B4903" s="1"/>
      <c r="C4903" s="1"/>
      <c r="D4903" s="1"/>
      <c r="E4903" s="1"/>
      <c r="F4903" s="1"/>
      <c r="G4903" s="1"/>
      <c r="H4903" s="1"/>
      <c r="I4903" s="1"/>
      <c r="J4903" s="1"/>
      <c r="K4903" s="102" t="s">
        <v>7587</v>
      </c>
      <c r="L4903" s="102" t="str">
        <f>H653</f>
        <v>J1a2a2a1~</v>
      </c>
      <c r="M4903" s="102" t="s">
        <v>7588</v>
      </c>
      <c r="N4903" s="102"/>
      <c r="O4903" s="105">
        <v>2.2039672E7</v>
      </c>
      <c r="P4903" s="105">
        <v>1.9877786E7</v>
      </c>
      <c r="Q4903" s="102" t="s">
        <v>2439</v>
      </c>
      <c r="S4903" s="1"/>
      <c r="T4903" s="1"/>
      <c r="U4903" s="1"/>
      <c r="V4903" s="1"/>
      <c r="W4903" s="1"/>
      <c r="X4903" s="1"/>
      <c r="Y4903" s="1"/>
      <c r="AA4903" s="102"/>
      <c r="AB4903" s="1"/>
      <c r="AC4903" s="1"/>
      <c r="AD4903" s="1"/>
      <c r="AE4903" s="1"/>
      <c r="AF4903" s="1"/>
      <c r="AG4903" s="1"/>
    </row>
    <row r="4904" ht="15.75" customHeight="1">
      <c r="A4904" s="1"/>
      <c r="B4904" s="1"/>
      <c r="C4904" s="1"/>
      <c r="D4904" s="1"/>
      <c r="E4904" s="1"/>
      <c r="F4904" s="1"/>
      <c r="G4904" s="1"/>
      <c r="H4904" s="1"/>
      <c r="I4904" s="1"/>
      <c r="J4904" s="1"/>
      <c r="K4904" s="102" t="s">
        <v>7588</v>
      </c>
      <c r="L4904" s="102" t="str">
        <f>H653</f>
        <v>J1a2a2a1~</v>
      </c>
      <c r="M4904" s="102" t="s">
        <v>7587</v>
      </c>
      <c r="N4904" s="102" t="s">
        <v>7589</v>
      </c>
      <c r="O4904" s="105">
        <v>2.2039672E7</v>
      </c>
      <c r="P4904" s="105">
        <v>1.9877786E7</v>
      </c>
      <c r="Q4904" s="102" t="s">
        <v>2439</v>
      </c>
      <c r="S4904" s="1"/>
      <c r="T4904" s="1"/>
      <c r="U4904" s="1"/>
      <c r="V4904" s="1"/>
      <c r="W4904" s="1"/>
      <c r="X4904" s="1"/>
      <c r="Y4904" s="1"/>
      <c r="AA4904" s="102"/>
      <c r="AB4904" s="1"/>
      <c r="AC4904" s="1"/>
      <c r="AD4904" s="1"/>
      <c r="AE4904" s="1"/>
      <c r="AF4904" s="1"/>
      <c r="AG4904" s="1"/>
    </row>
    <row r="4905" ht="15.75" customHeight="1">
      <c r="A4905" s="1"/>
      <c r="B4905" s="1"/>
      <c r="C4905" s="1"/>
      <c r="D4905" s="1"/>
      <c r="E4905" s="1"/>
      <c r="F4905" s="1"/>
      <c r="G4905" s="1"/>
      <c r="H4905" s="1"/>
      <c r="I4905" s="1"/>
      <c r="J4905" s="1"/>
      <c r="K4905" s="102" t="s">
        <v>7590</v>
      </c>
      <c r="L4905" s="102" t="str">
        <f>H653</f>
        <v>J1a2a2a1~</v>
      </c>
      <c r="M4905" s="102"/>
      <c r="N4905" s="102"/>
      <c r="O4905" s="105">
        <v>2709044.0</v>
      </c>
      <c r="P4905" s="105">
        <v>2841003.0</v>
      </c>
      <c r="Q4905" s="102" t="s">
        <v>2501</v>
      </c>
      <c r="S4905" s="1"/>
      <c r="T4905" s="1"/>
      <c r="U4905" s="1"/>
      <c r="V4905" s="1"/>
      <c r="W4905" s="1"/>
      <c r="X4905" s="1"/>
      <c r="Y4905" s="1"/>
      <c r="AA4905" s="102"/>
      <c r="AB4905" s="1"/>
      <c r="AC4905" s="1"/>
      <c r="AD4905" s="1"/>
      <c r="AE4905" s="1"/>
      <c r="AF4905" s="1"/>
      <c r="AG4905" s="1"/>
    </row>
    <row r="4906" ht="15.75" customHeight="1">
      <c r="A4906" s="1"/>
      <c r="B4906" s="1"/>
      <c r="C4906" s="1"/>
      <c r="D4906" s="1"/>
      <c r="E4906" s="1"/>
      <c r="F4906" s="1"/>
      <c r="G4906" s="1"/>
      <c r="H4906" s="1"/>
      <c r="I4906" s="1"/>
      <c r="J4906" s="1"/>
      <c r="K4906" s="102" t="s">
        <v>7591</v>
      </c>
      <c r="L4906" s="102" t="str">
        <f>H653</f>
        <v>J1a2a2a1~</v>
      </c>
      <c r="M4906" s="102"/>
      <c r="N4906" s="102"/>
      <c r="O4906" s="105">
        <v>2848895.0</v>
      </c>
      <c r="P4906" s="105">
        <v>2980854.0</v>
      </c>
      <c r="Q4906" s="102" t="s">
        <v>2529</v>
      </c>
      <c r="S4906" s="1"/>
      <c r="T4906" s="1"/>
      <c r="U4906" s="1"/>
      <c r="V4906" s="1"/>
      <c r="W4906" s="1"/>
      <c r="X4906" s="1"/>
      <c r="Y4906" s="1"/>
      <c r="AA4906" s="102"/>
      <c r="AB4906" s="1"/>
      <c r="AC4906" s="1"/>
      <c r="AD4906" s="1"/>
      <c r="AE4906" s="1"/>
      <c r="AF4906" s="1"/>
      <c r="AG4906" s="1"/>
    </row>
    <row r="4907" ht="15.75" customHeight="1">
      <c r="A4907" s="1"/>
      <c r="B4907" s="1"/>
      <c r="C4907" s="1"/>
      <c r="D4907" s="1"/>
      <c r="E4907" s="1"/>
      <c r="F4907" s="1"/>
      <c r="G4907" s="1"/>
      <c r="H4907" s="1"/>
      <c r="I4907" s="1"/>
      <c r="J4907" s="1"/>
      <c r="K4907" s="102" t="s">
        <v>7592</v>
      </c>
      <c r="L4907" s="102" t="str">
        <f>H653</f>
        <v>J1a2a2a1~</v>
      </c>
      <c r="M4907" s="102"/>
      <c r="N4907" s="102"/>
      <c r="O4907" s="105">
        <v>7429947.0</v>
      </c>
      <c r="P4907" s="105">
        <v>7561906.0</v>
      </c>
      <c r="Q4907" s="102" t="s">
        <v>2533</v>
      </c>
      <c r="S4907" s="1"/>
      <c r="T4907" s="1"/>
      <c r="U4907" s="1"/>
      <c r="V4907" s="1"/>
      <c r="W4907" s="1"/>
      <c r="X4907" s="1"/>
      <c r="Y4907" s="1"/>
      <c r="AA4907" s="102"/>
      <c r="AB4907" s="1"/>
      <c r="AC4907" s="1"/>
      <c r="AD4907" s="1"/>
      <c r="AE4907" s="1"/>
      <c r="AF4907" s="1"/>
      <c r="AG4907" s="1"/>
    </row>
    <row r="4908" ht="15.75" customHeight="1">
      <c r="A4908" s="1"/>
      <c r="B4908" s="1"/>
      <c r="C4908" s="1"/>
      <c r="D4908" s="1"/>
      <c r="E4908" s="1"/>
      <c r="F4908" s="1"/>
      <c r="G4908" s="1"/>
      <c r="H4908" s="1"/>
      <c r="I4908" s="1"/>
      <c r="J4908" s="1"/>
      <c r="K4908" s="102" t="s">
        <v>7593</v>
      </c>
      <c r="L4908" s="102" t="str">
        <f>H653</f>
        <v>J1a2a2a1~</v>
      </c>
      <c r="M4908" s="102"/>
      <c r="N4908" s="102" t="s">
        <v>7594</v>
      </c>
      <c r="O4908" s="105">
        <v>7622855.0</v>
      </c>
      <c r="P4908" s="105">
        <v>7754814.0</v>
      </c>
      <c r="Q4908" s="102" t="s">
        <v>2501</v>
      </c>
      <c r="S4908" s="1"/>
      <c r="T4908" s="1"/>
      <c r="U4908" s="1"/>
      <c r="V4908" s="1"/>
      <c r="W4908" s="1"/>
      <c r="X4908" s="1"/>
      <c r="Y4908" s="1"/>
      <c r="AA4908" s="102"/>
      <c r="AB4908" s="1"/>
      <c r="AC4908" s="1"/>
      <c r="AD4908" s="1"/>
      <c r="AE4908" s="1"/>
      <c r="AF4908" s="1"/>
      <c r="AG4908" s="1"/>
    </row>
    <row r="4909" ht="15.75" customHeight="1">
      <c r="A4909" s="1"/>
      <c r="B4909" s="1"/>
      <c r="C4909" s="1"/>
      <c r="D4909" s="1"/>
      <c r="E4909" s="1"/>
      <c r="F4909" s="1"/>
      <c r="G4909" s="1"/>
      <c r="H4909" s="1"/>
      <c r="I4909" s="1"/>
      <c r="J4909" s="1"/>
      <c r="K4909" s="102" t="s">
        <v>7595</v>
      </c>
      <c r="L4909" s="102" t="str">
        <f>H653</f>
        <v>J1a2a2a1~</v>
      </c>
      <c r="M4909" s="102"/>
      <c r="N4909" s="102"/>
      <c r="O4909" s="105">
        <v>7649231.0</v>
      </c>
      <c r="P4909" s="105">
        <v>7781190.0</v>
      </c>
      <c r="Q4909" s="102" t="s">
        <v>2423</v>
      </c>
      <c r="S4909" s="1"/>
      <c r="T4909" s="1"/>
      <c r="U4909" s="1"/>
      <c r="V4909" s="1"/>
      <c r="W4909" s="1"/>
      <c r="X4909" s="1"/>
      <c r="Y4909" s="1"/>
      <c r="AA4909" s="102"/>
      <c r="AB4909" s="1"/>
      <c r="AC4909" s="1"/>
      <c r="AD4909" s="1"/>
      <c r="AE4909" s="1"/>
      <c r="AF4909" s="1"/>
      <c r="AG4909" s="1"/>
    </row>
    <row r="4910" ht="15.75" customHeight="1">
      <c r="A4910" s="1"/>
      <c r="B4910" s="1"/>
      <c r="C4910" s="1"/>
      <c r="D4910" s="1"/>
      <c r="E4910" s="1"/>
      <c r="F4910" s="1"/>
      <c r="G4910" s="1"/>
      <c r="H4910" s="1"/>
      <c r="I4910" s="1"/>
      <c r="J4910" s="1"/>
      <c r="K4910" s="102" t="s">
        <v>7596</v>
      </c>
      <c r="L4910" s="102" t="str">
        <f>H653</f>
        <v>J1a2a2a1~</v>
      </c>
      <c r="M4910" s="102"/>
      <c r="N4910" s="102"/>
      <c r="O4910" s="105">
        <v>8027770.0</v>
      </c>
      <c r="P4910" s="105">
        <v>8159729.0</v>
      </c>
      <c r="Q4910" s="102" t="s">
        <v>2468</v>
      </c>
      <c r="S4910" s="1"/>
      <c r="T4910" s="1"/>
      <c r="U4910" s="1"/>
      <c r="V4910" s="1"/>
      <c r="W4910" s="1"/>
      <c r="X4910" s="1"/>
      <c r="Y4910" s="1"/>
      <c r="AA4910" s="102"/>
      <c r="AB4910" s="1"/>
      <c r="AC4910" s="1"/>
      <c r="AD4910" s="1"/>
      <c r="AE4910" s="1"/>
      <c r="AF4910" s="1"/>
      <c r="AG4910" s="1"/>
    </row>
    <row r="4911" ht="15.75" customHeight="1">
      <c r="A4911" s="1"/>
      <c r="B4911" s="1"/>
      <c r="C4911" s="1"/>
      <c r="D4911" s="1"/>
      <c r="E4911" s="1"/>
      <c r="F4911" s="1"/>
      <c r="G4911" s="1"/>
      <c r="H4911" s="1"/>
      <c r="I4911" s="1"/>
      <c r="J4911" s="1"/>
      <c r="K4911" s="102" t="s">
        <v>7597</v>
      </c>
      <c r="L4911" s="102" t="str">
        <f>H653</f>
        <v>J1a2a2a1~</v>
      </c>
      <c r="M4911" s="102"/>
      <c r="N4911" s="102"/>
      <c r="O4911" s="105">
        <v>8291271.0</v>
      </c>
      <c r="P4911" s="105">
        <v>8423230.0</v>
      </c>
      <c r="Q4911" s="102" t="s">
        <v>2468</v>
      </c>
      <c r="S4911" s="1"/>
      <c r="T4911" s="1"/>
      <c r="U4911" s="1"/>
      <c r="V4911" s="1"/>
      <c r="W4911" s="1"/>
      <c r="X4911" s="1"/>
      <c r="Y4911" s="1"/>
      <c r="AA4911" s="102"/>
      <c r="AB4911" s="1"/>
      <c r="AC4911" s="1"/>
      <c r="AD4911" s="1"/>
      <c r="AE4911" s="1"/>
      <c r="AF4911" s="1"/>
      <c r="AG4911" s="1"/>
    </row>
    <row r="4912" ht="15.75" customHeight="1">
      <c r="A4912" s="1"/>
      <c r="B4912" s="1"/>
      <c r="C4912" s="1"/>
      <c r="D4912" s="1"/>
      <c r="E4912" s="1"/>
      <c r="F4912" s="1"/>
      <c r="G4912" s="1"/>
      <c r="H4912" s="1"/>
      <c r="I4912" s="1"/>
      <c r="J4912" s="1"/>
      <c r="K4912" s="102" t="s">
        <v>7598</v>
      </c>
      <c r="L4912" s="102" t="str">
        <f>H653</f>
        <v>J1a2a2a1~</v>
      </c>
      <c r="M4912" s="102"/>
      <c r="N4912" s="102"/>
      <c r="O4912" s="105">
        <v>8449513.0</v>
      </c>
      <c r="P4912" s="105">
        <v>8581472.0</v>
      </c>
      <c r="Q4912" s="102" t="s">
        <v>2439</v>
      </c>
      <c r="S4912" s="1"/>
      <c r="T4912" s="1"/>
      <c r="U4912" s="1"/>
      <c r="V4912" s="1"/>
      <c r="W4912" s="1"/>
      <c r="X4912" s="1"/>
      <c r="Y4912" s="1"/>
      <c r="AA4912" s="102"/>
      <c r="AB4912" s="1"/>
      <c r="AC4912" s="1"/>
      <c r="AD4912" s="1"/>
      <c r="AE4912" s="1"/>
      <c r="AF4912" s="1"/>
      <c r="AG4912" s="1"/>
    </row>
    <row r="4913" ht="15.75" customHeight="1">
      <c r="A4913" s="1"/>
      <c r="B4913" s="1"/>
      <c r="C4913" s="1"/>
      <c r="D4913" s="1"/>
      <c r="E4913" s="1"/>
      <c r="F4913" s="1"/>
      <c r="G4913" s="1"/>
      <c r="H4913" s="1"/>
      <c r="I4913" s="1"/>
      <c r="J4913" s="1"/>
      <c r="K4913" s="102" t="s">
        <v>7599</v>
      </c>
      <c r="L4913" s="102" t="str">
        <f>H653</f>
        <v>J1a2a2a1~</v>
      </c>
      <c r="M4913" s="102"/>
      <c r="N4913" s="102"/>
      <c r="O4913" s="105">
        <v>8453180.0</v>
      </c>
      <c r="P4913" s="105">
        <v>8585139.0</v>
      </c>
      <c r="Q4913" s="102" t="s">
        <v>2501</v>
      </c>
      <c r="S4913" s="1"/>
      <c r="T4913" s="1"/>
      <c r="U4913" s="1"/>
      <c r="V4913" s="1"/>
      <c r="W4913" s="1"/>
      <c r="X4913" s="1"/>
      <c r="Y4913" s="1"/>
      <c r="AA4913" s="102"/>
      <c r="AB4913" s="1"/>
      <c r="AC4913" s="1"/>
      <c r="AD4913" s="1"/>
      <c r="AE4913" s="1"/>
      <c r="AF4913" s="1"/>
      <c r="AG4913" s="1"/>
    </row>
    <row r="4914" ht="15.75" customHeight="1">
      <c r="A4914" s="1"/>
      <c r="B4914" s="1"/>
      <c r="C4914" s="1"/>
      <c r="D4914" s="1"/>
      <c r="E4914" s="1"/>
      <c r="F4914" s="1"/>
      <c r="G4914" s="1"/>
      <c r="H4914" s="1"/>
      <c r="I4914" s="1"/>
      <c r="J4914" s="1"/>
      <c r="K4914" s="102" t="s">
        <v>7600</v>
      </c>
      <c r="L4914" s="102" t="str">
        <f>H653</f>
        <v>J1a2a2a1~</v>
      </c>
      <c r="M4914" s="102"/>
      <c r="N4914" s="102"/>
      <c r="O4914" s="105">
        <v>9104633.0</v>
      </c>
      <c r="P4914" s="105">
        <v>9267024.0</v>
      </c>
      <c r="Q4914" s="102" t="s">
        <v>2468</v>
      </c>
      <c r="S4914" s="1"/>
      <c r="T4914" s="1"/>
      <c r="U4914" s="1"/>
      <c r="V4914" s="1"/>
      <c r="W4914" s="1"/>
      <c r="X4914" s="1"/>
      <c r="Y4914" s="1"/>
      <c r="AA4914" s="102"/>
      <c r="AB4914" s="1"/>
      <c r="AC4914" s="1"/>
      <c r="AD4914" s="1"/>
      <c r="AE4914" s="1"/>
      <c r="AF4914" s="1"/>
      <c r="AG4914" s="1"/>
    </row>
    <row r="4915" ht="15.75" customHeight="1">
      <c r="A4915" s="1"/>
      <c r="B4915" s="1"/>
      <c r="C4915" s="1"/>
      <c r="D4915" s="1"/>
      <c r="E4915" s="1"/>
      <c r="F4915" s="1"/>
      <c r="G4915" s="1"/>
      <c r="H4915" s="1"/>
      <c r="I4915" s="1"/>
      <c r="J4915" s="1"/>
      <c r="K4915" s="102" t="s">
        <v>7601</v>
      </c>
      <c r="L4915" s="102" t="str">
        <f>H653</f>
        <v>J1a2a2a1~</v>
      </c>
      <c r="M4915" s="102"/>
      <c r="N4915" s="102"/>
      <c r="O4915" s="105">
        <v>1.440857E7</v>
      </c>
      <c r="P4915" s="105">
        <v>1.2287868E7</v>
      </c>
      <c r="Q4915" s="102" t="s">
        <v>2576</v>
      </c>
      <c r="S4915" s="1"/>
      <c r="T4915" s="1"/>
      <c r="U4915" s="1"/>
      <c r="V4915" s="1"/>
      <c r="W4915" s="1"/>
      <c r="X4915" s="1"/>
      <c r="Y4915" s="1"/>
      <c r="AA4915" s="102"/>
      <c r="AB4915" s="1"/>
      <c r="AC4915" s="1"/>
      <c r="AD4915" s="1"/>
      <c r="AE4915" s="1"/>
      <c r="AF4915" s="1"/>
      <c r="AG4915" s="1"/>
    </row>
    <row r="4916" ht="15.75" customHeight="1">
      <c r="A4916" s="1"/>
      <c r="B4916" s="1"/>
      <c r="C4916" s="1"/>
      <c r="D4916" s="1"/>
      <c r="E4916" s="1"/>
      <c r="F4916" s="1"/>
      <c r="G4916" s="1"/>
      <c r="H4916" s="1"/>
      <c r="I4916" s="1"/>
      <c r="J4916" s="1"/>
      <c r="K4916" s="102" t="s">
        <v>7602</v>
      </c>
      <c r="L4916" s="102" t="str">
        <f>H653</f>
        <v>J1a2a2a1~</v>
      </c>
      <c r="M4916" s="102"/>
      <c r="N4916" s="102"/>
      <c r="O4916" s="105">
        <v>1.5140356E7</v>
      </c>
      <c r="P4916" s="105">
        <v>1.3028443E7</v>
      </c>
      <c r="Q4916" s="102" t="s">
        <v>2514</v>
      </c>
      <c r="S4916" s="1"/>
      <c r="T4916" s="1"/>
      <c r="U4916" s="1"/>
      <c r="V4916" s="1"/>
      <c r="W4916" s="1"/>
      <c r="X4916" s="1"/>
      <c r="Y4916" s="1"/>
      <c r="AA4916" s="102"/>
      <c r="AB4916" s="1"/>
      <c r="AC4916" s="1"/>
      <c r="AD4916" s="1"/>
      <c r="AE4916" s="1"/>
      <c r="AF4916" s="1"/>
      <c r="AG4916" s="1"/>
    </row>
    <row r="4917" ht="15.75" customHeight="1">
      <c r="A4917" s="1"/>
      <c r="B4917" s="1"/>
      <c r="C4917" s="1"/>
      <c r="D4917" s="1"/>
      <c r="E4917" s="1"/>
      <c r="F4917" s="1"/>
      <c r="G4917" s="1"/>
      <c r="H4917" s="1"/>
      <c r="I4917" s="1"/>
      <c r="J4917" s="1"/>
      <c r="K4917" s="102" t="s">
        <v>7603</v>
      </c>
      <c r="L4917" s="102" t="str">
        <f>H653</f>
        <v>J1a2a2a1~</v>
      </c>
      <c r="M4917" s="102"/>
      <c r="N4917" s="102"/>
      <c r="O4917" s="105">
        <v>1.523984E7</v>
      </c>
      <c r="P4917" s="105">
        <v>1.3127926E7</v>
      </c>
      <c r="Q4917" s="102" t="s">
        <v>2423</v>
      </c>
      <c r="S4917" s="1"/>
      <c r="T4917" s="1"/>
      <c r="U4917" s="1"/>
      <c r="V4917" s="1"/>
      <c r="W4917" s="1"/>
      <c r="X4917" s="1"/>
      <c r="Y4917" s="1"/>
      <c r="AA4917" s="102"/>
      <c r="AB4917" s="1"/>
      <c r="AC4917" s="1"/>
      <c r="AD4917" s="1"/>
      <c r="AE4917" s="1"/>
      <c r="AF4917" s="1"/>
      <c r="AG4917" s="1"/>
    </row>
    <row r="4918" ht="15.75" customHeight="1">
      <c r="A4918" s="1"/>
      <c r="B4918" s="1"/>
      <c r="C4918" s="1"/>
      <c r="D4918" s="1"/>
      <c r="E4918" s="1"/>
      <c r="F4918" s="1"/>
      <c r="G4918" s="1"/>
      <c r="H4918" s="1"/>
      <c r="I4918" s="1"/>
      <c r="J4918" s="1"/>
      <c r="K4918" s="102" t="s">
        <v>7604</v>
      </c>
      <c r="L4918" s="102" t="str">
        <f>H653</f>
        <v>J1a2a2a1~</v>
      </c>
      <c r="M4918" s="102"/>
      <c r="N4918" s="102"/>
      <c r="O4918" s="105">
        <v>1.5728762E7</v>
      </c>
      <c r="P4918" s="105">
        <v>1.3616882E7</v>
      </c>
      <c r="Q4918" s="102" t="s">
        <v>2501</v>
      </c>
      <c r="S4918" s="1"/>
      <c r="T4918" s="1"/>
      <c r="U4918" s="1"/>
      <c r="V4918" s="1"/>
      <c r="W4918" s="1"/>
      <c r="X4918" s="1"/>
      <c r="Y4918" s="1"/>
      <c r="AA4918" s="102"/>
      <c r="AB4918" s="1"/>
      <c r="AC4918" s="1"/>
      <c r="AD4918" s="1"/>
      <c r="AE4918" s="1"/>
      <c r="AF4918" s="1"/>
      <c r="AG4918" s="1"/>
    </row>
    <row r="4919" ht="15.75" customHeight="1">
      <c r="A4919" s="1"/>
      <c r="B4919" s="1"/>
      <c r="C4919" s="1"/>
      <c r="D4919" s="1"/>
      <c r="E4919" s="1"/>
      <c r="F4919" s="1"/>
      <c r="G4919" s="1"/>
      <c r="H4919" s="1"/>
      <c r="I4919" s="1"/>
      <c r="J4919" s="1"/>
      <c r="K4919" s="102" t="s">
        <v>7605</v>
      </c>
      <c r="L4919" s="102" t="str">
        <f>H653</f>
        <v>J1a2a2a1~</v>
      </c>
      <c r="M4919" s="102"/>
      <c r="N4919" s="102"/>
      <c r="O4919" s="105">
        <v>1.5752167E7</v>
      </c>
      <c r="P4919" s="105">
        <v>1.3640287E7</v>
      </c>
      <c r="Q4919" s="102" t="s">
        <v>2439</v>
      </c>
      <c r="S4919" s="1"/>
      <c r="T4919" s="1"/>
      <c r="U4919" s="1"/>
      <c r="V4919" s="1"/>
      <c r="W4919" s="1"/>
      <c r="X4919" s="1"/>
      <c r="Y4919" s="1"/>
      <c r="AA4919" s="102"/>
      <c r="AB4919" s="1"/>
      <c r="AC4919" s="1"/>
      <c r="AD4919" s="1"/>
      <c r="AE4919" s="1"/>
      <c r="AF4919" s="1"/>
      <c r="AG4919" s="1"/>
    </row>
    <row r="4920" ht="15.75" customHeight="1">
      <c r="A4920" s="1"/>
      <c r="B4920" s="1"/>
      <c r="C4920" s="1"/>
      <c r="D4920" s="1"/>
      <c r="E4920" s="1"/>
      <c r="F4920" s="1"/>
      <c r="G4920" s="1"/>
      <c r="H4920" s="1"/>
      <c r="I4920" s="1"/>
      <c r="J4920" s="1"/>
      <c r="K4920" s="102" t="s">
        <v>7606</v>
      </c>
      <c r="L4920" s="102" t="str">
        <f>H653</f>
        <v>J1a2a2a1~</v>
      </c>
      <c r="M4920" s="102"/>
      <c r="N4920" s="102"/>
      <c r="O4920" s="105">
        <v>1.6448312E7</v>
      </c>
      <c r="P4920" s="105">
        <v>1.4336432E7</v>
      </c>
      <c r="Q4920" s="102" t="s">
        <v>2439</v>
      </c>
      <c r="S4920" s="1"/>
      <c r="T4920" s="1"/>
      <c r="U4920" s="1"/>
      <c r="V4920" s="1"/>
      <c r="W4920" s="1"/>
      <c r="X4920" s="1"/>
      <c r="Y4920" s="1"/>
      <c r="AA4920" s="102"/>
      <c r="AB4920" s="1"/>
      <c r="AC4920" s="1"/>
      <c r="AD4920" s="1"/>
      <c r="AE4920" s="1"/>
      <c r="AF4920" s="1"/>
      <c r="AG4920" s="1"/>
    </row>
    <row r="4921" ht="15.75" customHeight="1">
      <c r="A4921" s="1"/>
      <c r="B4921" s="1"/>
      <c r="C4921" s="1"/>
      <c r="D4921" s="1"/>
      <c r="E4921" s="1"/>
      <c r="F4921" s="1"/>
      <c r="G4921" s="1"/>
      <c r="H4921" s="1"/>
      <c r="I4921" s="1"/>
      <c r="J4921" s="1"/>
      <c r="K4921" s="102" t="s">
        <v>7607</v>
      </c>
      <c r="L4921" s="102" t="str">
        <f>H653</f>
        <v>J1a2a2a1~</v>
      </c>
      <c r="M4921" s="102"/>
      <c r="N4921" s="102"/>
      <c r="O4921" s="105">
        <v>1.6632599E7</v>
      </c>
      <c r="P4921" s="105">
        <v>1.4520719E7</v>
      </c>
      <c r="Q4921" s="102" t="s">
        <v>2563</v>
      </c>
      <c r="S4921" s="1"/>
      <c r="T4921" s="1"/>
      <c r="U4921" s="1"/>
      <c r="V4921" s="1"/>
      <c r="W4921" s="1"/>
      <c r="X4921" s="1"/>
      <c r="Y4921" s="1"/>
      <c r="AA4921" s="102"/>
      <c r="AB4921" s="1"/>
      <c r="AC4921" s="1"/>
      <c r="AD4921" s="1"/>
      <c r="AE4921" s="1"/>
      <c r="AF4921" s="1"/>
      <c r="AG4921" s="1"/>
    </row>
    <row r="4922" ht="15.75" customHeight="1">
      <c r="A4922" s="1"/>
      <c r="B4922" s="1"/>
      <c r="C4922" s="1"/>
      <c r="D4922" s="1"/>
      <c r="E4922" s="1"/>
      <c r="F4922" s="1"/>
      <c r="G4922" s="1"/>
      <c r="H4922" s="1"/>
      <c r="I4922" s="1"/>
      <c r="J4922" s="1"/>
      <c r="K4922" s="102" t="s">
        <v>7608</v>
      </c>
      <c r="L4922" s="102" t="str">
        <f>H653</f>
        <v>J1a2a2a1~</v>
      </c>
      <c r="M4922" s="102"/>
      <c r="N4922" s="102"/>
      <c r="O4922" s="105">
        <v>1.6784153E7</v>
      </c>
      <c r="P4922" s="105">
        <v>1.4672273E7</v>
      </c>
      <c r="Q4922" s="102" t="s">
        <v>2501</v>
      </c>
      <c r="S4922" s="1"/>
      <c r="T4922" s="1"/>
      <c r="U4922" s="1"/>
      <c r="V4922" s="1"/>
      <c r="W4922" s="1"/>
      <c r="X4922" s="1"/>
      <c r="Y4922" s="1"/>
      <c r="AA4922" s="102"/>
      <c r="AB4922" s="1"/>
      <c r="AC4922" s="1"/>
      <c r="AD4922" s="1"/>
      <c r="AE4922" s="1"/>
      <c r="AF4922" s="1"/>
      <c r="AG4922" s="1"/>
    </row>
    <row r="4923" ht="15.75" customHeight="1">
      <c r="A4923" s="1"/>
      <c r="B4923" s="1"/>
      <c r="C4923" s="1"/>
      <c r="D4923" s="1"/>
      <c r="E4923" s="1"/>
      <c r="F4923" s="1"/>
      <c r="G4923" s="1"/>
      <c r="H4923" s="1"/>
      <c r="I4923" s="1"/>
      <c r="J4923" s="1"/>
      <c r="K4923" s="102" t="s">
        <v>7609</v>
      </c>
      <c r="L4923" s="102" t="str">
        <f>H653</f>
        <v>J1a2a2a1~</v>
      </c>
      <c r="M4923" s="102"/>
      <c r="N4923" s="102"/>
      <c r="O4923" s="105">
        <v>1.7792601E7</v>
      </c>
      <c r="P4923" s="105">
        <v>1.5680721E7</v>
      </c>
      <c r="Q4923" s="102" t="s">
        <v>2423</v>
      </c>
      <c r="S4923" s="1"/>
      <c r="T4923" s="1"/>
      <c r="U4923" s="1"/>
      <c r="V4923" s="1"/>
      <c r="W4923" s="1"/>
      <c r="X4923" s="1"/>
      <c r="Y4923" s="1"/>
      <c r="AA4923" s="102"/>
      <c r="AB4923" s="1"/>
      <c r="AC4923" s="1"/>
      <c r="AD4923" s="1"/>
      <c r="AE4923" s="1"/>
      <c r="AF4923" s="1"/>
      <c r="AG4923" s="1"/>
    </row>
    <row r="4924" ht="15.75" customHeight="1">
      <c r="A4924" s="1"/>
      <c r="B4924" s="1"/>
      <c r="C4924" s="1"/>
      <c r="D4924" s="1"/>
      <c r="E4924" s="1"/>
      <c r="F4924" s="1"/>
      <c r="G4924" s="1"/>
      <c r="H4924" s="1"/>
      <c r="I4924" s="1"/>
      <c r="J4924" s="1"/>
      <c r="K4924" s="102" t="s">
        <v>7610</v>
      </c>
      <c r="L4924" s="102" t="str">
        <f>H653</f>
        <v>J1a2a2a1~</v>
      </c>
      <c r="M4924" s="102"/>
      <c r="N4924" s="102"/>
      <c r="O4924" s="105">
        <v>1.7888105E7</v>
      </c>
      <c r="P4924" s="105">
        <v>1.5776225E7</v>
      </c>
      <c r="Q4924" s="102" t="s">
        <v>2468</v>
      </c>
      <c r="S4924" s="1"/>
      <c r="T4924" s="1"/>
      <c r="U4924" s="1"/>
      <c r="V4924" s="1"/>
      <c r="W4924" s="1"/>
      <c r="X4924" s="1"/>
      <c r="Y4924" s="1"/>
      <c r="AA4924" s="102"/>
      <c r="AB4924" s="1"/>
      <c r="AC4924" s="1"/>
      <c r="AD4924" s="1"/>
      <c r="AE4924" s="1"/>
      <c r="AF4924" s="1"/>
      <c r="AG4924" s="1"/>
    </row>
    <row r="4925" ht="15.75" customHeight="1">
      <c r="A4925" s="1"/>
      <c r="B4925" s="1"/>
      <c r="C4925" s="1"/>
      <c r="D4925" s="1"/>
      <c r="E4925" s="1"/>
      <c r="F4925" s="1"/>
      <c r="G4925" s="1"/>
      <c r="H4925" s="1"/>
      <c r="I4925" s="1"/>
      <c r="J4925" s="1"/>
      <c r="K4925" s="102" t="s">
        <v>7611</v>
      </c>
      <c r="L4925" s="102" t="str">
        <f>H653</f>
        <v>J1a2a2a1~</v>
      </c>
      <c r="M4925" s="102"/>
      <c r="N4925" s="102"/>
      <c r="O4925" s="105">
        <v>1.7913993E7</v>
      </c>
      <c r="P4925" s="105">
        <v>1.5802113E7</v>
      </c>
      <c r="Q4925" s="102" t="s">
        <v>2468</v>
      </c>
      <c r="S4925" s="1"/>
      <c r="T4925" s="1"/>
      <c r="U4925" s="1"/>
      <c r="V4925" s="1"/>
      <c r="W4925" s="1"/>
      <c r="X4925" s="1"/>
      <c r="Y4925" s="1"/>
      <c r="AA4925" s="102"/>
      <c r="AB4925" s="1"/>
      <c r="AC4925" s="1"/>
      <c r="AD4925" s="1"/>
      <c r="AE4925" s="1"/>
      <c r="AF4925" s="1"/>
      <c r="AG4925" s="1"/>
    </row>
    <row r="4926" ht="15.75" customHeight="1">
      <c r="A4926" s="1"/>
      <c r="B4926" s="1"/>
      <c r="C4926" s="1"/>
      <c r="D4926" s="1"/>
      <c r="E4926" s="1"/>
      <c r="F4926" s="1"/>
      <c r="G4926" s="1"/>
      <c r="H4926" s="1"/>
      <c r="I4926" s="1"/>
      <c r="J4926" s="1"/>
      <c r="K4926" s="102" t="s">
        <v>7612</v>
      </c>
      <c r="L4926" s="102" t="str">
        <f>H653</f>
        <v>J1a2a2a1~</v>
      </c>
      <c r="M4926" s="102"/>
      <c r="N4926" s="102"/>
      <c r="O4926" s="105">
        <v>1.942063E7</v>
      </c>
      <c r="P4926" s="105">
        <v>1.730875E7</v>
      </c>
      <c r="Q4926" s="102" t="s">
        <v>2468</v>
      </c>
      <c r="S4926" s="1"/>
      <c r="T4926" s="1"/>
      <c r="U4926" s="1"/>
      <c r="V4926" s="1"/>
      <c r="W4926" s="1"/>
      <c r="X4926" s="1"/>
      <c r="Y4926" s="1"/>
      <c r="AA4926" s="102"/>
      <c r="AB4926" s="1"/>
      <c r="AC4926" s="1"/>
      <c r="AD4926" s="1"/>
      <c r="AE4926" s="1"/>
      <c r="AF4926" s="1"/>
      <c r="AG4926" s="1"/>
    </row>
    <row r="4927" ht="15.75" customHeight="1">
      <c r="A4927" s="1"/>
      <c r="B4927" s="1"/>
      <c r="C4927" s="1"/>
      <c r="D4927" s="1"/>
      <c r="E4927" s="1"/>
      <c r="F4927" s="1"/>
      <c r="G4927" s="1"/>
      <c r="H4927" s="1"/>
      <c r="I4927" s="1"/>
      <c r="J4927" s="1"/>
      <c r="K4927" s="102" t="s">
        <v>7613</v>
      </c>
      <c r="L4927" s="102" t="str">
        <f>H653</f>
        <v>J1a2a2a1~</v>
      </c>
      <c r="M4927" s="102"/>
      <c r="N4927" s="102"/>
      <c r="O4927" s="105">
        <v>2.1478156E7</v>
      </c>
      <c r="P4927" s="105">
        <v>1.931627E7</v>
      </c>
      <c r="Q4927" s="102" t="s">
        <v>2533</v>
      </c>
      <c r="S4927" s="1"/>
      <c r="T4927" s="1"/>
      <c r="U4927" s="1"/>
      <c r="V4927" s="1"/>
      <c r="W4927" s="1"/>
      <c r="X4927" s="1"/>
      <c r="Y4927" s="1"/>
      <c r="AA4927" s="102"/>
      <c r="AB4927" s="1"/>
      <c r="AC4927" s="1"/>
      <c r="AD4927" s="1"/>
      <c r="AE4927" s="1"/>
      <c r="AF4927" s="1"/>
      <c r="AG4927" s="1"/>
    </row>
    <row r="4928" ht="15.75" customHeight="1">
      <c r="A4928" s="1"/>
      <c r="B4928" s="1"/>
      <c r="C4928" s="1"/>
      <c r="D4928" s="1"/>
      <c r="E4928" s="1"/>
      <c r="F4928" s="1"/>
      <c r="G4928" s="1"/>
      <c r="H4928" s="1"/>
      <c r="I4928" s="1"/>
      <c r="J4928" s="1"/>
      <c r="K4928" s="102" t="s">
        <v>7614</v>
      </c>
      <c r="L4928" s="102" t="str">
        <f>H653</f>
        <v>J1a2a2a1~</v>
      </c>
      <c r="M4928" s="102"/>
      <c r="N4928" s="102"/>
      <c r="O4928" s="105">
        <v>2.1563544E7</v>
      </c>
      <c r="P4928" s="105">
        <v>1.9401658E7</v>
      </c>
      <c r="Q4928" s="102" t="s">
        <v>2468</v>
      </c>
      <c r="S4928" s="1"/>
      <c r="T4928" s="1"/>
      <c r="U4928" s="1"/>
      <c r="V4928" s="1"/>
      <c r="W4928" s="1"/>
      <c r="X4928" s="1"/>
      <c r="Y4928" s="1"/>
      <c r="AA4928" s="102"/>
      <c r="AB4928" s="1"/>
      <c r="AC4928" s="1"/>
      <c r="AD4928" s="1"/>
      <c r="AE4928" s="1"/>
      <c r="AF4928" s="1"/>
      <c r="AG4928" s="1"/>
    </row>
    <row r="4929" ht="15.75" customHeight="1">
      <c r="A4929" s="1"/>
      <c r="B4929" s="1"/>
      <c r="C4929" s="1"/>
      <c r="D4929" s="1"/>
      <c r="E4929" s="1"/>
      <c r="F4929" s="1"/>
      <c r="G4929" s="1"/>
      <c r="H4929" s="1"/>
      <c r="I4929" s="1"/>
      <c r="J4929" s="1"/>
      <c r="K4929" s="102" t="s">
        <v>7615</v>
      </c>
      <c r="L4929" s="102" t="str">
        <f>H653</f>
        <v>J1a2a2a1~</v>
      </c>
      <c r="M4929" s="102"/>
      <c r="N4929" s="102"/>
      <c r="O4929" s="105">
        <v>2.1825361E7</v>
      </c>
      <c r="P4929" s="105">
        <v>1.9663475E7</v>
      </c>
      <c r="Q4929" s="102" t="s">
        <v>2576</v>
      </c>
      <c r="S4929" s="1"/>
      <c r="T4929" s="1"/>
      <c r="U4929" s="1"/>
      <c r="V4929" s="1"/>
      <c r="W4929" s="1"/>
      <c r="X4929" s="1"/>
      <c r="Y4929" s="1"/>
      <c r="AA4929" s="102"/>
      <c r="AB4929" s="1"/>
      <c r="AC4929" s="1"/>
      <c r="AD4929" s="1"/>
      <c r="AE4929" s="1"/>
      <c r="AF4929" s="1"/>
      <c r="AG4929" s="1"/>
    </row>
    <row r="4930" ht="15.75" customHeight="1">
      <c r="A4930" s="1"/>
      <c r="B4930" s="1"/>
      <c r="C4930" s="1"/>
      <c r="D4930" s="1"/>
      <c r="E4930" s="1"/>
      <c r="F4930" s="1"/>
      <c r="G4930" s="1"/>
      <c r="H4930" s="1"/>
      <c r="I4930" s="1"/>
      <c r="J4930" s="1"/>
      <c r="K4930" s="102" t="s">
        <v>7616</v>
      </c>
      <c r="L4930" s="102" t="str">
        <f>H653</f>
        <v>J1a2a2a1~</v>
      </c>
      <c r="M4930" s="102"/>
      <c r="N4930" s="102"/>
      <c r="O4930" s="105">
        <v>2.2203104E7</v>
      </c>
      <c r="P4930" s="105">
        <v>2.0041218E7</v>
      </c>
      <c r="Q4930" s="102" t="s">
        <v>2501</v>
      </c>
      <c r="S4930" s="1"/>
      <c r="T4930" s="1"/>
      <c r="U4930" s="1"/>
      <c r="V4930" s="1"/>
      <c r="W4930" s="1"/>
      <c r="X4930" s="1"/>
      <c r="Y4930" s="1"/>
      <c r="AA4930" s="102"/>
      <c r="AB4930" s="1"/>
      <c r="AC4930" s="1"/>
      <c r="AD4930" s="1"/>
      <c r="AE4930" s="1"/>
      <c r="AF4930" s="1"/>
      <c r="AG4930" s="1"/>
    </row>
    <row r="4931" ht="15.75" customHeight="1">
      <c r="A4931" s="1"/>
      <c r="B4931" s="1"/>
      <c r="C4931" s="1"/>
      <c r="D4931" s="1"/>
      <c r="E4931" s="1"/>
      <c r="F4931" s="1"/>
      <c r="G4931" s="1"/>
      <c r="H4931" s="1"/>
      <c r="I4931" s="1"/>
      <c r="J4931" s="1"/>
      <c r="K4931" s="102" t="s">
        <v>7617</v>
      </c>
      <c r="L4931" s="102" t="str">
        <f>H653</f>
        <v>J1a2a2a1~</v>
      </c>
      <c r="M4931" s="102"/>
      <c r="N4931" s="102"/>
      <c r="O4931" s="105">
        <v>2.2951621E7</v>
      </c>
      <c r="P4931" s="105">
        <v>2.0789735E7</v>
      </c>
      <c r="Q4931" s="102" t="s">
        <v>2529</v>
      </c>
      <c r="S4931" s="1"/>
      <c r="T4931" s="1"/>
      <c r="U4931" s="1"/>
      <c r="V4931" s="1"/>
      <c r="W4931" s="1"/>
      <c r="X4931" s="1"/>
      <c r="Y4931" s="1"/>
      <c r="AA4931" s="102"/>
      <c r="AB4931" s="1"/>
      <c r="AC4931" s="1"/>
      <c r="AD4931" s="1"/>
      <c r="AE4931" s="1"/>
      <c r="AF4931" s="1"/>
      <c r="AG4931" s="1"/>
    </row>
    <row r="4932" ht="15.75" customHeight="1">
      <c r="A4932" s="1"/>
      <c r="B4932" s="1"/>
      <c r="C4932" s="1"/>
      <c r="D4932" s="1"/>
      <c r="E4932" s="1"/>
      <c r="F4932" s="1"/>
      <c r="G4932" s="1"/>
      <c r="H4932" s="1"/>
      <c r="I4932" s="1"/>
      <c r="J4932" s="1"/>
      <c r="K4932" s="102" t="s">
        <v>7618</v>
      </c>
      <c r="L4932" s="102" t="str">
        <f>H653</f>
        <v>J1a2a2a1~</v>
      </c>
      <c r="M4932" s="102"/>
      <c r="N4932" s="102"/>
      <c r="O4932" s="105">
        <v>2.3609522E7</v>
      </c>
      <c r="P4932" s="105">
        <v>2.1447636E7</v>
      </c>
      <c r="Q4932" s="102" t="s">
        <v>2533</v>
      </c>
      <c r="S4932" s="1"/>
      <c r="T4932" s="1"/>
      <c r="U4932" s="1"/>
      <c r="V4932" s="1"/>
      <c r="W4932" s="1"/>
      <c r="X4932" s="1"/>
      <c r="Y4932" s="1"/>
      <c r="AA4932" s="102"/>
      <c r="AB4932" s="1"/>
      <c r="AC4932" s="1"/>
      <c r="AD4932" s="1"/>
      <c r="AE4932" s="1"/>
      <c r="AF4932" s="1"/>
      <c r="AG4932" s="1"/>
    </row>
    <row r="4933" ht="15.75" customHeight="1">
      <c r="A4933" s="1"/>
      <c r="B4933" s="1"/>
      <c r="C4933" s="1"/>
      <c r="D4933" s="1"/>
      <c r="E4933" s="1"/>
      <c r="F4933" s="1"/>
      <c r="G4933" s="1"/>
      <c r="H4933" s="1"/>
      <c r="I4933" s="1"/>
      <c r="J4933" s="1"/>
      <c r="K4933" s="102" t="s">
        <v>7619</v>
      </c>
      <c r="L4933" s="102" t="str">
        <f>H653</f>
        <v>J1a2a2a1~</v>
      </c>
      <c r="M4933" s="102"/>
      <c r="N4933" s="102"/>
      <c r="O4933" s="105">
        <v>2.3772065E7</v>
      </c>
      <c r="P4933" s="105">
        <v>2.1610179E7</v>
      </c>
      <c r="Q4933" s="102" t="s">
        <v>2529</v>
      </c>
      <c r="S4933" s="1"/>
      <c r="T4933" s="1"/>
      <c r="U4933" s="1"/>
      <c r="V4933" s="1"/>
      <c r="W4933" s="1"/>
      <c r="X4933" s="1"/>
      <c r="Y4933" s="1"/>
      <c r="AA4933" s="102"/>
      <c r="AB4933" s="1"/>
      <c r="AC4933" s="1"/>
      <c r="AD4933" s="1"/>
      <c r="AE4933" s="1"/>
      <c r="AF4933" s="1"/>
      <c r="AG4933" s="1"/>
    </row>
    <row r="4934" ht="15.75" customHeight="1">
      <c r="A4934" s="1"/>
      <c r="B4934" s="1"/>
      <c r="C4934" s="1"/>
      <c r="D4934" s="1"/>
      <c r="E4934" s="1"/>
      <c r="F4934" s="1"/>
      <c r="G4934" s="1"/>
      <c r="H4934" s="1"/>
      <c r="I4934" s="1"/>
      <c r="J4934" s="1"/>
      <c r="K4934" s="102" t="s">
        <v>7620</v>
      </c>
      <c r="L4934" s="102" t="str">
        <f>H653</f>
        <v>J1a2a2a1~</v>
      </c>
      <c r="M4934" s="102"/>
      <c r="N4934" s="102"/>
      <c r="O4934" s="105">
        <v>1.6915417E7</v>
      </c>
      <c r="P4934" s="105">
        <v>1.4803537E7</v>
      </c>
      <c r="Q4934" s="102" t="s">
        <v>2432</v>
      </c>
      <c r="S4934" s="1"/>
      <c r="T4934" s="1"/>
      <c r="U4934" s="1"/>
      <c r="V4934" s="1"/>
      <c r="W4934" s="1"/>
      <c r="X4934" s="1"/>
      <c r="Y4934" s="1"/>
      <c r="AA4934" s="102"/>
      <c r="AB4934" s="1"/>
      <c r="AC4934" s="1"/>
      <c r="AD4934" s="1"/>
      <c r="AE4934" s="1"/>
      <c r="AF4934" s="1"/>
      <c r="AG4934" s="1"/>
    </row>
    <row r="4935" ht="15.75" customHeight="1">
      <c r="A4935" s="1"/>
      <c r="B4935" s="1"/>
      <c r="C4935" s="1"/>
      <c r="D4935" s="1"/>
      <c r="E4935" s="1"/>
      <c r="F4935" s="1"/>
      <c r="G4935" s="1"/>
      <c r="H4935" s="1"/>
      <c r="I4935" s="1"/>
      <c r="J4935" s="1"/>
      <c r="K4935" s="102" t="s">
        <v>7621</v>
      </c>
      <c r="L4935" s="102" t="str">
        <f>H653</f>
        <v>J1a2a2a1~</v>
      </c>
      <c r="M4935" s="102"/>
      <c r="N4935" s="102"/>
      <c r="O4935" s="105">
        <v>2.4447938E7</v>
      </c>
      <c r="P4935" s="105">
        <v>2.2301791E7</v>
      </c>
      <c r="Q4935" s="102" t="s">
        <v>2529</v>
      </c>
      <c r="S4935" s="1"/>
      <c r="T4935" s="1"/>
      <c r="U4935" s="1"/>
      <c r="V4935" s="1"/>
      <c r="W4935" s="1"/>
      <c r="X4935" s="1"/>
      <c r="Y4935" s="1"/>
      <c r="AA4935" s="102"/>
      <c r="AB4935" s="1"/>
      <c r="AC4935" s="1"/>
      <c r="AD4935" s="1"/>
      <c r="AE4935" s="1"/>
      <c r="AF4935" s="1"/>
      <c r="AG4935" s="1"/>
    </row>
    <row r="4936" ht="15.75" customHeight="1">
      <c r="A4936" s="1"/>
      <c r="B4936" s="1"/>
      <c r="C4936" s="1"/>
      <c r="D4936" s="1"/>
      <c r="E4936" s="1"/>
      <c r="F4936" s="1"/>
      <c r="G4936" s="1"/>
      <c r="H4936" s="1"/>
      <c r="I4936" s="1"/>
      <c r="J4936" s="1"/>
      <c r="K4936" s="102" t="s">
        <v>7622</v>
      </c>
      <c r="L4936" s="102" t="str">
        <f>E654</f>
        <v>J1a2b</v>
      </c>
      <c r="M4936" s="102" t="s">
        <v>7623</v>
      </c>
      <c r="N4936" s="102" t="s">
        <v>7624</v>
      </c>
      <c r="O4936" s="105">
        <v>2669716.0</v>
      </c>
      <c r="P4936" s="105">
        <v>2801675.0</v>
      </c>
      <c r="Q4936" s="102" t="s">
        <v>2501</v>
      </c>
      <c r="S4936" s="1"/>
      <c r="T4936" s="1"/>
      <c r="U4936" s="1"/>
      <c r="V4936" s="1"/>
      <c r="W4936" s="1"/>
      <c r="X4936" s="1"/>
      <c r="Y4936" s="1"/>
      <c r="AA4936" s="102"/>
      <c r="AB4936" s="1"/>
      <c r="AC4936" s="1"/>
      <c r="AD4936" s="1"/>
      <c r="AE4936" s="1"/>
      <c r="AF4936" s="1"/>
      <c r="AG4936" s="1"/>
    </row>
    <row r="4937" ht="15.75" customHeight="1">
      <c r="A4937" s="1"/>
      <c r="B4937" s="1"/>
      <c r="C4937" s="1"/>
      <c r="D4937" s="1"/>
      <c r="E4937" s="1"/>
      <c r="F4937" s="1"/>
      <c r="G4937" s="1"/>
      <c r="H4937" s="1"/>
      <c r="I4937" s="1"/>
      <c r="J4937" s="1"/>
      <c r="K4937" s="102" t="s">
        <v>7623</v>
      </c>
      <c r="L4937" s="102" t="str">
        <f t="shared" ref="L4937:L4938" si="113">E654</f>
        <v>J1a2b</v>
      </c>
      <c r="M4937" s="102" t="s">
        <v>7622</v>
      </c>
      <c r="N4937" s="102" t="s">
        <v>7624</v>
      </c>
      <c r="O4937" s="105">
        <v>2669716.0</v>
      </c>
      <c r="P4937" s="105">
        <v>2801675.0</v>
      </c>
      <c r="Q4937" s="102" t="s">
        <v>2501</v>
      </c>
      <c r="S4937" s="1"/>
      <c r="T4937" s="1"/>
      <c r="U4937" s="1"/>
      <c r="V4937" s="1"/>
      <c r="W4937" s="1"/>
      <c r="X4937" s="1"/>
      <c r="Y4937" s="1"/>
      <c r="AA4937" s="102"/>
      <c r="AB4937" s="1"/>
      <c r="AC4937" s="1"/>
      <c r="AD4937" s="1"/>
      <c r="AE4937" s="1"/>
      <c r="AF4937" s="1"/>
      <c r="AG4937" s="1"/>
    </row>
    <row r="4938" ht="15.75" customHeight="1">
      <c r="A4938" s="1"/>
      <c r="B4938" s="1"/>
      <c r="C4938" s="1"/>
      <c r="D4938" s="1"/>
      <c r="E4938" s="1"/>
      <c r="F4938" s="1"/>
      <c r="G4938" s="1"/>
      <c r="H4938" s="1"/>
      <c r="I4938" s="1"/>
      <c r="J4938" s="1"/>
      <c r="K4938" s="102" t="s">
        <v>7625</v>
      </c>
      <c r="L4938" s="102" t="str">
        <f t="shared" si="113"/>
        <v>J1a2b~</v>
      </c>
      <c r="M4938" s="102"/>
      <c r="N4938" s="102" t="s">
        <v>7626</v>
      </c>
      <c r="O4938" s="105">
        <v>7233156.0</v>
      </c>
      <c r="P4938" s="105">
        <v>7365115.0</v>
      </c>
      <c r="Q4938" s="102" t="s">
        <v>2468</v>
      </c>
      <c r="S4938" s="1"/>
      <c r="T4938" s="1"/>
      <c r="U4938" s="1"/>
      <c r="V4938" s="1"/>
      <c r="W4938" s="1"/>
      <c r="X4938" s="1"/>
      <c r="Y4938" s="1"/>
      <c r="AA4938" s="102"/>
      <c r="AB4938" s="1"/>
      <c r="AC4938" s="1"/>
      <c r="AD4938" s="1"/>
      <c r="AE4938" s="1"/>
      <c r="AF4938" s="1"/>
      <c r="AG4938" s="1"/>
    </row>
    <row r="4939" ht="15.75" customHeight="1">
      <c r="A4939" s="1"/>
      <c r="B4939" s="1"/>
      <c r="C4939" s="1"/>
      <c r="D4939" s="1"/>
      <c r="E4939" s="1"/>
      <c r="F4939" s="1"/>
      <c r="G4939" s="1"/>
      <c r="H4939" s="1"/>
      <c r="I4939" s="1"/>
      <c r="J4939" s="1"/>
      <c r="K4939" s="102" t="s">
        <v>7627</v>
      </c>
      <c r="L4939" s="102" t="str">
        <f>E655</f>
        <v>J1a2b~</v>
      </c>
      <c r="M4939" s="102"/>
      <c r="N4939" s="102" t="s">
        <v>7628</v>
      </c>
      <c r="O4939" s="105">
        <v>7302017.0</v>
      </c>
      <c r="P4939" s="105">
        <v>7433976.0</v>
      </c>
      <c r="Q4939" s="102" t="s">
        <v>2563</v>
      </c>
      <c r="S4939" s="1"/>
      <c r="T4939" s="1"/>
      <c r="U4939" s="1"/>
      <c r="V4939" s="1"/>
      <c r="W4939" s="1"/>
      <c r="X4939" s="1"/>
      <c r="Y4939" s="1"/>
      <c r="AA4939" s="102"/>
      <c r="AB4939" s="1"/>
      <c r="AC4939" s="1"/>
      <c r="AD4939" s="1"/>
      <c r="AE4939" s="1"/>
      <c r="AF4939" s="1"/>
      <c r="AG4939" s="1"/>
    </row>
    <row r="4940" ht="15.75" customHeight="1">
      <c r="A4940" s="1"/>
      <c r="B4940" s="1"/>
      <c r="C4940" s="1"/>
      <c r="D4940" s="1"/>
      <c r="E4940" s="1"/>
      <c r="F4940" s="1"/>
      <c r="G4940" s="1"/>
      <c r="H4940" s="1"/>
      <c r="I4940" s="1"/>
      <c r="J4940" s="1"/>
      <c r="K4940" s="102" t="s">
        <v>7629</v>
      </c>
      <c r="L4940" s="102" t="str">
        <f>E655</f>
        <v>J1a2b~</v>
      </c>
      <c r="M4940" s="102" t="s">
        <v>7630</v>
      </c>
      <c r="N4940" s="102" t="s">
        <v>7631</v>
      </c>
      <c r="O4940" s="105">
        <v>7334308.0</v>
      </c>
      <c r="P4940" s="105">
        <v>7466267.0</v>
      </c>
      <c r="Q4940" s="102" t="s">
        <v>2468</v>
      </c>
      <c r="S4940" s="1"/>
      <c r="T4940" s="1"/>
      <c r="U4940" s="1"/>
      <c r="V4940" s="1"/>
      <c r="W4940" s="1"/>
      <c r="X4940" s="1"/>
      <c r="Y4940" s="1"/>
      <c r="AA4940" s="102"/>
      <c r="AB4940" s="1"/>
      <c r="AC4940" s="1"/>
      <c r="AD4940" s="1"/>
      <c r="AE4940" s="1"/>
      <c r="AF4940" s="1"/>
      <c r="AG4940" s="1"/>
    </row>
    <row r="4941" ht="15.75" customHeight="1">
      <c r="A4941" s="1"/>
      <c r="B4941" s="1"/>
      <c r="C4941" s="1"/>
      <c r="D4941" s="1"/>
      <c r="E4941" s="1"/>
      <c r="F4941" s="1"/>
      <c r="G4941" s="1"/>
      <c r="H4941" s="1"/>
      <c r="I4941" s="1"/>
      <c r="J4941" s="1"/>
      <c r="K4941" s="102" t="s">
        <v>7630</v>
      </c>
      <c r="L4941" s="102" t="str">
        <f>E655</f>
        <v>J1a2b~</v>
      </c>
      <c r="M4941" s="102" t="s">
        <v>7629</v>
      </c>
      <c r="N4941" s="102" t="s">
        <v>7631</v>
      </c>
      <c r="O4941" s="105">
        <v>7334308.0</v>
      </c>
      <c r="P4941" s="105">
        <v>7466267.0</v>
      </c>
      <c r="Q4941" s="102" t="s">
        <v>2468</v>
      </c>
      <c r="S4941" s="1"/>
      <c r="T4941" s="1"/>
      <c r="U4941" s="1"/>
      <c r="V4941" s="1"/>
      <c r="W4941" s="1"/>
      <c r="X4941" s="1"/>
      <c r="Y4941" s="1"/>
      <c r="AA4941" s="102"/>
      <c r="AB4941" s="1"/>
      <c r="AC4941" s="1"/>
      <c r="AD4941" s="1"/>
      <c r="AE4941" s="1"/>
      <c r="AF4941" s="1"/>
      <c r="AG4941" s="1"/>
    </row>
    <row r="4942" ht="15.75" customHeight="1">
      <c r="A4942" s="1"/>
      <c r="B4942" s="1"/>
      <c r="C4942" s="1"/>
      <c r="D4942" s="1"/>
      <c r="E4942" s="1"/>
      <c r="F4942" s="1"/>
      <c r="G4942" s="1"/>
      <c r="H4942" s="1"/>
      <c r="I4942" s="1"/>
      <c r="J4942" s="1"/>
      <c r="K4942" s="102" t="s">
        <v>7632</v>
      </c>
      <c r="L4942" s="102" t="str">
        <f>E655</f>
        <v>J1a2b~</v>
      </c>
      <c r="M4942" s="102" t="s">
        <v>7633</v>
      </c>
      <c r="N4942" s="102" t="s">
        <v>7634</v>
      </c>
      <c r="O4942" s="105">
        <v>1.5034046E7</v>
      </c>
      <c r="P4942" s="105">
        <v>1.2922134E7</v>
      </c>
      <c r="Q4942" s="102" t="s">
        <v>2439</v>
      </c>
      <c r="S4942" s="1"/>
      <c r="T4942" s="1"/>
      <c r="U4942" s="1"/>
      <c r="V4942" s="1"/>
      <c r="W4942" s="1"/>
      <c r="X4942" s="1"/>
      <c r="Y4942" s="1"/>
      <c r="AA4942" s="102"/>
      <c r="AB4942" s="1"/>
      <c r="AC4942" s="1"/>
      <c r="AD4942" s="1"/>
      <c r="AE4942" s="1"/>
      <c r="AF4942" s="1"/>
      <c r="AG4942" s="1"/>
    </row>
    <row r="4943" ht="15.75" customHeight="1">
      <c r="A4943" s="1"/>
      <c r="B4943" s="1"/>
      <c r="C4943" s="1"/>
      <c r="D4943" s="1"/>
      <c r="E4943" s="1"/>
      <c r="F4943" s="1"/>
      <c r="G4943" s="1"/>
      <c r="H4943" s="1"/>
      <c r="I4943" s="1"/>
      <c r="J4943" s="1"/>
      <c r="K4943" s="102" t="s">
        <v>7633</v>
      </c>
      <c r="L4943" s="102" t="str">
        <f>E655</f>
        <v>J1a2b~</v>
      </c>
      <c r="M4943" s="102" t="s">
        <v>7632</v>
      </c>
      <c r="N4943" s="102" t="s">
        <v>7634</v>
      </c>
      <c r="O4943" s="105">
        <v>1.5034046E7</v>
      </c>
      <c r="P4943" s="105">
        <v>1.2922134E7</v>
      </c>
      <c r="Q4943" s="102" t="s">
        <v>2439</v>
      </c>
      <c r="S4943" s="1"/>
      <c r="T4943" s="1"/>
      <c r="U4943" s="1"/>
      <c r="V4943" s="1"/>
      <c r="W4943" s="1"/>
      <c r="X4943" s="1"/>
      <c r="Y4943" s="1"/>
      <c r="AA4943" s="102"/>
      <c r="AB4943" s="1"/>
      <c r="AC4943" s="1"/>
      <c r="AD4943" s="1"/>
      <c r="AE4943" s="1"/>
      <c r="AF4943" s="1"/>
      <c r="AG4943" s="1"/>
    </row>
    <row r="4944" ht="15.75" customHeight="1">
      <c r="A4944" s="1"/>
      <c r="B4944" s="1"/>
      <c r="C4944" s="1"/>
      <c r="D4944" s="1"/>
      <c r="E4944" s="1"/>
      <c r="F4944" s="1"/>
      <c r="G4944" s="1"/>
      <c r="H4944" s="1"/>
      <c r="I4944" s="1"/>
      <c r="J4944" s="1"/>
      <c r="K4944" s="102" t="s">
        <v>7635</v>
      </c>
      <c r="L4944" s="102" t="str">
        <f>E655</f>
        <v>J1a2b~</v>
      </c>
      <c r="M4944" s="102"/>
      <c r="N4944" s="102" t="s">
        <v>7636</v>
      </c>
      <c r="O4944" s="105">
        <v>1.5972355E7</v>
      </c>
      <c r="P4944" s="105">
        <v>1.3860475E7</v>
      </c>
      <c r="Q4944" s="102" t="s">
        <v>2439</v>
      </c>
      <c r="S4944" s="1"/>
      <c r="T4944" s="1"/>
      <c r="U4944" s="1"/>
      <c r="V4944" s="1"/>
      <c r="W4944" s="1"/>
      <c r="X4944" s="1"/>
      <c r="Y4944" s="1"/>
      <c r="AA4944" s="102"/>
      <c r="AB4944" s="1"/>
      <c r="AC4944" s="1"/>
      <c r="AD4944" s="1"/>
      <c r="AE4944" s="1"/>
      <c r="AF4944" s="1"/>
      <c r="AG4944" s="1"/>
    </row>
    <row r="4945" ht="15.75" customHeight="1">
      <c r="A4945" s="1"/>
      <c r="B4945" s="1"/>
      <c r="C4945" s="1"/>
      <c r="D4945" s="1"/>
      <c r="E4945" s="1"/>
      <c r="F4945" s="1"/>
      <c r="G4945" s="1"/>
      <c r="H4945" s="1"/>
      <c r="I4945" s="1"/>
      <c r="J4945" s="1"/>
      <c r="K4945" s="102" t="s">
        <v>7637</v>
      </c>
      <c r="L4945" s="102" t="str">
        <f>E655</f>
        <v>J1a2b~</v>
      </c>
      <c r="M4945" s="102"/>
      <c r="N4945" s="102" t="s">
        <v>7638</v>
      </c>
      <c r="O4945" s="105">
        <v>1.6863934E7</v>
      </c>
      <c r="P4945" s="105">
        <v>1.4752054E7</v>
      </c>
      <c r="Q4945" s="102" t="s">
        <v>2468</v>
      </c>
      <c r="S4945" s="1"/>
      <c r="T4945" s="1"/>
      <c r="U4945" s="1"/>
      <c r="V4945" s="1"/>
      <c r="W4945" s="1"/>
      <c r="X4945" s="1"/>
      <c r="Y4945" s="1"/>
      <c r="AA4945" s="102"/>
      <c r="AB4945" s="1"/>
      <c r="AC4945" s="1"/>
      <c r="AD4945" s="1"/>
      <c r="AE4945" s="1"/>
      <c r="AF4945" s="1"/>
      <c r="AG4945" s="1"/>
    </row>
    <row r="4946" ht="15.75" customHeight="1">
      <c r="A4946" s="1"/>
      <c r="B4946" s="1"/>
      <c r="C4946" s="1"/>
      <c r="D4946" s="1"/>
      <c r="E4946" s="1"/>
      <c r="F4946" s="1"/>
      <c r="G4946" s="1"/>
      <c r="H4946" s="1"/>
      <c r="I4946" s="1"/>
      <c r="J4946" s="1"/>
      <c r="K4946" s="102" t="s">
        <v>7639</v>
      </c>
      <c r="L4946" s="102" t="str">
        <f>E655</f>
        <v>J1a2b~</v>
      </c>
      <c r="M4946" s="102" t="s">
        <v>7640</v>
      </c>
      <c r="N4946" s="102" t="s">
        <v>7641</v>
      </c>
      <c r="O4946" s="105">
        <v>1.6880722E7</v>
      </c>
      <c r="P4946" s="105">
        <v>1.4768842E7</v>
      </c>
      <c r="Q4946" s="102" t="s">
        <v>2439</v>
      </c>
      <c r="S4946" s="1"/>
      <c r="T4946" s="1"/>
      <c r="U4946" s="1"/>
      <c r="V4946" s="1"/>
      <c r="W4946" s="1"/>
      <c r="X4946" s="1"/>
      <c r="Y4946" s="1"/>
      <c r="AA4946" s="102"/>
      <c r="AB4946" s="1"/>
      <c r="AC4946" s="1"/>
      <c r="AD4946" s="1"/>
      <c r="AE4946" s="1"/>
      <c r="AF4946" s="1"/>
      <c r="AG4946" s="1"/>
    </row>
    <row r="4947" ht="15.75" customHeight="1">
      <c r="A4947" s="1"/>
      <c r="B4947" s="1"/>
      <c r="C4947" s="1"/>
      <c r="D4947" s="1"/>
      <c r="E4947" s="1"/>
      <c r="F4947" s="1"/>
      <c r="G4947" s="1"/>
      <c r="H4947" s="1"/>
      <c r="I4947" s="1"/>
      <c r="J4947" s="1"/>
      <c r="K4947" s="102" t="s">
        <v>7640</v>
      </c>
      <c r="L4947" s="102" t="str">
        <f>E655</f>
        <v>J1a2b~</v>
      </c>
      <c r="M4947" s="102" t="s">
        <v>7639</v>
      </c>
      <c r="N4947" s="102" t="s">
        <v>7641</v>
      </c>
      <c r="O4947" s="105">
        <v>1.6880722E7</v>
      </c>
      <c r="P4947" s="105">
        <v>1.4768842E7</v>
      </c>
      <c r="Q4947" s="102" t="s">
        <v>2439</v>
      </c>
      <c r="S4947" s="1"/>
      <c r="T4947" s="1"/>
      <c r="U4947" s="1"/>
      <c r="V4947" s="1"/>
      <c r="W4947" s="1"/>
      <c r="X4947" s="1"/>
      <c r="Y4947" s="1"/>
      <c r="AA4947" s="102"/>
      <c r="AB4947" s="1"/>
      <c r="AC4947" s="1"/>
      <c r="AD4947" s="1"/>
      <c r="AE4947" s="1"/>
      <c r="AF4947" s="1"/>
      <c r="AG4947" s="1"/>
    </row>
    <row r="4948" ht="15.75" customHeight="1">
      <c r="A4948" s="1"/>
      <c r="B4948" s="1"/>
      <c r="C4948" s="1"/>
      <c r="D4948" s="1"/>
      <c r="E4948" s="1"/>
      <c r="F4948" s="1"/>
      <c r="G4948" s="1"/>
      <c r="H4948" s="1"/>
      <c r="I4948" s="1"/>
      <c r="J4948" s="1"/>
      <c r="K4948" s="102" t="s">
        <v>7642</v>
      </c>
      <c r="L4948" s="102" t="str">
        <f>E655</f>
        <v>J1a2b~</v>
      </c>
      <c r="M4948" s="102" t="s">
        <v>7643</v>
      </c>
      <c r="N4948" s="102" t="s">
        <v>7644</v>
      </c>
      <c r="O4948" s="105">
        <v>1.7243839E7</v>
      </c>
      <c r="P4948" s="105">
        <v>1.5131959E7</v>
      </c>
      <c r="Q4948" s="102" t="s">
        <v>2514</v>
      </c>
      <c r="S4948" s="1"/>
      <c r="T4948" s="1"/>
      <c r="U4948" s="1"/>
      <c r="V4948" s="1"/>
      <c r="W4948" s="1"/>
      <c r="X4948" s="1"/>
      <c r="Y4948" s="1"/>
      <c r="AA4948" s="102"/>
      <c r="AB4948" s="1"/>
      <c r="AC4948" s="1"/>
      <c r="AD4948" s="1"/>
      <c r="AE4948" s="1"/>
      <c r="AF4948" s="1"/>
      <c r="AG4948" s="1"/>
    </row>
    <row r="4949" ht="15.75" customHeight="1">
      <c r="A4949" s="1"/>
      <c r="B4949" s="1"/>
      <c r="C4949" s="1"/>
      <c r="D4949" s="1"/>
      <c r="E4949" s="1"/>
      <c r="F4949" s="1"/>
      <c r="G4949" s="1"/>
      <c r="H4949" s="1"/>
      <c r="I4949" s="1"/>
      <c r="J4949" s="1"/>
      <c r="K4949" s="102" t="s">
        <v>7643</v>
      </c>
      <c r="L4949" s="102" t="str">
        <f>E655</f>
        <v>J1a2b~</v>
      </c>
      <c r="M4949" s="102" t="s">
        <v>7642</v>
      </c>
      <c r="N4949" s="102" t="s">
        <v>7644</v>
      </c>
      <c r="O4949" s="105">
        <v>1.7243839E7</v>
      </c>
      <c r="P4949" s="105">
        <v>1.5131959E7</v>
      </c>
      <c r="Q4949" s="102" t="s">
        <v>2514</v>
      </c>
      <c r="S4949" s="1"/>
      <c r="T4949" s="1"/>
      <c r="U4949" s="1"/>
      <c r="V4949" s="1"/>
      <c r="W4949" s="1"/>
      <c r="X4949" s="1"/>
      <c r="Y4949" s="1"/>
      <c r="AA4949" s="102"/>
      <c r="AB4949" s="1"/>
      <c r="AC4949" s="1"/>
      <c r="AD4949" s="1"/>
      <c r="AE4949" s="1"/>
      <c r="AF4949" s="1"/>
      <c r="AG4949" s="1"/>
    </row>
    <row r="4950" ht="15.75" customHeight="1">
      <c r="A4950" s="1"/>
      <c r="B4950" s="1"/>
      <c r="C4950" s="1"/>
      <c r="D4950" s="1"/>
      <c r="E4950" s="1"/>
      <c r="F4950" s="1"/>
      <c r="G4950" s="1"/>
      <c r="H4950" s="1"/>
      <c r="I4950" s="1"/>
      <c r="J4950" s="1"/>
      <c r="K4950" s="102" t="s">
        <v>7645</v>
      </c>
      <c r="L4950" s="102" t="str">
        <f>E655</f>
        <v>J1a2b~</v>
      </c>
      <c r="M4950" s="102" t="s">
        <v>7646</v>
      </c>
      <c r="N4950" s="102" t="s">
        <v>7647</v>
      </c>
      <c r="O4950" s="105">
        <v>1.7284207E7</v>
      </c>
      <c r="P4950" s="105">
        <v>1.5172327E7</v>
      </c>
      <c r="Q4950" s="102" t="s">
        <v>2514</v>
      </c>
      <c r="S4950" s="1"/>
      <c r="T4950" s="1"/>
      <c r="U4950" s="1"/>
      <c r="V4950" s="1"/>
      <c r="W4950" s="1"/>
      <c r="X4950" s="1"/>
      <c r="Y4950" s="1"/>
      <c r="AA4950" s="102"/>
      <c r="AB4950" s="1"/>
      <c r="AC4950" s="1"/>
      <c r="AD4950" s="1"/>
      <c r="AE4950" s="1"/>
      <c r="AF4950" s="1"/>
      <c r="AG4950" s="1"/>
    </row>
    <row r="4951" ht="15.75" customHeight="1">
      <c r="A4951" s="1"/>
      <c r="B4951" s="1"/>
      <c r="C4951" s="1"/>
      <c r="D4951" s="1"/>
      <c r="E4951" s="1"/>
      <c r="F4951" s="1"/>
      <c r="G4951" s="1"/>
      <c r="H4951" s="1"/>
      <c r="I4951" s="1"/>
      <c r="J4951" s="1"/>
      <c r="K4951" s="102" t="s">
        <v>7646</v>
      </c>
      <c r="L4951" s="102" t="str">
        <f>E655</f>
        <v>J1a2b~</v>
      </c>
      <c r="M4951" s="102" t="s">
        <v>7645</v>
      </c>
      <c r="N4951" s="102" t="s">
        <v>7647</v>
      </c>
      <c r="O4951" s="105">
        <v>1.7284207E7</v>
      </c>
      <c r="P4951" s="105">
        <v>1.5172327E7</v>
      </c>
      <c r="Q4951" s="102" t="s">
        <v>2514</v>
      </c>
      <c r="S4951" s="1"/>
      <c r="T4951" s="1"/>
      <c r="U4951" s="1"/>
      <c r="V4951" s="1"/>
      <c r="W4951" s="1"/>
      <c r="X4951" s="1"/>
      <c r="Y4951" s="1"/>
      <c r="AA4951" s="102"/>
      <c r="AB4951" s="1"/>
      <c r="AC4951" s="1"/>
      <c r="AD4951" s="1"/>
      <c r="AE4951" s="1"/>
      <c r="AF4951" s="1"/>
      <c r="AG4951" s="1"/>
    </row>
    <row r="4952" ht="15.75" customHeight="1">
      <c r="A4952" s="1"/>
      <c r="B4952" s="1"/>
      <c r="C4952" s="1"/>
      <c r="D4952" s="1"/>
      <c r="E4952" s="1"/>
      <c r="F4952" s="1"/>
      <c r="G4952" s="1"/>
      <c r="H4952" s="1"/>
      <c r="I4952" s="1"/>
      <c r="J4952" s="1"/>
      <c r="K4952" s="102" t="s">
        <v>7648</v>
      </c>
      <c r="L4952" s="102" t="str">
        <f>E655</f>
        <v>J1a2b~</v>
      </c>
      <c r="M4952" s="102"/>
      <c r="N4952" s="102" t="s">
        <v>7649</v>
      </c>
      <c r="O4952" s="105">
        <v>1.8900267E7</v>
      </c>
      <c r="P4952" s="105">
        <v>1.6788387E7</v>
      </c>
      <c r="Q4952" s="102" t="s">
        <v>2439</v>
      </c>
      <c r="S4952" s="1"/>
      <c r="T4952" s="1"/>
      <c r="U4952" s="1"/>
      <c r="V4952" s="1"/>
      <c r="W4952" s="1"/>
      <c r="X4952" s="1"/>
      <c r="Y4952" s="1"/>
      <c r="AA4952" s="102"/>
      <c r="AB4952" s="1"/>
      <c r="AC4952" s="1"/>
      <c r="AD4952" s="1"/>
      <c r="AE4952" s="1"/>
      <c r="AF4952" s="1"/>
      <c r="AG4952" s="1"/>
    </row>
    <row r="4953" ht="15.75" customHeight="1">
      <c r="A4953" s="1"/>
      <c r="B4953" s="1"/>
      <c r="C4953" s="1"/>
      <c r="D4953" s="1"/>
      <c r="E4953" s="1"/>
      <c r="F4953" s="1"/>
      <c r="G4953" s="1"/>
      <c r="H4953" s="1"/>
      <c r="I4953" s="1"/>
      <c r="J4953" s="1"/>
      <c r="K4953" s="102" t="s">
        <v>7650</v>
      </c>
      <c r="L4953" s="102" t="str">
        <f>E655</f>
        <v>J1a2b~</v>
      </c>
      <c r="M4953" s="102"/>
      <c r="N4953" s="102" t="s">
        <v>7651</v>
      </c>
      <c r="O4953" s="105">
        <v>1.931192E7</v>
      </c>
      <c r="P4953" s="105">
        <v>1.720004E7</v>
      </c>
      <c r="Q4953" s="102" t="s">
        <v>2423</v>
      </c>
      <c r="S4953" s="1"/>
      <c r="T4953" s="1"/>
      <c r="U4953" s="1"/>
      <c r="V4953" s="1"/>
      <c r="W4953" s="1"/>
      <c r="X4953" s="1"/>
      <c r="Y4953" s="1"/>
      <c r="AA4953" s="102"/>
      <c r="AB4953" s="1"/>
      <c r="AC4953" s="1"/>
      <c r="AD4953" s="1"/>
      <c r="AE4953" s="1"/>
      <c r="AF4953" s="1"/>
      <c r="AG4953" s="1"/>
    </row>
    <row r="4954" ht="15.75" customHeight="1">
      <c r="A4954" s="1"/>
      <c r="B4954" s="1"/>
      <c r="C4954" s="1"/>
      <c r="D4954" s="1"/>
      <c r="E4954" s="1"/>
      <c r="F4954" s="1"/>
      <c r="G4954" s="1"/>
      <c r="H4954" s="1"/>
      <c r="I4954" s="1"/>
      <c r="J4954" s="1"/>
      <c r="K4954" s="102" t="s">
        <v>7652</v>
      </c>
      <c r="L4954" s="102" t="str">
        <f>E655</f>
        <v>J1a2b~</v>
      </c>
      <c r="M4954" s="102"/>
      <c r="N4954" s="102" t="s">
        <v>7653</v>
      </c>
      <c r="O4954" s="105">
        <v>1.9449404E7</v>
      </c>
      <c r="P4954" s="105">
        <v>1.7337524E7</v>
      </c>
      <c r="Q4954" s="102" t="s">
        <v>2529</v>
      </c>
      <c r="S4954" s="1"/>
      <c r="T4954" s="1"/>
      <c r="U4954" s="1"/>
      <c r="V4954" s="1"/>
      <c r="W4954" s="1"/>
      <c r="X4954" s="1"/>
      <c r="Y4954" s="1"/>
      <c r="AA4954" s="102"/>
      <c r="AB4954" s="1"/>
      <c r="AC4954" s="1"/>
      <c r="AD4954" s="1"/>
      <c r="AE4954" s="1"/>
      <c r="AF4954" s="1"/>
      <c r="AG4954" s="1"/>
    </row>
    <row r="4955" ht="15.75" customHeight="1">
      <c r="A4955" s="1"/>
      <c r="B4955" s="1"/>
      <c r="C4955" s="1"/>
      <c r="D4955" s="1"/>
      <c r="E4955" s="1"/>
      <c r="F4955" s="1"/>
      <c r="G4955" s="1"/>
      <c r="H4955" s="1"/>
      <c r="I4955" s="1"/>
      <c r="J4955" s="1"/>
      <c r="K4955" s="102" t="s">
        <v>7654</v>
      </c>
      <c r="L4955" s="102" t="str">
        <f>E655</f>
        <v>J1a2b~</v>
      </c>
      <c r="M4955" s="102" t="s">
        <v>7655</v>
      </c>
      <c r="N4955" s="102" t="s">
        <v>7656</v>
      </c>
      <c r="O4955" s="105">
        <v>2.2854811E7</v>
      </c>
      <c r="P4955" s="105">
        <v>2.0692925E7</v>
      </c>
      <c r="Q4955" s="102" t="s">
        <v>2533</v>
      </c>
      <c r="S4955" s="1"/>
      <c r="T4955" s="1"/>
      <c r="U4955" s="1"/>
      <c r="V4955" s="1"/>
      <c r="W4955" s="1"/>
      <c r="X4955" s="1"/>
      <c r="Y4955" s="1"/>
      <c r="AA4955" s="102"/>
      <c r="AB4955" s="1"/>
      <c r="AC4955" s="1"/>
      <c r="AD4955" s="1"/>
      <c r="AE4955" s="1"/>
      <c r="AF4955" s="1"/>
      <c r="AG4955" s="1"/>
    </row>
    <row r="4956" ht="15.75" customHeight="1">
      <c r="A4956" s="1"/>
      <c r="B4956" s="1"/>
      <c r="C4956" s="1"/>
      <c r="D4956" s="1"/>
      <c r="E4956" s="1"/>
      <c r="F4956" s="1"/>
      <c r="G4956" s="1"/>
      <c r="H4956" s="1"/>
      <c r="I4956" s="1"/>
      <c r="J4956" s="1"/>
      <c r="K4956" s="102" t="s">
        <v>7655</v>
      </c>
      <c r="L4956" s="102" t="str">
        <f>E655</f>
        <v>J1a2b~</v>
      </c>
      <c r="M4956" s="102" t="s">
        <v>7654</v>
      </c>
      <c r="N4956" s="102" t="s">
        <v>7656</v>
      </c>
      <c r="O4956" s="105">
        <v>2.2854811E7</v>
      </c>
      <c r="P4956" s="105">
        <v>2.0692925E7</v>
      </c>
      <c r="Q4956" s="102" t="s">
        <v>2533</v>
      </c>
      <c r="S4956" s="1"/>
      <c r="T4956" s="1"/>
      <c r="U4956" s="1"/>
      <c r="V4956" s="1"/>
      <c r="W4956" s="1"/>
      <c r="X4956" s="1"/>
      <c r="Y4956" s="1"/>
      <c r="AA4956" s="102"/>
      <c r="AB4956" s="1"/>
      <c r="AC4956" s="1"/>
      <c r="AD4956" s="1"/>
      <c r="AE4956" s="1"/>
      <c r="AF4956" s="1"/>
      <c r="AG4956" s="1"/>
    </row>
    <row r="4957" ht="15.75" customHeight="1">
      <c r="A4957" s="1"/>
      <c r="B4957" s="1"/>
      <c r="C4957" s="1"/>
      <c r="D4957" s="1"/>
      <c r="E4957" s="1"/>
      <c r="F4957" s="1"/>
      <c r="G4957" s="1"/>
      <c r="H4957" s="1"/>
      <c r="I4957" s="1"/>
      <c r="J4957" s="1"/>
      <c r="K4957" s="102" t="s">
        <v>7657</v>
      </c>
      <c r="L4957" s="102" t="str">
        <f>E655</f>
        <v>J1a2b~</v>
      </c>
      <c r="M4957" s="102" t="s">
        <v>7658</v>
      </c>
      <c r="N4957" s="102" t="s">
        <v>7659</v>
      </c>
      <c r="O4957" s="105">
        <v>2.341755E7</v>
      </c>
      <c r="P4957" s="105">
        <v>2.1255664E7</v>
      </c>
      <c r="Q4957" s="102" t="s">
        <v>2432</v>
      </c>
      <c r="S4957" s="1"/>
      <c r="T4957" s="1"/>
      <c r="U4957" s="1"/>
      <c r="V4957" s="1"/>
      <c r="W4957" s="1"/>
      <c r="X4957" s="1"/>
      <c r="Y4957" s="1"/>
      <c r="AA4957" s="102"/>
      <c r="AB4957" s="1"/>
      <c r="AC4957" s="1"/>
      <c r="AD4957" s="1"/>
      <c r="AE4957" s="1"/>
      <c r="AF4957" s="1"/>
      <c r="AG4957" s="1"/>
    </row>
    <row r="4958" ht="15.75" customHeight="1">
      <c r="A4958" s="1"/>
      <c r="B4958" s="1"/>
      <c r="C4958" s="1"/>
      <c r="D4958" s="1"/>
      <c r="E4958" s="1"/>
      <c r="F4958" s="1"/>
      <c r="G4958" s="1"/>
      <c r="H4958" s="1"/>
      <c r="I4958" s="1"/>
      <c r="J4958" s="1"/>
      <c r="K4958" s="102" t="s">
        <v>7658</v>
      </c>
      <c r="L4958" s="102" t="str">
        <f>E655</f>
        <v>J1a2b~</v>
      </c>
      <c r="M4958" s="102" t="s">
        <v>7657</v>
      </c>
      <c r="N4958" s="102" t="s">
        <v>7659</v>
      </c>
      <c r="O4958" s="105">
        <v>2.341755E7</v>
      </c>
      <c r="P4958" s="105">
        <v>2.1255664E7</v>
      </c>
      <c r="Q4958" s="102" t="s">
        <v>2432</v>
      </c>
      <c r="S4958" s="1"/>
      <c r="T4958" s="1"/>
      <c r="U4958" s="1"/>
      <c r="V4958" s="1"/>
      <c r="W4958" s="1"/>
      <c r="X4958" s="1"/>
      <c r="Y4958" s="1"/>
      <c r="AA4958" s="102"/>
      <c r="AB4958" s="1"/>
      <c r="AC4958" s="1"/>
      <c r="AD4958" s="1"/>
      <c r="AE4958" s="1"/>
      <c r="AF4958" s="1"/>
      <c r="AG4958" s="1"/>
    </row>
    <row r="4959" ht="15.75" customHeight="1">
      <c r="A4959" s="1"/>
      <c r="B4959" s="1"/>
      <c r="C4959" s="1"/>
      <c r="D4959" s="1"/>
      <c r="E4959" s="1"/>
      <c r="F4959" s="1"/>
      <c r="G4959" s="1"/>
      <c r="H4959" s="1"/>
      <c r="I4959" s="1"/>
      <c r="J4959" s="1"/>
      <c r="K4959" s="102" t="s">
        <v>7660</v>
      </c>
      <c r="L4959" s="102" t="str">
        <f>E655</f>
        <v>J1a2b~</v>
      </c>
      <c r="M4959" s="102" t="s">
        <v>7661</v>
      </c>
      <c r="N4959" s="102" t="s">
        <v>7662</v>
      </c>
      <c r="O4959" s="105">
        <v>7046821.0</v>
      </c>
      <c r="P4959" s="105">
        <v>7178780.0</v>
      </c>
      <c r="Q4959" s="102" t="s">
        <v>2576</v>
      </c>
      <c r="S4959" s="1"/>
      <c r="T4959" s="1"/>
      <c r="U4959" s="1"/>
      <c r="V4959" s="1"/>
      <c r="W4959" s="1"/>
      <c r="X4959" s="1"/>
      <c r="Y4959" s="1"/>
      <c r="AA4959" s="102"/>
      <c r="AB4959" s="1"/>
      <c r="AC4959" s="1"/>
      <c r="AD4959" s="1"/>
      <c r="AE4959" s="1"/>
      <c r="AF4959" s="1"/>
      <c r="AG4959" s="1"/>
    </row>
    <row r="4960" ht="15.75" customHeight="1">
      <c r="A4960" s="1"/>
      <c r="B4960" s="1"/>
      <c r="C4960" s="1"/>
      <c r="D4960" s="1"/>
      <c r="E4960" s="1"/>
      <c r="F4960" s="1"/>
      <c r="G4960" s="1"/>
      <c r="H4960" s="1"/>
      <c r="I4960" s="1"/>
      <c r="J4960" s="1"/>
      <c r="K4960" s="102" t="s">
        <v>7663</v>
      </c>
      <c r="L4960" s="102" t="str">
        <f>E655</f>
        <v>J1a2b~</v>
      </c>
      <c r="M4960" s="102" t="s">
        <v>7664</v>
      </c>
      <c r="N4960" s="102" t="s">
        <v>7662</v>
      </c>
      <c r="O4960" s="105">
        <v>7046821.0</v>
      </c>
      <c r="P4960" s="105">
        <v>7178780.0</v>
      </c>
      <c r="Q4960" s="102" t="s">
        <v>2576</v>
      </c>
      <c r="S4960" s="1"/>
      <c r="T4960" s="1"/>
      <c r="U4960" s="1"/>
      <c r="V4960" s="1"/>
      <c r="W4960" s="1"/>
      <c r="X4960" s="1"/>
      <c r="Y4960" s="1"/>
      <c r="AA4960" s="102"/>
      <c r="AB4960" s="1"/>
      <c r="AC4960" s="1"/>
      <c r="AD4960" s="1"/>
      <c r="AE4960" s="1"/>
      <c r="AF4960" s="1"/>
      <c r="AG4960" s="1"/>
    </row>
    <row r="4961" ht="15.75" customHeight="1">
      <c r="A4961" s="1"/>
      <c r="B4961" s="1"/>
      <c r="C4961" s="1"/>
      <c r="D4961" s="1"/>
      <c r="E4961" s="1"/>
      <c r="F4961" s="1"/>
      <c r="G4961" s="1"/>
      <c r="H4961" s="1"/>
      <c r="I4961" s="1"/>
      <c r="J4961" s="1"/>
      <c r="K4961" s="102" t="s">
        <v>7665</v>
      </c>
      <c r="L4961" s="102" t="str">
        <f>E655</f>
        <v>J1a2b~</v>
      </c>
      <c r="M4961" s="102" t="s">
        <v>7666</v>
      </c>
      <c r="N4961" s="102" t="s">
        <v>7662</v>
      </c>
      <c r="O4961" s="105">
        <v>7046821.0</v>
      </c>
      <c r="P4961" s="105">
        <v>7178780.0</v>
      </c>
      <c r="Q4961" s="102" t="s">
        <v>2576</v>
      </c>
      <c r="S4961" s="1"/>
      <c r="T4961" s="1"/>
      <c r="U4961" s="1"/>
      <c r="V4961" s="1"/>
      <c r="W4961" s="1"/>
      <c r="X4961" s="1"/>
      <c r="Y4961" s="1"/>
      <c r="AA4961" s="102"/>
      <c r="AB4961" s="1"/>
      <c r="AC4961" s="1"/>
      <c r="AD4961" s="1"/>
      <c r="AE4961" s="1"/>
      <c r="AF4961" s="1"/>
      <c r="AG4961" s="1"/>
    </row>
    <row r="4962" ht="15.75" customHeight="1">
      <c r="A4962" s="1"/>
      <c r="B4962" s="1"/>
      <c r="C4962" s="1"/>
      <c r="D4962" s="1"/>
      <c r="E4962" s="1"/>
      <c r="F4962" s="1"/>
      <c r="G4962" s="1"/>
      <c r="H4962" s="1"/>
      <c r="I4962" s="1"/>
      <c r="J4962" s="1"/>
      <c r="K4962" s="102" t="s">
        <v>7667</v>
      </c>
      <c r="L4962" s="102" t="str">
        <f>E655</f>
        <v>J1a2b~</v>
      </c>
      <c r="M4962" s="102" t="s">
        <v>7668</v>
      </c>
      <c r="N4962" s="102" t="s">
        <v>7669</v>
      </c>
      <c r="O4962" s="105">
        <v>6940155.0</v>
      </c>
      <c r="P4962" s="105">
        <v>7072114.0</v>
      </c>
      <c r="Q4962" s="102" t="s">
        <v>2446</v>
      </c>
      <c r="S4962" s="1"/>
      <c r="T4962" s="1"/>
      <c r="U4962" s="1"/>
      <c r="V4962" s="1"/>
      <c r="W4962" s="1"/>
      <c r="X4962" s="1"/>
      <c r="Y4962" s="1"/>
      <c r="AA4962" s="102"/>
      <c r="AB4962" s="1"/>
      <c r="AC4962" s="1"/>
      <c r="AD4962" s="1"/>
      <c r="AE4962" s="1"/>
      <c r="AF4962" s="1"/>
      <c r="AG4962" s="1"/>
    </row>
    <row r="4963" ht="15.75" customHeight="1">
      <c r="A4963" s="1"/>
      <c r="B4963" s="1"/>
      <c r="C4963" s="1"/>
      <c r="D4963" s="1"/>
      <c r="E4963" s="1"/>
      <c r="F4963" s="1"/>
      <c r="G4963" s="1"/>
      <c r="H4963" s="1"/>
      <c r="I4963" s="1"/>
      <c r="J4963" s="1"/>
      <c r="K4963" s="102" t="s">
        <v>7668</v>
      </c>
      <c r="L4963" s="102" t="str">
        <f>E655</f>
        <v>J1a2b~</v>
      </c>
      <c r="M4963" s="102" t="s">
        <v>7667</v>
      </c>
      <c r="N4963" s="102" t="s">
        <v>7669</v>
      </c>
      <c r="O4963" s="105">
        <v>6940155.0</v>
      </c>
      <c r="P4963" s="105">
        <v>7072114.0</v>
      </c>
      <c r="Q4963" s="102" t="s">
        <v>2446</v>
      </c>
      <c r="S4963" s="1"/>
      <c r="T4963" s="1"/>
      <c r="U4963" s="1"/>
      <c r="V4963" s="1"/>
      <c r="W4963" s="1"/>
      <c r="X4963" s="1"/>
      <c r="Y4963" s="1"/>
      <c r="AA4963" s="102"/>
      <c r="AB4963" s="1"/>
      <c r="AC4963" s="1"/>
      <c r="AD4963" s="1"/>
      <c r="AE4963" s="1"/>
      <c r="AF4963" s="1"/>
      <c r="AG4963" s="1"/>
    </row>
    <row r="4964" ht="15.75" customHeight="1">
      <c r="A4964" s="1"/>
      <c r="B4964" s="1"/>
      <c r="C4964" s="1"/>
      <c r="D4964" s="1"/>
      <c r="E4964" s="1"/>
      <c r="F4964" s="1"/>
      <c r="G4964" s="1"/>
      <c r="H4964" s="1"/>
      <c r="I4964" s="1"/>
      <c r="J4964" s="1"/>
      <c r="K4964" s="102" t="s">
        <v>7670</v>
      </c>
      <c r="L4964" s="102" t="str">
        <f>E655</f>
        <v>J1a2b~</v>
      </c>
      <c r="M4964" s="102" t="s">
        <v>7671</v>
      </c>
      <c r="N4964" s="102" t="s">
        <v>7672</v>
      </c>
      <c r="O4964" s="105">
        <v>1.8551118E7</v>
      </c>
      <c r="P4964" s="105">
        <v>1.6439238E7</v>
      </c>
      <c r="Q4964" s="102" t="s">
        <v>2432</v>
      </c>
      <c r="S4964" s="1"/>
      <c r="T4964" s="1"/>
      <c r="U4964" s="1"/>
      <c r="V4964" s="1"/>
      <c r="W4964" s="1"/>
      <c r="X4964" s="1"/>
      <c r="Y4964" s="1"/>
      <c r="AA4964" s="102"/>
      <c r="AB4964" s="1"/>
      <c r="AC4964" s="1"/>
      <c r="AD4964" s="1"/>
      <c r="AE4964" s="1"/>
      <c r="AF4964" s="1"/>
      <c r="AG4964" s="1"/>
    </row>
    <row r="4965" ht="15.75" customHeight="1">
      <c r="A4965" s="1"/>
      <c r="B4965" s="1"/>
      <c r="C4965" s="1"/>
      <c r="D4965" s="1"/>
      <c r="E4965" s="1"/>
      <c r="F4965" s="1"/>
      <c r="G4965" s="1"/>
      <c r="H4965" s="1"/>
      <c r="I4965" s="1"/>
      <c r="J4965" s="1"/>
      <c r="K4965" s="102" t="s">
        <v>7673</v>
      </c>
      <c r="L4965" s="102" t="str">
        <f>E655</f>
        <v>J1a2b~</v>
      </c>
      <c r="M4965" s="102" t="s">
        <v>7674</v>
      </c>
      <c r="N4965" s="102" t="s">
        <v>7672</v>
      </c>
      <c r="O4965" s="105">
        <v>1.8551118E7</v>
      </c>
      <c r="P4965" s="105">
        <v>1.6439238E7</v>
      </c>
      <c r="Q4965" s="102" t="s">
        <v>2432</v>
      </c>
      <c r="S4965" s="1"/>
      <c r="T4965" s="1"/>
      <c r="U4965" s="1"/>
      <c r="V4965" s="1"/>
      <c r="W4965" s="1"/>
      <c r="X4965" s="1"/>
      <c r="Y4965" s="1"/>
      <c r="AA4965" s="102"/>
      <c r="AB4965" s="1"/>
      <c r="AC4965" s="1"/>
      <c r="AD4965" s="1"/>
      <c r="AE4965" s="1"/>
      <c r="AF4965" s="1"/>
      <c r="AG4965" s="1"/>
    </row>
    <row r="4966" ht="15.75" customHeight="1">
      <c r="A4966" s="1"/>
      <c r="B4966" s="1"/>
      <c r="C4966" s="1"/>
      <c r="D4966" s="1"/>
      <c r="E4966" s="1"/>
      <c r="F4966" s="1"/>
      <c r="G4966" s="1"/>
      <c r="H4966" s="1"/>
      <c r="I4966" s="1"/>
      <c r="J4966" s="1"/>
      <c r="K4966" s="102" t="s">
        <v>7675</v>
      </c>
      <c r="L4966" s="102" t="str">
        <f>E655</f>
        <v>J1a2b~</v>
      </c>
      <c r="M4966" s="102" t="s">
        <v>7676</v>
      </c>
      <c r="N4966" s="102" t="s">
        <v>7672</v>
      </c>
      <c r="O4966" s="105">
        <v>1.8551118E7</v>
      </c>
      <c r="P4966" s="105">
        <v>1.6439238E7</v>
      </c>
      <c r="Q4966" s="102" t="s">
        <v>2432</v>
      </c>
      <c r="S4966" s="1"/>
      <c r="T4966" s="1"/>
      <c r="U4966" s="1"/>
      <c r="V4966" s="1"/>
      <c r="W4966" s="1"/>
      <c r="X4966" s="1"/>
      <c r="Y4966" s="1"/>
      <c r="AA4966" s="102"/>
      <c r="AB4966" s="1"/>
      <c r="AC4966" s="1"/>
      <c r="AD4966" s="1"/>
      <c r="AE4966" s="1"/>
      <c r="AF4966" s="1"/>
      <c r="AG4966" s="1"/>
    </row>
    <row r="4967" ht="15.75" customHeight="1">
      <c r="A4967" s="1"/>
      <c r="B4967" s="1"/>
      <c r="C4967" s="1"/>
      <c r="D4967" s="1"/>
      <c r="E4967" s="1"/>
      <c r="F4967" s="1"/>
      <c r="G4967" s="1"/>
      <c r="H4967" s="1"/>
      <c r="I4967" s="1"/>
      <c r="J4967" s="1"/>
      <c r="K4967" s="102" t="s">
        <v>7677</v>
      </c>
      <c r="L4967" s="102" t="str">
        <f>E655</f>
        <v>J1a2b~</v>
      </c>
      <c r="M4967" s="102" t="s">
        <v>7678</v>
      </c>
      <c r="N4967" s="102" t="s">
        <v>7679</v>
      </c>
      <c r="O4967" s="105">
        <v>2.3568375E7</v>
      </c>
      <c r="P4967" s="105">
        <v>2.1406489E7</v>
      </c>
      <c r="Q4967" s="102" t="s">
        <v>2501</v>
      </c>
      <c r="S4967" s="1"/>
      <c r="T4967" s="1"/>
      <c r="U4967" s="1"/>
      <c r="V4967" s="1"/>
      <c r="W4967" s="1"/>
      <c r="X4967" s="1"/>
      <c r="Y4967" s="1"/>
      <c r="AA4967" s="102"/>
      <c r="AB4967" s="1"/>
      <c r="AC4967" s="1"/>
      <c r="AD4967" s="1"/>
      <c r="AE4967" s="1"/>
      <c r="AF4967" s="1"/>
      <c r="AG4967" s="1"/>
    </row>
    <row r="4968" ht="15.75" customHeight="1">
      <c r="A4968" s="1"/>
      <c r="B4968" s="1"/>
      <c r="C4968" s="1"/>
      <c r="D4968" s="1"/>
      <c r="E4968" s="1"/>
      <c r="F4968" s="1"/>
      <c r="G4968" s="1"/>
      <c r="H4968" s="1"/>
      <c r="I4968" s="1"/>
      <c r="J4968" s="1"/>
      <c r="K4968" s="102" t="s">
        <v>7680</v>
      </c>
      <c r="L4968" s="102" t="str">
        <f>E655</f>
        <v>J1a2b~</v>
      </c>
      <c r="M4968" s="102" t="s">
        <v>7681</v>
      </c>
      <c r="N4968" s="102" t="s">
        <v>7679</v>
      </c>
      <c r="O4968" s="105">
        <v>2.3568375E7</v>
      </c>
      <c r="P4968" s="105">
        <v>2.1406489E7</v>
      </c>
      <c r="Q4968" s="102" t="s">
        <v>2501</v>
      </c>
      <c r="S4968" s="1"/>
      <c r="T4968" s="1"/>
      <c r="U4968" s="1"/>
      <c r="V4968" s="1"/>
      <c r="W4968" s="1"/>
      <c r="X4968" s="1"/>
      <c r="Y4968" s="1"/>
      <c r="AA4968" s="102"/>
      <c r="AB4968" s="1"/>
      <c r="AC4968" s="1"/>
      <c r="AD4968" s="1"/>
      <c r="AE4968" s="1"/>
      <c r="AF4968" s="1"/>
      <c r="AG4968" s="1"/>
    </row>
    <row r="4969" ht="15.75" customHeight="1">
      <c r="A4969" s="1"/>
      <c r="B4969" s="1"/>
      <c r="C4969" s="1"/>
      <c r="D4969" s="1"/>
      <c r="E4969" s="1"/>
      <c r="F4969" s="1"/>
      <c r="G4969" s="1"/>
      <c r="H4969" s="1"/>
      <c r="I4969" s="1"/>
      <c r="J4969" s="1"/>
      <c r="K4969" s="102" t="s">
        <v>7682</v>
      </c>
      <c r="L4969" s="102" t="str">
        <f>E655</f>
        <v>J1a2b~</v>
      </c>
      <c r="M4969" s="102" t="s">
        <v>7683</v>
      </c>
      <c r="N4969" s="102" t="s">
        <v>7679</v>
      </c>
      <c r="O4969" s="105">
        <v>2.3568375E7</v>
      </c>
      <c r="P4969" s="105">
        <v>2.1406489E7</v>
      </c>
      <c r="Q4969" s="102" t="s">
        <v>2501</v>
      </c>
      <c r="S4969" s="1"/>
      <c r="T4969" s="1"/>
      <c r="U4969" s="1"/>
      <c r="V4969" s="1"/>
      <c r="W4969" s="1"/>
      <c r="X4969" s="1"/>
      <c r="Y4969" s="1"/>
      <c r="AA4969" s="102"/>
      <c r="AB4969" s="1"/>
      <c r="AC4969" s="1"/>
      <c r="AD4969" s="1"/>
      <c r="AE4969" s="1"/>
      <c r="AF4969" s="1"/>
      <c r="AG4969" s="1"/>
    </row>
    <row r="4970" ht="15.75" customHeight="1">
      <c r="A4970" s="1"/>
      <c r="B4970" s="1"/>
      <c r="C4970" s="1"/>
      <c r="D4970" s="1"/>
      <c r="E4970" s="1"/>
      <c r="F4970" s="1"/>
      <c r="G4970" s="1"/>
      <c r="H4970" s="1"/>
      <c r="I4970" s="1"/>
      <c r="J4970" s="1"/>
      <c r="K4970" s="102" t="s">
        <v>7684</v>
      </c>
      <c r="L4970" s="102" t="str">
        <f>E655</f>
        <v>J1a2b~</v>
      </c>
      <c r="M4970" s="102" t="s">
        <v>7685</v>
      </c>
      <c r="N4970" s="102" t="s">
        <v>7686</v>
      </c>
      <c r="O4970" s="105">
        <v>7793850.0</v>
      </c>
      <c r="P4970" s="105">
        <v>7925809.0</v>
      </c>
      <c r="Q4970" s="102" t="s">
        <v>2529</v>
      </c>
      <c r="S4970" s="1"/>
      <c r="T4970" s="1"/>
      <c r="U4970" s="1"/>
      <c r="V4970" s="1"/>
      <c r="W4970" s="1"/>
      <c r="X4970" s="1"/>
      <c r="Y4970" s="1"/>
      <c r="AA4970" s="102"/>
      <c r="AB4970" s="1"/>
      <c r="AC4970" s="1"/>
      <c r="AD4970" s="1"/>
      <c r="AE4970" s="1"/>
      <c r="AF4970" s="1"/>
      <c r="AG4970" s="1"/>
    </row>
    <row r="4971" ht="15.75" customHeight="1">
      <c r="A4971" s="1"/>
      <c r="B4971" s="1"/>
      <c r="C4971" s="1"/>
      <c r="D4971" s="1"/>
      <c r="E4971" s="1"/>
      <c r="F4971" s="1"/>
      <c r="G4971" s="1"/>
      <c r="H4971" s="1"/>
      <c r="I4971" s="1"/>
      <c r="J4971" s="1"/>
      <c r="K4971" s="102" t="s">
        <v>7687</v>
      </c>
      <c r="L4971" s="102" t="str">
        <f>E655</f>
        <v>J1a2b~</v>
      </c>
      <c r="M4971" s="102" t="s">
        <v>7688</v>
      </c>
      <c r="N4971" s="102" t="s">
        <v>7686</v>
      </c>
      <c r="O4971" s="105">
        <v>7793850.0</v>
      </c>
      <c r="P4971" s="105">
        <v>7925809.0</v>
      </c>
      <c r="Q4971" s="102" t="s">
        <v>2529</v>
      </c>
      <c r="S4971" s="1"/>
      <c r="T4971" s="1"/>
      <c r="U4971" s="1"/>
      <c r="V4971" s="1"/>
      <c r="W4971" s="1"/>
      <c r="X4971" s="1"/>
      <c r="Y4971" s="1"/>
      <c r="AA4971" s="102"/>
      <c r="AB4971" s="1"/>
      <c r="AC4971" s="1"/>
      <c r="AD4971" s="1"/>
      <c r="AE4971" s="1"/>
      <c r="AF4971" s="1"/>
      <c r="AG4971" s="1"/>
    </row>
    <row r="4972" ht="15.75" customHeight="1">
      <c r="A4972" s="1"/>
      <c r="B4972" s="1"/>
      <c r="C4972" s="1"/>
      <c r="D4972" s="1"/>
      <c r="E4972" s="1"/>
      <c r="F4972" s="1"/>
      <c r="G4972" s="1"/>
      <c r="H4972" s="1"/>
      <c r="I4972" s="1"/>
      <c r="J4972" s="1"/>
      <c r="K4972" s="102" t="s">
        <v>7689</v>
      </c>
      <c r="L4972" s="102" t="str">
        <f>E655</f>
        <v>J1a2b~</v>
      </c>
      <c r="M4972" s="102" t="s">
        <v>7690</v>
      </c>
      <c r="N4972" s="102" t="s">
        <v>7686</v>
      </c>
      <c r="O4972" s="105">
        <v>7793850.0</v>
      </c>
      <c r="P4972" s="105">
        <v>7925809.0</v>
      </c>
      <c r="Q4972" s="102" t="s">
        <v>2529</v>
      </c>
      <c r="S4972" s="1"/>
      <c r="T4972" s="1"/>
      <c r="U4972" s="1"/>
      <c r="V4972" s="1"/>
      <c r="W4972" s="1"/>
      <c r="X4972" s="1"/>
      <c r="Y4972" s="1"/>
      <c r="AA4972" s="102"/>
      <c r="AB4972" s="1"/>
      <c r="AC4972" s="1"/>
      <c r="AD4972" s="1"/>
      <c r="AE4972" s="1"/>
      <c r="AF4972" s="1"/>
      <c r="AG4972" s="1"/>
    </row>
    <row r="4973" ht="15.75" customHeight="1">
      <c r="A4973" s="1"/>
      <c r="B4973" s="1"/>
      <c r="C4973" s="1"/>
      <c r="D4973" s="1"/>
      <c r="E4973" s="1"/>
      <c r="F4973" s="1"/>
      <c r="G4973" s="1"/>
      <c r="H4973" s="1"/>
      <c r="I4973" s="1"/>
      <c r="J4973" s="1"/>
      <c r="K4973" s="102" t="s">
        <v>7691</v>
      </c>
      <c r="L4973" s="102" t="str">
        <f>E655</f>
        <v>J1a2b~</v>
      </c>
      <c r="M4973" s="102" t="s">
        <v>7692</v>
      </c>
      <c r="N4973" s="102" t="s">
        <v>7693</v>
      </c>
      <c r="O4973" s="105">
        <v>1.9227761E7</v>
      </c>
      <c r="P4973" s="105">
        <v>1.7115881E7</v>
      </c>
      <c r="Q4973" s="102" t="s">
        <v>2446</v>
      </c>
      <c r="S4973" s="1"/>
      <c r="T4973" s="1"/>
      <c r="U4973" s="1"/>
      <c r="V4973" s="1"/>
      <c r="W4973" s="1"/>
      <c r="X4973" s="1"/>
      <c r="Y4973" s="1"/>
      <c r="AA4973" s="102"/>
      <c r="AB4973" s="1"/>
      <c r="AC4973" s="1"/>
      <c r="AD4973" s="1"/>
      <c r="AE4973" s="1"/>
      <c r="AF4973" s="1"/>
      <c r="AG4973" s="1"/>
    </row>
    <row r="4974" ht="15.75" customHeight="1">
      <c r="A4974" s="1"/>
      <c r="B4974" s="1"/>
      <c r="C4974" s="1"/>
      <c r="D4974" s="1"/>
      <c r="E4974" s="1"/>
      <c r="F4974" s="1"/>
      <c r="G4974" s="1"/>
      <c r="H4974" s="1"/>
      <c r="I4974" s="1"/>
      <c r="J4974" s="1"/>
      <c r="K4974" s="102" t="s">
        <v>7694</v>
      </c>
      <c r="L4974" s="102" t="str">
        <f>E655</f>
        <v>J1a2b~</v>
      </c>
      <c r="M4974" s="102" t="s">
        <v>7695</v>
      </c>
      <c r="N4974" s="102" t="s">
        <v>7693</v>
      </c>
      <c r="O4974" s="105">
        <v>1.9227761E7</v>
      </c>
      <c r="P4974" s="105">
        <v>1.7115881E7</v>
      </c>
      <c r="Q4974" s="102" t="s">
        <v>2446</v>
      </c>
      <c r="S4974" s="1"/>
      <c r="T4974" s="1"/>
      <c r="U4974" s="1"/>
      <c r="V4974" s="1"/>
      <c r="W4974" s="1"/>
      <c r="X4974" s="1"/>
      <c r="Y4974" s="1"/>
      <c r="AA4974" s="102"/>
      <c r="AB4974" s="1"/>
      <c r="AC4974" s="1"/>
      <c r="AD4974" s="1"/>
      <c r="AE4974" s="1"/>
      <c r="AF4974" s="1"/>
      <c r="AG4974" s="1"/>
    </row>
    <row r="4975" ht="15.75" customHeight="1">
      <c r="A4975" s="1"/>
      <c r="B4975" s="1"/>
      <c r="C4975" s="1"/>
      <c r="D4975" s="1"/>
      <c r="E4975" s="1"/>
      <c r="F4975" s="1"/>
      <c r="G4975" s="1"/>
      <c r="H4975" s="1"/>
      <c r="I4975" s="1"/>
      <c r="J4975" s="1"/>
      <c r="K4975" s="102" t="s">
        <v>7696</v>
      </c>
      <c r="L4975" s="102" t="str">
        <f>E655</f>
        <v>J1a2b~</v>
      </c>
      <c r="M4975" s="102" t="s">
        <v>7697</v>
      </c>
      <c r="N4975" s="102" t="s">
        <v>7693</v>
      </c>
      <c r="O4975" s="105">
        <v>1.9227761E7</v>
      </c>
      <c r="P4975" s="105">
        <v>1.7115881E7</v>
      </c>
      <c r="Q4975" s="102" t="s">
        <v>2446</v>
      </c>
      <c r="S4975" s="1"/>
      <c r="T4975" s="1"/>
      <c r="U4975" s="1"/>
      <c r="V4975" s="1"/>
      <c r="W4975" s="1"/>
      <c r="X4975" s="1"/>
      <c r="Y4975" s="1"/>
      <c r="AA4975" s="102"/>
      <c r="AB4975" s="1"/>
      <c r="AC4975" s="1"/>
      <c r="AD4975" s="1"/>
      <c r="AE4975" s="1"/>
      <c r="AF4975" s="1"/>
      <c r="AG4975" s="1"/>
    </row>
    <row r="4976" ht="15.75" customHeight="1">
      <c r="A4976" s="1"/>
      <c r="B4976" s="1"/>
      <c r="C4976" s="1"/>
      <c r="D4976" s="1"/>
      <c r="E4976" s="1"/>
      <c r="F4976" s="1"/>
      <c r="G4976" s="1"/>
      <c r="H4976" s="1"/>
      <c r="I4976" s="1"/>
      <c r="J4976" s="1"/>
      <c r="K4976" s="102" t="s">
        <v>7698</v>
      </c>
      <c r="L4976" s="102" t="str">
        <f>E655</f>
        <v>J1a2b~</v>
      </c>
      <c r="M4976" s="102" t="s">
        <v>7699</v>
      </c>
      <c r="N4976" s="102" t="s">
        <v>7700</v>
      </c>
      <c r="O4976" s="105">
        <v>8264190.0</v>
      </c>
      <c r="P4976" s="105">
        <v>8396149.0</v>
      </c>
      <c r="Q4976" s="102" t="s">
        <v>2529</v>
      </c>
      <c r="S4976" s="1"/>
      <c r="T4976" s="1"/>
      <c r="U4976" s="1"/>
      <c r="V4976" s="1"/>
      <c r="W4976" s="1"/>
      <c r="X4976" s="1"/>
      <c r="Y4976" s="1"/>
      <c r="AA4976" s="102"/>
      <c r="AB4976" s="1"/>
      <c r="AC4976" s="1"/>
      <c r="AD4976" s="1"/>
      <c r="AE4976" s="1"/>
      <c r="AF4976" s="1"/>
      <c r="AG4976" s="1"/>
    </row>
    <row r="4977" ht="15.75" customHeight="1">
      <c r="A4977" s="1"/>
      <c r="B4977" s="1"/>
      <c r="C4977" s="1"/>
      <c r="D4977" s="1"/>
      <c r="E4977" s="1"/>
      <c r="F4977" s="1"/>
      <c r="G4977" s="1"/>
      <c r="H4977" s="1"/>
      <c r="I4977" s="1"/>
      <c r="J4977" s="1"/>
      <c r="K4977" s="102" t="s">
        <v>7701</v>
      </c>
      <c r="L4977" s="102" t="str">
        <f>E655</f>
        <v>J1a2b~</v>
      </c>
      <c r="M4977" s="102" t="s">
        <v>7702</v>
      </c>
      <c r="N4977" s="102" t="s">
        <v>7700</v>
      </c>
      <c r="O4977" s="105">
        <v>8264190.0</v>
      </c>
      <c r="P4977" s="105">
        <v>8396149.0</v>
      </c>
      <c r="Q4977" s="102" t="s">
        <v>2529</v>
      </c>
      <c r="S4977" s="1"/>
      <c r="T4977" s="1"/>
      <c r="U4977" s="1"/>
      <c r="V4977" s="1"/>
      <c r="W4977" s="1"/>
      <c r="X4977" s="1"/>
      <c r="Y4977" s="1"/>
      <c r="AA4977" s="102"/>
      <c r="AB4977" s="1"/>
      <c r="AC4977" s="1"/>
      <c r="AD4977" s="1"/>
      <c r="AE4977" s="1"/>
      <c r="AF4977" s="1"/>
      <c r="AG4977" s="1"/>
    </row>
    <row r="4978" ht="15.75" customHeight="1">
      <c r="A4978" s="1"/>
      <c r="B4978" s="1"/>
      <c r="C4978" s="1"/>
      <c r="D4978" s="1"/>
      <c r="E4978" s="1"/>
      <c r="F4978" s="1"/>
      <c r="G4978" s="1"/>
      <c r="H4978" s="1"/>
      <c r="I4978" s="1"/>
      <c r="J4978" s="1"/>
      <c r="K4978" s="102" t="s">
        <v>7703</v>
      </c>
      <c r="L4978" s="102" t="str">
        <f>E655</f>
        <v>J1a2b~</v>
      </c>
      <c r="M4978" s="102" t="s">
        <v>7704</v>
      </c>
      <c r="N4978" s="102" t="s">
        <v>7700</v>
      </c>
      <c r="O4978" s="105">
        <v>8264190.0</v>
      </c>
      <c r="P4978" s="105">
        <v>8396149.0</v>
      </c>
      <c r="Q4978" s="102" t="s">
        <v>2529</v>
      </c>
      <c r="S4978" s="1"/>
      <c r="T4978" s="1"/>
      <c r="U4978" s="1"/>
      <c r="V4978" s="1"/>
      <c r="W4978" s="1"/>
      <c r="X4978" s="1"/>
      <c r="Y4978" s="1"/>
      <c r="AA4978" s="102"/>
      <c r="AB4978" s="1"/>
      <c r="AC4978" s="1"/>
      <c r="AD4978" s="1"/>
      <c r="AE4978" s="1"/>
      <c r="AF4978" s="1"/>
      <c r="AG4978" s="1"/>
    </row>
    <row r="4979" ht="15.75" customHeight="1">
      <c r="A4979" s="1"/>
      <c r="B4979" s="1"/>
      <c r="C4979" s="1"/>
      <c r="D4979" s="1"/>
      <c r="E4979" s="1"/>
      <c r="F4979" s="1"/>
      <c r="G4979" s="1"/>
      <c r="H4979" s="1"/>
      <c r="I4979" s="1"/>
      <c r="J4979" s="1"/>
      <c r="K4979" s="102" t="s">
        <v>7705</v>
      </c>
      <c r="L4979" s="102" t="str">
        <f>E655</f>
        <v>J1a2b~</v>
      </c>
      <c r="M4979" s="102" t="s">
        <v>7706</v>
      </c>
      <c r="N4979" s="102" t="s">
        <v>7707</v>
      </c>
      <c r="O4979" s="105">
        <v>2.1323419E7</v>
      </c>
      <c r="P4979" s="105">
        <v>1.9161533E7</v>
      </c>
      <c r="Q4979" s="102" t="s">
        <v>2576</v>
      </c>
      <c r="S4979" s="1"/>
      <c r="T4979" s="1"/>
      <c r="U4979" s="1"/>
      <c r="V4979" s="1"/>
      <c r="W4979" s="1"/>
      <c r="X4979" s="1"/>
      <c r="Y4979" s="1"/>
      <c r="AA4979" s="102"/>
      <c r="AB4979" s="1"/>
      <c r="AC4979" s="1"/>
      <c r="AD4979" s="1"/>
      <c r="AE4979" s="1"/>
      <c r="AF4979" s="1"/>
      <c r="AG4979" s="1"/>
    </row>
    <row r="4980" ht="15.75" customHeight="1">
      <c r="A4980" s="1"/>
      <c r="B4980" s="1"/>
      <c r="C4980" s="1"/>
      <c r="D4980" s="1"/>
      <c r="E4980" s="1"/>
      <c r="F4980" s="1"/>
      <c r="G4980" s="1"/>
      <c r="H4980" s="1"/>
      <c r="I4980" s="1"/>
      <c r="J4980" s="1"/>
      <c r="K4980" s="102" t="s">
        <v>7708</v>
      </c>
      <c r="L4980" s="102" t="str">
        <f>E655</f>
        <v>J1a2b~</v>
      </c>
      <c r="M4980" s="102" t="s">
        <v>7709</v>
      </c>
      <c r="N4980" s="102" t="s">
        <v>7707</v>
      </c>
      <c r="O4980" s="105">
        <v>2.1323419E7</v>
      </c>
      <c r="P4980" s="105">
        <v>1.9161533E7</v>
      </c>
      <c r="Q4980" s="102" t="s">
        <v>2576</v>
      </c>
      <c r="S4980" s="1"/>
      <c r="T4980" s="1"/>
      <c r="U4980" s="1"/>
      <c r="V4980" s="1"/>
      <c r="W4980" s="1"/>
      <c r="X4980" s="1"/>
      <c r="Y4980" s="1"/>
      <c r="AA4980" s="102"/>
      <c r="AB4980" s="1"/>
      <c r="AC4980" s="1"/>
      <c r="AD4980" s="1"/>
      <c r="AE4980" s="1"/>
      <c r="AF4980" s="1"/>
      <c r="AG4980" s="1"/>
    </row>
    <row r="4981" ht="15.75" customHeight="1">
      <c r="A4981" s="1"/>
      <c r="B4981" s="1"/>
      <c r="C4981" s="1"/>
      <c r="D4981" s="1"/>
      <c r="E4981" s="1"/>
      <c r="F4981" s="1"/>
      <c r="G4981" s="1"/>
      <c r="H4981" s="1"/>
      <c r="I4981" s="1"/>
      <c r="J4981" s="1"/>
      <c r="K4981" s="102" t="s">
        <v>7710</v>
      </c>
      <c r="L4981" s="102" t="str">
        <f>E655</f>
        <v>J1a2b~</v>
      </c>
      <c r="M4981" s="102" t="s">
        <v>7711</v>
      </c>
      <c r="N4981" s="102" t="s">
        <v>7707</v>
      </c>
      <c r="O4981" s="105">
        <v>2.1323419E7</v>
      </c>
      <c r="P4981" s="105">
        <v>1.9161533E7</v>
      </c>
      <c r="Q4981" s="102" t="s">
        <v>2576</v>
      </c>
      <c r="S4981" s="1"/>
      <c r="T4981" s="1"/>
      <c r="U4981" s="1"/>
      <c r="V4981" s="1"/>
      <c r="W4981" s="1"/>
      <c r="X4981" s="1"/>
      <c r="Y4981" s="1"/>
      <c r="AA4981" s="102"/>
      <c r="AB4981" s="1"/>
      <c r="AC4981" s="1"/>
      <c r="AD4981" s="1"/>
      <c r="AE4981" s="1"/>
      <c r="AF4981" s="1"/>
      <c r="AG4981" s="1"/>
    </row>
    <row r="4982" ht="15.75" customHeight="1">
      <c r="A4982" s="1"/>
      <c r="B4982" s="1"/>
      <c r="C4982" s="1"/>
      <c r="D4982" s="1"/>
      <c r="E4982" s="1"/>
      <c r="F4982" s="1"/>
      <c r="G4982" s="1"/>
      <c r="H4982" s="1"/>
      <c r="I4982" s="1"/>
      <c r="J4982" s="1"/>
      <c r="K4982" s="102" t="s">
        <v>7712</v>
      </c>
      <c r="L4982" s="102" t="str">
        <f>E655</f>
        <v>J1a2b~</v>
      </c>
      <c r="M4982" s="102" t="s">
        <v>7713</v>
      </c>
      <c r="N4982" s="102" t="s">
        <v>7714</v>
      </c>
      <c r="O4982" s="105">
        <v>6845640.0</v>
      </c>
      <c r="P4982" s="105">
        <v>6977599.0</v>
      </c>
      <c r="Q4982" s="102" t="s">
        <v>2439</v>
      </c>
      <c r="S4982" s="1"/>
      <c r="T4982" s="1"/>
      <c r="U4982" s="1"/>
      <c r="V4982" s="1"/>
      <c r="W4982" s="1"/>
      <c r="X4982" s="1"/>
      <c r="Y4982" s="1"/>
      <c r="AA4982" s="102"/>
      <c r="AB4982" s="1"/>
      <c r="AC4982" s="1"/>
      <c r="AD4982" s="1"/>
      <c r="AE4982" s="1"/>
      <c r="AF4982" s="1"/>
      <c r="AG4982" s="1"/>
    </row>
    <row r="4983" ht="15.75" customHeight="1">
      <c r="A4983" s="1"/>
      <c r="B4983" s="1"/>
      <c r="C4983" s="1"/>
      <c r="D4983" s="1"/>
      <c r="E4983" s="1"/>
      <c r="F4983" s="1"/>
      <c r="G4983" s="1"/>
      <c r="H4983" s="1"/>
      <c r="I4983" s="1"/>
      <c r="J4983" s="1"/>
      <c r="K4983" s="102" t="s">
        <v>7715</v>
      </c>
      <c r="L4983" s="102" t="str">
        <f>E655</f>
        <v>J1a2b~</v>
      </c>
      <c r="M4983" s="102" t="s">
        <v>7716</v>
      </c>
      <c r="N4983" s="102" t="s">
        <v>7714</v>
      </c>
      <c r="O4983" s="105">
        <v>6845640.0</v>
      </c>
      <c r="P4983" s="105">
        <v>6977599.0</v>
      </c>
      <c r="Q4983" s="102" t="s">
        <v>2439</v>
      </c>
      <c r="S4983" s="1"/>
      <c r="T4983" s="1"/>
      <c r="U4983" s="1"/>
      <c r="V4983" s="1"/>
      <c r="W4983" s="1"/>
      <c r="X4983" s="1"/>
      <c r="Y4983" s="1"/>
      <c r="AA4983" s="102"/>
      <c r="AB4983" s="1"/>
      <c r="AC4983" s="1"/>
      <c r="AD4983" s="1"/>
      <c r="AE4983" s="1"/>
      <c r="AF4983" s="1"/>
      <c r="AG4983" s="1"/>
    </row>
    <row r="4984" ht="15.75" customHeight="1">
      <c r="A4984" s="1"/>
      <c r="B4984" s="1"/>
      <c r="C4984" s="1"/>
      <c r="D4984" s="1"/>
      <c r="E4984" s="1"/>
      <c r="F4984" s="1"/>
      <c r="G4984" s="1"/>
      <c r="H4984" s="1"/>
      <c r="I4984" s="1"/>
      <c r="J4984" s="1"/>
      <c r="K4984" s="102" t="s">
        <v>7717</v>
      </c>
      <c r="L4984" s="102" t="str">
        <f>E655</f>
        <v>J1a2b~</v>
      </c>
      <c r="M4984" s="102" t="s">
        <v>7718</v>
      </c>
      <c r="N4984" s="102" t="s">
        <v>7714</v>
      </c>
      <c r="O4984" s="105">
        <v>6845640.0</v>
      </c>
      <c r="P4984" s="105">
        <v>6977599.0</v>
      </c>
      <c r="Q4984" s="102" t="s">
        <v>2439</v>
      </c>
      <c r="S4984" s="1"/>
      <c r="T4984" s="1"/>
      <c r="U4984" s="1"/>
      <c r="V4984" s="1"/>
      <c r="W4984" s="1"/>
      <c r="X4984" s="1"/>
      <c r="Y4984" s="1"/>
      <c r="AA4984" s="102"/>
      <c r="AB4984" s="1"/>
      <c r="AC4984" s="1"/>
      <c r="AD4984" s="1"/>
      <c r="AE4984" s="1"/>
      <c r="AF4984" s="1"/>
      <c r="AG4984" s="1"/>
    </row>
    <row r="4985" ht="15.75" customHeight="1">
      <c r="A4985" s="1"/>
      <c r="B4985" s="1"/>
      <c r="C4985" s="1"/>
      <c r="D4985" s="1"/>
      <c r="E4985" s="1"/>
      <c r="F4985" s="1"/>
      <c r="G4985" s="1"/>
      <c r="H4985" s="1"/>
      <c r="I4985" s="1"/>
      <c r="J4985" s="1"/>
      <c r="K4985" s="102" t="s">
        <v>7719</v>
      </c>
      <c r="L4985" s="102" t="str">
        <f>E655</f>
        <v>J1a2b~</v>
      </c>
      <c r="M4985" s="102" t="s">
        <v>7720</v>
      </c>
      <c r="N4985" s="102" t="s">
        <v>7721</v>
      </c>
      <c r="O4985" s="105">
        <v>1.4041847E7</v>
      </c>
      <c r="P4985" s="105">
        <v>1.1921141E7</v>
      </c>
      <c r="Q4985" s="102" t="s">
        <v>2439</v>
      </c>
      <c r="S4985" s="1"/>
      <c r="T4985" s="1"/>
      <c r="U4985" s="1"/>
      <c r="V4985" s="1"/>
      <c r="W4985" s="1"/>
      <c r="X4985" s="1"/>
      <c r="Y4985" s="1"/>
      <c r="AA4985" s="102"/>
      <c r="AB4985" s="1"/>
      <c r="AC4985" s="1"/>
      <c r="AD4985" s="1"/>
      <c r="AE4985" s="1"/>
      <c r="AF4985" s="1"/>
      <c r="AG4985" s="1"/>
    </row>
    <row r="4986" ht="15.75" customHeight="1">
      <c r="A4986" s="1"/>
      <c r="B4986" s="1"/>
      <c r="C4986" s="1"/>
      <c r="D4986" s="1"/>
      <c r="E4986" s="1"/>
      <c r="F4986" s="1"/>
      <c r="G4986" s="1"/>
      <c r="H4986" s="1"/>
      <c r="I4986" s="1"/>
      <c r="J4986" s="1"/>
      <c r="K4986" s="102" t="s">
        <v>7722</v>
      </c>
      <c r="L4986" s="102" t="str">
        <f>E655</f>
        <v>J1a2b~</v>
      </c>
      <c r="M4986" s="102" t="s">
        <v>7723</v>
      </c>
      <c r="N4986" s="102" t="s">
        <v>7721</v>
      </c>
      <c r="O4986" s="105">
        <v>1.4041847E7</v>
      </c>
      <c r="P4986" s="105">
        <v>1.1921141E7</v>
      </c>
      <c r="Q4986" s="102" t="s">
        <v>2439</v>
      </c>
      <c r="S4986" s="1"/>
      <c r="T4986" s="1"/>
      <c r="U4986" s="1"/>
      <c r="V4986" s="1"/>
      <c r="W4986" s="1"/>
      <c r="X4986" s="1"/>
      <c r="Y4986" s="1"/>
      <c r="AA4986" s="102"/>
      <c r="AB4986" s="1"/>
      <c r="AC4986" s="1"/>
      <c r="AD4986" s="1"/>
      <c r="AE4986" s="1"/>
      <c r="AF4986" s="1"/>
      <c r="AG4986" s="1"/>
    </row>
    <row r="4987" ht="15.75" customHeight="1">
      <c r="A4987" s="1"/>
      <c r="B4987" s="1"/>
      <c r="C4987" s="1"/>
      <c r="D4987" s="1"/>
      <c r="E4987" s="1"/>
      <c r="F4987" s="1"/>
      <c r="G4987" s="1"/>
      <c r="H4987" s="1"/>
      <c r="I4987" s="1"/>
      <c r="J4987" s="1"/>
      <c r="K4987" s="102" t="s">
        <v>7724</v>
      </c>
      <c r="L4987" s="102" t="str">
        <f>E655</f>
        <v>J1a2b~</v>
      </c>
      <c r="M4987" s="102" t="s">
        <v>7725</v>
      </c>
      <c r="N4987" s="102" t="s">
        <v>7721</v>
      </c>
      <c r="O4987" s="105">
        <v>1.4041847E7</v>
      </c>
      <c r="P4987" s="105">
        <v>1.1921141E7</v>
      </c>
      <c r="Q4987" s="102" t="s">
        <v>2439</v>
      </c>
      <c r="S4987" s="1"/>
      <c r="T4987" s="1"/>
      <c r="U4987" s="1"/>
      <c r="V4987" s="1"/>
      <c r="W4987" s="1"/>
      <c r="X4987" s="1"/>
      <c r="Y4987" s="1"/>
      <c r="AA4987" s="102"/>
      <c r="AB4987" s="1"/>
      <c r="AC4987" s="1"/>
      <c r="AD4987" s="1"/>
      <c r="AE4987" s="1"/>
      <c r="AF4987" s="1"/>
      <c r="AG4987" s="1"/>
    </row>
    <row r="4988" ht="15.75" customHeight="1">
      <c r="A4988" s="1"/>
      <c r="B4988" s="1"/>
      <c r="C4988" s="1"/>
      <c r="D4988" s="1"/>
      <c r="E4988" s="1"/>
      <c r="F4988" s="1"/>
      <c r="G4988" s="1"/>
      <c r="H4988" s="1"/>
      <c r="I4988" s="1"/>
      <c r="J4988" s="1"/>
      <c r="K4988" s="102" t="s">
        <v>7726</v>
      </c>
      <c r="L4988" s="102" t="str">
        <f>E655</f>
        <v>J1a2b~</v>
      </c>
      <c r="M4988" s="102" t="s">
        <v>7727</v>
      </c>
      <c r="N4988" s="102" t="s">
        <v>7728</v>
      </c>
      <c r="O4988" s="105">
        <v>1.5843558E7</v>
      </c>
      <c r="P4988" s="105">
        <v>1.3731678E7</v>
      </c>
      <c r="Q4988" s="102" t="s">
        <v>2439</v>
      </c>
      <c r="S4988" s="1"/>
      <c r="T4988" s="1"/>
      <c r="U4988" s="1"/>
      <c r="V4988" s="1"/>
      <c r="W4988" s="1"/>
      <c r="X4988" s="1"/>
      <c r="Y4988" s="1"/>
      <c r="AA4988" s="102"/>
      <c r="AB4988" s="1"/>
      <c r="AC4988" s="1"/>
      <c r="AD4988" s="1"/>
      <c r="AE4988" s="1"/>
      <c r="AF4988" s="1"/>
      <c r="AG4988" s="1"/>
    </row>
    <row r="4989" ht="15.75" customHeight="1">
      <c r="A4989" s="1"/>
      <c r="B4989" s="1"/>
      <c r="C4989" s="1"/>
      <c r="D4989" s="1"/>
      <c r="E4989" s="1"/>
      <c r="F4989" s="1"/>
      <c r="G4989" s="1"/>
      <c r="H4989" s="1"/>
      <c r="I4989" s="1"/>
      <c r="J4989" s="1"/>
      <c r="K4989" s="102" t="s">
        <v>7729</v>
      </c>
      <c r="L4989" s="102" t="str">
        <f>E655</f>
        <v>J1a2b~</v>
      </c>
      <c r="M4989" s="102" t="s">
        <v>7730</v>
      </c>
      <c r="N4989" s="102" t="s">
        <v>7728</v>
      </c>
      <c r="O4989" s="105">
        <v>1.5843558E7</v>
      </c>
      <c r="P4989" s="105">
        <v>1.3731678E7</v>
      </c>
      <c r="Q4989" s="102" t="s">
        <v>2439</v>
      </c>
      <c r="S4989" s="1"/>
      <c r="T4989" s="1"/>
      <c r="U4989" s="1"/>
      <c r="V4989" s="1"/>
      <c r="W4989" s="1"/>
      <c r="X4989" s="1"/>
      <c r="Y4989" s="1"/>
      <c r="AA4989" s="102"/>
      <c r="AB4989" s="1"/>
      <c r="AC4989" s="1"/>
      <c r="AD4989" s="1"/>
      <c r="AE4989" s="1"/>
      <c r="AF4989" s="1"/>
      <c r="AG4989" s="1"/>
    </row>
    <row r="4990" ht="15.75" customHeight="1">
      <c r="A4990" s="1"/>
      <c r="B4990" s="1"/>
      <c r="C4990" s="1"/>
      <c r="D4990" s="1"/>
      <c r="E4990" s="1"/>
      <c r="F4990" s="1"/>
      <c r="G4990" s="1"/>
      <c r="H4990" s="1"/>
      <c r="I4990" s="1"/>
      <c r="J4990" s="1"/>
      <c r="K4990" s="102" t="s">
        <v>7731</v>
      </c>
      <c r="L4990" s="102" t="str">
        <f>E655</f>
        <v>J1a2b~</v>
      </c>
      <c r="M4990" s="102" t="s">
        <v>7732</v>
      </c>
      <c r="N4990" s="102" t="s">
        <v>7728</v>
      </c>
      <c r="O4990" s="105">
        <v>1.5843558E7</v>
      </c>
      <c r="P4990" s="105">
        <v>1.3731678E7</v>
      </c>
      <c r="Q4990" s="102" t="s">
        <v>2439</v>
      </c>
      <c r="S4990" s="1"/>
      <c r="T4990" s="1"/>
      <c r="U4990" s="1"/>
      <c r="V4990" s="1"/>
      <c r="W4990" s="1"/>
      <c r="X4990" s="1"/>
      <c r="Y4990" s="1"/>
      <c r="AA4990" s="102"/>
      <c r="AB4990" s="1"/>
      <c r="AC4990" s="1"/>
      <c r="AD4990" s="1"/>
      <c r="AE4990" s="1"/>
      <c r="AF4990" s="1"/>
      <c r="AG4990" s="1"/>
    </row>
    <row r="4991" ht="15.75" customHeight="1">
      <c r="A4991" s="1"/>
      <c r="B4991" s="1"/>
      <c r="C4991" s="1"/>
      <c r="D4991" s="1"/>
      <c r="E4991" s="1"/>
      <c r="F4991" s="1"/>
      <c r="G4991" s="1"/>
      <c r="H4991" s="1"/>
      <c r="I4991" s="1"/>
      <c r="J4991" s="1"/>
      <c r="K4991" s="102" t="s">
        <v>7733</v>
      </c>
      <c r="L4991" s="102" t="str">
        <f>E655</f>
        <v>J1a2b~</v>
      </c>
      <c r="M4991" s="102" t="s">
        <v>7734</v>
      </c>
      <c r="N4991" s="102" t="s">
        <v>7735</v>
      </c>
      <c r="O4991" s="105">
        <v>1.4270273E7</v>
      </c>
      <c r="P4991" s="105">
        <v>1.2149567E7</v>
      </c>
      <c r="Q4991" s="102" t="s">
        <v>2501</v>
      </c>
      <c r="S4991" s="1"/>
      <c r="T4991" s="1"/>
      <c r="U4991" s="1"/>
      <c r="V4991" s="1"/>
      <c r="W4991" s="1"/>
      <c r="X4991" s="1"/>
      <c r="Y4991" s="1"/>
      <c r="AA4991" s="102"/>
      <c r="AB4991" s="1"/>
      <c r="AC4991" s="1"/>
      <c r="AD4991" s="1"/>
      <c r="AE4991" s="1"/>
      <c r="AF4991" s="1"/>
      <c r="AG4991" s="1"/>
    </row>
    <row r="4992" ht="15.75" customHeight="1">
      <c r="A4992" s="1"/>
      <c r="B4992" s="1"/>
      <c r="C4992" s="1"/>
      <c r="D4992" s="1"/>
      <c r="E4992" s="1"/>
      <c r="F4992" s="1"/>
      <c r="G4992" s="1"/>
      <c r="H4992" s="1"/>
      <c r="I4992" s="1"/>
      <c r="J4992" s="1"/>
      <c r="K4992" s="102" t="s">
        <v>7736</v>
      </c>
      <c r="L4992" s="102" t="str">
        <f>E655</f>
        <v>J1a2b~</v>
      </c>
      <c r="M4992" s="102" t="s">
        <v>7737</v>
      </c>
      <c r="N4992" s="102" t="s">
        <v>7735</v>
      </c>
      <c r="O4992" s="105">
        <v>1.4270273E7</v>
      </c>
      <c r="P4992" s="105">
        <v>1.2149567E7</v>
      </c>
      <c r="Q4992" s="102" t="s">
        <v>2501</v>
      </c>
      <c r="S4992" s="1"/>
      <c r="T4992" s="1"/>
      <c r="U4992" s="1"/>
      <c r="V4992" s="1"/>
      <c r="W4992" s="1"/>
      <c r="X4992" s="1"/>
      <c r="Y4992" s="1"/>
      <c r="AA4992" s="102"/>
      <c r="AB4992" s="1"/>
      <c r="AC4992" s="1"/>
      <c r="AD4992" s="1"/>
      <c r="AE4992" s="1"/>
      <c r="AF4992" s="1"/>
      <c r="AG4992" s="1"/>
    </row>
    <row r="4993" ht="15.75" customHeight="1">
      <c r="A4993" s="1"/>
      <c r="B4993" s="1"/>
      <c r="C4993" s="1"/>
      <c r="D4993" s="1"/>
      <c r="E4993" s="1"/>
      <c r="F4993" s="1"/>
      <c r="G4993" s="1"/>
      <c r="H4993" s="1"/>
      <c r="I4993" s="1"/>
      <c r="J4993" s="1"/>
      <c r="K4993" s="102" t="s">
        <v>7738</v>
      </c>
      <c r="L4993" s="102" t="str">
        <f>E655</f>
        <v>J1a2b~</v>
      </c>
      <c r="M4993" s="102" t="s">
        <v>7739</v>
      </c>
      <c r="N4993" s="102" t="s">
        <v>7735</v>
      </c>
      <c r="O4993" s="105">
        <v>1.4270273E7</v>
      </c>
      <c r="P4993" s="105">
        <v>1.2149567E7</v>
      </c>
      <c r="Q4993" s="102" t="s">
        <v>2501</v>
      </c>
      <c r="S4993" s="1"/>
      <c r="T4993" s="1"/>
      <c r="U4993" s="1"/>
      <c r="V4993" s="1"/>
      <c r="W4993" s="1"/>
      <c r="X4993" s="1"/>
      <c r="Y4993" s="1"/>
      <c r="AA4993" s="102"/>
      <c r="AB4993" s="1"/>
      <c r="AC4993" s="1"/>
      <c r="AD4993" s="1"/>
      <c r="AE4993" s="1"/>
      <c r="AF4993" s="1"/>
      <c r="AG4993" s="1"/>
    </row>
    <row r="4994" ht="15.75" customHeight="1">
      <c r="A4994" s="1"/>
      <c r="B4994" s="1"/>
      <c r="C4994" s="1"/>
      <c r="D4994" s="1"/>
      <c r="E4994" s="1"/>
      <c r="F4994" s="1"/>
      <c r="G4994" s="1"/>
      <c r="H4994" s="1"/>
      <c r="I4994" s="1"/>
      <c r="J4994" s="1"/>
      <c r="K4994" s="102" t="s">
        <v>7740</v>
      </c>
      <c r="L4994" s="102" t="str">
        <f>E655</f>
        <v>J1a2b~</v>
      </c>
      <c r="M4994" s="102" t="s">
        <v>7741</v>
      </c>
      <c r="N4994" s="102" t="s">
        <v>7742</v>
      </c>
      <c r="O4994" s="105">
        <v>8082600.0</v>
      </c>
      <c r="P4994" s="105">
        <v>8214559.0</v>
      </c>
      <c r="Q4994" s="102" t="s">
        <v>2423</v>
      </c>
      <c r="S4994" s="1"/>
      <c r="T4994" s="1"/>
      <c r="U4994" s="1"/>
      <c r="V4994" s="1"/>
      <c r="W4994" s="1"/>
      <c r="X4994" s="1"/>
      <c r="Y4994" s="1"/>
      <c r="AA4994" s="102"/>
      <c r="AB4994" s="1"/>
      <c r="AC4994" s="1"/>
      <c r="AD4994" s="1"/>
      <c r="AE4994" s="1"/>
      <c r="AF4994" s="1"/>
      <c r="AG4994" s="1"/>
    </row>
    <row r="4995" ht="15.75" customHeight="1">
      <c r="A4995" s="1"/>
      <c r="B4995" s="1"/>
      <c r="C4995" s="1"/>
      <c r="D4995" s="1"/>
      <c r="E4995" s="1"/>
      <c r="F4995" s="1"/>
      <c r="G4995" s="1"/>
      <c r="H4995" s="1"/>
      <c r="I4995" s="1"/>
      <c r="J4995" s="1"/>
      <c r="K4995" s="102" t="s">
        <v>7743</v>
      </c>
      <c r="L4995" s="102" t="str">
        <f>E655</f>
        <v>J1a2b~</v>
      </c>
      <c r="M4995" s="102" t="s">
        <v>7744</v>
      </c>
      <c r="N4995" s="102" t="s">
        <v>7742</v>
      </c>
      <c r="O4995" s="105">
        <v>8082600.0</v>
      </c>
      <c r="P4995" s="105">
        <v>8214559.0</v>
      </c>
      <c r="Q4995" s="102" t="s">
        <v>2423</v>
      </c>
      <c r="S4995" s="1"/>
      <c r="T4995" s="1"/>
      <c r="U4995" s="1"/>
      <c r="V4995" s="1"/>
      <c r="W4995" s="1"/>
      <c r="X4995" s="1"/>
      <c r="Y4995" s="1"/>
      <c r="AA4995" s="102"/>
      <c r="AB4995" s="1"/>
      <c r="AC4995" s="1"/>
      <c r="AD4995" s="1"/>
      <c r="AE4995" s="1"/>
      <c r="AF4995" s="1"/>
      <c r="AG4995" s="1"/>
    </row>
    <row r="4996" ht="15.75" customHeight="1">
      <c r="A4996" s="1"/>
      <c r="B4996" s="1"/>
      <c r="C4996" s="1"/>
      <c r="D4996" s="1"/>
      <c r="E4996" s="1"/>
      <c r="F4996" s="1"/>
      <c r="G4996" s="1"/>
      <c r="H4996" s="1"/>
      <c r="I4996" s="1"/>
      <c r="J4996" s="1"/>
      <c r="K4996" s="102" t="s">
        <v>7745</v>
      </c>
      <c r="L4996" s="102" t="str">
        <f>E655</f>
        <v>J1a2b~</v>
      </c>
      <c r="M4996" s="102" t="s">
        <v>7746</v>
      </c>
      <c r="N4996" s="102" t="s">
        <v>7742</v>
      </c>
      <c r="O4996" s="105">
        <v>8082600.0</v>
      </c>
      <c r="P4996" s="105">
        <v>8214559.0</v>
      </c>
      <c r="Q4996" s="102" t="s">
        <v>2423</v>
      </c>
      <c r="S4996" s="1"/>
      <c r="T4996" s="1"/>
      <c r="U4996" s="1"/>
      <c r="V4996" s="1"/>
      <c r="W4996" s="1"/>
      <c r="X4996" s="1"/>
      <c r="Y4996" s="1"/>
      <c r="AA4996" s="102"/>
      <c r="AB4996" s="1"/>
      <c r="AC4996" s="1"/>
      <c r="AD4996" s="1"/>
      <c r="AE4996" s="1"/>
      <c r="AF4996" s="1"/>
      <c r="AG4996" s="1"/>
    </row>
    <row r="4997" ht="15.75" customHeight="1">
      <c r="A4997" s="1"/>
      <c r="B4997" s="1"/>
      <c r="C4997" s="1"/>
      <c r="D4997" s="1"/>
      <c r="E4997" s="1"/>
      <c r="F4997" s="1"/>
      <c r="G4997" s="1"/>
      <c r="H4997" s="1"/>
      <c r="I4997" s="1"/>
      <c r="J4997" s="1"/>
      <c r="K4997" s="102" t="s">
        <v>7747</v>
      </c>
      <c r="L4997" s="102" t="str">
        <f>E655</f>
        <v>J1a2b~</v>
      </c>
      <c r="M4997" s="102" t="s">
        <v>7748</v>
      </c>
      <c r="N4997" s="102" t="s">
        <v>7749</v>
      </c>
      <c r="O4997" s="105">
        <v>7600041.0</v>
      </c>
      <c r="P4997" s="105">
        <v>7732000.0</v>
      </c>
      <c r="Q4997" s="102" t="s">
        <v>2501</v>
      </c>
      <c r="S4997" s="1"/>
      <c r="T4997" s="1"/>
      <c r="U4997" s="1"/>
      <c r="V4997" s="1"/>
      <c r="W4997" s="1"/>
      <c r="X4997" s="1"/>
      <c r="Y4997" s="1"/>
      <c r="AA4997" s="102"/>
      <c r="AB4997" s="1"/>
      <c r="AC4997" s="1"/>
      <c r="AD4997" s="1"/>
      <c r="AE4997" s="1"/>
      <c r="AF4997" s="1"/>
      <c r="AG4997" s="1"/>
    </row>
    <row r="4998" ht="15.75" customHeight="1">
      <c r="A4998" s="1"/>
      <c r="B4998" s="1"/>
      <c r="C4998" s="1"/>
      <c r="D4998" s="1"/>
      <c r="E4998" s="1"/>
      <c r="F4998" s="1"/>
      <c r="G4998" s="1"/>
      <c r="H4998" s="1"/>
      <c r="I4998" s="1"/>
      <c r="J4998" s="1"/>
      <c r="K4998" s="102" t="s">
        <v>7750</v>
      </c>
      <c r="L4998" s="102" t="str">
        <f>E655</f>
        <v>J1a2b~</v>
      </c>
      <c r="M4998" s="102" t="s">
        <v>7751</v>
      </c>
      <c r="N4998" s="102" t="s">
        <v>7749</v>
      </c>
      <c r="O4998" s="105">
        <v>7600041.0</v>
      </c>
      <c r="P4998" s="105">
        <v>7732000.0</v>
      </c>
      <c r="Q4998" s="102" t="s">
        <v>2501</v>
      </c>
      <c r="S4998" s="1"/>
      <c r="T4998" s="1"/>
      <c r="U4998" s="1"/>
      <c r="V4998" s="1"/>
      <c r="W4998" s="1"/>
      <c r="X4998" s="1"/>
      <c r="Y4998" s="1"/>
      <c r="AA4998" s="102"/>
      <c r="AB4998" s="1"/>
      <c r="AC4998" s="1"/>
      <c r="AD4998" s="1"/>
      <c r="AE4998" s="1"/>
      <c r="AF4998" s="1"/>
      <c r="AG4998" s="1"/>
    </row>
    <row r="4999" ht="15.75" customHeight="1">
      <c r="A4999" s="1"/>
      <c r="B4999" s="1"/>
      <c r="C4999" s="1"/>
      <c r="D4999" s="1"/>
      <c r="E4999" s="1"/>
      <c r="F4999" s="1"/>
      <c r="G4999" s="1"/>
      <c r="H4999" s="1"/>
      <c r="I4999" s="1"/>
      <c r="J4999" s="1"/>
      <c r="K4999" s="102" t="s">
        <v>7752</v>
      </c>
      <c r="L4999" s="102" t="str">
        <f>E655</f>
        <v>J1a2b~</v>
      </c>
      <c r="M4999" s="102" t="s">
        <v>7753</v>
      </c>
      <c r="N4999" s="102" t="s">
        <v>7749</v>
      </c>
      <c r="O4999" s="105">
        <v>7600041.0</v>
      </c>
      <c r="P4999" s="105">
        <v>7732000.0</v>
      </c>
      <c r="Q4999" s="102" t="s">
        <v>2501</v>
      </c>
      <c r="S4999" s="1"/>
      <c r="T4999" s="1"/>
      <c r="U4999" s="1"/>
      <c r="V4999" s="1"/>
      <c r="W4999" s="1"/>
      <c r="X4999" s="1"/>
      <c r="Y4999" s="1"/>
      <c r="AA4999" s="102"/>
      <c r="AB4999" s="1"/>
      <c r="AC4999" s="1"/>
      <c r="AD4999" s="1"/>
      <c r="AE4999" s="1"/>
      <c r="AF4999" s="1"/>
      <c r="AG4999" s="1"/>
    </row>
    <row r="5000" ht="15.75" customHeight="1">
      <c r="A5000" s="1"/>
      <c r="B5000" s="1"/>
      <c r="C5000" s="1"/>
      <c r="D5000" s="1"/>
      <c r="E5000" s="1"/>
      <c r="F5000" s="1"/>
      <c r="G5000" s="1"/>
      <c r="H5000" s="1"/>
      <c r="I5000" s="1"/>
      <c r="J5000" s="1"/>
      <c r="K5000" s="102" t="s">
        <v>7754</v>
      </c>
      <c r="L5000" s="102" t="str">
        <f>E655</f>
        <v>J1a2b~</v>
      </c>
      <c r="M5000" s="102" t="s">
        <v>7755</v>
      </c>
      <c r="N5000" s="102" t="s">
        <v>7756</v>
      </c>
      <c r="O5000" s="105">
        <v>2.0807883E7</v>
      </c>
      <c r="P5000" s="105">
        <v>1.8645997E7</v>
      </c>
      <c r="Q5000" s="102" t="s">
        <v>2446</v>
      </c>
      <c r="S5000" s="1"/>
      <c r="T5000" s="1"/>
      <c r="U5000" s="1"/>
      <c r="V5000" s="1"/>
      <c r="W5000" s="1"/>
      <c r="X5000" s="1"/>
      <c r="Y5000" s="1"/>
      <c r="AA5000" s="102"/>
      <c r="AB5000" s="1"/>
      <c r="AC5000" s="1"/>
      <c r="AD5000" s="1"/>
      <c r="AE5000" s="1"/>
      <c r="AF5000" s="1"/>
      <c r="AG5000" s="1"/>
    </row>
    <row r="5001" ht="15.75" customHeight="1">
      <c r="A5001" s="1"/>
      <c r="B5001" s="1"/>
      <c r="C5001" s="1"/>
      <c r="D5001" s="1"/>
      <c r="E5001" s="1"/>
      <c r="F5001" s="1"/>
      <c r="G5001" s="1"/>
      <c r="H5001" s="1"/>
      <c r="I5001" s="1"/>
      <c r="J5001" s="1"/>
      <c r="K5001" s="102" t="s">
        <v>7757</v>
      </c>
      <c r="L5001" s="102" t="str">
        <f>E655</f>
        <v>J1a2b~</v>
      </c>
      <c r="M5001" s="102" t="s">
        <v>7758</v>
      </c>
      <c r="N5001" s="102" t="s">
        <v>7756</v>
      </c>
      <c r="O5001" s="105">
        <v>2.0807883E7</v>
      </c>
      <c r="P5001" s="105">
        <v>1.8645997E7</v>
      </c>
      <c r="Q5001" s="102" t="s">
        <v>2446</v>
      </c>
      <c r="S5001" s="1"/>
      <c r="T5001" s="1"/>
      <c r="U5001" s="1"/>
      <c r="V5001" s="1"/>
      <c r="W5001" s="1"/>
      <c r="X5001" s="1"/>
      <c r="Y5001" s="1"/>
      <c r="AA5001" s="102"/>
      <c r="AB5001" s="1"/>
      <c r="AC5001" s="1"/>
      <c r="AD5001" s="1"/>
      <c r="AE5001" s="1"/>
      <c r="AF5001" s="1"/>
      <c r="AG5001" s="1"/>
    </row>
    <row r="5002" ht="15.75" customHeight="1">
      <c r="A5002" s="1"/>
      <c r="B5002" s="1"/>
      <c r="C5002" s="1"/>
      <c r="D5002" s="1"/>
      <c r="E5002" s="1"/>
      <c r="F5002" s="1"/>
      <c r="G5002" s="1"/>
      <c r="H5002" s="1"/>
      <c r="I5002" s="1"/>
      <c r="J5002" s="1"/>
      <c r="K5002" s="102" t="s">
        <v>7759</v>
      </c>
      <c r="L5002" s="102" t="str">
        <f>E655</f>
        <v>J1a2b~</v>
      </c>
      <c r="M5002" s="102" t="s">
        <v>7760</v>
      </c>
      <c r="N5002" s="102" t="s">
        <v>7756</v>
      </c>
      <c r="O5002" s="105">
        <v>2.0807883E7</v>
      </c>
      <c r="P5002" s="105">
        <v>1.8645997E7</v>
      </c>
      <c r="Q5002" s="102" t="s">
        <v>2446</v>
      </c>
      <c r="S5002" s="1"/>
      <c r="T5002" s="1"/>
      <c r="U5002" s="1"/>
      <c r="V5002" s="1"/>
      <c r="W5002" s="1"/>
      <c r="X5002" s="1"/>
      <c r="Y5002" s="1"/>
      <c r="AA5002" s="102"/>
      <c r="AB5002" s="1"/>
      <c r="AC5002" s="1"/>
      <c r="AD5002" s="1"/>
      <c r="AE5002" s="1"/>
      <c r="AF5002" s="1"/>
      <c r="AG5002" s="1"/>
    </row>
    <row r="5003" ht="15.75" customHeight="1">
      <c r="A5003" s="1"/>
      <c r="B5003" s="1"/>
      <c r="C5003" s="1"/>
      <c r="D5003" s="1"/>
      <c r="E5003" s="1"/>
      <c r="F5003" s="1"/>
      <c r="G5003" s="1"/>
      <c r="H5003" s="1"/>
      <c r="I5003" s="1"/>
      <c r="J5003" s="1"/>
      <c r="K5003" s="102" t="s">
        <v>7761</v>
      </c>
      <c r="L5003" s="102" t="str">
        <f>E655</f>
        <v>J1a2b~</v>
      </c>
      <c r="M5003" s="102" t="s">
        <v>7762</v>
      </c>
      <c r="N5003" s="102" t="s">
        <v>7763</v>
      </c>
      <c r="O5003" s="105">
        <v>8312510.0</v>
      </c>
      <c r="P5003" s="105">
        <v>8444469.0</v>
      </c>
      <c r="Q5003" s="102" t="s">
        <v>2439</v>
      </c>
      <c r="S5003" s="1"/>
      <c r="T5003" s="1"/>
      <c r="U5003" s="1"/>
      <c r="V5003" s="1"/>
      <c r="W5003" s="1"/>
      <c r="X5003" s="1"/>
      <c r="Y5003" s="1"/>
      <c r="AA5003" s="102"/>
      <c r="AB5003" s="1"/>
      <c r="AC5003" s="1"/>
      <c r="AD5003" s="1"/>
      <c r="AE5003" s="1"/>
      <c r="AF5003" s="1"/>
      <c r="AG5003" s="1"/>
    </row>
    <row r="5004" ht="15.75" customHeight="1">
      <c r="A5004" s="1"/>
      <c r="B5004" s="1"/>
      <c r="C5004" s="1"/>
      <c r="D5004" s="1"/>
      <c r="E5004" s="1"/>
      <c r="F5004" s="1"/>
      <c r="G5004" s="1"/>
      <c r="H5004" s="1"/>
      <c r="I5004" s="1"/>
      <c r="J5004" s="1"/>
      <c r="K5004" s="102" t="s">
        <v>7764</v>
      </c>
      <c r="L5004" s="102" t="str">
        <f>E655</f>
        <v>J1a2b~</v>
      </c>
      <c r="M5004" s="102" t="s">
        <v>7765</v>
      </c>
      <c r="N5004" s="102" t="s">
        <v>7763</v>
      </c>
      <c r="O5004" s="105">
        <v>8312510.0</v>
      </c>
      <c r="P5004" s="105">
        <v>8444469.0</v>
      </c>
      <c r="Q5004" s="102" t="s">
        <v>2439</v>
      </c>
      <c r="S5004" s="1"/>
      <c r="T5004" s="1"/>
      <c r="U5004" s="1"/>
      <c r="V5004" s="1"/>
      <c r="W5004" s="1"/>
      <c r="X5004" s="1"/>
      <c r="Y5004" s="1"/>
      <c r="AA5004" s="102"/>
      <c r="AB5004" s="1"/>
      <c r="AC5004" s="1"/>
      <c r="AD5004" s="1"/>
      <c r="AE5004" s="1"/>
      <c r="AF5004" s="1"/>
      <c r="AG5004" s="1"/>
    </row>
    <row r="5005" ht="15.75" customHeight="1">
      <c r="A5005" s="1"/>
      <c r="B5005" s="1"/>
      <c r="C5005" s="1"/>
      <c r="D5005" s="1"/>
      <c r="E5005" s="1"/>
      <c r="F5005" s="1"/>
      <c r="G5005" s="1"/>
      <c r="H5005" s="1"/>
      <c r="I5005" s="1"/>
      <c r="J5005" s="1"/>
      <c r="K5005" s="102" t="s">
        <v>7766</v>
      </c>
      <c r="L5005" s="102" t="str">
        <f>E655</f>
        <v>J1a2b~</v>
      </c>
      <c r="M5005" s="102" t="s">
        <v>7767</v>
      </c>
      <c r="N5005" s="102" t="s">
        <v>7763</v>
      </c>
      <c r="O5005" s="105">
        <v>8312510.0</v>
      </c>
      <c r="P5005" s="105">
        <v>8444469.0</v>
      </c>
      <c r="Q5005" s="102" t="s">
        <v>2439</v>
      </c>
      <c r="S5005" s="1"/>
      <c r="T5005" s="1"/>
      <c r="U5005" s="1"/>
      <c r="V5005" s="1"/>
      <c r="W5005" s="1"/>
      <c r="X5005" s="1"/>
      <c r="Y5005" s="1"/>
      <c r="AA5005" s="102"/>
      <c r="AB5005" s="1"/>
      <c r="AC5005" s="1"/>
      <c r="AD5005" s="1"/>
      <c r="AE5005" s="1"/>
      <c r="AF5005" s="1"/>
      <c r="AG5005" s="1"/>
    </row>
    <row r="5006" ht="15.75" customHeight="1">
      <c r="A5006" s="1"/>
      <c r="B5006" s="1"/>
      <c r="C5006" s="1"/>
      <c r="D5006" s="1"/>
      <c r="E5006" s="1"/>
      <c r="F5006" s="1"/>
      <c r="G5006" s="1"/>
      <c r="H5006" s="1"/>
      <c r="I5006" s="1"/>
      <c r="J5006" s="1"/>
      <c r="K5006" s="102" t="s">
        <v>7768</v>
      </c>
      <c r="L5006" s="102" t="str">
        <f>E655</f>
        <v>J1a2b~</v>
      </c>
      <c r="M5006" s="102" t="s">
        <v>7769</v>
      </c>
      <c r="N5006" s="102" t="s">
        <v>7770</v>
      </c>
      <c r="O5006" s="105">
        <v>8463365.0</v>
      </c>
      <c r="P5006" s="105">
        <v>8595324.0</v>
      </c>
      <c r="Q5006" s="102" t="s">
        <v>2501</v>
      </c>
      <c r="S5006" s="1"/>
      <c r="T5006" s="1"/>
      <c r="U5006" s="1"/>
      <c r="V5006" s="1"/>
      <c r="W5006" s="1"/>
      <c r="X5006" s="1"/>
      <c r="Y5006" s="1"/>
      <c r="AA5006" s="102"/>
      <c r="AB5006" s="1"/>
      <c r="AC5006" s="1"/>
      <c r="AD5006" s="1"/>
      <c r="AE5006" s="1"/>
      <c r="AF5006" s="1"/>
      <c r="AG5006" s="1"/>
    </row>
    <row r="5007" ht="15.75" customHeight="1">
      <c r="A5007" s="1"/>
      <c r="B5007" s="1"/>
      <c r="C5007" s="1"/>
      <c r="D5007" s="1"/>
      <c r="E5007" s="1"/>
      <c r="F5007" s="1"/>
      <c r="G5007" s="1"/>
      <c r="H5007" s="1"/>
      <c r="I5007" s="1"/>
      <c r="J5007" s="1"/>
      <c r="K5007" s="102" t="s">
        <v>7771</v>
      </c>
      <c r="L5007" s="102" t="str">
        <f>E655</f>
        <v>J1a2b~</v>
      </c>
      <c r="M5007" s="102" t="s">
        <v>7772</v>
      </c>
      <c r="N5007" s="102" t="s">
        <v>7770</v>
      </c>
      <c r="O5007" s="105">
        <v>8463365.0</v>
      </c>
      <c r="P5007" s="105">
        <v>8595324.0</v>
      </c>
      <c r="Q5007" s="102" t="s">
        <v>2501</v>
      </c>
      <c r="S5007" s="1"/>
      <c r="T5007" s="1"/>
      <c r="U5007" s="1"/>
      <c r="V5007" s="1"/>
      <c r="W5007" s="1"/>
      <c r="X5007" s="1"/>
      <c r="Y5007" s="1"/>
      <c r="AA5007" s="102"/>
      <c r="AB5007" s="1"/>
      <c r="AC5007" s="1"/>
      <c r="AD5007" s="1"/>
      <c r="AE5007" s="1"/>
      <c r="AF5007" s="1"/>
      <c r="AG5007" s="1"/>
    </row>
    <row r="5008" ht="15.75" customHeight="1">
      <c r="A5008" s="1"/>
      <c r="B5008" s="1"/>
      <c r="C5008" s="1"/>
      <c r="D5008" s="1"/>
      <c r="E5008" s="1"/>
      <c r="F5008" s="1"/>
      <c r="G5008" s="1"/>
      <c r="H5008" s="1"/>
      <c r="I5008" s="1"/>
      <c r="J5008" s="1"/>
      <c r="K5008" s="102" t="s">
        <v>7773</v>
      </c>
      <c r="L5008" s="102" t="str">
        <f>E655</f>
        <v>J1a2b~</v>
      </c>
      <c r="M5008" s="102" t="s">
        <v>7774</v>
      </c>
      <c r="N5008" s="102" t="s">
        <v>7770</v>
      </c>
      <c r="O5008" s="105">
        <v>8463365.0</v>
      </c>
      <c r="P5008" s="105">
        <v>8595324.0</v>
      </c>
      <c r="Q5008" s="102" t="s">
        <v>2501</v>
      </c>
      <c r="S5008" s="1"/>
      <c r="T5008" s="1"/>
      <c r="U5008" s="1"/>
      <c r="V5008" s="1"/>
      <c r="W5008" s="1"/>
      <c r="X5008" s="1"/>
      <c r="Y5008" s="1"/>
      <c r="AA5008" s="102"/>
      <c r="AB5008" s="1"/>
      <c r="AC5008" s="1"/>
      <c r="AD5008" s="1"/>
      <c r="AE5008" s="1"/>
      <c r="AF5008" s="1"/>
      <c r="AG5008" s="1"/>
    </row>
    <row r="5009" ht="15.75" customHeight="1">
      <c r="A5009" s="1"/>
      <c r="B5009" s="1"/>
      <c r="C5009" s="1"/>
      <c r="D5009" s="1"/>
      <c r="E5009" s="1"/>
      <c r="F5009" s="1"/>
      <c r="G5009" s="1"/>
      <c r="H5009" s="1"/>
      <c r="I5009" s="1"/>
      <c r="J5009" s="1"/>
      <c r="K5009" s="102" t="s">
        <v>7775</v>
      </c>
      <c r="L5009" s="102" t="str">
        <f>E655</f>
        <v>J1a2b~</v>
      </c>
      <c r="M5009" s="102" t="s">
        <v>7776</v>
      </c>
      <c r="N5009" s="102" t="s">
        <v>7770</v>
      </c>
      <c r="O5009" s="105">
        <v>8463365.0</v>
      </c>
      <c r="P5009" s="105">
        <v>8595324.0</v>
      </c>
      <c r="Q5009" s="102" t="s">
        <v>2501</v>
      </c>
      <c r="S5009" s="1"/>
      <c r="T5009" s="1"/>
      <c r="U5009" s="1"/>
      <c r="V5009" s="1"/>
      <c r="W5009" s="1"/>
      <c r="X5009" s="1"/>
      <c r="Y5009" s="1"/>
      <c r="AA5009" s="102"/>
      <c r="AB5009" s="1"/>
      <c r="AC5009" s="1"/>
      <c r="AD5009" s="1"/>
      <c r="AE5009" s="1"/>
      <c r="AF5009" s="1"/>
      <c r="AG5009" s="1"/>
    </row>
    <row r="5010" ht="15.75" customHeight="1">
      <c r="A5010" s="1"/>
      <c r="B5010" s="1"/>
      <c r="C5010" s="1"/>
      <c r="D5010" s="1"/>
      <c r="E5010" s="1"/>
      <c r="F5010" s="1"/>
      <c r="G5010" s="1"/>
      <c r="H5010" s="1"/>
      <c r="I5010" s="1"/>
      <c r="J5010" s="1"/>
      <c r="K5010" s="102" t="s">
        <v>7777</v>
      </c>
      <c r="L5010" s="102" t="str">
        <f>E655</f>
        <v>J1a2b~</v>
      </c>
      <c r="M5010" s="102"/>
      <c r="N5010" s="102" t="s">
        <v>7778</v>
      </c>
      <c r="O5010" s="105">
        <v>1.4137729E7</v>
      </c>
      <c r="P5010" s="105">
        <v>1.2017023E7</v>
      </c>
      <c r="Q5010" s="102" t="s">
        <v>2501</v>
      </c>
      <c r="S5010" s="1"/>
      <c r="T5010" s="1"/>
      <c r="U5010" s="1"/>
      <c r="V5010" s="1"/>
      <c r="W5010" s="1"/>
      <c r="X5010" s="1"/>
      <c r="Y5010" s="1"/>
      <c r="AA5010" s="102"/>
      <c r="AB5010" s="1"/>
      <c r="AC5010" s="1"/>
      <c r="AD5010" s="1"/>
      <c r="AE5010" s="1"/>
      <c r="AF5010" s="1"/>
      <c r="AG5010" s="1"/>
    </row>
    <row r="5011" ht="15.75" customHeight="1">
      <c r="A5011" s="1"/>
      <c r="B5011" s="1"/>
      <c r="C5011" s="1"/>
      <c r="D5011" s="1"/>
      <c r="E5011" s="1"/>
      <c r="F5011" s="1"/>
      <c r="G5011" s="1"/>
      <c r="H5011" s="1"/>
      <c r="I5011" s="1"/>
      <c r="J5011" s="1"/>
      <c r="K5011" s="102" t="s">
        <v>7779</v>
      </c>
      <c r="L5011" s="102" t="str">
        <f>E655</f>
        <v>J1a2b~</v>
      </c>
      <c r="M5011" s="102" t="s">
        <v>7780</v>
      </c>
      <c r="N5011" s="102" t="s">
        <v>7781</v>
      </c>
      <c r="O5011" s="105">
        <v>8470829.0</v>
      </c>
      <c r="P5011" s="105">
        <v>8602788.0</v>
      </c>
      <c r="Q5011" s="102" t="s">
        <v>2446</v>
      </c>
      <c r="S5011" s="1"/>
      <c r="T5011" s="1"/>
      <c r="U5011" s="1"/>
      <c r="V5011" s="1"/>
      <c r="W5011" s="1"/>
      <c r="X5011" s="1"/>
      <c r="Y5011" s="1"/>
      <c r="AA5011" s="102"/>
      <c r="AB5011" s="1"/>
      <c r="AC5011" s="1"/>
      <c r="AD5011" s="1"/>
      <c r="AE5011" s="1"/>
      <c r="AF5011" s="1"/>
      <c r="AG5011" s="1"/>
    </row>
    <row r="5012" ht="15.75" customHeight="1">
      <c r="A5012" s="1"/>
      <c r="B5012" s="1"/>
      <c r="C5012" s="1"/>
      <c r="D5012" s="1"/>
      <c r="E5012" s="1"/>
      <c r="F5012" s="1"/>
      <c r="G5012" s="1"/>
      <c r="H5012" s="1"/>
      <c r="I5012" s="1"/>
      <c r="J5012" s="1"/>
      <c r="K5012" s="102" t="s">
        <v>7782</v>
      </c>
      <c r="L5012" s="102" t="str">
        <f>E655</f>
        <v>J1a2b~</v>
      </c>
      <c r="M5012" s="102" t="s">
        <v>7783</v>
      </c>
      <c r="N5012" s="102" t="s">
        <v>7781</v>
      </c>
      <c r="O5012" s="105">
        <v>8470829.0</v>
      </c>
      <c r="P5012" s="105">
        <v>8602788.0</v>
      </c>
      <c r="Q5012" s="102" t="s">
        <v>2446</v>
      </c>
      <c r="S5012" s="1"/>
      <c r="T5012" s="1"/>
      <c r="U5012" s="1"/>
      <c r="V5012" s="1"/>
      <c r="W5012" s="1"/>
      <c r="X5012" s="1"/>
      <c r="Y5012" s="1"/>
      <c r="AA5012" s="102"/>
      <c r="AB5012" s="1"/>
      <c r="AC5012" s="1"/>
      <c r="AD5012" s="1"/>
      <c r="AE5012" s="1"/>
      <c r="AF5012" s="1"/>
      <c r="AG5012" s="1"/>
    </row>
    <row r="5013" ht="15.75" customHeight="1">
      <c r="A5013" s="1"/>
      <c r="B5013" s="1"/>
      <c r="C5013" s="1"/>
      <c r="D5013" s="1"/>
      <c r="E5013" s="1"/>
      <c r="F5013" s="1"/>
      <c r="G5013" s="1"/>
      <c r="H5013" s="1"/>
      <c r="I5013" s="1"/>
      <c r="J5013" s="1"/>
      <c r="K5013" s="102" t="s">
        <v>7784</v>
      </c>
      <c r="L5013" s="102" t="str">
        <f>E655</f>
        <v>J1a2b~</v>
      </c>
      <c r="M5013" s="102" t="s">
        <v>7785</v>
      </c>
      <c r="N5013" s="102" t="s">
        <v>7781</v>
      </c>
      <c r="O5013" s="105">
        <v>8470829.0</v>
      </c>
      <c r="P5013" s="105">
        <v>8602788.0</v>
      </c>
      <c r="Q5013" s="102" t="s">
        <v>2446</v>
      </c>
      <c r="S5013" s="1"/>
      <c r="T5013" s="1"/>
      <c r="U5013" s="1"/>
      <c r="V5013" s="1"/>
      <c r="W5013" s="1"/>
      <c r="X5013" s="1"/>
      <c r="Y5013" s="1"/>
      <c r="AA5013" s="102"/>
      <c r="AB5013" s="1"/>
      <c r="AC5013" s="1"/>
      <c r="AD5013" s="1"/>
      <c r="AE5013" s="1"/>
      <c r="AF5013" s="1"/>
      <c r="AG5013" s="1"/>
    </row>
    <row r="5014" ht="15.75" customHeight="1">
      <c r="A5014" s="1"/>
      <c r="B5014" s="1"/>
      <c r="C5014" s="1"/>
      <c r="D5014" s="1"/>
      <c r="E5014" s="1"/>
      <c r="F5014" s="1"/>
      <c r="G5014" s="1"/>
      <c r="H5014" s="1"/>
      <c r="I5014" s="1"/>
      <c r="J5014" s="1"/>
      <c r="K5014" s="102" t="s">
        <v>7786</v>
      </c>
      <c r="L5014" s="102" t="str">
        <f>E655</f>
        <v>J1a2b~</v>
      </c>
      <c r="M5014" s="102" t="s">
        <v>7787</v>
      </c>
      <c r="N5014" s="102" t="s">
        <v>7788</v>
      </c>
      <c r="O5014" s="105">
        <v>1.4004495E7</v>
      </c>
      <c r="P5014" s="105">
        <v>1.1883789E7</v>
      </c>
      <c r="Q5014" s="102" t="s">
        <v>2501</v>
      </c>
      <c r="S5014" s="1"/>
      <c r="T5014" s="1"/>
      <c r="U5014" s="1"/>
      <c r="V5014" s="1"/>
      <c r="W5014" s="1"/>
      <c r="X5014" s="1"/>
      <c r="Y5014" s="1"/>
      <c r="AA5014" s="102"/>
      <c r="AB5014" s="1"/>
      <c r="AC5014" s="1"/>
      <c r="AD5014" s="1"/>
      <c r="AE5014" s="1"/>
      <c r="AF5014" s="1"/>
      <c r="AG5014" s="1"/>
    </row>
    <row r="5015" ht="15.75" customHeight="1">
      <c r="A5015" s="1"/>
      <c r="B5015" s="1"/>
      <c r="C5015" s="1"/>
      <c r="D5015" s="1"/>
      <c r="E5015" s="1"/>
      <c r="F5015" s="1"/>
      <c r="G5015" s="1"/>
      <c r="H5015" s="1"/>
      <c r="I5015" s="1"/>
      <c r="J5015" s="1"/>
      <c r="K5015" s="102" t="s">
        <v>7789</v>
      </c>
      <c r="L5015" s="102" t="str">
        <f>E655</f>
        <v>J1a2b~</v>
      </c>
      <c r="M5015" s="102" t="s">
        <v>7790</v>
      </c>
      <c r="N5015" s="102" t="s">
        <v>7788</v>
      </c>
      <c r="O5015" s="105">
        <v>1.4004495E7</v>
      </c>
      <c r="P5015" s="105">
        <v>1.1883789E7</v>
      </c>
      <c r="Q5015" s="102" t="s">
        <v>2501</v>
      </c>
      <c r="S5015" s="1"/>
      <c r="T5015" s="1"/>
      <c r="U5015" s="1"/>
      <c r="V5015" s="1"/>
      <c r="W5015" s="1"/>
      <c r="X5015" s="1"/>
      <c r="Y5015" s="1"/>
      <c r="AA5015" s="102"/>
      <c r="AB5015" s="1"/>
      <c r="AC5015" s="1"/>
      <c r="AD5015" s="1"/>
      <c r="AE5015" s="1"/>
      <c r="AF5015" s="1"/>
      <c r="AG5015" s="1"/>
    </row>
    <row r="5016" ht="15.75" customHeight="1">
      <c r="A5016" s="1"/>
      <c r="B5016" s="1"/>
      <c r="C5016" s="1"/>
      <c r="D5016" s="1"/>
      <c r="E5016" s="1"/>
      <c r="F5016" s="1"/>
      <c r="G5016" s="1"/>
      <c r="H5016" s="1"/>
      <c r="I5016" s="1"/>
      <c r="J5016" s="1"/>
      <c r="K5016" s="102" t="s">
        <v>7791</v>
      </c>
      <c r="L5016" s="102" t="str">
        <f>E655</f>
        <v>J1a2b~</v>
      </c>
      <c r="M5016" s="102" t="s">
        <v>7792</v>
      </c>
      <c r="N5016" s="102" t="s">
        <v>7788</v>
      </c>
      <c r="O5016" s="105">
        <v>1.4004495E7</v>
      </c>
      <c r="P5016" s="105">
        <v>1.1883789E7</v>
      </c>
      <c r="Q5016" s="102" t="s">
        <v>2501</v>
      </c>
      <c r="S5016" s="1"/>
      <c r="T5016" s="1"/>
      <c r="U5016" s="1"/>
      <c r="V5016" s="1"/>
      <c r="W5016" s="1"/>
      <c r="X5016" s="1"/>
      <c r="Y5016" s="1"/>
      <c r="AA5016" s="102"/>
      <c r="AB5016" s="1"/>
      <c r="AC5016" s="1"/>
      <c r="AD5016" s="1"/>
      <c r="AE5016" s="1"/>
      <c r="AF5016" s="1"/>
      <c r="AG5016" s="1"/>
    </row>
    <row r="5017" ht="15.75" customHeight="1">
      <c r="A5017" s="1"/>
      <c r="B5017" s="1"/>
      <c r="C5017" s="1"/>
      <c r="D5017" s="1"/>
      <c r="E5017" s="1"/>
      <c r="F5017" s="1"/>
      <c r="G5017" s="1"/>
      <c r="H5017" s="1"/>
      <c r="I5017" s="1"/>
      <c r="J5017" s="1"/>
      <c r="K5017" s="102" t="s">
        <v>7793</v>
      </c>
      <c r="L5017" s="102" t="str">
        <f>E655</f>
        <v>J1a2b~</v>
      </c>
      <c r="M5017" s="106" t="s">
        <v>7794</v>
      </c>
      <c r="N5017" s="102" t="s">
        <v>7795</v>
      </c>
      <c r="O5017" s="105">
        <v>1.9348056E7</v>
      </c>
      <c r="P5017" s="105">
        <v>1.7236176E7</v>
      </c>
      <c r="Q5017" s="102" t="s">
        <v>2446</v>
      </c>
      <c r="S5017" s="1"/>
      <c r="T5017" s="1"/>
      <c r="U5017" s="1"/>
      <c r="V5017" s="1"/>
      <c r="W5017" s="1"/>
      <c r="X5017" s="1"/>
      <c r="Y5017" s="1"/>
      <c r="AA5017" s="102"/>
      <c r="AB5017" s="1"/>
      <c r="AC5017" s="1"/>
      <c r="AD5017" s="1"/>
      <c r="AE5017" s="1"/>
      <c r="AF5017" s="1"/>
      <c r="AG5017" s="1"/>
    </row>
    <row r="5018" ht="15.75" customHeight="1">
      <c r="A5018" s="1"/>
      <c r="B5018" s="1"/>
      <c r="C5018" s="1"/>
      <c r="D5018" s="1"/>
      <c r="E5018" s="1"/>
      <c r="F5018" s="1"/>
      <c r="G5018" s="1"/>
      <c r="H5018" s="1"/>
      <c r="I5018" s="1"/>
      <c r="J5018" s="1"/>
      <c r="K5018" s="106" t="s">
        <v>7796</v>
      </c>
      <c r="L5018" s="102" t="str">
        <f>E655</f>
        <v>J1a2b~</v>
      </c>
      <c r="M5018" s="102" t="s">
        <v>7797</v>
      </c>
      <c r="N5018" s="102" t="s">
        <v>7795</v>
      </c>
      <c r="O5018" s="105">
        <v>1.9348056E7</v>
      </c>
      <c r="P5018" s="105">
        <v>1.7236176E7</v>
      </c>
      <c r="Q5018" s="102" t="s">
        <v>2446</v>
      </c>
      <c r="S5018" s="1"/>
      <c r="T5018" s="1"/>
      <c r="U5018" s="1"/>
      <c r="V5018" s="1"/>
      <c r="W5018" s="1"/>
      <c r="X5018" s="1"/>
      <c r="Y5018" s="1"/>
      <c r="AA5018" s="102"/>
      <c r="AB5018" s="1"/>
      <c r="AC5018" s="1"/>
      <c r="AD5018" s="1"/>
      <c r="AE5018" s="1"/>
      <c r="AF5018" s="1"/>
      <c r="AG5018" s="1"/>
    </row>
    <row r="5019" ht="15.75" customHeight="1">
      <c r="A5019" s="1"/>
      <c r="B5019" s="1"/>
      <c r="C5019" s="1"/>
      <c r="D5019" s="1"/>
      <c r="E5019" s="1"/>
      <c r="F5019" s="1"/>
      <c r="G5019" s="1"/>
      <c r="H5019" s="1"/>
      <c r="I5019" s="1"/>
      <c r="J5019" s="1"/>
      <c r="K5019" s="102" t="s">
        <v>7798</v>
      </c>
      <c r="L5019" s="102" t="str">
        <f>E655</f>
        <v>J1a2b~</v>
      </c>
      <c r="M5019" s="106" t="s">
        <v>7799</v>
      </c>
      <c r="N5019" s="102" t="s">
        <v>7795</v>
      </c>
      <c r="O5019" s="105">
        <v>1.9348056E7</v>
      </c>
      <c r="P5019" s="105">
        <v>1.7236176E7</v>
      </c>
      <c r="Q5019" s="102" t="s">
        <v>2446</v>
      </c>
      <c r="S5019" s="1"/>
      <c r="T5019" s="1"/>
      <c r="U5019" s="1"/>
      <c r="V5019" s="1"/>
      <c r="W5019" s="1"/>
      <c r="X5019" s="1"/>
      <c r="Y5019" s="1"/>
      <c r="AA5019" s="102"/>
      <c r="AB5019" s="1"/>
      <c r="AC5019" s="1"/>
      <c r="AD5019" s="1"/>
      <c r="AE5019" s="1"/>
      <c r="AF5019" s="1"/>
      <c r="AG5019" s="1"/>
    </row>
    <row r="5020" ht="15.75" customHeight="1">
      <c r="A5020" s="1"/>
      <c r="B5020" s="1"/>
      <c r="C5020" s="1"/>
      <c r="D5020" s="1"/>
      <c r="E5020" s="1"/>
      <c r="F5020" s="1"/>
      <c r="G5020" s="1"/>
      <c r="H5020" s="1"/>
      <c r="I5020" s="1"/>
      <c r="J5020" s="1"/>
      <c r="K5020" s="102" t="s">
        <v>7800</v>
      </c>
      <c r="L5020" s="102" t="str">
        <f>E655</f>
        <v>J1a2b~</v>
      </c>
      <c r="M5020" s="102" t="s">
        <v>7801</v>
      </c>
      <c r="N5020" s="102" t="s">
        <v>7802</v>
      </c>
      <c r="O5020" s="105">
        <v>1.6548432E7</v>
      </c>
      <c r="P5020" s="105">
        <v>1.4436552E7</v>
      </c>
      <c r="Q5020" s="102" t="s">
        <v>2563</v>
      </c>
      <c r="S5020" s="1"/>
      <c r="T5020" s="1"/>
      <c r="U5020" s="1"/>
      <c r="V5020" s="1"/>
      <c r="W5020" s="1"/>
      <c r="X5020" s="1"/>
      <c r="Y5020" s="1"/>
      <c r="AA5020" s="102"/>
      <c r="AB5020" s="1"/>
      <c r="AC5020" s="1"/>
      <c r="AD5020" s="1"/>
      <c r="AE5020" s="1"/>
      <c r="AF5020" s="1"/>
      <c r="AG5020" s="1"/>
    </row>
    <row r="5021" ht="15.75" customHeight="1">
      <c r="A5021" s="1"/>
      <c r="B5021" s="1"/>
      <c r="C5021" s="1"/>
      <c r="D5021" s="1"/>
      <c r="E5021" s="1"/>
      <c r="F5021" s="1"/>
      <c r="G5021" s="1"/>
      <c r="H5021" s="1"/>
      <c r="I5021" s="1"/>
      <c r="J5021" s="1"/>
      <c r="K5021" s="102" t="s">
        <v>7803</v>
      </c>
      <c r="L5021" s="102" t="str">
        <f>E655</f>
        <v>J1a2b~</v>
      </c>
      <c r="M5021" s="102" t="s">
        <v>7804</v>
      </c>
      <c r="N5021" s="102" t="s">
        <v>7802</v>
      </c>
      <c r="O5021" s="105">
        <v>1.6548432E7</v>
      </c>
      <c r="P5021" s="105">
        <v>1.4436552E7</v>
      </c>
      <c r="Q5021" s="102" t="s">
        <v>2563</v>
      </c>
      <c r="S5021" s="1"/>
      <c r="T5021" s="1"/>
      <c r="U5021" s="1"/>
      <c r="V5021" s="1"/>
      <c r="W5021" s="1"/>
      <c r="X5021" s="1"/>
      <c r="Y5021" s="1"/>
      <c r="AA5021" s="102"/>
      <c r="AB5021" s="1"/>
      <c r="AC5021" s="1"/>
      <c r="AD5021" s="1"/>
      <c r="AE5021" s="1"/>
      <c r="AF5021" s="1"/>
      <c r="AG5021" s="1"/>
    </row>
    <row r="5022" ht="15.75" customHeight="1">
      <c r="A5022" s="1"/>
      <c r="B5022" s="1"/>
      <c r="C5022" s="1"/>
      <c r="D5022" s="1"/>
      <c r="E5022" s="1"/>
      <c r="F5022" s="1"/>
      <c r="G5022" s="1"/>
      <c r="H5022" s="1"/>
      <c r="I5022" s="1"/>
      <c r="J5022" s="1"/>
      <c r="K5022" s="102" t="s">
        <v>7805</v>
      </c>
      <c r="L5022" s="102" t="str">
        <f>E655</f>
        <v>J1a2b~</v>
      </c>
      <c r="M5022" s="102" t="s">
        <v>7806</v>
      </c>
      <c r="N5022" s="102" t="s">
        <v>7802</v>
      </c>
      <c r="O5022" s="105">
        <v>1.6548432E7</v>
      </c>
      <c r="P5022" s="105">
        <v>1.4436552E7</v>
      </c>
      <c r="Q5022" s="102" t="s">
        <v>2563</v>
      </c>
      <c r="S5022" s="1"/>
      <c r="T5022" s="1"/>
      <c r="U5022" s="1"/>
      <c r="V5022" s="1"/>
      <c r="W5022" s="1"/>
      <c r="X5022" s="1"/>
      <c r="Y5022" s="1"/>
      <c r="AA5022" s="102"/>
      <c r="AB5022" s="1"/>
      <c r="AC5022" s="1"/>
      <c r="AD5022" s="1"/>
      <c r="AE5022" s="1"/>
      <c r="AF5022" s="1"/>
      <c r="AG5022" s="1"/>
    </row>
    <row r="5023" ht="15.75" customHeight="1">
      <c r="A5023" s="1"/>
      <c r="B5023" s="1"/>
      <c r="C5023" s="1"/>
      <c r="D5023" s="1"/>
      <c r="E5023" s="1"/>
      <c r="F5023" s="1"/>
      <c r="G5023" s="1"/>
      <c r="H5023" s="1"/>
      <c r="I5023" s="1"/>
      <c r="J5023" s="1"/>
      <c r="K5023" s="102" t="s">
        <v>7807</v>
      </c>
      <c r="L5023" s="102" t="str">
        <f>E655</f>
        <v>J1a2b~</v>
      </c>
      <c r="M5023" s="102" t="s">
        <v>7808</v>
      </c>
      <c r="N5023" s="102" t="s">
        <v>7809</v>
      </c>
      <c r="O5023" s="105">
        <v>9380540.0</v>
      </c>
      <c r="P5023" s="105">
        <v>9542931.0</v>
      </c>
      <c r="Q5023" s="102" t="s">
        <v>2501</v>
      </c>
      <c r="S5023" s="1"/>
      <c r="T5023" s="1"/>
      <c r="U5023" s="1"/>
      <c r="V5023" s="1"/>
      <c r="W5023" s="1"/>
      <c r="X5023" s="1"/>
      <c r="Y5023" s="1"/>
      <c r="AA5023" s="102"/>
      <c r="AB5023" s="1"/>
      <c r="AC5023" s="1"/>
      <c r="AD5023" s="1"/>
      <c r="AE5023" s="1"/>
      <c r="AF5023" s="1"/>
      <c r="AG5023" s="1"/>
    </row>
    <row r="5024" ht="15.75" customHeight="1">
      <c r="A5024" s="1"/>
      <c r="B5024" s="1"/>
      <c r="C5024" s="1"/>
      <c r="D5024" s="1"/>
      <c r="E5024" s="1"/>
      <c r="F5024" s="1"/>
      <c r="G5024" s="1"/>
      <c r="H5024" s="1"/>
      <c r="I5024" s="1"/>
      <c r="J5024" s="1"/>
      <c r="K5024" s="102" t="s">
        <v>7810</v>
      </c>
      <c r="L5024" s="102" t="str">
        <f>E655</f>
        <v>J1a2b~</v>
      </c>
      <c r="M5024" s="102" t="s">
        <v>7811</v>
      </c>
      <c r="N5024" s="102" t="s">
        <v>7809</v>
      </c>
      <c r="O5024" s="105">
        <v>9380540.0</v>
      </c>
      <c r="P5024" s="105">
        <v>9542931.0</v>
      </c>
      <c r="Q5024" s="102" t="s">
        <v>2501</v>
      </c>
      <c r="S5024" s="1"/>
      <c r="T5024" s="1"/>
      <c r="U5024" s="1"/>
      <c r="V5024" s="1"/>
      <c r="W5024" s="1"/>
      <c r="X5024" s="1"/>
      <c r="Y5024" s="1"/>
      <c r="AA5024" s="102"/>
      <c r="AB5024" s="1"/>
      <c r="AC5024" s="1"/>
      <c r="AD5024" s="1"/>
      <c r="AE5024" s="1"/>
      <c r="AF5024" s="1"/>
      <c r="AG5024" s="1"/>
    </row>
    <row r="5025" ht="15.75" customHeight="1">
      <c r="A5025" s="1"/>
      <c r="B5025" s="1"/>
      <c r="C5025" s="1"/>
      <c r="D5025" s="1"/>
      <c r="E5025" s="1"/>
      <c r="F5025" s="1"/>
      <c r="G5025" s="1"/>
      <c r="H5025" s="1"/>
      <c r="I5025" s="1"/>
      <c r="J5025" s="1"/>
      <c r="K5025" s="102" t="s">
        <v>7812</v>
      </c>
      <c r="L5025" s="102" t="str">
        <f>E655</f>
        <v>J1a2b~</v>
      </c>
      <c r="M5025" s="102" t="s">
        <v>7813</v>
      </c>
      <c r="N5025" s="102" t="s">
        <v>7809</v>
      </c>
      <c r="O5025" s="105">
        <v>9380540.0</v>
      </c>
      <c r="P5025" s="105">
        <v>9542931.0</v>
      </c>
      <c r="Q5025" s="102" t="s">
        <v>2501</v>
      </c>
      <c r="S5025" s="1"/>
      <c r="T5025" s="1"/>
      <c r="U5025" s="1"/>
      <c r="V5025" s="1"/>
      <c r="W5025" s="1"/>
      <c r="X5025" s="1"/>
      <c r="Y5025" s="1"/>
      <c r="AA5025" s="102"/>
      <c r="AB5025" s="1"/>
      <c r="AC5025" s="1"/>
      <c r="AD5025" s="1"/>
      <c r="AE5025" s="1"/>
      <c r="AF5025" s="1"/>
      <c r="AG5025" s="1"/>
    </row>
    <row r="5026" ht="15.75" customHeight="1">
      <c r="A5026" s="1"/>
      <c r="B5026" s="1"/>
      <c r="C5026" s="1"/>
      <c r="D5026" s="1"/>
      <c r="E5026" s="1"/>
      <c r="F5026" s="1"/>
      <c r="G5026" s="1"/>
      <c r="H5026" s="1"/>
      <c r="I5026" s="1"/>
      <c r="J5026" s="1"/>
      <c r="K5026" s="102" t="s">
        <v>7814</v>
      </c>
      <c r="L5026" s="102" t="str">
        <f>E655</f>
        <v>J1a2b~</v>
      </c>
      <c r="M5026" s="102" t="s">
        <v>7815</v>
      </c>
      <c r="N5026" s="102" t="s">
        <v>7816</v>
      </c>
      <c r="O5026" s="105">
        <v>1.5802885E7</v>
      </c>
      <c r="P5026" s="105">
        <v>1.3691005E7</v>
      </c>
      <c r="Q5026" s="102" t="s">
        <v>2439</v>
      </c>
      <c r="S5026" s="1"/>
      <c r="T5026" s="1"/>
      <c r="U5026" s="1"/>
      <c r="V5026" s="1"/>
      <c r="W5026" s="1"/>
      <c r="X5026" s="1"/>
      <c r="Y5026" s="1"/>
      <c r="AA5026" s="102"/>
      <c r="AB5026" s="1"/>
      <c r="AC5026" s="1"/>
      <c r="AD5026" s="1"/>
      <c r="AE5026" s="1"/>
      <c r="AF5026" s="1"/>
      <c r="AG5026" s="1"/>
    </row>
    <row r="5027" ht="15.75" customHeight="1">
      <c r="A5027" s="1"/>
      <c r="B5027" s="1"/>
      <c r="C5027" s="1"/>
      <c r="D5027" s="1"/>
      <c r="E5027" s="1"/>
      <c r="F5027" s="1"/>
      <c r="G5027" s="1"/>
      <c r="H5027" s="1"/>
      <c r="I5027" s="1"/>
      <c r="J5027" s="1"/>
      <c r="K5027" s="102" t="s">
        <v>7817</v>
      </c>
      <c r="L5027" s="102" t="str">
        <f>E655</f>
        <v>J1a2b~</v>
      </c>
      <c r="M5027" s="102" t="s">
        <v>7818</v>
      </c>
      <c r="N5027" s="102" t="s">
        <v>7816</v>
      </c>
      <c r="O5027" s="105">
        <v>1.5802885E7</v>
      </c>
      <c r="P5027" s="105">
        <v>1.3691005E7</v>
      </c>
      <c r="Q5027" s="102" t="s">
        <v>2439</v>
      </c>
      <c r="S5027" s="1"/>
      <c r="T5027" s="1"/>
      <c r="U5027" s="1"/>
      <c r="V5027" s="1"/>
      <c r="W5027" s="1"/>
      <c r="X5027" s="1"/>
      <c r="Y5027" s="1"/>
      <c r="AA5027" s="102"/>
      <c r="AB5027" s="1"/>
      <c r="AC5027" s="1"/>
      <c r="AD5027" s="1"/>
      <c r="AE5027" s="1"/>
      <c r="AF5027" s="1"/>
      <c r="AG5027" s="1"/>
    </row>
    <row r="5028" ht="15.75" customHeight="1">
      <c r="A5028" s="1"/>
      <c r="B5028" s="1"/>
      <c r="C5028" s="1"/>
      <c r="D5028" s="1"/>
      <c r="E5028" s="1"/>
      <c r="F5028" s="1"/>
      <c r="G5028" s="1"/>
      <c r="H5028" s="1"/>
      <c r="I5028" s="1"/>
      <c r="J5028" s="1"/>
      <c r="K5028" s="102" t="s">
        <v>7819</v>
      </c>
      <c r="L5028" s="102" t="str">
        <f>E655</f>
        <v>J1a2b~</v>
      </c>
      <c r="M5028" s="102" t="s">
        <v>7820</v>
      </c>
      <c r="N5028" s="102" t="s">
        <v>7816</v>
      </c>
      <c r="O5028" s="105">
        <v>1.5802885E7</v>
      </c>
      <c r="P5028" s="105">
        <v>1.3691005E7</v>
      </c>
      <c r="Q5028" s="102" t="s">
        <v>2439</v>
      </c>
      <c r="S5028" s="1"/>
      <c r="T5028" s="1"/>
      <c r="U5028" s="1"/>
      <c r="V5028" s="1"/>
      <c r="W5028" s="1"/>
      <c r="X5028" s="1"/>
      <c r="Y5028" s="1"/>
      <c r="AA5028" s="102"/>
      <c r="AB5028" s="1"/>
      <c r="AC5028" s="1"/>
      <c r="AD5028" s="1"/>
      <c r="AE5028" s="1"/>
      <c r="AF5028" s="1"/>
      <c r="AG5028" s="1"/>
    </row>
    <row r="5029" ht="15.75" customHeight="1">
      <c r="A5029" s="1"/>
      <c r="B5029" s="1"/>
      <c r="C5029" s="1"/>
      <c r="D5029" s="1"/>
      <c r="E5029" s="1"/>
      <c r="F5029" s="1"/>
      <c r="G5029" s="1"/>
      <c r="H5029" s="1"/>
      <c r="I5029" s="1"/>
      <c r="J5029" s="1"/>
      <c r="K5029" s="102" t="s">
        <v>7821</v>
      </c>
      <c r="L5029" s="102" t="str">
        <f>E655</f>
        <v>J1a2b~</v>
      </c>
      <c r="M5029" s="102" t="s">
        <v>7822</v>
      </c>
      <c r="N5029" s="102" t="s">
        <v>7816</v>
      </c>
      <c r="O5029" s="105">
        <v>1.5802885E7</v>
      </c>
      <c r="P5029" s="105">
        <v>1.3691005E7</v>
      </c>
      <c r="Q5029" s="102" t="s">
        <v>2439</v>
      </c>
      <c r="S5029" s="1"/>
      <c r="T5029" s="1"/>
      <c r="U5029" s="1"/>
      <c r="V5029" s="1"/>
      <c r="W5029" s="1"/>
      <c r="X5029" s="1"/>
      <c r="Y5029" s="1"/>
      <c r="AA5029" s="102"/>
      <c r="AB5029" s="1"/>
      <c r="AC5029" s="1"/>
      <c r="AD5029" s="1"/>
      <c r="AE5029" s="1"/>
      <c r="AF5029" s="1"/>
      <c r="AG5029" s="1"/>
    </row>
    <row r="5030" ht="15.75" customHeight="1">
      <c r="A5030" s="1"/>
      <c r="B5030" s="1"/>
      <c r="C5030" s="1"/>
      <c r="D5030" s="1"/>
      <c r="E5030" s="1"/>
      <c r="F5030" s="1"/>
      <c r="G5030" s="1"/>
      <c r="H5030" s="1"/>
      <c r="I5030" s="1"/>
      <c r="J5030" s="1"/>
      <c r="K5030" s="102" t="s">
        <v>7823</v>
      </c>
      <c r="L5030" s="102" t="str">
        <f>E655</f>
        <v>J1a2b~</v>
      </c>
      <c r="M5030" s="102" t="s">
        <v>7824</v>
      </c>
      <c r="N5030" s="102" t="s">
        <v>7825</v>
      </c>
      <c r="O5030" s="105">
        <v>8029914.0</v>
      </c>
      <c r="P5030" s="105">
        <v>8161873.0</v>
      </c>
      <c r="Q5030" s="102" t="s">
        <v>2446</v>
      </c>
      <c r="S5030" s="1"/>
      <c r="T5030" s="1"/>
      <c r="U5030" s="1"/>
      <c r="V5030" s="1"/>
      <c r="W5030" s="1"/>
      <c r="X5030" s="1"/>
      <c r="Y5030" s="1"/>
      <c r="AA5030" s="102"/>
      <c r="AB5030" s="1"/>
      <c r="AC5030" s="1"/>
      <c r="AD5030" s="1"/>
      <c r="AE5030" s="1"/>
      <c r="AF5030" s="1"/>
      <c r="AG5030" s="1"/>
    </row>
    <row r="5031" ht="15.75" customHeight="1">
      <c r="A5031" s="1"/>
      <c r="B5031" s="1"/>
      <c r="C5031" s="1"/>
      <c r="D5031" s="1"/>
      <c r="E5031" s="1"/>
      <c r="F5031" s="1"/>
      <c r="G5031" s="1"/>
      <c r="H5031" s="1"/>
      <c r="I5031" s="1"/>
      <c r="J5031" s="1"/>
      <c r="K5031" s="102" t="s">
        <v>7826</v>
      </c>
      <c r="L5031" s="102" t="str">
        <f>E655</f>
        <v>J1a2b~</v>
      </c>
      <c r="M5031" s="102" t="s">
        <v>7827</v>
      </c>
      <c r="N5031" s="102" t="s">
        <v>7825</v>
      </c>
      <c r="O5031" s="105">
        <v>8029914.0</v>
      </c>
      <c r="P5031" s="105">
        <v>8161873.0</v>
      </c>
      <c r="Q5031" s="102" t="s">
        <v>2446</v>
      </c>
      <c r="S5031" s="1"/>
      <c r="T5031" s="1"/>
      <c r="U5031" s="1"/>
      <c r="V5031" s="1"/>
      <c r="W5031" s="1"/>
      <c r="X5031" s="1"/>
      <c r="Y5031" s="1"/>
      <c r="AA5031" s="102"/>
      <c r="AB5031" s="1"/>
      <c r="AC5031" s="1"/>
      <c r="AD5031" s="1"/>
      <c r="AE5031" s="1"/>
      <c r="AF5031" s="1"/>
      <c r="AG5031" s="1"/>
    </row>
    <row r="5032" ht="15.75" customHeight="1">
      <c r="A5032" s="1"/>
      <c r="B5032" s="1"/>
      <c r="C5032" s="1"/>
      <c r="D5032" s="1"/>
      <c r="E5032" s="1"/>
      <c r="F5032" s="1"/>
      <c r="G5032" s="1"/>
      <c r="H5032" s="1"/>
      <c r="I5032" s="1"/>
      <c r="J5032" s="1"/>
      <c r="K5032" s="102" t="s">
        <v>7828</v>
      </c>
      <c r="L5032" s="102" t="str">
        <f>E655</f>
        <v>J1a2b~</v>
      </c>
      <c r="M5032" s="102" t="s">
        <v>7829</v>
      </c>
      <c r="N5032" s="102" t="s">
        <v>7825</v>
      </c>
      <c r="O5032" s="105">
        <v>8029914.0</v>
      </c>
      <c r="P5032" s="105">
        <v>8161873.0</v>
      </c>
      <c r="Q5032" s="102" t="s">
        <v>2446</v>
      </c>
      <c r="S5032" s="1"/>
      <c r="T5032" s="1"/>
      <c r="U5032" s="1"/>
      <c r="V5032" s="1"/>
      <c r="W5032" s="1"/>
      <c r="X5032" s="1"/>
      <c r="Y5032" s="1"/>
      <c r="AA5032" s="102"/>
      <c r="AB5032" s="1"/>
      <c r="AC5032" s="1"/>
      <c r="AD5032" s="1"/>
      <c r="AE5032" s="1"/>
      <c r="AF5032" s="1"/>
      <c r="AG5032" s="1"/>
    </row>
    <row r="5033" ht="15.75" customHeight="1">
      <c r="A5033" s="1"/>
      <c r="B5033" s="1"/>
      <c r="C5033" s="1"/>
      <c r="D5033" s="1"/>
      <c r="E5033" s="1"/>
      <c r="F5033" s="1"/>
      <c r="G5033" s="1"/>
      <c r="H5033" s="1"/>
      <c r="I5033" s="1"/>
      <c r="J5033" s="1"/>
      <c r="K5033" s="102" t="s">
        <v>7830</v>
      </c>
      <c r="L5033" s="102" t="str">
        <f>E655</f>
        <v>J1a2b~</v>
      </c>
      <c r="M5033" s="102" t="s">
        <v>7831</v>
      </c>
      <c r="N5033" s="102" t="s">
        <v>7832</v>
      </c>
      <c r="O5033" s="105">
        <v>2.3557908E7</v>
      </c>
      <c r="P5033" s="105">
        <v>2.1396022E7</v>
      </c>
      <c r="Q5033" s="102" t="s">
        <v>2501</v>
      </c>
      <c r="S5033" s="1"/>
      <c r="T5033" s="1"/>
      <c r="U5033" s="1"/>
      <c r="V5033" s="1"/>
      <c r="W5033" s="1"/>
      <c r="X5033" s="1"/>
      <c r="Y5033" s="1"/>
      <c r="AA5033" s="102"/>
      <c r="AB5033" s="1"/>
      <c r="AC5033" s="1"/>
      <c r="AD5033" s="1"/>
      <c r="AE5033" s="1"/>
      <c r="AF5033" s="1"/>
      <c r="AG5033" s="1"/>
    </row>
    <row r="5034" ht="15.75" customHeight="1">
      <c r="A5034" s="1"/>
      <c r="B5034" s="1"/>
      <c r="C5034" s="1"/>
      <c r="D5034" s="1"/>
      <c r="E5034" s="1"/>
      <c r="F5034" s="1"/>
      <c r="G5034" s="1"/>
      <c r="H5034" s="1"/>
      <c r="I5034" s="1"/>
      <c r="J5034" s="1"/>
      <c r="K5034" s="102" t="s">
        <v>7833</v>
      </c>
      <c r="L5034" s="102" t="str">
        <f>E655</f>
        <v>J1a2b~</v>
      </c>
      <c r="M5034" s="102" t="s">
        <v>7834</v>
      </c>
      <c r="N5034" s="102" t="s">
        <v>7832</v>
      </c>
      <c r="O5034" s="105">
        <v>2.3557908E7</v>
      </c>
      <c r="P5034" s="105">
        <v>2.1396022E7</v>
      </c>
      <c r="Q5034" s="102" t="s">
        <v>2501</v>
      </c>
      <c r="S5034" s="1"/>
      <c r="T5034" s="1"/>
      <c r="U5034" s="1"/>
      <c r="V5034" s="1"/>
      <c r="W5034" s="1"/>
      <c r="X5034" s="1"/>
      <c r="Y5034" s="1"/>
      <c r="AA5034" s="102" t="s">
        <v>7835</v>
      </c>
      <c r="AB5034" s="1"/>
      <c r="AC5034" s="1"/>
      <c r="AD5034" s="1"/>
      <c r="AE5034" s="1"/>
      <c r="AF5034" s="1"/>
      <c r="AG5034" s="1"/>
    </row>
    <row r="5035" ht="15.75" customHeight="1">
      <c r="A5035" s="1"/>
      <c r="B5035" s="1"/>
      <c r="C5035" s="1"/>
      <c r="D5035" s="1"/>
      <c r="E5035" s="1"/>
      <c r="F5035" s="1"/>
      <c r="G5035" s="1"/>
      <c r="H5035" s="1"/>
      <c r="I5035" s="1"/>
      <c r="J5035" s="1"/>
      <c r="K5035" s="102" t="s">
        <v>7836</v>
      </c>
      <c r="L5035" s="102" t="str">
        <f>E655</f>
        <v>J1a2b~</v>
      </c>
      <c r="M5035" s="102" t="s">
        <v>7837</v>
      </c>
      <c r="N5035" s="102" t="s">
        <v>7832</v>
      </c>
      <c r="O5035" s="105">
        <v>2.3557908E7</v>
      </c>
      <c r="P5035" s="105">
        <v>2.1396022E7</v>
      </c>
      <c r="Q5035" s="102" t="s">
        <v>2501</v>
      </c>
      <c r="S5035" s="1"/>
      <c r="T5035" s="1"/>
      <c r="U5035" s="1"/>
      <c r="V5035" s="1"/>
      <c r="W5035" s="1"/>
      <c r="X5035" s="1"/>
      <c r="Y5035" s="1"/>
      <c r="AA5035" s="102"/>
      <c r="AB5035" s="1"/>
      <c r="AC5035" s="1"/>
      <c r="AD5035" s="1"/>
      <c r="AE5035" s="1"/>
      <c r="AF5035" s="1"/>
      <c r="AG5035" s="1"/>
    </row>
    <row r="5036" ht="15.75" customHeight="1">
      <c r="A5036" s="1"/>
      <c r="B5036" s="1"/>
      <c r="C5036" s="1"/>
      <c r="D5036" s="1"/>
      <c r="E5036" s="1"/>
      <c r="F5036" s="1"/>
      <c r="G5036" s="1"/>
      <c r="H5036" s="1"/>
      <c r="I5036" s="1"/>
      <c r="J5036" s="1"/>
      <c r="K5036" s="102" t="s">
        <v>7838</v>
      </c>
      <c r="L5036" s="102" t="str">
        <f>E655</f>
        <v>J1a2b~</v>
      </c>
      <c r="M5036" s="102" t="s">
        <v>7839</v>
      </c>
      <c r="N5036" s="102" t="s">
        <v>7840</v>
      </c>
      <c r="O5036" s="105">
        <v>2.1731788E7</v>
      </c>
      <c r="P5036" s="105">
        <v>1.9569902E7</v>
      </c>
      <c r="Q5036" s="102" t="s">
        <v>2468</v>
      </c>
      <c r="S5036" s="1"/>
      <c r="T5036" s="1"/>
      <c r="U5036" s="1"/>
      <c r="V5036" s="1"/>
      <c r="W5036" s="1"/>
      <c r="X5036" s="1"/>
      <c r="Y5036" s="1"/>
      <c r="AA5036" s="102"/>
      <c r="AB5036" s="1"/>
      <c r="AC5036" s="1"/>
      <c r="AD5036" s="1"/>
      <c r="AE5036" s="1"/>
      <c r="AF5036" s="1"/>
      <c r="AG5036" s="1"/>
    </row>
    <row r="5037" ht="15.75" customHeight="1">
      <c r="A5037" s="1"/>
      <c r="B5037" s="1"/>
      <c r="C5037" s="1"/>
      <c r="D5037" s="1"/>
      <c r="E5037" s="1"/>
      <c r="F5037" s="1"/>
      <c r="G5037" s="1"/>
      <c r="H5037" s="1"/>
      <c r="I5037" s="1"/>
      <c r="J5037" s="1"/>
      <c r="K5037" s="102" t="s">
        <v>7841</v>
      </c>
      <c r="L5037" s="102" t="str">
        <f>E655</f>
        <v>J1a2b~</v>
      </c>
      <c r="M5037" s="102" t="s">
        <v>7842</v>
      </c>
      <c r="N5037" s="102" t="s">
        <v>7840</v>
      </c>
      <c r="O5037" s="105">
        <v>2.1731788E7</v>
      </c>
      <c r="P5037" s="105">
        <v>1.9569902E7</v>
      </c>
      <c r="Q5037" s="102" t="s">
        <v>2468</v>
      </c>
      <c r="S5037" s="1"/>
      <c r="T5037" s="1"/>
      <c r="U5037" s="1"/>
      <c r="V5037" s="1"/>
      <c r="W5037" s="1"/>
      <c r="X5037" s="1"/>
      <c r="Y5037" s="1"/>
      <c r="AA5037" s="102"/>
      <c r="AB5037" s="1"/>
      <c r="AC5037" s="1"/>
      <c r="AD5037" s="1"/>
      <c r="AE5037" s="1"/>
      <c r="AF5037" s="1"/>
      <c r="AG5037" s="1"/>
    </row>
    <row r="5038" ht="15.75" customHeight="1">
      <c r="A5038" s="1"/>
      <c r="B5038" s="1"/>
      <c r="C5038" s="1"/>
      <c r="D5038" s="1"/>
      <c r="E5038" s="1"/>
      <c r="F5038" s="1"/>
      <c r="G5038" s="1"/>
      <c r="H5038" s="1"/>
      <c r="I5038" s="1"/>
      <c r="J5038" s="1"/>
      <c r="K5038" s="102" t="s">
        <v>7843</v>
      </c>
      <c r="L5038" s="102" t="str">
        <f>E655</f>
        <v>J1a2b~</v>
      </c>
      <c r="M5038" s="102" t="s">
        <v>7844</v>
      </c>
      <c r="N5038" s="102" t="s">
        <v>7840</v>
      </c>
      <c r="O5038" s="105">
        <v>2.1731788E7</v>
      </c>
      <c r="P5038" s="105">
        <v>1.9569902E7</v>
      </c>
      <c r="Q5038" s="102" t="s">
        <v>2468</v>
      </c>
      <c r="S5038" s="1"/>
      <c r="T5038" s="1"/>
      <c r="U5038" s="1"/>
      <c r="V5038" s="1"/>
      <c r="W5038" s="1"/>
      <c r="X5038" s="1"/>
      <c r="Y5038" s="1"/>
      <c r="AA5038" s="102"/>
      <c r="AB5038" s="1"/>
      <c r="AC5038" s="1"/>
      <c r="AD5038" s="1"/>
      <c r="AE5038" s="1"/>
      <c r="AF5038" s="1"/>
      <c r="AG5038" s="1"/>
    </row>
    <row r="5039" ht="15.75" customHeight="1">
      <c r="A5039" s="1"/>
      <c r="B5039" s="1"/>
      <c r="C5039" s="1"/>
      <c r="D5039" s="1"/>
      <c r="E5039" s="1"/>
      <c r="F5039" s="1"/>
      <c r="G5039" s="1"/>
      <c r="H5039" s="1"/>
      <c r="I5039" s="1"/>
      <c r="J5039" s="1"/>
      <c r="K5039" s="102" t="s">
        <v>7845</v>
      </c>
      <c r="L5039" s="102" t="str">
        <f>E655</f>
        <v>J1a2b~</v>
      </c>
      <c r="M5039" s="102" t="s">
        <v>7846</v>
      </c>
      <c r="N5039" s="102" t="s">
        <v>7847</v>
      </c>
      <c r="O5039" s="105">
        <v>1.9547031E7</v>
      </c>
      <c r="P5039" s="105">
        <v>1.7435151E7</v>
      </c>
      <c r="Q5039" s="102" t="s">
        <v>2529</v>
      </c>
      <c r="S5039" s="1"/>
      <c r="T5039" s="1"/>
      <c r="U5039" s="1"/>
      <c r="V5039" s="1"/>
      <c r="W5039" s="1"/>
      <c r="X5039" s="1"/>
      <c r="Y5039" s="1"/>
      <c r="AA5039" s="102"/>
      <c r="AB5039" s="1"/>
      <c r="AC5039" s="1"/>
      <c r="AD5039" s="1"/>
      <c r="AE5039" s="1"/>
      <c r="AF5039" s="1"/>
      <c r="AG5039" s="1"/>
    </row>
    <row r="5040" ht="15.75" customHeight="1">
      <c r="A5040" s="1"/>
      <c r="B5040" s="1"/>
      <c r="C5040" s="1"/>
      <c r="D5040" s="1"/>
      <c r="E5040" s="1"/>
      <c r="F5040" s="1"/>
      <c r="G5040" s="1"/>
      <c r="H5040" s="1"/>
      <c r="I5040" s="1"/>
      <c r="J5040" s="1"/>
      <c r="K5040" s="102" t="s">
        <v>7848</v>
      </c>
      <c r="L5040" s="102" t="str">
        <f>E655</f>
        <v>J1a2b~</v>
      </c>
      <c r="M5040" s="102" t="s">
        <v>7849</v>
      </c>
      <c r="N5040" s="102" t="s">
        <v>7847</v>
      </c>
      <c r="O5040" s="105">
        <v>1.9547031E7</v>
      </c>
      <c r="P5040" s="105">
        <v>1.7435151E7</v>
      </c>
      <c r="Q5040" s="102" t="s">
        <v>2529</v>
      </c>
      <c r="S5040" s="1"/>
      <c r="T5040" s="1"/>
      <c r="U5040" s="1"/>
      <c r="V5040" s="1"/>
      <c r="W5040" s="1"/>
      <c r="X5040" s="1"/>
      <c r="Y5040" s="1"/>
      <c r="AA5040" s="102"/>
      <c r="AB5040" s="1"/>
      <c r="AC5040" s="1"/>
      <c r="AD5040" s="1"/>
      <c r="AE5040" s="1"/>
      <c r="AF5040" s="1"/>
      <c r="AG5040" s="1"/>
    </row>
    <row r="5041" ht="15.75" customHeight="1">
      <c r="A5041" s="1"/>
      <c r="B5041" s="1"/>
      <c r="C5041" s="1"/>
      <c r="D5041" s="1"/>
      <c r="E5041" s="1"/>
      <c r="F5041" s="1"/>
      <c r="G5041" s="1"/>
      <c r="H5041" s="1"/>
      <c r="I5041" s="1"/>
      <c r="J5041" s="1"/>
      <c r="K5041" s="102" t="s">
        <v>7850</v>
      </c>
      <c r="L5041" s="102" t="str">
        <f>E655</f>
        <v>J1a2b~</v>
      </c>
      <c r="M5041" s="102" t="s">
        <v>7851</v>
      </c>
      <c r="N5041" s="102" t="s">
        <v>7847</v>
      </c>
      <c r="O5041" s="105">
        <v>1.9547031E7</v>
      </c>
      <c r="P5041" s="105">
        <v>1.7435151E7</v>
      </c>
      <c r="Q5041" s="102" t="s">
        <v>2529</v>
      </c>
      <c r="S5041" s="1"/>
      <c r="T5041" s="1"/>
      <c r="U5041" s="1"/>
      <c r="V5041" s="1"/>
      <c r="W5041" s="1"/>
      <c r="X5041" s="1"/>
      <c r="Y5041" s="1"/>
      <c r="AA5041" s="102"/>
      <c r="AB5041" s="1"/>
      <c r="AC5041" s="1"/>
      <c r="AD5041" s="1"/>
      <c r="AE5041" s="1"/>
      <c r="AF5041" s="1"/>
      <c r="AG5041" s="1"/>
    </row>
    <row r="5042" ht="15.75" customHeight="1">
      <c r="A5042" s="1"/>
      <c r="B5042" s="1"/>
      <c r="C5042" s="1"/>
      <c r="D5042" s="1"/>
      <c r="E5042" s="1"/>
      <c r="F5042" s="1"/>
      <c r="G5042" s="1"/>
      <c r="H5042" s="1"/>
      <c r="I5042" s="1"/>
      <c r="J5042" s="1"/>
      <c r="K5042" s="102" t="s">
        <v>7852</v>
      </c>
      <c r="L5042" s="102" t="str">
        <f>E655</f>
        <v>J1a2b~</v>
      </c>
      <c r="M5042" s="102" t="s">
        <v>7853</v>
      </c>
      <c r="N5042" s="102" t="s">
        <v>7854</v>
      </c>
      <c r="O5042" s="105">
        <v>2.130987E7</v>
      </c>
      <c r="P5042" s="105">
        <v>1.9147984E7</v>
      </c>
      <c r="Q5042" s="102" t="s">
        <v>2501</v>
      </c>
      <c r="S5042" s="1"/>
      <c r="T5042" s="1"/>
      <c r="U5042" s="1"/>
      <c r="V5042" s="1"/>
      <c r="W5042" s="1"/>
      <c r="X5042" s="1"/>
      <c r="Y5042" s="1"/>
      <c r="AA5042" s="102"/>
      <c r="AB5042" s="1"/>
      <c r="AC5042" s="1"/>
      <c r="AD5042" s="1"/>
      <c r="AE5042" s="1"/>
      <c r="AF5042" s="1"/>
      <c r="AG5042" s="1"/>
    </row>
    <row r="5043" ht="15.75" customHeight="1">
      <c r="A5043" s="1"/>
      <c r="B5043" s="1"/>
      <c r="C5043" s="1"/>
      <c r="D5043" s="1"/>
      <c r="E5043" s="1"/>
      <c r="F5043" s="1"/>
      <c r="G5043" s="1"/>
      <c r="H5043" s="1"/>
      <c r="I5043" s="1"/>
      <c r="J5043" s="1"/>
      <c r="K5043" s="102" t="s">
        <v>7855</v>
      </c>
      <c r="L5043" s="102" t="str">
        <f>E655</f>
        <v>J1a2b~</v>
      </c>
      <c r="M5043" s="102" t="s">
        <v>7856</v>
      </c>
      <c r="N5043" s="102" t="s">
        <v>7854</v>
      </c>
      <c r="O5043" s="105">
        <v>2.130987E7</v>
      </c>
      <c r="P5043" s="105">
        <v>1.9147984E7</v>
      </c>
      <c r="Q5043" s="102" t="s">
        <v>2501</v>
      </c>
      <c r="S5043" s="1"/>
      <c r="T5043" s="1"/>
      <c r="U5043" s="1"/>
      <c r="V5043" s="1"/>
      <c r="W5043" s="1"/>
      <c r="X5043" s="1"/>
      <c r="Y5043" s="1"/>
      <c r="AA5043" s="102"/>
      <c r="AB5043" s="1"/>
      <c r="AC5043" s="1"/>
      <c r="AD5043" s="1"/>
      <c r="AE5043" s="1"/>
      <c r="AF5043" s="1"/>
      <c r="AG5043" s="1"/>
    </row>
    <row r="5044" ht="15.75" customHeight="1">
      <c r="A5044" s="1"/>
      <c r="B5044" s="1"/>
      <c r="C5044" s="1"/>
      <c r="D5044" s="1"/>
      <c r="E5044" s="1"/>
      <c r="F5044" s="1"/>
      <c r="G5044" s="1"/>
      <c r="H5044" s="1"/>
      <c r="I5044" s="1"/>
      <c r="J5044" s="1"/>
      <c r="K5044" s="102" t="s">
        <v>7857</v>
      </c>
      <c r="L5044" s="102" t="str">
        <f>E655</f>
        <v>J1a2b~</v>
      </c>
      <c r="M5044" s="102" t="s">
        <v>7858</v>
      </c>
      <c r="N5044" s="102" t="s">
        <v>7854</v>
      </c>
      <c r="O5044" s="105">
        <v>2.130987E7</v>
      </c>
      <c r="P5044" s="105">
        <v>1.9147984E7</v>
      </c>
      <c r="Q5044" s="102" t="s">
        <v>2501</v>
      </c>
      <c r="S5044" s="1"/>
      <c r="T5044" s="1"/>
      <c r="U5044" s="1"/>
      <c r="V5044" s="1"/>
      <c r="W5044" s="1"/>
      <c r="X5044" s="1"/>
      <c r="Y5044" s="1"/>
      <c r="AA5044" s="102"/>
      <c r="AB5044" s="1"/>
      <c r="AC5044" s="1"/>
      <c r="AD5044" s="1"/>
      <c r="AE5044" s="1"/>
      <c r="AF5044" s="1"/>
      <c r="AG5044" s="1"/>
    </row>
    <row r="5045" ht="15.75" customHeight="1">
      <c r="A5045" s="1"/>
      <c r="B5045" s="1"/>
      <c r="C5045" s="1"/>
      <c r="D5045" s="1"/>
      <c r="E5045" s="1"/>
      <c r="F5045" s="1"/>
      <c r="G5045" s="1"/>
      <c r="H5045" s="1"/>
      <c r="I5045" s="1"/>
      <c r="J5045" s="1"/>
      <c r="K5045" s="102" t="s">
        <v>7859</v>
      </c>
      <c r="L5045" s="102" t="str">
        <f>E655</f>
        <v>J1a2b~</v>
      </c>
      <c r="M5045" s="102" t="s">
        <v>7860</v>
      </c>
      <c r="N5045" s="102" t="s">
        <v>7861</v>
      </c>
      <c r="O5045" s="105">
        <v>2.1202994E7</v>
      </c>
      <c r="P5045" s="105">
        <v>1.9041108E7</v>
      </c>
      <c r="Q5045" s="102" t="s">
        <v>2501</v>
      </c>
      <c r="S5045" s="1"/>
      <c r="T5045" s="1"/>
      <c r="U5045" s="1"/>
      <c r="V5045" s="1"/>
      <c r="W5045" s="1"/>
      <c r="X5045" s="1"/>
      <c r="Y5045" s="1"/>
      <c r="AA5045" s="102"/>
      <c r="AB5045" s="1"/>
      <c r="AC5045" s="1"/>
      <c r="AD5045" s="1"/>
      <c r="AE5045" s="1"/>
      <c r="AF5045" s="1"/>
      <c r="AG5045" s="1"/>
    </row>
    <row r="5046" ht="15.75" customHeight="1">
      <c r="A5046" s="1"/>
      <c r="B5046" s="1"/>
      <c r="C5046" s="1"/>
      <c r="D5046" s="1"/>
      <c r="E5046" s="1"/>
      <c r="F5046" s="1"/>
      <c r="G5046" s="1"/>
      <c r="H5046" s="1"/>
      <c r="I5046" s="1"/>
      <c r="J5046" s="1"/>
      <c r="K5046" s="102" t="s">
        <v>7862</v>
      </c>
      <c r="L5046" s="102" t="str">
        <f>E655</f>
        <v>J1a2b~</v>
      </c>
      <c r="M5046" s="102" t="s">
        <v>7863</v>
      </c>
      <c r="N5046" s="102" t="s">
        <v>7861</v>
      </c>
      <c r="O5046" s="105">
        <v>2.1202994E7</v>
      </c>
      <c r="P5046" s="105">
        <v>1.9041108E7</v>
      </c>
      <c r="Q5046" s="102" t="s">
        <v>2501</v>
      </c>
      <c r="S5046" s="1"/>
      <c r="T5046" s="1"/>
      <c r="U5046" s="1"/>
      <c r="V5046" s="1"/>
      <c r="W5046" s="1"/>
      <c r="X5046" s="1"/>
      <c r="Y5046" s="1"/>
      <c r="AA5046" s="102"/>
      <c r="AB5046" s="1"/>
      <c r="AC5046" s="1"/>
      <c r="AD5046" s="1"/>
      <c r="AE5046" s="1"/>
      <c r="AF5046" s="1"/>
      <c r="AG5046" s="1"/>
    </row>
    <row r="5047" ht="15.75" customHeight="1">
      <c r="A5047" s="1"/>
      <c r="B5047" s="1"/>
      <c r="C5047" s="1"/>
      <c r="D5047" s="1"/>
      <c r="E5047" s="1"/>
      <c r="F5047" s="1"/>
      <c r="G5047" s="1"/>
      <c r="H5047" s="1"/>
      <c r="I5047" s="1"/>
      <c r="J5047" s="1"/>
      <c r="K5047" s="102" t="s">
        <v>7864</v>
      </c>
      <c r="L5047" s="102" t="str">
        <f>E655</f>
        <v>J1a2b~</v>
      </c>
      <c r="M5047" s="102" t="s">
        <v>7865</v>
      </c>
      <c r="N5047" s="102" t="s">
        <v>7861</v>
      </c>
      <c r="O5047" s="105">
        <v>2.1202994E7</v>
      </c>
      <c r="P5047" s="105">
        <v>1.9041108E7</v>
      </c>
      <c r="Q5047" s="102" t="s">
        <v>2501</v>
      </c>
      <c r="S5047" s="1"/>
      <c r="T5047" s="1"/>
      <c r="U5047" s="1"/>
      <c r="V5047" s="1"/>
      <c r="W5047" s="1"/>
      <c r="X5047" s="1"/>
      <c r="Y5047" s="1"/>
      <c r="AA5047" s="102"/>
      <c r="AB5047" s="1"/>
      <c r="AC5047" s="1"/>
      <c r="AD5047" s="1"/>
      <c r="AE5047" s="1"/>
      <c r="AF5047" s="1"/>
      <c r="AG5047" s="1"/>
    </row>
    <row r="5048" ht="15.75" customHeight="1">
      <c r="A5048" s="1"/>
      <c r="B5048" s="1"/>
      <c r="C5048" s="1"/>
      <c r="D5048" s="1"/>
      <c r="E5048" s="1"/>
      <c r="F5048" s="1"/>
      <c r="G5048" s="1"/>
      <c r="H5048" s="1"/>
      <c r="I5048" s="1"/>
      <c r="J5048" s="1"/>
      <c r="K5048" s="102" t="s">
        <v>7866</v>
      </c>
      <c r="L5048" s="102" t="str">
        <f>E655</f>
        <v>J1a2b~</v>
      </c>
      <c r="M5048" s="102" t="s">
        <v>7867</v>
      </c>
      <c r="N5048" s="102" t="s">
        <v>7868</v>
      </c>
      <c r="O5048" s="105">
        <v>1.8556916E7</v>
      </c>
      <c r="P5048" s="105">
        <v>1.6445036E7</v>
      </c>
      <c r="Q5048" s="102" t="s">
        <v>2439</v>
      </c>
      <c r="S5048" s="1"/>
      <c r="T5048" s="1"/>
      <c r="U5048" s="1"/>
      <c r="V5048" s="1"/>
      <c r="W5048" s="1"/>
      <c r="X5048" s="1"/>
      <c r="Y5048" s="1"/>
      <c r="AA5048" s="102"/>
      <c r="AB5048" s="1"/>
      <c r="AC5048" s="1"/>
      <c r="AD5048" s="1"/>
      <c r="AE5048" s="1"/>
      <c r="AF5048" s="1"/>
      <c r="AG5048" s="1"/>
    </row>
    <row r="5049" ht="15.75" customHeight="1">
      <c r="A5049" s="1"/>
      <c r="B5049" s="1"/>
      <c r="C5049" s="1"/>
      <c r="D5049" s="1"/>
      <c r="E5049" s="1"/>
      <c r="F5049" s="1"/>
      <c r="G5049" s="1"/>
      <c r="H5049" s="1"/>
      <c r="I5049" s="1"/>
      <c r="J5049" s="1"/>
      <c r="K5049" s="102" t="s">
        <v>7869</v>
      </c>
      <c r="L5049" s="102" t="str">
        <f>E655</f>
        <v>J1a2b~</v>
      </c>
      <c r="M5049" s="102" t="s">
        <v>7870</v>
      </c>
      <c r="N5049" s="102" t="s">
        <v>7868</v>
      </c>
      <c r="O5049" s="105">
        <v>1.8556916E7</v>
      </c>
      <c r="P5049" s="105">
        <v>1.6445036E7</v>
      </c>
      <c r="Q5049" s="102" t="s">
        <v>2439</v>
      </c>
      <c r="S5049" s="1"/>
      <c r="T5049" s="1"/>
      <c r="U5049" s="1"/>
      <c r="V5049" s="1"/>
      <c r="W5049" s="1"/>
      <c r="X5049" s="1"/>
      <c r="Y5049" s="1"/>
      <c r="AA5049" s="102"/>
      <c r="AB5049" s="1"/>
      <c r="AC5049" s="1"/>
      <c r="AD5049" s="1"/>
      <c r="AE5049" s="1"/>
      <c r="AF5049" s="1"/>
      <c r="AG5049" s="1"/>
    </row>
    <row r="5050" ht="15.75" customHeight="1">
      <c r="A5050" s="1"/>
      <c r="B5050" s="1"/>
      <c r="C5050" s="1"/>
      <c r="D5050" s="1"/>
      <c r="E5050" s="1"/>
      <c r="F5050" s="1"/>
      <c r="G5050" s="1"/>
      <c r="H5050" s="1"/>
      <c r="I5050" s="1"/>
      <c r="J5050" s="1"/>
      <c r="K5050" s="102" t="s">
        <v>7871</v>
      </c>
      <c r="L5050" s="102" t="str">
        <f>E655</f>
        <v>J1a2b~</v>
      </c>
      <c r="M5050" s="102" t="s">
        <v>7872</v>
      </c>
      <c r="N5050" s="102" t="s">
        <v>7868</v>
      </c>
      <c r="O5050" s="105">
        <v>1.8556916E7</v>
      </c>
      <c r="P5050" s="105">
        <v>1.6445036E7</v>
      </c>
      <c r="Q5050" s="102" t="s">
        <v>2439</v>
      </c>
      <c r="S5050" s="1"/>
      <c r="T5050" s="1"/>
      <c r="U5050" s="1"/>
      <c r="V5050" s="1"/>
      <c r="W5050" s="1"/>
      <c r="X5050" s="1"/>
      <c r="Y5050" s="1"/>
      <c r="AA5050" s="102"/>
      <c r="AB5050" s="1"/>
      <c r="AC5050" s="1"/>
      <c r="AD5050" s="1"/>
      <c r="AE5050" s="1"/>
      <c r="AF5050" s="1"/>
      <c r="AG5050" s="1"/>
    </row>
    <row r="5051" ht="15.75" customHeight="1">
      <c r="A5051" s="1"/>
      <c r="B5051" s="1"/>
      <c r="C5051" s="1"/>
      <c r="D5051" s="1"/>
      <c r="E5051" s="1"/>
      <c r="F5051" s="1"/>
      <c r="G5051" s="1"/>
      <c r="H5051" s="1"/>
      <c r="I5051" s="1"/>
      <c r="J5051" s="1"/>
      <c r="K5051" s="102" t="s">
        <v>7873</v>
      </c>
      <c r="L5051" s="102" t="str">
        <f>E655</f>
        <v>J1a2b~</v>
      </c>
      <c r="M5051" s="102" t="s">
        <v>7874</v>
      </c>
      <c r="N5051" s="102" t="s">
        <v>7875</v>
      </c>
      <c r="O5051" s="105">
        <v>2.1468282E7</v>
      </c>
      <c r="P5051" s="105">
        <v>1.9306396E7</v>
      </c>
      <c r="Q5051" s="102" t="s">
        <v>2468</v>
      </c>
      <c r="S5051" s="1"/>
      <c r="T5051" s="1"/>
      <c r="U5051" s="1"/>
      <c r="V5051" s="1"/>
      <c r="W5051" s="1"/>
      <c r="X5051" s="1"/>
      <c r="Y5051" s="1"/>
      <c r="AA5051" s="102"/>
      <c r="AB5051" s="1"/>
      <c r="AC5051" s="1"/>
      <c r="AD5051" s="1"/>
      <c r="AE5051" s="1"/>
      <c r="AF5051" s="1"/>
      <c r="AG5051" s="1"/>
    </row>
    <row r="5052" ht="15.75" customHeight="1">
      <c r="A5052" s="1"/>
      <c r="B5052" s="1"/>
      <c r="C5052" s="1"/>
      <c r="D5052" s="1"/>
      <c r="E5052" s="1"/>
      <c r="F5052" s="1"/>
      <c r="G5052" s="1"/>
      <c r="H5052" s="1"/>
      <c r="I5052" s="1"/>
      <c r="J5052" s="1"/>
      <c r="K5052" s="102" t="s">
        <v>7876</v>
      </c>
      <c r="L5052" s="102" t="str">
        <f>E655</f>
        <v>J1a2b~</v>
      </c>
      <c r="M5052" s="102" t="s">
        <v>7877</v>
      </c>
      <c r="N5052" s="102" t="s">
        <v>7875</v>
      </c>
      <c r="O5052" s="105">
        <v>2.1468282E7</v>
      </c>
      <c r="P5052" s="105">
        <v>1.9306396E7</v>
      </c>
      <c r="Q5052" s="102" t="s">
        <v>2468</v>
      </c>
      <c r="S5052" s="1"/>
      <c r="T5052" s="1"/>
      <c r="U5052" s="1"/>
      <c r="V5052" s="1"/>
      <c r="W5052" s="1"/>
      <c r="X5052" s="1"/>
      <c r="Y5052" s="1"/>
      <c r="AA5052" s="102"/>
      <c r="AB5052" s="1"/>
      <c r="AC5052" s="1"/>
      <c r="AD5052" s="1"/>
      <c r="AE5052" s="1"/>
      <c r="AF5052" s="1"/>
      <c r="AG5052" s="1"/>
    </row>
    <row r="5053" ht="15.75" customHeight="1">
      <c r="A5053" s="1"/>
      <c r="B5053" s="1"/>
      <c r="C5053" s="1"/>
      <c r="D5053" s="1"/>
      <c r="E5053" s="1"/>
      <c r="F5053" s="1"/>
      <c r="G5053" s="1"/>
      <c r="H5053" s="1"/>
      <c r="I5053" s="1"/>
      <c r="J5053" s="1"/>
      <c r="K5053" s="102" t="s">
        <v>7878</v>
      </c>
      <c r="L5053" s="102" t="str">
        <f>E655</f>
        <v>J1a2b~</v>
      </c>
      <c r="M5053" s="102" t="s">
        <v>7879</v>
      </c>
      <c r="N5053" s="102" t="s">
        <v>7875</v>
      </c>
      <c r="O5053" s="105">
        <v>2.1468282E7</v>
      </c>
      <c r="P5053" s="105">
        <v>1.9306396E7</v>
      </c>
      <c r="Q5053" s="102" t="s">
        <v>2468</v>
      </c>
      <c r="S5053" s="1"/>
      <c r="T5053" s="1"/>
      <c r="U5053" s="1"/>
      <c r="V5053" s="1"/>
      <c r="W5053" s="1"/>
      <c r="X5053" s="1"/>
      <c r="Y5053" s="1"/>
      <c r="AA5053" s="102"/>
      <c r="AB5053" s="1"/>
      <c r="AC5053" s="1"/>
      <c r="AD5053" s="1"/>
      <c r="AE5053" s="1"/>
      <c r="AF5053" s="1"/>
      <c r="AG5053" s="1"/>
    </row>
    <row r="5054" ht="15.75" customHeight="1">
      <c r="A5054" s="1"/>
      <c r="B5054" s="1"/>
      <c r="C5054" s="1"/>
      <c r="D5054" s="1"/>
      <c r="E5054" s="1"/>
      <c r="F5054" s="1"/>
      <c r="G5054" s="1"/>
      <c r="H5054" s="1"/>
      <c r="I5054" s="1"/>
      <c r="J5054" s="1"/>
      <c r="K5054" s="102" t="s">
        <v>7880</v>
      </c>
      <c r="L5054" s="102" t="str">
        <f>E655</f>
        <v>J1a2b~</v>
      </c>
      <c r="M5054" s="102" t="s">
        <v>7881</v>
      </c>
      <c r="N5054" s="102" t="s">
        <v>7882</v>
      </c>
      <c r="O5054" s="105">
        <v>8780597.0</v>
      </c>
      <c r="P5054" s="105">
        <v>8912556.0</v>
      </c>
      <c r="Q5054" s="102" t="s">
        <v>2529</v>
      </c>
      <c r="S5054" s="1"/>
      <c r="T5054" s="1"/>
      <c r="U5054" s="1"/>
      <c r="V5054" s="1"/>
      <c r="W5054" s="1"/>
      <c r="X5054" s="1"/>
      <c r="Y5054" s="1"/>
      <c r="AA5054" s="102"/>
      <c r="AB5054" s="1"/>
      <c r="AC5054" s="1"/>
      <c r="AD5054" s="1"/>
      <c r="AE5054" s="1"/>
      <c r="AF5054" s="1"/>
      <c r="AG5054" s="1"/>
    </row>
    <row r="5055" ht="15.75" customHeight="1">
      <c r="A5055" s="1"/>
      <c r="B5055" s="1"/>
      <c r="C5055" s="1"/>
      <c r="D5055" s="1"/>
      <c r="E5055" s="1"/>
      <c r="F5055" s="1"/>
      <c r="G5055" s="1"/>
      <c r="H5055" s="1"/>
      <c r="I5055" s="1"/>
      <c r="J5055" s="1"/>
      <c r="K5055" s="102" t="s">
        <v>7883</v>
      </c>
      <c r="L5055" s="102" t="str">
        <f>E655</f>
        <v>J1a2b~</v>
      </c>
      <c r="M5055" s="102" t="s">
        <v>7884</v>
      </c>
      <c r="N5055" s="102" t="s">
        <v>7882</v>
      </c>
      <c r="O5055" s="105">
        <v>8780597.0</v>
      </c>
      <c r="P5055" s="105">
        <v>8912556.0</v>
      </c>
      <c r="Q5055" s="102" t="s">
        <v>2529</v>
      </c>
      <c r="S5055" s="1"/>
      <c r="T5055" s="1"/>
      <c r="U5055" s="1"/>
      <c r="V5055" s="1"/>
      <c r="W5055" s="1"/>
      <c r="X5055" s="1"/>
      <c r="Y5055" s="1"/>
      <c r="AA5055" s="102"/>
      <c r="AB5055" s="1"/>
      <c r="AC5055" s="1"/>
      <c r="AD5055" s="1"/>
      <c r="AE5055" s="1"/>
      <c r="AF5055" s="1"/>
      <c r="AG5055" s="1"/>
    </row>
    <row r="5056" ht="15.75" customHeight="1">
      <c r="A5056" s="1"/>
      <c r="B5056" s="1"/>
      <c r="C5056" s="1"/>
      <c r="D5056" s="1"/>
      <c r="E5056" s="1"/>
      <c r="F5056" s="1"/>
      <c r="G5056" s="1"/>
      <c r="H5056" s="1"/>
      <c r="I5056" s="1"/>
      <c r="J5056" s="1"/>
      <c r="K5056" s="102" t="s">
        <v>7885</v>
      </c>
      <c r="L5056" s="102" t="str">
        <f>E655</f>
        <v>J1a2b~</v>
      </c>
      <c r="M5056" s="102" t="s">
        <v>7886</v>
      </c>
      <c r="N5056" s="102" t="s">
        <v>7882</v>
      </c>
      <c r="O5056" s="105">
        <v>8780597.0</v>
      </c>
      <c r="P5056" s="105">
        <v>8912556.0</v>
      </c>
      <c r="Q5056" s="102" t="s">
        <v>2529</v>
      </c>
      <c r="S5056" s="1"/>
      <c r="T5056" s="1"/>
      <c r="U5056" s="1"/>
      <c r="V5056" s="1"/>
      <c r="W5056" s="1"/>
      <c r="X5056" s="1"/>
      <c r="Y5056" s="1"/>
      <c r="AA5056" s="102"/>
      <c r="AB5056" s="1"/>
      <c r="AC5056" s="1"/>
      <c r="AD5056" s="1"/>
      <c r="AE5056" s="1"/>
      <c r="AF5056" s="1"/>
      <c r="AG5056" s="1"/>
    </row>
    <row r="5057" ht="15.75" customHeight="1">
      <c r="A5057" s="1"/>
      <c r="B5057" s="1"/>
      <c r="C5057" s="1"/>
      <c r="D5057" s="1"/>
      <c r="E5057" s="1"/>
      <c r="F5057" s="1"/>
      <c r="G5057" s="1"/>
      <c r="H5057" s="1"/>
      <c r="I5057" s="1"/>
      <c r="J5057" s="1"/>
      <c r="K5057" s="102" t="s">
        <v>7887</v>
      </c>
      <c r="L5057" s="102" t="str">
        <f>E655</f>
        <v>J1a2b~</v>
      </c>
      <c r="M5057" s="102" t="s">
        <v>7888</v>
      </c>
      <c r="N5057" s="102" t="s">
        <v>7889</v>
      </c>
      <c r="O5057" s="105">
        <v>1.5177204E7</v>
      </c>
      <c r="P5057" s="105">
        <v>1.306529E7</v>
      </c>
      <c r="Q5057" s="102" t="s">
        <v>2439</v>
      </c>
      <c r="S5057" s="1"/>
      <c r="T5057" s="1"/>
      <c r="U5057" s="1"/>
      <c r="V5057" s="1"/>
      <c r="W5057" s="1"/>
      <c r="X5057" s="1"/>
      <c r="Y5057" s="1"/>
      <c r="AA5057" s="102"/>
      <c r="AB5057" s="1"/>
      <c r="AC5057" s="1"/>
      <c r="AD5057" s="1"/>
      <c r="AE5057" s="1"/>
      <c r="AF5057" s="1"/>
      <c r="AG5057" s="1"/>
    </row>
    <row r="5058" ht="15.75" customHeight="1">
      <c r="A5058" s="1"/>
      <c r="B5058" s="1"/>
      <c r="C5058" s="1"/>
      <c r="D5058" s="1"/>
      <c r="E5058" s="1"/>
      <c r="F5058" s="1"/>
      <c r="G5058" s="1"/>
      <c r="H5058" s="1"/>
      <c r="I5058" s="1"/>
      <c r="J5058" s="1"/>
      <c r="K5058" s="102" t="s">
        <v>7890</v>
      </c>
      <c r="L5058" s="102" t="str">
        <f>E655</f>
        <v>J1a2b~</v>
      </c>
      <c r="M5058" s="102" t="s">
        <v>7891</v>
      </c>
      <c r="N5058" s="102" t="s">
        <v>7889</v>
      </c>
      <c r="O5058" s="105">
        <v>1.5177204E7</v>
      </c>
      <c r="P5058" s="105">
        <v>1.306529E7</v>
      </c>
      <c r="Q5058" s="102" t="s">
        <v>2439</v>
      </c>
      <c r="S5058" s="1"/>
      <c r="T5058" s="1"/>
      <c r="U5058" s="1"/>
      <c r="V5058" s="1"/>
      <c r="W5058" s="1"/>
      <c r="X5058" s="1"/>
      <c r="Y5058" s="1"/>
      <c r="AA5058" s="102"/>
      <c r="AB5058" s="1"/>
      <c r="AC5058" s="1"/>
      <c r="AD5058" s="1"/>
      <c r="AE5058" s="1"/>
      <c r="AF5058" s="1"/>
      <c r="AG5058" s="1"/>
    </row>
    <row r="5059" ht="15.75" customHeight="1">
      <c r="A5059" s="1"/>
      <c r="B5059" s="1"/>
      <c r="C5059" s="1"/>
      <c r="D5059" s="1"/>
      <c r="E5059" s="1"/>
      <c r="F5059" s="1"/>
      <c r="G5059" s="1"/>
      <c r="H5059" s="1"/>
      <c r="I5059" s="1"/>
      <c r="J5059" s="1"/>
      <c r="K5059" s="102" t="s">
        <v>7892</v>
      </c>
      <c r="L5059" s="102" t="str">
        <f>E655</f>
        <v>J1a2b~</v>
      </c>
      <c r="M5059" s="102" t="s">
        <v>7893</v>
      </c>
      <c r="N5059" s="102" t="s">
        <v>7889</v>
      </c>
      <c r="O5059" s="105">
        <v>1.5177204E7</v>
      </c>
      <c r="P5059" s="105">
        <v>1.306529E7</v>
      </c>
      <c r="Q5059" s="102" t="s">
        <v>2439</v>
      </c>
      <c r="S5059" s="1"/>
      <c r="T5059" s="1"/>
      <c r="U5059" s="1"/>
      <c r="V5059" s="1"/>
      <c r="W5059" s="1"/>
      <c r="X5059" s="1"/>
      <c r="Y5059" s="1"/>
      <c r="AA5059" s="102"/>
      <c r="AB5059" s="1"/>
      <c r="AC5059" s="1"/>
      <c r="AD5059" s="1"/>
      <c r="AE5059" s="1"/>
      <c r="AF5059" s="1"/>
      <c r="AG5059" s="1"/>
    </row>
    <row r="5060" ht="15.75" customHeight="1">
      <c r="A5060" s="1"/>
      <c r="B5060" s="1"/>
      <c r="C5060" s="1"/>
      <c r="D5060" s="1"/>
      <c r="E5060" s="1"/>
      <c r="F5060" s="1"/>
      <c r="G5060" s="1"/>
      <c r="H5060" s="1"/>
      <c r="I5060" s="1"/>
      <c r="J5060" s="1"/>
      <c r="K5060" s="102" t="s">
        <v>7894</v>
      </c>
      <c r="L5060" s="102" t="str">
        <f>E655</f>
        <v>J1a2b~</v>
      </c>
      <c r="M5060" s="102" t="s">
        <v>7895</v>
      </c>
      <c r="N5060" s="102"/>
      <c r="O5060" s="105">
        <v>2.3644129E7</v>
      </c>
      <c r="P5060" s="105">
        <v>2.1482243E7</v>
      </c>
      <c r="Q5060" s="102" t="s">
        <v>2439</v>
      </c>
      <c r="S5060" s="1"/>
      <c r="T5060" s="1"/>
      <c r="U5060" s="1"/>
      <c r="V5060" s="1"/>
      <c r="W5060" s="1"/>
      <c r="X5060" s="1"/>
      <c r="Y5060" s="1"/>
      <c r="AA5060" s="102"/>
      <c r="AB5060" s="1"/>
      <c r="AC5060" s="1"/>
      <c r="AD5060" s="1"/>
      <c r="AE5060" s="1"/>
      <c r="AF5060" s="1"/>
      <c r="AG5060" s="1"/>
    </row>
    <row r="5061" ht="15.75" customHeight="1">
      <c r="A5061" s="1"/>
      <c r="B5061" s="1"/>
      <c r="C5061" s="1"/>
      <c r="D5061" s="1"/>
      <c r="E5061" s="1"/>
      <c r="F5061" s="1"/>
      <c r="G5061" s="1"/>
      <c r="H5061" s="1"/>
      <c r="I5061" s="1"/>
      <c r="J5061" s="1"/>
      <c r="K5061" s="102" t="s">
        <v>7896</v>
      </c>
      <c r="L5061" s="102" t="str">
        <f>E655</f>
        <v>J1a2b~</v>
      </c>
      <c r="M5061" s="102" t="s">
        <v>7897</v>
      </c>
      <c r="N5061" s="102"/>
      <c r="O5061" s="105">
        <v>2.3644129E7</v>
      </c>
      <c r="P5061" s="105">
        <v>2.1482243E7</v>
      </c>
      <c r="Q5061" s="102" t="s">
        <v>2439</v>
      </c>
      <c r="S5061" s="1"/>
      <c r="T5061" s="1"/>
      <c r="U5061" s="1"/>
      <c r="V5061" s="1"/>
      <c r="W5061" s="1"/>
      <c r="X5061" s="1"/>
      <c r="Y5061" s="1"/>
      <c r="AA5061" s="102"/>
      <c r="AB5061" s="1"/>
      <c r="AC5061" s="1"/>
      <c r="AD5061" s="1"/>
      <c r="AE5061" s="1"/>
      <c r="AF5061" s="1"/>
      <c r="AG5061" s="1"/>
    </row>
    <row r="5062" ht="15.75" customHeight="1">
      <c r="A5062" s="1"/>
      <c r="B5062" s="1"/>
      <c r="C5062" s="1"/>
      <c r="D5062" s="1"/>
      <c r="E5062" s="1"/>
      <c r="F5062" s="1"/>
      <c r="G5062" s="1"/>
      <c r="H5062" s="1"/>
      <c r="I5062" s="1"/>
      <c r="J5062" s="1"/>
      <c r="K5062" s="102" t="s">
        <v>7898</v>
      </c>
      <c r="L5062" s="102" t="str">
        <f>E655</f>
        <v>J1a2b~</v>
      </c>
      <c r="M5062" s="102" t="s">
        <v>7899</v>
      </c>
      <c r="N5062" s="102"/>
      <c r="O5062" s="105">
        <v>2.3644129E7</v>
      </c>
      <c r="P5062" s="105">
        <v>2.1482243E7</v>
      </c>
      <c r="Q5062" s="102" t="s">
        <v>2439</v>
      </c>
      <c r="S5062" s="1"/>
      <c r="T5062" s="1"/>
      <c r="U5062" s="1"/>
      <c r="V5062" s="1"/>
      <c r="W5062" s="1"/>
      <c r="X5062" s="1"/>
      <c r="Y5062" s="1"/>
      <c r="AA5062" s="102"/>
      <c r="AB5062" s="1"/>
      <c r="AC5062" s="1"/>
      <c r="AD5062" s="1"/>
      <c r="AE5062" s="1"/>
      <c r="AF5062" s="1"/>
      <c r="AG5062" s="1"/>
    </row>
    <row r="5063" ht="15.75" customHeight="1">
      <c r="A5063" s="1"/>
      <c r="B5063" s="1"/>
      <c r="C5063" s="1"/>
      <c r="D5063" s="1"/>
      <c r="E5063" s="1"/>
      <c r="F5063" s="1"/>
      <c r="G5063" s="1"/>
      <c r="H5063" s="1"/>
      <c r="I5063" s="1"/>
      <c r="J5063" s="1"/>
      <c r="K5063" s="102" t="s">
        <v>7900</v>
      </c>
      <c r="L5063" s="102" t="str">
        <f>E655</f>
        <v>J1a2b~</v>
      </c>
      <c r="M5063" s="102" t="s">
        <v>7901</v>
      </c>
      <c r="N5063" s="102" t="s">
        <v>7902</v>
      </c>
      <c r="O5063" s="105">
        <v>1.561016E7</v>
      </c>
      <c r="P5063" s="105">
        <v>1.349828E7</v>
      </c>
      <c r="Q5063" s="102" t="s">
        <v>2529</v>
      </c>
      <c r="S5063" s="1"/>
      <c r="T5063" s="1"/>
      <c r="U5063" s="1"/>
      <c r="V5063" s="1"/>
      <c r="W5063" s="1"/>
      <c r="X5063" s="1"/>
      <c r="Y5063" s="1"/>
      <c r="AA5063" s="102"/>
      <c r="AB5063" s="1"/>
      <c r="AC5063" s="1"/>
      <c r="AD5063" s="1"/>
      <c r="AE5063" s="1"/>
      <c r="AF5063" s="1"/>
      <c r="AG5063" s="1"/>
    </row>
    <row r="5064" ht="15.75" customHeight="1">
      <c r="A5064" s="1"/>
      <c r="B5064" s="1"/>
      <c r="C5064" s="1"/>
      <c r="D5064" s="1"/>
      <c r="E5064" s="1"/>
      <c r="F5064" s="1"/>
      <c r="G5064" s="1"/>
      <c r="H5064" s="1"/>
      <c r="I5064" s="1"/>
      <c r="J5064" s="1"/>
      <c r="K5064" s="102" t="s">
        <v>7903</v>
      </c>
      <c r="L5064" s="102" t="str">
        <f>E655</f>
        <v>J1a2b~</v>
      </c>
      <c r="M5064" s="102" t="s">
        <v>7904</v>
      </c>
      <c r="N5064" s="102" t="s">
        <v>7902</v>
      </c>
      <c r="O5064" s="105">
        <v>1.561016E7</v>
      </c>
      <c r="P5064" s="105">
        <v>1.349828E7</v>
      </c>
      <c r="Q5064" s="102" t="s">
        <v>2529</v>
      </c>
      <c r="S5064" s="1"/>
      <c r="T5064" s="1"/>
      <c r="U5064" s="1"/>
      <c r="V5064" s="1"/>
      <c r="W5064" s="1"/>
      <c r="X5064" s="1"/>
      <c r="Y5064" s="1"/>
      <c r="AA5064" s="102"/>
      <c r="AB5064" s="1"/>
      <c r="AC5064" s="1"/>
      <c r="AD5064" s="1"/>
      <c r="AE5064" s="1"/>
      <c r="AF5064" s="1"/>
      <c r="AG5064" s="1"/>
    </row>
    <row r="5065" ht="15.75" customHeight="1">
      <c r="A5065" s="1"/>
      <c r="B5065" s="1"/>
      <c r="C5065" s="1"/>
      <c r="D5065" s="1"/>
      <c r="E5065" s="1"/>
      <c r="F5065" s="1"/>
      <c r="G5065" s="1"/>
      <c r="H5065" s="1"/>
      <c r="I5065" s="1"/>
      <c r="J5065" s="1"/>
      <c r="K5065" s="102" t="s">
        <v>7905</v>
      </c>
      <c r="L5065" s="102" t="str">
        <f>E655</f>
        <v>J1a2b~</v>
      </c>
      <c r="M5065" s="102" t="s">
        <v>7906</v>
      </c>
      <c r="N5065" s="102" t="s">
        <v>7902</v>
      </c>
      <c r="O5065" s="105">
        <v>1.561016E7</v>
      </c>
      <c r="P5065" s="105">
        <v>1.349828E7</v>
      </c>
      <c r="Q5065" s="102" t="s">
        <v>2529</v>
      </c>
      <c r="S5065" s="1"/>
      <c r="T5065" s="1"/>
      <c r="U5065" s="1"/>
      <c r="V5065" s="1"/>
      <c r="W5065" s="1"/>
      <c r="X5065" s="1"/>
      <c r="Y5065" s="1"/>
      <c r="AA5065" s="102"/>
      <c r="AB5065" s="1"/>
      <c r="AC5065" s="1"/>
      <c r="AD5065" s="1"/>
      <c r="AE5065" s="1"/>
      <c r="AF5065" s="1"/>
      <c r="AG5065" s="1"/>
    </row>
    <row r="5066" ht="15.75" customHeight="1">
      <c r="A5066" s="1"/>
      <c r="B5066" s="1"/>
      <c r="C5066" s="1"/>
      <c r="D5066" s="1"/>
      <c r="E5066" s="1"/>
      <c r="F5066" s="1"/>
      <c r="G5066" s="1"/>
      <c r="H5066" s="1"/>
      <c r="I5066" s="1"/>
      <c r="J5066" s="1"/>
      <c r="K5066" s="102" t="s">
        <v>7907</v>
      </c>
      <c r="L5066" s="102" t="str">
        <f>E655</f>
        <v>J1a2b~</v>
      </c>
      <c r="M5066" s="102" t="s">
        <v>7908</v>
      </c>
      <c r="N5066" s="102" t="s">
        <v>7909</v>
      </c>
      <c r="O5066" s="105">
        <v>2.1782324E7</v>
      </c>
      <c r="P5066" s="105">
        <v>1.9620438E7</v>
      </c>
      <c r="Q5066" s="102" t="s">
        <v>2529</v>
      </c>
      <c r="S5066" s="1"/>
      <c r="T5066" s="1"/>
      <c r="U5066" s="1"/>
      <c r="V5066" s="1"/>
      <c r="W5066" s="1"/>
      <c r="X5066" s="1"/>
      <c r="Y5066" s="1"/>
      <c r="AA5066" s="102"/>
      <c r="AB5066" s="1"/>
      <c r="AC5066" s="1"/>
      <c r="AD5066" s="1"/>
      <c r="AE5066" s="1"/>
      <c r="AF5066" s="1"/>
      <c r="AG5066" s="1"/>
    </row>
    <row r="5067" ht="15.75" customHeight="1">
      <c r="A5067" s="1"/>
      <c r="B5067" s="1"/>
      <c r="C5067" s="1"/>
      <c r="D5067" s="1"/>
      <c r="E5067" s="1"/>
      <c r="F5067" s="1"/>
      <c r="G5067" s="1"/>
      <c r="H5067" s="1"/>
      <c r="I5067" s="1"/>
      <c r="J5067" s="1"/>
      <c r="K5067" s="102" t="s">
        <v>7908</v>
      </c>
      <c r="L5067" s="102" t="str">
        <f>E655</f>
        <v>J1a2b~</v>
      </c>
      <c r="M5067" s="102" t="s">
        <v>7907</v>
      </c>
      <c r="N5067" s="102" t="s">
        <v>7909</v>
      </c>
      <c r="O5067" s="105">
        <v>2.1782324E7</v>
      </c>
      <c r="P5067" s="105">
        <v>1.9620438E7</v>
      </c>
      <c r="Q5067" s="102" t="s">
        <v>2529</v>
      </c>
      <c r="S5067" s="1"/>
      <c r="T5067" s="1"/>
      <c r="U5067" s="1"/>
      <c r="V5067" s="1"/>
      <c r="W5067" s="1"/>
      <c r="X5067" s="1"/>
      <c r="Y5067" s="1"/>
      <c r="AA5067" s="102"/>
      <c r="AB5067" s="1"/>
      <c r="AC5067" s="1"/>
      <c r="AD5067" s="1"/>
      <c r="AE5067" s="1"/>
      <c r="AF5067" s="1"/>
      <c r="AG5067" s="1"/>
    </row>
    <row r="5068" ht="15.75" customHeight="1">
      <c r="A5068" s="1"/>
      <c r="B5068" s="1"/>
      <c r="C5068" s="1"/>
      <c r="D5068" s="1"/>
      <c r="E5068" s="1"/>
      <c r="F5068" s="1"/>
      <c r="G5068" s="1"/>
      <c r="H5068" s="1"/>
      <c r="I5068" s="1"/>
      <c r="J5068" s="1"/>
      <c r="K5068" s="102" t="s">
        <v>7910</v>
      </c>
      <c r="L5068" s="102" t="str">
        <f>E655</f>
        <v>J1a2b~</v>
      </c>
      <c r="M5068" s="102" t="s">
        <v>7911</v>
      </c>
      <c r="N5068" s="102"/>
      <c r="O5068" s="105">
        <v>1.577841E7</v>
      </c>
      <c r="P5068" s="105">
        <v>1.366653E7</v>
      </c>
      <c r="Q5068" s="102" t="s">
        <v>2454</v>
      </c>
      <c r="S5068" s="1"/>
      <c r="T5068" s="1"/>
      <c r="U5068" s="1"/>
      <c r="V5068" s="1"/>
      <c r="W5068" s="1"/>
      <c r="X5068" s="1"/>
      <c r="Y5068" s="1"/>
      <c r="AA5068" s="102"/>
      <c r="AB5068" s="1"/>
      <c r="AC5068" s="1"/>
      <c r="AD5068" s="1"/>
      <c r="AE5068" s="1"/>
      <c r="AF5068" s="1"/>
      <c r="AG5068" s="1"/>
    </row>
    <row r="5069" ht="15.75" customHeight="1">
      <c r="A5069" s="1"/>
      <c r="B5069" s="1"/>
      <c r="C5069" s="1"/>
      <c r="D5069" s="1"/>
      <c r="E5069" s="1"/>
      <c r="F5069" s="1"/>
      <c r="G5069" s="1"/>
      <c r="H5069" s="1"/>
      <c r="I5069" s="1"/>
      <c r="J5069" s="1"/>
      <c r="K5069" s="102" t="s">
        <v>7912</v>
      </c>
      <c r="L5069" s="102" t="str">
        <f>E655</f>
        <v>J1a2b~</v>
      </c>
      <c r="M5069" s="102" t="s">
        <v>7913</v>
      </c>
      <c r="N5069" s="102"/>
      <c r="O5069" s="105">
        <v>1.577841E7</v>
      </c>
      <c r="P5069" s="105">
        <v>1.366653E7</v>
      </c>
      <c r="Q5069" s="102" t="s">
        <v>2454</v>
      </c>
      <c r="S5069" s="1"/>
      <c r="T5069" s="1"/>
      <c r="U5069" s="1"/>
      <c r="V5069" s="1"/>
      <c r="W5069" s="1"/>
      <c r="X5069" s="1"/>
      <c r="Y5069" s="1"/>
      <c r="AA5069" s="102"/>
      <c r="AB5069" s="1"/>
      <c r="AC5069" s="1"/>
      <c r="AD5069" s="1"/>
      <c r="AE5069" s="1"/>
      <c r="AF5069" s="1"/>
      <c r="AG5069" s="1"/>
    </row>
    <row r="5070" ht="15.75" customHeight="1">
      <c r="A5070" s="1"/>
      <c r="B5070" s="1"/>
      <c r="C5070" s="1"/>
      <c r="D5070" s="1"/>
      <c r="E5070" s="1"/>
      <c r="F5070" s="1"/>
      <c r="G5070" s="1"/>
      <c r="H5070" s="1"/>
      <c r="I5070" s="1"/>
      <c r="J5070" s="1"/>
      <c r="K5070" s="102" t="s">
        <v>7914</v>
      </c>
      <c r="L5070" s="102" t="str">
        <f>E655</f>
        <v>J1a2b~</v>
      </c>
      <c r="M5070" s="102" t="s">
        <v>7915</v>
      </c>
      <c r="N5070" s="102"/>
      <c r="O5070" s="105">
        <v>1.577841E7</v>
      </c>
      <c r="P5070" s="105">
        <v>1.366653E7</v>
      </c>
      <c r="Q5070" s="102" t="s">
        <v>2454</v>
      </c>
      <c r="S5070" s="1"/>
      <c r="T5070" s="1"/>
      <c r="U5070" s="1"/>
      <c r="V5070" s="1"/>
      <c r="W5070" s="1"/>
      <c r="X5070" s="1"/>
      <c r="Y5070" s="1"/>
      <c r="AA5070" s="102"/>
      <c r="AB5070" s="1"/>
      <c r="AC5070" s="1"/>
      <c r="AD5070" s="1"/>
      <c r="AE5070" s="1"/>
      <c r="AF5070" s="1"/>
      <c r="AG5070" s="1"/>
    </row>
    <row r="5071" ht="15.75" customHeight="1">
      <c r="A5071" s="1"/>
      <c r="B5071" s="1"/>
      <c r="C5071" s="1"/>
      <c r="D5071" s="1"/>
      <c r="E5071" s="1"/>
      <c r="F5071" s="1"/>
      <c r="G5071" s="1"/>
      <c r="H5071" s="1"/>
      <c r="I5071" s="1"/>
      <c r="J5071" s="1"/>
      <c r="K5071" s="102" t="s">
        <v>7916</v>
      </c>
      <c r="L5071" s="102" t="str">
        <f>E655</f>
        <v>J1a2b~</v>
      </c>
      <c r="M5071" s="102" t="s">
        <v>7917</v>
      </c>
      <c r="N5071" s="102" t="s">
        <v>7918</v>
      </c>
      <c r="O5071" s="105">
        <v>6831729.0</v>
      </c>
      <c r="P5071" s="105">
        <v>6963688.0</v>
      </c>
      <c r="Q5071" s="102" t="s">
        <v>2439</v>
      </c>
      <c r="S5071" s="1"/>
      <c r="T5071" s="1"/>
      <c r="U5071" s="1"/>
      <c r="V5071" s="1"/>
      <c r="W5071" s="1"/>
      <c r="X5071" s="1"/>
      <c r="Y5071" s="1"/>
      <c r="AA5071" s="102"/>
      <c r="AB5071" s="1"/>
      <c r="AC5071" s="1"/>
      <c r="AD5071" s="1"/>
      <c r="AE5071" s="1"/>
      <c r="AF5071" s="1"/>
      <c r="AG5071" s="1"/>
    </row>
    <row r="5072" ht="15.75" customHeight="1">
      <c r="A5072" s="1"/>
      <c r="B5072" s="1"/>
      <c r="C5072" s="1"/>
      <c r="D5072" s="1"/>
      <c r="E5072" s="1"/>
      <c r="F5072" s="1"/>
      <c r="G5072" s="1"/>
      <c r="H5072" s="1"/>
      <c r="I5072" s="1"/>
      <c r="J5072" s="1"/>
      <c r="K5072" s="102" t="s">
        <v>7919</v>
      </c>
      <c r="L5072" s="102" t="str">
        <f>E655</f>
        <v>J1a2b~</v>
      </c>
      <c r="M5072" s="102" t="s">
        <v>7920</v>
      </c>
      <c r="N5072" s="102" t="s">
        <v>7918</v>
      </c>
      <c r="O5072" s="105">
        <v>6831729.0</v>
      </c>
      <c r="P5072" s="105">
        <v>6963688.0</v>
      </c>
      <c r="Q5072" s="102" t="s">
        <v>2439</v>
      </c>
      <c r="S5072" s="1"/>
      <c r="T5072" s="1"/>
      <c r="U5072" s="1"/>
      <c r="V5072" s="1"/>
      <c r="W5072" s="1"/>
      <c r="X5072" s="1"/>
      <c r="Y5072" s="1"/>
      <c r="AA5072" s="102"/>
      <c r="AB5072" s="1"/>
      <c r="AC5072" s="1"/>
      <c r="AD5072" s="1"/>
      <c r="AE5072" s="1"/>
      <c r="AF5072" s="1"/>
      <c r="AG5072" s="1"/>
    </row>
    <row r="5073" ht="15.75" customHeight="1">
      <c r="A5073" s="1"/>
      <c r="B5073" s="1"/>
      <c r="C5073" s="1"/>
      <c r="D5073" s="1"/>
      <c r="E5073" s="1"/>
      <c r="F5073" s="1"/>
      <c r="G5073" s="1"/>
      <c r="H5073" s="1"/>
      <c r="I5073" s="1"/>
      <c r="J5073" s="1"/>
      <c r="K5073" s="102" t="s">
        <v>7921</v>
      </c>
      <c r="L5073" s="102" t="str">
        <f>E655</f>
        <v>J1a2b~</v>
      </c>
      <c r="M5073" s="102" t="s">
        <v>7922</v>
      </c>
      <c r="N5073" s="102" t="s">
        <v>7918</v>
      </c>
      <c r="O5073" s="105">
        <v>6831729.0</v>
      </c>
      <c r="P5073" s="105">
        <v>6963688.0</v>
      </c>
      <c r="Q5073" s="102" t="s">
        <v>2439</v>
      </c>
      <c r="S5073" s="1"/>
      <c r="T5073" s="1"/>
      <c r="U5073" s="1"/>
      <c r="V5073" s="1"/>
      <c r="W5073" s="1"/>
      <c r="X5073" s="1"/>
      <c r="Y5073" s="1"/>
      <c r="AA5073" s="102"/>
      <c r="AB5073" s="1"/>
      <c r="AC5073" s="1"/>
      <c r="AD5073" s="1"/>
      <c r="AE5073" s="1"/>
      <c r="AF5073" s="1"/>
      <c r="AG5073" s="1"/>
    </row>
    <row r="5074" ht="15.75" customHeight="1">
      <c r="A5074" s="1"/>
      <c r="B5074" s="1"/>
      <c r="C5074" s="1"/>
      <c r="D5074" s="1"/>
      <c r="E5074" s="1"/>
      <c r="F5074" s="1"/>
      <c r="G5074" s="1"/>
      <c r="H5074" s="1"/>
      <c r="I5074" s="1"/>
      <c r="J5074" s="1"/>
      <c r="K5074" s="102" t="s">
        <v>7923</v>
      </c>
      <c r="L5074" s="102" t="str">
        <f>E655</f>
        <v>J1a2b~</v>
      </c>
      <c r="M5074" s="102" t="s">
        <v>7924</v>
      </c>
      <c r="N5074" s="102"/>
      <c r="O5074" s="105">
        <v>2.3499618E7</v>
      </c>
      <c r="P5074" s="105">
        <v>2.1337732E7</v>
      </c>
      <c r="Q5074" s="102" t="s">
        <v>2576</v>
      </c>
      <c r="S5074" s="1"/>
      <c r="T5074" s="1"/>
      <c r="U5074" s="1"/>
      <c r="V5074" s="1"/>
      <c r="W5074" s="1"/>
      <c r="X5074" s="1"/>
      <c r="Y5074" s="1"/>
      <c r="AA5074" s="102"/>
      <c r="AB5074" s="1"/>
      <c r="AC5074" s="1"/>
      <c r="AD5074" s="1"/>
      <c r="AE5074" s="1"/>
      <c r="AF5074" s="1"/>
      <c r="AG5074" s="1"/>
    </row>
    <row r="5075" ht="15.75" customHeight="1">
      <c r="A5075" s="1"/>
      <c r="B5075" s="1"/>
      <c r="C5075" s="1"/>
      <c r="D5075" s="1"/>
      <c r="E5075" s="1"/>
      <c r="F5075" s="1"/>
      <c r="G5075" s="1"/>
      <c r="H5075" s="1"/>
      <c r="I5075" s="1"/>
      <c r="J5075" s="1"/>
      <c r="K5075" s="102" t="s">
        <v>7925</v>
      </c>
      <c r="L5075" s="102" t="str">
        <f>E655</f>
        <v>J1a2b~</v>
      </c>
      <c r="M5075" s="102" t="s">
        <v>7926</v>
      </c>
      <c r="N5075" s="102"/>
      <c r="O5075" s="105">
        <v>2.3499618E7</v>
      </c>
      <c r="P5075" s="105">
        <v>2.1337732E7</v>
      </c>
      <c r="Q5075" s="102" t="s">
        <v>2576</v>
      </c>
      <c r="S5075" s="1"/>
      <c r="T5075" s="1"/>
      <c r="U5075" s="1"/>
      <c r="V5075" s="1"/>
      <c r="W5075" s="1"/>
      <c r="X5075" s="1"/>
      <c r="Y5075" s="1"/>
      <c r="AA5075" s="102"/>
      <c r="AB5075" s="1"/>
      <c r="AC5075" s="1"/>
      <c r="AD5075" s="1"/>
      <c r="AE5075" s="1"/>
      <c r="AF5075" s="1"/>
      <c r="AG5075" s="1"/>
    </row>
    <row r="5076" ht="15.75" customHeight="1">
      <c r="A5076" s="1"/>
      <c r="B5076" s="1"/>
      <c r="C5076" s="1"/>
      <c r="D5076" s="1"/>
      <c r="E5076" s="1"/>
      <c r="F5076" s="1"/>
      <c r="G5076" s="1"/>
      <c r="H5076" s="1"/>
      <c r="I5076" s="1"/>
      <c r="J5076" s="1"/>
      <c r="K5076" s="102" t="s">
        <v>7927</v>
      </c>
      <c r="L5076" s="102" t="str">
        <f>E655</f>
        <v>J1a2b~</v>
      </c>
      <c r="M5076" s="102" t="s">
        <v>7928</v>
      </c>
      <c r="N5076" s="102"/>
      <c r="O5076" s="105">
        <v>2.3499618E7</v>
      </c>
      <c r="P5076" s="105">
        <v>2.1337732E7</v>
      </c>
      <c r="Q5076" s="102" t="s">
        <v>2576</v>
      </c>
      <c r="S5076" s="1"/>
      <c r="T5076" s="1"/>
      <c r="U5076" s="1"/>
      <c r="V5076" s="1"/>
      <c r="W5076" s="1"/>
      <c r="X5076" s="1"/>
      <c r="Y5076" s="1"/>
      <c r="AA5076" s="102"/>
      <c r="AB5076" s="1"/>
      <c r="AC5076" s="1"/>
      <c r="AD5076" s="1"/>
      <c r="AE5076" s="1"/>
      <c r="AF5076" s="1"/>
      <c r="AG5076" s="1"/>
    </row>
    <row r="5077" ht="15.75" customHeight="1">
      <c r="A5077" s="1"/>
      <c r="B5077" s="1"/>
      <c r="C5077" s="1"/>
      <c r="D5077" s="1"/>
      <c r="E5077" s="1"/>
      <c r="F5077" s="1"/>
      <c r="G5077" s="1"/>
      <c r="H5077" s="1"/>
      <c r="I5077" s="1"/>
      <c r="J5077" s="1"/>
      <c r="K5077" s="102" t="s">
        <v>7929</v>
      </c>
      <c r="L5077" s="102" t="str">
        <f>E655</f>
        <v>J1a2b~</v>
      </c>
      <c r="M5077" s="102" t="s">
        <v>7930</v>
      </c>
      <c r="N5077" s="102"/>
      <c r="O5077" s="105">
        <v>2707469.0</v>
      </c>
      <c r="P5077" s="105">
        <v>2839428.0</v>
      </c>
      <c r="Q5077" s="102" t="s">
        <v>2468</v>
      </c>
      <c r="S5077" s="1"/>
      <c r="T5077" s="1"/>
      <c r="U5077" s="1"/>
      <c r="V5077" s="1"/>
      <c r="W5077" s="1"/>
      <c r="X5077" s="1"/>
      <c r="Y5077" s="1"/>
      <c r="AA5077" s="102"/>
      <c r="AB5077" s="1"/>
      <c r="AC5077" s="1"/>
      <c r="AD5077" s="1"/>
      <c r="AE5077" s="1"/>
      <c r="AF5077" s="1"/>
      <c r="AG5077" s="1"/>
    </row>
    <row r="5078" ht="15.75" customHeight="1">
      <c r="A5078" s="1"/>
      <c r="B5078" s="1"/>
      <c r="C5078" s="1"/>
      <c r="D5078" s="1"/>
      <c r="E5078" s="1"/>
      <c r="F5078" s="1"/>
      <c r="G5078" s="1"/>
      <c r="H5078" s="1"/>
      <c r="I5078" s="1"/>
      <c r="J5078" s="1"/>
      <c r="K5078" s="102" t="s">
        <v>7931</v>
      </c>
      <c r="L5078" s="102" t="str">
        <f>E655</f>
        <v>J1a2b~</v>
      </c>
      <c r="M5078" s="102" t="s">
        <v>7932</v>
      </c>
      <c r="N5078" s="102"/>
      <c r="O5078" s="105">
        <v>2707469.0</v>
      </c>
      <c r="P5078" s="105">
        <v>2839428.0</v>
      </c>
      <c r="Q5078" s="102" t="s">
        <v>2468</v>
      </c>
      <c r="S5078" s="1"/>
      <c r="T5078" s="1"/>
      <c r="U5078" s="1"/>
      <c r="V5078" s="1"/>
      <c r="W5078" s="1"/>
      <c r="X5078" s="1"/>
      <c r="Y5078" s="1"/>
      <c r="AA5078" s="102"/>
      <c r="AB5078" s="1"/>
      <c r="AC5078" s="1"/>
      <c r="AD5078" s="1"/>
      <c r="AE5078" s="1"/>
      <c r="AF5078" s="1"/>
      <c r="AG5078" s="1"/>
    </row>
    <row r="5079" ht="15.75" customHeight="1">
      <c r="A5079" s="1"/>
      <c r="B5079" s="1"/>
      <c r="C5079" s="1"/>
      <c r="D5079" s="1"/>
      <c r="E5079" s="1"/>
      <c r="F5079" s="1"/>
      <c r="G5079" s="1"/>
      <c r="H5079" s="1"/>
      <c r="I5079" s="1"/>
      <c r="J5079" s="1"/>
      <c r="K5079" s="102" t="s">
        <v>7933</v>
      </c>
      <c r="L5079" s="102" t="str">
        <f>E655</f>
        <v>J1a2b~</v>
      </c>
      <c r="M5079" s="102" t="s">
        <v>7934</v>
      </c>
      <c r="N5079" s="102"/>
      <c r="O5079" s="105">
        <v>2707469.0</v>
      </c>
      <c r="P5079" s="105">
        <v>2839428.0</v>
      </c>
      <c r="Q5079" s="102" t="s">
        <v>2468</v>
      </c>
      <c r="S5079" s="1"/>
      <c r="T5079" s="1"/>
      <c r="U5079" s="1"/>
      <c r="V5079" s="1"/>
      <c r="W5079" s="1"/>
      <c r="X5079" s="1"/>
      <c r="Y5079" s="1"/>
      <c r="AA5079" s="102"/>
      <c r="AB5079" s="1"/>
      <c r="AC5079" s="1"/>
      <c r="AD5079" s="1"/>
      <c r="AE5079" s="1"/>
      <c r="AF5079" s="1"/>
      <c r="AG5079" s="1"/>
    </row>
    <row r="5080" ht="15.75" customHeight="1">
      <c r="A5080" s="1"/>
      <c r="B5080" s="1"/>
      <c r="C5080" s="1"/>
      <c r="D5080" s="1"/>
      <c r="E5080" s="1"/>
      <c r="F5080" s="1"/>
      <c r="G5080" s="1"/>
      <c r="H5080" s="1"/>
      <c r="I5080" s="1"/>
      <c r="J5080" s="1"/>
      <c r="K5080" s="102" t="s">
        <v>7935</v>
      </c>
      <c r="L5080" s="102" t="str">
        <f>E655</f>
        <v>J1a2b~</v>
      </c>
      <c r="M5080" s="102" t="s">
        <v>7936</v>
      </c>
      <c r="N5080" s="102" t="s">
        <v>7937</v>
      </c>
      <c r="O5080" s="105">
        <v>7012058.0</v>
      </c>
      <c r="P5080" s="105">
        <v>7144017.0</v>
      </c>
      <c r="Q5080" s="102" t="s">
        <v>2446</v>
      </c>
      <c r="S5080" s="1"/>
      <c r="T5080" s="1"/>
      <c r="U5080" s="1"/>
      <c r="V5080" s="1"/>
      <c r="W5080" s="1"/>
      <c r="X5080" s="1"/>
      <c r="Y5080" s="1"/>
      <c r="AA5080" s="102"/>
      <c r="AB5080" s="1"/>
      <c r="AC5080" s="1"/>
      <c r="AD5080" s="1"/>
      <c r="AE5080" s="1"/>
      <c r="AF5080" s="1"/>
      <c r="AG5080" s="1"/>
    </row>
    <row r="5081" ht="15.75" customHeight="1">
      <c r="A5081" s="1"/>
      <c r="B5081" s="1"/>
      <c r="C5081" s="1"/>
      <c r="D5081" s="1"/>
      <c r="E5081" s="1"/>
      <c r="F5081" s="1"/>
      <c r="G5081" s="1"/>
      <c r="H5081" s="1"/>
      <c r="I5081" s="1"/>
      <c r="J5081" s="1"/>
      <c r="K5081" s="102" t="s">
        <v>7938</v>
      </c>
      <c r="L5081" s="102" t="str">
        <f>E655</f>
        <v>J1a2b~</v>
      </c>
      <c r="M5081" s="102" t="s">
        <v>7939</v>
      </c>
      <c r="N5081" s="102" t="s">
        <v>7937</v>
      </c>
      <c r="O5081" s="105">
        <v>7012058.0</v>
      </c>
      <c r="P5081" s="105">
        <v>7144017.0</v>
      </c>
      <c r="Q5081" s="102" t="s">
        <v>2446</v>
      </c>
      <c r="S5081" s="1"/>
      <c r="T5081" s="1"/>
      <c r="U5081" s="1"/>
      <c r="V5081" s="1"/>
      <c r="W5081" s="1"/>
      <c r="X5081" s="1"/>
      <c r="Y5081" s="1"/>
      <c r="AA5081" s="102"/>
      <c r="AB5081" s="1"/>
      <c r="AC5081" s="1"/>
      <c r="AD5081" s="1"/>
      <c r="AE5081" s="1"/>
      <c r="AF5081" s="1"/>
      <c r="AG5081" s="1"/>
    </row>
    <row r="5082" ht="15.75" customHeight="1">
      <c r="A5082" s="1"/>
      <c r="B5082" s="1"/>
      <c r="C5082" s="1"/>
      <c r="D5082" s="1"/>
      <c r="E5082" s="1"/>
      <c r="F5082" s="1"/>
      <c r="G5082" s="1"/>
      <c r="H5082" s="1"/>
      <c r="I5082" s="1"/>
      <c r="J5082" s="1"/>
      <c r="K5082" s="102" t="s">
        <v>7940</v>
      </c>
      <c r="L5082" s="102" t="str">
        <f>E655</f>
        <v>J1a2b~</v>
      </c>
      <c r="M5082" s="102" t="s">
        <v>7941</v>
      </c>
      <c r="N5082" s="102" t="s">
        <v>7937</v>
      </c>
      <c r="O5082" s="105">
        <v>7012058.0</v>
      </c>
      <c r="P5082" s="105">
        <v>7144017.0</v>
      </c>
      <c r="Q5082" s="102" t="s">
        <v>2446</v>
      </c>
      <c r="S5082" s="1"/>
      <c r="T5082" s="1"/>
      <c r="U5082" s="1"/>
      <c r="V5082" s="1"/>
      <c r="W5082" s="1"/>
      <c r="X5082" s="1"/>
      <c r="Y5082" s="1"/>
      <c r="AA5082" s="102"/>
      <c r="AB5082" s="1"/>
      <c r="AC5082" s="1"/>
      <c r="AD5082" s="1"/>
      <c r="AE5082" s="1"/>
      <c r="AF5082" s="1"/>
      <c r="AG5082" s="1"/>
    </row>
    <row r="5083" ht="15.75" customHeight="1">
      <c r="A5083" s="1"/>
      <c r="B5083" s="1"/>
      <c r="C5083" s="1"/>
      <c r="D5083" s="1"/>
      <c r="E5083" s="1"/>
      <c r="F5083" s="1"/>
      <c r="G5083" s="1"/>
      <c r="H5083" s="1"/>
      <c r="I5083" s="1"/>
      <c r="J5083" s="1"/>
      <c r="K5083" s="102" t="s">
        <v>7942</v>
      </c>
      <c r="L5083" s="102" t="str">
        <f>E655</f>
        <v>J1a2b~</v>
      </c>
      <c r="M5083" s="102" t="s">
        <v>7943</v>
      </c>
      <c r="N5083" s="102" t="s">
        <v>7944</v>
      </c>
      <c r="O5083" s="105">
        <v>1.8137936E7</v>
      </c>
      <c r="P5083" s="105">
        <v>1.6026056E7</v>
      </c>
      <c r="Q5083" s="102" t="s">
        <v>2439</v>
      </c>
      <c r="S5083" s="1"/>
      <c r="T5083" s="1"/>
      <c r="U5083" s="1"/>
      <c r="V5083" s="1"/>
      <c r="W5083" s="1"/>
      <c r="X5083" s="1"/>
      <c r="Y5083" s="1"/>
      <c r="AA5083" s="102"/>
      <c r="AB5083" s="1"/>
      <c r="AC5083" s="1"/>
      <c r="AD5083" s="1"/>
      <c r="AE5083" s="1"/>
      <c r="AF5083" s="1"/>
      <c r="AG5083" s="1"/>
    </row>
    <row r="5084" ht="15.75" customHeight="1">
      <c r="A5084" s="1"/>
      <c r="B5084" s="1"/>
      <c r="C5084" s="1"/>
      <c r="D5084" s="1"/>
      <c r="E5084" s="1"/>
      <c r="F5084" s="1"/>
      <c r="G5084" s="1"/>
      <c r="H5084" s="1"/>
      <c r="I5084" s="1"/>
      <c r="J5084" s="1"/>
      <c r="K5084" s="102" t="s">
        <v>7945</v>
      </c>
      <c r="L5084" s="102" t="str">
        <f>E655</f>
        <v>J1a2b~</v>
      </c>
      <c r="M5084" s="102" t="s">
        <v>7946</v>
      </c>
      <c r="N5084" s="102" t="s">
        <v>7944</v>
      </c>
      <c r="O5084" s="105">
        <v>1.8137936E7</v>
      </c>
      <c r="P5084" s="105">
        <v>1.6026056E7</v>
      </c>
      <c r="Q5084" s="102" t="s">
        <v>2439</v>
      </c>
      <c r="S5084" s="1"/>
      <c r="T5084" s="1"/>
      <c r="U5084" s="1"/>
      <c r="V5084" s="1"/>
      <c r="W5084" s="1"/>
      <c r="X5084" s="1"/>
      <c r="Y5084" s="1"/>
      <c r="AA5084" s="102"/>
      <c r="AB5084" s="1"/>
      <c r="AC5084" s="1"/>
      <c r="AD5084" s="1"/>
      <c r="AE5084" s="1"/>
      <c r="AF5084" s="1"/>
      <c r="AG5084" s="1"/>
    </row>
    <row r="5085" ht="15.75" customHeight="1">
      <c r="A5085" s="1"/>
      <c r="B5085" s="1"/>
      <c r="C5085" s="1"/>
      <c r="D5085" s="1"/>
      <c r="E5085" s="1"/>
      <c r="F5085" s="1"/>
      <c r="G5085" s="1"/>
      <c r="H5085" s="1"/>
      <c r="I5085" s="1"/>
      <c r="J5085" s="1"/>
      <c r="K5085" s="102" t="s">
        <v>7947</v>
      </c>
      <c r="L5085" s="102" t="str">
        <f>E655</f>
        <v>J1a2b~</v>
      </c>
      <c r="M5085" s="102" t="s">
        <v>7948</v>
      </c>
      <c r="N5085" s="102" t="s">
        <v>7944</v>
      </c>
      <c r="O5085" s="105">
        <v>1.8137936E7</v>
      </c>
      <c r="P5085" s="105">
        <v>1.6026056E7</v>
      </c>
      <c r="Q5085" s="102" t="s">
        <v>2439</v>
      </c>
      <c r="S5085" s="1"/>
      <c r="T5085" s="1"/>
      <c r="U5085" s="1"/>
      <c r="V5085" s="1"/>
      <c r="W5085" s="1"/>
      <c r="X5085" s="1"/>
      <c r="Y5085" s="1"/>
      <c r="AA5085" s="102"/>
      <c r="AB5085" s="1"/>
      <c r="AC5085" s="1"/>
      <c r="AD5085" s="1"/>
      <c r="AE5085" s="1"/>
      <c r="AF5085" s="1"/>
      <c r="AG5085" s="1"/>
    </row>
    <row r="5086" ht="15.75" customHeight="1">
      <c r="A5086" s="1"/>
      <c r="B5086" s="1"/>
      <c r="C5086" s="1"/>
      <c r="D5086" s="1"/>
      <c r="E5086" s="1"/>
      <c r="F5086" s="1"/>
      <c r="G5086" s="1"/>
      <c r="H5086" s="1"/>
      <c r="I5086" s="1"/>
      <c r="J5086" s="1"/>
      <c r="K5086" s="102" t="s">
        <v>7949</v>
      </c>
      <c r="L5086" s="102" t="str">
        <f>E655</f>
        <v>J1a2b~</v>
      </c>
      <c r="M5086" s="102" t="s">
        <v>7950</v>
      </c>
      <c r="N5086" s="102" t="s">
        <v>7951</v>
      </c>
      <c r="O5086" s="105">
        <v>1.5817687E7</v>
      </c>
      <c r="P5086" s="105">
        <v>1.3705807E7</v>
      </c>
      <c r="Q5086" s="102" t="s">
        <v>2439</v>
      </c>
      <c r="S5086" s="1"/>
      <c r="T5086" s="1"/>
      <c r="U5086" s="1"/>
      <c r="V5086" s="1"/>
      <c r="W5086" s="1"/>
      <c r="X5086" s="1"/>
      <c r="Y5086" s="1"/>
      <c r="AA5086" s="102"/>
      <c r="AB5086" s="1"/>
      <c r="AC5086" s="1"/>
      <c r="AD5086" s="1"/>
      <c r="AE5086" s="1"/>
      <c r="AF5086" s="1"/>
      <c r="AG5086" s="1"/>
    </row>
    <row r="5087" ht="15.75" customHeight="1">
      <c r="A5087" s="1"/>
      <c r="B5087" s="1"/>
      <c r="C5087" s="1"/>
      <c r="D5087" s="1"/>
      <c r="E5087" s="1"/>
      <c r="F5087" s="1"/>
      <c r="G5087" s="1"/>
      <c r="H5087" s="1"/>
      <c r="I5087" s="1"/>
      <c r="J5087" s="1"/>
      <c r="K5087" s="102" t="s">
        <v>7952</v>
      </c>
      <c r="L5087" s="102" t="str">
        <f>E655</f>
        <v>J1a2b~</v>
      </c>
      <c r="M5087" s="102" t="s">
        <v>7953</v>
      </c>
      <c r="N5087" s="102" t="s">
        <v>7951</v>
      </c>
      <c r="O5087" s="105">
        <v>1.5817687E7</v>
      </c>
      <c r="P5087" s="105">
        <v>1.3705807E7</v>
      </c>
      <c r="Q5087" s="102" t="s">
        <v>2439</v>
      </c>
      <c r="S5087" s="1"/>
      <c r="T5087" s="1"/>
      <c r="U5087" s="1"/>
      <c r="V5087" s="1"/>
      <c r="W5087" s="1"/>
      <c r="X5087" s="1"/>
      <c r="Y5087" s="1"/>
      <c r="AA5087" s="102"/>
      <c r="AB5087" s="1"/>
      <c r="AC5087" s="1"/>
      <c r="AD5087" s="1"/>
      <c r="AE5087" s="1"/>
      <c r="AF5087" s="1"/>
      <c r="AG5087" s="1"/>
    </row>
    <row r="5088" ht="15.75" customHeight="1">
      <c r="A5088" s="1"/>
      <c r="B5088" s="1"/>
      <c r="C5088" s="1"/>
      <c r="D5088" s="1"/>
      <c r="E5088" s="1"/>
      <c r="F5088" s="1"/>
      <c r="G5088" s="1"/>
      <c r="H5088" s="1"/>
      <c r="I5088" s="1"/>
      <c r="J5088" s="1"/>
      <c r="K5088" s="102" t="s">
        <v>7954</v>
      </c>
      <c r="L5088" s="102" t="str">
        <f>E655</f>
        <v>J1a2b~</v>
      </c>
      <c r="M5088" s="102" t="s">
        <v>7955</v>
      </c>
      <c r="N5088" s="102" t="s">
        <v>7951</v>
      </c>
      <c r="O5088" s="105">
        <v>1.5817687E7</v>
      </c>
      <c r="P5088" s="105">
        <v>1.3705807E7</v>
      </c>
      <c r="Q5088" s="102" t="s">
        <v>2439</v>
      </c>
      <c r="S5088" s="1"/>
      <c r="T5088" s="1"/>
      <c r="U5088" s="1"/>
      <c r="V5088" s="1"/>
      <c r="W5088" s="1"/>
      <c r="X5088" s="1"/>
      <c r="Y5088" s="1"/>
      <c r="AA5088" s="102"/>
      <c r="AB5088" s="1"/>
      <c r="AC5088" s="1"/>
      <c r="AD5088" s="1"/>
      <c r="AE5088" s="1"/>
      <c r="AF5088" s="1"/>
      <c r="AG5088" s="1"/>
    </row>
    <row r="5089" ht="15.75" customHeight="1">
      <c r="A5089" s="1"/>
      <c r="B5089" s="1"/>
      <c r="C5089" s="1"/>
      <c r="D5089" s="1"/>
      <c r="E5089" s="1"/>
      <c r="F5089" s="1"/>
      <c r="G5089" s="1"/>
      <c r="H5089" s="1"/>
      <c r="I5089" s="1"/>
      <c r="J5089" s="1"/>
      <c r="K5089" s="102" t="s">
        <v>7956</v>
      </c>
      <c r="L5089" s="102" t="str">
        <f>E655</f>
        <v>J1a2b~</v>
      </c>
      <c r="M5089" s="102" t="s">
        <v>7957</v>
      </c>
      <c r="N5089" s="102" t="s">
        <v>7958</v>
      </c>
      <c r="O5089" s="105">
        <v>7934647.0</v>
      </c>
      <c r="P5089" s="105">
        <v>8066606.0</v>
      </c>
      <c r="Q5089" s="102" t="s">
        <v>2533</v>
      </c>
      <c r="S5089" s="1"/>
      <c r="T5089" s="1"/>
      <c r="U5089" s="1"/>
      <c r="V5089" s="1"/>
      <c r="W5089" s="1"/>
      <c r="X5089" s="1"/>
      <c r="Y5089" s="1"/>
      <c r="AA5089" s="102"/>
      <c r="AB5089" s="1"/>
      <c r="AC5089" s="1"/>
      <c r="AD5089" s="1"/>
      <c r="AE5089" s="1"/>
      <c r="AF5089" s="1"/>
      <c r="AG5089" s="1"/>
    </row>
    <row r="5090" ht="15.75" customHeight="1">
      <c r="A5090" s="1"/>
      <c r="B5090" s="1"/>
      <c r="C5090" s="1"/>
      <c r="D5090" s="1"/>
      <c r="E5090" s="1"/>
      <c r="F5090" s="1"/>
      <c r="G5090" s="1"/>
      <c r="H5090" s="1"/>
      <c r="I5090" s="1"/>
      <c r="J5090" s="1"/>
      <c r="K5090" s="102" t="s">
        <v>7959</v>
      </c>
      <c r="L5090" s="102" t="str">
        <f>E655</f>
        <v>J1a2b~</v>
      </c>
      <c r="M5090" s="102" t="s">
        <v>7960</v>
      </c>
      <c r="N5090" s="102" t="s">
        <v>7958</v>
      </c>
      <c r="O5090" s="105">
        <v>7934647.0</v>
      </c>
      <c r="P5090" s="105">
        <v>8066606.0</v>
      </c>
      <c r="Q5090" s="102" t="s">
        <v>2533</v>
      </c>
      <c r="S5090" s="1"/>
      <c r="T5090" s="1"/>
      <c r="U5090" s="1"/>
      <c r="V5090" s="1"/>
      <c r="W5090" s="1"/>
      <c r="X5090" s="1"/>
      <c r="Y5090" s="1"/>
      <c r="AA5090" s="102"/>
      <c r="AB5090" s="1"/>
      <c r="AC5090" s="1"/>
      <c r="AD5090" s="1"/>
      <c r="AE5090" s="1"/>
      <c r="AF5090" s="1"/>
      <c r="AG5090" s="1"/>
    </row>
    <row r="5091" ht="15.75" customHeight="1">
      <c r="A5091" s="1"/>
      <c r="B5091" s="1"/>
      <c r="C5091" s="1"/>
      <c r="D5091" s="1"/>
      <c r="E5091" s="1"/>
      <c r="F5091" s="1"/>
      <c r="G5091" s="1"/>
      <c r="H5091" s="1"/>
      <c r="I5091" s="1"/>
      <c r="J5091" s="1"/>
      <c r="K5091" s="102" t="s">
        <v>7961</v>
      </c>
      <c r="L5091" s="102" t="str">
        <f>E655</f>
        <v>J1a2b~</v>
      </c>
      <c r="M5091" s="102" t="s">
        <v>7962</v>
      </c>
      <c r="N5091" s="102" t="s">
        <v>7958</v>
      </c>
      <c r="O5091" s="105">
        <v>7934647.0</v>
      </c>
      <c r="P5091" s="105">
        <v>8066606.0</v>
      </c>
      <c r="Q5091" s="102" t="s">
        <v>2533</v>
      </c>
      <c r="S5091" s="1"/>
      <c r="T5091" s="1"/>
      <c r="U5091" s="1"/>
      <c r="V5091" s="1"/>
      <c r="W5091" s="1"/>
      <c r="X5091" s="1"/>
      <c r="Y5091" s="1"/>
      <c r="AA5091" s="102"/>
      <c r="AB5091" s="1"/>
      <c r="AC5091" s="1"/>
      <c r="AD5091" s="1"/>
      <c r="AE5091" s="1"/>
      <c r="AF5091" s="1"/>
      <c r="AG5091" s="1"/>
    </row>
    <row r="5092" ht="15.75" customHeight="1">
      <c r="A5092" s="1"/>
      <c r="B5092" s="1"/>
      <c r="C5092" s="1"/>
      <c r="D5092" s="1"/>
      <c r="E5092" s="1"/>
      <c r="F5092" s="1"/>
      <c r="G5092" s="1"/>
      <c r="H5092" s="1"/>
      <c r="I5092" s="1"/>
      <c r="J5092" s="1"/>
      <c r="K5092" s="102" t="s">
        <v>7963</v>
      </c>
      <c r="L5092" s="102" t="str">
        <f>E655</f>
        <v>J1a2b~</v>
      </c>
      <c r="M5092" s="102" t="s">
        <v>7964</v>
      </c>
      <c r="N5092" s="102" t="s">
        <v>7965</v>
      </c>
      <c r="O5092" s="105">
        <v>1.8175496E7</v>
      </c>
      <c r="P5092" s="105">
        <v>1.6063616E7</v>
      </c>
      <c r="Q5092" s="102" t="s">
        <v>2439</v>
      </c>
      <c r="S5092" s="1"/>
      <c r="T5092" s="1"/>
      <c r="U5092" s="1"/>
      <c r="V5092" s="1"/>
      <c r="W5092" s="1"/>
      <c r="X5092" s="1"/>
      <c r="Y5092" s="1"/>
      <c r="AA5092" s="102"/>
      <c r="AB5092" s="1"/>
      <c r="AC5092" s="1"/>
      <c r="AD5092" s="1"/>
      <c r="AE5092" s="1"/>
      <c r="AF5092" s="1"/>
      <c r="AG5092" s="1"/>
    </row>
    <row r="5093" ht="15.75" customHeight="1">
      <c r="A5093" s="1"/>
      <c r="B5093" s="1"/>
      <c r="C5093" s="1"/>
      <c r="D5093" s="1"/>
      <c r="E5093" s="1"/>
      <c r="F5093" s="1"/>
      <c r="G5093" s="1"/>
      <c r="H5093" s="1"/>
      <c r="I5093" s="1"/>
      <c r="J5093" s="1"/>
      <c r="K5093" s="102" t="s">
        <v>7966</v>
      </c>
      <c r="L5093" s="102" t="str">
        <f>E655</f>
        <v>J1a2b~</v>
      </c>
      <c r="M5093" s="102" t="s">
        <v>7967</v>
      </c>
      <c r="N5093" s="102" t="s">
        <v>7965</v>
      </c>
      <c r="O5093" s="105">
        <v>1.8175496E7</v>
      </c>
      <c r="P5093" s="105">
        <v>1.6063616E7</v>
      </c>
      <c r="Q5093" s="102" t="s">
        <v>2439</v>
      </c>
      <c r="S5093" s="1"/>
      <c r="T5093" s="1"/>
      <c r="U5093" s="1"/>
      <c r="V5093" s="1"/>
      <c r="W5093" s="1"/>
      <c r="X5093" s="1"/>
      <c r="Y5093" s="1"/>
      <c r="AA5093" s="102"/>
      <c r="AB5093" s="1"/>
      <c r="AC5093" s="1"/>
      <c r="AD5093" s="1"/>
      <c r="AE5093" s="1"/>
      <c r="AF5093" s="1"/>
      <c r="AG5093" s="1"/>
    </row>
    <row r="5094" ht="15.75" customHeight="1">
      <c r="A5094" s="1"/>
      <c r="B5094" s="1"/>
      <c r="C5094" s="1"/>
      <c r="D5094" s="1"/>
      <c r="E5094" s="1"/>
      <c r="F5094" s="1"/>
      <c r="G5094" s="1"/>
      <c r="H5094" s="1"/>
      <c r="I5094" s="1"/>
      <c r="J5094" s="1"/>
      <c r="K5094" s="102" t="s">
        <v>7968</v>
      </c>
      <c r="L5094" s="102" t="str">
        <f>E655</f>
        <v>J1a2b~</v>
      </c>
      <c r="M5094" s="102" t="s">
        <v>7969</v>
      </c>
      <c r="N5094" s="102" t="s">
        <v>7965</v>
      </c>
      <c r="O5094" s="105">
        <v>1.8175496E7</v>
      </c>
      <c r="P5094" s="105">
        <v>1.6063616E7</v>
      </c>
      <c r="Q5094" s="102" t="s">
        <v>2439</v>
      </c>
      <c r="S5094" s="1"/>
      <c r="T5094" s="1"/>
      <c r="U5094" s="1"/>
      <c r="V5094" s="1"/>
      <c r="W5094" s="1"/>
      <c r="X5094" s="1"/>
      <c r="Y5094" s="1"/>
      <c r="AA5094" s="102"/>
      <c r="AB5094" s="1"/>
      <c r="AC5094" s="1"/>
      <c r="AD5094" s="1"/>
      <c r="AE5094" s="1"/>
      <c r="AF5094" s="1"/>
      <c r="AG5094" s="1"/>
    </row>
    <row r="5095" ht="15.75" customHeight="1">
      <c r="A5095" s="1"/>
      <c r="B5095" s="1"/>
      <c r="C5095" s="1"/>
      <c r="D5095" s="1"/>
      <c r="E5095" s="1"/>
      <c r="F5095" s="1"/>
      <c r="G5095" s="1"/>
      <c r="H5095" s="1"/>
      <c r="I5095" s="1"/>
      <c r="J5095" s="1"/>
      <c r="K5095" s="102" t="s">
        <v>7970</v>
      </c>
      <c r="L5095" s="102" t="str">
        <f>E655</f>
        <v>J1a2b~</v>
      </c>
      <c r="M5095" s="102" t="s">
        <v>7971</v>
      </c>
      <c r="N5095" s="102" t="s">
        <v>7972</v>
      </c>
      <c r="O5095" s="105">
        <v>1.5005032E7</v>
      </c>
      <c r="P5095" s="105">
        <v>1.2893117E7</v>
      </c>
      <c r="Q5095" s="102" t="s">
        <v>2514</v>
      </c>
      <c r="S5095" s="1"/>
      <c r="T5095" s="1"/>
      <c r="U5095" s="1"/>
      <c r="V5095" s="1"/>
      <c r="W5095" s="1"/>
      <c r="X5095" s="1"/>
      <c r="Y5095" s="1"/>
      <c r="AA5095" s="102"/>
      <c r="AB5095" s="1"/>
      <c r="AC5095" s="1"/>
      <c r="AD5095" s="1"/>
      <c r="AE5095" s="1"/>
      <c r="AF5095" s="1"/>
      <c r="AG5095" s="1"/>
    </row>
    <row r="5096" ht="15.75" customHeight="1">
      <c r="A5096" s="1"/>
      <c r="B5096" s="1"/>
      <c r="C5096" s="1"/>
      <c r="D5096" s="1"/>
      <c r="E5096" s="1"/>
      <c r="F5096" s="1"/>
      <c r="G5096" s="1"/>
      <c r="H5096" s="1"/>
      <c r="I5096" s="1"/>
      <c r="J5096" s="1"/>
      <c r="K5096" s="102" t="s">
        <v>7973</v>
      </c>
      <c r="L5096" s="102" t="str">
        <f>E655</f>
        <v>J1a2b~</v>
      </c>
      <c r="M5096" s="102" t="s">
        <v>7974</v>
      </c>
      <c r="N5096" s="102" t="s">
        <v>7972</v>
      </c>
      <c r="O5096" s="105">
        <v>1.5005032E7</v>
      </c>
      <c r="P5096" s="105">
        <v>1.2893117E7</v>
      </c>
      <c r="Q5096" s="102" t="s">
        <v>2514</v>
      </c>
      <c r="S5096" s="1"/>
      <c r="T5096" s="1"/>
      <c r="U5096" s="1"/>
      <c r="V5096" s="1"/>
      <c r="W5096" s="1"/>
      <c r="X5096" s="1"/>
      <c r="Y5096" s="1"/>
      <c r="AA5096" s="102"/>
      <c r="AB5096" s="1"/>
      <c r="AC5096" s="1"/>
      <c r="AD5096" s="1"/>
      <c r="AE5096" s="1"/>
      <c r="AF5096" s="1"/>
      <c r="AG5096" s="1"/>
    </row>
    <row r="5097" ht="15.75" customHeight="1">
      <c r="A5097" s="1"/>
      <c r="B5097" s="1"/>
      <c r="C5097" s="1"/>
      <c r="D5097" s="1"/>
      <c r="E5097" s="1"/>
      <c r="F5097" s="1"/>
      <c r="G5097" s="1"/>
      <c r="H5097" s="1"/>
      <c r="I5097" s="1"/>
      <c r="J5097" s="1"/>
      <c r="K5097" s="102" t="s">
        <v>7975</v>
      </c>
      <c r="L5097" s="102" t="str">
        <f>E655</f>
        <v>J1a2b~</v>
      </c>
      <c r="M5097" s="102" t="s">
        <v>7976</v>
      </c>
      <c r="N5097" s="102" t="s">
        <v>7972</v>
      </c>
      <c r="O5097" s="105">
        <v>1.5005032E7</v>
      </c>
      <c r="P5097" s="105">
        <v>1.2893117E7</v>
      </c>
      <c r="Q5097" s="102" t="s">
        <v>2514</v>
      </c>
      <c r="S5097" s="1"/>
      <c r="T5097" s="1"/>
      <c r="U5097" s="1"/>
      <c r="V5097" s="1"/>
      <c r="W5097" s="1"/>
      <c r="X5097" s="1"/>
      <c r="Y5097" s="1"/>
      <c r="AA5097" s="102"/>
      <c r="AB5097" s="1"/>
      <c r="AC5097" s="1"/>
      <c r="AD5097" s="1"/>
      <c r="AE5097" s="1"/>
      <c r="AF5097" s="1"/>
      <c r="AG5097" s="1"/>
    </row>
    <row r="5098" ht="15.75" customHeight="1">
      <c r="A5098" s="1"/>
      <c r="B5098" s="1"/>
      <c r="C5098" s="1"/>
      <c r="D5098" s="1"/>
      <c r="E5098" s="1"/>
      <c r="F5098" s="1"/>
      <c r="G5098" s="1"/>
      <c r="H5098" s="1"/>
      <c r="I5098" s="1"/>
      <c r="J5098" s="1"/>
      <c r="K5098" s="102" t="s">
        <v>7977</v>
      </c>
      <c r="L5098" s="102" t="str">
        <f>E655</f>
        <v>J1a2b~</v>
      </c>
      <c r="M5098" s="102" t="s">
        <v>7978</v>
      </c>
      <c r="N5098" s="102" t="s">
        <v>7979</v>
      </c>
      <c r="O5098" s="105">
        <v>1.8092506E7</v>
      </c>
      <c r="P5098" s="105">
        <v>1.5980626E7</v>
      </c>
      <c r="Q5098" s="102" t="s">
        <v>2439</v>
      </c>
      <c r="S5098" s="1"/>
      <c r="T5098" s="1"/>
      <c r="U5098" s="1"/>
      <c r="V5098" s="1"/>
      <c r="W5098" s="1"/>
      <c r="X5098" s="1"/>
      <c r="Y5098" s="1"/>
      <c r="AA5098" s="102"/>
      <c r="AB5098" s="1"/>
      <c r="AC5098" s="1"/>
      <c r="AD5098" s="1"/>
      <c r="AE5098" s="1"/>
      <c r="AF5098" s="1"/>
      <c r="AG5098" s="1"/>
    </row>
    <row r="5099" ht="15.75" customHeight="1">
      <c r="A5099" s="1"/>
      <c r="B5099" s="1"/>
      <c r="C5099" s="1"/>
      <c r="D5099" s="1"/>
      <c r="E5099" s="1"/>
      <c r="F5099" s="1"/>
      <c r="G5099" s="1"/>
      <c r="H5099" s="1"/>
      <c r="I5099" s="1"/>
      <c r="J5099" s="1"/>
      <c r="K5099" s="102" t="s">
        <v>7980</v>
      </c>
      <c r="L5099" s="102" t="str">
        <f>E655</f>
        <v>J1a2b~</v>
      </c>
      <c r="M5099" s="102" t="s">
        <v>7981</v>
      </c>
      <c r="N5099" s="102" t="s">
        <v>7979</v>
      </c>
      <c r="O5099" s="105">
        <v>1.8092506E7</v>
      </c>
      <c r="P5099" s="105">
        <v>1.5980626E7</v>
      </c>
      <c r="Q5099" s="102" t="s">
        <v>2439</v>
      </c>
      <c r="S5099" s="1"/>
      <c r="T5099" s="1"/>
      <c r="U5099" s="1"/>
      <c r="V5099" s="1"/>
      <c r="W5099" s="1"/>
      <c r="X5099" s="1"/>
      <c r="Y5099" s="1"/>
      <c r="AA5099" s="102"/>
      <c r="AB5099" s="1"/>
      <c r="AC5099" s="1"/>
      <c r="AD5099" s="1"/>
      <c r="AE5099" s="1"/>
      <c r="AF5099" s="1"/>
      <c r="AG5099" s="1"/>
    </row>
    <row r="5100" ht="15.75" customHeight="1">
      <c r="A5100" s="1"/>
      <c r="B5100" s="1"/>
      <c r="C5100" s="1"/>
      <c r="D5100" s="1"/>
      <c r="E5100" s="1"/>
      <c r="F5100" s="1"/>
      <c r="G5100" s="1"/>
      <c r="H5100" s="1"/>
      <c r="I5100" s="1"/>
      <c r="J5100" s="1"/>
      <c r="K5100" s="102" t="s">
        <v>7982</v>
      </c>
      <c r="L5100" s="102" t="str">
        <f>E655</f>
        <v>J1a2b~</v>
      </c>
      <c r="M5100" s="102" t="s">
        <v>7983</v>
      </c>
      <c r="N5100" s="102" t="s">
        <v>7979</v>
      </c>
      <c r="O5100" s="105">
        <v>1.8092506E7</v>
      </c>
      <c r="P5100" s="105">
        <v>1.5980626E7</v>
      </c>
      <c r="Q5100" s="102" t="s">
        <v>2439</v>
      </c>
      <c r="S5100" s="1"/>
      <c r="T5100" s="1"/>
      <c r="U5100" s="1"/>
      <c r="V5100" s="1"/>
      <c r="W5100" s="1"/>
      <c r="X5100" s="1"/>
      <c r="Y5100" s="1"/>
      <c r="AA5100" s="102"/>
      <c r="AB5100" s="1"/>
      <c r="AC5100" s="1"/>
      <c r="AD5100" s="1"/>
      <c r="AE5100" s="1"/>
      <c r="AF5100" s="1"/>
      <c r="AG5100" s="1"/>
    </row>
    <row r="5101" ht="15.75" customHeight="1">
      <c r="A5101" s="1"/>
      <c r="B5101" s="1"/>
      <c r="C5101" s="1"/>
      <c r="D5101" s="1"/>
      <c r="E5101" s="1"/>
      <c r="F5101" s="1"/>
      <c r="G5101" s="1"/>
      <c r="H5101" s="1"/>
      <c r="I5101" s="1"/>
      <c r="J5101" s="1"/>
      <c r="K5101" s="102" t="s">
        <v>7984</v>
      </c>
      <c r="L5101" s="102" t="str">
        <f>E655</f>
        <v>J1a2b~</v>
      </c>
      <c r="M5101" s="102" t="s">
        <v>7985</v>
      </c>
      <c r="N5101" s="102" t="s">
        <v>7986</v>
      </c>
      <c r="O5101" s="105">
        <v>6845265.0</v>
      </c>
      <c r="P5101" s="105">
        <v>6977224.0</v>
      </c>
      <c r="Q5101" s="102" t="s">
        <v>2446</v>
      </c>
      <c r="S5101" s="1"/>
      <c r="T5101" s="1"/>
      <c r="U5101" s="1"/>
      <c r="V5101" s="1"/>
      <c r="W5101" s="1"/>
      <c r="X5101" s="1"/>
      <c r="Y5101" s="1"/>
      <c r="AA5101" s="102"/>
      <c r="AB5101" s="1"/>
      <c r="AC5101" s="1"/>
      <c r="AD5101" s="1"/>
      <c r="AE5101" s="1"/>
      <c r="AF5101" s="1"/>
      <c r="AG5101" s="1"/>
    </row>
    <row r="5102" ht="15.75" customHeight="1">
      <c r="A5102" s="1"/>
      <c r="B5102" s="1"/>
      <c r="C5102" s="1"/>
      <c r="D5102" s="1"/>
      <c r="E5102" s="1"/>
      <c r="F5102" s="1"/>
      <c r="G5102" s="1"/>
      <c r="H5102" s="1"/>
      <c r="I5102" s="1"/>
      <c r="J5102" s="1"/>
      <c r="K5102" s="102" t="s">
        <v>7987</v>
      </c>
      <c r="L5102" s="102" t="str">
        <f>E655</f>
        <v>J1a2b~</v>
      </c>
      <c r="M5102" s="102" t="s">
        <v>7988</v>
      </c>
      <c r="N5102" s="102" t="s">
        <v>7986</v>
      </c>
      <c r="O5102" s="105">
        <v>6845265.0</v>
      </c>
      <c r="P5102" s="105">
        <v>6977224.0</v>
      </c>
      <c r="Q5102" s="102" t="s">
        <v>2446</v>
      </c>
      <c r="S5102" s="1"/>
      <c r="T5102" s="1"/>
      <c r="U5102" s="1"/>
      <c r="V5102" s="1"/>
      <c r="W5102" s="1"/>
      <c r="X5102" s="1"/>
      <c r="Y5102" s="1"/>
      <c r="AA5102" s="102"/>
      <c r="AB5102" s="1"/>
      <c r="AC5102" s="1"/>
      <c r="AD5102" s="1"/>
      <c r="AE5102" s="1"/>
      <c r="AF5102" s="1"/>
      <c r="AG5102" s="1"/>
    </row>
    <row r="5103" ht="15.75" customHeight="1">
      <c r="A5103" s="1"/>
      <c r="B5103" s="1"/>
      <c r="C5103" s="1"/>
      <c r="D5103" s="1"/>
      <c r="E5103" s="1"/>
      <c r="F5103" s="1"/>
      <c r="G5103" s="1"/>
      <c r="H5103" s="1"/>
      <c r="I5103" s="1"/>
      <c r="J5103" s="1"/>
      <c r="K5103" s="102" t="s">
        <v>7989</v>
      </c>
      <c r="L5103" s="102" t="str">
        <f>E655</f>
        <v>J1a2b~</v>
      </c>
      <c r="M5103" s="102" t="s">
        <v>7990</v>
      </c>
      <c r="N5103" s="102" t="s">
        <v>7986</v>
      </c>
      <c r="O5103" s="105">
        <v>6845265.0</v>
      </c>
      <c r="P5103" s="105">
        <v>6977224.0</v>
      </c>
      <c r="Q5103" s="102" t="s">
        <v>2446</v>
      </c>
      <c r="S5103" s="1"/>
      <c r="T5103" s="1"/>
      <c r="U5103" s="1"/>
      <c r="V5103" s="1"/>
      <c r="W5103" s="1"/>
      <c r="X5103" s="1"/>
      <c r="Y5103" s="1"/>
      <c r="AA5103" s="102"/>
      <c r="AB5103" s="1"/>
      <c r="AC5103" s="1"/>
      <c r="AD5103" s="1"/>
      <c r="AE5103" s="1"/>
      <c r="AF5103" s="1"/>
      <c r="AG5103" s="1"/>
    </row>
    <row r="5104" ht="15.75" customHeight="1">
      <c r="A5104" s="1"/>
      <c r="B5104" s="1"/>
      <c r="C5104" s="1"/>
      <c r="D5104" s="1"/>
      <c r="E5104" s="1"/>
      <c r="F5104" s="1"/>
      <c r="G5104" s="1"/>
      <c r="H5104" s="1"/>
      <c r="I5104" s="1"/>
      <c r="J5104" s="1"/>
      <c r="K5104" s="102" t="s">
        <v>7991</v>
      </c>
      <c r="L5104" s="102" t="str">
        <f>E655</f>
        <v>J1a2b~</v>
      </c>
      <c r="M5104" s="102"/>
      <c r="N5104" s="102" t="s">
        <v>7992</v>
      </c>
      <c r="O5104" s="105">
        <v>1.7572057E7</v>
      </c>
      <c r="P5104" s="105">
        <v>1.5460177E7</v>
      </c>
      <c r="Q5104" s="102" t="s">
        <v>2423</v>
      </c>
      <c r="S5104" s="1"/>
      <c r="T5104" s="1"/>
      <c r="U5104" s="1"/>
      <c r="V5104" s="1"/>
      <c r="W5104" s="1"/>
      <c r="X5104" s="1"/>
      <c r="Y5104" s="1"/>
      <c r="AA5104" s="102"/>
      <c r="AB5104" s="1"/>
      <c r="AC5104" s="1"/>
      <c r="AD5104" s="1"/>
      <c r="AE5104" s="1"/>
      <c r="AF5104" s="1"/>
      <c r="AG5104" s="1"/>
    </row>
    <row r="5105" ht="15.75" customHeight="1">
      <c r="A5105" s="1"/>
      <c r="B5105" s="1"/>
      <c r="C5105" s="1"/>
      <c r="D5105" s="1"/>
      <c r="E5105" s="1"/>
      <c r="F5105" s="1"/>
      <c r="G5105" s="1"/>
      <c r="H5105" s="1"/>
      <c r="I5105" s="1"/>
      <c r="J5105" s="1"/>
      <c r="K5105" s="102" t="s">
        <v>7993</v>
      </c>
      <c r="L5105" s="102" t="str">
        <f>E655</f>
        <v>J1a2b~</v>
      </c>
      <c r="M5105" s="102" t="s">
        <v>7994</v>
      </c>
      <c r="N5105" s="102"/>
      <c r="O5105" s="105">
        <v>2.1895565E7</v>
      </c>
      <c r="P5105" s="105">
        <v>1.9733679E7</v>
      </c>
      <c r="Q5105" s="102" t="s">
        <v>2501</v>
      </c>
      <c r="S5105" s="1"/>
      <c r="T5105" s="1"/>
      <c r="U5105" s="1"/>
      <c r="V5105" s="1"/>
      <c r="W5105" s="1"/>
      <c r="X5105" s="1"/>
      <c r="Y5105" s="1"/>
      <c r="AA5105" s="102"/>
      <c r="AB5105" s="1"/>
      <c r="AC5105" s="1"/>
      <c r="AD5105" s="1"/>
      <c r="AE5105" s="1"/>
      <c r="AF5105" s="1"/>
      <c r="AG5105" s="1"/>
    </row>
    <row r="5106" ht="15.75" customHeight="1">
      <c r="A5106" s="1"/>
      <c r="B5106" s="1"/>
      <c r="C5106" s="1"/>
      <c r="D5106" s="1"/>
      <c r="E5106" s="1"/>
      <c r="F5106" s="1"/>
      <c r="G5106" s="1"/>
      <c r="H5106" s="1"/>
      <c r="I5106" s="1"/>
      <c r="J5106" s="1"/>
      <c r="K5106" s="102" t="s">
        <v>7994</v>
      </c>
      <c r="L5106" s="102" t="str">
        <f>E655</f>
        <v>J1a2b~</v>
      </c>
      <c r="M5106" s="102" t="s">
        <v>7993</v>
      </c>
      <c r="N5106" s="102"/>
      <c r="O5106" s="105">
        <v>2.1895565E7</v>
      </c>
      <c r="P5106" s="105">
        <v>1.9733679E7</v>
      </c>
      <c r="Q5106" s="102" t="s">
        <v>2501</v>
      </c>
      <c r="S5106" s="1"/>
      <c r="T5106" s="1"/>
      <c r="U5106" s="1"/>
      <c r="V5106" s="1"/>
      <c r="W5106" s="1"/>
      <c r="X5106" s="1"/>
      <c r="Y5106" s="1"/>
      <c r="AA5106" s="102"/>
      <c r="AB5106" s="1"/>
      <c r="AC5106" s="1"/>
      <c r="AD5106" s="1"/>
      <c r="AE5106" s="1"/>
      <c r="AF5106" s="1"/>
      <c r="AG5106" s="1"/>
    </row>
    <row r="5107" ht="15.75" customHeight="1">
      <c r="A5107" s="1"/>
      <c r="B5107" s="1"/>
      <c r="C5107" s="1"/>
      <c r="D5107" s="1"/>
      <c r="E5107" s="1"/>
      <c r="F5107" s="1"/>
      <c r="G5107" s="1"/>
      <c r="H5107" s="1"/>
      <c r="I5107" s="1"/>
      <c r="J5107" s="1"/>
      <c r="K5107" s="102" t="s">
        <v>7995</v>
      </c>
      <c r="L5107" s="102" t="str">
        <f>E655</f>
        <v>J1a2b~</v>
      </c>
      <c r="M5107" s="102" t="s">
        <v>7996</v>
      </c>
      <c r="N5107" s="102" t="s">
        <v>7997</v>
      </c>
      <c r="O5107" s="105">
        <v>2.1770485E7</v>
      </c>
      <c r="P5107" s="105">
        <v>1.9608599E7</v>
      </c>
      <c r="Q5107" s="102" t="s">
        <v>2501</v>
      </c>
      <c r="S5107" s="1"/>
      <c r="T5107" s="1"/>
      <c r="U5107" s="1"/>
      <c r="V5107" s="1"/>
      <c r="W5107" s="1"/>
      <c r="X5107" s="1"/>
      <c r="Y5107" s="1"/>
      <c r="AA5107" s="102"/>
      <c r="AB5107" s="1"/>
      <c r="AC5107" s="1"/>
      <c r="AD5107" s="1"/>
      <c r="AE5107" s="1"/>
      <c r="AF5107" s="1"/>
      <c r="AG5107" s="1"/>
    </row>
    <row r="5108" ht="15.75" customHeight="1">
      <c r="A5108" s="1"/>
      <c r="B5108" s="1"/>
      <c r="C5108" s="1"/>
      <c r="D5108" s="1"/>
      <c r="E5108" s="1"/>
      <c r="F5108" s="1"/>
      <c r="G5108" s="1"/>
      <c r="H5108" s="1"/>
      <c r="I5108" s="1"/>
      <c r="J5108" s="1"/>
      <c r="K5108" s="102" t="s">
        <v>7996</v>
      </c>
      <c r="L5108" s="102" t="str">
        <f>E655</f>
        <v>J1a2b~</v>
      </c>
      <c r="M5108" s="102" t="s">
        <v>7995</v>
      </c>
      <c r="N5108" s="102" t="s">
        <v>7997</v>
      </c>
      <c r="O5108" s="105">
        <v>2.1770485E7</v>
      </c>
      <c r="P5108" s="105">
        <v>1.9608599E7</v>
      </c>
      <c r="Q5108" s="102" t="s">
        <v>2501</v>
      </c>
      <c r="S5108" s="1"/>
      <c r="T5108" s="1"/>
      <c r="U5108" s="1"/>
      <c r="V5108" s="1"/>
      <c r="W5108" s="1"/>
      <c r="X5108" s="1"/>
      <c r="Y5108" s="1"/>
      <c r="AA5108" s="102"/>
      <c r="AB5108" s="1"/>
      <c r="AC5108" s="1"/>
      <c r="AD5108" s="1"/>
      <c r="AE5108" s="1"/>
      <c r="AF5108" s="1"/>
      <c r="AG5108" s="1"/>
    </row>
    <row r="5109" ht="15.75" customHeight="1">
      <c r="A5109" s="1"/>
      <c r="B5109" s="1"/>
      <c r="C5109" s="1"/>
      <c r="D5109" s="1"/>
      <c r="E5109" s="1"/>
      <c r="F5109" s="1"/>
      <c r="G5109" s="1"/>
      <c r="H5109" s="1"/>
      <c r="I5109" s="1"/>
      <c r="J5109" s="1"/>
      <c r="K5109" s="102" t="s">
        <v>7998</v>
      </c>
      <c r="L5109" s="102" t="str">
        <f>E655</f>
        <v>J1a2b~</v>
      </c>
      <c r="M5109" s="102"/>
      <c r="N5109" s="102" t="s">
        <v>7999</v>
      </c>
      <c r="O5109" s="105">
        <v>1.7619496E7</v>
      </c>
      <c r="P5109" s="105">
        <v>1.5507616E7</v>
      </c>
      <c r="Q5109" s="102" t="s">
        <v>2514</v>
      </c>
      <c r="S5109" s="1"/>
      <c r="T5109" s="1"/>
      <c r="U5109" s="1"/>
      <c r="V5109" s="1"/>
      <c r="W5109" s="1"/>
      <c r="X5109" s="1"/>
      <c r="Y5109" s="1"/>
      <c r="AA5109" s="102"/>
      <c r="AB5109" s="1"/>
      <c r="AC5109" s="1"/>
      <c r="AD5109" s="1"/>
      <c r="AE5109" s="1"/>
      <c r="AF5109" s="1"/>
      <c r="AG5109" s="1"/>
    </row>
    <row r="5110" ht="15.75" customHeight="1">
      <c r="A5110" s="1"/>
      <c r="B5110" s="1"/>
      <c r="C5110" s="1"/>
      <c r="D5110" s="1"/>
      <c r="E5110" s="1"/>
      <c r="F5110" s="1"/>
      <c r="G5110" s="1"/>
      <c r="H5110" s="1"/>
      <c r="I5110" s="1"/>
      <c r="J5110" s="1"/>
      <c r="K5110" s="102" t="s">
        <v>8000</v>
      </c>
      <c r="L5110" s="102" t="str">
        <f>E655</f>
        <v>J1a2b~</v>
      </c>
      <c r="M5110" s="102"/>
      <c r="N5110" s="102" t="s">
        <v>8001</v>
      </c>
      <c r="O5110" s="105">
        <v>1.7544826E7</v>
      </c>
      <c r="P5110" s="105">
        <v>1.5432946E7</v>
      </c>
      <c r="Q5110" s="102" t="s">
        <v>2514</v>
      </c>
      <c r="S5110" s="1"/>
      <c r="T5110" s="1"/>
      <c r="U5110" s="1"/>
      <c r="V5110" s="1"/>
      <c r="W5110" s="1"/>
      <c r="X5110" s="1"/>
      <c r="Y5110" s="1"/>
      <c r="AA5110" s="102"/>
      <c r="AB5110" s="1"/>
      <c r="AC5110" s="1"/>
      <c r="AD5110" s="1"/>
      <c r="AE5110" s="1"/>
      <c r="AF5110" s="1"/>
      <c r="AG5110" s="1"/>
    </row>
    <row r="5111" ht="15.75" customHeight="1">
      <c r="A5111" s="1"/>
      <c r="B5111" s="1"/>
      <c r="C5111" s="1"/>
      <c r="D5111" s="1"/>
      <c r="E5111" s="1"/>
      <c r="F5111" s="1"/>
      <c r="G5111" s="1"/>
      <c r="H5111" s="1"/>
      <c r="I5111" s="1"/>
      <c r="J5111" s="1"/>
      <c r="K5111" s="102" t="s">
        <v>8002</v>
      </c>
      <c r="L5111" s="102" t="str">
        <f>E655</f>
        <v>J1a2b~</v>
      </c>
      <c r="M5111" s="102"/>
      <c r="N5111" s="102" t="s">
        <v>8003</v>
      </c>
      <c r="O5111" s="105">
        <v>9916317.0</v>
      </c>
      <c r="P5111" s="105">
        <v>1.0078708E7</v>
      </c>
      <c r="Q5111" s="102" t="s">
        <v>2501</v>
      </c>
      <c r="S5111" s="1"/>
      <c r="T5111" s="1"/>
      <c r="U5111" s="1"/>
      <c r="V5111" s="1"/>
      <c r="W5111" s="1"/>
      <c r="X5111" s="1"/>
      <c r="Y5111" s="1"/>
      <c r="AA5111" s="102"/>
      <c r="AB5111" s="1"/>
      <c r="AC5111" s="1"/>
      <c r="AD5111" s="1"/>
      <c r="AE5111" s="1"/>
      <c r="AF5111" s="1"/>
      <c r="AG5111" s="1"/>
    </row>
    <row r="5112" ht="15.75" customHeight="1">
      <c r="A5112" s="1"/>
      <c r="B5112" s="1"/>
      <c r="C5112" s="1"/>
      <c r="D5112" s="1"/>
      <c r="E5112" s="1"/>
      <c r="F5112" s="1"/>
      <c r="G5112" s="1"/>
      <c r="H5112" s="1"/>
      <c r="I5112" s="1"/>
      <c r="J5112" s="1"/>
      <c r="K5112" s="102" t="s">
        <v>8004</v>
      </c>
      <c r="L5112" s="102" t="str">
        <f>E655</f>
        <v>J1a2b~</v>
      </c>
      <c r="M5112" s="102"/>
      <c r="N5112" s="102" t="s">
        <v>8005</v>
      </c>
      <c r="O5112" s="105">
        <v>6880046.0</v>
      </c>
      <c r="P5112" s="105">
        <v>7012005.0</v>
      </c>
      <c r="Q5112" s="102" t="s">
        <v>2563</v>
      </c>
      <c r="S5112" s="1"/>
      <c r="T5112" s="1"/>
      <c r="U5112" s="1"/>
      <c r="V5112" s="1"/>
      <c r="W5112" s="1"/>
      <c r="X5112" s="1"/>
      <c r="Y5112" s="1"/>
      <c r="AA5112" s="102"/>
      <c r="AB5112" s="1"/>
      <c r="AC5112" s="1"/>
      <c r="AD5112" s="1"/>
      <c r="AE5112" s="1"/>
      <c r="AF5112" s="1"/>
      <c r="AG5112" s="1"/>
    </row>
    <row r="5113" ht="15.75" customHeight="1">
      <c r="A5113" s="1"/>
      <c r="B5113" s="1"/>
      <c r="C5113" s="1"/>
      <c r="D5113" s="1"/>
      <c r="E5113" s="1"/>
      <c r="F5113" s="1"/>
      <c r="G5113" s="1"/>
      <c r="H5113" s="1"/>
      <c r="I5113" s="1"/>
      <c r="J5113" s="1"/>
      <c r="K5113" s="102" t="s">
        <v>8006</v>
      </c>
      <c r="L5113" s="102" t="str">
        <f>E655</f>
        <v>J1a2b~</v>
      </c>
      <c r="M5113" s="102" t="s">
        <v>8007</v>
      </c>
      <c r="N5113" s="102" t="s">
        <v>8008</v>
      </c>
      <c r="O5113" s="105">
        <v>7697337.0</v>
      </c>
      <c r="P5113" s="105">
        <v>7829296.0</v>
      </c>
      <c r="Q5113" s="102" t="s">
        <v>2439</v>
      </c>
      <c r="S5113" s="1"/>
      <c r="T5113" s="1"/>
      <c r="U5113" s="1"/>
      <c r="V5113" s="1"/>
      <c r="W5113" s="1"/>
      <c r="X5113" s="1"/>
      <c r="Y5113" s="1"/>
      <c r="AA5113" s="102"/>
      <c r="AB5113" s="1"/>
      <c r="AC5113" s="1"/>
      <c r="AD5113" s="1"/>
      <c r="AE5113" s="1"/>
      <c r="AF5113" s="1"/>
      <c r="AG5113" s="1"/>
    </row>
    <row r="5114" ht="15.75" customHeight="1">
      <c r="A5114" s="1"/>
      <c r="B5114" s="1"/>
      <c r="C5114" s="1"/>
      <c r="D5114" s="1"/>
      <c r="E5114" s="1"/>
      <c r="F5114" s="1"/>
      <c r="G5114" s="1"/>
      <c r="H5114" s="1"/>
      <c r="I5114" s="1"/>
      <c r="J5114" s="1"/>
      <c r="K5114" s="102" t="s">
        <v>8007</v>
      </c>
      <c r="L5114" s="102" t="str">
        <f>E655</f>
        <v>J1a2b~</v>
      </c>
      <c r="M5114" s="102" t="s">
        <v>8006</v>
      </c>
      <c r="N5114" s="102" t="s">
        <v>8008</v>
      </c>
      <c r="O5114" s="105">
        <v>7697337.0</v>
      </c>
      <c r="P5114" s="105">
        <v>7829296.0</v>
      </c>
      <c r="Q5114" s="102" t="s">
        <v>2439</v>
      </c>
      <c r="S5114" s="1"/>
      <c r="T5114" s="1"/>
      <c r="U5114" s="1"/>
      <c r="V5114" s="1"/>
      <c r="W5114" s="1"/>
      <c r="X5114" s="1"/>
      <c r="Y5114" s="1"/>
      <c r="AA5114" s="102"/>
      <c r="AB5114" s="1"/>
      <c r="AC5114" s="1"/>
      <c r="AD5114" s="1"/>
      <c r="AE5114" s="1"/>
      <c r="AF5114" s="1"/>
      <c r="AG5114" s="1"/>
    </row>
    <row r="5115" ht="15.75" customHeight="1">
      <c r="A5115" s="1"/>
      <c r="B5115" s="1"/>
      <c r="C5115" s="1"/>
      <c r="D5115" s="1"/>
      <c r="E5115" s="1"/>
      <c r="F5115" s="1"/>
      <c r="G5115" s="1"/>
      <c r="H5115" s="1"/>
      <c r="I5115" s="1"/>
      <c r="J5115" s="1"/>
      <c r="K5115" s="102" t="s">
        <v>8009</v>
      </c>
      <c r="L5115" s="102" t="str">
        <f>E655</f>
        <v>J1a2b~</v>
      </c>
      <c r="M5115" s="102"/>
      <c r="N5115" s="102" t="s">
        <v>8010</v>
      </c>
      <c r="O5115" s="105">
        <v>1.3863513E7</v>
      </c>
      <c r="P5115" s="105">
        <v>1.1742807E7</v>
      </c>
      <c r="Q5115" s="102" t="s">
        <v>2446</v>
      </c>
      <c r="S5115" s="1"/>
      <c r="T5115" s="1"/>
      <c r="U5115" s="1"/>
      <c r="V5115" s="1"/>
      <c r="W5115" s="1"/>
      <c r="X5115" s="1"/>
      <c r="Y5115" s="1"/>
      <c r="AA5115" s="102"/>
      <c r="AB5115" s="1"/>
      <c r="AC5115" s="1"/>
      <c r="AD5115" s="1"/>
      <c r="AE5115" s="1"/>
      <c r="AF5115" s="1"/>
      <c r="AG5115" s="1"/>
    </row>
    <row r="5116" ht="15.75" customHeight="1">
      <c r="A5116" s="1"/>
      <c r="B5116" s="1"/>
      <c r="C5116" s="1"/>
      <c r="D5116" s="1"/>
      <c r="E5116" s="1"/>
      <c r="F5116" s="1"/>
      <c r="G5116" s="1"/>
      <c r="H5116" s="1"/>
      <c r="I5116" s="1"/>
      <c r="J5116" s="1"/>
      <c r="K5116" s="102" t="s">
        <v>8011</v>
      </c>
      <c r="L5116" s="102" t="str">
        <f>E655</f>
        <v>J1a2b~</v>
      </c>
      <c r="M5116" s="102" t="s">
        <v>8012</v>
      </c>
      <c r="N5116" s="102" t="s">
        <v>8013</v>
      </c>
      <c r="O5116" s="105">
        <v>7326255.0</v>
      </c>
      <c r="P5116" s="105">
        <v>7458214.0</v>
      </c>
      <c r="Q5116" s="102" t="s">
        <v>2454</v>
      </c>
      <c r="S5116" s="1"/>
      <c r="T5116" s="1"/>
      <c r="U5116" s="1"/>
      <c r="V5116" s="1"/>
      <c r="W5116" s="1"/>
      <c r="X5116" s="1"/>
      <c r="Y5116" s="1"/>
      <c r="AA5116" s="102"/>
      <c r="AB5116" s="1"/>
      <c r="AC5116" s="1"/>
      <c r="AD5116" s="1"/>
      <c r="AE5116" s="1"/>
      <c r="AF5116" s="1"/>
      <c r="AG5116" s="1"/>
    </row>
    <row r="5117" ht="15.75" customHeight="1">
      <c r="A5117" s="1"/>
      <c r="B5117" s="1"/>
      <c r="C5117" s="1"/>
      <c r="D5117" s="1"/>
      <c r="E5117" s="1"/>
      <c r="F5117" s="1"/>
      <c r="G5117" s="1"/>
      <c r="H5117" s="1"/>
      <c r="I5117" s="1"/>
      <c r="J5117" s="1"/>
      <c r="K5117" s="102" t="s">
        <v>8012</v>
      </c>
      <c r="L5117" s="102" t="str">
        <f>E655</f>
        <v>J1a2b~</v>
      </c>
      <c r="M5117" s="102" t="s">
        <v>8011</v>
      </c>
      <c r="N5117" s="102" t="s">
        <v>8013</v>
      </c>
      <c r="O5117" s="105">
        <v>7326255.0</v>
      </c>
      <c r="P5117" s="105">
        <v>7458214.0</v>
      </c>
      <c r="Q5117" s="102" t="s">
        <v>2454</v>
      </c>
      <c r="S5117" s="1"/>
      <c r="T5117" s="1"/>
      <c r="U5117" s="1"/>
      <c r="V5117" s="1"/>
      <c r="W5117" s="1"/>
      <c r="X5117" s="1"/>
      <c r="Y5117" s="1"/>
      <c r="AA5117" s="102"/>
      <c r="AB5117" s="1"/>
      <c r="AC5117" s="1"/>
      <c r="AD5117" s="1"/>
      <c r="AE5117" s="1"/>
      <c r="AF5117" s="1"/>
      <c r="AG5117" s="1"/>
    </row>
    <row r="5118" ht="15.75" customHeight="1">
      <c r="A5118" s="1"/>
      <c r="B5118" s="1"/>
      <c r="C5118" s="1"/>
      <c r="D5118" s="1"/>
      <c r="E5118" s="1"/>
      <c r="F5118" s="1"/>
      <c r="G5118" s="1"/>
      <c r="H5118" s="1"/>
      <c r="I5118" s="1"/>
      <c r="J5118" s="1"/>
      <c r="K5118" s="102" t="s">
        <v>8014</v>
      </c>
      <c r="L5118" s="102" t="str">
        <f>E655</f>
        <v>J1a2b~</v>
      </c>
      <c r="M5118" s="102"/>
      <c r="N5118" s="102"/>
      <c r="O5118" s="105">
        <v>9118588.0</v>
      </c>
      <c r="P5118" s="105">
        <v>9280979.0</v>
      </c>
      <c r="Q5118" s="102" t="s">
        <v>2563</v>
      </c>
      <c r="S5118" s="1"/>
      <c r="T5118" s="1"/>
      <c r="U5118" s="1"/>
      <c r="V5118" s="1"/>
      <c r="W5118" s="1"/>
      <c r="X5118" s="1"/>
      <c r="Y5118" s="1"/>
      <c r="AA5118" s="102"/>
      <c r="AB5118" s="1"/>
      <c r="AC5118" s="1"/>
      <c r="AD5118" s="1"/>
      <c r="AE5118" s="1"/>
      <c r="AF5118" s="1"/>
      <c r="AG5118" s="1"/>
    </row>
    <row r="5119" ht="15.75" customHeight="1">
      <c r="A5119" s="1"/>
      <c r="B5119" s="1"/>
      <c r="C5119" s="1"/>
      <c r="D5119" s="1"/>
      <c r="E5119" s="1"/>
      <c r="F5119" s="1"/>
      <c r="G5119" s="1"/>
      <c r="H5119" s="1"/>
      <c r="I5119" s="1"/>
      <c r="J5119" s="1"/>
      <c r="K5119" s="102" t="s">
        <v>8015</v>
      </c>
      <c r="L5119" s="102" t="str">
        <f>E655</f>
        <v>J1a2b~</v>
      </c>
      <c r="M5119" s="102"/>
      <c r="N5119" s="102" t="s">
        <v>8016</v>
      </c>
      <c r="O5119" s="105">
        <v>1.9257516E7</v>
      </c>
      <c r="P5119" s="105">
        <v>1.7145636E7</v>
      </c>
      <c r="Q5119" s="102" t="s">
        <v>2468</v>
      </c>
      <c r="S5119" s="1"/>
      <c r="T5119" s="1"/>
      <c r="U5119" s="1"/>
      <c r="V5119" s="1"/>
      <c r="W5119" s="1"/>
      <c r="X5119" s="1"/>
      <c r="Y5119" s="1"/>
      <c r="AA5119" s="102"/>
      <c r="AB5119" s="1"/>
      <c r="AC5119" s="1"/>
      <c r="AD5119" s="1"/>
      <c r="AE5119" s="1"/>
      <c r="AF5119" s="1"/>
      <c r="AG5119" s="1"/>
    </row>
    <row r="5120" ht="15.75" customHeight="1">
      <c r="A5120" s="1"/>
      <c r="B5120" s="1"/>
      <c r="C5120" s="1"/>
      <c r="D5120" s="1"/>
      <c r="E5120" s="1"/>
      <c r="F5120" s="1"/>
      <c r="G5120" s="1"/>
      <c r="H5120" s="1"/>
      <c r="I5120" s="1"/>
      <c r="J5120" s="1"/>
      <c r="K5120" s="102" t="s">
        <v>8017</v>
      </c>
      <c r="L5120" s="102" t="str">
        <f>E655</f>
        <v>J1a2b~</v>
      </c>
      <c r="M5120" s="102"/>
      <c r="N5120" s="102" t="s">
        <v>8018</v>
      </c>
      <c r="O5120" s="105">
        <v>2.0807682E7</v>
      </c>
      <c r="P5120" s="105">
        <v>1.8645796E7</v>
      </c>
      <c r="Q5120" s="102" t="s">
        <v>2439</v>
      </c>
      <c r="S5120" s="1"/>
      <c r="T5120" s="1"/>
      <c r="U5120" s="1"/>
      <c r="V5120" s="1"/>
      <c r="W5120" s="1"/>
      <c r="X5120" s="1"/>
      <c r="Y5120" s="1"/>
      <c r="AA5120" s="102"/>
      <c r="AB5120" s="1"/>
      <c r="AC5120" s="1"/>
      <c r="AD5120" s="1"/>
      <c r="AE5120" s="1"/>
      <c r="AF5120" s="1"/>
      <c r="AG5120" s="1"/>
    </row>
    <row r="5121" ht="15.75" customHeight="1">
      <c r="A5121" s="1"/>
      <c r="B5121" s="1"/>
      <c r="C5121" s="1"/>
      <c r="D5121" s="1"/>
      <c r="E5121" s="1"/>
      <c r="F5121" s="1"/>
      <c r="G5121" s="1"/>
      <c r="H5121" s="1"/>
      <c r="I5121" s="1"/>
      <c r="J5121" s="1"/>
      <c r="K5121" s="102" t="s">
        <v>8019</v>
      </c>
      <c r="L5121" s="102" t="str">
        <f>E655</f>
        <v>J1a2b~</v>
      </c>
      <c r="M5121" s="102"/>
      <c r="N5121" s="102" t="s">
        <v>8020</v>
      </c>
      <c r="O5121" s="105">
        <v>2.1560242E7</v>
      </c>
      <c r="P5121" s="105">
        <v>1.9398356E7</v>
      </c>
      <c r="Q5121" s="102" t="s">
        <v>2454</v>
      </c>
      <c r="S5121" s="1"/>
      <c r="T5121" s="1"/>
      <c r="U5121" s="1"/>
      <c r="V5121" s="1"/>
      <c r="W5121" s="1"/>
      <c r="X5121" s="1"/>
      <c r="Y5121" s="1"/>
      <c r="AA5121" s="102"/>
      <c r="AB5121" s="1"/>
      <c r="AC5121" s="1"/>
      <c r="AD5121" s="1"/>
      <c r="AE5121" s="1"/>
      <c r="AF5121" s="1"/>
      <c r="AG5121" s="1"/>
    </row>
    <row r="5122" ht="15.75" customHeight="1">
      <c r="A5122" s="1"/>
      <c r="B5122" s="1"/>
      <c r="C5122" s="1"/>
      <c r="D5122" s="1"/>
      <c r="E5122" s="1"/>
      <c r="F5122" s="1"/>
      <c r="G5122" s="1"/>
      <c r="H5122" s="1"/>
      <c r="I5122" s="1"/>
      <c r="J5122" s="1"/>
      <c r="K5122" s="102" t="s">
        <v>8021</v>
      </c>
      <c r="L5122" s="102" t="str">
        <f>E655</f>
        <v>J1a2b~</v>
      </c>
      <c r="M5122" s="102"/>
      <c r="N5122" s="102" t="s">
        <v>8022</v>
      </c>
      <c r="O5122" s="105">
        <v>2.4514588E7</v>
      </c>
      <c r="P5122" s="105">
        <v>2.2368441E7</v>
      </c>
      <c r="Q5122" s="102" t="s">
        <v>2533</v>
      </c>
      <c r="S5122" s="1"/>
      <c r="T5122" s="1"/>
      <c r="U5122" s="1"/>
      <c r="V5122" s="1"/>
      <c r="W5122" s="1"/>
      <c r="X5122" s="1"/>
      <c r="Y5122" s="1"/>
      <c r="AA5122" s="102"/>
      <c r="AB5122" s="1"/>
      <c r="AC5122" s="1"/>
      <c r="AD5122" s="1"/>
      <c r="AE5122" s="1"/>
      <c r="AF5122" s="1"/>
      <c r="AG5122" s="1"/>
    </row>
    <row r="5123" ht="15.75" customHeight="1">
      <c r="A5123" s="1"/>
      <c r="B5123" s="1"/>
      <c r="C5123" s="1"/>
      <c r="D5123" s="1"/>
      <c r="E5123" s="1"/>
      <c r="F5123" s="1"/>
      <c r="G5123" s="1"/>
      <c r="H5123" s="1"/>
      <c r="I5123" s="1"/>
      <c r="J5123" s="1"/>
      <c r="K5123" s="102" t="s">
        <v>8023</v>
      </c>
      <c r="L5123" s="102" t="str">
        <f>E655</f>
        <v>J1a2b~</v>
      </c>
      <c r="M5123" s="102"/>
      <c r="N5123" s="102" t="s">
        <v>8024</v>
      </c>
      <c r="O5123" s="105">
        <v>6988151.0</v>
      </c>
      <c r="P5123" s="105">
        <v>7120110.0</v>
      </c>
      <c r="Q5123" s="102" t="s">
        <v>2439</v>
      </c>
      <c r="S5123" s="1"/>
      <c r="T5123" s="1"/>
      <c r="U5123" s="1"/>
      <c r="V5123" s="1"/>
      <c r="W5123" s="1"/>
      <c r="X5123" s="1"/>
      <c r="Y5123" s="1"/>
      <c r="AA5123" s="102"/>
      <c r="AB5123" s="1"/>
      <c r="AC5123" s="1"/>
      <c r="AD5123" s="1"/>
      <c r="AE5123" s="1"/>
      <c r="AF5123" s="1"/>
      <c r="AG5123" s="1"/>
    </row>
    <row r="5124" ht="15.75" customHeight="1">
      <c r="A5124" s="1"/>
      <c r="B5124" s="1"/>
      <c r="C5124" s="1"/>
      <c r="D5124" s="1"/>
      <c r="E5124" s="1"/>
      <c r="F5124" s="1"/>
      <c r="G5124" s="1"/>
      <c r="H5124" s="1"/>
      <c r="I5124" s="1"/>
      <c r="J5124" s="1"/>
      <c r="K5124" s="102" t="s">
        <v>8025</v>
      </c>
      <c r="L5124" s="102" t="str">
        <f>E655</f>
        <v>J1a2b~</v>
      </c>
      <c r="M5124" s="102"/>
      <c r="N5124" s="102" t="s">
        <v>8026</v>
      </c>
      <c r="O5124" s="105">
        <v>7960448.0</v>
      </c>
      <c r="P5124" s="105">
        <v>8092407.0</v>
      </c>
      <c r="Q5124" s="102" t="s">
        <v>2529</v>
      </c>
      <c r="S5124" s="1"/>
      <c r="T5124" s="1"/>
      <c r="U5124" s="1"/>
      <c r="V5124" s="1"/>
      <c r="W5124" s="1"/>
      <c r="X5124" s="1"/>
      <c r="Y5124" s="1"/>
      <c r="AA5124" s="102"/>
      <c r="AB5124" s="1"/>
      <c r="AC5124" s="1"/>
      <c r="AD5124" s="1"/>
      <c r="AE5124" s="1"/>
      <c r="AF5124" s="1"/>
      <c r="AG5124" s="1"/>
    </row>
    <row r="5125" ht="15.75" customHeight="1">
      <c r="A5125" s="1"/>
      <c r="B5125" s="1"/>
      <c r="C5125" s="1"/>
      <c r="D5125" s="1"/>
      <c r="E5125" s="1"/>
      <c r="F5125" s="1"/>
      <c r="G5125" s="1"/>
      <c r="H5125" s="1"/>
      <c r="I5125" s="1"/>
      <c r="J5125" s="1"/>
      <c r="K5125" s="102" t="s">
        <v>8027</v>
      </c>
      <c r="L5125" s="102" t="str">
        <f>E655</f>
        <v>J1a2b~</v>
      </c>
      <c r="M5125" s="102"/>
      <c r="N5125" s="102" t="s">
        <v>8028</v>
      </c>
      <c r="O5125" s="105">
        <v>8343894.0</v>
      </c>
      <c r="P5125" s="105">
        <v>8475853.0</v>
      </c>
      <c r="Q5125" s="102" t="s">
        <v>2439</v>
      </c>
      <c r="S5125" s="1"/>
      <c r="T5125" s="1"/>
      <c r="U5125" s="1"/>
      <c r="V5125" s="1"/>
      <c r="W5125" s="1"/>
      <c r="X5125" s="1"/>
      <c r="Y5125" s="1"/>
      <c r="AA5125" s="102"/>
      <c r="AB5125" s="1"/>
      <c r="AC5125" s="1"/>
      <c r="AD5125" s="1"/>
      <c r="AE5125" s="1"/>
      <c r="AF5125" s="1"/>
      <c r="AG5125" s="1"/>
    </row>
    <row r="5126" ht="15.75" customHeight="1">
      <c r="A5126" s="1"/>
      <c r="B5126" s="1"/>
      <c r="C5126" s="1"/>
      <c r="D5126" s="1"/>
      <c r="E5126" s="1"/>
      <c r="F5126" s="1"/>
      <c r="G5126" s="1"/>
      <c r="H5126" s="1"/>
      <c r="I5126" s="1"/>
      <c r="J5126" s="1"/>
      <c r="K5126" s="102" t="s">
        <v>8029</v>
      </c>
      <c r="L5126" s="102" t="str">
        <f>E655</f>
        <v>J1a2b~</v>
      </c>
      <c r="M5126" s="102"/>
      <c r="N5126" s="102" t="s">
        <v>8030</v>
      </c>
      <c r="O5126" s="105">
        <v>8614242.0</v>
      </c>
      <c r="P5126" s="105">
        <v>8746201.0</v>
      </c>
      <c r="Q5126" s="102" t="s">
        <v>2501</v>
      </c>
      <c r="S5126" s="1"/>
      <c r="T5126" s="1"/>
      <c r="U5126" s="1"/>
      <c r="V5126" s="1"/>
      <c r="W5126" s="1"/>
      <c r="X5126" s="1"/>
      <c r="Y5126" s="1"/>
      <c r="AA5126" s="102"/>
      <c r="AB5126" s="1"/>
      <c r="AC5126" s="1"/>
      <c r="AD5126" s="1"/>
      <c r="AE5126" s="1"/>
      <c r="AF5126" s="1"/>
      <c r="AG5126" s="1"/>
    </row>
    <row r="5127" ht="15.75" customHeight="1">
      <c r="A5127" s="1"/>
      <c r="B5127" s="1"/>
      <c r="C5127" s="1"/>
      <c r="D5127" s="1"/>
      <c r="E5127" s="1"/>
      <c r="F5127" s="1"/>
      <c r="G5127" s="1"/>
      <c r="H5127" s="1"/>
      <c r="I5127" s="1"/>
      <c r="J5127" s="1"/>
      <c r="K5127" s="102" t="s">
        <v>8031</v>
      </c>
      <c r="L5127" s="102" t="str">
        <f>E655</f>
        <v>J1a2b~</v>
      </c>
      <c r="M5127" s="102"/>
      <c r="N5127" s="102" t="s">
        <v>8032</v>
      </c>
      <c r="O5127" s="105">
        <v>2.107543E7</v>
      </c>
      <c r="P5127" s="105">
        <v>1.8913544E7</v>
      </c>
      <c r="Q5127" s="102" t="s">
        <v>2439</v>
      </c>
      <c r="S5127" s="1"/>
      <c r="T5127" s="1"/>
      <c r="U5127" s="1"/>
      <c r="V5127" s="1"/>
      <c r="W5127" s="1"/>
      <c r="X5127" s="1"/>
      <c r="Y5127" s="1"/>
      <c r="AA5127" s="102"/>
      <c r="AB5127" s="1"/>
      <c r="AC5127" s="1"/>
      <c r="AD5127" s="1"/>
      <c r="AE5127" s="1"/>
      <c r="AF5127" s="1"/>
      <c r="AG5127" s="1"/>
    </row>
    <row r="5128" ht="15.75" customHeight="1">
      <c r="A5128" s="1"/>
      <c r="B5128" s="1"/>
      <c r="C5128" s="1"/>
      <c r="D5128" s="1"/>
      <c r="E5128" s="1"/>
      <c r="F5128" s="1"/>
      <c r="G5128" s="1"/>
      <c r="H5128" s="1"/>
      <c r="I5128" s="1"/>
      <c r="J5128" s="1"/>
      <c r="K5128" s="102" t="s">
        <v>8033</v>
      </c>
      <c r="L5128" s="102" t="str">
        <f>E655</f>
        <v>J1a2b~</v>
      </c>
      <c r="M5128" s="102"/>
      <c r="N5128" s="102" t="s">
        <v>8034</v>
      </c>
      <c r="O5128" s="105">
        <v>2.2523323E7</v>
      </c>
      <c r="P5128" s="105">
        <v>2.0361437E7</v>
      </c>
      <c r="Q5128" s="102" t="s">
        <v>2514</v>
      </c>
      <c r="S5128" s="1"/>
      <c r="T5128" s="1"/>
      <c r="U5128" s="1"/>
      <c r="V5128" s="1"/>
      <c r="W5128" s="1"/>
      <c r="X5128" s="1"/>
      <c r="Y5128" s="1"/>
      <c r="AA5128" s="102"/>
      <c r="AB5128" s="1"/>
      <c r="AC5128" s="1"/>
      <c r="AD5128" s="1"/>
      <c r="AE5128" s="1"/>
      <c r="AF5128" s="1"/>
      <c r="AG5128" s="1"/>
    </row>
    <row r="5129" ht="15.75" customHeight="1">
      <c r="A5129" s="1"/>
      <c r="B5129" s="1"/>
      <c r="C5129" s="1"/>
      <c r="D5129" s="1"/>
      <c r="E5129" s="1"/>
      <c r="F5129" s="1"/>
      <c r="G5129" s="1"/>
      <c r="H5129" s="1"/>
      <c r="I5129" s="1"/>
      <c r="J5129" s="1"/>
      <c r="K5129" s="102" t="s">
        <v>8035</v>
      </c>
      <c r="L5129" s="102" t="str">
        <f>E655</f>
        <v>J1a2b~</v>
      </c>
      <c r="M5129" s="102"/>
      <c r="N5129" s="102" t="s">
        <v>8036</v>
      </c>
      <c r="O5129" s="105">
        <v>2.1457427E7</v>
      </c>
      <c r="P5129" s="105">
        <v>1.9295541E7</v>
      </c>
      <c r="Q5129" s="102" t="s">
        <v>2501</v>
      </c>
      <c r="S5129" s="1"/>
      <c r="T5129" s="1"/>
      <c r="U5129" s="1"/>
      <c r="V5129" s="1"/>
      <c r="W5129" s="1"/>
      <c r="X5129" s="1"/>
      <c r="Y5129" s="1"/>
      <c r="AA5129" s="102"/>
      <c r="AB5129" s="1"/>
      <c r="AC5129" s="1"/>
      <c r="AD5129" s="1"/>
      <c r="AE5129" s="1"/>
      <c r="AF5129" s="1"/>
      <c r="AG5129" s="1"/>
    </row>
    <row r="5130" ht="15.75" customHeight="1">
      <c r="A5130" s="1"/>
      <c r="B5130" s="1"/>
      <c r="C5130" s="1"/>
      <c r="D5130" s="1"/>
      <c r="E5130" s="1"/>
      <c r="F5130" s="1"/>
      <c r="G5130" s="1"/>
      <c r="H5130" s="1"/>
      <c r="I5130" s="1"/>
      <c r="J5130" s="1"/>
      <c r="K5130" s="102" t="s">
        <v>8037</v>
      </c>
      <c r="L5130" s="102" t="str">
        <f>E655</f>
        <v>J1a2b~</v>
      </c>
      <c r="M5130" s="102"/>
      <c r="N5130" s="102" t="s">
        <v>8038</v>
      </c>
      <c r="O5130" s="105">
        <v>2.1833839E7</v>
      </c>
      <c r="P5130" s="105">
        <v>1.9671953E7</v>
      </c>
      <c r="Q5130" s="102" t="s">
        <v>2439</v>
      </c>
      <c r="S5130" s="1"/>
      <c r="T5130" s="1"/>
      <c r="U5130" s="1"/>
      <c r="V5130" s="1"/>
      <c r="W5130" s="1"/>
      <c r="X5130" s="1"/>
      <c r="Y5130" s="1"/>
      <c r="AA5130" s="102"/>
      <c r="AB5130" s="1"/>
      <c r="AC5130" s="1"/>
      <c r="AD5130" s="1"/>
      <c r="AE5130" s="1"/>
      <c r="AF5130" s="1"/>
      <c r="AG5130" s="1"/>
    </row>
    <row r="5131" ht="15.75" customHeight="1">
      <c r="A5131" s="1"/>
      <c r="B5131" s="1"/>
      <c r="C5131" s="1"/>
      <c r="D5131" s="1"/>
      <c r="E5131" s="1"/>
      <c r="F5131" s="1"/>
      <c r="G5131" s="1"/>
      <c r="H5131" s="1"/>
      <c r="I5131" s="1"/>
      <c r="J5131" s="1"/>
      <c r="K5131" s="102" t="s">
        <v>1279</v>
      </c>
      <c r="L5131" s="102" t="str">
        <f t="shared" ref="L5131:L5132" si="114">F656</f>
        <v>J1a2b1</v>
      </c>
      <c r="M5131" s="102"/>
      <c r="N5131" s="102" t="s">
        <v>8039</v>
      </c>
      <c r="O5131" s="105">
        <v>2.1138032E7</v>
      </c>
      <c r="P5131" s="105">
        <v>1.8976146E7</v>
      </c>
      <c r="Q5131" s="102" t="s">
        <v>2529</v>
      </c>
      <c r="S5131" s="1"/>
      <c r="T5131" s="1"/>
      <c r="U5131" s="1"/>
      <c r="V5131" s="1"/>
      <c r="W5131" s="1"/>
      <c r="X5131" s="1"/>
      <c r="Y5131" s="1"/>
      <c r="AA5131" s="102"/>
      <c r="AB5131" s="1"/>
      <c r="AC5131" s="1"/>
      <c r="AD5131" s="1"/>
      <c r="AE5131" s="1"/>
      <c r="AF5131" s="1"/>
      <c r="AG5131" s="1"/>
    </row>
    <row r="5132" ht="15.75" customHeight="1">
      <c r="A5132" s="1"/>
      <c r="B5132" s="1"/>
      <c r="C5132" s="1"/>
      <c r="D5132" s="1"/>
      <c r="E5132" s="1"/>
      <c r="F5132" s="1"/>
      <c r="G5132" s="1"/>
      <c r="H5132" s="1"/>
      <c r="I5132" s="1"/>
      <c r="J5132" s="1"/>
      <c r="K5132" s="102" t="s">
        <v>8040</v>
      </c>
      <c r="L5132" s="102" t="str">
        <f t="shared" si="114"/>
        <v>J1a2b1~</v>
      </c>
      <c r="M5132" s="102"/>
      <c r="N5132" s="102" t="s">
        <v>8041</v>
      </c>
      <c r="O5132" s="105">
        <v>2.3129334E7</v>
      </c>
      <c r="P5132" s="105">
        <v>2.0967448E7</v>
      </c>
      <c r="Q5132" s="102" t="s">
        <v>2533</v>
      </c>
      <c r="S5132" s="1"/>
      <c r="T5132" s="1"/>
      <c r="U5132" s="1"/>
      <c r="V5132" s="1"/>
      <c r="W5132" s="1"/>
      <c r="X5132" s="1"/>
      <c r="Y5132" s="1"/>
      <c r="AA5132" s="102"/>
      <c r="AB5132" s="1"/>
      <c r="AC5132" s="1"/>
      <c r="AD5132" s="1"/>
      <c r="AE5132" s="1"/>
      <c r="AF5132" s="1"/>
      <c r="AG5132" s="1"/>
    </row>
    <row r="5133" ht="15.75" customHeight="1">
      <c r="A5133" s="1"/>
      <c r="B5133" s="1"/>
      <c r="C5133" s="1"/>
      <c r="D5133" s="1"/>
      <c r="E5133" s="1"/>
      <c r="F5133" s="1"/>
      <c r="G5133" s="1"/>
      <c r="H5133" s="1"/>
      <c r="I5133" s="1"/>
      <c r="J5133" s="1"/>
      <c r="K5133" s="102" t="s">
        <v>8042</v>
      </c>
      <c r="L5133" s="102" t="str">
        <f>F657</f>
        <v>J1a2b1~</v>
      </c>
      <c r="M5133" s="102" t="s">
        <v>8043</v>
      </c>
      <c r="N5133" s="102" t="s">
        <v>8044</v>
      </c>
      <c r="O5133" s="102">
        <v>2.3067991E7</v>
      </c>
      <c r="P5133" s="102">
        <v>2.0906105E7</v>
      </c>
      <c r="Q5133" s="102" t="s">
        <v>2529</v>
      </c>
      <c r="S5133" s="1"/>
      <c r="T5133" s="1"/>
      <c r="U5133" s="1"/>
      <c r="V5133" s="1"/>
      <c r="W5133" s="1"/>
      <c r="X5133" s="1"/>
      <c r="Y5133" s="1"/>
      <c r="AA5133" s="102"/>
      <c r="AB5133" s="1"/>
      <c r="AC5133" s="1"/>
      <c r="AD5133" s="1"/>
      <c r="AE5133" s="1"/>
      <c r="AF5133" s="1"/>
      <c r="AG5133" s="1"/>
    </row>
    <row r="5134" ht="15.75" customHeight="1">
      <c r="A5134" s="1"/>
      <c r="B5134" s="1"/>
      <c r="C5134" s="1"/>
      <c r="D5134" s="1"/>
      <c r="E5134" s="1"/>
      <c r="F5134" s="1"/>
      <c r="G5134" s="1"/>
      <c r="H5134" s="1"/>
      <c r="I5134" s="1"/>
      <c r="J5134" s="1"/>
      <c r="K5134" s="102" t="s">
        <v>8045</v>
      </c>
      <c r="L5134" s="102" t="str">
        <f>F657</f>
        <v>J1a2b1~</v>
      </c>
      <c r="M5134" s="102" t="s">
        <v>8046</v>
      </c>
      <c r="N5134" s="102" t="s">
        <v>8044</v>
      </c>
      <c r="O5134" s="102">
        <v>2.3067991E7</v>
      </c>
      <c r="P5134" s="102">
        <v>2.0906105E7</v>
      </c>
      <c r="Q5134" s="102" t="s">
        <v>2529</v>
      </c>
      <c r="S5134" s="1"/>
      <c r="T5134" s="1"/>
      <c r="U5134" s="1"/>
      <c r="V5134" s="1"/>
      <c r="W5134" s="1"/>
      <c r="X5134" s="1"/>
      <c r="Y5134" s="1"/>
      <c r="AA5134" s="102"/>
      <c r="AB5134" s="1"/>
      <c r="AC5134" s="1"/>
      <c r="AD5134" s="1"/>
      <c r="AE5134" s="1"/>
      <c r="AF5134" s="1"/>
      <c r="AG5134" s="1"/>
    </row>
    <row r="5135" ht="15.75" customHeight="1">
      <c r="A5135" s="1"/>
      <c r="B5135" s="1"/>
      <c r="C5135" s="1"/>
      <c r="D5135" s="1"/>
      <c r="E5135" s="1"/>
      <c r="F5135" s="1"/>
      <c r="G5135" s="1"/>
      <c r="H5135" s="1"/>
      <c r="I5135" s="1"/>
      <c r="J5135" s="1"/>
      <c r="K5135" s="102" t="s">
        <v>8047</v>
      </c>
      <c r="L5135" s="102" t="str">
        <f>F657</f>
        <v>J1a2b1~</v>
      </c>
      <c r="M5135" s="102" t="s">
        <v>8048</v>
      </c>
      <c r="N5135" s="102" t="s">
        <v>8044</v>
      </c>
      <c r="O5135" s="102">
        <v>2.3067991E7</v>
      </c>
      <c r="P5135" s="102">
        <v>2.0906105E7</v>
      </c>
      <c r="Q5135" s="102" t="s">
        <v>2529</v>
      </c>
      <c r="S5135" s="1"/>
      <c r="T5135" s="1"/>
      <c r="U5135" s="1"/>
      <c r="V5135" s="1"/>
      <c r="W5135" s="1"/>
      <c r="X5135" s="1"/>
      <c r="Y5135" s="1"/>
      <c r="AA5135" s="102"/>
      <c r="AB5135" s="1"/>
      <c r="AC5135" s="1"/>
      <c r="AD5135" s="1"/>
      <c r="AE5135" s="1"/>
      <c r="AF5135" s="1"/>
      <c r="AG5135" s="1"/>
    </row>
    <row r="5136" ht="15.75" customHeight="1">
      <c r="A5136" s="1"/>
      <c r="B5136" s="1"/>
      <c r="C5136" s="1"/>
      <c r="D5136" s="1"/>
      <c r="E5136" s="1"/>
      <c r="F5136" s="1"/>
      <c r="G5136" s="1"/>
      <c r="H5136" s="1"/>
      <c r="I5136" s="1"/>
      <c r="J5136" s="1"/>
      <c r="K5136" s="102" t="s">
        <v>8049</v>
      </c>
      <c r="L5136" s="102" t="str">
        <f>F657</f>
        <v>J1a2b1~</v>
      </c>
      <c r="M5136" s="102" t="s">
        <v>8050</v>
      </c>
      <c r="N5136" s="102" t="s">
        <v>8051</v>
      </c>
      <c r="O5136" s="105">
        <v>1.5969345E7</v>
      </c>
      <c r="P5136" s="105">
        <v>1.3857465E7</v>
      </c>
      <c r="Q5136" s="102" t="s">
        <v>2529</v>
      </c>
      <c r="S5136" s="1"/>
      <c r="T5136" s="1"/>
      <c r="U5136" s="1"/>
      <c r="V5136" s="1"/>
      <c r="W5136" s="1"/>
      <c r="X5136" s="1"/>
      <c r="Y5136" s="1"/>
      <c r="AA5136" s="102"/>
      <c r="AB5136" s="1"/>
      <c r="AC5136" s="1"/>
      <c r="AD5136" s="1"/>
      <c r="AE5136" s="1"/>
      <c r="AF5136" s="1"/>
      <c r="AG5136" s="1"/>
    </row>
    <row r="5137" ht="15.75" customHeight="1">
      <c r="A5137" s="1"/>
      <c r="B5137" s="1"/>
      <c r="C5137" s="1"/>
      <c r="D5137" s="1"/>
      <c r="E5137" s="1"/>
      <c r="F5137" s="1"/>
      <c r="G5137" s="1"/>
      <c r="H5137" s="1"/>
      <c r="I5137" s="1"/>
      <c r="J5137" s="1"/>
      <c r="K5137" s="102" t="s">
        <v>8052</v>
      </c>
      <c r="L5137" s="102" t="str">
        <f>F657</f>
        <v>J1a2b1~</v>
      </c>
      <c r="M5137" s="102" t="s">
        <v>8053</v>
      </c>
      <c r="N5137" s="102" t="s">
        <v>8051</v>
      </c>
      <c r="O5137" s="105">
        <v>1.5969345E7</v>
      </c>
      <c r="P5137" s="105">
        <v>1.3857465E7</v>
      </c>
      <c r="Q5137" s="102" t="s">
        <v>2529</v>
      </c>
      <c r="S5137" s="1"/>
      <c r="T5137" s="1"/>
      <c r="U5137" s="1"/>
      <c r="V5137" s="1"/>
      <c r="W5137" s="1"/>
      <c r="X5137" s="1"/>
      <c r="Y5137" s="1"/>
      <c r="AA5137" s="102"/>
      <c r="AB5137" s="1"/>
      <c r="AC5137" s="1"/>
      <c r="AD5137" s="1"/>
      <c r="AE5137" s="1"/>
      <c r="AF5137" s="1"/>
      <c r="AG5137" s="1"/>
    </row>
    <row r="5138" ht="15.75" customHeight="1">
      <c r="A5138" s="1"/>
      <c r="B5138" s="1"/>
      <c r="C5138" s="1"/>
      <c r="D5138" s="1"/>
      <c r="E5138" s="1"/>
      <c r="F5138" s="1"/>
      <c r="G5138" s="1"/>
      <c r="H5138" s="1"/>
      <c r="I5138" s="1"/>
      <c r="J5138" s="1"/>
      <c r="K5138" s="102" t="s">
        <v>8054</v>
      </c>
      <c r="L5138" s="102" t="str">
        <f>F657</f>
        <v>J1a2b1~</v>
      </c>
      <c r="M5138" s="102" t="s">
        <v>8055</v>
      </c>
      <c r="N5138" s="102" t="s">
        <v>8051</v>
      </c>
      <c r="O5138" s="105">
        <v>1.5969345E7</v>
      </c>
      <c r="P5138" s="105">
        <v>1.3857465E7</v>
      </c>
      <c r="Q5138" s="102" t="s">
        <v>2529</v>
      </c>
      <c r="S5138" s="1"/>
      <c r="T5138" s="1"/>
      <c r="U5138" s="1"/>
      <c r="V5138" s="1"/>
      <c r="W5138" s="1"/>
      <c r="X5138" s="1"/>
      <c r="Y5138" s="1"/>
      <c r="AA5138" s="102"/>
      <c r="AB5138" s="1"/>
      <c r="AC5138" s="1"/>
      <c r="AD5138" s="1"/>
      <c r="AE5138" s="1"/>
      <c r="AF5138" s="1"/>
      <c r="AG5138" s="1"/>
    </row>
    <row r="5139" ht="15.75" customHeight="1">
      <c r="A5139" s="1"/>
      <c r="B5139" s="1"/>
      <c r="C5139" s="1"/>
      <c r="D5139" s="1"/>
      <c r="E5139" s="1"/>
      <c r="F5139" s="1"/>
      <c r="G5139" s="1"/>
      <c r="H5139" s="1"/>
      <c r="I5139" s="1"/>
      <c r="J5139" s="1"/>
      <c r="K5139" s="102" t="s">
        <v>8056</v>
      </c>
      <c r="L5139" s="102" t="str">
        <f>F657</f>
        <v>J1a2b1~</v>
      </c>
      <c r="M5139" s="102" t="s">
        <v>8057</v>
      </c>
      <c r="N5139" s="102" t="s">
        <v>8058</v>
      </c>
      <c r="O5139" s="105">
        <v>6658873.0</v>
      </c>
      <c r="P5139" s="105">
        <v>6790832.0</v>
      </c>
      <c r="Q5139" s="102" t="s">
        <v>2432</v>
      </c>
      <c r="S5139" s="1"/>
      <c r="T5139" s="1"/>
      <c r="U5139" s="1"/>
      <c r="V5139" s="1"/>
      <c r="W5139" s="1"/>
      <c r="X5139" s="1"/>
      <c r="Y5139" s="1"/>
      <c r="AA5139" s="102"/>
      <c r="AB5139" s="1"/>
      <c r="AC5139" s="1"/>
      <c r="AD5139" s="1"/>
      <c r="AE5139" s="1"/>
      <c r="AF5139" s="1"/>
      <c r="AG5139" s="1"/>
    </row>
    <row r="5140" ht="15.75" customHeight="1">
      <c r="A5140" s="1"/>
      <c r="B5140" s="1"/>
      <c r="C5140" s="1"/>
      <c r="D5140" s="1"/>
      <c r="E5140" s="1"/>
      <c r="F5140" s="1"/>
      <c r="G5140" s="1"/>
      <c r="H5140" s="1"/>
      <c r="I5140" s="1"/>
      <c r="J5140" s="1"/>
      <c r="K5140" s="102" t="s">
        <v>8059</v>
      </c>
      <c r="L5140" s="102" t="str">
        <f>F657</f>
        <v>J1a2b1~</v>
      </c>
      <c r="M5140" s="102" t="s">
        <v>8060</v>
      </c>
      <c r="N5140" s="102" t="s">
        <v>8058</v>
      </c>
      <c r="O5140" s="105">
        <v>6658873.0</v>
      </c>
      <c r="P5140" s="105">
        <v>6790832.0</v>
      </c>
      <c r="Q5140" s="102" t="s">
        <v>2432</v>
      </c>
      <c r="S5140" s="1"/>
      <c r="T5140" s="1"/>
      <c r="U5140" s="1"/>
      <c r="V5140" s="1"/>
      <c r="W5140" s="1"/>
      <c r="X5140" s="1"/>
      <c r="Y5140" s="1"/>
      <c r="AA5140" s="102"/>
      <c r="AB5140" s="1"/>
      <c r="AC5140" s="1"/>
      <c r="AD5140" s="1"/>
      <c r="AE5140" s="1"/>
      <c r="AF5140" s="1"/>
      <c r="AG5140" s="1"/>
    </row>
    <row r="5141" ht="15.75" customHeight="1">
      <c r="A5141" s="1"/>
      <c r="B5141" s="1"/>
      <c r="C5141" s="1"/>
      <c r="D5141" s="1"/>
      <c r="E5141" s="1"/>
      <c r="F5141" s="1"/>
      <c r="G5141" s="1"/>
      <c r="H5141" s="1"/>
      <c r="I5141" s="1"/>
      <c r="J5141" s="1"/>
      <c r="K5141" s="102" t="s">
        <v>8061</v>
      </c>
      <c r="L5141" s="102" t="str">
        <f>F657</f>
        <v>J1a2b1~</v>
      </c>
      <c r="M5141" s="102" t="s">
        <v>8062</v>
      </c>
      <c r="N5141" s="102" t="s">
        <v>8058</v>
      </c>
      <c r="O5141" s="105">
        <v>6658873.0</v>
      </c>
      <c r="P5141" s="105">
        <v>6790832.0</v>
      </c>
      <c r="Q5141" s="102" t="s">
        <v>2432</v>
      </c>
      <c r="S5141" s="1"/>
      <c r="T5141" s="1"/>
      <c r="U5141" s="1"/>
      <c r="V5141" s="1"/>
      <c r="W5141" s="1"/>
      <c r="X5141" s="1"/>
      <c r="Y5141" s="1"/>
      <c r="AA5141" s="102"/>
      <c r="AB5141" s="1"/>
      <c r="AC5141" s="1"/>
      <c r="AD5141" s="1"/>
      <c r="AE5141" s="1"/>
      <c r="AF5141" s="1"/>
      <c r="AG5141" s="1"/>
    </row>
    <row r="5142" ht="15.75" customHeight="1">
      <c r="A5142" s="1"/>
      <c r="B5142" s="1"/>
      <c r="C5142" s="1"/>
      <c r="D5142" s="1"/>
      <c r="E5142" s="1"/>
      <c r="F5142" s="1"/>
      <c r="G5142" s="1"/>
      <c r="H5142" s="1"/>
      <c r="I5142" s="1"/>
      <c r="J5142" s="1"/>
      <c r="K5142" s="102" t="s">
        <v>8063</v>
      </c>
      <c r="L5142" s="102" t="str">
        <f>F657</f>
        <v>J1a2b1~</v>
      </c>
      <c r="M5142" s="102" t="s">
        <v>8064</v>
      </c>
      <c r="N5142" s="102" t="s">
        <v>8065</v>
      </c>
      <c r="O5142" s="105">
        <v>2.1984676E7</v>
      </c>
      <c r="P5142" s="105">
        <v>1.982279E7</v>
      </c>
      <c r="Q5142" s="102" t="s">
        <v>2468</v>
      </c>
      <c r="S5142" s="1"/>
      <c r="T5142" s="1"/>
      <c r="U5142" s="1"/>
      <c r="V5142" s="1"/>
      <c r="W5142" s="1"/>
      <c r="X5142" s="1"/>
      <c r="Y5142" s="1"/>
      <c r="AA5142" s="102"/>
      <c r="AB5142" s="1"/>
      <c r="AC5142" s="1"/>
      <c r="AD5142" s="1"/>
      <c r="AE5142" s="1"/>
      <c r="AF5142" s="1"/>
      <c r="AG5142" s="1"/>
    </row>
    <row r="5143" ht="15.75" customHeight="1">
      <c r="A5143" s="1"/>
      <c r="B5143" s="1"/>
      <c r="C5143" s="1"/>
      <c r="D5143" s="1"/>
      <c r="E5143" s="1"/>
      <c r="F5143" s="1"/>
      <c r="G5143" s="1"/>
      <c r="H5143" s="1"/>
      <c r="I5143" s="1"/>
      <c r="J5143" s="1"/>
      <c r="K5143" s="102" t="s">
        <v>8066</v>
      </c>
      <c r="L5143" s="102" t="str">
        <f>F657</f>
        <v>J1a2b1~</v>
      </c>
      <c r="M5143" s="102" t="s">
        <v>8067</v>
      </c>
      <c r="N5143" s="102" t="s">
        <v>8065</v>
      </c>
      <c r="O5143" s="105">
        <v>2.1984676E7</v>
      </c>
      <c r="P5143" s="105">
        <v>1.982279E7</v>
      </c>
      <c r="Q5143" s="102" t="s">
        <v>2468</v>
      </c>
      <c r="S5143" s="1"/>
      <c r="T5143" s="1"/>
      <c r="U5143" s="1"/>
      <c r="V5143" s="1"/>
      <c r="W5143" s="1"/>
      <c r="X5143" s="1"/>
      <c r="Y5143" s="1"/>
      <c r="AA5143" s="102"/>
      <c r="AB5143" s="1"/>
      <c r="AC5143" s="1"/>
      <c r="AD5143" s="1"/>
      <c r="AE5143" s="1"/>
      <c r="AF5143" s="1"/>
      <c r="AG5143" s="1"/>
    </row>
    <row r="5144" ht="15.75" customHeight="1">
      <c r="A5144" s="1"/>
      <c r="B5144" s="1"/>
      <c r="C5144" s="1"/>
      <c r="D5144" s="1"/>
      <c r="E5144" s="1"/>
      <c r="F5144" s="1"/>
      <c r="G5144" s="1"/>
      <c r="H5144" s="1"/>
      <c r="I5144" s="1"/>
      <c r="J5144" s="1"/>
      <c r="K5144" s="102" t="s">
        <v>8068</v>
      </c>
      <c r="L5144" s="102" t="str">
        <f>F657</f>
        <v>J1a2b1~</v>
      </c>
      <c r="M5144" s="102" t="s">
        <v>8069</v>
      </c>
      <c r="N5144" s="102" t="s">
        <v>8065</v>
      </c>
      <c r="O5144" s="105">
        <v>2.1984676E7</v>
      </c>
      <c r="P5144" s="105">
        <v>1.982279E7</v>
      </c>
      <c r="Q5144" s="102" t="s">
        <v>2468</v>
      </c>
      <c r="S5144" s="1"/>
      <c r="T5144" s="1"/>
      <c r="U5144" s="1"/>
      <c r="V5144" s="1"/>
      <c r="W5144" s="1"/>
      <c r="X5144" s="1"/>
      <c r="Y5144" s="1"/>
      <c r="AA5144" s="102"/>
      <c r="AB5144" s="1"/>
      <c r="AC5144" s="1"/>
      <c r="AD5144" s="1"/>
      <c r="AE5144" s="1"/>
      <c r="AF5144" s="1"/>
      <c r="AG5144" s="1"/>
    </row>
    <row r="5145" ht="15.75" customHeight="1">
      <c r="A5145" s="1"/>
      <c r="B5145" s="1"/>
      <c r="C5145" s="1"/>
      <c r="D5145" s="1"/>
      <c r="E5145" s="1"/>
      <c r="F5145" s="1"/>
      <c r="G5145" s="1"/>
      <c r="H5145" s="1"/>
      <c r="I5145" s="1"/>
      <c r="J5145" s="1"/>
      <c r="K5145" s="102" t="s">
        <v>8070</v>
      </c>
      <c r="L5145" s="102" t="str">
        <f>F657</f>
        <v>J1a2b1~</v>
      </c>
      <c r="M5145" s="102" t="s">
        <v>8071</v>
      </c>
      <c r="N5145" s="102" t="s">
        <v>8072</v>
      </c>
      <c r="O5145" s="105">
        <v>2.2576233E7</v>
      </c>
      <c r="P5145" s="105">
        <v>2.0414347E7</v>
      </c>
      <c r="Q5145" s="102" t="s">
        <v>2501</v>
      </c>
      <c r="S5145" s="1"/>
      <c r="T5145" s="1"/>
      <c r="U5145" s="1"/>
      <c r="V5145" s="1"/>
      <c r="W5145" s="1"/>
      <c r="X5145" s="1"/>
      <c r="Y5145" s="1"/>
      <c r="AA5145" s="102"/>
      <c r="AB5145" s="1"/>
      <c r="AC5145" s="1"/>
      <c r="AD5145" s="1"/>
      <c r="AE5145" s="1"/>
      <c r="AF5145" s="1"/>
      <c r="AG5145" s="1"/>
    </row>
    <row r="5146" ht="15.75" customHeight="1">
      <c r="A5146" s="1"/>
      <c r="B5146" s="1"/>
      <c r="C5146" s="1"/>
      <c r="D5146" s="1"/>
      <c r="E5146" s="1"/>
      <c r="F5146" s="1"/>
      <c r="G5146" s="1"/>
      <c r="H5146" s="1"/>
      <c r="I5146" s="1"/>
      <c r="J5146" s="1"/>
      <c r="K5146" s="102" t="s">
        <v>8073</v>
      </c>
      <c r="L5146" s="102" t="str">
        <f>F657</f>
        <v>J1a2b1~</v>
      </c>
      <c r="M5146" s="102" t="s">
        <v>8074</v>
      </c>
      <c r="N5146" s="102" t="s">
        <v>8072</v>
      </c>
      <c r="O5146" s="105">
        <v>2.2576233E7</v>
      </c>
      <c r="P5146" s="105">
        <v>2.0414347E7</v>
      </c>
      <c r="Q5146" s="102" t="s">
        <v>2501</v>
      </c>
      <c r="S5146" s="1"/>
      <c r="T5146" s="1"/>
      <c r="U5146" s="1"/>
      <c r="V5146" s="1"/>
      <c r="W5146" s="1"/>
      <c r="X5146" s="1"/>
      <c r="Y5146" s="1"/>
      <c r="AA5146" s="102"/>
      <c r="AB5146" s="1"/>
      <c r="AC5146" s="1"/>
      <c r="AD5146" s="1"/>
      <c r="AE5146" s="1"/>
      <c r="AF5146" s="1"/>
      <c r="AG5146" s="1"/>
    </row>
    <row r="5147" ht="15.75" customHeight="1">
      <c r="A5147" s="1"/>
      <c r="B5147" s="1"/>
      <c r="C5147" s="1"/>
      <c r="D5147" s="1"/>
      <c r="E5147" s="1"/>
      <c r="F5147" s="1"/>
      <c r="G5147" s="1"/>
      <c r="H5147" s="1"/>
      <c r="I5147" s="1"/>
      <c r="J5147" s="1"/>
      <c r="K5147" s="102" t="s">
        <v>8075</v>
      </c>
      <c r="L5147" s="102" t="str">
        <f>F657</f>
        <v>J1a2b1~</v>
      </c>
      <c r="M5147" s="102" t="s">
        <v>8076</v>
      </c>
      <c r="N5147" s="102" t="s">
        <v>8072</v>
      </c>
      <c r="O5147" s="105">
        <v>2.2576233E7</v>
      </c>
      <c r="P5147" s="105">
        <v>2.0414347E7</v>
      </c>
      <c r="Q5147" s="102" t="s">
        <v>2501</v>
      </c>
      <c r="S5147" s="1"/>
      <c r="T5147" s="1"/>
      <c r="U5147" s="1"/>
      <c r="V5147" s="1"/>
      <c r="W5147" s="1"/>
      <c r="X5147" s="1"/>
      <c r="Y5147" s="1"/>
      <c r="AA5147" s="102"/>
      <c r="AB5147" s="1"/>
      <c r="AC5147" s="1"/>
      <c r="AD5147" s="1"/>
      <c r="AE5147" s="1"/>
      <c r="AF5147" s="1"/>
      <c r="AG5147" s="1"/>
    </row>
    <row r="5148" ht="15.75" customHeight="1">
      <c r="A5148" s="1"/>
      <c r="B5148" s="1"/>
      <c r="C5148" s="1"/>
      <c r="D5148" s="1"/>
      <c r="E5148" s="1"/>
      <c r="F5148" s="1"/>
      <c r="G5148" s="1"/>
      <c r="H5148" s="1"/>
      <c r="I5148" s="1"/>
      <c r="J5148" s="1"/>
      <c r="K5148" s="102" t="s">
        <v>8077</v>
      </c>
      <c r="L5148" s="102" t="str">
        <f>F657</f>
        <v>J1a2b1~</v>
      </c>
      <c r="M5148" s="102" t="s">
        <v>8078</v>
      </c>
      <c r="N5148" s="102" t="s">
        <v>8079</v>
      </c>
      <c r="O5148" s="105">
        <v>1.5865599E7</v>
      </c>
      <c r="P5148" s="105">
        <v>1.3753719E7</v>
      </c>
      <c r="Q5148" s="102" t="s">
        <v>2529</v>
      </c>
      <c r="S5148" s="1"/>
      <c r="T5148" s="1"/>
      <c r="U5148" s="1"/>
      <c r="V5148" s="1"/>
      <c r="W5148" s="1"/>
      <c r="X5148" s="1"/>
      <c r="Y5148" s="1"/>
      <c r="AA5148" s="102"/>
      <c r="AB5148" s="1"/>
      <c r="AC5148" s="1"/>
      <c r="AD5148" s="1"/>
      <c r="AE5148" s="1"/>
      <c r="AF5148" s="1"/>
      <c r="AG5148" s="1"/>
    </row>
    <row r="5149" ht="15.75" customHeight="1">
      <c r="A5149" s="1"/>
      <c r="B5149" s="1"/>
      <c r="C5149" s="1"/>
      <c r="D5149" s="1"/>
      <c r="E5149" s="1"/>
      <c r="F5149" s="1"/>
      <c r="G5149" s="1"/>
      <c r="H5149" s="1"/>
      <c r="I5149" s="1"/>
      <c r="J5149" s="1"/>
      <c r="K5149" s="102" t="s">
        <v>8080</v>
      </c>
      <c r="L5149" s="102" t="str">
        <f>F657</f>
        <v>J1a2b1~</v>
      </c>
      <c r="M5149" s="102" t="s">
        <v>8081</v>
      </c>
      <c r="N5149" s="102" t="s">
        <v>8079</v>
      </c>
      <c r="O5149" s="105">
        <v>1.5865599E7</v>
      </c>
      <c r="P5149" s="105">
        <v>1.3753719E7</v>
      </c>
      <c r="Q5149" s="102" t="s">
        <v>2529</v>
      </c>
      <c r="S5149" s="1"/>
      <c r="T5149" s="1"/>
      <c r="U5149" s="1"/>
      <c r="V5149" s="1"/>
      <c r="W5149" s="1"/>
      <c r="X5149" s="1"/>
      <c r="Y5149" s="1"/>
      <c r="AA5149" s="102"/>
      <c r="AB5149" s="1"/>
      <c r="AC5149" s="1"/>
      <c r="AD5149" s="1"/>
      <c r="AE5149" s="1"/>
      <c r="AF5149" s="1"/>
      <c r="AG5149" s="1"/>
    </row>
    <row r="5150" ht="15.75" customHeight="1">
      <c r="A5150" s="1"/>
      <c r="B5150" s="1"/>
      <c r="C5150" s="1"/>
      <c r="D5150" s="1"/>
      <c r="E5150" s="1"/>
      <c r="F5150" s="1"/>
      <c r="G5150" s="1"/>
      <c r="H5150" s="1"/>
      <c r="I5150" s="1"/>
      <c r="J5150" s="1"/>
      <c r="K5150" s="102" t="s">
        <v>8082</v>
      </c>
      <c r="L5150" s="102" t="str">
        <f>F657</f>
        <v>J1a2b1~</v>
      </c>
      <c r="M5150" s="102" t="s">
        <v>8083</v>
      </c>
      <c r="N5150" s="102" t="s">
        <v>8079</v>
      </c>
      <c r="O5150" s="105">
        <v>1.5865599E7</v>
      </c>
      <c r="P5150" s="105">
        <v>1.3753719E7</v>
      </c>
      <c r="Q5150" s="102" t="s">
        <v>2529</v>
      </c>
      <c r="S5150" s="1"/>
      <c r="T5150" s="1"/>
      <c r="U5150" s="1"/>
      <c r="V5150" s="1"/>
      <c r="W5150" s="1"/>
      <c r="X5150" s="1"/>
      <c r="Y5150" s="1"/>
      <c r="AA5150" s="102"/>
      <c r="AB5150" s="1"/>
      <c r="AC5150" s="1"/>
      <c r="AD5150" s="1"/>
      <c r="AE5150" s="1"/>
      <c r="AF5150" s="1"/>
      <c r="AG5150" s="1"/>
    </row>
    <row r="5151" ht="15.75" customHeight="1">
      <c r="A5151" s="1"/>
      <c r="B5151" s="1"/>
      <c r="C5151" s="1"/>
      <c r="D5151" s="1"/>
      <c r="E5151" s="1"/>
      <c r="F5151" s="1"/>
      <c r="G5151" s="1"/>
      <c r="H5151" s="1"/>
      <c r="I5151" s="1"/>
      <c r="J5151" s="1"/>
      <c r="K5151" s="102" t="s">
        <v>8084</v>
      </c>
      <c r="L5151" s="102" t="str">
        <f>F657</f>
        <v>J1a2b1~</v>
      </c>
      <c r="M5151" s="102" t="s">
        <v>8085</v>
      </c>
      <c r="N5151" s="102" t="s">
        <v>8086</v>
      </c>
      <c r="O5151" s="105">
        <v>1.9523423E7</v>
      </c>
      <c r="P5151" s="105">
        <v>1.7411543E7</v>
      </c>
      <c r="Q5151" s="102" t="s">
        <v>2468</v>
      </c>
      <c r="S5151" s="1"/>
      <c r="T5151" s="1"/>
      <c r="U5151" s="1"/>
      <c r="V5151" s="1"/>
      <c r="W5151" s="1"/>
      <c r="X5151" s="1"/>
      <c r="Y5151" s="1"/>
      <c r="AA5151" s="102"/>
      <c r="AB5151" s="1"/>
      <c r="AC5151" s="1"/>
      <c r="AD5151" s="1"/>
      <c r="AE5151" s="1"/>
      <c r="AF5151" s="1"/>
      <c r="AG5151" s="1"/>
    </row>
    <row r="5152" ht="15.75" customHeight="1">
      <c r="A5152" s="1"/>
      <c r="B5152" s="1"/>
      <c r="C5152" s="1"/>
      <c r="D5152" s="1"/>
      <c r="E5152" s="1"/>
      <c r="F5152" s="1"/>
      <c r="G5152" s="1"/>
      <c r="H5152" s="1"/>
      <c r="I5152" s="1"/>
      <c r="J5152" s="1"/>
      <c r="K5152" s="102" t="s">
        <v>8087</v>
      </c>
      <c r="L5152" s="102" t="str">
        <f>F657</f>
        <v>J1a2b1~</v>
      </c>
      <c r="M5152" s="102" t="s">
        <v>8088</v>
      </c>
      <c r="N5152" s="102" t="s">
        <v>8086</v>
      </c>
      <c r="O5152" s="105">
        <v>1.9523423E7</v>
      </c>
      <c r="P5152" s="105">
        <v>1.7411543E7</v>
      </c>
      <c r="Q5152" s="102" t="s">
        <v>2468</v>
      </c>
      <c r="S5152" s="1"/>
      <c r="T5152" s="1"/>
      <c r="U5152" s="1"/>
      <c r="V5152" s="1"/>
      <c r="W5152" s="1"/>
      <c r="X5152" s="1"/>
      <c r="Y5152" s="1"/>
      <c r="AA5152" s="102"/>
      <c r="AB5152" s="1"/>
      <c r="AC5152" s="1"/>
      <c r="AD5152" s="1"/>
      <c r="AE5152" s="1"/>
      <c r="AF5152" s="1"/>
      <c r="AG5152" s="1"/>
    </row>
    <row r="5153" ht="15.75" customHeight="1">
      <c r="A5153" s="1"/>
      <c r="B5153" s="1"/>
      <c r="C5153" s="1"/>
      <c r="D5153" s="1"/>
      <c r="E5153" s="1"/>
      <c r="F5153" s="1"/>
      <c r="G5153" s="1"/>
      <c r="H5153" s="1"/>
      <c r="I5153" s="1"/>
      <c r="J5153" s="1"/>
      <c r="K5153" s="102" t="s">
        <v>8089</v>
      </c>
      <c r="L5153" s="102" t="str">
        <f>F657</f>
        <v>J1a2b1~</v>
      </c>
      <c r="M5153" s="102" t="s">
        <v>8090</v>
      </c>
      <c r="N5153" s="102" t="s">
        <v>8086</v>
      </c>
      <c r="O5153" s="105">
        <v>1.9523423E7</v>
      </c>
      <c r="P5153" s="105">
        <v>1.7411543E7</v>
      </c>
      <c r="Q5153" s="102" t="s">
        <v>2468</v>
      </c>
      <c r="S5153" s="1"/>
      <c r="T5153" s="1"/>
      <c r="U5153" s="1"/>
      <c r="V5153" s="1"/>
      <c r="W5153" s="1"/>
      <c r="X5153" s="1"/>
      <c r="Y5153" s="1"/>
      <c r="AA5153" s="102"/>
      <c r="AB5153" s="1"/>
      <c r="AC5153" s="1"/>
      <c r="AD5153" s="1"/>
      <c r="AE5153" s="1"/>
      <c r="AF5153" s="1"/>
      <c r="AG5153" s="1"/>
    </row>
    <row r="5154" ht="15.75" customHeight="1">
      <c r="A5154" s="1"/>
      <c r="B5154" s="1"/>
      <c r="C5154" s="1"/>
      <c r="D5154" s="1"/>
      <c r="E5154" s="1"/>
      <c r="F5154" s="1"/>
      <c r="G5154" s="1"/>
      <c r="H5154" s="1"/>
      <c r="I5154" s="1"/>
      <c r="J5154" s="1"/>
      <c r="K5154" s="102" t="s">
        <v>8091</v>
      </c>
      <c r="L5154" s="102" t="str">
        <f>F657</f>
        <v>J1a2b1~</v>
      </c>
      <c r="M5154" s="102" t="s">
        <v>8092</v>
      </c>
      <c r="N5154" s="102" t="s">
        <v>8093</v>
      </c>
      <c r="O5154" s="105">
        <v>8857387.0</v>
      </c>
      <c r="P5154" s="105">
        <v>8989346.0</v>
      </c>
      <c r="Q5154" s="102" t="s">
        <v>2529</v>
      </c>
      <c r="S5154" s="1"/>
      <c r="T5154" s="1"/>
      <c r="U5154" s="1"/>
      <c r="V5154" s="1"/>
      <c r="W5154" s="1"/>
      <c r="X5154" s="1"/>
      <c r="Y5154" s="1"/>
      <c r="AA5154" s="102"/>
      <c r="AB5154" s="1"/>
      <c r="AC5154" s="1"/>
      <c r="AD5154" s="1"/>
      <c r="AE5154" s="1"/>
      <c r="AF5154" s="1"/>
      <c r="AG5154" s="1"/>
    </row>
    <row r="5155" ht="15.75" customHeight="1">
      <c r="A5155" s="1"/>
      <c r="B5155" s="1"/>
      <c r="C5155" s="1"/>
      <c r="D5155" s="1"/>
      <c r="E5155" s="1"/>
      <c r="F5155" s="1"/>
      <c r="G5155" s="1"/>
      <c r="H5155" s="1"/>
      <c r="I5155" s="1"/>
      <c r="J5155" s="1"/>
      <c r="K5155" s="102" t="s">
        <v>8094</v>
      </c>
      <c r="L5155" s="102" t="str">
        <f>F657</f>
        <v>J1a2b1~</v>
      </c>
      <c r="M5155" s="102" t="s">
        <v>8095</v>
      </c>
      <c r="N5155" s="102" t="s">
        <v>8093</v>
      </c>
      <c r="O5155" s="105">
        <v>8857387.0</v>
      </c>
      <c r="P5155" s="105">
        <v>8989346.0</v>
      </c>
      <c r="Q5155" s="102" t="s">
        <v>2529</v>
      </c>
      <c r="S5155" s="1"/>
      <c r="T5155" s="1"/>
      <c r="U5155" s="1"/>
      <c r="V5155" s="1"/>
      <c r="W5155" s="1"/>
      <c r="X5155" s="1"/>
      <c r="Y5155" s="1"/>
      <c r="AA5155" s="102"/>
      <c r="AB5155" s="1"/>
      <c r="AC5155" s="1"/>
      <c r="AD5155" s="1"/>
      <c r="AE5155" s="1"/>
      <c r="AF5155" s="1"/>
      <c r="AG5155" s="1"/>
    </row>
    <row r="5156" ht="15.75" customHeight="1">
      <c r="A5156" s="1"/>
      <c r="B5156" s="1"/>
      <c r="C5156" s="1"/>
      <c r="D5156" s="1"/>
      <c r="E5156" s="1"/>
      <c r="F5156" s="1"/>
      <c r="G5156" s="1"/>
      <c r="H5156" s="1"/>
      <c r="I5156" s="1"/>
      <c r="J5156" s="1"/>
      <c r="K5156" s="102" t="s">
        <v>8096</v>
      </c>
      <c r="L5156" s="102" t="str">
        <f>F657</f>
        <v>J1a2b1~</v>
      </c>
      <c r="M5156" s="102" t="s">
        <v>8097</v>
      </c>
      <c r="N5156" s="102" t="s">
        <v>8093</v>
      </c>
      <c r="O5156" s="105">
        <v>8857387.0</v>
      </c>
      <c r="P5156" s="105">
        <v>8989346.0</v>
      </c>
      <c r="Q5156" s="102" t="s">
        <v>2529</v>
      </c>
      <c r="S5156" s="1"/>
      <c r="T5156" s="1"/>
      <c r="U5156" s="1"/>
      <c r="V5156" s="1"/>
      <c r="W5156" s="1"/>
      <c r="X5156" s="1"/>
      <c r="Y5156" s="1"/>
      <c r="AA5156" s="102"/>
      <c r="AB5156" s="1"/>
      <c r="AC5156" s="1"/>
      <c r="AD5156" s="1"/>
      <c r="AE5156" s="1"/>
      <c r="AF5156" s="1"/>
      <c r="AG5156" s="1"/>
    </row>
    <row r="5157" ht="15.75" customHeight="1">
      <c r="A5157" s="1"/>
      <c r="B5157" s="1"/>
      <c r="C5157" s="1"/>
      <c r="D5157" s="1"/>
      <c r="E5157" s="1"/>
      <c r="F5157" s="1"/>
      <c r="G5157" s="1"/>
      <c r="H5157" s="1"/>
      <c r="I5157" s="1"/>
      <c r="J5157" s="1"/>
      <c r="K5157" s="102" t="s">
        <v>8098</v>
      </c>
      <c r="L5157" s="102" t="str">
        <f>F657</f>
        <v>J1a2b1~</v>
      </c>
      <c r="M5157" s="102" t="s">
        <v>8099</v>
      </c>
      <c r="N5157" s="102" t="s">
        <v>8100</v>
      </c>
      <c r="O5157" s="105">
        <v>1.5955176E7</v>
      </c>
      <c r="P5157" s="105">
        <v>1.3843296E7</v>
      </c>
      <c r="Q5157" s="102" t="s">
        <v>2468</v>
      </c>
      <c r="S5157" s="1"/>
      <c r="T5157" s="1"/>
      <c r="U5157" s="1"/>
      <c r="V5157" s="1"/>
      <c r="W5157" s="1"/>
      <c r="X5157" s="1"/>
      <c r="Y5157" s="1"/>
      <c r="AA5157" s="102"/>
      <c r="AB5157" s="1"/>
      <c r="AC5157" s="1"/>
      <c r="AD5157" s="1"/>
      <c r="AE5157" s="1"/>
      <c r="AF5157" s="1"/>
      <c r="AG5157" s="1"/>
    </row>
    <row r="5158" ht="15.75" customHeight="1">
      <c r="A5158" s="1"/>
      <c r="B5158" s="1"/>
      <c r="C5158" s="1"/>
      <c r="D5158" s="1"/>
      <c r="E5158" s="1"/>
      <c r="F5158" s="1"/>
      <c r="G5158" s="1"/>
      <c r="H5158" s="1"/>
      <c r="I5158" s="1"/>
      <c r="J5158" s="1"/>
      <c r="K5158" s="102" t="s">
        <v>8099</v>
      </c>
      <c r="L5158" s="102" t="str">
        <f>F657</f>
        <v>J1a2b1~</v>
      </c>
      <c r="M5158" s="102" t="s">
        <v>8098</v>
      </c>
      <c r="N5158" s="102" t="s">
        <v>8100</v>
      </c>
      <c r="O5158" s="105">
        <v>1.5955176E7</v>
      </c>
      <c r="P5158" s="105">
        <v>1.3843296E7</v>
      </c>
      <c r="Q5158" s="102" t="s">
        <v>2468</v>
      </c>
      <c r="S5158" s="1"/>
      <c r="T5158" s="1"/>
      <c r="U5158" s="1"/>
      <c r="V5158" s="1"/>
      <c r="W5158" s="1"/>
      <c r="X5158" s="1"/>
      <c r="Y5158" s="1"/>
      <c r="AA5158" s="102"/>
      <c r="AB5158" s="1"/>
      <c r="AC5158" s="1"/>
      <c r="AD5158" s="1"/>
      <c r="AE5158" s="1"/>
      <c r="AF5158" s="1"/>
      <c r="AG5158" s="1"/>
    </row>
    <row r="5159" ht="15.75" customHeight="1">
      <c r="A5159" s="1"/>
      <c r="B5159" s="1"/>
      <c r="C5159" s="1"/>
      <c r="D5159" s="1"/>
      <c r="E5159" s="1"/>
      <c r="F5159" s="1"/>
      <c r="G5159" s="1"/>
      <c r="H5159" s="1"/>
      <c r="I5159" s="1"/>
      <c r="J5159" s="1"/>
      <c r="K5159" s="102" t="s">
        <v>8101</v>
      </c>
      <c r="L5159" s="102" t="str">
        <f>F657</f>
        <v>J1a2b1~</v>
      </c>
      <c r="M5159" s="102"/>
      <c r="N5159" s="102"/>
      <c r="O5159" s="105">
        <v>1.6679275E7</v>
      </c>
      <c r="P5159" s="105">
        <v>1.4567395E7</v>
      </c>
      <c r="Q5159" s="102" t="s">
        <v>2432</v>
      </c>
      <c r="S5159" s="1"/>
      <c r="T5159" s="1"/>
      <c r="U5159" s="1"/>
      <c r="V5159" s="1"/>
      <c r="W5159" s="1"/>
      <c r="X5159" s="1"/>
      <c r="Y5159" s="1"/>
      <c r="AA5159" s="102"/>
      <c r="AB5159" s="1"/>
      <c r="AC5159" s="1"/>
      <c r="AD5159" s="1"/>
      <c r="AE5159" s="1"/>
      <c r="AF5159" s="1"/>
      <c r="AG5159" s="1"/>
    </row>
    <row r="5160" ht="15.75" customHeight="1">
      <c r="A5160" s="1"/>
      <c r="B5160" s="1"/>
      <c r="C5160" s="1"/>
      <c r="D5160" s="1"/>
      <c r="E5160" s="1"/>
      <c r="F5160" s="1"/>
      <c r="G5160" s="1"/>
      <c r="H5160" s="1"/>
      <c r="I5160" s="1"/>
      <c r="J5160" s="1"/>
      <c r="K5160" s="102" t="s">
        <v>8102</v>
      </c>
      <c r="L5160" s="102" t="str">
        <f>F657</f>
        <v>J1a2b1~</v>
      </c>
      <c r="M5160" s="102"/>
      <c r="N5160" s="102" t="s">
        <v>8103</v>
      </c>
      <c r="O5160" s="105">
        <v>7563821.0</v>
      </c>
      <c r="P5160" s="105">
        <v>7695780.0</v>
      </c>
      <c r="Q5160" s="102" t="s">
        <v>2514</v>
      </c>
      <c r="S5160" s="1"/>
      <c r="T5160" s="1"/>
      <c r="U5160" s="1"/>
      <c r="V5160" s="1"/>
      <c r="W5160" s="1"/>
      <c r="X5160" s="1"/>
      <c r="Y5160" s="1"/>
      <c r="AA5160" s="102"/>
      <c r="AB5160" s="1"/>
      <c r="AC5160" s="1"/>
      <c r="AD5160" s="1"/>
      <c r="AE5160" s="1"/>
      <c r="AF5160" s="1"/>
      <c r="AG5160" s="1"/>
    </row>
    <row r="5161" ht="15.75" customHeight="1">
      <c r="A5161" s="1"/>
      <c r="B5161" s="1"/>
      <c r="C5161" s="1"/>
      <c r="D5161" s="1"/>
      <c r="E5161" s="1"/>
      <c r="F5161" s="1"/>
      <c r="G5161" s="1"/>
      <c r="H5161" s="1"/>
      <c r="I5161" s="1"/>
      <c r="J5161" s="1"/>
      <c r="K5161" s="102" t="s">
        <v>8104</v>
      </c>
      <c r="L5161" s="102" t="str">
        <f>F657</f>
        <v>J1a2b1~</v>
      </c>
      <c r="M5161" s="102"/>
      <c r="N5161" s="102" t="s">
        <v>8105</v>
      </c>
      <c r="O5161" s="105">
        <v>8286442.0</v>
      </c>
      <c r="P5161" s="105">
        <v>8418401.0</v>
      </c>
      <c r="Q5161" s="102" t="s">
        <v>2501</v>
      </c>
      <c r="S5161" s="1"/>
      <c r="T5161" s="1"/>
      <c r="U5161" s="1"/>
      <c r="V5161" s="1"/>
      <c r="W5161" s="1"/>
      <c r="X5161" s="1"/>
      <c r="Y5161" s="1"/>
      <c r="AA5161" s="102"/>
      <c r="AB5161" s="1"/>
      <c r="AC5161" s="1"/>
      <c r="AD5161" s="1"/>
      <c r="AE5161" s="1"/>
      <c r="AF5161" s="1"/>
      <c r="AG5161" s="1"/>
    </row>
    <row r="5162" ht="15.75" customHeight="1">
      <c r="A5162" s="1"/>
      <c r="B5162" s="1"/>
      <c r="C5162" s="1"/>
      <c r="D5162" s="1"/>
      <c r="E5162" s="1"/>
      <c r="F5162" s="1"/>
      <c r="G5162" s="1"/>
      <c r="H5162" s="1"/>
      <c r="I5162" s="1"/>
      <c r="J5162" s="1"/>
      <c r="K5162" s="102" t="s">
        <v>8106</v>
      </c>
      <c r="L5162" s="102" t="str">
        <f>F657</f>
        <v>J1a2b1~</v>
      </c>
      <c r="M5162" s="102"/>
      <c r="N5162" s="102" t="s">
        <v>8107</v>
      </c>
      <c r="O5162" s="105">
        <v>2.195881E7</v>
      </c>
      <c r="P5162" s="105">
        <v>1.9796924E7</v>
      </c>
      <c r="Q5162" s="102" t="s">
        <v>2529</v>
      </c>
      <c r="S5162" s="1"/>
      <c r="T5162" s="1"/>
      <c r="U5162" s="1"/>
      <c r="V5162" s="1"/>
      <c r="W5162" s="1"/>
      <c r="X5162" s="1"/>
      <c r="Y5162" s="1"/>
      <c r="AA5162" s="102"/>
      <c r="AB5162" s="1"/>
      <c r="AC5162" s="1"/>
      <c r="AD5162" s="1"/>
      <c r="AE5162" s="1"/>
      <c r="AF5162" s="1"/>
      <c r="AG5162" s="1"/>
    </row>
    <row r="5163" ht="15.75" customHeight="1">
      <c r="A5163" s="1"/>
      <c r="B5163" s="1"/>
      <c r="C5163" s="1"/>
      <c r="D5163" s="1"/>
      <c r="E5163" s="1"/>
      <c r="F5163" s="1"/>
      <c r="G5163" s="1"/>
      <c r="H5163" s="1"/>
      <c r="I5163" s="1"/>
      <c r="J5163" s="1"/>
      <c r="K5163" s="102" t="s">
        <v>8108</v>
      </c>
      <c r="L5163" s="102" t="str">
        <f>G658</f>
        <v>J1a2b1a~</v>
      </c>
      <c r="M5163" s="102" t="s">
        <v>8109</v>
      </c>
      <c r="N5163" s="102" t="s">
        <v>8110</v>
      </c>
      <c r="O5163" s="105">
        <v>2.3209284E7</v>
      </c>
      <c r="P5163" s="105">
        <v>2.1047398E7</v>
      </c>
      <c r="Q5163" s="102" t="s">
        <v>2468</v>
      </c>
      <c r="S5163" s="1"/>
      <c r="T5163" s="1"/>
      <c r="U5163" s="1"/>
      <c r="V5163" s="1"/>
      <c r="W5163" s="1"/>
      <c r="X5163" s="1"/>
      <c r="Y5163" s="1"/>
      <c r="AA5163" s="102"/>
      <c r="AB5163" s="1"/>
      <c r="AC5163" s="1"/>
      <c r="AD5163" s="1"/>
      <c r="AE5163" s="1"/>
      <c r="AF5163" s="1"/>
      <c r="AG5163" s="1"/>
    </row>
    <row r="5164" ht="15.75" customHeight="1">
      <c r="A5164" s="1"/>
      <c r="B5164" s="1"/>
      <c r="C5164" s="1"/>
      <c r="D5164" s="1"/>
      <c r="E5164" s="1"/>
      <c r="F5164" s="1"/>
      <c r="G5164" s="1"/>
      <c r="H5164" s="1"/>
      <c r="I5164" s="1"/>
      <c r="J5164" s="1"/>
      <c r="K5164" s="102" t="s">
        <v>8109</v>
      </c>
      <c r="L5164" s="102" t="str">
        <f>G658</f>
        <v>J1a2b1a~</v>
      </c>
      <c r="M5164" s="102" t="s">
        <v>8108</v>
      </c>
      <c r="N5164" s="102" t="s">
        <v>8110</v>
      </c>
      <c r="O5164" s="105">
        <v>2.3209284E7</v>
      </c>
      <c r="P5164" s="105">
        <v>2.1047398E7</v>
      </c>
      <c r="Q5164" s="102" t="s">
        <v>2468</v>
      </c>
      <c r="S5164" s="1"/>
      <c r="T5164" s="1"/>
      <c r="U5164" s="1"/>
      <c r="V5164" s="1"/>
      <c r="W5164" s="1"/>
      <c r="X5164" s="1"/>
      <c r="Y5164" s="1"/>
      <c r="AA5164" s="102"/>
      <c r="AB5164" s="1"/>
      <c r="AC5164" s="1"/>
      <c r="AD5164" s="1"/>
      <c r="AE5164" s="1"/>
      <c r="AF5164" s="1"/>
      <c r="AG5164" s="1"/>
    </row>
    <row r="5165" ht="15.75" customHeight="1">
      <c r="A5165" s="1"/>
      <c r="B5165" s="1"/>
      <c r="C5165" s="1"/>
      <c r="D5165" s="1"/>
      <c r="E5165" s="1"/>
      <c r="F5165" s="1"/>
      <c r="G5165" s="1"/>
      <c r="H5165" s="1"/>
      <c r="I5165" s="1"/>
      <c r="J5165" s="1"/>
      <c r="K5165" s="102" t="s">
        <v>8111</v>
      </c>
      <c r="L5165" s="102" t="str">
        <f>G658</f>
        <v>J1a2b1a~</v>
      </c>
      <c r="M5165" s="102" t="s">
        <v>8112</v>
      </c>
      <c r="N5165" s="102" t="s">
        <v>8113</v>
      </c>
      <c r="O5165" s="105">
        <v>1.6341848E7</v>
      </c>
      <c r="P5165" s="105">
        <v>1.4229968E7</v>
      </c>
      <c r="Q5165" s="102" t="s">
        <v>2529</v>
      </c>
      <c r="S5165" s="1"/>
      <c r="T5165" s="1"/>
      <c r="U5165" s="1"/>
      <c r="V5165" s="1"/>
      <c r="W5165" s="1"/>
      <c r="X5165" s="1"/>
      <c r="Y5165" s="1"/>
      <c r="AA5165" s="102"/>
      <c r="AB5165" s="1"/>
      <c r="AC5165" s="1"/>
      <c r="AD5165" s="1"/>
      <c r="AE5165" s="1"/>
      <c r="AF5165" s="1"/>
      <c r="AG5165" s="1"/>
    </row>
    <row r="5166" ht="15.75" customHeight="1">
      <c r="A5166" s="1"/>
      <c r="B5166" s="1"/>
      <c r="C5166" s="1"/>
      <c r="D5166" s="1"/>
      <c r="E5166" s="1"/>
      <c r="F5166" s="1"/>
      <c r="G5166" s="1"/>
      <c r="H5166" s="1"/>
      <c r="I5166" s="1"/>
      <c r="J5166" s="1"/>
      <c r="K5166" s="102" t="s">
        <v>8112</v>
      </c>
      <c r="L5166" s="102" t="str">
        <f>G658</f>
        <v>J1a2b1a~</v>
      </c>
      <c r="M5166" s="102" t="s">
        <v>8111</v>
      </c>
      <c r="N5166" s="102" t="s">
        <v>8113</v>
      </c>
      <c r="O5166" s="105">
        <v>1.6341848E7</v>
      </c>
      <c r="P5166" s="105">
        <v>1.4229968E7</v>
      </c>
      <c r="Q5166" s="102" t="s">
        <v>2529</v>
      </c>
      <c r="S5166" s="1"/>
      <c r="T5166" s="1"/>
      <c r="U5166" s="1"/>
      <c r="V5166" s="1"/>
      <c r="W5166" s="1"/>
      <c r="X5166" s="1"/>
      <c r="Y5166" s="1"/>
      <c r="AA5166" s="102"/>
      <c r="AB5166" s="1"/>
      <c r="AC5166" s="1"/>
      <c r="AD5166" s="1"/>
      <c r="AE5166" s="1"/>
      <c r="AF5166" s="1"/>
      <c r="AG5166" s="1"/>
    </row>
    <row r="5167" ht="15.75" customHeight="1">
      <c r="A5167" s="1"/>
      <c r="B5167" s="1"/>
      <c r="C5167" s="1"/>
      <c r="D5167" s="1"/>
      <c r="E5167" s="1"/>
      <c r="F5167" s="1"/>
      <c r="G5167" s="1"/>
      <c r="H5167" s="1"/>
      <c r="I5167" s="1"/>
      <c r="J5167" s="1"/>
      <c r="K5167" s="102" t="s">
        <v>8114</v>
      </c>
      <c r="L5167" s="102" t="str">
        <f>H659</f>
        <v>J1a2b1a1~</v>
      </c>
      <c r="M5167" s="102"/>
      <c r="N5167" s="102"/>
      <c r="O5167" s="105">
        <v>2873877.0</v>
      </c>
      <c r="P5167" s="105">
        <v>3005836.0</v>
      </c>
      <c r="Q5167" s="102" t="s">
        <v>2514</v>
      </c>
      <c r="S5167" s="1"/>
      <c r="T5167" s="1"/>
      <c r="U5167" s="1"/>
      <c r="V5167" s="1"/>
      <c r="W5167" s="1"/>
      <c r="X5167" s="1"/>
      <c r="Y5167" s="1"/>
      <c r="AA5167" s="102"/>
      <c r="AB5167" s="1"/>
      <c r="AC5167" s="1"/>
      <c r="AD5167" s="1"/>
      <c r="AE5167" s="1"/>
      <c r="AF5167" s="1"/>
      <c r="AG5167" s="1"/>
    </row>
    <row r="5168" ht="15.75" customHeight="1">
      <c r="A5168" s="1"/>
      <c r="B5168" s="1"/>
      <c r="C5168" s="1"/>
      <c r="D5168" s="1"/>
      <c r="E5168" s="1"/>
      <c r="F5168" s="1"/>
      <c r="G5168" s="1"/>
      <c r="H5168" s="1"/>
      <c r="I5168" s="1"/>
      <c r="J5168" s="1"/>
      <c r="K5168" s="102" t="s">
        <v>8115</v>
      </c>
      <c r="L5168" s="102" t="str">
        <f>H659</f>
        <v>J1a2b1a1~</v>
      </c>
      <c r="M5168" s="102" t="s">
        <v>8116</v>
      </c>
      <c r="N5168" s="102"/>
      <c r="O5168" s="105">
        <v>7067674.0</v>
      </c>
      <c r="P5168" s="105">
        <v>7199633.0</v>
      </c>
      <c r="Q5168" s="102" t="s">
        <v>2439</v>
      </c>
      <c r="S5168" s="1"/>
      <c r="T5168" s="1"/>
      <c r="U5168" s="1"/>
      <c r="V5168" s="1"/>
      <c r="W5168" s="1"/>
      <c r="X5168" s="1"/>
      <c r="Y5168" s="1"/>
      <c r="AA5168" s="102"/>
      <c r="AB5168" s="1"/>
      <c r="AC5168" s="1"/>
      <c r="AD5168" s="1"/>
      <c r="AE5168" s="1"/>
      <c r="AF5168" s="1"/>
      <c r="AG5168" s="1"/>
    </row>
    <row r="5169" ht="15.75" customHeight="1">
      <c r="A5169" s="1"/>
      <c r="B5169" s="1"/>
      <c r="C5169" s="1"/>
      <c r="D5169" s="1"/>
      <c r="E5169" s="1"/>
      <c r="F5169" s="1"/>
      <c r="G5169" s="1"/>
      <c r="H5169" s="1"/>
      <c r="I5169" s="1"/>
      <c r="J5169" s="1"/>
      <c r="K5169" s="102" t="s">
        <v>8116</v>
      </c>
      <c r="L5169" s="102" t="str">
        <f>H659</f>
        <v>J1a2b1a1~</v>
      </c>
      <c r="M5169" s="102" t="s">
        <v>8115</v>
      </c>
      <c r="N5169" s="102"/>
      <c r="O5169" s="105">
        <v>7067674.0</v>
      </c>
      <c r="P5169" s="105">
        <v>7199633.0</v>
      </c>
      <c r="Q5169" s="102" t="s">
        <v>2439</v>
      </c>
      <c r="S5169" s="1"/>
      <c r="T5169" s="1"/>
      <c r="U5169" s="1"/>
      <c r="V5169" s="1"/>
      <c r="W5169" s="1"/>
      <c r="X5169" s="1"/>
      <c r="Y5169" s="1"/>
      <c r="AA5169" s="102"/>
      <c r="AB5169" s="1"/>
      <c r="AC5169" s="1"/>
      <c r="AD5169" s="1"/>
      <c r="AE5169" s="1"/>
      <c r="AF5169" s="1"/>
      <c r="AG5169" s="1"/>
    </row>
    <row r="5170" ht="15.75" customHeight="1">
      <c r="A5170" s="1"/>
      <c r="B5170" s="1"/>
      <c r="C5170" s="1"/>
      <c r="D5170" s="1"/>
      <c r="E5170" s="1"/>
      <c r="F5170" s="1"/>
      <c r="G5170" s="1"/>
      <c r="H5170" s="1"/>
      <c r="I5170" s="1"/>
      <c r="J5170" s="1"/>
      <c r="K5170" s="102" t="s">
        <v>8117</v>
      </c>
      <c r="L5170" s="102" t="str">
        <f>H659</f>
        <v>J1a2b1a1~</v>
      </c>
      <c r="M5170" s="102" t="s">
        <v>8118</v>
      </c>
      <c r="N5170" s="102"/>
      <c r="O5170" s="105">
        <v>7761239.0</v>
      </c>
      <c r="P5170" s="105">
        <v>7893198.0</v>
      </c>
      <c r="Q5170" s="102" t="s">
        <v>2501</v>
      </c>
      <c r="S5170" s="1"/>
      <c r="T5170" s="1"/>
      <c r="U5170" s="1"/>
      <c r="V5170" s="1"/>
      <c r="W5170" s="1"/>
      <c r="X5170" s="1"/>
      <c r="Y5170" s="1"/>
      <c r="AA5170" s="102"/>
      <c r="AB5170" s="1"/>
      <c r="AC5170" s="1"/>
      <c r="AD5170" s="1"/>
      <c r="AE5170" s="1"/>
      <c r="AF5170" s="1"/>
      <c r="AG5170" s="1"/>
    </row>
    <row r="5171" ht="15.75" customHeight="1">
      <c r="A5171" s="1"/>
      <c r="B5171" s="1"/>
      <c r="C5171" s="1"/>
      <c r="D5171" s="1"/>
      <c r="E5171" s="1"/>
      <c r="F5171" s="1"/>
      <c r="G5171" s="1"/>
      <c r="H5171" s="1"/>
      <c r="I5171" s="1"/>
      <c r="J5171" s="1"/>
      <c r="K5171" s="102" t="s">
        <v>8118</v>
      </c>
      <c r="L5171" s="102" t="str">
        <f>H659</f>
        <v>J1a2b1a1~</v>
      </c>
      <c r="M5171" s="102" t="s">
        <v>8117</v>
      </c>
      <c r="N5171" s="102"/>
      <c r="O5171" s="105">
        <v>7761239.0</v>
      </c>
      <c r="P5171" s="105">
        <v>7893198.0</v>
      </c>
      <c r="Q5171" s="102" t="s">
        <v>2501</v>
      </c>
      <c r="S5171" s="1"/>
      <c r="T5171" s="1"/>
      <c r="U5171" s="1"/>
      <c r="V5171" s="1"/>
      <c r="W5171" s="1"/>
      <c r="X5171" s="1"/>
      <c r="Y5171" s="1"/>
      <c r="AA5171" s="102"/>
      <c r="AB5171" s="1"/>
      <c r="AC5171" s="1"/>
      <c r="AD5171" s="1"/>
      <c r="AE5171" s="1"/>
      <c r="AF5171" s="1"/>
      <c r="AG5171" s="1"/>
    </row>
    <row r="5172" ht="15.75" customHeight="1">
      <c r="A5172" s="1"/>
      <c r="B5172" s="1"/>
      <c r="C5172" s="1"/>
      <c r="D5172" s="1"/>
      <c r="E5172" s="1"/>
      <c r="F5172" s="1"/>
      <c r="G5172" s="1"/>
      <c r="H5172" s="1"/>
      <c r="I5172" s="1"/>
      <c r="J5172" s="1"/>
      <c r="K5172" s="102" t="s">
        <v>8119</v>
      </c>
      <c r="L5172" s="102" t="str">
        <f>H659</f>
        <v>J1a2b1a1~</v>
      </c>
      <c r="M5172" s="102"/>
      <c r="N5172" s="102" t="s">
        <v>8120</v>
      </c>
      <c r="O5172" s="105">
        <v>7031529.0</v>
      </c>
      <c r="P5172" s="105">
        <v>7163488.0</v>
      </c>
      <c r="Q5172" s="102" t="s">
        <v>2439</v>
      </c>
      <c r="S5172" s="1"/>
      <c r="T5172" s="1"/>
      <c r="U5172" s="1"/>
      <c r="V5172" s="1"/>
      <c r="W5172" s="1"/>
      <c r="X5172" s="1"/>
      <c r="Y5172" s="1"/>
      <c r="AA5172" s="102"/>
      <c r="AB5172" s="1"/>
      <c r="AC5172" s="1"/>
      <c r="AD5172" s="1"/>
      <c r="AE5172" s="1"/>
      <c r="AF5172" s="1"/>
      <c r="AG5172" s="1"/>
    </row>
    <row r="5173" ht="15.75" customHeight="1">
      <c r="A5173" s="1"/>
      <c r="B5173" s="1"/>
      <c r="C5173" s="1"/>
      <c r="D5173" s="1"/>
      <c r="E5173" s="1"/>
      <c r="F5173" s="1"/>
      <c r="G5173" s="1"/>
      <c r="H5173" s="1"/>
      <c r="I5173" s="1"/>
      <c r="J5173" s="1"/>
      <c r="K5173" s="102" t="s">
        <v>8121</v>
      </c>
      <c r="L5173" s="102" t="str">
        <f>H659</f>
        <v>J1a2b1a1~</v>
      </c>
      <c r="M5173" s="102"/>
      <c r="N5173" s="102" t="s">
        <v>8122</v>
      </c>
      <c r="O5173" s="105">
        <v>7399042.0</v>
      </c>
      <c r="P5173" s="105">
        <v>7531001.0</v>
      </c>
      <c r="Q5173" s="102" t="s">
        <v>2501</v>
      </c>
      <c r="S5173" s="1"/>
      <c r="T5173" s="1"/>
      <c r="U5173" s="1"/>
      <c r="V5173" s="1"/>
      <c r="W5173" s="1"/>
      <c r="X5173" s="1"/>
      <c r="Y5173" s="1"/>
      <c r="AA5173" s="102"/>
      <c r="AB5173" s="1"/>
      <c r="AC5173" s="1"/>
      <c r="AD5173" s="1"/>
      <c r="AE5173" s="1"/>
      <c r="AF5173" s="1"/>
      <c r="AG5173" s="1"/>
    </row>
    <row r="5174" ht="15.75" customHeight="1">
      <c r="A5174" s="1"/>
      <c r="B5174" s="1"/>
      <c r="C5174" s="1"/>
      <c r="D5174" s="1"/>
      <c r="E5174" s="1"/>
      <c r="F5174" s="1"/>
      <c r="G5174" s="1"/>
      <c r="H5174" s="1"/>
      <c r="I5174" s="1"/>
      <c r="J5174" s="1"/>
      <c r="K5174" s="102" t="s">
        <v>8123</v>
      </c>
      <c r="L5174" s="102" t="str">
        <f>H659</f>
        <v>J1a2b1a1~</v>
      </c>
      <c r="M5174" s="102"/>
      <c r="N5174" s="102"/>
      <c r="O5174" s="105">
        <v>8522635.0</v>
      </c>
      <c r="P5174" s="105">
        <v>8654594.0</v>
      </c>
      <c r="Q5174" s="102" t="s">
        <v>2533</v>
      </c>
      <c r="S5174" s="1"/>
      <c r="T5174" s="1"/>
      <c r="U5174" s="1"/>
      <c r="V5174" s="1"/>
      <c r="W5174" s="1"/>
      <c r="X5174" s="1"/>
      <c r="Y5174" s="1"/>
      <c r="AA5174" s="102"/>
      <c r="AB5174" s="1"/>
      <c r="AC5174" s="1"/>
      <c r="AD5174" s="1"/>
      <c r="AE5174" s="1"/>
      <c r="AF5174" s="1"/>
      <c r="AG5174" s="1"/>
    </row>
    <row r="5175" ht="15.75" customHeight="1">
      <c r="A5175" s="1"/>
      <c r="B5175" s="1"/>
      <c r="C5175" s="1"/>
      <c r="D5175" s="1"/>
      <c r="E5175" s="1"/>
      <c r="F5175" s="1"/>
      <c r="G5175" s="1"/>
      <c r="H5175" s="1"/>
      <c r="I5175" s="1"/>
      <c r="J5175" s="1"/>
      <c r="K5175" s="102" t="s">
        <v>8124</v>
      </c>
      <c r="L5175" s="102" t="str">
        <f>H659</f>
        <v>J1a2b1a1~</v>
      </c>
      <c r="M5175" s="102"/>
      <c r="N5175" s="102"/>
      <c r="O5175" s="105">
        <v>8771920.0</v>
      </c>
      <c r="P5175" s="105">
        <v>8903879.0</v>
      </c>
      <c r="Q5175" s="102" t="s">
        <v>2563</v>
      </c>
      <c r="S5175" s="1"/>
      <c r="T5175" s="1"/>
      <c r="U5175" s="1"/>
      <c r="V5175" s="1"/>
      <c r="W5175" s="1"/>
      <c r="X5175" s="1"/>
      <c r="Y5175" s="1"/>
      <c r="AA5175" s="102"/>
      <c r="AB5175" s="1"/>
      <c r="AC5175" s="1"/>
      <c r="AD5175" s="1"/>
      <c r="AE5175" s="1"/>
      <c r="AF5175" s="1"/>
      <c r="AG5175" s="1"/>
    </row>
    <row r="5176" ht="15.75" customHeight="1">
      <c r="A5176" s="1"/>
      <c r="B5176" s="1"/>
      <c r="C5176" s="1"/>
      <c r="D5176" s="1"/>
      <c r="E5176" s="1"/>
      <c r="F5176" s="1"/>
      <c r="G5176" s="1"/>
      <c r="H5176" s="1"/>
      <c r="I5176" s="1"/>
      <c r="J5176" s="1"/>
      <c r="K5176" s="102" t="s">
        <v>8125</v>
      </c>
      <c r="L5176" s="102" t="str">
        <f>H659</f>
        <v>J1a2b1a1~</v>
      </c>
      <c r="M5176" s="102"/>
      <c r="N5176" s="102"/>
      <c r="O5176" s="105">
        <v>1.5771937E7</v>
      </c>
      <c r="P5176" s="105">
        <v>1.3660057E7</v>
      </c>
      <c r="Q5176" s="102" t="s">
        <v>2563</v>
      </c>
      <c r="S5176" s="1"/>
      <c r="T5176" s="1"/>
      <c r="U5176" s="1"/>
      <c r="V5176" s="1"/>
      <c r="W5176" s="1"/>
      <c r="X5176" s="1"/>
      <c r="Y5176" s="1"/>
      <c r="AA5176" s="102"/>
      <c r="AB5176" s="1"/>
      <c r="AC5176" s="1"/>
      <c r="AD5176" s="1"/>
      <c r="AE5176" s="1"/>
      <c r="AF5176" s="1"/>
      <c r="AG5176" s="1"/>
    </row>
    <row r="5177" ht="15.75" customHeight="1">
      <c r="A5177" s="1"/>
      <c r="B5177" s="1"/>
      <c r="C5177" s="1"/>
      <c r="D5177" s="1"/>
      <c r="E5177" s="1"/>
      <c r="F5177" s="1"/>
      <c r="G5177" s="1"/>
      <c r="H5177" s="1"/>
      <c r="I5177" s="1"/>
      <c r="J5177" s="1"/>
      <c r="K5177" s="102" t="s">
        <v>8126</v>
      </c>
      <c r="L5177" s="102" t="str">
        <f>H659</f>
        <v>J1a2b1a1~</v>
      </c>
      <c r="M5177" s="102"/>
      <c r="N5177" s="102"/>
      <c r="O5177" s="105">
        <v>1.6649903E7</v>
      </c>
      <c r="P5177" s="105">
        <v>1.4538023E7</v>
      </c>
      <c r="Q5177" s="106" t="s">
        <v>2563</v>
      </c>
      <c r="S5177" s="1"/>
      <c r="T5177" s="1"/>
      <c r="U5177" s="1"/>
      <c r="V5177" s="1"/>
      <c r="W5177" s="1"/>
      <c r="X5177" s="1"/>
      <c r="Y5177" s="1"/>
      <c r="AA5177" s="102"/>
      <c r="AB5177" s="1"/>
      <c r="AC5177" s="1"/>
      <c r="AD5177" s="1"/>
      <c r="AE5177" s="1"/>
      <c r="AF5177" s="1"/>
      <c r="AG5177" s="1"/>
    </row>
    <row r="5178" ht="15.75" customHeight="1">
      <c r="A5178" s="1"/>
      <c r="B5178" s="1"/>
      <c r="C5178" s="1"/>
      <c r="D5178" s="1"/>
      <c r="E5178" s="1"/>
      <c r="F5178" s="1"/>
      <c r="G5178" s="1"/>
      <c r="H5178" s="1"/>
      <c r="I5178" s="1"/>
      <c r="J5178" s="1"/>
      <c r="K5178" s="102" t="s">
        <v>8127</v>
      </c>
      <c r="L5178" s="102" t="str">
        <f>H659</f>
        <v>J1a2b1a1~</v>
      </c>
      <c r="M5178" s="102"/>
      <c r="N5178" s="102" t="s">
        <v>8128</v>
      </c>
      <c r="O5178" s="105">
        <v>1.891901E7</v>
      </c>
      <c r="P5178" s="105">
        <v>1.680713E7</v>
      </c>
      <c r="Q5178" s="102" t="s">
        <v>2501</v>
      </c>
      <c r="S5178" s="1"/>
      <c r="T5178" s="1"/>
      <c r="U5178" s="1"/>
      <c r="V5178" s="1"/>
      <c r="W5178" s="1"/>
      <c r="X5178" s="1"/>
      <c r="Y5178" s="1"/>
      <c r="AA5178" s="102"/>
      <c r="AB5178" s="1"/>
      <c r="AC5178" s="1"/>
      <c r="AD5178" s="1"/>
      <c r="AE5178" s="1"/>
      <c r="AF5178" s="1"/>
      <c r="AG5178" s="1"/>
    </row>
    <row r="5179" ht="15.75" customHeight="1">
      <c r="A5179" s="1"/>
      <c r="B5179" s="1"/>
      <c r="C5179" s="1"/>
      <c r="D5179" s="1"/>
      <c r="E5179" s="1"/>
      <c r="F5179" s="1"/>
      <c r="G5179" s="1"/>
      <c r="H5179" s="1"/>
      <c r="I5179" s="1"/>
      <c r="J5179" s="1"/>
      <c r="K5179" s="102" t="s">
        <v>8129</v>
      </c>
      <c r="L5179" s="102" t="str">
        <f>H659</f>
        <v>J1a2b1a1~</v>
      </c>
      <c r="M5179" s="102"/>
      <c r="N5179" s="102"/>
      <c r="O5179" s="105">
        <v>1.923029E7</v>
      </c>
      <c r="P5179" s="105">
        <v>1.711841E7</v>
      </c>
      <c r="Q5179" s="102" t="s">
        <v>2529</v>
      </c>
      <c r="S5179" s="1"/>
      <c r="T5179" s="1"/>
      <c r="U5179" s="1"/>
      <c r="V5179" s="1"/>
      <c r="W5179" s="1"/>
      <c r="X5179" s="1"/>
      <c r="Y5179" s="1"/>
      <c r="AA5179" s="102"/>
      <c r="AB5179" s="1"/>
      <c r="AC5179" s="1"/>
      <c r="AD5179" s="1"/>
      <c r="AE5179" s="1"/>
      <c r="AF5179" s="1"/>
      <c r="AG5179" s="1"/>
    </row>
    <row r="5180" ht="15.75" customHeight="1">
      <c r="A5180" s="1"/>
      <c r="B5180" s="1"/>
      <c r="C5180" s="1"/>
      <c r="D5180" s="1"/>
      <c r="E5180" s="1"/>
      <c r="F5180" s="1"/>
      <c r="G5180" s="1"/>
      <c r="H5180" s="1"/>
      <c r="I5180" s="1"/>
      <c r="J5180" s="1"/>
      <c r="K5180" s="102" t="s">
        <v>8130</v>
      </c>
      <c r="L5180" s="102" t="str">
        <f>H659</f>
        <v>J1a2b1a1~</v>
      </c>
      <c r="M5180" s="102"/>
      <c r="N5180" s="102"/>
      <c r="O5180" s="105">
        <v>2.2899891E7</v>
      </c>
      <c r="P5180" s="105">
        <v>2.0738005E7</v>
      </c>
      <c r="Q5180" s="102" t="s">
        <v>2501</v>
      </c>
      <c r="S5180" s="1"/>
      <c r="T5180" s="1"/>
      <c r="U5180" s="1"/>
      <c r="V5180" s="1"/>
      <c r="W5180" s="1"/>
      <c r="X5180" s="1"/>
      <c r="Y5180" s="1"/>
      <c r="AA5180" s="102"/>
      <c r="AB5180" s="1"/>
      <c r="AC5180" s="1"/>
      <c r="AD5180" s="1"/>
      <c r="AE5180" s="1"/>
      <c r="AF5180" s="1"/>
      <c r="AG5180" s="1"/>
    </row>
    <row r="5181" ht="15.75" customHeight="1">
      <c r="A5181" s="1"/>
      <c r="B5181" s="1"/>
      <c r="C5181" s="1"/>
      <c r="D5181" s="1"/>
      <c r="E5181" s="1"/>
      <c r="F5181" s="1"/>
      <c r="G5181" s="1"/>
      <c r="H5181" s="1"/>
      <c r="I5181" s="1"/>
      <c r="J5181" s="1"/>
      <c r="K5181" s="102" t="s">
        <v>8131</v>
      </c>
      <c r="L5181" s="102" t="str">
        <f>I660</f>
        <v>J1a2b1a1a~</v>
      </c>
      <c r="M5181" s="102" t="s">
        <v>8132</v>
      </c>
      <c r="N5181" s="102"/>
      <c r="O5181" s="105">
        <v>1.7100516E7</v>
      </c>
      <c r="P5181" s="105">
        <v>1.4988636E7</v>
      </c>
      <c r="Q5181" s="102" t="s">
        <v>2454</v>
      </c>
      <c r="S5181" s="1"/>
      <c r="T5181" s="1"/>
      <c r="U5181" s="1"/>
      <c r="V5181" s="1"/>
      <c r="W5181" s="1"/>
      <c r="X5181" s="1"/>
      <c r="Y5181" s="1"/>
      <c r="AA5181" s="102"/>
      <c r="AB5181" s="1"/>
      <c r="AC5181" s="1"/>
      <c r="AD5181" s="1"/>
      <c r="AE5181" s="1"/>
      <c r="AF5181" s="1"/>
      <c r="AG5181" s="1"/>
    </row>
    <row r="5182" ht="15.75" customHeight="1">
      <c r="A5182" s="1"/>
      <c r="B5182" s="1"/>
      <c r="C5182" s="1"/>
      <c r="D5182" s="1"/>
      <c r="E5182" s="1"/>
      <c r="F5182" s="1"/>
      <c r="G5182" s="1"/>
      <c r="H5182" s="1"/>
      <c r="I5182" s="1"/>
      <c r="J5182" s="1"/>
      <c r="K5182" s="102" t="s">
        <v>8132</v>
      </c>
      <c r="L5182" s="102" t="str">
        <f>I660</f>
        <v>J1a2b1a1a~</v>
      </c>
      <c r="M5182" s="102" t="s">
        <v>8131</v>
      </c>
      <c r="N5182" s="102"/>
      <c r="O5182" s="105">
        <v>1.7100516E7</v>
      </c>
      <c r="P5182" s="105">
        <v>1.4988636E7</v>
      </c>
      <c r="Q5182" s="102" t="s">
        <v>2454</v>
      </c>
      <c r="S5182" s="1"/>
      <c r="T5182" s="1"/>
      <c r="U5182" s="1"/>
      <c r="V5182" s="1"/>
      <c r="W5182" s="1"/>
      <c r="X5182" s="1"/>
      <c r="Y5182" s="1"/>
      <c r="AA5182" s="102"/>
      <c r="AB5182" s="1"/>
      <c r="AC5182" s="1"/>
      <c r="AD5182" s="1"/>
      <c r="AE5182" s="1"/>
      <c r="AF5182" s="1"/>
      <c r="AG5182" s="1"/>
    </row>
    <row r="5183" ht="15.75" customHeight="1">
      <c r="A5183" s="1"/>
      <c r="B5183" s="1"/>
      <c r="C5183" s="1"/>
      <c r="D5183" s="1"/>
      <c r="E5183" s="1"/>
      <c r="F5183" s="1"/>
      <c r="G5183" s="1"/>
      <c r="H5183" s="1"/>
      <c r="I5183" s="1"/>
      <c r="J5183" s="1"/>
      <c r="K5183" s="102" t="s">
        <v>8133</v>
      </c>
      <c r="L5183" s="102" t="str">
        <f>I660</f>
        <v>J1a2b1a1a~</v>
      </c>
      <c r="M5183" s="102"/>
      <c r="N5183" s="102"/>
      <c r="O5183" s="105">
        <v>2802852.0</v>
      </c>
      <c r="P5183" s="105">
        <v>2934811.0</v>
      </c>
      <c r="Q5183" s="102" t="s">
        <v>2468</v>
      </c>
      <c r="S5183" s="1"/>
      <c r="T5183" s="1"/>
      <c r="U5183" s="1"/>
      <c r="V5183" s="1"/>
      <c r="W5183" s="1"/>
      <c r="X5183" s="1"/>
      <c r="Y5183" s="1"/>
      <c r="AA5183" s="102"/>
      <c r="AB5183" s="1"/>
      <c r="AC5183" s="1"/>
      <c r="AD5183" s="1"/>
      <c r="AE5183" s="1"/>
      <c r="AF5183" s="1"/>
      <c r="AG5183" s="1"/>
    </row>
    <row r="5184" ht="15.75" customHeight="1">
      <c r="A5184" s="1"/>
      <c r="B5184" s="1"/>
      <c r="C5184" s="1"/>
      <c r="D5184" s="1"/>
      <c r="E5184" s="1"/>
      <c r="F5184" s="1"/>
      <c r="G5184" s="1"/>
      <c r="H5184" s="1"/>
      <c r="I5184" s="1"/>
      <c r="J5184" s="1"/>
      <c r="K5184" s="102" t="s">
        <v>8134</v>
      </c>
      <c r="L5184" s="102" t="str">
        <f>I660</f>
        <v>J1a2b1a1a~</v>
      </c>
      <c r="M5184" s="102"/>
      <c r="N5184" s="102"/>
      <c r="O5184" s="105">
        <v>7919754.0</v>
      </c>
      <c r="P5184" s="105">
        <v>8051713.0</v>
      </c>
      <c r="Q5184" s="102" t="s">
        <v>2563</v>
      </c>
      <c r="S5184" s="1"/>
      <c r="T5184" s="1"/>
      <c r="U5184" s="1"/>
      <c r="V5184" s="1"/>
      <c r="W5184" s="1"/>
      <c r="X5184" s="1"/>
      <c r="Y5184" s="1"/>
      <c r="AA5184" s="102"/>
      <c r="AB5184" s="1"/>
      <c r="AC5184" s="1"/>
      <c r="AD5184" s="1"/>
      <c r="AE5184" s="1"/>
      <c r="AF5184" s="1"/>
      <c r="AG5184" s="1"/>
    </row>
    <row r="5185" ht="15.75" customHeight="1">
      <c r="A5185" s="1"/>
      <c r="B5185" s="1"/>
      <c r="C5185" s="1"/>
      <c r="D5185" s="1"/>
      <c r="E5185" s="1"/>
      <c r="F5185" s="1"/>
      <c r="G5185" s="1"/>
      <c r="H5185" s="1"/>
      <c r="I5185" s="1"/>
      <c r="J5185" s="1"/>
      <c r="K5185" s="102" t="s">
        <v>8135</v>
      </c>
      <c r="L5185" s="102" t="str">
        <f>I660</f>
        <v>J1a2b1a1a~</v>
      </c>
      <c r="M5185" s="102"/>
      <c r="N5185" s="102"/>
      <c r="O5185" s="105">
        <v>8400095.0</v>
      </c>
      <c r="P5185" s="105">
        <v>8532054.0</v>
      </c>
      <c r="Q5185" s="102" t="s">
        <v>2501</v>
      </c>
      <c r="S5185" s="1"/>
      <c r="T5185" s="1"/>
      <c r="U5185" s="1"/>
      <c r="V5185" s="1"/>
      <c r="W5185" s="1"/>
      <c r="X5185" s="1"/>
      <c r="Y5185" s="1"/>
      <c r="AA5185" s="102"/>
      <c r="AB5185" s="1"/>
      <c r="AC5185" s="1"/>
      <c r="AD5185" s="1"/>
      <c r="AE5185" s="1"/>
      <c r="AF5185" s="1"/>
      <c r="AG5185" s="1"/>
    </row>
    <row r="5186" ht="15.75" customHeight="1">
      <c r="A5186" s="1"/>
      <c r="B5186" s="1"/>
      <c r="C5186" s="1"/>
      <c r="D5186" s="1"/>
      <c r="E5186" s="1"/>
      <c r="F5186" s="1"/>
      <c r="G5186" s="1"/>
      <c r="H5186" s="1"/>
      <c r="I5186" s="1"/>
      <c r="J5186" s="1"/>
      <c r="K5186" s="102" t="s">
        <v>8136</v>
      </c>
      <c r="L5186" s="102" t="str">
        <f>I660</f>
        <v>J1a2b1a1a~</v>
      </c>
      <c r="M5186" s="102"/>
      <c r="N5186" s="102"/>
      <c r="O5186" s="105">
        <v>8453068.0</v>
      </c>
      <c r="P5186" s="105">
        <v>8585027.0</v>
      </c>
      <c r="Q5186" s="102" t="s">
        <v>2446</v>
      </c>
      <c r="S5186" s="1"/>
      <c r="T5186" s="1"/>
      <c r="U5186" s="1"/>
      <c r="V5186" s="1"/>
      <c r="W5186" s="1"/>
      <c r="X5186" s="1"/>
      <c r="Y5186" s="1"/>
      <c r="AA5186" s="102"/>
      <c r="AB5186" s="1"/>
      <c r="AC5186" s="1"/>
      <c r="AD5186" s="1"/>
      <c r="AE5186" s="1"/>
      <c r="AF5186" s="1"/>
      <c r="AG5186" s="1"/>
    </row>
    <row r="5187" ht="15.75" customHeight="1">
      <c r="A5187" s="1"/>
      <c r="B5187" s="1"/>
      <c r="C5187" s="1"/>
      <c r="D5187" s="1"/>
      <c r="E5187" s="1"/>
      <c r="F5187" s="1"/>
      <c r="G5187" s="1"/>
      <c r="H5187" s="1"/>
      <c r="I5187" s="1"/>
      <c r="J5187" s="1"/>
      <c r="K5187" s="102" t="s">
        <v>8137</v>
      </c>
      <c r="L5187" s="102" t="str">
        <f>I660</f>
        <v>J1a2b1a1a~</v>
      </c>
      <c r="M5187" s="102"/>
      <c r="N5187" s="102"/>
      <c r="O5187" s="105">
        <v>1.7312444E7</v>
      </c>
      <c r="P5187" s="105">
        <v>1.5200564E7</v>
      </c>
      <c r="Q5187" s="102" t="s">
        <v>2439</v>
      </c>
      <c r="S5187" s="1"/>
      <c r="T5187" s="1"/>
      <c r="U5187" s="1"/>
      <c r="V5187" s="1"/>
      <c r="W5187" s="1"/>
      <c r="X5187" s="1"/>
      <c r="Y5187" s="1"/>
      <c r="AA5187" s="102"/>
      <c r="AB5187" s="1"/>
      <c r="AC5187" s="1"/>
      <c r="AD5187" s="1"/>
      <c r="AE5187" s="1"/>
      <c r="AF5187" s="1"/>
      <c r="AG5187" s="1"/>
    </row>
    <row r="5188" ht="15.75" customHeight="1">
      <c r="A5188" s="1"/>
      <c r="B5188" s="1"/>
      <c r="C5188" s="1"/>
      <c r="D5188" s="1"/>
      <c r="E5188" s="1"/>
      <c r="F5188" s="1"/>
      <c r="G5188" s="1"/>
      <c r="H5188" s="1"/>
      <c r="I5188" s="1"/>
      <c r="J5188" s="1"/>
      <c r="K5188" s="102" t="s">
        <v>8138</v>
      </c>
      <c r="L5188" s="102" t="str">
        <f>I660</f>
        <v>J1a2b1a1a~</v>
      </c>
      <c r="M5188" s="102"/>
      <c r="N5188" s="102"/>
      <c r="O5188" s="105">
        <v>1.8802412E7</v>
      </c>
      <c r="P5188" s="105">
        <v>1.6690532E7</v>
      </c>
      <c r="Q5188" s="102" t="s">
        <v>2468</v>
      </c>
      <c r="S5188" s="1"/>
      <c r="T5188" s="1"/>
      <c r="U5188" s="1"/>
      <c r="V5188" s="1"/>
      <c r="W5188" s="1"/>
      <c r="X5188" s="1"/>
      <c r="Y5188" s="1"/>
      <c r="AA5188" s="102"/>
      <c r="AB5188" s="1"/>
      <c r="AC5188" s="1"/>
      <c r="AD5188" s="1"/>
      <c r="AE5188" s="1"/>
      <c r="AF5188" s="1"/>
      <c r="AG5188" s="1"/>
    </row>
    <row r="5189" ht="15.75" customHeight="1">
      <c r="A5189" s="1"/>
      <c r="B5189" s="1"/>
      <c r="C5189" s="1"/>
      <c r="D5189" s="1"/>
      <c r="E5189" s="1"/>
      <c r="F5189" s="1"/>
      <c r="G5189" s="1"/>
      <c r="H5189" s="1"/>
      <c r="I5189" s="1"/>
      <c r="J5189" s="1"/>
      <c r="K5189" s="102" t="s">
        <v>8139</v>
      </c>
      <c r="L5189" s="102" t="str">
        <f>G661</f>
        <v>J1a2b1b~</v>
      </c>
      <c r="M5189" s="102" t="s">
        <v>8140</v>
      </c>
      <c r="N5189" s="102" t="s">
        <v>8141</v>
      </c>
      <c r="O5189" s="105">
        <v>1.8974362E7</v>
      </c>
      <c r="P5189" s="105">
        <v>1.6862482E7</v>
      </c>
      <c r="Q5189" s="102" t="s">
        <v>2439</v>
      </c>
      <c r="S5189" s="1"/>
      <c r="T5189" s="1"/>
      <c r="U5189" s="1"/>
      <c r="V5189" s="1"/>
      <c r="W5189" s="1"/>
      <c r="X5189" s="1"/>
      <c r="Y5189" s="1"/>
      <c r="AA5189" s="102"/>
      <c r="AB5189" s="1"/>
      <c r="AC5189" s="1"/>
      <c r="AD5189" s="1"/>
      <c r="AE5189" s="1"/>
      <c r="AF5189" s="1"/>
      <c r="AG5189" s="1"/>
    </row>
    <row r="5190" ht="15.75" customHeight="1">
      <c r="A5190" s="1"/>
      <c r="B5190" s="1"/>
      <c r="C5190" s="1"/>
      <c r="D5190" s="1"/>
      <c r="E5190" s="1"/>
      <c r="F5190" s="1"/>
      <c r="G5190" s="1"/>
      <c r="H5190" s="1"/>
      <c r="I5190" s="1"/>
      <c r="J5190" s="1"/>
      <c r="K5190" s="102" t="s">
        <v>8142</v>
      </c>
      <c r="L5190" s="102" t="str">
        <f>G661</f>
        <v>J1a2b1b~</v>
      </c>
      <c r="M5190" s="102" t="s">
        <v>8143</v>
      </c>
      <c r="N5190" s="102" t="s">
        <v>8141</v>
      </c>
      <c r="O5190" s="105">
        <v>1.8974362E7</v>
      </c>
      <c r="P5190" s="105">
        <v>1.6862482E7</v>
      </c>
      <c r="Q5190" s="102" t="s">
        <v>2439</v>
      </c>
      <c r="S5190" s="1"/>
      <c r="T5190" s="1"/>
      <c r="U5190" s="1"/>
      <c r="V5190" s="1"/>
      <c r="W5190" s="1"/>
      <c r="X5190" s="1"/>
      <c r="Y5190" s="1"/>
      <c r="AA5190" s="102"/>
      <c r="AB5190" s="1"/>
      <c r="AC5190" s="1"/>
      <c r="AD5190" s="1"/>
      <c r="AE5190" s="1"/>
      <c r="AF5190" s="1"/>
      <c r="AG5190" s="1"/>
    </row>
    <row r="5191" ht="15.75" customHeight="1">
      <c r="A5191" s="1"/>
      <c r="B5191" s="1"/>
      <c r="C5191" s="1"/>
      <c r="D5191" s="1"/>
      <c r="E5191" s="1"/>
      <c r="F5191" s="1"/>
      <c r="G5191" s="1"/>
      <c r="H5191" s="1"/>
      <c r="I5191" s="1"/>
      <c r="J5191" s="1"/>
      <c r="K5191" s="102" t="s">
        <v>8144</v>
      </c>
      <c r="L5191" s="102" t="str">
        <f>G661</f>
        <v>J1a2b1b~</v>
      </c>
      <c r="M5191" s="102" t="s">
        <v>8145</v>
      </c>
      <c r="N5191" s="102" t="s">
        <v>8141</v>
      </c>
      <c r="O5191" s="105">
        <v>1.8974362E7</v>
      </c>
      <c r="P5191" s="105">
        <v>1.6862482E7</v>
      </c>
      <c r="Q5191" s="102" t="s">
        <v>2439</v>
      </c>
      <c r="S5191" s="1"/>
      <c r="T5191" s="1"/>
      <c r="U5191" s="1"/>
      <c r="V5191" s="1"/>
      <c r="W5191" s="1"/>
      <c r="X5191" s="1"/>
      <c r="Y5191" s="1"/>
      <c r="AA5191" s="102"/>
      <c r="AB5191" s="1"/>
      <c r="AC5191" s="1"/>
      <c r="AD5191" s="1"/>
      <c r="AE5191" s="1"/>
      <c r="AF5191" s="1"/>
      <c r="AG5191" s="1"/>
    </row>
    <row r="5192" ht="15.75" customHeight="1">
      <c r="A5192" s="1"/>
      <c r="B5192" s="1"/>
      <c r="C5192" s="1"/>
      <c r="D5192" s="1"/>
      <c r="E5192" s="1"/>
      <c r="F5192" s="1"/>
      <c r="G5192" s="1"/>
      <c r="H5192" s="1"/>
      <c r="I5192" s="1"/>
      <c r="J5192" s="1"/>
      <c r="K5192" s="102" t="s">
        <v>8146</v>
      </c>
      <c r="L5192" s="102" t="str">
        <f>G661</f>
        <v>J1a2b1b~</v>
      </c>
      <c r="M5192" s="102" t="s">
        <v>8147</v>
      </c>
      <c r="N5192" s="102" t="s">
        <v>8148</v>
      </c>
      <c r="O5192" s="105">
        <v>2.3393424E7</v>
      </c>
      <c r="P5192" s="105">
        <v>2.1231538E7</v>
      </c>
      <c r="Q5192" s="102" t="s">
        <v>2468</v>
      </c>
      <c r="S5192" s="1"/>
      <c r="T5192" s="1"/>
      <c r="U5192" s="1"/>
      <c r="V5192" s="1"/>
      <c r="W5192" s="1"/>
      <c r="X5192" s="1"/>
      <c r="Y5192" s="1"/>
      <c r="AA5192" s="102"/>
      <c r="AB5192" s="1"/>
      <c r="AC5192" s="1"/>
      <c r="AD5192" s="1"/>
      <c r="AE5192" s="1"/>
      <c r="AF5192" s="1"/>
      <c r="AG5192" s="1"/>
    </row>
    <row r="5193" ht="15.75" customHeight="1">
      <c r="A5193" s="1"/>
      <c r="B5193" s="1"/>
      <c r="C5193" s="1"/>
      <c r="D5193" s="1"/>
      <c r="E5193" s="1"/>
      <c r="F5193" s="1"/>
      <c r="G5193" s="1"/>
      <c r="H5193" s="1"/>
      <c r="I5193" s="1"/>
      <c r="J5193" s="1"/>
      <c r="K5193" s="102" t="s">
        <v>8147</v>
      </c>
      <c r="L5193" s="102" t="str">
        <f>G661</f>
        <v>J1a2b1b~</v>
      </c>
      <c r="M5193" s="102" t="s">
        <v>8146</v>
      </c>
      <c r="N5193" s="102" t="s">
        <v>8148</v>
      </c>
      <c r="O5193" s="105">
        <v>2.3393424E7</v>
      </c>
      <c r="P5193" s="105">
        <v>2.1231538E7</v>
      </c>
      <c r="Q5193" s="102" t="s">
        <v>2468</v>
      </c>
      <c r="S5193" s="1"/>
      <c r="T5193" s="1"/>
      <c r="U5193" s="1"/>
      <c r="V5193" s="1"/>
      <c r="W5193" s="1"/>
      <c r="X5193" s="1"/>
      <c r="Y5193" s="1"/>
      <c r="AA5193" s="102"/>
      <c r="AB5193" s="1"/>
      <c r="AC5193" s="1"/>
      <c r="AD5193" s="1"/>
      <c r="AE5193" s="1"/>
      <c r="AF5193" s="1"/>
      <c r="AG5193" s="1"/>
    </row>
    <row r="5194" ht="15.75" customHeight="1">
      <c r="A5194" s="1"/>
      <c r="B5194" s="1"/>
      <c r="C5194" s="1"/>
      <c r="D5194" s="1"/>
      <c r="E5194" s="1"/>
      <c r="F5194" s="1"/>
      <c r="G5194" s="1"/>
      <c r="H5194" s="1"/>
      <c r="I5194" s="1"/>
      <c r="J5194" s="1"/>
      <c r="K5194" s="102" t="s">
        <v>8149</v>
      </c>
      <c r="L5194" s="102" t="str">
        <f>H662</f>
        <v>J1a2b1b1~</v>
      </c>
      <c r="M5194" s="102" t="s">
        <v>8150</v>
      </c>
      <c r="N5194" s="102" t="s">
        <v>8151</v>
      </c>
      <c r="O5194" s="105">
        <v>1.6456014E7</v>
      </c>
      <c r="P5194" s="105">
        <v>1.4344134E7</v>
      </c>
      <c r="Q5194" s="102" t="s">
        <v>2468</v>
      </c>
      <c r="S5194" s="1"/>
      <c r="T5194" s="1"/>
      <c r="U5194" s="1"/>
      <c r="V5194" s="1"/>
      <c r="W5194" s="1"/>
      <c r="X5194" s="1"/>
      <c r="Y5194" s="1"/>
      <c r="AA5194" s="102"/>
      <c r="AB5194" s="1"/>
      <c r="AC5194" s="1"/>
      <c r="AD5194" s="1"/>
      <c r="AE5194" s="1"/>
      <c r="AF5194" s="1"/>
      <c r="AG5194" s="1"/>
    </row>
    <row r="5195" ht="15.75" customHeight="1">
      <c r="A5195" s="1"/>
      <c r="B5195" s="1"/>
      <c r="C5195" s="1"/>
      <c r="D5195" s="1"/>
      <c r="E5195" s="1"/>
      <c r="F5195" s="1"/>
      <c r="G5195" s="1"/>
      <c r="H5195" s="1"/>
      <c r="I5195" s="1"/>
      <c r="J5195" s="1"/>
      <c r="K5195" s="102" t="s">
        <v>8150</v>
      </c>
      <c r="L5195" s="102" t="str">
        <f t="shared" ref="L5195:L5196" si="115">H662</f>
        <v>J1a2b1b1~</v>
      </c>
      <c r="M5195" s="102" t="s">
        <v>8149</v>
      </c>
      <c r="N5195" s="102" t="s">
        <v>8151</v>
      </c>
      <c r="O5195" s="105">
        <v>1.6456014E7</v>
      </c>
      <c r="P5195" s="105">
        <v>1.4344134E7</v>
      </c>
      <c r="Q5195" s="102" t="s">
        <v>2468</v>
      </c>
      <c r="S5195" s="1"/>
      <c r="T5195" s="1"/>
      <c r="U5195" s="1"/>
      <c r="V5195" s="1"/>
      <c r="W5195" s="1"/>
      <c r="X5195" s="1"/>
      <c r="Y5195" s="1"/>
      <c r="AA5195" s="102"/>
      <c r="AB5195" s="1"/>
      <c r="AC5195" s="1"/>
      <c r="AD5195" s="1"/>
      <c r="AE5195" s="1"/>
      <c r="AF5195" s="1"/>
      <c r="AG5195" s="1"/>
    </row>
    <row r="5196" ht="15.75" customHeight="1">
      <c r="A5196" s="1"/>
      <c r="B5196" s="1"/>
      <c r="C5196" s="1"/>
      <c r="D5196" s="1"/>
      <c r="E5196" s="1"/>
      <c r="F5196" s="1"/>
      <c r="G5196" s="1"/>
      <c r="H5196" s="1"/>
      <c r="I5196" s="1"/>
      <c r="J5196" s="1"/>
      <c r="K5196" s="102" t="s">
        <v>8152</v>
      </c>
      <c r="L5196" s="102" t="str">
        <f t="shared" si="115"/>
        <v>J1a2b1b2~</v>
      </c>
      <c r="M5196" s="102"/>
      <c r="N5196" s="102" t="s">
        <v>8153</v>
      </c>
      <c r="O5196" s="105">
        <v>7416063.0</v>
      </c>
      <c r="P5196" s="105">
        <v>7548022.0</v>
      </c>
      <c r="Q5196" s="102" t="s">
        <v>2533</v>
      </c>
      <c r="S5196" s="1"/>
      <c r="T5196" s="1"/>
      <c r="U5196" s="1"/>
      <c r="V5196" s="1"/>
      <c r="W5196" s="1"/>
      <c r="X5196" s="1"/>
      <c r="Y5196" s="1"/>
      <c r="AA5196" s="102"/>
      <c r="AB5196" s="1"/>
      <c r="AC5196" s="1"/>
      <c r="AD5196" s="1"/>
      <c r="AE5196" s="1"/>
      <c r="AF5196" s="1"/>
      <c r="AG5196" s="1"/>
    </row>
    <row r="5197" ht="15.75" customHeight="1">
      <c r="A5197" s="1"/>
      <c r="B5197" s="1"/>
      <c r="C5197" s="1"/>
      <c r="D5197" s="1"/>
      <c r="E5197" s="1"/>
      <c r="F5197" s="1"/>
      <c r="G5197" s="1"/>
      <c r="H5197" s="1"/>
      <c r="I5197" s="1"/>
      <c r="J5197" s="1"/>
      <c r="K5197" s="102" t="s">
        <v>8154</v>
      </c>
      <c r="L5197" s="102" t="str">
        <f>H663</f>
        <v>J1a2b1b2~</v>
      </c>
      <c r="M5197" s="102" t="s">
        <v>8155</v>
      </c>
      <c r="N5197" s="102" t="s">
        <v>8156</v>
      </c>
      <c r="O5197" s="105">
        <v>1.6417616E7</v>
      </c>
      <c r="P5197" s="105">
        <v>1.4305736E7</v>
      </c>
      <c r="Q5197" s="102" t="s">
        <v>2454</v>
      </c>
      <c r="S5197" s="1"/>
      <c r="T5197" s="1"/>
      <c r="U5197" s="1"/>
      <c r="V5197" s="1"/>
      <c r="W5197" s="1"/>
      <c r="X5197" s="1"/>
      <c r="Y5197" s="1"/>
      <c r="AA5197" s="102"/>
      <c r="AB5197" s="1"/>
      <c r="AC5197" s="1"/>
      <c r="AD5197" s="1"/>
      <c r="AE5197" s="1"/>
      <c r="AF5197" s="1"/>
      <c r="AG5197" s="1"/>
    </row>
    <row r="5198" ht="15.75" customHeight="1">
      <c r="A5198" s="1"/>
      <c r="B5198" s="1"/>
      <c r="C5198" s="1"/>
      <c r="D5198" s="1"/>
      <c r="E5198" s="1"/>
      <c r="F5198" s="1"/>
      <c r="G5198" s="1"/>
      <c r="H5198" s="1"/>
      <c r="I5198" s="1"/>
      <c r="J5198" s="1"/>
      <c r="K5198" s="102" t="s">
        <v>8157</v>
      </c>
      <c r="L5198" s="102" t="str">
        <f>H663</f>
        <v>J1a2b1b2~</v>
      </c>
      <c r="M5198" s="102" t="s">
        <v>8158</v>
      </c>
      <c r="N5198" s="102" t="s">
        <v>8156</v>
      </c>
      <c r="O5198" s="105">
        <v>1.6417616E7</v>
      </c>
      <c r="P5198" s="105">
        <v>1.4305736E7</v>
      </c>
      <c r="Q5198" s="102" t="s">
        <v>2454</v>
      </c>
      <c r="S5198" s="1"/>
      <c r="T5198" s="1"/>
      <c r="U5198" s="1"/>
      <c r="V5198" s="1"/>
      <c r="W5198" s="1"/>
      <c r="X5198" s="1"/>
      <c r="Y5198" s="1"/>
      <c r="AA5198" s="102"/>
      <c r="AB5198" s="1"/>
      <c r="AC5198" s="1"/>
      <c r="AD5198" s="1"/>
      <c r="AE5198" s="1"/>
      <c r="AF5198" s="1"/>
      <c r="AG5198" s="1"/>
    </row>
    <row r="5199" ht="15.75" customHeight="1">
      <c r="A5199" s="1"/>
      <c r="B5199" s="1"/>
      <c r="C5199" s="1"/>
      <c r="D5199" s="1"/>
      <c r="E5199" s="1"/>
      <c r="F5199" s="1"/>
      <c r="G5199" s="1"/>
      <c r="H5199" s="1"/>
      <c r="I5199" s="1"/>
      <c r="J5199" s="1"/>
      <c r="K5199" s="102" t="s">
        <v>8159</v>
      </c>
      <c r="L5199" s="102" t="str">
        <f>H663</f>
        <v>J1a2b1b2~</v>
      </c>
      <c r="M5199" s="102" t="s">
        <v>8160</v>
      </c>
      <c r="N5199" s="102" t="s">
        <v>8156</v>
      </c>
      <c r="O5199" s="105">
        <v>1.6417616E7</v>
      </c>
      <c r="P5199" s="105">
        <v>1.4305736E7</v>
      </c>
      <c r="Q5199" s="102" t="s">
        <v>2454</v>
      </c>
      <c r="S5199" s="1"/>
      <c r="T5199" s="1"/>
      <c r="U5199" s="1"/>
      <c r="V5199" s="1"/>
      <c r="W5199" s="1"/>
      <c r="X5199" s="1"/>
      <c r="Y5199" s="1"/>
      <c r="AA5199" s="102"/>
      <c r="AB5199" s="1"/>
      <c r="AC5199" s="1"/>
      <c r="AD5199" s="1"/>
      <c r="AE5199" s="1"/>
      <c r="AF5199" s="1"/>
      <c r="AG5199" s="1"/>
    </row>
    <row r="5200" ht="15.75" customHeight="1">
      <c r="A5200" s="1"/>
      <c r="B5200" s="1"/>
      <c r="C5200" s="1"/>
      <c r="D5200" s="1"/>
      <c r="E5200" s="1"/>
      <c r="F5200" s="1"/>
      <c r="G5200" s="1"/>
      <c r="H5200" s="1"/>
      <c r="I5200" s="1"/>
      <c r="J5200" s="1"/>
      <c r="K5200" s="102" t="s">
        <v>8161</v>
      </c>
      <c r="L5200" s="102" t="str">
        <f>I664</f>
        <v>J1a2b1b2a~</v>
      </c>
      <c r="M5200" s="102"/>
      <c r="N5200" s="102"/>
      <c r="O5200" s="105">
        <v>1.7695233E7</v>
      </c>
      <c r="P5200" s="105">
        <v>1.5583353E7</v>
      </c>
      <c r="Q5200" s="102" t="s">
        <v>2439</v>
      </c>
      <c r="S5200" s="1"/>
      <c r="T5200" s="1"/>
      <c r="U5200" s="1"/>
      <c r="V5200" s="1"/>
      <c r="W5200" s="1"/>
      <c r="X5200" s="1"/>
      <c r="Y5200" s="1"/>
      <c r="AA5200" s="102"/>
      <c r="AB5200" s="1"/>
      <c r="AC5200" s="1"/>
      <c r="AD5200" s="1"/>
      <c r="AE5200" s="1"/>
      <c r="AF5200" s="1"/>
      <c r="AG5200" s="1"/>
    </row>
    <row r="5201" ht="15.75" customHeight="1">
      <c r="A5201" s="1"/>
      <c r="B5201" s="1"/>
      <c r="C5201" s="1"/>
      <c r="D5201" s="1"/>
      <c r="E5201" s="1"/>
      <c r="F5201" s="1"/>
      <c r="G5201" s="1"/>
      <c r="H5201" s="1"/>
      <c r="I5201" s="1"/>
      <c r="J5201" s="1"/>
      <c r="K5201" s="102" t="s">
        <v>8162</v>
      </c>
      <c r="L5201" s="102" t="str">
        <f>I664</f>
        <v>J1a2b1b2a~</v>
      </c>
      <c r="M5201" s="102"/>
      <c r="N5201" s="102"/>
      <c r="O5201" s="105">
        <v>8426844.0</v>
      </c>
      <c r="P5201" s="105">
        <v>8558803.0</v>
      </c>
      <c r="Q5201" s="102" t="s">
        <v>2576</v>
      </c>
      <c r="S5201" s="1"/>
      <c r="T5201" s="1"/>
      <c r="U5201" s="1"/>
      <c r="V5201" s="1"/>
      <c r="W5201" s="1"/>
      <c r="X5201" s="1"/>
      <c r="Y5201" s="1"/>
      <c r="AA5201" s="102"/>
      <c r="AB5201" s="1"/>
      <c r="AC5201" s="1"/>
      <c r="AD5201" s="1"/>
      <c r="AE5201" s="1"/>
      <c r="AF5201" s="1"/>
      <c r="AG5201" s="1"/>
    </row>
    <row r="5202" ht="15.75" customHeight="1">
      <c r="A5202" s="1"/>
      <c r="B5202" s="1"/>
      <c r="C5202" s="1"/>
      <c r="D5202" s="1"/>
      <c r="E5202" s="1"/>
      <c r="F5202" s="1"/>
      <c r="G5202" s="1"/>
      <c r="H5202" s="1"/>
      <c r="I5202" s="1"/>
      <c r="J5202" s="1"/>
      <c r="K5202" s="102" t="s">
        <v>8163</v>
      </c>
      <c r="L5202" s="102" t="str">
        <f>I664</f>
        <v>J1a2b1b2a~</v>
      </c>
      <c r="M5202" s="102"/>
      <c r="N5202" s="102"/>
      <c r="O5202" s="105">
        <v>1.4055489E7</v>
      </c>
      <c r="P5202" s="105">
        <v>1.1934783E7</v>
      </c>
      <c r="Q5202" s="102" t="s">
        <v>2529</v>
      </c>
      <c r="S5202" s="1"/>
      <c r="T5202" s="1"/>
      <c r="U5202" s="1"/>
      <c r="V5202" s="1"/>
      <c r="W5202" s="1"/>
      <c r="X5202" s="1"/>
      <c r="Y5202" s="1"/>
      <c r="AA5202" s="102"/>
      <c r="AB5202" s="1"/>
      <c r="AC5202" s="1"/>
      <c r="AD5202" s="1"/>
      <c r="AE5202" s="1"/>
      <c r="AF5202" s="1"/>
      <c r="AG5202" s="1"/>
    </row>
    <row r="5203" ht="15.75" customHeight="1">
      <c r="A5203" s="1"/>
      <c r="B5203" s="1"/>
      <c r="C5203" s="1"/>
      <c r="D5203" s="1"/>
      <c r="E5203" s="1"/>
      <c r="F5203" s="1"/>
      <c r="G5203" s="1"/>
      <c r="H5203" s="1"/>
      <c r="I5203" s="1"/>
      <c r="J5203" s="1"/>
      <c r="K5203" s="102" t="s">
        <v>8164</v>
      </c>
      <c r="L5203" s="102" t="str">
        <f>I664</f>
        <v>J1a2b1b2a~</v>
      </c>
      <c r="M5203" s="102"/>
      <c r="N5203" s="102" t="s">
        <v>8165</v>
      </c>
      <c r="O5203" s="105">
        <v>1.5743358E7</v>
      </c>
      <c r="P5203" s="105">
        <v>1.3631478E7</v>
      </c>
      <c r="Q5203" s="102" t="s">
        <v>2501</v>
      </c>
      <c r="S5203" s="1"/>
      <c r="T5203" s="1"/>
      <c r="U5203" s="1"/>
      <c r="V5203" s="1"/>
      <c r="W5203" s="1"/>
      <c r="X5203" s="1"/>
      <c r="Y5203" s="1"/>
      <c r="AA5203" s="102"/>
      <c r="AB5203" s="1"/>
      <c r="AC5203" s="1"/>
      <c r="AD5203" s="1"/>
      <c r="AE5203" s="1"/>
      <c r="AF5203" s="1"/>
      <c r="AG5203" s="1"/>
    </row>
    <row r="5204" ht="15.75" customHeight="1">
      <c r="A5204" s="1"/>
      <c r="B5204" s="1"/>
      <c r="C5204" s="1"/>
      <c r="D5204" s="1"/>
      <c r="E5204" s="1"/>
      <c r="F5204" s="1"/>
      <c r="G5204" s="1"/>
      <c r="H5204" s="1"/>
      <c r="I5204" s="1"/>
      <c r="J5204" s="1"/>
      <c r="K5204" s="102" t="s">
        <v>8166</v>
      </c>
      <c r="L5204" s="102" t="str">
        <f>I664</f>
        <v>J1a2b1b2a~</v>
      </c>
      <c r="M5204" s="102"/>
      <c r="N5204" s="102"/>
      <c r="O5204" s="105">
        <v>1.5809053E7</v>
      </c>
      <c r="P5204" s="105">
        <v>1.3697173E7</v>
      </c>
      <c r="Q5204" s="102" t="s">
        <v>2439</v>
      </c>
      <c r="S5204" s="1"/>
      <c r="T5204" s="1"/>
      <c r="U5204" s="1"/>
      <c r="V5204" s="1"/>
      <c r="W5204" s="1"/>
      <c r="X5204" s="1"/>
      <c r="Y5204" s="1"/>
      <c r="AA5204" s="102"/>
      <c r="AB5204" s="1"/>
      <c r="AC5204" s="1"/>
      <c r="AD5204" s="1"/>
      <c r="AE5204" s="1"/>
      <c r="AF5204" s="1"/>
      <c r="AG5204" s="1"/>
    </row>
    <row r="5205" ht="15.75" customHeight="1">
      <c r="A5205" s="1"/>
      <c r="B5205" s="1"/>
      <c r="C5205" s="1"/>
      <c r="D5205" s="1"/>
      <c r="E5205" s="1"/>
      <c r="F5205" s="1"/>
      <c r="G5205" s="1"/>
      <c r="H5205" s="1"/>
      <c r="I5205" s="1"/>
      <c r="J5205" s="1"/>
      <c r="K5205" s="102" t="s">
        <v>8167</v>
      </c>
      <c r="L5205" s="102" t="str">
        <f>I664</f>
        <v>J1a2b1b2a~</v>
      </c>
      <c r="M5205" s="102"/>
      <c r="N5205" s="102" t="s">
        <v>8168</v>
      </c>
      <c r="O5205" s="105">
        <v>1.7561281E7</v>
      </c>
      <c r="P5205" s="105">
        <v>1.5449401E7</v>
      </c>
      <c r="Q5205" s="102" t="s">
        <v>2439</v>
      </c>
      <c r="S5205" s="1"/>
      <c r="T5205" s="1"/>
      <c r="U5205" s="1"/>
      <c r="V5205" s="1"/>
      <c r="W5205" s="1"/>
      <c r="X5205" s="1"/>
      <c r="Y5205" s="1"/>
      <c r="AA5205" s="102"/>
      <c r="AB5205" s="1"/>
      <c r="AC5205" s="1"/>
      <c r="AD5205" s="1"/>
      <c r="AE5205" s="1"/>
      <c r="AF5205" s="1"/>
      <c r="AG5205" s="1"/>
    </row>
    <row r="5206" ht="15.75" customHeight="1">
      <c r="A5206" s="1"/>
      <c r="B5206" s="1"/>
      <c r="C5206" s="1"/>
      <c r="D5206" s="1"/>
      <c r="E5206" s="1"/>
      <c r="F5206" s="1"/>
      <c r="G5206" s="1"/>
      <c r="H5206" s="1"/>
      <c r="I5206" s="1"/>
      <c r="J5206" s="1"/>
      <c r="K5206" s="102" t="s">
        <v>8169</v>
      </c>
      <c r="L5206" s="102" t="str">
        <f>I664</f>
        <v>J1a2b1b2a~</v>
      </c>
      <c r="M5206" s="102"/>
      <c r="N5206" s="102"/>
      <c r="O5206" s="105">
        <v>1.8793059E7</v>
      </c>
      <c r="P5206" s="105">
        <v>1.6681179E7</v>
      </c>
      <c r="Q5206" s="102" t="s">
        <v>2501</v>
      </c>
      <c r="S5206" s="1"/>
      <c r="T5206" s="1"/>
      <c r="U5206" s="1"/>
      <c r="V5206" s="1"/>
      <c r="W5206" s="1"/>
      <c r="X5206" s="1"/>
      <c r="Y5206" s="1"/>
      <c r="AA5206" s="102"/>
      <c r="AB5206" s="1"/>
      <c r="AC5206" s="1"/>
      <c r="AD5206" s="1"/>
      <c r="AE5206" s="1"/>
      <c r="AF5206" s="1"/>
      <c r="AG5206" s="1"/>
    </row>
    <row r="5207" ht="15.75" customHeight="1">
      <c r="A5207" s="1"/>
      <c r="B5207" s="1"/>
      <c r="C5207" s="1"/>
      <c r="D5207" s="1"/>
      <c r="E5207" s="1"/>
      <c r="F5207" s="1"/>
      <c r="G5207" s="1"/>
      <c r="H5207" s="1"/>
      <c r="I5207" s="1"/>
      <c r="J5207" s="1"/>
      <c r="K5207" s="102" t="s">
        <v>8170</v>
      </c>
      <c r="L5207" s="102" t="str">
        <f>I664</f>
        <v>J1a2b1b2a~</v>
      </c>
      <c r="M5207" s="102"/>
      <c r="N5207" s="102"/>
      <c r="O5207" s="105">
        <v>1.9040097E7</v>
      </c>
      <c r="P5207" s="105">
        <v>1.6928217E7</v>
      </c>
      <c r="Q5207" s="102" t="s">
        <v>2439</v>
      </c>
      <c r="S5207" s="1"/>
      <c r="T5207" s="1"/>
      <c r="U5207" s="1"/>
      <c r="V5207" s="1"/>
      <c r="W5207" s="1"/>
      <c r="X5207" s="1"/>
      <c r="Y5207" s="1"/>
      <c r="AA5207" s="102"/>
      <c r="AB5207" s="1"/>
      <c r="AC5207" s="1"/>
      <c r="AD5207" s="1"/>
      <c r="AE5207" s="1"/>
      <c r="AF5207" s="1"/>
      <c r="AG5207" s="1"/>
    </row>
    <row r="5208" ht="15.75" customHeight="1">
      <c r="A5208" s="1"/>
      <c r="B5208" s="1"/>
      <c r="C5208" s="1"/>
      <c r="D5208" s="1"/>
      <c r="E5208" s="1"/>
      <c r="F5208" s="1"/>
      <c r="G5208" s="1"/>
      <c r="H5208" s="1"/>
      <c r="I5208" s="1"/>
      <c r="J5208" s="1"/>
      <c r="K5208" s="102" t="s">
        <v>8171</v>
      </c>
      <c r="L5208" s="102" t="str">
        <f>I664</f>
        <v>J1a2b1b2a~</v>
      </c>
      <c r="M5208" s="102"/>
      <c r="N5208" s="102"/>
      <c r="O5208" s="105">
        <v>2.3973615E7</v>
      </c>
      <c r="P5208" s="105">
        <v>2.1827468E7</v>
      </c>
      <c r="Q5208" s="102" t="s">
        <v>2468</v>
      </c>
      <c r="S5208" s="1"/>
      <c r="T5208" s="1"/>
      <c r="U5208" s="1"/>
      <c r="V5208" s="1"/>
      <c r="W5208" s="1"/>
      <c r="X5208" s="1"/>
      <c r="Y5208" s="1"/>
      <c r="AA5208" s="102"/>
      <c r="AB5208" s="1"/>
      <c r="AC5208" s="1"/>
      <c r="AD5208" s="1"/>
      <c r="AE5208" s="1"/>
      <c r="AF5208" s="1"/>
      <c r="AG5208" s="1"/>
    </row>
    <row r="5209" ht="15.75" customHeight="1">
      <c r="A5209" s="1"/>
      <c r="B5209" s="1"/>
      <c r="C5209" s="1"/>
      <c r="D5209" s="1"/>
      <c r="E5209" s="1"/>
      <c r="F5209" s="1"/>
      <c r="G5209" s="1"/>
      <c r="H5209" s="1"/>
      <c r="I5209" s="1"/>
      <c r="J5209" s="1"/>
      <c r="K5209" s="102" t="s">
        <v>8172</v>
      </c>
      <c r="L5209" s="102" t="str">
        <f>I664</f>
        <v>J1a2b1b2a~</v>
      </c>
      <c r="M5209" s="106" t="s">
        <v>8173</v>
      </c>
      <c r="N5209" s="102"/>
      <c r="O5209" s="105">
        <v>2.8769381E7</v>
      </c>
      <c r="P5209" s="105">
        <v>2.6623234E7</v>
      </c>
      <c r="Q5209" s="102" t="s">
        <v>2533</v>
      </c>
      <c r="S5209" s="1"/>
      <c r="T5209" s="1"/>
      <c r="U5209" s="1"/>
      <c r="V5209" s="1"/>
      <c r="W5209" s="1"/>
      <c r="X5209" s="1"/>
      <c r="Y5209" s="1"/>
      <c r="AA5209" s="102"/>
      <c r="AB5209" s="1"/>
      <c r="AC5209" s="1"/>
      <c r="AD5209" s="1"/>
      <c r="AE5209" s="1"/>
      <c r="AF5209" s="1"/>
      <c r="AG5209" s="1"/>
    </row>
    <row r="5210" ht="15.75" customHeight="1">
      <c r="A5210" s="1"/>
      <c r="B5210" s="1"/>
      <c r="C5210" s="1"/>
      <c r="D5210" s="1"/>
      <c r="E5210" s="1"/>
      <c r="F5210" s="1"/>
      <c r="G5210" s="1"/>
      <c r="H5210" s="1"/>
      <c r="I5210" s="1"/>
      <c r="J5210" s="1"/>
      <c r="K5210" s="102" t="s">
        <v>8173</v>
      </c>
      <c r="L5210" s="102" t="str">
        <f>I664</f>
        <v>J1a2b1b2a~</v>
      </c>
      <c r="M5210" s="106" t="s">
        <v>8172</v>
      </c>
      <c r="N5210" s="102"/>
      <c r="O5210" s="105">
        <v>2.8769381E7</v>
      </c>
      <c r="P5210" s="105">
        <v>2.6623234E7</v>
      </c>
      <c r="Q5210" s="102" t="s">
        <v>2533</v>
      </c>
      <c r="S5210" s="1"/>
      <c r="T5210" s="1"/>
      <c r="U5210" s="1"/>
      <c r="V5210" s="1"/>
      <c r="W5210" s="1"/>
      <c r="X5210" s="1"/>
      <c r="Y5210" s="1"/>
      <c r="AA5210" s="102"/>
      <c r="AB5210" s="1"/>
      <c r="AC5210" s="1"/>
      <c r="AD5210" s="1"/>
      <c r="AE5210" s="1"/>
      <c r="AF5210" s="1"/>
      <c r="AG5210" s="1"/>
    </row>
    <row r="5211" ht="15.75" customHeight="1">
      <c r="A5211" s="1"/>
      <c r="B5211" s="1"/>
      <c r="C5211" s="1"/>
      <c r="D5211" s="1"/>
      <c r="E5211" s="1"/>
      <c r="F5211" s="1"/>
      <c r="G5211" s="1"/>
      <c r="H5211" s="1"/>
      <c r="I5211" s="1"/>
      <c r="J5211" s="1"/>
      <c r="K5211" s="102" t="s">
        <v>8174</v>
      </c>
      <c r="L5211" s="102" t="str">
        <f>I664</f>
        <v>J1a2b1b2a~</v>
      </c>
      <c r="M5211" s="102"/>
      <c r="N5211" s="102" t="s">
        <v>8175</v>
      </c>
      <c r="O5211" s="105">
        <v>2.2680859E7</v>
      </c>
      <c r="P5211" s="105">
        <v>2.0518973E7</v>
      </c>
      <c r="Q5211" s="102" t="s">
        <v>2576</v>
      </c>
      <c r="S5211" s="1"/>
      <c r="T5211" s="1"/>
      <c r="U5211" s="1"/>
      <c r="V5211" s="1"/>
      <c r="W5211" s="1"/>
      <c r="X5211" s="1"/>
      <c r="Y5211" s="1"/>
      <c r="AA5211" s="102"/>
      <c r="AB5211" s="1"/>
      <c r="AC5211" s="1"/>
      <c r="AD5211" s="1"/>
      <c r="AE5211" s="1"/>
      <c r="AF5211" s="1"/>
      <c r="AG5211" s="1"/>
    </row>
    <row r="5212" ht="15.75" customHeight="1">
      <c r="A5212" s="1"/>
      <c r="B5212" s="1"/>
      <c r="C5212" s="1"/>
      <c r="D5212" s="1"/>
      <c r="E5212" s="1"/>
      <c r="F5212" s="1"/>
      <c r="G5212" s="1"/>
      <c r="H5212" s="1"/>
      <c r="I5212" s="1"/>
      <c r="J5212" s="1"/>
      <c r="K5212" s="102" t="s">
        <v>8176</v>
      </c>
      <c r="L5212" s="102" t="str">
        <f>I664</f>
        <v>J1a2b1b2a~</v>
      </c>
      <c r="M5212" s="102"/>
      <c r="N5212" s="102" t="s">
        <v>8177</v>
      </c>
      <c r="O5212" s="105">
        <v>7550904.0</v>
      </c>
      <c r="P5212" s="105">
        <v>7682863.0</v>
      </c>
      <c r="Q5212" s="102" t="s">
        <v>2501</v>
      </c>
      <c r="S5212" s="1"/>
      <c r="T5212" s="1"/>
      <c r="U5212" s="1"/>
      <c r="V5212" s="1"/>
      <c r="W5212" s="1"/>
      <c r="X5212" s="1"/>
      <c r="Y5212" s="1"/>
      <c r="AA5212" s="102"/>
      <c r="AB5212" s="1"/>
      <c r="AC5212" s="1"/>
      <c r="AD5212" s="1"/>
      <c r="AE5212" s="1"/>
      <c r="AF5212" s="1"/>
      <c r="AG5212" s="1"/>
    </row>
    <row r="5213" ht="15.75" customHeight="1">
      <c r="A5213" s="1"/>
      <c r="B5213" s="1"/>
      <c r="C5213" s="1"/>
      <c r="D5213" s="1"/>
      <c r="E5213" s="1"/>
      <c r="F5213" s="1"/>
      <c r="G5213" s="1"/>
      <c r="H5213" s="1"/>
      <c r="I5213" s="1"/>
      <c r="J5213" s="1"/>
      <c r="K5213" s="102" t="s">
        <v>8178</v>
      </c>
      <c r="L5213" s="102" t="str">
        <f>I664</f>
        <v>J1a2b1b2a~</v>
      </c>
      <c r="M5213" s="102"/>
      <c r="N5213" s="102" t="s">
        <v>8179</v>
      </c>
      <c r="O5213" s="105">
        <v>7706957.0</v>
      </c>
      <c r="P5213" s="105">
        <v>7838916.0</v>
      </c>
      <c r="Q5213" s="102" t="s">
        <v>2533</v>
      </c>
      <c r="S5213" s="1"/>
      <c r="T5213" s="1"/>
      <c r="U5213" s="1"/>
      <c r="V5213" s="1"/>
      <c r="W5213" s="1"/>
      <c r="X5213" s="1"/>
      <c r="Y5213" s="1"/>
      <c r="AA5213" s="102"/>
      <c r="AB5213" s="1"/>
      <c r="AC5213" s="1"/>
      <c r="AD5213" s="1"/>
      <c r="AE5213" s="1"/>
      <c r="AF5213" s="1"/>
      <c r="AG5213" s="1"/>
    </row>
    <row r="5214" ht="15.75" customHeight="1">
      <c r="A5214" s="1"/>
      <c r="B5214" s="1"/>
      <c r="C5214" s="1"/>
      <c r="D5214" s="1"/>
      <c r="E5214" s="1"/>
      <c r="F5214" s="1"/>
      <c r="G5214" s="1"/>
      <c r="H5214" s="1"/>
      <c r="I5214" s="1"/>
      <c r="J5214" s="1"/>
      <c r="K5214" s="102" t="s">
        <v>8180</v>
      </c>
      <c r="L5214" s="102" t="str">
        <f>I664</f>
        <v>J1a2b1b2a~</v>
      </c>
      <c r="M5214" s="102"/>
      <c r="N5214" s="102" t="s">
        <v>8181</v>
      </c>
      <c r="O5214" s="105">
        <v>8483613.0</v>
      </c>
      <c r="P5214" s="105">
        <v>8615572.0</v>
      </c>
      <c r="Q5214" s="102" t="s">
        <v>2439</v>
      </c>
      <c r="S5214" s="1"/>
      <c r="T5214" s="1"/>
      <c r="U5214" s="1"/>
      <c r="V5214" s="1"/>
      <c r="W5214" s="1"/>
      <c r="X5214" s="1"/>
      <c r="Y5214" s="1"/>
      <c r="AA5214" s="102"/>
      <c r="AB5214" s="1"/>
      <c r="AC5214" s="1"/>
      <c r="AD5214" s="1"/>
      <c r="AE5214" s="1"/>
      <c r="AF5214" s="1"/>
      <c r="AG5214" s="1"/>
    </row>
    <row r="5215" ht="15.75" customHeight="1">
      <c r="A5215" s="1"/>
      <c r="B5215" s="1"/>
      <c r="C5215" s="1"/>
      <c r="D5215" s="1"/>
      <c r="E5215" s="1"/>
      <c r="F5215" s="1"/>
      <c r="G5215" s="1"/>
      <c r="H5215" s="1"/>
      <c r="I5215" s="1"/>
      <c r="J5215" s="1"/>
      <c r="K5215" s="102" t="s">
        <v>8182</v>
      </c>
      <c r="L5215" s="102" t="str">
        <f>I664</f>
        <v>J1a2b1b2a~</v>
      </c>
      <c r="M5215" s="102"/>
      <c r="N5215" s="102"/>
      <c r="O5215" s="105">
        <v>1.4097446E7</v>
      </c>
      <c r="P5215" s="105">
        <v>1.197674E7</v>
      </c>
      <c r="Q5215" s="102" t="s">
        <v>2439</v>
      </c>
      <c r="S5215" s="1"/>
      <c r="T5215" s="1"/>
      <c r="U5215" s="1"/>
      <c r="V5215" s="1"/>
      <c r="W5215" s="1"/>
      <c r="X5215" s="1"/>
      <c r="Y5215" s="1"/>
      <c r="AA5215" s="102"/>
      <c r="AB5215" s="1"/>
      <c r="AC5215" s="1"/>
      <c r="AD5215" s="1"/>
      <c r="AE5215" s="1"/>
      <c r="AF5215" s="1"/>
      <c r="AG5215" s="1"/>
    </row>
    <row r="5216" ht="15.75" customHeight="1">
      <c r="A5216" s="1"/>
      <c r="B5216" s="1"/>
      <c r="C5216" s="1"/>
      <c r="D5216" s="1"/>
      <c r="E5216" s="1"/>
      <c r="F5216" s="1"/>
      <c r="G5216" s="1"/>
      <c r="H5216" s="1"/>
      <c r="I5216" s="1"/>
      <c r="J5216" s="1"/>
      <c r="K5216" s="102" t="s">
        <v>8183</v>
      </c>
      <c r="L5216" s="102" t="str">
        <f>I664</f>
        <v>J1a2b1b2a~</v>
      </c>
      <c r="M5216" s="102"/>
      <c r="N5216" s="102"/>
      <c r="O5216" s="105">
        <v>1.4353178E7</v>
      </c>
      <c r="P5216" s="105">
        <v>1.2232473E7</v>
      </c>
      <c r="Q5216" s="102" t="s">
        <v>2446</v>
      </c>
      <c r="S5216" s="1"/>
      <c r="T5216" s="1"/>
      <c r="U5216" s="1"/>
      <c r="V5216" s="1"/>
      <c r="W5216" s="1"/>
      <c r="X5216" s="1"/>
      <c r="Y5216" s="1"/>
      <c r="AA5216" s="102"/>
      <c r="AB5216" s="1"/>
      <c r="AC5216" s="1"/>
      <c r="AD5216" s="1"/>
      <c r="AE5216" s="1"/>
      <c r="AF5216" s="1"/>
      <c r="AG5216" s="1"/>
    </row>
    <row r="5217" ht="15.75" customHeight="1">
      <c r="A5217" s="1"/>
      <c r="B5217" s="1"/>
      <c r="C5217" s="1"/>
      <c r="D5217" s="1"/>
      <c r="E5217" s="1"/>
      <c r="F5217" s="1"/>
      <c r="G5217" s="1"/>
      <c r="H5217" s="1"/>
      <c r="I5217" s="1"/>
      <c r="J5217" s="1"/>
      <c r="K5217" s="102" t="s">
        <v>8184</v>
      </c>
      <c r="L5217" s="102" t="str">
        <f>I664</f>
        <v>J1a2b1b2a~</v>
      </c>
      <c r="M5217" s="102"/>
      <c r="N5217" s="102"/>
      <c r="O5217" s="105">
        <v>1.4588463E7</v>
      </c>
      <c r="P5217" s="105">
        <v>1.2476663E7</v>
      </c>
      <c r="Q5217" s="102" t="s">
        <v>2439</v>
      </c>
      <c r="S5217" s="1"/>
      <c r="T5217" s="1"/>
      <c r="U5217" s="1"/>
      <c r="V5217" s="1"/>
      <c r="W5217" s="1"/>
      <c r="X5217" s="1"/>
      <c r="Y5217" s="1"/>
      <c r="AA5217" s="102"/>
      <c r="AB5217" s="1"/>
      <c r="AC5217" s="1"/>
      <c r="AD5217" s="1"/>
      <c r="AE5217" s="1"/>
      <c r="AF5217" s="1"/>
      <c r="AG5217" s="1"/>
    </row>
    <row r="5218" ht="15.75" customHeight="1">
      <c r="A5218" s="1"/>
      <c r="B5218" s="1"/>
      <c r="C5218" s="1"/>
      <c r="D5218" s="1"/>
      <c r="E5218" s="1"/>
      <c r="F5218" s="1"/>
      <c r="G5218" s="1"/>
      <c r="H5218" s="1"/>
      <c r="I5218" s="1"/>
      <c r="J5218" s="1"/>
      <c r="K5218" s="102" t="s">
        <v>8185</v>
      </c>
      <c r="L5218" s="102" t="str">
        <f>I664</f>
        <v>J1a2b1b2a~</v>
      </c>
      <c r="M5218" s="102"/>
      <c r="N5218" s="102" t="s">
        <v>8186</v>
      </c>
      <c r="O5218" s="105">
        <v>1.701142E7</v>
      </c>
      <c r="P5218" s="105">
        <v>1.489954E7</v>
      </c>
      <c r="Q5218" s="102" t="s">
        <v>2439</v>
      </c>
      <c r="S5218" s="1"/>
      <c r="T5218" s="1"/>
      <c r="U5218" s="1"/>
      <c r="V5218" s="1"/>
      <c r="W5218" s="1"/>
      <c r="X5218" s="1"/>
      <c r="Y5218" s="1"/>
      <c r="AA5218" s="102"/>
      <c r="AB5218" s="1"/>
      <c r="AC5218" s="1"/>
      <c r="AD5218" s="1"/>
      <c r="AE5218" s="1"/>
      <c r="AF5218" s="1"/>
      <c r="AG5218" s="1"/>
    </row>
    <row r="5219" ht="15.75" customHeight="1">
      <c r="A5219" s="1"/>
      <c r="B5219" s="1"/>
      <c r="C5219" s="1"/>
      <c r="D5219" s="1"/>
      <c r="E5219" s="1"/>
      <c r="F5219" s="1"/>
      <c r="G5219" s="1"/>
      <c r="H5219" s="1"/>
      <c r="I5219" s="1"/>
      <c r="J5219" s="1"/>
      <c r="K5219" s="102" t="s">
        <v>8187</v>
      </c>
      <c r="L5219" s="102" t="str">
        <f>I664</f>
        <v>J1a2b1b2a~</v>
      </c>
      <c r="M5219" s="102"/>
      <c r="N5219" s="102" t="s">
        <v>8188</v>
      </c>
      <c r="O5219" s="105">
        <v>1.8981609E7</v>
      </c>
      <c r="P5219" s="105">
        <v>1.6869729E7</v>
      </c>
      <c r="Q5219" s="102" t="s">
        <v>2529</v>
      </c>
      <c r="S5219" s="1"/>
      <c r="T5219" s="1"/>
      <c r="U5219" s="1"/>
      <c r="V5219" s="1"/>
      <c r="W5219" s="1"/>
      <c r="X5219" s="1"/>
      <c r="Y5219" s="1"/>
      <c r="AA5219" s="102"/>
      <c r="AB5219" s="1"/>
      <c r="AC5219" s="1"/>
      <c r="AD5219" s="1"/>
      <c r="AE5219" s="1"/>
      <c r="AF5219" s="1"/>
      <c r="AG5219" s="1"/>
    </row>
    <row r="5220" ht="15.75" customHeight="1">
      <c r="A5220" s="1"/>
      <c r="B5220" s="1"/>
      <c r="C5220" s="1"/>
      <c r="D5220" s="1"/>
      <c r="E5220" s="1"/>
      <c r="F5220" s="1"/>
      <c r="G5220" s="1"/>
      <c r="H5220" s="1"/>
      <c r="I5220" s="1"/>
      <c r="J5220" s="1"/>
      <c r="K5220" s="102" t="s">
        <v>8189</v>
      </c>
      <c r="L5220" s="102" t="str">
        <f>I664</f>
        <v>J1a2b1b2a~</v>
      </c>
      <c r="M5220" s="102"/>
      <c r="N5220" s="102" t="s">
        <v>8190</v>
      </c>
      <c r="O5220" s="105">
        <v>2.1189082E7</v>
      </c>
      <c r="P5220" s="105">
        <v>1.9027196E7</v>
      </c>
      <c r="Q5220" s="102" t="s">
        <v>2454</v>
      </c>
      <c r="S5220" s="1"/>
      <c r="T5220" s="1"/>
      <c r="U5220" s="1"/>
      <c r="V5220" s="1"/>
      <c r="W5220" s="1"/>
      <c r="X5220" s="1"/>
      <c r="Y5220" s="1"/>
      <c r="AA5220" s="102"/>
      <c r="AB5220" s="1"/>
      <c r="AC5220" s="1"/>
      <c r="AD5220" s="1"/>
      <c r="AE5220" s="1"/>
      <c r="AF5220" s="1"/>
      <c r="AG5220" s="1"/>
    </row>
    <row r="5221" ht="15.75" customHeight="1">
      <c r="A5221" s="1"/>
      <c r="B5221" s="1"/>
      <c r="C5221" s="1"/>
      <c r="D5221" s="1"/>
      <c r="E5221" s="1"/>
      <c r="F5221" s="1"/>
      <c r="G5221" s="1"/>
      <c r="H5221" s="1"/>
      <c r="I5221" s="1"/>
      <c r="J5221" s="1"/>
      <c r="K5221" s="102" t="s">
        <v>8191</v>
      </c>
      <c r="L5221" s="102" t="str">
        <f>I664</f>
        <v>J1a2b1b2a~</v>
      </c>
      <c r="M5221" s="102"/>
      <c r="N5221" s="102" t="s">
        <v>8192</v>
      </c>
      <c r="O5221" s="105">
        <v>2.1259193E7</v>
      </c>
      <c r="P5221" s="105">
        <v>1.9097307E7</v>
      </c>
      <c r="Q5221" s="102" t="s">
        <v>2501</v>
      </c>
      <c r="S5221" s="1"/>
      <c r="T5221" s="1"/>
      <c r="U5221" s="1"/>
      <c r="V5221" s="1"/>
      <c r="W5221" s="1"/>
      <c r="X5221" s="1"/>
      <c r="Y5221" s="1"/>
      <c r="AA5221" s="102"/>
      <c r="AB5221" s="1"/>
      <c r="AC5221" s="1"/>
      <c r="AD5221" s="1"/>
      <c r="AE5221" s="1"/>
      <c r="AF5221" s="1"/>
      <c r="AG5221" s="1"/>
    </row>
    <row r="5222" ht="15.75" customHeight="1">
      <c r="A5222" s="1"/>
      <c r="B5222" s="1"/>
      <c r="C5222" s="1"/>
      <c r="D5222" s="1"/>
      <c r="E5222" s="1"/>
      <c r="F5222" s="1"/>
      <c r="G5222" s="1"/>
      <c r="H5222" s="1"/>
      <c r="I5222" s="1"/>
      <c r="J5222" s="1"/>
      <c r="K5222" s="102" t="s">
        <v>8193</v>
      </c>
      <c r="L5222" s="102" t="str">
        <f>I664</f>
        <v>J1a2b1b2a~</v>
      </c>
      <c r="M5222" s="102"/>
      <c r="N5222" s="102" t="s">
        <v>8194</v>
      </c>
      <c r="O5222" s="105">
        <v>2.3236496E7</v>
      </c>
      <c r="P5222" s="105">
        <v>2.107461E7</v>
      </c>
      <c r="Q5222" s="102" t="s">
        <v>2501</v>
      </c>
      <c r="S5222" s="1"/>
      <c r="T5222" s="1"/>
      <c r="U5222" s="1"/>
      <c r="V5222" s="1"/>
      <c r="W5222" s="1"/>
      <c r="X5222" s="1"/>
      <c r="Y5222" s="1"/>
      <c r="AA5222" s="102"/>
      <c r="AB5222" s="1"/>
      <c r="AC5222" s="1"/>
      <c r="AD5222" s="1"/>
      <c r="AE5222" s="1"/>
      <c r="AF5222" s="1"/>
      <c r="AG5222" s="1"/>
    </row>
    <row r="5223" ht="15.75" customHeight="1">
      <c r="A5223" s="1"/>
      <c r="B5223" s="1"/>
      <c r="C5223" s="1"/>
      <c r="D5223" s="1"/>
      <c r="E5223" s="1"/>
      <c r="F5223" s="1"/>
      <c r="G5223" s="1"/>
      <c r="H5223" s="1"/>
      <c r="I5223" s="1"/>
      <c r="J5223" s="1"/>
      <c r="K5223" s="102" t="s">
        <v>8195</v>
      </c>
      <c r="L5223" s="102" t="str">
        <f>I664</f>
        <v>J1a2b1b2a~</v>
      </c>
      <c r="M5223" s="102"/>
      <c r="N5223" s="102"/>
      <c r="O5223" s="105">
        <v>1.4055124E7</v>
      </c>
      <c r="P5223" s="105">
        <v>1.1934418E7</v>
      </c>
      <c r="Q5223" s="102" t="s">
        <v>2563</v>
      </c>
      <c r="S5223" s="1"/>
      <c r="T5223" s="1"/>
      <c r="U5223" s="1"/>
      <c r="V5223" s="1"/>
      <c r="W5223" s="1"/>
      <c r="X5223" s="1"/>
      <c r="Y5223" s="1"/>
      <c r="AA5223" s="102"/>
      <c r="AB5223" s="1"/>
      <c r="AC5223" s="1"/>
      <c r="AD5223" s="1"/>
      <c r="AE5223" s="1"/>
      <c r="AF5223" s="1"/>
      <c r="AG5223" s="1"/>
    </row>
    <row r="5224" ht="15.75" customHeight="1">
      <c r="A5224" s="1"/>
      <c r="B5224" s="1"/>
      <c r="C5224" s="1"/>
      <c r="D5224" s="1"/>
      <c r="E5224" s="1"/>
      <c r="F5224" s="1"/>
      <c r="G5224" s="1"/>
      <c r="H5224" s="1"/>
      <c r="I5224" s="1"/>
      <c r="J5224" s="1"/>
      <c r="K5224" s="102" t="s">
        <v>1297</v>
      </c>
      <c r="L5224" s="102" t="str">
        <f>J665</f>
        <v>J1a2b1b2a1~</v>
      </c>
      <c r="M5224" s="102"/>
      <c r="N5224" s="102"/>
      <c r="O5224" s="105">
        <v>7010827.0</v>
      </c>
      <c r="P5224" s="105">
        <v>7142786.0</v>
      </c>
      <c r="Q5224" s="102" t="s">
        <v>2529</v>
      </c>
      <c r="S5224" s="1"/>
      <c r="T5224" s="1"/>
      <c r="U5224" s="1"/>
      <c r="V5224" s="1"/>
      <c r="W5224" s="1"/>
      <c r="X5224" s="1"/>
      <c r="Y5224" s="1"/>
      <c r="AA5224" s="102"/>
      <c r="AB5224" s="1"/>
      <c r="AC5224" s="1"/>
      <c r="AD5224" s="1"/>
      <c r="AE5224" s="1"/>
      <c r="AF5224" s="1"/>
      <c r="AG5224" s="1"/>
    </row>
    <row r="5225" ht="15.75" customHeight="1">
      <c r="A5225" s="1"/>
      <c r="B5225" s="1"/>
      <c r="C5225" s="1"/>
      <c r="D5225" s="1"/>
      <c r="E5225" s="1"/>
      <c r="F5225" s="1"/>
      <c r="G5225" s="1"/>
      <c r="H5225" s="1"/>
      <c r="I5225" s="1"/>
      <c r="J5225" s="1"/>
      <c r="K5225" s="102" t="s">
        <v>8196</v>
      </c>
      <c r="L5225" s="102" t="str">
        <f>I666</f>
        <v>J1a2b1b2b~</v>
      </c>
      <c r="M5225" s="102"/>
      <c r="N5225" s="102"/>
      <c r="O5225" s="105">
        <v>1.6191564E7</v>
      </c>
      <c r="P5225" s="105">
        <v>1.4079684E7</v>
      </c>
      <c r="Q5225" s="102" t="s">
        <v>2439</v>
      </c>
      <c r="S5225" s="1"/>
      <c r="T5225" s="1"/>
      <c r="U5225" s="1"/>
      <c r="V5225" s="1"/>
      <c r="W5225" s="1"/>
      <c r="X5225" s="1"/>
      <c r="Y5225" s="1"/>
      <c r="AA5225" s="102"/>
      <c r="AB5225" s="1"/>
      <c r="AC5225" s="1"/>
      <c r="AD5225" s="1"/>
      <c r="AE5225" s="1"/>
      <c r="AF5225" s="1"/>
      <c r="AG5225" s="1"/>
    </row>
    <row r="5226" ht="15.75" customHeight="1">
      <c r="A5226" s="1"/>
      <c r="B5226" s="1"/>
      <c r="C5226" s="1"/>
      <c r="D5226" s="1"/>
      <c r="E5226" s="1"/>
      <c r="F5226" s="1"/>
      <c r="G5226" s="1"/>
      <c r="H5226" s="1"/>
      <c r="I5226" s="1"/>
      <c r="J5226" s="1"/>
      <c r="K5226" s="102" t="s">
        <v>8197</v>
      </c>
      <c r="L5226" s="102" t="str">
        <f>I666</f>
        <v>J1a2b1b2b~</v>
      </c>
      <c r="M5226" s="106" t="s">
        <v>8198</v>
      </c>
      <c r="N5226" s="102"/>
      <c r="O5226" s="105">
        <v>6781168.0</v>
      </c>
      <c r="P5226" s="105">
        <v>6913127.0</v>
      </c>
      <c r="Q5226" s="102" t="s">
        <v>2533</v>
      </c>
      <c r="S5226" s="1"/>
      <c r="T5226" s="1"/>
      <c r="U5226" s="1"/>
      <c r="V5226" s="1"/>
      <c r="W5226" s="1"/>
      <c r="X5226" s="1"/>
      <c r="Y5226" s="1"/>
      <c r="AA5226" s="102"/>
      <c r="AB5226" s="1"/>
      <c r="AC5226" s="1"/>
      <c r="AD5226" s="1"/>
      <c r="AE5226" s="1"/>
      <c r="AF5226" s="1"/>
      <c r="AG5226" s="1"/>
    </row>
    <row r="5227" ht="15.75" customHeight="1">
      <c r="A5227" s="1"/>
      <c r="B5227" s="1"/>
      <c r="C5227" s="1"/>
      <c r="D5227" s="1"/>
      <c r="E5227" s="1"/>
      <c r="F5227" s="1"/>
      <c r="G5227" s="1"/>
      <c r="H5227" s="1"/>
      <c r="I5227" s="1"/>
      <c r="J5227" s="1"/>
      <c r="K5227" s="106" t="s">
        <v>8198</v>
      </c>
      <c r="L5227" s="102" t="str">
        <f>I666</f>
        <v>J1a2b1b2b~</v>
      </c>
      <c r="M5227" s="102" t="s">
        <v>8197</v>
      </c>
      <c r="N5227" s="102"/>
      <c r="O5227" s="105">
        <v>6781168.0</v>
      </c>
      <c r="P5227" s="105">
        <v>6913127.0</v>
      </c>
      <c r="Q5227" s="102" t="s">
        <v>2533</v>
      </c>
      <c r="S5227" s="1"/>
      <c r="T5227" s="1"/>
      <c r="U5227" s="1"/>
      <c r="V5227" s="1"/>
      <c r="W5227" s="1"/>
      <c r="X5227" s="1"/>
      <c r="Y5227" s="1"/>
      <c r="AA5227" s="102" t="s">
        <v>8199</v>
      </c>
      <c r="AB5227" s="1"/>
      <c r="AC5227" s="1"/>
      <c r="AD5227" s="1"/>
      <c r="AE5227" s="1"/>
      <c r="AF5227" s="1"/>
      <c r="AG5227" s="1"/>
    </row>
    <row r="5228" ht="15.75" customHeight="1">
      <c r="A5228" s="1"/>
      <c r="B5228" s="1"/>
      <c r="C5228" s="1"/>
      <c r="D5228" s="1"/>
      <c r="E5228" s="1"/>
      <c r="F5228" s="1"/>
      <c r="G5228" s="1"/>
      <c r="H5228" s="1"/>
      <c r="I5228" s="1"/>
      <c r="J5228" s="1"/>
      <c r="K5228" s="102" t="s">
        <v>8200</v>
      </c>
      <c r="L5228" s="102" t="str">
        <f>I666</f>
        <v>J1a2b1b2b~</v>
      </c>
      <c r="M5228" s="102" t="s">
        <v>8201</v>
      </c>
      <c r="N5228" s="102"/>
      <c r="O5228" s="105">
        <v>7921335.0</v>
      </c>
      <c r="P5228" s="105">
        <v>8053294.0</v>
      </c>
      <c r="Q5228" s="102" t="s">
        <v>2529</v>
      </c>
      <c r="S5228" s="1"/>
      <c r="T5228" s="1"/>
      <c r="U5228" s="1"/>
      <c r="V5228" s="1"/>
      <c r="W5228" s="1"/>
      <c r="X5228" s="1"/>
      <c r="Y5228" s="1"/>
      <c r="AA5228" s="102"/>
      <c r="AB5228" s="1"/>
      <c r="AC5228" s="1"/>
      <c r="AD5228" s="1"/>
      <c r="AE5228" s="1"/>
      <c r="AF5228" s="1"/>
      <c r="AG5228" s="1"/>
    </row>
    <row r="5229" ht="15.75" customHeight="1">
      <c r="A5229" s="1"/>
      <c r="B5229" s="1"/>
      <c r="C5229" s="1"/>
      <c r="D5229" s="1"/>
      <c r="E5229" s="1"/>
      <c r="F5229" s="1"/>
      <c r="G5229" s="1"/>
      <c r="H5229" s="1"/>
      <c r="I5229" s="1"/>
      <c r="J5229" s="1"/>
      <c r="K5229" s="102" t="s">
        <v>8201</v>
      </c>
      <c r="L5229" s="102" t="str">
        <f>I666</f>
        <v>J1a2b1b2b~</v>
      </c>
      <c r="M5229" s="102" t="s">
        <v>8200</v>
      </c>
      <c r="N5229" s="102"/>
      <c r="O5229" s="105">
        <v>7921335.0</v>
      </c>
      <c r="P5229" s="105">
        <v>8053294.0</v>
      </c>
      <c r="Q5229" s="102" t="s">
        <v>2529</v>
      </c>
      <c r="S5229" s="1"/>
      <c r="T5229" s="1"/>
      <c r="U5229" s="1"/>
      <c r="V5229" s="1"/>
      <c r="W5229" s="1"/>
      <c r="X5229" s="1"/>
      <c r="Y5229" s="1"/>
      <c r="AA5229" s="102"/>
      <c r="AB5229" s="1"/>
      <c r="AC5229" s="1"/>
      <c r="AD5229" s="1"/>
      <c r="AE5229" s="1"/>
      <c r="AF5229" s="1"/>
      <c r="AG5229" s="1"/>
    </row>
    <row r="5230" ht="15.75" customHeight="1">
      <c r="A5230" s="1"/>
      <c r="B5230" s="1"/>
      <c r="C5230" s="1"/>
      <c r="D5230" s="1"/>
      <c r="E5230" s="1"/>
      <c r="F5230" s="1"/>
      <c r="G5230" s="1"/>
      <c r="H5230" s="1"/>
      <c r="I5230" s="1"/>
      <c r="J5230" s="1"/>
      <c r="K5230" s="102" t="s">
        <v>8202</v>
      </c>
      <c r="L5230" s="102" t="str">
        <f>I666</f>
        <v>J1a2b1b2b~</v>
      </c>
      <c r="M5230" s="102" t="s">
        <v>8203</v>
      </c>
      <c r="N5230" s="102"/>
      <c r="O5230" s="105">
        <v>8019757.0</v>
      </c>
      <c r="P5230" s="105">
        <v>8151716.0</v>
      </c>
      <c r="Q5230" s="102" t="s">
        <v>2439</v>
      </c>
      <c r="S5230" s="1"/>
      <c r="T5230" s="1"/>
      <c r="U5230" s="1"/>
      <c r="V5230" s="1"/>
      <c r="W5230" s="1"/>
      <c r="X5230" s="1"/>
      <c r="Y5230" s="1"/>
      <c r="AA5230" s="102"/>
      <c r="AB5230" s="1"/>
      <c r="AC5230" s="1"/>
      <c r="AD5230" s="1"/>
      <c r="AE5230" s="1"/>
      <c r="AF5230" s="1"/>
      <c r="AG5230" s="1"/>
    </row>
    <row r="5231" ht="15.75" customHeight="1">
      <c r="A5231" s="1"/>
      <c r="B5231" s="1"/>
      <c r="C5231" s="1"/>
      <c r="D5231" s="1"/>
      <c r="E5231" s="1"/>
      <c r="F5231" s="1"/>
      <c r="G5231" s="1"/>
      <c r="H5231" s="1"/>
      <c r="I5231" s="1"/>
      <c r="J5231" s="1"/>
      <c r="K5231" s="102" t="s">
        <v>8203</v>
      </c>
      <c r="L5231" s="102" t="str">
        <f>I666</f>
        <v>J1a2b1b2b~</v>
      </c>
      <c r="M5231" s="102" t="s">
        <v>8202</v>
      </c>
      <c r="N5231" s="102"/>
      <c r="O5231" s="105">
        <v>8019757.0</v>
      </c>
      <c r="P5231" s="105">
        <v>8151716.0</v>
      </c>
      <c r="Q5231" s="102" t="s">
        <v>2439</v>
      </c>
      <c r="S5231" s="1"/>
      <c r="T5231" s="1"/>
      <c r="U5231" s="1"/>
      <c r="V5231" s="1"/>
      <c r="W5231" s="1"/>
      <c r="X5231" s="1"/>
      <c r="Y5231" s="1"/>
      <c r="AA5231" s="102"/>
      <c r="AB5231" s="1"/>
      <c r="AC5231" s="1"/>
      <c r="AD5231" s="1"/>
      <c r="AE5231" s="1"/>
      <c r="AF5231" s="1"/>
      <c r="AG5231" s="1"/>
    </row>
    <row r="5232" ht="15.75" customHeight="1">
      <c r="A5232" s="1"/>
      <c r="B5232" s="1"/>
      <c r="C5232" s="1"/>
      <c r="D5232" s="1"/>
      <c r="E5232" s="1"/>
      <c r="F5232" s="1"/>
      <c r="G5232" s="1"/>
      <c r="H5232" s="1"/>
      <c r="I5232" s="1"/>
      <c r="J5232" s="1"/>
      <c r="K5232" s="102" t="s">
        <v>8204</v>
      </c>
      <c r="L5232" s="102" t="str">
        <f>I666</f>
        <v>J1a2b1b2b~</v>
      </c>
      <c r="M5232" s="102" t="s">
        <v>8205</v>
      </c>
      <c r="N5232" s="102"/>
      <c r="O5232" s="105">
        <v>8517004.0</v>
      </c>
      <c r="P5232" s="105">
        <v>8648963.0</v>
      </c>
      <c r="Q5232" s="102" t="s">
        <v>2501</v>
      </c>
      <c r="S5232" s="1"/>
      <c r="T5232" s="1"/>
      <c r="U5232" s="1"/>
      <c r="V5232" s="1"/>
      <c r="W5232" s="1"/>
      <c r="X5232" s="1"/>
      <c r="Y5232" s="1"/>
      <c r="AA5232" s="102"/>
      <c r="AB5232" s="1"/>
      <c r="AC5232" s="1"/>
      <c r="AD5232" s="1"/>
      <c r="AE5232" s="1"/>
      <c r="AF5232" s="1"/>
      <c r="AG5232" s="1"/>
    </row>
    <row r="5233" ht="15.75" customHeight="1">
      <c r="A5233" s="1"/>
      <c r="B5233" s="1"/>
      <c r="C5233" s="1"/>
      <c r="D5233" s="1"/>
      <c r="E5233" s="1"/>
      <c r="F5233" s="1"/>
      <c r="G5233" s="1"/>
      <c r="H5233" s="1"/>
      <c r="I5233" s="1"/>
      <c r="J5233" s="1"/>
      <c r="K5233" s="102" t="s">
        <v>8205</v>
      </c>
      <c r="L5233" s="102" t="str">
        <f>I666</f>
        <v>J1a2b1b2b~</v>
      </c>
      <c r="M5233" s="102" t="s">
        <v>8204</v>
      </c>
      <c r="N5233" s="102"/>
      <c r="O5233" s="105">
        <v>8517004.0</v>
      </c>
      <c r="P5233" s="105">
        <v>8648963.0</v>
      </c>
      <c r="Q5233" s="102" t="s">
        <v>2501</v>
      </c>
      <c r="S5233" s="1"/>
      <c r="T5233" s="1"/>
      <c r="U5233" s="1"/>
      <c r="V5233" s="1"/>
      <c r="W5233" s="1"/>
      <c r="X5233" s="1"/>
      <c r="Y5233" s="1"/>
      <c r="AA5233" s="102"/>
      <c r="AB5233" s="1"/>
      <c r="AC5233" s="1"/>
      <c r="AD5233" s="1"/>
      <c r="AE5233" s="1"/>
      <c r="AF5233" s="1"/>
      <c r="AG5233" s="1"/>
    </row>
    <row r="5234" ht="15.75" customHeight="1">
      <c r="A5234" s="1"/>
      <c r="B5234" s="1"/>
      <c r="C5234" s="1"/>
      <c r="D5234" s="1"/>
      <c r="E5234" s="1"/>
      <c r="F5234" s="1"/>
      <c r="G5234" s="1"/>
      <c r="H5234" s="1"/>
      <c r="I5234" s="1"/>
      <c r="J5234" s="1"/>
      <c r="K5234" s="102" t="s">
        <v>8206</v>
      </c>
      <c r="L5234" s="102" t="str">
        <f>I666</f>
        <v>J1a2b1b2b~</v>
      </c>
      <c r="M5234" s="102"/>
      <c r="N5234" s="102"/>
      <c r="O5234" s="105">
        <v>1.3135081E7</v>
      </c>
      <c r="P5234" s="105">
        <v>1.0624567E7</v>
      </c>
      <c r="Q5234" s="102" t="s">
        <v>2446</v>
      </c>
      <c r="S5234" s="1"/>
      <c r="T5234" s="1"/>
      <c r="U5234" s="1"/>
      <c r="V5234" s="1"/>
      <c r="W5234" s="1"/>
      <c r="X5234" s="1"/>
      <c r="Y5234" s="1"/>
      <c r="AA5234" s="102"/>
      <c r="AB5234" s="1"/>
      <c r="AC5234" s="1"/>
      <c r="AD5234" s="1"/>
      <c r="AE5234" s="1"/>
      <c r="AF5234" s="1"/>
      <c r="AG5234" s="1"/>
    </row>
    <row r="5235" ht="15.75" customHeight="1">
      <c r="A5235" s="1"/>
      <c r="B5235" s="1"/>
      <c r="C5235" s="1"/>
      <c r="D5235" s="1"/>
      <c r="E5235" s="1"/>
      <c r="F5235" s="1"/>
      <c r="G5235" s="1"/>
      <c r="H5235" s="1"/>
      <c r="I5235" s="1"/>
      <c r="J5235" s="1"/>
      <c r="K5235" s="102" t="s">
        <v>8207</v>
      </c>
      <c r="L5235" s="102" t="str">
        <f>I666</f>
        <v>J1a2b1b2b~</v>
      </c>
      <c r="M5235" s="102" t="s">
        <v>8208</v>
      </c>
      <c r="N5235" s="102"/>
      <c r="O5235" s="105">
        <v>1.4018807E7</v>
      </c>
      <c r="P5235" s="105">
        <v>1.1898101E7</v>
      </c>
      <c r="Q5235" s="102" t="s">
        <v>2439</v>
      </c>
      <c r="S5235" s="1"/>
      <c r="T5235" s="1"/>
      <c r="U5235" s="1"/>
      <c r="V5235" s="1"/>
      <c r="W5235" s="1"/>
      <c r="X5235" s="1"/>
      <c r="Y5235" s="1"/>
      <c r="AA5235" s="102"/>
      <c r="AB5235" s="1"/>
      <c r="AC5235" s="1"/>
      <c r="AD5235" s="1"/>
      <c r="AE5235" s="1"/>
      <c r="AF5235" s="1"/>
      <c r="AG5235" s="1"/>
    </row>
    <row r="5236" ht="15.75" customHeight="1">
      <c r="A5236" s="1"/>
      <c r="B5236" s="1"/>
      <c r="C5236" s="1"/>
      <c r="D5236" s="1"/>
      <c r="E5236" s="1"/>
      <c r="F5236" s="1"/>
      <c r="G5236" s="1"/>
      <c r="H5236" s="1"/>
      <c r="I5236" s="1"/>
      <c r="J5236" s="1"/>
      <c r="K5236" s="102" t="s">
        <v>8208</v>
      </c>
      <c r="L5236" s="102" t="str">
        <f>I666</f>
        <v>J1a2b1b2b~</v>
      </c>
      <c r="M5236" s="102" t="s">
        <v>8207</v>
      </c>
      <c r="N5236" s="102"/>
      <c r="O5236" s="105">
        <v>1.4018807E7</v>
      </c>
      <c r="P5236" s="105">
        <v>1.1898101E7</v>
      </c>
      <c r="Q5236" s="102" t="s">
        <v>2439</v>
      </c>
      <c r="S5236" s="1"/>
      <c r="T5236" s="1"/>
      <c r="U5236" s="1"/>
      <c r="V5236" s="1"/>
      <c r="W5236" s="1"/>
      <c r="X5236" s="1"/>
      <c r="Y5236" s="1"/>
      <c r="AA5236" s="102"/>
      <c r="AB5236" s="1"/>
      <c r="AC5236" s="1"/>
      <c r="AD5236" s="1"/>
      <c r="AE5236" s="1"/>
      <c r="AF5236" s="1"/>
      <c r="AG5236" s="1"/>
    </row>
    <row r="5237" ht="15.75" customHeight="1">
      <c r="A5237" s="1"/>
      <c r="B5237" s="1"/>
      <c r="C5237" s="1"/>
      <c r="D5237" s="1"/>
      <c r="E5237" s="1"/>
      <c r="F5237" s="1"/>
      <c r="G5237" s="1"/>
      <c r="H5237" s="1"/>
      <c r="I5237" s="1"/>
      <c r="J5237" s="1"/>
      <c r="K5237" s="102" t="s">
        <v>8209</v>
      </c>
      <c r="L5237" s="102" t="str">
        <f>I666</f>
        <v>J1a2b1b2b~</v>
      </c>
      <c r="M5237" s="102" t="s">
        <v>8210</v>
      </c>
      <c r="N5237" s="102"/>
      <c r="O5237" s="105">
        <v>1.4145315E7</v>
      </c>
      <c r="P5237" s="105">
        <v>1.2024609E7</v>
      </c>
      <c r="Q5237" s="102" t="s">
        <v>2501</v>
      </c>
      <c r="S5237" s="1"/>
      <c r="T5237" s="1"/>
      <c r="U5237" s="1"/>
      <c r="V5237" s="1"/>
      <c r="W5237" s="1"/>
      <c r="X5237" s="1"/>
      <c r="Y5237" s="1"/>
      <c r="AA5237" s="102"/>
      <c r="AB5237" s="1"/>
      <c r="AC5237" s="1"/>
      <c r="AD5237" s="1"/>
      <c r="AE5237" s="1"/>
      <c r="AF5237" s="1"/>
      <c r="AG5237" s="1"/>
    </row>
    <row r="5238" ht="15.75" customHeight="1">
      <c r="A5238" s="1"/>
      <c r="B5238" s="1"/>
      <c r="C5238" s="1"/>
      <c r="D5238" s="1"/>
      <c r="E5238" s="1"/>
      <c r="F5238" s="1"/>
      <c r="G5238" s="1"/>
      <c r="H5238" s="1"/>
      <c r="I5238" s="1"/>
      <c r="J5238" s="1"/>
      <c r="K5238" s="102" t="s">
        <v>8210</v>
      </c>
      <c r="L5238" s="102" t="str">
        <f>I666</f>
        <v>J1a2b1b2b~</v>
      </c>
      <c r="M5238" s="102" t="s">
        <v>8209</v>
      </c>
      <c r="N5238" s="102"/>
      <c r="O5238" s="105">
        <v>1.4145315E7</v>
      </c>
      <c r="P5238" s="105">
        <v>1.2024609E7</v>
      </c>
      <c r="Q5238" s="102" t="s">
        <v>2501</v>
      </c>
      <c r="S5238" s="1"/>
      <c r="T5238" s="1"/>
      <c r="U5238" s="1"/>
      <c r="V5238" s="1"/>
      <c r="W5238" s="1"/>
      <c r="X5238" s="1"/>
      <c r="Y5238" s="1"/>
      <c r="AA5238" s="102"/>
      <c r="AB5238" s="1"/>
      <c r="AC5238" s="1"/>
      <c r="AD5238" s="1"/>
      <c r="AE5238" s="1"/>
      <c r="AF5238" s="1"/>
      <c r="AG5238" s="1"/>
    </row>
    <row r="5239" ht="15.75" customHeight="1">
      <c r="A5239" s="1"/>
      <c r="B5239" s="1"/>
      <c r="C5239" s="1"/>
      <c r="D5239" s="1"/>
      <c r="E5239" s="1"/>
      <c r="F5239" s="1"/>
      <c r="G5239" s="1"/>
      <c r="H5239" s="1"/>
      <c r="I5239" s="1"/>
      <c r="J5239" s="1"/>
      <c r="K5239" s="102" t="s">
        <v>8211</v>
      </c>
      <c r="L5239" s="102" t="str">
        <f>I666</f>
        <v>J1a2b1b2b~</v>
      </c>
      <c r="M5239" s="102" t="s">
        <v>8212</v>
      </c>
      <c r="N5239" s="102"/>
      <c r="O5239" s="105">
        <v>1.8267828E7</v>
      </c>
      <c r="P5239" s="105">
        <v>1.6155948E7</v>
      </c>
      <c r="Q5239" s="102" t="s">
        <v>2432</v>
      </c>
      <c r="S5239" s="1"/>
      <c r="T5239" s="1"/>
      <c r="U5239" s="1"/>
      <c r="V5239" s="1"/>
      <c r="W5239" s="1"/>
      <c r="X5239" s="1"/>
      <c r="Y5239" s="1"/>
      <c r="AA5239" s="102"/>
      <c r="AB5239" s="1"/>
      <c r="AC5239" s="1"/>
      <c r="AD5239" s="1"/>
      <c r="AE5239" s="1"/>
      <c r="AF5239" s="1"/>
      <c r="AG5239" s="1"/>
    </row>
    <row r="5240" ht="15.75" customHeight="1">
      <c r="A5240" s="1"/>
      <c r="B5240" s="1"/>
      <c r="C5240" s="1"/>
      <c r="D5240" s="1"/>
      <c r="E5240" s="1"/>
      <c r="F5240" s="1"/>
      <c r="G5240" s="1"/>
      <c r="H5240" s="1"/>
      <c r="I5240" s="1"/>
      <c r="J5240" s="1"/>
      <c r="K5240" s="102" t="s">
        <v>8212</v>
      </c>
      <c r="L5240" s="102" t="str">
        <f>I666</f>
        <v>J1a2b1b2b~</v>
      </c>
      <c r="M5240" s="102" t="s">
        <v>8211</v>
      </c>
      <c r="N5240" s="102"/>
      <c r="O5240" s="105">
        <v>1.8267828E7</v>
      </c>
      <c r="P5240" s="105">
        <v>1.6155948E7</v>
      </c>
      <c r="Q5240" s="102" t="s">
        <v>2432</v>
      </c>
      <c r="S5240" s="1"/>
      <c r="T5240" s="1"/>
      <c r="U5240" s="1"/>
      <c r="V5240" s="1"/>
      <c r="W5240" s="1"/>
      <c r="X5240" s="1"/>
      <c r="Y5240" s="1"/>
      <c r="AA5240" s="102"/>
      <c r="AB5240" s="1"/>
      <c r="AC5240" s="1"/>
      <c r="AD5240" s="1"/>
      <c r="AE5240" s="1"/>
      <c r="AF5240" s="1"/>
      <c r="AG5240" s="1"/>
    </row>
    <row r="5241" ht="15.75" customHeight="1">
      <c r="A5241" s="1"/>
      <c r="B5241" s="1"/>
      <c r="C5241" s="1"/>
      <c r="D5241" s="1"/>
      <c r="E5241" s="1"/>
      <c r="F5241" s="1"/>
      <c r="G5241" s="1"/>
      <c r="H5241" s="1"/>
      <c r="I5241" s="1"/>
      <c r="J5241" s="1"/>
      <c r="K5241" s="102" t="s">
        <v>8213</v>
      </c>
      <c r="L5241" s="102" t="str">
        <f>I666</f>
        <v>J1a2b1b2b~</v>
      </c>
      <c r="M5241" s="102" t="s">
        <v>8214</v>
      </c>
      <c r="N5241" s="102"/>
      <c r="O5241" s="105">
        <v>1.9530036E7</v>
      </c>
      <c r="P5241" s="105">
        <v>1.7418156E7</v>
      </c>
      <c r="Q5241" s="102" t="s">
        <v>2468</v>
      </c>
      <c r="S5241" s="1"/>
      <c r="T5241" s="1"/>
      <c r="U5241" s="1"/>
      <c r="V5241" s="1"/>
      <c r="W5241" s="1"/>
      <c r="X5241" s="1"/>
      <c r="Y5241" s="1"/>
      <c r="AA5241" s="102"/>
      <c r="AB5241" s="1"/>
      <c r="AC5241" s="1"/>
      <c r="AD5241" s="1"/>
      <c r="AE5241" s="1"/>
      <c r="AF5241" s="1"/>
      <c r="AG5241" s="1"/>
    </row>
    <row r="5242" ht="15.75" customHeight="1">
      <c r="A5242" s="1"/>
      <c r="B5242" s="1"/>
      <c r="C5242" s="1"/>
      <c r="D5242" s="1"/>
      <c r="E5242" s="1"/>
      <c r="F5242" s="1"/>
      <c r="G5242" s="1"/>
      <c r="H5242" s="1"/>
      <c r="I5242" s="1"/>
      <c r="J5242" s="1"/>
      <c r="K5242" s="102" t="s">
        <v>8214</v>
      </c>
      <c r="L5242" s="102" t="str">
        <f>I666</f>
        <v>J1a2b1b2b~</v>
      </c>
      <c r="M5242" s="102" t="s">
        <v>8213</v>
      </c>
      <c r="N5242" s="102"/>
      <c r="O5242" s="105">
        <v>1.9530036E7</v>
      </c>
      <c r="P5242" s="105">
        <v>1.7418156E7</v>
      </c>
      <c r="Q5242" s="102" t="s">
        <v>2468</v>
      </c>
      <c r="S5242" s="1"/>
      <c r="T5242" s="1"/>
      <c r="U5242" s="1"/>
      <c r="V5242" s="1"/>
      <c r="W5242" s="1"/>
      <c r="X5242" s="1"/>
      <c r="Y5242" s="1"/>
      <c r="AA5242" s="102"/>
      <c r="AB5242" s="1"/>
      <c r="AC5242" s="1"/>
      <c r="AD5242" s="1"/>
      <c r="AE5242" s="1"/>
      <c r="AF5242" s="1"/>
      <c r="AG5242" s="1"/>
    </row>
    <row r="5243" ht="15.75" customHeight="1">
      <c r="A5243" s="1"/>
      <c r="B5243" s="1"/>
      <c r="C5243" s="1"/>
      <c r="D5243" s="1"/>
      <c r="E5243" s="1"/>
      <c r="F5243" s="1"/>
      <c r="G5243" s="1"/>
      <c r="H5243" s="1"/>
      <c r="I5243" s="1"/>
      <c r="J5243" s="1"/>
      <c r="K5243" s="102" t="s">
        <v>8215</v>
      </c>
      <c r="L5243" s="102" t="str">
        <f>I666</f>
        <v>J1a2b1b2b~</v>
      </c>
      <c r="M5243" s="102" t="s">
        <v>8216</v>
      </c>
      <c r="N5243" s="102"/>
      <c r="O5243" s="105">
        <v>2.2660203E7</v>
      </c>
      <c r="P5243" s="105">
        <v>2.0498317E7</v>
      </c>
      <c r="Q5243" s="102" t="s">
        <v>2529</v>
      </c>
      <c r="S5243" s="1"/>
      <c r="T5243" s="1"/>
      <c r="U5243" s="1"/>
      <c r="V5243" s="1"/>
      <c r="W5243" s="1"/>
      <c r="X5243" s="1"/>
      <c r="Y5243" s="1"/>
      <c r="AA5243" s="102"/>
      <c r="AB5243" s="1"/>
      <c r="AC5243" s="1"/>
      <c r="AD5243" s="1"/>
      <c r="AE5243" s="1"/>
      <c r="AF5243" s="1"/>
      <c r="AG5243" s="1"/>
    </row>
    <row r="5244" ht="15.75" customHeight="1">
      <c r="A5244" s="1"/>
      <c r="B5244" s="1"/>
      <c r="C5244" s="1"/>
      <c r="D5244" s="1"/>
      <c r="E5244" s="1"/>
      <c r="F5244" s="1"/>
      <c r="G5244" s="1"/>
      <c r="H5244" s="1"/>
      <c r="I5244" s="1"/>
      <c r="J5244" s="1"/>
      <c r="K5244" s="102" t="s">
        <v>8216</v>
      </c>
      <c r="L5244" s="102" t="str">
        <f>I666</f>
        <v>J1a2b1b2b~</v>
      </c>
      <c r="M5244" s="102" t="s">
        <v>8215</v>
      </c>
      <c r="N5244" s="102"/>
      <c r="O5244" s="105">
        <v>2.2660203E7</v>
      </c>
      <c r="P5244" s="105">
        <v>2.0498317E7</v>
      </c>
      <c r="Q5244" s="102" t="s">
        <v>2529</v>
      </c>
      <c r="S5244" s="1"/>
      <c r="T5244" s="1"/>
      <c r="U5244" s="1"/>
      <c r="V5244" s="1"/>
      <c r="W5244" s="1"/>
      <c r="X5244" s="1"/>
      <c r="Y5244" s="1"/>
      <c r="AA5244" s="102"/>
      <c r="AB5244" s="1"/>
      <c r="AC5244" s="1"/>
      <c r="AD5244" s="1"/>
      <c r="AE5244" s="1"/>
      <c r="AF5244" s="1"/>
      <c r="AG5244" s="1"/>
    </row>
    <row r="5245" ht="15.75" customHeight="1">
      <c r="A5245" s="1"/>
      <c r="B5245" s="1"/>
      <c r="C5245" s="1"/>
      <c r="D5245" s="1"/>
      <c r="E5245" s="1"/>
      <c r="F5245" s="1"/>
      <c r="G5245" s="1"/>
      <c r="H5245" s="1"/>
      <c r="I5245" s="1"/>
      <c r="J5245" s="1"/>
      <c r="K5245" s="102" t="s">
        <v>8217</v>
      </c>
      <c r="L5245" s="102" t="str">
        <f>I666</f>
        <v>J1a2b1b2b~</v>
      </c>
      <c r="M5245" s="102" t="s">
        <v>8218</v>
      </c>
      <c r="N5245" s="102"/>
      <c r="O5245" s="105">
        <v>2.266995E7</v>
      </c>
      <c r="P5245" s="105">
        <v>2.0508064E7</v>
      </c>
      <c r="Q5245" s="102" t="s">
        <v>2446</v>
      </c>
      <c r="S5245" s="1"/>
      <c r="T5245" s="1"/>
      <c r="U5245" s="1"/>
      <c r="V5245" s="1"/>
      <c r="W5245" s="1"/>
      <c r="X5245" s="1"/>
      <c r="Y5245" s="1"/>
      <c r="AA5245" s="102"/>
      <c r="AB5245" s="1"/>
      <c r="AC5245" s="1"/>
      <c r="AD5245" s="1"/>
      <c r="AE5245" s="1"/>
      <c r="AF5245" s="1"/>
      <c r="AG5245" s="1"/>
    </row>
    <row r="5246" ht="15.75" customHeight="1">
      <c r="A5246" s="1"/>
      <c r="B5246" s="1"/>
      <c r="C5246" s="1"/>
      <c r="D5246" s="1"/>
      <c r="E5246" s="1"/>
      <c r="F5246" s="1"/>
      <c r="G5246" s="1"/>
      <c r="H5246" s="1"/>
      <c r="I5246" s="1"/>
      <c r="J5246" s="1"/>
      <c r="K5246" s="102" t="s">
        <v>8218</v>
      </c>
      <c r="L5246" s="102" t="str">
        <f>I666</f>
        <v>J1a2b1b2b~</v>
      </c>
      <c r="M5246" s="102" t="s">
        <v>8217</v>
      </c>
      <c r="N5246" s="102"/>
      <c r="O5246" s="105">
        <v>2.266995E7</v>
      </c>
      <c r="P5246" s="105">
        <v>2.0508064E7</v>
      </c>
      <c r="Q5246" s="102" t="s">
        <v>2446</v>
      </c>
      <c r="S5246" s="1"/>
      <c r="T5246" s="1"/>
      <c r="U5246" s="1"/>
      <c r="V5246" s="1"/>
      <c r="W5246" s="1"/>
      <c r="X5246" s="1"/>
      <c r="Y5246" s="1"/>
      <c r="AA5246" s="102"/>
      <c r="AB5246" s="1"/>
      <c r="AC5246" s="1"/>
      <c r="AD5246" s="1"/>
      <c r="AE5246" s="1"/>
      <c r="AF5246" s="1"/>
      <c r="AG5246" s="1"/>
    </row>
    <row r="5247" ht="15.75" customHeight="1">
      <c r="A5247" s="1"/>
      <c r="B5247" s="1"/>
      <c r="C5247" s="1"/>
      <c r="D5247" s="1"/>
      <c r="E5247" s="1"/>
      <c r="F5247" s="1"/>
      <c r="G5247" s="1"/>
      <c r="H5247" s="1"/>
      <c r="I5247" s="1"/>
      <c r="J5247" s="1"/>
      <c r="K5247" s="102" t="s">
        <v>8219</v>
      </c>
      <c r="L5247" s="102" t="str">
        <f>I666</f>
        <v>J1a2b1b2b~</v>
      </c>
      <c r="M5247" s="102" t="s">
        <v>8220</v>
      </c>
      <c r="N5247" s="102"/>
      <c r="O5247" s="105">
        <v>1.4583865E7</v>
      </c>
      <c r="P5247" s="105">
        <v>1.2472065E7</v>
      </c>
      <c r="Q5247" s="102" t="s">
        <v>2529</v>
      </c>
      <c r="S5247" s="1"/>
      <c r="T5247" s="1"/>
      <c r="U5247" s="1"/>
      <c r="V5247" s="1"/>
      <c r="W5247" s="1"/>
      <c r="X5247" s="1"/>
      <c r="Y5247" s="1"/>
      <c r="AA5247" s="102"/>
      <c r="AB5247" s="1"/>
      <c r="AC5247" s="1"/>
      <c r="AD5247" s="1"/>
      <c r="AE5247" s="1"/>
      <c r="AF5247" s="1"/>
      <c r="AG5247" s="1"/>
    </row>
    <row r="5248" ht="15.75" customHeight="1">
      <c r="A5248" s="1"/>
      <c r="B5248" s="1"/>
      <c r="C5248" s="1"/>
      <c r="D5248" s="1"/>
      <c r="E5248" s="1"/>
      <c r="F5248" s="1"/>
      <c r="G5248" s="1"/>
      <c r="H5248" s="1"/>
      <c r="I5248" s="1"/>
      <c r="J5248" s="1"/>
      <c r="K5248" s="102" t="s">
        <v>8220</v>
      </c>
      <c r="L5248" s="102" t="str">
        <f>I666</f>
        <v>J1a2b1b2b~</v>
      </c>
      <c r="M5248" s="102" t="s">
        <v>8219</v>
      </c>
      <c r="N5248" s="102"/>
      <c r="O5248" s="105">
        <v>1.4583865E7</v>
      </c>
      <c r="P5248" s="105">
        <v>1.2472065E7</v>
      </c>
      <c r="Q5248" s="102" t="s">
        <v>2529</v>
      </c>
      <c r="S5248" s="1"/>
      <c r="T5248" s="1"/>
      <c r="U5248" s="1"/>
      <c r="V5248" s="1"/>
      <c r="W5248" s="1"/>
      <c r="X5248" s="1"/>
      <c r="Y5248" s="1"/>
      <c r="AA5248" s="102"/>
      <c r="AB5248" s="1"/>
      <c r="AC5248" s="1"/>
      <c r="AD5248" s="1"/>
      <c r="AE5248" s="1"/>
      <c r="AF5248" s="1"/>
      <c r="AG5248" s="1"/>
    </row>
    <row r="5249" ht="15.75" customHeight="1">
      <c r="A5249" s="1"/>
      <c r="B5249" s="1"/>
      <c r="C5249" s="1"/>
      <c r="D5249" s="1"/>
      <c r="E5249" s="1"/>
      <c r="F5249" s="1"/>
      <c r="G5249" s="1"/>
      <c r="H5249" s="1"/>
      <c r="I5249" s="1"/>
      <c r="J5249" s="1"/>
      <c r="K5249" s="102" t="s">
        <v>8221</v>
      </c>
      <c r="L5249" s="102" t="str">
        <f>J667</f>
        <v>J1a2b1b2b1~</v>
      </c>
      <c r="M5249" s="102"/>
      <c r="N5249" s="102"/>
      <c r="O5249" s="105">
        <v>1.5832455E7</v>
      </c>
      <c r="P5249" s="105">
        <v>1.3720575E7</v>
      </c>
      <c r="Q5249" s="102" t="s">
        <v>2501</v>
      </c>
      <c r="S5249" s="1"/>
      <c r="T5249" s="1"/>
      <c r="U5249" s="1"/>
      <c r="V5249" s="1"/>
      <c r="W5249" s="1"/>
      <c r="X5249" s="1"/>
      <c r="Y5249" s="1"/>
      <c r="AA5249" s="102"/>
      <c r="AB5249" s="1"/>
      <c r="AC5249" s="1"/>
      <c r="AD5249" s="1"/>
      <c r="AE5249" s="1"/>
      <c r="AF5249" s="1"/>
      <c r="AG5249" s="1"/>
    </row>
    <row r="5250" ht="15.75" customHeight="1">
      <c r="A5250" s="1"/>
      <c r="B5250" s="1"/>
      <c r="C5250" s="1"/>
      <c r="D5250" s="1"/>
      <c r="E5250" s="1"/>
      <c r="F5250" s="1"/>
      <c r="G5250" s="1"/>
      <c r="H5250" s="1"/>
      <c r="I5250" s="1"/>
      <c r="J5250" s="1"/>
      <c r="K5250" s="102" t="s">
        <v>8222</v>
      </c>
      <c r="L5250" s="102" t="str">
        <f t="shared" ref="L5250:L5251" si="116">J667</f>
        <v>J1a2b1b2b1~</v>
      </c>
      <c r="M5250" s="102"/>
      <c r="N5250" s="102"/>
      <c r="O5250" s="105">
        <v>1.7614777E7</v>
      </c>
      <c r="P5250" s="105">
        <v>1.5502897E7</v>
      </c>
      <c r="Q5250" s="102" t="s">
        <v>2439</v>
      </c>
      <c r="S5250" s="1"/>
      <c r="T5250" s="1"/>
      <c r="U5250" s="1"/>
      <c r="V5250" s="1"/>
      <c r="W5250" s="1"/>
      <c r="X5250" s="1"/>
      <c r="Y5250" s="1"/>
      <c r="AA5250" s="102"/>
      <c r="AB5250" s="1"/>
      <c r="AC5250" s="1"/>
      <c r="AD5250" s="1"/>
      <c r="AE5250" s="1"/>
      <c r="AF5250" s="1"/>
      <c r="AG5250" s="1"/>
    </row>
    <row r="5251" ht="15.75" customHeight="1">
      <c r="A5251" s="1"/>
      <c r="B5251" s="1"/>
      <c r="C5251" s="1"/>
      <c r="D5251" s="1"/>
      <c r="E5251" s="1"/>
      <c r="F5251" s="1"/>
      <c r="G5251" s="1"/>
      <c r="H5251" s="1"/>
      <c r="I5251" s="1"/>
      <c r="J5251" s="1"/>
      <c r="K5251" s="102" t="s">
        <v>8223</v>
      </c>
      <c r="L5251" s="102" t="str">
        <f t="shared" si="116"/>
        <v>J1a2b1b2b2~</v>
      </c>
      <c r="M5251" s="102" t="s">
        <v>8224</v>
      </c>
      <c r="N5251" s="102"/>
      <c r="O5251" s="105">
        <v>1.7332712E7</v>
      </c>
      <c r="P5251" s="105">
        <v>1.5220832E7</v>
      </c>
      <c r="Q5251" s="102" t="s">
        <v>2501</v>
      </c>
      <c r="S5251" s="1"/>
      <c r="T5251" s="1"/>
      <c r="U5251" s="1"/>
      <c r="V5251" s="1"/>
      <c r="W5251" s="1"/>
      <c r="X5251" s="1"/>
      <c r="Y5251" s="1"/>
      <c r="AA5251" s="102"/>
      <c r="AB5251" s="1"/>
      <c r="AC5251" s="1"/>
      <c r="AD5251" s="1"/>
      <c r="AE5251" s="1"/>
      <c r="AF5251" s="1"/>
      <c r="AG5251" s="1"/>
    </row>
    <row r="5252" ht="15.75" customHeight="1">
      <c r="A5252" s="1"/>
      <c r="B5252" s="1"/>
      <c r="C5252" s="1"/>
      <c r="D5252" s="1"/>
      <c r="E5252" s="1"/>
      <c r="F5252" s="1"/>
      <c r="G5252" s="1"/>
      <c r="H5252" s="1"/>
      <c r="I5252" s="1"/>
      <c r="J5252" s="1"/>
      <c r="K5252" s="102" t="s">
        <v>8224</v>
      </c>
      <c r="L5252" s="102" t="str">
        <f>J668</f>
        <v>J1a2b1b2b2~</v>
      </c>
      <c r="M5252" s="102" t="s">
        <v>8223</v>
      </c>
      <c r="N5252" s="102"/>
      <c r="O5252" s="105">
        <v>1.7332712E7</v>
      </c>
      <c r="P5252" s="105">
        <v>1.5220832E7</v>
      </c>
      <c r="Q5252" s="102" t="s">
        <v>2501</v>
      </c>
      <c r="S5252" s="1"/>
      <c r="T5252" s="1"/>
      <c r="U5252" s="1"/>
      <c r="V5252" s="1"/>
      <c r="W5252" s="1"/>
      <c r="X5252" s="1"/>
      <c r="Y5252" s="1"/>
      <c r="AA5252" s="102"/>
      <c r="AB5252" s="1"/>
      <c r="AC5252" s="1"/>
      <c r="AD5252" s="1"/>
      <c r="AE5252" s="1"/>
      <c r="AF5252" s="1"/>
      <c r="AG5252" s="1"/>
    </row>
    <row r="5253" ht="15.75" customHeight="1">
      <c r="A5253" s="1"/>
      <c r="B5253" s="1"/>
      <c r="C5253" s="1"/>
      <c r="D5253" s="1"/>
      <c r="E5253" s="1"/>
      <c r="F5253" s="1"/>
      <c r="G5253" s="1"/>
      <c r="H5253" s="1"/>
      <c r="I5253" s="1"/>
      <c r="J5253" s="1"/>
      <c r="K5253" s="102" t="s">
        <v>8225</v>
      </c>
      <c r="L5253" s="102" t="str">
        <f>K669</f>
        <v>J1a2b1b2b2a~</v>
      </c>
      <c r="M5253" s="102"/>
      <c r="N5253" s="102"/>
      <c r="O5253" s="105">
        <v>2.3128169E7</v>
      </c>
      <c r="P5253" s="105">
        <v>2.0966283E7</v>
      </c>
      <c r="Q5253" s="102" t="s">
        <v>2439</v>
      </c>
      <c r="S5253" s="1"/>
      <c r="T5253" s="1"/>
      <c r="U5253" s="1"/>
      <c r="V5253" s="1"/>
      <c r="W5253" s="1"/>
      <c r="X5253" s="1"/>
      <c r="Y5253" s="1"/>
      <c r="AA5253" s="102"/>
      <c r="AB5253" s="1"/>
      <c r="AC5253" s="1"/>
      <c r="AD5253" s="1"/>
      <c r="AE5253" s="1"/>
      <c r="AF5253" s="1"/>
      <c r="AG5253" s="1"/>
    </row>
    <row r="5254" ht="15.75" customHeight="1">
      <c r="A5254" s="1"/>
      <c r="B5254" s="1"/>
      <c r="C5254" s="1"/>
      <c r="D5254" s="1"/>
      <c r="E5254" s="1"/>
      <c r="F5254" s="1"/>
      <c r="G5254" s="1"/>
      <c r="H5254" s="1"/>
      <c r="I5254" s="1"/>
      <c r="J5254" s="1"/>
      <c r="K5254" s="102" t="s">
        <v>8226</v>
      </c>
      <c r="L5254" s="102" t="str">
        <f>K669</f>
        <v>J1a2b1b2b2a~</v>
      </c>
      <c r="M5254" s="102"/>
      <c r="N5254" s="102"/>
      <c r="O5254" s="105">
        <v>8840284.0</v>
      </c>
      <c r="P5254" s="105">
        <v>8972243.0</v>
      </c>
      <c r="Q5254" s="102" t="s">
        <v>2576</v>
      </c>
      <c r="S5254" s="1"/>
      <c r="T5254" s="1"/>
      <c r="U5254" s="1"/>
      <c r="V5254" s="1"/>
      <c r="W5254" s="1"/>
      <c r="X5254" s="1"/>
      <c r="Y5254" s="1"/>
      <c r="AA5254" s="102"/>
      <c r="AB5254" s="1"/>
      <c r="AC5254" s="1"/>
      <c r="AD5254" s="1"/>
      <c r="AE5254" s="1"/>
      <c r="AF5254" s="1"/>
      <c r="AG5254" s="1"/>
    </row>
    <row r="5255" ht="15.75" customHeight="1">
      <c r="A5255" s="1"/>
      <c r="B5255" s="1"/>
      <c r="C5255" s="1"/>
      <c r="D5255" s="1"/>
      <c r="E5255" s="1"/>
      <c r="F5255" s="1"/>
      <c r="G5255" s="1"/>
      <c r="H5255" s="1"/>
      <c r="I5255" s="1"/>
      <c r="J5255" s="1"/>
      <c r="K5255" s="102" t="s">
        <v>8227</v>
      </c>
      <c r="L5255" s="102" t="str">
        <f>K669</f>
        <v>J1a2b1b2b2a~</v>
      </c>
      <c r="M5255" s="102"/>
      <c r="N5255" s="102"/>
      <c r="O5255" s="105">
        <v>8840285.0</v>
      </c>
      <c r="P5255" s="105">
        <v>8972244.0</v>
      </c>
      <c r="Q5255" s="102" t="s">
        <v>2576</v>
      </c>
      <c r="S5255" s="1"/>
      <c r="T5255" s="1"/>
      <c r="U5255" s="1"/>
      <c r="V5255" s="1"/>
      <c r="W5255" s="1"/>
      <c r="X5255" s="1"/>
      <c r="Y5255" s="1"/>
      <c r="AA5255" s="102"/>
      <c r="AB5255" s="1"/>
      <c r="AC5255" s="1"/>
      <c r="AD5255" s="1"/>
      <c r="AE5255" s="1"/>
      <c r="AF5255" s="1"/>
      <c r="AG5255" s="1"/>
    </row>
    <row r="5256" ht="15.75" customHeight="1">
      <c r="A5256" s="1"/>
      <c r="B5256" s="1"/>
      <c r="C5256" s="1"/>
      <c r="D5256" s="1"/>
      <c r="E5256" s="1"/>
      <c r="F5256" s="1"/>
      <c r="G5256" s="1"/>
      <c r="H5256" s="1"/>
      <c r="I5256" s="1"/>
      <c r="J5256" s="1"/>
      <c r="K5256" s="102" t="s">
        <v>8228</v>
      </c>
      <c r="L5256" s="102" t="str">
        <f>K669</f>
        <v>J1a2b1b2b2a~</v>
      </c>
      <c r="M5256" s="102"/>
      <c r="N5256" s="102"/>
      <c r="O5256" s="105">
        <v>6906904.0</v>
      </c>
      <c r="P5256" s="105">
        <v>7038863.0</v>
      </c>
      <c r="Q5256" s="102" t="s">
        <v>2533</v>
      </c>
      <c r="S5256" s="1"/>
      <c r="T5256" s="1"/>
      <c r="U5256" s="1"/>
      <c r="V5256" s="1"/>
      <c r="W5256" s="1"/>
      <c r="X5256" s="1"/>
      <c r="Y5256" s="1"/>
      <c r="AA5256" s="102"/>
      <c r="AB5256" s="1"/>
      <c r="AC5256" s="1"/>
      <c r="AD5256" s="1"/>
      <c r="AE5256" s="1"/>
      <c r="AF5256" s="1"/>
      <c r="AG5256" s="1"/>
    </row>
    <row r="5257" ht="15.75" customHeight="1">
      <c r="A5257" s="1"/>
      <c r="B5257" s="1"/>
      <c r="C5257" s="1"/>
      <c r="D5257" s="1"/>
      <c r="E5257" s="1"/>
      <c r="F5257" s="1"/>
      <c r="G5257" s="1"/>
      <c r="H5257" s="1"/>
      <c r="I5257" s="1"/>
      <c r="J5257" s="1"/>
      <c r="K5257" s="102" t="s">
        <v>8229</v>
      </c>
      <c r="L5257" s="102" t="str">
        <f>K669</f>
        <v>J1a2b1b2b2a~</v>
      </c>
      <c r="M5257" s="102"/>
      <c r="N5257" s="102"/>
      <c r="O5257" s="105">
        <v>8162288.0</v>
      </c>
      <c r="P5257" s="105">
        <v>8294247.0</v>
      </c>
      <c r="Q5257" s="102" t="s">
        <v>2468</v>
      </c>
      <c r="S5257" s="1"/>
      <c r="T5257" s="1"/>
      <c r="U5257" s="1"/>
      <c r="V5257" s="1"/>
      <c r="W5257" s="1"/>
      <c r="X5257" s="1"/>
      <c r="Y5257" s="1"/>
      <c r="AA5257" s="102"/>
      <c r="AB5257" s="1"/>
      <c r="AC5257" s="1"/>
      <c r="AD5257" s="1"/>
      <c r="AE5257" s="1"/>
      <c r="AF5257" s="1"/>
      <c r="AG5257" s="1"/>
    </row>
    <row r="5258" ht="15.75" customHeight="1">
      <c r="A5258" s="1"/>
      <c r="B5258" s="1"/>
      <c r="C5258" s="1"/>
      <c r="D5258" s="1"/>
      <c r="E5258" s="1"/>
      <c r="F5258" s="1"/>
      <c r="G5258" s="1"/>
      <c r="H5258" s="1"/>
      <c r="I5258" s="1"/>
      <c r="J5258" s="1"/>
      <c r="K5258" s="102" t="s">
        <v>8230</v>
      </c>
      <c r="L5258" s="102" t="str">
        <f>K669</f>
        <v>J1a2b1b2b2a~</v>
      </c>
      <c r="M5258" s="102"/>
      <c r="N5258" s="102"/>
      <c r="O5258" s="105">
        <v>1.4104654E7</v>
      </c>
      <c r="P5258" s="105">
        <v>1.1983948E7</v>
      </c>
      <c r="Q5258" s="102" t="s">
        <v>2439</v>
      </c>
      <c r="S5258" s="1"/>
      <c r="T5258" s="1"/>
      <c r="U5258" s="1"/>
      <c r="V5258" s="1"/>
      <c r="W5258" s="1"/>
      <c r="X5258" s="1"/>
      <c r="Y5258" s="1"/>
      <c r="AA5258" s="102"/>
      <c r="AB5258" s="1"/>
      <c r="AC5258" s="1"/>
      <c r="AD5258" s="1"/>
      <c r="AE5258" s="1"/>
      <c r="AF5258" s="1"/>
      <c r="AG5258" s="1"/>
    </row>
    <row r="5259" ht="15.75" customHeight="1">
      <c r="A5259" s="1"/>
      <c r="B5259" s="1"/>
      <c r="C5259" s="1"/>
      <c r="D5259" s="1"/>
      <c r="E5259" s="1"/>
      <c r="F5259" s="1"/>
      <c r="G5259" s="1"/>
      <c r="H5259" s="1"/>
      <c r="I5259" s="1"/>
      <c r="J5259" s="1"/>
      <c r="K5259" s="102" t="s">
        <v>8231</v>
      </c>
      <c r="L5259" s="102" t="str">
        <f>K669</f>
        <v>J1a2b1b2b2a~</v>
      </c>
      <c r="M5259" s="102"/>
      <c r="N5259" s="102"/>
      <c r="O5259" s="105">
        <v>1.521065E7</v>
      </c>
      <c r="P5259" s="105">
        <v>1.3098736E7</v>
      </c>
      <c r="Q5259" s="102" t="s">
        <v>2468</v>
      </c>
      <c r="S5259" s="1"/>
      <c r="T5259" s="1"/>
      <c r="U5259" s="1"/>
      <c r="V5259" s="1"/>
      <c r="W5259" s="1"/>
      <c r="X5259" s="1"/>
      <c r="Y5259" s="1"/>
      <c r="AA5259" s="102"/>
      <c r="AB5259" s="1"/>
      <c r="AC5259" s="1"/>
      <c r="AD5259" s="1"/>
      <c r="AE5259" s="1"/>
      <c r="AF5259" s="1"/>
      <c r="AG5259" s="1"/>
    </row>
    <row r="5260" ht="15.75" customHeight="1">
      <c r="A5260" s="1"/>
      <c r="B5260" s="1"/>
      <c r="C5260" s="1"/>
      <c r="D5260" s="1"/>
      <c r="E5260" s="1"/>
      <c r="F5260" s="1"/>
      <c r="G5260" s="1"/>
      <c r="H5260" s="1"/>
      <c r="I5260" s="1"/>
      <c r="J5260" s="1"/>
      <c r="K5260" s="102" t="s">
        <v>8232</v>
      </c>
      <c r="L5260" s="102" t="str">
        <f>K669</f>
        <v>J1a2b1b2b2a~</v>
      </c>
      <c r="M5260" s="102"/>
      <c r="N5260" s="102"/>
      <c r="O5260" s="105">
        <v>1.7232102E7</v>
      </c>
      <c r="P5260" s="105">
        <v>1.5120222E7</v>
      </c>
      <c r="Q5260" s="102" t="s">
        <v>2514</v>
      </c>
      <c r="S5260" s="1"/>
      <c r="T5260" s="1"/>
      <c r="U5260" s="1"/>
      <c r="V5260" s="1"/>
      <c r="W5260" s="1"/>
      <c r="X5260" s="1"/>
      <c r="Y5260" s="1"/>
      <c r="AA5260" s="102"/>
      <c r="AB5260" s="1"/>
      <c r="AC5260" s="1"/>
      <c r="AD5260" s="1"/>
      <c r="AE5260" s="1"/>
      <c r="AF5260" s="1"/>
      <c r="AG5260" s="1"/>
    </row>
    <row r="5261" ht="15.75" customHeight="1">
      <c r="A5261" s="1"/>
      <c r="B5261" s="1"/>
      <c r="C5261" s="1"/>
      <c r="D5261" s="1"/>
      <c r="E5261" s="1"/>
      <c r="F5261" s="1"/>
      <c r="G5261" s="1"/>
      <c r="H5261" s="1"/>
      <c r="I5261" s="1"/>
      <c r="J5261" s="1"/>
      <c r="K5261" s="102" t="s">
        <v>8233</v>
      </c>
      <c r="L5261" s="102" t="str">
        <f>K669</f>
        <v>J1a2b1b2b2a~</v>
      </c>
      <c r="M5261" s="102"/>
      <c r="N5261" s="102"/>
      <c r="O5261" s="105">
        <v>1.7871209E7</v>
      </c>
      <c r="P5261" s="105">
        <v>1.5759329E7</v>
      </c>
      <c r="Q5261" s="102" t="s">
        <v>2529</v>
      </c>
      <c r="S5261" s="1"/>
      <c r="T5261" s="1"/>
      <c r="U5261" s="1"/>
      <c r="V5261" s="1"/>
      <c r="W5261" s="1"/>
      <c r="X5261" s="1"/>
      <c r="Y5261" s="1"/>
      <c r="AA5261" s="102"/>
      <c r="AB5261" s="1"/>
      <c r="AC5261" s="1"/>
      <c r="AD5261" s="1"/>
      <c r="AE5261" s="1"/>
      <c r="AF5261" s="1"/>
      <c r="AG5261" s="1"/>
    </row>
    <row r="5262" ht="15.75" customHeight="1">
      <c r="A5262" s="1"/>
      <c r="B5262" s="1"/>
      <c r="C5262" s="1"/>
      <c r="D5262" s="1"/>
      <c r="E5262" s="1"/>
      <c r="F5262" s="1"/>
      <c r="G5262" s="1"/>
      <c r="H5262" s="1"/>
      <c r="I5262" s="1"/>
      <c r="J5262" s="1"/>
      <c r="K5262" s="102" t="s">
        <v>8234</v>
      </c>
      <c r="L5262" s="102" t="str">
        <f>K669</f>
        <v>J1a2b1b2b2a~</v>
      </c>
      <c r="M5262" s="102"/>
      <c r="N5262" s="102"/>
      <c r="O5262" s="105">
        <v>2.1255669E7</v>
      </c>
      <c r="P5262" s="105">
        <v>1.9093783E7</v>
      </c>
      <c r="Q5262" s="102" t="s">
        <v>2501</v>
      </c>
      <c r="S5262" s="1"/>
      <c r="T5262" s="1"/>
      <c r="U5262" s="1"/>
      <c r="V5262" s="1"/>
      <c r="W5262" s="1"/>
      <c r="X5262" s="1"/>
      <c r="Y5262" s="1"/>
      <c r="AA5262" s="102"/>
      <c r="AB5262" s="1"/>
      <c r="AC5262" s="1"/>
      <c r="AD5262" s="1"/>
      <c r="AE5262" s="1"/>
      <c r="AF5262" s="1"/>
      <c r="AG5262" s="1"/>
    </row>
    <row r="5263" ht="15.75" customHeight="1">
      <c r="A5263" s="1"/>
      <c r="B5263" s="1"/>
      <c r="C5263" s="1"/>
      <c r="D5263" s="1"/>
      <c r="E5263" s="1"/>
      <c r="F5263" s="1"/>
      <c r="G5263" s="1"/>
      <c r="H5263" s="1"/>
      <c r="I5263" s="1"/>
      <c r="J5263" s="1"/>
      <c r="K5263" s="102" t="s">
        <v>8235</v>
      </c>
      <c r="L5263" s="102" t="str">
        <f>K669</f>
        <v>J1a2b1b2b2a~</v>
      </c>
      <c r="M5263" s="102"/>
      <c r="N5263" s="102"/>
      <c r="O5263" s="105">
        <v>2.1562252E7</v>
      </c>
      <c r="P5263" s="105">
        <v>1.9400366E7</v>
      </c>
      <c r="Q5263" s="102" t="s">
        <v>2501</v>
      </c>
      <c r="S5263" s="1"/>
      <c r="T5263" s="1"/>
      <c r="U5263" s="1"/>
      <c r="V5263" s="1"/>
      <c r="W5263" s="1"/>
      <c r="X5263" s="1"/>
      <c r="Y5263" s="1"/>
      <c r="AA5263" s="102"/>
      <c r="AB5263" s="1"/>
      <c r="AC5263" s="1"/>
      <c r="AD5263" s="1"/>
      <c r="AE5263" s="1"/>
      <c r="AF5263" s="1"/>
      <c r="AG5263" s="1"/>
    </row>
    <row r="5264" ht="15.75" customHeight="1">
      <c r="A5264" s="1"/>
      <c r="B5264" s="1"/>
      <c r="C5264" s="1"/>
      <c r="D5264" s="1"/>
      <c r="E5264" s="1"/>
      <c r="F5264" s="1"/>
      <c r="G5264" s="1"/>
      <c r="H5264" s="1"/>
      <c r="I5264" s="1"/>
      <c r="J5264" s="1"/>
      <c r="K5264" s="102" t="s">
        <v>8236</v>
      </c>
      <c r="L5264" s="102" t="str">
        <f>K669</f>
        <v>J1a2b1b2b2a~</v>
      </c>
      <c r="M5264" s="102"/>
      <c r="N5264" s="102"/>
      <c r="O5264" s="105">
        <v>2.2581888E7</v>
      </c>
      <c r="P5264" s="105">
        <v>2.0420002E7</v>
      </c>
      <c r="Q5264" s="102" t="s">
        <v>2501</v>
      </c>
      <c r="S5264" s="1"/>
      <c r="T5264" s="1"/>
      <c r="U5264" s="1"/>
      <c r="V5264" s="1"/>
      <c r="W5264" s="1"/>
      <c r="X5264" s="1"/>
      <c r="Y5264" s="1"/>
      <c r="AA5264" s="102"/>
      <c r="AB5264" s="1"/>
      <c r="AC5264" s="1"/>
      <c r="AD5264" s="1"/>
      <c r="AE5264" s="1"/>
      <c r="AF5264" s="1"/>
      <c r="AG5264" s="1"/>
    </row>
    <row r="5265" ht="15.75" customHeight="1">
      <c r="A5265" s="1"/>
      <c r="B5265" s="1"/>
      <c r="C5265" s="1"/>
      <c r="D5265" s="1"/>
      <c r="E5265" s="1"/>
      <c r="F5265" s="1"/>
      <c r="G5265" s="1"/>
      <c r="H5265" s="1"/>
      <c r="I5265" s="1"/>
      <c r="J5265" s="1"/>
      <c r="K5265" s="102" t="s">
        <v>8237</v>
      </c>
      <c r="L5265" s="102" t="str">
        <f>K669</f>
        <v>J1a2b1b2b2a~</v>
      </c>
      <c r="M5265" s="102"/>
      <c r="N5265" s="102"/>
      <c r="O5265" s="105">
        <v>2.3421751E7</v>
      </c>
      <c r="P5265" s="105">
        <v>2.1259865E7</v>
      </c>
      <c r="Q5265" s="102" t="s">
        <v>2439</v>
      </c>
      <c r="S5265" s="1"/>
      <c r="T5265" s="1"/>
      <c r="U5265" s="1"/>
      <c r="V5265" s="1"/>
      <c r="W5265" s="1"/>
      <c r="X5265" s="1"/>
      <c r="Y5265" s="1"/>
      <c r="AA5265" s="102"/>
      <c r="AB5265" s="1"/>
      <c r="AC5265" s="1"/>
      <c r="AD5265" s="1"/>
      <c r="AE5265" s="1"/>
      <c r="AF5265" s="1"/>
      <c r="AG5265" s="1"/>
    </row>
    <row r="5266" ht="15.75" customHeight="1">
      <c r="A5266" s="1"/>
      <c r="B5266" s="1"/>
      <c r="C5266" s="1"/>
      <c r="D5266" s="1"/>
      <c r="E5266" s="1"/>
      <c r="F5266" s="1"/>
      <c r="G5266" s="1"/>
      <c r="H5266" s="1"/>
      <c r="I5266" s="1"/>
      <c r="J5266" s="1"/>
      <c r="K5266" s="102" t="s">
        <v>8238</v>
      </c>
      <c r="L5266" s="102" t="str">
        <f>K669</f>
        <v>J1a2b1b2b2a~</v>
      </c>
      <c r="M5266" s="102"/>
      <c r="N5266" s="102" t="s">
        <v>8239</v>
      </c>
      <c r="O5266" s="105">
        <v>2.4366733E7</v>
      </c>
      <c r="P5266" s="105">
        <v>2.2220586E7</v>
      </c>
      <c r="Q5266" s="102" t="s">
        <v>2468</v>
      </c>
      <c r="S5266" s="1"/>
      <c r="T5266" s="1"/>
      <c r="U5266" s="1"/>
      <c r="V5266" s="1"/>
      <c r="W5266" s="1"/>
      <c r="X5266" s="1"/>
      <c r="Y5266" s="1"/>
      <c r="AA5266" s="102"/>
      <c r="AB5266" s="1"/>
      <c r="AC5266" s="1"/>
      <c r="AD5266" s="1"/>
      <c r="AE5266" s="1"/>
      <c r="AF5266" s="1"/>
      <c r="AG5266" s="1"/>
    </row>
    <row r="5267" ht="15.75" customHeight="1">
      <c r="A5267" s="1"/>
      <c r="B5267" s="1"/>
      <c r="C5267" s="1"/>
      <c r="D5267" s="1"/>
      <c r="E5267" s="1"/>
      <c r="F5267" s="1"/>
      <c r="G5267" s="1"/>
      <c r="H5267" s="1"/>
      <c r="I5267" s="1"/>
      <c r="J5267" s="1"/>
      <c r="K5267" s="102" t="s">
        <v>8240</v>
      </c>
      <c r="L5267" s="102" t="str">
        <f>I670</f>
        <v>J1a2b1b2c~</v>
      </c>
      <c r="M5267" s="102"/>
      <c r="N5267" s="102" t="s">
        <v>8241</v>
      </c>
      <c r="O5267" s="105">
        <v>1.7340718E7</v>
      </c>
      <c r="P5267" s="105">
        <v>1.5228838E7</v>
      </c>
      <c r="Q5267" s="102" t="s">
        <v>2501</v>
      </c>
      <c r="S5267" s="1"/>
      <c r="T5267" s="1"/>
      <c r="U5267" s="1"/>
      <c r="V5267" s="1"/>
      <c r="W5267" s="1"/>
      <c r="X5267" s="1"/>
      <c r="Y5267" s="1"/>
      <c r="AA5267" s="102"/>
      <c r="AB5267" s="1"/>
      <c r="AC5267" s="1"/>
      <c r="AD5267" s="1"/>
      <c r="AE5267" s="1"/>
      <c r="AF5267" s="1"/>
      <c r="AG5267" s="1"/>
    </row>
    <row r="5268" ht="15.75" customHeight="1">
      <c r="A5268" s="1"/>
      <c r="B5268" s="1"/>
      <c r="C5268" s="1"/>
      <c r="D5268" s="1"/>
      <c r="E5268" s="1"/>
      <c r="F5268" s="1"/>
      <c r="G5268" s="1"/>
      <c r="H5268" s="1"/>
      <c r="I5268" s="1"/>
      <c r="J5268" s="1"/>
      <c r="K5268" s="102" t="s">
        <v>8242</v>
      </c>
      <c r="L5268" s="102" t="str">
        <f>I670</f>
        <v>J1a2b1b2c~</v>
      </c>
      <c r="M5268" s="102" t="s">
        <v>8243</v>
      </c>
      <c r="N5268" s="102"/>
      <c r="O5268" s="105">
        <v>9836810.0</v>
      </c>
      <c r="P5268" s="105">
        <v>9999201.0</v>
      </c>
      <c r="Q5268" s="102" t="s">
        <v>2576</v>
      </c>
      <c r="S5268" s="1"/>
      <c r="T5268" s="1"/>
      <c r="U5268" s="1"/>
      <c r="V5268" s="1"/>
      <c r="W5268" s="1"/>
      <c r="X5268" s="1"/>
      <c r="Y5268" s="1"/>
      <c r="AA5268" s="102"/>
      <c r="AB5268" s="1"/>
      <c r="AC5268" s="1"/>
      <c r="AD5268" s="1"/>
      <c r="AE5268" s="1"/>
      <c r="AF5268" s="1"/>
      <c r="AG5268" s="1"/>
    </row>
    <row r="5269" ht="15.75" customHeight="1">
      <c r="A5269" s="1"/>
      <c r="B5269" s="1"/>
      <c r="C5269" s="1"/>
      <c r="D5269" s="1"/>
      <c r="E5269" s="1"/>
      <c r="F5269" s="1"/>
      <c r="G5269" s="1"/>
      <c r="H5269" s="1"/>
      <c r="I5269" s="1"/>
      <c r="J5269" s="1"/>
      <c r="K5269" s="102" t="s">
        <v>8244</v>
      </c>
      <c r="L5269" s="102" t="str">
        <f>I670</f>
        <v>J1a2b1b2c~</v>
      </c>
      <c r="M5269" s="102" t="s">
        <v>8245</v>
      </c>
      <c r="N5269" s="102"/>
      <c r="O5269" s="105">
        <v>9836810.0</v>
      </c>
      <c r="P5269" s="105">
        <v>9999201.0</v>
      </c>
      <c r="Q5269" s="102" t="s">
        <v>2576</v>
      </c>
      <c r="S5269" s="1"/>
      <c r="T5269" s="1"/>
      <c r="U5269" s="1"/>
      <c r="V5269" s="1"/>
      <c r="W5269" s="1"/>
      <c r="X5269" s="1"/>
      <c r="Y5269" s="1"/>
      <c r="AA5269" s="102"/>
      <c r="AB5269" s="1"/>
      <c r="AC5269" s="1"/>
      <c r="AD5269" s="1"/>
      <c r="AE5269" s="1"/>
      <c r="AF5269" s="1"/>
      <c r="AG5269" s="1"/>
    </row>
    <row r="5270" ht="15.75" customHeight="1">
      <c r="A5270" s="1"/>
      <c r="B5270" s="1"/>
      <c r="C5270" s="1"/>
      <c r="D5270" s="1"/>
      <c r="E5270" s="1"/>
      <c r="F5270" s="1"/>
      <c r="G5270" s="1"/>
      <c r="H5270" s="1"/>
      <c r="I5270" s="1"/>
      <c r="J5270" s="1"/>
      <c r="K5270" s="102" t="s">
        <v>8246</v>
      </c>
      <c r="L5270" s="102" t="str">
        <f>I670</f>
        <v>J1a2b1b2c~</v>
      </c>
      <c r="M5270" s="102" t="s">
        <v>8247</v>
      </c>
      <c r="N5270" s="102"/>
      <c r="O5270" s="105">
        <v>9836810.0</v>
      </c>
      <c r="P5270" s="105">
        <v>9999201.0</v>
      </c>
      <c r="Q5270" s="102" t="s">
        <v>2576</v>
      </c>
      <c r="S5270" s="1"/>
      <c r="T5270" s="1"/>
      <c r="U5270" s="1"/>
      <c r="V5270" s="1"/>
      <c r="W5270" s="1"/>
      <c r="X5270" s="1"/>
      <c r="Y5270" s="1"/>
      <c r="AA5270" s="102"/>
      <c r="AB5270" s="1"/>
      <c r="AC5270" s="1"/>
      <c r="AD5270" s="1"/>
      <c r="AE5270" s="1"/>
      <c r="AF5270" s="1"/>
      <c r="AG5270" s="1"/>
    </row>
    <row r="5271" ht="15.75" customHeight="1">
      <c r="A5271" s="1"/>
      <c r="B5271" s="1"/>
      <c r="C5271" s="1"/>
      <c r="D5271" s="1"/>
      <c r="E5271" s="1"/>
      <c r="F5271" s="1"/>
      <c r="G5271" s="1"/>
      <c r="H5271" s="1"/>
      <c r="I5271" s="1"/>
      <c r="J5271" s="1"/>
      <c r="K5271" s="102" t="s">
        <v>8248</v>
      </c>
      <c r="L5271" s="102" t="str">
        <f>I670</f>
        <v>J1a2b1b2c~</v>
      </c>
      <c r="M5271" s="102" t="s">
        <v>8249</v>
      </c>
      <c r="N5271" s="102"/>
      <c r="O5271" s="105">
        <v>1.7254096E7</v>
      </c>
      <c r="P5271" s="105">
        <v>1.5142216E7</v>
      </c>
      <c r="Q5271" s="102" t="s">
        <v>2529</v>
      </c>
      <c r="S5271" s="1"/>
      <c r="T5271" s="1"/>
      <c r="U5271" s="1"/>
      <c r="V5271" s="1"/>
      <c r="W5271" s="1"/>
      <c r="X5271" s="1"/>
      <c r="Y5271" s="1"/>
      <c r="AA5271" s="102"/>
      <c r="AB5271" s="1"/>
      <c r="AC5271" s="1"/>
      <c r="AD5271" s="1"/>
      <c r="AE5271" s="1"/>
      <c r="AF5271" s="1"/>
      <c r="AG5271" s="1"/>
    </row>
    <row r="5272" ht="15.75" customHeight="1">
      <c r="A5272" s="1"/>
      <c r="B5272" s="1"/>
      <c r="C5272" s="1"/>
      <c r="D5272" s="1"/>
      <c r="E5272" s="1"/>
      <c r="F5272" s="1"/>
      <c r="G5272" s="1"/>
      <c r="H5272" s="1"/>
      <c r="I5272" s="1"/>
      <c r="J5272" s="1"/>
      <c r="K5272" s="102" t="s">
        <v>8250</v>
      </c>
      <c r="L5272" s="102" t="str">
        <f>I670</f>
        <v>J1a2b1b2c~</v>
      </c>
      <c r="M5272" s="102" t="s">
        <v>8251</v>
      </c>
      <c r="N5272" s="102"/>
      <c r="O5272" s="105">
        <v>1.7254096E7</v>
      </c>
      <c r="P5272" s="105">
        <v>1.5142216E7</v>
      </c>
      <c r="Q5272" s="102" t="s">
        <v>2529</v>
      </c>
      <c r="S5272" s="1"/>
      <c r="T5272" s="1"/>
      <c r="U5272" s="1"/>
      <c r="V5272" s="1"/>
      <c r="W5272" s="1"/>
      <c r="X5272" s="1"/>
      <c r="Y5272" s="1"/>
      <c r="AA5272" s="102"/>
      <c r="AB5272" s="1"/>
      <c r="AC5272" s="1"/>
      <c r="AD5272" s="1"/>
      <c r="AE5272" s="1"/>
      <c r="AF5272" s="1"/>
      <c r="AG5272" s="1"/>
    </row>
    <row r="5273" ht="15.75" customHeight="1">
      <c r="A5273" s="1"/>
      <c r="B5273" s="1"/>
      <c r="C5273" s="1"/>
      <c r="D5273" s="1"/>
      <c r="E5273" s="1"/>
      <c r="F5273" s="1"/>
      <c r="G5273" s="1"/>
      <c r="H5273" s="1"/>
      <c r="I5273" s="1"/>
      <c r="J5273" s="1"/>
      <c r="K5273" s="102" t="s">
        <v>8252</v>
      </c>
      <c r="L5273" s="102" t="str">
        <f>I670</f>
        <v>J1a2b1b2c~</v>
      </c>
      <c r="M5273" s="102" t="s">
        <v>8253</v>
      </c>
      <c r="N5273" s="102"/>
      <c r="O5273" s="105">
        <v>1.7254096E7</v>
      </c>
      <c r="P5273" s="105">
        <v>1.5142216E7</v>
      </c>
      <c r="Q5273" s="102" t="s">
        <v>2529</v>
      </c>
      <c r="S5273" s="1"/>
      <c r="T5273" s="1"/>
      <c r="U5273" s="1"/>
      <c r="V5273" s="1"/>
      <c r="W5273" s="1"/>
      <c r="X5273" s="1"/>
      <c r="Y5273" s="1"/>
      <c r="AA5273" s="102"/>
      <c r="AB5273" s="1"/>
      <c r="AC5273" s="1"/>
      <c r="AD5273" s="1"/>
      <c r="AE5273" s="1"/>
      <c r="AF5273" s="1"/>
      <c r="AG5273" s="1"/>
    </row>
    <row r="5274" ht="15.75" customHeight="1">
      <c r="A5274" s="1"/>
      <c r="B5274" s="1"/>
      <c r="C5274" s="1"/>
      <c r="D5274" s="1"/>
      <c r="E5274" s="1"/>
      <c r="F5274" s="1"/>
      <c r="G5274" s="1"/>
      <c r="H5274" s="1"/>
      <c r="I5274" s="1"/>
      <c r="J5274" s="1"/>
      <c r="K5274" s="102" t="s">
        <v>8254</v>
      </c>
      <c r="L5274" s="102" t="str">
        <f>J671</f>
        <v>J1a2b1b2c1~</v>
      </c>
      <c r="M5274" s="102" t="s">
        <v>8255</v>
      </c>
      <c r="N5274" s="102"/>
      <c r="O5274" s="105">
        <v>6774765.0</v>
      </c>
      <c r="P5274" s="105">
        <v>6906724.0</v>
      </c>
      <c r="Q5274" s="102" t="s">
        <v>2439</v>
      </c>
      <c r="S5274" s="1"/>
      <c r="T5274" s="1"/>
      <c r="U5274" s="1"/>
      <c r="V5274" s="1"/>
      <c r="W5274" s="1"/>
      <c r="X5274" s="1"/>
      <c r="Y5274" s="1"/>
      <c r="AA5274" s="102"/>
      <c r="AB5274" s="1"/>
      <c r="AC5274" s="1"/>
      <c r="AD5274" s="1"/>
      <c r="AE5274" s="1"/>
      <c r="AF5274" s="1"/>
      <c r="AG5274" s="1"/>
    </row>
    <row r="5275" ht="15.75" customHeight="1">
      <c r="A5275" s="1"/>
      <c r="B5275" s="1"/>
      <c r="C5275" s="1"/>
      <c r="D5275" s="1"/>
      <c r="E5275" s="1"/>
      <c r="F5275" s="1"/>
      <c r="G5275" s="1"/>
      <c r="H5275" s="1"/>
      <c r="I5275" s="1"/>
      <c r="J5275" s="1"/>
      <c r="K5275" s="102" t="s">
        <v>8256</v>
      </c>
      <c r="L5275" s="102" t="str">
        <f>J671</f>
        <v>J1a2b1b2c1~</v>
      </c>
      <c r="M5275" s="102" t="s">
        <v>8257</v>
      </c>
      <c r="N5275" s="102"/>
      <c r="O5275" s="105">
        <v>6774765.0</v>
      </c>
      <c r="P5275" s="105">
        <v>6906724.0</v>
      </c>
      <c r="Q5275" s="102" t="s">
        <v>2439</v>
      </c>
      <c r="S5275" s="1"/>
      <c r="T5275" s="1"/>
      <c r="U5275" s="1"/>
      <c r="V5275" s="1"/>
      <c r="W5275" s="1"/>
      <c r="X5275" s="1"/>
      <c r="Y5275" s="1"/>
      <c r="AA5275" s="102"/>
      <c r="AB5275" s="1"/>
      <c r="AC5275" s="1"/>
      <c r="AD5275" s="1"/>
      <c r="AE5275" s="1"/>
      <c r="AF5275" s="1"/>
      <c r="AG5275" s="1"/>
    </row>
    <row r="5276" ht="15.75" customHeight="1">
      <c r="A5276" s="1"/>
      <c r="B5276" s="1"/>
      <c r="C5276" s="1"/>
      <c r="D5276" s="1"/>
      <c r="E5276" s="1"/>
      <c r="F5276" s="1"/>
      <c r="G5276" s="1"/>
      <c r="H5276" s="1"/>
      <c r="I5276" s="1"/>
      <c r="J5276" s="1"/>
      <c r="K5276" s="102" t="s">
        <v>8258</v>
      </c>
      <c r="L5276" s="102" t="str">
        <f>J671</f>
        <v>J1a2b1b2c1~</v>
      </c>
      <c r="M5276" s="102" t="s">
        <v>8259</v>
      </c>
      <c r="N5276" s="102"/>
      <c r="O5276" s="105">
        <v>6774765.0</v>
      </c>
      <c r="P5276" s="105">
        <v>6906724.0</v>
      </c>
      <c r="Q5276" s="102" t="s">
        <v>2439</v>
      </c>
      <c r="S5276" s="1"/>
      <c r="T5276" s="1"/>
      <c r="U5276" s="1"/>
      <c r="V5276" s="1"/>
      <c r="W5276" s="1"/>
      <c r="X5276" s="1"/>
      <c r="Y5276" s="1"/>
      <c r="AA5276" s="102"/>
      <c r="AB5276" s="1"/>
      <c r="AC5276" s="1"/>
      <c r="AD5276" s="1"/>
      <c r="AE5276" s="1"/>
      <c r="AF5276" s="1"/>
      <c r="AG5276" s="1"/>
    </row>
    <row r="5277" ht="15.75" customHeight="1">
      <c r="A5277" s="1"/>
      <c r="B5277" s="1"/>
      <c r="C5277" s="1"/>
      <c r="D5277" s="1"/>
      <c r="E5277" s="1"/>
      <c r="F5277" s="1"/>
      <c r="G5277" s="1"/>
      <c r="H5277" s="1"/>
      <c r="I5277" s="1"/>
      <c r="J5277" s="1"/>
      <c r="K5277" s="102" t="s">
        <v>8260</v>
      </c>
      <c r="L5277" s="102" t="str">
        <f>J671</f>
        <v>J1a2b1b2c1~</v>
      </c>
      <c r="M5277" s="102" t="s">
        <v>8261</v>
      </c>
      <c r="N5277" s="102"/>
      <c r="O5277" s="105">
        <v>6774765.0</v>
      </c>
      <c r="P5277" s="105">
        <v>6906724.0</v>
      </c>
      <c r="Q5277" s="102" t="s">
        <v>2439</v>
      </c>
      <c r="S5277" s="1"/>
      <c r="T5277" s="1"/>
      <c r="U5277" s="1"/>
      <c r="V5277" s="1"/>
      <c r="W5277" s="1"/>
      <c r="X5277" s="1"/>
      <c r="Y5277" s="1"/>
      <c r="AA5277" s="102"/>
      <c r="AB5277" s="1"/>
      <c r="AC5277" s="1"/>
      <c r="AD5277" s="1"/>
      <c r="AE5277" s="1"/>
      <c r="AF5277" s="1"/>
      <c r="AG5277" s="1"/>
    </row>
    <row r="5278" ht="15.75" customHeight="1">
      <c r="A5278" s="1"/>
      <c r="B5278" s="1"/>
      <c r="C5278" s="1"/>
      <c r="D5278" s="1"/>
      <c r="E5278" s="1"/>
      <c r="F5278" s="1"/>
      <c r="G5278" s="1"/>
      <c r="H5278" s="1"/>
      <c r="I5278" s="1"/>
      <c r="J5278" s="1"/>
      <c r="K5278" s="102" t="s">
        <v>8262</v>
      </c>
      <c r="L5278" s="102" t="str">
        <f>J671</f>
        <v>J1a2b1b2c1~</v>
      </c>
      <c r="M5278" s="102" t="s">
        <v>8263</v>
      </c>
      <c r="N5278" s="102"/>
      <c r="O5278" s="105">
        <v>1.5661886E7</v>
      </c>
      <c r="P5278" s="105">
        <v>1.3550006E7</v>
      </c>
      <c r="Q5278" s="102" t="s">
        <v>2501</v>
      </c>
      <c r="S5278" s="1"/>
      <c r="T5278" s="1"/>
      <c r="U5278" s="1"/>
      <c r="V5278" s="1"/>
      <c r="W5278" s="1"/>
      <c r="X5278" s="1"/>
      <c r="Y5278" s="1"/>
      <c r="AA5278" s="102"/>
      <c r="AB5278" s="1"/>
      <c r="AC5278" s="1"/>
      <c r="AD5278" s="1"/>
      <c r="AE5278" s="1"/>
      <c r="AF5278" s="1"/>
      <c r="AG5278" s="1"/>
    </row>
    <row r="5279" ht="15.75" customHeight="1">
      <c r="A5279" s="1"/>
      <c r="B5279" s="1"/>
      <c r="C5279" s="1"/>
      <c r="D5279" s="1"/>
      <c r="E5279" s="1"/>
      <c r="F5279" s="1"/>
      <c r="G5279" s="1"/>
      <c r="H5279" s="1"/>
      <c r="I5279" s="1"/>
      <c r="J5279" s="1"/>
      <c r="K5279" s="102" t="s">
        <v>8264</v>
      </c>
      <c r="L5279" s="102" t="str">
        <f>J671</f>
        <v>J1a2b1b2c1~</v>
      </c>
      <c r="M5279" s="102" t="s">
        <v>8265</v>
      </c>
      <c r="N5279" s="102"/>
      <c r="O5279" s="105">
        <v>1.5661886E7</v>
      </c>
      <c r="P5279" s="105">
        <v>1.3550006E7</v>
      </c>
      <c r="Q5279" s="102" t="s">
        <v>2501</v>
      </c>
      <c r="S5279" s="1"/>
      <c r="T5279" s="1"/>
      <c r="U5279" s="1"/>
      <c r="V5279" s="1"/>
      <c r="W5279" s="1"/>
      <c r="X5279" s="1"/>
      <c r="Y5279" s="1"/>
      <c r="AA5279" s="102"/>
      <c r="AB5279" s="1"/>
      <c r="AC5279" s="1"/>
      <c r="AD5279" s="1"/>
      <c r="AE5279" s="1"/>
      <c r="AF5279" s="1"/>
      <c r="AG5279" s="1"/>
    </row>
    <row r="5280" ht="15.75" customHeight="1">
      <c r="A5280" s="1"/>
      <c r="B5280" s="1"/>
      <c r="C5280" s="1"/>
      <c r="D5280" s="1"/>
      <c r="E5280" s="1"/>
      <c r="F5280" s="1"/>
      <c r="G5280" s="1"/>
      <c r="H5280" s="1"/>
      <c r="I5280" s="1"/>
      <c r="J5280" s="1"/>
      <c r="K5280" s="102" t="s">
        <v>8266</v>
      </c>
      <c r="L5280" s="102" t="str">
        <f>J671</f>
        <v>J1a2b1b2c1~</v>
      </c>
      <c r="M5280" s="102" t="s">
        <v>8267</v>
      </c>
      <c r="N5280" s="102"/>
      <c r="O5280" s="105">
        <v>1.5661886E7</v>
      </c>
      <c r="P5280" s="105">
        <v>1.3550006E7</v>
      </c>
      <c r="Q5280" s="102" t="s">
        <v>2501</v>
      </c>
      <c r="S5280" s="1"/>
      <c r="T5280" s="1"/>
      <c r="U5280" s="1"/>
      <c r="V5280" s="1"/>
      <c r="W5280" s="1"/>
      <c r="X5280" s="1"/>
      <c r="Y5280" s="1"/>
      <c r="AA5280" s="102"/>
      <c r="AB5280" s="1"/>
      <c r="AC5280" s="1"/>
      <c r="AD5280" s="1"/>
      <c r="AE5280" s="1"/>
      <c r="AF5280" s="1"/>
      <c r="AG5280" s="1"/>
    </row>
    <row r="5281" ht="15.75" customHeight="1">
      <c r="A5281" s="1"/>
      <c r="B5281" s="1"/>
      <c r="C5281" s="1"/>
      <c r="D5281" s="1"/>
      <c r="E5281" s="1"/>
      <c r="F5281" s="1"/>
      <c r="G5281" s="1"/>
      <c r="H5281" s="1"/>
      <c r="I5281" s="1"/>
      <c r="J5281" s="1"/>
      <c r="K5281" s="102" t="s">
        <v>8268</v>
      </c>
      <c r="L5281" s="102" t="str">
        <f>J671</f>
        <v>J1a2b1b2c1~</v>
      </c>
      <c r="M5281" s="102" t="s">
        <v>8269</v>
      </c>
      <c r="N5281" s="102"/>
      <c r="O5281" s="105">
        <v>2.2975276E7</v>
      </c>
      <c r="P5281" s="105">
        <v>2.081339E7</v>
      </c>
      <c r="Q5281" s="102" t="s">
        <v>2439</v>
      </c>
      <c r="S5281" s="1"/>
      <c r="T5281" s="1"/>
      <c r="U5281" s="1"/>
      <c r="V5281" s="1"/>
      <c r="W5281" s="1"/>
      <c r="X5281" s="1"/>
      <c r="Y5281" s="1"/>
      <c r="AA5281" s="102"/>
      <c r="AB5281" s="1"/>
      <c r="AC5281" s="1"/>
      <c r="AD5281" s="1"/>
      <c r="AE5281" s="1"/>
      <c r="AF5281" s="1"/>
      <c r="AG5281" s="1"/>
    </row>
    <row r="5282" ht="15.75" customHeight="1">
      <c r="A5282" s="1"/>
      <c r="B5282" s="1"/>
      <c r="C5282" s="1"/>
      <c r="D5282" s="1"/>
      <c r="E5282" s="1"/>
      <c r="F5282" s="1"/>
      <c r="G5282" s="1"/>
      <c r="H5282" s="1"/>
      <c r="I5282" s="1"/>
      <c r="J5282" s="1"/>
      <c r="K5282" s="102" t="s">
        <v>8270</v>
      </c>
      <c r="L5282" s="102" t="str">
        <f>J671</f>
        <v>J1a2b1b2c1~</v>
      </c>
      <c r="M5282" s="102" t="s">
        <v>8271</v>
      </c>
      <c r="N5282" s="102"/>
      <c r="O5282" s="105">
        <v>2.2975276E7</v>
      </c>
      <c r="P5282" s="105">
        <v>2.081339E7</v>
      </c>
      <c r="Q5282" s="102" t="s">
        <v>2439</v>
      </c>
      <c r="S5282" s="1"/>
      <c r="T5282" s="1"/>
      <c r="U5282" s="1"/>
      <c r="V5282" s="1"/>
      <c r="W5282" s="1"/>
      <c r="X5282" s="1"/>
      <c r="Y5282" s="1"/>
      <c r="AA5282" s="102"/>
      <c r="AB5282" s="1"/>
      <c r="AC5282" s="1"/>
      <c r="AD5282" s="1"/>
      <c r="AE5282" s="1"/>
      <c r="AF5282" s="1"/>
      <c r="AG5282" s="1"/>
    </row>
    <row r="5283" ht="15.75" customHeight="1">
      <c r="A5283" s="1"/>
      <c r="B5283" s="1"/>
      <c r="C5283" s="1"/>
      <c r="D5283" s="1"/>
      <c r="E5283" s="1"/>
      <c r="F5283" s="1"/>
      <c r="G5283" s="1"/>
      <c r="H5283" s="1"/>
      <c r="I5283" s="1"/>
      <c r="J5283" s="1"/>
      <c r="K5283" s="102" t="s">
        <v>8272</v>
      </c>
      <c r="L5283" s="102" t="str">
        <f>J671</f>
        <v>J1a2b1b2c1~</v>
      </c>
      <c r="M5283" s="102" t="s">
        <v>8273</v>
      </c>
      <c r="N5283" s="102"/>
      <c r="O5283" s="105">
        <v>2.2975276E7</v>
      </c>
      <c r="P5283" s="105">
        <v>2.081339E7</v>
      </c>
      <c r="Q5283" s="102" t="s">
        <v>2439</v>
      </c>
      <c r="S5283" s="1"/>
      <c r="T5283" s="1"/>
      <c r="U5283" s="1"/>
      <c r="V5283" s="1"/>
      <c r="W5283" s="1"/>
      <c r="X5283" s="1"/>
      <c r="Y5283" s="1"/>
      <c r="AA5283" s="102"/>
      <c r="AB5283" s="1"/>
      <c r="AC5283" s="1"/>
      <c r="AD5283" s="1"/>
      <c r="AE5283" s="1"/>
      <c r="AF5283" s="1"/>
      <c r="AG5283" s="1"/>
    </row>
    <row r="5284" ht="15.75" customHeight="1">
      <c r="A5284" s="1"/>
      <c r="B5284" s="1"/>
      <c r="C5284" s="1"/>
      <c r="D5284" s="1"/>
      <c r="E5284" s="1"/>
      <c r="F5284" s="1"/>
      <c r="G5284" s="1"/>
      <c r="H5284" s="1"/>
      <c r="I5284" s="1"/>
      <c r="J5284" s="1"/>
      <c r="K5284" s="102" t="s">
        <v>8274</v>
      </c>
      <c r="L5284" s="102" t="str">
        <f>K672</f>
        <v>J1a2b1b2c1a~</v>
      </c>
      <c r="M5284" s="102"/>
      <c r="N5284" s="102"/>
      <c r="O5284" s="105">
        <v>7602769.0</v>
      </c>
      <c r="P5284" s="105">
        <v>7734728.0</v>
      </c>
      <c r="Q5284" s="102" t="s">
        <v>2529</v>
      </c>
      <c r="S5284" s="1"/>
      <c r="T5284" s="1"/>
      <c r="U5284" s="1"/>
      <c r="V5284" s="1"/>
      <c r="W5284" s="1"/>
      <c r="X5284" s="1"/>
      <c r="Y5284" s="1"/>
      <c r="AA5284" s="102"/>
      <c r="AB5284" s="1"/>
      <c r="AC5284" s="1"/>
      <c r="AD5284" s="1"/>
      <c r="AE5284" s="1"/>
      <c r="AF5284" s="1"/>
      <c r="AG5284" s="1"/>
    </row>
    <row r="5285" ht="15.75" customHeight="1">
      <c r="A5285" s="1"/>
      <c r="B5285" s="1"/>
      <c r="C5285" s="1"/>
      <c r="D5285" s="1"/>
      <c r="E5285" s="1"/>
      <c r="F5285" s="1"/>
      <c r="G5285" s="1"/>
      <c r="H5285" s="1"/>
      <c r="I5285" s="1"/>
      <c r="J5285" s="1"/>
      <c r="K5285" s="102" t="s">
        <v>8275</v>
      </c>
      <c r="L5285" s="102" t="str">
        <f>K672</f>
        <v>J1a2b1b2c1a~</v>
      </c>
      <c r="M5285" s="102"/>
      <c r="N5285" s="102"/>
      <c r="O5285" s="105">
        <v>2.2970319E7</v>
      </c>
      <c r="P5285" s="105">
        <v>2.0808433E7</v>
      </c>
      <c r="Q5285" s="102" t="s">
        <v>2501</v>
      </c>
      <c r="S5285" s="1"/>
      <c r="T5285" s="1"/>
      <c r="U5285" s="1"/>
      <c r="V5285" s="1"/>
      <c r="W5285" s="1"/>
      <c r="X5285" s="1"/>
      <c r="Y5285" s="1"/>
      <c r="AA5285" s="102"/>
      <c r="AB5285" s="1"/>
      <c r="AC5285" s="1"/>
      <c r="AD5285" s="1"/>
      <c r="AE5285" s="1"/>
      <c r="AF5285" s="1"/>
      <c r="AG5285" s="1"/>
    </row>
    <row r="5286" ht="15.75" customHeight="1">
      <c r="A5286" s="1"/>
      <c r="B5286" s="1"/>
      <c r="C5286" s="1"/>
      <c r="D5286" s="1"/>
      <c r="E5286" s="1"/>
      <c r="F5286" s="1"/>
      <c r="G5286" s="1"/>
      <c r="H5286" s="1"/>
      <c r="I5286" s="1"/>
      <c r="J5286" s="1"/>
      <c r="K5286" s="102" t="s">
        <v>1313</v>
      </c>
      <c r="L5286" s="102" t="str">
        <f>L673</f>
        <v>J1a2b1b2c1a1~</v>
      </c>
      <c r="M5286" s="102"/>
      <c r="N5286" s="102"/>
      <c r="O5286" s="105">
        <v>2.301194E7</v>
      </c>
      <c r="P5286" s="105">
        <v>2.0850054E7</v>
      </c>
      <c r="Q5286" s="102" t="s">
        <v>2501</v>
      </c>
      <c r="S5286" s="1"/>
      <c r="T5286" s="1"/>
      <c r="U5286" s="1"/>
      <c r="V5286" s="1"/>
      <c r="W5286" s="1"/>
      <c r="X5286" s="1"/>
      <c r="Y5286" s="1"/>
      <c r="AA5286" s="102"/>
      <c r="AB5286" s="1"/>
      <c r="AC5286" s="1"/>
      <c r="AD5286" s="1"/>
      <c r="AE5286" s="1"/>
      <c r="AF5286" s="1"/>
      <c r="AG5286" s="1"/>
    </row>
    <row r="5287" ht="15.75" customHeight="1">
      <c r="A5287" s="1"/>
      <c r="B5287" s="1"/>
      <c r="C5287" s="1"/>
      <c r="D5287" s="1"/>
      <c r="E5287" s="1"/>
      <c r="F5287" s="1"/>
      <c r="G5287" s="1"/>
      <c r="H5287" s="1"/>
      <c r="I5287" s="1"/>
      <c r="J5287" s="1"/>
      <c r="K5287" s="106" t="s">
        <v>8276</v>
      </c>
      <c r="L5287" s="102" t="str">
        <f>M674</f>
        <v>J1a2b1b2c1a1a~</v>
      </c>
      <c r="M5287" s="102"/>
      <c r="N5287" s="102"/>
      <c r="O5287" s="105">
        <v>8571217.0</v>
      </c>
      <c r="P5287" s="105">
        <v>8703176.0</v>
      </c>
      <c r="Q5287" s="102" t="s">
        <v>2501</v>
      </c>
      <c r="S5287" s="1"/>
      <c r="T5287" s="1"/>
      <c r="U5287" s="1"/>
      <c r="V5287" s="1"/>
      <c r="W5287" s="1"/>
      <c r="X5287" s="1"/>
      <c r="Y5287" s="1"/>
      <c r="AA5287" s="102"/>
      <c r="AB5287" s="1"/>
      <c r="AC5287" s="1"/>
      <c r="AD5287" s="1"/>
      <c r="AE5287" s="1"/>
      <c r="AF5287" s="1"/>
      <c r="AG5287" s="1"/>
    </row>
    <row r="5288" ht="15.75" customHeight="1">
      <c r="A5288" s="1"/>
      <c r="B5288" s="1"/>
      <c r="C5288" s="1"/>
      <c r="D5288" s="1"/>
      <c r="E5288" s="1"/>
      <c r="F5288" s="1"/>
      <c r="G5288" s="1"/>
      <c r="H5288" s="1"/>
      <c r="I5288" s="1"/>
      <c r="J5288" s="1"/>
      <c r="K5288" s="102" t="s">
        <v>8277</v>
      </c>
      <c r="L5288" s="102" t="str">
        <f>M674</f>
        <v>J1a2b1b2c1a1a~</v>
      </c>
      <c r="M5288" s="102"/>
      <c r="N5288" s="102"/>
      <c r="O5288" s="105">
        <v>8444460.0</v>
      </c>
      <c r="P5288" s="105">
        <v>8576419.0</v>
      </c>
      <c r="Q5288" s="102" t="s">
        <v>2576</v>
      </c>
      <c r="S5288" s="1"/>
      <c r="T5288" s="1"/>
      <c r="U5288" s="1"/>
      <c r="V5288" s="1"/>
      <c r="W5288" s="1"/>
      <c r="X5288" s="1"/>
      <c r="Y5288" s="1"/>
      <c r="AA5288" s="102"/>
      <c r="AB5288" s="1"/>
      <c r="AC5288" s="1"/>
      <c r="AD5288" s="1"/>
      <c r="AE5288" s="1"/>
      <c r="AF5288" s="1"/>
      <c r="AG5288" s="1"/>
    </row>
    <row r="5289" ht="15.75" customHeight="1">
      <c r="A5289" s="1"/>
      <c r="B5289" s="1"/>
      <c r="C5289" s="1"/>
      <c r="D5289" s="1"/>
      <c r="E5289" s="1"/>
      <c r="F5289" s="1"/>
      <c r="G5289" s="1"/>
      <c r="H5289" s="1"/>
      <c r="I5289" s="1"/>
      <c r="J5289" s="1"/>
      <c r="K5289" s="102" t="s">
        <v>8278</v>
      </c>
      <c r="L5289" s="102" t="str">
        <f>M674</f>
        <v>J1a2b1b2c1a1a~</v>
      </c>
      <c r="M5289" s="102"/>
      <c r="N5289" s="102"/>
      <c r="O5289" s="105">
        <v>1.6386065E7</v>
      </c>
      <c r="P5289" s="105">
        <v>1.4274185E7</v>
      </c>
      <c r="Q5289" s="102" t="s">
        <v>2529</v>
      </c>
      <c r="S5289" s="1"/>
      <c r="T5289" s="1"/>
      <c r="U5289" s="1"/>
      <c r="V5289" s="1"/>
      <c r="W5289" s="1"/>
      <c r="X5289" s="1"/>
      <c r="Y5289" s="1"/>
      <c r="AA5289" s="102"/>
      <c r="AB5289" s="1"/>
      <c r="AC5289" s="1"/>
      <c r="AD5289" s="1"/>
      <c r="AE5289" s="1"/>
      <c r="AF5289" s="1"/>
      <c r="AG5289" s="1"/>
    </row>
    <row r="5290" ht="15.75" customHeight="1">
      <c r="A5290" s="1"/>
      <c r="B5290" s="1"/>
      <c r="C5290" s="1"/>
      <c r="D5290" s="1"/>
      <c r="E5290" s="1"/>
      <c r="F5290" s="1"/>
      <c r="G5290" s="1"/>
      <c r="H5290" s="1"/>
      <c r="I5290" s="1"/>
      <c r="J5290" s="1"/>
      <c r="K5290" s="102" t="s">
        <v>8279</v>
      </c>
      <c r="L5290" s="102" t="str">
        <f>M674</f>
        <v>J1a2b1b2c1a1a~</v>
      </c>
      <c r="M5290" s="102"/>
      <c r="N5290" s="102"/>
      <c r="O5290" s="105">
        <v>2.1545734E7</v>
      </c>
      <c r="P5290" s="105">
        <v>1.9383848E7</v>
      </c>
      <c r="Q5290" s="102" t="s">
        <v>2533</v>
      </c>
      <c r="S5290" s="1"/>
      <c r="T5290" s="1"/>
      <c r="U5290" s="1"/>
      <c r="V5290" s="1"/>
      <c r="W5290" s="1"/>
      <c r="X5290" s="1"/>
      <c r="Y5290" s="1"/>
      <c r="AA5290" s="102"/>
      <c r="AB5290" s="1"/>
      <c r="AC5290" s="1"/>
      <c r="AD5290" s="1"/>
      <c r="AE5290" s="1"/>
      <c r="AF5290" s="1"/>
      <c r="AG5290" s="1"/>
    </row>
    <row r="5291" ht="15.75" customHeight="1">
      <c r="A5291" s="1"/>
      <c r="B5291" s="1"/>
      <c r="C5291" s="1"/>
      <c r="D5291" s="1"/>
      <c r="E5291" s="1"/>
      <c r="F5291" s="1"/>
      <c r="G5291" s="1"/>
      <c r="H5291" s="1"/>
      <c r="I5291" s="1"/>
      <c r="J5291" s="1"/>
      <c r="K5291" s="102" t="s">
        <v>8280</v>
      </c>
      <c r="L5291" s="102" t="str">
        <f>M674</f>
        <v>J1a2b1b2c1a1a~</v>
      </c>
      <c r="M5291" s="102"/>
      <c r="N5291" s="102"/>
      <c r="O5291" s="105">
        <v>2.3554022E7</v>
      </c>
      <c r="P5291" s="105">
        <v>2.1392136E7</v>
      </c>
      <c r="Q5291" s="102" t="s">
        <v>2529</v>
      </c>
      <c r="S5291" s="1"/>
      <c r="T5291" s="1"/>
      <c r="U5291" s="1"/>
      <c r="V5291" s="1"/>
      <c r="W5291" s="1"/>
      <c r="X5291" s="1"/>
      <c r="Y5291" s="1"/>
      <c r="AA5291" s="102"/>
      <c r="AB5291" s="1"/>
      <c r="AC5291" s="1"/>
      <c r="AD5291" s="1"/>
      <c r="AE5291" s="1"/>
      <c r="AF5291" s="1"/>
      <c r="AG5291" s="1"/>
    </row>
    <row r="5292" ht="15.75" customHeight="1">
      <c r="A5292" s="1"/>
      <c r="B5292" s="1"/>
      <c r="C5292" s="1"/>
      <c r="D5292" s="1"/>
      <c r="E5292" s="1"/>
      <c r="F5292" s="1"/>
      <c r="G5292" s="1"/>
      <c r="H5292" s="1"/>
      <c r="I5292" s="1"/>
      <c r="J5292" s="1"/>
      <c r="K5292" s="102" t="s">
        <v>8281</v>
      </c>
      <c r="L5292" s="102" t="str">
        <f>M674</f>
        <v>J1a2b1b2c1a1a~</v>
      </c>
      <c r="M5292" s="102"/>
      <c r="N5292" s="102"/>
      <c r="O5292" s="105">
        <v>1.4887237E7</v>
      </c>
      <c r="P5292" s="105">
        <v>1.2775303E7</v>
      </c>
      <c r="Q5292" s="102" t="s">
        <v>2432</v>
      </c>
      <c r="S5292" s="1"/>
      <c r="T5292" s="1"/>
      <c r="U5292" s="1"/>
      <c r="V5292" s="1"/>
      <c r="W5292" s="1"/>
      <c r="X5292" s="1"/>
      <c r="Y5292" s="1"/>
      <c r="AA5292" s="102"/>
      <c r="AB5292" s="1"/>
      <c r="AC5292" s="1"/>
      <c r="AD5292" s="1"/>
      <c r="AE5292" s="1"/>
      <c r="AF5292" s="1"/>
      <c r="AG5292" s="1"/>
    </row>
    <row r="5293" ht="15.75" customHeight="1">
      <c r="A5293" s="1"/>
      <c r="B5293" s="1"/>
      <c r="C5293" s="1"/>
      <c r="D5293" s="1"/>
      <c r="E5293" s="1"/>
      <c r="F5293" s="1"/>
      <c r="G5293" s="1"/>
      <c r="H5293" s="1"/>
      <c r="I5293" s="1"/>
      <c r="J5293" s="1"/>
      <c r="K5293" s="102" t="s">
        <v>8282</v>
      </c>
      <c r="L5293" s="102" t="str">
        <f>M674</f>
        <v>J1a2b1b2c1a1a~</v>
      </c>
      <c r="M5293" s="102"/>
      <c r="N5293" s="102"/>
      <c r="O5293" s="105">
        <v>1.7934883E7</v>
      </c>
      <c r="P5293" s="105">
        <v>1.5823003E7</v>
      </c>
      <c r="Q5293" s="102" t="s">
        <v>2514</v>
      </c>
      <c r="S5293" s="1"/>
      <c r="T5293" s="1"/>
      <c r="U5293" s="1"/>
      <c r="V5293" s="1"/>
      <c r="W5293" s="1"/>
      <c r="X5293" s="1"/>
      <c r="Y5293" s="1"/>
      <c r="AA5293" s="102"/>
      <c r="AB5293" s="1"/>
      <c r="AC5293" s="1"/>
      <c r="AD5293" s="1"/>
      <c r="AE5293" s="1"/>
      <c r="AF5293" s="1"/>
      <c r="AG5293" s="1"/>
    </row>
    <row r="5294" ht="15.75" customHeight="1">
      <c r="A5294" s="1"/>
      <c r="B5294" s="1"/>
      <c r="C5294" s="1"/>
      <c r="D5294" s="1"/>
      <c r="E5294" s="1"/>
      <c r="F5294" s="1"/>
      <c r="G5294" s="1"/>
      <c r="H5294" s="1"/>
      <c r="I5294" s="1"/>
      <c r="J5294" s="1"/>
      <c r="K5294" s="102" t="s">
        <v>8283</v>
      </c>
      <c r="L5294" s="102" t="str">
        <f>M674</f>
        <v>J1a2b1b2c1a1a~</v>
      </c>
      <c r="M5294" s="102"/>
      <c r="N5294" s="102"/>
      <c r="O5294" s="105">
        <v>2.1470756E7</v>
      </c>
      <c r="P5294" s="105">
        <v>1.930887E7</v>
      </c>
      <c r="Q5294" s="102" t="s">
        <v>2529</v>
      </c>
      <c r="S5294" s="1"/>
      <c r="T5294" s="1"/>
      <c r="U5294" s="1"/>
      <c r="V5294" s="1"/>
      <c r="W5294" s="1"/>
      <c r="X5294" s="1"/>
      <c r="Y5294" s="1"/>
      <c r="AA5294" s="102"/>
      <c r="AB5294" s="1"/>
      <c r="AC5294" s="1"/>
      <c r="AD5294" s="1"/>
      <c r="AE5294" s="1"/>
      <c r="AF5294" s="1"/>
      <c r="AG5294" s="1"/>
    </row>
    <row r="5295" ht="15.75" customHeight="1">
      <c r="A5295" s="1"/>
      <c r="B5295" s="1"/>
      <c r="C5295" s="1"/>
      <c r="D5295" s="1"/>
      <c r="E5295" s="1"/>
      <c r="F5295" s="1"/>
      <c r="G5295" s="1"/>
      <c r="H5295" s="1"/>
      <c r="I5295" s="1"/>
      <c r="J5295" s="1"/>
      <c r="K5295" s="102" t="s">
        <v>8284</v>
      </c>
      <c r="L5295" s="102" t="str">
        <f>M674</f>
        <v>J1a2b1b2c1a1a~</v>
      </c>
      <c r="M5295" s="102"/>
      <c r="N5295" s="102"/>
      <c r="O5295" s="105">
        <v>2.2023886E7</v>
      </c>
      <c r="P5295" s="105">
        <v>1.9862E7</v>
      </c>
      <c r="Q5295" s="102" t="s">
        <v>2446</v>
      </c>
      <c r="S5295" s="1"/>
      <c r="T5295" s="1"/>
      <c r="U5295" s="1"/>
      <c r="V5295" s="1"/>
      <c r="W5295" s="1"/>
      <c r="X5295" s="1"/>
      <c r="Y5295" s="1"/>
      <c r="AA5295" s="102"/>
      <c r="AB5295" s="1"/>
      <c r="AC5295" s="1"/>
      <c r="AD5295" s="1"/>
      <c r="AE5295" s="1"/>
      <c r="AF5295" s="1"/>
      <c r="AG5295" s="1"/>
    </row>
    <row r="5296" ht="15.75" customHeight="1">
      <c r="A5296" s="1"/>
      <c r="B5296" s="1"/>
      <c r="C5296" s="1"/>
      <c r="D5296" s="1"/>
      <c r="E5296" s="1"/>
      <c r="F5296" s="1"/>
      <c r="G5296" s="1"/>
      <c r="H5296" s="1"/>
      <c r="I5296" s="1"/>
      <c r="J5296" s="1"/>
      <c r="K5296" s="102" t="s">
        <v>8285</v>
      </c>
      <c r="L5296" s="102" t="str">
        <f>M674</f>
        <v>J1a2b1b2c1a1a~</v>
      </c>
      <c r="M5296" s="102"/>
      <c r="N5296" s="102"/>
      <c r="O5296" s="105">
        <v>2.3554023E7</v>
      </c>
      <c r="P5296" s="105">
        <v>2.1392137E7</v>
      </c>
      <c r="Q5296" s="102" t="s">
        <v>2446</v>
      </c>
      <c r="S5296" s="1"/>
      <c r="T5296" s="1"/>
      <c r="U5296" s="1"/>
      <c r="V5296" s="1"/>
      <c r="W5296" s="1"/>
      <c r="X5296" s="1"/>
      <c r="Y5296" s="1"/>
      <c r="AA5296" s="102"/>
      <c r="AB5296" s="1"/>
      <c r="AC5296" s="1"/>
      <c r="AD5296" s="1"/>
      <c r="AE5296" s="1"/>
      <c r="AF5296" s="1"/>
      <c r="AG5296" s="1"/>
    </row>
    <row r="5297" ht="15.75" customHeight="1">
      <c r="A5297" s="1"/>
      <c r="B5297" s="1"/>
      <c r="C5297" s="1"/>
      <c r="D5297" s="1"/>
      <c r="E5297" s="1"/>
      <c r="F5297" s="1"/>
      <c r="G5297" s="1"/>
      <c r="H5297" s="1"/>
      <c r="I5297" s="1"/>
      <c r="J5297" s="1"/>
      <c r="K5297" s="102" t="s">
        <v>8286</v>
      </c>
      <c r="L5297" s="102" t="str">
        <f>M674</f>
        <v>J1a2b1b2c1a1a~</v>
      </c>
      <c r="M5297" s="102"/>
      <c r="N5297" s="102"/>
      <c r="O5297" s="105">
        <v>1.8833864E7</v>
      </c>
      <c r="P5297" s="105">
        <v>1.6721984E7</v>
      </c>
      <c r="Q5297" s="102" t="s">
        <v>2454</v>
      </c>
      <c r="S5297" s="1"/>
      <c r="T5297" s="1"/>
      <c r="U5297" s="1"/>
      <c r="V5297" s="1"/>
      <c r="W5297" s="1"/>
      <c r="X5297" s="1"/>
      <c r="Y5297" s="1"/>
      <c r="AA5297" s="102"/>
      <c r="AB5297" s="1"/>
      <c r="AC5297" s="1"/>
      <c r="AD5297" s="1"/>
      <c r="AE5297" s="1"/>
      <c r="AF5297" s="1"/>
      <c r="AG5297" s="1"/>
    </row>
    <row r="5298" ht="15.75" customHeight="1">
      <c r="A5298" s="1"/>
      <c r="B5298" s="1"/>
      <c r="C5298" s="1"/>
      <c r="D5298" s="1"/>
      <c r="E5298" s="1"/>
      <c r="F5298" s="1"/>
      <c r="G5298" s="1"/>
      <c r="H5298" s="1"/>
      <c r="I5298" s="1"/>
      <c r="J5298" s="1"/>
      <c r="K5298" s="102" t="s">
        <v>8287</v>
      </c>
      <c r="L5298" s="102" t="str">
        <f>M674</f>
        <v>J1a2b1b2c1a1a~</v>
      </c>
      <c r="M5298" s="102"/>
      <c r="N5298" s="102"/>
      <c r="O5298" s="105">
        <v>2.1596111E7</v>
      </c>
      <c r="P5298" s="105">
        <v>1.9434225E7</v>
      </c>
      <c r="Q5298" s="102" t="s">
        <v>2468</v>
      </c>
      <c r="S5298" s="1"/>
      <c r="T5298" s="1"/>
      <c r="U5298" s="1"/>
      <c r="V5298" s="1"/>
      <c r="W5298" s="1"/>
      <c r="X5298" s="1"/>
      <c r="Y5298" s="1"/>
      <c r="AA5298" s="102"/>
      <c r="AB5298" s="1"/>
      <c r="AC5298" s="1"/>
      <c r="AD5298" s="1"/>
      <c r="AE5298" s="1"/>
      <c r="AF5298" s="1"/>
      <c r="AG5298" s="1"/>
    </row>
    <row r="5299" ht="15.75" customHeight="1">
      <c r="A5299" s="1"/>
      <c r="B5299" s="1"/>
      <c r="C5299" s="1"/>
      <c r="D5299" s="1"/>
      <c r="E5299" s="1"/>
      <c r="F5299" s="1"/>
      <c r="G5299" s="1"/>
      <c r="H5299" s="1"/>
      <c r="I5299" s="1"/>
      <c r="J5299" s="1"/>
      <c r="K5299" s="102" t="s">
        <v>1317</v>
      </c>
      <c r="L5299" s="102" t="str">
        <f>L675</f>
        <v>J1a2b1b2c1a2~</v>
      </c>
      <c r="M5299" s="102"/>
      <c r="N5299" s="102"/>
      <c r="O5299" s="105">
        <v>2.145445E7</v>
      </c>
      <c r="P5299" s="105">
        <v>1.9292564E7</v>
      </c>
      <c r="Q5299" s="102" t="s">
        <v>2439</v>
      </c>
      <c r="S5299" s="1"/>
      <c r="T5299" s="1"/>
      <c r="U5299" s="1"/>
      <c r="V5299" s="1"/>
      <c r="W5299" s="1"/>
      <c r="X5299" s="1"/>
      <c r="Y5299" s="1"/>
      <c r="AA5299" s="102"/>
      <c r="AB5299" s="1"/>
      <c r="AC5299" s="1"/>
      <c r="AD5299" s="1"/>
      <c r="AE5299" s="1"/>
      <c r="AF5299" s="1"/>
      <c r="AG5299" s="1"/>
    </row>
    <row r="5300" ht="15.75" customHeight="1">
      <c r="A5300" s="1"/>
      <c r="B5300" s="1"/>
      <c r="C5300" s="1"/>
      <c r="D5300" s="1"/>
      <c r="E5300" s="1"/>
      <c r="F5300" s="1"/>
      <c r="G5300" s="1"/>
      <c r="H5300" s="1"/>
      <c r="I5300" s="1"/>
      <c r="J5300" s="1"/>
      <c r="K5300" s="102" t="s">
        <v>8288</v>
      </c>
      <c r="L5300" s="102" t="str">
        <f>M676</f>
        <v>J1a2b1b2c1a2a~</v>
      </c>
      <c r="M5300" s="102"/>
      <c r="N5300" s="102"/>
      <c r="O5300" s="105">
        <v>7914960.0</v>
      </c>
      <c r="P5300" s="105">
        <v>8046919.0</v>
      </c>
      <c r="Q5300" s="102" t="s">
        <v>2468</v>
      </c>
      <c r="S5300" s="1"/>
      <c r="T5300" s="1"/>
      <c r="U5300" s="1"/>
      <c r="V5300" s="1"/>
      <c r="W5300" s="1"/>
      <c r="X5300" s="1"/>
      <c r="Y5300" s="1"/>
      <c r="AA5300" s="102"/>
      <c r="AB5300" s="1"/>
      <c r="AC5300" s="1"/>
      <c r="AD5300" s="1"/>
      <c r="AE5300" s="1"/>
      <c r="AF5300" s="1"/>
      <c r="AG5300" s="1"/>
    </row>
    <row r="5301" ht="15.75" customHeight="1">
      <c r="A5301" s="1"/>
      <c r="B5301" s="1"/>
      <c r="C5301" s="1"/>
      <c r="D5301" s="1"/>
      <c r="E5301" s="1"/>
      <c r="F5301" s="1"/>
      <c r="G5301" s="1"/>
      <c r="H5301" s="1"/>
      <c r="I5301" s="1"/>
      <c r="J5301" s="1"/>
      <c r="K5301" s="102" t="s">
        <v>8289</v>
      </c>
      <c r="L5301" s="102" t="str">
        <f>M676</f>
        <v>J1a2b1b2c1a2a~</v>
      </c>
      <c r="M5301" s="102"/>
      <c r="N5301" s="102"/>
      <c r="O5301" s="105">
        <v>1.3997026E7</v>
      </c>
      <c r="P5301" s="105">
        <v>1.187632E7</v>
      </c>
      <c r="Q5301" s="102" t="s">
        <v>2501</v>
      </c>
      <c r="S5301" s="1"/>
      <c r="T5301" s="1"/>
      <c r="U5301" s="1"/>
      <c r="V5301" s="1"/>
      <c r="W5301" s="1"/>
      <c r="X5301" s="1"/>
      <c r="Y5301" s="1"/>
      <c r="AA5301" s="102"/>
      <c r="AB5301" s="1"/>
      <c r="AC5301" s="1"/>
      <c r="AD5301" s="1"/>
      <c r="AE5301" s="1"/>
      <c r="AF5301" s="1"/>
      <c r="AG5301" s="1"/>
    </row>
    <row r="5302" ht="15.75" customHeight="1">
      <c r="A5302" s="1"/>
      <c r="B5302" s="1"/>
      <c r="C5302" s="1"/>
      <c r="D5302" s="1"/>
      <c r="E5302" s="1"/>
      <c r="F5302" s="1"/>
      <c r="G5302" s="1"/>
      <c r="H5302" s="1"/>
      <c r="I5302" s="1"/>
      <c r="J5302" s="1"/>
      <c r="K5302" s="102" t="s">
        <v>8290</v>
      </c>
      <c r="L5302" s="102" t="str">
        <f>M676</f>
        <v>J1a2b1b2c1a2a~</v>
      </c>
      <c r="M5302" s="102"/>
      <c r="N5302" s="102"/>
      <c r="O5302" s="105">
        <v>1.4309112E7</v>
      </c>
      <c r="P5302" s="105">
        <v>1.2188406E7</v>
      </c>
      <c r="Q5302" s="102" t="s">
        <v>2468</v>
      </c>
      <c r="S5302" s="1"/>
      <c r="T5302" s="1"/>
      <c r="U5302" s="1"/>
      <c r="V5302" s="1"/>
      <c r="W5302" s="1"/>
      <c r="X5302" s="1"/>
      <c r="Y5302" s="1"/>
      <c r="AA5302" s="102"/>
      <c r="AB5302" s="1"/>
      <c r="AC5302" s="1"/>
      <c r="AD5302" s="1"/>
      <c r="AE5302" s="1"/>
      <c r="AF5302" s="1"/>
      <c r="AG5302" s="1"/>
    </row>
    <row r="5303" ht="15.75" customHeight="1">
      <c r="A5303" s="1"/>
      <c r="B5303" s="1"/>
      <c r="C5303" s="1"/>
      <c r="D5303" s="1"/>
      <c r="E5303" s="1"/>
      <c r="F5303" s="1"/>
      <c r="G5303" s="1"/>
      <c r="H5303" s="1"/>
      <c r="I5303" s="1"/>
      <c r="J5303" s="1"/>
      <c r="K5303" s="102" t="s">
        <v>8291</v>
      </c>
      <c r="L5303" s="102" t="str">
        <f>M676</f>
        <v>J1a2b1b2c1a2a~</v>
      </c>
      <c r="M5303" s="102"/>
      <c r="N5303" s="102"/>
      <c r="O5303" s="105">
        <v>1.498073E7</v>
      </c>
      <c r="P5303" s="105">
        <v>1.2868806E7</v>
      </c>
      <c r="Q5303" s="102" t="s">
        <v>2533</v>
      </c>
      <c r="S5303" s="1"/>
      <c r="T5303" s="1"/>
      <c r="U5303" s="1"/>
      <c r="V5303" s="1"/>
      <c r="W5303" s="1"/>
      <c r="X5303" s="1"/>
      <c r="Y5303" s="1"/>
      <c r="AA5303" s="102"/>
      <c r="AB5303" s="1"/>
      <c r="AC5303" s="1"/>
      <c r="AD5303" s="1"/>
      <c r="AE5303" s="1"/>
      <c r="AF5303" s="1"/>
      <c r="AG5303" s="1"/>
    </row>
    <row r="5304" ht="15.75" customHeight="1">
      <c r="A5304" s="1"/>
      <c r="B5304" s="1"/>
      <c r="C5304" s="1"/>
      <c r="D5304" s="1"/>
      <c r="E5304" s="1"/>
      <c r="F5304" s="1"/>
      <c r="G5304" s="1"/>
      <c r="H5304" s="1"/>
      <c r="I5304" s="1"/>
      <c r="J5304" s="1"/>
      <c r="K5304" s="102" t="s">
        <v>8292</v>
      </c>
      <c r="L5304" s="102" t="str">
        <f>M676</f>
        <v>J1a2b1b2c1a2a~</v>
      </c>
      <c r="M5304" s="102"/>
      <c r="N5304" s="102"/>
      <c r="O5304" s="105">
        <v>1.6863963E7</v>
      </c>
      <c r="P5304" s="105">
        <v>1.4752083E7</v>
      </c>
      <c r="Q5304" s="102" t="s">
        <v>2432</v>
      </c>
      <c r="S5304" s="1"/>
      <c r="T5304" s="1"/>
      <c r="U5304" s="1"/>
      <c r="V5304" s="1"/>
      <c r="W5304" s="1"/>
      <c r="X5304" s="1"/>
      <c r="Y5304" s="1"/>
      <c r="AA5304" s="102"/>
      <c r="AB5304" s="1"/>
      <c r="AC5304" s="1"/>
      <c r="AD5304" s="1"/>
      <c r="AE5304" s="1"/>
      <c r="AF5304" s="1"/>
      <c r="AG5304" s="1"/>
    </row>
    <row r="5305" ht="15.75" customHeight="1">
      <c r="A5305" s="1"/>
      <c r="B5305" s="1"/>
      <c r="C5305" s="1"/>
      <c r="D5305" s="1"/>
      <c r="E5305" s="1"/>
      <c r="F5305" s="1"/>
      <c r="G5305" s="1"/>
      <c r="H5305" s="1"/>
      <c r="I5305" s="1"/>
      <c r="J5305" s="1"/>
      <c r="K5305" s="102" t="s">
        <v>8293</v>
      </c>
      <c r="L5305" s="102" t="str">
        <f t="shared" ref="L5305:L5306" si="117">M676</f>
        <v>J1a2b1b2c1a2a~</v>
      </c>
      <c r="M5305" s="102"/>
      <c r="N5305" s="102"/>
      <c r="O5305" s="105">
        <v>2.2572362E7</v>
      </c>
      <c r="P5305" s="105">
        <v>2.0410476E7</v>
      </c>
      <c r="Q5305" s="102" t="s">
        <v>2439</v>
      </c>
      <c r="S5305" s="1"/>
      <c r="T5305" s="1"/>
      <c r="U5305" s="1"/>
      <c r="V5305" s="1"/>
      <c r="W5305" s="1"/>
      <c r="X5305" s="1"/>
      <c r="Y5305" s="1"/>
      <c r="AA5305" s="102"/>
      <c r="AB5305" s="1"/>
      <c r="AC5305" s="1"/>
      <c r="AD5305" s="1"/>
      <c r="AE5305" s="1"/>
      <c r="AF5305" s="1"/>
      <c r="AG5305" s="1"/>
    </row>
    <row r="5306" ht="15.75" customHeight="1">
      <c r="A5306" s="1"/>
      <c r="B5306" s="1"/>
      <c r="C5306" s="1"/>
      <c r="D5306" s="1"/>
      <c r="E5306" s="1"/>
      <c r="F5306" s="1"/>
      <c r="G5306" s="1"/>
      <c r="H5306" s="1"/>
      <c r="I5306" s="1"/>
      <c r="J5306" s="1"/>
      <c r="K5306" s="102" t="s">
        <v>8294</v>
      </c>
      <c r="L5306" s="102" t="str">
        <f t="shared" si="117"/>
        <v>J1a2b1b2c1a2b~</v>
      </c>
      <c r="M5306" s="102"/>
      <c r="N5306" s="102"/>
      <c r="O5306" s="105">
        <v>7709259.0</v>
      </c>
      <c r="P5306" s="105">
        <v>7841218.0</v>
      </c>
      <c r="Q5306" s="102" t="s">
        <v>2576</v>
      </c>
      <c r="S5306" s="1"/>
      <c r="T5306" s="1"/>
      <c r="U5306" s="1"/>
      <c r="V5306" s="1"/>
      <c r="W5306" s="1"/>
      <c r="X5306" s="1"/>
      <c r="Y5306" s="1"/>
      <c r="AA5306" s="102"/>
      <c r="AB5306" s="1"/>
      <c r="AC5306" s="1"/>
      <c r="AD5306" s="1"/>
      <c r="AE5306" s="1"/>
      <c r="AF5306" s="1"/>
      <c r="AG5306" s="1"/>
    </row>
    <row r="5307" ht="15.75" customHeight="1">
      <c r="A5307" s="1"/>
      <c r="B5307" s="1"/>
      <c r="C5307" s="1"/>
      <c r="D5307" s="1"/>
      <c r="E5307" s="1"/>
      <c r="F5307" s="1"/>
      <c r="G5307" s="1"/>
      <c r="H5307" s="1"/>
      <c r="I5307" s="1"/>
      <c r="J5307" s="1"/>
      <c r="K5307" s="102" t="s">
        <v>8295</v>
      </c>
      <c r="L5307" s="102" t="str">
        <f>M677</f>
        <v>J1a2b1b2c1a2b~</v>
      </c>
      <c r="M5307" s="102"/>
      <c r="N5307" s="102"/>
      <c r="O5307" s="105">
        <v>2.2215959E7</v>
      </c>
      <c r="P5307" s="105">
        <v>2.0054073E7</v>
      </c>
      <c r="Q5307" s="102" t="s">
        <v>2468</v>
      </c>
      <c r="S5307" s="1"/>
      <c r="T5307" s="1"/>
      <c r="U5307" s="1"/>
      <c r="V5307" s="1"/>
      <c r="W5307" s="1"/>
      <c r="X5307" s="1"/>
      <c r="Y5307" s="1"/>
      <c r="AA5307" s="102"/>
      <c r="AB5307" s="1"/>
      <c r="AC5307" s="1"/>
      <c r="AD5307" s="1"/>
      <c r="AE5307" s="1"/>
      <c r="AF5307" s="1"/>
      <c r="AG5307" s="1"/>
    </row>
    <row r="5308" ht="15.75" customHeight="1">
      <c r="A5308" s="1"/>
      <c r="B5308" s="1"/>
      <c r="C5308" s="1"/>
      <c r="D5308" s="1"/>
      <c r="E5308" s="1"/>
      <c r="F5308" s="1"/>
      <c r="G5308" s="1"/>
      <c r="H5308" s="1"/>
      <c r="I5308" s="1"/>
      <c r="J5308" s="1"/>
      <c r="K5308" s="102" t="s">
        <v>8296</v>
      </c>
      <c r="L5308" s="102" t="str">
        <f>M677</f>
        <v>J1a2b1b2c1a2b~</v>
      </c>
      <c r="M5308" s="102"/>
      <c r="N5308" s="102"/>
      <c r="O5308" s="105">
        <v>2764640.0</v>
      </c>
      <c r="P5308" s="105">
        <v>2896599.0</v>
      </c>
      <c r="Q5308" s="102" t="s">
        <v>2576</v>
      </c>
      <c r="S5308" s="1"/>
      <c r="T5308" s="1"/>
      <c r="U5308" s="1"/>
      <c r="V5308" s="1"/>
      <c r="W5308" s="1"/>
      <c r="X5308" s="1"/>
      <c r="Y5308" s="1"/>
      <c r="AA5308" s="102"/>
      <c r="AB5308" s="1"/>
      <c r="AC5308" s="1"/>
      <c r="AD5308" s="1"/>
      <c r="AE5308" s="1"/>
      <c r="AF5308" s="1"/>
      <c r="AG5308" s="1"/>
    </row>
    <row r="5309" ht="15.75" customHeight="1">
      <c r="A5309" s="1"/>
      <c r="B5309" s="1"/>
      <c r="C5309" s="1"/>
      <c r="D5309" s="1"/>
      <c r="E5309" s="1"/>
      <c r="F5309" s="1"/>
      <c r="G5309" s="1"/>
      <c r="H5309" s="1"/>
      <c r="I5309" s="1"/>
      <c r="J5309" s="1"/>
      <c r="K5309" s="102" t="s">
        <v>8297</v>
      </c>
      <c r="L5309" s="102" t="str">
        <f>M677</f>
        <v>J1a2b1b2c1a2b~</v>
      </c>
      <c r="M5309" s="102"/>
      <c r="N5309" s="102"/>
      <c r="O5309" s="105">
        <v>2782398.0</v>
      </c>
      <c r="P5309" s="105">
        <v>2914357.0</v>
      </c>
      <c r="Q5309" s="102" t="s">
        <v>2514</v>
      </c>
      <c r="S5309" s="1"/>
      <c r="T5309" s="1"/>
      <c r="U5309" s="1"/>
      <c r="V5309" s="1"/>
      <c r="W5309" s="1"/>
      <c r="X5309" s="1"/>
      <c r="Y5309" s="1"/>
      <c r="AA5309" s="102"/>
      <c r="AB5309" s="1"/>
      <c r="AC5309" s="1"/>
      <c r="AD5309" s="1"/>
      <c r="AE5309" s="1"/>
      <c r="AF5309" s="1"/>
      <c r="AG5309" s="1"/>
    </row>
    <row r="5310" ht="15.75" customHeight="1">
      <c r="A5310" s="1"/>
      <c r="B5310" s="1"/>
      <c r="C5310" s="1"/>
      <c r="D5310" s="1"/>
      <c r="E5310" s="1"/>
      <c r="F5310" s="1"/>
      <c r="G5310" s="1"/>
      <c r="H5310" s="1"/>
      <c r="I5310" s="1"/>
      <c r="J5310" s="1"/>
      <c r="K5310" s="102" t="s">
        <v>8298</v>
      </c>
      <c r="L5310" s="102" t="str">
        <f>M677</f>
        <v>J1a2b1b2c1a2b~</v>
      </c>
      <c r="M5310" s="102"/>
      <c r="N5310" s="102" t="s">
        <v>8299</v>
      </c>
      <c r="O5310" s="105">
        <v>6932828.0</v>
      </c>
      <c r="P5310" s="105">
        <v>7064787.0</v>
      </c>
      <c r="Q5310" s="102" t="s">
        <v>2454</v>
      </c>
      <c r="S5310" s="1"/>
      <c r="T5310" s="1"/>
      <c r="U5310" s="1"/>
      <c r="V5310" s="1"/>
      <c r="W5310" s="1"/>
      <c r="X5310" s="1"/>
      <c r="Y5310" s="1"/>
      <c r="AA5310" s="102"/>
      <c r="AB5310" s="1"/>
      <c r="AC5310" s="1"/>
      <c r="AD5310" s="1"/>
      <c r="AE5310" s="1"/>
      <c r="AF5310" s="1"/>
      <c r="AG5310" s="1"/>
    </row>
    <row r="5311" ht="15.75" customHeight="1">
      <c r="A5311" s="1"/>
      <c r="B5311" s="1"/>
      <c r="C5311" s="1"/>
      <c r="D5311" s="1"/>
      <c r="E5311" s="1"/>
      <c r="F5311" s="1"/>
      <c r="G5311" s="1"/>
      <c r="H5311" s="1"/>
      <c r="I5311" s="1"/>
      <c r="J5311" s="1"/>
      <c r="K5311" s="102" t="s">
        <v>8300</v>
      </c>
      <c r="L5311" s="102" t="str">
        <f>M677</f>
        <v>J1a2b1b2c1a2b~</v>
      </c>
      <c r="M5311" s="102"/>
      <c r="N5311" s="102"/>
      <c r="O5311" s="105">
        <v>7930565.0</v>
      </c>
      <c r="P5311" s="105">
        <v>8062524.0</v>
      </c>
      <c r="Q5311" s="102" t="s">
        <v>2454</v>
      </c>
      <c r="S5311" s="1"/>
      <c r="T5311" s="1"/>
      <c r="U5311" s="1"/>
      <c r="V5311" s="1"/>
      <c r="W5311" s="1"/>
      <c r="X5311" s="1"/>
      <c r="Y5311" s="1"/>
      <c r="AA5311" s="102"/>
      <c r="AB5311" s="1"/>
      <c r="AC5311" s="1"/>
      <c r="AD5311" s="1"/>
      <c r="AE5311" s="1"/>
      <c r="AF5311" s="1"/>
      <c r="AG5311" s="1"/>
    </row>
    <row r="5312" ht="15.75" customHeight="1">
      <c r="A5312" s="1"/>
      <c r="B5312" s="1"/>
      <c r="C5312" s="1"/>
      <c r="D5312" s="1"/>
      <c r="E5312" s="1"/>
      <c r="F5312" s="1"/>
      <c r="G5312" s="1"/>
      <c r="H5312" s="1"/>
      <c r="I5312" s="1"/>
      <c r="J5312" s="1"/>
      <c r="K5312" s="102" t="s">
        <v>8301</v>
      </c>
      <c r="L5312" s="102" t="str">
        <f>M677</f>
        <v>J1a2b1b2c1a2b~</v>
      </c>
      <c r="M5312" s="102"/>
      <c r="N5312" s="102"/>
      <c r="O5312" s="105">
        <v>8228652.0</v>
      </c>
      <c r="P5312" s="105">
        <v>8360611.0</v>
      </c>
      <c r="Q5312" s="102" t="s">
        <v>2423</v>
      </c>
      <c r="S5312" s="1"/>
      <c r="T5312" s="1"/>
      <c r="U5312" s="1"/>
      <c r="V5312" s="1"/>
      <c r="W5312" s="1"/>
      <c r="X5312" s="1"/>
      <c r="Y5312" s="1"/>
      <c r="AA5312" s="102"/>
      <c r="AB5312" s="1"/>
      <c r="AC5312" s="1"/>
      <c r="AD5312" s="1"/>
      <c r="AE5312" s="1"/>
      <c r="AF5312" s="1"/>
      <c r="AG5312" s="1"/>
    </row>
    <row r="5313" ht="15.75" customHeight="1">
      <c r="A5313" s="1"/>
      <c r="B5313" s="1"/>
      <c r="C5313" s="1"/>
      <c r="D5313" s="1"/>
      <c r="E5313" s="1"/>
      <c r="F5313" s="1"/>
      <c r="G5313" s="1"/>
      <c r="H5313" s="1"/>
      <c r="I5313" s="1"/>
      <c r="J5313" s="1"/>
      <c r="K5313" s="102" t="s">
        <v>8302</v>
      </c>
      <c r="L5313" s="102" t="str">
        <f>M677</f>
        <v>J1a2b1b2c1a2b~</v>
      </c>
      <c r="M5313" s="102"/>
      <c r="N5313" s="102"/>
      <c r="O5313" s="105">
        <v>8331888.0</v>
      </c>
      <c r="P5313" s="105">
        <v>8463847.0</v>
      </c>
      <c r="Q5313" s="102" t="s">
        <v>2468</v>
      </c>
      <c r="S5313" s="1"/>
      <c r="T5313" s="1"/>
      <c r="U5313" s="1"/>
      <c r="V5313" s="1"/>
      <c r="W5313" s="1"/>
      <c r="X5313" s="1"/>
      <c r="Y5313" s="1"/>
      <c r="AA5313" s="102"/>
      <c r="AB5313" s="1"/>
      <c r="AC5313" s="1"/>
      <c r="AD5313" s="1"/>
      <c r="AE5313" s="1"/>
      <c r="AF5313" s="1"/>
      <c r="AG5313" s="1"/>
    </row>
    <row r="5314" ht="15.75" customHeight="1">
      <c r="A5314" s="1"/>
      <c r="B5314" s="1"/>
      <c r="C5314" s="1"/>
      <c r="D5314" s="1"/>
      <c r="E5314" s="1"/>
      <c r="F5314" s="1"/>
      <c r="G5314" s="1"/>
      <c r="H5314" s="1"/>
      <c r="I5314" s="1"/>
      <c r="J5314" s="1"/>
      <c r="K5314" s="102" t="s">
        <v>8303</v>
      </c>
      <c r="L5314" s="102" t="str">
        <f>M677</f>
        <v>J1a2b1b2c1a2b~</v>
      </c>
      <c r="M5314" s="102"/>
      <c r="N5314" s="102"/>
      <c r="O5314" s="105">
        <v>8747982.0</v>
      </c>
      <c r="P5314" s="105">
        <v>8879941.0</v>
      </c>
      <c r="Q5314" s="102" t="s">
        <v>2439</v>
      </c>
      <c r="S5314" s="1"/>
      <c r="T5314" s="1"/>
      <c r="U5314" s="1"/>
      <c r="V5314" s="1"/>
      <c r="W5314" s="1"/>
      <c r="X5314" s="1"/>
      <c r="Y5314" s="1"/>
      <c r="AA5314" s="102"/>
      <c r="AB5314" s="1"/>
      <c r="AC5314" s="1"/>
      <c r="AD5314" s="1"/>
      <c r="AE5314" s="1"/>
      <c r="AF5314" s="1"/>
      <c r="AG5314" s="1"/>
    </row>
    <row r="5315" ht="15.75" customHeight="1">
      <c r="A5315" s="1"/>
      <c r="B5315" s="1"/>
      <c r="C5315" s="1"/>
      <c r="D5315" s="1"/>
      <c r="E5315" s="1"/>
      <c r="F5315" s="1"/>
      <c r="G5315" s="1"/>
      <c r="H5315" s="1"/>
      <c r="I5315" s="1"/>
      <c r="J5315" s="1"/>
      <c r="K5315" s="102" t="s">
        <v>8304</v>
      </c>
      <c r="L5315" s="102" t="str">
        <f>M677</f>
        <v>J1a2b1b2c1a2b~</v>
      </c>
      <c r="M5315" s="102"/>
      <c r="N5315" s="102"/>
      <c r="O5315" s="105">
        <v>9042905.0</v>
      </c>
      <c r="P5315" s="105">
        <v>9205296.0</v>
      </c>
      <c r="Q5315" s="102" t="s">
        <v>2423</v>
      </c>
      <c r="S5315" s="1"/>
      <c r="T5315" s="1"/>
      <c r="U5315" s="1"/>
      <c r="V5315" s="1"/>
      <c r="W5315" s="1"/>
      <c r="X5315" s="1"/>
      <c r="Y5315" s="1"/>
      <c r="AA5315" s="102"/>
      <c r="AB5315" s="1"/>
      <c r="AC5315" s="1"/>
      <c r="AD5315" s="1"/>
      <c r="AE5315" s="1"/>
      <c r="AF5315" s="1"/>
      <c r="AG5315" s="1"/>
    </row>
    <row r="5316" ht="15.75" customHeight="1">
      <c r="A5316" s="1"/>
      <c r="B5316" s="1"/>
      <c r="C5316" s="1"/>
      <c r="D5316" s="1"/>
      <c r="E5316" s="1"/>
      <c r="F5316" s="1"/>
      <c r="G5316" s="1"/>
      <c r="H5316" s="1"/>
      <c r="I5316" s="1"/>
      <c r="J5316" s="1"/>
      <c r="K5316" s="102" t="s">
        <v>8305</v>
      </c>
      <c r="L5316" s="102" t="str">
        <f>M677</f>
        <v>J1a2b1b2c1a2b~</v>
      </c>
      <c r="M5316" s="102"/>
      <c r="N5316" s="102"/>
      <c r="O5316" s="105">
        <v>1.4621344E7</v>
      </c>
      <c r="P5316" s="105">
        <v>1.2509542E7</v>
      </c>
      <c r="Q5316" s="102" t="s">
        <v>2501</v>
      </c>
      <c r="S5316" s="1"/>
      <c r="T5316" s="1"/>
      <c r="U5316" s="1"/>
      <c r="V5316" s="1"/>
      <c r="W5316" s="1"/>
      <c r="X5316" s="1"/>
      <c r="Y5316" s="1"/>
      <c r="AA5316" s="102"/>
      <c r="AB5316" s="1"/>
      <c r="AC5316" s="1"/>
      <c r="AD5316" s="1"/>
      <c r="AE5316" s="1"/>
      <c r="AF5316" s="1"/>
      <c r="AG5316" s="1"/>
    </row>
    <row r="5317" ht="15.75" customHeight="1">
      <c r="A5317" s="1"/>
      <c r="B5317" s="1"/>
      <c r="C5317" s="1"/>
      <c r="D5317" s="1"/>
      <c r="E5317" s="1"/>
      <c r="F5317" s="1"/>
      <c r="G5317" s="1"/>
      <c r="H5317" s="1"/>
      <c r="I5317" s="1"/>
      <c r="J5317" s="1"/>
      <c r="K5317" s="102" t="s">
        <v>8306</v>
      </c>
      <c r="L5317" s="102" t="str">
        <f>M677</f>
        <v>J1a2b1b2c1a2b~</v>
      </c>
      <c r="M5317" s="102"/>
      <c r="N5317" s="102"/>
      <c r="O5317" s="105">
        <v>1.4881065E7</v>
      </c>
      <c r="P5317" s="105">
        <v>1.2769135E7</v>
      </c>
      <c r="Q5317" s="102" t="s">
        <v>2439</v>
      </c>
      <c r="S5317" s="1"/>
      <c r="T5317" s="1"/>
      <c r="U5317" s="1"/>
      <c r="V5317" s="1"/>
      <c r="W5317" s="1"/>
      <c r="X5317" s="1"/>
      <c r="Y5317" s="1"/>
      <c r="AA5317" s="102"/>
      <c r="AB5317" s="1"/>
      <c r="AC5317" s="1"/>
      <c r="AD5317" s="1"/>
      <c r="AE5317" s="1"/>
      <c r="AF5317" s="1"/>
      <c r="AG5317" s="1"/>
    </row>
    <row r="5318" ht="15.75" customHeight="1">
      <c r="A5318" s="1"/>
      <c r="B5318" s="1"/>
      <c r="C5318" s="1"/>
      <c r="D5318" s="1"/>
      <c r="E5318" s="1"/>
      <c r="F5318" s="1"/>
      <c r="G5318" s="1"/>
      <c r="H5318" s="1"/>
      <c r="I5318" s="1"/>
      <c r="J5318" s="1"/>
      <c r="K5318" s="102" t="s">
        <v>8307</v>
      </c>
      <c r="L5318" s="102" t="str">
        <f>M677</f>
        <v>J1a2b1b2c1a2b~</v>
      </c>
      <c r="M5318" s="102"/>
      <c r="N5318" s="102"/>
      <c r="O5318" s="105">
        <v>1.5724806E7</v>
      </c>
      <c r="P5318" s="105">
        <v>1.3612926E7</v>
      </c>
      <c r="Q5318" s="102" t="s">
        <v>2576</v>
      </c>
      <c r="S5318" s="1"/>
      <c r="T5318" s="1"/>
      <c r="U5318" s="1"/>
      <c r="V5318" s="1"/>
      <c r="W5318" s="1"/>
      <c r="X5318" s="1"/>
      <c r="Y5318" s="1"/>
      <c r="AA5318" s="102"/>
      <c r="AB5318" s="1"/>
      <c r="AC5318" s="1"/>
      <c r="AD5318" s="1"/>
      <c r="AE5318" s="1"/>
      <c r="AF5318" s="1"/>
      <c r="AG5318" s="1"/>
    </row>
    <row r="5319" ht="15.75" customHeight="1">
      <c r="A5319" s="1"/>
      <c r="B5319" s="1"/>
      <c r="C5319" s="1"/>
      <c r="D5319" s="1"/>
      <c r="E5319" s="1"/>
      <c r="F5319" s="1"/>
      <c r="G5319" s="1"/>
      <c r="H5319" s="1"/>
      <c r="I5319" s="1"/>
      <c r="J5319" s="1"/>
      <c r="K5319" s="102" t="s">
        <v>8308</v>
      </c>
      <c r="L5319" s="102" t="str">
        <f>M677</f>
        <v>J1a2b1b2c1a2b~</v>
      </c>
      <c r="M5319" s="102"/>
      <c r="N5319" s="102"/>
      <c r="O5319" s="105">
        <v>1.6248205E7</v>
      </c>
      <c r="P5319" s="105">
        <v>1.4136325E7</v>
      </c>
      <c r="Q5319" s="102" t="s">
        <v>2533</v>
      </c>
      <c r="S5319" s="1"/>
      <c r="T5319" s="1"/>
      <c r="U5319" s="1"/>
      <c r="V5319" s="1"/>
      <c r="W5319" s="1"/>
      <c r="X5319" s="1"/>
      <c r="Y5319" s="1"/>
      <c r="AA5319" s="102"/>
      <c r="AB5319" s="1"/>
      <c r="AC5319" s="1"/>
      <c r="AD5319" s="1"/>
      <c r="AE5319" s="1"/>
      <c r="AF5319" s="1"/>
      <c r="AG5319" s="1"/>
    </row>
    <row r="5320" ht="15.75" customHeight="1">
      <c r="A5320" s="1"/>
      <c r="B5320" s="1"/>
      <c r="C5320" s="1"/>
      <c r="D5320" s="1"/>
      <c r="E5320" s="1"/>
      <c r="F5320" s="1"/>
      <c r="G5320" s="1"/>
      <c r="H5320" s="1"/>
      <c r="I5320" s="1"/>
      <c r="J5320" s="1"/>
      <c r="K5320" s="102" t="s">
        <v>8309</v>
      </c>
      <c r="L5320" s="102" t="str">
        <f>M677</f>
        <v>J1a2b1b2c1a2b~</v>
      </c>
      <c r="M5320" s="102"/>
      <c r="N5320" s="102"/>
      <c r="O5320" s="105">
        <v>1.683073E7</v>
      </c>
      <c r="P5320" s="105">
        <v>1.471885E7</v>
      </c>
      <c r="Q5320" s="102" t="s">
        <v>2529</v>
      </c>
      <c r="S5320" s="1"/>
      <c r="T5320" s="1"/>
      <c r="U5320" s="1"/>
      <c r="V5320" s="1"/>
      <c r="W5320" s="1"/>
      <c r="X5320" s="1"/>
      <c r="Y5320" s="1"/>
      <c r="AA5320" s="102"/>
      <c r="AB5320" s="1"/>
      <c r="AC5320" s="1"/>
      <c r="AD5320" s="1"/>
      <c r="AE5320" s="1"/>
      <c r="AF5320" s="1"/>
      <c r="AG5320" s="1"/>
    </row>
    <row r="5321" ht="15.75" customHeight="1">
      <c r="A5321" s="1"/>
      <c r="B5321" s="1"/>
      <c r="C5321" s="1"/>
      <c r="D5321" s="1"/>
      <c r="E5321" s="1"/>
      <c r="F5321" s="1"/>
      <c r="G5321" s="1"/>
      <c r="H5321" s="1"/>
      <c r="I5321" s="1"/>
      <c r="J5321" s="1"/>
      <c r="K5321" s="102" t="s">
        <v>8310</v>
      </c>
      <c r="L5321" s="102" t="str">
        <f>M677</f>
        <v>J1a2b1b2c1a2b~</v>
      </c>
      <c r="M5321" s="102"/>
      <c r="N5321" s="102"/>
      <c r="O5321" s="105">
        <v>1.74578E7</v>
      </c>
      <c r="P5321" s="105">
        <v>1.534592E7</v>
      </c>
      <c r="Q5321" s="102" t="s">
        <v>2501</v>
      </c>
      <c r="S5321" s="1"/>
      <c r="T5321" s="1"/>
      <c r="U5321" s="1"/>
      <c r="V5321" s="1"/>
      <c r="W5321" s="1"/>
      <c r="X5321" s="1"/>
      <c r="Y5321" s="1"/>
      <c r="AA5321" s="102"/>
      <c r="AB5321" s="1"/>
      <c r="AC5321" s="1"/>
      <c r="AD5321" s="1"/>
      <c r="AE5321" s="1"/>
      <c r="AF5321" s="1"/>
      <c r="AG5321" s="1"/>
    </row>
    <row r="5322" ht="15.75" customHeight="1">
      <c r="A5322" s="1"/>
      <c r="B5322" s="1"/>
      <c r="C5322" s="1"/>
      <c r="D5322" s="1"/>
      <c r="E5322" s="1"/>
      <c r="F5322" s="1"/>
      <c r="G5322" s="1"/>
      <c r="H5322" s="1"/>
      <c r="I5322" s="1"/>
      <c r="J5322" s="1"/>
      <c r="K5322" s="102" t="s">
        <v>8311</v>
      </c>
      <c r="L5322" s="102" t="str">
        <f>M677</f>
        <v>J1a2b1b2c1a2b~</v>
      </c>
      <c r="M5322" s="102"/>
      <c r="N5322" s="102"/>
      <c r="O5322" s="105">
        <v>1.8066179E7</v>
      </c>
      <c r="P5322" s="105">
        <v>1.5954299E7</v>
      </c>
      <c r="Q5322" s="102" t="s">
        <v>2533</v>
      </c>
      <c r="S5322" s="1"/>
      <c r="T5322" s="1"/>
      <c r="U5322" s="1"/>
      <c r="V5322" s="1"/>
      <c r="W5322" s="1"/>
      <c r="X5322" s="1"/>
      <c r="Y5322" s="1"/>
      <c r="AA5322" s="102"/>
      <c r="AB5322" s="1"/>
      <c r="AC5322" s="1"/>
      <c r="AD5322" s="1"/>
      <c r="AE5322" s="1"/>
      <c r="AF5322" s="1"/>
      <c r="AG5322" s="1"/>
    </row>
    <row r="5323" ht="15.75" customHeight="1">
      <c r="A5323" s="1"/>
      <c r="B5323" s="1"/>
      <c r="C5323" s="1"/>
      <c r="D5323" s="1"/>
      <c r="E5323" s="1"/>
      <c r="F5323" s="1"/>
      <c r="G5323" s="1"/>
      <c r="H5323" s="1"/>
      <c r="I5323" s="1"/>
      <c r="J5323" s="1"/>
      <c r="K5323" s="102" t="s">
        <v>8312</v>
      </c>
      <c r="L5323" s="102" t="str">
        <f>M677</f>
        <v>J1a2b1b2c1a2b~</v>
      </c>
      <c r="M5323" s="102"/>
      <c r="N5323" s="102"/>
      <c r="O5323" s="105">
        <v>1.8426402E7</v>
      </c>
      <c r="P5323" s="105">
        <v>1.6314522E7</v>
      </c>
      <c r="Q5323" s="102" t="s">
        <v>2439</v>
      </c>
      <c r="S5323" s="1"/>
      <c r="T5323" s="1"/>
      <c r="U5323" s="1"/>
      <c r="V5323" s="1"/>
      <c r="W5323" s="1"/>
      <c r="X5323" s="1"/>
      <c r="Y5323" s="1"/>
      <c r="AA5323" s="102"/>
      <c r="AB5323" s="1"/>
      <c r="AC5323" s="1"/>
      <c r="AD5323" s="1"/>
      <c r="AE5323" s="1"/>
      <c r="AF5323" s="1"/>
      <c r="AG5323" s="1"/>
    </row>
    <row r="5324" ht="15.75" customHeight="1">
      <c r="A5324" s="1"/>
      <c r="B5324" s="1"/>
      <c r="C5324" s="1"/>
      <c r="D5324" s="1"/>
      <c r="E5324" s="1"/>
      <c r="F5324" s="1"/>
      <c r="G5324" s="1"/>
      <c r="H5324" s="1"/>
      <c r="I5324" s="1"/>
      <c r="J5324" s="1"/>
      <c r="K5324" s="102" t="s">
        <v>8313</v>
      </c>
      <c r="L5324" s="102" t="str">
        <f>M677</f>
        <v>J1a2b1b2c1a2b~</v>
      </c>
      <c r="M5324" s="102"/>
      <c r="N5324" s="102"/>
      <c r="O5324" s="105">
        <v>1.8594859E7</v>
      </c>
      <c r="P5324" s="105">
        <v>1.6482979E7</v>
      </c>
      <c r="Q5324" s="102" t="s">
        <v>2468</v>
      </c>
      <c r="S5324" s="1"/>
      <c r="T5324" s="1"/>
      <c r="U5324" s="1"/>
      <c r="V5324" s="1"/>
      <c r="W5324" s="1"/>
      <c r="X5324" s="1"/>
      <c r="Y5324" s="1"/>
      <c r="AA5324" s="102"/>
      <c r="AB5324" s="1"/>
      <c r="AC5324" s="1"/>
      <c r="AD5324" s="1"/>
      <c r="AE5324" s="1"/>
      <c r="AF5324" s="1"/>
      <c r="AG5324" s="1"/>
    </row>
    <row r="5325" ht="15.75" customHeight="1">
      <c r="A5325" s="1"/>
      <c r="B5325" s="1"/>
      <c r="C5325" s="1"/>
      <c r="D5325" s="1"/>
      <c r="E5325" s="1"/>
      <c r="F5325" s="1"/>
      <c r="G5325" s="1"/>
      <c r="H5325" s="1"/>
      <c r="I5325" s="1"/>
      <c r="J5325" s="1"/>
      <c r="K5325" s="102" t="s">
        <v>8314</v>
      </c>
      <c r="L5325" s="102" t="str">
        <f>M677</f>
        <v>J1a2b1b2c1a2b~</v>
      </c>
      <c r="M5325" s="102"/>
      <c r="N5325" s="102"/>
      <c r="O5325" s="105">
        <v>1.8993237E7</v>
      </c>
      <c r="P5325" s="105">
        <v>1.6881357E7</v>
      </c>
      <c r="Q5325" s="102" t="s">
        <v>2468</v>
      </c>
      <c r="S5325" s="1"/>
      <c r="T5325" s="1"/>
      <c r="U5325" s="1"/>
      <c r="V5325" s="1"/>
      <c r="W5325" s="1"/>
      <c r="X5325" s="1"/>
      <c r="Y5325" s="1"/>
      <c r="AA5325" s="102"/>
      <c r="AB5325" s="1"/>
      <c r="AC5325" s="1"/>
      <c r="AD5325" s="1"/>
      <c r="AE5325" s="1"/>
      <c r="AF5325" s="1"/>
      <c r="AG5325" s="1"/>
    </row>
    <row r="5326" ht="15.75" customHeight="1">
      <c r="A5326" s="1"/>
      <c r="B5326" s="1"/>
      <c r="C5326" s="1"/>
      <c r="D5326" s="1"/>
      <c r="E5326" s="1"/>
      <c r="F5326" s="1"/>
      <c r="G5326" s="1"/>
      <c r="H5326" s="1"/>
      <c r="I5326" s="1"/>
      <c r="J5326" s="1"/>
      <c r="K5326" s="102" t="s">
        <v>8315</v>
      </c>
      <c r="L5326" s="102" t="str">
        <f>M677</f>
        <v>J1a2b1b2c1a2b~</v>
      </c>
      <c r="M5326" s="102"/>
      <c r="N5326" s="102"/>
      <c r="O5326" s="109">
        <v>1.9199531E7</v>
      </c>
      <c r="P5326" s="102">
        <v>1.7087651E7</v>
      </c>
      <c r="Q5326" s="102" t="s">
        <v>2533</v>
      </c>
      <c r="S5326" s="1"/>
      <c r="T5326" s="1"/>
      <c r="U5326" s="1"/>
      <c r="V5326" s="1"/>
      <c r="W5326" s="1"/>
      <c r="X5326" s="1"/>
      <c r="Y5326" s="1"/>
      <c r="AA5326" s="102"/>
      <c r="AB5326" s="1"/>
      <c r="AC5326" s="1"/>
      <c r="AD5326" s="1"/>
      <c r="AE5326" s="1"/>
      <c r="AF5326" s="1"/>
      <c r="AG5326" s="1"/>
    </row>
    <row r="5327" ht="15.75" customHeight="1">
      <c r="A5327" s="1"/>
      <c r="B5327" s="1"/>
      <c r="C5327" s="1"/>
      <c r="D5327" s="1"/>
      <c r="E5327" s="1"/>
      <c r="F5327" s="1"/>
      <c r="G5327" s="1"/>
      <c r="H5327" s="1"/>
      <c r="I5327" s="1"/>
      <c r="J5327" s="1"/>
      <c r="K5327" s="102" t="s">
        <v>8316</v>
      </c>
      <c r="L5327" s="102" t="str">
        <f>M677</f>
        <v>J1a2b1b2c1a2b~</v>
      </c>
      <c r="M5327" s="102"/>
      <c r="N5327" s="102"/>
      <c r="O5327" s="105">
        <v>1.9332071E7</v>
      </c>
      <c r="P5327" s="105">
        <v>1.7220191E7</v>
      </c>
      <c r="Q5327" s="102" t="s">
        <v>2454</v>
      </c>
      <c r="S5327" s="1"/>
      <c r="T5327" s="1"/>
      <c r="U5327" s="1"/>
      <c r="V5327" s="1"/>
      <c r="W5327" s="1"/>
      <c r="X5327" s="1"/>
      <c r="Y5327" s="1"/>
      <c r="AA5327" s="102"/>
      <c r="AB5327" s="1"/>
      <c r="AC5327" s="1"/>
      <c r="AD5327" s="1"/>
      <c r="AE5327" s="1"/>
      <c r="AF5327" s="1"/>
      <c r="AG5327" s="1"/>
    </row>
    <row r="5328" ht="15.75" customHeight="1">
      <c r="A5328" s="1"/>
      <c r="B5328" s="1"/>
      <c r="C5328" s="1"/>
      <c r="D5328" s="1"/>
      <c r="E5328" s="1"/>
      <c r="F5328" s="1"/>
      <c r="G5328" s="1"/>
      <c r="H5328" s="1"/>
      <c r="I5328" s="1"/>
      <c r="J5328" s="1"/>
      <c r="K5328" s="102" t="s">
        <v>8317</v>
      </c>
      <c r="L5328" s="102" t="str">
        <f>M677</f>
        <v>J1a2b1b2c1a2b~</v>
      </c>
      <c r="M5328" s="102"/>
      <c r="N5328" s="102"/>
      <c r="O5328" s="105">
        <v>2.1609353E7</v>
      </c>
      <c r="P5328" s="105">
        <v>1.9447467E7</v>
      </c>
      <c r="Q5328" s="102" t="s">
        <v>2501</v>
      </c>
      <c r="S5328" s="1"/>
      <c r="T5328" s="1"/>
      <c r="U5328" s="1"/>
      <c r="V5328" s="1"/>
      <c r="W5328" s="1"/>
      <c r="X5328" s="1"/>
      <c r="Y5328" s="1"/>
      <c r="AA5328" s="102"/>
      <c r="AB5328" s="1"/>
      <c r="AC5328" s="1"/>
      <c r="AD5328" s="1"/>
      <c r="AE5328" s="1"/>
      <c r="AF5328" s="1"/>
      <c r="AG5328" s="1"/>
    </row>
    <row r="5329" ht="15.75" customHeight="1">
      <c r="A5329" s="1"/>
      <c r="B5329" s="1"/>
      <c r="C5329" s="1"/>
      <c r="D5329" s="1"/>
      <c r="E5329" s="1"/>
      <c r="F5329" s="1"/>
      <c r="G5329" s="1"/>
      <c r="H5329" s="1"/>
      <c r="I5329" s="1"/>
      <c r="J5329" s="1"/>
      <c r="K5329" s="102" t="s">
        <v>8318</v>
      </c>
      <c r="L5329" s="102" t="str">
        <f>M677</f>
        <v>J1a2b1b2c1a2b~</v>
      </c>
      <c r="M5329" s="102"/>
      <c r="N5329" s="102"/>
      <c r="O5329" s="105">
        <v>2.1735573E7</v>
      </c>
      <c r="P5329" s="105">
        <v>1.9573687E7</v>
      </c>
      <c r="Q5329" s="102" t="s">
        <v>2468</v>
      </c>
      <c r="S5329" s="1"/>
      <c r="T5329" s="1"/>
      <c r="U5329" s="1"/>
      <c r="V5329" s="1"/>
      <c r="W5329" s="1"/>
      <c r="X5329" s="1"/>
      <c r="Y5329" s="1"/>
      <c r="AA5329" s="102"/>
      <c r="AB5329" s="1"/>
      <c r="AC5329" s="1"/>
      <c r="AD5329" s="1"/>
      <c r="AE5329" s="1"/>
      <c r="AF5329" s="1"/>
      <c r="AG5329" s="1"/>
    </row>
    <row r="5330" ht="15.75" customHeight="1">
      <c r="A5330" s="1"/>
      <c r="B5330" s="1"/>
      <c r="C5330" s="1"/>
      <c r="D5330" s="1"/>
      <c r="E5330" s="1"/>
      <c r="F5330" s="1"/>
      <c r="G5330" s="1"/>
      <c r="H5330" s="1"/>
      <c r="I5330" s="1"/>
      <c r="J5330" s="1"/>
      <c r="K5330" s="102" t="s">
        <v>8319</v>
      </c>
      <c r="L5330" s="102" t="str">
        <f>M677</f>
        <v>J1a2b1b2c1a2b~</v>
      </c>
      <c r="M5330" s="102"/>
      <c r="N5330" s="102"/>
      <c r="O5330" s="105">
        <v>2.2581478E7</v>
      </c>
      <c r="P5330" s="105">
        <v>2.0419592E7</v>
      </c>
      <c r="Q5330" s="102" t="s">
        <v>2501</v>
      </c>
      <c r="S5330" s="1"/>
      <c r="T5330" s="1"/>
      <c r="U5330" s="1"/>
      <c r="V5330" s="1"/>
      <c r="W5330" s="1"/>
      <c r="X5330" s="1"/>
      <c r="Y5330" s="1"/>
      <c r="AA5330" s="102"/>
      <c r="AB5330" s="1"/>
      <c r="AC5330" s="1"/>
      <c r="AD5330" s="1"/>
      <c r="AE5330" s="1"/>
      <c r="AF5330" s="1"/>
      <c r="AG5330" s="1"/>
    </row>
    <row r="5331" ht="15.75" customHeight="1">
      <c r="A5331" s="1"/>
      <c r="B5331" s="1"/>
      <c r="C5331" s="1"/>
      <c r="D5331" s="1"/>
      <c r="E5331" s="1"/>
      <c r="F5331" s="1"/>
      <c r="G5331" s="1"/>
      <c r="H5331" s="1"/>
      <c r="I5331" s="1"/>
      <c r="J5331" s="1"/>
      <c r="K5331" s="102" t="s">
        <v>8320</v>
      </c>
      <c r="L5331" s="102" t="str">
        <f>M677</f>
        <v>J1a2b1b2c1a2b~</v>
      </c>
      <c r="M5331" s="102"/>
      <c r="N5331" s="102"/>
      <c r="O5331" s="105">
        <v>2.329157E7</v>
      </c>
      <c r="P5331" s="105">
        <v>2.1129684E7</v>
      </c>
      <c r="Q5331" s="102" t="s">
        <v>2432</v>
      </c>
      <c r="S5331" s="1"/>
      <c r="T5331" s="1"/>
      <c r="U5331" s="1"/>
      <c r="V5331" s="1"/>
      <c r="W5331" s="1"/>
      <c r="X5331" s="1"/>
      <c r="Y5331" s="1"/>
      <c r="AA5331" s="102"/>
      <c r="AB5331" s="1"/>
      <c r="AC5331" s="1"/>
      <c r="AD5331" s="1"/>
      <c r="AE5331" s="1"/>
      <c r="AF5331" s="1"/>
      <c r="AG5331" s="1"/>
    </row>
    <row r="5332" ht="15.75" customHeight="1">
      <c r="A5332" s="1"/>
      <c r="B5332" s="1"/>
      <c r="C5332" s="1"/>
      <c r="D5332" s="1"/>
      <c r="E5332" s="1"/>
      <c r="F5332" s="1"/>
      <c r="G5332" s="1"/>
      <c r="H5332" s="1"/>
      <c r="I5332" s="1"/>
      <c r="J5332" s="1"/>
      <c r="K5332" s="102" t="s">
        <v>8321</v>
      </c>
      <c r="L5332" s="102" t="str">
        <f>M677</f>
        <v>J1a2b1b2c1a2b~</v>
      </c>
      <c r="M5332" s="102"/>
      <c r="N5332" s="102"/>
      <c r="O5332" s="105">
        <v>1.7940743E7</v>
      </c>
      <c r="P5332" s="105">
        <v>1.5828863E7</v>
      </c>
      <c r="Q5332" s="102" t="s">
        <v>2439</v>
      </c>
      <c r="S5332" s="1"/>
      <c r="T5332" s="1"/>
      <c r="U5332" s="1"/>
      <c r="V5332" s="1"/>
      <c r="W5332" s="1"/>
      <c r="X5332" s="1"/>
      <c r="Y5332" s="1"/>
      <c r="AA5332" s="102"/>
      <c r="AB5332" s="1"/>
      <c r="AC5332" s="1"/>
      <c r="AD5332" s="1"/>
      <c r="AE5332" s="1"/>
      <c r="AF5332" s="1"/>
      <c r="AG5332" s="1"/>
    </row>
    <row r="5333" ht="15.75" customHeight="1">
      <c r="A5333" s="1"/>
      <c r="B5333" s="1"/>
      <c r="C5333" s="1"/>
      <c r="D5333" s="1"/>
      <c r="E5333" s="1"/>
      <c r="F5333" s="1"/>
      <c r="G5333" s="1"/>
      <c r="H5333" s="1"/>
      <c r="I5333" s="1"/>
      <c r="J5333" s="1"/>
      <c r="K5333" s="102" t="s">
        <v>8322</v>
      </c>
      <c r="L5333" s="102" t="str">
        <f>M677</f>
        <v>J1a2b1b2c1a2b~</v>
      </c>
      <c r="M5333" s="102"/>
      <c r="N5333" s="102"/>
      <c r="O5333" s="105">
        <v>1.7190109E7</v>
      </c>
      <c r="P5333" s="105">
        <v>1.5078229E7</v>
      </c>
      <c r="Q5333" s="102" t="s">
        <v>2468</v>
      </c>
      <c r="S5333" s="1"/>
      <c r="T5333" s="1"/>
      <c r="U5333" s="1"/>
      <c r="V5333" s="1"/>
      <c r="W5333" s="1"/>
      <c r="X5333" s="1"/>
      <c r="Y5333" s="1"/>
      <c r="AA5333" s="102"/>
      <c r="AB5333" s="1"/>
      <c r="AC5333" s="1"/>
      <c r="AD5333" s="1"/>
      <c r="AE5333" s="1"/>
      <c r="AF5333" s="1"/>
      <c r="AG5333" s="1"/>
    </row>
    <row r="5334" ht="15.75" customHeight="1">
      <c r="A5334" s="1"/>
      <c r="B5334" s="1"/>
      <c r="C5334" s="1"/>
      <c r="D5334" s="1"/>
      <c r="E5334" s="1"/>
      <c r="F5334" s="1"/>
      <c r="G5334" s="1"/>
      <c r="H5334" s="1"/>
      <c r="I5334" s="1"/>
      <c r="J5334" s="1"/>
      <c r="K5334" s="102" t="s">
        <v>8323</v>
      </c>
      <c r="L5334" s="102" t="str">
        <f>F678</f>
        <v>J1a2b2~</v>
      </c>
      <c r="M5334" s="102" t="s">
        <v>8324</v>
      </c>
      <c r="N5334" s="102"/>
      <c r="O5334" s="105">
        <v>1.4118079E7</v>
      </c>
      <c r="P5334" s="105">
        <v>1.1997373E7</v>
      </c>
      <c r="Q5334" s="102" t="s">
        <v>2439</v>
      </c>
      <c r="S5334" s="1"/>
      <c r="T5334" s="1"/>
      <c r="U5334" s="1"/>
      <c r="V5334" s="1"/>
      <c r="W5334" s="1"/>
      <c r="X5334" s="1"/>
      <c r="Y5334" s="1"/>
      <c r="AA5334" s="102"/>
      <c r="AB5334" s="1"/>
      <c r="AC5334" s="1"/>
      <c r="AD5334" s="1"/>
      <c r="AE5334" s="1"/>
      <c r="AF5334" s="1"/>
      <c r="AG5334" s="1"/>
    </row>
    <row r="5335" ht="15.75" customHeight="1">
      <c r="A5335" s="1"/>
      <c r="B5335" s="1"/>
      <c r="C5335" s="1"/>
      <c r="D5335" s="1"/>
      <c r="E5335" s="1"/>
      <c r="F5335" s="1"/>
      <c r="G5335" s="1"/>
      <c r="H5335" s="1"/>
      <c r="I5335" s="1"/>
      <c r="J5335" s="1"/>
      <c r="K5335" s="102" t="s">
        <v>8324</v>
      </c>
      <c r="L5335" s="102" t="str">
        <f>F678</f>
        <v>J1a2b2~</v>
      </c>
      <c r="M5335" s="102" t="s">
        <v>8323</v>
      </c>
      <c r="N5335" s="102"/>
      <c r="O5335" s="105">
        <v>1.4118079E7</v>
      </c>
      <c r="P5335" s="105">
        <v>1.1997373E7</v>
      </c>
      <c r="Q5335" s="102" t="s">
        <v>2439</v>
      </c>
      <c r="S5335" s="1"/>
      <c r="T5335" s="1"/>
      <c r="U5335" s="1"/>
      <c r="V5335" s="1"/>
      <c r="W5335" s="1"/>
      <c r="X5335" s="1"/>
      <c r="Y5335" s="1"/>
      <c r="AA5335" s="102"/>
      <c r="AB5335" s="1"/>
      <c r="AC5335" s="1"/>
      <c r="AD5335" s="1"/>
      <c r="AE5335" s="1"/>
      <c r="AF5335" s="1"/>
      <c r="AG5335" s="1"/>
    </row>
    <row r="5336" ht="15.75" customHeight="1">
      <c r="A5336" s="1"/>
      <c r="B5336" s="1"/>
      <c r="C5336" s="1"/>
      <c r="D5336" s="1"/>
      <c r="E5336" s="1"/>
      <c r="F5336" s="1"/>
      <c r="G5336" s="1"/>
      <c r="H5336" s="1"/>
      <c r="I5336" s="1"/>
      <c r="J5336" s="1"/>
      <c r="K5336" s="102" t="s">
        <v>8325</v>
      </c>
      <c r="L5336" s="102" t="str">
        <f>F678</f>
        <v>J1a2b2~</v>
      </c>
      <c r="M5336" s="102"/>
      <c r="N5336" s="102" t="s">
        <v>8326</v>
      </c>
      <c r="O5336" s="105">
        <v>1.635169E7</v>
      </c>
      <c r="P5336" s="105">
        <v>1.423981E7</v>
      </c>
      <c r="Q5336" s="102" t="s">
        <v>2468</v>
      </c>
      <c r="S5336" s="1"/>
      <c r="T5336" s="1"/>
      <c r="U5336" s="1"/>
      <c r="V5336" s="1"/>
      <c r="W5336" s="1"/>
      <c r="X5336" s="1"/>
      <c r="Y5336" s="1"/>
      <c r="AA5336" s="102"/>
      <c r="AB5336" s="1"/>
      <c r="AC5336" s="1"/>
      <c r="AD5336" s="1"/>
      <c r="AE5336" s="1"/>
      <c r="AF5336" s="1"/>
      <c r="AG5336" s="1"/>
    </row>
    <row r="5337" ht="15.75" customHeight="1">
      <c r="A5337" s="1"/>
      <c r="B5337" s="1"/>
      <c r="C5337" s="1"/>
      <c r="D5337" s="1"/>
      <c r="E5337" s="1"/>
      <c r="F5337" s="1"/>
      <c r="G5337" s="1"/>
      <c r="H5337" s="1"/>
      <c r="I5337" s="1"/>
      <c r="J5337" s="1"/>
      <c r="K5337" s="102" t="s">
        <v>8327</v>
      </c>
      <c r="L5337" s="102" t="str">
        <f>F678</f>
        <v>J1a2b2~</v>
      </c>
      <c r="M5337" s="102"/>
      <c r="N5337" s="102" t="s">
        <v>8328</v>
      </c>
      <c r="O5337" s="105">
        <v>2.1456298E7</v>
      </c>
      <c r="P5337" s="105">
        <v>1.9294412E7</v>
      </c>
      <c r="Q5337" s="102" t="s">
        <v>2439</v>
      </c>
      <c r="S5337" s="1"/>
      <c r="T5337" s="1"/>
      <c r="U5337" s="1"/>
      <c r="V5337" s="1"/>
      <c r="W5337" s="1"/>
      <c r="X5337" s="1"/>
      <c r="Y5337" s="1"/>
      <c r="AA5337" s="102"/>
      <c r="AB5337" s="1"/>
      <c r="AC5337" s="1"/>
      <c r="AD5337" s="1"/>
      <c r="AE5337" s="1"/>
      <c r="AF5337" s="1"/>
      <c r="AG5337" s="1"/>
    </row>
    <row r="5338" ht="15.75" customHeight="1">
      <c r="A5338" s="1"/>
      <c r="B5338" s="1"/>
      <c r="C5338" s="1"/>
      <c r="D5338" s="1"/>
      <c r="E5338" s="1"/>
      <c r="F5338" s="1"/>
      <c r="G5338" s="1"/>
      <c r="H5338" s="1"/>
      <c r="I5338" s="1"/>
      <c r="J5338" s="1"/>
      <c r="K5338" s="102" t="s">
        <v>8329</v>
      </c>
      <c r="L5338" s="102" t="str">
        <f>F678</f>
        <v>J1a2b2~</v>
      </c>
      <c r="M5338" s="102"/>
      <c r="N5338" s="102" t="s">
        <v>8330</v>
      </c>
      <c r="O5338" s="105">
        <v>2.2652348E7</v>
      </c>
      <c r="P5338" s="105">
        <v>2.0490462E7</v>
      </c>
      <c r="Q5338" s="102" t="s">
        <v>2563</v>
      </c>
      <c r="S5338" s="1"/>
      <c r="T5338" s="1"/>
      <c r="U5338" s="1"/>
      <c r="V5338" s="1"/>
      <c r="W5338" s="1"/>
      <c r="X5338" s="1"/>
      <c r="Y5338" s="1"/>
      <c r="AA5338" s="102"/>
      <c r="AB5338" s="1"/>
      <c r="AC5338" s="1"/>
      <c r="AD5338" s="1"/>
      <c r="AE5338" s="1"/>
      <c r="AF5338" s="1"/>
      <c r="AG5338" s="1"/>
    </row>
    <row r="5339" ht="15.75" customHeight="1">
      <c r="A5339" s="1"/>
      <c r="B5339" s="1"/>
      <c r="C5339" s="1"/>
      <c r="D5339" s="1"/>
      <c r="E5339" s="1"/>
      <c r="F5339" s="1"/>
      <c r="G5339" s="1"/>
      <c r="H5339" s="1"/>
      <c r="I5339" s="1"/>
      <c r="J5339" s="1"/>
      <c r="K5339" s="102" t="s">
        <v>8331</v>
      </c>
      <c r="L5339" s="102" t="str">
        <f>G679</f>
        <v>J1a2b2a~</v>
      </c>
      <c r="M5339" s="106" t="s">
        <v>8332</v>
      </c>
      <c r="N5339" s="102"/>
      <c r="O5339" s="105">
        <v>1.4536304E7</v>
      </c>
      <c r="P5339" s="105">
        <v>1.2424505E7</v>
      </c>
      <c r="Q5339" s="102" t="s">
        <v>2468</v>
      </c>
      <c r="S5339" s="1"/>
      <c r="T5339" s="1"/>
      <c r="U5339" s="1"/>
      <c r="V5339" s="1"/>
      <c r="W5339" s="1"/>
      <c r="X5339" s="1"/>
      <c r="Y5339" s="1"/>
      <c r="AA5339" s="102"/>
      <c r="AB5339" s="1"/>
      <c r="AC5339" s="1"/>
      <c r="AD5339" s="1"/>
      <c r="AE5339" s="1"/>
      <c r="AF5339" s="1"/>
      <c r="AG5339" s="1"/>
    </row>
    <row r="5340" ht="15.75" customHeight="1">
      <c r="A5340" s="1"/>
      <c r="B5340" s="1"/>
      <c r="C5340" s="1"/>
      <c r="D5340" s="1"/>
      <c r="E5340" s="1"/>
      <c r="F5340" s="1"/>
      <c r="G5340" s="1"/>
      <c r="H5340" s="1"/>
      <c r="I5340" s="1"/>
      <c r="J5340" s="1"/>
      <c r="K5340" s="102" t="s">
        <v>8332</v>
      </c>
      <c r="L5340" s="102" t="str">
        <f>G679</f>
        <v>J1a2b2a~</v>
      </c>
      <c r="M5340" s="106" t="s">
        <v>8331</v>
      </c>
      <c r="N5340" s="102"/>
      <c r="O5340" s="105">
        <v>1.4536304E7</v>
      </c>
      <c r="P5340" s="105">
        <v>1.2424505E7</v>
      </c>
      <c r="Q5340" s="102" t="s">
        <v>2468</v>
      </c>
      <c r="S5340" s="1"/>
      <c r="T5340" s="1"/>
      <c r="U5340" s="1"/>
      <c r="V5340" s="1"/>
      <c r="W5340" s="1"/>
      <c r="X5340" s="1"/>
      <c r="Y5340" s="1"/>
      <c r="AA5340" s="102"/>
      <c r="AB5340" s="1"/>
      <c r="AC5340" s="1"/>
      <c r="AD5340" s="1"/>
      <c r="AE5340" s="1"/>
      <c r="AF5340" s="1"/>
      <c r="AG5340" s="1"/>
    </row>
    <row r="5341" ht="15.75" customHeight="1">
      <c r="A5341" s="1"/>
      <c r="B5341" s="1"/>
      <c r="C5341" s="1"/>
      <c r="D5341" s="1"/>
      <c r="E5341" s="1"/>
      <c r="F5341" s="1"/>
      <c r="G5341" s="1"/>
      <c r="H5341" s="1"/>
      <c r="I5341" s="1"/>
      <c r="J5341" s="1"/>
      <c r="K5341" s="102" t="s">
        <v>8333</v>
      </c>
      <c r="L5341" s="102" t="str">
        <f>G679</f>
        <v>J1a2b2a~</v>
      </c>
      <c r="M5341" s="102"/>
      <c r="N5341" s="102"/>
      <c r="O5341" s="102">
        <v>3716104.0</v>
      </c>
      <c r="P5341" s="102">
        <v>3848063.0</v>
      </c>
      <c r="Q5341" s="102" t="s">
        <v>2439</v>
      </c>
      <c r="S5341" s="1"/>
      <c r="T5341" s="1"/>
      <c r="U5341" s="1"/>
      <c r="V5341" s="1"/>
      <c r="W5341" s="1"/>
      <c r="X5341" s="1"/>
      <c r="Y5341" s="1"/>
      <c r="AA5341" s="102"/>
      <c r="AB5341" s="1"/>
      <c r="AC5341" s="1"/>
      <c r="AD5341" s="1"/>
      <c r="AE5341" s="1"/>
      <c r="AF5341" s="1"/>
      <c r="AG5341" s="1"/>
    </row>
    <row r="5342" ht="15.75" customHeight="1">
      <c r="A5342" s="1"/>
      <c r="B5342" s="1"/>
      <c r="C5342" s="1"/>
      <c r="D5342" s="1"/>
      <c r="E5342" s="1"/>
      <c r="F5342" s="1"/>
      <c r="G5342" s="1"/>
      <c r="H5342" s="1"/>
      <c r="I5342" s="1"/>
      <c r="J5342" s="1"/>
      <c r="K5342" s="102" t="s">
        <v>8334</v>
      </c>
      <c r="L5342" s="102" t="str">
        <f>G679</f>
        <v>J1a2b2a~</v>
      </c>
      <c r="M5342" s="102"/>
      <c r="N5342" s="102"/>
      <c r="O5342" s="105">
        <v>1.5700166E7</v>
      </c>
      <c r="P5342" s="105">
        <v>1.3588286E7</v>
      </c>
      <c r="Q5342" s="102" t="s">
        <v>2446</v>
      </c>
      <c r="S5342" s="1"/>
      <c r="T5342" s="1"/>
      <c r="U5342" s="1"/>
      <c r="V5342" s="1"/>
      <c r="W5342" s="1"/>
      <c r="X5342" s="1"/>
      <c r="Y5342" s="1"/>
      <c r="AA5342" s="102"/>
      <c r="AB5342" s="1"/>
      <c r="AC5342" s="1"/>
      <c r="AD5342" s="1"/>
      <c r="AE5342" s="1"/>
      <c r="AF5342" s="1"/>
      <c r="AG5342" s="1"/>
    </row>
    <row r="5343" ht="15.75" customHeight="1">
      <c r="A5343" s="1"/>
      <c r="B5343" s="1"/>
      <c r="C5343" s="1"/>
      <c r="D5343" s="1"/>
      <c r="E5343" s="1"/>
      <c r="F5343" s="1"/>
      <c r="G5343" s="1"/>
      <c r="H5343" s="1"/>
      <c r="I5343" s="1"/>
      <c r="J5343" s="1"/>
      <c r="K5343" s="102" t="s">
        <v>8335</v>
      </c>
      <c r="L5343" s="102" t="str">
        <f>G679</f>
        <v>J1a2b2a~</v>
      </c>
      <c r="M5343" s="102"/>
      <c r="N5343" s="102"/>
      <c r="O5343" s="105">
        <v>1.7338629E7</v>
      </c>
      <c r="P5343" s="105">
        <v>1.5226749E7</v>
      </c>
      <c r="Q5343" s="102" t="s">
        <v>2563</v>
      </c>
      <c r="S5343" s="1"/>
      <c r="T5343" s="1"/>
      <c r="U5343" s="1"/>
      <c r="V5343" s="1"/>
      <c r="W5343" s="1"/>
      <c r="X5343" s="1"/>
      <c r="Y5343" s="1"/>
      <c r="AA5343" s="102"/>
      <c r="AB5343" s="1"/>
      <c r="AC5343" s="1"/>
      <c r="AD5343" s="1"/>
      <c r="AE5343" s="1"/>
      <c r="AF5343" s="1"/>
      <c r="AG5343" s="1"/>
    </row>
    <row r="5344" ht="15.75" customHeight="1">
      <c r="A5344" s="1"/>
      <c r="B5344" s="1"/>
      <c r="C5344" s="1"/>
      <c r="D5344" s="1"/>
      <c r="E5344" s="1"/>
      <c r="F5344" s="1"/>
      <c r="G5344" s="1"/>
      <c r="H5344" s="1"/>
      <c r="I5344" s="1"/>
      <c r="J5344" s="1"/>
      <c r="K5344" s="102" t="s">
        <v>8336</v>
      </c>
      <c r="L5344" s="102" t="str">
        <f>G679</f>
        <v>J1a2b2a~</v>
      </c>
      <c r="M5344" s="102"/>
      <c r="N5344" s="102"/>
      <c r="O5344" s="105">
        <v>2.1905332E7</v>
      </c>
      <c r="P5344" s="105">
        <v>1.9743446E7</v>
      </c>
      <c r="Q5344" s="102" t="s">
        <v>2432</v>
      </c>
      <c r="S5344" s="1"/>
      <c r="T5344" s="1"/>
      <c r="U5344" s="1"/>
      <c r="V5344" s="1"/>
      <c r="W5344" s="1"/>
      <c r="X5344" s="1"/>
      <c r="Y5344" s="1"/>
      <c r="AA5344" s="102"/>
      <c r="AB5344" s="1"/>
      <c r="AC5344" s="1"/>
      <c r="AD5344" s="1"/>
      <c r="AE5344" s="1"/>
      <c r="AF5344" s="1"/>
      <c r="AG5344" s="1"/>
    </row>
    <row r="5345" ht="15.75" customHeight="1">
      <c r="A5345" s="1"/>
      <c r="B5345" s="1"/>
      <c r="C5345" s="1"/>
      <c r="D5345" s="1"/>
      <c r="E5345" s="1"/>
      <c r="F5345" s="1"/>
      <c r="G5345" s="1"/>
      <c r="H5345" s="1"/>
      <c r="I5345" s="1"/>
      <c r="J5345" s="1"/>
      <c r="K5345" s="102" t="s">
        <v>8337</v>
      </c>
      <c r="L5345" s="102" t="str">
        <f>G679</f>
        <v>J1a2b2a~</v>
      </c>
      <c r="M5345" s="102"/>
      <c r="N5345" s="102"/>
      <c r="O5345" s="105">
        <v>7244231.0</v>
      </c>
      <c r="P5345" s="105">
        <v>7376190.0</v>
      </c>
      <c r="Q5345" s="102" t="s">
        <v>2432</v>
      </c>
      <c r="S5345" s="1"/>
      <c r="T5345" s="1"/>
      <c r="U5345" s="1"/>
      <c r="V5345" s="1"/>
      <c r="W5345" s="1"/>
      <c r="X5345" s="1"/>
      <c r="Y5345" s="1"/>
      <c r="AA5345" s="102"/>
      <c r="AB5345" s="1"/>
      <c r="AC5345" s="1"/>
      <c r="AD5345" s="1"/>
      <c r="AE5345" s="1"/>
      <c r="AF5345" s="1"/>
      <c r="AG5345" s="1"/>
    </row>
    <row r="5346" ht="15.75" customHeight="1">
      <c r="A5346" s="1"/>
      <c r="B5346" s="1"/>
      <c r="C5346" s="1"/>
      <c r="D5346" s="1"/>
      <c r="E5346" s="1"/>
      <c r="F5346" s="1"/>
      <c r="G5346" s="1"/>
      <c r="H5346" s="1"/>
      <c r="I5346" s="1"/>
      <c r="J5346" s="1"/>
      <c r="K5346" s="102" t="s">
        <v>8338</v>
      </c>
      <c r="L5346" s="102" t="str">
        <f>G679</f>
        <v>J1a2b2a~</v>
      </c>
      <c r="M5346" s="102"/>
      <c r="N5346" s="102"/>
      <c r="O5346" s="105">
        <v>2.4378983E7</v>
      </c>
      <c r="P5346" s="105">
        <v>2.2232836E7</v>
      </c>
      <c r="Q5346" s="102" t="s">
        <v>2454</v>
      </c>
      <c r="S5346" s="1"/>
      <c r="T5346" s="1"/>
      <c r="U5346" s="1"/>
      <c r="V5346" s="1"/>
      <c r="W5346" s="1"/>
      <c r="X5346" s="1"/>
      <c r="Y5346" s="1"/>
      <c r="AA5346" s="102"/>
      <c r="AB5346" s="1"/>
      <c r="AC5346" s="1"/>
      <c r="AD5346" s="1"/>
      <c r="AE5346" s="1"/>
      <c r="AF5346" s="1"/>
      <c r="AG5346" s="1"/>
    </row>
    <row r="5347" ht="15.75" customHeight="1">
      <c r="A5347" s="1"/>
      <c r="B5347" s="1"/>
      <c r="C5347" s="1"/>
      <c r="D5347" s="1"/>
      <c r="E5347" s="1"/>
      <c r="F5347" s="1"/>
      <c r="G5347" s="1"/>
      <c r="H5347" s="1"/>
      <c r="I5347" s="1"/>
      <c r="J5347" s="1"/>
      <c r="K5347" s="102" t="s">
        <v>8339</v>
      </c>
      <c r="L5347" s="102" t="str">
        <f>G679</f>
        <v>J1a2b2a~</v>
      </c>
      <c r="M5347" s="102"/>
      <c r="N5347" s="102"/>
      <c r="O5347" s="105">
        <v>2795815.0</v>
      </c>
      <c r="P5347" s="105">
        <v>2927774.0</v>
      </c>
      <c r="Q5347" s="102" t="s">
        <v>2501</v>
      </c>
      <c r="S5347" s="1"/>
      <c r="T5347" s="1"/>
      <c r="U5347" s="1"/>
      <c r="V5347" s="1"/>
      <c r="W5347" s="1"/>
      <c r="X5347" s="1"/>
      <c r="Y5347" s="1"/>
      <c r="AA5347" s="102"/>
      <c r="AB5347" s="1"/>
      <c r="AC5347" s="1"/>
      <c r="AD5347" s="1"/>
      <c r="AE5347" s="1"/>
      <c r="AF5347" s="1"/>
      <c r="AG5347" s="1"/>
    </row>
    <row r="5348" ht="15.75" customHeight="1">
      <c r="A5348" s="1"/>
      <c r="B5348" s="1"/>
      <c r="C5348" s="1"/>
      <c r="D5348" s="1"/>
      <c r="E5348" s="1"/>
      <c r="F5348" s="1"/>
      <c r="G5348" s="1"/>
      <c r="H5348" s="1"/>
      <c r="I5348" s="1"/>
      <c r="J5348" s="1"/>
      <c r="K5348" s="102" t="s">
        <v>8340</v>
      </c>
      <c r="L5348" s="102" t="str">
        <f>G679</f>
        <v>J1a2b2a~</v>
      </c>
      <c r="M5348" s="102"/>
      <c r="N5348" s="102"/>
      <c r="O5348" s="105">
        <v>2889641.0</v>
      </c>
      <c r="P5348" s="105">
        <v>3021600.0</v>
      </c>
      <c r="Q5348" s="102" t="s">
        <v>2446</v>
      </c>
      <c r="S5348" s="1"/>
      <c r="T5348" s="1"/>
      <c r="U5348" s="1"/>
      <c r="V5348" s="1"/>
      <c r="W5348" s="1"/>
      <c r="X5348" s="1"/>
      <c r="Y5348" s="1"/>
      <c r="AA5348" s="102"/>
      <c r="AB5348" s="1"/>
      <c r="AC5348" s="1"/>
      <c r="AD5348" s="1"/>
      <c r="AE5348" s="1"/>
      <c r="AF5348" s="1"/>
      <c r="AG5348" s="1"/>
    </row>
    <row r="5349" ht="15.75" customHeight="1">
      <c r="A5349" s="1"/>
      <c r="B5349" s="1"/>
      <c r="C5349" s="1"/>
      <c r="D5349" s="1"/>
      <c r="E5349" s="1"/>
      <c r="F5349" s="1"/>
      <c r="G5349" s="1"/>
      <c r="H5349" s="1"/>
      <c r="I5349" s="1"/>
      <c r="J5349" s="1"/>
      <c r="K5349" s="102" t="s">
        <v>8341</v>
      </c>
      <c r="L5349" s="102" t="str">
        <f>G679</f>
        <v>J1a2b2a~</v>
      </c>
      <c r="M5349" s="102"/>
      <c r="N5349" s="102"/>
      <c r="O5349" s="105">
        <v>6859708.0</v>
      </c>
      <c r="P5349" s="105">
        <v>6991667.0</v>
      </c>
      <c r="Q5349" s="102" t="s">
        <v>2514</v>
      </c>
      <c r="S5349" s="1"/>
      <c r="T5349" s="1"/>
      <c r="U5349" s="1"/>
      <c r="V5349" s="1"/>
      <c r="W5349" s="1"/>
      <c r="X5349" s="1"/>
      <c r="Y5349" s="1"/>
      <c r="AA5349" s="102"/>
      <c r="AB5349" s="1"/>
      <c r="AC5349" s="1"/>
      <c r="AD5349" s="1"/>
      <c r="AE5349" s="1"/>
      <c r="AF5349" s="1"/>
      <c r="AG5349" s="1"/>
    </row>
    <row r="5350" ht="15.75" customHeight="1">
      <c r="A5350" s="1"/>
      <c r="B5350" s="1"/>
      <c r="C5350" s="1"/>
      <c r="D5350" s="1"/>
      <c r="E5350" s="1"/>
      <c r="F5350" s="1"/>
      <c r="G5350" s="1"/>
      <c r="H5350" s="1"/>
      <c r="I5350" s="1"/>
      <c r="J5350" s="1"/>
      <c r="K5350" s="102" t="s">
        <v>8342</v>
      </c>
      <c r="L5350" s="102" t="str">
        <f>G679</f>
        <v>J1a2b2a~</v>
      </c>
      <c r="M5350" s="102"/>
      <c r="N5350" s="102"/>
      <c r="O5350" s="105">
        <v>6970015.0</v>
      </c>
      <c r="P5350" s="105">
        <v>7101974.0</v>
      </c>
      <c r="Q5350" s="102" t="s">
        <v>2514</v>
      </c>
      <c r="S5350" s="1"/>
      <c r="T5350" s="1"/>
      <c r="U5350" s="1"/>
      <c r="V5350" s="1"/>
      <c r="W5350" s="1"/>
      <c r="X5350" s="1"/>
      <c r="Y5350" s="1"/>
      <c r="AA5350" s="102"/>
      <c r="AB5350" s="1"/>
      <c r="AC5350" s="1"/>
      <c r="AD5350" s="1"/>
      <c r="AE5350" s="1"/>
      <c r="AF5350" s="1"/>
      <c r="AG5350" s="1"/>
    </row>
    <row r="5351" ht="15.75" customHeight="1">
      <c r="A5351" s="1"/>
      <c r="B5351" s="1"/>
      <c r="C5351" s="1"/>
      <c r="D5351" s="1"/>
      <c r="E5351" s="1"/>
      <c r="F5351" s="1"/>
      <c r="G5351" s="1"/>
      <c r="H5351" s="1"/>
      <c r="I5351" s="1"/>
      <c r="J5351" s="1"/>
      <c r="K5351" s="102" t="s">
        <v>8343</v>
      </c>
      <c r="L5351" s="102" t="str">
        <f>G679</f>
        <v>J1a2b2a~</v>
      </c>
      <c r="M5351" s="102"/>
      <c r="N5351" s="102"/>
      <c r="O5351" s="105">
        <v>7868530.0</v>
      </c>
      <c r="P5351" s="105">
        <v>8000489.0</v>
      </c>
      <c r="Q5351" s="102" t="s">
        <v>2533</v>
      </c>
      <c r="S5351" s="1"/>
      <c r="T5351" s="1"/>
      <c r="U5351" s="1"/>
      <c r="V5351" s="1"/>
      <c r="W5351" s="1"/>
      <c r="X5351" s="1"/>
      <c r="Y5351" s="1"/>
      <c r="AA5351" s="102"/>
      <c r="AB5351" s="1"/>
      <c r="AC5351" s="1"/>
      <c r="AD5351" s="1"/>
      <c r="AE5351" s="1"/>
      <c r="AF5351" s="1"/>
      <c r="AG5351" s="1"/>
    </row>
    <row r="5352" ht="15.75" customHeight="1">
      <c r="A5352" s="1"/>
      <c r="B5352" s="1"/>
      <c r="C5352" s="1"/>
      <c r="D5352" s="1"/>
      <c r="E5352" s="1"/>
      <c r="F5352" s="1"/>
      <c r="G5352" s="1"/>
      <c r="H5352" s="1"/>
      <c r="I5352" s="1"/>
      <c r="J5352" s="1"/>
      <c r="K5352" s="102" t="s">
        <v>8344</v>
      </c>
      <c r="L5352" s="102" t="str">
        <f>G679</f>
        <v>J1a2b2a~</v>
      </c>
      <c r="M5352" s="102"/>
      <c r="N5352" s="102"/>
      <c r="O5352" s="105">
        <v>8026202.0</v>
      </c>
      <c r="P5352" s="105">
        <v>8158161.0</v>
      </c>
      <c r="Q5352" s="102" t="s">
        <v>2468</v>
      </c>
      <c r="S5352" s="1"/>
      <c r="T5352" s="1"/>
      <c r="U5352" s="1"/>
      <c r="V5352" s="1"/>
      <c r="W5352" s="1"/>
      <c r="X5352" s="1"/>
      <c r="Y5352" s="1"/>
      <c r="AA5352" s="102"/>
      <c r="AB5352" s="1"/>
      <c r="AC5352" s="1"/>
      <c r="AD5352" s="1"/>
      <c r="AE5352" s="1"/>
      <c r="AF5352" s="1"/>
      <c r="AG5352" s="1"/>
    </row>
    <row r="5353" ht="15.75" customHeight="1">
      <c r="A5353" s="1"/>
      <c r="B5353" s="1"/>
      <c r="C5353" s="1"/>
      <c r="D5353" s="1"/>
      <c r="E5353" s="1"/>
      <c r="F5353" s="1"/>
      <c r="G5353" s="1"/>
      <c r="H5353" s="1"/>
      <c r="I5353" s="1"/>
      <c r="J5353" s="1"/>
      <c r="K5353" s="102" t="s">
        <v>8345</v>
      </c>
      <c r="L5353" s="102" t="str">
        <f>G679</f>
        <v>J1a2b2a~</v>
      </c>
      <c r="M5353" s="102"/>
      <c r="N5353" s="102"/>
      <c r="O5353" s="105">
        <v>8508167.0</v>
      </c>
      <c r="P5353" s="105">
        <v>8640126.0</v>
      </c>
      <c r="Q5353" s="102" t="s">
        <v>2501</v>
      </c>
      <c r="S5353" s="1"/>
      <c r="T5353" s="1"/>
      <c r="U5353" s="1"/>
      <c r="V5353" s="1"/>
      <c r="W5353" s="1"/>
      <c r="X5353" s="1"/>
      <c r="Y5353" s="1"/>
      <c r="AA5353" s="102"/>
      <c r="AB5353" s="1"/>
      <c r="AC5353" s="1"/>
      <c r="AD5353" s="1"/>
      <c r="AE5353" s="1"/>
      <c r="AF5353" s="1"/>
      <c r="AG5353" s="1"/>
    </row>
    <row r="5354" ht="15.75" customHeight="1">
      <c r="A5354" s="1"/>
      <c r="B5354" s="1"/>
      <c r="C5354" s="1"/>
      <c r="D5354" s="1"/>
      <c r="E5354" s="1"/>
      <c r="F5354" s="1"/>
      <c r="G5354" s="1"/>
      <c r="H5354" s="1"/>
      <c r="I5354" s="1"/>
      <c r="J5354" s="1"/>
      <c r="K5354" s="102" t="s">
        <v>8346</v>
      </c>
      <c r="L5354" s="102" t="str">
        <f>G679</f>
        <v>J1a2b2a~</v>
      </c>
      <c r="M5354" s="102"/>
      <c r="N5354" s="102"/>
      <c r="O5354" s="105">
        <v>8528164.0</v>
      </c>
      <c r="P5354" s="105">
        <v>8660123.0</v>
      </c>
      <c r="Q5354" s="102" t="s">
        <v>2439</v>
      </c>
      <c r="S5354" s="1"/>
      <c r="T5354" s="1"/>
      <c r="U5354" s="1"/>
      <c r="V5354" s="1"/>
      <c r="W5354" s="1"/>
      <c r="X5354" s="1"/>
      <c r="Y5354" s="1"/>
      <c r="AA5354" s="102"/>
      <c r="AB5354" s="1"/>
      <c r="AC5354" s="1"/>
      <c r="AD5354" s="1"/>
      <c r="AE5354" s="1"/>
      <c r="AF5354" s="1"/>
      <c r="AG5354" s="1"/>
    </row>
    <row r="5355" ht="15.75" customHeight="1">
      <c r="A5355" s="1"/>
      <c r="B5355" s="1"/>
      <c r="C5355" s="1"/>
      <c r="D5355" s="1"/>
      <c r="E5355" s="1"/>
      <c r="F5355" s="1"/>
      <c r="G5355" s="1"/>
      <c r="H5355" s="1"/>
      <c r="I5355" s="1"/>
      <c r="J5355" s="1"/>
      <c r="K5355" s="102" t="s">
        <v>8347</v>
      </c>
      <c r="L5355" s="102" t="str">
        <f>G679</f>
        <v>J1a2b2a~</v>
      </c>
      <c r="M5355" s="102"/>
      <c r="N5355" s="102"/>
      <c r="O5355" s="105">
        <v>8577525.0</v>
      </c>
      <c r="P5355" s="105">
        <v>8709484.0</v>
      </c>
      <c r="Q5355" s="102" t="s">
        <v>2576</v>
      </c>
      <c r="S5355" s="1"/>
      <c r="T5355" s="1"/>
      <c r="U5355" s="1"/>
      <c r="V5355" s="1"/>
      <c r="W5355" s="1"/>
      <c r="X5355" s="1"/>
      <c r="Y5355" s="1"/>
      <c r="AA5355" s="102"/>
      <c r="AB5355" s="1"/>
      <c r="AC5355" s="1"/>
      <c r="AD5355" s="1"/>
      <c r="AE5355" s="1"/>
      <c r="AF5355" s="1"/>
      <c r="AG5355" s="1"/>
    </row>
    <row r="5356" ht="15.75" customHeight="1">
      <c r="A5356" s="1"/>
      <c r="B5356" s="1"/>
      <c r="C5356" s="1"/>
      <c r="D5356" s="1"/>
      <c r="E5356" s="1"/>
      <c r="F5356" s="1"/>
      <c r="G5356" s="1"/>
      <c r="H5356" s="1"/>
      <c r="I5356" s="1"/>
      <c r="J5356" s="1"/>
      <c r="K5356" s="102" t="s">
        <v>8348</v>
      </c>
      <c r="L5356" s="102" t="str">
        <f>G679</f>
        <v>J1a2b2a~</v>
      </c>
      <c r="M5356" s="102"/>
      <c r="N5356" s="102"/>
      <c r="O5356" s="105">
        <v>1.440434E7</v>
      </c>
      <c r="P5356" s="105">
        <v>1.2283637E7</v>
      </c>
      <c r="Q5356" s="102" t="s">
        <v>2446</v>
      </c>
      <c r="S5356" s="1"/>
      <c r="T5356" s="1"/>
      <c r="U5356" s="1"/>
      <c r="V5356" s="1"/>
      <c r="W5356" s="1"/>
      <c r="X5356" s="1"/>
      <c r="Y5356" s="1"/>
      <c r="AA5356" s="102"/>
      <c r="AB5356" s="1"/>
      <c r="AC5356" s="1"/>
      <c r="AD5356" s="1"/>
      <c r="AE5356" s="1"/>
      <c r="AF5356" s="1"/>
      <c r="AG5356" s="1"/>
    </row>
    <row r="5357" ht="15.75" customHeight="1">
      <c r="A5357" s="1"/>
      <c r="B5357" s="1"/>
      <c r="C5357" s="1"/>
      <c r="D5357" s="1"/>
      <c r="E5357" s="1"/>
      <c r="F5357" s="1"/>
      <c r="G5357" s="1"/>
      <c r="H5357" s="1"/>
      <c r="I5357" s="1"/>
      <c r="J5357" s="1"/>
      <c r="K5357" s="102" t="s">
        <v>8349</v>
      </c>
      <c r="L5357" s="102" t="str">
        <f>G679</f>
        <v>J1a2b2a~</v>
      </c>
      <c r="M5357" s="102"/>
      <c r="N5357" s="102"/>
      <c r="O5357" s="105">
        <v>1.5415005E7</v>
      </c>
      <c r="P5357" s="105">
        <v>1.3303125E7</v>
      </c>
      <c r="Q5357" s="102" t="s">
        <v>2501</v>
      </c>
      <c r="S5357" s="1"/>
      <c r="T5357" s="1"/>
      <c r="U5357" s="1"/>
      <c r="V5357" s="1"/>
      <c r="W5357" s="1"/>
      <c r="X5357" s="1"/>
      <c r="Y5357" s="1"/>
      <c r="AA5357" s="102"/>
      <c r="AB5357" s="1"/>
      <c r="AC5357" s="1"/>
      <c r="AD5357" s="1"/>
      <c r="AE5357" s="1"/>
      <c r="AF5357" s="1"/>
      <c r="AG5357" s="1"/>
    </row>
    <row r="5358" ht="15.75" customHeight="1">
      <c r="A5358" s="1"/>
      <c r="B5358" s="1"/>
      <c r="C5358" s="1"/>
      <c r="D5358" s="1"/>
      <c r="E5358" s="1"/>
      <c r="F5358" s="1"/>
      <c r="G5358" s="1"/>
      <c r="H5358" s="1"/>
      <c r="I5358" s="1"/>
      <c r="J5358" s="1"/>
      <c r="K5358" s="102" t="s">
        <v>8350</v>
      </c>
      <c r="L5358" s="102" t="str">
        <f>G679</f>
        <v>J1a2b2a~</v>
      </c>
      <c r="M5358" s="102"/>
      <c r="N5358" s="102"/>
      <c r="O5358" s="105">
        <v>1.5693349E7</v>
      </c>
      <c r="P5358" s="105">
        <v>1.3581469E7</v>
      </c>
      <c r="Q5358" s="102" t="s">
        <v>2501</v>
      </c>
      <c r="S5358" s="1"/>
      <c r="T5358" s="1"/>
      <c r="U5358" s="1"/>
      <c r="V5358" s="1"/>
      <c r="W5358" s="1"/>
      <c r="X5358" s="1"/>
      <c r="Y5358" s="1"/>
      <c r="AA5358" s="102"/>
      <c r="AB5358" s="1"/>
      <c r="AC5358" s="1"/>
      <c r="AD5358" s="1"/>
      <c r="AE5358" s="1"/>
      <c r="AF5358" s="1"/>
      <c r="AG5358" s="1"/>
    </row>
    <row r="5359" ht="15.75" customHeight="1">
      <c r="A5359" s="1"/>
      <c r="B5359" s="1"/>
      <c r="C5359" s="1"/>
      <c r="D5359" s="1"/>
      <c r="E5359" s="1"/>
      <c r="F5359" s="1"/>
      <c r="G5359" s="1"/>
      <c r="H5359" s="1"/>
      <c r="I5359" s="1"/>
      <c r="J5359" s="1"/>
      <c r="K5359" s="102" t="s">
        <v>8351</v>
      </c>
      <c r="L5359" s="102" t="str">
        <f>G679</f>
        <v>J1a2b2a~</v>
      </c>
      <c r="M5359" s="102"/>
      <c r="N5359" s="102"/>
      <c r="O5359" s="105">
        <v>1.6200843E7</v>
      </c>
      <c r="P5359" s="105">
        <v>1.4088963E7</v>
      </c>
      <c r="Q5359" s="102" t="s">
        <v>2529</v>
      </c>
      <c r="S5359" s="1"/>
      <c r="T5359" s="1"/>
      <c r="U5359" s="1"/>
      <c r="V5359" s="1"/>
      <c r="W5359" s="1"/>
      <c r="X5359" s="1"/>
      <c r="Y5359" s="1"/>
      <c r="AA5359" s="102"/>
      <c r="AB5359" s="1"/>
      <c r="AC5359" s="1"/>
      <c r="AD5359" s="1"/>
      <c r="AE5359" s="1"/>
      <c r="AF5359" s="1"/>
      <c r="AG5359" s="1"/>
    </row>
    <row r="5360" ht="15.75" customHeight="1">
      <c r="A5360" s="1"/>
      <c r="B5360" s="1"/>
      <c r="C5360" s="1"/>
      <c r="D5360" s="1"/>
      <c r="E5360" s="1"/>
      <c r="F5360" s="1"/>
      <c r="G5360" s="1"/>
      <c r="H5360" s="1"/>
      <c r="I5360" s="1"/>
      <c r="J5360" s="1"/>
      <c r="K5360" s="102" t="s">
        <v>8352</v>
      </c>
      <c r="L5360" s="102" t="str">
        <f>G679</f>
        <v>J1a2b2a~</v>
      </c>
      <c r="M5360" s="102"/>
      <c r="N5360" s="102"/>
      <c r="O5360" s="105">
        <v>1.7469533E7</v>
      </c>
      <c r="P5360" s="105">
        <v>1.5357653E7</v>
      </c>
      <c r="Q5360" s="102" t="s">
        <v>2432</v>
      </c>
      <c r="S5360" s="1"/>
      <c r="T5360" s="1"/>
      <c r="U5360" s="1"/>
      <c r="V5360" s="1"/>
      <c r="W5360" s="1"/>
      <c r="X5360" s="1"/>
      <c r="Y5360" s="1"/>
      <c r="AA5360" s="102"/>
      <c r="AB5360" s="1"/>
      <c r="AC5360" s="1"/>
      <c r="AD5360" s="1"/>
      <c r="AE5360" s="1"/>
      <c r="AF5360" s="1"/>
      <c r="AG5360" s="1"/>
    </row>
    <row r="5361" ht="15.75" customHeight="1">
      <c r="A5361" s="1"/>
      <c r="B5361" s="1"/>
      <c r="C5361" s="1"/>
      <c r="D5361" s="1"/>
      <c r="E5361" s="1"/>
      <c r="F5361" s="1"/>
      <c r="G5361" s="1"/>
      <c r="H5361" s="1"/>
      <c r="I5361" s="1"/>
      <c r="J5361" s="1"/>
      <c r="K5361" s="102" t="s">
        <v>8353</v>
      </c>
      <c r="L5361" s="102" t="str">
        <f>G679</f>
        <v>J1a2b2a~</v>
      </c>
      <c r="M5361" s="102"/>
      <c r="N5361" s="102"/>
      <c r="O5361" s="105">
        <v>1.8670616E7</v>
      </c>
      <c r="P5361" s="105">
        <v>1.6558736E7</v>
      </c>
      <c r="Q5361" s="102" t="s">
        <v>2501</v>
      </c>
      <c r="S5361" s="1"/>
      <c r="T5361" s="1"/>
      <c r="U5361" s="1"/>
      <c r="V5361" s="1"/>
      <c r="W5361" s="1"/>
      <c r="X5361" s="1"/>
      <c r="Y5361" s="1"/>
      <c r="AA5361" s="102"/>
      <c r="AB5361" s="1"/>
      <c r="AC5361" s="1"/>
      <c r="AD5361" s="1"/>
      <c r="AE5361" s="1"/>
      <c r="AF5361" s="1"/>
      <c r="AG5361" s="1"/>
    </row>
    <row r="5362" ht="15.75" customHeight="1">
      <c r="A5362" s="1"/>
      <c r="B5362" s="1"/>
      <c r="C5362" s="1"/>
      <c r="D5362" s="1"/>
      <c r="E5362" s="1"/>
      <c r="F5362" s="1"/>
      <c r="G5362" s="1"/>
      <c r="H5362" s="1"/>
      <c r="I5362" s="1"/>
      <c r="J5362" s="1"/>
      <c r="K5362" s="102" t="s">
        <v>8354</v>
      </c>
      <c r="L5362" s="102" t="str">
        <f>G679</f>
        <v>J1a2b2a~</v>
      </c>
      <c r="M5362" s="102"/>
      <c r="N5362" s="102"/>
      <c r="O5362" s="105">
        <v>1.9010862E7</v>
      </c>
      <c r="P5362" s="105">
        <v>1.6898982E7</v>
      </c>
      <c r="Q5362" s="102" t="s">
        <v>2501</v>
      </c>
      <c r="S5362" s="1"/>
      <c r="T5362" s="1"/>
      <c r="U5362" s="1"/>
      <c r="V5362" s="1"/>
      <c r="W5362" s="1"/>
      <c r="X5362" s="1"/>
      <c r="Y5362" s="1"/>
      <c r="AA5362" s="102"/>
      <c r="AB5362" s="1"/>
      <c r="AC5362" s="1"/>
      <c r="AD5362" s="1"/>
      <c r="AE5362" s="1"/>
      <c r="AF5362" s="1"/>
      <c r="AG5362" s="1"/>
    </row>
    <row r="5363" ht="15.75" customHeight="1">
      <c r="A5363" s="1"/>
      <c r="B5363" s="1"/>
      <c r="C5363" s="1"/>
      <c r="D5363" s="1"/>
      <c r="E5363" s="1"/>
      <c r="F5363" s="1"/>
      <c r="G5363" s="1"/>
      <c r="H5363" s="1"/>
      <c r="I5363" s="1"/>
      <c r="J5363" s="1"/>
      <c r="K5363" s="102" t="s">
        <v>8355</v>
      </c>
      <c r="L5363" s="102" t="str">
        <f>G679</f>
        <v>J1a2b2a~</v>
      </c>
      <c r="M5363" s="102"/>
      <c r="N5363" s="102"/>
      <c r="O5363" s="105">
        <v>1.9066581E7</v>
      </c>
      <c r="P5363" s="105">
        <v>1.6954701E7</v>
      </c>
      <c r="Q5363" s="102" t="s">
        <v>2576</v>
      </c>
      <c r="S5363" s="1"/>
      <c r="T5363" s="1"/>
      <c r="U5363" s="1"/>
      <c r="V5363" s="1"/>
      <c r="W5363" s="1"/>
      <c r="X5363" s="1"/>
      <c r="Y5363" s="1"/>
      <c r="AA5363" s="102"/>
      <c r="AB5363" s="1"/>
      <c r="AC5363" s="1"/>
      <c r="AD5363" s="1"/>
      <c r="AE5363" s="1"/>
      <c r="AF5363" s="1"/>
      <c r="AG5363" s="1"/>
    </row>
    <row r="5364" ht="15.75" customHeight="1">
      <c r="A5364" s="1"/>
      <c r="B5364" s="1"/>
      <c r="C5364" s="1"/>
      <c r="D5364" s="1"/>
      <c r="E5364" s="1"/>
      <c r="F5364" s="1"/>
      <c r="G5364" s="1"/>
      <c r="H5364" s="1"/>
      <c r="I5364" s="1"/>
      <c r="J5364" s="1"/>
      <c r="K5364" s="102" t="s">
        <v>8356</v>
      </c>
      <c r="L5364" s="102" t="str">
        <f>G679</f>
        <v>J1a2b2a~</v>
      </c>
      <c r="M5364" s="102"/>
      <c r="N5364" s="102"/>
      <c r="O5364" s="105">
        <v>1.9243589E7</v>
      </c>
      <c r="P5364" s="105">
        <v>1.7131709E7</v>
      </c>
      <c r="Q5364" s="102" t="s">
        <v>2468</v>
      </c>
      <c r="S5364" s="1"/>
      <c r="T5364" s="1"/>
      <c r="U5364" s="1"/>
      <c r="V5364" s="1"/>
      <c r="W5364" s="1"/>
      <c r="X5364" s="1"/>
      <c r="Y5364" s="1"/>
      <c r="AA5364" s="102"/>
      <c r="AB5364" s="1"/>
      <c r="AC5364" s="1"/>
      <c r="AD5364" s="1"/>
      <c r="AE5364" s="1"/>
      <c r="AF5364" s="1"/>
      <c r="AG5364" s="1"/>
    </row>
    <row r="5365" ht="15.75" customHeight="1">
      <c r="A5365" s="1"/>
      <c r="B5365" s="1"/>
      <c r="C5365" s="1"/>
      <c r="D5365" s="1"/>
      <c r="E5365" s="1"/>
      <c r="F5365" s="1"/>
      <c r="G5365" s="1"/>
      <c r="H5365" s="1"/>
      <c r="I5365" s="1"/>
      <c r="J5365" s="1"/>
      <c r="K5365" s="102" t="s">
        <v>8357</v>
      </c>
      <c r="L5365" s="102" t="str">
        <f>G679</f>
        <v>J1a2b2a~</v>
      </c>
      <c r="M5365" s="102"/>
      <c r="N5365" s="102"/>
      <c r="O5365" s="105">
        <v>1.9348243E7</v>
      </c>
      <c r="P5365" s="105">
        <v>1.7236363E7</v>
      </c>
      <c r="Q5365" s="102" t="s">
        <v>2454</v>
      </c>
      <c r="S5365" s="1"/>
      <c r="T5365" s="1"/>
      <c r="U5365" s="1"/>
      <c r="V5365" s="1"/>
      <c r="W5365" s="1"/>
      <c r="X5365" s="1"/>
      <c r="Y5365" s="1"/>
      <c r="AA5365" s="102"/>
      <c r="AB5365" s="1"/>
      <c r="AC5365" s="1"/>
      <c r="AD5365" s="1"/>
      <c r="AE5365" s="1"/>
      <c r="AF5365" s="1"/>
      <c r="AG5365" s="1"/>
    </row>
    <row r="5366" ht="15.75" customHeight="1">
      <c r="A5366" s="1"/>
      <c r="B5366" s="1"/>
      <c r="C5366" s="1"/>
      <c r="D5366" s="1"/>
      <c r="E5366" s="1"/>
      <c r="F5366" s="1"/>
      <c r="G5366" s="1"/>
      <c r="H5366" s="1"/>
      <c r="I5366" s="1"/>
      <c r="J5366" s="1"/>
      <c r="K5366" s="102" t="s">
        <v>8358</v>
      </c>
      <c r="L5366" s="102" t="str">
        <f>G679</f>
        <v>J1a2b2a~</v>
      </c>
      <c r="M5366" s="102"/>
      <c r="N5366" s="102"/>
      <c r="O5366" s="105">
        <v>2.1215301E7</v>
      </c>
      <c r="P5366" s="105">
        <v>1.9053415E7</v>
      </c>
      <c r="Q5366" s="102" t="s">
        <v>2501</v>
      </c>
      <c r="S5366" s="1"/>
      <c r="T5366" s="1"/>
      <c r="U5366" s="1"/>
      <c r="V5366" s="1"/>
      <c r="W5366" s="1"/>
      <c r="X5366" s="1"/>
      <c r="Y5366" s="1"/>
      <c r="AA5366" s="102"/>
      <c r="AB5366" s="1"/>
      <c r="AC5366" s="1"/>
      <c r="AD5366" s="1"/>
      <c r="AE5366" s="1"/>
      <c r="AF5366" s="1"/>
      <c r="AG5366" s="1"/>
    </row>
    <row r="5367" ht="15.75" customHeight="1">
      <c r="A5367" s="1"/>
      <c r="B5367" s="1"/>
      <c r="C5367" s="1"/>
      <c r="D5367" s="1"/>
      <c r="E5367" s="1"/>
      <c r="F5367" s="1"/>
      <c r="G5367" s="1"/>
      <c r="H5367" s="1"/>
      <c r="I5367" s="1"/>
      <c r="J5367" s="1"/>
      <c r="K5367" s="102" t="s">
        <v>8359</v>
      </c>
      <c r="L5367" s="102" t="str">
        <f>G679</f>
        <v>J1a2b2a~</v>
      </c>
      <c r="M5367" s="102"/>
      <c r="N5367" s="102"/>
      <c r="O5367" s="105">
        <v>2.1411904E7</v>
      </c>
      <c r="P5367" s="105">
        <v>1.9250018E7</v>
      </c>
      <c r="Q5367" s="102" t="s">
        <v>2468</v>
      </c>
      <c r="S5367" s="1"/>
      <c r="T5367" s="1"/>
      <c r="U5367" s="1"/>
      <c r="V5367" s="1"/>
      <c r="W5367" s="1"/>
      <c r="X5367" s="1"/>
      <c r="Y5367" s="1"/>
      <c r="AA5367" s="102"/>
      <c r="AB5367" s="1"/>
      <c r="AC5367" s="1"/>
      <c r="AD5367" s="1"/>
      <c r="AE5367" s="1"/>
      <c r="AF5367" s="1"/>
      <c r="AG5367" s="1"/>
    </row>
    <row r="5368" ht="15.75" customHeight="1">
      <c r="A5368" s="1"/>
      <c r="B5368" s="1"/>
      <c r="C5368" s="1"/>
      <c r="D5368" s="1"/>
      <c r="E5368" s="1"/>
      <c r="F5368" s="1"/>
      <c r="G5368" s="1"/>
      <c r="H5368" s="1"/>
      <c r="I5368" s="1"/>
      <c r="J5368" s="1"/>
      <c r="K5368" s="102" t="s">
        <v>8360</v>
      </c>
      <c r="L5368" s="102" t="str">
        <f>G679</f>
        <v>J1a2b2a~</v>
      </c>
      <c r="M5368" s="102"/>
      <c r="N5368" s="102"/>
      <c r="O5368" s="105">
        <v>2.1862635E7</v>
      </c>
      <c r="P5368" s="105">
        <v>1.9700749E7</v>
      </c>
      <c r="Q5368" s="102" t="s">
        <v>2439</v>
      </c>
      <c r="S5368" s="1"/>
      <c r="T5368" s="1"/>
      <c r="U5368" s="1"/>
      <c r="V5368" s="1"/>
      <c r="W5368" s="1"/>
      <c r="X5368" s="1"/>
      <c r="Y5368" s="1"/>
      <c r="AA5368" s="102"/>
      <c r="AB5368" s="1"/>
      <c r="AC5368" s="1"/>
      <c r="AD5368" s="1"/>
      <c r="AE5368" s="1"/>
      <c r="AF5368" s="1"/>
      <c r="AG5368" s="1"/>
    </row>
    <row r="5369" ht="15.75" customHeight="1">
      <c r="A5369" s="1"/>
      <c r="B5369" s="1"/>
      <c r="C5369" s="1"/>
      <c r="D5369" s="1"/>
      <c r="E5369" s="1"/>
      <c r="F5369" s="1"/>
      <c r="G5369" s="1"/>
      <c r="H5369" s="1"/>
      <c r="I5369" s="1"/>
      <c r="J5369" s="1"/>
      <c r="K5369" s="102" t="s">
        <v>8361</v>
      </c>
      <c r="L5369" s="102" t="str">
        <f>G679</f>
        <v>J1a2b2a~</v>
      </c>
      <c r="M5369" s="102"/>
      <c r="N5369" s="102"/>
      <c r="O5369" s="105">
        <v>2.2922895E7</v>
      </c>
      <c r="P5369" s="105">
        <v>2.0761009E7</v>
      </c>
      <c r="Q5369" s="102" t="s">
        <v>2501</v>
      </c>
      <c r="S5369" s="1"/>
      <c r="T5369" s="1"/>
      <c r="U5369" s="1"/>
      <c r="V5369" s="1"/>
      <c r="W5369" s="1"/>
      <c r="X5369" s="1"/>
      <c r="Y5369" s="1"/>
      <c r="AA5369" s="102"/>
      <c r="AB5369" s="1"/>
      <c r="AC5369" s="1"/>
      <c r="AD5369" s="1"/>
      <c r="AE5369" s="1"/>
      <c r="AF5369" s="1"/>
      <c r="AG5369" s="1"/>
    </row>
    <row r="5370" ht="15.75" customHeight="1">
      <c r="A5370" s="1"/>
      <c r="B5370" s="1"/>
      <c r="C5370" s="1"/>
      <c r="D5370" s="1"/>
      <c r="E5370" s="1"/>
      <c r="F5370" s="1"/>
      <c r="G5370" s="1"/>
      <c r="H5370" s="1"/>
      <c r="I5370" s="1"/>
      <c r="J5370" s="1"/>
      <c r="K5370" s="102" t="s">
        <v>8362</v>
      </c>
      <c r="L5370" s="102" t="str">
        <f>G679</f>
        <v>J1a2b2a~</v>
      </c>
      <c r="M5370" s="102"/>
      <c r="N5370" s="102"/>
      <c r="O5370" s="105">
        <v>2.3263075E7</v>
      </c>
      <c r="P5370" s="105">
        <v>2.1101189E7</v>
      </c>
      <c r="Q5370" s="102" t="s">
        <v>2439</v>
      </c>
      <c r="S5370" s="1"/>
      <c r="T5370" s="1"/>
      <c r="U5370" s="1"/>
      <c r="V5370" s="1"/>
      <c r="W5370" s="1"/>
      <c r="X5370" s="1"/>
      <c r="Y5370" s="1"/>
      <c r="AA5370" s="102"/>
      <c r="AB5370" s="1"/>
      <c r="AC5370" s="1"/>
      <c r="AD5370" s="1"/>
      <c r="AE5370" s="1"/>
      <c r="AF5370" s="1"/>
      <c r="AG5370" s="1"/>
    </row>
    <row r="5371" ht="15.75" customHeight="1">
      <c r="A5371" s="1"/>
      <c r="B5371" s="1"/>
      <c r="C5371" s="1"/>
      <c r="D5371" s="1"/>
      <c r="E5371" s="1"/>
      <c r="F5371" s="1"/>
      <c r="G5371" s="1"/>
      <c r="H5371" s="1"/>
      <c r="I5371" s="1"/>
      <c r="J5371" s="1"/>
      <c r="K5371" s="102" t="s">
        <v>8363</v>
      </c>
      <c r="L5371" s="102" t="str">
        <f>G679</f>
        <v>J1a2b2a~</v>
      </c>
      <c r="M5371" s="102"/>
      <c r="N5371" s="102" t="s">
        <v>8364</v>
      </c>
      <c r="O5371" s="105">
        <v>2.3292985E7</v>
      </c>
      <c r="P5371" s="105">
        <v>2.1131099E7</v>
      </c>
      <c r="Q5371" s="102" t="s">
        <v>2439</v>
      </c>
      <c r="S5371" s="1"/>
      <c r="T5371" s="1"/>
      <c r="U5371" s="1"/>
      <c r="V5371" s="1"/>
      <c r="W5371" s="1"/>
      <c r="X5371" s="1"/>
      <c r="Y5371" s="1"/>
      <c r="AA5371" s="102"/>
      <c r="AB5371" s="1"/>
      <c r="AC5371" s="1"/>
      <c r="AD5371" s="1"/>
      <c r="AE5371" s="1"/>
      <c r="AF5371" s="1"/>
      <c r="AG5371" s="1"/>
    </row>
    <row r="5372" ht="15.75" customHeight="1">
      <c r="A5372" s="1"/>
      <c r="B5372" s="1"/>
      <c r="C5372" s="1"/>
      <c r="D5372" s="1"/>
      <c r="E5372" s="1"/>
      <c r="F5372" s="1"/>
      <c r="G5372" s="1"/>
      <c r="H5372" s="1"/>
      <c r="I5372" s="1"/>
      <c r="J5372" s="1"/>
      <c r="K5372" s="102" t="s">
        <v>8365</v>
      </c>
      <c r="L5372" s="102" t="str">
        <f>G679</f>
        <v>J1a2b2a~</v>
      </c>
      <c r="M5372" s="102"/>
      <c r="N5372" s="102"/>
      <c r="O5372" s="105">
        <v>2.3529366E7</v>
      </c>
      <c r="P5372" s="105">
        <v>2.136748E7</v>
      </c>
      <c r="Q5372" s="102" t="s">
        <v>2432</v>
      </c>
      <c r="S5372" s="1"/>
      <c r="T5372" s="1"/>
      <c r="U5372" s="1"/>
      <c r="V5372" s="1"/>
      <c r="W5372" s="1"/>
      <c r="X5372" s="1"/>
      <c r="Y5372" s="1"/>
      <c r="AA5372" s="102"/>
      <c r="AB5372" s="1"/>
      <c r="AC5372" s="1"/>
      <c r="AD5372" s="1"/>
      <c r="AE5372" s="1"/>
      <c r="AF5372" s="1"/>
      <c r="AG5372" s="1"/>
    </row>
    <row r="5373" ht="15.75" customHeight="1">
      <c r="A5373" s="1"/>
      <c r="B5373" s="1"/>
      <c r="C5373" s="1"/>
      <c r="D5373" s="1"/>
      <c r="E5373" s="1"/>
      <c r="F5373" s="1"/>
      <c r="G5373" s="1"/>
      <c r="H5373" s="1"/>
      <c r="I5373" s="1"/>
      <c r="J5373" s="1"/>
      <c r="K5373" s="102" t="s">
        <v>8366</v>
      </c>
      <c r="L5373" s="102" t="str">
        <f>G679</f>
        <v>J1a2b2a~</v>
      </c>
      <c r="M5373" s="102"/>
      <c r="N5373" s="102"/>
      <c r="O5373" s="105">
        <v>2.4434494E7</v>
      </c>
      <c r="P5373" s="105">
        <v>2.2288347E7</v>
      </c>
      <c r="Q5373" s="102" t="s">
        <v>2576</v>
      </c>
      <c r="S5373" s="1"/>
      <c r="T5373" s="1"/>
      <c r="U5373" s="1"/>
      <c r="V5373" s="1"/>
      <c r="W5373" s="1"/>
      <c r="X5373" s="1"/>
      <c r="Y5373" s="1"/>
      <c r="AA5373" s="102"/>
      <c r="AB5373" s="1"/>
      <c r="AC5373" s="1"/>
      <c r="AD5373" s="1"/>
      <c r="AE5373" s="1"/>
      <c r="AF5373" s="1"/>
      <c r="AG5373" s="1"/>
    </row>
    <row r="5374" ht="15.75" customHeight="1">
      <c r="A5374" s="1"/>
      <c r="B5374" s="1"/>
      <c r="C5374" s="1"/>
      <c r="D5374" s="1"/>
      <c r="E5374" s="1"/>
      <c r="F5374" s="1"/>
      <c r="G5374" s="1"/>
      <c r="H5374" s="1"/>
      <c r="I5374" s="1"/>
      <c r="J5374" s="1"/>
      <c r="K5374" s="102" t="s">
        <v>8367</v>
      </c>
      <c r="L5374" s="102" t="str">
        <f>G679</f>
        <v>J1a2b2a~</v>
      </c>
      <c r="M5374" s="102"/>
      <c r="N5374" s="102"/>
      <c r="O5374" s="105">
        <v>2.443816E7</v>
      </c>
      <c r="P5374" s="105">
        <v>2.2292013E7</v>
      </c>
      <c r="Q5374" s="102" t="s">
        <v>2514</v>
      </c>
      <c r="S5374" s="1"/>
      <c r="T5374" s="1"/>
      <c r="U5374" s="1"/>
      <c r="V5374" s="1"/>
      <c r="W5374" s="1"/>
      <c r="X5374" s="1"/>
      <c r="Y5374" s="1"/>
      <c r="AA5374" s="102"/>
      <c r="AB5374" s="1"/>
      <c r="AC5374" s="1"/>
      <c r="AD5374" s="1"/>
      <c r="AE5374" s="1"/>
      <c r="AF5374" s="1"/>
      <c r="AG5374" s="1"/>
    </row>
    <row r="5375" ht="15.75" customHeight="1">
      <c r="A5375" s="1"/>
      <c r="B5375" s="1"/>
      <c r="C5375" s="1"/>
      <c r="D5375" s="1"/>
      <c r="E5375" s="1"/>
      <c r="F5375" s="1"/>
      <c r="G5375" s="1"/>
      <c r="H5375" s="1"/>
      <c r="I5375" s="1"/>
      <c r="J5375" s="1"/>
      <c r="K5375" s="102" t="s">
        <v>8368</v>
      </c>
      <c r="L5375" s="102" t="str">
        <f>G679</f>
        <v>J1a2b2a~</v>
      </c>
      <c r="M5375" s="102"/>
      <c r="N5375" s="102"/>
      <c r="O5375" s="105">
        <v>2.8785364E7</v>
      </c>
      <c r="P5375" s="105">
        <v>2.6639217E7</v>
      </c>
      <c r="Q5375" s="102" t="s">
        <v>2501</v>
      </c>
      <c r="S5375" s="1"/>
      <c r="T5375" s="1"/>
      <c r="U5375" s="1"/>
      <c r="V5375" s="1"/>
      <c r="W5375" s="1"/>
      <c r="X5375" s="1"/>
      <c r="Y5375" s="1"/>
      <c r="AA5375" s="102"/>
      <c r="AB5375" s="1"/>
      <c r="AC5375" s="1"/>
      <c r="AD5375" s="1"/>
      <c r="AE5375" s="1"/>
      <c r="AF5375" s="1"/>
      <c r="AG5375" s="1"/>
    </row>
    <row r="5376" ht="15.75" customHeight="1">
      <c r="A5376" s="1"/>
      <c r="B5376" s="1"/>
      <c r="C5376" s="1"/>
      <c r="D5376" s="1"/>
      <c r="E5376" s="1"/>
      <c r="F5376" s="1"/>
      <c r="G5376" s="1"/>
      <c r="H5376" s="1"/>
      <c r="I5376" s="1"/>
      <c r="J5376" s="1"/>
      <c r="K5376" s="102" t="s">
        <v>8369</v>
      </c>
      <c r="L5376" s="102" t="str">
        <f>G679</f>
        <v>J1a2b2a~</v>
      </c>
      <c r="M5376" s="102"/>
      <c r="N5376" s="102"/>
      <c r="O5376" s="105">
        <v>8541798.0</v>
      </c>
      <c r="P5376" s="105">
        <v>8673757.0</v>
      </c>
      <c r="Q5376" s="102" t="s">
        <v>2432</v>
      </c>
      <c r="S5376" s="1"/>
      <c r="T5376" s="1"/>
      <c r="U5376" s="1"/>
      <c r="V5376" s="1"/>
      <c r="W5376" s="1"/>
      <c r="X5376" s="1"/>
      <c r="Y5376" s="1"/>
      <c r="AA5376" s="102"/>
      <c r="AB5376" s="1"/>
      <c r="AC5376" s="1"/>
      <c r="AD5376" s="1"/>
      <c r="AE5376" s="1"/>
      <c r="AF5376" s="1"/>
      <c r="AG5376" s="1"/>
    </row>
    <row r="5377" ht="15.75" customHeight="1">
      <c r="A5377" s="1"/>
      <c r="B5377" s="1"/>
      <c r="C5377" s="1"/>
      <c r="D5377" s="1"/>
      <c r="E5377" s="1"/>
      <c r="F5377" s="1"/>
      <c r="G5377" s="1"/>
      <c r="H5377" s="1"/>
      <c r="I5377" s="1"/>
      <c r="J5377" s="1"/>
      <c r="K5377" s="102" t="s">
        <v>8370</v>
      </c>
      <c r="L5377" s="102" t="str">
        <f>G679</f>
        <v>J1a2b2a~</v>
      </c>
      <c r="M5377" s="102"/>
      <c r="N5377" s="102"/>
      <c r="O5377" s="105">
        <v>1.5979417E7</v>
      </c>
      <c r="P5377" s="105">
        <v>1.3867537E7</v>
      </c>
      <c r="Q5377" s="102" t="s">
        <v>2439</v>
      </c>
      <c r="S5377" s="1"/>
      <c r="T5377" s="1"/>
      <c r="U5377" s="1"/>
      <c r="V5377" s="1"/>
      <c r="W5377" s="1"/>
      <c r="X5377" s="1"/>
      <c r="Y5377" s="1"/>
      <c r="AA5377" s="102"/>
      <c r="AB5377" s="1"/>
      <c r="AC5377" s="1"/>
      <c r="AD5377" s="1"/>
      <c r="AE5377" s="1"/>
      <c r="AF5377" s="1"/>
      <c r="AG5377" s="1"/>
    </row>
    <row r="5378" ht="15.75" customHeight="1">
      <c r="A5378" s="1"/>
      <c r="B5378" s="1"/>
      <c r="C5378" s="1"/>
      <c r="D5378" s="1"/>
      <c r="E5378" s="1"/>
      <c r="F5378" s="1"/>
      <c r="G5378" s="1"/>
      <c r="H5378" s="1"/>
      <c r="I5378" s="1"/>
      <c r="J5378" s="1"/>
      <c r="K5378" s="102" t="s">
        <v>8371</v>
      </c>
      <c r="L5378" s="102" t="str">
        <f>H680</f>
        <v>J1a2b2a1~</v>
      </c>
      <c r="M5378" s="102" t="s">
        <v>8372</v>
      </c>
      <c r="N5378" s="102"/>
      <c r="O5378" s="105">
        <v>2706759.0</v>
      </c>
      <c r="P5378" s="105">
        <v>2838718.0</v>
      </c>
      <c r="Q5378" s="102" t="s">
        <v>2439</v>
      </c>
      <c r="S5378" s="1"/>
      <c r="T5378" s="1"/>
      <c r="U5378" s="1"/>
      <c r="V5378" s="1"/>
      <c r="W5378" s="1"/>
      <c r="X5378" s="1"/>
      <c r="Y5378" s="1"/>
      <c r="AA5378" s="102"/>
      <c r="AB5378" s="1"/>
      <c r="AC5378" s="1"/>
      <c r="AD5378" s="1"/>
      <c r="AE5378" s="1"/>
      <c r="AF5378" s="1"/>
      <c r="AG5378" s="1"/>
    </row>
    <row r="5379" ht="15.75" customHeight="1">
      <c r="A5379" s="1"/>
      <c r="B5379" s="1"/>
      <c r="C5379" s="1"/>
      <c r="D5379" s="1"/>
      <c r="E5379" s="1"/>
      <c r="F5379" s="1"/>
      <c r="G5379" s="1"/>
      <c r="H5379" s="1"/>
      <c r="I5379" s="1"/>
      <c r="J5379" s="1"/>
      <c r="K5379" s="102" t="s">
        <v>8372</v>
      </c>
      <c r="L5379" s="102" t="str">
        <f>H680</f>
        <v>J1a2b2a1~</v>
      </c>
      <c r="M5379" s="102" t="s">
        <v>8371</v>
      </c>
      <c r="N5379" s="102"/>
      <c r="O5379" s="105">
        <v>2706759.0</v>
      </c>
      <c r="P5379" s="105">
        <v>2838718.0</v>
      </c>
      <c r="Q5379" s="102" t="s">
        <v>2439</v>
      </c>
      <c r="S5379" s="1"/>
      <c r="T5379" s="1"/>
      <c r="U5379" s="1"/>
      <c r="V5379" s="1"/>
      <c r="W5379" s="1"/>
      <c r="X5379" s="1"/>
      <c r="Y5379" s="1"/>
      <c r="AA5379" s="102"/>
      <c r="AB5379" s="1"/>
      <c r="AC5379" s="1"/>
      <c r="AD5379" s="1"/>
      <c r="AE5379" s="1"/>
      <c r="AF5379" s="1"/>
      <c r="AG5379" s="1"/>
    </row>
    <row r="5380" ht="15.75" customHeight="1">
      <c r="A5380" s="1"/>
      <c r="B5380" s="1"/>
      <c r="C5380" s="1"/>
      <c r="D5380" s="1"/>
      <c r="E5380" s="1"/>
      <c r="F5380" s="1"/>
      <c r="G5380" s="1"/>
      <c r="H5380" s="1"/>
      <c r="I5380" s="1"/>
      <c r="J5380" s="1"/>
      <c r="K5380" s="102" t="s">
        <v>8373</v>
      </c>
      <c r="L5380" s="102" t="str">
        <f>H680</f>
        <v>J1a2b2a1~</v>
      </c>
      <c r="M5380" s="102"/>
      <c r="N5380" s="102"/>
      <c r="O5380" s="105">
        <v>1.5545626E7</v>
      </c>
      <c r="P5380" s="105">
        <v>1.3433746E7</v>
      </c>
      <c r="Q5380" s="102" t="s">
        <v>2432</v>
      </c>
      <c r="S5380" s="1"/>
      <c r="T5380" s="1"/>
      <c r="U5380" s="1"/>
      <c r="V5380" s="1"/>
      <c r="W5380" s="1"/>
      <c r="X5380" s="1"/>
      <c r="Y5380" s="1"/>
      <c r="AA5380" s="102"/>
      <c r="AB5380" s="1"/>
      <c r="AC5380" s="1"/>
      <c r="AD5380" s="1"/>
      <c r="AE5380" s="1"/>
      <c r="AF5380" s="1"/>
      <c r="AG5380" s="1"/>
    </row>
    <row r="5381" ht="15.75" customHeight="1">
      <c r="A5381" s="1"/>
      <c r="B5381" s="1"/>
      <c r="C5381" s="1"/>
      <c r="D5381" s="1"/>
      <c r="E5381" s="1"/>
      <c r="F5381" s="1"/>
      <c r="G5381" s="1"/>
      <c r="H5381" s="1"/>
      <c r="I5381" s="1"/>
      <c r="J5381" s="1"/>
      <c r="K5381" s="102" t="s">
        <v>8374</v>
      </c>
      <c r="L5381" s="102" t="str">
        <f>H680</f>
        <v>J1a2b2a1~</v>
      </c>
      <c r="M5381" s="102"/>
      <c r="N5381" s="102"/>
      <c r="O5381" s="105">
        <v>1.6223818E7</v>
      </c>
      <c r="P5381" s="105">
        <v>1.4111938E7</v>
      </c>
      <c r="Q5381" s="102" t="s">
        <v>2529</v>
      </c>
      <c r="S5381" s="1"/>
      <c r="T5381" s="1"/>
      <c r="U5381" s="1"/>
      <c r="V5381" s="1"/>
      <c r="W5381" s="1"/>
      <c r="X5381" s="1"/>
      <c r="Y5381" s="1"/>
      <c r="AA5381" s="102"/>
      <c r="AB5381" s="1"/>
      <c r="AC5381" s="1"/>
      <c r="AD5381" s="1"/>
      <c r="AE5381" s="1"/>
      <c r="AF5381" s="1"/>
      <c r="AG5381" s="1"/>
    </row>
    <row r="5382" ht="15.75" customHeight="1">
      <c r="A5382" s="1"/>
      <c r="B5382" s="1"/>
      <c r="C5382" s="1"/>
      <c r="D5382" s="1"/>
      <c r="E5382" s="1"/>
      <c r="F5382" s="1"/>
      <c r="G5382" s="1"/>
      <c r="H5382" s="1"/>
      <c r="I5382" s="1"/>
      <c r="J5382" s="1"/>
      <c r="K5382" s="102" t="s">
        <v>8375</v>
      </c>
      <c r="L5382" s="102" t="str">
        <f t="shared" ref="L5382:L5383" si="118">H680</f>
        <v>J1a2b2a1~</v>
      </c>
      <c r="M5382" s="102"/>
      <c r="N5382" s="102"/>
      <c r="O5382" s="105">
        <v>8817309.0</v>
      </c>
      <c r="P5382" s="105">
        <v>8949268.0</v>
      </c>
      <c r="Q5382" s="102" t="s">
        <v>2501</v>
      </c>
      <c r="S5382" s="1"/>
      <c r="T5382" s="1"/>
      <c r="U5382" s="1"/>
      <c r="V5382" s="1"/>
      <c r="W5382" s="1"/>
      <c r="X5382" s="1"/>
      <c r="Y5382" s="1"/>
      <c r="AA5382" s="102"/>
      <c r="AB5382" s="1"/>
      <c r="AC5382" s="1"/>
      <c r="AD5382" s="1"/>
      <c r="AE5382" s="1"/>
      <c r="AF5382" s="1"/>
      <c r="AG5382" s="1"/>
    </row>
    <row r="5383" ht="15.75" customHeight="1">
      <c r="A5383" s="1"/>
      <c r="B5383" s="1"/>
      <c r="C5383" s="1"/>
      <c r="D5383" s="1"/>
      <c r="E5383" s="1"/>
      <c r="F5383" s="1"/>
      <c r="G5383" s="1"/>
      <c r="H5383" s="1"/>
      <c r="I5383" s="1"/>
      <c r="J5383" s="1"/>
      <c r="K5383" s="102" t="s">
        <v>8376</v>
      </c>
      <c r="L5383" s="102" t="str">
        <f t="shared" si="118"/>
        <v>J1a2b2a2~</v>
      </c>
      <c r="M5383" s="102"/>
      <c r="N5383" s="102"/>
      <c r="O5383" s="105">
        <v>2887688.0</v>
      </c>
      <c r="P5383" s="105">
        <v>3019647.0</v>
      </c>
      <c r="Q5383" s="102" t="s">
        <v>2439</v>
      </c>
      <c r="S5383" s="1"/>
      <c r="T5383" s="1"/>
      <c r="U5383" s="1"/>
      <c r="V5383" s="1"/>
      <c r="W5383" s="1"/>
      <c r="X5383" s="1"/>
      <c r="Y5383" s="1"/>
      <c r="AA5383" s="102"/>
      <c r="AB5383" s="1"/>
      <c r="AC5383" s="1"/>
      <c r="AD5383" s="1"/>
      <c r="AE5383" s="1"/>
      <c r="AF5383" s="1"/>
      <c r="AG5383" s="1"/>
    </row>
    <row r="5384" ht="15.75" customHeight="1">
      <c r="A5384" s="1"/>
      <c r="B5384" s="1"/>
      <c r="C5384" s="1"/>
      <c r="D5384" s="1"/>
      <c r="E5384" s="1"/>
      <c r="F5384" s="1"/>
      <c r="G5384" s="1"/>
      <c r="H5384" s="1"/>
      <c r="I5384" s="1"/>
      <c r="J5384" s="1"/>
      <c r="K5384" s="102" t="s">
        <v>8377</v>
      </c>
      <c r="L5384" s="102" t="str">
        <f>H681</f>
        <v>J1a2b2a2~</v>
      </c>
      <c r="M5384" s="102"/>
      <c r="N5384" s="102"/>
      <c r="O5384" s="105">
        <v>7804516.0</v>
      </c>
      <c r="P5384" s="105">
        <v>7936475.0</v>
      </c>
      <c r="Q5384" s="102" t="s">
        <v>2533</v>
      </c>
      <c r="S5384" s="1"/>
      <c r="T5384" s="1"/>
      <c r="U5384" s="1"/>
      <c r="V5384" s="1"/>
      <c r="W5384" s="1"/>
      <c r="X5384" s="1"/>
      <c r="Y5384" s="1"/>
      <c r="AA5384" s="102"/>
      <c r="AB5384" s="1"/>
      <c r="AC5384" s="1"/>
      <c r="AD5384" s="1"/>
      <c r="AE5384" s="1"/>
      <c r="AF5384" s="1"/>
      <c r="AG5384" s="1"/>
    </row>
    <row r="5385" ht="15.75" customHeight="1">
      <c r="A5385" s="1"/>
      <c r="B5385" s="1"/>
      <c r="C5385" s="1"/>
      <c r="D5385" s="1"/>
      <c r="E5385" s="1"/>
      <c r="F5385" s="1"/>
      <c r="G5385" s="1"/>
      <c r="H5385" s="1"/>
      <c r="I5385" s="1"/>
      <c r="J5385" s="1"/>
      <c r="K5385" s="102" t="s">
        <v>8369</v>
      </c>
      <c r="L5385" s="102" t="str">
        <f>H681</f>
        <v>J1a2b2a2~</v>
      </c>
      <c r="M5385" s="102"/>
      <c r="N5385" s="102"/>
      <c r="O5385" s="105">
        <v>8541798.0</v>
      </c>
      <c r="P5385" s="105">
        <v>8673757.0</v>
      </c>
      <c r="Q5385" s="102" t="s">
        <v>2432</v>
      </c>
      <c r="S5385" s="1"/>
      <c r="T5385" s="1"/>
      <c r="U5385" s="1"/>
      <c r="V5385" s="1"/>
      <c r="W5385" s="1"/>
      <c r="X5385" s="1"/>
      <c r="Y5385" s="1"/>
      <c r="AA5385" s="102"/>
      <c r="AB5385" s="1"/>
      <c r="AC5385" s="1"/>
      <c r="AD5385" s="1"/>
      <c r="AE5385" s="1"/>
      <c r="AF5385" s="1"/>
      <c r="AG5385" s="1"/>
    </row>
    <row r="5386" ht="15.75" customHeight="1">
      <c r="A5386" s="1"/>
      <c r="B5386" s="1"/>
      <c r="C5386" s="1"/>
      <c r="D5386" s="1"/>
      <c r="E5386" s="1"/>
      <c r="F5386" s="1"/>
      <c r="G5386" s="1"/>
      <c r="H5386" s="1"/>
      <c r="I5386" s="1"/>
      <c r="J5386" s="1"/>
      <c r="K5386" s="102" t="s">
        <v>8378</v>
      </c>
      <c r="L5386" s="102" t="str">
        <f>H681</f>
        <v>J1a2b2a2~</v>
      </c>
      <c r="M5386" s="102"/>
      <c r="N5386" s="102"/>
      <c r="O5386" s="105">
        <v>8866781.0</v>
      </c>
      <c r="P5386" s="105">
        <v>8998740.0</v>
      </c>
      <c r="Q5386" s="102" t="s">
        <v>2468</v>
      </c>
      <c r="S5386" s="1"/>
      <c r="T5386" s="1"/>
      <c r="U5386" s="1"/>
      <c r="V5386" s="1"/>
      <c r="W5386" s="1"/>
      <c r="X5386" s="1"/>
      <c r="Y5386" s="1"/>
      <c r="AA5386" s="102"/>
      <c r="AB5386" s="1"/>
      <c r="AC5386" s="1"/>
      <c r="AD5386" s="1"/>
      <c r="AE5386" s="1"/>
      <c r="AF5386" s="1"/>
      <c r="AG5386" s="1"/>
    </row>
    <row r="5387" ht="15.75" customHeight="1">
      <c r="A5387" s="1"/>
      <c r="B5387" s="1"/>
      <c r="C5387" s="1"/>
      <c r="D5387" s="1"/>
      <c r="E5387" s="1"/>
      <c r="F5387" s="1"/>
      <c r="G5387" s="1"/>
      <c r="H5387" s="1"/>
      <c r="I5387" s="1"/>
      <c r="J5387" s="1"/>
      <c r="K5387" s="102" t="s">
        <v>8379</v>
      </c>
      <c r="L5387" s="102" t="str">
        <f>H681</f>
        <v>J1a2b2a2~</v>
      </c>
      <c r="M5387" s="102"/>
      <c r="N5387" s="102"/>
      <c r="O5387" s="105">
        <v>1.403843E7</v>
      </c>
      <c r="P5387" s="105">
        <v>1.1917724E7</v>
      </c>
      <c r="Q5387" s="102" t="s">
        <v>2533</v>
      </c>
      <c r="S5387" s="1"/>
      <c r="T5387" s="1"/>
      <c r="U5387" s="1"/>
      <c r="V5387" s="1"/>
      <c r="W5387" s="1"/>
      <c r="X5387" s="1"/>
      <c r="Y5387" s="1"/>
      <c r="AA5387" s="102"/>
      <c r="AB5387" s="1"/>
      <c r="AC5387" s="1"/>
      <c r="AD5387" s="1"/>
      <c r="AE5387" s="1"/>
      <c r="AF5387" s="1"/>
      <c r="AG5387" s="1"/>
    </row>
    <row r="5388" ht="15.75" customHeight="1">
      <c r="A5388" s="1"/>
      <c r="B5388" s="1"/>
      <c r="C5388" s="1"/>
      <c r="D5388" s="1"/>
      <c r="E5388" s="1"/>
      <c r="F5388" s="1"/>
      <c r="G5388" s="1"/>
      <c r="H5388" s="1"/>
      <c r="I5388" s="1"/>
      <c r="J5388" s="1"/>
      <c r="K5388" s="102" t="s">
        <v>8380</v>
      </c>
      <c r="L5388" s="102" t="str">
        <f>G682</f>
        <v>J1a2b2b~</v>
      </c>
      <c r="M5388" s="102"/>
      <c r="N5388" s="102" t="s">
        <v>8381</v>
      </c>
      <c r="O5388" s="105">
        <v>7167324.0</v>
      </c>
      <c r="P5388" s="105">
        <v>7299283.0</v>
      </c>
      <c r="Q5388" s="102" t="s">
        <v>2439</v>
      </c>
      <c r="S5388" s="1"/>
      <c r="T5388" s="1"/>
      <c r="U5388" s="1"/>
      <c r="V5388" s="1"/>
      <c r="W5388" s="1"/>
      <c r="X5388" s="1"/>
      <c r="Y5388" s="1"/>
      <c r="AA5388" s="102"/>
      <c r="AB5388" s="1"/>
      <c r="AC5388" s="1"/>
      <c r="AD5388" s="1"/>
      <c r="AE5388" s="1"/>
      <c r="AF5388" s="1"/>
      <c r="AG5388" s="1"/>
    </row>
    <row r="5389" ht="15.75" customHeight="1">
      <c r="A5389" s="1"/>
      <c r="B5389" s="1"/>
      <c r="C5389" s="1"/>
      <c r="D5389" s="1"/>
      <c r="E5389" s="1"/>
      <c r="F5389" s="1"/>
      <c r="G5389" s="1"/>
      <c r="H5389" s="1"/>
      <c r="I5389" s="1"/>
      <c r="J5389" s="1"/>
      <c r="K5389" s="102" t="s">
        <v>8382</v>
      </c>
      <c r="L5389" s="102" t="str">
        <f>G682</f>
        <v>J1a2b2b~</v>
      </c>
      <c r="M5389" s="102"/>
      <c r="N5389" s="102" t="s">
        <v>8383</v>
      </c>
      <c r="O5389" s="105">
        <v>1.578934E7</v>
      </c>
      <c r="P5389" s="105">
        <v>1.367746E7</v>
      </c>
      <c r="Q5389" s="102" t="s">
        <v>2423</v>
      </c>
      <c r="S5389" s="1"/>
      <c r="T5389" s="1"/>
      <c r="U5389" s="1"/>
      <c r="V5389" s="1"/>
      <c r="W5389" s="1"/>
      <c r="X5389" s="1"/>
      <c r="Y5389" s="1"/>
      <c r="AA5389" s="102"/>
      <c r="AB5389" s="1"/>
      <c r="AC5389" s="1"/>
      <c r="AD5389" s="1"/>
      <c r="AE5389" s="1"/>
      <c r="AF5389" s="1"/>
      <c r="AG5389" s="1"/>
    </row>
    <row r="5390" ht="15.75" customHeight="1">
      <c r="A5390" s="1"/>
      <c r="B5390" s="1"/>
      <c r="C5390" s="1"/>
      <c r="D5390" s="1"/>
      <c r="E5390" s="1"/>
      <c r="F5390" s="1"/>
      <c r="G5390" s="1"/>
      <c r="H5390" s="1"/>
      <c r="I5390" s="1"/>
      <c r="J5390" s="1"/>
      <c r="K5390" s="102" t="s">
        <v>8384</v>
      </c>
      <c r="L5390" s="102" t="str">
        <f>G682</f>
        <v>J1a2b2b~</v>
      </c>
      <c r="M5390" s="102"/>
      <c r="N5390" s="102" t="s">
        <v>8385</v>
      </c>
      <c r="O5390" s="105">
        <v>7079251.0</v>
      </c>
      <c r="P5390" s="105">
        <v>7211210.0</v>
      </c>
      <c r="Q5390" s="102" t="s">
        <v>2533</v>
      </c>
      <c r="S5390" s="1"/>
      <c r="T5390" s="1"/>
      <c r="U5390" s="1"/>
      <c r="V5390" s="1"/>
      <c r="W5390" s="1"/>
      <c r="X5390" s="1"/>
      <c r="Y5390" s="1"/>
      <c r="AA5390" s="102"/>
      <c r="AB5390" s="1"/>
      <c r="AC5390" s="1"/>
      <c r="AD5390" s="1"/>
      <c r="AE5390" s="1"/>
      <c r="AF5390" s="1"/>
      <c r="AG5390" s="1"/>
    </row>
    <row r="5391" ht="15.75" customHeight="1">
      <c r="A5391" s="1"/>
      <c r="B5391" s="1"/>
      <c r="C5391" s="1"/>
      <c r="D5391" s="1"/>
      <c r="E5391" s="1"/>
      <c r="F5391" s="1"/>
      <c r="G5391" s="1"/>
      <c r="H5391" s="1"/>
      <c r="I5391" s="1"/>
      <c r="J5391" s="1"/>
      <c r="K5391" s="102" t="s">
        <v>8386</v>
      </c>
      <c r="L5391" s="102" t="str">
        <f>G682</f>
        <v>J1a2b2b~</v>
      </c>
      <c r="M5391" s="102"/>
      <c r="N5391" s="102" t="s">
        <v>8387</v>
      </c>
      <c r="O5391" s="105">
        <v>7761249.0</v>
      </c>
      <c r="P5391" s="105">
        <v>7893208.0</v>
      </c>
      <c r="Q5391" s="102" t="s">
        <v>2501</v>
      </c>
      <c r="S5391" s="1"/>
      <c r="T5391" s="1"/>
      <c r="U5391" s="1"/>
      <c r="V5391" s="1"/>
      <c r="W5391" s="1"/>
      <c r="X5391" s="1"/>
      <c r="Y5391" s="1"/>
      <c r="AA5391" s="102"/>
      <c r="AB5391" s="1"/>
      <c r="AC5391" s="1"/>
      <c r="AD5391" s="1"/>
      <c r="AE5391" s="1"/>
      <c r="AF5391" s="1"/>
      <c r="AG5391" s="1"/>
    </row>
    <row r="5392" ht="15.75" customHeight="1">
      <c r="A5392" s="1"/>
      <c r="B5392" s="1"/>
      <c r="C5392" s="1"/>
      <c r="D5392" s="1"/>
      <c r="E5392" s="1"/>
      <c r="F5392" s="1"/>
      <c r="G5392" s="1"/>
      <c r="H5392" s="1"/>
      <c r="I5392" s="1"/>
      <c r="J5392" s="1"/>
      <c r="K5392" s="102" t="s">
        <v>8388</v>
      </c>
      <c r="L5392" s="102" t="str">
        <f>G682</f>
        <v>J1a2b2b~</v>
      </c>
      <c r="M5392" s="102"/>
      <c r="N5392" s="102" t="s">
        <v>8389</v>
      </c>
      <c r="O5392" s="105">
        <v>1.4278431E7</v>
      </c>
      <c r="P5392" s="105">
        <v>1.2157725E7</v>
      </c>
      <c r="Q5392" s="102" t="s">
        <v>2446</v>
      </c>
      <c r="S5392" s="1"/>
      <c r="T5392" s="1"/>
      <c r="U5392" s="1"/>
      <c r="V5392" s="1"/>
      <c r="W5392" s="1"/>
      <c r="X5392" s="1"/>
      <c r="Y5392" s="1"/>
      <c r="AA5392" s="102"/>
      <c r="AB5392" s="1"/>
      <c r="AC5392" s="1"/>
      <c r="AD5392" s="1"/>
      <c r="AE5392" s="1"/>
      <c r="AF5392" s="1"/>
      <c r="AG5392" s="1"/>
    </row>
    <row r="5393" ht="15.75" customHeight="1">
      <c r="A5393" s="1"/>
      <c r="B5393" s="1"/>
      <c r="C5393" s="1"/>
      <c r="D5393" s="1"/>
      <c r="E5393" s="1"/>
      <c r="F5393" s="1"/>
      <c r="G5393" s="1"/>
      <c r="H5393" s="1"/>
      <c r="I5393" s="1"/>
      <c r="J5393" s="1"/>
      <c r="K5393" s="102" t="s">
        <v>8390</v>
      </c>
      <c r="L5393" s="102" t="str">
        <f>G682</f>
        <v>J1a2b2b~</v>
      </c>
      <c r="M5393" s="102"/>
      <c r="N5393" s="102" t="s">
        <v>8391</v>
      </c>
      <c r="O5393" s="105">
        <v>2.136321E7</v>
      </c>
      <c r="P5393" s="105">
        <v>1.9201324E7</v>
      </c>
      <c r="Q5393" s="102" t="s">
        <v>2563</v>
      </c>
      <c r="S5393" s="1"/>
      <c r="T5393" s="1"/>
      <c r="U5393" s="1"/>
      <c r="V5393" s="1"/>
      <c r="W5393" s="1"/>
      <c r="X5393" s="1"/>
      <c r="Y5393" s="1"/>
      <c r="AA5393" s="102"/>
      <c r="AB5393" s="1"/>
      <c r="AC5393" s="1"/>
      <c r="AD5393" s="1"/>
      <c r="AE5393" s="1"/>
      <c r="AF5393" s="1"/>
      <c r="AG5393" s="1"/>
    </row>
    <row r="5394" ht="15.75" customHeight="1">
      <c r="A5394" s="1"/>
      <c r="B5394" s="1"/>
      <c r="C5394" s="1"/>
      <c r="D5394" s="1"/>
      <c r="E5394" s="1"/>
      <c r="F5394" s="1"/>
      <c r="G5394" s="1"/>
      <c r="H5394" s="1"/>
      <c r="I5394" s="1"/>
      <c r="J5394" s="1"/>
      <c r="K5394" s="102" t="s">
        <v>8392</v>
      </c>
      <c r="L5394" s="102" t="str">
        <f>G682</f>
        <v>J1a2b2b~</v>
      </c>
      <c r="M5394" s="102"/>
      <c r="N5394" s="102" t="s">
        <v>8393</v>
      </c>
      <c r="O5394" s="105">
        <v>1.7299746E7</v>
      </c>
      <c r="P5394" s="105">
        <v>1.5187866E7</v>
      </c>
      <c r="Q5394" s="102" t="s">
        <v>2563</v>
      </c>
      <c r="S5394" s="1"/>
      <c r="T5394" s="1"/>
      <c r="U5394" s="1"/>
      <c r="V5394" s="1"/>
      <c r="W5394" s="1"/>
      <c r="X5394" s="1"/>
      <c r="Y5394" s="1"/>
      <c r="AA5394" s="102"/>
      <c r="AB5394" s="1"/>
      <c r="AC5394" s="1"/>
      <c r="AD5394" s="1"/>
      <c r="AE5394" s="1"/>
      <c r="AF5394" s="1"/>
      <c r="AG5394" s="1"/>
    </row>
    <row r="5395" ht="15.75" customHeight="1">
      <c r="A5395" s="1"/>
      <c r="B5395" s="1"/>
      <c r="C5395" s="1"/>
      <c r="D5395" s="1"/>
      <c r="E5395" s="1"/>
      <c r="F5395" s="1"/>
      <c r="G5395" s="1"/>
      <c r="H5395" s="1"/>
      <c r="I5395" s="1"/>
      <c r="J5395" s="1"/>
      <c r="K5395" s="102" t="s">
        <v>8394</v>
      </c>
      <c r="L5395" s="102" t="str">
        <f>G682</f>
        <v>J1a2b2b~</v>
      </c>
      <c r="M5395" s="102"/>
      <c r="N5395" s="102" t="s">
        <v>8395</v>
      </c>
      <c r="O5395" s="105">
        <v>2823434.0</v>
      </c>
      <c r="P5395" s="105">
        <v>2955393.0</v>
      </c>
      <c r="Q5395" s="102" t="s">
        <v>2423</v>
      </c>
      <c r="S5395" s="1"/>
      <c r="T5395" s="1"/>
      <c r="U5395" s="1"/>
      <c r="V5395" s="1"/>
      <c r="W5395" s="1"/>
      <c r="X5395" s="1"/>
      <c r="Y5395" s="1"/>
      <c r="AA5395" s="102"/>
      <c r="AB5395" s="1"/>
      <c r="AC5395" s="1"/>
      <c r="AD5395" s="1"/>
      <c r="AE5395" s="1"/>
      <c r="AF5395" s="1"/>
      <c r="AG5395" s="1"/>
    </row>
    <row r="5396" ht="15.75" customHeight="1">
      <c r="A5396" s="1"/>
      <c r="B5396" s="1"/>
      <c r="C5396" s="1"/>
      <c r="D5396" s="1"/>
      <c r="E5396" s="1"/>
      <c r="F5396" s="1"/>
      <c r="G5396" s="1"/>
      <c r="H5396" s="1"/>
      <c r="I5396" s="1"/>
      <c r="J5396" s="1"/>
      <c r="K5396" s="102" t="s">
        <v>8396</v>
      </c>
      <c r="L5396" s="102" t="str">
        <f>G682</f>
        <v>J1a2b2b~</v>
      </c>
      <c r="M5396" s="102"/>
      <c r="N5396" s="102" t="s">
        <v>8397</v>
      </c>
      <c r="O5396" s="105">
        <v>6661842.0</v>
      </c>
      <c r="P5396" s="105">
        <v>6793801.0</v>
      </c>
      <c r="Q5396" s="102" t="s">
        <v>2446</v>
      </c>
      <c r="S5396" s="1"/>
      <c r="T5396" s="1"/>
      <c r="U5396" s="1"/>
      <c r="V5396" s="1"/>
      <c r="W5396" s="1"/>
      <c r="X5396" s="1"/>
      <c r="Y5396" s="1"/>
      <c r="AA5396" s="102"/>
      <c r="AB5396" s="1"/>
      <c r="AC5396" s="1"/>
      <c r="AD5396" s="1"/>
      <c r="AE5396" s="1"/>
      <c r="AF5396" s="1"/>
      <c r="AG5396" s="1"/>
    </row>
    <row r="5397" ht="15.75" customHeight="1">
      <c r="A5397" s="1"/>
      <c r="B5397" s="1"/>
      <c r="C5397" s="1"/>
      <c r="D5397" s="1"/>
      <c r="E5397" s="1"/>
      <c r="F5397" s="1"/>
      <c r="G5397" s="1"/>
      <c r="H5397" s="1"/>
      <c r="I5397" s="1"/>
      <c r="J5397" s="1"/>
      <c r="K5397" s="102" t="s">
        <v>8398</v>
      </c>
      <c r="L5397" s="102" t="str">
        <f>G682</f>
        <v>J1a2b2b~</v>
      </c>
      <c r="M5397" s="102"/>
      <c r="N5397" s="102" t="s">
        <v>8399</v>
      </c>
      <c r="O5397" s="105">
        <v>8019317.0</v>
      </c>
      <c r="P5397" s="105">
        <v>8151276.0</v>
      </c>
      <c r="Q5397" s="102" t="s">
        <v>2439</v>
      </c>
      <c r="S5397" s="1"/>
      <c r="T5397" s="1"/>
      <c r="U5397" s="1"/>
      <c r="V5397" s="1"/>
      <c r="W5397" s="1"/>
      <c r="X5397" s="1"/>
      <c r="Y5397" s="1"/>
      <c r="AA5397" s="102"/>
      <c r="AB5397" s="1"/>
      <c r="AC5397" s="1"/>
      <c r="AD5397" s="1"/>
      <c r="AE5397" s="1"/>
      <c r="AF5397" s="1"/>
      <c r="AG5397" s="1"/>
    </row>
    <row r="5398" ht="15.75" customHeight="1">
      <c r="A5398" s="1"/>
      <c r="B5398" s="1"/>
      <c r="C5398" s="1"/>
      <c r="D5398" s="1"/>
      <c r="E5398" s="1"/>
      <c r="F5398" s="1"/>
      <c r="G5398" s="1"/>
      <c r="H5398" s="1"/>
      <c r="I5398" s="1"/>
      <c r="J5398" s="1"/>
      <c r="K5398" s="102" t="s">
        <v>8400</v>
      </c>
      <c r="L5398" s="102" t="str">
        <f>G682</f>
        <v>J1a2b2b~</v>
      </c>
      <c r="M5398" s="102"/>
      <c r="N5398" s="102" t="s">
        <v>8401</v>
      </c>
      <c r="O5398" s="105">
        <v>8165673.0</v>
      </c>
      <c r="P5398" s="105">
        <v>8297632.0</v>
      </c>
      <c r="Q5398" s="102" t="s">
        <v>2514</v>
      </c>
      <c r="S5398" s="1"/>
      <c r="T5398" s="1"/>
      <c r="U5398" s="1"/>
      <c r="V5398" s="1"/>
      <c r="W5398" s="1"/>
      <c r="X5398" s="1"/>
      <c r="Y5398" s="1"/>
      <c r="AA5398" s="102"/>
      <c r="AB5398" s="1"/>
      <c r="AC5398" s="1"/>
      <c r="AD5398" s="1"/>
      <c r="AE5398" s="1"/>
      <c r="AF5398" s="1"/>
      <c r="AG5398" s="1"/>
    </row>
    <row r="5399" ht="15.75" customHeight="1">
      <c r="A5399" s="1"/>
      <c r="B5399" s="1"/>
      <c r="C5399" s="1"/>
      <c r="D5399" s="1"/>
      <c r="E5399" s="1"/>
      <c r="F5399" s="1"/>
      <c r="G5399" s="1"/>
      <c r="H5399" s="1"/>
      <c r="I5399" s="1"/>
      <c r="J5399" s="1"/>
      <c r="K5399" s="102" t="s">
        <v>8402</v>
      </c>
      <c r="L5399" s="102" t="str">
        <f>G682</f>
        <v>J1a2b2b~</v>
      </c>
      <c r="M5399" s="102"/>
      <c r="N5399" s="102"/>
      <c r="O5399" s="105">
        <v>9068624.0</v>
      </c>
      <c r="P5399" s="105">
        <v>9231015.0</v>
      </c>
      <c r="Q5399" s="102" t="s">
        <v>2432</v>
      </c>
      <c r="S5399" s="1"/>
      <c r="T5399" s="1"/>
      <c r="U5399" s="1"/>
      <c r="V5399" s="1"/>
      <c r="W5399" s="1"/>
      <c r="X5399" s="1"/>
      <c r="Y5399" s="1"/>
      <c r="AA5399" s="102"/>
      <c r="AB5399" s="1"/>
      <c r="AC5399" s="1"/>
      <c r="AD5399" s="1"/>
      <c r="AE5399" s="1"/>
      <c r="AF5399" s="1"/>
      <c r="AG5399" s="1"/>
    </row>
    <row r="5400" ht="15.75" customHeight="1">
      <c r="A5400" s="1"/>
      <c r="B5400" s="1"/>
      <c r="C5400" s="1"/>
      <c r="D5400" s="1"/>
      <c r="E5400" s="1"/>
      <c r="F5400" s="1"/>
      <c r="G5400" s="1"/>
      <c r="H5400" s="1"/>
      <c r="I5400" s="1"/>
      <c r="J5400" s="1"/>
      <c r="K5400" s="102" t="s">
        <v>8403</v>
      </c>
      <c r="L5400" s="102" t="str">
        <f>G682</f>
        <v>J1a2b2b~</v>
      </c>
      <c r="M5400" s="102"/>
      <c r="N5400" s="102"/>
      <c r="O5400" s="105">
        <v>9391076.0</v>
      </c>
      <c r="P5400" s="105">
        <v>9553467.0</v>
      </c>
      <c r="Q5400" s="102" t="s">
        <v>2439</v>
      </c>
      <c r="S5400" s="1"/>
      <c r="T5400" s="1"/>
      <c r="U5400" s="1"/>
      <c r="V5400" s="1"/>
      <c r="W5400" s="1"/>
      <c r="X5400" s="1"/>
      <c r="Y5400" s="1"/>
      <c r="AA5400" s="102"/>
      <c r="AB5400" s="1"/>
      <c r="AC5400" s="1"/>
      <c r="AD5400" s="1"/>
      <c r="AE5400" s="1"/>
      <c r="AF5400" s="1"/>
      <c r="AG5400" s="1"/>
    </row>
    <row r="5401" ht="15.75" customHeight="1">
      <c r="A5401" s="1"/>
      <c r="B5401" s="1"/>
      <c r="C5401" s="1"/>
      <c r="D5401" s="1"/>
      <c r="E5401" s="1"/>
      <c r="F5401" s="1"/>
      <c r="G5401" s="1"/>
      <c r="H5401" s="1"/>
      <c r="I5401" s="1"/>
      <c r="J5401" s="1"/>
      <c r="K5401" s="102" t="s">
        <v>8404</v>
      </c>
      <c r="L5401" s="102" t="str">
        <f>G682</f>
        <v>J1a2b2b~</v>
      </c>
      <c r="M5401" s="102"/>
      <c r="N5401" s="102" t="s">
        <v>8405</v>
      </c>
      <c r="O5401" s="105">
        <v>9457739.0</v>
      </c>
      <c r="P5401" s="105">
        <v>9620130.0</v>
      </c>
      <c r="Q5401" s="102" t="s">
        <v>2468</v>
      </c>
      <c r="S5401" s="1"/>
      <c r="T5401" s="1"/>
      <c r="U5401" s="1"/>
      <c r="V5401" s="1"/>
      <c r="W5401" s="1"/>
      <c r="X5401" s="1"/>
      <c r="Y5401" s="1"/>
      <c r="AA5401" s="102"/>
      <c r="AB5401" s="1"/>
      <c r="AC5401" s="1"/>
      <c r="AD5401" s="1"/>
      <c r="AE5401" s="1"/>
      <c r="AF5401" s="1"/>
      <c r="AG5401" s="1"/>
    </row>
    <row r="5402" ht="15.75" customHeight="1">
      <c r="A5402" s="1"/>
      <c r="B5402" s="1"/>
      <c r="C5402" s="1"/>
      <c r="D5402" s="1"/>
      <c r="E5402" s="1"/>
      <c r="F5402" s="1"/>
      <c r="G5402" s="1"/>
      <c r="H5402" s="1"/>
      <c r="I5402" s="1"/>
      <c r="J5402" s="1"/>
      <c r="K5402" s="102" t="s">
        <v>8406</v>
      </c>
      <c r="L5402" s="102" t="str">
        <f>G682</f>
        <v>J1a2b2b~</v>
      </c>
      <c r="M5402" s="102"/>
      <c r="N5402" s="102" t="s">
        <v>8407</v>
      </c>
      <c r="O5402" s="105">
        <v>1.7077555E7</v>
      </c>
      <c r="P5402" s="105">
        <v>1.4965675E7</v>
      </c>
      <c r="Q5402" s="102" t="s">
        <v>2468</v>
      </c>
      <c r="S5402" s="1"/>
      <c r="T5402" s="1"/>
      <c r="U5402" s="1"/>
      <c r="V5402" s="1"/>
      <c r="W5402" s="1"/>
      <c r="X5402" s="1"/>
      <c r="Y5402" s="1"/>
      <c r="AA5402" s="102"/>
      <c r="AB5402" s="1"/>
      <c r="AC5402" s="1"/>
      <c r="AD5402" s="1"/>
      <c r="AE5402" s="1"/>
      <c r="AF5402" s="1"/>
      <c r="AG5402" s="1"/>
    </row>
    <row r="5403" ht="15.75" customHeight="1">
      <c r="A5403" s="1"/>
      <c r="B5403" s="1"/>
      <c r="C5403" s="1"/>
      <c r="D5403" s="1"/>
      <c r="E5403" s="1"/>
      <c r="F5403" s="1"/>
      <c r="G5403" s="1"/>
      <c r="H5403" s="1"/>
      <c r="I5403" s="1"/>
      <c r="J5403" s="1"/>
      <c r="K5403" s="102" t="s">
        <v>8408</v>
      </c>
      <c r="L5403" s="102" t="str">
        <f>G682</f>
        <v>J1a2b2b~</v>
      </c>
      <c r="M5403" s="102"/>
      <c r="N5403" s="102" t="s">
        <v>8409</v>
      </c>
      <c r="O5403" s="105">
        <v>1.7232864E7</v>
      </c>
      <c r="P5403" s="105">
        <v>1.5120984E7</v>
      </c>
      <c r="Q5403" s="102" t="s">
        <v>2501</v>
      </c>
      <c r="S5403" s="1"/>
      <c r="T5403" s="1"/>
      <c r="U5403" s="1"/>
      <c r="V5403" s="1"/>
      <c r="W5403" s="1"/>
      <c r="X5403" s="1"/>
      <c r="Y5403" s="1"/>
      <c r="AA5403" s="102"/>
      <c r="AB5403" s="1"/>
      <c r="AC5403" s="1"/>
      <c r="AD5403" s="1"/>
      <c r="AE5403" s="1"/>
      <c r="AF5403" s="1"/>
      <c r="AG5403" s="1"/>
    </row>
    <row r="5404" ht="15.75" customHeight="1">
      <c r="A5404" s="1"/>
      <c r="B5404" s="1"/>
      <c r="C5404" s="1"/>
      <c r="D5404" s="1"/>
      <c r="E5404" s="1"/>
      <c r="F5404" s="1"/>
      <c r="G5404" s="1"/>
      <c r="H5404" s="1"/>
      <c r="I5404" s="1"/>
      <c r="J5404" s="1"/>
      <c r="K5404" s="102" t="s">
        <v>8410</v>
      </c>
      <c r="L5404" s="102" t="str">
        <f>G682</f>
        <v>J1a2b2b~</v>
      </c>
      <c r="M5404" s="102"/>
      <c r="N5404" s="102" t="s">
        <v>8411</v>
      </c>
      <c r="O5404" s="105">
        <v>1.8582799E7</v>
      </c>
      <c r="P5404" s="105">
        <v>1.6470919E7</v>
      </c>
      <c r="Q5404" s="102" t="s">
        <v>2432</v>
      </c>
      <c r="S5404" s="1"/>
      <c r="T5404" s="1"/>
      <c r="U5404" s="1"/>
      <c r="V5404" s="1"/>
      <c r="W5404" s="1"/>
      <c r="X5404" s="1"/>
      <c r="Y5404" s="1"/>
      <c r="AA5404" s="102"/>
      <c r="AB5404" s="1"/>
      <c r="AC5404" s="1"/>
      <c r="AD5404" s="1"/>
      <c r="AE5404" s="1"/>
      <c r="AF5404" s="1"/>
      <c r="AG5404" s="1"/>
    </row>
    <row r="5405" ht="15.75" customHeight="1">
      <c r="A5405" s="1"/>
      <c r="B5405" s="1"/>
      <c r="C5405" s="1"/>
      <c r="D5405" s="1"/>
      <c r="E5405" s="1"/>
      <c r="F5405" s="1"/>
      <c r="G5405" s="1"/>
      <c r="H5405" s="1"/>
      <c r="I5405" s="1"/>
      <c r="J5405" s="1"/>
      <c r="K5405" s="102" t="s">
        <v>8412</v>
      </c>
      <c r="L5405" s="102" t="str">
        <f>G682</f>
        <v>J1a2b2b~</v>
      </c>
      <c r="M5405" s="102"/>
      <c r="N5405" s="102" t="s">
        <v>8413</v>
      </c>
      <c r="O5405" s="105">
        <v>1.8583544E7</v>
      </c>
      <c r="P5405" s="105">
        <v>1.6471664E7</v>
      </c>
      <c r="Q5405" s="102" t="s">
        <v>2529</v>
      </c>
      <c r="S5405" s="1"/>
      <c r="T5405" s="1"/>
      <c r="U5405" s="1"/>
      <c r="V5405" s="1"/>
      <c r="W5405" s="1"/>
      <c r="X5405" s="1"/>
      <c r="Y5405" s="1"/>
      <c r="AA5405" s="102"/>
      <c r="AB5405" s="1"/>
      <c r="AC5405" s="1"/>
      <c r="AD5405" s="1"/>
      <c r="AE5405" s="1"/>
      <c r="AF5405" s="1"/>
      <c r="AG5405" s="1"/>
    </row>
    <row r="5406" ht="15.75" customHeight="1">
      <c r="A5406" s="1"/>
      <c r="B5406" s="1"/>
      <c r="C5406" s="1"/>
      <c r="D5406" s="1"/>
      <c r="E5406" s="1"/>
      <c r="F5406" s="1"/>
      <c r="G5406" s="1"/>
      <c r="H5406" s="1"/>
      <c r="I5406" s="1"/>
      <c r="J5406" s="1"/>
      <c r="K5406" s="102" t="s">
        <v>8414</v>
      </c>
      <c r="L5406" s="102" t="str">
        <f>G682</f>
        <v>J1a2b2b~</v>
      </c>
      <c r="M5406" s="102"/>
      <c r="N5406" s="102" t="s">
        <v>8415</v>
      </c>
      <c r="O5406" s="105">
        <v>1.8588232E7</v>
      </c>
      <c r="P5406" s="105">
        <v>1.6476352E7</v>
      </c>
      <c r="Q5406" s="102" t="s">
        <v>2501</v>
      </c>
      <c r="S5406" s="1"/>
      <c r="T5406" s="1"/>
      <c r="U5406" s="1"/>
      <c r="V5406" s="1"/>
      <c r="W5406" s="1"/>
      <c r="X5406" s="1"/>
      <c r="Y5406" s="1"/>
      <c r="AA5406" s="102"/>
      <c r="AB5406" s="1"/>
      <c r="AC5406" s="1"/>
      <c r="AD5406" s="1"/>
      <c r="AE5406" s="1"/>
      <c r="AF5406" s="1"/>
      <c r="AG5406" s="1"/>
    </row>
    <row r="5407" ht="15.75" customHeight="1">
      <c r="A5407" s="1"/>
      <c r="B5407" s="1"/>
      <c r="C5407" s="1"/>
      <c r="D5407" s="1"/>
      <c r="E5407" s="1"/>
      <c r="F5407" s="1"/>
      <c r="G5407" s="1"/>
      <c r="H5407" s="1"/>
      <c r="I5407" s="1"/>
      <c r="J5407" s="1"/>
      <c r="K5407" s="102" t="s">
        <v>8416</v>
      </c>
      <c r="L5407" s="102" t="str">
        <f>G682</f>
        <v>J1a2b2b~</v>
      </c>
      <c r="M5407" s="102"/>
      <c r="N5407" s="102" t="s">
        <v>8417</v>
      </c>
      <c r="O5407" s="105">
        <v>1.928279E7</v>
      </c>
      <c r="P5407" s="105">
        <v>1.717091E7</v>
      </c>
      <c r="Q5407" s="102" t="s">
        <v>2576</v>
      </c>
      <c r="S5407" s="1"/>
      <c r="T5407" s="1"/>
      <c r="U5407" s="1"/>
      <c r="V5407" s="1"/>
      <c r="W5407" s="1"/>
      <c r="X5407" s="1"/>
      <c r="Y5407" s="1"/>
      <c r="AA5407" s="102"/>
      <c r="AB5407" s="1"/>
      <c r="AC5407" s="1"/>
      <c r="AD5407" s="1"/>
      <c r="AE5407" s="1"/>
      <c r="AF5407" s="1"/>
      <c r="AG5407" s="1"/>
    </row>
    <row r="5408" ht="15.75" customHeight="1">
      <c r="A5408" s="1"/>
      <c r="B5408" s="1"/>
      <c r="C5408" s="1"/>
      <c r="D5408" s="1"/>
      <c r="E5408" s="1"/>
      <c r="F5408" s="1"/>
      <c r="G5408" s="1"/>
      <c r="H5408" s="1"/>
      <c r="I5408" s="1"/>
      <c r="J5408" s="1"/>
      <c r="K5408" s="102" t="s">
        <v>8418</v>
      </c>
      <c r="L5408" s="102" t="str">
        <f>G682</f>
        <v>J1a2b2b~</v>
      </c>
      <c r="M5408" s="102"/>
      <c r="N5408" s="102" t="s">
        <v>8419</v>
      </c>
      <c r="O5408" s="105">
        <v>2.0817028E7</v>
      </c>
      <c r="P5408" s="105">
        <v>1.8655142E7</v>
      </c>
      <c r="Q5408" s="102" t="s">
        <v>2468</v>
      </c>
      <c r="S5408" s="1"/>
      <c r="T5408" s="1"/>
      <c r="U5408" s="1"/>
      <c r="V5408" s="1"/>
      <c r="W5408" s="1"/>
      <c r="X5408" s="1"/>
      <c r="Y5408" s="1"/>
      <c r="AA5408" s="102"/>
      <c r="AB5408" s="1"/>
      <c r="AC5408" s="1"/>
      <c r="AD5408" s="1"/>
      <c r="AE5408" s="1"/>
      <c r="AF5408" s="1"/>
      <c r="AG5408" s="1"/>
    </row>
    <row r="5409" ht="15.75" customHeight="1">
      <c r="A5409" s="1"/>
      <c r="B5409" s="1"/>
      <c r="C5409" s="1"/>
      <c r="D5409" s="1"/>
      <c r="E5409" s="1"/>
      <c r="F5409" s="1"/>
      <c r="G5409" s="1"/>
      <c r="H5409" s="1"/>
      <c r="I5409" s="1"/>
      <c r="J5409" s="1"/>
      <c r="K5409" s="102" t="s">
        <v>8420</v>
      </c>
      <c r="L5409" s="102" t="str">
        <f>G682</f>
        <v>J1a2b2b~</v>
      </c>
      <c r="M5409" s="102"/>
      <c r="N5409" s="102" t="s">
        <v>8421</v>
      </c>
      <c r="O5409" s="102">
        <v>2.1388387E7</v>
      </c>
      <c r="P5409" s="102">
        <v>1.9226501E7</v>
      </c>
      <c r="Q5409" s="102" t="s">
        <v>2468</v>
      </c>
      <c r="S5409" s="1"/>
      <c r="T5409" s="1"/>
      <c r="U5409" s="1"/>
      <c r="V5409" s="1"/>
      <c r="W5409" s="1"/>
      <c r="X5409" s="1"/>
      <c r="Y5409" s="1"/>
      <c r="AA5409" s="102"/>
      <c r="AB5409" s="1"/>
      <c r="AC5409" s="1"/>
      <c r="AD5409" s="1"/>
      <c r="AE5409" s="1"/>
      <c r="AF5409" s="1"/>
      <c r="AG5409" s="1"/>
    </row>
    <row r="5410" ht="15.75" customHeight="1">
      <c r="A5410" s="1"/>
      <c r="B5410" s="1"/>
      <c r="C5410" s="1"/>
      <c r="D5410" s="1"/>
      <c r="E5410" s="1"/>
      <c r="F5410" s="1"/>
      <c r="G5410" s="1"/>
      <c r="H5410" s="1"/>
      <c r="I5410" s="1"/>
      <c r="J5410" s="1"/>
      <c r="K5410" s="102" t="s">
        <v>8422</v>
      </c>
      <c r="L5410" s="102" t="str">
        <f>G682</f>
        <v>J1a2b2b~</v>
      </c>
      <c r="M5410" s="102"/>
      <c r="N5410" s="102" t="s">
        <v>8423</v>
      </c>
      <c r="O5410" s="105">
        <v>2.1391961E7</v>
      </c>
      <c r="P5410" s="105">
        <v>1.9230075E7</v>
      </c>
      <c r="Q5410" s="102" t="s">
        <v>2446</v>
      </c>
      <c r="S5410" s="1"/>
      <c r="T5410" s="1"/>
      <c r="U5410" s="1"/>
      <c r="V5410" s="1"/>
      <c r="W5410" s="1"/>
      <c r="X5410" s="1"/>
      <c r="Y5410" s="1"/>
      <c r="AA5410" s="102"/>
      <c r="AB5410" s="1"/>
      <c r="AC5410" s="1"/>
      <c r="AD5410" s="1"/>
      <c r="AE5410" s="1"/>
      <c r="AF5410" s="1"/>
      <c r="AG5410" s="1"/>
    </row>
    <row r="5411" ht="15.75" customHeight="1">
      <c r="A5411" s="1"/>
      <c r="B5411" s="1"/>
      <c r="C5411" s="1"/>
      <c r="D5411" s="1"/>
      <c r="E5411" s="1"/>
      <c r="F5411" s="1"/>
      <c r="G5411" s="1"/>
      <c r="H5411" s="1"/>
      <c r="I5411" s="1"/>
      <c r="J5411" s="1"/>
      <c r="K5411" s="102" t="s">
        <v>8424</v>
      </c>
      <c r="L5411" s="102" t="str">
        <f>G682</f>
        <v>J1a2b2b~</v>
      </c>
      <c r="M5411" s="102"/>
      <c r="N5411" s="102" t="s">
        <v>8425</v>
      </c>
      <c r="O5411" s="105">
        <v>2.2940476E7</v>
      </c>
      <c r="P5411" s="105">
        <v>2.077859E7</v>
      </c>
      <c r="Q5411" s="102" t="s">
        <v>2501</v>
      </c>
      <c r="S5411" s="1"/>
      <c r="T5411" s="1"/>
      <c r="U5411" s="1"/>
      <c r="V5411" s="1"/>
      <c r="W5411" s="1"/>
      <c r="X5411" s="1"/>
      <c r="Y5411" s="1"/>
      <c r="AA5411" s="102"/>
      <c r="AB5411" s="1"/>
      <c r="AC5411" s="1"/>
      <c r="AD5411" s="1"/>
      <c r="AE5411" s="1"/>
      <c r="AF5411" s="1"/>
      <c r="AG5411" s="1"/>
    </row>
    <row r="5412" ht="15.75" customHeight="1">
      <c r="A5412" s="1"/>
      <c r="B5412" s="1"/>
      <c r="C5412" s="1"/>
      <c r="D5412" s="1"/>
      <c r="E5412" s="1"/>
      <c r="F5412" s="1"/>
      <c r="G5412" s="1"/>
      <c r="H5412" s="1"/>
      <c r="I5412" s="1"/>
      <c r="J5412" s="1"/>
      <c r="K5412" s="102" t="s">
        <v>8426</v>
      </c>
      <c r="L5412" s="102" t="str">
        <f>G682</f>
        <v>J1a2b2b~</v>
      </c>
      <c r="M5412" s="102"/>
      <c r="N5412" s="102" t="s">
        <v>8427</v>
      </c>
      <c r="O5412" s="105">
        <v>2.324269E7</v>
      </c>
      <c r="P5412" s="105">
        <v>2.1080804E7</v>
      </c>
      <c r="Q5412" s="102" t="s">
        <v>2446</v>
      </c>
      <c r="S5412" s="1"/>
      <c r="T5412" s="1"/>
      <c r="U5412" s="1"/>
      <c r="V5412" s="1"/>
      <c r="W5412" s="1"/>
      <c r="X5412" s="1"/>
      <c r="Y5412" s="1"/>
      <c r="AA5412" s="102"/>
      <c r="AB5412" s="1"/>
      <c r="AC5412" s="1"/>
      <c r="AD5412" s="1"/>
      <c r="AE5412" s="1"/>
      <c r="AF5412" s="1"/>
      <c r="AG5412" s="1"/>
    </row>
    <row r="5413" ht="15.75" customHeight="1">
      <c r="A5413" s="1"/>
      <c r="B5413" s="1"/>
      <c r="C5413" s="1"/>
      <c r="D5413" s="1"/>
      <c r="E5413" s="1"/>
      <c r="F5413" s="1"/>
      <c r="G5413" s="1"/>
      <c r="H5413" s="1"/>
      <c r="I5413" s="1"/>
      <c r="J5413" s="1"/>
      <c r="K5413" s="102" t="s">
        <v>8428</v>
      </c>
      <c r="L5413" s="102" t="str">
        <f>G682</f>
        <v>J1a2b2b~</v>
      </c>
      <c r="M5413" s="102"/>
      <c r="N5413" s="102"/>
      <c r="O5413" s="105">
        <v>2.4367934E7</v>
      </c>
      <c r="P5413" s="105">
        <v>2.2221787E7</v>
      </c>
      <c r="Q5413" s="102" t="s">
        <v>2501</v>
      </c>
      <c r="S5413" s="1"/>
      <c r="T5413" s="1"/>
      <c r="U5413" s="1"/>
      <c r="V5413" s="1"/>
      <c r="W5413" s="1"/>
      <c r="X5413" s="1"/>
      <c r="Y5413" s="1"/>
      <c r="AA5413" s="102"/>
      <c r="AB5413" s="1"/>
      <c r="AC5413" s="1"/>
      <c r="AD5413" s="1"/>
      <c r="AE5413" s="1"/>
      <c r="AF5413" s="1"/>
      <c r="AG5413" s="1"/>
    </row>
    <row r="5414" ht="15.75" customHeight="1">
      <c r="A5414" s="1"/>
      <c r="B5414" s="1"/>
      <c r="C5414" s="1"/>
      <c r="D5414" s="1"/>
      <c r="E5414" s="1"/>
      <c r="F5414" s="1"/>
      <c r="G5414" s="1"/>
      <c r="H5414" s="1"/>
      <c r="I5414" s="1"/>
      <c r="J5414" s="1"/>
      <c r="K5414" s="102" t="s">
        <v>8429</v>
      </c>
      <c r="L5414" s="102" t="str">
        <f>G682</f>
        <v>J1a2b2b~</v>
      </c>
      <c r="M5414" s="102"/>
      <c r="N5414" s="102" t="s">
        <v>8430</v>
      </c>
      <c r="O5414" s="105">
        <v>7874776.0</v>
      </c>
      <c r="P5414" s="105">
        <v>8006735.0</v>
      </c>
      <c r="Q5414" s="102" t="s">
        <v>2439</v>
      </c>
      <c r="S5414" s="1"/>
      <c r="T5414" s="1"/>
      <c r="U5414" s="1"/>
      <c r="V5414" s="1"/>
      <c r="W5414" s="1"/>
      <c r="X5414" s="1"/>
      <c r="Y5414" s="1"/>
      <c r="AA5414" s="102"/>
      <c r="AB5414" s="1"/>
      <c r="AC5414" s="1"/>
      <c r="AD5414" s="1"/>
      <c r="AE5414" s="1"/>
      <c r="AF5414" s="1"/>
      <c r="AG5414" s="1"/>
    </row>
    <row r="5415" ht="15.75" customHeight="1">
      <c r="A5415" s="1"/>
      <c r="B5415" s="1"/>
      <c r="C5415" s="1"/>
      <c r="D5415" s="1"/>
      <c r="E5415" s="1"/>
      <c r="F5415" s="1"/>
      <c r="G5415" s="1"/>
      <c r="H5415" s="1"/>
      <c r="I5415" s="1"/>
      <c r="J5415" s="1"/>
      <c r="K5415" s="102" t="s">
        <v>8431</v>
      </c>
      <c r="L5415" s="102" t="str">
        <f>G682</f>
        <v>J1a2b2b~</v>
      </c>
      <c r="M5415" s="102"/>
      <c r="N5415" s="102" t="s">
        <v>8432</v>
      </c>
      <c r="O5415" s="105">
        <v>1.5547043E7</v>
      </c>
      <c r="P5415" s="105">
        <v>1.3435163E7</v>
      </c>
      <c r="Q5415" s="102" t="s">
        <v>2529</v>
      </c>
      <c r="S5415" s="1"/>
      <c r="T5415" s="1"/>
      <c r="U5415" s="1"/>
      <c r="V5415" s="1"/>
      <c r="W5415" s="1"/>
      <c r="X5415" s="1"/>
      <c r="Y5415" s="1"/>
      <c r="AA5415" s="102"/>
      <c r="AB5415" s="1"/>
      <c r="AC5415" s="1"/>
      <c r="AD5415" s="1"/>
      <c r="AE5415" s="1"/>
      <c r="AF5415" s="1"/>
      <c r="AG5415" s="1"/>
    </row>
    <row r="5416" ht="15.75" customHeight="1">
      <c r="A5416" s="1"/>
      <c r="B5416" s="1"/>
      <c r="C5416" s="1"/>
      <c r="D5416" s="1"/>
      <c r="E5416" s="1"/>
      <c r="F5416" s="1"/>
      <c r="G5416" s="1"/>
      <c r="H5416" s="1"/>
      <c r="I5416" s="1"/>
      <c r="J5416" s="1"/>
      <c r="K5416" s="102" t="s">
        <v>8433</v>
      </c>
      <c r="L5416" s="102" t="str">
        <f>G682</f>
        <v>J1a2b2b~</v>
      </c>
      <c r="M5416" s="102"/>
      <c r="N5416" s="102" t="s">
        <v>8434</v>
      </c>
      <c r="O5416" s="105">
        <v>1.7313866E7</v>
      </c>
      <c r="P5416" s="105">
        <v>1.5201986E7</v>
      </c>
      <c r="Q5416" s="102" t="s">
        <v>2439</v>
      </c>
      <c r="S5416" s="1"/>
      <c r="T5416" s="1"/>
      <c r="U5416" s="1"/>
      <c r="V5416" s="1"/>
      <c r="W5416" s="1"/>
      <c r="X5416" s="1"/>
      <c r="Y5416" s="1"/>
      <c r="AA5416" s="102"/>
      <c r="AB5416" s="1"/>
      <c r="AC5416" s="1"/>
      <c r="AD5416" s="1"/>
      <c r="AE5416" s="1"/>
      <c r="AF5416" s="1"/>
      <c r="AG5416" s="1"/>
    </row>
    <row r="5417" ht="15.75" customHeight="1">
      <c r="A5417" s="1"/>
      <c r="B5417" s="1"/>
      <c r="C5417" s="1"/>
      <c r="D5417" s="1"/>
      <c r="E5417" s="1"/>
      <c r="F5417" s="1"/>
      <c r="G5417" s="1"/>
      <c r="H5417" s="1"/>
      <c r="I5417" s="1"/>
      <c r="J5417" s="1"/>
      <c r="K5417" s="102" t="s">
        <v>8435</v>
      </c>
      <c r="L5417" s="102" t="str">
        <f>H683</f>
        <v>J1a2b2b1~</v>
      </c>
      <c r="M5417" s="102"/>
      <c r="N5417" s="102" t="s">
        <v>8436</v>
      </c>
      <c r="O5417" s="105">
        <v>1.8126459E7</v>
      </c>
      <c r="P5417" s="105">
        <v>1.6014579E7</v>
      </c>
      <c r="Q5417" s="102" t="s">
        <v>2439</v>
      </c>
      <c r="S5417" s="1"/>
      <c r="T5417" s="1"/>
      <c r="U5417" s="1"/>
      <c r="V5417" s="1"/>
      <c r="W5417" s="1"/>
      <c r="X5417" s="1"/>
      <c r="Y5417" s="1"/>
      <c r="AA5417" s="102"/>
      <c r="AB5417" s="1"/>
      <c r="AC5417" s="1"/>
      <c r="AD5417" s="1"/>
      <c r="AE5417" s="1"/>
      <c r="AF5417" s="1"/>
      <c r="AG5417" s="1"/>
    </row>
    <row r="5418" ht="15.75" customHeight="1">
      <c r="A5418" s="1"/>
      <c r="B5418" s="1"/>
      <c r="C5418" s="1"/>
      <c r="D5418" s="1"/>
      <c r="E5418" s="1"/>
      <c r="F5418" s="1"/>
      <c r="G5418" s="1"/>
      <c r="H5418" s="1"/>
      <c r="I5418" s="1"/>
      <c r="J5418" s="1"/>
      <c r="K5418" s="102" t="s">
        <v>8437</v>
      </c>
      <c r="L5418" s="102" t="str">
        <f t="shared" ref="L5418:L5419" si="119">H683</f>
        <v>J1a2b2b1~</v>
      </c>
      <c r="M5418" s="102"/>
      <c r="N5418" s="102" t="s">
        <v>8438</v>
      </c>
      <c r="O5418" s="105">
        <v>9422545.0</v>
      </c>
      <c r="P5418" s="105">
        <v>9584936.0</v>
      </c>
      <c r="Q5418" s="102" t="s">
        <v>2529</v>
      </c>
      <c r="S5418" s="1"/>
      <c r="T5418" s="1"/>
      <c r="U5418" s="1"/>
      <c r="V5418" s="1"/>
      <c r="W5418" s="1"/>
      <c r="X5418" s="1"/>
      <c r="Y5418" s="1"/>
      <c r="AA5418" s="102"/>
      <c r="AB5418" s="1"/>
      <c r="AC5418" s="1"/>
      <c r="AD5418" s="1"/>
      <c r="AE5418" s="1"/>
      <c r="AF5418" s="1"/>
      <c r="AG5418" s="1"/>
    </row>
    <row r="5419" ht="15.75" customHeight="1">
      <c r="A5419" s="1"/>
      <c r="B5419" s="1"/>
      <c r="C5419" s="1"/>
      <c r="D5419" s="1"/>
      <c r="E5419" s="1"/>
      <c r="F5419" s="1"/>
      <c r="G5419" s="1"/>
      <c r="H5419" s="1"/>
      <c r="I5419" s="1"/>
      <c r="J5419" s="1"/>
      <c r="K5419" s="102" t="s">
        <v>8439</v>
      </c>
      <c r="L5419" s="102" t="str">
        <f t="shared" si="119"/>
        <v>J1a2b2b2~</v>
      </c>
      <c r="M5419" s="102"/>
      <c r="N5419" s="102" t="s">
        <v>8440</v>
      </c>
      <c r="O5419" s="105">
        <v>2.3026676E7</v>
      </c>
      <c r="P5419" s="105">
        <v>2.086479E7</v>
      </c>
      <c r="Q5419" s="102" t="s">
        <v>2501</v>
      </c>
      <c r="S5419" s="1"/>
      <c r="T5419" s="1"/>
      <c r="U5419" s="1"/>
      <c r="V5419" s="1"/>
      <c r="W5419" s="1"/>
      <c r="X5419" s="1"/>
      <c r="Y5419" s="1"/>
      <c r="AA5419" s="102"/>
      <c r="AB5419" s="1"/>
      <c r="AC5419" s="1"/>
      <c r="AD5419" s="1"/>
      <c r="AE5419" s="1"/>
      <c r="AF5419" s="1"/>
      <c r="AG5419" s="1"/>
    </row>
    <row r="5420" ht="15.75" customHeight="1">
      <c r="A5420" s="1"/>
      <c r="B5420" s="1"/>
      <c r="C5420" s="1"/>
      <c r="D5420" s="1"/>
      <c r="E5420" s="1"/>
      <c r="F5420" s="1"/>
      <c r="G5420" s="1"/>
      <c r="H5420" s="1"/>
      <c r="I5420" s="1"/>
      <c r="J5420" s="1"/>
      <c r="K5420" s="102" t="s">
        <v>8441</v>
      </c>
      <c r="L5420" s="102" t="str">
        <f>H684</f>
        <v>J1a2b2b2~</v>
      </c>
      <c r="M5420" s="102"/>
      <c r="N5420" s="102"/>
      <c r="O5420" s="105">
        <v>2888828.0</v>
      </c>
      <c r="P5420" s="105">
        <v>3020787.0</v>
      </c>
      <c r="Q5420" s="102" t="s">
        <v>2439</v>
      </c>
      <c r="S5420" s="1"/>
      <c r="T5420" s="1"/>
      <c r="U5420" s="1"/>
      <c r="V5420" s="1"/>
      <c r="W5420" s="1"/>
      <c r="X5420" s="1"/>
      <c r="Y5420" s="1"/>
      <c r="AA5420" s="102"/>
      <c r="AB5420" s="1"/>
      <c r="AC5420" s="1"/>
      <c r="AD5420" s="1"/>
      <c r="AE5420" s="1"/>
      <c r="AF5420" s="1"/>
      <c r="AG5420" s="1"/>
    </row>
    <row r="5421" ht="15.75" customHeight="1">
      <c r="A5421" s="1"/>
      <c r="B5421" s="1"/>
      <c r="C5421" s="1"/>
      <c r="D5421" s="1"/>
      <c r="E5421" s="1"/>
      <c r="F5421" s="1"/>
      <c r="G5421" s="1"/>
      <c r="H5421" s="1"/>
      <c r="I5421" s="1"/>
      <c r="J5421" s="1"/>
      <c r="K5421" s="102" t="s">
        <v>8442</v>
      </c>
      <c r="L5421" s="102" t="str">
        <f>H684</f>
        <v>J1a2b2b2~</v>
      </c>
      <c r="M5421" s="102"/>
      <c r="N5421" s="102"/>
      <c r="O5421" s="105">
        <v>6987730.0</v>
      </c>
      <c r="P5421" s="105">
        <v>7119689.0</v>
      </c>
      <c r="Q5421" s="102" t="s">
        <v>2501</v>
      </c>
      <c r="S5421" s="1"/>
      <c r="T5421" s="1"/>
      <c r="U5421" s="1"/>
      <c r="V5421" s="1"/>
      <c r="W5421" s="1"/>
      <c r="X5421" s="1"/>
      <c r="Y5421" s="1"/>
      <c r="AA5421" s="102"/>
      <c r="AB5421" s="1"/>
      <c r="AC5421" s="1"/>
      <c r="AD5421" s="1"/>
      <c r="AE5421" s="1"/>
      <c r="AF5421" s="1"/>
      <c r="AG5421" s="1"/>
    </row>
    <row r="5422" ht="15.75" customHeight="1">
      <c r="A5422" s="1"/>
      <c r="B5422" s="1"/>
      <c r="C5422" s="1"/>
      <c r="D5422" s="1"/>
      <c r="E5422" s="1"/>
      <c r="F5422" s="1"/>
      <c r="G5422" s="1"/>
      <c r="H5422" s="1"/>
      <c r="I5422" s="1"/>
      <c r="J5422" s="1"/>
      <c r="K5422" s="102" t="s">
        <v>8443</v>
      </c>
      <c r="L5422" s="102" t="str">
        <f>H684</f>
        <v>J1a2b2b2~</v>
      </c>
      <c r="M5422" s="102"/>
      <c r="N5422" s="102"/>
      <c r="O5422" s="105">
        <v>7622957.0</v>
      </c>
      <c r="P5422" s="105">
        <v>7754916.0</v>
      </c>
      <c r="Q5422" s="102" t="s">
        <v>2439</v>
      </c>
      <c r="S5422" s="1"/>
      <c r="T5422" s="1"/>
      <c r="U5422" s="1"/>
      <c r="V5422" s="1"/>
      <c r="W5422" s="1"/>
      <c r="X5422" s="1"/>
      <c r="Y5422" s="1"/>
      <c r="AA5422" s="102"/>
      <c r="AB5422" s="1"/>
      <c r="AC5422" s="1"/>
      <c r="AD5422" s="1"/>
      <c r="AE5422" s="1"/>
      <c r="AF5422" s="1"/>
      <c r="AG5422" s="1"/>
    </row>
    <row r="5423" ht="15.75" customHeight="1">
      <c r="A5423" s="1"/>
      <c r="B5423" s="1"/>
      <c r="C5423" s="1"/>
      <c r="D5423" s="1"/>
      <c r="E5423" s="1"/>
      <c r="F5423" s="1"/>
      <c r="G5423" s="1"/>
      <c r="H5423" s="1"/>
      <c r="I5423" s="1"/>
      <c r="J5423" s="1"/>
      <c r="K5423" s="102" t="s">
        <v>8444</v>
      </c>
      <c r="L5423" s="102" t="str">
        <f>H684</f>
        <v>J1a2b2b2~</v>
      </c>
      <c r="M5423" s="102"/>
      <c r="N5423" s="102"/>
      <c r="O5423" s="105">
        <v>8190155.0</v>
      </c>
      <c r="P5423" s="105">
        <v>8322114.0</v>
      </c>
      <c r="Q5423" s="102" t="s">
        <v>2501</v>
      </c>
      <c r="S5423" s="1"/>
      <c r="T5423" s="1"/>
      <c r="U5423" s="1"/>
      <c r="V5423" s="1"/>
      <c r="W5423" s="1"/>
      <c r="X5423" s="1"/>
      <c r="Y5423" s="1"/>
      <c r="AA5423" s="102"/>
      <c r="AB5423" s="1"/>
      <c r="AC5423" s="1"/>
      <c r="AD5423" s="1"/>
      <c r="AE5423" s="1"/>
      <c r="AF5423" s="1"/>
      <c r="AG5423" s="1"/>
    </row>
    <row r="5424" ht="15.75" customHeight="1">
      <c r="A5424" s="1"/>
      <c r="B5424" s="1"/>
      <c r="C5424" s="1"/>
      <c r="D5424" s="1"/>
      <c r="E5424" s="1"/>
      <c r="F5424" s="1"/>
      <c r="G5424" s="1"/>
      <c r="H5424" s="1"/>
      <c r="I5424" s="1"/>
      <c r="J5424" s="1"/>
      <c r="K5424" s="102" t="s">
        <v>8445</v>
      </c>
      <c r="L5424" s="102" t="str">
        <f>H684</f>
        <v>J1a2b2b2~</v>
      </c>
      <c r="M5424" s="102"/>
      <c r="N5424" s="102"/>
      <c r="O5424" s="105">
        <v>8346855.0</v>
      </c>
      <c r="P5424" s="105">
        <v>8478814.0</v>
      </c>
      <c r="Q5424" s="102" t="s">
        <v>2529</v>
      </c>
      <c r="S5424" s="1"/>
      <c r="T5424" s="1"/>
      <c r="U5424" s="1"/>
      <c r="V5424" s="1"/>
      <c r="W5424" s="1"/>
      <c r="X5424" s="1"/>
      <c r="Y5424" s="1"/>
      <c r="AA5424" s="102"/>
      <c r="AB5424" s="1"/>
      <c r="AC5424" s="1"/>
      <c r="AD5424" s="1"/>
      <c r="AE5424" s="1"/>
      <c r="AF5424" s="1"/>
      <c r="AG5424" s="1"/>
    </row>
    <row r="5425" ht="15.75" customHeight="1">
      <c r="A5425" s="1"/>
      <c r="B5425" s="1"/>
      <c r="C5425" s="1"/>
      <c r="D5425" s="1"/>
      <c r="E5425" s="1"/>
      <c r="F5425" s="1"/>
      <c r="G5425" s="1"/>
      <c r="H5425" s="1"/>
      <c r="I5425" s="1"/>
      <c r="J5425" s="1"/>
      <c r="K5425" s="102" t="s">
        <v>8446</v>
      </c>
      <c r="L5425" s="102" t="str">
        <f>H684</f>
        <v>J1a2b2b2~</v>
      </c>
      <c r="M5425" s="102"/>
      <c r="N5425" s="102"/>
      <c r="O5425" s="105">
        <v>8861502.0</v>
      </c>
      <c r="P5425" s="105">
        <v>8993461.0</v>
      </c>
      <c r="Q5425" s="102" t="s">
        <v>2529</v>
      </c>
      <c r="S5425" s="1"/>
      <c r="T5425" s="1"/>
      <c r="U5425" s="1"/>
      <c r="V5425" s="1"/>
      <c r="W5425" s="1"/>
      <c r="X5425" s="1"/>
      <c r="Y5425" s="1"/>
      <c r="AA5425" s="102"/>
      <c r="AB5425" s="1"/>
      <c r="AC5425" s="1"/>
      <c r="AD5425" s="1"/>
      <c r="AE5425" s="1"/>
      <c r="AF5425" s="1"/>
      <c r="AG5425" s="1"/>
    </row>
    <row r="5426" ht="15.75" customHeight="1">
      <c r="A5426" s="1"/>
      <c r="B5426" s="1"/>
      <c r="C5426" s="1"/>
      <c r="D5426" s="1"/>
      <c r="E5426" s="1"/>
      <c r="F5426" s="1"/>
      <c r="G5426" s="1"/>
      <c r="H5426" s="1"/>
      <c r="I5426" s="1"/>
      <c r="J5426" s="1"/>
      <c r="K5426" s="102" t="s">
        <v>8447</v>
      </c>
      <c r="L5426" s="102" t="str">
        <f>H684</f>
        <v>J1a2b2b2~</v>
      </c>
      <c r="M5426" s="102"/>
      <c r="N5426" s="102"/>
      <c r="O5426" s="105">
        <v>1.3829684E7</v>
      </c>
      <c r="P5426" s="105">
        <v>1.1708978E7</v>
      </c>
      <c r="Q5426" s="102" t="s">
        <v>2439</v>
      </c>
      <c r="S5426" s="1"/>
      <c r="T5426" s="1"/>
      <c r="U5426" s="1"/>
      <c r="V5426" s="1"/>
      <c r="W5426" s="1"/>
      <c r="X5426" s="1"/>
      <c r="Y5426" s="1"/>
      <c r="AA5426" s="102"/>
      <c r="AB5426" s="1"/>
      <c r="AC5426" s="1"/>
      <c r="AD5426" s="1"/>
      <c r="AE5426" s="1"/>
      <c r="AF5426" s="1"/>
      <c r="AG5426" s="1"/>
    </row>
    <row r="5427" ht="15.75" customHeight="1">
      <c r="A5427" s="1"/>
      <c r="B5427" s="1"/>
      <c r="C5427" s="1"/>
      <c r="D5427" s="1"/>
      <c r="E5427" s="1"/>
      <c r="F5427" s="1"/>
      <c r="G5427" s="1"/>
      <c r="H5427" s="1"/>
      <c r="I5427" s="1"/>
      <c r="J5427" s="1"/>
      <c r="K5427" s="102" t="s">
        <v>8448</v>
      </c>
      <c r="L5427" s="102" t="str">
        <f>H684</f>
        <v>J1a2b2b2~</v>
      </c>
      <c r="M5427" s="102"/>
      <c r="N5427" s="102"/>
      <c r="O5427" s="105">
        <v>1.406347E7</v>
      </c>
      <c r="P5427" s="105">
        <v>1.1942764E7</v>
      </c>
      <c r="Q5427" s="102" t="s">
        <v>2501</v>
      </c>
      <c r="S5427" s="1"/>
      <c r="T5427" s="1"/>
      <c r="U5427" s="1"/>
      <c r="V5427" s="1"/>
      <c r="W5427" s="1"/>
      <c r="X5427" s="1"/>
      <c r="Y5427" s="1"/>
      <c r="AA5427" s="102"/>
      <c r="AB5427" s="1"/>
      <c r="AC5427" s="1"/>
      <c r="AD5427" s="1"/>
      <c r="AE5427" s="1"/>
      <c r="AF5427" s="1"/>
      <c r="AG5427" s="1"/>
    </row>
    <row r="5428" ht="15.75" customHeight="1">
      <c r="A5428" s="1"/>
      <c r="B5428" s="1"/>
      <c r="C5428" s="1"/>
      <c r="D5428" s="1"/>
      <c r="E5428" s="1"/>
      <c r="F5428" s="1"/>
      <c r="G5428" s="1"/>
      <c r="H5428" s="1"/>
      <c r="I5428" s="1"/>
      <c r="J5428" s="1"/>
      <c r="K5428" s="102" t="s">
        <v>8449</v>
      </c>
      <c r="L5428" s="102" t="str">
        <f>H684</f>
        <v>J1a2b2b2~</v>
      </c>
      <c r="M5428" s="102"/>
      <c r="N5428" s="102" t="s">
        <v>8450</v>
      </c>
      <c r="O5428" s="105">
        <v>1.4207127E7</v>
      </c>
      <c r="P5428" s="105">
        <v>1.2086421E7</v>
      </c>
      <c r="Q5428" s="102" t="s">
        <v>2501</v>
      </c>
      <c r="S5428" s="1"/>
      <c r="T5428" s="1"/>
      <c r="U5428" s="1"/>
      <c r="V5428" s="1"/>
      <c r="W5428" s="1"/>
      <c r="X5428" s="1"/>
      <c r="Y5428" s="1"/>
      <c r="AA5428" s="102"/>
      <c r="AB5428" s="1"/>
      <c r="AC5428" s="1"/>
      <c r="AD5428" s="1"/>
      <c r="AE5428" s="1"/>
      <c r="AF5428" s="1"/>
      <c r="AG5428" s="1"/>
    </row>
    <row r="5429" ht="15.75" customHeight="1">
      <c r="A5429" s="1"/>
      <c r="B5429" s="1"/>
      <c r="C5429" s="1"/>
      <c r="D5429" s="1"/>
      <c r="E5429" s="1"/>
      <c r="F5429" s="1"/>
      <c r="G5429" s="1"/>
      <c r="H5429" s="1"/>
      <c r="I5429" s="1"/>
      <c r="J5429" s="1"/>
      <c r="K5429" s="102" t="s">
        <v>8451</v>
      </c>
      <c r="L5429" s="102" t="str">
        <f>H684</f>
        <v>J1a2b2b2~</v>
      </c>
      <c r="M5429" s="102"/>
      <c r="N5429" s="102"/>
      <c r="O5429" s="105">
        <v>1.5609741E7</v>
      </c>
      <c r="P5429" s="105">
        <v>1.3497861E7</v>
      </c>
      <c r="Q5429" s="102" t="s">
        <v>2468</v>
      </c>
      <c r="S5429" s="1"/>
      <c r="T5429" s="1"/>
      <c r="U5429" s="1"/>
      <c r="V5429" s="1"/>
      <c r="W5429" s="1"/>
      <c r="X5429" s="1"/>
      <c r="Y5429" s="1"/>
      <c r="AA5429" s="102"/>
      <c r="AB5429" s="1"/>
      <c r="AC5429" s="1"/>
      <c r="AD5429" s="1"/>
      <c r="AE5429" s="1"/>
      <c r="AF5429" s="1"/>
      <c r="AG5429" s="1"/>
    </row>
    <row r="5430" ht="15.75" customHeight="1">
      <c r="A5430" s="1"/>
      <c r="B5430" s="1"/>
      <c r="C5430" s="1"/>
      <c r="D5430" s="1"/>
      <c r="E5430" s="1"/>
      <c r="F5430" s="1"/>
      <c r="G5430" s="1"/>
      <c r="H5430" s="1"/>
      <c r="I5430" s="1"/>
      <c r="J5430" s="1"/>
      <c r="K5430" s="102" t="s">
        <v>8452</v>
      </c>
      <c r="L5430" s="102" t="str">
        <f>H684</f>
        <v>J1a2b2b2~</v>
      </c>
      <c r="M5430" s="102"/>
      <c r="N5430" s="102"/>
      <c r="O5430" s="105">
        <v>1.6288263E7</v>
      </c>
      <c r="P5430" s="105">
        <v>1.4176383E7</v>
      </c>
      <c r="Q5430" s="102" t="s">
        <v>2439</v>
      </c>
      <c r="S5430" s="1"/>
      <c r="T5430" s="1"/>
      <c r="U5430" s="1"/>
      <c r="V5430" s="1"/>
      <c r="W5430" s="1"/>
      <c r="X5430" s="1"/>
      <c r="Y5430" s="1"/>
      <c r="AA5430" s="102"/>
      <c r="AB5430" s="1"/>
      <c r="AC5430" s="1"/>
      <c r="AD5430" s="1"/>
      <c r="AE5430" s="1"/>
      <c r="AF5430" s="1"/>
      <c r="AG5430" s="1"/>
    </row>
    <row r="5431" ht="15.75" customHeight="1">
      <c r="A5431" s="1"/>
      <c r="B5431" s="1"/>
      <c r="C5431" s="1"/>
      <c r="D5431" s="1"/>
      <c r="E5431" s="1"/>
      <c r="F5431" s="1"/>
      <c r="G5431" s="1"/>
      <c r="H5431" s="1"/>
      <c r="I5431" s="1"/>
      <c r="J5431" s="1"/>
      <c r="K5431" s="102" t="s">
        <v>8453</v>
      </c>
      <c r="L5431" s="102" t="str">
        <f>H684</f>
        <v>J1a2b2b2~</v>
      </c>
      <c r="M5431" s="102"/>
      <c r="N5431" s="102"/>
      <c r="O5431" s="105">
        <v>1.7300092E7</v>
      </c>
      <c r="P5431" s="105">
        <v>1.5188212E7</v>
      </c>
      <c r="Q5431" s="102" t="s">
        <v>2446</v>
      </c>
      <c r="S5431" s="1"/>
      <c r="T5431" s="1"/>
      <c r="U5431" s="1"/>
      <c r="V5431" s="1"/>
      <c r="W5431" s="1"/>
      <c r="X5431" s="1"/>
      <c r="Y5431" s="1"/>
      <c r="AA5431" s="102"/>
      <c r="AB5431" s="1"/>
      <c r="AC5431" s="1"/>
      <c r="AD5431" s="1"/>
      <c r="AE5431" s="1"/>
      <c r="AF5431" s="1"/>
      <c r="AG5431" s="1"/>
    </row>
    <row r="5432" ht="15.75" customHeight="1">
      <c r="A5432" s="1"/>
      <c r="B5432" s="1"/>
      <c r="C5432" s="1"/>
      <c r="D5432" s="1"/>
      <c r="E5432" s="1"/>
      <c r="F5432" s="1"/>
      <c r="G5432" s="1"/>
      <c r="H5432" s="1"/>
      <c r="I5432" s="1"/>
      <c r="J5432" s="1"/>
      <c r="K5432" s="102" t="s">
        <v>8454</v>
      </c>
      <c r="L5432" s="102" t="str">
        <f>H684</f>
        <v>J1a2b2b2~</v>
      </c>
      <c r="M5432" s="102"/>
      <c r="N5432" s="102"/>
      <c r="O5432" s="105">
        <v>1.7302555E7</v>
      </c>
      <c r="P5432" s="105">
        <v>1.5190675E7</v>
      </c>
      <c r="Q5432" s="102" t="s">
        <v>2533</v>
      </c>
      <c r="S5432" s="1"/>
      <c r="T5432" s="1"/>
      <c r="U5432" s="1"/>
      <c r="V5432" s="1"/>
      <c r="W5432" s="1"/>
      <c r="X5432" s="1"/>
      <c r="Y5432" s="1"/>
      <c r="AA5432" s="102"/>
      <c r="AB5432" s="1"/>
      <c r="AC5432" s="1"/>
      <c r="AD5432" s="1"/>
      <c r="AE5432" s="1"/>
      <c r="AF5432" s="1"/>
      <c r="AG5432" s="1"/>
    </row>
    <row r="5433" ht="15.75" customHeight="1">
      <c r="A5433" s="1"/>
      <c r="B5433" s="1"/>
      <c r="C5433" s="1"/>
      <c r="D5433" s="1"/>
      <c r="E5433" s="1"/>
      <c r="F5433" s="1"/>
      <c r="G5433" s="1"/>
      <c r="H5433" s="1"/>
      <c r="I5433" s="1"/>
      <c r="J5433" s="1"/>
      <c r="K5433" s="102" t="s">
        <v>8455</v>
      </c>
      <c r="L5433" s="102" t="str">
        <f>H684</f>
        <v>J1a2b2b2~</v>
      </c>
      <c r="M5433" s="102"/>
      <c r="N5433" s="102"/>
      <c r="O5433" s="105">
        <v>1.7843434E7</v>
      </c>
      <c r="P5433" s="105">
        <v>1.5731554E7</v>
      </c>
      <c r="Q5433" s="102" t="s">
        <v>2563</v>
      </c>
      <c r="S5433" s="1"/>
      <c r="T5433" s="1"/>
      <c r="U5433" s="1"/>
      <c r="V5433" s="1"/>
      <c r="W5433" s="1"/>
      <c r="X5433" s="1"/>
      <c r="Y5433" s="1"/>
      <c r="AA5433" s="102"/>
      <c r="AB5433" s="1"/>
      <c r="AC5433" s="1"/>
      <c r="AD5433" s="1"/>
      <c r="AE5433" s="1"/>
      <c r="AF5433" s="1"/>
      <c r="AG5433" s="1"/>
    </row>
    <row r="5434" ht="15.75" customHeight="1">
      <c r="A5434" s="1"/>
      <c r="B5434" s="1"/>
      <c r="C5434" s="1"/>
      <c r="D5434" s="1"/>
      <c r="E5434" s="1"/>
      <c r="F5434" s="1"/>
      <c r="G5434" s="1"/>
      <c r="H5434" s="1"/>
      <c r="I5434" s="1"/>
      <c r="J5434" s="1"/>
      <c r="K5434" s="102" t="s">
        <v>8456</v>
      </c>
      <c r="L5434" s="102" t="str">
        <f>H684</f>
        <v>J1a2b2b2~</v>
      </c>
      <c r="M5434" s="102"/>
      <c r="N5434" s="102" t="s">
        <v>8457</v>
      </c>
      <c r="O5434" s="105">
        <v>1.8982899E7</v>
      </c>
      <c r="P5434" s="105">
        <v>1.6871019E7</v>
      </c>
      <c r="Q5434" s="102" t="s">
        <v>2454</v>
      </c>
      <c r="S5434" s="1"/>
      <c r="T5434" s="1"/>
      <c r="U5434" s="1"/>
      <c r="V5434" s="1"/>
      <c r="W5434" s="1"/>
      <c r="X5434" s="1"/>
      <c r="Y5434" s="1"/>
      <c r="AA5434" s="102"/>
      <c r="AB5434" s="1"/>
      <c r="AC5434" s="1"/>
      <c r="AD5434" s="1"/>
      <c r="AE5434" s="1"/>
      <c r="AF5434" s="1"/>
      <c r="AG5434" s="1"/>
    </row>
    <row r="5435" ht="15.75" customHeight="1">
      <c r="A5435" s="1"/>
      <c r="B5435" s="1"/>
      <c r="C5435" s="1"/>
      <c r="D5435" s="1"/>
      <c r="E5435" s="1"/>
      <c r="F5435" s="1"/>
      <c r="G5435" s="1"/>
      <c r="H5435" s="1"/>
      <c r="I5435" s="1"/>
      <c r="J5435" s="1"/>
      <c r="K5435" s="102" t="s">
        <v>8458</v>
      </c>
      <c r="L5435" s="102" t="str">
        <f>H684</f>
        <v>J1a2b2b2~</v>
      </c>
      <c r="M5435" s="102"/>
      <c r="N5435" s="102"/>
      <c r="O5435" s="105">
        <v>2.1655972E7</v>
      </c>
      <c r="P5435" s="105">
        <v>1.9494086E7</v>
      </c>
      <c r="Q5435" s="102" t="s">
        <v>2529</v>
      </c>
      <c r="S5435" s="1"/>
      <c r="T5435" s="1"/>
      <c r="U5435" s="1"/>
      <c r="V5435" s="1"/>
      <c r="W5435" s="1"/>
      <c r="X5435" s="1"/>
      <c r="Y5435" s="1"/>
      <c r="AA5435" s="102"/>
      <c r="AB5435" s="1"/>
      <c r="AC5435" s="1"/>
      <c r="AD5435" s="1"/>
      <c r="AE5435" s="1"/>
      <c r="AF5435" s="1"/>
      <c r="AG5435" s="1"/>
    </row>
    <row r="5436" ht="15.75" customHeight="1">
      <c r="A5436" s="1"/>
      <c r="B5436" s="1"/>
      <c r="C5436" s="1"/>
      <c r="D5436" s="1"/>
      <c r="E5436" s="1"/>
      <c r="F5436" s="1"/>
      <c r="G5436" s="1"/>
      <c r="H5436" s="1"/>
      <c r="I5436" s="1"/>
      <c r="J5436" s="1"/>
      <c r="K5436" s="102" t="s">
        <v>1337</v>
      </c>
      <c r="L5436" s="102" t="str">
        <f t="shared" ref="L5436:L5437" si="120">I685</f>
        <v>J1a2b2b2a~</v>
      </c>
      <c r="M5436" s="102"/>
      <c r="N5436" s="102"/>
      <c r="O5436" s="105">
        <v>8819036.0</v>
      </c>
      <c r="P5436" s="105">
        <v>8950995.0</v>
      </c>
      <c r="Q5436" s="102" t="s">
        <v>2529</v>
      </c>
      <c r="S5436" s="1"/>
      <c r="T5436" s="1"/>
      <c r="U5436" s="1"/>
      <c r="V5436" s="1"/>
      <c r="W5436" s="1"/>
      <c r="X5436" s="1"/>
      <c r="Y5436" s="1"/>
      <c r="AA5436" s="102"/>
      <c r="AB5436" s="1"/>
      <c r="AC5436" s="1"/>
      <c r="AD5436" s="1"/>
      <c r="AE5436" s="1"/>
      <c r="AF5436" s="1"/>
      <c r="AG5436" s="1"/>
    </row>
    <row r="5437" ht="15.75" customHeight="1">
      <c r="A5437" s="1"/>
      <c r="B5437" s="1"/>
      <c r="C5437" s="1"/>
      <c r="D5437" s="1"/>
      <c r="E5437" s="1"/>
      <c r="F5437" s="1"/>
      <c r="G5437" s="1"/>
      <c r="H5437" s="1"/>
      <c r="I5437" s="1"/>
      <c r="J5437" s="1"/>
      <c r="K5437" s="102" t="s">
        <v>8459</v>
      </c>
      <c r="L5437" s="102" t="str">
        <f t="shared" si="120"/>
        <v>J1a2b2b2b~</v>
      </c>
      <c r="M5437" s="102"/>
      <c r="N5437" s="102"/>
      <c r="O5437" s="105">
        <v>8605050.0</v>
      </c>
      <c r="P5437" s="105">
        <v>8737009.0</v>
      </c>
      <c r="Q5437" s="102" t="s">
        <v>2563</v>
      </c>
      <c r="S5437" s="1"/>
      <c r="T5437" s="1"/>
      <c r="U5437" s="1"/>
      <c r="V5437" s="1"/>
      <c r="W5437" s="1"/>
      <c r="X5437" s="1"/>
      <c r="Y5437" s="1"/>
      <c r="AA5437" s="102"/>
      <c r="AB5437" s="1"/>
      <c r="AC5437" s="1"/>
      <c r="AD5437" s="1"/>
      <c r="AE5437" s="1"/>
      <c r="AF5437" s="1"/>
      <c r="AG5437" s="1"/>
    </row>
    <row r="5438" ht="15.75" customHeight="1">
      <c r="A5438" s="1"/>
      <c r="B5438" s="1"/>
      <c r="C5438" s="1"/>
      <c r="D5438" s="1"/>
      <c r="E5438" s="1"/>
      <c r="F5438" s="1"/>
      <c r="G5438" s="1"/>
      <c r="H5438" s="1"/>
      <c r="I5438" s="1"/>
      <c r="J5438" s="1"/>
      <c r="K5438" s="102" t="s">
        <v>8460</v>
      </c>
      <c r="L5438" s="102" t="str">
        <f>I686</f>
        <v>J1a2b2b2b~</v>
      </c>
      <c r="M5438" s="102"/>
      <c r="N5438" s="102"/>
      <c r="O5438" s="105">
        <v>1.8646938E7</v>
      </c>
      <c r="P5438" s="105">
        <v>1.6535058E7</v>
      </c>
      <c r="Q5438" s="102" t="s">
        <v>2533</v>
      </c>
      <c r="S5438" s="1"/>
      <c r="T5438" s="1"/>
      <c r="U5438" s="1"/>
      <c r="V5438" s="1"/>
      <c r="W5438" s="1"/>
      <c r="X5438" s="1"/>
      <c r="Y5438" s="1"/>
      <c r="AA5438" s="102"/>
      <c r="AB5438" s="1"/>
      <c r="AC5438" s="1"/>
      <c r="AD5438" s="1"/>
      <c r="AE5438" s="1"/>
      <c r="AF5438" s="1"/>
      <c r="AG5438" s="1"/>
    </row>
    <row r="5439" ht="15.75" customHeight="1">
      <c r="A5439" s="1"/>
      <c r="B5439" s="1"/>
      <c r="C5439" s="1"/>
      <c r="D5439" s="1"/>
      <c r="E5439" s="1"/>
      <c r="F5439" s="1"/>
      <c r="G5439" s="1"/>
      <c r="H5439" s="1"/>
      <c r="I5439" s="1"/>
      <c r="J5439" s="1"/>
      <c r="K5439" s="102" t="s">
        <v>8461</v>
      </c>
      <c r="L5439" s="102" t="str">
        <f>D687</f>
        <v>J1a3~</v>
      </c>
      <c r="M5439" s="102"/>
      <c r="N5439" s="102" t="s">
        <v>8462</v>
      </c>
      <c r="O5439" s="105">
        <v>1.7792637E7</v>
      </c>
      <c r="P5439" s="105">
        <v>1.5680757E7</v>
      </c>
      <c r="Q5439" s="102" t="s">
        <v>2576</v>
      </c>
      <c r="S5439" s="1"/>
      <c r="T5439" s="1"/>
      <c r="U5439" s="1"/>
      <c r="V5439" s="1"/>
      <c r="W5439" s="1"/>
      <c r="X5439" s="1"/>
      <c r="Y5439" s="1"/>
      <c r="AA5439" s="102"/>
      <c r="AB5439" s="1"/>
      <c r="AC5439" s="1"/>
      <c r="AD5439" s="1"/>
      <c r="AE5439" s="1"/>
      <c r="AF5439" s="1"/>
      <c r="AG5439" s="1"/>
    </row>
    <row r="5440" ht="15.75" customHeight="1">
      <c r="A5440" s="1"/>
      <c r="B5440" s="1"/>
      <c r="C5440" s="1"/>
      <c r="D5440" s="1"/>
      <c r="E5440" s="1"/>
      <c r="F5440" s="1"/>
      <c r="G5440" s="1"/>
      <c r="H5440" s="1"/>
      <c r="I5440" s="1"/>
      <c r="J5440" s="1"/>
      <c r="K5440" s="102" t="s">
        <v>8463</v>
      </c>
      <c r="L5440" s="102" t="str">
        <f>D687</f>
        <v>J1a3~</v>
      </c>
      <c r="M5440" s="102"/>
      <c r="N5440" s="102" t="s">
        <v>8464</v>
      </c>
      <c r="O5440" s="105">
        <v>7559663.0</v>
      </c>
      <c r="P5440" s="105">
        <v>7691622.0</v>
      </c>
      <c r="Q5440" s="102" t="s">
        <v>2501</v>
      </c>
      <c r="S5440" s="1"/>
      <c r="T5440" s="1"/>
      <c r="U5440" s="1"/>
      <c r="V5440" s="1"/>
      <c r="W5440" s="1"/>
      <c r="X5440" s="1"/>
      <c r="Y5440" s="1"/>
      <c r="AA5440" s="102"/>
      <c r="AB5440" s="1"/>
      <c r="AC5440" s="1"/>
      <c r="AD5440" s="1"/>
      <c r="AE5440" s="1"/>
      <c r="AF5440" s="1"/>
      <c r="AG5440" s="1"/>
    </row>
    <row r="5441" ht="15.75" customHeight="1">
      <c r="A5441" s="1"/>
      <c r="B5441" s="1"/>
      <c r="C5441" s="1"/>
      <c r="D5441" s="1"/>
      <c r="E5441" s="1"/>
      <c r="F5441" s="1"/>
      <c r="G5441" s="1"/>
      <c r="H5441" s="1"/>
      <c r="I5441" s="1"/>
      <c r="J5441" s="1"/>
      <c r="K5441" s="102" t="s">
        <v>8465</v>
      </c>
      <c r="L5441" s="102" t="str">
        <f>D687</f>
        <v>J1a3~</v>
      </c>
      <c r="M5441" s="102"/>
      <c r="N5441" s="102" t="s">
        <v>8466</v>
      </c>
      <c r="O5441" s="105">
        <v>2.3766194E7</v>
      </c>
      <c r="P5441" s="105">
        <v>2.1604308E7</v>
      </c>
      <c r="Q5441" s="102" t="s">
        <v>2501</v>
      </c>
      <c r="S5441" s="1"/>
      <c r="T5441" s="1"/>
      <c r="U5441" s="1"/>
      <c r="V5441" s="1"/>
      <c r="W5441" s="1"/>
      <c r="X5441" s="1"/>
      <c r="Y5441" s="1"/>
      <c r="AA5441" s="102"/>
      <c r="AB5441" s="1"/>
      <c r="AC5441" s="1"/>
      <c r="AD5441" s="1"/>
      <c r="AE5441" s="1"/>
      <c r="AF5441" s="1"/>
      <c r="AG5441" s="1"/>
    </row>
    <row r="5442" ht="15.75" customHeight="1">
      <c r="A5442" s="1"/>
      <c r="B5442" s="1"/>
      <c r="C5442" s="1"/>
      <c r="D5442" s="1"/>
      <c r="E5442" s="1"/>
      <c r="F5442" s="1"/>
      <c r="G5442" s="1"/>
      <c r="H5442" s="1"/>
      <c r="I5442" s="1"/>
      <c r="J5442" s="1"/>
      <c r="K5442" s="102" t="s">
        <v>8467</v>
      </c>
      <c r="L5442" s="102" t="str">
        <f>D687</f>
        <v>J1a3~</v>
      </c>
      <c r="M5442" s="102"/>
      <c r="N5442" s="102" t="s">
        <v>8468</v>
      </c>
      <c r="O5442" s="105">
        <v>2.2687368E7</v>
      </c>
      <c r="P5442" s="105">
        <v>2.0525482E7</v>
      </c>
      <c r="Q5442" s="102" t="s">
        <v>2576</v>
      </c>
      <c r="S5442" s="1"/>
      <c r="T5442" s="1"/>
      <c r="U5442" s="1"/>
      <c r="V5442" s="1"/>
      <c r="W5442" s="1"/>
      <c r="X5442" s="1"/>
      <c r="Y5442" s="1"/>
      <c r="AA5442" s="102"/>
      <c r="AB5442" s="1"/>
      <c r="AC5442" s="1"/>
      <c r="AD5442" s="1"/>
      <c r="AE5442" s="1"/>
      <c r="AF5442" s="1"/>
      <c r="AG5442" s="1"/>
    </row>
    <row r="5443" ht="15.75" customHeight="1">
      <c r="A5443" s="1"/>
      <c r="B5443" s="1"/>
      <c r="C5443" s="1"/>
      <c r="D5443" s="1"/>
      <c r="E5443" s="1"/>
      <c r="F5443" s="1"/>
      <c r="G5443" s="1"/>
      <c r="H5443" s="1"/>
      <c r="I5443" s="1"/>
      <c r="J5443" s="1"/>
      <c r="K5443" s="102" t="s">
        <v>8469</v>
      </c>
      <c r="L5443" s="102" t="str">
        <f>D687</f>
        <v>J1a3~</v>
      </c>
      <c r="M5443" s="102"/>
      <c r="N5443" s="102" t="s">
        <v>8470</v>
      </c>
      <c r="O5443" s="105">
        <v>2661371.0</v>
      </c>
      <c r="P5443" s="105">
        <v>2793330.0</v>
      </c>
      <c r="Q5443" s="102" t="s">
        <v>2501</v>
      </c>
      <c r="S5443" s="1"/>
      <c r="T5443" s="1"/>
      <c r="U5443" s="1"/>
      <c r="V5443" s="1"/>
      <c r="W5443" s="1"/>
      <c r="X5443" s="1"/>
      <c r="Y5443" s="1"/>
      <c r="AA5443" s="102"/>
      <c r="AB5443" s="1"/>
      <c r="AC5443" s="1"/>
      <c r="AD5443" s="1"/>
      <c r="AE5443" s="1"/>
      <c r="AF5443" s="1"/>
      <c r="AG5443" s="1"/>
    </row>
    <row r="5444" ht="15.75" customHeight="1">
      <c r="A5444" s="1"/>
      <c r="B5444" s="1"/>
      <c r="C5444" s="1"/>
      <c r="D5444" s="1"/>
      <c r="E5444" s="1"/>
      <c r="F5444" s="1"/>
      <c r="G5444" s="1"/>
      <c r="H5444" s="1"/>
      <c r="I5444" s="1"/>
      <c r="J5444" s="1"/>
      <c r="K5444" s="102" t="s">
        <v>8471</v>
      </c>
      <c r="L5444" s="102" t="str">
        <f>D687</f>
        <v>J1a3~</v>
      </c>
      <c r="M5444" s="102"/>
      <c r="N5444" s="102" t="s">
        <v>8472</v>
      </c>
      <c r="O5444" s="105">
        <v>2832596.0</v>
      </c>
      <c r="P5444" s="105">
        <v>2964555.0</v>
      </c>
      <c r="Q5444" s="102" t="s">
        <v>2529</v>
      </c>
      <c r="S5444" s="1"/>
      <c r="T5444" s="1"/>
      <c r="U5444" s="1"/>
      <c r="V5444" s="1"/>
      <c r="W5444" s="1"/>
      <c r="X5444" s="1"/>
      <c r="Y5444" s="1"/>
      <c r="AA5444" s="102"/>
      <c r="AB5444" s="1"/>
      <c r="AC5444" s="1"/>
      <c r="AD5444" s="1"/>
      <c r="AE5444" s="1"/>
      <c r="AF5444" s="1"/>
      <c r="AG5444" s="1"/>
    </row>
    <row r="5445" ht="15.75" customHeight="1">
      <c r="A5445" s="1"/>
      <c r="B5445" s="1"/>
      <c r="C5445" s="1"/>
      <c r="D5445" s="1"/>
      <c r="E5445" s="1"/>
      <c r="F5445" s="1"/>
      <c r="G5445" s="1"/>
      <c r="H5445" s="1"/>
      <c r="I5445" s="1"/>
      <c r="J5445" s="1"/>
      <c r="K5445" s="102" t="s">
        <v>8473</v>
      </c>
      <c r="L5445" s="102" t="str">
        <f>D687</f>
        <v>J1a3~</v>
      </c>
      <c r="M5445" s="102"/>
      <c r="N5445" s="102" t="s">
        <v>8474</v>
      </c>
      <c r="O5445" s="105">
        <v>6965238.0</v>
      </c>
      <c r="P5445" s="105">
        <v>7097197.0</v>
      </c>
      <c r="Q5445" s="102" t="s">
        <v>2576</v>
      </c>
      <c r="S5445" s="1"/>
      <c r="T5445" s="1"/>
      <c r="U5445" s="1"/>
      <c r="V5445" s="1"/>
      <c r="W5445" s="1"/>
      <c r="X5445" s="1"/>
      <c r="Y5445" s="1"/>
      <c r="AA5445" s="102"/>
      <c r="AB5445" s="1"/>
      <c r="AC5445" s="1"/>
      <c r="AD5445" s="1"/>
      <c r="AE5445" s="1"/>
      <c r="AF5445" s="1"/>
      <c r="AG5445" s="1"/>
    </row>
    <row r="5446" ht="15.75" customHeight="1">
      <c r="A5446" s="1"/>
      <c r="B5446" s="1"/>
      <c r="C5446" s="1"/>
      <c r="D5446" s="1"/>
      <c r="E5446" s="1"/>
      <c r="F5446" s="1"/>
      <c r="G5446" s="1"/>
      <c r="H5446" s="1"/>
      <c r="I5446" s="1"/>
      <c r="J5446" s="1"/>
      <c r="K5446" s="102" t="s">
        <v>8475</v>
      </c>
      <c r="L5446" s="102" t="str">
        <f>D687</f>
        <v>J1a3~</v>
      </c>
      <c r="M5446" s="102"/>
      <c r="N5446" s="102" t="s">
        <v>8476</v>
      </c>
      <c r="O5446" s="105">
        <v>1.4762201E7</v>
      </c>
      <c r="P5446" s="105">
        <v>1.265027E7</v>
      </c>
      <c r="Q5446" s="102" t="s">
        <v>2439</v>
      </c>
      <c r="S5446" s="1"/>
      <c r="T5446" s="1"/>
      <c r="U5446" s="1"/>
      <c r="V5446" s="1"/>
      <c r="W5446" s="1"/>
      <c r="X5446" s="1"/>
      <c r="Y5446" s="1"/>
      <c r="AA5446" s="102"/>
      <c r="AB5446" s="1"/>
      <c r="AC5446" s="1"/>
      <c r="AD5446" s="1"/>
      <c r="AE5446" s="1"/>
      <c r="AF5446" s="1"/>
      <c r="AG5446" s="1"/>
    </row>
    <row r="5447" ht="15.75" customHeight="1">
      <c r="A5447" s="1"/>
      <c r="B5447" s="1"/>
      <c r="C5447" s="1"/>
      <c r="D5447" s="1"/>
      <c r="E5447" s="1"/>
      <c r="F5447" s="1"/>
      <c r="G5447" s="1"/>
      <c r="H5447" s="1"/>
      <c r="I5447" s="1"/>
      <c r="J5447" s="1"/>
      <c r="K5447" s="102" t="s">
        <v>8477</v>
      </c>
      <c r="L5447" s="102" t="str">
        <f>D687</f>
        <v>J1a3~</v>
      </c>
      <c r="M5447" s="102"/>
      <c r="N5447" s="102" t="s">
        <v>8478</v>
      </c>
      <c r="O5447" s="105">
        <v>1.6576367E7</v>
      </c>
      <c r="P5447" s="105">
        <v>1.4464487E7</v>
      </c>
      <c r="Q5447" s="102" t="s">
        <v>2529</v>
      </c>
      <c r="S5447" s="1"/>
      <c r="T5447" s="1"/>
      <c r="U5447" s="1"/>
      <c r="V5447" s="1"/>
      <c r="W5447" s="1"/>
      <c r="X5447" s="1"/>
      <c r="Y5447" s="1"/>
      <c r="AA5447" s="102"/>
      <c r="AB5447" s="1"/>
      <c r="AC5447" s="1"/>
      <c r="AD5447" s="1"/>
      <c r="AE5447" s="1"/>
      <c r="AF5447" s="1"/>
      <c r="AG5447" s="1"/>
    </row>
    <row r="5448" ht="15.75" customHeight="1">
      <c r="A5448" s="1"/>
      <c r="B5448" s="1"/>
      <c r="C5448" s="1"/>
      <c r="D5448" s="1"/>
      <c r="E5448" s="1"/>
      <c r="F5448" s="1"/>
      <c r="G5448" s="1"/>
      <c r="H5448" s="1"/>
      <c r="I5448" s="1"/>
      <c r="J5448" s="1"/>
      <c r="K5448" s="102" t="s">
        <v>8479</v>
      </c>
      <c r="L5448" s="102" t="str">
        <f>D687</f>
        <v>J1a3~</v>
      </c>
      <c r="M5448" s="102"/>
      <c r="N5448" s="102" t="s">
        <v>8480</v>
      </c>
      <c r="O5448" s="105">
        <v>1.7496618E7</v>
      </c>
      <c r="P5448" s="105">
        <v>1.5384738E7</v>
      </c>
      <c r="Q5448" s="102" t="s">
        <v>2439</v>
      </c>
      <c r="S5448" s="1"/>
      <c r="T5448" s="1"/>
      <c r="U5448" s="1"/>
      <c r="V5448" s="1"/>
      <c r="W5448" s="1"/>
      <c r="X5448" s="1"/>
      <c r="Y5448" s="1"/>
      <c r="AA5448" s="102"/>
      <c r="AB5448" s="1"/>
      <c r="AC5448" s="1"/>
      <c r="AD5448" s="1"/>
      <c r="AE5448" s="1"/>
      <c r="AF5448" s="1"/>
      <c r="AG5448" s="1"/>
    </row>
    <row r="5449" ht="15.75" customHeight="1">
      <c r="A5449" s="1"/>
      <c r="B5449" s="1"/>
      <c r="C5449" s="1"/>
      <c r="D5449" s="1"/>
      <c r="E5449" s="1"/>
      <c r="F5449" s="1"/>
      <c r="G5449" s="1"/>
      <c r="H5449" s="1"/>
      <c r="I5449" s="1"/>
      <c r="J5449" s="1"/>
      <c r="K5449" s="102" t="s">
        <v>8481</v>
      </c>
      <c r="L5449" s="102" t="str">
        <f>D687</f>
        <v>J1a3~</v>
      </c>
      <c r="M5449" s="102"/>
      <c r="N5449" s="102" t="s">
        <v>8482</v>
      </c>
      <c r="O5449" s="105">
        <v>1.8051747E7</v>
      </c>
      <c r="P5449" s="105">
        <v>1.5939867E7</v>
      </c>
      <c r="Q5449" s="102" t="s">
        <v>2514</v>
      </c>
      <c r="S5449" s="1"/>
      <c r="T5449" s="1"/>
      <c r="U5449" s="1"/>
      <c r="V5449" s="1"/>
      <c r="W5449" s="1"/>
      <c r="X5449" s="1"/>
      <c r="Y5449" s="1"/>
      <c r="AA5449" s="102"/>
      <c r="AB5449" s="1"/>
      <c r="AC5449" s="1"/>
      <c r="AD5449" s="1"/>
      <c r="AE5449" s="1"/>
      <c r="AF5449" s="1"/>
      <c r="AG5449" s="1"/>
    </row>
    <row r="5450" ht="15.75" customHeight="1">
      <c r="A5450" s="1"/>
      <c r="B5450" s="1"/>
      <c r="C5450" s="1"/>
      <c r="D5450" s="1"/>
      <c r="E5450" s="1"/>
      <c r="F5450" s="1"/>
      <c r="G5450" s="1"/>
      <c r="H5450" s="1"/>
      <c r="I5450" s="1"/>
      <c r="J5450" s="1"/>
      <c r="K5450" s="102" t="s">
        <v>8483</v>
      </c>
      <c r="L5450" s="102" t="str">
        <f>D687</f>
        <v>J1a3~</v>
      </c>
      <c r="M5450" s="102"/>
      <c r="N5450" s="102" t="s">
        <v>8484</v>
      </c>
      <c r="O5450" s="105">
        <v>1.8740412E7</v>
      </c>
      <c r="P5450" s="105">
        <v>1.6628532E7</v>
      </c>
      <c r="Q5450" s="102" t="s">
        <v>2439</v>
      </c>
      <c r="S5450" s="1"/>
      <c r="T5450" s="1"/>
      <c r="U5450" s="1"/>
      <c r="V5450" s="1"/>
      <c r="W5450" s="1"/>
      <c r="X5450" s="1"/>
      <c r="Y5450" s="1"/>
      <c r="AA5450" s="102"/>
      <c r="AB5450" s="1"/>
      <c r="AC5450" s="1"/>
      <c r="AD5450" s="1"/>
      <c r="AE5450" s="1"/>
      <c r="AF5450" s="1"/>
      <c r="AG5450" s="1"/>
    </row>
    <row r="5451" ht="15.75" customHeight="1">
      <c r="A5451" s="1"/>
      <c r="B5451" s="1"/>
      <c r="C5451" s="1"/>
      <c r="D5451" s="1"/>
      <c r="E5451" s="1"/>
      <c r="F5451" s="1"/>
      <c r="G5451" s="1"/>
      <c r="H5451" s="1"/>
      <c r="I5451" s="1"/>
      <c r="J5451" s="1"/>
      <c r="K5451" s="102" t="s">
        <v>8485</v>
      </c>
      <c r="L5451" s="102" t="str">
        <f>D687</f>
        <v>J1a3~</v>
      </c>
      <c r="M5451" s="102"/>
      <c r="N5451" s="102" t="s">
        <v>8486</v>
      </c>
      <c r="O5451" s="105">
        <v>1.9007381E7</v>
      </c>
      <c r="P5451" s="105">
        <v>1.6895501E7</v>
      </c>
      <c r="Q5451" s="102" t="s">
        <v>2501</v>
      </c>
      <c r="S5451" s="1"/>
      <c r="T5451" s="1"/>
      <c r="U5451" s="1"/>
      <c r="V5451" s="1"/>
      <c r="W5451" s="1"/>
      <c r="X5451" s="1"/>
      <c r="Y5451" s="1"/>
      <c r="AA5451" s="102"/>
      <c r="AB5451" s="1"/>
      <c r="AC5451" s="1"/>
      <c r="AD5451" s="1"/>
      <c r="AE5451" s="1"/>
      <c r="AF5451" s="1"/>
      <c r="AG5451" s="1"/>
    </row>
    <row r="5452" ht="15.75" customHeight="1">
      <c r="A5452" s="1"/>
      <c r="B5452" s="1"/>
      <c r="C5452" s="1"/>
      <c r="D5452" s="1"/>
      <c r="E5452" s="1"/>
      <c r="F5452" s="1"/>
      <c r="G5452" s="1"/>
      <c r="H5452" s="1"/>
      <c r="I5452" s="1"/>
      <c r="J5452" s="1"/>
      <c r="K5452" s="102" t="s">
        <v>8487</v>
      </c>
      <c r="L5452" s="102" t="str">
        <f>D687</f>
        <v>J1a3~</v>
      </c>
      <c r="M5452" s="102"/>
      <c r="N5452" s="102" t="s">
        <v>8488</v>
      </c>
      <c r="O5452" s="105">
        <v>1.9273853E7</v>
      </c>
      <c r="P5452" s="105">
        <v>1.7161973E7</v>
      </c>
      <c r="Q5452" s="102" t="s">
        <v>2529</v>
      </c>
      <c r="S5452" s="1"/>
      <c r="T5452" s="1"/>
      <c r="U5452" s="1"/>
      <c r="V5452" s="1"/>
      <c r="W5452" s="1"/>
      <c r="X5452" s="1"/>
      <c r="Y5452" s="1"/>
      <c r="AA5452" s="102"/>
      <c r="AB5452" s="1"/>
      <c r="AC5452" s="1"/>
      <c r="AD5452" s="1"/>
      <c r="AE5452" s="1"/>
      <c r="AF5452" s="1"/>
      <c r="AG5452" s="1"/>
    </row>
    <row r="5453" ht="15.75" customHeight="1">
      <c r="A5453" s="1"/>
      <c r="B5453" s="1"/>
      <c r="C5453" s="1"/>
      <c r="D5453" s="1"/>
      <c r="E5453" s="1"/>
      <c r="F5453" s="1"/>
      <c r="G5453" s="1"/>
      <c r="H5453" s="1"/>
      <c r="I5453" s="1"/>
      <c r="J5453" s="1"/>
      <c r="K5453" s="102" t="s">
        <v>8489</v>
      </c>
      <c r="L5453" s="102" t="str">
        <f>D687</f>
        <v>J1a3~</v>
      </c>
      <c r="M5453" s="102"/>
      <c r="N5453" s="102" t="s">
        <v>8490</v>
      </c>
      <c r="O5453" s="105">
        <v>2.1891822E7</v>
      </c>
      <c r="P5453" s="105">
        <v>1.9729936E7</v>
      </c>
      <c r="Q5453" s="102" t="s">
        <v>2439</v>
      </c>
      <c r="S5453" s="1"/>
      <c r="T5453" s="1"/>
      <c r="U5453" s="1"/>
      <c r="V5453" s="1"/>
      <c r="W5453" s="1"/>
      <c r="X5453" s="1"/>
      <c r="Y5453" s="1"/>
      <c r="AA5453" s="102"/>
      <c r="AB5453" s="1"/>
      <c r="AC5453" s="1"/>
      <c r="AD5453" s="1"/>
      <c r="AE5453" s="1"/>
      <c r="AF5453" s="1"/>
      <c r="AG5453" s="1"/>
    </row>
    <row r="5454" ht="15.75" customHeight="1">
      <c r="A5454" s="1"/>
      <c r="B5454" s="1"/>
      <c r="C5454" s="1"/>
      <c r="D5454" s="1"/>
      <c r="E5454" s="1"/>
      <c r="F5454" s="1"/>
      <c r="G5454" s="1"/>
      <c r="H5454" s="1"/>
      <c r="I5454" s="1"/>
      <c r="J5454" s="1"/>
      <c r="K5454" s="102" t="s">
        <v>8491</v>
      </c>
      <c r="L5454" s="102" t="str">
        <f>D687</f>
        <v>J1a3~</v>
      </c>
      <c r="M5454" s="102"/>
      <c r="N5454" s="102" t="s">
        <v>8492</v>
      </c>
      <c r="O5454" s="105">
        <v>2.2920517E7</v>
      </c>
      <c r="P5454" s="105">
        <v>2.0758631E7</v>
      </c>
      <c r="Q5454" s="102" t="s">
        <v>2468</v>
      </c>
      <c r="S5454" s="1"/>
      <c r="T5454" s="1"/>
      <c r="U5454" s="1"/>
      <c r="V5454" s="1"/>
      <c r="W5454" s="1"/>
      <c r="X5454" s="1"/>
      <c r="Y5454" s="1"/>
      <c r="AA5454" s="102"/>
      <c r="AB5454" s="1"/>
      <c r="AC5454" s="1"/>
      <c r="AD5454" s="1"/>
      <c r="AE5454" s="1"/>
      <c r="AF5454" s="1"/>
      <c r="AG5454" s="1"/>
    </row>
    <row r="5455" ht="15.75" customHeight="1">
      <c r="A5455" s="1"/>
      <c r="B5455" s="1"/>
      <c r="C5455" s="1"/>
      <c r="D5455" s="1"/>
      <c r="E5455" s="1"/>
      <c r="F5455" s="1"/>
      <c r="G5455" s="1"/>
      <c r="H5455" s="1"/>
      <c r="I5455" s="1"/>
      <c r="J5455" s="1"/>
      <c r="K5455" s="102" t="s">
        <v>8493</v>
      </c>
      <c r="L5455" s="102" t="str">
        <f>D687</f>
        <v>J1a3~</v>
      </c>
      <c r="M5455" s="102"/>
      <c r="N5455" s="102" t="s">
        <v>8494</v>
      </c>
      <c r="O5455" s="105">
        <v>2.2212176E7</v>
      </c>
      <c r="P5455" s="105">
        <v>2.005029E7</v>
      </c>
      <c r="Q5455" s="102" t="s">
        <v>2439</v>
      </c>
      <c r="S5455" s="1"/>
      <c r="T5455" s="1"/>
      <c r="U5455" s="1"/>
      <c r="V5455" s="1"/>
      <c r="W5455" s="1"/>
      <c r="X5455" s="1"/>
      <c r="Y5455" s="1"/>
      <c r="AA5455" s="102"/>
      <c r="AB5455" s="1"/>
      <c r="AC5455" s="1"/>
      <c r="AD5455" s="1"/>
      <c r="AE5455" s="1"/>
      <c r="AF5455" s="1"/>
      <c r="AG5455" s="1"/>
    </row>
    <row r="5456" ht="15.75" customHeight="1">
      <c r="A5456" s="1"/>
      <c r="B5456" s="1"/>
      <c r="C5456" s="1"/>
      <c r="D5456" s="1"/>
      <c r="E5456" s="1"/>
      <c r="F5456" s="1"/>
      <c r="G5456" s="1"/>
      <c r="H5456" s="1"/>
      <c r="I5456" s="1"/>
      <c r="J5456" s="1"/>
      <c r="K5456" s="102" t="s">
        <v>8495</v>
      </c>
      <c r="L5456" s="102" t="str">
        <f>D687</f>
        <v>J1a3~</v>
      </c>
      <c r="M5456" s="102"/>
      <c r="N5456" s="102"/>
      <c r="O5456" s="105">
        <v>2.2770232E7</v>
      </c>
      <c r="P5456" s="105">
        <v>2.0608346E7</v>
      </c>
      <c r="Q5456" s="102" t="s">
        <v>2439</v>
      </c>
      <c r="S5456" s="1"/>
      <c r="T5456" s="1"/>
      <c r="U5456" s="1"/>
      <c r="V5456" s="1"/>
      <c r="W5456" s="1"/>
      <c r="X5456" s="1"/>
      <c r="Y5456" s="1"/>
      <c r="AA5456" s="102"/>
      <c r="AB5456" s="1"/>
      <c r="AC5456" s="1"/>
      <c r="AD5456" s="1"/>
      <c r="AE5456" s="1"/>
      <c r="AF5456" s="1"/>
      <c r="AG5456" s="1"/>
    </row>
    <row r="5457" ht="15.75" customHeight="1">
      <c r="A5457" s="1"/>
      <c r="B5457" s="1"/>
      <c r="C5457" s="1"/>
      <c r="D5457" s="1"/>
      <c r="E5457" s="1"/>
      <c r="F5457" s="1"/>
      <c r="G5457" s="1"/>
      <c r="H5457" s="1"/>
      <c r="I5457" s="1"/>
      <c r="J5457" s="1"/>
      <c r="K5457" s="102" t="s">
        <v>8496</v>
      </c>
      <c r="L5457" s="102" t="str">
        <f>D687</f>
        <v>J1a3~</v>
      </c>
      <c r="M5457" s="102"/>
      <c r="N5457" s="102"/>
      <c r="O5457" s="105">
        <v>6797013.0</v>
      </c>
      <c r="P5457" s="105">
        <v>6928972.0</v>
      </c>
      <c r="Q5457" s="102" t="s">
        <v>2501</v>
      </c>
      <c r="S5457" s="1"/>
      <c r="T5457" s="1"/>
      <c r="U5457" s="1"/>
      <c r="V5457" s="1"/>
      <c r="W5457" s="1"/>
      <c r="X5457" s="1"/>
      <c r="Y5457" s="1"/>
      <c r="AA5457" s="102"/>
      <c r="AB5457" s="1"/>
      <c r="AC5457" s="1"/>
      <c r="AD5457" s="1"/>
      <c r="AE5457" s="1"/>
      <c r="AF5457" s="1"/>
      <c r="AG5457" s="1"/>
    </row>
    <row r="5458" ht="15.75" customHeight="1">
      <c r="A5458" s="1"/>
      <c r="B5458" s="1"/>
      <c r="C5458" s="1"/>
      <c r="D5458" s="1"/>
      <c r="E5458" s="1"/>
      <c r="F5458" s="1"/>
      <c r="G5458" s="1"/>
      <c r="H5458" s="1"/>
      <c r="I5458" s="1"/>
      <c r="J5458" s="1"/>
      <c r="K5458" s="102" t="s">
        <v>8497</v>
      </c>
      <c r="L5458" s="102" t="str">
        <f>D687</f>
        <v>J1a3~</v>
      </c>
      <c r="M5458" s="102"/>
      <c r="N5458" s="102"/>
      <c r="O5458" s="105">
        <v>1.8420881E7</v>
      </c>
      <c r="P5458" s="105">
        <v>1.6309001E7</v>
      </c>
      <c r="Q5458" s="102" t="s">
        <v>2423</v>
      </c>
      <c r="S5458" s="1"/>
      <c r="T5458" s="1"/>
      <c r="U5458" s="1"/>
      <c r="V5458" s="1"/>
      <c r="W5458" s="1"/>
      <c r="X5458" s="1"/>
      <c r="Y5458" s="1"/>
      <c r="AA5458" s="102"/>
      <c r="AB5458" s="1"/>
      <c r="AC5458" s="1"/>
      <c r="AD5458" s="1"/>
      <c r="AE5458" s="1"/>
      <c r="AF5458" s="1"/>
      <c r="AG5458" s="1"/>
    </row>
    <row r="5459" ht="15.75" customHeight="1">
      <c r="A5459" s="1"/>
      <c r="B5459" s="1"/>
      <c r="C5459" s="1"/>
      <c r="D5459" s="1"/>
      <c r="E5459" s="1"/>
      <c r="F5459" s="1"/>
      <c r="G5459" s="1"/>
      <c r="H5459" s="1"/>
      <c r="I5459" s="1"/>
      <c r="J5459" s="1"/>
      <c r="K5459" s="102" t="s">
        <v>8498</v>
      </c>
      <c r="L5459" s="102" t="str">
        <f>D687</f>
        <v>J1a3~</v>
      </c>
      <c r="M5459" s="102"/>
      <c r="N5459" s="102"/>
      <c r="O5459" s="105">
        <v>2.305461E7</v>
      </c>
      <c r="P5459" s="105">
        <v>2.0892724E7</v>
      </c>
      <c r="Q5459" s="102" t="s">
        <v>2501</v>
      </c>
      <c r="S5459" s="1"/>
      <c r="T5459" s="1"/>
      <c r="U5459" s="1"/>
      <c r="V5459" s="1"/>
      <c r="W5459" s="1"/>
      <c r="X5459" s="1"/>
      <c r="Y5459" s="1"/>
      <c r="AA5459" s="102"/>
      <c r="AB5459" s="1"/>
      <c r="AC5459" s="1"/>
      <c r="AD5459" s="1"/>
      <c r="AE5459" s="1"/>
      <c r="AF5459" s="1"/>
      <c r="AG5459" s="1"/>
    </row>
    <row r="5460" ht="15.75" customHeight="1">
      <c r="A5460" s="1"/>
      <c r="B5460" s="1"/>
      <c r="C5460" s="1"/>
      <c r="D5460" s="1"/>
      <c r="E5460" s="1"/>
      <c r="F5460" s="1"/>
      <c r="G5460" s="1"/>
      <c r="H5460" s="1"/>
      <c r="I5460" s="1"/>
      <c r="J5460" s="1"/>
      <c r="K5460" s="102" t="s">
        <v>8499</v>
      </c>
      <c r="L5460" s="102" t="str">
        <f>D687</f>
        <v>J1a3~</v>
      </c>
      <c r="M5460" s="102"/>
      <c r="N5460" s="102"/>
      <c r="O5460" s="105">
        <v>2.3630148E7</v>
      </c>
      <c r="P5460" s="105">
        <v>2.1468262E7</v>
      </c>
      <c r="Q5460" s="102" t="s">
        <v>2439</v>
      </c>
      <c r="S5460" s="1"/>
      <c r="T5460" s="1"/>
      <c r="U5460" s="1"/>
      <c r="V5460" s="1"/>
      <c r="W5460" s="1"/>
      <c r="X5460" s="1"/>
      <c r="Y5460" s="1"/>
      <c r="AA5460" s="102"/>
      <c r="AB5460" s="1"/>
      <c r="AC5460" s="1"/>
      <c r="AD5460" s="1"/>
      <c r="AE5460" s="1"/>
      <c r="AF5460" s="1"/>
      <c r="AG5460" s="1"/>
    </row>
    <row r="5461" ht="15.75" customHeight="1">
      <c r="A5461" s="1"/>
      <c r="B5461" s="1"/>
      <c r="C5461" s="1"/>
      <c r="D5461" s="1"/>
      <c r="E5461" s="1"/>
      <c r="F5461" s="1"/>
      <c r="G5461" s="1"/>
      <c r="H5461" s="1"/>
      <c r="I5461" s="1"/>
      <c r="J5461" s="1"/>
      <c r="K5461" s="102" t="s">
        <v>8500</v>
      </c>
      <c r="L5461" s="102" t="str">
        <f>D687</f>
        <v>J1a3~</v>
      </c>
      <c r="M5461" s="102"/>
      <c r="N5461" s="102" t="s">
        <v>8501</v>
      </c>
      <c r="O5461" s="105">
        <v>2.1888749E7</v>
      </c>
      <c r="P5461" s="105">
        <v>1.9726863E7</v>
      </c>
      <c r="Q5461" s="102" t="s">
        <v>2432</v>
      </c>
      <c r="S5461" s="1"/>
      <c r="T5461" s="1"/>
      <c r="U5461" s="1"/>
      <c r="V5461" s="1"/>
      <c r="W5461" s="1"/>
      <c r="X5461" s="1"/>
      <c r="Y5461" s="1"/>
      <c r="AA5461" s="102"/>
      <c r="AB5461" s="1"/>
      <c r="AC5461" s="1"/>
      <c r="AD5461" s="1"/>
      <c r="AE5461" s="1"/>
      <c r="AF5461" s="1"/>
      <c r="AG5461" s="1"/>
    </row>
    <row r="5462" ht="15.75" customHeight="1">
      <c r="A5462" s="1"/>
      <c r="B5462" s="1"/>
      <c r="C5462" s="1"/>
      <c r="D5462" s="1"/>
      <c r="E5462" s="1"/>
      <c r="F5462" s="1"/>
      <c r="G5462" s="1"/>
      <c r="H5462" s="1"/>
      <c r="I5462" s="1"/>
      <c r="J5462" s="1"/>
      <c r="K5462" s="102" t="s">
        <v>8502</v>
      </c>
      <c r="L5462" s="102" t="str">
        <f>D687</f>
        <v>J1a3~</v>
      </c>
      <c r="M5462" s="102"/>
      <c r="N5462" s="102" t="s">
        <v>8503</v>
      </c>
      <c r="O5462" s="105">
        <v>1.6906766E7</v>
      </c>
      <c r="P5462" s="105">
        <v>1.4794886E7</v>
      </c>
      <c r="Q5462" s="102" t="s">
        <v>2454</v>
      </c>
      <c r="S5462" s="1"/>
      <c r="T5462" s="1"/>
      <c r="U5462" s="1"/>
      <c r="V5462" s="1"/>
      <c r="W5462" s="1"/>
      <c r="X5462" s="1"/>
      <c r="Y5462" s="1"/>
      <c r="AA5462" s="102"/>
      <c r="AB5462" s="1"/>
      <c r="AC5462" s="1"/>
      <c r="AD5462" s="1"/>
      <c r="AE5462" s="1"/>
      <c r="AF5462" s="1"/>
      <c r="AG5462" s="1"/>
    </row>
    <row r="5463" ht="15.75" customHeight="1">
      <c r="A5463" s="1"/>
      <c r="B5463" s="1"/>
      <c r="C5463" s="1"/>
      <c r="D5463" s="1"/>
      <c r="E5463" s="1"/>
      <c r="F5463" s="1"/>
      <c r="G5463" s="1"/>
      <c r="H5463" s="1"/>
      <c r="I5463" s="1"/>
      <c r="J5463" s="1"/>
      <c r="K5463" s="102" t="s">
        <v>8504</v>
      </c>
      <c r="L5463" s="102" t="str">
        <f>D687</f>
        <v>J1a3~</v>
      </c>
      <c r="M5463" s="102"/>
      <c r="N5463" s="102" t="s">
        <v>8505</v>
      </c>
      <c r="O5463" s="105">
        <v>2706597.0</v>
      </c>
      <c r="P5463" s="105">
        <v>2838556.0</v>
      </c>
      <c r="Q5463" s="102" t="s">
        <v>2439</v>
      </c>
      <c r="S5463" s="1"/>
      <c r="T5463" s="1"/>
      <c r="U5463" s="1"/>
      <c r="V5463" s="1"/>
      <c r="W5463" s="1"/>
      <c r="X5463" s="1"/>
      <c r="Y5463" s="1"/>
      <c r="AA5463" s="102"/>
      <c r="AB5463" s="1"/>
      <c r="AC5463" s="1"/>
      <c r="AD5463" s="1"/>
      <c r="AE5463" s="1"/>
      <c r="AF5463" s="1"/>
      <c r="AG5463" s="1"/>
    </row>
    <row r="5464" ht="15.75" customHeight="1">
      <c r="A5464" s="1"/>
      <c r="B5464" s="1"/>
      <c r="C5464" s="1"/>
      <c r="D5464" s="1"/>
      <c r="E5464" s="1"/>
      <c r="F5464" s="1"/>
      <c r="G5464" s="1"/>
      <c r="H5464" s="1"/>
      <c r="I5464" s="1"/>
      <c r="J5464" s="1"/>
      <c r="K5464" s="102" t="s">
        <v>8506</v>
      </c>
      <c r="L5464" s="102" t="str">
        <f>D687</f>
        <v>J1a3~</v>
      </c>
      <c r="M5464" s="102"/>
      <c r="N5464" s="102" t="s">
        <v>8507</v>
      </c>
      <c r="O5464" s="105">
        <v>8539453.0</v>
      </c>
      <c r="P5464" s="105">
        <v>8671412.0</v>
      </c>
      <c r="Q5464" s="102" t="s">
        <v>2533</v>
      </c>
      <c r="S5464" s="1"/>
      <c r="T5464" s="1"/>
      <c r="U5464" s="1"/>
      <c r="V5464" s="1"/>
      <c r="W5464" s="1"/>
      <c r="X5464" s="1"/>
      <c r="Y5464" s="1"/>
      <c r="AA5464" s="102"/>
      <c r="AB5464" s="1"/>
      <c r="AC5464" s="1"/>
      <c r="AD5464" s="1"/>
      <c r="AE5464" s="1"/>
      <c r="AF5464" s="1"/>
      <c r="AG5464" s="1"/>
    </row>
    <row r="5465" ht="15.75" customHeight="1">
      <c r="A5465" s="1"/>
      <c r="B5465" s="1"/>
      <c r="C5465" s="1"/>
      <c r="D5465" s="1"/>
      <c r="E5465" s="1"/>
      <c r="F5465" s="1"/>
      <c r="G5465" s="1"/>
      <c r="H5465" s="1"/>
      <c r="I5465" s="1"/>
      <c r="J5465" s="1"/>
      <c r="K5465" s="102" t="s">
        <v>8508</v>
      </c>
      <c r="L5465" s="102" t="str">
        <f>D687</f>
        <v>J1a3~</v>
      </c>
      <c r="M5465" s="102"/>
      <c r="N5465" s="102" t="s">
        <v>8509</v>
      </c>
      <c r="O5465" s="105">
        <v>8647322.0</v>
      </c>
      <c r="P5465" s="105">
        <v>8779281.0</v>
      </c>
      <c r="Q5465" s="102" t="s">
        <v>2563</v>
      </c>
      <c r="S5465" s="1"/>
      <c r="T5465" s="1"/>
      <c r="U5465" s="1"/>
      <c r="V5465" s="1"/>
      <c r="W5465" s="1"/>
      <c r="X5465" s="1"/>
      <c r="Y5465" s="1"/>
      <c r="AA5465" s="102"/>
      <c r="AB5465" s="1"/>
      <c r="AC5465" s="1"/>
      <c r="AD5465" s="1"/>
      <c r="AE5465" s="1"/>
      <c r="AF5465" s="1"/>
      <c r="AG5465" s="1"/>
    </row>
    <row r="5466" ht="15.75" customHeight="1">
      <c r="A5466" s="1"/>
      <c r="B5466" s="1"/>
      <c r="C5466" s="1"/>
      <c r="D5466" s="1"/>
      <c r="E5466" s="1"/>
      <c r="F5466" s="1"/>
      <c r="G5466" s="1"/>
      <c r="H5466" s="1"/>
      <c r="I5466" s="1"/>
      <c r="J5466" s="1"/>
      <c r="K5466" s="102" t="s">
        <v>8510</v>
      </c>
      <c r="L5466" s="102" t="str">
        <f>D687</f>
        <v>J1a3~</v>
      </c>
      <c r="M5466" s="102"/>
      <c r="N5466" s="102" t="s">
        <v>8511</v>
      </c>
      <c r="O5466" s="105">
        <v>1.4368679E7</v>
      </c>
      <c r="P5466" s="105">
        <v>1.2247975E7</v>
      </c>
      <c r="Q5466" s="102" t="s">
        <v>2468</v>
      </c>
      <c r="S5466" s="1"/>
      <c r="T5466" s="1"/>
      <c r="U5466" s="1"/>
      <c r="V5466" s="1"/>
      <c r="W5466" s="1"/>
      <c r="X5466" s="1"/>
      <c r="Y5466" s="1"/>
      <c r="AA5466" s="102"/>
      <c r="AB5466" s="1"/>
      <c r="AC5466" s="1"/>
      <c r="AD5466" s="1"/>
      <c r="AE5466" s="1"/>
      <c r="AF5466" s="1"/>
      <c r="AG5466" s="1"/>
    </row>
    <row r="5467" ht="15.75" customHeight="1">
      <c r="A5467" s="1"/>
      <c r="B5467" s="1"/>
      <c r="C5467" s="1"/>
      <c r="D5467" s="1"/>
      <c r="E5467" s="1"/>
      <c r="F5467" s="1"/>
      <c r="G5467" s="1"/>
      <c r="H5467" s="1"/>
      <c r="I5467" s="1"/>
      <c r="J5467" s="1"/>
      <c r="K5467" s="102" t="s">
        <v>8512</v>
      </c>
      <c r="L5467" s="102" t="str">
        <f>D687</f>
        <v>J1a3~</v>
      </c>
      <c r="M5467" s="102"/>
      <c r="N5467" s="102" t="s">
        <v>8513</v>
      </c>
      <c r="O5467" s="105">
        <v>1.5467683E7</v>
      </c>
      <c r="P5467" s="105">
        <v>1.3355803E7</v>
      </c>
      <c r="Q5467" s="102" t="s">
        <v>2501</v>
      </c>
      <c r="S5467" s="1"/>
      <c r="T5467" s="1"/>
      <c r="U5467" s="1"/>
      <c r="V5467" s="1"/>
      <c r="W5467" s="1"/>
      <c r="X5467" s="1"/>
      <c r="Y5467" s="1"/>
      <c r="AA5467" s="102"/>
      <c r="AB5467" s="1"/>
      <c r="AC5467" s="1"/>
      <c r="AD5467" s="1"/>
      <c r="AE5467" s="1"/>
      <c r="AF5467" s="1"/>
      <c r="AG5467" s="1"/>
    </row>
    <row r="5468" ht="15.75" customHeight="1">
      <c r="A5468" s="1"/>
      <c r="B5468" s="1"/>
      <c r="C5468" s="1"/>
      <c r="D5468" s="1"/>
      <c r="E5468" s="1"/>
      <c r="F5468" s="1"/>
      <c r="G5468" s="1"/>
      <c r="H5468" s="1"/>
      <c r="I5468" s="1"/>
      <c r="J5468" s="1"/>
      <c r="K5468" s="102" t="s">
        <v>8514</v>
      </c>
      <c r="L5468" s="102" t="str">
        <f>D687</f>
        <v>J1a3~</v>
      </c>
      <c r="M5468" s="102"/>
      <c r="N5468" s="102" t="s">
        <v>8515</v>
      </c>
      <c r="O5468" s="105">
        <v>1.5545627E7</v>
      </c>
      <c r="P5468" s="105">
        <v>1.3433747E7</v>
      </c>
      <c r="Q5468" s="102" t="s">
        <v>2446</v>
      </c>
      <c r="S5468" s="1"/>
      <c r="T5468" s="1"/>
      <c r="U5468" s="1"/>
      <c r="V5468" s="1"/>
      <c r="W5468" s="1"/>
      <c r="X5468" s="1"/>
      <c r="Y5468" s="1"/>
      <c r="AA5468" s="102"/>
      <c r="AB5468" s="1"/>
      <c r="AC5468" s="1"/>
      <c r="AD5468" s="1"/>
      <c r="AE5468" s="1"/>
      <c r="AF5468" s="1"/>
      <c r="AG5468" s="1"/>
    </row>
    <row r="5469" ht="15.75" customHeight="1">
      <c r="A5469" s="1"/>
      <c r="B5469" s="1"/>
      <c r="C5469" s="1"/>
      <c r="D5469" s="1"/>
      <c r="E5469" s="1"/>
      <c r="F5469" s="1"/>
      <c r="G5469" s="1"/>
      <c r="H5469" s="1"/>
      <c r="I5469" s="1"/>
      <c r="J5469" s="1"/>
      <c r="K5469" s="102" t="s">
        <v>8516</v>
      </c>
      <c r="L5469" s="102" t="str">
        <f>D687</f>
        <v>J1a3~</v>
      </c>
      <c r="M5469" s="102"/>
      <c r="N5469" s="102" t="s">
        <v>8517</v>
      </c>
      <c r="O5469" s="105">
        <v>1.3852892E7</v>
      </c>
      <c r="P5469" s="105">
        <v>1.1732186E7</v>
      </c>
      <c r="Q5469" s="102" t="s">
        <v>2446</v>
      </c>
      <c r="S5469" s="1"/>
      <c r="T5469" s="1"/>
      <c r="U5469" s="1"/>
      <c r="V5469" s="1"/>
      <c r="W5469" s="1"/>
      <c r="X5469" s="1"/>
      <c r="Y5469" s="1"/>
      <c r="AA5469" s="102"/>
      <c r="AB5469" s="1"/>
      <c r="AC5469" s="1"/>
      <c r="AD5469" s="1"/>
      <c r="AE5469" s="1"/>
      <c r="AF5469" s="1"/>
      <c r="AG5469" s="1"/>
    </row>
    <row r="5470" ht="15.75" customHeight="1">
      <c r="A5470" s="1"/>
      <c r="B5470" s="1"/>
      <c r="C5470" s="1"/>
      <c r="D5470" s="1"/>
      <c r="E5470" s="1"/>
      <c r="F5470" s="1"/>
      <c r="G5470" s="1"/>
      <c r="H5470" s="1"/>
      <c r="I5470" s="1"/>
      <c r="J5470" s="1"/>
      <c r="K5470" s="102" t="s">
        <v>8518</v>
      </c>
      <c r="L5470" s="102" t="str">
        <f>D687</f>
        <v>J1a3~</v>
      </c>
      <c r="M5470" s="102"/>
      <c r="N5470" s="102" t="s">
        <v>8519</v>
      </c>
      <c r="O5470" s="105">
        <v>1.5718759E7</v>
      </c>
      <c r="P5470" s="105">
        <v>1.3606879E7</v>
      </c>
      <c r="Q5470" s="102" t="s">
        <v>2514</v>
      </c>
      <c r="S5470" s="1"/>
      <c r="T5470" s="1"/>
      <c r="U5470" s="1"/>
      <c r="V5470" s="1"/>
      <c r="W5470" s="1"/>
      <c r="X5470" s="1"/>
      <c r="Y5470" s="1"/>
      <c r="AA5470" s="102"/>
      <c r="AB5470" s="1"/>
      <c r="AC5470" s="1"/>
      <c r="AD5470" s="1"/>
      <c r="AE5470" s="1"/>
      <c r="AF5470" s="1"/>
      <c r="AG5470" s="1"/>
    </row>
    <row r="5471" ht="15.75" customHeight="1">
      <c r="A5471" s="1"/>
      <c r="B5471" s="1"/>
      <c r="C5471" s="1"/>
      <c r="D5471" s="1"/>
      <c r="E5471" s="1"/>
      <c r="F5471" s="1"/>
      <c r="G5471" s="1"/>
      <c r="H5471" s="1"/>
      <c r="I5471" s="1"/>
      <c r="J5471" s="1"/>
      <c r="K5471" s="102" t="s">
        <v>8520</v>
      </c>
      <c r="L5471" s="102" t="str">
        <f>D687</f>
        <v>J1a3~</v>
      </c>
      <c r="M5471" s="102"/>
      <c r="N5471" s="102" t="s">
        <v>8521</v>
      </c>
      <c r="O5471" s="105">
        <v>1.5815791E7</v>
      </c>
      <c r="P5471" s="105">
        <v>1.3703911E7</v>
      </c>
      <c r="Q5471" s="102" t="s">
        <v>2576</v>
      </c>
      <c r="S5471" s="1"/>
      <c r="T5471" s="1"/>
      <c r="U5471" s="1"/>
      <c r="V5471" s="1"/>
      <c r="W5471" s="1"/>
      <c r="X5471" s="1"/>
      <c r="Y5471" s="1"/>
      <c r="AA5471" s="102"/>
      <c r="AB5471" s="1"/>
      <c r="AC5471" s="1"/>
      <c r="AD5471" s="1"/>
      <c r="AE5471" s="1"/>
      <c r="AF5471" s="1"/>
      <c r="AG5471" s="1"/>
    </row>
    <row r="5472" ht="15.75" customHeight="1">
      <c r="A5472" s="1"/>
      <c r="B5472" s="1"/>
      <c r="C5472" s="1"/>
      <c r="D5472" s="1"/>
      <c r="E5472" s="1"/>
      <c r="F5472" s="1"/>
      <c r="G5472" s="1"/>
      <c r="H5472" s="1"/>
      <c r="I5472" s="1"/>
      <c r="J5472" s="1"/>
      <c r="K5472" s="102" t="s">
        <v>8522</v>
      </c>
      <c r="L5472" s="102" t="str">
        <f>D687</f>
        <v>J1a3~</v>
      </c>
      <c r="M5472" s="102"/>
      <c r="N5472" s="102" t="s">
        <v>8523</v>
      </c>
      <c r="O5472" s="105">
        <v>1.7211079E7</v>
      </c>
      <c r="P5472" s="105">
        <v>1.5099199E7</v>
      </c>
      <c r="Q5472" s="102" t="s">
        <v>2439</v>
      </c>
      <c r="S5472" s="1"/>
      <c r="T5472" s="1"/>
      <c r="U5472" s="1"/>
      <c r="V5472" s="1"/>
      <c r="W5472" s="1"/>
      <c r="X5472" s="1"/>
      <c r="Y5472" s="1"/>
      <c r="AA5472" s="102"/>
      <c r="AB5472" s="1"/>
      <c r="AC5472" s="1"/>
      <c r="AD5472" s="1"/>
      <c r="AE5472" s="1"/>
      <c r="AF5472" s="1"/>
      <c r="AG5472" s="1"/>
    </row>
    <row r="5473" ht="15.75" customHeight="1">
      <c r="A5473" s="1"/>
      <c r="B5473" s="1"/>
      <c r="C5473" s="1"/>
      <c r="D5473" s="1"/>
      <c r="E5473" s="1"/>
      <c r="F5473" s="1"/>
      <c r="G5473" s="1"/>
      <c r="H5473" s="1"/>
      <c r="I5473" s="1"/>
      <c r="J5473" s="1"/>
      <c r="K5473" s="102" t="s">
        <v>8524</v>
      </c>
      <c r="L5473" s="102" t="str">
        <f>D687</f>
        <v>J1a3~</v>
      </c>
      <c r="M5473" s="102"/>
      <c r="N5473" s="102" t="s">
        <v>8525</v>
      </c>
      <c r="O5473" s="105">
        <v>1.7391498E7</v>
      </c>
      <c r="P5473" s="105">
        <v>1.5279618E7</v>
      </c>
      <c r="Q5473" s="102" t="s">
        <v>2533</v>
      </c>
      <c r="S5473" s="1"/>
      <c r="T5473" s="1"/>
      <c r="U5473" s="1"/>
      <c r="V5473" s="1"/>
      <c r="W5473" s="1"/>
      <c r="X5473" s="1"/>
      <c r="Y5473" s="1"/>
      <c r="AA5473" s="102"/>
      <c r="AB5473" s="1"/>
      <c r="AC5473" s="1"/>
      <c r="AD5473" s="1"/>
      <c r="AE5473" s="1"/>
      <c r="AF5473" s="1"/>
      <c r="AG5473" s="1"/>
    </row>
    <row r="5474" ht="15.75" customHeight="1">
      <c r="A5474" s="1"/>
      <c r="B5474" s="1"/>
      <c r="C5474" s="1"/>
      <c r="D5474" s="1"/>
      <c r="E5474" s="1"/>
      <c r="F5474" s="1"/>
      <c r="G5474" s="1"/>
      <c r="H5474" s="1"/>
      <c r="I5474" s="1"/>
      <c r="J5474" s="1"/>
      <c r="K5474" s="102" t="s">
        <v>8526</v>
      </c>
      <c r="L5474" s="102" t="str">
        <f>D687</f>
        <v>J1a3~</v>
      </c>
      <c r="M5474" s="102"/>
      <c r="N5474" s="102" t="s">
        <v>8527</v>
      </c>
      <c r="O5474" s="105">
        <v>1.8007974E7</v>
      </c>
      <c r="P5474" s="105">
        <v>1.5896094E7</v>
      </c>
      <c r="Q5474" s="102" t="s">
        <v>2423</v>
      </c>
      <c r="S5474" s="1"/>
      <c r="T5474" s="1"/>
      <c r="U5474" s="1"/>
      <c r="V5474" s="1"/>
      <c r="W5474" s="1"/>
      <c r="X5474" s="1"/>
      <c r="Y5474" s="1"/>
      <c r="AA5474" s="102"/>
      <c r="AB5474" s="1"/>
      <c r="AC5474" s="1"/>
      <c r="AD5474" s="1"/>
      <c r="AE5474" s="1"/>
      <c r="AF5474" s="1"/>
      <c r="AG5474" s="1"/>
    </row>
    <row r="5475" ht="15.75" customHeight="1">
      <c r="A5475" s="1"/>
      <c r="B5475" s="1"/>
      <c r="C5475" s="1"/>
      <c r="D5475" s="1"/>
      <c r="E5475" s="1"/>
      <c r="F5475" s="1"/>
      <c r="G5475" s="1"/>
      <c r="H5475" s="1"/>
      <c r="I5475" s="1"/>
      <c r="J5475" s="1"/>
      <c r="K5475" s="102" t="s">
        <v>8528</v>
      </c>
      <c r="L5475" s="102" t="str">
        <f>D687</f>
        <v>J1a3~</v>
      </c>
      <c r="M5475" s="102"/>
      <c r="N5475" s="102" t="s">
        <v>8529</v>
      </c>
      <c r="O5475" s="105">
        <v>1.8753647E7</v>
      </c>
      <c r="P5475" s="105">
        <v>1.6641767E7</v>
      </c>
      <c r="Q5475" s="102" t="s">
        <v>2501</v>
      </c>
      <c r="S5475" s="1"/>
      <c r="T5475" s="1"/>
      <c r="U5475" s="1"/>
      <c r="V5475" s="1"/>
      <c r="W5475" s="1"/>
      <c r="X5475" s="1"/>
      <c r="Y5475" s="1"/>
      <c r="AA5475" s="102"/>
      <c r="AB5475" s="1"/>
      <c r="AC5475" s="1"/>
      <c r="AD5475" s="1"/>
      <c r="AE5475" s="1"/>
      <c r="AF5475" s="1"/>
      <c r="AG5475" s="1"/>
    </row>
    <row r="5476" ht="15.75" customHeight="1">
      <c r="A5476" s="1"/>
      <c r="B5476" s="1"/>
      <c r="C5476" s="1"/>
      <c r="D5476" s="1"/>
      <c r="E5476" s="1"/>
      <c r="F5476" s="1"/>
      <c r="G5476" s="1"/>
      <c r="H5476" s="1"/>
      <c r="I5476" s="1"/>
      <c r="J5476" s="1"/>
      <c r="K5476" s="102" t="s">
        <v>8530</v>
      </c>
      <c r="L5476" s="102" t="str">
        <f>D687</f>
        <v>J1a3~</v>
      </c>
      <c r="M5476" s="102"/>
      <c r="N5476" s="102" t="s">
        <v>8531</v>
      </c>
      <c r="O5476" s="105">
        <v>1.9214499E7</v>
      </c>
      <c r="P5476" s="105">
        <v>1.7102619E7</v>
      </c>
      <c r="Q5476" s="102" t="s">
        <v>2576</v>
      </c>
      <c r="S5476" s="1"/>
      <c r="T5476" s="1"/>
      <c r="U5476" s="1"/>
      <c r="V5476" s="1"/>
      <c r="W5476" s="1"/>
      <c r="X5476" s="1"/>
      <c r="Y5476" s="1"/>
      <c r="AA5476" s="102"/>
      <c r="AB5476" s="1"/>
      <c r="AC5476" s="1"/>
      <c r="AD5476" s="1"/>
      <c r="AE5476" s="1"/>
      <c r="AF5476" s="1"/>
      <c r="AG5476" s="1"/>
    </row>
    <row r="5477" ht="15.75" customHeight="1">
      <c r="A5477" s="1"/>
      <c r="B5477" s="1"/>
      <c r="C5477" s="1"/>
      <c r="D5477" s="1"/>
      <c r="E5477" s="1"/>
      <c r="F5477" s="1"/>
      <c r="G5477" s="1"/>
      <c r="H5477" s="1"/>
      <c r="I5477" s="1"/>
      <c r="J5477" s="1"/>
      <c r="K5477" s="102" t="s">
        <v>8532</v>
      </c>
      <c r="L5477" s="102" t="str">
        <f>D687</f>
        <v>J1a3~</v>
      </c>
      <c r="M5477" s="102"/>
      <c r="N5477" s="102" t="s">
        <v>8533</v>
      </c>
      <c r="O5477" s="105">
        <v>2.1915776E7</v>
      </c>
      <c r="P5477" s="105">
        <v>1.975389E7</v>
      </c>
      <c r="Q5477" s="102" t="s">
        <v>2423</v>
      </c>
      <c r="S5477" s="1"/>
      <c r="T5477" s="1"/>
      <c r="U5477" s="1"/>
      <c r="V5477" s="1"/>
      <c r="W5477" s="1"/>
      <c r="X5477" s="1"/>
      <c r="Y5477" s="1"/>
      <c r="AA5477" s="102"/>
      <c r="AB5477" s="1"/>
      <c r="AC5477" s="1"/>
      <c r="AD5477" s="1"/>
      <c r="AE5477" s="1"/>
      <c r="AF5477" s="1"/>
      <c r="AG5477" s="1"/>
    </row>
    <row r="5478" ht="15.75" customHeight="1">
      <c r="A5478" s="1"/>
      <c r="B5478" s="1"/>
      <c r="C5478" s="1"/>
      <c r="D5478" s="1"/>
      <c r="E5478" s="1"/>
      <c r="F5478" s="1"/>
      <c r="G5478" s="1"/>
      <c r="H5478" s="1"/>
      <c r="I5478" s="1"/>
      <c r="J5478" s="1"/>
      <c r="K5478" s="102" t="s">
        <v>8534</v>
      </c>
      <c r="L5478" s="102" t="str">
        <f>D687</f>
        <v>J1a3~</v>
      </c>
      <c r="M5478" s="102"/>
      <c r="N5478" s="102" t="s">
        <v>8535</v>
      </c>
      <c r="O5478" s="105">
        <v>2.3163732E7</v>
      </c>
      <c r="P5478" s="105">
        <v>2.1001846E7</v>
      </c>
      <c r="Q5478" s="102" t="s">
        <v>2446</v>
      </c>
      <c r="S5478" s="1"/>
      <c r="T5478" s="1"/>
      <c r="U5478" s="1"/>
      <c r="V5478" s="1"/>
      <c r="W5478" s="1"/>
      <c r="X5478" s="1"/>
      <c r="Y5478" s="1"/>
      <c r="AA5478" s="102"/>
      <c r="AB5478" s="1"/>
      <c r="AC5478" s="1"/>
      <c r="AD5478" s="1"/>
      <c r="AE5478" s="1"/>
      <c r="AF5478" s="1"/>
      <c r="AG5478" s="1"/>
    </row>
    <row r="5479" ht="15.75" customHeight="1">
      <c r="A5479" s="1"/>
      <c r="B5479" s="1"/>
      <c r="C5479" s="1"/>
      <c r="D5479" s="1"/>
      <c r="E5479" s="1"/>
      <c r="F5479" s="1"/>
      <c r="G5479" s="1"/>
      <c r="H5479" s="1"/>
      <c r="I5479" s="1"/>
      <c r="J5479" s="1"/>
      <c r="K5479" s="102" t="s">
        <v>8536</v>
      </c>
      <c r="L5479" s="102" t="str">
        <f>D687</f>
        <v>J1a3~</v>
      </c>
      <c r="M5479" s="102"/>
      <c r="N5479" s="102" t="s">
        <v>8537</v>
      </c>
      <c r="O5479" s="105">
        <v>2.327331E7</v>
      </c>
      <c r="P5479" s="105">
        <v>2.1111424E7</v>
      </c>
      <c r="Q5479" s="102" t="s">
        <v>2446</v>
      </c>
      <c r="S5479" s="1"/>
      <c r="T5479" s="1"/>
      <c r="U5479" s="1"/>
      <c r="V5479" s="1"/>
      <c r="W5479" s="1"/>
      <c r="X5479" s="1"/>
      <c r="Y5479" s="1"/>
      <c r="AA5479" s="102"/>
      <c r="AB5479" s="1"/>
      <c r="AC5479" s="1"/>
      <c r="AD5479" s="1"/>
      <c r="AE5479" s="1"/>
      <c r="AF5479" s="1"/>
      <c r="AG5479" s="1"/>
    </row>
    <row r="5480" ht="15.75" customHeight="1">
      <c r="A5480" s="1"/>
      <c r="B5480" s="1"/>
      <c r="C5480" s="1"/>
      <c r="D5480" s="1"/>
      <c r="E5480" s="1"/>
      <c r="F5480" s="1"/>
      <c r="G5480" s="1"/>
      <c r="H5480" s="1"/>
      <c r="I5480" s="1"/>
      <c r="J5480" s="1"/>
      <c r="K5480" s="102" t="s">
        <v>8538</v>
      </c>
      <c r="L5480" s="102" t="str">
        <f>D687</f>
        <v>J1a3~</v>
      </c>
      <c r="M5480" s="102"/>
      <c r="N5480" s="102" t="s">
        <v>8539</v>
      </c>
      <c r="O5480" s="105">
        <v>2.3515284E7</v>
      </c>
      <c r="P5480" s="105">
        <v>2.1353398E7</v>
      </c>
      <c r="Q5480" s="102" t="s">
        <v>2439</v>
      </c>
      <c r="S5480" s="1"/>
      <c r="T5480" s="1"/>
      <c r="U5480" s="1"/>
      <c r="V5480" s="1"/>
      <c r="W5480" s="1"/>
      <c r="X5480" s="1"/>
      <c r="Y5480" s="1"/>
      <c r="AA5480" s="102"/>
      <c r="AB5480" s="1"/>
      <c r="AC5480" s="1"/>
      <c r="AD5480" s="1"/>
      <c r="AE5480" s="1"/>
      <c r="AF5480" s="1"/>
      <c r="AG5480" s="1"/>
    </row>
    <row r="5481" ht="15.75" customHeight="1">
      <c r="A5481" s="1"/>
      <c r="B5481" s="1"/>
      <c r="C5481" s="1"/>
      <c r="D5481" s="1"/>
      <c r="E5481" s="1"/>
      <c r="F5481" s="1"/>
      <c r="G5481" s="1"/>
      <c r="H5481" s="1"/>
      <c r="I5481" s="1"/>
      <c r="J5481" s="1"/>
      <c r="K5481" s="102" t="s">
        <v>8540</v>
      </c>
      <c r="L5481" s="102" t="str">
        <f>D687</f>
        <v>J1a3~</v>
      </c>
      <c r="M5481" s="102"/>
      <c r="N5481" s="102" t="s">
        <v>8541</v>
      </c>
      <c r="O5481" s="105">
        <v>2.3614576E7</v>
      </c>
      <c r="P5481" s="105">
        <v>2.145269E7</v>
      </c>
      <c r="Q5481" s="102" t="s">
        <v>2439</v>
      </c>
      <c r="S5481" s="1"/>
      <c r="T5481" s="1"/>
      <c r="U5481" s="1"/>
      <c r="V5481" s="1"/>
      <c r="W5481" s="1"/>
      <c r="X5481" s="1"/>
      <c r="Y5481" s="1"/>
      <c r="AA5481" s="102"/>
      <c r="AB5481" s="1"/>
      <c r="AC5481" s="1"/>
      <c r="AD5481" s="1"/>
      <c r="AE5481" s="1"/>
      <c r="AF5481" s="1"/>
      <c r="AG5481" s="1"/>
    </row>
    <row r="5482" ht="15.75" customHeight="1">
      <c r="A5482" s="1"/>
      <c r="B5482" s="1"/>
      <c r="C5482" s="1"/>
      <c r="D5482" s="1"/>
      <c r="E5482" s="1"/>
      <c r="F5482" s="1"/>
      <c r="G5482" s="1"/>
      <c r="H5482" s="1"/>
      <c r="I5482" s="1"/>
      <c r="J5482" s="1"/>
      <c r="K5482" s="102" t="s">
        <v>8542</v>
      </c>
      <c r="L5482" s="102" t="str">
        <f>D687</f>
        <v>J1a3~</v>
      </c>
      <c r="M5482" s="102"/>
      <c r="N5482" s="102" t="s">
        <v>8543</v>
      </c>
      <c r="O5482" s="105">
        <v>2.8765692E7</v>
      </c>
      <c r="P5482" s="105">
        <v>2.6619545E7</v>
      </c>
      <c r="Q5482" s="102" t="s">
        <v>2514</v>
      </c>
      <c r="S5482" s="1"/>
      <c r="T5482" s="1"/>
      <c r="U5482" s="1"/>
      <c r="V5482" s="1"/>
      <c r="W5482" s="1"/>
      <c r="X5482" s="1"/>
      <c r="Y5482" s="1"/>
      <c r="AA5482" s="102"/>
      <c r="AB5482" s="1"/>
      <c r="AC5482" s="1"/>
      <c r="AD5482" s="1"/>
      <c r="AE5482" s="1"/>
      <c r="AF5482" s="1"/>
      <c r="AG5482" s="1"/>
    </row>
    <row r="5483" ht="15.75" customHeight="1">
      <c r="A5483" s="1"/>
      <c r="B5483" s="1"/>
      <c r="C5483" s="1"/>
      <c r="D5483" s="1"/>
      <c r="E5483" s="1"/>
      <c r="F5483" s="1"/>
      <c r="G5483" s="1"/>
      <c r="H5483" s="1"/>
      <c r="I5483" s="1"/>
      <c r="J5483" s="1"/>
      <c r="K5483" s="102" t="s">
        <v>8544</v>
      </c>
      <c r="L5483" s="102" t="str">
        <f>D687</f>
        <v>J1a3~</v>
      </c>
      <c r="M5483" s="102"/>
      <c r="N5483" s="102" t="s">
        <v>8545</v>
      </c>
      <c r="O5483" s="105">
        <v>6937970.0</v>
      </c>
      <c r="P5483" s="105">
        <v>7069929.0</v>
      </c>
      <c r="Q5483" s="102" t="s">
        <v>2533</v>
      </c>
      <c r="S5483" s="1"/>
      <c r="T5483" s="1"/>
      <c r="U5483" s="1"/>
      <c r="V5483" s="1"/>
      <c r="W5483" s="1"/>
      <c r="X5483" s="1"/>
      <c r="Y5483" s="1"/>
      <c r="AA5483" s="102"/>
      <c r="AB5483" s="1"/>
      <c r="AC5483" s="1"/>
      <c r="AD5483" s="1"/>
      <c r="AE5483" s="1"/>
      <c r="AF5483" s="1"/>
      <c r="AG5483" s="1"/>
    </row>
    <row r="5484" ht="15.75" customHeight="1">
      <c r="A5484" s="1"/>
      <c r="B5484" s="1"/>
      <c r="C5484" s="1"/>
      <c r="D5484" s="1"/>
      <c r="E5484" s="1"/>
      <c r="F5484" s="1"/>
      <c r="G5484" s="1"/>
      <c r="H5484" s="1"/>
      <c r="I5484" s="1"/>
      <c r="J5484" s="1"/>
      <c r="K5484" s="102" t="s">
        <v>8546</v>
      </c>
      <c r="L5484" s="102" t="str">
        <f>D687</f>
        <v>J1a3~</v>
      </c>
      <c r="M5484" s="102"/>
      <c r="N5484" s="102" t="s">
        <v>8547</v>
      </c>
      <c r="O5484" s="105">
        <v>8084856.0</v>
      </c>
      <c r="P5484" s="105">
        <v>8216815.0</v>
      </c>
      <c r="Q5484" s="102" t="s">
        <v>2439</v>
      </c>
      <c r="S5484" s="1"/>
      <c r="T5484" s="1"/>
      <c r="U5484" s="1"/>
      <c r="V5484" s="1"/>
      <c r="W5484" s="1"/>
      <c r="X5484" s="1"/>
      <c r="Y5484" s="1"/>
      <c r="AA5484" s="102"/>
      <c r="AB5484" s="1"/>
      <c r="AC5484" s="1"/>
      <c r="AD5484" s="1"/>
      <c r="AE5484" s="1"/>
      <c r="AF5484" s="1"/>
      <c r="AG5484" s="1"/>
    </row>
    <row r="5485" ht="15.75" customHeight="1">
      <c r="A5485" s="1"/>
      <c r="B5485" s="1"/>
      <c r="C5485" s="1"/>
      <c r="D5485" s="1"/>
      <c r="E5485" s="1"/>
      <c r="F5485" s="1"/>
      <c r="G5485" s="1"/>
      <c r="H5485" s="1"/>
      <c r="I5485" s="1"/>
      <c r="J5485" s="1"/>
      <c r="K5485" s="102" t="s">
        <v>8548</v>
      </c>
      <c r="L5485" s="102" t="str">
        <f>D687</f>
        <v>J1a3~</v>
      </c>
      <c r="M5485" s="102"/>
      <c r="N5485" s="102" t="s">
        <v>8549</v>
      </c>
      <c r="O5485" s="105">
        <v>9840018.0</v>
      </c>
      <c r="P5485" s="105">
        <v>1.0002409E7</v>
      </c>
      <c r="Q5485" s="102" t="s">
        <v>2563</v>
      </c>
      <c r="S5485" s="1"/>
      <c r="T5485" s="1"/>
      <c r="U5485" s="1"/>
      <c r="V5485" s="1"/>
      <c r="W5485" s="1"/>
      <c r="X5485" s="1"/>
      <c r="Y5485" s="1"/>
      <c r="AA5485" s="102"/>
      <c r="AB5485" s="1"/>
      <c r="AC5485" s="1"/>
      <c r="AD5485" s="1"/>
      <c r="AE5485" s="1"/>
      <c r="AF5485" s="1"/>
      <c r="AG5485" s="1"/>
    </row>
    <row r="5486" ht="15.75" customHeight="1">
      <c r="A5486" s="1"/>
      <c r="B5486" s="1"/>
      <c r="C5486" s="1"/>
      <c r="D5486" s="1"/>
      <c r="E5486" s="1"/>
      <c r="F5486" s="1"/>
      <c r="G5486" s="1"/>
      <c r="H5486" s="1"/>
      <c r="I5486" s="1"/>
      <c r="J5486" s="1"/>
      <c r="K5486" s="102" t="s">
        <v>8550</v>
      </c>
      <c r="L5486" s="102" t="str">
        <f>D687</f>
        <v>J1a3~</v>
      </c>
      <c r="M5486" s="102"/>
      <c r="N5486" s="102" t="s">
        <v>8551</v>
      </c>
      <c r="O5486" s="105">
        <v>1.3811791E7</v>
      </c>
      <c r="P5486" s="105">
        <v>1.1691085E7</v>
      </c>
      <c r="Q5486" s="102" t="s">
        <v>2501</v>
      </c>
      <c r="S5486" s="1"/>
      <c r="T5486" s="1"/>
      <c r="U5486" s="1"/>
      <c r="V5486" s="1"/>
      <c r="W5486" s="1"/>
      <c r="X5486" s="1"/>
      <c r="Y5486" s="1"/>
      <c r="AA5486" s="102"/>
      <c r="AB5486" s="1"/>
      <c r="AC5486" s="1"/>
      <c r="AD5486" s="1"/>
      <c r="AE5486" s="1"/>
      <c r="AF5486" s="1"/>
      <c r="AG5486" s="1"/>
    </row>
    <row r="5487" ht="15.75" customHeight="1">
      <c r="A5487" s="1"/>
      <c r="B5487" s="1"/>
      <c r="C5487" s="1"/>
      <c r="D5487" s="1"/>
      <c r="E5487" s="1"/>
      <c r="F5487" s="1"/>
      <c r="G5487" s="1"/>
      <c r="H5487" s="1"/>
      <c r="I5487" s="1"/>
      <c r="J5487" s="1"/>
      <c r="K5487" s="102" t="s">
        <v>8552</v>
      </c>
      <c r="L5487" s="102" t="str">
        <f>D687</f>
        <v>J1a3~</v>
      </c>
      <c r="M5487" s="102"/>
      <c r="N5487" s="102"/>
      <c r="O5487" s="105">
        <v>1.4052406E7</v>
      </c>
      <c r="P5487" s="105">
        <v>1.19317E7</v>
      </c>
      <c r="Q5487" s="102" t="s">
        <v>2454</v>
      </c>
      <c r="S5487" s="1"/>
      <c r="T5487" s="1"/>
      <c r="U5487" s="1"/>
      <c r="V5487" s="1"/>
      <c r="W5487" s="1"/>
      <c r="X5487" s="1"/>
      <c r="Y5487" s="1"/>
      <c r="AA5487" s="102"/>
      <c r="AB5487" s="1"/>
      <c r="AC5487" s="1"/>
      <c r="AD5487" s="1"/>
      <c r="AE5487" s="1"/>
      <c r="AF5487" s="1"/>
      <c r="AG5487" s="1"/>
    </row>
    <row r="5488" ht="15.75" customHeight="1">
      <c r="A5488" s="1"/>
      <c r="B5488" s="1"/>
      <c r="C5488" s="1"/>
      <c r="D5488" s="1"/>
      <c r="E5488" s="1"/>
      <c r="F5488" s="1"/>
      <c r="G5488" s="1"/>
      <c r="H5488" s="1"/>
      <c r="I5488" s="1"/>
      <c r="J5488" s="1"/>
      <c r="K5488" s="102" t="s">
        <v>8553</v>
      </c>
      <c r="L5488" s="102" t="str">
        <f>D687</f>
        <v>J1a3~</v>
      </c>
      <c r="M5488" s="102"/>
      <c r="N5488" s="102" t="s">
        <v>8554</v>
      </c>
      <c r="O5488" s="105">
        <v>1.74208E7</v>
      </c>
      <c r="P5488" s="105">
        <v>1.530892E7</v>
      </c>
      <c r="Q5488" s="102" t="s">
        <v>2501</v>
      </c>
      <c r="S5488" s="1"/>
      <c r="T5488" s="1"/>
      <c r="U5488" s="1"/>
      <c r="V5488" s="1"/>
      <c r="W5488" s="1"/>
      <c r="X5488" s="1"/>
      <c r="Y5488" s="1"/>
      <c r="AA5488" s="102"/>
      <c r="AB5488" s="1"/>
      <c r="AC5488" s="1"/>
      <c r="AD5488" s="1"/>
      <c r="AE5488" s="1"/>
      <c r="AF5488" s="1"/>
      <c r="AG5488" s="1"/>
    </row>
    <row r="5489" ht="15.75" customHeight="1">
      <c r="A5489" s="1"/>
      <c r="B5489" s="1"/>
      <c r="C5489" s="1"/>
      <c r="D5489" s="1"/>
      <c r="E5489" s="1"/>
      <c r="F5489" s="1"/>
      <c r="G5489" s="1"/>
      <c r="H5489" s="1"/>
      <c r="I5489" s="1"/>
      <c r="J5489" s="1"/>
      <c r="K5489" s="102" t="s">
        <v>8555</v>
      </c>
      <c r="L5489" s="102" t="str">
        <f>D687</f>
        <v>J1a3~</v>
      </c>
      <c r="M5489" s="102"/>
      <c r="N5489" s="102" t="s">
        <v>8556</v>
      </c>
      <c r="O5489" s="105">
        <v>2.3003823E7</v>
      </c>
      <c r="P5489" s="105">
        <v>2.0841937E7</v>
      </c>
      <c r="Q5489" s="102" t="s">
        <v>2439</v>
      </c>
      <c r="S5489" s="1"/>
      <c r="T5489" s="1"/>
      <c r="U5489" s="1"/>
      <c r="V5489" s="1"/>
      <c r="W5489" s="1"/>
      <c r="X5489" s="1"/>
      <c r="Y5489" s="1"/>
      <c r="AA5489" s="102"/>
      <c r="AB5489" s="1"/>
      <c r="AC5489" s="1"/>
      <c r="AD5489" s="1"/>
      <c r="AE5489" s="1"/>
      <c r="AF5489" s="1"/>
      <c r="AG5489" s="1"/>
    </row>
    <row r="5490" ht="15.75" customHeight="1">
      <c r="A5490" s="1"/>
      <c r="B5490" s="1"/>
      <c r="C5490" s="1"/>
      <c r="D5490" s="1"/>
      <c r="E5490" s="1"/>
      <c r="F5490" s="1"/>
      <c r="G5490" s="1"/>
      <c r="H5490" s="1"/>
      <c r="I5490" s="1"/>
      <c r="J5490" s="1"/>
      <c r="K5490" s="102" t="s">
        <v>8557</v>
      </c>
      <c r="L5490" s="102" t="str">
        <f>E688</f>
        <v>J1a3a~</v>
      </c>
      <c r="M5490" s="102" t="s">
        <v>8558</v>
      </c>
      <c r="N5490" s="102" t="s">
        <v>8559</v>
      </c>
      <c r="O5490" s="105">
        <v>1.423514E7</v>
      </c>
      <c r="P5490" s="105">
        <v>1.2114434E7</v>
      </c>
      <c r="Q5490" s="102" t="s">
        <v>2501</v>
      </c>
      <c r="S5490" s="1"/>
      <c r="T5490" s="1"/>
      <c r="U5490" s="1"/>
      <c r="V5490" s="1"/>
      <c r="W5490" s="1"/>
      <c r="X5490" s="1"/>
      <c r="Y5490" s="1"/>
      <c r="AA5490" s="102"/>
      <c r="AB5490" s="1"/>
      <c r="AC5490" s="1"/>
      <c r="AD5490" s="1"/>
      <c r="AE5490" s="1"/>
      <c r="AF5490" s="1"/>
      <c r="AG5490" s="1"/>
    </row>
    <row r="5491" ht="15.75" customHeight="1">
      <c r="A5491" s="1"/>
      <c r="B5491" s="1"/>
      <c r="C5491" s="1"/>
      <c r="D5491" s="1"/>
      <c r="E5491" s="1"/>
      <c r="F5491" s="1"/>
      <c r="G5491" s="1"/>
      <c r="H5491" s="1"/>
      <c r="I5491" s="1"/>
      <c r="J5491" s="1"/>
      <c r="K5491" s="102" t="s">
        <v>8560</v>
      </c>
      <c r="L5491" s="102" t="str">
        <f>E688</f>
        <v>J1a3a~</v>
      </c>
      <c r="M5491" s="102" t="s">
        <v>8561</v>
      </c>
      <c r="N5491" s="102" t="s">
        <v>8559</v>
      </c>
      <c r="O5491" s="105">
        <v>1.423514E7</v>
      </c>
      <c r="P5491" s="105">
        <v>1.2114434E7</v>
      </c>
      <c r="Q5491" s="102" t="s">
        <v>2501</v>
      </c>
      <c r="S5491" s="1"/>
      <c r="T5491" s="1"/>
      <c r="U5491" s="1"/>
      <c r="V5491" s="1"/>
      <c r="W5491" s="1"/>
      <c r="X5491" s="1"/>
      <c r="Y5491" s="1"/>
      <c r="AA5491" s="102"/>
      <c r="AB5491" s="1"/>
      <c r="AC5491" s="1"/>
      <c r="AD5491" s="1"/>
      <c r="AE5491" s="1"/>
      <c r="AF5491" s="1"/>
      <c r="AG5491" s="1"/>
    </row>
    <row r="5492" ht="15.75" customHeight="1">
      <c r="A5492" s="1"/>
      <c r="B5492" s="1"/>
      <c r="C5492" s="1"/>
      <c r="D5492" s="1"/>
      <c r="E5492" s="1"/>
      <c r="F5492" s="1"/>
      <c r="G5492" s="1"/>
      <c r="H5492" s="1"/>
      <c r="I5492" s="1"/>
      <c r="J5492" s="1"/>
      <c r="K5492" s="102" t="s">
        <v>8562</v>
      </c>
      <c r="L5492" s="102" t="str">
        <f>E688</f>
        <v>J1a3a~</v>
      </c>
      <c r="M5492" s="102" t="s">
        <v>8563</v>
      </c>
      <c r="N5492" s="102" t="s">
        <v>8559</v>
      </c>
      <c r="O5492" s="105">
        <v>1.423514E7</v>
      </c>
      <c r="P5492" s="105">
        <v>1.2114434E7</v>
      </c>
      <c r="Q5492" s="102" t="s">
        <v>2501</v>
      </c>
      <c r="S5492" s="1"/>
      <c r="T5492" s="1"/>
      <c r="U5492" s="1"/>
      <c r="V5492" s="1"/>
      <c r="W5492" s="1"/>
      <c r="X5492" s="1"/>
      <c r="Y5492" s="1"/>
      <c r="AA5492" s="102"/>
      <c r="AB5492" s="1"/>
      <c r="AC5492" s="1"/>
      <c r="AD5492" s="1"/>
      <c r="AE5492" s="1"/>
      <c r="AF5492" s="1"/>
      <c r="AG5492" s="1"/>
    </row>
    <row r="5493" ht="15.75" customHeight="1">
      <c r="A5493" s="1"/>
      <c r="B5493" s="1"/>
      <c r="C5493" s="1"/>
      <c r="D5493" s="1"/>
      <c r="E5493" s="1"/>
      <c r="F5493" s="1"/>
      <c r="G5493" s="1"/>
      <c r="H5493" s="1"/>
      <c r="I5493" s="1"/>
      <c r="J5493" s="1"/>
      <c r="K5493" s="102" t="s">
        <v>8564</v>
      </c>
      <c r="L5493" s="102" t="str">
        <f>E688</f>
        <v>J1a3a~</v>
      </c>
      <c r="M5493" s="102"/>
      <c r="N5493" s="102" t="s">
        <v>8462</v>
      </c>
      <c r="O5493" s="105">
        <v>1.7792637E7</v>
      </c>
      <c r="P5493" s="105">
        <v>1.5680757E7</v>
      </c>
      <c r="Q5493" s="106" t="s">
        <v>2439</v>
      </c>
      <c r="S5493" s="1"/>
      <c r="T5493" s="1"/>
      <c r="U5493" s="1"/>
      <c r="V5493" s="1"/>
      <c r="W5493" s="1"/>
      <c r="X5493" s="1"/>
      <c r="Y5493" s="1"/>
      <c r="AA5493" s="102" t="s">
        <v>8565</v>
      </c>
      <c r="AB5493" s="1"/>
      <c r="AC5493" s="1"/>
      <c r="AD5493" s="1"/>
      <c r="AE5493" s="1"/>
      <c r="AF5493" s="1"/>
      <c r="AG5493" s="1"/>
    </row>
    <row r="5494" ht="15.75" customHeight="1">
      <c r="A5494" s="1"/>
      <c r="B5494" s="1"/>
      <c r="C5494" s="1"/>
      <c r="D5494" s="1"/>
      <c r="E5494" s="1"/>
      <c r="F5494" s="1"/>
      <c r="G5494" s="1"/>
      <c r="H5494" s="1"/>
      <c r="I5494" s="1"/>
      <c r="J5494" s="1"/>
      <c r="K5494" s="102" t="s">
        <v>8566</v>
      </c>
      <c r="L5494" s="102" t="str">
        <f>E688</f>
        <v>J1a3a~</v>
      </c>
      <c r="M5494" s="102"/>
      <c r="N5494" s="102" t="s">
        <v>8567</v>
      </c>
      <c r="O5494" s="105">
        <v>1.6386241E7</v>
      </c>
      <c r="P5494" s="105">
        <v>1.4274361E7</v>
      </c>
      <c r="Q5494" s="102" t="s">
        <v>2501</v>
      </c>
      <c r="S5494" s="1"/>
      <c r="T5494" s="1"/>
      <c r="U5494" s="1"/>
      <c r="V5494" s="1"/>
      <c r="W5494" s="1"/>
      <c r="X5494" s="1"/>
      <c r="Y5494" s="1"/>
      <c r="AA5494" s="102"/>
      <c r="AB5494" s="1"/>
      <c r="AC5494" s="1"/>
      <c r="AD5494" s="1"/>
      <c r="AE5494" s="1"/>
      <c r="AF5494" s="1"/>
      <c r="AG5494" s="1"/>
    </row>
    <row r="5495" ht="15.75" customHeight="1">
      <c r="A5495" s="1"/>
      <c r="B5495" s="1"/>
      <c r="C5495" s="1"/>
      <c r="D5495" s="1"/>
      <c r="E5495" s="1"/>
      <c r="F5495" s="1"/>
      <c r="G5495" s="1"/>
      <c r="H5495" s="1"/>
      <c r="I5495" s="1"/>
      <c r="J5495" s="1"/>
      <c r="K5495" s="102" t="s">
        <v>3253</v>
      </c>
      <c r="L5495" s="102" t="str">
        <f>E688</f>
        <v>J1a3a~</v>
      </c>
      <c r="M5495" s="102"/>
      <c r="N5495" s="102" t="s">
        <v>3254</v>
      </c>
      <c r="O5495" s="105">
        <v>2.1969618E7</v>
      </c>
      <c r="P5495" s="105">
        <v>1.9807732E7</v>
      </c>
      <c r="Q5495" s="102" t="s">
        <v>2468</v>
      </c>
      <c r="S5495" s="1"/>
      <c r="T5495" s="1"/>
      <c r="U5495" s="1"/>
      <c r="V5495" s="1"/>
      <c r="W5495" s="1"/>
      <c r="X5495" s="1"/>
      <c r="Y5495" s="1"/>
      <c r="AA5495" s="102"/>
      <c r="AB5495" s="1"/>
      <c r="AC5495" s="1"/>
      <c r="AD5495" s="1"/>
      <c r="AE5495" s="1"/>
      <c r="AF5495" s="1"/>
      <c r="AG5495" s="1"/>
    </row>
    <row r="5496" ht="15.75" customHeight="1">
      <c r="A5496" s="1"/>
      <c r="B5496" s="1"/>
      <c r="C5496" s="1"/>
      <c r="D5496" s="1"/>
      <c r="E5496" s="1"/>
      <c r="F5496" s="1"/>
      <c r="G5496" s="1"/>
      <c r="H5496" s="1"/>
      <c r="I5496" s="1"/>
      <c r="J5496" s="1"/>
      <c r="K5496" s="102" t="s">
        <v>8568</v>
      </c>
      <c r="L5496" s="102" t="str">
        <f t="shared" ref="L5496:L5497" si="121">E688</f>
        <v>J1a3a~</v>
      </c>
      <c r="M5496" s="102"/>
      <c r="N5496" s="102" t="s">
        <v>8569</v>
      </c>
      <c r="O5496" s="105">
        <v>1.4097207E7</v>
      </c>
      <c r="P5496" s="105">
        <v>1.1976501E7</v>
      </c>
      <c r="Q5496" s="102" t="s">
        <v>2439</v>
      </c>
      <c r="S5496" s="1"/>
      <c r="T5496" s="1"/>
      <c r="U5496" s="1"/>
      <c r="V5496" s="1"/>
      <c r="W5496" s="1"/>
      <c r="X5496" s="1"/>
      <c r="Y5496" s="1"/>
      <c r="AA5496" s="102"/>
      <c r="AB5496" s="1"/>
      <c r="AC5496" s="1"/>
      <c r="AD5496" s="1"/>
      <c r="AE5496" s="1"/>
      <c r="AF5496" s="1"/>
      <c r="AG5496" s="1"/>
    </row>
    <row r="5497" ht="15.75" customHeight="1">
      <c r="A5497" s="1"/>
      <c r="B5497" s="1"/>
      <c r="C5497" s="1"/>
      <c r="D5497" s="1"/>
      <c r="E5497" s="1"/>
      <c r="F5497" s="1"/>
      <c r="G5497" s="1"/>
      <c r="H5497" s="1"/>
      <c r="I5497" s="1"/>
      <c r="J5497" s="1"/>
      <c r="K5497" s="102" t="s">
        <v>8570</v>
      </c>
      <c r="L5497" s="102" t="str">
        <f t="shared" si="121"/>
        <v>J1a3b~</v>
      </c>
      <c r="M5497" s="102"/>
      <c r="N5497" s="102" t="s">
        <v>8571</v>
      </c>
      <c r="O5497" s="105">
        <v>1.5452708E7</v>
      </c>
      <c r="P5497" s="105">
        <v>1.3340828E7</v>
      </c>
      <c r="Q5497" s="102" t="s">
        <v>2439</v>
      </c>
      <c r="S5497" s="1"/>
      <c r="T5497" s="1"/>
      <c r="U5497" s="1"/>
      <c r="V5497" s="1"/>
      <c r="W5497" s="1"/>
      <c r="X5497" s="1"/>
      <c r="Y5497" s="1"/>
      <c r="AA5497" s="102"/>
      <c r="AB5497" s="1"/>
      <c r="AC5497" s="1"/>
      <c r="AD5497" s="1"/>
      <c r="AE5497" s="1"/>
      <c r="AF5497" s="1"/>
      <c r="AG5497" s="1"/>
    </row>
    <row r="5498" ht="15.75" customHeight="1">
      <c r="A5498" s="1"/>
      <c r="B5498" s="1"/>
      <c r="C5498" s="1"/>
      <c r="D5498" s="1"/>
      <c r="E5498" s="1"/>
      <c r="F5498" s="1"/>
      <c r="G5498" s="1"/>
      <c r="H5498" s="1"/>
      <c r="I5498" s="1"/>
      <c r="J5498" s="1"/>
      <c r="K5498" s="102" t="s">
        <v>8572</v>
      </c>
      <c r="L5498" s="102" t="str">
        <f>E689</f>
        <v>J1a3b~</v>
      </c>
      <c r="M5498" s="102"/>
      <c r="N5498" s="102" t="s">
        <v>8573</v>
      </c>
      <c r="O5498" s="105">
        <v>1.6676325E7</v>
      </c>
      <c r="P5498" s="105">
        <v>1.4564445E7</v>
      </c>
      <c r="Q5498" s="102" t="s">
        <v>2468</v>
      </c>
      <c r="S5498" s="1"/>
      <c r="T5498" s="1"/>
      <c r="U5498" s="1"/>
      <c r="V5498" s="1"/>
      <c r="W5498" s="1"/>
      <c r="X5498" s="1"/>
      <c r="Y5498" s="1"/>
      <c r="AA5498" s="102"/>
      <c r="AB5498" s="1"/>
      <c r="AC5498" s="1"/>
      <c r="AD5498" s="1"/>
      <c r="AE5498" s="1"/>
      <c r="AF5498" s="1"/>
      <c r="AG5498" s="1"/>
    </row>
    <row r="5499" ht="15.75" customHeight="1">
      <c r="A5499" s="1"/>
      <c r="B5499" s="1"/>
      <c r="C5499" s="1"/>
      <c r="D5499" s="1"/>
      <c r="E5499" s="1"/>
      <c r="F5499" s="1"/>
      <c r="G5499" s="1"/>
      <c r="H5499" s="1"/>
      <c r="I5499" s="1"/>
      <c r="J5499" s="1"/>
      <c r="K5499" s="102" t="s">
        <v>8574</v>
      </c>
      <c r="L5499" s="102" t="str">
        <f>E689</f>
        <v>J1a3b~</v>
      </c>
      <c r="M5499" s="102"/>
      <c r="N5499" s="102" t="s">
        <v>8575</v>
      </c>
      <c r="O5499" s="105">
        <v>6662857.0</v>
      </c>
      <c r="P5499" s="105">
        <v>6794816.0</v>
      </c>
      <c r="Q5499" s="102" t="s">
        <v>2468</v>
      </c>
      <c r="S5499" s="1"/>
      <c r="T5499" s="1"/>
      <c r="U5499" s="1"/>
      <c r="V5499" s="1"/>
      <c r="W5499" s="1"/>
      <c r="X5499" s="1"/>
      <c r="Y5499" s="1"/>
      <c r="AA5499" s="102"/>
      <c r="AB5499" s="1"/>
      <c r="AC5499" s="1"/>
      <c r="AD5499" s="1"/>
      <c r="AE5499" s="1"/>
      <c r="AF5499" s="1"/>
      <c r="AG5499" s="1"/>
    </row>
    <row r="5500" ht="15.75" customHeight="1">
      <c r="A5500" s="1"/>
      <c r="B5500" s="1"/>
      <c r="C5500" s="1"/>
      <c r="D5500" s="1"/>
      <c r="E5500" s="1"/>
      <c r="F5500" s="1"/>
      <c r="G5500" s="1"/>
      <c r="H5500" s="1"/>
      <c r="I5500" s="1"/>
      <c r="J5500" s="1"/>
      <c r="K5500" s="102" t="s">
        <v>8576</v>
      </c>
      <c r="L5500" s="102" t="str">
        <f>E689</f>
        <v>J1a3b~</v>
      </c>
      <c r="M5500" s="102"/>
      <c r="N5500" s="102" t="s">
        <v>8577</v>
      </c>
      <c r="O5500" s="105">
        <v>6708442.0</v>
      </c>
      <c r="P5500" s="105">
        <v>6840401.0</v>
      </c>
      <c r="Q5500" s="102" t="s">
        <v>2529</v>
      </c>
      <c r="S5500" s="1"/>
      <c r="T5500" s="1"/>
      <c r="U5500" s="1"/>
      <c r="V5500" s="1"/>
      <c r="W5500" s="1"/>
      <c r="X5500" s="1"/>
      <c r="Y5500" s="1"/>
      <c r="AA5500" s="102"/>
      <c r="AB5500" s="1"/>
      <c r="AC5500" s="1"/>
      <c r="AD5500" s="1"/>
      <c r="AE5500" s="1"/>
      <c r="AF5500" s="1"/>
      <c r="AG5500" s="1"/>
    </row>
    <row r="5501" ht="15.75" customHeight="1">
      <c r="A5501" s="1"/>
      <c r="B5501" s="1"/>
      <c r="C5501" s="1"/>
      <c r="D5501" s="1"/>
      <c r="E5501" s="1"/>
      <c r="F5501" s="1"/>
      <c r="G5501" s="1"/>
      <c r="H5501" s="1"/>
      <c r="I5501" s="1"/>
      <c r="J5501" s="1"/>
      <c r="K5501" s="102" t="s">
        <v>8578</v>
      </c>
      <c r="L5501" s="102" t="str">
        <f>E689</f>
        <v>J1a3b~</v>
      </c>
      <c r="M5501" s="102"/>
      <c r="N5501" s="102" t="s">
        <v>8579</v>
      </c>
      <c r="O5501" s="105">
        <v>1.4509355E7</v>
      </c>
      <c r="P5501" s="105">
        <v>1.239756E7</v>
      </c>
      <c r="Q5501" s="102" t="s">
        <v>2446</v>
      </c>
      <c r="S5501" s="1"/>
      <c r="T5501" s="1"/>
      <c r="U5501" s="1"/>
      <c r="V5501" s="1"/>
      <c r="W5501" s="1"/>
      <c r="X5501" s="1"/>
      <c r="Y5501" s="1"/>
      <c r="AA5501" s="102"/>
      <c r="AB5501" s="1"/>
      <c r="AC5501" s="1"/>
      <c r="AD5501" s="1"/>
      <c r="AE5501" s="1"/>
      <c r="AF5501" s="1"/>
      <c r="AG5501" s="1"/>
    </row>
    <row r="5502" ht="15.75" customHeight="1">
      <c r="A5502" s="1"/>
      <c r="B5502" s="1"/>
      <c r="C5502" s="1"/>
      <c r="D5502" s="1"/>
      <c r="E5502" s="1"/>
      <c r="F5502" s="1"/>
      <c r="G5502" s="1"/>
      <c r="H5502" s="1"/>
      <c r="I5502" s="1"/>
      <c r="J5502" s="1"/>
      <c r="K5502" s="102" t="s">
        <v>8580</v>
      </c>
      <c r="L5502" s="102" t="str">
        <f>E689</f>
        <v>J1a3b~</v>
      </c>
      <c r="M5502" s="102"/>
      <c r="N5502" s="102" t="s">
        <v>8581</v>
      </c>
      <c r="O5502" s="105">
        <v>1.4974233E7</v>
      </c>
      <c r="P5502" s="105">
        <v>1.2862308E7</v>
      </c>
      <c r="Q5502" s="102" t="s">
        <v>2533</v>
      </c>
      <c r="S5502" s="1"/>
      <c r="T5502" s="1"/>
      <c r="U5502" s="1"/>
      <c r="V5502" s="1"/>
      <c r="W5502" s="1"/>
      <c r="X5502" s="1"/>
      <c r="Y5502" s="1"/>
      <c r="AA5502" s="102"/>
      <c r="AB5502" s="1"/>
      <c r="AC5502" s="1"/>
      <c r="AD5502" s="1"/>
      <c r="AE5502" s="1"/>
      <c r="AF5502" s="1"/>
      <c r="AG5502" s="1"/>
    </row>
    <row r="5503" ht="15.75" customHeight="1">
      <c r="A5503" s="1"/>
      <c r="B5503" s="1"/>
      <c r="C5503" s="1"/>
      <c r="D5503" s="1"/>
      <c r="E5503" s="1"/>
      <c r="F5503" s="1"/>
      <c r="G5503" s="1"/>
      <c r="H5503" s="1"/>
      <c r="I5503" s="1"/>
      <c r="J5503" s="1"/>
      <c r="K5503" s="102" t="s">
        <v>8582</v>
      </c>
      <c r="L5503" s="102" t="str">
        <f>E689</f>
        <v>J1a3b~</v>
      </c>
      <c r="M5503" s="102"/>
      <c r="N5503" s="102" t="s">
        <v>8583</v>
      </c>
      <c r="O5503" s="109">
        <v>1.5278206E7</v>
      </c>
      <c r="P5503" s="105">
        <v>1.3166295E7</v>
      </c>
      <c r="Q5503" s="102" t="s">
        <v>2529</v>
      </c>
      <c r="S5503" s="1"/>
      <c r="T5503" s="1"/>
      <c r="U5503" s="1"/>
      <c r="V5503" s="1"/>
      <c r="W5503" s="1"/>
      <c r="X5503" s="1"/>
      <c r="Y5503" s="1"/>
      <c r="AA5503" s="102"/>
      <c r="AB5503" s="1"/>
      <c r="AC5503" s="1"/>
      <c r="AD5503" s="1"/>
      <c r="AE5503" s="1"/>
      <c r="AF5503" s="1"/>
      <c r="AG5503" s="1"/>
    </row>
    <row r="5504" ht="15.75" customHeight="1">
      <c r="A5504" s="1"/>
      <c r="B5504" s="1"/>
      <c r="C5504" s="1"/>
      <c r="D5504" s="1"/>
      <c r="E5504" s="1"/>
      <c r="F5504" s="1"/>
      <c r="G5504" s="1"/>
      <c r="H5504" s="1"/>
      <c r="I5504" s="1"/>
      <c r="J5504" s="1"/>
      <c r="K5504" s="102" t="s">
        <v>8584</v>
      </c>
      <c r="L5504" s="102" t="str">
        <f>E689</f>
        <v>J1a3b~</v>
      </c>
      <c r="M5504" s="102"/>
      <c r="N5504" s="102" t="s">
        <v>8585</v>
      </c>
      <c r="O5504" s="105">
        <v>1.5415764E7</v>
      </c>
      <c r="P5504" s="105">
        <v>1.3303884E7</v>
      </c>
      <c r="Q5504" s="102" t="s">
        <v>2529</v>
      </c>
      <c r="S5504" s="1"/>
      <c r="T5504" s="1"/>
      <c r="U5504" s="1"/>
      <c r="V5504" s="1"/>
      <c r="W5504" s="1"/>
      <c r="X5504" s="1"/>
      <c r="Y5504" s="1"/>
      <c r="AA5504" s="102"/>
      <c r="AB5504" s="1"/>
      <c r="AC5504" s="1"/>
      <c r="AD5504" s="1"/>
      <c r="AE5504" s="1"/>
      <c r="AF5504" s="1"/>
      <c r="AG5504" s="1"/>
    </row>
    <row r="5505" ht="15.75" customHeight="1">
      <c r="A5505" s="1"/>
      <c r="B5505" s="1"/>
      <c r="C5505" s="1"/>
      <c r="D5505" s="1"/>
      <c r="E5505" s="1"/>
      <c r="F5505" s="1"/>
      <c r="G5505" s="1"/>
      <c r="H5505" s="1"/>
      <c r="I5505" s="1"/>
      <c r="J5505" s="1"/>
      <c r="K5505" s="102" t="s">
        <v>8586</v>
      </c>
      <c r="L5505" s="102" t="str">
        <f>E689</f>
        <v>J1a3b~</v>
      </c>
      <c r="M5505" s="102"/>
      <c r="N5505" s="102" t="s">
        <v>8587</v>
      </c>
      <c r="O5505" s="105">
        <v>1.5814683E7</v>
      </c>
      <c r="P5505" s="105">
        <v>1.3702803E7</v>
      </c>
      <c r="Q5505" s="102" t="s">
        <v>2439</v>
      </c>
      <c r="S5505" s="1"/>
      <c r="T5505" s="1"/>
      <c r="U5505" s="1"/>
      <c r="V5505" s="1"/>
      <c r="W5505" s="1"/>
      <c r="X5505" s="1"/>
      <c r="Y5505" s="1"/>
      <c r="AA5505" s="102"/>
      <c r="AB5505" s="1"/>
      <c r="AC5505" s="1"/>
      <c r="AD5505" s="1"/>
      <c r="AE5505" s="1"/>
      <c r="AF5505" s="1"/>
      <c r="AG5505" s="1"/>
    </row>
    <row r="5506" ht="15.75" customHeight="1">
      <c r="A5506" s="1"/>
      <c r="B5506" s="1"/>
      <c r="C5506" s="1"/>
      <c r="D5506" s="1"/>
      <c r="E5506" s="1"/>
      <c r="F5506" s="1"/>
      <c r="G5506" s="1"/>
      <c r="H5506" s="1"/>
      <c r="I5506" s="1"/>
      <c r="J5506" s="1"/>
      <c r="K5506" s="102" t="s">
        <v>8588</v>
      </c>
      <c r="L5506" s="102" t="str">
        <f>E689</f>
        <v>J1a3b~</v>
      </c>
      <c r="M5506" s="102"/>
      <c r="N5506" s="102" t="s">
        <v>8589</v>
      </c>
      <c r="O5506" s="105">
        <v>1.6228539E7</v>
      </c>
      <c r="P5506" s="105">
        <v>1.4116659E7</v>
      </c>
      <c r="Q5506" s="102" t="s">
        <v>2446</v>
      </c>
      <c r="S5506" s="1"/>
      <c r="T5506" s="1"/>
      <c r="U5506" s="1"/>
      <c r="V5506" s="1"/>
      <c r="W5506" s="1"/>
      <c r="X5506" s="1"/>
      <c r="Y5506" s="1"/>
      <c r="AA5506" s="102"/>
      <c r="AB5506" s="1"/>
      <c r="AC5506" s="1"/>
      <c r="AD5506" s="1"/>
      <c r="AE5506" s="1"/>
      <c r="AF5506" s="1"/>
      <c r="AG5506" s="1"/>
    </row>
    <row r="5507" ht="15.75" customHeight="1">
      <c r="A5507" s="1"/>
      <c r="B5507" s="1"/>
      <c r="C5507" s="1"/>
      <c r="D5507" s="1"/>
      <c r="E5507" s="1"/>
      <c r="F5507" s="1"/>
      <c r="G5507" s="1"/>
      <c r="H5507" s="1"/>
      <c r="I5507" s="1"/>
      <c r="J5507" s="1"/>
      <c r="K5507" s="102" t="s">
        <v>8590</v>
      </c>
      <c r="L5507" s="102" t="str">
        <f>E689</f>
        <v>J1a3b~</v>
      </c>
      <c r="M5507" s="102"/>
      <c r="N5507" s="102" t="s">
        <v>8591</v>
      </c>
      <c r="O5507" s="105">
        <v>1.6243501E7</v>
      </c>
      <c r="P5507" s="105">
        <v>1.4131621E7</v>
      </c>
      <c r="Q5507" s="102" t="s">
        <v>2529</v>
      </c>
      <c r="S5507" s="1"/>
      <c r="T5507" s="1"/>
      <c r="U5507" s="1"/>
      <c r="V5507" s="1"/>
      <c r="W5507" s="1"/>
      <c r="X5507" s="1"/>
      <c r="Y5507" s="1"/>
      <c r="AA5507" s="102"/>
      <c r="AB5507" s="1"/>
      <c r="AC5507" s="1"/>
      <c r="AD5507" s="1"/>
      <c r="AE5507" s="1"/>
      <c r="AF5507" s="1"/>
      <c r="AG5507" s="1"/>
    </row>
    <row r="5508" ht="15.75" customHeight="1">
      <c r="A5508" s="1"/>
      <c r="B5508" s="1"/>
      <c r="C5508" s="1"/>
      <c r="D5508" s="1"/>
      <c r="E5508" s="1"/>
      <c r="F5508" s="1"/>
      <c r="G5508" s="1"/>
      <c r="H5508" s="1"/>
      <c r="I5508" s="1"/>
      <c r="J5508" s="1"/>
      <c r="K5508" s="102" t="s">
        <v>8592</v>
      </c>
      <c r="L5508" s="102" t="str">
        <f>E689</f>
        <v>J1a3b~</v>
      </c>
      <c r="M5508" s="102"/>
      <c r="N5508" s="102" t="s">
        <v>8593</v>
      </c>
      <c r="O5508" s="105">
        <v>1.6434396E7</v>
      </c>
      <c r="P5508" s="105">
        <v>1.4322516E7</v>
      </c>
      <c r="Q5508" s="102" t="s">
        <v>2501</v>
      </c>
      <c r="S5508" s="1"/>
      <c r="T5508" s="1"/>
      <c r="U5508" s="1"/>
      <c r="V5508" s="1"/>
      <c r="W5508" s="1"/>
      <c r="X5508" s="1"/>
      <c r="Y5508" s="1"/>
      <c r="AA5508" s="102"/>
      <c r="AB5508" s="1"/>
      <c r="AC5508" s="1"/>
      <c r="AD5508" s="1"/>
      <c r="AE5508" s="1"/>
      <c r="AF5508" s="1"/>
      <c r="AG5508" s="1"/>
    </row>
    <row r="5509" ht="15.75" customHeight="1">
      <c r="A5509" s="1"/>
      <c r="B5509" s="1"/>
      <c r="C5509" s="1"/>
      <c r="D5509" s="1"/>
      <c r="E5509" s="1"/>
      <c r="F5509" s="1"/>
      <c r="G5509" s="1"/>
      <c r="H5509" s="1"/>
      <c r="I5509" s="1"/>
      <c r="J5509" s="1"/>
      <c r="K5509" s="102" t="s">
        <v>8594</v>
      </c>
      <c r="L5509" s="102" t="str">
        <f>E689</f>
        <v>J1a3b~</v>
      </c>
      <c r="M5509" s="102" t="s">
        <v>8595</v>
      </c>
      <c r="N5509" s="102" t="s">
        <v>8596</v>
      </c>
      <c r="O5509" s="105">
        <v>1.6497752E7</v>
      </c>
      <c r="P5509" s="105">
        <v>1.4385872E7</v>
      </c>
      <c r="Q5509" s="102" t="s">
        <v>2501</v>
      </c>
      <c r="S5509" s="1"/>
      <c r="T5509" s="1"/>
      <c r="U5509" s="1"/>
      <c r="V5509" s="1"/>
      <c r="W5509" s="1"/>
      <c r="X5509" s="1"/>
      <c r="Y5509" s="1"/>
      <c r="AA5509" s="102"/>
      <c r="AB5509" s="1"/>
      <c r="AC5509" s="1"/>
      <c r="AD5509" s="1"/>
      <c r="AE5509" s="1"/>
      <c r="AF5509" s="1"/>
      <c r="AG5509" s="1"/>
    </row>
    <row r="5510" ht="15.75" customHeight="1">
      <c r="A5510" s="1"/>
      <c r="B5510" s="1"/>
      <c r="C5510" s="1"/>
      <c r="D5510" s="1"/>
      <c r="E5510" s="1"/>
      <c r="F5510" s="1"/>
      <c r="G5510" s="1"/>
      <c r="H5510" s="1"/>
      <c r="I5510" s="1"/>
      <c r="J5510" s="1"/>
      <c r="K5510" s="102" t="s">
        <v>8595</v>
      </c>
      <c r="L5510" s="102" t="str">
        <f>E689</f>
        <v>J1a3b~</v>
      </c>
      <c r="M5510" s="102" t="s">
        <v>8594</v>
      </c>
      <c r="N5510" s="102" t="s">
        <v>8596</v>
      </c>
      <c r="O5510" s="105">
        <v>1.6497752E7</v>
      </c>
      <c r="P5510" s="105">
        <v>1.4385872E7</v>
      </c>
      <c r="Q5510" s="102" t="s">
        <v>2501</v>
      </c>
      <c r="S5510" s="1"/>
      <c r="T5510" s="1"/>
      <c r="U5510" s="1"/>
      <c r="V5510" s="1"/>
      <c r="W5510" s="1"/>
      <c r="X5510" s="1"/>
      <c r="Y5510" s="1"/>
      <c r="AA5510" s="102"/>
      <c r="AB5510" s="1"/>
      <c r="AC5510" s="1"/>
      <c r="AD5510" s="1"/>
      <c r="AE5510" s="1"/>
      <c r="AF5510" s="1"/>
      <c r="AG5510" s="1"/>
    </row>
    <row r="5511" ht="15.75" customHeight="1">
      <c r="A5511" s="1"/>
      <c r="B5511" s="1"/>
      <c r="C5511" s="1"/>
      <c r="D5511" s="1"/>
      <c r="E5511" s="1"/>
      <c r="F5511" s="1"/>
      <c r="G5511" s="1"/>
      <c r="H5511" s="1"/>
      <c r="I5511" s="1"/>
      <c r="J5511" s="1"/>
      <c r="K5511" s="102" t="s">
        <v>8597</v>
      </c>
      <c r="L5511" s="102" t="str">
        <f>E689</f>
        <v>J1a3b~</v>
      </c>
      <c r="M5511" s="102"/>
      <c r="N5511" s="102" t="s">
        <v>8598</v>
      </c>
      <c r="O5511" s="105">
        <v>1.6734091E7</v>
      </c>
      <c r="P5511" s="105">
        <v>1.4622211E7</v>
      </c>
      <c r="Q5511" s="102" t="s">
        <v>2501</v>
      </c>
      <c r="S5511" s="1"/>
      <c r="T5511" s="1"/>
      <c r="U5511" s="1"/>
      <c r="V5511" s="1"/>
      <c r="W5511" s="1"/>
      <c r="X5511" s="1"/>
      <c r="Y5511" s="1"/>
      <c r="AA5511" s="102"/>
      <c r="AB5511" s="1"/>
      <c r="AC5511" s="1"/>
      <c r="AD5511" s="1"/>
      <c r="AE5511" s="1"/>
      <c r="AF5511" s="1"/>
      <c r="AG5511" s="1"/>
    </row>
    <row r="5512" ht="15.75" customHeight="1">
      <c r="A5512" s="1"/>
      <c r="B5512" s="1"/>
      <c r="C5512" s="1"/>
      <c r="D5512" s="1"/>
      <c r="E5512" s="1"/>
      <c r="F5512" s="1"/>
      <c r="G5512" s="1"/>
      <c r="H5512" s="1"/>
      <c r="I5512" s="1"/>
      <c r="J5512" s="1"/>
      <c r="K5512" s="102" t="s">
        <v>8599</v>
      </c>
      <c r="L5512" s="102" t="str">
        <f>E689</f>
        <v>J1a3b~</v>
      </c>
      <c r="M5512" s="102"/>
      <c r="N5512" s="102" t="s">
        <v>8600</v>
      </c>
      <c r="O5512" s="105">
        <v>1.6845429E7</v>
      </c>
      <c r="P5512" s="105">
        <v>1.4733549E7</v>
      </c>
      <c r="Q5512" s="102" t="s">
        <v>2468</v>
      </c>
      <c r="S5512" s="1"/>
      <c r="T5512" s="1"/>
      <c r="U5512" s="1"/>
      <c r="V5512" s="1"/>
      <c r="W5512" s="1"/>
      <c r="X5512" s="1"/>
      <c r="Y5512" s="1"/>
      <c r="AA5512" s="102"/>
      <c r="AB5512" s="1"/>
      <c r="AC5512" s="1"/>
      <c r="AD5512" s="1"/>
      <c r="AE5512" s="1"/>
      <c r="AF5512" s="1"/>
      <c r="AG5512" s="1"/>
    </row>
    <row r="5513" ht="15.75" customHeight="1">
      <c r="A5513" s="1"/>
      <c r="B5513" s="1"/>
      <c r="C5513" s="1"/>
      <c r="D5513" s="1"/>
      <c r="E5513" s="1"/>
      <c r="F5513" s="1"/>
      <c r="G5513" s="1"/>
      <c r="H5513" s="1"/>
      <c r="I5513" s="1"/>
      <c r="J5513" s="1"/>
      <c r="K5513" s="102" t="s">
        <v>8601</v>
      </c>
      <c r="L5513" s="102" t="str">
        <f>E689</f>
        <v>J1a3b~</v>
      </c>
      <c r="M5513" s="102"/>
      <c r="N5513" s="102" t="s">
        <v>8602</v>
      </c>
      <c r="O5513" s="105">
        <v>1.7487017E7</v>
      </c>
      <c r="P5513" s="105">
        <v>1.5375137E7</v>
      </c>
      <c r="Q5513" s="102" t="s">
        <v>2439</v>
      </c>
      <c r="S5513" s="1"/>
      <c r="T5513" s="1"/>
      <c r="U5513" s="1"/>
      <c r="V5513" s="1"/>
      <c r="W5513" s="1"/>
      <c r="X5513" s="1"/>
      <c r="Y5513" s="1"/>
      <c r="AA5513" s="102"/>
      <c r="AB5513" s="1"/>
      <c r="AC5513" s="1"/>
      <c r="AD5513" s="1"/>
      <c r="AE5513" s="1"/>
      <c r="AF5513" s="1"/>
      <c r="AG5513" s="1"/>
    </row>
    <row r="5514" ht="15.75" customHeight="1">
      <c r="A5514" s="1"/>
      <c r="B5514" s="1"/>
      <c r="C5514" s="1"/>
      <c r="D5514" s="1"/>
      <c r="E5514" s="1"/>
      <c r="F5514" s="1"/>
      <c r="G5514" s="1"/>
      <c r="H5514" s="1"/>
      <c r="I5514" s="1"/>
      <c r="J5514" s="1"/>
      <c r="K5514" s="102" t="s">
        <v>8603</v>
      </c>
      <c r="L5514" s="102" t="str">
        <f>E689</f>
        <v>J1a3b~</v>
      </c>
      <c r="M5514" s="102"/>
      <c r="N5514" s="102" t="s">
        <v>8604</v>
      </c>
      <c r="O5514" s="105">
        <v>1.7524946E7</v>
      </c>
      <c r="P5514" s="105">
        <v>1.5413066E7</v>
      </c>
      <c r="Q5514" s="102" t="s">
        <v>2514</v>
      </c>
      <c r="S5514" s="1"/>
      <c r="T5514" s="1"/>
      <c r="U5514" s="1"/>
      <c r="V5514" s="1"/>
      <c r="W5514" s="1"/>
      <c r="X5514" s="1"/>
      <c r="Y5514" s="1"/>
      <c r="AA5514" s="102"/>
      <c r="AB5514" s="1"/>
      <c r="AC5514" s="1"/>
      <c r="AD5514" s="1"/>
      <c r="AE5514" s="1"/>
      <c r="AF5514" s="1"/>
      <c r="AG5514" s="1"/>
    </row>
    <row r="5515" ht="15.75" customHeight="1">
      <c r="A5515" s="1"/>
      <c r="B5515" s="1"/>
      <c r="C5515" s="1"/>
      <c r="D5515" s="1"/>
      <c r="E5515" s="1"/>
      <c r="F5515" s="1"/>
      <c r="G5515" s="1"/>
      <c r="H5515" s="1"/>
      <c r="I5515" s="1"/>
      <c r="J5515" s="1"/>
      <c r="K5515" s="102" t="s">
        <v>8605</v>
      </c>
      <c r="L5515" s="102" t="str">
        <f>E689</f>
        <v>J1a3b~</v>
      </c>
      <c r="M5515" s="102"/>
      <c r="N5515" s="102" t="s">
        <v>8606</v>
      </c>
      <c r="O5515" s="105">
        <v>1.7938733E7</v>
      </c>
      <c r="P5515" s="105">
        <v>1.5826853E7</v>
      </c>
      <c r="Q5515" s="102" t="s">
        <v>2454</v>
      </c>
      <c r="S5515" s="1"/>
      <c r="T5515" s="1"/>
      <c r="U5515" s="1"/>
      <c r="V5515" s="1"/>
      <c r="W5515" s="1"/>
      <c r="X5515" s="1"/>
      <c r="Y5515" s="1"/>
      <c r="AA5515" s="102"/>
      <c r="AB5515" s="1"/>
      <c r="AC5515" s="1"/>
      <c r="AD5515" s="1"/>
      <c r="AE5515" s="1"/>
      <c r="AF5515" s="1"/>
      <c r="AG5515" s="1"/>
    </row>
    <row r="5516" ht="15.75" customHeight="1">
      <c r="A5516" s="1"/>
      <c r="B5516" s="1"/>
      <c r="C5516" s="1"/>
      <c r="D5516" s="1"/>
      <c r="E5516" s="1"/>
      <c r="F5516" s="1"/>
      <c r="G5516" s="1"/>
      <c r="H5516" s="1"/>
      <c r="I5516" s="1"/>
      <c r="J5516" s="1"/>
      <c r="K5516" s="102" t="s">
        <v>8607</v>
      </c>
      <c r="L5516" s="102" t="str">
        <f>E689</f>
        <v>J1a3b~</v>
      </c>
      <c r="M5516" s="102"/>
      <c r="N5516" s="102" t="s">
        <v>8608</v>
      </c>
      <c r="O5516" s="105">
        <v>1.795946E7</v>
      </c>
      <c r="P5516" s="105">
        <v>1.584758E7</v>
      </c>
      <c r="Q5516" s="102" t="s">
        <v>2501</v>
      </c>
      <c r="S5516" s="1"/>
      <c r="T5516" s="1"/>
      <c r="U5516" s="1"/>
      <c r="V5516" s="1"/>
      <c r="W5516" s="1"/>
      <c r="X5516" s="1"/>
      <c r="Y5516" s="1"/>
      <c r="AA5516" s="102"/>
      <c r="AB5516" s="1"/>
      <c r="AC5516" s="1"/>
      <c r="AD5516" s="1"/>
      <c r="AE5516" s="1"/>
      <c r="AF5516" s="1"/>
      <c r="AG5516" s="1"/>
    </row>
    <row r="5517" ht="15.75" customHeight="1">
      <c r="A5517" s="1"/>
      <c r="B5517" s="1"/>
      <c r="C5517" s="1"/>
      <c r="D5517" s="1"/>
      <c r="E5517" s="1"/>
      <c r="F5517" s="1"/>
      <c r="G5517" s="1"/>
      <c r="H5517" s="1"/>
      <c r="I5517" s="1"/>
      <c r="J5517" s="1"/>
      <c r="K5517" s="102" t="s">
        <v>8609</v>
      </c>
      <c r="L5517" s="102" t="str">
        <f>E689</f>
        <v>J1a3b~</v>
      </c>
      <c r="M5517" s="102"/>
      <c r="N5517" s="102" t="s">
        <v>8610</v>
      </c>
      <c r="O5517" s="105">
        <v>1.8718107E7</v>
      </c>
      <c r="P5517" s="105">
        <v>1.6606227E7</v>
      </c>
      <c r="Q5517" s="102" t="s">
        <v>2501</v>
      </c>
      <c r="S5517" s="1"/>
      <c r="T5517" s="1"/>
      <c r="U5517" s="1"/>
      <c r="V5517" s="1"/>
      <c r="W5517" s="1"/>
      <c r="X5517" s="1"/>
      <c r="Y5517" s="1"/>
      <c r="AA5517" s="102"/>
      <c r="AB5517" s="1"/>
      <c r="AC5517" s="1"/>
      <c r="AD5517" s="1"/>
      <c r="AE5517" s="1"/>
      <c r="AF5517" s="1"/>
      <c r="AG5517" s="1"/>
    </row>
    <row r="5518" ht="15.75" customHeight="1">
      <c r="A5518" s="1"/>
      <c r="B5518" s="1"/>
      <c r="C5518" s="1"/>
      <c r="D5518" s="1"/>
      <c r="E5518" s="1"/>
      <c r="F5518" s="1"/>
      <c r="G5518" s="1"/>
      <c r="H5518" s="1"/>
      <c r="I5518" s="1"/>
      <c r="J5518" s="1"/>
      <c r="K5518" s="102" t="s">
        <v>8611</v>
      </c>
      <c r="L5518" s="102" t="str">
        <f>E689</f>
        <v>J1a3b~</v>
      </c>
      <c r="M5518" s="102"/>
      <c r="N5518" s="102" t="s">
        <v>8612</v>
      </c>
      <c r="O5518" s="105">
        <v>1.9313558E7</v>
      </c>
      <c r="P5518" s="105">
        <v>1.7201678E7</v>
      </c>
      <c r="Q5518" s="102" t="s">
        <v>2576</v>
      </c>
      <c r="S5518" s="1"/>
      <c r="T5518" s="1"/>
      <c r="U5518" s="1"/>
      <c r="V5518" s="1"/>
      <c r="W5518" s="1"/>
      <c r="X5518" s="1"/>
      <c r="Y5518" s="1"/>
      <c r="AA5518" s="102"/>
      <c r="AB5518" s="1"/>
      <c r="AC5518" s="1"/>
      <c r="AD5518" s="1"/>
      <c r="AE5518" s="1"/>
      <c r="AF5518" s="1"/>
      <c r="AG5518" s="1"/>
    </row>
    <row r="5519" ht="15.75" customHeight="1">
      <c r="A5519" s="1"/>
      <c r="B5519" s="1"/>
      <c r="C5519" s="1"/>
      <c r="D5519" s="1"/>
      <c r="E5519" s="1"/>
      <c r="F5519" s="1"/>
      <c r="G5519" s="1"/>
      <c r="H5519" s="1"/>
      <c r="I5519" s="1"/>
      <c r="J5519" s="1"/>
      <c r="K5519" s="102" t="s">
        <v>8613</v>
      </c>
      <c r="L5519" s="102" t="str">
        <f>E689</f>
        <v>J1a3b~</v>
      </c>
      <c r="M5519" s="102"/>
      <c r="N5519" s="102" t="s">
        <v>8614</v>
      </c>
      <c r="O5519" s="105">
        <v>2.1046952E7</v>
      </c>
      <c r="P5519" s="105">
        <v>1.8885066E7</v>
      </c>
      <c r="Q5519" s="102" t="s">
        <v>2529</v>
      </c>
      <c r="S5519" s="1"/>
      <c r="T5519" s="1"/>
      <c r="U5519" s="1"/>
      <c r="V5519" s="1"/>
      <c r="W5519" s="1"/>
      <c r="X5519" s="1"/>
      <c r="Y5519" s="1"/>
      <c r="AA5519" s="102"/>
      <c r="AB5519" s="1"/>
      <c r="AC5519" s="1"/>
      <c r="AD5519" s="1"/>
      <c r="AE5519" s="1"/>
      <c r="AF5519" s="1"/>
      <c r="AG5519" s="1"/>
    </row>
    <row r="5520" ht="15.75" customHeight="1">
      <c r="A5520" s="1"/>
      <c r="B5520" s="1"/>
      <c r="C5520" s="1"/>
      <c r="D5520" s="1"/>
      <c r="E5520" s="1"/>
      <c r="F5520" s="1"/>
      <c r="G5520" s="1"/>
      <c r="H5520" s="1"/>
      <c r="I5520" s="1"/>
      <c r="J5520" s="1"/>
      <c r="K5520" s="102" t="s">
        <v>8615</v>
      </c>
      <c r="L5520" s="102" t="str">
        <f>E689</f>
        <v>J1a3b~</v>
      </c>
      <c r="M5520" s="102"/>
      <c r="N5520" s="102" t="s">
        <v>8616</v>
      </c>
      <c r="O5520" s="105">
        <v>2.1835101E7</v>
      </c>
      <c r="P5520" s="105">
        <v>1.9673215E7</v>
      </c>
      <c r="Q5520" s="102" t="s">
        <v>2454</v>
      </c>
      <c r="S5520" s="1"/>
      <c r="T5520" s="1"/>
      <c r="U5520" s="1"/>
      <c r="V5520" s="1"/>
      <c r="W5520" s="1"/>
      <c r="X5520" s="1"/>
      <c r="Y5520" s="1"/>
      <c r="AA5520" s="102"/>
      <c r="AB5520" s="1"/>
      <c r="AC5520" s="1"/>
      <c r="AD5520" s="1"/>
      <c r="AE5520" s="1"/>
      <c r="AF5520" s="1"/>
      <c r="AG5520" s="1"/>
    </row>
    <row r="5521" ht="15.75" customHeight="1">
      <c r="A5521" s="1"/>
      <c r="B5521" s="1"/>
      <c r="C5521" s="1"/>
      <c r="D5521" s="1"/>
      <c r="E5521" s="1"/>
      <c r="F5521" s="1"/>
      <c r="G5521" s="1"/>
      <c r="H5521" s="1"/>
      <c r="I5521" s="1"/>
      <c r="J5521" s="1"/>
      <c r="K5521" s="102" t="s">
        <v>8617</v>
      </c>
      <c r="L5521" s="102" t="str">
        <f>E689</f>
        <v>J1a3b~</v>
      </c>
      <c r="M5521" s="102"/>
      <c r="N5521" s="102"/>
      <c r="O5521" s="105">
        <v>2773786.0</v>
      </c>
      <c r="P5521" s="105">
        <v>2905745.0</v>
      </c>
      <c r="Q5521" s="102" t="s">
        <v>2439</v>
      </c>
      <c r="S5521" s="1"/>
      <c r="T5521" s="1"/>
      <c r="U5521" s="1"/>
      <c r="V5521" s="1"/>
      <c r="W5521" s="1"/>
      <c r="X5521" s="1"/>
      <c r="Y5521" s="1"/>
      <c r="AA5521" s="102"/>
      <c r="AB5521" s="1"/>
      <c r="AC5521" s="1"/>
      <c r="AD5521" s="1"/>
      <c r="AE5521" s="1"/>
      <c r="AF5521" s="1"/>
      <c r="AG5521" s="1"/>
    </row>
    <row r="5522" ht="15.75" customHeight="1">
      <c r="A5522" s="1"/>
      <c r="B5522" s="1"/>
      <c r="C5522" s="1"/>
      <c r="D5522" s="1"/>
      <c r="E5522" s="1"/>
      <c r="F5522" s="1"/>
      <c r="G5522" s="1"/>
      <c r="H5522" s="1"/>
      <c r="I5522" s="1"/>
      <c r="J5522" s="1"/>
      <c r="K5522" s="102" t="s">
        <v>8618</v>
      </c>
      <c r="L5522" s="102" t="str">
        <f>E689</f>
        <v>J1a3b~</v>
      </c>
      <c r="M5522" s="102"/>
      <c r="N5522" s="102" t="s">
        <v>8619</v>
      </c>
      <c r="O5522" s="105">
        <v>7613165.0</v>
      </c>
      <c r="P5522" s="105">
        <v>7745124.0</v>
      </c>
      <c r="Q5522" s="102" t="s">
        <v>2501</v>
      </c>
      <c r="S5522" s="1"/>
      <c r="T5522" s="1"/>
      <c r="U5522" s="1"/>
      <c r="V5522" s="1"/>
      <c r="W5522" s="1"/>
      <c r="X5522" s="1"/>
      <c r="Y5522" s="1"/>
      <c r="AA5522" s="102"/>
      <c r="AB5522" s="1"/>
      <c r="AC5522" s="1"/>
      <c r="AD5522" s="1"/>
      <c r="AE5522" s="1"/>
      <c r="AF5522" s="1"/>
      <c r="AG5522" s="1"/>
    </row>
    <row r="5523" ht="15.75" customHeight="1">
      <c r="A5523" s="1"/>
      <c r="B5523" s="1"/>
      <c r="C5523" s="1"/>
      <c r="D5523" s="1"/>
      <c r="E5523" s="1"/>
      <c r="F5523" s="1"/>
      <c r="G5523" s="1"/>
      <c r="H5523" s="1"/>
      <c r="I5523" s="1"/>
      <c r="J5523" s="1"/>
      <c r="K5523" s="102" t="s">
        <v>8620</v>
      </c>
      <c r="L5523" s="102" t="str">
        <f>E689</f>
        <v>J1a3b~</v>
      </c>
      <c r="M5523" s="102"/>
      <c r="N5523" s="102" t="s">
        <v>8621</v>
      </c>
      <c r="O5523" s="105">
        <v>8109424.0</v>
      </c>
      <c r="P5523" s="105">
        <v>8241383.0</v>
      </c>
      <c r="Q5523" s="102" t="s">
        <v>2533</v>
      </c>
      <c r="S5523" s="1"/>
      <c r="T5523" s="1"/>
      <c r="U5523" s="1"/>
      <c r="V5523" s="1"/>
      <c r="W5523" s="1"/>
      <c r="X5523" s="1"/>
      <c r="Y5523" s="1"/>
      <c r="AA5523" s="102"/>
      <c r="AB5523" s="1"/>
      <c r="AC5523" s="1"/>
      <c r="AD5523" s="1"/>
      <c r="AE5523" s="1"/>
      <c r="AF5523" s="1"/>
      <c r="AG5523" s="1"/>
    </row>
    <row r="5524" ht="15.75" customHeight="1">
      <c r="A5524" s="1"/>
      <c r="B5524" s="1"/>
      <c r="C5524" s="1"/>
      <c r="D5524" s="1"/>
      <c r="E5524" s="1"/>
      <c r="F5524" s="1"/>
      <c r="G5524" s="1"/>
      <c r="H5524" s="1"/>
      <c r="I5524" s="1"/>
      <c r="J5524" s="1"/>
      <c r="K5524" s="102" t="s">
        <v>8622</v>
      </c>
      <c r="L5524" s="102" t="str">
        <f>E689</f>
        <v>J1a3b~</v>
      </c>
      <c r="M5524" s="102"/>
      <c r="N5524" s="102"/>
      <c r="O5524" s="105">
        <v>1.4124329E7</v>
      </c>
      <c r="P5524" s="105">
        <v>1.2003623E7</v>
      </c>
      <c r="Q5524" s="102" t="s">
        <v>2439</v>
      </c>
      <c r="S5524" s="1"/>
      <c r="T5524" s="1"/>
      <c r="U5524" s="1"/>
      <c r="V5524" s="1"/>
      <c r="W5524" s="1"/>
      <c r="X5524" s="1"/>
      <c r="Y5524" s="1"/>
      <c r="AA5524" s="102"/>
      <c r="AB5524" s="1"/>
      <c r="AC5524" s="1"/>
      <c r="AD5524" s="1"/>
      <c r="AE5524" s="1"/>
      <c r="AF5524" s="1"/>
      <c r="AG5524" s="1"/>
    </row>
    <row r="5525" ht="15.75" customHeight="1">
      <c r="A5525" s="1"/>
      <c r="B5525" s="1"/>
      <c r="C5525" s="1"/>
      <c r="D5525" s="1"/>
      <c r="E5525" s="1"/>
      <c r="F5525" s="1"/>
      <c r="G5525" s="1"/>
      <c r="H5525" s="1"/>
      <c r="I5525" s="1"/>
      <c r="J5525" s="1"/>
      <c r="K5525" s="102" t="s">
        <v>8623</v>
      </c>
      <c r="L5525" s="102" t="str">
        <f>E689</f>
        <v>J1a3b~</v>
      </c>
      <c r="M5525" s="102"/>
      <c r="N5525" s="102" t="s">
        <v>8624</v>
      </c>
      <c r="O5525" s="105">
        <v>1.5715248E7</v>
      </c>
      <c r="P5525" s="105">
        <v>1.3603368E7</v>
      </c>
      <c r="Q5525" s="102" t="s">
        <v>2501</v>
      </c>
      <c r="S5525" s="1"/>
      <c r="T5525" s="1"/>
      <c r="U5525" s="1"/>
      <c r="V5525" s="1"/>
      <c r="W5525" s="1"/>
      <c r="X5525" s="1"/>
      <c r="Y5525" s="1"/>
      <c r="AA5525" s="102"/>
      <c r="AB5525" s="1"/>
      <c r="AC5525" s="1"/>
      <c r="AD5525" s="1"/>
      <c r="AE5525" s="1"/>
      <c r="AF5525" s="1"/>
      <c r="AG5525" s="1"/>
    </row>
    <row r="5526" ht="15.75" customHeight="1">
      <c r="A5526" s="1"/>
      <c r="B5526" s="1"/>
      <c r="C5526" s="1"/>
      <c r="D5526" s="1"/>
      <c r="E5526" s="1"/>
      <c r="F5526" s="1"/>
      <c r="G5526" s="1"/>
      <c r="H5526" s="1"/>
      <c r="I5526" s="1"/>
      <c r="J5526" s="1"/>
      <c r="K5526" s="102" t="s">
        <v>8625</v>
      </c>
      <c r="L5526" s="102" t="str">
        <f>E689</f>
        <v>J1a3b~</v>
      </c>
      <c r="M5526" s="102"/>
      <c r="N5526" s="102"/>
      <c r="O5526" s="105">
        <v>1.6703165E7</v>
      </c>
      <c r="P5526" s="105">
        <v>1.4591285E7</v>
      </c>
      <c r="Q5526" s="102" t="s">
        <v>2529</v>
      </c>
      <c r="S5526" s="1"/>
      <c r="T5526" s="1"/>
      <c r="U5526" s="1"/>
      <c r="V5526" s="1"/>
      <c r="W5526" s="1"/>
      <c r="X5526" s="1"/>
      <c r="Y5526" s="1"/>
      <c r="AA5526" s="102"/>
      <c r="AB5526" s="1"/>
      <c r="AC5526" s="1"/>
      <c r="AD5526" s="1"/>
      <c r="AE5526" s="1"/>
      <c r="AF5526" s="1"/>
      <c r="AG5526" s="1"/>
    </row>
    <row r="5527" ht="15.75" customHeight="1">
      <c r="A5527" s="1"/>
      <c r="B5527" s="1"/>
      <c r="C5527" s="1"/>
      <c r="D5527" s="1"/>
      <c r="E5527" s="1"/>
      <c r="F5527" s="1"/>
      <c r="G5527" s="1"/>
      <c r="H5527" s="1"/>
      <c r="I5527" s="1"/>
      <c r="J5527" s="1"/>
      <c r="K5527" s="102" t="s">
        <v>8626</v>
      </c>
      <c r="L5527" s="102" t="str">
        <f>E689</f>
        <v>J1a3b~</v>
      </c>
      <c r="M5527" s="102"/>
      <c r="N5527" s="102" t="s">
        <v>8627</v>
      </c>
      <c r="O5527" s="105">
        <v>1.7895304E7</v>
      </c>
      <c r="P5527" s="105">
        <v>1.5783424E7</v>
      </c>
      <c r="Q5527" s="102" t="s">
        <v>2501</v>
      </c>
      <c r="S5527" s="1"/>
      <c r="T5527" s="1"/>
      <c r="U5527" s="1"/>
      <c r="V5527" s="1"/>
      <c r="W5527" s="1"/>
      <c r="X5527" s="1"/>
      <c r="Y5527" s="1"/>
      <c r="AA5527" s="102"/>
      <c r="AB5527" s="1"/>
      <c r="AC5527" s="1"/>
      <c r="AD5527" s="1"/>
      <c r="AE5527" s="1"/>
      <c r="AF5527" s="1"/>
      <c r="AG5527" s="1"/>
    </row>
    <row r="5528" ht="15.75" customHeight="1">
      <c r="A5528" s="1"/>
      <c r="B5528" s="1"/>
      <c r="C5528" s="1"/>
      <c r="D5528" s="1"/>
      <c r="E5528" s="1"/>
      <c r="F5528" s="1"/>
      <c r="G5528" s="1"/>
      <c r="H5528" s="1"/>
      <c r="I5528" s="1"/>
      <c r="J5528" s="1"/>
      <c r="K5528" s="102" t="s">
        <v>8628</v>
      </c>
      <c r="L5528" s="102" t="str">
        <f>E689</f>
        <v>J1a3b~</v>
      </c>
      <c r="M5528" s="102"/>
      <c r="N5528" s="102" t="s">
        <v>8629</v>
      </c>
      <c r="O5528" s="105">
        <v>2.1263667E7</v>
      </c>
      <c r="P5528" s="105">
        <v>1.9101781E7</v>
      </c>
      <c r="Q5528" s="102" t="s">
        <v>2529</v>
      </c>
      <c r="S5528" s="1"/>
      <c r="T5528" s="1"/>
      <c r="U5528" s="1"/>
      <c r="V5528" s="1"/>
      <c r="W5528" s="1"/>
      <c r="X5528" s="1"/>
      <c r="Y5528" s="1"/>
      <c r="AA5528" s="102"/>
      <c r="AB5528" s="1"/>
      <c r="AC5528" s="1"/>
      <c r="AD5528" s="1"/>
      <c r="AE5528" s="1"/>
      <c r="AF5528" s="1"/>
      <c r="AG5528" s="1"/>
    </row>
    <row r="5529" ht="15.75" customHeight="1">
      <c r="A5529" s="1"/>
      <c r="B5529" s="1"/>
      <c r="C5529" s="1"/>
      <c r="D5529" s="1"/>
      <c r="E5529" s="1"/>
      <c r="F5529" s="1"/>
      <c r="G5529" s="1"/>
      <c r="H5529" s="1"/>
      <c r="I5529" s="1"/>
      <c r="J5529" s="1"/>
      <c r="K5529" s="102" t="s">
        <v>8630</v>
      </c>
      <c r="L5529" s="102" t="str">
        <f>E689</f>
        <v>J1a3b~</v>
      </c>
      <c r="M5529" s="102"/>
      <c r="N5529" s="102"/>
      <c r="O5529" s="105">
        <v>2.129369E7</v>
      </c>
      <c r="P5529" s="105">
        <v>1.9131804E7</v>
      </c>
      <c r="Q5529" s="102" t="s">
        <v>2529</v>
      </c>
      <c r="S5529" s="1"/>
      <c r="T5529" s="1"/>
      <c r="U5529" s="1"/>
      <c r="V5529" s="1"/>
      <c r="W5529" s="1"/>
      <c r="X5529" s="1"/>
      <c r="Y5529" s="1"/>
      <c r="AA5529" s="102"/>
      <c r="AB5529" s="1"/>
      <c r="AC5529" s="1"/>
      <c r="AD5529" s="1"/>
      <c r="AE5529" s="1"/>
      <c r="AF5529" s="1"/>
      <c r="AG5529" s="1"/>
    </row>
    <row r="5530" ht="15.75" customHeight="1">
      <c r="A5530" s="1"/>
      <c r="B5530" s="1"/>
      <c r="C5530" s="1"/>
      <c r="D5530" s="1"/>
      <c r="E5530" s="1"/>
      <c r="F5530" s="1"/>
      <c r="G5530" s="1"/>
      <c r="H5530" s="1"/>
      <c r="I5530" s="1"/>
      <c r="J5530" s="1"/>
      <c r="K5530" s="106" t="s">
        <v>8631</v>
      </c>
      <c r="L5530" s="102" t="str">
        <f>E689</f>
        <v>J1a3b~</v>
      </c>
      <c r="M5530" s="102"/>
      <c r="N5530" s="102"/>
      <c r="O5530" s="111">
        <v>2.1975419E7</v>
      </c>
      <c r="P5530" s="111">
        <v>1.9813533E7</v>
      </c>
      <c r="Q5530" s="113" t="s">
        <v>2514</v>
      </c>
      <c r="S5530" s="1"/>
      <c r="T5530" s="1"/>
      <c r="U5530" s="1"/>
      <c r="V5530" s="1"/>
      <c r="W5530" s="1"/>
      <c r="X5530" s="1"/>
      <c r="Y5530" s="1"/>
      <c r="AA5530" s="102"/>
      <c r="AB5530" s="1"/>
      <c r="AC5530" s="1"/>
      <c r="AD5530" s="1"/>
      <c r="AE5530" s="1"/>
      <c r="AF5530" s="1"/>
      <c r="AG5530" s="1"/>
    </row>
    <row r="5531" ht="15.75" customHeight="1">
      <c r="A5531" s="1"/>
      <c r="B5531" s="1"/>
      <c r="C5531" s="1"/>
      <c r="D5531" s="1"/>
      <c r="E5531" s="1"/>
      <c r="F5531" s="1"/>
      <c r="G5531" s="1"/>
      <c r="H5531" s="1"/>
      <c r="I5531" s="1"/>
      <c r="J5531" s="1"/>
      <c r="K5531" s="102" t="s">
        <v>8632</v>
      </c>
      <c r="L5531" s="102" t="str">
        <f>E689</f>
        <v>J1a3b~</v>
      </c>
      <c r="M5531" s="102"/>
      <c r="N5531" s="102"/>
      <c r="O5531" s="105">
        <v>2.2816598E7</v>
      </c>
      <c r="P5531" s="105">
        <v>2.0654712E7</v>
      </c>
      <c r="Q5531" s="102" t="s">
        <v>2501</v>
      </c>
      <c r="S5531" s="1"/>
      <c r="T5531" s="1"/>
      <c r="U5531" s="1"/>
      <c r="V5531" s="1"/>
      <c r="W5531" s="1"/>
      <c r="X5531" s="1"/>
      <c r="Y5531" s="1"/>
      <c r="AA5531" s="102"/>
      <c r="AB5531" s="1"/>
      <c r="AC5531" s="1"/>
      <c r="AD5531" s="1"/>
      <c r="AE5531" s="1"/>
      <c r="AF5531" s="1"/>
      <c r="AG5531" s="1"/>
    </row>
    <row r="5532" ht="15.75" customHeight="1">
      <c r="A5532" s="1"/>
      <c r="B5532" s="1"/>
      <c r="C5532" s="1"/>
      <c r="D5532" s="1"/>
      <c r="E5532" s="1"/>
      <c r="F5532" s="1"/>
      <c r="G5532" s="1"/>
      <c r="H5532" s="1"/>
      <c r="I5532" s="1"/>
      <c r="J5532" s="1"/>
      <c r="K5532" s="102" t="s">
        <v>8633</v>
      </c>
      <c r="L5532" s="102" t="str">
        <f>E689</f>
        <v>J1a3b~</v>
      </c>
      <c r="M5532" s="102"/>
      <c r="N5532" s="102"/>
      <c r="O5532" s="105">
        <v>2.3591309E7</v>
      </c>
      <c r="P5532" s="105">
        <v>2.1429423E7</v>
      </c>
      <c r="Q5532" s="102" t="s">
        <v>2514</v>
      </c>
      <c r="S5532" s="1"/>
      <c r="T5532" s="1"/>
      <c r="U5532" s="1"/>
      <c r="V5532" s="1"/>
      <c r="W5532" s="1"/>
      <c r="X5532" s="1"/>
      <c r="Y5532" s="1"/>
      <c r="AA5532" s="102"/>
      <c r="AB5532" s="1"/>
      <c r="AC5532" s="1"/>
      <c r="AD5532" s="1"/>
      <c r="AE5532" s="1"/>
      <c r="AF5532" s="1"/>
      <c r="AG5532" s="1"/>
    </row>
    <row r="5533" ht="15.75" customHeight="1">
      <c r="A5533" s="1"/>
      <c r="B5533" s="1"/>
      <c r="C5533" s="1"/>
      <c r="D5533" s="1"/>
      <c r="E5533" s="1"/>
      <c r="F5533" s="1"/>
      <c r="G5533" s="1"/>
      <c r="H5533" s="1"/>
      <c r="I5533" s="1"/>
      <c r="J5533" s="1"/>
      <c r="K5533" s="102" t="s">
        <v>8634</v>
      </c>
      <c r="L5533" s="102" t="str">
        <f>E689</f>
        <v>J1a3b~</v>
      </c>
      <c r="M5533" s="102"/>
      <c r="N5533" s="102"/>
      <c r="O5533" s="105">
        <v>2.3740286E7</v>
      </c>
      <c r="P5533" s="105">
        <v>2.15784E7</v>
      </c>
      <c r="Q5533" s="102" t="s">
        <v>2439</v>
      </c>
      <c r="S5533" s="1"/>
      <c r="T5533" s="1"/>
      <c r="U5533" s="1"/>
      <c r="V5533" s="1"/>
      <c r="W5533" s="1"/>
      <c r="X5533" s="1"/>
      <c r="Y5533" s="1"/>
      <c r="AA5533" s="102"/>
      <c r="AB5533" s="1"/>
      <c r="AC5533" s="1"/>
      <c r="AD5533" s="1"/>
      <c r="AE5533" s="1"/>
      <c r="AF5533" s="1"/>
      <c r="AG5533" s="1"/>
    </row>
    <row r="5534" ht="15.75" customHeight="1">
      <c r="A5534" s="1"/>
      <c r="B5534" s="1"/>
      <c r="C5534" s="1"/>
      <c r="D5534" s="1"/>
      <c r="E5534" s="1"/>
      <c r="F5534" s="1"/>
      <c r="G5534" s="1"/>
      <c r="H5534" s="1"/>
      <c r="I5534" s="1"/>
      <c r="J5534" s="1"/>
      <c r="K5534" s="102" t="s">
        <v>8635</v>
      </c>
      <c r="L5534" s="102" t="str">
        <f>E689</f>
        <v>J1a3b~</v>
      </c>
      <c r="M5534" s="102"/>
      <c r="N5534" s="102"/>
      <c r="O5534" s="105">
        <v>1.7615703E7</v>
      </c>
      <c r="P5534" s="105">
        <v>1.5503823E7</v>
      </c>
      <c r="Q5534" s="102" t="s">
        <v>2439</v>
      </c>
      <c r="S5534" s="1"/>
      <c r="T5534" s="1"/>
      <c r="U5534" s="1"/>
      <c r="V5534" s="1"/>
      <c r="W5534" s="1"/>
      <c r="X5534" s="1"/>
      <c r="Y5534" s="1"/>
      <c r="AA5534" s="102"/>
      <c r="AB5534" s="1"/>
      <c r="AC5534" s="1"/>
      <c r="AD5534" s="1"/>
      <c r="AE5534" s="1"/>
      <c r="AF5534" s="1"/>
      <c r="AG5534" s="1"/>
    </row>
    <row r="5535" ht="15.75" customHeight="1">
      <c r="A5535" s="1"/>
      <c r="B5535" s="1"/>
      <c r="C5535" s="1"/>
      <c r="D5535" s="1"/>
      <c r="E5535" s="1"/>
      <c r="F5535" s="1"/>
      <c r="G5535" s="1"/>
      <c r="H5535" s="1"/>
      <c r="I5535" s="1"/>
      <c r="J5535" s="1"/>
      <c r="K5535" s="102" t="s">
        <v>8636</v>
      </c>
      <c r="L5535" s="102" t="str">
        <f>E689</f>
        <v>J1a3b~</v>
      </c>
      <c r="M5535" s="102"/>
      <c r="N5535" s="102"/>
      <c r="O5535" s="105">
        <v>2663258.0</v>
      </c>
      <c r="P5535" s="105">
        <v>2795217.0</v>
      </c>
      <c r="Q5535" s="102" t="s">
        <v>2529</v>
      </c>
      <c r="S5535" s="1"/>
      <c r="T5535" s="1"/>
      <c r="U5535" s="1"/>
      <c r="V5535" s="1"/>
      <c r="W5535" s="1"/>
      <c r="X5535" s="1"/>
      <c r="Y5535" s="1"/>
      <c r="AA5535" s="102"/>
      <c r="AB5535" s="1"/>
      <c r="AC5535" s="1"/>
      <c r="AD5535" s="1"/>
      <c r="AE5535" s="1"/>
      <c r="AF5535" s="1"/>
      <c r="AG5535" s="1"/>
    </row>
    <row r="5536" ht="15.75" customHeight="1">
      <c r="A5536" s="1"/>
      <c r="B5536" s="1"/>
      <c r="C5536" s="1"/>
      <c r="D5536" s="1"/>
      <c r="E5536" s="1"/>
      <c r="F5536" s="1"/>
      <c r="G5536" s="1"/>
      <c r="H5536" s="1"/>
      <c r="I5536" s="1"/>
      <c r="J5536" s="1"/>
      <c r="K5536" s="102" t="s">
        <v>8637</v>
      </c>
      <c r="L5536" s="102" t="str">
        <f>E689</f>
        <v>J1a3b~</v>
      </c>
      <c r="M5536" s="102"/>
      <c r="N5536" s="102" t="s">
        <v>8638</v>
      </c>
      <c r="O5536" s="105">
        <v>2901081.0</v>
      </c>
      <c r="P5536" s="105">
        <v>3033040.0</v>
      </c>
      <c r="Q5536" s="102" t="s">
        <v>2468</v>
      </c>
      <c r="S5536" s="1"/>
      <c r="T5536" s="1"/>
      <c r="U5536" s="1"/>
      <c r="V5536" s="1"/>
      <c r="W5536" s="1"/>
      <c r="X5536" s="1"/>
      <c r="Y5536" s="1"/>
      <c r="AA5536" s="102"/>
      <c r="AB5536" s="1"/>
      <c r="AC5536" s="1"/>
      <c r="AD5536" s="1"/>
      <c r="AE5536" s="1"/>
      <c r="AF5536" s="1"/>
      <c r="AG5536" s="1"/>
    </row>
    <row r="5537" ht="15.75" customHeight="1">
      <c r="A5537" s="1"/>
      <c r="B5537" s="1"/>
      <c r="C5537" s="1"/>
      <c r="D5537" s="1"/>
      <c r="E5537" s="1"/>
      <c r="F5537" s="1"/>
      <c r="G5537" s="1"/>
      <c r="H5537" s="1"/>
      <c r="I5537" s="1"/>
      <c r="J5537" s="1"/>
      <c r="K5537" s="102" t="s">
        <v>8639</v>
      </c>
      <c r="L5537" s="102" t="str">
        <f>E689</f>
        <v>J1a3b~</v>
      </c>
      <c r="M5537" s="102"/>
      <c r="N5537" s="102"/>
      <c r="O5537" s="105">
        <v>8034350.0</v>
      </c>
      <c r="P5537" s="105">
        <v>8166309.0</v>
      </c>
      <c r="Q5537" s="102" t="s">
        <v>2501</v>
      </c>
      <c r="S5537" s="1"/>
      <c r="T5537" s="1"/>
      <c r="U5537" s="1"/>
      <c r="V5537" s="1"/>
      <c r="W5537" s="1"/>
      <c r="X5537" s="1"/>
      <c r="Y5537" s="1"/>
      <c r="AA5537" s="102"/>
      <c r="AB5537" s="1"/>
      <c r="AC5537" s="1"/>
      <c r="AD5537" s="1"/>
      <c r="AE5537" s="1"/>
      <c r="AF5537" s="1"/>
      <c r="AG5537" s="1"/>
    </row>
    <row r="5538" ht="15.75" customHeight="1">
      <c r="A5538" s="1"/>
      <c r="B5538" s="1"/>
      <c r="C5538" s="1"/>
      <c r="D5538" s="1"/>
      <c r="E5538" s="1"/>
      <c r="F5538" s="1"/>
      <c r="G5538" s="1"/>
      <c r="H5538" s="1"/>
      <c r="I5538" s="1"/>
      <c r="J5538" s="1"/>
      <c r="K5538" s="102" t="s">
        <v>8640</v>
      </c>
      <c r="L5538" s="102" t="str">
        <f>E689</f>
        <v>J1a3b~</v>
      </c>
      <c r="M5538" s="102"/>
      <c r="N5538" s="102"/>
      <c r="O5538" s="105">
        <v>1.4710909E7</v>
      </c>
      <c r="P5538" s="105">
        <v>1.2598976E7</v>
      </c>
      <c r="Q5538" s="102" t="s">
        <v>2446</v>
      </c>
      <c r="S5538" s="1"/>
      <c r="T5538" s="1"/>
      <c r="U5538" s="1"/>
      <c r="V5538" s="1"/>
      <c r="W5538" s="1"/>
      <c r="X5538" s="1"/>
      <c r="Y5538" s="1"/>
      <c r="AA5538" s="102"/>
      <c r="AB5538" s="1"/>
      <c r="AC5538" s="1"/>
      <c r="AD5538" s="1"/>
      <c r="AE5538" s="1"/>
      <c r="AF5538" s="1"/>
      <c r="AG5538" s="1"/>
    </row>
    <row r="5539" ht="15.75" customHeight="1">
      <c r="A5539" s="1"/>
      <c r="B5539" s="1"/>
      <c r="C5539" s="1"/>
      <c r="D5539" s="1"/>
      <c r="E5539" s="1"/>
      <c r="F5539" s="1"/>
      <c r="G5539" s="1"/>
      <c r="H5539" s="1"/>
      <c r="I5539" s="1"/>
      <c r="J5539" s="1"/>
      <c r="K5539" s="102" t="s">
        <v>8641</v>
      </c>
      <c r="L5539" s="102" t="str">
        <f>E689</f>
        <v>J1a3b~</v>
      </c>
      <c r="M5539" s="102"/>
      <c r="N5539" s="102" t="s">
        <v>8642</v>
      </c>
      <c r="O5539" s="105">
        <v>1.6801477E7</v>
      </c>
      <c r="P5539" s="105">
        <v>1.4689597E7</v>
      </c>
      <c r="Q5539" s="102" t="s">
        <v>2529</v>
      </c>
      <c r="S5539" s="1"/>
      <c r="T5539" s="1"/>
      <c r="U5539" s="1"/>
      <c r="V5539" s="1"/>
      <c r="W5539" s="1"/>
      <c r="X5539" s="1"/>
      <c r="Y5539" s="1"/>
      <c r="AA5539" s="102"/>
      <c r="AB5539" s="1"/>
      <c r="AC5539" s="1"/>
      <c r="AD5539" s="1"/>
      <c r="AE5539" s="1"/>
      <c r="AF5539" s="1"/>
      <c r="AG5539" s="1"/>
    </row>
    <row r="5540" ht="15.75" customHeight="1">
      <c r="A5540" s="1"/>
      <c r="B5540" s="1"/>
      <c r="C5540" s="1"/>
      <c r="D5540" s="1"/>
      <c r="E5540" s="1"/>
      <c r="F5540" s="1"/>
      <c r="G5540" s="1"/>
      <c r="H5540" s="1"/>
      <c r="I5540" s="1"/>
      <c r="J5540" s="1"/>
      <c r="K5540" s="102" t="s">
        <v>8643</v>
      </c>
      <c r="L5540" s="102" t="str">
        <f>E689</f>
        <v>J1a3b~</v>
      </c>
      <c r="M5540" s="102"/>
      <c r="N5540" s="102" t="s">
        <v>8644</v>
      </c>
      <c r="O5540" s="105">
        <v>2.3135857E7</v>
      </c>
      <c r="P5540" s="105">
        <v>2.0973971E7</v>
      </c>
      <c r="Q5540" s="102" t="s">
        <v>2439</v>
      </c>
      <c r="S5540" s="1"/>
      <c r="T5540" s="1"/>
      <c r="U5540" s="1"/>
      <c r="V5540" s="1"/>
      <c r="W5540" s="1"/>
      <c r="X5540" s="1"/>
      <c r="Y5540" s="1"/>
      <c r="AA5540" s="102"/>
      <c r="AB5540" s="1"/>
      <c r="AC5540" s="1"/>
      <c r="AD5540" s="1"/>
      <c r="AE5540" s="1"/>
      <c r="AF5540" s="1"/>
      <c r="AG5540" s="1"/>
    </row>
    <row r="5541" ht="15.75" customHeight="1">
      <c r="A5541" s="1"/>
      <c r="B5541" s="1"/>
      <c r="C5541" s="1"/>
      <c r="D5541" s="1"/>
      <c r="E5541" s="1"/>
      <c r="F5541" s="1"/>
      <c r="G5541" s="1"/>
      <c r="H5541" s="1"/>
      <c r="I5541" s="1"/>
      <c r="J5541" s="1"/>
      <c r="K5541" s="102" t="s">
        <v>8645</v>
      </c>
      <c r="L5541" s="102" t="str">
        <f>E689</f>
        <v>J1a3b~</v>
      </c>
      <c r="M5541" s="102"/>
      <c r="N5541" s="102" t="s">
        <v>8646</v>
      </c>
      <c r="O5541" s="105">
        <v>1.5109954E7</v>
      </c>
      <c r="P5541" s="105">
        <v>1.2998041E7</v>
      </c>
      <c r="Q5541" s="102" t="s">
        <v>2423</v>
      </c>
      <c r="S5541" s="1"/>
      <c r="T5541" s="1"/>
      <c r="U5541" s="1"/>
      <c r="V5541" s="1"/>
      <c r="W5541" s="1"/>
      <c r="X5541" s="1"/>
      <c r="Y5541" s="1"/>
      <c r="AA5541" s="102"/>
      <c r="AB5541" s="1"/>
      <c r="AC5541" s="1"/>
      <c r="AD5541" s="1"/>
      <c r="AE5541" s="1"/>
      <c r="AF5541" s="1"/>
      <c r="AG5541" s="1"/>
    </row>
    <row r="5542" ht="15.75" customHeight="1">
      <c r="A5542" s="1"/>
      <c r="B5542" s="1"/>
      <c r="C5542" s="1"/>
      <c r="D5542" s="1"/>
      <c r="E5542" s="1"/>
      <c r="F5542" s="1"/>
      <c r="G5542" s="1"/>
      <c r="H5542" s="1"/>
      <c r="I5542" s="1"/>
      <c r="J5542" s="1"/>
      <c r="K5542" s="102" t="s">
        <v>8647</v>
      </c>
      <c r="L5542" s="102" t="str">
        <f>E689</f>
        <v>J1a3b~</v>
      </c>
      <c r="M5542" s="102"/>
      <c r="N5542" s="102" t="s">
        <v>8648</v>
      </c>
      <c r="O5542" s="105">
        <v>2.8785461E7</v>
      </c>
      <c r="P5542" s="105">
        <v>2.6639314E7</v>
      </c>
      <c r="Q5542" s="102" t="s">
        <v>2439</v>
      </c>
      <c r="S5542" s="1"/>
      <c r="T5542" s="1"/>
      <c r="U5542" s="1"/>
      <c r="V5542" s="1"/>
      <c r="W5542" s="1"/>
      <c r="X5542" s="1"/>
      <c r="Y5542" s="1"/>
      <c r="AA5542" s="102"/>
      <c r="AB5542" s="1"/>
      <c r="AC5542" s="1"/>
      <c r="AD5542" s="1"/>
      <c r="AE5542" s="1"/>
      <c r="AF5542" s="1"/>
      <c r="AG5542" s="1"/>
    </row>
    <row r="5543" ht="15.75" customHeight="1">
      <c r="A5543" s="1"/>
      <c r="B5543" s="1"/>
      <c r="C5543" s="1"/>
      <c r="D5543" s="1"/>
      <c r="E5543" s="1"/>
      <c r="F5543" s="1"/>
      <c r="G5543" s="1"/>
      <c r="H5543" s="1"/>
      <c r="I5543" s="1"/>
      <c r="J5543" s="1"/>
      <c r="K5543" s="102" t="s">
        <v>8649</v>
      </c>
      <c r="L5543" s="102" t="str">
        <f>E689</f>
        <v>J1a3b~</v>
      </c>
      <c r="M5543" s="102"/>
      <c r="N5543" s="102"/>
      <c r="O5543" s="105">
        <v>1.4610389E7</v>
      </c>
      <c r="P5543" s="105">
        <v>1.2498591E7</v>
      </c>
      <c r="Q5543" s="102" t="s">
        <v>2563</v>
      </c>
      <c r="S5543" s="1"/>
      <c r="T5543" s="1"/>
      <c r="U5543" s="1"/>
      <c r="V5543" s="1"/>
      <c r="W5543" s="1"/>
      <c r="X5543" s="1"/>
      <c r="Y5543" s="1"/>
      <c r="AA5543" s="102"/>
      <c r="AB5543" s="1"/>
      <c r="AC5543" s="1"/>
      <c r="AD5543" s="1"/>
      <c r="AE5543" s="1"/>
      <c r="AF5543" s="1"/>
      <c r="AG5543" s="1"/>
    </row>
    <row r="5544" ht="15.75" customHeight="1">
      <c r="A5544" s="1"/>
      <c r="B5544" s="1"/>
      <c r="C5544" s="1"/>
      <c r="D5544" s="1"/>
      <c r="E5544" s="1"/>
      <c r="F5544" s="1"/>
      <c r="G5544" s="1"/>
      <c r="H5544" s="1"/>
      <c r="I5544" s="1"/>
      <c r="J5544" s="1"/>
      <c r="K5544" s="102" t="s">
        <v>8650</v>
      </c>
      <c r="L5544" s="102" t="str">
        <f>E689</f>
        <v>J1a3b~</v>
      </c>
      <c r="M5544" s="102"/>
      <c r="N5544" s="102" t="s">
        <v>8651</v>
      </c>
      <c r="O5544" s="105">
        <v>8571221.0</v>
      </c>
      <c r="P5544" s="105">
        <v>8703180.0</v>
      </c>
      <c r="Q5544" s="102" t="s">
        <v>2501</v>
      </c>
      <c r="S5544" s="1"/>
      <c r="T5544" s="1"/>
      <c r="U5544" s="1"/>
      <c r="V5544" s="1"/>
      <c r="W5544" s="1"/>
      <c r="X5544" s="1"/>
      <c r="Y5544" s="1"/>
      <c r="AA5544" s="102"/>
      <c r="AB5544" s="1"/>
      <c r="AC5544" s="1"/>
      <c r="AD5544" s="1"/>
      <c r="AE5544" s="1"/>
      <c r="AF5544" s="1"/>
      <c r="AG5544" s="1"/>
    </row>
    <row r="5545" ht="15.75" customHeight="1">
      <c r="A5545" s="1"/>
      <c r="B5545" s="1"/>
      <c r="C5545" s="1"/>
      <c r="D5545" s="1"/>
      <c r="E5545" s="1"/>
      <c r="F5545" s="1"/>
      <c r="G5545" s="1"/>
      <c r="H5545" s="1"/>
      <c r="I5545" s="1"/>
      <c r="J5545" s="1"/>
      <c r="K5545" s="102" t="s">
        <v>8652</v>
      </c>
      <c r="L5545" s="102" t="str">
        <f>E689</f>
        <v>J1a3b~</v>
      </c>
      <c r="M5545" s="102"/>
      <c r="N5545" s="102" t="s">
        <v>8653</v>
      </c>
      <c r="O5545" s="105">
        <v>7645781.0</v>
      </c>
      <c r="P5545" s="105">
        <v>7777740.0</v>
      </c>
      <c r="Q5545" s="102" t="s">
        <v>2468</v>
      </c>
      <c r="S5545" s="1"/>
      <c r="T5545" s="1"/>
      <c r="U5545" s="1"/>
      <c r="V5545" s="1"/>
      <c r="W5545" s="1"/>
      <c r="X5545" s="1"/>
      <c r="Y5545" s="1"/>
      <c r="AA5545" s="102"/>
      <c r="AB5545" s="1"/>
      <c r="AC5545" s="1"/>
      <c r="AD5545" s="1"/>
      <c r="AE5545" s="1"/>
      <c r="AF5545" s="1"/>
      <c r="AG5545" s="1"/>
    </row>
    <row r="5546" ht="15.75" customHeight="1">
      <c r="A5546" s="1"/>
      <c r="B5546" s="1"/>
      <c r="C5546" s="1"/>
      <c r="D5546" s="1"/>
      <c r="E5546" s="1"/>
      <c r="F5546" s="1"/>
      <c r="G5546" s="1"/>
      <c r="H5546" s="1"/>
      <c r="I5546" s="1"/>
      <c r="J5546" s="1"/>
      <c r="K5546" s="102" t="s">
        <v>8654</v>
      </c>
      <c r="L5546" s="102" t="str">
        <f>E689</f>
        <v>J1a3b~</v>
      </c>
      <c r="M5546" s="102"/>
      <c r="N5546" s="102"/>
      <c r="O5546" s="105">
        <v>7525969.0</v>
      </c>
      <c r="P5546" s="105">
        <v>7657928.0</v>
      </c>
      <c r="Q5546" s="102" t="s">
        <v>2468</v>
      </c>
      <c r="S5546" s="1"/>
      <c r="T5546" s="1"/>
      <c r="U5546" s="1"/>
      <c r="V5546" s="1"/>
      <c r="W5546" s="1"/>
      <c r="X5546" s="1"/>
      <c r="Y5546" s="1"/>
      <c r="AA5546" s="102"/>
      <c r="AB5546" s="1"/>
      <c r="AC5546" s="1"/>
      <c r="AD5546" s="1"/>
      <c r="AE5546" s="1"/>
      <c r="AF5546" s="1"/>
      <c r="AG5546" s="1"/>
    </row>
    <row r="5547" ht="15.75" customHeight="1">
      <c r="A5547" s="1"/>
      <c r="B5547" s="1"/>
      <c r="C5547" s="1"/>
      <c r="D5547" s="1"/>
      <c r="E5547" s="1"/>
      <c r="F5547" s="1"/>
      <c r="G5547" s="1"/>
      <c r="H5547" s="1"/>
      <c r="I5547" s="1"/>
      <c r="J5547" s="1"/>
      <c r="K5547" s="102" t="s">
        <v>8655</v>
      </c>
      <c r="L5547" s="102" t="str">
        <f>E689</f>
        <v>J1a3b~</v>
      </c>
      <c r="M5547" s="102"/>
      <c r="N5547" s="102" t="s">
        <v>8656</v>
      </c>
      <c r="O5547" s="105">
        <v>7750650.0</v>
      </c>
      <c r="P5547" s="105">
        <v>7882609.0</v>
      </c>
      <c r="Q5547" s="102" t="s">
        <v>2529</v>
      </c>
      <c r="S5547" s="1"/>
      <c r="T5547" s="1"/>
      <c r="U5547" s="1"/>
      <c r="V5547" s="1"/>
      <c r="W5547" s="1"/>
      <c r="X5547" s="1"/>
      <c r="Y5547" s="1"/>
      <c r="AA5547" s="102"/>
      <c r="AB5547" s="1"/>
      <c r="AC5547" s="1"/>
      <c r="AD5547" s="1"/>
      <c r="AE5547" s="1"/>
      <c r="AF5547" s="1"/>
      <c r="AG5547" s="1"/>
    </row>
    <row r="5548" ht="15.75" customHeight="1">
      <c r="A5548" s="1"/>
      <c r="B5548" s="1"/>
      <c r="C5548" s="1"/>
      <c r="D5548" s="1"/>
      <c r="E5548" s="1"/>
      <c r="F5548" s="1"/>
      <c r="G5548" s="1"/>
      <c r="H5548" s="1"/>
      <c r="I5548" s="1"/>
      <c r="J5548" s="1"/>
      <c r="K5548" s="102" t="s">
        <v>8657</v>
      </c>
      <c r="L5548" s="102" t="str">
        <f>E689</f>
        <v>J1a3b~</v>
      </c>
      <c r="M5548" s="102"/>
      <c r="N5548" s="102"/>
      <c r="O5548" s="105">
        <v>2.2033354E7</v>
      </c>
      <c r="P5548" s="105">
        <v>1.9871468E7</v>
      </c>
      <c r="Q5548" s="102" t="s">
        <v>2439</v>
      </c>
      <c r="S5548" s="1"/>
      <c r="T5548" s="1"/>
      <c r="U5548" s="1"/>
      <c r="V5548" s="1"/>
      <c r="W5548" s="1"/>
      <c r="X5548" s="1"/>
      <c r="Y5548" s="1"/>
      <c r="AA5548" s="102"/>
      <c r="AB5548" s="1"/>
      <c r="AC5548" s="1"/>
      <c r="AD5548" s="1"/>
      <c r="AE5548" s="1"/>
      <c r="AF5548" s="1"/>
      <c r="AG5548" s="1"/>
    </row>
    <row r="5549" ht="15.75" customHeight="1">
      <c r="A5549" s="1"/>
      <c r="B5549" s="1"/>
      <c r="C5549" s="1"/>
      <c r="D5549" s="1"/>
      <c r="E5549" s="1"/>
      <c r="F5549" s="1"/>
      <c r="G5549" s="1"/>
      <c r="H5549" s="1"/>
      <c r="I5549" s="1"/>
      <c r="J5549" s="1"/>
      <c r="K5549" s="102" t="s">
        <v>8658</v>
      </c>
      <c r="L5549" s="102" t="str">
        <f>E689</f>
        <v>J1a3b~</v>
      </c>
      <c r="M5549" s="102"/>
      <c r="N5549" s="102"/>
      <c r="O5549" s="105">
        <v>9444905.0</v>
      </c>
      <c r="P5549" s="105">
        <v>9607296.0</v>
      </c>
      <c r="Q5549" s="102" t="s">
        <v>2432</v>
      </c>
      <c r="S5549" s="1"/>
      <c r="T5549" s="1"/>
      <c r="U5549" s="1"/>
      <c r="V5549" s="1"/>
      <c r="W5549" s="1"/>
      <c r="X5549" s="1"/>
      <c r="Y5549" s="1"/>
      <c r="AA5549" s="102"/>
      <c r="AB5549" s="1"/>
      <c r="AC5549" s="1"/>
      <c r="AD5549" s="1"/>
      <c r="AE5549" s="1"/>
      <c r="AF5549" s="1"/>
      <c r="AG5549" s="1"/>
    </row>
    <row r="5550" ht="15.75" customHeight="1">
      <c r="A5550" s="1"/>
      <c r="B5550" s="1"/>
      <c r="C5550" s="1"/>
      <c r="D5550" s="1"/>
      <c r="E5550" s="1"/>
      <c r="F5550" s="1"/>
      <c r="G5550" s="1"/>
      <c r="H5550" s="1"/>
      <c r="I5550" s="1"/>
      <c r="J5550" s="1"/>
      <c r="K5550" s="102" t="s">
        <v>8659</v>
      </c>
      <c r="L5550" s="102" t="str">
        <f>E689</f>
        <v>J1a3b~</v>
      </c>
      <c r="M5550" s="102"/>
      <c r="N5550" s="102"/>
      <c r="O5550" s="105">
        <v>2.2951291E7</v>
      </c>
      <c r="P5550" s="105">
        <v>2.0789405E7</v>
      </c>
      <c r="Q5550" s="102" t="s">
        <v>2446</v>
      </c>
      <c r="S5550" s="1"/>
      <c r="T5550" s="1"/>
      <c r="U5550" s="1"/>
      <c r="V5550" s="1"/>
      <c r="W5550" s="1"/>
      <c r="X5550" s="1"/>
      <c r="Y5550" s="1"/>
      <c r="AA5550" s="102"/>
      <c r="AB5550" s="1"/>
      <c r="AC5550" s="1"/>
      <c r="AD5550" s="1"/>
      <c r="AE5550" s="1"/>
      <c r="AF5550" s="1"/>
      <c r="AG5550" s="1"/>
    </row>
    <row r="5551" ht="15.75" customHeight="1">
      <c r="A5551" s="1"/>
      <c r="B5551" s="1"/>
      <c r="C5551" s="1"/>
      <c r="D5551" s="1"/>
      <c r="E5551" s="1"/>
      <c r="F5551" s="1"/>
      <c r="G5551" s="1"/>
      <c r="H5551" s="1"/>
      <c r="I5551" s="1"/>
      <c r="J5551" s="1"/>
      <c r="K5551" s="102" t="s">
        <v>8660</v>
      </c>
      <c r="L5551" s="102" t="str">
        <f>E689</f>
        <v>J1a3b~</v>
      </c>
      <c r="M5551" s="102"/>
      <c r="N5551" s="102"/>
      <c r="O5551" s="105">
        <v>8016140.0</v>
      </c>
      <c r="P5551" s="105">
        <v>8148099.0</v>
      </c>
      <c r="Q5551" s="102" t="s">
        <v>2439</v>
      </c>
      <c r="S5551" s="1"/>
      <c r="T5551" s="1"/>
      <c r="U5551" s="1"/>
      <c r="V5551" s="1"/>
      <c r="W5551" s="1"/>
      <c r="X5551" s="1"/>
      <c r="Y5551" s="1"/>
      <c r="AA5551" s="102"/>
      <c r="AB5551" s="1"/>
      <c r="AC5551" s="1"/>
      <c r="AD5551" s="1"/>
      <c r="AE5551" s="1"/>
      <c r="AF5551" s="1"/>
      <c r="AG5551" s="1"/>
    </row>
    <row r="5552" ht="15.75" customHeight="1">
      <c r="A5552" s="1"/>
      <c r="B5552" s="1"/>
      <c r="C5552" s="1"/>
      <c r="D5552" s="1"/>
      <c r="E5552" s="1"/>
      <c r="F5552" s="1"/>
      <c r="G5552" s="1"/>
      <c r="H5552" s="1"/>
      <c r="I5552" s="1"/>
      <c r="J5552" s="1"/>
      <c r="K5552" s="102" t="s">
        <v>4064</v>
      </c>
      <c r="L5552" s="102" t="str">
        <f>E689</f>
        <v>J1a3b~</v>
      </c>
      <c r="M5552" s="102"/>
      <c r="N5552" s="102"/>
      <c r="O5552" s="105">
        <v>9145103.0</v>
      </c>
      <c r="P5552" s="105">
        <v>9307494.0</v>
      </c>
      <c r="Q5552" s="102" t="s">
        <v>2439</v>
      </c>
      <c r="S5552" s="1"/>
      <c r="T5552" s="1"/>
      <c r="U5552" s="1"/>
      <c r="V5552" s="1"/>
      <c r="W5552" s="1"/>
      <c r="X5552" s="1"/>
      <c r="Y5552" s="1"/>
      <c r="AA5552" s="102"/>
      <c r="AB5552" s="1"/>
      <c r="AC5552" s="1"/>
      <c r="AD5552" s="1"/>
      <c r="AE5552" s="1"/>
      <c r="AF5552" s="1"/>
      <c r="AG5552" s="1"/>
    </row>
    <row r="5553" ht="15.75" customHeight="1">
      <c r="A5553" s="1"/>
      <c r="B5553" s="1"/>
      <c r="C5553" s="1"/>
      <c r="D5553" s="1"/>
      <c r="E5553" s="1"/>
      <c r="F5553" s="1"/>
      <c r="G5553" s="1"/>
      <c r="H5553" s="1"/>
      <c r="I5553" s="1"/>
      <c r="J5553" s="1"/>
      <c r="K5553" s="102" t="s">
        <v>8661</v>
      </c>
      <c r="L5553" s="102" t="str">
        <f>F690</f>
        <v>J1a3b1~</v>
      </c>
      <c r="M5553" s="102"/>
      <c r="N5553" s="102" t="s">
        <v>8662</v>
      </c>
      <c r="O5553" s="105">
        <v>1.8947903E7</v>
      </c>
      <c r="P5553" s="105">
        <v>1.6836023E7</v>
      </c>
      <c r="Q5553" s="102" t="s">
        <v>2468</v>
      </c>
      <c r="S5553" s="1"/>
      <c r="T5553" s="1"/>
      <c r="U5553" s="1"/>
      <c r="V5553" s="1"/>
      <c r="W5553" s="1"/>
      <c r="X5553" s="1"/>
      <c r="Y5553" s="1"/>
      <c r="AA5553" s="102"/>
      <c r="AB5553" s="1"/>
      <c r="AC5553" s="1"/>
      <c r="AD5553" s="1"/>
      <c r="AE5553" s="1"/>
      <c r="AF5553" s="1"/>
      <c r="AG5553" s="1"/>
    </row>
    <row r="5554" ht="15.75" customHeight="1">
      <c r="A5554" s="1"/>
      <c r="B5554" s="1"/>
      <c r="C5554" s="1"/>
      <c r="D5554" s="1"/>
      <c r="E5554" s="1"/>
      <c r="F5554" s="1"/>
      <c r="G5554" s="1"/>
      <c r="H5554" s="1"/>
      <c r="I5554" s="1"/>
      <c r="J5554" s="1"/>
      <c r="K5554" s="102" t="s">
        <v>8663</v>
      </c>
      <c r="L5554" s="102" t="str">
        <f>F690</f>
        <v>J1a3b1~</v>
      </c>
      <c r="M5554" s="102"/>
      <c r="N5554" s="102"/>
      <c r="O5554" s="105">
        <v>1.7974095E7</v>
      </c>
      <c r="P5554" s="105">
        <v>1.5862215E7</v>
      </c>
      <c r="Q5554" s="102" t="s">
        <v>2533</v>
      </c>
      <c r="S5554" s="1"/>
      <c r="T5554" s="1"/>
      <c r="U5554" s="1"/>
      <c r="V5554" s="1"/>
      <c r="W5554" s="1"/>
      <c r="X5554" s="1"/>
      <c r="Y5554" s="1"/>
      <c r="AA5554" s="102"/>
      <c r="AB5554" s="1"/>
      <c r="AC5554" s="1"/>
      <c r="AD5554" s="1"/>
      <c r="AE5554" s="1"/>
      <c r="AF5554" s="1"/>
      <c r="AG5554" s="1"/>
    </row>
    <row r="5555" ht="15.75" customHeight="1">
      <c r="A5555" s="1"/>
      <c r="B5555" s="1"/>
      <c r="C5555" s="1"/>
      <c r="D5555" s="1"/>
      <c r="E5555" s="1"/>
      <c r="F5555" s="1"/>
      <c r="G5555" s="1"/>
      <c r="H5555" s="1"/>
      <c r="I5555" s="1"/>
      <c r="J5555" s="1"/>
      <c r="K5555" s="102" t="s">
        <v>8664</v>
      </c>
      <c r="L5555" s="102" t="str">
        <f>F690</f>
        <v>J1a3b1~</v>
      </c>
      <c r="M5555" s="102"/>
      <c r="N5555" s="102"/>
      <c r="O5555" s="105">
        <v>2681884.0</v>
      </c>
      <c r="P5555" s="105">
        <v>2813843.0</v>
      </c>
      <c r="Q5555" s="102" t="s">
        <v>2468</v>
      </c>
      <c r="S5555" s="1"/>
      <c r="T5555" s="1"/>
      <c r="U5555" s="1"/>
      <c r="V5555" s="1"/>
      <c r="W5555" s="1"/>
      <c r="X5555" s="1"/>
      <c r="Y5555" s="1"/>
      <c r="AA5555" s="102"/>
      <c r="AB5555" s="1"/>
      <c r="AC5555" s="1"/>
      <c r="AD5555" s="1"/>
      <c r="AE5555" s="1"/>
      <c r="AF5555" s="1"/>
      <c r="AG5555" s="1"/>
    </row>
    <row r="5556" ht="15.75" customHeight="1">
      <c r="A5556" s="1"/>
      <c r="B5556" s="1"/>
      <c r="C5556" s="1"/>
      <c r="D5556" s="1"/>
      <c r="E5556" s="1"/>
      <c r="F5556" s="1"/>
      <c r="G5556" s="1"/>
      <c r="H5556" s="1"/>
      <c r="I5556" s="1"/>
      <c r="J5556" s="1"/>
      <c r="K5556" s="102" t="s">
        <v>8665</v>
      </c>
      <c r="L5556" s="102" t="str">
        <f>F690</f>
        <v>J1a3b1~</v>
      </c>
      <c r="M5556" s="102"/>
      <c r="N5556" s="102" t="s">
        <v>8666</v>
      </c>
      <c r="O5556" s="105">
        <v>6845320.0</v>
      </c>
      <c r="P5556" s="105">
        <v>6977279.0</v>
      </c>
      <c r="Q5556" s="102" t="s">
        <v>2501</v>
      </c>
      <c r="S5556" s="1"/>
      <c r="T5556" s="1"/>
      <c r="U5556" s="1"/>
      <c r="V5556" s="1"/>
      <c r="W5556" s="1"/>
      <c r="X5556" s="1"/>
      <c r="Y5556" s="1"/>
      <c r="AA5556" s="102"/>
      <c r="AB5556" s="1"/>
      <c r="AC5556" s="1"/>
      <c r="AD5556" s="1"/>
      <c r="AE5556" s="1"/>
      <c r="AF5556" s="1"/>
      <c r="AG5556" s="1"/>
    </row>
    <row r="5557" ht="15.75" customHeight="1">
      <c r="A5557" s="1"/>
      <c r="B5557" s="1"/>
      <c r="C5557" s="1"/>
      <c r="D5557" s="1"/>
      <c r="E5557" s="1"/>
      <c r="F5557" s="1"/>
      <c r="G5557" s="1"/>
      <c r="H5557" s="1"/>
      <c r="I5557" s="1"/>
      <c r="J5557" s="1"/>
      <c r="K5557" s="102" t="s">
        <v>8667</v>
      </c>
      <c r="L5557" s="102" t="str">
        <f>F690</f>
        <v>J1a3b1~</v>
      </c>
      <c r="M5557" s="102"/>
      <c r="N5557" s="102" t="s">
        <v>8668</v>
      </c>
      <c r="O5557" s="105">
        <v>2.1653969E7</v>
      </c>
      <c r="P5557" s="105">
        <v>1.9492083E7</v>
      </c>
      <c r="Q5557" s="102" t="s">
        <v>2501</v>
      </c>
      <c r="S5557" s="1"/>
      <c r="T5557" s="1"/>
      <c r="U5557" s="1"/>
      <c r="V5557" s="1"/>
      <c r="W5557" s="1"/>
      <c r="X5557" s="1"/>
      <c r="Y5557" s="1"/>
      <c r="AA5557" s="102"/>
      <c r="AB5557" s="1"/>
      <c r="AC5557" s="1"/>
      <c r="AD5557" s="1"/>
      <c r="AE5557" s="1"/>
      <c r="AF5557" s="1"/>
      <c r="AG5557" s="1"/>
    </row>
    <row r="5558" ht="15.75" customHeight="1">
      <c r="A5558" s="1"/>
      <c r="B5558" s="1"/>
      <c r="C5558" s="1"/>
      <c r="D5558" s="1"/>
      <c r="E5558" s="1"/>
      <c r="F5558" s="1"/>
      <c r="G5558" s="1"/>
      <c r="H5558" s="1"/>
      <c r="I5558" s="1"/>
      <c r="J5558" s="1"/>
      <c r="K5558" s="102" t="s">
        <v>8669</v>
      </c>
      <c r="L5558" s="102" t="str">
        <f>C691</f>
        <v>J1b</v>
      </c>
      <c r="M5558" s="102"/>
      <c r="N5558" s="102" t="s">
        <v>8670</v>
      </c>
      <c r="O5558" s="105">
        <v>9835988.0</v>
      </c>
      <c r="P5558" s="105">
        <v>9998379.0</v>
      </c>
      <c r="Q5558" s="102" t="s">
        <v>2529</v>
      </c>
      <c r="S5558" s="1"/>
      <c r="T5558" s="1"/>
      <c r="U5558" s="1"/>
      <c r="V5558" s="1"/>
      <c r="W5558" s="1"/>
      <c r="X5558" s="1"/>
      <c r="Y5558" s="1"/>
      <c r="AA5558" s="102"/>
      <c r="AB5558" s="1"/>
      <c r="AC5558" s="1"/>
      <c r="AD5558" s="1"/>
      <c r="AE5558" s="1"/>
      <c r="AF5558" s="1"/>
      <c r="AG5558" s="1"/>
    </row>
    <row r="5559" ht="15.75" customHeight="1">
      <c r="A5559" s="1"/>
      <c r="B5559" s="1"/>
      <c r="C5559" s="1"/>
      <c r="D5559" s="1"/>
      <c r="E5559" s="1"/>
      <c r="F5559" s="1"/>
      <c r="G5559" s="1"/>
      <c r="H5559" s="1"/>
      <c r="I5559" s="1"/>
      <c r="J5559" s="1"/>
      <c r="K5559" s="106" t="s">
        <v>8671</v>
      </c>
      <c r="L5559" s="102" t="str">
        <f>C691</f>
        <v>J1b</v>
      </c>
      <c r="M5559" s="102" t="s">
        <v>8672</v>
      </c>
      <c r="N5559" s="102" t="s">
        <v>8673</v>
      </c>
      <c r="O5559" s="102">
        <v>8483229.0</v>
      </c>
      <c r="P5559" s="102">
        <v>8615188.0</v>
      </c>
      <c r="Q5559" s="102" t="s">
        <v>2439</v>
      </c>
      <c r="S5559" s="1"/>
      <c r="T5559" s="1"/>
      <c r="U5559" s="1"/>
      <c r="V5559" s="1"/>
      <c r="W5559" s="1"/>
      <c r="X5559" s="1"/>
      <c r="Y5559" s="1"/>
      <c r="AA5559" s="102"/>
      <c r="AB5559" s="1"/>
      <c r="AC5559" s="1"/>
      <c r="AD5559" s="1"/>
      <c r="AE5559" s="1"/>
      <c r="AF5559" s="1"/>
      <c r="AG5559" s="1"/>
    </row>
    <row r="5560" ht="15.75" customHeight="1">
      <c r="A5560" s="1"/>
      <c r="B5560" s="1"/>
      <c r="C5560" s="1"/>
      <c r="D5560" s="1"/>
      <c r="E5560" s="1"/>
      <c r="F5560" s="1"/>
      <c r="G5560" s="1"/>
      <c r="H5560" s="1"/>
      <c r="I5560" s="1"/>
      <c r="J5560" s="1"/>
      <c r="K5560" s="102" t="s">
        <v>8674</v>
      </c>
      <c r="L5560" s="102" t="str">
        <f>C691</f>
        <v>J1b</v>
      </c>
      <c r="M5560" s="106" t="s">
        <v>8675</v>
      </c>
      <c r="N5560" s="102" t="s">
        <v>8673</v>
      </c>
      <c r="O5560" s="102">
        <v>8483229.0</v>
      </c>
      <c r="P5560" s="102">
        <v>8615188.0</v>
      </c>
      <c r="Q5560" s="102" t="s">
        <v>2439</v>
      </c>
      <c r="S5560" s="1"/>
      <c r="T5560" s="1"/>
      <c r="U5560" s="1"/>
      <c r="V5560" s="1"/>
      <c r="W5560" s="1"/>
      <c r="X5560" s="1"/>
      <c r="Y5560" s="1"/>
      <c r="AA5560" s="102"/>
      <c r="AB5560" s="1"/>
      <c r="AC5560" s="1"/>
      <c r="AD5560" s="1"/>
      <c r="AE5560" s="1"/>
      <c r="AF5560" s="1"/>
      <c r="AG5560" s="1"/>
    </row>
    <row r="5561" ht="15.75" customHeight="1">
      <c r="A5561" s="1"/>
      <c r="B5561" s="1"/>
      <c r="C5561" s="1"/>
      <c r="D5561" s="1"/>
      <c r="E5561" s="1"/>
      <c r="F5561" s="1"/>
      <c r="G5561" s="1"/>
      <c r="H5561" s="1"/>
      <c r="I5561" s="1"/>
      <c r="J5561" s="1"/>
      <c r="K5561" s="102" t="s">
        <v>8676</v>
      </c>
      <c r="L5561" s="102" t="str">
        <f>C691</f>
        <v>J1b</v>
      </c>
      <c r="M5561" s="106" t="s">
        <v>8677</v>
      </c>
      <c r="N5561" s="102" t="s">
        <v>8673</v>
      </c>
      <c r="O5561" s="102">
        <v>8483229.0</v>
      </c>
      <c r="P5561" s="102">
        <v>8615188.0</v>
      </c>
      <c r="Q5561" s="102" t="s">
        <v>2439</v>
      </c>
      <c r="S5561" s="1"/>
      <c r="T5561" s="1"/>
      <c r="U5561" s="1"/>
      <c r="V5561" s="1"/>
      <c r="W5561" s="1"/>
      <c r="X5561" s="1"/>
      <c r="Y5561" s="1"/>
      <c r="AA5561" s="102"/>
      <c r="AB5561" s="1"/>
      <c r="AC5561" s="1"/>
      <c r="AD5561" s="1"/>
      <c r="AE5561" s="1"/>
      <c r="AF5561" s="1"/>
      <c r="AG5561" s="1"/>
    </row>
    <row r="5562" ht="15.75" customHeight="1">
      <c r="A5562" s="1"/>
      <c r="B5562" s="1"/>
      <c r="C5562" s="1"/>
      <c r="D5562" s="1"/>
      <c r="E5562" s="1"/>
      <c r="F5562" s="1"/>
      <c r="G5562" s="1"/>
      <c r="H5562" s="1"/>
      <c r="I5562" s="1"/>
      <c r="J5562" s="1"/>
      <c r="K5562" s="102" t="s">
        <v>8678</v>
      </c>
      <c r="L5562" s="102" t="str">
        <f>C691</f>
        <v>J1b</v>
      </c>
      <c r="M5562" s="106" t="s">
        <v>8679</v>
      </c>
      <c r="N5562" s="102" t="s">
        <v>8673</v>
      </c>
      <c r="O5562" s="102">
        <v>8483229.0</v>
      </c>
      <c r="P5562" s="102">
        <v>8615188.0</v>
      </c>
      <c r="Q5562" s="102" t="s">
        <v>2439</v>
      </c>
      <c r="S5562" s="1"/>
      <c r="T5562" s="1"/>
      <c r="U5562" s="1"/>
      <c r="V5562" s="1"/>
      <c r="W5562" s="1"/>
      <c r="X5562" s="1"/>
      <c r="Y5562" s="1"/>
      <c r="AA5562" s="102"/>
      <c r="AB5562" s="1"/>
      <c r="AC5562" s="1"/>
      <c r="AD5562" s="1"/>
      <c r="AE5562" s="1"/>
      <c r="AF5562" s="1"/>
      <c r="AG5562" s="1"/>
    </row>
    <row r="5563" ht="15.75" customHeight="1">
      <c r="A5563" s="1"/>
      <c r="B5563" s="1"/>
      <c r="C5563" s="1"/>
      <c r="D5563" s="1"/>
      <c r="E5563" s="1"/>
      <c r="F5563" s="1"/>
      <c r="G5563" s="1"/>
      <c r="H5563" s="1"/>
      <c r="I5563" s="1"/>
      <c r="J5563" s="1"/>
      <c r="K5563" s="102" t="s">
        <v>8680</v>
      </c>
      <c r="L5563" s="102" t="str">
        <f>C691</f>
        <v>J1b</v>
      </c>
      <c r="M5563" s="102" t="s">
        <v>8681</v>
      </c>
      <c r="N5563" s="102" t="s">
        <v>8682</v>
      </c>
      <c r="O5563" s="105">
        <v>1.4738001E7</v>
      </c>
      <c r="P5563" s="105">
        <v>1.2626069E7</v>
      </c>
      <c r="Q5563" s="102" t="s">
        <v>2439</v>
      </c>
      <c r="S5563" s="1"/>
      <c r="T5563" s="1"/>
      <c r="U5563" s="1"/>
      <c r="V5563" s="1"/>
      <c r="W5563" s="1"/>
      <c r="X5563" s="1"/>
      <c r="Y5563" s="1"/>
      <c r="AA5563" s="102"/>
      <c r="AB5563" s="1"/>
      <c r="AC5563" s="1"/>
      <c r="AD5563" s="1"/>
      <c r="AE5563" s="1"/>
      <c r="AF5563" s="1"/>
      <c r="AG5563" s="1"/>
    </row>
    <row r="5564" ht="15.75" customHeight="1">
      <c r="A5564" s="1"/>
      <c r="B5564" s="1"/>
      <c r="C5564" s="1"/>
      <c r="D5564" s="1"/>
      <c r="E5564" s="1"/>
      <c r="F5564" s="1"/>
      <c r="G5564" s="1"/>
      <c r="H5564" s="1"/>
      <c r="I5564" s="1"/>
      <c r="J5564" s="1"/>
      <c r="K5564" s="102" t="s">
        <v>8681</v>
      </c>
      <c r="L5564" s="102" t="str">
        <f>C691</f>
        <v>J1b</v>
      </c>
      <c r="M5564" s="102" t="s">
        <v>8680</v>
      </c>
      <c r="N5564" s="102" t="s">
        <v>8682</v>
      </c>
      <c r="O5564" s="105">
        <v>1.4738001E7</v>
      </c>
      <c r="P5564" s="105">
        <v>1.2626069E7</v>
      </c>
      <c r="Q5564" s="102" t="s">
        <v>2439</v>
      </c>
      <c r="S5564" s="1"/>
      <c r="T5564" s="1"/>
      <c r="U5564" s="1"/>
      <c r="V5564" s="1"/>
      <c r="W5564" s="1"/>
      <c r="X5564" s="1"/>
      <c r="Y5564" s="1"/>
      <c r="AA5564" s="102"/>
      <c r="AB5564" s="1"/>
      <c r="AC5564" s="1"/>
      <c r="AD5564" s="1"/>
      <c r="AE5564" s="1"/>
      <c r="AF5564" s="1"/>
      <c r="AG5564" s="1"/>
    </row>
    <row r="5565" ht="15.75" customHeight="1">
      <c r="A5565" s="1"/>
      <c r="B5565" s="1"/>
      <c r="C5565" s="1"/>
      <c r="D5565" s="1"/>
      <c r="E5565" s="1"/>
      <c r="F5565" s="1"/>
      <c r="G5565" s="1"/>
      <c r="H5565" s="1"/>
      <c r="I5565" s="1"/>
      <c r="J5565" s="1"/>
      <c r="K5565" s="102" t="s">
        <v>8683</v>
      </c>
      <c r="L5565" s="102" t="str">
        <f>C691</f>
        <v>J1b</v>
      </c>
      <c r="M5565" s="102" t="s">
        <v>8684</v>
      </c>
      <c r="N5565" s="102" t="s">
        <v>8685</v>
      </c>
      <c r="O5565" s="105">
        <v>1.644544E7</v>
      </c>
      <c r="P5565" s="105">
        <v>1.433356E7</v>
      </c>
      <c r="Q5565" s="102" t="s">
        <v>2468</v>
      </c>
      <c r="S5565" s="1"/>
      <c r="T5565" s="1"/>
      <c r="U5565" s="1"/>
      <c r="V5565" s="1"/>
      <c r="W5565" s="1"/>
      <c r="X5565" s="1"/>
      <c r="Y5565" s="1"/>
      <c r="AA5565" s="102"/>
      <c r="AB5565" s="1"/>
      <c r="AC5565" s="1"/>
      <c r="AD5565" s="1"/>
      <c r="AE5565" s="1"/>
      <c r="AF5565" s="1"/>
      <c r="AG5565" s="1"/>
    </row>
    <row r="5566" ht="15.75" customHeight="1">
      <c r="A5566" s="1"/>
      <c r="B5566" s="1"/>
      <c r="C5566" s="1"/>
      <c r="D5566" s="1"/>
      <c r="E5566" s="1"/>
      <c r="F5566" s="1"/>
      <c r="G5566" s="1"/>
      <c r="H5566" s="1"/>
      <c r="I5566" s="1"/>
      <c r="J5566" s="1"/>
      <c r="K5566" s="102" t="s">
        <v>8684</v>
      </c>
      <c r="L5566" s="102" t="str">
        <f>C691</f>
        <v>J1b</v>
      </c>
      <c r="M5566" s="102" t="s">
        <v>8683</v>
      </c>
      <c r="N5566" s="102" t="s">
        <v>8685</v>
      </c>
      <c r="O5566" s="105">
        <v>1.644544E7</v>
      </c>
      <c r="P5566" s="105">
        <v>1.433356E7</v>
      </c>
      <c r="Q5566" s="102" t="s">
        <v>2468</v>
      </c>
      <c r="S5566" s="1"/>
      <c r="T5566" s="1"/>
      <c r="U5566" s="1"/>
      <c r="V5566" s="1"/>
      <c r="W5566" s="1"/>
      <c r="X5566" s="1"/>
      <c r="Y5566" s="1"/>
      <c r="AA5566" s="102"/>
      <c r="AB5566" s="1"/>
      <c r="AC5566" s="1"/>
      <c r="AD5566" s="1"/>
      <c r="AE5566" s="1"/>
      <c r="AF5566" s="1"/>
      <c r="AG5566" s="1"/>
    </row>
    <row r="5567" ht="15.75" customHeight="1">
      <c r="A5567" s="1"/>
      <c r="B5567" s="1"/>
      <c r="C5567" s="1"/>
      <c r="D5567" s="1"/>
      <c r="E5567" s="1"/>
      <c r="F5567" s="1"/>
      <c r="G5567" s="1"/>
      <c r="H5567" s="1"/>
      <c r="I5567" s="1"/>
      <c r="J5567" s="1"/>
      <c r="K5567" s="102" t="s">
        <v>8686</v>
      </c>
      <c r="L5567" s="102" t="str">
        <f>C691</f>
        <v>J1b</v>
      </c>
      <c r="M5567" s="102" t="s">
        <v>8687</v>
      </c>
      <c r="N5567" s="102" t="s">
        <v>8688</v>
      </c>
      <c r="O5567" s="105">
        <v>2.1754053E7</v>
      </c>
      <c r="P5567" s="105">
        <v>1.9592167E7</v>
      </c>
      <c r="Q5567" s="102" t="s">
        <v>2501</v>
      </c>
      <c r="S5567" s="1"/>
      <c r="T5567" s="1"/>
      <c r="U5567" s="1"/>
      <c r="V5567" s="1"/>
      <c r="W5567" s="1"/>
      <c r="X5567" s="1"/>
      <c r="Y5567" s="1"/>
      <c r="AA5567" s="102"/>
      <c r="AB5567" s="1"/>
      <c r="AC5567" s="1"/>
      <c r="AD5567" s="1"/>
      <c r="AE5567" s="1"/>
      <c r="AF5567" s="1"/>
      <c r="AG5567" s="1"/>
    </row>
    <row r="5568" ht="15.75" customHeight="1">
      <c r="A5568" s="1"/>
      <c r="B5568" s="1"/>
      <c r="C5568" s="1"/>
      <c r="D5568" s="1"/>
      <c r="E5568" s="1"/>
      <c r="F5568" s="1"/>
      <c r="G5568" s="1"/>
      <c r="H5568" s="1"/>
      <c r="I5568" s="1"/>
      <c r="J5568" s="1"/>
      <c r="K5568" s="102" t="s">
        <v>8687</v>
      </c>
      <c r="L5568" s="102" t="str">
        <f>C691</f>
        <v>J1b</v>
      </c>
      <c r="M5568" s="102" t="s">
        <v>8686</v>
      </c>
      <c r="N5568" s="102" t="s">
        <v>8688</v>
      </c>
      <c r="O5568" s="105">
        <v>2.1754053E7</v>
      </c>
      <c r="P5568" s="105">
        <v>1.9592167E7</v>
      </c>
      <c r="Q5568" s="102" t="s">
        <v>2501</v>
      </c>
      <c r="S5568" s="1"/>
      <c r="T5568" s="1"/>
      <c r="U5568" s="1"/>
      <c r="V5568" s="1"/>
      <c r="W5568" s="1"/>
      <c r="X5568" s="1"/>
      <c r="Y5568" s="1"/>
      <c r="AA5568" s="102"/>
      <c r="AB5568" s="1"/>
      <c r="AC5568" s="1"/>
      <c r="AD5568" s="1"/>
      <c r="AE5568" s="1"/>
      <c r="AF5568" s="1"/>
      <c r="AG5568" s="1"/>
    </row>
    <row r="5569" ht="15.75" customHeight="1">
      <c r="A5569" s="1"/>
      <c r="B5569" s="1"/>
      <c r="C5569" s="1"/>
      <c r="D5569" s="1"/>
      <c r="E5569" s="1"/>
      <c r="F5569" s="1"/>
      <c r="G5569" s="1"/>
      <c r="H5569" s="1"/>
      <c r="I5569" s="1"/>
      <c r="J5569" s="1"/>
      <c r="K5569" s="102" t="s">
        <v>8689</v>
      </c>
      <c r="L5569" s="102" t="str">
        <f>C691</f>
        <v>J1b</v>
      </c>
      <c r="M5569" s="102"/>
      <c r="N5569" s="102"/>
      <c r="O5569" s="105">
        <v>1.8538386E7</v>
      </c>
      <c r="P5569" s="105">
        <v>1.6426506E7</v>
      </c>
      <c r="Q5569" s="102" t="s">
        <v>2529</v>
      </c>
      <c r="S5569" s="1"/>
      <c r="T5569" s="1"/>
      <c r="U5569" s="1"/>
      <c r="V5569" s="1"/>
      <c r="W5569" s="1"/>
      <c r="X5569" s="1"/>
      <c r="Y5569" s="1"/>
      <c r="AA5569" s="102"/>
      <c r="AB5569" s="1"/>
      <c r="AC5569" s="1"/>
      <c r="AD5569" s="1"/>
      <c r="AE5569" s="1"/>
      <c r="AF5569" s="1"/>
      <c r="AG5569" s="1"/>
    </row>
    <row r="5570" ht="15.75" customHeight="1">
      <c r="A5570" s="1"/>
      <c r="B5570" s="1"/>
      <c r="C5570" s="1"/>
      <c r="D5570" s="1"/>
      <c r="E5570" s="1"/>
      <c r="F5570" s="1"/>
      <c r="G5570" s="1"/>
      <c r="H5570" s="1"/>
      <c r="I5570" s="1"/>
      <c r="J5570" s="1"/>
      <c r="K5570" s="102" t="s">
        <v>8690</v>
      </c>
      <c r="L5570" s="102" t="str">
        <f>C691</f>
        <v>J1b</v>
      </c>
      <c r="M5570" s="102"/>
      <c r="N5570" s="102" t="s">
        <v>8691</v>
      </c>
      <c r="O5570" s="105">
        <v>2.1492032E7</v>
      </c>
      <c r="P5570" s="105">
        <v>1.9330146E7</v>
      </c>
      <c r="Q5570" s="102" t="s">
        <v>2446</v>
      </c>
      <c r="S5570" s="1"/>
      <c r="T5570" s="1"/>
      <c r="U5570" s="1"/>
      <c r="V5570" s="1"/>
      <c r="W5570" s="1"/>
      <c r="X5570" s="1"/>
      <c r="Y5570" s="1"/>
      <c r="AA5570" s="102"/>
      <c r="AB5570" s="1"/>
      <c r="AC5570" s="1"/>
      <c r="AD5570" s="1"/>
      <c r="AE5570" s="1"/>
      <c r="AF5570" s="1"/>
      <c r="AG5570" s="1"/>
    </row>
    <row r="5571" ht="15.75" customHeight="1">
      <c r="A5571" s="1"/>
      <c r="B5571" s="1"/>
      <c r="C5571" s="1"/>
      <c r="D5571" s="1"/>
      <c r="E5571" s="1"/>
      <c r="F5571" s="1"/>
      <c r="G5571" s="1"/>
      <c r="H5571" s="1"/>
      <c r="I5571" s="1"/>
      <c r="J5571" s="1"/>
      <c r="K5571" s="102" t="s">
        <v>8692</v>
      </c>
      <c r="L5571" s="102" t="str">
        <f>C691</f>
        <v>J1b</v>
      </c>
      <c r="M5571" s="102" t="s">
        <v>8693</v>
      </c>
      <c r="N5571" s="102" t="s">
        <v>8694</v>
      </c>
      <c r="O5571" s="105">
        <v>1.4183724E7</v>
      </c>
      <c r="P5571" s="105">
        <v>1.2063018E7</v>
      </c>
      <c r="Q5571" s="102" t="s">
        <v>2439</v>
      </c>
      <c r="S5571" s="1"/>
      <c r="T5571" s="1"/>
      <c r="U5571" s="1"/>
      <c r="V5571" s="1"/>
      <c r="W5571" s="1"/>
      <c r="X5571" s="1"/>
      <c r="Y5571" s="1"/>
      <c r="AA5571" s="102"/>
      <c r="AB5571" s="1"/>
      <c r="AC5571" s="1"/>
      <c r="AD5571" s="1"/>
      <c r="AE5571" s="1"/>
      <c r="AF5571" s="1"/>
      <c r="AG5571" s="1"/>
    </row>
    <row r="5572" ht="15.75" customHeight="1">
      <c r="A5572" s="1"/>
      <c r="B5572" s="1"/>
      <c r="C5572" s="1"/>
      <c r="D5572" s="1"/>
      <c r="E5572" s="1"/>
      <c r="F5572" s="1"/>
      <c r="G5572" s="1"/>
      <c r="H5572" s="1"/>
      <c r="I5572" s="1"/>
      <c r="J5572" s="1"/>
      <c r="K5572" s="102" t="s">
        <v>8695</v>
      </c>
      <c r="L5572" s="102" t="str">
        <f>C691</f>
        <v>J1b</v>
      </c>
      <c r="M5572" s="102" t="s">
        <v>8696</v>
      </c>
      <c r="N5572" s="102" t="s">
        <v>8694</v>
      </c>
      <c r="O5572" s="105">
        <v>1.4183724E7</v>
      </c>
      <c r="P5572" s="105">
        <v>1.2063018E7</v>
      </c>
      <c r="Q5572" s="102" t="s">
        <v>2439</v>
      </c>
      <c r="S5572" s="1"/>
      <c r="T5572" s="1"/>
      <c r="U5572" s="1"/>
      <c r="V5572" s="1"/>
      <c r="W5572" s="1"/>
      <c r="X5572" s="1"/>
      <c r="Y5572" s="1"/>
      <c r="AA5572" s="102"/>
      <c r="AB5572" s="1"/>
      <c r="AC5572" s="1"/>
      <c r="AD5572" s="1"/>
      <c r="AE5572" s="1"/>
      <c r="AF5572" s="1"/>
      <c r="AG5572" s="1"/>
    </row>
    <row r="5573" ht="15.75" customHeight="1">
      <c r="A5573" s="1"/>
      <c r="B5573" s="1"/>
      <c r="C5573" s="1"/>
      <c r="D5573" s="1"/>
      <c r="E5573" s="1"/>
      <c r="F5573" s="1"/>
      <c r="G5573" s="1"/>
      <c r="H5573" s="1"/>
      <c r="I5573" s="1"/>
      <c r="J5573" s="1"/>
      <c r="K5573" s="102" t="s">
        <v>8697</v>
      </c>
      <c r="L5573" s="102" t="str">
        <f>C691</f>
        <v>J1b</v>
      </c>
      <c r="M5573" s="102" t="s">
        <v>8698</v>
      </c>
      <c r="N5573" s="102" t="s">
        <v>8694</v>
      </c>
      <c r="O5573" s="105">
        <v>1.4183724E7</v>
      </c>
      <c r="P5573" s="105">
        <v>1.2063018E7</v>
      </c>
      <c r="Q5573" s="102" t="s">
        <v>2439</v>
      </c>
      <c r="S5573" s="1"/>
      <c r="T5573" s="1"/>
      <c r="U5573" s="1"/>
      <c r="V5573" s="1"/>
      <c r="W5573" s="1"/>
      <c r="X5573" s="1"/>
      <c r="Y5573" s="1"/>
      <c r="AA5573" s="102"/>
      <c r="AB5573" s="1"/>
      <c r="AC5573" s="1"/>
      <c r="AD5573" s="1"/>
      <c r="AE5573" s="1"/>
      <c r="AF5573" s="1"/>
      <c r="AG5573" s="1"/>
    </row>
    <row r="5574" ht="15.75" customHeight="1">
      <c r="A5574" s="1"/>
      <c r="B5574" s="1"/>
      <c r="C5574" s="1"/>
      <c r="D5574" s="1"/>
      <c r="E5574" s="1"/>
      <c r="F5574" s="1"/>
      <c r="G5574" s="1"/>
      <c r="H5574" s="1"/>
      <c r="I5574" s="1"/>
      <c r="J5574" s="1"/>
      <c r="K5574" s="102" t="s">
        <v>8699</v>
      </c>
      <c r="L5574" s="102" t="str">
        <f>C691</f>
        <v>J1b</v>
      </c>
      <c r="M5574" s="102"/>
      <c r="N5574" s="102"/>
      <c r="O5574" s="105">
        <v>1.3236889E7</v>
      </c>
      <c r="P5574" s="105">
        <v>1.1081213E7</v>
      </c>
      <c r="Q5574" s="102" t="s">
        <v>2529</v>
      </c>
      <c r="S5574" s="1"/>
      <c r="T5574" s="1"/>
      <c r="U5574" s="1"/>
      <c r="V5574" s="1"/>
      <c r="W5574" s="1"/>
      <c r="X5574" s="1"/>
      <c r="Y5574" s="1"/>
      <c r="AA5574" s="102"/>
      <c r="AB5574" s="1"/>
      <c r="AC5574" s="1"/>
      <c r="AD5574" s="1"/>
      <c r="AE5574" s="1"/>
      <c r="AF5574" s="1"/>
      <c r="AG5574" s="1"/>
    </row>
    <row r="5575" ht="15.75" customHeight="1">
      <c r="A5575" s="1"/>
      <c r="B5575" s="1"/>
      <c r="C5575" s="1"/>
      <c r="D5575" s="1"/>
      <c r="E5575" s="1"/>
      <c r="F5575" s="1"/>
      <c r="G5575" s="1"/>
      <c r="H5575" s="1"/>
      <c r="I5575" s="1"/>
      <c r="J5575" s="1"/>
      <c r="K5575" s="102" t="s">
        <v>8700</v>
      </c>
      <c r="L5575" s="102" t="str">
        <f>C691</f>
        <v>J1b</v>
      </c>
      <c r="M5575" s="102" t="s">
        <v>8701</v>
      </c>
      <c r="N5575" s="102" t="s">
        <v>8702</v>
      </c>
      <c r="O5575" s="105">
        <v>1.8590502E7</v>
      </c>
      <c r="P5575" s="105">
        <v>1.6478622E7</v>
      </c>
      <c r="Q5575" s="102" t="s">
        <v>2454</v>
      </c>
      <c r="S5575" s="1"/>
      <c r="T5575" s="1"/>
      <c r="U5575" s="1"/>
      <c r="V5575" s="1"/>
      <c r="W5575" s="1"/>
      <c r="X5575" s="1"/>
      <c r="Y5575" s="1"/>
      <c r="AA5575" s="102"/>
      <c r="AB5575" s="1"/>
      <c r="AC5575" s="1"/>
      <c r="AD5575" s="1"/>
      <c r="AE5575" s="1"/>
      <c r="AF5575" s="1"/>
      <c r="AG5575" s="1"/>
    </row>
    <row r="5576" ht="15.75" customHeight="1">
      <c r="A5576" s="1"/>
      <c r="B5576" s="1"/>
      <c r="C5576" s="1"/>
      <c r="D5576" s="1"/>
      <c r="E5576" s="1"/>
      <c r="F5576" s="1"/>
      <c r="G5576" s="1"/>
      <c r="H5576" s="1"/>
      <c r="I5576" s="1"/>
      <c r="J5576" s="1"/>
      <c r="K5576" s="102" t="s">
        <v>8703</v>
      </c>
      <c r="L5576" s="102" t="str">
        <f>C691</f>
        <v>J1b</v>
      </c>
      <c r="M5576" s="102" t="s">
        <v>8704</v>
      </c>
      <c r="N5576" s="102" t="s">
        <v>8702</v>
      </c>
      <c r="O5576" s="105">
        <v>1.8590502E7</v>
      </c>
      <c r="P5576" s="105">
        <v>1.6478622E7</v>
      </c>
      <c r="Q5576" s="102" t="s">
        <v>2454</v>
      </c>
      <c r="S5576" s="1"/>
      <c r="T5576" s="1"/>
      <c r="U5576" s="1"/>
      <c r="V5576" s="1"/>
      <c r="W5576" s="1"/>
      <c r="X5576" s="1"/>
      <c r="Y5576" s="1"/>
      <c r="AA5576" s="102"/>
      <c r="AB5576" s="1"/>
      <c r="AC5576" s="1"/>
      <c r="AD5576" s="1"/>
      <c r="AE5576" s="1"/>
      <c r="AF5576" s="1"/>
      <c r="AG5576" s="1"/>
    </row>
    <row r="5577" ht="15.75" customHeight="1">
      <c r="A5577" s="1"/>
      <c r="B5577" s="1"/>
      <c r="C5577" s="1"/>
      <c r="D5577" s="1"/>
      <c r="E5577" s="1"/>
      <c r="F5577" s="1"/>
      <c r="G5577" s="1"/>
      <c r="H5577" s="1"/>
      <c r="I5577" s="1"/>
      <c r="J5577" s="1"/>
      <c r="K5577" s="102" t="s">
        <v>8705</v>
      </c>
      <c r="L5577" s="102" t="str">
        <f>C691</f>
        <v>J1b</v>
      </c>
      <c r="M5577" s="102" t="s">
        <v>8706</v>
      </c>
      <c r="N5577" s="102" t="s">
        <v>8702</v>
      </c>
      <c r="O5577" s="105">
        <v>1.8590502E7</v>
      </c>
      <c r="P5577" s="105">
        <v>1.6478622E7</v>
      </c>
      <c r="Q5577" s="102" t="s">
        <v>2454</v>
      </c>
      <c r="S5577" s="1"/>
      <c r="T5577" s="1"/>
      <c r="U5577" s="1"/>
      <c r="V5577" s="1"/>
      <c r="W5577" s="1"/>
      <c r="X5577" s="1"/>
      <c r="Y5577" s="1"/>
      <c r="AA5577" s="102"/>
      <c r="AB5577" s="1"/>
      <c r="AC5577" s="1"/>
      <c r="AD5577" s="1"/>
      <c r="AE5577" s="1"/>
      <c r="AF5577" s="1"/>
      <c r="AG5577" s="1"/>
    </row>
    <row r="5578" ht="15.75" customHeight="1">
      <c r="A5578" s="1"/>
      <c r="B5578" s="1"/>
      <c r="C5578" s="1"/>
      <c r="D5578" s="1"/>
      <c r="E5578" s="1"/>
      <c r="F5578" s="1"/>
      <c r="G5578" s="1"/>
      <c r="H5578" s="1"/>
      <c r="I5578" s="1"/>
      <c r="J5578" s="1"/>
      <c r="K5578" s="102" t="s">
        <v>8707</v>
      </c>
      <c r="L5578" s="102" t="str">
        <f>C691</f>
        <v>J1b</v>
      </c>
      <c r="M5578" s="102" t="s">
        <v>8708</v>
      </c>
      <c r="N5578" s="102" t="s">
        <v>8709</v>
      </c>
      <c r="O5578" s="105">
        <v>1.4779839E7</v>
      </c>
      <c r="P5578" s="105">
        <v>1.2667909E7</v>
      </c>
      <c r="Q5578" s="102" t="s">
        <v>2468</v>
      </c>
      <c r="S5578" s="1"/>
      <c r="T5578" s="1"/>
      <c r="U5578" s="1"/>
      <c r="V5578" s="1"/>
      <c r="W5578" s="1"/>
      <c r="X5578" s="1"/>
      <c r="Y5578" s="1"/>
      <c r="AA5578" s="102"/>
      <c r="AB5578" s="1"/>
      <c r="AC5578" s="1"/>
      <c r="AD5578" s="1"/>
      <c r="AE5578" s="1"/>
      <c r="AF5578" s="1"/>
      <c r="AG5578" s="1"/>
    </row>
    <row r="5579" ht="15.75" customHeight="1">
      <c r="A5579" s="1"/>
      <c r="B5579" s="1"/>
      <c r="C5579" s="1"/>
      <c r="D5579" s="1"/>
      <c r="E5579" s="1"/>
      <c r="F5579" s="1"/>
      <c r="G5579" s="1"/>
      <c r="H5579" s="1"/>
      <c r="I5579" s="1"/>
      <c r="J5579" s="1"/>
      <c r="K5579" s="102" t="s">
        <v>8710</v>
      </c>
      <c r="L5579" s="102" t="str">
        <f>C691</f>
        <v>J1b</v>
      </c>
      <c r="M5579" s="102" t="s">
        <v>8711</v>
      </c>
      <c r="N5579" s="102" t="s">
        <v>8709</v>
      </c>
      <c r="O5579" s="105">
        <v>1.4779839E7</v>
      </c>
      <c r="P5579" s="105">
        <v>1.2667909E7</v>
      </c>
      <c r="Q5579" s="102" t="s">
        <v>2468</v>
      </c>
      <c r="S5579" s="1"/>
      <c r="T5579" s="1"/>
      <c r="U5579" s="1"/>
      <c r="V5579" s="1"/>
      <c r="W5579" s="1"/>
      <c r="X5579" s="1"/>
      <c r="Y5579" s="1"/>
      <c r="AA5579" s="102"/>
      <c r="AB5579" s="1"/>
      <c r="AC5579" s="1"/>
      <c r="AD5579" s="1"/>
      <c r="AE5579" s="1"/>
      <c r="AF5579" s="1"/>
      <c r="AG5579" s="1"/>
    </row>
    <row r="5580" ht="15.75" customHeight="1">
      <c r="A5580" s="1"/>
      <c r="B5580" s="1"/>
      <c r="C5580" s="1"/>
      <c r="D5580" s="1"/>
      <c r="E5580" s="1"/>
      <c r="F5580" s="1"/>
      <c r="G5580" s="1"/>
      <c r="H5580" s="1"/>
      <c r="I5580" s="1"/>
      <c r="J5580" s="1"/>
      <c r="K5580" s="102" t="s">
        <v>8712</v>
      </c>
      <c r="L5580" s="102" t="str">
        <f>C691</f>
        <v>J1b</v>
      </c>
      <c r="M5580" s="102" t="s">
        <v>8713</v>
      </c>
      <c r="N5580" s="102" t="s">
        <v>8709</v>
      </c>
      <c r="O5580" s="105">
        <v>1.4779839E7</v>
      </c>
      <c r="P5580" s="105">
        <v>1.2667909E7</v>
      </c>
      <c r="Q5580" s="102" t="s">
        <v>2468</v>
      </c>
      <c r="S5580" s="1"/>
      <c r="T5580" s="1"/>
      <c r="U5580" s="1"/>
      <c r="V5580" s="1"/>
      <c r="W5580" s="1"/>
      <c r="X5580" s="1"/>
      <c r="Y5580" s="1"/>
      <c r="AA5580" s="102"/>
      <c r="AB5580" s="1"/>
      <c r="AC5580" s="1"/>
      <c r="AD5580" s="1"/>
      <c r="AE5580" s="1"/>
      <c r="AF5580" s="1"/>
      <c r="AG5580" s="1"/>
    </row>
    <row r="5581" ht="15.75" customHeight="1">
      <c r="A5581" s="1"/>
      <c r="B5581" s="1"/>
      <c r="C5581" s="1"/>
      <c r="D5581" s="1"/>
      <c r="E5581" s="1"/>
      <c r="F5581" s="1"/>
      <c r="G5581" s="1"/>
      <c r="H5581" s="1"/>
      <c r="I5581" s="1"/>
      <c r="J5581" s="1"/>
      <c r="K5581" s="102" t="s">
        <v>8714</v>
      </c>
      <c r="L5581" s="102" t="str">
        <f>C691</f>
        <v>J1b</v>
      </c>
      <c r="M5581" s="102" t="s">
        <v>8715</v>
      </c>
      <c r="N5581" s="102" t="s">
        <v>8716</v>
      </c>
      <c r="O5581" s="105">
        <v>7302596.0</v>
      </c>
      <c r="P5581" s="105">
        <v>7434555.0</v>
      </c>
      <c r="Q5581" s="102" t="s">
        <v>2446</v>
      </c>
      <c r="S5581" s="1"/>
      <c r="T5581" s="1"/>
      <c r="U5581" s="1"/>
      <c r="V5581" s="1"/>
      <c r="W5581" s="1"/>
      <c r="X5581" s="1"/>
      <c r="Y5581" s="1"/>
      <c r="AA5581" s="102"/>
      <c r="AB5581" s="1"/>
      <c r="AC5581" s="1"/>
      <c r="AD5581" s="1"/>
      <c r="AE5581" s="1"/>
      <c r="AF5581" s="1"/>
      <c r="AG5581" s="1"/>
    </row>
    <row r="5582" ht="15.75" customHeight="1">
      <c r="A5582" s="1"/>
      <c r="B5582" s="1"/>
      <c r="C5582" s="1"/>
      <c r="D5582" s="1"/>
      <c r="E5582" s="1"/>
      <c r="F5582" s="1"/>
      <c r="G5582" s="1"/>
      <c r="H5582" s="1"/>
      <c r="I5582" s="1"/>
      <c r="J5582" s="1"/>
      <c r="K5582" s="102" t="s">
        <v>8717</v>
      </c>
      <c r="L5582" s="102" t="str">
        <f>C691</f>
        <v>J1b</v>
      </c>
      <c r="M5582" s="102" t="s">
        <v>8718</v>
      </c>
      <c r="N5582" s="102" t="s">
        <v>8716</v>
      </c>
      <c r="O5582" s="105">
        <v>7302596.0</v>
      </c>
      <c r="P5582" s="105">
        <v>7434555.0</v>
      </c>
      <c r="Q5582" s="102" t="s">
        <v>2446</v>
      </c>
      <c r="S5582" s="1"/>
      <c r="T5582" s="1"/>
      <c r="U5582" s="1"/>
      <c r="V5582" s="1"/>
      <c r="W5582" s="1"/>
      <c r="X5582" s="1"/>
      <c r="Y5582" s="1"/>
      <c r="AA5582" s="102"/>
      <c r="AB5582" s="1"/>
      <c r="AC5582" s="1"/>
      <c r="AD5582" s="1"/>
      <c r="AE5582" s="1"/>
      <c r="AF5582" s="1"/>
      <c r="AG5582" s="1"/>
    </row>
    <row r="5583" ht="15.75" customHeight="1">
      <c r="A5583" s="1"/>
      <c r="B5583" s="1"/>
      <c r="C5583" s="1"/>
      <c r="D5583" s="1"/>
      <c r="E5583" s="1"/>
      <c r="F5583" s="1"/>
      <c r="G5583" s="1"/>
      <c r="H5583" s="1"/>
      <c r="I5583" s="1"/>
      <c r="J5583" s="1"/>
      <c r="K5583" s="102" t="s">
        <v>8719</v>
      </c>
      <c r="L5583" s="102" t="str">
        <f>C691</f>
        <v>J1b</v>
      </c>
      <c r="M5583" s="102" t="s">
        <v>8720</v>
      </c>
      <c r="N5583" s="102" t="s">
        <v>8716</v>
      </c>
      <c r="O5583" s="105">
        <v>7302596.0</v>
      </c>
      <c r="P5583" s="105">
        <v>7434555.0</v>
      </c>
      <c r="Q5583" s="102" t="s">
        <v>2446</v>
      </c>
      <c r="S5583" s="1"/>
      <c r="T5583" s="1"/>
      <c r="U5583" s="1"/>
      <c r="V5583" s="1"/>
      <c r="W5583" s="1"/>
      <c r="X5583" s="1"/>
      <c r="Y5583" s="1"/>
      <c r="AA5583" s="102"/>
      <c r="AB5583" s="1"/>
      <c r="AC5583" s="1"/>
      <c r="AD5583" s="1"/>
      <c r="AE5583" s="1"/>
      <c r="AF5583" s="1"/>
      <c r="AG5583" s="1"/>
    </row>
    <row r="5584" ht="15.75" customHeight="1">
      <c r="A5584" s="1"/>
      <c r="B5584" s="1"/>
      <c r="C5584" s="1"/>
      <c r="D5584" s="1"/>
      <c r="E5584" s="1"/>
      <c r="F5584" s="1"/>
      <c r="G5584" s="1"/>
      <c r="H5584" s="1"/>
      <c r="I5584" s="1"/>
      <c r="J5584" s="1"/>
      <c r="K5584" s="102" t="s">
        <v>8721</v>
      </c>
      <c r="L5584" s="102" t="str">
        <f>C691</f>
        <v>J1b</v>
      </c>
      <c r="M5584" s="102" t="s">
        <v>8722</v>
      </c>
      <c r="N5584" s="102" t="s">
        <v>8723</v>
      </c>
      <c r="O5584" s="105">
        <v>2.4468458E7</v>
      </c>
      <c r="P5584" s="105">
        <v>2.2322311E7</v>
      </c>
      <c r="Q5584" s="102" t="s">
        <v>2468</v>
      </c>
      <c r="S5584" s="1"/>
      <c r="T5584" s="1"/>
      <c r="U5584" s="1"/>
      <c r="V5584" s="1"/>
      <c r="W5584" s="1"/>
      <c r="X5584" s="1"/>
      <c r="Y5584" s="1"/>
      <c r="AA5584" s="102"/>
      <c r="AB5584" s="1"/>
      <c r="AC5584" s="1"/>
      <c r="AD5584" s="1"/>
      <c r="AE5584" s="1"/>
      <c r="AF5584" s="1"/>
      <c r="AG5584" s="1"/>
    </row>
    <row r="5585" ht="15.75" customHeight="1">
      <c r="A5585" s="1"/>
      <c r="B5585" s="1"/>
      <c r="C5585" s="1"/>
      <c r="D5585" s="1"/>
      <c r="E5585" s="1"/>
      <c r="F5585" s="1"/>
      <c r="G5585" s="1"/>
      <c r="H5585" s="1"/>
      <c r="I5585" s="1"/>
      <c r="J5585" s="1"/>
      <c r="K5585" s="102" t="s">
        <v>8724</v>
      </c>
      <c r="L5585" s="102" t="str">
        <f>C691</f>
        <v>J1b</v>
      </c>
      <c r="M5585" s="102" t="s">
        <v>8725</v>
      </c>
      <c r="N5585" s="102" t="s">
        <v>8723</v>
      </c>
      <c r="O5585" s="105">
        <v>2.4468458E7</v>
      </c>
      <c r="P5585" s="105">
        <v>2.2322311E7</v>
      </c>
      <c r="Q5585" s="102" t="s">
        <v>2468</v>
      </c>
      <c r="S5585" s="1"/>
      <c r="T5585" s="1"/>
      <c r="U5585" s="1"/>
      <c r="V5585" s="1"/>
      <c r="W5585" s="1"/>
      <c r="X5585" s="1"/>
      <c r="Y5585" s="1"/>
      <c r="AA5585" s="102"/>
      <c r="AB5585" s="1"/>
      <c r="AC5585" s="1"/>
      <c r="AD5585" s="1"/>
      <c r="AE5585" s="1"/>
      <c r="AF5585" s="1"/>
      <c r="AG5585" s="1"/>
    </row>
    <row r="5586" ht="15.75" customHeight="1">
      <c r="A5586" s="1"/>
      <c r="B5586" s="1"/>
      <c r="C5586" s="1"/>
      <c r="D5586" s="1"/>
      <c r="E5586" s="1"/>
      <c r="F5586" s="1"/>
      <c r="G5586" s="1"/>
      <c r="H5586" s="1"/>
      <c r="I5586" s="1"/>
      <c r="J5586" s="1"/>
      <c r="K5586" s="102" t="s">
        <v>8726</v>
      </c>
      <c r="L5586" s="102" t="str">
        <f>C691</f>
        <v>J1b</v>
      </c>
      <c r="M5586" s="102" t="s">
        <v>8727</v>
      </c>
      <c r="N5586" s="102" t="s">
        <v>8723</v>
      </c>
      <c r="O5586" s="105">
        <v>2.4468458E7</v>
      </c>
      <c r="P5586" s="105">
        <v>2.2322311E7</v>
      </c>
      <c r="Q5586" s="102" t="s">
        <v>2468</v>
      </c>
      <c r="S5586" s="1"/>
      <c r="T5586" s="1"/>
      <c r="U5586" s="1"/>
      <c r="V5586" s="1"/>
      <c r="W5586" s="1"/>
      <c r="X5586" s="1"/>
      <c r="Y5586" s="1"/>
      <c r="AA5586" s="102"/>
      <c r="AB5586" s="1"/>
      <c r="AC5586" s="1"/>
      <c r="AD5586" s="1"/>
      <c r="AE5586" s="1"/>
      <c r="AF5586" s="1"/>
      <c r="AG5586" s="1"/>
    </row>
    <row r="5587" ht="15.75" customHeight="1">
      <c r="A5587" s="1"/>
      <c r="B5587" s="1"/>
      <c r="C5587" s="1"/>
      <c r="D5587" s="1"/>
      <c r="E5587" s="1"/>
      <c r="F5587" s="1"/>
      <c r="G5587" s="1"/>
      <c r="H5587" s="1"/>
      <c r="I5587" s="1"/>
      <c r="J5587" s="1"/>
      <c r="K5587" s="102" t="s">
        <v>8728</v>
      </c>
      <c r="L5587" s="102" t="str">
        <f>C691</f>
        <v>J1b</v>
      </c>
      <c r="M5587" s="102" t="s">
        <v>8729</v>
      </c>
      <c r="N5587" s="102" t="s">
        <v>8730</v>
      </c>
      <c r="O5587" s="105">
        <v>1.7351184E7</v>
      </c>
      <c r="P5587" s="105">
        <v>1.5239304E7</v>
      </c>
      <c r="Q5587" s="102" t="s">
        <v>2439</v>
      </c>
      <c r="S5587" s="1"/>
      <c r="T5587" s="1"/>
      <c r="U5587" s="1"/>
      <c r="V5587" s="1"/>
      <c r="W5587" s="1"/>
      <c r="X5587" s="1"/>
      <c r="Y5587" s="1"/>
      <c r="AA5587" s="102"/>
      <c r="AB5587" s="1"/>
      <c r="AC5587" s="1"/>
      <c r="AD5587" s="1"/>
      <c r="AE5587" s="1"/>
      <c r="AF5587" s="1"/>
      <c r="AG5587" s="1"/>
    </row>
    <row r="5588" ht="15.75" customHeight="1">
      <c r="A5588" s="1"/>
      <c r="B5588" s="1"/>
      <c r="C5588" s="1"/>
      <c r="D5588" s="1"/>
      <c r="E5588" s="1"/>
      <c r="F5588" s="1"/>
      <c r="G5588" s="1"/>
      <c r="H5588" s="1"/>
      <c r="I5588" s="1"/>
      <c r="J5588" s="1"/>
      <c r="K5588" s="102" t="s">
        <v>8731</v>
      </c>
      <c r="L5588" s="102" t="str">
        <f>C691</f>
        <v>J1b</v>
      </c>
      <c r="M5588" s="102" t="s">
        <v>8732</v>
      </c>
      <c r="N5588" s="102" t="s">
        <v>8730</v>
      </c>
      <c r="O5588" s="105">
        <v>1.7351184E7</v>
      </c>
      <c r="P5588" s="105">
        <v>1.5239304E7</v>
      </c>
      <c r="Q5588" s="102" t="s">
        <v>2439</v>
      </c>
      <c r="S5588" s="1"/>
      <c r="T5588" s="1"/>
      <c r="U5588" s="1"/>
      <c r="V5588" s="1"/>
      <c r="W5588" s="1"/>
      <c r="X5588" s="1"/>
      <c r="Y5588" s="1"/>
      <c r="AA5588" s="102"/>
      <c r="AB5588" s="1"/>
      <c r="AC5588" s="1"/>
      <c r="AD5588" s="1"/>
      <c r="AE5588" s="1"/>
      <c r="AF5588" s="1"/>
      <c r="AG5588" s="1"/>
    </row>
    <row r="5589" ht="15.75" customHeight="1">
      <c r="A5589" s="1"/>
      <c r="B5589" s="1"/>
      <c r="C5589" s="1"/>
      <c r="D5589" s="1"/>
      <c r="E5589" s="1"/>
      <c r="F5589" s="1"/>
      <c r="G5589" s="1"/>
      <c r="H5589" s="1"/>
      <c r="I5589" s="1"/>
      <c r="J5589" s="1"/>
      <c r="K5589" s="102" t="s">
        <v>8733</v>
      </c>
      <c r="L5589" s="102" t="str">
        <f>C691</f>
        <v>J1b</v>
      </c>
      <c r="M5589" s="102" t="s">
        <v>8734</v>
      </c>
      <c r="N5589" s="102" t="s">
        <v>8730</v>
      </c>
      <c r="O5589" s="105">
        <v>1.7351184E7</v>
      </c>
      <c r="P5589" s="105">
        <v>1.5239304E7</v>
      </c>
      <c r="Q5589" s="102" t="s">
        <v>2439</v>
      </c>
      <c r="S5589" s="1"/>
      <c r="T5589" s="1"/>
      <c r="U5589" s="1"/>
      <c r="V5589" s="1"/>
      <c r="W5589" s="1"/>
      <c r="X5589" s="1"/>
      <c r="Y5589" s="1"/>
      <c r="AA5589" s="102"/>
      <c r="AB5589" s="1"/>
      <c r="AC5589" s="1"/>
      <c r="AD5589" s="1"/>
      <c r="AE5589" s="1"/>
      <c r="AF5589" s="1"/>
      <c r="AG5589" s="1"/>
    </row>
    <row r="5590" ht="15.75" customHeight="1">
      <c r="A5590" s="1"/>
      <c r="B5590" s="1"/>
      <c r="C5590" s="1"/>
      <c r="D5590" s="1"/>
      <c r="E5590" s="1"/>
      <c r="F5590" s="1"/>
      <c r="G5590" s="1"/>
      <c r="H5590" s="1"/>
      <c r="I5590" s="1"/>
      <c r="J5590" s="1"/>
      <c r="K5590" s="102" t="s">
        <v>8735</v>
      </c>
      <c r="L5590" s="102" t="str">
        <f>C691</f>
        <v>J1b</v>
      </c>
      <c r="M5590" s="102" t="s">
        <v>8736</v>
      </c>
      <c r="N5590" s="102"/>
      <c r="O5590" s="102">
        <v>2.365076E7</v>
      </c>
      <c r="P5590" s="102">
        <v>2.1488874E7</v>
      </c>
      <c r="Q5590" s="102" t="s">
        <v>2468</v>
      </c>
      <c r="S5590" s="1"/>
      <c r="T5590" s="1"/>
      <c r="U5590" s="1"/>
      <c r="V5590" s="1"/>
      <c r="W5590" s="1"/>
      <c r="X5590" s="1"/>
      <c r="Y5590" s="1"/>
      <c r="AA5590" s="102"/>
      <c r="AB5590" s="1"/>
      <c r="AC5590" s="1"/>
      <c r="AD5590" s="1"/>
      <c r="AE5590" s="1"/>
      <c r="AF5590" s="1"/>
      <c r="AG5590" s="1"/>
    </row>
    <row r="5591" ht="15.75" customHeight="1">
      <c r="A5591" s="1"/>
      <c r="B5591" s="1"/>
      <c r="C5591" s="1"/>
      <c r="D5591" s="1"/>
      <c r="E5591" s="1"/>
      <c r="F5591" s="1"/>
      <c r="G5591" s="1"/>
      <c r="H5591" s="1"/>
      <c r="I5591" s="1"/>
      <c r="J5591" s="1"/>
      <c r="K5591" s="102" t="s">
        <v>8737</v>
      </c>
      <c r="L5591" s="102" t="str">
        <f>C691</f>
        <v>J1b</v>
      </c>
      <c r="M5591" s="102" t="s">
        <v>8738</v>
      </c>
      <c r="N5591" s="102"/>
      <c r="O5591" s="102">
        <v>2.365076E7</v>
      </c>
      <c r="P5591" s="102">
        <v>2.1488874E7</v>
      </c>
      <c r="Q5591" s="102" t="s">
        <v>2468</v>
      </c>
      <c r="S5591" s="1"/>
      <c r="T5591" s="1"/>
      <c r="U5591" s="1"/>
      <c r="V5591" s="1"/>
      <c r="W5591" s="1"/>
      <c r="X5591" s="1"/>
      <c r="Y5591" s="1"/>
      <c r="AA5591" s="102"/>
      <c r="AB5591" s="1"/>
      <c r="AC5591" s="1"/>
      <c r="AD5591" s="1"/>
      <c r="AE5591" s="1"/>
      <c r="AF5591" s="1"/>
      <c r="AG5591" s="1"/>
    </row>
    <row r="5592" ht="15.75" customHeight="1">
      <c r="A5592" s="1"/>
      <c r="B5592" s="1"/>
      <c r="C5592" s="1"/>
      <c r="D5592" s="1"/>
      <c r="E5592" s="1"/>
      <c r="F5592" s="1"/>
      <c r="G5592" s="1"/>
      <c r="H5592" s="1"/>
      <c r="I5592" s="1"/>
      <c r="J5592" s="1"/>
      <c r="K5592" s="102" t="s">
        <v>8739</v>
      </c>
      <c r="L5592" s="102" t="str">
        <f>C691</f>
        <v>J1b</v>
      </c>
      <c r="M5592" s="102" t="s">
        <v>8740</v>
      </c>
      <c r="N5592" s="102"/>
      <c r="O5592" s="102">
        <v>2.365076E7</v>
      </c>
      <c r="P5592" s="102">
        <v>2.1488874E7</v>
      </c>
      <c r="Q5592" s="102" t="s">
        <v>2468</v>
      </c>
      <c r="S5592" s="1"/>
      <c r="T5592" s="1"/>
      <c r="U5592" s="1"/>
      <c r="V5592" s="1"/>
      <c r="W5592" s="1"/>
      <c r="X5592" s="1"/>
      <c r="Y5592" s="1"/>
      <c r="AA5592" s="102"/>
      <c r="AB5592" s="1"/>
      <c r="AC5592" s="1"/>
      <c r="AD5592" s="1"/>
      <c r="AE5592" s="1"/>
      <c r="AF5592" s="1"/>
      <c r="AG5592" s="1"/>
    </row>
    <row r="5593" ht="15.75" customHeight="1">
      <c r="A5593" s="1"/>
      <c r="B5593" s="1"/>
      <c r="C5593" s="1"/>
      <c r="D5593" s="1"/>
      <c r="E5593" s="1"/>
      <c r="F5593" s="1"/>
      <c r="G5593" s="1"/>
      <c r="H5593" s="1"/>
      <c r="I5593" s="1"/>
      <c r="J5593" s="1"/>
      <c r="K5593" s="102" t="s">
        <v>8741</v>
      </c>
      <c r="L5593" s="102" t="str">
        <f>C691</f>
        <v>J1b</v>
      </c>
      <c r="M5593" s="102" t="s">
        <v>8742</v>
      </c>
      <c r="N5593" s="102" t="s">
        <v>8743</v>
      </c>
      <c r="O5593" s="105">
        <v>1.8817411E7</v>
      </c>
      <c r="P5593" s="105">
        <v>1.6705531E7</v>
      </c>
      <c r="Q5593" s="102" t="s">
        <v>2439</v>
      </c>
      <c r="S5593" s="1"/>
      <c r="T5593" s="1"/>
      <c r="U5593" s="1"/>
      <c r="V5593" s="1"/>
      <c r="W5593" s="1"/>
      <c r="X5593" s="1"/>
      <c r="Y5593" s="1"/>
      <c r="AA5593" s="102"/>
      <c r="AB5593" s="1"/>
      <c r="AC5593" s="1"/>
      <c r="AD5593" s="1"/>
      <c r="AE5593" s="1"/>
      <c r="AF5593" s="1"/>
      <c r="AG5593" s="1"/>
    </row>
    <row r="5594" ht="15.75" customHeight="1">
      <c r="A5594" s="1"/>
      <c r="B5594" s="1"/>
      <c r="C5594" s="1"/>
      <c r="D5594" s="1"/>
      <c r="E5594" s="1"/>
      <c r="F5594" s="1"/>
      <c r="G5594" s="1"/>
      <c r="H5594" s="1"/>
      <c r="I5594" s="1"/>
      <c r="J5594" s="1"/>
      <c r="K5594" s="102" t="s">
        <v>8742</v>
      </c>
      <c r="L5594" s="102" t="str">
        <f>C691</f>
        <v>J1b</v>
      </c>
      <c r="M5594" s="102" t="s">
        <v>8741</v>
      </c>
      <c r="N5594" s="102" t="s">
        <v>8743</v>
      </c>
      <c r="O5594" s="105">
        <v>1.8817411E7</v>
      </c>
      <c r="P5594" s="105">
        <v>1.6705531E7</v>
      </c>
      <c r="Q5594" s="102" t="s">
        <v>2439</v>
      </c>
      <c r="S5594" s="1"/>
      <c r="T5594" s="1"/>
      <c r="U5594" s="1"/>
      <c r="V5594" s="1"/>
      <c r="W5594" s="1"/>
      <c r="X5594" s="1"/>
      <c r="Y5594" s="1"/>
      <c r="AA5594" s="102"/>
      <c r="AB5594" s="1"/>
      <c r="AC5594" s="1"/>
      <c r="AD5594" s="1"/>
      <c r="AE5594" s="1"/>
      <c r="AF5594" s="1"/>
      <c r="AG5594" s="1"/>
    </row>
    <row r="5595" ht="15.75" customHeight="1">
      <c r="A5595" s="1"/>
      <c r="B5595" s="1"/>
      <c r="C5595" s="1"/>
      <c r="D5595" s="1"/>
      <c r="E5595" s="1"/>
      <c r="F5595" s="1"/>
      <c r="G5595" s="1"/>
      <c r="H5595" s="1"/>
      <c r="I5595" s="1"/>
      <c r="J5595" s="1"/>
      <c r="K5595" s="102" t="s">
        <v>8744</v>
      </c>
      <c r="L5595" s="102" t="str">
        <f>C691</f>
        <v>J1b</v>
      </c>
      <c r="M5595" s="102" t="s">
        <v>8745</v>
      </c>
      <c r="N5595" s="102" t="s">
        <v>8746</v>
      </c>
      <c r="O5595" s="102">
        <v>1.741087E7</v>
      </c>
      <c r="P5595" s="102">
        <v>1.529899E7</v>
      </c>
      <c r="Q5595" s="102" t="s">
        <v>2501</v>
      </c>
      <c r="S5595" s="1"/>
      <c r="T5595" s="1"/>
      <c r="U5595" s="1"/>
      <c r="V5595" s="1"/>
      <c r="W5595" s="1"/>
      <c r="X5595" s="1"/>
      <c r="Y5595" s="1"/>
      <c r="AA5595" s="102"/>
      <c r="AB5595" s="1"/>
      <c r="AC5595" s="1"/>
      <c r="AD5595" s="1"/>
      <c r="AE5595" s="1"/>
      <c r="AF5595" s="1"/>
      <c r="AG5595" s="1"/>
    </row>
    <row r="5596" ht="15.75" customHeight="1">
      <c r="A5596" s="1"/>
      <c r="B5596" s="1"/>
      <c r="C5596" s="1"/>
      <c r="D5596" s="1"/>
      <c r="E5596" s="1"/>
      <c r="F5596" s="1"/>
      <c r="G5596" s="1"/>
      <c r="H5596" s="1"/>
      <c r="I5596" s="1"/>
      <c r="J5596" s="1"/>
      <c r="K5596" s="102" t="s">
        <v>8747</v>
      </c>
      <c r="L5596" s="102" t="str">
        <f>C691</f>
        <v>J1b</v>
      </c>
      <c r="M5596" s="102" t="s">
        <v>8748</v>
      </c>
      <c r="N5596" s="102" t="s">
        <v>8746</v>
      </c>
      <c r="O5596" s="102">
        <v>1.741087E7</v>
      </c>
      <c r="P5596" s="102">
        <v>1.529899E7</v>
      </c>
      <c r="Q5596" s="102" t="s">
        <v>2501</v>
      </c>
      <c r="S5596" s="1"/>
      <c r="T5596" s="1"/>
      <c r="U5596" s="1"/>
      <c r="V5596" s="1"/>
      <c r="W5596" s="1"/>
      <c r="X5596" s="1"/>
      <c r="Y5596" s="1"/>
      <c r="AA5596" s="102"/>
      <c r="AB5596" s="1"/>
      <c r="AC5596" s="1"/>
      <c r="AD5596" s="1"/>
      <c r="AE5596" s="1"/>
      <c r="AF5596" s="1"/>
      <c r="AG5596" s="1"/>
    </row>
    <row r="5597" ht="15.75" customHeight="1">
      <c r="A5597" s="1"/>
      <c r="B5597" s="1"/>
      <c r="C5597" s="1"/>
      <c r="D5597" s="1"/>
      <c r="E5597" s="1"/>
      <c r="F5597" s="1"/>
      <c r="G5597" s="1"/>
      <c r="H5597" s="1"/>
      <c r="I5597" s="1"/>
      <c r="J5597" s="1"/>
      <c r="K5597" s="102" t="s">
        <v>8749</v>
      </c>
      <c r="L5597" s="102" t="str">
        <f>C691</f>
        <v>J1b</v>
      </c>
      <c r="M5597" s="102" t="s">
        <v>8750</v>
      </c>
      <c r="N5597" s="102" t="s">
        <v>8746</v>
      </c>
      <c r="O5597" s="102">
        <v>1.741087E7</v>
      </c>
      <c r="P5597" s="102">
        <v>1.529899E7</v>
      </c>
      <c r="Q5597" s="102" t="s">
        <v>2501</v>
      </c>
      <c r="S5597" s="1"/>
      <c r="T5597" s="1"/>
      <c r="U5597" s="1"/>
      <c r="V5597" s="1"/>
      <c r="W5597" s="1"/>
      <c r="X5597" s="1"/>
      <c r="Y5597" s="1"/>
      <c r="AA5597" s="102"/>
      <c r="AB5597" s="1"/>
      <c r="AC5597" s="1"/>
      <c r="AD5597" s="1"/>
      <c r="AE5597" s="1"/>
      <c r="AF5597" s="1"/>
      <c r="AG5597" s="1"/>
    </row>
    <row r="5598" ht="15.75" customHeight="1">
      <c r="A5598" s="1"/>
      <c r="B5598" s="1"/>
      <c r="C5598" s="1"/>
      <c r="D5598" s="1"/>
      <c r="E5598" s="1"/>
      <c r="F5598" s="1"/>
      <c r="G5598" s="1"/>
      <c r="H5598" s="1"/>
      <c r="I5598" s="1"/>
      <c r="J5598" s="1"/>
      <c r="K5598" s="102" t="s">
        <v>8751</v>
      </c>
      <c r="L5598" s="102" t="str">
        <f>C691</f>
        <v>J1b</v>
      </c>
      <c r="M5598" s="102" t="s">
        <v>8752</v>
      </c>
      <c r="N5598" s="102" t="s">
        <v>8753</v>
      </c>
      <c r="O5598" s="105">
        <v>1.4478353E7</v>
      </c>
      <c r="P5598" s="105">
        <v>1.2357622E7</v>
      </c>
      <c r="Q5598" s="102" t="s">
        <v>2439</v>
      </c>
      <c r="S5598" s="1"/>
      <c r="T5598" s="1"/>
      <c r="U5598" s="1"/>
      <c r="V5598" s="1"/>
      <c r="W5598" s="1"/>
      <c r="X5598" s="1"/>
      <c r="Y5598" s="1"/>
      <c r="AA5598" s="102"/>
      <c r="AB5598" s="1"/>
      <c r="AC5598" s="1"/>
      <c r="AD5598" s="1"/>
      <c r="AE5598" s="1"/>
      <c r="AF5598" s="1"/>
      <c r="AG5598" s="1"/>
    </row>
    <row r="5599" ht="15.75" customHeight="1">
      <c r="A5599" s="1"/>
      <c r="B5599" s="1"/>
      <c r="C5599" s="1"/>
      <c r="D5599" s="1"/>
      <c r="E5599" s="1"/>
      <c r="F5599" s="1"/>
      <c r="G5599" s="1"/>
      <c r="H5599" s="1"/>
      <c r="I5599" s="1"/>
      <c r="J5599" s="1"/>
      <c r="K5599" s="102" t="s">
        <v>8754</v>
      </c>
      <c r="L5599" s="102" t="str">
        <f>C691</f>
        <v>J1b</v>
      </c>
      <c r="M5599" s="102" t="s">
        <v>8755</v>
      </c>
      <c r="N5599" s="102" t="s">
        <v>8753</v>
      </c>
      <c r="O5599" s="105">
        <v>1.4478353E7</v>
      </c>
      <c r="P5599" s="105">
        <v>1.2357622E7</v>
      </c>
      <c r="Q5599" s="102" t="s">
        <v>2439</v>
      </c>
      <c r="S5599" s="1"/>
      <c r="T5599" s="1"/>
      <c r="U5599" s="1"/>
      <c r="V5599" s="1"/>
      <c r="W5599" s="1"/>
      <c r="X5599" s="1"/>
      <c r="Y5599" s="1"/>
      <c r="AA5599" s="102"/>
      <c r="AB5599" s="1"/>
      <c r="AC5599" s="1"/>
      <c r="AD5599" s="1"/>
      <c r="AE5599" s="1"/>
      <c r="AF5599" s="1"/>
      <c r="AG5599" s="1"/>
    </row>
    <row r="5600" ht="15.75" customHeight="1">
      <c r="A5600" s="1"/>
      <c r="B5600" s="1"/>
      <c r="C5600" s="1"/>
      <c r="D5600" s="1"/>
      <c r="E5600" s="1"/>
      <c r="F5600" s="1"/>
      <c r="G5600" s="1"/>
      <c r="H5600" s="1"/>
      <c r="I5600" s="1"/>
      <c r="J5600" s="1"/>
      <c r="K5600" s="102" t="s">
        <v>8756</v>
      </c>
      <c r="L5600" s="102" t="str">
        <f>C691</f>
        <v>J1b</v>
      </c>
      <c r="M5600" s="102" t="s">
        <v>8757</v>
      </c>
      <c r="N5600" s="102" t="s">
        <v>8753</v>
      </c>
      <c r="O5600" s="105">
        <v>1.4478353E7</v>
      </c>
      <c r="P5600" s="105">
        <v>1.2357622E7</v>
      </c>
      <c r="Q5600" s="102" t="s">
        <v>2439</v>
      </c>
      <c r="S5600" s="1"/>
      <c r="T5600" s="1"/>
      <c r="U5600" s="1"/>
      <c r="V5600" s="1"/>
      <c r="W5600" s="1"/>
      <c r="X5600" s="1"/>
      <c r="Y5600" s="1"/>
      <c r="AA5600" s="102"/>
      <c r="AB5600" s="1"/>
      <c r="AC5600" s="1"/>
      <c r="AD5600" s="1"/>
      <c r="AE5600" s="1"/>
      <c r="AF5600" s="1"/>
      <c r="AG5600" s="1"/>
    </row>
    <row r="5601" ht="15.75" customHeight="1">
      <c r="A5601" s="1"/>
      <c r="B5601" s="1"/>
      <c r="C5601" s="1"/>
      <c r="D5601" s="1"/>
      <c r="E5601" s="1"/>
      <c r="F5601" s="1"/>
      <c r="G5601" s="1"/>
      <c r="H5601" s="1"/>
      <c r="I5601" s="1"/>
      <c r="J5601" s="1"/>
      <c r="K5601" s="102" t="s">
        <v>8758</v>
      </c>
      <c r="L5601" s="102" t="str">
        <f>C691</f>
        <v>J1b</v>
      </c>
      <c r="M5601" s="102" t="s">
        <v>8759</v>
      </c>
      <c r="N5601" s="102" t="s">
        <v>8760</v>
      </c>
      <c r="O5601" s="105">
        <v>7293960.0</v>
      </c>
      <c r="P5601" s="105">
        <v>7425919.0</v>
      </c>
      <c r="Q5601" s="102" t="s">
        <v>2454</v>
      </c>
      <c r="S5601" s="1"/>
      <c r="T5601" s="1"/>
      <c r="U5601" s="1"/>
      <c r="V5601" s="1"/>
      <c r="W5601" s="1"/>
      <c r="X5601" s="1"/>
      <c r="Y5601" s="1"/>
      <c r="AA5601" s="102"/>
      <c r="AB5601" s="1"/>
      <c r="AC5601" s="1"/>
      <c r="AD5601" s="1"/>
      <c r="AE5601" s="1"/>
      <c r="AF5601" s="1"/>
      <c r="AG5601" s="1"/>
    </row>
    <row r="5602" ht="15.75" customHeight="1">
      <c r="A5602" s="1"/>
      <c r="B5602" s="1"/>
      <c r="C5602" s="1"/>
      <c r="D5602" s="1"/>
      <c r="E5602" s="1"/>
      <c r="F5602" s="1"/>
      <c r="G5602" s="1"/>
      <c r="H5602" s="1"/>
      <c r="I5602" s="1"/>
      <c r="J5602" s="1"/>
      <c r="K5602" s="102" t="s">
        <v>8761</v>
      </c>
      <c r="L5602" s="102" t="str">
        <f>C691</f>
        <v>J1b</v>
      </c>
      <c r="M5602" s="102" t="s">
        <v>8762</v>
      </c>
      <c r="N5602" s="102" t="s">
        <v>8760</v>
      </c>
      <c r="O5602" s="105">
        <v>7293960.0</v>
      </c>
      <c r="P5602" s="105">
        <v>7425919.0</v>
      </c>
      <c r="Q5602" s="102" t="s">
        <v>2454</v>
      </c>
      <c r="S5602" s="1"/>
      <c r="T5602" s="1"/>
      <c r="U5602" s="1"/>
      <c r="V5602" s="1"/>
      <c r="W5602" s="1"/>
      <c r="X5602" s="1"/>
      <c r="Y5602" s="1"/>
      <c r="AA5602" s="102"/>
      <c r="AB5602" s="1"/>
      <c r="AC5602" s="1"/>
      <c r="AD5602" s="1"/>
      <c r="AE5602" s="1"/>
      <c r="AF5602" s="1"/>
      <c r="AG5602" s="1"/>
    </row>
    <row r="5603" ht="15.75" customHeight="1">
      <c r="A5603" s="1"/>
      <c r="B5603" s="1"/>
      <c r="C5603" s="1"/>
      <c r="D5603" s="1"/>
      <c r="E5603" s="1"/>
      <c r="F5603" s="1"/>
      <c r="G5603" s="1"/>
      <c r="H5603" s="1"/>
      <c r="I5603" s="1"/>
      <c r="J5603" s="1"/>
      <c r="K5603" s="102" t="s">
        <v>8763</v>
      </c>
      <c r="L5603" s="102" t="str">
        <f>C691</f>
        <v>J1b</v>
      </c>
      <c r="M5603" s="102" t="s">
        <v>8764</v>
      </c>
      <c r="N5603" s="102" t="s">
        <v>8760</v>
      </c>
      <c r="O5603" s="105">
        <v>7293960.0</v>
      </c>
      <c r="P5603" s="105">
        <v>7425919.0</v>
      </c>
      <c r="Q5603" s="102" t="s">
        <v>2454</v>
      </c>
      <c r="S5603" s="1"/>
      <c r="T5603" s="1"/>
      <c r="U5603" s="1"/>
      <c r="V5603" s="1"/>
      <c r="W5603" s="1"/>
      <c r="X5603" s="1"/>
      <c r="Y5603" s="1"/>
      <c r="AA5603" s="102"/>
      <c r="AB5603" s="1"/>
      <c r="AC5603" s="1"/>
      <c r="AD5603" s="1"/>
      <c r="AE5603" s="1"/>
      <c r="AF5603" s="1"/>
      <c r="AG5603" s="1"/>
    </row>
    <row r="5604" ht="15.75" customHeight="1">
      <c r="A5604" s="1"/>
      <c r="B5604" s="1"/>
      <c r="C5604" s="1"/>
      <c r="D5604" s="1"/>
      <c r="E5604" s="1"/>
      <c r="F5604" s="1"/>
      <c r="G5604" s="1"/>
      <c r="H5604" s="1"/>
      <c r="I5604" s="1"/>
      <c r="J5604" s="1"/>
      <c r="K5604" s="102" t="s">
        <v>8765</v>
      </c>
      <c r="L5604" s="102" t="str">
        <f>C691</f>
        <v>J1b</v>
      </c>
      <c r="M5604" s="102" t="s">
        <v>8766</v>
      </c>
      <c r="N5604" s="102"/>
      <c r="O5604" s="102">
        <v>8180501.0</v>
      </c>
      <c r="P5604" s="102">
        <v>8312460.0</v>
      </c>
      <c r="Q5604" s="102" t="s">
        <v>2529</v>
      </c>
      <c r="S5604" s="1"/>
      <c r="T5604" s="1"/>
      <c r="U5604" s="1"/>
      <c r="V5604" s="1"/>
      <c r="W5604" s="1"/>
      <c r="X5604" s="1"/>
      <c r="Y5604" s="1"/>
      <c r="AA5604" s="102"/>
      <c r="AB5604" s="1"/>
      <c r="AC5604" s="1"/>
      <c r="AD5604" s="1"/>
      <c r="AE5604" s="1"/>
      <c r="AF5604" s="1"/>
      <c r="AG5604" s="1"/>
    </row>
    <row r="5605" ht="15.75" customHeight="1">
      <c r="A5605" s="1"/>
      <c r="B5605" s="1"/>
      <c r="C5605" s="1"/>
      <c r="D5605" s="1"/>
      <c r="E5605" s="1"/>
      <c r="F5605" s="1"/>
      <c r="G5605" s="1"/>
      <c r="H5605" s="1"/>
      <c r="I5605" s="1"/>
      <c r="J5605" s="1"/>
      <c r="K5605" s="102" t="s">
        <v>8767</v>
      </c>
      <c r="L5605" s="102" t="str">
        <f>C691</f>
        <v>J1b</v>
      </c>
      <c r="M5605" s="102" t="s">
        <v>8768</v>
      </c>
      <c r="N5605" s="102"/>
      <c r="O5605" s="102">
        <v>8180501.0</v>
      </c>
      <c r="P5605" s="102">
        <v>8312460.0</v>
      </c>
      <c r="Q5605" s="102" t="s">
        <v>2529</v>
      </c>
      <c r="S5605" s="1"/>
      <c r="T5605" s="1"/>
      <c r="U5605" s="1"/>
      <c r="V5605" s="1"/>
      <c r="W5605" s="1"/>
      <c r="X5605" s="1"/>
      <c r="Y5605" s="1"/>
      <c r="AA5605" s="102"/>
      <c r="AB5605" s="1"/>
      <c r="AC5605" s="1"/>
      <c r="AD5605" s="1"/>
      <c r="AE5605" s="1"/>
      <c r="AF5605" s="1"/>
      <c r="AG5605" s="1"/>
    </row>
    <row r="5606" ht="15.75" customHeight="1">
      <c r="A5606" s="1"/>
      <c r="B5606" s="1"/>
      <c r="C5606" s="1"/>
      <c r="D5606" s="1"/>
      <c r="E5606" s="1"/>
      <c r="F5606" s="1"/>
      <c r="G5606" s="1"/>
      <c r="H5606" s="1"/>
      <c r="I5606" s="1"/>
      <c r="J5606" s="1"/>
      <c r="K5606" s="102" t="s">
        <v>8769</v>
      </c>
      <c r="L5606" s="102" t="str">
        <f>C691</f>
        <v>J1b</v>
      </c>
      <c r="M5606" s="102" t="s">
        <v>8770</v>
      </c>
      <c r="N5606" s="102"/>
      <c r="O5606" s="102">
        <v>8180501.0</v>
      </c>
      <c r="P5606" s="102">
        <v>8312460.0</v>
      </c>
      <c r="Q5606" s="102" t="s">
        <v>2529</v>
      </c>
      <c r="S5606" s="1"/>
      <c r="T5606" s="1"/>
      <c r="U5606" s="1"/>
      <c r="V5606" s="1"/>
      <c r="W5606" s="1"/>
      <c r="X5606" s="1"/>
      <c r="Y5606" s="1"/>
      <c r="AA5606" s="102"/>
      <c r="AB5606" s="1"/>
      <c r="AC5606" s="1"/>
      <c r="AD5606" s="1"/>
      <c r="AE5606" s="1"/>
      <c r="AF5606" s="1"/>
      <c r="AG5606" s="1"/>
    </row>
    <row r="5607" ht="15.75" customHeight="1">
      <c r="A5607" s="1"/>
      <c r="B5607" s="1"/>
      <c r="C5607" s="1"/>
      <c r="D5607" s="1"/>
      <c r="E5607" s="1"/>
      <c r="F5607" s="1"/>
      <c r="G5607" s="1"/>
      <c r="H5607" s="1"/>
      <c r="I5607" s="1"/>
      <c r="J5607" s="1"/>
      <c r="K5607" s="102" t="s">
        <v>8771</v>
      </c>
      <c r="L5607" s="102" t="str">
        <f>C691</f>
        <v>J1b</v>
      </c>
      <c r="M5607" s="102"/>
      <c r="N5607" s="102" t="s">
        <v>8772</v>
      </c>
      <c r="O5607" s="102">
        <v>7750673.0</v>
      </c>
      <c r="P5607" s="102">
        <v>7882632.0</v>
      </c>
      <c r="Q5607" s="102" t="s">
        <v>2501</v>
      </c>
      <c r="S5607" s="1"/>
      <c r="T5607" s="1"/>
      <c r="U5607" s="1"/>
      <c r="V5607" s="1"/>
      <c r="W5607" s="1"/>
      <c r="X5607" s="1"/>
      <c r="Y5607" s="1"/>
      <c r="AA5607" s="102"/>
      <c r="AB5607" s="1"/>
      <c r="AC5607" s="1"/>
      <c r="AD5607" s="1"/>
      <c r="AE5607" s="1"/>
      <c r="AF5607" s="1"/>
      <c r="AG5607" s="1"/>
    </row>
    <row r="5608" ht="15.75" customHeight="1">
      <c r="A5608" s="1"/>
      <c r="B5608" s="1"/>
      <c r="C5608" s="1"/>
      <c r="D5608" s="1"/>
      <c r="E5608" s="1"/>
      <c r="F5608" s="1"/>
      <c r="G5608" s="1"/>
      <c r="H5608" s="1"/>
      <c r="I5608" s="1"/>
      <c r="J5608" s="1"/>
      <c r="K5608" s="102" t="s">
        <v>8773</v>
      </c>
      <c r="L5608" s="102" t="str">
        <f>C691</f>
        <v>J1b</v>
      </c>
      <c r="M5608" s="102" t="s">
        <v>8774</v>
      </c>
      <c r="N5608" s="102" t="s">
        <v>8775</v>
      </c>
      <c r="O5608" s="102">
        <v>1.8717656E7</v>
      </c>
      <c r="P5608" s="102">
        <v>1.6605776E7</v>
      </c>
      <c r="Q5608" s="102" t="s">
        <v>2501</v>
      </c>
      <c r="S5608" s="1"/>
      <c r="T5608" s="1"/>
      <c r="U5608" s="1"/>
      <c r="V5608" s="1"/>
      <c r="W5608" s="1"/>
      <c r="X5608" s="1"/>
      <c r="Y5608" s="1"/>
      <c r="AA5608" s="102"/>
      <c r="AB5608" s="1"/>
      <c r="AC5608" s="1"/>
      <c r="AD5608" s="1"/>
      <c r="AE5608" s="1"/>
      <c r="AF5608" s="1"/>
      <c r="AG5608" s="1"/>
    </row>
    <row r="5609" ht="15.75" customHeight="1">
      <c r="A5609" s="1"/>
      <c r="B5609" s="1"/>
      <c r="C5609" s="1"/>
      <c r="D5609" s="1"/>
      <c r="E5609" s="1"/>
      <c r="F5609" s="1"/>
      <c r="G5609" s="1"/>
      <c r="H5609" s="1"/>
      <c r="I5609" s="1"/>
      <c r="J5609" s="1"/>
      <c r="K5609" s="102" t="s">
        <v>8774</v>
      </c>
      <c r="L5609" s="102" t="str">
        <f>C691</f>
        <v>J1b</v>
      </c>
      <c r="M5609" s="102" t="s">
        <v>8773</v>
      </c>
      <c r="N5609" s="102" t="s">
        <v>8775</v>
      </c>
      <c r="O5609" s="102">
        <v>1.8717656E7</v>
      </c>
      <c r="P5609" s="102">
        <v>1.6605776E7</v>
      </c>
      <c r="Q5609" s="102" t="s">
        <v>2501</v>
      </c>
      <c r="S5609" s="1"/>
      <c r="T5609" s="1"/>
      <c r="U5609" s="1"/>
      <c r="V5609" s="1"/>
      <c r="W5609" s="1"/>
      <c r="X5609" s="1"/>
      <c r="Y5609" s="1"/>
      <c r="AA5609" s="102"/>
      <c r="AB5609" s="1"/>
      <c r="AC5609" s="1"/>
      <c r="AD5609" s="1"/>
      <c r="AE5609" s="1"/>
      <c r="AF5609" s="1"/>
      <c r="AG5609" s="1"/>
    </row>
    <row r="5610" ht="15.75" customHeight="1">
      <c r="A5610" s="1"/>
      <c r="B5610" s="1"/>
      <c r="C5610" s="1"/>
      <c r="D5610" s="1"/>
      <c r="E5610" s="1"/>
      <c r="F5610" s="1"/>
      <c r="G5610" s="1"/>
      <c r="H5610" s="1"/>
      <c r="I5610" s="1"/>
      <c r="J5610" s="1"/>
      <c r="K5610" s="106" t="s">
        <v>8776</v>
      </c>
      <c r="L5610" s="102" t="str">
        <f>C691</f>
        <v>J1b</v>
      </c>
      <c r="M5610" s="102" t="s">
        <v>8777</v>
      </c>
      <c r="N5610" s="102" t="s">
        <v>8778</v>
      </c>
      <c r="O5610" s="105">
        <v>2.397586E7</v>
      </c>
      <c r="P5610" s="105">
        <v>2.1829713E7</v>
      </c>
      <c r="Q5610" s="102" t="s">
        <v>2439</v>
      </c>
      <c r="S5610" s="1"/>
      <c r="T5610" s="1"/>
      <c r="U5610" s="1"/>
      <c r="V5610" s="1"/>
      <c r="W5610" s="1"/>
      <c r="X5610" s="1"/>
      <c r="Y5610" s="1"/>
      <c r="AA5610" s="102" t="s">
        <v>8779</v>
      </c>
      <c r="AB5610" s="1"/>
      <c r="AC5610" s="1"/>
      <c r="AD5610" s="1"/>
      <c r="AE5610" s="1"/>
      <c r="AF5610" s="1"/>
      <c r="AG5610" s="1"/>
    </row>
    <row r="5611" ht="15.75" customHeight="1">
      <c r="A5611" s="1"/>
      <c r="B5611" s="1"/>
      <c r="C5611" s="1"/>
      <c r="D5611" s="1"/>
      <c r="E5611" s="1"/>
      <c r="F5611" s="1"/>
      <c r="G5611" s="1"/>
      <c r="H5611" s="1"/>
      <c r="I5611" s="1"/>
      <c r="J5611" s="1"/>
      <c r="K5611" s="102" t="s">
        <v>8777</v>
      </c>
      <c r="L5611" s="102" t="str">
        <f>C691</f>
        <v>J1b</v>
      </c>
      <c r="M5611" s="106" t="s">
        <v>8776</v>
      </c>
      <c r="N5611" s="102" t="s">
        <v>8778</v>
      </c>
      <c r="O5611" s="105">
        <v>2.397586E7</v>
      </c>
      <c r="P5611" s="105">
        <v>2.1829713E7</v>
      </c>
      <c r="Q5611" s="102" t="s">
        <v>2439</v>
      </c>
      <c r="S5611" s="1"/>
      <c r="T5611" s="1"/>
      <c r="U5611" s="1"/>
      <c r="V5611" s="1"/>
      <c r="W5611" s="1"/>
      <c r="X5611" s="1"/>
      <c r="Y5611" s="1"/>
      <c r="AA5611" s="102"/>
      <c r="AB5611" s="1"/>
      <c r="AC5611" s="1"/>
      <c r="AD5611" s="1"/>
      <c r="AE5611" s="1"/>
      <c r="AF5611" s="1"/>
      <c r="AG5611" s="1"/>
    </row>
    <row r="5612" ht="15.75" customHeight="1">
      <c r="A5612" s="1"/>
      <c r="B5612" s="1"/>
      <c r="C5612" s="1"/>
      <c r="D5612" s="1"/>
      <c r="E5612" s="1"/>
      <c r="F5612" s="1"/>
      <c r="G5612" s="1"/>
      <c r="H5612" s="1"/>
      <c r="I5612" s="1"/>
      <c r="J5612" s="1"/>
      <c r="K5612" s="102" t="s">
        <v>8780</v>
      </c>
      <c r="L5612" s="102" t="str">
        <f>C691</f>
        <v>J1b</v>
      </c>
      <c r="M5612" s="102" t="s">
        <v>8781</v>
      </c>
      <c r="N5612" s="102" t="s">
        <v>8782</v>
      </c>
      <c r="O5612" s="105">
        <v>1.6613685E7</v>
      </c>
      <c r="P5612" s="105">
        <v>1.4501805E7</v>
      </c>
      <c r="Q5612" s="102" t="s">
        <v>2468</v>
      </c>
      <c r="S5612" s="1"/>
      <c r="T5612" s="1"/>
      <c r="U5612" s="1"/>
      <c r="V5612" s="1"/>
      <c r="W5612" s="1"/>
      <c r="X5612" s="1"/>
      <c r="Y5612" s="1"/>
      <c r="AA5612" s="102"/>
      <c r="AB5612" s="1"/>
      <c r="AC5612" s="1"/>
      <c r="AD5612" s="1"/>
      <c r="AE5612" s="1"/>
      <c r="AF5612" s="1"/>
      <c r="AG5612" s="1"/>
    </row>
    <row r="5613" ht="15.75" customHeight="1">
      <c r="A5613" s="1"/>
      <c r="B5613" s="1"/>
      <c r="C5613" s="1"/>
      <c r="D5613" s="1"/>
      <c r="E5613" s="1"/>
      <c r="F5613" s="1"/>
      <c r="G5613" s="1"/>
      <c r="H5613" s="1"/>
      <c r="I5613" s="1"/>
      <c r="J5613" s="1"/>
      <c r="K5613" s="102" t="s">
        <v>8781</v>
      </c>
      <c r="L5613" s="102" t="str">
        <f>C691</f>
        <v>J1b</v>
      </c>
      <c r="M5613" s="102" t="s">
        <v>8780</v>
      </c>
      <c r="N5613" s="102" t="s">
        <v>8782</v>
      </c>
      <c r="O5613" s="105">
        <v>1.6613685E7</v>
      </c>
      <c r="P5613" s="105">
        <v>1.4501805E7</v>
      </c>
      <c r="Q5613" s="102" t="s">
        <v>2468</v>
      </c>
      <c r="S5613" s="1"/>
      <c r="T5613" s="1"/>
      <c r="U5613" s="1"/>
      <c r="V5613" s="1"/>
      <c r="W5613" s="1"/>
      <c r="X5613" s="1"/>
      <c r="Y5613" s="1"/>
      <c r="AA5613" s="102"/>
      <c r="AB5613" s="1"/>
      <c r="AC5613" s="1"/>
      <c r="AD5613" s="1"/>
      <c r="AE5613" s="1"/>
      <c r="AF5613" s="1"/>
      <c r="AG5613" s="1"/>
    </row>
    <row r="5614" ht="15.75" customHeight="1">
      <c r="A5614" s="1"/>
      <c r="B5614" s="1"/>
      <c r="C5614" s="1"/>
      <c r="D5614" s="1"/>
      <c r="E5614" s="1"/>
      <c r="F5614" s="1"/>
      <c r="G5614" s="1"/>
      <c r="H5614" s="1"/>
      <c r="I5614" s="1"/>
      <c r="J5614" s="1"/>
      <c r="K5614" s="102" t="s">
        <v>8783</v>
      </c>
      <c r="L5614" s="102" t="str">
        <f>C691</f>
        <v>J1b</v>
      </c>
      <c r="M5614" s="102" t="s">
        <v>8784</v>
      </c>
      <c r="N5614" s="102" t="s">
        <v>8785</v>
      </c>
      <c r="O5614" s="105">
        <v>1.4951016E7</v>
      </c>
      <c r="P5614" s="105">
        <v>1.283909E7</v>
      </c>
      <c r="Q5614" s="102" t="s">
        <v>2468</v>
      </c>
      <c r="S5614" s="1"/>
      <c r="T5614" s="1"/>
      <c r="U5614" s="1"/>
      <c r="V5614" s="1"/>
      <c r="W5614" s="1"/>
      <c r="X5614" s="1"/>
      <c r="Y5614" s="1"/>
      <c r="AA5614" s="102"/>
      <c r="AB5614" s="1"/>
      <c r="AC5614" s="1"/>
      <c r="AD5614" s="1"/>
      <c r="AE5614" s="1"/>
      <c r="AF5614" s="1"/>
      <c r="AG5614" s="1"/>
    </row>
    <row r="5615" ht="15.75" customHeight="1">
      <c r="A5615" s="1"/>
      <c r="B5615" s="1"/>
      <c r="C5615" s="1"/>
      <c r="D5615" s="1"/>
      <c r="E5615" s="1"/>
      <c r="F5615" s="1"/>
      <c r="G5615" s="1"/>
      <c r="H5615" s="1"/>
      <c r="I5615" s="1"/>
      <c r="J5615" s="1"/>
      <c r="K5615" s="102" t="s">
        <v>8784</v>
      </c>
      <c r="L5615" s="102" t="str">
        <f>C691</f>
        <v>J1b</v>
      </c>
      <c r="M5615" s="102" t="s">
        <v>8783</v>
      </c>
      <c r="N5615" s="102" t="s">
        <v>8785</v>
      </c>
      <c r="O5615" s="105">
        <v>1.4951016E7</v>
      </c>
      <c r="P5615" s="105">
        <v>1.283909E7</v>
      </c>
      <c r="Q5615" s="102" t="s">
        <v>2468</v>
      </c>
      <c r="S5615" s="1"/>
      <c r="T5615" s="1"/>
      <c r="U5615" s="1"/>
      <c r="V5615" s="1"/>
      <c r="W5615" s="1"/>
      <c r="X5615" s="1"/>
      <c r="Y5615" s="1"/>
      <c r="AA5615" s="102"/>
      <c r="AB5615" s="1"/>
      <c r="AC5615" s="1"/>
      <c r="AD5615" s="1"/>
      <c r="AE5615" s="1"/>
      <c r="AF5615" s="1"/>
      <c r="AG5615" s="1"/>
    </row>
    <row r="5616" ht="15.75" customHeight="1">
      <c r="A5616" s="1"/>
      <c r="B5616" s="1"/>
      <c r="C5616" s="1"/>
      <c r="D5616" s="1"/>
      <c r="E5616" s="1"/>
      <c r="F5616" s="1"/>
      <c r="G5616" s="1"/>
      <c r="H5616" s="1"/>
      <c r="I5616" s="1"/>
      <c r="J5616" s="1"/>
      <c r="K5616" s="102" t="s">
        <v>8786</v>
      </c>
      <c r="L5616" s="102" t="str">
        <f>C691</f>
        <v>J1b</v>
      </c>
      <c r="M5616" s="102" t="s">
        <v>8787</v>
      </c>
      <c r="N5616" s="102" t="s">
        <v>8788</v>
      </c>
      <c r="O5616" s="105">
        <v>2.1814021E7</v>
      </c>
      <c r="P5616" s="105">
        <v>1.9652135E7</v>
      </c>
      <c r="Q5616" s="102" t="s">
        <v>2501</v>
      </c>
      <c r="S5616" s="1"/>
      <c r="T5616" s="1"/>
      <c r="U5616" s="1"/>
      <c r="V5616" s="1"/>
      <c r="W5616" s="1"/>
      <c r="X5616" s="1"/>
      <c r="Y5616" s="1"/>
      <c r="AA5616" s="102"/>
      <c r="AB5616" s="1"/>
      <c r="AC5616" s="1"/>
      <c r="AD5616" s="1"/>
      <c r="AE5616" s="1"/>
      <c r="AF5616" s="1"/>
      <c r="AG5616" s="1"/>
    </row>
    <row r="5617" ht="15.75" customHeight="1">
      <c r="A5617" s="1"/>
      <c r="B5617" s="1"/>
      <c r="C5617" s="1"/>
      <c r="D5617" s="1"/>
      <c r="E5617" s="1"/>
      <c r="F5617" s="1"/>
      <c r="G5617" s="1"/>
      <c r="H5617" s="1"/>
      <c r="I5617" s="1"/>
      <c r="J5617" s="1"/>
      <c r="K5617" s="102" t="s">
        <v>8787</v>
      </c>
      <c r="L5617" s="102" t="str">
        <f>C691</f>
        <v>J1b</v>
      </c>
      <c r="M5617" s="102" t="s">
        <v>8786</v>
      </c>
      <c r="N5617" s="102" t="s">
        <v>8788</v>
      </c>
      <c r="O5617" s="105">
        <v>2.1814021E7</v>
      </c>
      <c r="P5617" s="105">
        <v>1.9652135E7</v>
      </c>
      <c r="Q5617" s="102" t="s">
        <v>2501</v>
      </c>
      <c r="S5617" s="1"/>
      <c r="T5617" s="1"/>
      <c r="U5617" s="1"/>
      <c r="V5617" s="1"/>
      <c r="W5617" s="1"/>
      <c r="X5617" s="1"/>
      <c r="Y5617" s="1"/>
      <c r="AA5617" s="102"/>
      <c r="AB5617" s="1"/>
      <c r="AC5617" s="1"/>
      <c r="AD5617" s="1"/>
      <c r="AE5617" s="1"/>
      <c r="AF5617" s="1"/>
      <c r="AG5617" s="1"/>
    </row>
    <row r="5618" ht="15.75" customHeight="1">
      <c r="A5618" s="1"/>
      <c r="B5618" s="1"/>
      <c r="C5618" s="1"/>
      <c r="D5618" s="1"/>
      <c r="E5618" s="1"/>
      <c r="F5618" s="1"/>
      <c r="G5618" s="1"/>
      <c r="H5618" s="1"/>
      <c r="I5618" s="1"/>
      <c r="J5618" s="1"/>
      <c r="K5618" s="102" t="s">
        <v>8789</v>
      </c>
      <c r="L5618" s="102" t="str">
        <f>C691</f>
        <v>J1b</v>
      </c>
      <c r="M5618" s="102" t="s">
        <v>8790</v>
      </c>
      <c r="N5618" s="102"/>
      <c r="O5618" s="102">
        <v>2.2046203E7</v>
      </c>
      <c r="P5618" s="102">
        <v>1.9884317E7</v>
      </c>
      <c r="Q5618" s="102" t="s">
        <v>2533</v>
      </c>
      <c r="S5618" s="1"/>
      <c r="T5618" s="1"/>
      <c r="U5618" s="1"/>
      <c r="V5618" s="1"/>
      <c r="W5618" s="1"/>
      <c r="X5618" s="1"/>
      <c r="Y5618" s="1"/>
      <c r="AA5618" s="102"/>
      <c r="AB5618" s="1"/>
      <c r="AC5618" s="1"/>
      <c r="AD5618" s="1"/>
      <c r="AE5618" s="1"/>
      <c r="AF5618" s="1"/>
      <c r="AG5618" s="1"/>
    </row>
    <row r="5619" ht="15.75" customHeight="1">
      <c r="A5619" s="1"/>
      <c r="B5619" s="1"/>
      <c r="C5619" s="1"/>
      <c r="D5619" s="1"/>
      <c r="E5619" s="1"/>
      <c r="F5619" s="1"/>
      <c r="G5619" s="1"/>
      <c r="H5619" s="1"/>
      <c r="I5619" s="1"/>
      <c r="J5619" s="1"/>
      <c r="K5619" s="102" t="s">
        <v>8790</v>
      </c>
      <c r="L5619" s="102" t="str">
        <f>C691</f>
        <v>J1b</v>
      </c>
      <c r="M5619" s="102" t="s">
        <v>8789</v>
      </c>
      <c r="N5619" s="102"/>
      <c r="O5619" s="102">
        <v>2.2046203E7</v>
      </c>
      <c r="P5619" s="102">
        <v>1.9884317E7</v>
      </c>
      <c r="Q5619" s="102" t="s">
        <v>2533</v>
      </c>
      <c r="S5619" s="1"/>
      <c r="T5619" s="1"/>
      <c r="U5619" s="1"/>
      <c r="V5619" s="1"/>
      <c r="W5619" s="1"/>
      <c r="X5619" s="1"/>
      <c r="Y5619" s="1"/>
      <c r="AA5619" s="102"/>
      <c r="AB5619" s="1"/>
      <c r="AC5619" s="1"/>
      <c r="AD5619" s="1"/>
      <c r="AE5619" s="1"/>
      <c r="AF5619" s="1"/>
      <c r="AG5619" s="1"/>
    </row>
    <row r="5620" ht="15.75" customHeight="1">
      <c r="A5620" s="1"/>
      <c r="B5620" s="1"/>
      <c r="C5620" s="1"/>
      <c r="D5620" s="1"/>
      <c r="E5620" s="1"/>
      <c r="F5620" s="1"/>
      <c r="G5620" s="1"/>
      <c r="H5620" s="1"/>
      <c r="I5620" s="1"/>
      <c r="J5620" s="1"/>
      <c r="K5620" s="102" t="s">
        <v>8791</v>
      </c>
      <c r="L5620" s="102" t="str">
        <f>C691</f>
        <v>J1b</v>
      </c>
      <c r="M5620" s="102" t="s">
        <v>8792</v>
      </c>
      <c r="N5620" s="102" t="s">
        <v>8793</v>
      </c>
      <c r="O5620" s="105">
        <v>2.396934E7</v>
      </c>
      <c r="P5620" s="105">
        <v>2.1823193E7</v>
      </c>
      <c r="Q5620" s="102" t="s">
        <v>2514</v>
      </c>
      <c r="S5620" s="1"/>
      <c r="T5620" s="1"/>
      <c r="U5620" s="1"/>
      <c r="V5620" s="1"/>
      <c r="W5620" s="1"/>
      <c r="X5620" s="1"/>
      <c r="Y5620" s="1"/>
      <c r="AA5620" s="102"/>
      <c r="AB5620" s="1"/>
      <c r="AC5620" s="1"/>
      <c r="AD5620" s="1"/>
      <c r="AE5620" s="1"/>
      <c r="AF5620" s="1"/>
      <c r="AG5620" s="1"/>
    </row>
    <row r="5621" ht="15.75" customHeight="1">
      <c r="A5621" s="1"/>
      <c r="B5621" s="1"/>
      <c r="C5621" s="1"/>
      <c r="D5621" s="1"/>
      <c r="E5621" s="1"/>
      <c r="F5621" s="1"/>
      <c r="G5621" s="1"/>
      <c r="H5621" s="1"/>
      <c r="I5621" s="1"/>
      <c r="J5621" s="1"/>
      <c r="K5621" s="102" t="s">
        <v>8792</v>
      </c>
      <c r="L5621" s="102" t="str">
        <f>C691</f>
        <v>J1b</v>
      </c>
      <c r="M5621" s="102" t="s">
        <v>8791</v>
      </c>
      <c r="N5621" s="102" t="s">
        <v>8793</v>
      </c>
      <c r="O5621" s="105">
        <v>2.396934E7</v>
      </c>
      <c r="P5621" s="105">
        <v>2.1823193E7</v>
      </c>
      <c r="Q5621" s="102" t="s">
        <v>2514</v>
      </c>
      <c r="S5621" s="1"/>
      <c r="T5621" s="1"/>
      <c r="U5621" s="1"/>
      <c r="V5621" s="1"/>
      <c r="W5621" s="1"/>
      <c r="X5621" s="1"/>
      <c r="Y5621" s="1"/>
      <c r="AA5621" s="102"/>
      <c r="AB5621" s="1"/>
      <c r="AC5621" s="1"/>
      <c r="AD5621" s="1"/>
      <c r="AE5621" s="1"/>
      <c r="AF5621" s="1"/>
      <c r="AG5621" s="1"/>
    </row>
    <row r="5622" ht="15.75" customHeight="1">
      <c r="A5622" s="1"/>
      <c r="B5622" s="1"/>
      <c r="C5622" s="1"/>
      <c r="D5622" s="1"/>
      <c r="E5622" s="1"/>
      <c r="F5622" s="1"/>
      <c r="G5622" s="1"/>
      <c r="H5622" s="1"/>
      <c r="I5622" s="1"/>
      <c r="J5622" s="1"/>
      <c r="K5622" s="102" t="s">
        <v>8794</v>
      </c>
      <c r="L5622" s="102" t="str">
        <f>C691</f>
        <v>J1b</v>
      </c>
      <c r="M5622" s="102"/>
      <c r="N5622" s="102" t="s">
        <v>8795</v>
      </c>
      <c r="O5622" s="105">
        <v>1.4285649E7</v>
      </c>
      <c r="P5622" s="105">
        <v>1.2164943E7</v>
      </c>
      <c r="Q5622" s="102" t="s">
        <v>2501</v>
      </c>
      <c r="S5622" s="1"/>
      <c r="T5622" s="1"/>
      <c r="U5622" s="1"/>
      <c r="V5622" s="1"/>
      <c r="W5622" s="1"/>
      <c r="X5622" s="1"/>
      <c r="Y5622" s="1"/>
      <c r="AA5622" s="102"/>
      <c r="AB5622" s="1"/>
      <c r="AC5622" s="1"/>
      <c r="AD5622" s="1"/>
      <c r="AE5622" s="1"/>
      <c r="AF5622" s="1"/>
      <c r="AG5622" s="1"/>
    </row>
    <row r="5623" ht="15.75" customHeight="1">
      <c r="A5623" s="1"/>
      <c r="B5623" s="1"/>
      <c r="C5623" s="1"/>
      <c r="D5623" s="1"/>
      <c r="E5623" s="1"/>
      <c r="F5623" s="1"/>
      <c r="G5623" s="1"/>
      <c r="H5623" s="1"/>
      <c r="I5623" s="1"/>
      <c r="J5623" s="1"/>
      <c r="K5623" s="102" t="s">
        <v>8796</v>
      </c>
      <c r="L5623" s="102" t="str">
        <f>C691</f>
        <v>J1b</v>
      </c>
      <c r="M5623" s="102" t="s">
        <v>8797</v>
      </c>
      <c r="N5623" s="102" t="s">
        <v>8798</v>
      </c>
      <c r="O5623" s="105">
        <v>1.7184256E7</v>
      </c>
      <c r="P5623" s="105">
        <v>1.5072376E7</v>
      </c>
      <c r="Q5623" s="102" t="s">
        <v>2501</v>
      </c>
      <c r="S5623" s="1"/>
      <c r="T5623" s="1"/>
      <c r="U5623" s="1"/>
      <c r="V5623" s="1"/>
      <c r="W5623" s="1"/>
      <c r="X5623" s="1"/>
      <c r="Y5623" s="1"/>
      <c r="AA5623" s="102"/>
      <c r="AB5623" s="1"/>
      <c r="AC5623" s="1"/>
      <c r="AD5623" s="1"/>
      <c r="AE5623" s="1"/>
      <c r="AF5623" s="1"/>
      <c r="AG5623" s="1"/>
    </row>
    <row r="5624" ht="15.75" customHeight="1">
      <c r="A5624" s="1"/>
      <c r="B5624" s="1"/>
      <c r="C5624" s="1"/>
      <c r="D5624" s="1"/>
      <c r="E5624" s="1"/>
      <c r="F5624" s="1"/>
      <c r="G5624" s="1"/>
      <c r="H5624" s="1"/>
      <c r="I5624" s="1"/>
      <c r="J5624" s="1"/>
      <c r="K5624" s="102" t="s">
        <v>8797</v>
      </c>
      <c r="L5624" s="102" t="str">
        <f>C691</f>
        <v>J1b</v>
      </c>
      <c r="M5624" s="102" t="s">
        <v>8796</v>
      </c>
      <c r="N5624" s="102" t="s">
        <v>8798</v>
      </c>
      <c r="O5624" s="105">
        <v>1.7184256E7</v>
      </c>
      <c r="P5624" s="105">
        <v>1.5072376E7</v>
      </c>
      <c r="Q5624" s="102" t="s">
        <v>2501</v>
      </c>
      <c r="S5624" s="1"/>
      <c r="T5624" s="1"/>
      <c r="U5624" s="1"/>
      <c r="V5624" s="1"/>
      <c r="W5624" s="1"/>
      <c r="X5624" s="1"/>
      <c r="Y5624" s="1"/>
      <c r="AA5624" s="102"/>
      <c r="AB5624" s="1"/>
      <c r="AC5624" s="1"/>
      <c r="AD5624" s="1"/>
      <c r="AE5624" s="1"/>
      <c r="AF5624" s="1"/>
      <c r="AG5624" s="1"/>
    </row>
    <row r="5625" ht="15.75" customHeight="1">
      <c r="A5625" s="1"/>
      <c r="B5625" s="1"/>
      <c r="C5625" s="1"/>
      <c r="D5625" s="1"/>
      <c r="E5625" s="1"/>
      <c r="F5625" s="1"/>
      <c r="G5625" s="1"/>
      <c r="H5625" s="1"/>
      <c r="I5625" s="1"/>
      <c r="J5625" s="1"/>
      <c r="K5625" s="102" t="s">
        <v>8799</v>
      </c>
      <c r="L5625" s="102" t="str">
        <f>C691</f>
        <v>J1b</v>
      </c>
      <c r="M5625" s="102" t="s">
        <v>8800</v>
      </c>
      <c r="N5625" s="102" t="s">
        <v>8801</v>
      </c>
      <c r="O5625" s="102">
        <v>2.1291735E7</v>
      </c>
      <c r="P5625" s="102">
        <v>1.9129849E7</v>
      </c>
      <c r="Q5625" s="102" t="s">
        <v>2563</v>
      </c>
      <c r="S5625" s="1"/>
      <c r="T5625" s="1"/>
      <c r="U5625" s="1"/>
      <c r="V5625" s="1"/>
      <c r="W5625" s="1"/>
      <c r="X5625" s="1"/>
      <c r="Y5625" s="1"/>
      <c r="AA5625" s="102"/>
      <c r="AB5625" s="1"/>
      <c r="AC5625" s="1"/>
      <c r="AD5625" s="1"/>
      <c r="AE5625" s="1"/>
      <c r="AF5625" s="1"/>
      <c r="AG5625" s="1"/>
    </row>
    <row r="5626" ht="15.75" customHeight="1">
      <c r="A5626" s="1"/>
      <c r="B5626" s="1"/>
      <c r="C5626" s="1"/>
      <c r="D5626" s="1"/>
      <c r="E5626" s="1"/>
      <c r="F5626" s="1"/>
      <c r="G5626" s="1"/>
      <c r="H5626" s="1"/>
      <c r="I5626" s="1"/>
      <c r="J5626" s="1"/>
      <c r="K5626" s="102" t="s">
        <v>8800</v>
      </c>
      <c r="L5626" s="102" t="str">
        <f>C691</f>
        <v>J1b</v>
      </c>
      <c r="M5626" s="102" t="s">
        <v>8799</v>
      </c>
      <c r="N5626" s="102" t="s">
        <v>8801</v>
      </c>
      <c r="O5626" s="102">
        <v>2.1291735E7</v>
      </c>
      <c r="P5626" s="102">
        <v>1.9129849E7</v>
      </c>
      <c r="Q5626" s="102" t="s">
        <v>2563</v>
      </c>
      <c r="S5626" s="1"/>
      <c r="T5626" s="1"/>
      <c r="U5626" s="1"/>
      <c r="V5626" s="1"/>
      <c r="W5626" s="1"/>
      <c r="X5626" s="1"/>
      <c r="Y5626" s="1"/>
      <c r="AA5626" s="102"/>
      <c r="AB5626" s="1"/>
      <c r="AC5626" s="1"/>
      <c r="AD5626" s="1"/>
      <c r="AE5626" s="1"/>
      <c r="AF5626" s="1"/>
      <c r="AG5626" s="1"/>
    </row>
    <row r="5627" ht="15.75" customHeight="1">
      <c r="A5627" s="1"/>
      <c r="B5627" s="1"/>
      <c r="C5627" s="1"/>
      <c r="D5627" s="1"/>
      <c r="E5627" s="1"/>
      <c r="F5627" s="1"/>
      <c r="G5627" s="1"/>
      <c r="H5627" s="1"/>
      <c r="I5627" s="1"/>
      <c r="J5627" s="1"/>
      <c r="K5627" s="102" t="s">
        <v>8802</v>
      </c>
      <c r="L5627" s="102" t="str">
        <f>C691</f>
        <v>J1b</v>
      </c>
      <c r="M5627" s="102" t="s">
        <v>8803</v>
      </c>
      <c r="N5627" s="102" t="s">
        <v>8804</v>
      </c>
      <c r="O5627" s="105">
        <v>2.1550793E7</v>
      </c>
      <c r="P5627" s="105">
        <v>1.9388907E7</v>
      </c>
      <c r="Q5627" s="102" t="s">
        <v>2439</v>
      </c>
      <c r="S5627" s="1"/>
      <c r="T5627" s="1"/>
      <c r="U5627" s="1"/>
      <c r="V5627" s="1"/>
      <c r="W5627" s="1"/>
      <c r="X5627" s="1"/>
      <c r="Y5627" s="1"/>
      <c r="AA5627" s="102"/>
      <c r="AB5627" s="1"/>
      <c r="AC5627" s="1"/>
      <c r="AD5627" s="1"/>
      <c r="AE5627" s="1"/>
      <c r="AF5627" s="1"/>
      <c r="AG5627" s="1"/>
    </row>
    <row r="5628" ht="15.75" customHeight="1">
      <c r="A5628" s="1"/>
      <c r="B5628" s="1"/>
      <c r="C5628" s="1"/>
      <c r="D5628" s="1"/>
      <c r="E5628" s="1"/>
      <c r="F5628" s="1"/>
      <c r="G5628" s="1"/>
      <c r="H5628" s="1"/>
      <c r="I5628" s="1"/>
      <c r="J5628" s="1"/>
      <c r="K5628" s="102" t="s">
        <v>8803</v>
      </c>
      <c r="L5628" s="102" t="str">
        <f>C691</f>
        <v>J1b</v>
      </c>
      <c r="M5628" s="102" t="s">
        <v>8802</v>
      </c>
      <c r="N5628" s="102" t="s">
        <v>8804</v>
      </c>
      <c r="O5628" s="105">
        <v>2.1550793E7</v>
      </c>
      <c r="P5628" s="105">
        <v>1.9388907E7</v>
      </c>
      <c r="Q5628" s="102" t="s">
        <v>2439</v>
      </c>
      <c r="S5628" s="1"/>
      <c r="T5628" s="1"/>
      <c r="U5628" s="1"/>
      <c r="V5628" s="1"/>
      <c r="W5628" s="1"/>
      <c r="X5628" s="1"/>
      <c r="Y5628" s="1"/>
      <c r="AA5628" s="102"/>
      <c r="AB5628" s="1"/>
      <c r="AC5628" s="1"/>
      <c r="AD5628" s="1"/>
      <c r="AE5628" s="1"/>
      <c r="AF5628" s="1"/>
      <c r="AG5628" s="1"/>
    </row>
    <row r="5629" ht="15.75" customHeight="1">
      <c r="A5629" s="1"/>
      <c r="B5629" s="1"/>
      <c r="C5629" s="1"/>
      <c r="D5629" s="1"/>
      <c r="E5629" s="1"/>
      <c r="F5629" s="1"/>
      <c r="G5629" s="1"/>
      <c r="H5629" s="1"/>
      <c r="I5629" s="1"/>
      <c r="J5629" s="1"/>
      <c r="K5629" s="102" t="s">
        <v>8805</v>
      </c>
      <c r="L5629" s="102" t="str">
        <f>C691</f>
        <v>J1b</v>
      </c>
      <c r="M5629" s="102"/>
      <c r="N5629" s="102" t="s">
        <v>8806</v>
      </c>
      <c r="O5629" s="105">
        <v>6729445.0</v>
      </c>
      <c r="P5629" s="105">
        <v>6861404.0</v>
      </c>
      <c r="Q5629" s="102" t="s">
        <v>2439</v>
      </c>
      <c r="S5629" s="1"/>
      <c r="T5629" s="1"/>
      <c r="U5629" s="1"/>
      <c r="V5629" s="1"/>
      <c r="W5629" s="1"/>
      <c r="X5629" s="1"/>
      <c r="Y5629" s="1"/>
      <c r="AA5629" s="102"/>
      <c r="AB5629" s="1"/>
      <c r="AC5629" s="1"/>
      <c r="AD5629" s="1"/>
      <c r="AE5629" s="1"/>
      <c r="AF5629" s="1"/>
      <c r="AG5629" s="1"/>
    </row>
    <row r="5630" ht="15.75" customHeight="1">
      <c r="A5630" s="1"/>
      <c r="B5630" s="1"/>
      <c r="C5630" s="1"/>
      <c r="D5630" s="1"/>
      <c r="E5630" s="1"/>
      <c r="F5630" s="1"/>
      <c r="G5630" s="1"/>
      <c r="H5630" s="1"/>
      <c r="I5630" s="1"/>
      <c r="J5630" s="1"/>
      <c r="K5630" s="102" t="s">
        <v>8807</v>
      </c>
      <c r="L5630" s="102" t="str">
        <f>C691</f>
        <v>J1b</v>
      </c>
      <c r="M5630" s="102"/>
      <c r="N5630" s="102" t="s">
        <v>8808</v>
      </c>
      <c r="O5630" s="105">
        <v>6883262.0</v>
      </c>
      <c r="P5630" s="105">
        <v>7015221.0</v>
      </c>
      <c r="Q5630" s="102" t="s">
        <v>2501</v>
      </c>
      <c r="S5630" s="1"/>
      <c r="T5630" s="1"/>
      <c r="U5630" s="1"/>
      <c r="V5630" s="1"/>
      <c r="W5630" s="1"/>
      <c r="X5630" s="1"/>
      <c r="Y5630" s="1"/>
      <c r="AA5630" s="102"/>
      <c r="AB5630" s="1"/>
      <c r="AC5630" s="1"/>
      <c r="AD5630" s="1"/>
      <c r="AE5630" s="1"/>
      <c r="AF5630" s="1"/>
      <c r="AG5630" s="1"/>
    </row>
    <row r="5631" ht="15.75" customHeight="1">
      <c r="A5631" s="1"/>
      <c r="B5631" s="1"/>
      <c r="C5631" s="1"/>
      <c r="D5631" s="1"/>
      <c r="E5631" s="1"/>
      <c r="F5631" s="1"/>
      <c r="G5631" s="1"/>
      <c r="H5631" s="1"/>
      <c r="I5631" s="1"/>
      <c r="J5631" s="1"/>
      <c r="K5631" s="102" t="s">
        <v>8809</v>
      </c>
      <c r="L5631" s="102" t="str">
        <f>C691</f>
        <v>J1b</v>
      </c>
      <c r="M5631" s="102"/>
      <c r="N5631" s="102" t="s">
        <v>8810</v>
      </c>
      <c r="O5631" s="105">
        <v>7572719.0</v>
      </c>
      <c r="P5631" s="105">
        <v>7704678.0</v>
      </c>
      <c r="Q5631" s="102" t="s">
        <v>2501</v>
      </c>
      <c r="S5631" s="1"/>
      <c r="T5631" s="1"/>
      <c r="U5631" s="1"/>
      <c r="V5631" s="1"/>
      <c r="W5631" s="1"/>
      <c r="X5631" s="1"/>
      <c r="Y5631" s="1"/>
      <c r="AA5631" s="102"/>
      <c r="AB5631" s="1"/>
      <c r="AC5631" s="1"/>
      <c r="AD5631" s="1"/>
      <c r="AE5631" s="1"/>
      <c r="AF5631" s="1"/>
      <c r="AG5631" s="1"/>
    </row>
    <row r="5632" ht="15.75" customHeight="1">
      <c r="A5632" s="1"/>
      <c r="B5632" s="1"/>
      <c r="C5632" s="1"/>
      <c r="D5632" s="1"/>
      <c r="E5632" s="1"/>
      <c r="F5632" s="1"/>
      <c r="G5632" s="1"/>
      <c r="H5632" s="1"/>
      <c r="I5632" s="1"/>
      <c r="J5632" s="1"/>
      <c r="K5632" s="102" t="s">
        <v>8811</v>
      </c>
      <c r="L5632" s="102" t="str">
        <f>C691</f>
        <v>J1b</v>
      </c>
      <c r="M5632" s="102"/>
      <c r="N5632" s="102" t="s">
        <v>8812</v>
      </c>
      <c r="O5632" s="102">
        <v>8213407.0</v>
      </c>
      <c r="P5632" s="102">
        <v>8345366.0</v>
      </c>
      <c r="Q5632" s="102" t="s">
        <v>2446</v>
      </c>
      <c r="S5632" s="1"/>
      <c r="T5632" s="1"/>
      <c r="U5632" s="1"/>
      <c r="V5632" s="1"/>
      <c r="W5632" s="1"/>
      <c r="X5632" s="1"/>
      <c r="Y5632" s="1"/>
      <c r="AA5632" s="102"/>
      <c r="AB5632" s="1"/>
      <c r="AC5632" s="1"/>
      <c r="AD5632" s="1"/>
      <c r="AE5632" s="1"/>
      <c r="AF5632" s="1"/>
      <c r="AG5632" s="1"/>
    </row>
    <row r="5633" ht="15.75" customHeight="1">
      <c r="A5633" s="1"/>
      <c r="B5633" s="1"/>
      <c r="C5633" s="1"/>
      <c r="D5633" s="1"/>
      <c r="E5633" s="1"/>
      <c r="F5633" s="1"/>
      <c r="G5633" s="1"/>
      <c r="H5633" s="1"/>
      <c r="I5633" s="1"/>
      <c r="J5633" s="1"/>
      <c r="K5633" s="102" t="s">
        <v>8813</v>
      </c>
      <c r="L5633" s="102" t="str">
        <f>C691</f>
        <v>J1b</v>
      </c>
      <c r="M5633" s="102"/>
      <c r="N5633" s="102"/>
      <c r="O5633" s="105">
        <v>9956668.0</v>
      </c>
      <c r="P5633" s="105">
        <v>1.0119059E7</v>
      </c>
      <c r="Q5633" s="102" t="s">
        <v>2468</v>
      </c>
      <c r="S5633" s="1"/>
      <c r="T5633" s="1"/>
      <c r="U5633" s="1"/>
      <c r="V5633" s="1"/>
      <c r="W5633" s="1"/>
      <c r="X5633" s="1"/>
      <c r="Y5633" s="1"/>
      <c r="AA5633" s="102"/>
      <c r="AB5633" s="1"/>
      <c r="AC5633" s="1"/>
      <c r="AD5633" s="1"/>
      <c r="AE5633" s="1"/>
      <c r="AF5633" s="1"/>
      <c r="AG5633" s="1"/>
    </row>
    <row r="5634" ht="15.75" customHeight="1">
      <c r="A5634" s="1"/>
      <c r="B5634" s="1"/>
      <c r="C5634" s="1"/>
      <c r="D5634" s="1"/>
      <c r="E5634" s="1"/>
      <c r="F5634" s="1"/>
      <c r="G5634" s="1"/>
      <c r="H5634" s="1"/>
      <c r="I5634" s="1"/>
      <c r="J5634" s="1"/>
      <c r="K5634" s="102" t="s">
        <v>8814</v>
      </c>
      <c r="L5634" s="102" t="str">
        <f>C691</f>
        <v>J1b</v>
      </c>
      <c r="M5634" s="102"/>
      <c r="N5634" s="102"/>
      <c r="O5634" s="102">
        <v>1.3453039E7</v>
      </c>
      <c r="P5634" s="102">
        <v>1.1297363E7</v>
      </c>
      <c r="Q5634" s="102" t="s">
        <v>2576</v>
      </c>
      <c r="S5634" s="1"/>
      <c r="T5634" s="1"/>
      <c r="U5634" s="1"/>
      <c r="V5634" s="1"/>
      <c r="W5634" s="1"/>
      <c r="X5634" s="1"/>
      <c r="Y5634" s="1"/>
      <c r="AA5634" s="102"/>
      <c r="AB5634" s="1"/>
      <c r="AC5634" s="1"/>
      <c r="AD5634" s="1"/>
      <c r="AE5634" s="1"/>
      <c r="AF5634" s="1"/>
      <c r="AG5634" s="1"/>
    </row>
    <row r="5635" ht="15.75" customHeight="1">
      <c r="A5635" s="1"/>
      <c r="B5635" s="1"/>
      <c r="C5635" s="1"/>
      <c r="D5635" s="1"/>
      <c r="E5635" s="1"/>
      <c r="F5635" s="1"/>
      <c r="G5635" s="1"/>
      <c r="H5635" s="1"/>
      <c r="I5635" s="1"/>
      <c r="J5635" s="1"/>
      <c r="K5635" s="102" t="s">
        <v>8815</v>
      </c>
      <c r="L5635" s="102" t="str">
        <f>C691</f>
        <v>J1b</v>
      </c>
      <c r="M5635" s="102"/>
      <c r="N5635" s="102"/>
      <c r="O5635" s="102">
        <v>1.347294E7</v>
      </c>
      <c r="P5635" s="102">
        <v>1.1317264E7</v>
      </c>
      <c r="Q5635" s="102" t="s">
        <v>2533</v>
      </c>
      <c r="S5635" s="1"/>
      <c r="T5635" s="1"/>
      <c r="U5635" s="1"/>
      <c r="V5635" s="1"/>
      <c r="W5635" s="1"/>
      <c r="X5635" s="1"/>
      <c r="Y5635" s="1"/>
      <c r="AA5635" s="102"/>
      <c r="AB5635" s="1"/>
      <c r="AC5635" s="1"/>
      <c r="AD5635" s="1"/>
      <c r="AE5635" s="1"/>
      <c r="AF5635" s="1"/>
      <c r="AG5635" s="1"/>
    </row>
    <row r="5636" ht="15.75" customHeight="1">
      <c r="A5636" s="1"/>
      <c r="B5636" s="1"/>
      <c r="C5636" s="1"/>
      <c r="D5636" s="1"/>
      <c r="E5636" s="1"/>
      <c r="F5636" s="1"/>
      <c r="G5636" s="1"/>
      <c r="H5636" s="1"/>
      <c r="I5636" s="1"/>
      <c r="J5636" s="1"/>
      <c r="K5636" s="102" t="s">
        <v>8816</v>
      </c>
      <c r="L5636" s="102" t="str">
        <f>C691</f>
        <v>J1b</v>
      </c>
      <c r="M5636" s="102"/>
      <c r="N5636" s="102" t="s">
        <v>8817</v>
      </c>
      <c r="O5636" s="105">
        <v>1.4277219E7</v>
      </c>
      <c r="P5636" s="105">
        <v>1.2156513E7</v>
      </c>
      <c r="Q5636" s="102" t="s">
        <v>2529</v>
      </c>
      <c r="S5636" s="1"/>
      <c r="T5636" s="1"/>
      <c r="U5636" s="1"/>
      <c r="V5636" s="1"/>
      <c r="W5636" s="1"/>
      <c r="X5636" s="1"/>
      <c r="Y5636" s="1"/>
      <c r="AA5636" s="102"/>
      <c r="AB5636" s="1"/>
      <c r="AC5636" s="1"/>
      <c r="AD5636" s="1"/>
      <c r="AE5636" s="1"/>
      <c r="AF5636" s="1"/>
      <c r="AG5636" s="1"/>
    </row>
    <row r="5637" ht="15.75" customHeight="1">
      <c r="A5637" s="1"/>
      <c r="B5637" s="1"/>
      <c r="C5637" s="1"/>
      <c r="D5637" s="1"/>
      <c r="E5637" s="1"/>
      <c r="F5637" s="1"/>
      <c r="G5637" s="1"/>
      <c r="H5637" s="1"/>
      <c r="I5637" s="1"/>
      <c r="J5637" s="1"/>
      <c r="K5637" s="102" t="s">
        <v>8818</v>
      </c>
      <c r="L5637" s="102" t="str">
        <f>C691</f>
        <v>J1b</v>
      </c>
      <c r="M5637" s="102"/>
      <c r="N5637" s="102" t="s">
        <v>8819</v>
      </c>
      <c r="O5637" s="105">
        <v>1.5461216E7</v>
      </c>
      <c r="P5637" s="105">
        <v>1.3349336E7</v>
      </c>
      <c r="Q5637" s="102" t="s">
        <v>2576</v>
      </c>
      <c r="S5637" s="1"/>
      <c r="T5637" s="1"/>
      <c r="U5637" s="1"/>
      <c r="V5637" s="1"/>
      <c r="W5637" s="1"/>
      <c r="X5637" s="1"/>
      <c r="Y5637" s="1"/>
      <c r="AA5637" s="102"/>
      <c r="AB5637" s="1"/>
      <c r="AC5637" s="1"/>
      <c r="AD5637" s="1"/>
      <c r="AE5637" s="1"/>
      <c r="AF5637" s="1"/>
      <c r="AG5637" s="1"/>
    </row>
    <row r="5638" ht="15.75" customHeight="1">
      <c r="A5638" s="1"/>
      <c r="B5638" s="1"/>
      <c r="C5638" s="1"/>
      <c r="D5638" s="1"/>
      <c r="E5638" s="1"/>
      <c r="F5638" s="1"/>
      <c r="G5638" s="1"/>
      <c r="H5638" s="1"/>
      <c r="I5638" s="1"/>
      <c r="J5638" s="1"/>
      <c r="K5638" s="102" t="s">
        <v>8820</v>
      </c>
      <c r="L5638" s="102" t="str">
        <f>C691</f>
        <v>J1b</v>
      </c>
      <c r="M5638" s="102"/>
      <c r="N5638" s="102" t="s">
        <v>8821</v>
      </c>
      <c r="O5638" s="105">
        <v>1.5617058E7</v>
      </c>
      <c r="P5638" s="105">
        <v>1.3505178E7</v>
      </c>
      <c r="Q5638" s="102" t="s">
        <v>2468</v>
      </c>
      <c r="S5638" s="1"/>
      <c r="T5638" s="1"/>
      <c r="U5638" s="1"/>
      <c r="V5638" s="1"/>
      <c r="W5638" s="1"/>
      <c r="X5638" s="1"/>
      <c r="Y5638" s="1"/>
      <c r="AA5638" s="102"/>
      <c r="AB5638" s="1"/>
      <c r="AC5638" s="1"/>
      <c r="AD5638" s="1"/>
      <c r="AE5638" s="1"/>
      <c r="AF5638" s="1"/>
      <c r="AG5638" s="1"/>
    </row>
    <row r="5639" ht="15.75" customHeight="1">
      <c r="A5639" s="1"/>
      <c r="B5639" s="1"/>
      <c r="C5639" s="1"/>
      <c r="D5639" s="1"/>
      <c r="E5639" s="1"/>
      <c r="F5639" s="1"/>
      <c r="G5639" s="1"/>
      <c r="H5639" s="1"/>
      <c r="I5639" s="1"/>
      <c r="J5639" s="1"/>
      <c r="K5639" s="102" t="s">
        <v>8822</v>
      </c>
      <c r="L5639" s="102" t="str">
        <f>C691</f>
        <v>J1b</v>
      </c>
      <c r="M5639" s="102"/>
      <c r="N5639" s="102"/>
      <c r="O5639" s="102">
        <v>1.5916991E7</v>
      </c>
      <c r="P5639" s="102">
        <v>1.3805111E7</v>
      </c>
      <c r="Q5639" s="102" t="s">
        <v>2533</v>
      </c>
      <c r="S5639" s="1"/>
      <c r="T5639" s="1"/>
      <c r="U5639" s="1"/>
      <c r="V5639" s="1"/>
      <c r="W5639" s="1"/>
      <c r="X5639" s="1"/>
      <c r="Y5639" s="1"/>
      <c r="AA5639" s="102"/>
      <c r="AB5639" s="1"/>
      <c r="AC5639" s="1"/>
      <c r="AD5639" s="1"/>
      <c r="AE5639" s="1"/>
      <c r="AF5639" s="1"/>
      <c r="AG5639" s="1"/>
    </row>
    <row r="5640" ht="15.75" customHeight="1">
      <c r="A5640" s="1"/>
      <c r="B5640" s="1"/>
      <c r="C5640" s="1"/>
      <c r="D5640" s="1"/>
      <c r="E5640" s="1"/>
      <c r="F5640" s="1"/>
      <c r="G5640" s="1"/>
      <c r="H5640" s="1"/>
      <c r="I5640" s="1"/>
      <c r="J5640" s="1"/>
      <c r="K5640" s="102" t="s">
        <v>8823</v>
      </c>
      <c r="L5640" s="102" t="str">
        <f>C691</f>
        <v>J1b</v>
      </c>
      <c r="M5640" s="102"/>
      <c r="N5640" s="102" t="s">
        <v>8824</v>
      </c>
      <c r="O5640" s="105">
        <v>1.6000051E7</v>
      </c>
      <c r="P5640" s="105">
        <v>1.3888171E7</v>
      </c>
      <c r="Q5640" s="102" t="s">
        <v>2501</v>
      </c>
      <c r="S5640" s="1"/>
      <c r="T5640" s="1"/>
      <c r="U5640" s="1"/>
      <c r="V5640" s="1"/>
      <c r="W5640" s="1"/>
      <c r="X5640" s="1"/>
      <c r="Y5640" s="1"/>
      <c r="AA5640" s="102"/>
      <c r="AB5640" s="1"/>
      <c r="AC5640" s="1"/>
      <c r="AD5640" s="1"/>
      <c r="AE5640" s="1"/>
      <c r="AF5640" s="1"/>
      <c r="AG5640" s="1"/>
    </row>
    <row r="5641" ht="15.75" customHeight="1">
      <c r="A5641" s="1"/>
      <c r="B5641" s="1"/>
      <c r="C5641" s="1"/>
      <c r="D5641" s="1"/>
      <c r="E5641" s="1"/>
      <c r="F5641" s="1"/>
      <c r="G5641" s="1"/>
      <c r="H5641" s="1"/>
      <c r="I5641" s="1"/>
      <c r="J5641" s="1"/>
      <c r="K5641" s="102" t="s">
        <v>8825</v>
      </c>
      <c r="L5641" s="102" t="str">
        <f>C691</f>
        <v>J1b</v>
      </c>
      <c r="M5641" s="102"/>
      <c r="N5641" s="102" t="s">
        <v>8826</v>
      </c>
      <c r="O5641" s="102">
        <v>1.6600566E7</v>
      </c>
      <c r="P5641" s="102">
        <v>1.4488686E7</v>
      </c>
      <c r="Q5641" s="102" t="s">
        <v>2529</v>
      </c>
      <c r="S5641" s="1"/>
      <c r="T5641" s="1"/>
      <c r="U5641" s="1"/>
      <c r="V5641" s="1"/>
      <c r="W5641" s="1"/>
      <c r="X5641" s="1"/>
      <c r="Y5641" s="1"/>
      <c r="AA5641" s="102"/>
      <c r="AB5641" s="1"/>
      <c r="AC5641" s="1"/>
      <c r="AD5641" s="1"/>
      <c r="AE5641" s="1"/>
      <c r="AF5641" s="1"/>
      <c r="AG5641" s="1"/>
    </row>
    <row r="5642" ht="15.75" customHeight="1">
      <c r="A5642" s="1"/>
      <c r="B5642" s="1"/>
      <c r="C5642" s="1"/>
      <c r="D5642" s="1"/>
      <c r="E5642" s="1"/>
      <c r="F5642" s="1"/>
      <c r="G5642" s="1"/>
      <c r="H5642" s="1"/>
      <c r="I5642" s="1"/>
      <c r="J5642" s="1"/>
      <c r="K5642" s="102" t="s">
        <v>8827</v>
      </c>
      <c r="L5642" s="102" t="str">
        <f>C691</f>
        <v>J1b</v>
      </c>
      <c r="M5642" s="102"/>
      <c r="N5642" s="102" t="s">
        <v>8828</v>
      </c>
      <c r="O5642" s="105">
        <v>1.6621683E7</v>
      </c>
      <c r="P5642" s="105">
        <v>1.4509803E7</v>
      </c>
      <c r="Q5642" s="102" t="s">
        <v>2468</v>
      </c>
      <c r="S5642" s="1"/>
      <c r="T5642" s="1"/>
      <c r="U5642" s="1"/>
      <c r="V5642" s="1"/>
      <c r="W5642" s="1"/>
      <c r="X5642" s="1"/>
      <c r="Y5642" s="1"/>
      <c r="AA5642" s="102"/>
      <c r="AB5642" s="1"/>
      <c r="AC5642" s="1"/>
      <c r="AD5642" s="1"/>
      <c r="AE5642" s="1"/>
      <c r="AF5642" s="1"/>
      <c r="AG5642" s="1"/>
    </row>
    <row r="5643" ht="15.75" customHeight="1">
      <c r="A5643" s="1"/>
      <c r="B5643" s="1"/>
      <c r="C5643" s="1"/>
      <c r="D5643" s="1"/>
      <c r="E5643" s="1"/>
      <c r="F5643" s="1"/>
      <c r="G5643" s="1"/>
      <c r="H5643" s="1"/>
      <c r="I5643" s="1"/>
      <c r="J5643" s="1"/>
      <c r="K5643" s="102" t="s">
        <v>8829</v>
      </c>
      <c r="L5643" s="102" t="str">
        <f>C691</f>
        <v>J1b</v>
      </c>
      <c r="M5643" s="102"/>
      <c r="N5643" s="102"/>
      <c r="O5643" s="102">
        <v>1.6895189E7</v>
      </c>
      <c r="P5643" s="102">
        <v>1.4783309E7</v>
      </c>
      <c r="Q5643" s="102" t="s">
        <v>2468</v>
      </c>
      <c r="S5643" s="1"/>
      <c r="T5643" s="1"/>
      <c r="U5643" s="1"/>
      <c r="V5643" s="1"/>
      <c r="W5643" s="1"/>
      <c r="X5643" s="1"/>
      <c r="Y5643" s="1"/>
      <c r="AA5643" s="102"/>
      <c r="AB5643" s="1"/>
      <c r="AC5643" s="1"/>
      <c r="AD5643" s="1"/>
      <c r="AE5643" s="1"/>
      <c r="AF5643" s="1"/>
      <c r="AG5643" s="1"/>
    </row>
    <row r="5644" ht="15.75" customHeight="1">
      <c r="A5644" s="1"/>
      <c r="B5644" s="1"/>
      <c r="C5644" s="1"/>
      <c r="D5644" s="1"/>
      <c r="E5644" s="1"/>
      <c r="F5644" s="1"/>
      <c r="G5644" s="1"/>
      <c r="H5644" s="1"/>
      <c r="I5644" s="1"/>
      <c r="J5644" s="1"/>
      <c r="K5644" s="102" t="s">
        <v>8830</v>
      </c>
      <c r="L5644" s="102" t="str">
        <f>C691</f>
        <v>J1b</v>
      </c>
      <c r="M5644" s="102"/>
      <c r="N5644" s="102" t="s">
        <v>8831</v>
      </c>
      <c r="O5644" s="105">
        <v>1.7398975E7</v>
      </c>
      <c r="P5644" s="105">
        <v>1.5287095E7</v>
      </c>
      <c r="Q5644" s="102" t="s">
        <v>2468</v>
      </c>
      <c r="S5644" s="1"/>
      <c r="T5644" s="1"/>
      <c r="U5644" s="1"/>
      <c r="V5644" s="1"/>
      <c r="W5644" s="1"/>
      <c r="X5644" s="1"/>
      <c r="Y5644" s="1"/>
      <c r="AA5644" s="102"/>
      <c r="AB5644" s="1"/>
      <c r="AC5644" s="1"/>
      <c r="AD5644" s="1"/>
      <c r="AE5644" s="1"/>
      <c r="AF5644" s="1"/>
      <c r="AG5644" s="1"/>
    </row>
    <row r="5645" ht="15.75" customHeight="1">
      <c r="A5645" s="1"/>
      <c r="B5645" s="1"/>
      <c r="C5645" s="1"/>
      <c r="D5645" s="1"/>
      <c r="E5645" s="1"/>
      <c r="F5645" s="1"/>
      <c r="G5645" s="1"/>
      <c r="H5645" s="1"/>
      <c r="I5645" s="1"/>
      <c r="J5645" s="1"/>
      <c r="K5645" s="102" t="s">
        <v>8832</v>
      </c>
      <c r="L5645" s="102" t="str">
        <f>C691</f>
        <v>J1b</v>
      </c>
      <c r="M5645" s="102"/>
      <c r="N5645" s="102"/>
      <c r="O5645" s="105">
        <v>1.8259823E7</v>
      </c>
      <c r="P5645" s="105">
        <v>1.6147943E7</v>
      </c>
      <c r="Q5645" s="102" t="s">
        <v>2439</v>
      </c>
      <c r="S5645" s="1"/>
      <c r="T5645" s="1"/>
      <c r="U5645" s="1"/>
      <c r="V5645" s="1"/>
      <c r="W5645" s="1"/>
      <c r="X5645" s="1"/>
      <c r="Y5645" s="1"/>
      <c r="AA5645" s="102"/>
      <c r="AB5645" s="1"/>
      <c r="AC5645" s="1"/>
      <c r="AD5645" s="1"/>
      <c r="AE5645" s="1"/>
      <c r="AF5645" s="1"/>
      <c r="AG5645" s="1"/>
    </row>
    <row r="5646" ht="15.75" customHeight="1">
      <c r="A5646" s="1"/>
      <c r="B5646" s="1"/>
      <c r="C5646" s="1"/>
      <c r="D5646" s="1"/>
      <c r="E5646" s="1"/>
      <c r="F5646" s="1"/>
      <c r="G5646" s="1"/>
      <c r="H5646" s="1"/>
      <c r="I5646" s="1"/>
      <c r="J5646" s="1"/>
      <c r="K5646" s="102" t="s">
        <v>8833</v>
      </c>
      <c r="L5646" s="102" t="str">
        <f>C691</f>
        <v>J1b</v>
      </c>
      <c r="M5646" s="102"/>
      <c r="N5646" s="102" t="s">
        <v>8834</v>
      </c>
      <c r="O5646" s="105">
        <v>1.8632462E7</v>
      </c>
      <c r="P5646" s="105">
        <v>1.6520582E7</v>
      </c>
      <c r="Q5646" s="102" t="s">
        <v>2501</v>
      </c>
      <c r="S5646" s="1"/>
      <c r="T5646" s="1"/>
      <c r="U5646" s="1"/>
      <c r="V5646" s="1"/>
      <c r="W5646" s="1"/>
      <c r="X5646" s="1"/>
      <c r="Y5646" s="1"/>
      <c r="AA5646" s="102"/>
      <c r="AB5646" s="1"/>
      <c r="AC5646" s="1"/>
      <c r="AD5646" s="1"/>
      <c r="AE5646" s="1"/>
      <c r="AF5646" s="1"/>
      <c r="AG5646" s="1"/>
    </row>
    <row r="5647" ht="15.75" customHeight="1">
      <c r="A5647" s="1"/>
      <c r="B5647" s="1"/>
      <c r="C5647" s="1"/>
      <c r="D5647" s="1"/>
      <c r="E5647" s="1"/>
      <c r="F5647" s="1"/>
      <c r="G5647" s="1"/>
      <c r="H5647" s="1"/>
      <c r="I5647" s="1"/>
      <c r="J5647" s="1"/>
      <c r="K5647" s="102" t="s">
        <v>8835</v>
      </c>
      <c r="L5647" s="102" t="str">
        <f>C691</f>
        <v>J1b</v>
      </c>
      <c r="M5647" s="102"/>
      <c r="N5647" s="102"/>
      <c r="O5647" s="102">
        <v>1.8837238E7</v>
      </c>
      <c r="P5647" s="102">
        <v>1.6725358E7</v>
      </c>
      <c r="Q5647" s="102" t="s">
        <v>2439</v>
      </c>
      <c r="S5647" s="1"/>
      <c r="T5647" s="1"/>
      <c r="U5647" s="1"/>
      <c r="V5647" s="1"/>
      <c r="W5647" s="1"/>
      <c r="X5647" s="1"/>
      <c r="Y5647" s="1"/>
      <c r="AA5647" s="102"/>
      <c r="AB5647" s="1"/>
      <c r="AC5647" s="1"/>
      <c r="AD5647" s="1"/>
      <c r="AE5647" s="1"/>
      <c r="AF5647" s="1"/>
      <c r="AG5647" s="1"/>
    </row>
    <row r="5648" ht="15.75" customHeight="1">
      <c r="A5648" s="1"/>
      <c r="B5648" s="1"/>
      <c r="C5648" s="1"/>
      <c r="D5648" s="1"/>
      <c r="E5648" s="1"/>
      <c r="F5648" s="1"/>
      <c r="G5648" s="1"/>
      <c r="H5648" s="1"/>
      <c r="I5648" s="1"/>
      <c r="J5648" s="1"/>
      <c r="K5648" s="102" t="s">
        <v>8836</v>
      </c>
      <c r="L5648" s="102" t="str">
        <f>C691</f>
        <v>J1b</v>
      </c>
      <c r="M5648" s="102"/>
      <c r="N5648" s="102" t="s">
        <v>8837</v>
      </c>
      <c r="O5648" s="105">
        <v>1.9062456E7</v>
      </c>
      <c r="P5648" s="105">
        <v>1.6950576E7</v>
      </c>
      <c r="Q5648" s="102" t="s">
        <v>2432</v>
      </c>
      <c r="S5648" s="1"/>
      <c r="T5648" s="1"/>
      <c r="U5648" s="1"/>
      <c r="V5648" s="1"/>
      <c r="W5648" s="1"/>
      <c r="X5648" s="1"/>
      <c r="Y5648" s="1"/>
      <c r="AA5648" s="102"/>
      <c r="AB5648" s="1"/>
      <c r="AC5648" s="1"/>
      <c r="AD5648" s="1"/>
      <c r="AE5648" s="1"/>
      <c r="AF5648" s="1"/>
      <c r="AG5648" s="1"/>
    </row>
    <row r="5649" ht="15.75" customHeight="1">
      <c r="A5649" s="1"/>
      <c r="B5649" s="1"/>
      <c r="C5649" s="1"/>
      <c r="D5649" s="1"/>
      <c r="E5649" s="1"/>
      <c r="F5649" s="1"/>
      <c r="G5649" s="1"/>
      <c r="H5649" s="1"/>
      <c r="I5649" s="1"/>
      <c r="J5649" s="1"/>
      <c r="K5649" s="102" t="s">
        <v>8838</v>
      </c>
      <c r="L5649" s="102" t="str">
        <f>C691</f>
        <v>J1b</v>
      </c>
      <c r="M5649" s="102"/>
      <c r="N5649" s="102"/>
      <c r="O5649" s="102">
        <v>1.9090192E7</v>
      </c>
      <c r="P5649" s="102">
        <v>1.6978312E7</v>
      </c>
      <c r="Q5649" s="102" t="s">
        <v>2446</v>
      </c>
      <c r="S5649" s="1"/>
      <c r="T5649" s="1"/>
      <c r="U5649" s="1"/>
      <c r="V5649" s="1"/>
      <c r="W5649" s="1"/>
      <c r="X5649" s="1"/>
      <c r="Y5649" s="1"/>
      <c r="AA5649" s="102"/>
      <c r="AB5649" s="1"/>
      <c r="AC5649" s="1"/>
      <c r="AD5649" s="1"/>
      <c r="AE5649" s="1"/>
      <c r="AF5649" s="1"/>
      <c r="AG5649" s="1"/>
    </row>
    <row r="5650" ht="15.75" customHeight="1">
      <c r="A5650" s="1"/>
      <c r="B5650" s="1"/>
      <c r="C5650" s="1"/>
      <c r="D5650" s="1"/>
      <c r="E5650" s="1"/>
      <c r="F5650" s="1"/>
      <c r="G5650" s="1"/>
      <c r="H5650" s="1"/>
      <c r="I5650" s="1"/>
      <c r="J5650" s="1"/>
      <c r="K5650" s="102" t="s">
        <v>8839</v>
      </c>
      <c r="L5650" s="102" t="str">
        <f>C691</f>
        <v>J1b</v>
      </c>
      <c r="M5650" s="102"/>
      <c r="N5650" s="102"/>
      <c r="O5650" s="102">
        <v>1.9319015E7</v>
      </c>
      <c r="P5650" s="102">
        <v>1.7207135E7</v>
      </c>
      <c r="Q5650" s="102" t="s">
        <v>2439</v>
      </c>
      <c r="S5650" s="1"/>
      <c r="T5650" s="1"/>
      <c r="U5650" s="1"/>
      <c r="V5650" s="1"/>
      <c r="W5650" s="1"/>
      <c r="X5650" s="1"/>
      <c r="Y5650" s="1"/>
      <c r="AA5650" s="102"/>
      <c r="AB5650" s="1"/>
      <c r="AC5650" s="1"/>
      <c r="AD5650" s="1"/>
      <c r="AE5650" s="1"/>
      <c r="AF5650" s="1"/>
      <c r="AG5650" s="1"/>
    </row>
    <row r="5651" ht="15.75" customHeight="1">
      <c r="A5651" s="1"/>
      <c r="B5651" s="1"/>
      <c r="C5651" s="1"/>
      <c r="D5651" s="1"/>
      <c r="E5651" s="1"/>
      <c r="F5651" s="1"/>
      <c r="G5651" s="1"/>
      <c r="H5651" s="1"/>
      <c r="I5651" s="1"/>
      <c r="J5651" s="1"/>
      <c r="K5651" s="102" t="s">
        <v>8840</v>
      </c>
      <c r="L5651" s="102" t="str">
        <f>C691</f>
        <v>J1b</v>
      </c>
      <c r="M5651" s="102"/>
      <c r="N5651" s="102" t="s">
        <v>8841</v>
      </c>
      <c r="O5651" s="102">
        <v>1.946006E7</v>
      </c>
      <c r="P5651" s="102">
        <v>1.734818E7</v>
      </c>
      <c r="Q5651" s="102" t="s">
        <v>2576</v>
      </c>
      <c r="S5651" s="1"/>
      <c r="T5651" s="1"/>
      <c r="U5651" s="1"/>
      <c r="V5651" s="1"/>
      <c r="W5651" s="1"/>
      <c r="X5651" s="1"/>
      <c r="Y5651" s="1"/>
      <c r="AA5651" s="102"/>
      <c r="AB5651" s="1"/>
      <c r="AC5651" s="1"/>
      <c r="AD5651" s="1"/>
      <c r="AE5651" s="1"/>
      <c r="AF5651" s="1"/>
      <c r="AG5651" s="1"/>
    </row>
    <row r="5652" ht="15.75" customHeight="1">
      <c r="A5652" s="1"/>
      <c r="B5652" s="1"/>
      <c r="C5652" s="1"/>
      <c r="D5652" s="1"/>
      <c r="E5652" s="1"/>
      <c r="F5652" s="1"/>
      <c r="G5652" s="1"/>
      <c r="H5652" s="1"/>
      <c r="I5652" s="1"/>
      <c r="J5652" s="1"/>
      <c r="K5652" s="102" t="s">
        <v>8842</v>
      </c>
      <c r="L5652" s="102" t="str">
        <f>C691</f>
        <v>J1b</v>
      </c>
      <c r="M5652" s="102"/>
      <c r="N5652" s="102" t="s">
        <v>8843</v>
      </c>
      <c r="O5652" s="105">
        <v>1.9498817E7</v>
      </c>
      <c r="P5652" s="105">
        <v>1.7386937E7</v>
      </c>
      <c r="Q5652" s="102" t="s">
        <v>2468</v>
      </c>
      <c r="S5652" s="1"/>
      <c r="T5652" s="1"/>
      <c r="U5652" s="1"/>
      <c r="V5652" s="1"/>
      <c r="W5652" s="1"/>
      <c r="X5652" s="1"/>
      <c r="Y5652" s="1"/>
      <c r="AA5652" s="102"/>
      <c r="AB5652" s="1"/>
      <c r="AC5652" s="1"/>
      <c r="AD5652" s="1"/>
      <c r="AE5652" s="1"/>
      <c r="AF5652" s="1"/>
      <c r="AG5652" s="1"/>
    </row>
    <row r="5653" ht="15.75" customHeight="1">
      <c r="A5653" s="1"/>
      <c r="B5653" s="1"/>
      <c r="C5653" s="1"/>
      <c r="D5653" s="1"/>
      <c r="E5653" s="1"/>
      <c r="F5653" s="1"/>
      <c r="G5653" s="1"/>
      <c r="H5653" s="1"/>
      <c r="I5653" s="1"/>
      <c r="J5653" s="1"/>
      <c r="K5653" s="102" t="s">
        <v>8844</v>
      </c>
      <c r="L5653" s="102" t="str">
        <f>C691</f>
        <v>J1b</v>
      </c>
      <c r="M5653" s="102"/>
      <c r="N5653" s="102" t="s">
        <v>8845</v>
      </c>
      <c r="O5653" s="105">
        <v>2.110985E7</v>
      </c>
      <c r="P5653" s="105">
        <v>1.8947964E7</v>
      </c>
      <c r="Q5653" s="102" t="s">
        <v>2501</v>
      </c>
      <c r="S5653" s="1"/>
      <c r="T5653" s="1"/>
      <c r="U5653" s="1"/>
      <c r="V5653" s="1"/>
      <c r="W5653" s="1"/>
      <c r="X5653" s="1"/>
      <c r="Y5653" s="1"/>
      <c r="AA5653" s="102"/>
      <c r="AB5653" s="1"/>
      <c r="AC5653" s="1"/>
      <c r="AD5653" s="1"/>
      <c r="AE5653" s="1"/>
      <c r="AF5653" s="1"/>
      <c r="AG5653" s="1"/>
    </row>
    <row r="5654" ht="15.75" customHeight="1">
      <c r="A5654" s="1"/>
      <c r="B5654" s="1"/>
      <c r="C5654" s="1"/>
      <c r="D5654" s="1"/>
      <c r="E5654" s="1"/>
      <c r="F5654" s="1"/>
      <c r="G5654" s="1"/>
      <c r="H5654" s="1"/>
      <c r="I5654" s="1"/>
      <c r="J5654" s="1"/>
      <c r="K5654" s="102" t="s">
        <v>8846</v>
      </c>
      <c r="L5654" s="102" t="str">
        <f>C691</f>
        <v>J1b</v>
      </c>
      <c r="M5654" s="102"/>
      <c r="N5654" s="102" t="s">
        <v>8847</v>
      </c>
      <c r="O5654" s="102">
        <v>2.1284708E7</v>
      </c>
      <c r="P5654" s="102">
        <v>1.9122822E7</v>
      </c>
      <c r="Q5654" s="102" t="s">
        <v>2514</v>
      </c>
      <c r="S5654" s="1"/>
      <c r="T5654" s="1"/>
      <c r="U5654" s="1"/>
      <c r="V5654" s="1"/>
      <c r="W5654" s="1"/>
      <c r="X5654" s="1"/>
      <c r="Y5654" s="1"/>
      <c r="AA5654" s="102"/>
      <c r="AB5654" s="1"/>
      <c r="AC5654" s="1"/>
      <c r="AD5654" s="1"/>
      <c r="AE5654" s="1"/>
      <c r="AF5654" s="1"/>
      <c r="AG5654" s="1"/>
    </row>
    <row r="5655" ht="15.75" customHeight="1">
      <c r="A5655" s="1"/>
      <c r="B5655" s="1"/>
      <c r="C5655" s="1"/>
      <c r="D5655" s="1"/>
      <c r="E5655" s="1"/>
      <c r="F5655" s="1"/>
      <c r="G5655" s="1"/>
      <c r="H5655" s="1"/>
      <c r="I5655" s="1"/>
      <c r="J5655" s="1"/>
      <c r="K5655" s="102" t="s">
        <v>8848</v>
      </c>
      <c r="L5655" s="102" t="str">
        <f>C691</f>
        <v>J1b</v>
      </c>
      <c r="M5655" s="102"/>
      <c r="N5655" s="102"/>
      <c r="O5655" s="102">
        <v>2.1416857E7</v>
      </c>
      <c r="P5655" s="102">
        <v>1.9254971E7</v>
      </c>
      <c r="Q5655" s="102" t="s">
        <v>2446</v>
      </c>
      <c r="S5655" s="1"/>
      <c r="T5655" s="1"/>
      <c r="U5655" s="1"/>
      <c r="V5655" s="1"/>
      <c r="W5655" s="1"/>
      <c r="X5655" s="1"/>
      <c r="Y5655" s="1"/>
      <c r="AA5655" s="102"/>
      <c r="AB5655" s="1"/>
      <c r="AC5655" s="1"/>
      <c r="AD5655" s="1"/>
      <c r="AE5655" s="1"/>
      <c r="AF5655" s="1"/>
      <c r="AG5655" s="1"/>
    </row>
    <row r="5656" ht="15.75" customHeight="1">
      <c r="A5656" s="1"/>
      <c r="B5656" s="1"/>
      <c r="C5656" s="1"/>
      <c r="D5656" s="1"/>
      <c r="E5656" s="1"/>
      <c r="F5656" s="1"/>
      <c r="G5656" s="1"/>
      <c r="H5656" s="1"/>
      <c r="I5656" s="1"/>
      <c r="J5656" s="1"/>
      <c r="K5656" s="102" t="s">
        <v>8849</v>
      </c>
      <c r="L5656" s="102" t="str">
        <f>C691</f>
        <v>J1b</v>
      </c>
      <c r="M5656" s="102"/>
      <c r="N5656" s="102" t="s">
        <v>8850</v>
      </c>
      <c r="O5656" s="105">
        <v>2.1465941E7</v>
      </c>
      <c r="P5656" s="105">
        <v>1.9304055E7</v>
      </c>
      <c r="Q5656" s="102" t="s">
        <v>2439</v>
      </c>
      <c r="S5656" s="1"/>
      <c r="T5656" s="1"/>
      <c r="U5656" s="1"/>
      <c r="V5656" s="1"/>
      <c r="W5656" s="1"/>
      <c r="X5656" s="1"/>
      <c r="Y5656" s="1"/>
      <c r="AA5656" s="102"/>
      <c r="AB5656" s="1"/>
      <c r="AC5656" s="1"/>
      <c r="AD5656" s="1"/>
      <c r="AE5656" s="1"/>
      <c r="AF5656" s="1"/>
      <c r="AG5656" s="1"/>
    </row>
    <row r="5657" ht="15.75" customHeight="1">
      <c r="A5657" s="1"/>
      <c r="B5657" s="1"/>
      <c r="C5657" s="1"/>
      <c r="D5657" s="1"/>
      <c r="E5657" s="1"/>
      <c r="F5657" s="1"/>
      <c r="G5657" s="1"/>
      <c r="H5657" s="1"/>
      <c r="I5657" s="1"/>
      <c r="J5657" s="1"/>
      <c r="K5657" s="102" t="s">
        <v>8851</v>
      </c>
      <c r="L5657" s="102" t="str">
        <f>C691</f>
        <v>J1b</v>
      </c>
      <c r="M5657" s="102"/>
      <c r="N5657" s="102" t="s">
        <v>8852</v>
      </c>
      <c r="O5657" s="105">
        <v>2.1528339E7</v>
      </c>
      <c r="P5657" s="105">
        <v>1.9366453E7</v>
      </c>
      <c r="Q5657" s="102" t="s">
        <v>2454</v>
      </c>
      <c r="S5657" s="1"/>
      <c r="T5657" s="1"/>
      <c r="U5657" s="1"/>
      <c r="V5657" s="1"/>
      <c r="W5657" s="1"/>
      <c r="X5657" s="1"/>
      <c r="Y5657" s="1"/>
      <c r="AA5657" s="102"/>
      <c r="AB5657" s="1"/>
      <c r="AC5657" s="1"/>
      <c r="AD5657" s="1"/>
      <c r="AE5657" s="1"/>
      <c r="AF5657" s="1"/>
      <c r="AG5657" s="1"/>
    </row>
    <row r="5658" ht="15.75" customHeight="1">
      <c r="A5658" s="1"/>
      <c r="B5658" s="1"/>
      <c r="C5658" s="1"/>
      <c r="D5658" s="1"/>
      <c r="E5658" s="1"/>
      <c r="F5658" s="1"/>
      <c r="G5658" s="1"/>
      <c r="H5658" s="1"/>
      <c r="I5658" s="1"/>
      <c r="J5658" s="1"/>
      <c r="K5658" s="102" t="s">
        <v>8853</v>
      </c>
      <c r="L5658" s="102" t="str">
        <f>C691</f>
        <v>J1b</v>
      </c>
      <c r="M5658" s="102"/>
      <c r="N5658" s="102" t="s">
        <v>8854</v>
      </c>
      <c r="O5658" s="105">
        <v>2.1998388E7</v>
      </c>
      <c r="P5658" s="105">
        <v>1.9836502E7</v>
      </c>
      <c r="Q5658" s="102" t="s">
        <v>2576</v>
      </c>
      <c r="S5658" s="1"/>
      <c r="T5658" s="1"/>
      <c r="U5658" s="1"/>
      <c r="V5658" s="1"/>
      <c r="W5658" s="1"/>
      <c r="X5658" s="1"/>
      <c r="Y5658" s="1"/>
      <c r="AA5658" s="102"/>
      <c r="AB5658" s="1"/>
      <c r="AC5658" s="1"/>
      <c r="AD5658" s="1"/>
      <c r="AE5658" s="1"/>
      <c r="AF5658" s="1"/>
      <c r="AG5658" s="1"/>
    </row>
    <row r="5659" ht="15.75" customHeight="1">
      <c r="A5659" s="1"/>
      <c r="B5659" s="1"/>
      <c r="C5659" s="1"/>
      <c r="D5659" s="1"/>
      <c r="E5659" s="1"/>
      <c r="F5659" s="1"/>
      <c r="G5659" s="1"/>
      <c r="H5659" s="1"/>
      <c r="I5659" s="1"/>
      <c r="J5659" s="1"/>
      <c r="K5659" s="102" t="s">
        <v>8855</v>
      </c>
      <c r="L5659" s="102" t="str">
        <f>C691</f>
        <v>J1b</v>
      </c>
      <c r="M5659" s="102"/>
      <c r="N5659" s="102" t="s">
        <v>8856</v>
      </c>
      <c r="O5659" s="105">
        <v>2.2664874E7</v>
      </c>
      <c r="P5659" s="105">
        <v>2.0502988E7</v>
      </c>
      <c r="Q5659" s="102" t="s">
        <v>2439</v>
      </c>
      <c r="S5659" s="1"/>
      <c r="T5659" s="1"/>
      <c r="U5659" s="1"/>
      <c r="V5659" s="1"/>
      <c r="W5659" s="1"/>
      <c r="X5659" s="1"/>
      <c r="Y5659" s="1"/>
      <c r="AA5659" s="102"/>
      <c r="AB5659" s="1"/>
      <c r="AC5659" s="1"/>
      <c r="AD5659" s="1"/>
      <c r="AE5659" s="1"/>
      <c r="AF5659" s="1"/>
      <c r="AG5659" s="1"/>
    </row>
    <row r="5660" ht="15.75" customHeight="1">
      <c r="A5660" s="1"/>
      <c r="B5660" s="1"/>
      <c r="C5660" s="1"/>
      <c r="D5660" s="1"/>
      <c r="E5660" s="1"/>
      <c r="F5660" s="1"/>
      <c r="G5660" s="1"/>
      <c r="H5660" s="1"/>
      <c r="I5660" s="1"/>
      <c r="J5660" s="1"/>
      <c r="K5660" s="102" t="s">
        <v>8857</v>
      </c>
      <c r="L5660" s="102" t="str">
        <f>C691</f>
        <v>J1b</v>
      </c>
      <c r="M5660" s="102"/>
      <c r="N5660" s="102" t="s">
        <v>8858</v>
      </c>
      <c r="O5660" s="105">
        <v>2.3367006E7</v>
      </c>
      <c r="P5660" s="105">
        <v>2.120512E7</v>
      </c>
      <c r="Q5660" s="102" t="s">
        <v>2529</v>
      </c>
      <c r="S5660" s="1"/>
      <c r="T5660" s="1"/>
      <c r="U5660" s="1"/>
      <c r="V5660" s="1"/>
      <c r="W5660" s="1"/>
      <c r="X5660" s="1"/>
      <c r="Y5660" s="1"/>
      <c r="AA5660" s="102"/>
      <c r="AB5660" s="1"/>
      <c r="AC5660" s="1"/>
      <c r="AD5660" s="1"/>
      <c r="AE5660" s="1"/>
      <c r="AF5660" s="1"/>
      <c r="AG5660" s="1"/>
    </row>
    <row r="5661" ht="15.75" customHeight="1">
      <c r="A5661" s="1"/>
      <c r="B5661" s="1"/>
      <c r="C5661" s="1"/>
      <c r="D5661" s="1"/>
      <c r="E5661" s="1"/>
      <c r="F5661" s="1"/>
      <c r="G5661" s="1"/>
      <c r="H5661" s="1"/>
      <c r="I5661" s="1"/>
      <c r="J5661" s="1"/>
      <c r="K5661" s="102" t="s">
        <v>8859</v>
      </c>
      <c r="L5661" s="102" t="str">
        <f>C691</f>
        <v>J1b</v>
      </c>
      <c r="M5661" s="102"/>
      <c r="N5661" s="102"/>
      <c r="O5661" s="102">
        <v>2.4513658E7</v>
      </c>
      <c r="P5661" s="102">
        <v>2.2367511E7</v>
      </c>
      <c r="Q5661" s="102" t="s">
        <v>2501</v>
      </c>
      <c r="S5661" s="1"/>
      <c r="T5661" s="1"/>
      <c r="U5661" s="1"/>
      <c r="V5661" s="1"/>
      <c r="W5661" s="1"/>
      <c r="X5661" s="1"/>
      <c r="Y5661" s="1"/>
      <c r="AA5661" s="102"/>
      <c r="AB5661" s="1"/>
      <c r="AC5661" s="1"/>
      <c r="AD5661" s="1"/>
      <c r="AE5661" s="1"/>
      <c r="AF5661" s="1"/>
      <c r="AG5661" s="1"/>
    </row>
    <row r="5662" ht="15.75" customHeight="1">
      <c r="A5662" s="1"/>
      <c r="B5662" s="1"/>
      <c r="C5662" s="1"/>
      <c r="D5662" s="1"/>
      <c r="E5662" s="1"/>
      <c r="F5662" s="1"/>
      <c r="G5662" s="1"/>
      <c r="H5662" s="1"/>
      <c r="I5662" s="1"/>
      <c r="J5662" s="1"/>
      <c r="K5662" s="102" t="s">
        <v>8860</v>
      </c>
      <c r="L5662" s="102" t="str">
        <f>C691</f>
        <v>J1b</v>
      </c>
      <c r="M5662" s="102"/>
      <c r="N5662" s="102"/>
      <c r="O5662" s="102">
        <v>2.8633799E7</v>
      </c>
      <c r="P5662" s="102">
        <v>2.6487652E7</v>
      </c>
      <c r="Q5662" s="102" t="s">
        <v>2446</v>
      </c>
      <c r="S5662" s="1"/>
      <c r="T5662" s="1"/>
      <c r="U5662" s="1"/>
      <c r="V5662" s="1"/>
      <c r="W5662" s="1"/>
      <c r="X5662" s="1"/>
      <c r="Y5662" s="1"/>
      <c r="AA5662" s="102"/>
      <c r="AB5662" s="1"/>
      <c r="AC5662" s="1"/>
      <c r="AD5662" s="1"/>
      <c r="AE5662" s="1"/>
      <c r="AF5662" s="1"/>
      <c r="AG5662" s="1"/>
    </row>
    <row r="5663" ht="15.75" customHeight="1">
      <c r="A5663" s="1"/>
      <c r="B5663" s="1"/>
      <c r="C5663" s="1"/>
      <c r="D5663" s="1"/>
      <c r="E5663" s="1"/>
      <c r="F5663" s="1"/>
      <c r="G5663" s="1"/>
      <c r="H5663" s="1"/>
      <c r="I5663" s="1"/>
      <c r="J5663" s="1"/>
      <c r="K5663" s="102" t="s">
        <v>8861</v>
      </c>
      <c r="L5663" s="102" t="str">
        <f>C691</f>
        <v>J1b</v>
      </c>
      <c r="M5663" s="102"/>
      <c r="N5663" s="102" t="s">
        <v>8862</v>
      </c>
      <c r="O5663" s="102">
        <v>2807539.0</v>
      </c>
      <c r="P5663" s="102">
        <v>2939498.0</v>
      </c>
      <c r="Q5663" s="102" t="s">
        <v>2533</v>
      </c>
      <c r="S5663" s="1"/>
      <c r="T5663" s="1"/>
      <c r="U5663" s="1"/>
      <c r="V5663" s="1"/>
      <c r="W5663" s="1"/>
      <c r="X5663" s="1"/>
      <c r="Y5663" s="1"/>
      <c r="AA5663" s="102"/>
      <c r="AB5663" s="1"/>
      <c r="AC5663" s="1"/>
      <c r="AD5663" s="1"/>
      <c r="AE5663" s="1"/>
      <c r="AF5663" s="1"/>
      <c r="AG5663" s="1"/>
    </row>
    <row r="5664" ht="15.75" customHeight="1">
      <c r="A5664" s="1"/>
      <c r="B5664" s="1"/>
      <c r="C5664" s="1"/>
      <c r="D5664" s="1"/>
      <c r="E5664" s="1"/>
      <c r="F5664" s="1"/>
      <c r="G5664" s="1"/>
      <c r="H5664" s="1"/>
      <c r="I5664" s="1"/>
      <c r="J5664" s="1"/>
      <c r="K5664" s="102" t="s">
        <v>8863</v>
      </c>
      <c r="L5664" s="102" t="str">
        <f>C691</f>
        <v>J1b</v>
      </c>
      <c r="M5664" s="102"/>
      <c r="N5664" s="102" t="s">
        <v>8864</v>
      </c>
      <c r="O5664" s="105">
        <v>2818575.0</v>
      </c>
      <c r="P5664" s="105">
        <v>2950534.0</v>
      </c>
      <c r="Q5664" s="102" t="s">
        <v>2439</v>
      </c>
      <c r="S5664" s="1"/>
      <c r="T5664" s="1"/>
      <c r="U5664" s="1"/>
      <c r="V5664" s="1"/>
      <c r="W5664" s="1"/>
      <c r="X5664" s="1"/>
      <c r="Y5664" s="1"/>
      <c r="AA5664" s="102"/>
      <c r="AB5664" s="1"/>
      <c r="AC5664" s="1"/>
      <c r="AD5664" s="1"/>
      <c r="AE5664" s="1"/>
      <c r="AF5664" s="1"/>
      <c r="AG5664" s="1"/>
    </row>
    <row r="5665" ht="15.75" customHeight="1">
      <c r="A5665" s="1"/>
      <c r="B5665" s="1"/>
      <c r="C5665" s="1"/>
      <c r="D5665" s="1"/>
      <c r="E5665" s="1"/>
      <c r="F5665" s="1"/>
      <c r="G5665" s="1"/>
      <c r="H5665" s="1"/>
      <c r="I5665" s="1"/>
      <c r="J5665" s="1"/>
      <c r="K5665" s="102" t="s">
        <v>8865</v>
      </c>
      <c r="L5665" s="102" t="str">
        <f>C691</f>
        <v>J1b</v>
      </c>
      <c r="M5665" s="102"/>
      <c r="N5665" s="102" t="s">
        <v>8866</v>
      </c>
      <c r="O5665" s="102">
        <v>2910839.0</v>
      </c>
      <c r="P5665" s="102">
        <v>3042798.0</v>
      </c>
      <c r="Q5665" s="102" t="s">
        <v>2468</v>
      </c>
      <c r="S5665" s="1"/>
      <c r="T5665" s="1"/>
      <c r="U5665" s="1"/>
      <c r="V5665" s="1"/>
      <c r="W5665" s="1"/>
      <c r="X5665" s="1"/>
      <c r="Y5665" s="1"/>
      <c r="AA5665" s="102"/>
      <c r="AB5665" s="1"/>
      <c r="AC5665" s="1"/>
      <c r="AD5665" s="1"/>
      <c r="AE5665" s="1"/>
      <c r="AF5665" s="1"/>
      <c r="AG5665" s="1"/>
    </row>
    <row r="5666" ht="15.75" customHeight="1">
      <c r="A5666" s="1"/>
      <c r="B5666" s="1"/>
      <c r="C5666" s="1"/>
      <c r="D5666" s="1"/>
      <c r="E5666" s="1"/>
      <c r="F5666" s="1"/>
      <c r="G5666" s="1"/>
      <c r="H5666" s="1"/>
      <c r="I5666" s="1"/>
      <c r="J5666" s="1"/>
      <c r="K5666" s="102" t="s">
        <v>8867</v>
      </c>
      <c r="L5666" s="102" t="str">
        <f>C691</f>
        <v>J1b</v>
      </c>
      <c r="M5666" s="102"/>
      <c r="N5666" s="102" t="s">
        <v>8868</v>
      </c>
      <c r="O5666" s="102">
        <v>7205933.0</v>
      </c>
      <c r="P5666" s="102">
        <v>7337892.0</v>
      </c>
      <c r="Q5666" s="102" t="s">
        <v>2423</v>
      </c>
      <c r="S5666" s="1"/>
      <c r="T5666" s="1"/>
      <c r="U5666" s="1"/>
      <c r="V5666" s="1"/>
      <c r="W5666" s="1"/>
      <c r="X5666" s="1"/>
      <c r="Y5666" s="1"/>
      <c r="AA5666" s="102" t="s">
        <v>8869</v>
      </c>
      <c r="AB5666" s="1"/>
      <c r="AC5666" s="1"/>
      <c r="AD5666" s="1"/>
      <c r="AE5666" s="1"/>
      <c r="AF5666" s="1"/>
      <c r="AG5666" s="1"/>
    </row>
    <row r="5667" ht="15.75" customHeight="1">
      <c r="A5667" s="1"/>
      <c r="B5667" s="1"/>
      <c r="C5667" s="1"/>
      <c r="D5667" s="1"/>
      <c r="E5667" s="1"/>
      <c r="F5667" s="1"/>
      <c r="G5667" s="1"/>
      <c r="H5667" s="1"/>
      <c r="I5667" s="1"/>
      <c r="J5667" s="1"/>
      <c r="K5667" s="102" t="s">
        <v>8870</v>
      </c>
      <c r="L5667" s="102" t="str">
        <f>C691</f>
        <v>J1b</v>
      </c>
      <c r="M5667" s="102"/>
      <c r="N5667" s="102" t="s">
        <v>8871</v>
      </c>
      <c r="O5667" s="105">
        <v>7330471.0</v>
      </c>
      <c r="P5667" s="105">
        <v>7462430.0</v>
      </c>
      <c r="Q5667" s="102" t="s">
        <v>2529</v>
      </c>
      <c r="S5667" s="1"/>
      <c r="T5667" s="1"/>
      <c r="U5667" s="1"/>
      <c r="V5667" s="1"/>
      <c r="W5667" s="1"/>
      <c r="X5667" s="1"/>
      <c r="Y5667" s="1"/>
      <c r="AA5667" s="102"/>
      <c r="AB5667" s="1"/>
      <c r="AC5667" s="1"/>
      <c r="AD5667" s="1"/>
      <c r="AE5667" s="1"/>
      <c r="AF5667" s="1"/>
      <c r="AG5667" s="1"/>
    </row>
    <row r="5668" ht="15.75" customHeight="1">
      <c r="A5668" s="1"/>
      <c r="B5668" s="1"/>
      <c r="C5668" s="1"/>
      <c r="D5668" s="1"/>
      <c r="E5668" s="1"/>
      <c r="F5668" s="1"/>
      <c r="G5668" s="1"/>
      <c r="H5668" s="1"/>
      <c r="I5668" s="1"/>
      <c r="J5668" s="1"/>
      <c r="K5668" s="102" t="s">
        <v>8872</v>
      </c>
      <c r="L5668" s="102" t="str">
        <f>C691</f>
        <v>J1b</v>
      </c>
      <c r="M5668" s="102"/>
      <c r="N5668" s="102" t="s">
        <v>8873</v>
      </c>
      <c r="O5668" s="105">
        <v>8441388.0</v>
      </c>
      <c r="P5668" s="105">
        <v>8573347.0</v>
      </c>
      <c r="Q5668" s="102" t="s">
        <v>2576</v>
      </c>
      <c r="S5668" s="1"/>
      <c r="T5668" s="1"/>
      <c r="U5668" s="1"/>
      <c r="V5668" s="1"/>
      <c r="W5668" s="1"/>
      <c r="X5668" s="1"/>
      <c r="Y5668" s="1"/>
      <c r="AA5668" s="102"/>
      <c r="AB5668" s="1"/>
      <c r="AC5668" s="1"/>
      <c r="AD5668" s="1"/>
      <c r="AE5668" s="1"/>
      <c r="AF5668" s="1"/>
      <c r="AG5668" s="1"/>
    </row>
    <row r="5669" ht="15.75" customHeight="1">
      <c r="A5669" s="1"/>
      <c r="B5669" s="1"/>
      <c r="C5669" s="1"/>
      <c r="D5669" s="1"/>
      <c r="E5669" s="1"/>
      <c r="F5669" s="1"/>
      <c r="G5669" s="1"/>
      <c r="H5669" s="1"/>
      <c r="I5669" s="1"/>
      <c r="J5669" s="1"/>
      <c r="K5669" s="102" t="s">
        <v>8874</v>
      </c>
      <c r="L5669" s="102" t="str">
        <f>C691</f>
        <v>J1b</v>
      </c>
      <c r="M5669" s="102"/>
      <c r="N5669" s="102" t="s">
        <v>8875</v>
      </c>
      <c r="O5669" s="105">
        <v>8715123.0</v>
      </c>
      <c r="P5669" s="105">
        <v>8847082.0</v>
      </c>
      <c r="Q5669" s="102" t="s">
        <v>2533</v>
      </c>
      <c r="S5669" s="1"/>
      <c r="T5669" s="1"/>
      <c r="U5669" s="1"/>
      <c r="V5669" s="1"/>
      <c r="W5669" s="1"/>
      <c r="X5669" s="1"/>
      <c r="Y5669" s="1"/>
      <c r="AA5669" s="102"/>
      <c r="AB5669" s="1"/>
      <c r="AC5669" s="1"/>
      <c r="AD5669" s="1"/>
      <c r="AE5669" s="1"/>
      <c r="AF5669" s="1"/>
      <c r="AG5669" s="1"/>
    </row>
    <row r="5670" ht="15.75" customHeight="1">
      <c r="A5670" s="1"/>
      <c r="B5670" s="1"/>
      <c r="C5670" s="1"/>
      <c r="D5670" s="1"/>
      <c r="E5670" s="1"/>
      <c r="F5670" s="1"/>
      <c r="G5670" s="1"/>
      <c r="H5670" s="1"/>
      <c r="I5670" s="1"/>
      <c r="J5670" s="1"/>
      <c r="K5670" s="102" t="s">
        <v>8876</v>
      </c>
      <c r="L5670" s="102" t="str">
        <f>C691</f>
        <v>J1b</v>
      </c>
      <c r="M5670" s="102"/>
      <c r="N5670" s="102" t="s">
        <v>8877</v>
      </c>
      <c r="O5670" s="105">
        <v>1.3133397E7</v>
      </c>
      <c r="P5670" s="105">
        <v>1.0622883E7</v>
      </c>
      <c r="Q5670" s="102" t="s">
        <v>2439</v>
      </c>
      <c r="S5670" s="1"/>
      <c r="T5670" s="1"/>
      <c r="U5670" s="1"/>
      <c r="V5670" s="1"/>
      <c r="W5670" s="1"/>
      <c r="X5670" s="1"/>
      <c r="Y5670" s="1"/>
      <c r="AA5670" s="102"/>
      <c r="AB5670" s="1"/>
      <c r="AC5670" s="1"/>
      <c r="AD5670" s="1"/>
      <c r="AE5670" s="1"/>
      <c r="AF5670" s="1"/>
      <c r="AG5670" s="1"/>
    </row>
    <row r="5671" ht="15.75" customHeight="1">
      <c r="A5671" s="1"/>
      <c r="B5671" s="1"/>
      <c r="C5671" s="1"/>
      <c r="D5671" s="1"/>
      <c r="E5671" s="1"/>
      <c r="F5671" s="1"/>
      <c r="G5671" s="1"/>
      <c r="H5671" s="1"/>
      <c r="I5671" s="1"/>
      <c r="J5671" s="1"/>
      <c r="K5671" s="102" t="s">
        <v>8878</v>
      </c>
      <c r="L5671" s="102" t="str">
        <f>C691</f>
        <v>J1b</v>
      </c>
      <c r="M5671" s="102"/>
      <c r="N5671" s="102" t="s">
        <v>8879</v>
      </c>
      <c r="O5671" s="105">
        <v>1.4274782E7</v>
      </c>
      <c r="P5671" s="105">
        <v>1.2154076E7</v>
      </c>
      <c r="Q5671" s="102" t="s">
        <v>2501</v>
      </c>
      <c r="S5671" s="1"/>
      <c r="T5671" s="1"/>
      <c r="U5671" s="1"/>
      <c r="V5671" s="1"/>
      <c r="W5671" s="1"/>
      <c r="X5671" s="1"/>
      <c r="Y5671" s="1"/>
      <c r="AA5671" s="102"/>
      <c r="AB5671" s="1"/>
      <c r="AC5671" s="1"/>
      <c r="AD5671" s="1"/>
      <c r="AE5671" s="1"/>
      <c r="AF5671" s="1"/>
      <c r="AG5671" s="1"/>
    </row>
    <row r="5672" ht="15.75" customHeight="1">
      <c r="A5672" s="1"/>
      <c r="B5672" s="1"/>
      <c r="C5672" s="1"/>
      <c r="D5672" s="1"/>
      <c r="E5672" s="1"/>
      <c r="F5672" s="1"/>
      <c r="G5672" s="1"/>
      <c r="H5672" s="1"/>
      <c r="I5672" s="1"/>
      <c r="J5672" s="1"/>
      <c r="K5672" s="102" t="s">
        <v>8880</v>
      </c>
      <c r="L5672" s="102" t="str">
        <f>C691</f>
        <v>J1b</v>
      </c>
      <c r="M5672" s="102"/>
      <c r="N5672" s="102" t="s">
        <v>8881</v>
      </c>
      <c r="O5672" s="105">
        <v>1.5566758E7</v>
      </c>
      <c r="P5672" s="105">
        <v>1.3454878E7</v>
      </c>
      <c r="Q5672" s="102" t="s">
        <v>2423</v>
      </c>
      <c r="S5672" s="1"/>
      <c r="T5672" s="1"/>
      <c r="U5672" s="1"/>
      <c r="V5672" s="1"/>
      <c r="W5672" s="1"/>
      <c r="X5672" s="1"/>
      <c r="Y5672" s="1"/>
      <c r="AA5672" s="102"/>
      <c r="AB5672" s="1"/>
      <c r="AC5672" s="1"/>
      <c r="AD5672" s="1"/>
      <c r="AE5672" s="1"/>
      <c r="AF5672" s="1"/>
      <c r="AG5672" s="1"/>
    </row>
    <row r="5673" ht="15.75" customHeight="1">
      <c r="A5673" s="1"/>
      <c r="B5673" s="1"/>
      <c r="C5673" s="1"/>
      <c r="D5673" s="1"/>
      <c r="E5673" s="1"/>
      <c r="F5673" s="1"/>
      <c r="G5673" s="1"/>
      <c r="H5673" s="1"/>
      <c r="I5673" s="1"/>
      <c r="J5673" s="1"/>
      <c r="K5673" s="102" t="s">
        <v>8882</v>
      </c>
      <c r="L5673" s="102" t="str">
        <f>C691</f>
        <v>J1b</v>
      </c>
      <c r="M5673" s="102"/>
      <c r="N5673" s="102" t="s">
        <v>8883</v>
      </c>
      <c r="O5673" s="102">
        <v>1.5616046E7</v>
      </c>
      <c r="P5673" s="102">
        <v>1.3504166E7</v>
      </c>
      <c r="Q5673" s="102" t="s">
        <v>2529</v>
      </c>
      <c r="S5673" s="1"/>
      <c r="T5673" s="1"/>
      <c r="U5673" s="1"/>
      <c r="V5673" s="1"/>
      <c r="W5673" s="1"/>
      <c r="X5673" s="1"/>
      <c r="Y5673" s="1"/>
      <c r="AA5673" s="102"/>
      <c r="AB5673" s="1"/>
      <c r="AC5673" s="1"/>
      <c r="AD5673" s="1"/>
      <c r="AE5673" s="1"/>
      <c r="AF5673" s="1"/>
      <c r="AG5673" s="1"/>
    </row>
    <row r="5674" ht="15.75" customHeight="1">
      <c r="A5674" s="1"/>
      <c r="B5674" s="1"/>
      <c r="C5674" s="1"/>
      <c r="D5674" s="1"/>
      <c r="E5674" s="1"/>
      <c r="F5674" s="1"/>
      <c r="G5674" s="1"/>
      <c r="H5674" s="1"/>
      <c r="I5674" s="1"/>
      <c r="J5674" s="1"/>
      <c r="K5674" s="102" t="s">
        <v>8884</v>
      </c>
      <c r="L5674" s="102" t="str">
        <f>C691</f>
        <v>J1b</v>
      </c>
      <c r="M5674" s="102"/>
      <c r="N5674" s="102" t="s">
        <v>8885</v>
      </c>
      <c r="O5674" s="102">
        <v>1.5772322E7</v>
      </c>
      <c r="P5674" s="102">
        <v>1.3660442E7</v>
      </c>
      <c r="Q5674" s="102" t="s">
        <v>2439</v>
      </c>
      <c r="S5674" s="1"/>
      <c r="T5674" s="1"/>
      <c r="U5674" s="1"/>
      <c r="V5674" s="1"/>
      <c r="W5674" s="1"/>
      <c r="X5674" s="1"/>
      <c r="Y5674" s="1"/>
      <c r="AA5674" s="102"/>
      <c r="AB5674" s="1"/>
      <c r="AC5674" s="1"/>
      <c r="AD5674" s="1"/>
      <c r="AE5674" s="1"/>
      <c r="AF5674" s="1"/>
      <c r="AG5674" s="1"/>
    </row>
    <row r="5675" ht="15.75" customHeight="1">
      <c r="A5675" s="1"/>
      <c r="B5675" s="1"/>
      <c r="C5675" s="1"/>
      <c r="D5675" s="1"/>
      <c r="E5675" s="1"/>
      <c r="F5675" s="1"/>
      <c r="G5675" s="1"/>
      <c r="H5675" s="1"/>
      <c r="I5675" s="1"/>
      <c r="J5675" s="1"/>
      <c r="K5675" s="102" t="s">
        <v>8886</v>
      </c>
      <c r="L5675" s="102" t="str">
        <f>C691</f>
        <v>J1b</v>
      </c>
      <c r="M5675" s="102"/>
      <c r="N5675" s="102" t="s">
        <v>8887</v>
      </c>
      <c r="O5675" s="105">
        <v>1.5823748E7</v>
      </c>
      <c r="P5675" s="105">
        <v>1.3711868E7</v>
      </c>
      <c r="Q5675" s="102" t="s">
        <v>2439</v>
      </c>
      <c r="S5675" s="1"/>
      <c r="T5675" s="1"/>
      <c r="U5675" s="1"/>
      <c r="V5675" s="1"/>
      <c r="W5675" s="1"/>
      <c r="X5675" s="1"/>
      <c r="Y5675" s="1"/>
      <c r="AA5675" s="102"/>
      <c r="AB5675" s="1"/>
      <c r="AC5675" s="1"/>
      <c r="AD5675" s="1"/>
      <c r="AE5675" s="1"/>
      <c r="AF5675" s="1"/>
      <c r="AG5675" s="1"/>
    </row>
    <row r="5676" ht="15.75" customHeight="1">
      <c r="A5676" s="1"/>
      <c r="B5676" s="1"/>
      <c r="C5676" s="1"/>
      <c r="D5676" s="1"/>
      <c r="E5676" s="1"/>
      <c r="F5676" s="1"/>
      <c r="G5676" s="1"/>
      <c r="H5676" s="1"/>
      <c r="I5676" s="1"/>
      <c r="J5676" s="1"/>
      <c r="K5676" s="102" t="s">
        <v>8888</v>
      </c>
      <c r="L5676" s="102" t="str">
        <f>C691</f>
        <v>J1b</v>
      </c>
      <c r="M5676" s="102"/>
      <c r="N5676" s="102" t="s">
        <v>8889</v>
      </c>
      <c r="O5676" s="105">
        <v>1.666501E7</v>
      </c>
      <c r="P5676" s="105">
        <v>1.455313E7</v>
      </c>
      <c r="Q5676" s="102" t="s">
        <v>2468</v>
      </c>
      <c r="S5676" s="1"/>
      <c r="T5676" s="1"/>
      <c r="U5676" s="1"/>
      <c r="V5676" s="1"/>
      <c r="W5676" s="1"/>
      <c r="X5676" s="1"/>
      <c r="Y5676" s="1"/>
      <c r="AA5676" s="102"/>
      <c r="AB5676" s="1"/>
      <c r="AC5676" s="1"/>
      <c r="AD5676" s="1"/>
      <c r="AE5676" s="1"/>
      <c r="AF5676" s="1"/>
      <c r="AG5676" s="1"/>
    </row>
    <row r="5677" ht="15.75" customHeight="1">
      <c r="A5677" s="1"/>
      <c r="B5677" s="1"/>
      <c r="C5677" s="1"/>
      <c r="D5677" s="1"/>
      <c r="E5677" s="1"/>
      <c r="F5677" s="1"/>
      <c r="G5677" s="1"/>
      <c r="H5677" s="1"/>
      <c r="I5677" s="1"/>
      <c r="J5677" s="1"/>
      <c r="K5677" s="102" t="s">
        <v>8890</v>
      </c>
      <c r="L5677" s="102" t="str">
        <f>C691</f>
        <v>J1b</v>
      </c>
      <c r="M5677" s="102"/>
      <c r="N5677" s="102" t="s">
        <v>8891</v>
      </c>
      <c r="O5677" s="105">
        <v>1.6795985E7</v>
      </c>
      <c r="P5677" s="105">
        <v>1.4684105E7</v>
      </c>
      <c r="Q5677" s="102" t="s">
        <v>2533</v>
      </c>
      <c r="S5677" s="1"/>
      <c r="T5677" s="1"/>
      <c r="U5677" s="1"/>
      <c r="V5677" s="1"/>
      <c r="W5677" s="1"/>
      <c r="X5677" s="1"/>
      <c r="Y5677" s="1"/>
      <c r="AA5677" s="102"/>
      <c r="AB5677" s="1"/>
      <c r="AC5677" s="1"/>
      <c r="AD5677" s="1"/>
      <c r="AE5677" s="1"/>
      <c r="AF5677" s="1"/>
      <c r="AG5677" s="1"/>
    </row>
    <row r="5678" ht="15.75" customHeight="1">
      <c r="A5678" s="1"/>
      <c r="B5678" s="1"/>
      <c r="C5678" s="1"/>
      <c r="D5678" s="1"/>
      <c r="E5678" s="1"/>
      <c r="F5678" s="1"/>
      <c r="G5678" s="1"/>
      <c r="H5678" s="1"/>
      <c r="I5678" s="1"/>
      <c r="J5678" s="1"/>
      <c r="K5678" s="102" t="s">
        <v>8892</v>
      </c>
      <c r="L5678" s="102" t="str">
        <f>C691</f>
        <v>J1b</v>
      </c>
      <c r="M5678" s="102"/>
      <c r="N5678" s="102" t="s">
        <v>8893</v>
      </c>
      <c r="O5678" s="105">
        <v>1.679599E7</v>
      </c>
      <c r="P5678" s="105">
        <v>1.468411E7</v>
      </c>
      <c r="Q5678" s="102" t="s">
        <v>2514</v>
      </c>
      <c r="S5678" s="1"/>
      <c r="T5678" s="1"/>
      <c r="U5678" s="1"/>
      <c r="V5678" s="1"/>
      <c r="W5678" s="1"/>
      <c r="X5678" s="1"/>
      <c r="Y5678" s="1"/>
      <c r="AA5678" s="102"/>
      <c r="AB5678" s="1"/>
      <c r="AC5678" s="1"/>
      <c r="AD5678" s="1"/>
      <c r="AE5678" s="1"/>
      <c r="AF5678" s="1"/>
      <c r="AG5678" s="1"/>
    </row>
    <row r="5679" ht="15.75" customHeight="1">
      <c r="A5679" s="1"/>
      <c r="B5679" s="1"/>
      <c r="C5679" s="1"/>
      <c r="D5679" s="1"/>
      <c r="E5679" s="1"/>
      <c r="F5679" s="1"/>
      <c r="G5679" s="1"/>
      <c r="H5679" s="1"/>
      <c r="I5679" s="1"/>
      <c r="J5679" s="1"/>
      <c r="K5679" s="102" t="s">
        <v>8894</v>
      </c>
      <c r="L5679" s="102" t="str">
        <f>C691</f>
        <v>J1b</v>
      </c>
      <c r="M5679" s="102"/>
      <c r="N5679" s="102" t="s">
        <v>8895</v>
      </c>
      <c r="O5679" s="105">
        <v>1.7476256E7</v>
      </c>
      <c r="P5679" s="105">
        <v>1.5364376E7</v>
      </c>
      <c r="Q5679" s="102" t="s">
        <v>2468</v>
      </c>
      <c r="S5679" s="1"/>
      <c r="T5679" s="1"/>
      <c r="U5679" s="1"/>
      <c r="V5679" s="1"/>
      <c r="W5679" s="1"/>
      <c r="X5679" s="1"/>
      <c r="Y5679" s="1"/>
      <c r="AA5679" s="102"/>
      <c r="AB5679" s="1"/>
      <c r="AC5679" s="1"/>
      <c r="AD5679" s="1"/>
      <c r="AE5679" s="1"/>
      <c r="AF5679" s="1"/>
      <c r="AG5679" s="1"/>
    </row>
    <row r="5680" ht="15.75" customHeight="1">
      <c r="A5680" s="1"/>
      <c r="B5680" s="1"/>
      <c r="C5680" s="1"/>
      <c r="D5680" s="1"/>
      <c r="E5680" s="1"/>
      <c r="F5680" s="1"/>
      <c r="G5680" s="1"/>
      <c r="H5680" s="1"/>
      <c r="I5680" s="1"/>
      <c r="J5680" s="1"/>
      <c r="K5680" s="102" t="s">
        <v>8896</v>
      </c>
      <c r="L5680" s="102" t="str">
        <f>C691</f>
        <v>J1b</v>
      </c>
      <c r="M5680" s="102"/>
      <c r="N5680" s="102" t="s">
        <v>8897</v>
      </c>
      <c r="O5680" s="105">
        <v>1.7907558E7</v>
      </c>
      <c r="P5680" s="105">
        <v>1.5795678E7</v>
      </c>
      <c r="Q5680" s="102" t="s">
        <v>2576</v>
      </c>
      <c r="S5680" s="1"/>
      <c r="T5680" s="1"/>
      <c r="U5680" s="1"/>
      <c r="V5680" s="1"/>
      <c r="W5680" s="1"/>
      <c r="X5680" s="1"/>
      <c r="Y5680" s="1"/>
      <c r="AA5680" s="102"/>
      <c r="AB5680" s="1"/>
      <c r="AC5680" s="1"/>
      <c r="AD5680" s="1"/>
      <c r="AE5680" s="1"/>
      <c r="AF5680" s="1"/>
      <c r="AG5680" s="1"/>
    </row>
    <row r="5681" ht="15.75" customHeight="1">
      <c r="A5681" s="1"/>
      <c r="B5681" s="1"/>
      <c r="C5681" s="1"/>
      <c r="D5681" s="1"/>
      <c r="E5681" s="1"/>
      <c r="F5681" s="1"/>
      <c r="G5681" s="1"/>
      <c r="H5681" s="1"/>
      <c r="I5681" s="1"/>
      <c r="J5681" s="1"/>
      <c r="K5681" s="102" t="s">
        <v>8898</v>
      </c>
      <c r="L5681" s="102" t="str">
        <f>C691</f>
        <v>J1b</v>
      </c>
      <c r="M5681" s="102"/>
      <c r="N5681" s="102" t="s">
        <v>8899</v>
      </c>
      <c r="O5681" s="105">
        <v>1.8557394E7</v>
      </c>
      <c r="P5681" s="105">
        <v>1.6445514E7</v>
      </c>
      <c r="Q5681" s="102" t="s">
        <v>2501</v>
      </c>
      <c r="S5681" s="1"/>
      <c r="T5681" s="1"/>
      <c r="U5681" s="1"/>
      <c r="V5681" s="1"/>
      <c r="W5681" s="1"/>
      <c r="X5681" s="1"/>
      <c r="Y5681" s="1"/>
      <c r="AA5681" s="102"/>
      <c r="AB5681" s="1"/>
      <c r="AC5681" s="1"/>
      <c r="AD5681" s="1"/>
      <c r="AE5681" s="1"/>
      <c r="AF5681" s="1"/>
      <c r="AG5681" s="1"/>
    </row>
    <row r="5682" ht="15.75" customHeight="1">
      <c r="A5682" s="1"/>
      <c r="B5682" s="1"/>
      <c r="C5682" s="1"/>
      <c r="D5682" s="1"/>
      <c r="E5682" s="1"/>
      <c r="F5682" s="1"/>
      <c r="G5682" s="1"/>
      <c r="H5682" s="1"/>
      <c r="I5682" s="1"/>
      <c r="J5682" s="1"/>
      <c r="K5682" s="102" t="s">
        <v>8900</v>
      </c>
      <c r="L5682" s="102" t="str">
        <f>C691</f>
        <v>J1b</v>
      </c>
      <c r="M5682" s="102"/>
      <c r="N5682" s="102" t="s">
        <v>8901</v>
      </c>
      <c r="O5682" s="105">
        <v>1.8590213E7</v>
      </c>
      <c r="P5682" s="105">
        <v>1.6478333E7</v>
      </c>
      <c r="Q5682" s="102" t="s">
        <v>2439</v>
      </c>
      <c r="S5682" s="1"/>
      <c r="T5682" s="1"/>
      <c r="U5682" s="1"/>
      <c r="V5682" s="1"/>
      <c r="W5682" s="1"/>
      <c r="X5682" s="1"/>
      <c r="Y5682" s="1"/>
      <c r="AA5682" s="102"/>
      <c r="AB5682" s="1"/>
      <c r="AC5682" s="1"/>
      <c r="AD5682" s="1"/>
      <c r="AE5682" s="1"/>
      <c r="AF5682" s="1"/>
      <c r="AG5682" s="1"/>
    </row>
    <row r="5683" ht="15.75" customHeight="1">
      <c r="A5683" s="1"/>
      <c r="B5683" s="1"/>
      <c r="C5683" s="1"/>
      <c r="D5683" s="1"/>
      <c r="E5683" s="1"/>
      <c r="F5683" s="1"/>
      <c r="G5683" s="1"/>
      <c r="H5683" s="1"/>
      <c r="I5683" s="1"/>
      <c r="J5683" s="1"/>
      <c r="K5683" s="102" t="s">
        <v>8902</v>
      </c>
      <c r="L5683" s="102" t="str">
        <f>C691</f>
        <v>J1b</v>
      </c>
      <c r="M5683" s="102"/>
      <c r="N5683" s="102" t="s">
        <v>8903</v>
      </c>
      <c r="O5683" s="105">
        <v>1.8665369E7</v>
      </c>
      <c r="P5683" s="105">
        <v>1.6553489E7</v>
      </c>
      <c r="Q5683" s="102" t="s">
        <v>2446</v>
      </c>
      <c r="S5683" s="1"/>
      <c r="T5683" s="1"/>
      <c r="U5683" s="1"/>
      <c r="V5683" s="1"/>
      <c r="W5683" s="1"/>
      <c r="X5683" s="1"/>
      <c r="Y5683" s="1"/>
      <c r="AA5683" s="102"/>
      <c r="AB5683" s="1"/>
      <c r="AC5683" s="1"/>
      <c r="AD5683" s="1"/>
      <c r="AE5683" s="1"/>
      <c r="AF5683" s="1"/>
      <c r="AG5683" s="1"/>
    </row>
    <row r="5684" ht="15.75" customHeight="1">
      <c r="A5684" s="1"/>
      <c r="B5684" s="1"/>
      <c r="C5684" s="1"/>
      <c r="D5684" s="1"/>
      <c r="E5684" s="1"/>
      <c r="F5684" s="1"/>
      <c r="G5684" s="1"/>
      <c r="H5684" s="1"/>
      <c r="I5684" s="1"/>
      <c r="J5684" s="1"/>
      <c r="K5684" s="102" t="s">
        <v>8904</v>
      </c>
      <c r="L5684" s="102" t="str">
        <f>C691</f>
        <v>J1b</v>
      </c>
      <c r="M5684" s="102"/>
      <c r="N5684" s="102" t="s">
        <v>8905</v>
      </c>
      <c r="O5684" s="105">
        <v>1.9259538E7</v>
      </c>
      <c r="P5684" s="105">
        <v>1.7147658E7</v>
      </c>
      <c r="Q5684" s="102" t="s">
        <v>2501</v>
      </c>
      <c r="S5684" s="1"/>
      <c r="T5684" s="1"/>
      <c r="U5684" s="1"/>
      <c r="V5684" s="1"/>
      <c r="W5684" s="1"/>
      <c r="X5684" s="1"/>
      <c r="Y5684" s="1"/>
      <c r="AA5684" s="102"/>
      <c r="AB5684" s="1"/>
      <c r="AC5684" s="1"/>
      <c r="AD5684" s="1"/>
      <c r="AE5684" s="1"/>
      <c r="AF5684" s="1"/>
      <c r="AG5684" s="1"/>
    </row>
    <row r="5685" ht="15.75" customHeight="1">
      <c r="A5685" s="1"/>
      <c r="B5685" s="1"/>
      <c r="C5685" s="1"/>
      <c r="D5685" s="1"/>
      <c r="E5685" s="1"/>
      <c r="F5685" s="1"/>
      <c r="G5685" s="1"/>
      <c r="H5685" s="1"/>
      <c r="I5685" s="1"/>
      <c r="J5685" s="1"/>
      <c r="K5685" s="102" t="s">
        <v>8906</v>
      </c>
      <c r="L5685" s="102" t="str">
        <f>C691</f>
        <v>J1b</v>
      </c>
      <c r="M5685" s="102"/>
      <c r="N5685" s="102" t="s">
        <v>8907</v>
      </c>
      <c r="O5685" s="105">
        <v>1.9363599E7</v>
      </c>
      <c r="P5685" s="105">
        <v>1.7251719E7</v>
      </c>
      <c r="Q5685" s="102" t="s">
        <v>2501</v>
      </c>
      <c r="S5685" s="1"/>
      <c r="T5685" s="1"/>
      <c r="U5685" s="1"/>
      <c r="V5685" s="1"/>
      <c r="W5685" s="1"/>
      <c r="X5685" s="1"/>
      <c r="Y5685" s="1"/>
      <c r="AA5685" s="102"/>
      <c r="AB5685" s="1"/>
      <c r="AC5685" s="1"/>
      <c r="AD5685" s="1"/>
      <c r="AE5685" s="1"/>
      <c r="AF5685" s="1"/>
      <c r="AG5685" s="1"/>
    </row>
    <row r="5686" ht="15.75" customHeight="1">
      <c r="A5686" s="1"/>
      <c r="B5686" s="1"/>
      <c r="C5686" s="1"/>
      <c r="D5686" s="1"/>
      <c r="E5686" s="1"/>
      <c r="F5686" s="1"/>
      <c r="G5686" s="1"/>
      <c r="H5686" s="1"/>
      <c r="I5686" s="1"/>
      <c r="J5686" s="1"/>
      <c r="K5686" s="102" t="s">
        <v>8908</v>
      </c>
      <c r="L5686" s="102" t="str">
        <f>C691</f>
        <v>J1b</v>
      </c>
      <c r="M5686" s="102"/>
      <c r="N5686" s="102" t="s">
        <v>8909</v>
      </c>
      <c r="O5686" s="105">
        <v>1.9407152E7</v>
      </c>
      <c r="P5686" s="105">
        <v>1.7295272E7</v>
      </c>
      <c r="Q5686" s="102" t="s">
        <v>2563</v>
      </c>
      <c r="S5686" s="1"/>
      <c r="T5686" s="1"/>
      <c r="U5686" s="1"/>
      <c r="V5686" s="1"/>
      <c r="W5686" s="1"/>
      <c r="X5686" s="1"/>
      <c r="Y5686" s="1"/>
      <c r="AA5686" s="102"/>
      <c r="AB5686" s="1"/>
      <c r="AC5686" s="1"/>
      <c r="AD5686" s="1"/>
      <c r="AE5686" s="1"/>
      <c r="AF5686" s="1"/>
      <c r="AG5686" s="1"/>
    </row>
    <row r="5687" ht="15.75" customHeight="1">
      <c r="A5687" s="1"/>
      <c r="B5687" s="1"/>
      <c r="C5687" s="1"/>
      <c r="D5687" s="1"/>
      <c r="E5687" s="1"/>
      <c r="F5687" s="1"/>
      <c r="G5687" s="1"/>
      <c r="H5687" s="1"/>
      <c r="I5687" s="1"/>
      <c r="J5687" s="1"/>
      <c r="K5687" s="102" t="s">
        <v>8910</v>
      </c>
      <c r="L5687" s="102" t="str">
        <f>C691</f>
        <v>J1b</v>
      </c>
      <c r="M5687" s="102"/>
      <c r="N5687" s="102" t="s">
        <v>8911</v>
      </c>
      <c r="O5687" s="105">
        <v>2.1317741E7</v>
      </c>
      <c r="P5687" s="105">
        <v>1.9155855E7</v>
      </c>
      <c r="Q5687" s="102" t="s">
        <v>2576</v>
      </c>
      <c r="S5687" s="1"/>
      <c r="T5687" s="1"/>
      <c r="U5687" s="1"/>
      <c r="V5687" s="1"/>
      <c r="W5687" s="1"/>
      <c r="X5687" s="1"/>
      <c r="Y5687" s="1"/>
      <c r="AA5687" s="102"/>
      <c r="AB5687" s="1"/>
      <c r="AC5687" s="1"/>
      <c r="AD5687" s="1"/>
      <c r="AE5687" s="1"/>
      <c r="AF5687" s="1"/>
      <c r="AG5687" s="1"/>
    </row>
    <row r="5688" ht="15.75" customHeight="1">
      <c r="A5688" s="1"/>
      <c r="B5688" s="1"/>
      <c r="C5688" s="1"/>
      <c r="D5688" s="1"/>
      <c r="E5688" s="1"/>
      <c r="F5688" s="1"/>
      <c r="G5688" s="1"/>
      <c r="H5688" s="1"/>
      <c r="I5688" s="1"/>
      <c r="J5688" s="1"/>
      <c r="K5688" s="102" t="s">
        <v>8912</v>
      </c>
      <c r="L5688" s="102" t="str">
        <f>C691</f>
        <v>J1b</v>
      </c>
      <c r="M5688" s="102"/>
      <c r="N5688" s="102" t="s">
        <v>8913</v>
      </c>
      <c r="O5688" s="105">
        <v>2.1448786E7</v>
      </c>
      <c r="P5688" s="105">
        <v>1.92869E7</v>
      </c>
      <c r="Q5688" s="102" t="s">
        <v>2514</v>
      </c>
      <c r="S5688" s="1"/>
      <c r="T5688" s="1"/>
      <c r="U5688" s="1"/>
      <c r="V5688" s="1"/>
      <c r="W5688" s="1"/>
      <c r="X5688" s="1"/>
      <c r="Y5688" s="1"/>
      <c r="AA5688" s="102"/>
      <c r="AB5688" s="1"/>
      <c r="AC5688" s="1"/>
      <c r="AD5688" s="1"/>
      <c r="AE5688" s="1"/>
      <c r="AF5688" s="1"/>
      <c r="AG5688" s="1"/>
    </row>
    <row r="5689" ht="15.75" customHeight="1">
      <c r="A5689" s="1"/>
      <c r="B5689" s="1"/>
      <c r="C5689" s="1"/>
      <c r="D5689" s="1"/>
      <c r="E5689" s="1"/>
      <c r="F5689" s="1"/>
      <c r="G5689" s="1"/>
      <c r="H5689" s="1"/>
      <c r="I5689" s="1"/>
      <c r="J5689" s="1"/>
      <c r="K5689" s="102" t="s">
        <v>8914</v>
      </c>
      <c r="L5689" s="102" t="str">
        <f>C691</f>
        <v>J1b</v>
      </c>
      <c r="M5689" s="102"/>
      <c r="N5689" s="102" t="s">
        <v>8915</v>
      </c>
      <c r="O5689" s="105">
        <v>2.2112884E7</v>
      </c>
      <c r="P5689" s="105">
        <v>1.9950998E7</v>
      </c>
      <c r="Q5689" s="102" t="s">
        <v>2529</v>
      </c>
      <c r="S5689" s="1"/>
      <c r="T5689" s="1"/>
      <c r="U5689" s="1"/>
      <c r="V5689" s="1"/>
      <c r="W5689" s="1"/>
      <c r="X5689" s="1"/>
      <c r="Y5689" s="1"/>
      <c r="AA5689" s="102"/>
      <c r="AB5689" s="1"/>
      <c r="AC5689" s="1"/>
      <c r="AD5689" s="1"/>
      <c r="AE5689" s="1"/>
      <c r="AF5689" s="1"/>
      <c r="AG5689" s="1"/>
    </row>
    <row r="5690" ht="15.75" customHeight="1">
      <c r="A5690" s="1"/>
      <c r="B5690" s="1"/>
      <c r="C5690" s="1"/>
      <c r="D5690" s="1"/>
      <c r="E5690" s="1"/>
      <c r="F5690" s="1"/>
      <c r="G5690" s="1"/>
      <c r="H5690" s="1"/>
      <c r="I5690" s="1"/>
      <c r="J5690" s="1"/>
      <c r="K5690" s="102" t="s">
        <v>8916</v>
      </c>
      <c r="L5690" s="102" t="str">
        <f>C691</f>
        <v>J1b</v>
      </c>
      <c r="M5690" s="102"/>
      <c r="N5690" s="102" t="s">
        <v>8917</v>
      </c>
      <c r="O5690" s="105">
        <v>2.2743288E7</v>
      </c>
      <c r="P5690" s="105">
        <v>2.0581402E7</v>
      </c>
      <c r="Q5690" s="102" t="s">
        <v>2439</v>
      </c>
      <c r="S5690" s="1"/>
      <c r="T5690" s="1"/>
      <c r="U5690" s="1"/>
      <c r="V5690" s="1"/>
      <c r="W5690" s="1"/>
      <c r="X5690" s="1"/>
      <c r="Y5690" s="1"/>
      <c r="AA5690" s="102"/>
      <c r="AB5690" s="1"/>
      <c r="AC5690" s="1"/>
      <c r="AD5690" s="1"/>
      <c r="AE5690" s="1"/>
      <c r="AF5690" s="1"/>
      <c r="AG5690" s="1"/>
    </row>
    <row r="5691" ht="15.75" customHeight="1">
      <c r="A5691" s="1"/>
      <c r="B5691" s="1"/>
      <c r="C5691" s="1"/>
      <c r="D5691" s="1"/>
      <c r="E5691" s="1"/>
      <c r="F5691" s="1"/>
      <c r="G5691" s="1"/>
      <c r="H5691" s="1"/>
      <c r="I5691" s="1"/>
      <c r="J5691" s="1"/>
      <c r="K5691" s="102" t="s">
        <v>8918</v>
      </c>
      <c r="L5691" s="102" t="str">
        <f>C691</f>
        <v>J1b</v>
      </c>
      <c r="M5691" s="102"/>
      <c r="N5691" s="102" t="s">
        <v>8919</v>
      </c>
      <c r="O5691" s="105">
        <v>2.3345063E7</v>
      </c>
      <c r="P5691" s="105">
        <v>2.1183177E7</v>
      </c>
      <c r="Q5691" s="102" t="s">
        <v>2529</v>
      </c>
      <c r="S5691" s="1"/>
      <c r="T5691" s="1"/>
      <c r="U5691" s="1"/>
      <c r="V5691" s="1"/>
      <c r="W5691" s="1"/>
      <c r="X5691" s="1"/>
      <c r="Y5691" s="1"/>
      <c r="AA5691" s="102"/>
      <c r="AB5691" s="1"/>
      <c r="AC5691" s="1"/>
      <c r="AD5691" s="1"/>
      <c r="AE5691" s="1"/>
      <c r="AF5691" s="1"/>
      <c r="AG5691" s="1"/>
    </row>
    <row r="5692" ht="15.75" customHeight="1">
      <c r="A5692" s="1"/>
      <c r="B5692" s="1"/>
      <c r="C5692" s="1"/>
      <c r="D5692" s="1"/>
      <c r="E5692" s="1"/>
      <c r="F5692" s="1"/>
      <c r="G5692" s="1"/>
      <c r="H5692" s="1"/>
      <c r="I5692" s="1"/>
      <c r="J5692" s="1"/>
      <c r="K5692" s="102" t="s">
        <v>8920</v>
      </c>
      <c r="L5692" s="102" t="str">
        <f>C691</f>
        <v>J1b</v>
      </c>
      <c r="M5692" s="102"/>
      <c r="N5692" s="102" t="s">
        <v>8921</v>
      </c>
      <c r="O5692" s="105">
        <v>2.357336E7</v>
      </c>
      <c r="P5692" s="105">
        <v>2.1411474E7</v>
      </c>
      <c r="Q5692" s="102" t="s">
        <v>2439</v>
      </c>
      <c r="S5692" s="1"/>
      <c r="T5692" s="1"/>
      <c r="U5692" s="1"/>
      <c r="V5692" s="1"/>
      <c r="W5692" s="1"/>
      <c r="X5692" s="1"/>
      <c r="Y5692" s="1"/>
      <c r="AA5692" s="102"/>
      <c r="AB5692" s="1"/>
      <c r="AC5692" s="1"/>
      <c r="AD5692" s="1"/>
      <c r="AE5692" s="1"/>
      <c r="AF5692" s="1"/>
      <c r="AG5692" s="1"/>
    </row>
    <row r="5693" ht="15.75" customHeight="1">
      <c r="A5693" s="1"/>
      <c r="B5693" s="1"/>
      <c r="C5693" s="1"/>
      <c r="D5693" s="1"/>
      <c r="E5693" s="1"/>
      <c r="F5693" s="1"/>
      <c r="G5693" s="1"/>
      <c r="H5693" s="1"/>
      <c r="I5693" s="1"/>
      <c r="J5693" s="1"/>
      <c r="K5693" s="102" t="s">
        <v>8922</v>
      </c>
      <c r="L5693" s="102" t="str">
        <f>C691</f>
        <v>J1b</v>
      </c>
      <c r="M5693" s="102"/>
      <c r="N5693" s="102" t="s">
        <v>8923</v>
      </c>
      <c r="O5693" s="105">
        <v>2.3763629E7</v>
      </c>
      <c r="P5693" s="105">
        <v>2.1601743E7</v>
      </c>
      <c r="Q5693" s="102" t="s">
        <v>2439</v>
      </c>
      <c r="S5693" s="1"/>
      <c r="T5693" s="1"/>
      <c r="U5693" s="1"/>
      <c r="V5693" s="1"/>
      <c r="W5693" s="1"/>
      <c r="X5693" s="1"/>
      <c r="Y5693" s="1"/>
      <c r="AA5693" s="102"/>
      <c r="AB5693" s="1"/>
      <c r="AC5693" s="1"/>
      <c r="AD5693" s="1"/>
      <c r="AE5693" s="1"/>
      <c r="AF5693" s="1"/>
      <c r="AG5693" s="1"/>
    </row>
    <row r="5694" ht="15.75" customHeight="1">
      <c r="A5694" s="1"/>
      <c r="B5694" s="1"/>
      <c r="C5694" s="1"/>
      <c r="D5694" s="1"/>
      <c r="E5694" s="1"/>
      <c r="F5694" s="1"/>
      <c r="G5694" s="1"/>
      <c r="H5694" s="1"/>
      <c r="I5694" s="1"/>
      <c r="J5694" s="1"/>
      <c r="K5694" s="102" t="s">
        <v>8924</v>
      </c>
      <c r="L5694" s="102" t="str">
        <f>C691</f>
        <v>J1b</v>
      </c>
      <c r="M5694" s="102"/>
      <c r="N5694" s="102" t="s">
        <v>8925</v>
      </c>
      <c r="O5694" s="105">
        <v>6715386.0</v>
      </c>
      <c r="P5694" s="105">
        <v>6847345.0</v>
      </c>
      <c r="Q5694" s="102" t="s">
        <v>2501</v>
      </c>
      <c r="S5694" s="1"/>
      <c r="T5694" s="1"/>
      <c r="U5694" s="1"/>
      <c r="V5694" s="1"/>
      <c r="W5694" s="1"/>
      <c r="X5694" s="1"/>
      <c r="Y5694" s="1"/>
      <c r="AA5694" s="102"/>
      <c r="AB5694" s="1"/>
      <c r="AC5694" s="1"/>
      <c r="AD5694" s="1"/>
      <c r="AE5694" s="1"/>
      <c r="AF5694" s="1"/>
      <c r="AG5694" s="1"/>
    </row>
    <row r="5695" ht="15.75" customHeight="1">
      <c r="A5695" s="1"/>
      <c r="B5695" s="1"/>
      <c r="C5695" s="1"/>
      <c r="D5695" s="1"/>
      <c r="E5695" s="1"/>
      <c r="F5695" s="1"/>
      <c r="G5695" s="1"/>
      <c r="H5695" s="1"/>
      <c r="I5695" s="1"/>
      <c r="J5695" s="1"/>
      <c r="K5695" s="102" t="s">
        <v>8926</v>
      </c>
      <c r="L5695" s="102" t="str">
        <f>C691</f>
        <v>J1b</v>
      </c>
      <c r="M5695" s="102"/>
      <c r="N5695" s="102" t="s">
        <v>8927</v>
      </c>
      <c r="O5695" s="105">
        <v>7730143.0</v>
      </c>
      <c r="P5695" s="105">
        <v>7862102.0</v>
      </c>
      <c r="Q5695" s="102" t="s">
        <v>2439</v>
      </c>
      <c r="S5695" s="1"/>
      <c r="T5695" s="1"/>
      <c r="U5695" s="1"/>
      <c r="V5695" s="1"/>
      <c r="W5695" s="1"/>
      <c r="X5695" s="1"/>
      <c r="Y5695" s="1"/>
      <c r="AA5695" s="102"/>
      <c r="AB5695" s="1"/>
      <c r="AC5695" s="1"/>
      <c r="AD5695" s="1"/>
      <c r="AE5695" s="1"/>
      <c r="AF5695" s="1"/>
      <c r="AG5695" s="1"/>
    </row>
    <row r="5696" ht="15.75" customHeight="1">
      <c r="A5696" s="1"/>
      <c r="B5696" s="1"/>
      <c r="C5696" s="1"/>
      <c r="D5696" s="1"/>
      <c r="E5696" s="1"/>
      <c r="F5696" s="1"/>
      <c r="G5696" s="1"/>
      <c r="H5696" s="1"/>
      <c r="I5696" s="1"/>
      <c r="J5696" s="1"/>
      <c r="K5696" s="102" t="s">
        <v>8928</v>
      </c>
      <c r="L5696" s="102" t="str">
        <f>C691</f>
        <v>J1b</v>
      </c>
      <c r="M5696" s="102"/>
      <c r="N5696" s="102" t="s">
        <v>8929</v>
      </c>
      <c r="O5696" s="105">
        <v>8691777.0</v>
      </c>
      <c r="P5696" s="105">
        <v>8823736.0</v>
      </c>
      <c r="Q5696" s="102" t="s">
        <v>2439</v>
      </c>
      <c r="S5696" s="1"/>
      <c r="T5696" s="1"/>
      <c r="U5696" s="1"/>
      <c r="V5696" s="1"/>
      <c r="W5696" s="1"/>
      <c r="X5696" s="1"/>
      <c r="Y5696" s="1"/>
      <c r="AA5696" s="102"/>
      <c r="AB5696" s="1"/>
      <c r="AC5696" s="1"/>
      <c r="AD5696" s="1"/>
      <c r="AE5696" s="1"/>
      <c r="AF5696" s="1"/>
      <c r="AG5696" s="1"/>
    </row>
    <row r="5697" ht="15.75" customHeight="1">
      <c r="A5697" s="1"/>
      <c r="B5697" s="1"/>
      <c r="C5697" s="1"/>
      <c r="D5697" s="1"/>
      <c r="E5697" s="1"/>
      <c r="F5697" s="1"/>
      <c r="G5697" s="1"/>
      <c r="H5697" s="1"/>
      <c r="I5697" s="1"/>
      <c r="J5697" s="1"/>
      <c r="K5697" s="102" t="s">
        <v>8930</v>
      </c>
      <c r="L5697" s="102" t="str">
        <f>C691</f>
        <v>J1b</v>
      </c>
      <c r="M5697" s="102"/>
      <c r="N5697" s="102" t="s">
        <v>8931</v>
      </c>
      <c r="O5697" s="105">
        <v>8872260.0</v>
      </c>
      <c r="P5697" s="105">
        <v>9004219.0</v>
      </c>
      <c r="Q5697" s="102" t="s">
        <v>2501</v>
      </c>
      <c r="S5697" s="1"/>
      <c r="T5697" s="1"/>
      <c r="U5697" s="1"/>
      <c r="V5697" s="1"/>
      <c r="W5697" s="1"/>
      <c r="X5697" s="1"/>
      <c r="Y5697" s="1"/>
      <c r="AA5697" s="102"/>
      <c r="AB5697" s="1"/>
      <c r="AC5697" s="1"/>
      <c r="AD5697" s="1"/>
      <c r="AE5697" s="1"/>
      <c r="AF5697" s="1"/>
      <c r="AG5697" s="1"/>
    </row>
    <row r="5698" ht="15.75" customHeight="1">
      <c r="A5698" s="1"/>
      <c r="B5698" s="1"/>
      <c r="C5698" s="1"/>
      <c r="D5698" s="1"/>
      <c r="E5698" s="1"/>
      <c r="F5698" s="1"/>
      <c r="G5698" s="1"/>
      <c r="H5698" s="1"/>
      <c r="I5698" s="1"/>
      <c r="J5698" s="1"/>
      <c r="K5698" s="102" t="s">
        <v>8932</v>
      </c>
      <c r="L5698" s="102" t="str">
        <f>C691</f>
        <v>J1b</v>
      </c>
      <c r="M5698" s="102"/>
      <c r="N5698" s="102" t="s">
        <v>8933</v>
      </c>
      <c r="O5698" s="105">
        <v>9396438.0</v>
      </c>
      <c r="P5698" s="105">
        <v>9558829.0</v>
      </c>
      <c r="Q5698" s="102" t="s">
        <v>2563</v>
      </c>
      <c r="S5698" s="1"/>
      <c r="T5698" s="1"/>
      <c r="U5698" s="1"/>
      <c r="V5698" s="1"/>
      <c r="W5698" s="1"/>
      <c r="X5698" s="1"/>
      <c r="Y5698" s="1"/>
      <c r="AA5698" s="102"/>
      <c r="AB5698" s="1"/>
      <c r="AC5698" s="1"/>
      <c r="AD5698" s="1"/>
      <c r="AE5698" s="1"/>
      <c r="AF5698" s="1"/>
      <c r="AG5698" s="1"/>
    </row>
    <row r="5699" ht="15.75" customHeight="1">
      <c r="A5699" s="1"/>
      <c r="B5699" s="1"/>
      <c r="C5699" s="1"/>
      <c r="D5699" s="1"/>
      <c r="E5699" s="1"/>
      <c r="F5699" s="1"/>
      <c r="G5699" s="1"/>
      <c r="H5699" s="1"/>
      <c r="I5699" s="1"/>
      <c r="J5699" s="1"/>
      <c r="K5699" s="102" t="s">
        <v>8934</v>
      </c>
      <c r="L5699" s="102" t="str">
        <f>C691</f>
        <v>J1b</v>
      </c>
      <c r="M5699" s="102"/>
      <c r="N5699" s="102" t="s">
        <v>8935</v>
      </c>
      <c r="O5699" s="105">
        <v>1.5325515E7</v>
      </c>
      <c r="P5699" s="105">
        <v>1.3213633E7</v>
      </c>
      <c r="Q5699" s="102" t="s">
        <v>2533</v>
      </c>
      <c r="S5699" s="1"/>
      <c r="T5699" s="1"/>
      <c r="U5699" s="1"/>
      <c r="V5699" s="1"/>
      <c r="W5699" s="1"/>
      <c r="X5699" s="1"/>
      <c r="Y5699" s="1"/>
      <c r="AA5699" s="102"/>
      <c r="AB5699" s="1"/>
      <c r="AC5699" s="1"/>
      <c r="AD5699" s="1"/>
      <c r="AE5699" s="1"/>
      <c r="AF5699" s="1"/>
      <c r="AG5699" s="1"/>
    </row>
    <row r="5700" ht="15.75" customHeight="1">
      <c r="A5700" s="1"/>
      <c r="B5700" s="1"/>
      <c r="C5700" s="1"/>
      <c r="D5700" s="1"/>
      <c r="E5700" s="1"/>
      <c r="F5700" s="1"/>
      <c r="G5700" s="1"/>
      <c r="H5700" s="1"/>
      <c r="I5700" s="1"/>
      <c r="J5700" s="1"/>
      <c r="K5700" s="102" t="s">
        <v>8936</v>
      </c>
      <c r="L5700" s="102" t="str">
        <f>C691</f>
        <v>J1b</v>
      </c>
      <c r="M5700" s="102"/>
      <c r="N5700" s="102"/>
      <c r="O5700" s="102">
        <v>1.629936E7</v>
      </c>
      <c r="P5700" s="102">
        <v>1.418748E7</v>
      </c>
      <c r="Q5700" s="102" t="s">
        <v>2423</v>
      </c>
      <c r="S5700" s="1"/>
      <c r="T5700" s="1"/>
      <c r="U5700" s="1"/>
      <c r="V5700" s="1"/>
      <c r="W5700" s="1"/>
      <c r="X5700" s="1"/>
      <c r="Y5700" s="1"/>
      <c r="AA5700" s="102"/>
      <c r="AB5700" s="1"/>
      <c r="AC5700" s="1"/>
      <c r="AD5700" s="1"/>
      <c r="AE5700" s="1"/>
      <c r="AF5700" s="1"/>
      <c r="AG5700" s="1"/>
    </row>
    <row r="5701" ht="15.75" customHeight="1">
      <c r="A5701" s="1"/>
      <c r="B5701" s="1"/>
      <c r="C5701" s="1"/>
      <c r="D5701" s="1"/>
      <c r="E5701" s="1"/>
      <c r="F5701" s="1"/>
      <c r="G5701" s="1"/>
      <c r="H5701" s="1"/>
      <c r="I5701" s="1"/>
      <c r="J5701" s="1"/>
      <c r="K5701" s="102" t="s">
        <v>8937</v>
      </c>
      <c r="L5701" s="102" t="str">
        <f>C691</f>
        <v>J1b</v>
      </c>
      <c r="M5701" s="102"/>
      <c r="N5701" s="102" t="s">
        <v>8938</v>
      </c>
      <c r="O5701" s="105">
        <v>1.715882E7</v>
      </c>
      <c r="P5701" s="105">
        <v>1.504694E7</v>
      </c>
      <c r="Q5701" s="102" t="s">
        <v>2468</v>
      </c>
      <c r="S5701" s="1"/>
      <c r="T5701" s="1"/>
      <c r="U5701" s="1"/>
      <c r="V5701" s="1"/>
      <c r="W5701" s="1"/>
      <c r="X5701" s="1"/>
      <c r="Y5701" s="1"/>
      <c r="AA5701" s="102"/>
      <c r="AB5701" s="1"/>
      <c r="AC5701" s="1"/>
      <c r="AD5701" s="1"/>
      <c r="AE5701" s="1"/>
      <c r="AF5701" s="1"/>
      <c r="AG5701" s="1"/>
    </row>
    <row r="5702" ht="15.75" customHeight="1">
      <c r="A5702" s="1"/>
      <c r="B5702" s="1"/>
      <c r="C5702" s="1"/>
      <c r="D5702" s="1"/>
      <c r="E5702" s="1"/>
      <c r="F5702" s="1"/>
      <c r="G5702" s="1"/>
      <c r="H5702" s="1"/>
      <c r="I5702" s="1"/>
      <c r="J5702" s="1"/>
      <c r="K5702" s="102" t="s">
        <v>8939</v>
      </c>
      <c r="L5702" s="102" t="str">
        <f>C691</f>
        <v>J1b</v>
      </c>
      <c r="M5702" s="102"/>
      <c r="N5702" s="102" t="s">
        <v>8940</v>
      </c>
      <c r="O5702" s="105">
        <v>1.8108966E7</v>
      </c>
      <c r="P5702" s="105">
        <v>1.5997086E7</v>
      </c>
      <c r="Q5702" s="102" t="s">
        <v>2454</v>
      </c>
      <c r="S5702" s="1"/>
      <c r="T5702" s="1"/>
      <c r="U5702" s="1"/>
      <c r="V5702" s="1"/>
      <c r="W5702" s="1"/>
      <c r="X5702" s="1"/>
      <c r="Y5702" s="1"/>
      <c r="AA5702" s="102"/>
      <c r="AB5702" s="1"/>
      <c r="AC5702" s="1"/>
      <c r="AD5702" s="1"/>
      <c r="AE5702" s="1"/>
      <c r="AF5702" s="1"/>
      <c r="AG5702" s="1"/>
    </row>
    <row r="5703" ht="15.75" customHeight="1">
      <c r="A5703" s="1"/>
      <c r="B5703" s="1"/>
      <c r="C5703" s="1"/>
      <c r="D5703" s="1"/>
      <c r="E5703" s="1"/>
      <c r="F5703" s="1"/>
      <c r="G5703" s="1"/>
      <c r="H5703" s="1"/>
      <c r="I5703" s="1"/>
      <c r="J5703" s="1"/>
      <c r="K5703" s="102" t="s">
        <v>8941</v>
      </c>
      <c r="L5703" s="102" t="str">
        <f>C691</f>
        <v>J1b</v>
      </c>
      <c r="M5703" s="102"/>
      <c r="N5703" s="102" t="s">
        <v>8942</v>
      </c>
      <c r="O5703" s="105">
        <v>2.1129511E7</v>
      </c>
      <c r="P5703" s="105">
        <v>1.8967625E7</v>
      </c>
      <c r="Q5703" s="102" t="s">
        <v>2501</v>
      </c>
      <c r="S5703" s="1"/>
      <c r="T5703" s="1"/>
      <c r="U5703" s="1"/>
      <c r="V5703" s="1"/>
      <c r="W5703" s="1"/>
      <c r="X5703" s="1"/>
      <c r="Y5703" s="1"/>
      <c r="AA5703" s="102"/>
      <c r="AB5703" s="1"/>
      <c r="AC5703" s="1"/>
      <c r="AD5703" s="1"/>
      <c r="AE5703" s="1"/>
      <c r="AF5703" s="1"/>
      <c r="AG5703" s="1"/>
    </row>
    <row r="5704" ht="15.75" customHeight="1">
      <c r="A5704" s="1"/>
      <c r="B5704" s="1"/>
      <c r="C5704" s="1"/>
      <c r="D5704" s="1"/>
      <c r="E5704" s="1"/>
      <c r="F5704" s="1"/>
      <c r="G5704" s="1"/>
      <c r="H5704" s="1"/>
      <c r="I5704" s="1"/>
      <c r="J5704" s="1"/>
      <c r="K5704" s="102" t="s">
        <v>8943</v>
      </c>
      <c r="L5704" s="102" t="str">
        <f>C691</f>
        <v>J1b</v>
      </c>
      <c r="M5704" s="102"/>
      <c r="N5704" s="102" t="s">
        <v>8944</v>
      </c>
      <c r="O5704" s="105">
        <v>2.3555144E7</v>
      </c>
      <c r="P5704" s="105">
        <v>2.1393258E7</v>
      </c>
      <c r="Q5704" s="102" t="s">
        <v>2533</v>
      </c>
      <c r="S5704" s="1"/>
      <c r="T5704" s="1"/>
      <c r="U5704" s="1"/>
      <c r="V5704" s="1"/>
      <c r="W5704" s="1"/>
      <c r="X5704" s="1"/>
      <c r="Y5704" s="1"/>
      <c r="AA5704" s="102"/>
      <c r="AB5704" s="1"/>
      <c r="AC5704" s="1"/>
      <c r="AD5704" s="1"/>
      <c r="AE5704" s="1"/>
      <c r="AF5704" s="1"/>
      <c r="AG5704" s="1"/>
    </row>
    <row r="5705" ht="15.75" customHeight="1">
      <c r="A5705" s="1"/>
      <c r="B5705" s="1"/>
      <c r="C5705" s="1"/>
      <c r="D5705" s="1"/>
      <c r="E5705" s="1"/>
      <c r="F5705" s="1"/>
      <c r="G5705" s="1"/>
      <c r="H5705" s="1"/>
      <c r="I5705" s="1"/>
      <c r="J5705" s="1"/>
      <c r="K5705" s="102" t="s">
        <v>8945</v>
      </c>
      <c r="L5705" s="102" t="str">
        <f>D692</f>
        <v>J1b1~</v>
      </c>
      <c r="M5705" s="102" t="s">
        <v>8946</v>
      </c>
      <c r="N5705" s="102"/>
      <c r="O5705" s="102">
        <v>1.6075737E7</v>
      </c>
      <c r="P5705" s="102">
        <v>1.3963857E7</v>
      </c>
      <c r="Q5705" s="102" t="s">
        <v>2529</v>
      </c>
      <c r="S5705" s="1"/>
      <c r="T5705" s="1"/>
      <c r="U5705" s="1"/>
      <c r="V5705" s="1"/>
      <c r="W5705" s="1"/>
      <c r="X5705" s="1"/>
      <c r="Y5705" s="1"/>
      <c r="AA5705" s="102"/>
      <c r="AB5705" s="1"/>
      <c r="AC5705" s="1"/>
      <c r="AD5705" s="1"/>
      <c r="AE5705" s="1"/>
      <c r="AF5705" s="1"/>
      <c r="AG5705" s="1"/>
    </row>
    <row r="5706" ht="15.75" customHeight="1">
      <c r="A5706" s="1"/>
      <c r="B5706" s="1"/>
      <c r="C5706" s="1"/>
      <c r="D5706" s="1"/>
      <c r="E5706" s="1"/>
      <c r="F5706" s="1"/>
      <c r="G5706" s="1"/>
      <c r="H5706" s="1"/>
      <c r="I5706" s="1"/>
      <c r="J5706" s="1"/>
      <c r="K5706" s="102" t="s">
        <v>8946</v>
      </c>
      <c r="L5706" s="102" t="str">
        <f>D692</f>
        <v>J1b1~</v>
      </c>
      <c r="M5706" s="102" t="s">
        <v>8945</v>
      </c>
      <c r="N5706" s="102"/>
      <c r="O5706" s="102">
        <v>1.6075737E7</v>
      </c>
      <c r="P5706" s="102">
        <v>1.3963857E7</v>
      </c>
      <c r="Q5706" s="102" t="s">
        <v>2529</v>
      </c>
      <c r="S5706" s="1"/>
      <c r="T5706" s="1"/>
      <c r="U5706" s="1"/>
      <c r="V5706" s="1"/>
      <c r="W5706" s="1"/>
      <c r="X5706" s="1"/>
      <c r="Y5706" s="1"/>
      <c r="AA5706" s="102"/>
      <c r="AB5706" s="1"/>
      <c r="AC5706" s="1"/>
      <c r="AD5706" s="1"/>
      <c r="AE5706" s="1"/>
      <c r="AF5706" s="1"/>
      <c r="AG5706" s="1"/>
    </row>
    <row r="5707" ht="15.75" customHeight="1">
      <c r="A5707" s="1"/>
      <c r="B5707" s="1"/>
      <c r="C5707" s="1"/>
      <c r="D5707" s="1"/>
      <c r="E5707" s="1"/>
      <c r="F5707" s="1"/>
      <c r="G5707" s="1"/>
      <c r="H5707" s="1"/>
      <c r="I5707" s="1"/>
      <c r="J5707" s="1"/>
      <c r="K5707" s="102" t="s">
        <v>8947</v>
      </c>
      <c r="L5707" s="102" t="str">
        <f>D692</f>
        <v>J1b1~</v>
      </c>
      <c r="M5707" s="102" t="s">
        <v>8948</v>
      </c>
      <c r="N5707" s="102"/>
      <c r="O5707" s="105">
        <v>2.8784924E7</v>
      </c>
      <c r="P5707" s="105">
        <v>2.6638777E7</v>
      </c>
      <c r="Q5707" s="102" t="s">
        <v>2501</v>
      </c>
      <c r="S5707" s="1"/>
      <c r="T5707" s="1"/>
      <c r="U5707" s="1"/>
      <c r="V5707" s="1"/>
      <c r="W5707" s="1"/>
      <c r="X5707" s="1"/>
      <c r="Y5707" s="1"/>
      <c r="AA5707" s="102"/>
      <c r="AB5707" s="1"/>
      <c r="AC5707" s="1"/>
      <c r="AD5707" s="1"/>
      <c r="AE5707" s="1"/>
      <c r="AF5707" s="1"/>
      <c r="AG5707" s="1"/>
    </row>
    <row r="5708" ht="15.75" customHeight="1">
      <c r="A5708" s="1"/>
      <c r="B5708" s="1"/>
      <c r="C5708" s="1"/>
      <c r="D5708" s="1"/>
      <c r="E5708" s="1"/>
      <c r="F5708" s="1"/>
      <c r="G5708" s="1"/>
      <c r="H5708" s="1"/>
      <c r="I5708" s="1"/>
      <c r="J5708" s="1"/>
      <c r="K5708" s="102" t="s">
        <v>8949</v>
      </c>
      <c r="L5708" s="102" t="str">
        <f>D692</f>
        <v>J1b1~</v>
      </c>
      <c r="M5708" s="102" t="s">
        <v>8950</v>
      </c>
      <c r="N5708" s="102"/>
      <c r="O5708" s="105">
        <v>2.8784924E7</v>
      </c>
      <c r="P5708" s="105">
        <v>2.6638777E7</v>
      </c>
      <c r="Q5708" s="102" t="s">
        <v>2501</v>
      </c>
      <c r="S5708" s="1"/>
      <c r="T5708" s="1"/>
      <c r="U5708" s="1"/>
      <c r="V5708" s="1"/>
      <c r="W5708" s="1"/>
      <c r="X5708" s="1"/>
      <c r="Y5708" s="1"/>
      <c r="AA5708" s="102"/>
      <c r="AB5708" s="1"/>
      <c r="AC5708" s="1"/>
      <c r="AD5708" s="1"/>
      <c r="AE5708" s="1"/>
      <c r="AF5708" s="1"/>
      <c r="AG5708" s="1"/>
    </row>
    <row r="5709" ht="15.75" customHeight="1">
      <c r="A5709" s="1"/>
      <c r="B5709" s="1"/>
      <c r="C5709" s="1"/>
      <c r="D5709" s="1"/>
      <c r="E5709" s="1"/>
      <c r="F5709" s="1"/>
      <c r="G5709" s="1"/>
      <c r="H5709" s="1"/>
      <c r="I5709" s="1"/>
      <c r="J5709" s="1"/>
      <c r="K5709" s="102" t="s">
        <v>8951</v>
      </c>
      <c r="L5709" s="102" t="str">
        <f>D692</f>
        <v>J1b1~</v>
      </c>
      <c r="M5709" s="102" t="s">
        <v>8952</v>
      </c>
      <c r="N5709" s="102"/>
      <c r="O5709" s="105">
        <v>2.8784924E7</v>
      </c>
      <c r="P5709" s="105">
        <v>2.6638777E7</v>
      </c>
      <c r="Q5709" s="102" t="s">
        <v>2501</v>
      </c>
      <c r="S5709" s="1"/>
      <c r="T5709" s="1"/>
      <c r="U5709" s="1"/>
      <c r="V5709" s="1"/>
      <c r="W5709" s="1"/>
      <c r="X5709" s="1"/>
      <c r="Y5709" s="1"/>
      <c r="AA5709" s="102"/>
      <c r="AB5709" s="1"/>
      <c r="AC5709" s="1"/>
      <c r="AD5709" s="1"/>
      <c r="AE5709" s="1"/>
      <c r="AF5709" s="1"/>
      <c r="AG5709" s="1"/>
    </row>
    <row r="5710" ht="15.75" customHeight="1">
      <c r="A5710" s="1"/>
      <c r="B5710" s="1"/>
      <c r="C5710" s="1"/>
      <c r="D5710" s="1"/>
      <c r="E5710" s="1"/>
      <c r="F5710" s="1"/>
      <c r="G5710" s="1"/>
      <c r="H5710" s="1"/>
      <c r="I5710" s="1"/>
      <c r="J5710" s="1"/>
      <c r="K5710" s="102" t="s">
        <v>8953</v>
      </c>
      <c r="L5710" s="102" t="str">
        <f>D692</f>
        <v>J1b1~</v>
      </c>
      <c r="M5710" s="102" t="s">
        <v>8954</v>
      </c>
      <c r="N5710" s="102" t="s">
        <v>8955</v>
      </c>
      <c r="O5710" s="105">
        <v>8767439.0</v>
      </c>
      <c r="P5710" s="105">
        <v>8899398.0</v>
      </c>
      <c r="Q5710" s="102" t="s">
        <v>2439</v>
      </c>
      <c r="S5710" s="1"/>
      <c r="T5710" s="1"/>
      <c r="U5710" s="1"/>
      <c r="V5710" s="1"/>
      <c r="W5710" s="1"/>
      <c r="X5710" s="1"/>
      <c r="Y5710" s="1"/>
      <c r="AA5710" s="102"/>
      <c r="AB5710" s="1"/>
      <c r="AC5710" s="1"/>
      <c r="AD5710" s="1"/>
      <c r="AE5710" s="1"/>
      <c r="AF5710" s="1"/>
      <c r="AG5710" s="1"/>
    </row>
    <row r="5711" ht="15.75" customHeight="1">
      <c r="A5711" s="1"/>
      <c r="B5711" s="1"/>
      <c r="C5711" s="1"/>
      <c r="D5711" s="1"/>
      <c r="E5711" s="1"/>
      <c r="F5711" s="1"/>
      <c r="G5711" s="1"/>
      <c r="H5711" s="1"/>
      <c r="I5711" s="1"/>
      <c r="J5711" s="1"/>
      <c r="K5711" s="102" t="s">
        <v>8956</v>
      </c>
      <c r="L5711" s="102" t="str">
        <f>D692</f>
        <v>J1b1~</v>
      </c>
      <c r="M5711" s="102" t="s">
        <v>8957</v>
      </c>
      <c r="N5711" s="102" t="s">
        <v>8955</v>
      </c>
      <c r="O5711" s="105">
        <v>8767439.0</v>
      </c>
      <c r="P5711" s="105">
        <v>8899398.0</v>
      </c>
      <c r="Q5711" s="102" t="s">
        <v>2439</v>
      </c>
      <c r="S5711" s="1"/>
      <c r="T5711" s="1"/>
      <c r="U5711" s="1"/>
      <c r="V5711" s="1"/>
      <c r="W5711" s="1"/>
      <c r="X5711" s="1"/>
      <c r="Y5711" s="1"/>
      <c r="AA5711" s="102"/>
      <c r="AB5711" s="1"/>
      <c r="AC5711" s="1"/>
      <c r="AD5711" s="1"/>
      <c r="AE5711" s="1"/>
      <c r="AF5711" s="1"/>
      <c r="AG5711" s="1"/>
    </row>
    <row r="5712" ht="15.75" customHeight="1">
      <c r="A5712" s="1"/>
      <c r="B5712" s="1"/>
      <c r="C5712" s="1"/>
      <c r="D5712" s="1"/>
      <c r="E5712" s="1"/>
      <c r="F5712" s="1"/>
      <c r="G5712" s="1"/>
      <c r="H5712" s="1"/>
      <c r="I5712" s="1"/>
      <c r="J5712" s="1"/>
      <c r="K5712" s="102" t="s">
        <v>8958</v>
      </c>
      <c r="L5712" s="102" t="str">
        <f>D692</f>
        <v>J1b1~</v>
      </c>
      <c r="M5712" s="102" t="s">
        <v>8959</v>
      </c>
      <c r="N5712" s="102" t="s">
        <v>8955</v>
      </c>
      <c r="O5712" s="105">
        <v>8767439.0</v>
      </c>
      <c r="P5712" s="105">
        <v>8899398.0</v>
      </c>
      <c r="Q5712" s="102" t="s">
        <v>2439</v>
      </c>
      <c r="S5712" s="1"/>
      <c r="T5712" s="1"/>
      <c r="U5712" s="1"/>
      <c r="V5712" s="1"/>
      <c r="W5712" s="1"/>
      <c r="X5712" s="1"/>
      <c r="Y5712" s="1"/>
      <c r="AA5712" s="102"/>
      <c r="AB5712" s="1"/>
      <c r="AC5712" s="1"/>
      <c r="AD5712" s="1"/>
      <c r="AE5712" s="1"/>
      <c r="AF5712" s="1"/>
      <c r="AG5712" s="1"/>
    </row>
    <row r="5713" ht="15.75" customHeight="1">
      <c r="A5713" s="1"/>
      <c r="B5713" s="1"/>
      <c r="C5713" s="1"/>
      <c r="D5713" s="1"/>
      <c r="E5713" s="1"/>
      <c r="F5713" s="1"/>
      <c r="G5713" s="1"/>
      <c r="H5713" s="1"/>
      <c r="I5713" s="1"/>
      <c r="J5713" s="1"/>
      <c r="K5713" s="102" t="s">
        <v>8960</v>
      </c>
      <c r="L5713" s="102" t="str">
        <f>D692</f>
        <v>J1b1~</v>
      </c>
      <c r="M5713" s="102" t="s">
        <v>8961</v>
      </c>
      <c r="N5713" s="102" t="s">
        <v>8962</v>
      </c>
      <c r="O5713" s="105">
        <v>1.4808433E7</v>
      </c>
      <c r="P5713" s="105">
        <v>1.2696504E7</v>
      </c>
      <c r="Q5713" s="102" t="s">
        <v>2514</v>
      </c>
      <c r="S5713" s="1"/>
      <c r="T5713" s="1"/>
      <c r="U5713" s="1"/>
      <c r="V5713" s="1"/>
      <c r="W5713" s="1"/>
      <c r="X5713" s="1"/>
      <c r="Y5713" s="1"/>
      <c r="AA5713" s="102"/>
      <c r="AB5713" s="1"/>
      <c r="AC5713" s="1"/>
      <c r="AD5713" s="1"/>
      <c r="AE5713" s="1"/>
      <c r="AF5713" s="1"/>
      <c r="AG5713" s="1"/>
    </row>
    <row r="5714" ht="15.75" customHeight="1">
      <c r="A5714" s="1"/>
      <c r="B5714" s="1"/>
      <c r="C5714" s="1"/>
      <c r="D5714" s="1"/>
      <c r="E5714" s="1"/>
      <c r="F5714" s="1"/>
      <c r="G5714" s="1"/>
      <c r="H5714" s="1"/>
      <c r="I5714" s="1"/>
      <c r="J5714" s="1"/>
      <c r="K5714" s="102" t="s">
        <v>8963</v>
      </c>
      <c r="L5714" s="102" t="str">
        <f>D692</f>
        <v>J1b1~</v>
      </c>
      <c r="M5714" s="102" t="s">
        <v>8964</v>
      </c>
      <c r="N5714" s="102" t="s">
        <v>8962</v>
      </c>
      <c r="O5714" s="105">
        <v>1.4808433E7</v>
      </c>
      <c r="P5714" s="105">
        <v>1.2696504E7</v>
      </c>
      <c r="Q5714" s="102" t="s">
        <v>2514</v>
      </c>
      <c r="S5714" s="1"/>
      <c r="T5714" s="1"/>
      <c r="U5714" s="1"/>
      <c r="V5714" s="1"/>
      <c r="W5714" s="1"/>
      <c r="X5714" s="1"/>
      <c r="Y5714" s="1"/>
      <c r="AA5714" s="102"/>
      <c r="AB5714" s="1"/>
      <c r="AC5714" s="1"/>
      <c r="AD5714" s="1"/>
      <c r="AE5714" s="1"/>
      <c r="AF5714" s="1"/>
      <c r="AG5714" s="1"/>
    </row>
    <row r="5715" ht="15.75" customHeight="1">
      <c r="A5715" s="1"/>
      <c r="B5715" s="1"/>
      <c r="C5715" s="1"/>
      <c r="D5715" s="1"/>
      <c r="E5715" s="1"/>
      <c r="F5715" s="1"/>
      <c r="G5715" s="1"/>
      <c r="H5715" s="1"/>
      <c r="I5715" s="1"/>
      <c r="J5715" s="1"/>
      <c r="K5715" s="102" t="s">
        <v>8965</v>
      </c>
      <c r="L5715" s="102" t="str">
        <f>D692</f>
        <v>J1b1~</v>
      </c>
      <c r="M5715" s="102" t="s">
        <v>8966</v>
      </c>
      <c r="N5715" s="102" t="s">
        <v>8962</v>
      </c>
      <c r="O5715" s="105">
        <v>1.4808433E7</v>
      </c>
      <c r="P5715" s="105">
        <v>1.2696504E7</v>
      </c>
      <c r="Q5715" s="102" t="s">
        <v>2514</v>
      </c>
      <c r="S5715" s="1"/>
      <c r="T5715" s="1"/>
      <c r="U5715" s="1"/>
      <c r="V5715" s="1"/>
      <c r="W5715" s="1"/>
      <c r="X5715" s="1"/>
      <c r="Y5715" s="1"/>
      <c r="AA5715" s="102"/>
      <c r="AB5715" s="1"/>
      <c r="AC5715" s="1"/>
      <c r="AD5715" s="1"/>
      <c r="AE5715" s="1"/>
      <c r="AF5715" s="1"/>
      <c r="AG5715" s="1"/>
    </row>
    <row r="5716" ht="15.75" customHeight="1">
      <c r="A5716" s="1"/>
      <c r="B5716" s="1"/>
      <c r="C5716" s="1"/>
      <c r="D5716" s="1"/>
      <c r="E5716" s="1"/>
      <c r="F5716" s="1"/>
      <c r="G5716" s="1"/>
      <c r="H5716" s="1"/>
      <c r="I5716" s="1"/>
      <c r="J5716" s="1"/>
      <c r="K5716" s="102" t="s">
        <v>8967</v>
      </c>
      <c r="L5716" s="102" t="str">
        <f>D692</f>
        <v>J1b1~</v>
      </c>
      <c r="M5716" s="102" t="s">
        <v>8968</v>
      </c>
      <c r="N5716" s="102"/>
      <c r="O5716" s="105">
        <v>8767327.0</v>
      </c>
      <c r="P5716" s="105">
        <v>8899286.0</v>
      </c>
      <c r="Q5716" s="102" t="s">
        <v>2533</v>
      </c>
      <c r="S5716" s="1"/>
      <c r="T5716" s="1"/>
      <c r="U5716" s="1"/>
      <c r="V5716" s="1"/>
      <c r="W5716" s="1"/>
      <c r="X5716" s="1"/>
      <c r="Y5716" s="1"/>
      <c r="AA5716" s="102"/>
      <c r="AB5716" s="1"/>
      <c r="AC5716" s="1"/>
      <c r="AD5716" s="1"/>
      <c r="AE5716" s="1"/>
      <c r="AF5716" s="1"/>
      <c r="AG5716" s="1"/>
    </row>
    <row r="5717" ht="15.75" customHeight="1">
      <c r="A5717" s="1"/>
      <c r="B5717" s="1"/>
      <c r="C5717" s="1"/>
      <c r="D5717" s="1"/>
      <c r="E5717" s="1"/>
      <c r="F5717" s="1"/>
      <c r="G5717" s="1"/>
      <c r="H5717" s="1"/>
      <c r="I5717" s="1"/>
      <c r="J5717" s="1"/>
      <c r="K5717" s="102" t="s">
        <v>8969</v>
      </c>
      <c r="L5717" s="102" t="str">
        <f>D692</f>
        <v>J1b1~</v>
      </c>
      <c r="M5717" s="102" t="s">
        <v>8970</v>
      </c>
      <c r="N5717" s="102"/>
      <c r="O5717" s="105">
        <v>8767327.0</v>
      </c>
      <c r="P5717" s="105">
        <v>8899286.0</v>
      </c>
      <c r="Q5717" s="102" t="s">
        <v>2533</v>
      </c>
      <c r="S5717" s="1"/>
      <c r="T5717" s="1"/>
      <c r="U5717" s="1"/>
      <c r="V5717" s="1"/>
      <c r="W5717" s="1"/>
      <c r="X5717" s="1"/>
      <c r="Y5717" s="1"/>
      <c r="AA5717" s="102"/>
      <c r="AB5717" s="1"/>
      <c r="AC5717" s="1"/>
      <c r="AD5717" s="1"/>
      <c r="AE5717" s="1"/>
      <c r="AF5717" s="1"/>
      <c r="AG5717" s="1"/>
    </row>
    <row r="5718" ht="15.75" customHeight="1">
      <c r="A5718" s="1"/>
      <c r="B5718" s="1"/>
      <c r="C5718" s="1"/>
      <c r="D5718" s="1"/>
      <c r="E5718" s="1"/>
      <c r="F5718" s="1"/>
      <c r="G5718" s="1"/>
      <c r="H5718" s="1"/>
      <c r="I5718" s="1"/>
      <c r="J5718" s="1"/>
      <c r="K5718" s="102" t="s">
        <v>8971</v>
      </c>
      <c r="L5718" s="102" t="str">
        <f>D692</f>
        <v>J1b1~</v>
      </c>
      <c r="M5718" s="102" t="s">
        <v>8972</v>
      </c>
      <c r="N5718" s="102"/>
      <c r="O5718" s="105">
        <v>8767327.0</v>
      </c>
      <c r="P5718" s="105">
        <v>8899286.0</v>
      </c>
      <c r="Q5718" s="102" t="s">
        <v>2533</v>
      </c>
      <c r="S5718" s="1"/>
      <c r="T5718" s="1"/>
      <c r="U5718" s="1"/>
      <c r="V5718" s="1"/>
      <c r="W5718" s="1"/>
      <c r="X5718" s="1"/>
      <c r="Y5718" s="1"/>
      <c r="AA5718" s="102"/>
      <c r="AB5718" s="1"/>
      <c r="AC5718" s="1"/>
      <c r="AD5718" s="1"/>
      <c r="AE5718" s="1"/>
      <c r="AF5718" s="1"/>
      <c r="AG5718" s="1"/>
    </row>
    <row r="5719" ht="15.75" customHeight="1">
      <c r="A5719" s="1"/>
      <c r="B5719" s="1"/>
      <c r="C5719" s="1"/>
      <c r="D5719" s="1"/>
      <c r="E5719" s="1"/>
      <c r="F5719" s="1"/>
      <c r="G5719" s="1"/>
      <c r="H5719" s="1"/>
      <c r="I5719" s="1"/>
      <c r="J5719" s="1"/>
      <c r="K5719" s="102" t="s">
        <v>8973</v>
      </c>
      <c r="L5719" s="102" t="str">
        <f>D692</f>
        <v>J1b1~</v>
      </c>
      <c r="M5719" s="102" t="s">
        <v>8974</v>
      </c>
      <c r="N5719" s="102" t="s">
        <v>8975</v>
      </c>
      <c r="O5719" s="105">
        <v>8467475.0</v>
      </c>
      <c r="P5719" s="105">
        <v>8599434.0</v>
      </c>
      <c r="Q5719" s="102" t="s">
        <v>2439</v>
      </c>
      <c r="S5719" s="1"/>
      <c r="T5719" s="1"/>
      <c r="U5719" s="1"/>
      <c r="V5719" s="1"/>
      <c r="W5719" s="1"/>
      <c r="X5719" s="1"/>
      <c r="Y5719" s="1"/>
      <c r="AA5719" s="102"/>
      <c r="AB5719" s="1"/>
      <c r="AC5719" s="1"/>
      <c r="AD5719" s="1"/>
      <c r="AE5719" s="1"/>
      <c r="AF5719" s="1"/>
      <c r="AG5719" s="1"/>
    </row>
    <row r="5720" ht="15.75" customHeight="1">
      <c r="A5720" s="1"/>
      <c r="B5720" s="1"/>
      <c r="C5720" s="1"/>
      <c r="D5720" s="1"/>
      <c r="E5720" s="1"/>
      <c r="F5720" s="1"/>
      <c r="G5720" s="1"/>
      <c r="H5720" s="1"/>
      <c r="I5720" s="1"/>
      <c r="J5720" s="1"/>
      <c r="K5720" s="102" t="s">
        <v>8974</v>
      </c>
      <c r="L5720" s="102" t="str">
        <f>D692</f>
        <v>J1b1~</v>
      </c>
      <c r="M5720" s="102" t="s">
        <v>8973</v>
      </c>
      <c r="N5720" s="102" t="s">
        <v>8975</v>
      </c>
      <c r="O5720" s="105">
        <v>8467475.0</v>
      </c>
      <c r="P5720" s="105">
        <v>8599434.0</v>
      </c>
      <c r="Q5720" s="102" t="s">
        <v>2439</v>
      </c>
      <c r="S5720" s="1"/>
      <c r="T5720" s="1"/>
      <c r="U5720" s="1"/>
      <c r="V5720" s="1"/>
      <c r="W5720" s="1"/>
      <c r="X5720" s="1"/>
      <c r="Y5720" s="1"/>
      <c r="AA5720" s="102"/>
      <c r="AB5720" s="1"/>
      <c r="AC5720" s="1"/>
      <c r="AD5720" s="1"/>
      <c r="AE5720" s="1"/>
      <c r="AF5720" s="1"/>
      <c r="AG5720" s="1"/>
    </row>
    <row r="5721" ht="15.75" customHeight="1">
      <c r="A5721" s="1"/>
      <c r="B5721" s="1"/>
      <c r="C5721" s="1"/>
      <c r="D5721" s="1"/>
      <c r="E5721" s="1"/>
      <c r="F5721" s="1"/>
      <c r="G5721" s="1"/>
      <c r="H5721" s="1"/>
      <c r="I5721" s="1"/>
      <c r="J5721" s="1"/>
      <c r="K5721" s="102" t="s">
        <v>8976</v>
      </c>
      <c r="L5721" s="102" t="str">
        <f>D692</f>
        <v>J1b1~</v>
      </c>
      <c r="M5721" s="102" t="s">
        <v>8977</v>
      </c>
      <c r="N5721" s="102"/>
      <c r="O5721" s="102">
        <v>1.8951113E7</v>
      </c>
      <c r="P5721" s="102">
        <v>1.6839233E7</v>
      </c>
      <c r="Q5721" s="102" t="s">
        <v>2439</v>
      </c>
      <c r="S5721" s="1"/>
      <c r="T5721" s="1"/>
      <c r="U5721" s="1"/>
      <c r="V5721" s="1"/>
      <c r="W5721" s="1"/>
      <c r="X5721" s="1"/>
      <c r="Y5721" s="1"/>
      <c r="AA5721" s="102"/>
      <c r="AB5721" s="1"/>
      <c r="AC5721" s="1"/>
      <c r="AD5721" s="1"/>
      <c r="AE5721" s="1"/>
      <c r="AF5721" s="1"/>
      <c r="AG5721" s="1"/>
    </row>
    <row r="5722" ht="15.75" customHeight="1">
      <c r="A5722" s="1"/>
      <c r="B5722" s="1"/>
      <c r="C5722" s="1"/>
      <c r="D5722" s="1"/>
      <c r="E5722" s="1"/>
      <c r="F5722" s="1"/>
      <c r="G5722" s="1"/>
      <c r="H5722" s="1"/>
      <c r="I5722" s="1"/>
      <c r="J5722" s="1"/>
      <c r="K5722" s="102" t="s">
        <v>8977</v>
      </c>
      <c r="L5722" s="102" t="str">
        <f>D692</f>
        <v>J1b1~</v>
      </c>
      <c r="M5722" s="102" t="s">
        <v>8976</v>
      </c>
      <c r="N5722" s="102"/>
      <c r="O5722" s="102">
        <v>1.8951113E7</v>
      </c>
      <c r="P5722" s="102">
        <v>1.6839233E7</v>
      </c>
      <c r="Q5722" s="102" t="s">
        <v>2439</v>
      </c>
      <c r="S5722" s="1"/>
      <c r="T5722" s="1"/>
      <c r="U5722" s="1"/>
      <c r="V5722" s="1"/>
      <c r="W5722" s="1"/>
      <c r="X5722" s="1"/>
      <c r="Y5722" s="1"/>
      <c r="AA5722" s="102"/>
      <c r="AB5722" s="1"/>
      <c r="AC5722" s="1"/>
      <c r="AD5722" s="1"/>
      <c r="AE5722" s="1"/>
      <c r="AF5722" s="1"/>
      <c r="AG5722" s="1"/>
    </row>
    <row r="5723" ht="15.75" customHeight="1">
      <c r="A5723" s="1"/>
      <c r="B5723" s="1"/>
      <c r="C5723" s="1"/>
      <c r="D5723" s="1"/>
      <c r="E5723" s="1"/>
      <c r="F5723" s="1"/>
      <c r="G5723" s="1"/>
      <c r="H5723" s="1"/>
      <c r="I5723" s="1"/>
      <c r="J5723" s="1"/>
      <c r="K5723" s="102" t="s">
        <v>8978</v>
      </c>
      <c r="L5723" s="102" t="str">
        <f>D692</f>
        <v>J1b1~</v>
      </c>
      <c r="M5723" s="102" t="s">
        <v>8979</v>
      </c>
      <c r="N5723" s="102" t="s">
        <v>8980</v>
      </c>
      <c r="O5723" s="105">
        <v>2.141558E7</v>
      </c>
      <c r="P5723" s="105">
        <v>1.9253694E7</v>
      </c>
      <c r="Q5723" s="102" t="s">
        <v>2529</v>
      </c>
      <c r="S5723" s="1"/>
      <c r="T5723" s="1"/>
      <c r="U5723" s="1"/>
      <c r="V5723" s="1"/>
      <c r="W5723" s="1"/>
      <c r="X5723" s="1"/>
      <c r="Y5723" s="1"/>
      <c r="AA5723" s="102"/>
      <c r="AB5723" s="1"/>
      <c r="AC5723" s="1"/>
      <c r="AD5723" s="1"/>
      <c r="AE5723" s="1"/>
      <c r="AF5723" s="1"/>
      <c r="AG5723" s="1"/>
    </row>
    <row r="5724" ht="15.75" customHeight="1">
      <c r="A5724" s="1"/>
      <c r="B5724" s="1"/>
      <c r="C5724" s="1"/>
      <c r="D5724" s="1"/>
      <c r="E5724" s="1"/>
      <c r="F5724" s="1"/>
      <c r="G5724" s="1"/>
      <c r="H5724" s="1"/>
      <c r="I5724" s="1"/>
      <c r="J5724" s="1"/>
      <c r="K5724" s="102" t="s">
        <v>8979</v>
      </c>
      <c r="L5724" s="102" t="str">
        <f>D692</f>
        <v>J1b1~</v>
      </c>
      <c r="M5724" s="102" t="s">
        <v>8978</v>
      </c>
      <c r="N5724" s="102" t="s">
        <v>8980</v>
      </c>
      <c r="O5724" s="105">
        <v>2.141558E7</v>
      </c>
      <c r="P5724" s="105">
        <v>1.9253694E7</v>
      </c>
      <c r="Q5724" s="102" t="s">
        <v>2529</v>
      </c>
      <c r="S5724" s="1"/>
      <c r="T5724" s="1"/>
      <c r="U5724" s="1"/>
      <c r="V5724" s="1"/>
      <c r="W5724" s="1"/>
      <c r="X5724" s="1"/>
      <c r="Y5724" s="1"/>
      <c r="AA5724" s="102"/>
      <c r="AB5724" s="1"/>
      <c r="AC5724" s="1"/>
      <c r="AD5724" s="1"/>
      <c r="AE5724" s="1"/>
      <c r="AF5724" s="1"/>
      <c r="AG5724" s="1"/>
    </row>
    <row r="5725" ht="15.75" customHeight="1">
      <c r="A5725" s="1"/>
      <c r="B5725" s="1"/>
      <c r="C5725" s="1"/>
      <c r="D5725" s="1"/>
      <c r="E5725" s="1"/>
      <c r="F5725" s="1"/>
      <c r="G5725" s="1"/>
      <c r="H5725" s="1"/>
      <c r="I5725" s="1"/>
      <c r="J5725" s="1"/>
      <c r="K5725" s="102" t="s">
        <v>8981</v>
      </c>
      <c r="L5725" s="102" t="str">
        <f>D692</f>
        <v>J1b1~</v>
      </c>
      <c r="M5725" s="102"/>
      <c r="N5725" s="102"/>
      <c r="O5725" s="105">
        <v>2.182853E7</v>
      </c>
      <c r="P5725" s="105">
        <v>1.9666644E7</v>
      </c>
      <c r="Q5725" s="102" t="s">
        <v>2439</v>
      </c>
      <c r="S5725" s="1"/>
      <c r="T5725" s="1"/>
      <c r="U5725" s="1"/>
      <c r="V5725" s="1"/>
      <c r="W5725" s="1"/>
      <c r="X5725" s="1"/>
      <c r="Y5725" s="1"/>
      <c r="AA5725" s="102"/>
      <c r="AB5725" s="1"/>
      <c r="AC5725" s="1"/>
      <c r="AD5725" s="1"/>
      <c r="AE5725" s="1"/>
      <c r="AF5725" s="1"/>
      <c r="AG5725" s="1"/>
    </row>
    <row r="5726" ht="15.75" customHeight="1">
      <c r="A5726" s="1"/>
      <c r="B5726" s="1"/>
      <c r="C5726" s="1"/>
      <c r="D5726" s="1"/>
      <c r="E5726" s="1"/>
      <c r="F5726" s="1"/>
      <c r="G5726" s="1"/>
      <c r="H5726" s="1"/>
      <c r="I5726" s="1"/>
      <c r="J5726" s="1"/>
      <c r="K5726" s="102" t="s">
        <v>8982</v>
      </c>
      <c r="L5726" s="102" t="str">
        <f>E693</f>
        <v>J1b1a~</v>
      </c>
      <c r="M5726" s="102" t="s">
        <v>8983</v>
      </c>
      <c r="N5726" s="102" t="s">
        <v>8775</v>
      </c>
      <c r="O5726" s="105">
        <v>1.8717656E7</v>
      </c>
      <c r="P5726" s="105">
        <v>1.6605776E7</v>
      </c>
      <c r="Q5726" s="102" t="s">
        <v>2501</v>
      </c>
      <c r="S5726" s="1"/>
      <c r="T5726" s="1"/>
      <c r="U5726" s="1"/>
      <c r="V5726" s="1"/>
      <c r="W5726" s="1"/>
      <c r="X5726" s="1"/>
      <c r="Y5726" s="1"/>
      <c r="AA5726" s="102" t="s">
        <v>8984</v>
      </c>
      <c r="AB5726" s="1"/>
      <c r="AC5726" s="1"/>
      <c r="AD5726" s="1"/>
      <c r="AE5726" s="1"/>
      <c r="AF5726" s="1"/>
      <c r="AG5726" s="1"/>
    </row>
    <row r="5727" ht="15.75" customHeight="1">
      <c r="A5727" s="1"/>
      <c r="B5727" s="1"/>
      <c r="C5727" s="1"/>
      <c r="D5727" s="1"/>
      <c r="E5727" s="1"/>
      <c r="F5727" s="1"/>
      <c r="G5727" s="1"/>
      <c r="H5727" s="1"/>
      <c r="I5727" s="1"/>
      <c r="J5727" s="1"/>
      <c r="K5727" s="102" t="s">
        <v>8983</v>
      </c>
      <c r="L5727" s="102" t="str">
        <f>E693</f>
        <v>J1b1a~</v>
      </c>
      <c r="M5727" s="102" t="s">
        <v>8982</v>
      </c>
      <c r="N5727" s="102" t="s">
        <v>8775</v>
      </c>
      <c r="O5727" s="105">
        <v>1.8717656E7</v>
      </c>
      <c r="P5727" s="105">
        <v>1.6605776E7</v>
      </c>
      <c r="Q5727" s="102" t="s">
        <v>2501</v>
      </c>
      <c r="S5727" s="1"/>
      <c r="T5727" s="1"/>
      <c r="U5727" s="1"/>
      <c r="V5727" s="1"/>
      <c r="W5727" s="1"/>
      <c r="X5727" s="1"/>
      <c r="Y5727" s="1"/>
      <c r="AA5727" s="102"/>
      <c r="AB5727" s="1"/>
      <c r="AC5727" s="1"/>
      <c r="AD5727" s="1"/>
      <c r="AE5727" s="1"/>
      <c r="AF5727" s="1"/>
      <c r="AG5727" s="1"/>
    </row>
    <row r="5728" ht="15.75" customHeight="1">
      <c r="A5728" s="1"/>
      <c r="B5728" s="1"/>
      <c r="C5728" s="1"/>
      <c r="D5728" s="1"/>
      <c r="E5728" s="1"/>
      <c r="F5728" s="1"/>
      <c r="G5728" s="1"/>
      <c r="H5728" s="1"/>
      <c r="I5728" s="1"/>
      <c r="J5728" s="1"/>
      <c r="K5728" s="102" t="s">
        <v>8985</v>
      </c>
      <c r="L5728" s="102" t="str">
        <f>E693</f>
        <v>J1b1a~</v>
      </c>
      <c r="M5728" s="102"/>
      <c r="N5728" s="102" t="s">
        <v>8986</v>
      </c>
      <c r="O5728" s="105">
        <v>1.8683719E7</v>
      </c>
      <c r="P5728" s="105">
        <v>1.6571839E7</v>
      </c>
      <c r="Q5728" s="102" t="s">
        <v>2446</v>
      </c>
      <c r="S5728" s="1"/>
      <c r="T5728" s="1"/>
      <c r="U5728" s="1"/>
      <c r="V5728" s="1"/>
      <c r="W5728" s="1"/>
      <c r="X5728" s="1"/>
      <c r="Y5728" s="1"/>
      <c r="AA5728" s="102"/>
      <c r="AB5728" s="1"/>
      <c r="AC5728" s="1"/>
      <c r="AD5728" s="1"/>
      <c r="AE5728" s="1"/>
      <c r="AF5728" s="1"/>
      <c r="AG5728" s="1"/>
    </row>
    <row r="5729" ht="15.75" customHeight="1">
      <c r="A5729" s="1"/>
      <c r="B5729" s="1"/>
      <c r="C5729" s="1"/>
      <c r="D5729" s="1"/>
      <c r="E5729" s="1"/>
      <c r="F5729" s="1"/>
      <c r="G5729" s="1"/>
      <c r="H5729" s="1"/>
      <c r="I5729" s="1"/>
      <c r="J5729" s="1"/>
      <c r="K5729" s="102" t="s">
        <v>8987</v>
      </c>
      <c r="L5729" s="102" t="str">
        <f>E693</f>
        <v>J1b1a~</v>
      </c>
      <c r="M5729" s="102"/>
      <c r="N5729" s="102" t="s">
        <v>8988</v>
      </c>
      <c r="O5729" s="105">
        <v>9148731.0</v>
      </c>
      <c r="P5729" s="105">
        <v>9311122.0</v>
      </c>
      <c r="Q5729" s="102" t="s">
        <v>2533</v>
      </c>
      <c r="S5729" s="1"/>
      <c r="T5729" s="1"/>
      <c r="U5729" s="1"/>
      <c r="V5729" s="1"/>
      <c r="W5729" s="1"/>
      <c r="X5729" s="1"/>
      <c r="Y5729" s="1"/>
      <c r="AA5729" s="102"/>
      <c r="AB5729" s="1"/>
      <c r="AC5729" s="1"/>
      <c r="AD5729" s="1"/>
      <c r="AE5729" s="1"/>
      <c r="AF5729" s="1"/>
      <c r="AG5729" s="1"/>
    </row>
    <row r="5730" ht="15.75" customHeight="1">
      <c r="A5730" s="1"/>
      <c r="B5730" s="1"/>
      <c r="C5730" s="1"/>
      <c r="D5730" s="1"/>
      <c r="E5730" s="1"/>
      <c r="F5730" s="1"/>
      <c r="G5730" s="1"/>
      <c r="H5730" s="1"/>
      <c r="I5730" s="1"/>
      <c r="J5730" s="1"/>
      <c r="K5730" s="102" t="s">
        <v>8989</v>
      </c>
      <c r="L5730" s="102" t="str">
        <f>E693</f>
        <v>J1b1a~</v>
      </c>
      <c r="M5730" s="102"/>
      <c r="N5730" s="102"/>
      <c r="O5730" s="105">
        <v>2.1488661E7</v>
      </c>
      <c r="P5730" s="105">
        <v>1.9326775E7</v>
      </c>
      <c r="Q5730" s="102" t="s">
        <v>2529</v>
      </c>
      <c r="S5730" s="1"/>
      <c r="T5730" s="1"/>
      <c r="U5730" s="1"/>
      <c r="V5730" s="1"/>
      <c r="W5730" s="1"/>
      <c r="X5730" s="1"/>
      <c r="Y5730" s="1"/>
      <c r="AA5730" s="102"/>
      <c r="AB5730" s="1"/>
      <c r="AC5730" s="1"/>
      <c r="AD5730" s="1"/>
      <c r="AE5730" s="1"/>
      <c r="AF5730" s="1"/>
      <c r="AG5730" s="1"/>
    </row>
    <row r="5731" ht="15.75" customHeight="1">
      <c r="A5731" s="1"/>
      <c r="B5731" s="1"/>
      <c r="C5731" s="1"/>
      <c r="D5731" s="1"/>
      <c r="E5731" s="1"/>
      <c r="F5731" s="1"/>
      <c r="G5731" s="1"/>
      <c r="H5731" s="1"/>
      <c r="I5731" s="1"/>
      <c r="J5731" s="1"/>
      <c r="K5731" s="102" t="s">
        <v>8990</v>
      </c>
      <c r="L5731" s="102" t="str">
        <f>E693</f>
        <v>J1b1a~</v>
      </c>
      <c r="M5731" s="102"/>
      <c r="N5731" s="102" t="s">
        <v>8991</v>
      </c>
      <c r="O5731" s="105">
        <v>1.8936813E7</v>
      </c>
      <c r="P5731" s="105">
        <v>1.6824933E7</v>
      </c>
      <c r="Q5731" s="102" t="s">
        <v>2529</v>
      </c>
      <c r="S5731" s="1"/>
      <c r="T5731" s="1"/>
      <c r="U5731" s="1"/>
      <c r="V5731" s="1"/>
      <c r="W5731" s="1"/>
      <c r="X5731" s="1"/>
      <c r="Y5731" s="1"/>
      <c r="AA5731" s="102"/>
      <c r="AB5731" s="1"/>
      <c r="AC5731" s="1"/>
      <c r="AD5731" s="1"/>
      <c r="AE5731" s="1"/>
      <c r="AF5731" s="1"/>
      <c r="AG5731" s="1"/>
    </row>
    <row r="5732" ht="15.75" customHeight="1">
      <c r="A5732" s="1"/>
      <c r="B5732" s="1"/>
      <c r="C5732" s="1"/>
      <c r="D5732" s="1"/>
      <c r="E5732" s="1"/>
      <c r="F5732" s="1"/>
      <c r="G5732" s="1"/>
      <c r="H5732" s="1"/>
      <c r="I5732" s="1"/>
      <c r="J5732" s="1"/>
      <c r="K5732" s="102" t="s">
        <v>8992</v>
      </c>
      <c r="L5732" s="102" t="str">
        <f>E693</f>
        <v>J1b1a~</v>
      </c>
      <c r="M5732" s="102"/>
      <c r="N5732" s="102"/>
      <c r="O5732" s="105">
        <v>2.104317E7</v>
      </c>
      <c r="P5732" s="105">
        <v>1.8881284E7</v>
      </c>
      <c r="Q5732" s="102" t="s">
        <v>2501</v>
      </c>
      <c r="S5732" s="1"/>
      <c r="T5732" s="1"/>
      <c r="U5732" s="1"/>
      <c r="V5732" s="1"/>
      <c r="W5732" s="1"/>
      <c r="X5732" s="1"/>
      <c r="Y5732" s="1"/>
      <c r="AA5732" s="102"/>
      <c r="AB5732" s="1"/>
      <c r="AC5732" s="1"/>
      <c r="AD5732" s="1"/>
      <c r="AE5732" s="1"/>
      <c r="AF5732" s="1"/>
      <c r="AG5732" s="1"/>
    </row>
    <row r="5733" ht="15.75" customHeight="1">
      <c r="A5733" s="1"/>
      <c r="B5733" s="1"/>
      <c r="C5733" s="1"/>
      <c r="D5733" s="1"/>
      <c r="E5733" s="1"/>
      <c r="F5733" s="1"/>
      <c r="G5733" s="1"/>
      <c r="H5733" s="1"/>
      <c r="I5733" s="1"/>
      <c r="J5733" s="1"/>
      <c r="K5733" s="102" t="s">
        <v>8993</v>
      </c>
      <c r="L5733" s="102" t="str">
        <f>E693</f>
        <v>J1b1a~</v>
      </c>
      <c r="M5733" s="102"/>
      <c r="N5733" s="102" t="s">
        <v>8994</v>
      </c>
      <c r="O5733" s="105">
        <v>2.3581491E7</v>
      </c>
      <c r="P5733" s="105">
        <v>2.1419605E7</v>
      </c>
      <c r="Q5733" s="102" t="s">
        <v>2529</v>
      </c>
      <c r="S5733" s="1"/>
      <c r="T5733" s="1"/>
      <c r="U5733" s="1"/>
      <c r="V5733" s="1"/>
      <c r="W5733" s="1"/>
      <c r="X5733" s="1"/>
      <c r="Y5733" s="1"/>
      <c r="AA5733" s="102"/>
      <c r="AB5733" s="1"/>
      <c r="AC5733" s="1"/>
      <c r="AD5733" s="1"/>
      <c r="AE5733" s="1"/>
      <c r="AF5733" s="1"/>
      <c r="AG5733" s="1"/>
    </row>
    <row r="5734" ht="15.75" customHeight="1">
      <c r="A5734" s="1"/>
      <c r="B5734" s="1"/>
      <c r="C5734" s="1"/>
      <c r="D5734" s="1"/>
      <c r="E5734" s="1"/>
      <c r="F5734" s="1"/>
      <c r="G5734" s="1"/>
      <c r="H5734" s="1"/>
      <c r="I5734" s="1"/>
      <c r="J5734" s="1"/>
      <c r="K5734" s="102" t="s">
        <v>8995</v>
      </c>
      <c r="L5734" s="102" t="str">
        <f>E693</f>
        <v>J1b1a~</v>
      </c>
      <c r="M5734" s="102"/>
      <c r="N5734" s="102" t="s">
        <v>8996</v>
      </c>
      <c r="O5734" s="105">
        <v>2.3610185E7</v>
      </c>
      <c r="P5734" s="105">
        <v>2.1448299E7</v>
      </c>
      <c r="Q5734" s="102" t="s">
        <v>2501</v>
      </c>
      <c r="S5734" s="1"/>
      <c r="T5734" s="1"/>
      <c r="U5734" s="1"/>
      <c r="V5734" s="1"/>
      <c r="W5734" s="1"/>
      <c r="X5734" s="1"/>
      <c r="Y5734" s="1"/>
      <c r="AA5734" s="102"/>
      <c r="AB5734" s="1"/>
      <c r="AC5734" s="1"/>
      <c r="AD5734" s="1"/>
      <c r="AE5734" s="1"/>
      <c r="AF5734" s="1"/>
      <c r="AG5734" s="1"/>
    </row>
    <row r="5735" ht="15.75" customHeight="1">
      <c r="A5735" s="1"/>
      <c r="B5735" s="1"/>
      <c r="C5735" s="1"/>
      <c r="D5735" s="1"/>
      <c r="E5735" s="1"/>
      <c r="F5735" s="1"/>
      <c r="G5735" s="1"/>
      <c r="H5735" s="1"/>
      <c r="I5735" s="1"/>
      <c r="J5735" s="1"/>
      <c r="K5735" s="102" t="s">
        <v>8997</v>
      </c>
      <c r="L5735" s="102" t="str">
        <f>E693</f>
        <v>J1b1a~</v>
      </c>
      <c r="M5735" s="102"/>
      <c r="N5735" s="102"/>
      <c r="O5735" s="105">
        <v>1.3831199E7</v>
      </c>
      <c r="P5735" s="105">
        <v>1.1710493E7</v>
      </c>
      <c r="Q5735" s="102" t="s">
        <v>2501</v>
      </c>
      <c r="S5735" s="1"/>
      <c r="T5735" s="1"/>
      <c r="U5735" s="1"/>
      <c r="V5735" s="1"/>
      <c r="W5735" s="1"/>
      <c r="X5735" s="1"/>
      <c r="Y5735" s="1"/>
      <c r="AA5735" s="102"/>
      <c r="AB5735" s="1"/>
      <c r="AC5735" s="1"/>
      <c r="AD5735" s="1"/>
      <c r="AE5735" s="1"/>
      <c r="AF5735" s="1"/>
      <c r="AG5735" s="1"/>
    </row>
    <row r="5736" ht="15.75" customHeight="1">
      <c r="A5736" s="1"/>
      <c r="B5736" s="1"/>
      <c r="C5736" s="1"/>
      <c r="D5736" s="1"/>
      <c r="E5736" s="1"/>
      <c r="F5736" s="1"/>
      <c r="G5736" s="1"/>
      <c r="H5736" s="1"/>
      <c r="I5736" s="1"/>
      <c r="J5736" s="1"/>
      <c r="K5736" s="102" t="s">
        <v>8998</v>
      </c>
      <c r="L5736" s="102" t="str">
        <f>E693</f>
        <v>J1b1a~</v>
      </c>
      <c r="M5736" s="102"/>
      <c r="N5736" s="102" t="s">
        <v>8999</v>
      </c>
      <c r="O5736" s="105">
        <v>1.4315068E7</v>
      </c>
      <c r="P5736" s="105">
        <v>1.2194362E7</v>
      </c>
      <c r="Q5736" s="102" t="s">
        <v>2501</v>
      </c>
      <c r="S5736" s="1"/>
      <c r="T5736" s="1"/>
      <c r="U5736" s="1"/>
      <c r="V5736" s="1"/>
      <c r="W5736" s="1"/>
      <c r="X5736" s="1"/>
      <c r="Y5736" s="1"/>
      <c r="AA5736" s="102"/>
      <c r="AB5736" s="1"/>
      <c r="AC5736" s="1"/>
      <c r="AD5736" s="1"/>
      <c r="AE5736" s="1"/>
      <c r="AF5736" s="1"/>
      <c r="AG5736" s="1"/>
    </row>
    <row r="5737" ht="15.75" customHeight="1">
      <c r="A5737" s="1"/>
      <c r="B5737" s="1"/>
      <c r="C5737" s="1"/>
      <c r="D5737" s="1"/>
      <c r="E5737" s="1"/>
      <c r="F5737" s="1"/>
      <c r="G5737" s="1"/>
      <c r="H5737" s="1"/>
      <c r="I5737" s="1"/>
      <c r="J5737" s="1"/>
      <c r="K5737" s="102" t="s">
        <v>9000</v>
      </c>
      <c r="L5737" s="102" t="str">
        <f>E693</f>
        <v>J1b1a~</v>
      </c>
      <c r="M5737" s="102"/>
      <c r="N5737" s="102" t="s">
        <v>9001</v>
      </c>
      <c r="O5737" s="105">
        <v>1.4417971E7</v>
      </c>
      <c r="P5737" s="105">
        <v>1.2297268E7</v>
      </c>
      <c r="Q5737" s="102" t="s">
        <v>2514</v>
      </c>
      <c r="S5737" s="1"/>
      <c r="T5737" s="1"/>
      <c r="U5737" s="1"/>
      <c r="V5737" s="1"/>
      <c r="W5737" s="1"/>
      <c r="X5737" s="1"/>
      <c r="Y5737" s="1"/>
      <c r="AA5737" s="102"/>
      <c r="AB5737" s="1"/>
      <c r="AC5737" s="1"/>
      <c r="AD5737" s="1"/>
      <c r="AE5737" s="1"/>
      <c r="AF5737" s="1"/>
      <c r="AG5737" s="1"/>
    </row>
    <row r="5738" ht="15.75" customHeight="1">
      <c r="A5738" s="1"/>
      <c r="B5738" s="1"/>
      <c r="C5738" s="1"/>
      <c r="D5738" s="1"/>
      <c r="E5738" s="1"/>
      <c r="F5738" s="1"/>
      <c r="G5738" s="1"/>
      <c r="H5738" s="1"/>
      <c r="I5738" s="1"/>
      <c r="J5738" s="1"/>
      <c r="K5738" s="102" t="s">
        <v>9002</v>
      </c>
      <c r="L5738" s="102" t="str">
        <f>E693</f>
        <v>J1b1a~</v>
      </c>
      <c r="M5738" s="102"/>
      <c r="N5738" s="102"/>
      <c r="O5738" s="102">
        <v>1.5681429E7</v>
      </c>
      <c r="P5738" s="102">
        <v>1.3569549E7</v>
      </c>
      <c r="Q5738" s="102" t="s">
        <v>2533</v>
      </c>
      <c r="S5738" s="1"/>
      <c r="T5738" s="1"/>
      <c r="U5738" s="1"/>
      <c r="V5738" s="1"/>
      <c r="W5738" s="1"/>
      <c r="X5738" s="1"/>
      <c r="Y5738" s="1"/>
      <c r="AA5738" s="102"/>
      <c r="AB5738" s="1"/>
      <c r="AC5738" s="1"/>
      <c r="AD5738" s="1"/>
      <c r="AE5738" s="1"/>
      <c r="AF5738" s="1"/>
      <c r="AG5738" s="1"/>
    </row>
    <row r="5739" ht="15.75" customHeight="1">
      <c r="A5739" s="1"/>
      <c r="B5739" s="1"/>
      <c r="C5739" s="1"/>
      <c r="D5739" s="1"/>
      <c r="E5739" s="1"/>
      <c r="F5739" s="1"/>
      <c r="G5739" s="1"/>
      <c r="H5739" s="1"/>
      <c r="I5739" s="1"/>
      <c r="J5739" s="1"/>
      <c r="K5739" s="102" t="s">
        <v>9003</v>
      </c>
      <c r="L5739" s="102" t="str">
        <f>E693</f>
        <v>J1b1a~</v>
      </c>
      <c r="M5739" s="102"/>
      <c r="N5739" s="102"/>
      <c r="O5739" s="105">
        <v>1.6131757E7</v>
      </c>
      <c r="P5739" s="105">
        <v>1.4019877E7</v>
      </c>
      <c r="Q5739" s="102" t="s">
        <v>2446</v>
      </c>
      <c r="S5739" s="1"/>
      <c r="T5739" s="1"/>
      <c r="U5739" s="1"/>
      <c r="V5739" s="1"/>
      <c r="W5739" s="1"/>
      <c r="X5739" s="1"/>
      <c r="Y5739" s="1"/>
      <c r="AA5739" s="102"/>
      <c r="AB5739" s="1"/>
      <c r="AC5739" s="1"/>
      <c r="AD5739" s="1"/>
      <c r="AE5739" s="1"/>
      <c r="AF5739" s="1"/>
      <c r="AG5739" s="1"/>
    </row>
    <row r="5740" ht="15.75" customHeight="1">
      <c r="A5740" s="1"/>
      <c r="B5740" s="1"/>
      <c r="C5740" s="1"/>
      <c r="D5740" s="1"/>
      <c r="E5740" s="1"/>
      <c r="F5740" s="1"/>
      <c r="G5740" s="1"/>
      <c r="H5740" s="1"/>
      <c r="I5740" s="1"/>
      <c r="J5740" s="1"/>
      <c r="K5740" s="102" t="s">
        <v>9004</v>
      </c>
      <c r="L5740" s="102" t="str">
        <f>E693</f>
        <v>J1b1a~</v>
      </c>
      <c r="M5740" s="102"/>
      <c r="N5740" s="102"/>
      <c r="O5740" s="105">
        <v>1.6186397E7</v>
      </c>
      <c r="P5740" s="105">
        <v>1.4074517E7</v>
      </c>
      <c r="Q5740" s="102" t="s">
        <v>2439</v>
      </c>
      <c r="S5740" s="1"/>
      <c r="T5740" s="1"/>
      <c r="U5740" s="1"/>
      <c r="V5740" s="1"/>
      <c r="W5740" s="1"/>
      <c r="X5740" s="1"/>
      <c r="Y5740" s="1"/>
      <c r="AA5740" s="102"/>
      <c r="AB5740" s="1"/>
      <c r="AC5740" s="1"/>
      <c r="AD5740" s="1"/>
      <c r="AE5740" s="1"/>
      <c r="AF5740" s="1"/>
      <c r="AG5740" s="1"/>
    </row>
    <row r="5741" ht="15.75" customHeight="1">
      <c r="A5741" s="1"/>
      <c r="B5741" s="1"/>
      <c r="C5741" s="1"/>
      <c r="D5741" s="1"/>
      <c r="E5741" s="1"/>
      <c r="F5741" s="1"/>
      <c r="G5741" s="1"/>
      <c r="H5741" s="1"/>
      <c r="I5741" s="1"/>
      <c r="J5741" s="1"/>
      <c r="K5741" s="102" t="s">
        <v>9005</v>
      </c>
      <c r="L5741" s="102" t="str">
        <f>E693</f>
        <v>J1b1a~</v>
      </c>
      <c r="M5741" s="102"/>
      <c r="N5741" s="102" t="s">
        <v>9006</v>
      </c>
      <c r="O5741" s="105">
        <v>1.720906E7</v>
      </c>
      <c r="P5741" s="105">
        <v>1.509718E7</v>
      </c>
      <c r="Q5741" s="102" t="s">
        <v>2423</v>
      </c>
      <c r="S5741" s="1"/>
      <c r="T5741" s="1"/>
      <c r="U5741" s="1"/>
      <c r="V5741" s="1"/>
      <c r="W5741" s="1"/>
      <c r="X5741" s="1"/>
      <c r="Y5741" s="1"/>
      <c r="AA5741" s="102"/>
      <c r="AB5741" s="1"/>
      <c r="AC5741" s="1"/>
      <c r="AD5741" s="1"/>
      <c r="AE5741" s="1"/>
      <c r="AF5741" s="1"/>
      <c r="AG5741" s="1"/>
    </row>
    <row r="5742" ht="15.75" customHeight="1">
      <c r="A5742" s="1"/>
      <c r="B5742" s="1"/>
      <c r="C5742" s="1"/>
      <c r="D5742" s="1"/>
      <c r="E5742" s="1"/>
      <c r="F5742" s="1"/>
      <c r="G5742" s="1"/>
      <c r="H5742" s="1"/>
      <c r="I5742" s="1"/>
      <c r="J5742" s="1"/>
      <c r="K5742" s="102" t="s">
        <v>9007</v>
      </c>
      <c r="L5742" s="102" t="str">
        <f>E693</f>
        <v>J1b1a~</v>
      </c>
      <c r="M5742" s="102"/>
      <c r="N5742" s="102" t="s">
        <v>9008</v>
      </c>
      <c r="O5742" s="105">
        <v>1.7345312E7</v>
      </c>
      <c r="P5742" s="105">
        <v>1.5233432E7</v>
      </c>
      <c r="Q5742" s="102" t="s">
        <v>2529</v>
      </c>
      <c r="S5742" s="1"/>
      <c r="T5742" s="1"/>
      <c r="U5742" s="1"/>
      <c r="V5742" s="1"/>
      <c r="W5742" s="1"/>
      <c r="X5742" s="1"/>
      <c r="Y5742" s="1"/>
      <c r="AA5742" s="102"/>
      <c r="AB5742" s="1"/>
      <c r="AC5742" s="1"/>
      <c r="AD5742" s="1"/>
      <c r="AE5742" s="1"/>
      <c r="AF5742" s="1"/>
      <c r="AG5742" s="1"/>
    </row>
    <row r="5743" ht="15.75" customHeight="1">
      <c r="A5743" s="1"/>
      <c r="B5743" s="1"/>
      <c r="C5743" s="1"/>
      <c r="D5743" s="1"/>
      <c r="E5743" s="1"/>
      <c r="F5743" s="1"/>
      <c r="G5743" s="1"/>
      <c r="H5743" s="1"/>
      <c r="I5743" s="1"/>
      <c r="J5743" s="1"/>
      <c r="K5743" s="102" t="s">
        <v>9009</v>
      </c>
      <c r="L5743" s="102" t="str">
        <f>E693</f>
        <v>J1b1a~</v>
      </c>
      <c r="M5743" s="102"/>
      <c r="N5743" s="102" t="s">
        <v>9010</v>
      </c>
      <c r="O5743" s="105">
        <v>2.3068825E7</v>
      </c>
      <c r="P5743" s="105">
        <v>2.0906939E7</v>
      </c>
      <c r="Q5743" s="102" t="s">
        <v>2501</v>
      </c>
      <c r="S5743" s="1"/>
      <c r="T5743" s="1"/>
      <c r="U5743" s="1"/>
      <c r="V5743" s="1"/>
      <c r="W5743" s="1"/>
      <c r="X5743" s="1"/>
      <c r="Y5743" s="1"/>
      <c r="AA5743" s="102"/>
      <c r="AB5743" s="1"/>
      <c r="AC5743" s="1"/>
      <c r="AD5743" s="1"/>
      <c r="AE5743" s="1"/>
      <c r="AF5743" s="1"/>
      <c r="AG5743" s="1"/>
    </row>
    <row r="5744" ht="15.75" customHeight="1">
      <c r="A5744" s="1"/>
      <c r="B5744" s="1"/>
      <c r="C5744" s="1"/>
      <c r="D5744" s="1"/>
      <c r="E5744" s="1"/>
      <c r="F5744" s="1"/>
      <c r="G5744" s="1"/>
      <c r="H5744" s="1"/>
      <c r="I5744" s="1"/>
      <c r="J5744" s="1"/>
      <c r="K5744" s="102" t="s">
        <v>9011</v>
      </c>
      <c r="L5744" s="102" t="str">
        <f>F694</f>
        <v>J1b1a1~</v>
      </c>
      <c r="M5744" s="102"/>
      <c r="N5744" s="102" t="s">
        <v>9012</v>
      </c>
      <c r="O5744" s="105">
        <v>8640485.0</v>
      </c>
      <c r="P5744" s="105">
        <v>8772444.0</v>
      </c>
      <c r="Q5744" s="102" t="s">
        <v>2501</v>
      </c>
      <c r="S5744" s="1"/>
      <c r="T5744" s="1"/>
      <c r="U5744" s="1"/>
      <c r="V5744" s="1"/>
      <c r="W5744" s="1"/>
      <c r="X5744" s="1"/>
      <c r="Y5744" s="1"/>
      <c r="AA5744" s="102"/>
      <c r="AB5744" s="1"/>
      <c r="AC5744" s="1"/>
      <c r="AD5744" s="1"/>
      <c r="AE5744" s="1"/>
      <c r="AF5744" s="1"/>
      <c r="AG5744" s="1"/>
    </row>
    <row r="5745" ht="15.75" customHeight="1">
      <c r="A5745" s="1"/>
      <c r="B5745" s="1"/>
      <c r="C5745" s="1"/>
      <c r="D5745" s="1"/>
      <c r="E5745" s="1"/>
      <c r="F5745" s="1"/>
      <c r="G5745" s="1"/>
      <c r="H5745" s="1"/>
      <c r="I5745" s="1"/>
      <c r="J5745" s="1"/>
      <c r="K5745" s="102" t="s">
        <v>9013</v>
      </c>
      <c r="L5745" s="102" t="str">
        <f>F694</f>
        <v>J1b1a1~</v>
      </c>
      <c r="M5745" s="102"/>
      <c r="N5745" s="102" t="s">
        <v>9014</v>
      </c>
      <c r="O5745" s="105">
        <v>8710683.0</v>
      </c>
      <c r="P5745" s="105">
        <v>8842642.0</v>
      </c>
      <c r="Q5745" s="102" t="s">
        <v>2501</v>
      </c>
      <c r="S5745" s="1"/>
      <c r="T5745" s="1"/>
      <c r="U5745" s="1"/>
      <c r="V5745" s="1"/>
      <c r="W5745" s="1"/>
      <c r="X5745" s="1"/>
      <c r="Y5745" s="1"/>
      <c r="AA5745" s="102"/>
      <c r="AB5745" s="1"/>
      <c r="AC5745" s="1"/>
      <c r="AD5745" s="1"/>
      <c r="AE5745" s="1"/>
      <c r="AF5745" s="1"/>
      <c r="AG5745" s="1"/>
    </row>
    <row r="5746" ht="15.75" customHeight="1">
      <c r="A5746" s="1"/>
      <c r="B5746" s="1"/>
      <c r="C5746" s="1"/>
      <c r="D5746" s="1"/>
      <c r="E5746" s="1"/>
      <c r="F5746" s="1"/>
      <c r="G5746" s="1"/>
      <c r="H5746" s="1"/>
      <c r="I5746" s="1"/>
      <c r="J5746" s="1"/>
      <c r="K5746" s="102" t="s">
        <v>9015</v>
      </c>
      <c r="L5746" s="102" t="str">
        <f>F694</f>
        <v>J1b1a1~</v>
      </c>
      <c r="M5746" s="106" t="s">
        <v>9016</v>
      </c>
      <c r="N5746" s="102" t="s">
        <v>9017</v>
      </c>
      <c r="O5746" s="105">
        <v>8679426.0</v>
      </c>
      <c r="P5746" s="105">
        <v>8811385.0</v>
      </c>
      <c r="Q5746" s="102" t="s">
        <v>2501</v>
      </c>
      <c r="S5746" s="1"/>
      <c r="T5746" s="1"/>
      <c r="U5746" s="1"/>
      <c r="V5746" s="1"/>
      <c r="W5746" s="1"/>
      <c r="X5746" s="1"/>
      <c r="Y5746" s="1"/>
      <c r="AA5746" s="102"/>
      <c r="AB5746" s="1"/>
      <c r="AC5746" s="1"/>
      <c r="AD5746" s="1"/>
      <c r="AE5746" s="1"/>
      <c r="AF5746" s="1"/>
      <c r="AG5746" s="1"/>
    </row>
    <row r="5747" ht="15.75" customHeight="1">
      <c r="A5747" s="1"/>
      <c r="B5747" s="1"/>
      <c r="C5747" s="1"/>
      <c r="D5747" s="1"/>
      <c r="E5747" s="1"/>
      <c r="F5747" s="1"/>
      <c r="G5747" s="1"/>
      <c r="H5747" s="1"/>
      <c r="I5747" s="1"/>
      <c r="J5747" s="1"/>
      <c r="K5747" s="102" t="s">
        <v>9016</v>
      </c>
      <c r="L5747" s="102" t="str">
        <f>F694</f>
        <v>J1b1a1~</v>
      </c>
      <c r="M5747" s="106" t="s">
        <v>9015</v>
      </c>
      <c r="N5747" s="102" t="s">
        <v>9017</v>
      </c>
      <c r="O5747" s="105">
        <v>8679426.0</v>
      </c>
      <c r="P5747" s="105">
        <v>8811385.0</v>
      </c>
      <c r="Q5747" s="102" t="s">
        <v>2501</v>
      </c>
      <c r="S5747" s="1"/>
      <c r="T5747" s="1"/>
      <c r="U5747" s="1"/>
      <c r="V5747" s="1"/>
      <c r="W5747" s="1"/>
      <c r="X5747" s="1"/>
      <c r="Y5747" s="1"/>
      <c r="AA5747" s="102"/>
      <c r="AB5747" s="1"/>
      <c r="AC5747" s="1"/>
      <c r="AD5747" s="1"/>
      <c r="AE5747" s="1"/>
      <c r="AF5747" s="1"/>
      <c r="AG5747" s="1"/>
    </row>
    <row r="5748" ht="15.75" customHeight="1">
      <c r="A5748" s="1"/>
      <c r="B5748" s="1"/>
      <c r="C5748" s="1"/>
      <c r="D5748" s="1"/>
      <c r="E5748" s="1"/>
      <c r="F5748" s="1"/>
      <c r="G5748" s="1"/>
      <c r="H5748" s="1"/>
      <c r="I5748" s="1"/>
      <c r="J5748" s="1"/>
      <c r="K5748" s="102" t="s">
        <v>9018</v>
      </c>
      <c r="L5748" s="102" t="str">
        <f>F694</f>
        <v>J1b1a1~</v>
      </c>
      <c r="M5748" s="102" t="s">
        <v>9019</v>
      </c>
      <c r="N5748" s="102" t="s">
        <v>9020</v>
      </c>
      <c r="O5748" s="105">
        <v>7249321.0</v>
      </c>
      <c r="P5748" s="105">
        <v>7381280.0</v>
      </c>
      <c r="Q5748" s="102" t="s">
        <v>2576</v>
      </c>
      <c r="S5748" s="1"/>
      <c r="T5748" s="1"/>
      <c r="U5748" s="1"/>
      <c r="V5748" s="1"/>
      <c r="W5748" s="1"/>
      <c r="X5748" s="1"/>
      <c r="Y5748" s="1"/>
      <c r="AA5748" s="102"/>
      <c r="AB5748" s="1"/>
      <c r="AC5748" s="1"/>
      <c r="AD5748" s="1"/>
      <c r="AE5748" s="1"/>
      <c r="AF5748" s="1"/>
      <c r="AG5748" s="1"/>
    </row>
    <row r="5749" ht="15.75" customHeight="1">
      <c r="A5749" s="1"/>
      <c r="B5749" s="1"/>
      <c r="C5749" s="1"/>
      <c r="D5749" s="1"/>
      <c r="E5749" s="1"/>
      <c r="F5749" s="1"/>
      <c r="G5749" s="1"/>
      <c r="H5749" s="1"/>
      <c r="I5749" s="1"/>
      <c r="J5749" s="1"/>
      <c r="K5749" s="102" t="s">
        <v>9019</v>
      </c>
      <c r="L5749" s="102" t="str">
        <f>F694</f>
        <v>J1b1a1~</v>
      </c>
      <c r="M5749" s="102" t="s">
        <v>9018</v>
      </c>
      <c r="N5749" s="102" t="s">
        <v>9020</v>
      </c>
      <c r="O5749" s="105">
        <v>7249321.0</v>
      </c>
      <c r="P5749" s="105">
        <v>7381280.0</v>
      </c>
      <c r="Q5749" s="102" t="s">
        <v>2576</v>
      </c>
      <c r="S5749" s="1"/>
      <c r="T5749" s="1"/>
      <c r="U5749" s="1"/>
      <c r="V5749" s="1"/>
      <c r="W5749" s="1"/>
      <c r="X5749" s="1"/>
      <c r="Y5749" s="1"/>
      <c r="AA5749" s="102"/>
      <c r="AB5749" s="1"/>
      <c r="AC5749" s="1"/>
      <c r="AD5749" s="1"/>
      <c r="AE5749" s="1"/>
      <c r="AF5749" s="1"/>
      <c r="AG5749" s="1"/>
    </row>
    <row r="5750" ht="15.75" customHeight="1">
      <c r="A5750" s="1"/>
      <c r="B5750" s="1"/>
      <c r="C5750" s="1"/>
      <c r="D5750" s="1"/>
      <c r="E5750" s="1"/>
      <c r="F5750" s="1"/>
      <c r="G5750" s="1"/>
      <c r="H5750" s="1"/>
      <c r="I5750" s="1"/>
      <c r="J5750" s="1"/>
      <c r="K5750" s="102" t="s">
        <v>8990</v>
      </c>
      <c r="L5750" s="102" t="str">
        <f>G695</f>
        <v>J1b1a1a~</v>
      </c>
      <c r="M5750" s="102"/>
      <c r="N5750" s="102" t="s">
        <v>8991</v>
      </c>
      <c r="O5750" s="105">
        <v>1.8936813E7</v>
      </c>
      <c r="P5750" s="105">
        <v>1.6824933E7</v>
      </c>
      <c r="Q5750" s="102" t="s">
        <v>2529</v>
      </c>
      <c r="S5750" s="1"/>
      <c r="T5750" s="1"/>
      <c r="U5750" s="1"/>
      <c r="V5750" s="1"/>
      <c r="W5750" s="1"/>
      <c r="X5750" s="1"/>
      <c r="Y5750" s="1"/>
      <c r="AA5750" s="102"/>
      <c r="AB5750" s="1"/>
      <c r="AC5750" s="1"/>
      <c r="AD5750" s="1"/>
      <c r="AE5750" s="1"/>
      <c r="AF5750" s="1"/>
      <c r="AG5750" s="1"/>
    </row>
    <row r="5751" ht="15.75" customHeight="1">
      <c r="A5751" s="1"/>
      <c r="B5751" s="1"/>
      <c r="C5751" s="1"/>
      <c r="D5751" s="1"/>
      <c r="E5751" s="1"/>
      <c r="F5751" s="1"/>
      <c r="G5751" s="1"/>
      <c r="H5751" s="1"/>
      <c r="I5751" s="1"/>
      <c r="J5751" s="1"/>
      <c r="K5751" s="102" t="s">
        <v>9021</v>
      </c>
      <c r="L5751" s="102" t="str">
        <f>G695</f>
        <v>J1b1a1a~</v>
      </c>
      <c r="M5751" s="102"/>
      <c r="N5751" s="102"/>
      <c r="O5751" s="105">
        <v>8573711.0</v>
      </c>
      <c r="P5751" s="105">
        <v>8705670.0</v>
      </c>
      <c r="Q5751" s="102" t="s">
        <v>2468</v>
      </c>
      <c r="S5751" s="1"/>
      <c r="T5751" s="1"/>
      <c r="U5751" s="1"/>
      <c r="V5751" s="1"/>
      <c r="W5751" s="1"/>
      <c r="X5751" s="1"/>
      <c r="Y5751" s="1"/>
      <c r="AA5751" s="102"/>
      <c r="AB5751" s="1"/>
      <c r="AC5751" s="1"/>
      <c r="AD5751" s="1"/>
      <c r="AE5751" s="1"/>
      <c r="AF5751" s="1"/>
      <c r="AG5751" s="1"/>
    </row>
    <row r="5752" ht="15.75" customHeight="1">
      <c r="A5752" s="1"/>
      <c r="B5752" s="1"/>
      <c r="C5752" s="1"/>
      <c r="D5752" s="1"/>
      <c r="E5752" s="1"/>
      <c r="F5752" s="1"/>
      <c r="G5752" s="1"/>
      <c r="H5752" s="1"/>
      <c r="I5752" s="1"/>
      <c r="J5752" s="1"/>
      <c r="K5752" s="102" t="s">
        <v>9022</v>
      </c>
      <c r="L5752" s="102" t="str">
        <f>G695</f>
        <v>J1b1a1a~</v>
      </c>
      <c r="M5752" s="102"/>
      <c r="N5752" s="102" t="s">
        <v>9023</v>
      </c>
      <c r="O5752" s="105">
        <v>1.69823E7</v>
      </c>
      <c r="P5752" s="105">
        <v>1.487042E7</v>
      </c>
      <c r="Q5752" s="102" t="s">
        <v>2501</v>
      </c>
      <c r="S5752" s="1"/>
      <c r="T5752" s="1"/>
      <c r="U5752" s="1"/>
      <c r="V5752" s="1"/>
      <c r="W5752" s="1"/>
      <c r="X5752" s="1"/>
      <c r="Y5752" s="1"/>
      <c r="AA5752" s="102"/>
      <c r="AB5752" s="1"/>
      <c r="AC5752" s="1"/>
      <c r="AD5752" s="1"/>
      <c r="AE5752" s="1"/>
      <c r="AF5752" s="1"/>
      <c r="AG5752" s="1"/>
    </row>
    <row r="5753" ht="15.75" customHeight="1">
      <c r="A5753" s="1"/>
      <c r="B5753" s="1"/>
      <c r="C5753" s="1"/>
      <c r="D5753" s="1"/>
      <c r="E5753" s="1"/>
      <c r="F5753" s="1"/>
      <c r="G5753" s="1"/>
      <c r="H5753" s="1"/>
      <c r="I5753" s="1"/>
      <c r="J5753" s="1"/>
      <c r="K5753" s="102" t="s">
        <v>9024</v>
      </c>
      <c r="L5753" s="102" t="str">
        <f t="shared" ref="L5753:L5754" si="122">G695</f>
        <v>J1b1a1a~</v>
      </c>
      <c r="M5753" s="102"/>
      <c r="N5753" s="102"/>
      <c r="O5753" s="105">
        <v>2.2116377E7</v>
      </c>
      <c r="P5753" s="105">
        <v>1.9954491E7</v>
      </c>
      <c r="Q5753" s="102" t="s">
        <v>2468</v>
      </c>
      <c r="S5753" s="1"/>
      <c r="T5753" s="1"/>
      <c r="U5753" s="1"/>
      <c r="V5753" s="1"/>
      <c r="W5753" s="1"/>
      <c r="X5753" s="1"/>
      <c r="Y5753" s="1"/>
      <c r="AA5753" s="102"/>
      <c r="AB5753" s="1"/>
      <c r="AC5753" s="1"/>
      <c r="AD5753" s="1"/>
      <c r="AE5753" s="1"/>
      <c r="AF5753" s="1"/>
      <c r="AG5753" s="1"/>
    </row>
    <row r="5754" ht="15.75" customHeight="1">
      <c r="A5754" s="1"/>
      <c r="B5754" s="1"/>
      <c r="C5754" s="1"/>
      <c r="D5754" s="1"/>
      <c r="E5754" s="1"/>
      <c r="F5754" s="1"/>
      <c r="G5754" s="1"/>
      <c r="H5754" s="1"/>
      <c r="I5754" s="1"/>
      <c r="J5754" s="1"/>
      <c r="K5754" s="102" t="s">
        <v>9025</v>
      </c>
      <c r="L5754" s="102" t="str">
        <f t="shared" si="122"/>
        <v>J1b1a1b~</v>
      </c>
      <c r="M5754" s="102"/>
      <c r="N5754" s="102"/>
      <c r="O5754" s="105">
        <v>2674808.0</v>
      </c>
      <c r="P5754" s="105">
        <v>2806767.0</v>
      </c>
      <c r="Q5754" s="102" t="s">
        <v>2432</v>
      </c>
      <c r="S5754" s="1"/>
      <c r="T5754" s="1"/>
      <c r="U5754" s="1"/>
      <c r="V5754" s="1"/>
      <c r="W5754" s="1"/>
      <c r="X5754" s="1"/>
      <c r="Y5754" s="1"/>
      <c r="AA5754" s="102"/>
      <c r="AB5754" s="1"/>
      <c r="AC5754" s="1"/>
      <c r="AD5754" s="1"/>
      <c r="AE5754" s="1"/>
      <c r="AF5754" s="1"/>
      <c r="AG5754" s="1"/>
    </row>
    <row r="5755" ht="15.75" customHeight="1">
      <c r="A5755" s="1"/>
      <c r="B5755" s="1"/>
      <c r="C5755" s="1"/>
      <c r="D5755" s="1"/>
      <c r="E5755" s="1"/>
      <c r="F5755" s="1"/>
      <c r="G5755" s="1"/>
      <c r="H5755" s="1"/>
      <c r="I5755" s="1"/>
      <c r="J5755" s="1"/>
      <c r="K5755" s="102" t="s">
        <v>9026</v>
      </c>
      <c r="L5755" s="102" t="str">
        <f>G696</f>
        <v>J1b1a1b~</v>
      </c>
      <c r="M5755" s="102"/>
      <c r="N5755" s="102"/>
      <c r="O5755" s="105">
        <v>2777306.0</v>
      </c>
      <c r="P5755" s="105">
        <v>2909265.0</v>
      </c>
      <c r="Q5755" s="102" t="s">
        <v>2529</v>
      </c>
      <c r="S5755" s="1"/>
      <c r="T5755" s="1"/>
      <c r="U5755" s="1"/>
      <c r="V5755" s="1"/>
      <c r="W5755" s="1"/>
      <c r="X5755" s="1"/>
      <c r="Y5755" s="1"/>
      <c r="AA5755" s="102"/>
      <c r="AB5755" s="1"/>
      <c r="AC5755" s="1"/>
      <c r="AD5755" s="1"/>
      <c r="AE5755" s="1"/>
      <c r="AF5755" s="1"/>
      <c r="AG5755" s="1"/>
    </row>
    <row r="5756" ht="15.75" customHeight="1">
      <c r="A5756" s="1"/>
      <c r="B5756" s="1"/>
      <c r="C5756" s="1"/>
      <c r="D5756" s="1"/>
      <c r="E5756" s="1"/>
      <c r="F5756" s="1"/>
      <c r="G5756" s="1"/>
      <c r="H5756" s="1"/>
      <c r="I5756" s="1"/>
      <c r="J5756" s="1"/>
      <c r="K5756" s="102" t="s">
        <v>9027</v>
      </c>
      <c r="L5756" s="102" t="str">
        <f>G696</f>
        <v>J1b1a1b~</v>
      </c>
      <c r="M5756" s="102"/>
      <c r="N5756" s="102"/>
      <c r="O5756" s="105">
        <v>7307407.0</v>
      </c>
      <c r="P5756" s="105">
        <v>7439366.0</v>
      </c>
      <c r="Q5756" s="102" t="s">
        <v>2423</v>
      </c>
      <c r="S5756" s="1"/>
      <c r="T5756" s="1"/>
      <c r="U5756" s="1"/>
      <c r="V5756" s="1"/>
      <c r="W5756" s="1"/>
      <c r="X5756" s="1"/>
      <c r="Y5756" s="1"/>
      <c r="AA5756" s="102"/>
      <c r="AB5756" s="1"/>
      <c r="AC5756" s="1"/>
      <c r="AD5756" s="1"/>
      <c r="AE5756" s="1"/>
      <c r="AF5756" s="1"/>
      <c r="AG5756" s="1"/>
    </row>
    <row r="5757" ht="15.75" customHeight="1">
      <c r="A5757" s="1"/>
      <c r="B5757" s="1"/>
      <c r="C5757" s="1"/>
      <c r="D5757" s="1"/>
      <c r="E5757" s="1"/>
      <c r="F5757" s="1"/>
      <c r="G5757" s="1"/>
      <c r="H5757" s="1"/>
      <c r="I5757" s="1"/>
      <c r="J5757" s="1"/>
      <c r="K5757" s="102" t="s">
        <v>9028</v>
      </c>
      <c r="L5757" s="102" t="str">
        <f>G696</f>
        <v>J1b1a1b~</v>
      </c>
      <c r="M5757" s="102"/>
      <c r="N5757" s="102"/>
      <c r="O5757" s="105">
        <v>7338952.0</v>
      </c>
      <c r="P5757" s="105">
        <v>7470911.0</v>
      </c>
      <c r="Q5757" s="102" t="s">
        <v>2454</v>
      </c>
      <c r="S5757" s="1"/>
      <c r="T5757" s="1"/>
      <c r="U5757" s="1"/>
      <c r="V5757" s="1"/>
      <c r="W5757" s="1"/>
      <c r="X5757" s="1"/>
      <c r="Y5757" s="1"/>
      <c r="AA5757" s="102"/>
      <c r="AB5757" s="1"/>
      <c r="AC5757" s="1"/>
      <c r="AD5757" s="1"/>
      <c r="AE5757" s="1"/>
      <c r="AF5757" s="1"/>
      <c r="AG5757" s="1"/>
    </row>
    <row r="5758" ht="15.75" customHeight="1">
      <c r="A5758" s="1"/>
      <c r="B5758" s="1"/>
      <c r="C5758" s="1"/>
      <c r="D5758" s="1"/>
      <c r="E5758" s="1"/>
      <c r="F5758" s="1"/>
      <c r="G5758" s="1"/>
      <c r="H5758" s="1"/>
      <c r="I5758" s="1"/>
      <c r="J5758" s="1"/>
      <c r="K5758" s="102" t="s">
        <v>9029</v>
      </c>
      <c r="L5758" s="102" t="str">
        <f>G696</f>
        <v>J1b1a1b~</v>
      </c>
      <c r="M5758" s="102"/>
      <c r="N5758" s="102" t="s">
        <v>9030</v>
      </c>
      <c r="O5758" s="105">
        <v>7990232.0</v>
      </c>
      <c r="P5758" s="105">
        <v>8122191.0</v>
      </c>
      <c r="Q5758" s="102" t="s">
        <v>2423</v>
      </c>
      <c r="S5758" s="1"/>
      <c r="T5758" s="1"/>
      <c r="U5758" s="1"/>
      <c r="V5758" s="1"/>
      <c r="W5758" s="1"/>
      <c r="X5758" s="1"/>
      <c r="Y5758" s="1"/>
      <c r="AA5758" s="102"/>
      <c r="AB5758" s="1"/>
      <c r="AC5758" s="1"/>
      <c r="AD5758" s="1"/>
      <c r="AE5758" s="1"/>
      <c r="AF5758" s="1"/>
      <c r="AG5758" s="1"/>
    </row>
    <row r="5759" ht="15.75" customHeight="1">
      <c r="A5759" s="1"/>
      <c r="B5759" s="1"/>
      <c r="C5759" s="1"/>
      <c r="D5759" s="1"/>
      <c r="E5759" s="1"/>
      <c r="F5759" s="1"/>
      <c r="G5759" s="1"/>
      <c r="H5759" s="1"/>
      <c r="I5759" s="1"/>
      <c r="J5759" s="1"/>
      <c r="K5759" s="102" t="s">
        <v>9031</v>
      </c>
      <c r="L5759" s="102" t="str">
        <f>E697</f>
        <v>J1b1b~</v>
      </c>
      <c r="M5759" s="102" t="s">
        <v>9032</v>
      </c>
      <c r="N5759" s="102"/>
      <c r="O5759" s="105">
        <v>6636104.0</v>
      </c>
      <c r="P5759" s="105">
        <v>6768063.0</v>
      </c>
      <c r="Q5759" s="102" t="s">
        <v>2533</v>
      </c>
      <c r="S5759" s="1"/>
      <c r="T5759" s="1"/>
      <c r="U5759" s="1"/>
      <c r="V5759" s="1"/>
      <c r="W5759" s="1"/>
      <c r="X5759" s="1"/>
      <c r="Y5759" s="1"/>
      <c r="AA5759" s="102"/>
      <c r="AB5759" s="1"/>
      <c r="AC5759" s="1"/>
      <c r="AD5759" s="1"/>
      <c r="AE5759" s="1"/>
      <c r="AF5759" s="1"/>
      <c r="AG5759" s="1"/>
    </row>
    <row r="5760" ht="15.75" customHeight="1">
      <c r="A5760" s="1"/>
      <c r="B5760" s="1"/>
      <c r="C5760" s="1"/>
      <c r="D5760" s="1"/>
      <c r="E5760" s="1"/>
      <c r="F5760" s="1"/>
      <c r="G5760" s="1"/>
      <c r="H5760" s="1"/>
      <c r="I5760" s="1"/>
      <c r="J5760" s="1"/>
      <c r="K5760" s="102" t="s">
        <v>9032</v>
      </c>
      <c r="L5760" s="102" t="str">
        <f>E697</f>
        <v>J1b1b~</v>
      </c>
      <c r="M5760" s="102" t="s">
        <v>9031</v>
      </c>
      <c r="N5760" s="102"/>
      <c r="O5760" s="105">
        <v>6636104.0</v>
      </c>
      <c r="P5760" s="105">
        <v>6768063.0</v>
      </c>
      <c r="Q5760" s="102" t="s">
        <v>2533</v>
      </c>
      <c r="S5760" s="1"/>
      <c r="T5760" s="1"/>
      <c r="U5760" s="1"/>
      <c r="V5760" s="1"/>
      <c r="W5760" s="1"/>
      <c r="X5760" s="1"/>
      <c r="Y5760" s="1"/>
      <c r="AA5760" s="102"/>
      <c r="AB5760" s="1"/>
      <c r="AC5760" s="1"/>
      <c r="AD5760" s="1"/>
      <c r="AE5760" s="1"/>
      <c r="AF5760" s="1"/>
      <c r="AG5760" s="1"/>
    </row>
    <row r="5761" ht="15.75" customHeight="1">
      <c r="A5761" s="1"/>
      <c r="B5761" s="1"/>
      <c r="C5761" s="1"/>
      <c r="D5761" s="1"/>
      <c r="E5761" s="1"/>
      <c r="F5761" s="1"/>
      <c r="G5761" s="1"/>
      <c r="H5761" s="1"/>
      <c r="I5761" s="1"/>
      <c r="J5761" s="1"/>
      <c r="K5761" s="102" t="s">
        <v>9033</v>
      </c>
      <c r="L5761" s="102" t="str">
        <f>E697</f>
        <v>J1b1b~</v>
      </c>
      <c r="M5761" s="106" t="s">
        <v>9034</v>
      </c>
      <c r="N5761" s="102"/>
      <c r="O5761" s="105">
        <v>1.448941E7</v>
      </c>
      <c r="P5761" s="105">
        <v>1.2368679E7</v>
      </c>
      <c r="Q5761" s="102" t="s">
        <v>2439</v>
      </c>
      <c r="S5761" s="1"/>
      <c r="T5761" s="1"/>
      <c r="U5761" s="1"/>
      <c r="V5761" s="1"/>
      <c r="W5761" s="1"/>
      <c r="X5761" s="1"/>
      <c r="Y5761" s="1"/>
      <c r="AA5761" s="102"/>
      <c r="AB5761" s="1"/>
      <c r="AC5761" s="1"/>
      <c r="AD5761" s="1"/>
      <c r="AE5761" s="1"/>
      <c r="AF5761" s="1"/>
      <c r="AG5761" s="1"/>
    </row>
    <row r="5762" ht="15.75" customHeight="1">
      <c r="A5762" s="1"/>
      <c r="B5762" s="1"/>
      <c r="C5762" s="1"/>
      <c r="D5762" s="1"/>
      <c r="E5762" s="1"/>
      <c r="F5762" s="1"/>
      <c r="G5762" s="1"/>
      <c r="H5762" s="1"/>
      <c r="I5762" s="1"/>
      <c r="J5762" s="1"/>
      <c r="K5762" s="106" t="s">
        <v>9034</v>
      </c>
      <c r="L5762" s="102" t="str">
        <f>E697</f>
        <v>J1b1b~</v>
      </c>
      <c r="M5762" s="106" t="s">
        <v>9033</v>
      </c>
      <c r="N5762" s="102"/>
      <c r="O5762" s="105">
        <v>1.448941E7</v>
      </c>
      <c r="P5762" s="105">
        <v>1.2368679E7</v>
      </c>
      <c r="Q5762" s="102" t="s">
        <v>2439</v>
      </c>
      <c r="S5762" s="1"/>
      <c r="T5762" s="1"/>
      <c r="U5762" s="1"/>
      <c r="V5762" s="1"/>
      <c r="W5762" s="1"/>
      <c r="X5762" s="1"/>
      <c r="Y5762" s="1"/>
      <c r="AA5762" s="102"/>
      <c r="AB5762" s="1"/>
      <c r="AC5762" s="1"/>
      <c r="AD5762" s="1"/>
      <c r="AE5762" s="1"/>
      <c r="AF5762" s="1"/>
      <c r="AG5762" s="1"/>
    </row>
    <row r="5763" ht="15.75" customHeight="1">
      <c r="A5763" s="1"/>
      <c r="B5763" s="1"/>
      <c r="C5763" s="1"/>
      <c r="D5763" s="1"/>
      <c r="E5763" s="1"/>
      <c r="F5763" s="1"/>
      <c r="G5763" s="1"/>
      <c r="H5763" s="1"/>
      <c r="I5763" s="1"/>
      <c r="J5763" s="1"/>
      <c r="K5763" s="102" t="s">
        <v>9035</v>
      </c>
      <c r="L5763" s="102" t="str">
        <f>E697</f>
        <v>J1b1b~</v>
      </c>
      <c r="M5763" s="102" t="s">
        <v>9036</v>
      </c>
      <c r="N5763" s="102"/>
      <c r="O5763" s="105">
        <v>1.5720315E7</v>
      </c>
      <c r="P5763" s="105">
        <v>1.3608435E7</v>
      </c>
      <c r="Q5763" s="102" t="s">
        <v>2501</v>
      </c>
      <c r="S5763" s="1"/>
      <c r="T5763" s="1"/>
      <c r="U5763" s="1"/>
      <c r="V5763" s="1"/>
      <c r="W5763" s="1"/>
      <c r="X5763" s="1"/>
      <c r="Y5763" s="1"/>
      <c r="AA5763" s="102"/>
      <c r="AB5763" s="1"/>
      <c r="AC5763" s="1"/>
      <c r="AD5763" s="1"/>
      <c r="AE5763" s="1"/>
      <c r="AF5763" s="1"/>
      <c r="AG5763" s="1"/>
    </row>
    <row r="5764" ht="15.75" customHeight="1">
      <c r="A5764" s="1"/>
      <c r="B5764" s="1"/>
      <c r="C5764" s="1"/>
      <c r="D5764" s="1"/>
      <c r="E5764" s="1"/>
      <c r="F5764" s="1"/>
      <c r="G5764" s="1"/>
      <c r="H5764" s="1"/>
      <c r="I5764" s="1"/>
      <c r="J5764" s="1"/>
      <c r="K5764" s="102" t="s">
        <v>9036</v>
      </c>
      <c r="L5764" s="102" t="str">
        <f>E697</f>
        <v>J1b1b~</v>
      </c>
      <c r="M5764" s="102" t="s">
        <v>9035</v>
      </c>
      <c r="N5764" s="102"/>
      <c r="O5764" s="105">
        <v>1.5720315E7</v>
      </c>
      <c r="P5764" s="105">
        <v>1.3608435E7</v>
      </c>
      <c r="Q5764" s="102" t="s">
        <v>2501</v>
      </c>
      <c r="S5764" s="1"/>
      <c r="T5764" s="1"/>
      <c r="U5764" s="1"/>
      <c r="V5764" s="1"/>
      <c r="W5764" s="1"/>
      <c r="X5764" s="1"/>
      <c r="Y5764" s="1"/>
      <c r="AA5764" s="102"/>
      <c r="AB5764" s="1"/>
      <c r="AC5764" s="1"/>
      <c r="AD5764" s="1"/>
      <c r="AE5764" s="1"/>
      <c r="AF5764" s="1"/>
      <c r="AG5764" s="1"/>
    </row>
    <row r="5765" ht="15.75" customHeight="1">
      <c r="A5765" s="1"/>
      <c r="B5765" s="1"/>
      <c r="C5765" s="1"/>
      <c r="D5765" s="1"/>
      <c r="E5765" s="1"/>
      <c r="F5765" s="1"/>
      <c r="G5765" s="1"/>
      <c r="H5765" s="1"/>
      <c r="I5765" s="1"/>
      <c r="J5765" s="1"/>
      <c r="K5765" s="102" t="s">
        <v>9037</v>
      </c>
      <c r="L5765" s="102" t="str">
        <f>E697</f>
        <v>J1b1b~</v>
      </c>
      <c r="M5765" s="102" t="s">
        <v>9038</v>
      </c>
      <c r="N5765" s="102"/>
      <c r="O5765" s="105">
        <v>1.6177944E7</v>
      </c>
      <c r="P5765" s="105">
        <v>1.4066064E7</v>
      </c>
      <c r="Q5765" s="102" t="s">
        <v>2501</v>
      </c>
      <c r="S5765" s="1"/>
      <c r="T5765" s="1"/>
      <c r="U5765" s="1"/>
      <c r="V5765" s="1"/>
      <c r="W5765" s="1"/>
      <c r="X5765" s="1"/>
      <c r="Y5765" s="1"/>
      <c r="AA5765" s="102"/>
      <c r="AB5765" s="1"/>
      <c r="AC5765" s="1"/>
      <c r="AD5765" s="1"/>
      <c r="AE5765" s="1"/>
      <c r="AF5765" s="1"/>
      <c r="AG5765" s="1"/>
    </row>
    <row r="5766" ht="15.75" customHeight="1">
      <c r="A5766" s="1"/>
      <c r="B5766" s="1"/>
      <c r="C5766" s="1"/>
      <c r="D5766" s="1"/>
      <c r="E5766" s="1"/>
      <c r="F5766" s="1"/>
      <c r="G5766" s="1"/>
      <c r="H5766" s="1"/>
      <c r="I5766" s="1"/>
      <c r="J5766" s="1"/>
      <c r="K5766" s="102" t="s">
        <v>9038</v>
      </c>
      <c r="L5766" s="102" t="str">
        <f>E697</f>
        <v>J1b1b~</v>
      </c>
      <c r="M5766" s="102" t="s">
        <v>9037</v>
      </c>
      <c r="N5766" s="102"/>
      <c r="O5766" s="105">
        <v>1.6177944E7</v>
      </c>
      <c r="P5766" s="105">
        <v>1.4066064E7</v>
      </c>
      <c r="Q5766" s="102" t="s">
        <v>2501</v>
      </c>
      <c r="S5766" s="1"/>
      <c r="T5766" s="1"/>
      <c r="U5766" s="1"/>
      <c r="V5766" s="1"/>
      <c r="W5766" s="1"/>
      <c r="X5766" s="1"/>
      <c r="Y5766" s="1"/>
      <c r="AA5766" s="102"/>
      <c r="AB5766" s="1"/>
      <c r="AC5766" s="1"/>
      <c r="AD5766" s="1"/>
      <c r="AE5766" s="1"/>
      <c r="AF5766" s="1"/>
      <c r="AG5766" s="1"/>
    </row>
    <row r="5767" ht="15.75" customHeight="1">
      <c r="A5767" s="1"/>
      <c r="B5767" s="1"/>
      <c r="C5767" s="1"/>
      <c r="D5767" s="1"/>
      <c r="E5767" s="1"/>
      <c r="F5767" s="1"/>
      <c r="G5767" s="1"/>
      <c r="H5767" s="1"/>
      <c r="I5767" s="1"/>
      <c r="J5767" s="1"/>
      <c r="K5767" s="102" t="s">
        <v>9039</v>
      </c>
      <c r="L5767" s="102" t="str">
        <f>E697</f>
        <v>J1b1b~</v>
      </c>
      <c r="M5767" s="102" t="s">
        <v>9040</v>
      </c>
      <c r="N5767" s="102"/>
      <c r="O5767" s="105">
        <v>2.3632683E7</v>
      </c>
      <c r="P5767" s="105">
        <v>2.1470797E7</v>
      </c>
      <c r="Q5767" s="102" t="s">
        <v>2432</v>
      </c>
      <c r="S5767" s="1"/>
      <c r="T5767" s="1"/>
      <c r="U5767" s="1"/>
      <c r="V5767" s="1"/>
      <c r="W5767" s="1"/>
      <c r="X5767" s="1"/>
      <c r="Y5767" s="1"/>
      <c r="AA5767" s="102"/>
      <c r="AB5767" s="1"/>
      <c r="AC5767" s="1"/>
      <c r="AD5767" s="1"/>
      <c r="AE5767" s="1"/>
      <c r="AF5767" s="1"/>
      <c r="AG5767" s="1"/>
    </row>
    <row r="5768" ht="15.75" customHeight="1">
      <c r="A5768" s="1"/>
      <c r="B5768" s="1"/>
      <c r="C5768" s="1"/>
      <c r="D5768" s="1"/>
      <c r="E5768" s="1"/>
      <c r="F5768" s="1"/>
      <c r="G5768" s="1"/>
      <c r="H5768" s="1"/>
      <c r="I5768" s="1"/>
      <c r="J5768" s="1"/>
      <c r="K5768" s="102" t="s">
        <v>9040</v>
      </c>
      <c r="L5768" s="102" t="str">
        <f>E697</f>
        <v>J1b1b~</v>
      </c>
      <c r="M5768" s="102" t="s">
        <v>9039</v>
      </c>
      <c r="N5768" s="102"/>
      <c r="O5768" s="105">
        <v>2.3632683E7</v>
      </c>
      <c r="P5768" s="105">
        <v>2.1470797E7</v>
      </c>
      <c r="Q5768" s="102" t="s">
        <v>2432</v>
      </c>
      <c r="S5768" s="1"/>
      <c r="T5768" s="1"/>
      <c r="U5768" s="1"/>
      <c r="V5768" s="1"/>
      <c r="W5768" s="1"/>
      <c r="X5768" s="1"/>
      <c r="Y5768" s="1"/>
      <c r="AA5768" s="102"/>
      <c r="AB5768" s="1"/>
      <c r="AC5768" s="1"/>
      <c r="AD5768" s="1"/>
      <c r="AE5768" s="1"/>
      <c r="AF5768" s="1"/>
      <c r="AG5768" s="1"/>
    </row>
    <row r="5769" ht="15.75" customHeight="1">
      <c r="A5769" s="1"/>
      <c r="B5769" s="1"/>
      <c r="C5769" s="1"/>
      <c r="D5769" s="1"/>
      <c r="E5769" s="1"/>
      <c r="F5769" s="1"/>
      <c r="G5769" s="1"/>
      <c r="H5769" s="1"/>
      <c r="I5769" s="1"/>
      <c r="J5769" s="1"/>
      <c r="K5769" s="102" t="s">
        <v>9041</v>
      </c>
      <c r="L5769" s="102" t="str">
        <f>B698</f>
        <v>J2</v>
      </c>
      <c r="M5769" s="102" t="s">
        <v>9042</v>
      </c>
      <c r="N5769" s="102" t="s">
        <v>9043</v>
      </c>
      <c r="O5769" s="105">
        <v>1.4969634E7</v>
      </c>
      <c r="P5769" s="105">
        <v>1.2857709E7</v>
      </c>
      <c r="Q5769" s="102" t="s">
        <v>2563</v>
      </c>
      <c r="S5769" s="1"/>
      <c r="T5769" s="1"/>
      <c r="U5769" s="1"/>
      <c r="V5769" s="1"/>
      <c r="W5769" s="1"/>
      <c r="X5769" s="1"/>
      <c r="Y5769" s="1"/>
      <c r="AA5769" s="102"/>
      <c r="AB5769" s="1"/>
      <c r="AC5769" s="1"/>
      <c r="AD5769" s="1"/>
      <c r="AE5769" s="1"/>
      <c r="AF5769" s="1"/>
      <c r="AG5769" s="1"/>
    </row>
    <row r="5770" ht="15.75" customHeight="1">
      <c r="A5770" s="1"/>
      <c r="B5770" s="1"/>
      <c r="C5770" s="1"/>
      <c r="D5770" s="1"/>
      <c r="E5770" s="1"/>
      <c r="F5770" s="1"/>
      <c r="G5770" s="1"/>
      <c r="H5770" s="1"/>
      <c r="I5770" s="1"/>
      <c r="J5770" s="1"/>
      <c r="K5770" s="102" t="s">
        <v>9044</v>
      </c>
      <c r="L5770" s="102" t="str">
        <f>B698</f>
        <v>J2</v>
      </c>
      <c r="M5770" s="102" t="s">
        <v>9045</v>
      </c>
      <c r="N5770" s="102" t="s">
        <v>9043</v>
      </c>
      <c r="O5770" s="105">
        <v>1.4969634E7</v>
      </c>
      <c r="P5770" s="105">
        <v>1.2857709E7</v>
      </c>
      <c r="Q5770" s="102" t="s">
        <v>2563</v>
      </c>
      <c r="S5770" s="1"/>
      <c r="T5770" s="1"/>
      <c r="U5770" s="1"/>
      <c r="V5770" s="1"/>
      <c r="W5770" s="1"/>
      <c r="X5770" s="1"/>
      <c r="Y5770" s="1"/>
      <c r="AA5770" s="102"/>
      <c r="AB5770" s="1"/>
      <c r="AC5770" s="1"/>
      <c r="AD5770" s="1"/>
      <c r="AE5770" s="1"/>
      <c r="AF5770" s="1"/>
      <c r="AG5770" s="1"/>
    </row>
    <row r="5771" ht="15.75" customHeight="1">
      <c r="A5771" s="1"/>
      <c r="B5771" s="1"/>
      <c r="C5771" s="1"/>
      <c r="D5771" s="1"/>
      <c r="E5771" s="1"/>
      <c r="F5771" s="1"/>
      <c r="G5771" s="1"/>
      <c r="H5771" s="1"/>
      <c r="I5771" s="1"/>
      <c r="J5771" s="1"/>
      <c r="K5771" s="102" t="s">
        <v>9046</v>
      </c>
      <c r="L5771" s="102" t="str">
        <f>B698</f>
        <v>J2</v>
      </c>
      <c r="M5771" s="102" t="s">
        <v>9047</v>
      </c>
      <c r="N5771" s="102" t="s">
        <v>9043</v>
      </c>
      <c r="O5771" s="105">
        <v>1.4969634E7</v>
      </c>
      <c r="P5771" s="105">
        <v>1.2857709E7</v>
      </c>
      <c r="Q5771" s="102" t="s">
        <v>2563</v>
      </c>
      <c r="S5771" s="1"/>
      <c r="T5771" s="1"/>
      <c r="U5771" s="1"/>
      <c r="V5771" s="1"/>
      <c r="W5771" s="1"/>
      <c r="X5771" s="1"/>
      <c r="Y5771" s="1"/>
      <c r="AA5771" s="102"/>
      <c r="AB5771" s="1"/>
      <c r="AC5771" s="1"/>
      <c r="AD5771" s="1"/>
      <c r="AE5771" s="1"/>
      <c r="AF5771" s="1"/>
      <c r="AG5771" s="1"/>
    </row>
    <row r="5772" ht="15.75" customHeight="1">
      <c r="A5772" s="1"/>
      <c r="B5772" s="1"/>
      <c r="C5772" s="1"/>
      <c r="D5772" s="1"/>
      <c r="E5772" s="1"/>
      <c r="F5772" s="1"/>
      <c r="G5772" s="1"/>
      <c r="H5772" s="1"/>
      <c r="I5772" s="1"/>
      <c r="J5772" s="1"/>
      <c r="K5772" s="102" t="s">
        <v>9048</v>
      </c>
      <c r="L5772" s="102" t="str">
        <f>B698</f>
        <v>J2</v>
      </c>
      <c r="M5772" s="102" t="s">
        <v>9049</v>
      </c>
      <c r="N5772" s="102" t="s">
        <v>9050</v>
      </c>
      <c r="O5772" s="105">
        <v>7068942.0</v>
      </c>
      <c r="P5772" s="105">
        <v>7200901.0</v>
      </c>
      <c r="Q5772" s="102" t="s">
        <v>2439</v>
      </c>
      <c r="S5772" s="1"/>
      <c r="T5772" s="1"/>
      <c r="U5772" s="1"/>
      <c r="V5772" s="1"/>
      <c r="W5772" s="1"/>
      <c r="X5772" s="1"/>
      <c r="Y5772" s="1"/>
      <c r="AA5772" s="102"/>
      <c r="AB5772" s="1"/>
      <c r="AC5772" s="1"/>
      <c r="AD5772" s="1"/>
      <c r="AE5772" s="1"/>
      <c r="AF5772" s="1"/>
      <c r="AG5772" s="1"/>
    </row>
    <row r="5773" ht="15.75" customHeight="1">
      <c r="A5773" s="1"/>
      <c r="B5773" s="1"/>
      <c r="C5773" s="1"/>
      <c r="D5773" s="1"/>
      <c r="E5773" s="1"/>
      <c r="F5773" s="1"/>
      <c r="G5773" s="1"/>
      <c r="H5773" s="1"/>
      <c r="I5773" s="1"/>
      <c r="J5773" s="1"/>
      <c r="K5773" s="102" t="s">
        <v>9049</v>
      </c>
      <c r="L5773" s="102" t="str">
        <f>B698</f>
        <v>J2</v>
      </c>
      <c r="M5773" s="102" t="s">
        <v>9048</v>
      </c>
      <c r="N5773" s="102" t="s">
        <v>9050</v>
      </c>
      <c r="O5773" s="105">
        <v>7068942.0</v>
      </c>
      <c r="P5773" s="105">
        <v>7200901.0</v>
      </c>
      <c r="Q5773" s="102" t="s">
        <v>2439</v>
      </c>
      <c r="S5773" s="1"/>
      <c r="T5773" s="1"/>
      <c r="U5773" s="1"/>
      <c r="V5773" s="1"/>
      <c r="W5773" s="1"/>
      <c r="X5773" s="1"/>
      <c r="Y5773" s="1"/>
      <c r="AA5773" s="102"/>
      <c r="AB5773" s="1"/>
      <c r="AC5773" s="1"/>
      <c r="AD5773" s="1"/>
      <c r="AE5773" s="1"/>
      <c r="AF5773" s="1"/>
      <c r="AG5773" s="1"/>
    </row>
    <row r="5774" ht="15.75" customHeight="1">
      <c r="A5774" s="1"/>
      <c r="B5774" s="1"/>
      <c r="C5774" s="1"/>
      <c r="D5774" s="1"/>
      <c r="E5774" s="1"/>
      <c r="F5774" s="1"/>
      <c r="G5774" s="1"/>
      <c r="H5774" s="1"/>
      <c r="I5774" s="1"/>
      <c r="J5774" s="1"/>
      <c r="K5774" s="102" t="s">
        <v>9051</v>
      </c>
      <c r="L5774" s="102" t="str">
        <f>B698</f>
        <v>J2</v>
      </c>
      <c r="M5774" s="102"/>
      <c r="N5774" s="102" t="s">
        <v>9052</v>
      </c>
      <c r="O5774" s="105">
        <v>1.4634651E7</v>
      </c>
      <c r="P5774" s="105">
        <v>1.252272E7</v>
      </c>
      <c r="Q5774" s="102" t="s">
        <v>2514</v>
      </c>
      <c r="S5774" s="1"/>
      <c r="T5774" s="1"/>
      <c r="U5774" s="1"/>
      <c r="V5774" s="1"/>
      <c r="W5774" s="1"/>
      <c r="X5774" s="1"/>
      <c r="Y5774" s="1"/>
      <c r="AA5774" s="102"/>
      <c r="AB5774" s="1"/>
      <c r="AC5774" s="1"/>
      <c r="AD5774" s="1"/>
      <c r="AE5774" s="1"/>
      <c r="AF5774" s="1"/>
      <c r="AG5774" s="1"/>
    </row>
    <row r="5775" ht="15.75" customHeight="1">
      <c r="A5775" s="1"/>
      <c r="B5775" s="1"/>
      <c r="C5775" s="1"/>
      <c r="D5775" s="1"/>
      <c r="E5775" s="1"/>
      <c r="F5775" s="1"/>
      <c r="G5775" s="1"/>
      <c r="H5775" s="1"/>
      <c r="I5775" s="1"/>
      <c r="J5775" s="1"/>
      <c r="K5775" s="102" t="s">
        <v>9053</v>
      </c>
      <c r="L5775" s="102" t="str">
        <f>B698</f>
        <v>J2</v>
      </c>
      <c r="M5775" s="102" t="s">
        <v>9054</v>
      </c>
      <c r="N5775" s="102" t="s">
        <v>9055</v>
      </c>
      <c r="O5775" s="105">
        <v>1.4720338E7</v>
      </c>
      <c r="P5775" s="105">
        <v>1.2608406E7</v>
      </c>
      <c r="Q5775" s="102" t="s">
        <v>2576</v>
      </c>
      <c r="S5775" s="1"/>
      <c r="T5775" s="1"/>
      <c r="U5775" s="1"/>
      <c r="V5775" s="1"/>
      <c r="W5775" s="1"/>
      <c r="X5775" s="1"/>
      <c r="Y5775" s="1"/>
      <c r="AA5775" s="102"/>
      <c r="AB5775" s="1"/>
      <c r="AC5775" s="1"/>
      <c r="AD5775" s="1"/>
      <c r="AE5775" s="1"/>
      <c r="AF5775" s="1"/>
      <c r="AG5775" s="1"/>
    </row>
    <row r="5776" ht="15.75" customHeight="1">
      <c r="A5776" s="1"/>
      <c r="B5776" s="1"/>
      <c r="C5776" s="1"/>
      <c r="D5776" s="1"/>
      <c r="E5776" s="1"/>
      <c r="F5776" s="1"/>
      <c r="G5776" s="1"/>
      <c r="H5776" s="1"/>
      <c r="I5776" s="1"/>
      <c r="J5776" s="1"/>
      <c r="K5776" s="102" t="s">
        <v>9054</v>
      </c>
      <c r="L5776" s="102" t="str">
        <f>B698</f>
        <v>J2</v>
      </c>
      <c r="M5776" s="102" t="s">
        <v>9053</v>
      </c>
      <c r="N5776" s="102" t="s">
        <v>9055</v>
      </c>
      <c r="O5776" s="105">
        <v>1.4720338E7</v>
      </c>
      <c r="P5776" s="105">
        <v>1.2608406E7</v>
      </c>
      <c r="Q5776" s="102" t="s">
        <v>2576</v>
      </c>
      <c r="S5776" s="1"/>
      <c r="T5776" s="1"/>
      <c r="U5776" s="1"/>
      <c r="V5776" s="1"/>
      <c r="W5776" s="1"/>
      <c r="X5776" s="1"/>
      <c r="Y5776" s="1"/>
      <c r="AA5776" s="102"/>
      <c r="AB5776" s="1"/>
      <c r="AC5776" s="1"/>
      <c r="AD5776" s="1"/>
      <c r="AE5776" s="1"/>
      <c r="AF5776" s="1"/>
      <c r="AG5776" s="1"/>
    </row>
    <row r="5777" ht="15.75" customHeight="1">
      <c r="A5777" s="1"/>
      <c r="B5777" s="1"/>
      <c r="C5777" s="1"/>
      <c r="D5777" s="1"/>
      <c r="E5777" s="1"/>
      <c r="F5777" s="1"/>
      <c r="G5777" s="1"/>
      <c r="H5777" s="1"/>
      <c r="I5777" s="1"/>
      <c r="J5777" s="1"/>
      <c r="K5777" s="102" t="s">
        <v>9056</v>
      </c>
      <c r="L5777" s="102" t="str">
        <f>B698</f>
        <v>J2</v>
      </c>
      <c r="M5777" s="102" t="s">
        <v>9057</v>
      </c>
      <c r="N5777" s="102" t="s">
        <v>9058</v>
      </c>
      <c r="O5777" s="105">
        <v>1.6459438E7</v>
      </c>
      <c r="P5777" s="105">
        <v>1.4347558E7</v>
      </c>
      <c r="Q5777" s="102" t="s">
        <v>2439</v>
      </c>
      <c r="S5777" s="1"/>
      <c r="T5777" s="1"/>
      <c r="U5777" s="1"/>
      <c r="V5777" s="1"/>
      <c r="W5777" s="1"/>
      <c r="X5777" s="1"/>
      <c r="Y5777" s="1"/>
      <c r="AA5777" s="102"/>
      <c r="AB5777" s="1"/>
      <c r="AC5777" s="1"/>
      <c r="AD5777" s="1"/>
      <c r="AE5777" s="1"/>
      <c r="AF5777" s="1"/>
      <c r="AG5777" s="1"/>
    </row>
    <row r="5778" ht="15.75" customHeight="1">
      <c r="A5778" s="1"/>
      <c r="B5778" s="1"/>
      <c r="C5778" s="1"/>
      <c r="D5778" s="1"/>
      <c r="E5778" s="1"/>
      <c r="F5778" s="1"/>
      <c r="G5778" s="1"/>
      <c r="H5778" s="1"/>
      <c r="I5778" s="1"/>
      <c r="J5778" s="1"/>
      <c r="K5778" s="102" t="s">
        <v>9057</v>
      </c>
      <c r="L5778" s="102" t="str">
        <f>B698</f>
        <v>J2</v>
      </c>
      <c r="M5778" s="102" t="s">
        <v>9056</v>
      </c>
      <c r="N5778" s="102" t="s">
        <v>9058</v>
      </c>
      <c r="O5778" s="105">
        <v>1.6459438E7</v>
      </c>
      <c r="P5778" s="105">
        <v>1.4347558E7</v>
      </c>
      <c r="Q5778" s="102" t="s">
        <v>2439</v>
      </c>
      <c r="S5778" s="1"/>
      <c r="T5778" s="1"/>
      <c r="U5778" s="1"/>
      <c r="V5778" s="1"/>
      <c r="W5778" s="1"/>
      <c r="X5778" s="1"/>
      <c r="Y5778" s="1"/>
      <c r="AA5778" s="102"/>
      <c r="AB5778" s="1"/>
      <c r="AC5778" s="1"/>
      <c r="AD5778" s="1"/>
      <c r="AE5778" s="1"/>
      <c r="AF5778" s="1"/>
      <c r="AG5778" s="1"/>
    </row>
    <row r="5779" ht="15.75" customHeight="1">
      <c r="A5779" s="1"/>
      <c r="B5779" s="1"/>
      <c r="C5779" s="1"/>
      <c r="D5779" s="1"/>
      <c r="E5779" s="1"/>
      <c r="F5779" s="1"/>
      <c r="G5779" s="1"/>
      <c r="H5779" s="1"/>
      <c r="I5779" s="1"/>
      <c r="J5779" s="1"/>
      <c r="K5779" s="102" t="s">
        <v>9059</v>
      </c>
      <c r="L5779" s="102" t="str">
        <f>B698</f>
        <v>J2</v>
      </c>
      <c r="M5779" s="102" t="s">
        <v>9060</v>
      </c>
      <c r="N5779" s="102" t="s">
        <v>9061</v>
      </c>
      <c r="O5779" s="105">
        <v>1.6542685E7</v>
      </c>
      <c r="P5779" s="105">
        <v>1.4430805E7</v>
      </c>
      <c r="Q5779" s="102" t="s">
        <v>2514</v>
      </c>
      <c r="S5779" s="1"/>
      <c r="T5779" s="1"/>
      <c r="U5779" s="1"/>
      <c r="V5779" s="1"/>
      <c r="W5779" s="1"/>
      <c r="X5779" s="1"/>
      <c r="Y5779" s="1"/>
      <c r="AA5779" s="102"/>
      <c r="AB5779" s="1"/>
      <c r="AC5779" s="1"/>
      <c r="AD5779" s="1"/>
      <c r="AE5779" s="1"/>
      <c r="AF5779" s="1"/>
      <c r="AG5779" s="1"/>
    </row>
    <row r="5780" ht="15.75" customHeight="1">
      <c r="A5780" s="1"/>
      <c r="B5780" s="1"/>
      <c r="C5780" s="1"/>
      <c r="D5780" s="1"/>
      <c r="E5780" s="1"/>
      <c r="F5780" s="1"/>
      <c r="G5780" s="1"/>
      <c r="H5780" s="1"/>
      <c r="I5780" s="1"/>
      <c r="J5780" s="1"/>
      <c r="K5780" s="102" t="s">
        <v>9060</v>
      </c>
      <c r="L5780" s="102" t="str">
        <f>B698</f>
        <v>J2</v>
      </c>
      <c r="M5780" s="102" t="s">
        <v>9059</v>
      </c>
      <c r="N5780" s="102" t="s">
        <v>9061</v>
      </c>
      <c r="O5780" s="105">
        <v>1.6542685E7</v>
      </c>
      <c r="P5780" s="105">
        <v>1.4430805E7</v>
      </c>
      <c r="Q5780" s="102" t="s">
        <v>2514</v>
      </c>
      <c r="S5780" s="1"/>
      <c r="T5780" s="1"/>
      <c r="U5780" s="1"/>
      <c r="V5780" s="1"/>
      <c r="W5780" s="1"/>
      <c r="X5780" s="1"/>
      <c r="Y5780" s="1"/>
      <c r="AA5780" s="102"/>
      <c r="AB5780" s="1"/>
      <c r="AC5780" s="1"/>
      <c r="AD5780" s="1"/>
      <c r="AE5780" s="1"/>
      <c r="AF5780" s="1"/>
      <c r="AG5780" s="1"/>
    </row>
    <row r="5781" ht="15.75" customHeight="1">
      <c r="A5781" s="1"/>
      <c r="B5781" s="1"/>
      <c r="C5781" s="1"/>
      <c r="D5781" s="1"/>
      <c r="E5781" s="1"/>
      <c r="F5781" s="1"/>
      <c r="G5781" s="1"/>
      <c r="H5781" s="1"/>
      <c r="I5781" s="1"/>
      <c r="J5781" s="1"/>
      <c r="K5781" s="102" t="s">
        <v>9062</v>
      </c>
      <c r="L5781" s="102" t="str">
        <f>B698</f>
        <v>J2</v>
      </c>
      <c r="M5781" s="102"/>
      <c r="N5781" s="102" t="s">
        <v>9063</v>
      </c>
      <c r="O5781" s="105">
        <v>2.8715343E7</v>
      </c>
      <c r="P5781" s="105">
        <v>2.6569196E7</v>
      </c>
      <c r="Q5781" s="102" t="s">
        <v>2439</v>
      </c>
      <c r="S5781" s="1"/>
      <c r="T5781" s="1"/>
      <c r="U5781" s="1"/>
      <c r="V5781" s="1"/>
      <c r="W5781" s="1"/>
      <c r="X5781" s="1"/>
      <c r="Y5781" s="1"/>
      <c r="AA5781" s="102"/>
      <c r="AB5781" s="1"/>
      <c r="AC5781" s="1"/>
      <c r="AD5781" s="1"/>
      <c r="AE5781" s="1"/>
      <c r="AF5781" s="1"/>
      <c r="AG5781" s="1"/>
    </row>
    <row r="5782" ht="15.75" customHeight="1">
      <c r="A5782" s="1"/>
      <c r="B5782" s="1"/>
      <c r="C5782" s="1"/>
      <c r="D5782" s="1"/>
      <c r="E5782" s="1"/>
      <c r="F5782" s="1"/>
      <c r="G5782" s="1"/>
      <c r="H5782" s="1"/>
      <c r="I5782" s="1"/>
      <c r="J5782" s="1"/>
      <c r="K5782" s="102" t="s">
        <v>9064</v>
      </c>
      <c r="L5782" s="102" t="str">
        <f>B698</f>
        <v>J2</v>
      </c>
      <c r="M5782" s="102" t="s">
        <v>9065</v>
      </c>
      <c r="N5782" s="102" t="s">
        <v>9066</v>
      </c>
      <c r="O5782" s="105">
        <v>2.877602E7</v>
      </c>
      <c r="P5782" s="105">
        <v>2.6629873E7</v>
      </c>
      <c r="Q5782" s="102" t="s">
        <v>2468</v>
      </c>
      <c r="S5782" s="1"/>
      <c r="T5782" s="1"/>
      <c r="U5782" s="1"/>
      <c r="V5782" s="1"/>
      <c r="W5782" s="1"/>
      <c r="X5782" s="1"/>
      <c r="Y5782" s="1"/>
      <c r="AA5782" s="102"/>
      <c r="AB5782" s="1"/>
      <c r="AC5782" s="1"/>
      <c r="AD5782" s="1"/>
      <c r="AE5782" s="1"/>
      <c r="AF5782" s="1"/>
      <c r="AG5782" s="1"/>
    </row>
    <row r="5783" ht="15.75" customHeight="1">
      <c r="A5783" s="1"/>
      <c r="B5783" s="1"/>
      <c r="C5783" s="1"/>
      <c r="D5783" s="1"/>
      <c r="E5783" s="1"/>
      <c r="F5783" s="1"/>
      <c r="G5783" s="1"/>
      <c r="H5783" s="1"/>
      <c r="I5783" s="1"/>
      <c r="J5783" s="1"/>
      <c r="K5783" s="102" t="s">
        <v>9067</v>
      </c>
      <c r="L5783" s="102" t="str">
        <f>B698</f>
        <v>J2</v>
      </c>
      <c r="M5783" s="102" t="s">
        <v>9068</v>
      </c>
      <c r="N5783" s="102" t="s">
        <v>9066</v>
      </c>
      <c r="O5783" s="105">
        <v>2.877602E7</v>
      </c>
      <c r="P5783" s="105">
        <v>2.6629873E7</v>
      </c>
      <c r="Q5783" s="102" t="s">
        <v>2468</v>
      </c>
      <c r="S5783" s="1"/>
      <c r="T5783" s="1"/>
      <c r="U5783" s="1"/>
      <c r="V5783" s="1"/>
      <c r="W5783" s="1"/>
      <c r="X5783" s="1"/>
      <c r="Y5783" s="1"/>
      <c r="AA5783" s="102"/>
      <c r="AB5783" s="1"/>
      <c r="AC5783" s="1"/>
      <c r="AD5783" s="1"/>
      <c r="AE5783" s="1"/>
      <c r="AF5783" s="1"/>
      <c r="AG5783" s="1"/>
    </row>
    <row r="5784" ht="15.75" customHeight="1">
      <c r="A5784" s="1"/>
      <c r="B5784" s="1"/>
      <c r="C5784" s="1"/>
      <c r="D5784" s="1"/>
      <c r="E5784" s="1"/>
      <c r="F5784" s="1"/>
      <c r="G5784" s="1"/>
      <c r="H5784" s="1"/>
      <c r="I5784" s="1"/>
      <c r="J5784" s="1"/>
      <c r="K5784" s="102" t="s">
        <v>9069</v>
      </c>
      <c r="L5784" s="102" t="str">
        <f>B698</f>
        <v>J2</v>
      </c>
      <c r="M5784" s="102" t="s">
        <v>9070</v>
      </c>
      <c r="N5784" s="102" t="s">
        <v>9066</v>
      </c>
      <c r="O5784" s="105">
        <v>2.877602E7</v>
      </c>
      <c r="P5784" s="105">
        <v>2.6629873E7</v>
      </c>
      <c r="Q5784" s="102" t="s">
        <v>2468</v>
      </c>
      <c r="S5784" s="1"/>
      <c r="T5784" s="1"/>
      <c r="U5784" s="1"/>
      <c r="V5784" s="1"/>
      <c r="W5784" s="1"/>
      <c r="X5784" s="1"/>
      <c r="Y5784" s="1"/>
      <c r="AA5784" s="102"/>
      <c r="AB5784" s="1"/>
      <c r="AC5784" s="1"/>
      <c r="AD5784" s="1"/>
      <c r="AE5784" s="1"/>
      <c r="AF5784" s="1"/>
      <c r="AG5784" s="1"/>
    </row>
    <row r="5785" ht="15.75" customHeight="1">
      <c r="A5785" s="1"/>
      <c r="B5785" s="1"/>
      <c r="C5785" s="1"/>
      <c r="D5785" s="1"/>
      <c r="E5785" s="1"/>
      <c r="F5785" s="1"/>
      <c r="G5785" s="1"/>
      <c r="H5785" s="1"/>
      <c r="I5785" s="1"/>
      <c r="J5785" s="1"/>
      <c r="K5785" s="102" t="s">
        <v>9071</v>
      </c>
      <c r="L5785" s="102" t="str">
        <f>B698</f>
        <v>J2</v>
      </c>
      <c r="M5785" s="102" t="s">
        <v>9072</v>
      </c>
      <c r="N5785" s="102" t="s">
        <v>9073</v>
      </c>
      <c r="O5785" s="105">
        <v>7771358.0</v>
      </c>
      <c r="P5785" s="105">
        <v>7903317.0</v>
      </c>
      <c r="Q5785" s="102" t="s">
        <v>2501</v>
      </c>
      <c r="S5785" s="1"/>
      <c r="T5785" s="1"/>
      <c r="U5785" s="1"/>
      <c r="V5785" s="1"/>
      <c r="W5785" s="1"/>
      <c r="X5785" s="1"/>
      <c r="Y5785" s="1"/>
      <c r="AA5785" s="102"/>
      <c r="AB5785" s="1"/>
      <c r="AC5785" s="1"/>
      <c r="AD5785" s="1"/>
      <c r="AE5785" s="1"/>
      <c r="AF5785" s="1"/>
      <c r="AG5785" s="1"/>
    </row>
    <row r="5786" ht="15.75" customHeight="1">
      <c r="A5786" s="1"/>
      <c r="B5786" s="1"/>
      <c r="C5786" s="1"/>
      <c r="D5786" s="1"/>
      <c r="E5786" s="1"/>
      <c r="F5786" s="1"/>
      <c r="G5786" s="1"/>
      <c r="H5786" s="1"/>
      <c r="I5786" s="1"/>
      <c r="J5786" s="1"/>
      <c r="K5786" s="102" t="s">
        <v>9074</v>
      </c>
      <c r="L5786" s="102" t="str">
        <f>B698</f>
        <v>J2</v>
      </c>
      <c r="M5786" s="102" t="s">
        <v>9075</v>
      </c>
      <c r="N5786" s="102" t="s">
        <v>9073</v>
      </c>
      <c r="O5786" s="105">
        <v>7771358.0</v>
      </c>
      <c r="P5786" s="105">
        <v>7903317.0</v>
      </c>
      <c r="Q5786" s="102" t="s">
        <v>2501</v>
      </c>
      <c r="S5786" s="1"/>
      <c r="T5786" s="1"/>
      <c r="U5786" s="1"/>
      <c r="V5786" s="1"/>
      <c r="W5786" s="1"/>
      <c r="X5786" s="1"/>
      <c r="Y5786" s="1"/>
      <c r="AA5786" s="102"/>
      <c r="AB5786" s="1"/>
      <c r="AC5786" s="1"/>
      <c r="AD5786" s="1"/>
      <c r="AE5786" s="1"/>
      <c r="AF5786" s="1"/>
      <c r="AG5786" s="1"/>
    </row>
    <row r="5787" ht="15.75" customHeight="1">
      <c r="A5787" s="1"/>
      <c r="B5787" s="1"/>
      <c r="C5787" s="1"/>
      <c r="D5787" s="1"/>
      <c r="E5787" s="1"/>
      <c r="F5787" s="1"/>
      <c r="G5787" s="1"/>
      <c r="H5787" s="1"/>
      <c r="I5787" s="1"/>
      <c r="J5787" s="1"/>
      <c r="K5787" s="102" t="s">
        <v>9076</v>
      </c>
      <c r="L5787" s="102" t="str">
        <f>B698</f>
        <v>J2</v>
      </c>
      <c r="M5787" s="102" t="s">
        <v>9077</v>
      </c>
      <c r="N5787" s="102" t="s">
        <v>9073</v>
      </c>
      <c r="O5787" s="105">
        <v>7771358.0</v>
      </c>
      <c r="P5787" s="105">
        <v>7903317.0</v>
      </c>
      <c r="Q5787" s="102" t="s">
        <v>2501</v>
      </c>
      <c r="S5787" s="1"/>
      <c r="T5787" s="1"/>
      <c r="U5787" s="1"/>
      <c r="V5787" s="1"/>
      <c r="W5787" s="1"/>
      <c r="X5787" s="1"/>
      <c r="Y5787" s="1"/>
      <c r="AA5787" s="102"/>
      <c r="AB5787" s="1"/>
      <c r="AC5787" s="1"/>
      <c r="AD5787" s="1"/>
      <c r="AE5787" s="1"/>
      <c r="AF5787" s="1"/>
      <c r="AG5787" s="1"/>
    </row>
    <row r="5788" ht="15.75" customHeight="1">
      <c r="A5788" s="1"/>
      <c r="B5788" s="1"/>
      <c r="C5788" s="1"/>
      <c r="D5788" s="1"/>
      <c r="E5788" s="1"/>
      <c r="F5788" s="1"/>
      <c r="G5788" s="1"/>
      <c r="H5788" s="1"/>
      <c r="I5788" s="1"/>
      <c r="J5788" s="1"/>
      <c r="K5788" s="102" t="s">
        <v>9078</v>
      </c>
      <c r="L5788" s="102" t="str">
        <f>B698</f>
        <v>J2</v>
      </c>
      <c r="M5788" s="102" t="s">
        <v>9079</v>
      </c>
      <c r="N5788" s="102" t="s">
        <v>9073</v>
      </c>
      <c r="O5788" s="105">
        <v>7771358.0</v>
      </c>
      <c r="P5788" s="105">
        <v>7903317.0</v>
      </c>
      <c r="Q5788" s="102" t="s">
        <v>2501</v>
      </c>
      <c r="S5788" s="1"/>
      <c r="T5788" s="1"/>
      <c r="U5788" s="1"/>
      <c r="V5788" s="1"/>
      <c r="W5788" s="1"/>
      <c r="X5788" s="1"/>
      <c r="Y5788" s="1"/>
      <c r="AA5788" s="102"/>
      <c r="AB5788" s="1"/>
      <c r="AC5788" s="1"/>
      <c r="AD5788" s="1"/>
      <c r="AE5788" s="1"/>
      <c r="AF5788" s="1"/>
      <c r="AG5788" s="1"/>
    </row>
    <row r="5789" ht="15.75" customHeight="1">
      <c r="A5789" s="1"/>
      <c r="B5789" s="1"/>
      <c r="C5789" s="1"/>
      <c r="D5789" s="1"/>
      <c r="E5789" s="1"/>
      <c r="F5789" s="1"/>
      <c r="G5789" s="1"/>
      <c r="H5789" s="1"/>
      <c r="I5789" s="1"/>
      <c r="J5789" s="1"/>
      <c r="K5789" s="102" t="s">
        <v>9080</v>
      </c>
      <c r="L5789" s="102" t="str">
        <f>B698</f>
        <v>J2</v>
      </c>
      <c r="M5789" s="102" t="s">
        <v>9081</v>
      </c>
      <c r="N5789" s="102" t="s">
        <v>9082</v>
      </c>
      <c r="O5789" s="105">
        <v>1.6261215E7</v>
      </c>
      <c r="P5789" s="105">
        <v>1.4149335E7</v>
      </c>
      <c r="Q5789" s="102" t="s">
        <v>2468</v>
      </c>
      <c r="S5789" s="1"/>
      <c r="T5789" s="1"/>
      <c r="U5789" s="1"/>
      <c r="V5789" s="1"/>
      <c r="W5789" s="1"/>
      <c r="X5789" s="1"/>
      <c r="Y5789" s="1"/>
      <c r="AA5789" s="102"/>
      <c r="AB5789" s="1"/>
      <c r="AC5789" s="1"/>
      <c r="AD5789" s="1"/>
      <c r="AE5789" s="1"/>
      <c r="AF5789" s="1"/>
      <c r="AG5789" s="1"/>
    </row>
    <row r="5790" ht="15.75" customHeight="1">
      <c r="A5790" s="1"/>
      <c r="B5790" s="1"/>
      <c r="C5790" s="1"/>
      <c r="D5790" s="1"/>
      <c r="E5790" s="1"/>
      <c r="F5790" s="1"/>
      <c r="G5790" s="1"/>
      <c r="H5790" s="1"/>
      <c r="I5790" s="1"/>
      <c r="J5790" s="1"/>
      <c r="K5790" s="102" t="s">
        <v>9081</v>
      </c>
      <c r="L5790" s="102" t="str">
        <f>B698</f>
        <v>J2</v>
      </c>
      <c r="M5790" s="102" t="s">
        <v>9080</v>
      </c>
      <c r="N5790" s="102" t="s">
        <v>9082</v>
      </c>
      <c r="O5790" s="105">
        <v>1.6261215E7</v>
      </c>
      <c r="P5790" s="105">
        <v>1.4149335E7</v>
      </c>
      <c r="Q5790" s="102" t="s">
        <v>2468</v>
      </c>
      <c r="S5790" s="1"/>
      <c r="T5790" s="1"/>
      <c r="U5790" s="1"/>
      <c r="V5790" s="1"/>
      <c r="W5790" s="1"/>
      <c r="X5790" s="1"/>
      <c r="Y5790" s="1"/>
      <c r="AA5790" s="102"/>
      <c r="AB5790" s="1"/>
      <c r="AC5790" s="1"/>
      <c r="AD5790" s="1"/>
      <c r="AE5790" s="1"/>
      <c r="AF5790" s="1"/>
      <c r="AG5790" s="1"/>
    </row>
    <row r="5791" ht="15.75" customHeight="1">
      <c r="A5791" s="1"/>
      <c r="B5791" s="1"/>
      <c r="C5791" s="1"/>
      <c r="D5791" s="1"/>
      <c r="E5791" s="1"/>
      <c r="F5791" s="1"/>
      <c r="G5791" s="1"/>
      <c r="H5791" s="1"/>
      <c r="I5791" s="1"/>
      <c r="J5791" s="1"/>
      <c r="K5791" s="102" t="s">
        <v>9083</v>
      </c>
      <c r="L5791" s="102" t="str">
        <f>B698</f>
        <v>J2</v>
      </c>
      <c r="M5791" s="102" t="s">
        <v>9084</v>
      </c>
      <c r="N5791" s="102" t="s">
        <v>9085</v>
      </c>
      <c r="O5791" s="105">
        <v>2.2687035E7</v>
      </c>
      <c r="P5791" s="105">
        <v>2.0525149E7</v>
      </c>
      <c r="Q5791" s="102" t="s">
        <v>2468</v>
      </c>
      <c r="S5791" s="1"/>
      <c r="T5791" s="1"/>
      <c r="U5791" s="1"/>
      <c r="V5791" s="1"/>
      <c r="W5791" s="1"/>
      <c r="X5791" s="1"/>
      <c r="Y5791" s="1"/>
      <c r="AA5791" s="102"/>
      <c r="AB5791" s="1"/>
      <c r="AC5791" s="1"/>
      <c r="AD5791" s="1"/>
      <c r="AE5791" s="1"/>
      <c r="AF5791" s="1"/>
      <c r="AG5791" s="1"/>
    </row>
    <row r="5792" ht="15.75" customHeight="1">
      <c r="A5792" s="1"/>
      <c r="B5792" s="1"/>
      <c r="C5792" s="1"/>
      <c r="D5792" s="1"/>
      <c r="E5792" s="1"/>
      <c r="F5792" s="1"/>
      <c r="G5792" s="1"/>
      <c r="H5792" s="1"/>
      <c r="I5792" s="1"/>
      <c r="J5792" s="1"/>
      <c r="K5792" s="102" t="s">
        <v>9084</v>
      </c>
      <c r="L5792" s="102" t="str">
        <f>B698</f>
        <v>J2</v>
      </c>
      <c r="M5792" s="102" t="s">
        <v>9083</v>
      </c>
      <c r="N5792" s="102" t="s">
        <v>9085</v>
      </c>
      <c r="O5792" s="105">
        <v>2.2687035E7</v>
      </c>
      <c r="P5792" s="105">
        <v>2.0525149E7</v>
      </c>
      <c r="Q5792" s="102" t="s">
        <v>2468</v>
      </c>
      <c r="S5792" s="1"/>
      <c r="T5792" s="1"/>
      <c r="U5792" s="1"/>
      <c r="V5792" s="1"/>
      <c r="W5792" s="1"/>
      <c r="X5792" s="1"/>
      <c r="Y5792" s="1"/>
      <c r="AA5792" s="102"/>
      <c r="AB5792" s="1"/>
      <c r="AC5792" s="1"/>
      <c r="AD5792" s="1"/>
      <c r="AE5792" s="1"/>
      <c r="AF5792" s="1"/>
      <c r="AG5792" s="1"/>
    </row>
    <row r="5793" ht="15.75" customHeight="1">
      <c r="A5793" s="1"/>
      <c r="B5793" s="1"/>
      <c r="C5793" s="1"/>
      <c r="D5793" s="1"/>
      <c r="E5793" s="1"/>
      <c r="F5793" s="1"/>
      <c r="G5793" s="1"/>
      <c r="H5793" s="1"/>
      <c r="I5793" s="1"/>
      <c r="J5793" s="1"/>
      <c r="K5793" s="102" t="s">
        <v>9086</v>
      </c>
      <c r="L5793" s="102" t="str">
        <f>B698</f>
        <v>J2</v>
      </c>
      <c r="M5793" s="102" t="s">
        <v>9087</v>
      </c>
      <c r="N5793" s="102" t="s">
        <v>9088</v>
      </c>
      <c r="O5793" s="105">
        <v>1.8978214E7</v>
      </c>
      <c r="P5793" s="105">
        <v>1.6866334E7</v>
      </c>
      <c r="Q5793" s="102" t="s">
        <v>2514</v>
      </c>
      <c r="S5793" s="1"/>
      <c r="T5793" s="1"/>
      <c r="U5793" s="1"/>
      <c r="V5793" s="1"/>
      <c r="W5793" s="1"/>
      <c r="X5793" s="1"/>
      <c r="Y5793" s="1"/>
      <c r="AA5793" s="102"/>
      <c r="AB5793" s="1"/>
      <c r="AC5793" s="1"/>
      <c r="AD5793" s="1"/>
      <c r="AE5793" s="1"/>
      <c r="AF5793" s="1"/>
      <c r="AG5793" s="1"/>
    </row>
    <row r="5794" ht="15.75" customHeight="1">
      <c r="A5794" s="1"/>
      <c r="B5794" s="1"/>
      <c r="C5794" s="1"/>
      <c r="D5794" s="1"/>
      <c r="E5794" s="1"/>
      <c r="F5794" s="1"/>
      <c r="G5794" s="1"/>
      <c r="H5794" s="1"/>
      <c r="I5794" s="1"/>
      <c r="J5794" s="1"/>
      <c r="K5794" s="102" t="s">
        <v>9087</v>
      </c>
      <c r="L5794" s="102" t="str">
        <f>B698</f>
        <v>J2</v>
      </c>
      <c r="M5794" s="102" t="s">
        <v>9086</v>
      </c>
      <c r="N5794" s="102" t="s">
        <v>9088</v>
      </c>
      <c r="O5794" s="105">
        <v>1.8978214E7</v>
      </c>
      <c r="P5794" s="105">
        <v>1.6866334E7</v>
      </c>
      <c r="Q5794" s="102" t="s">
        <v>2514</v>
      </c>
      <c r="S5794" s="1"/>
      <c r="T5794" s="1"/>
      <c r="U5794" s="1"/>
      <c r="V5794" s="1"/>
      <c r="W5794" s="1"/>
      <c r="X5794" s="1"/>
      <c r="Y5794" s="1"/>
      <c r="AA5794" s="102"/>
      <c r="AB5794" s="1"/>
      <c r="AC5794" s="1"/>
      <c r="AD5794" s="1"/>
      <c r="AE5794" s="1"/>
      <c r="AF5794" s="1"/>
      <c r="AG5794" s="1"/>
    </row>
    <row r="5795" ht="15.75" customHeight="1">
      <c r="A5795" s="1"/>
      <c r="B5795" s="1"/>
      <c r="C5795" s="1"/>
      <c r="D5795" s="1"/>
      <c r="E5795" s="1"/>
      <c r="F5795" s="1"/>
      <c r="G5795" s="1"/>
      <c r="H5795" s="1"/>
      <c r="I5795" s="1"/>
      <c r="J5795" s="1"/>
      <c r="K5795" s="102" t="s">
        <v>9089</v>
      </c>
      <c r="L5795" s="102" t="str">
        <f>B698</f>
        <v>J2</v>
      </c>
      <c r="M5795" s="102" t="s">
        <v>9090</v>
      </c>
      <c r="N5795" s="102" t="s">
        <v>9091</v>
      </c>
      <c r="O5795" s="105">
        <v>1.9181063E7</v>
      </c>
      <c r="P5795" s="105">
        <v>1.7069183E7</v>
      </c>
      <c r="Q5795" s="102" t="s">
        <v>2454</v>
      </c>
      <c r="S5795" s="1"/>
      <c r="T5795" s="1"/>
      <c r="U5795" s="1"/>
      <c r="V5795" s="1"/>
      <c r="W5795" s="1"/>
      <c r="X5795" s="1"/>
      <c r="Y5795" s="1"/>
      <c r="AA5795" s="102"/>
      <c r="AB5795" s="1"/>
      <c r="AC5795" s="1"/>
      <c r="AD5795" s="1"/>
      <c r="AE5795" s="1"/>
      <c r="AF5795" s="1"/>
      <c r="AG5795" s="1"/>
    </row>
    <row r="5796" ht="15.75" customHeight="1">
      <c r="A5796" s="1"/>
      <c r="B5796" s="1"/>
      <c r="C5796" s="1"/>
      <c r="D5796" s="1"/>
      <c r="E5796" s="1"/>
      <c r="F5796" s="1"/>
      <c r="G5796" s="1"/>
      <c r="H5796" s="1"/>
      <c r="I5796" s="1"/>
      <c r="J5796" s="1"/>
      <c r="K5796" s="102" t="s">
        <v>9090</v>
      </c>
      <c r="L5796" s="102" t="str">
        <f>B698</f>
        <v>J2</v>
      </c>
      <c r="M5796" s="102" t="s">
        <v>9089</v>
      </c>
      <c r="N5796" s="102" t="s">
        <v>9091</v>
      </c>
      <c r="O5796" s="105">
        <v>1.9181063E7</v>
      </c>
      <c r="P5796" s="105">
        <v>1.7069183E7</v>
      </c>
      <c r="Q5796" s="102" t="s">
        <v>2454</v>
      </c>
      <c r="S5796" s="1"/>
      <c r="T5796" s="1"/>
      <c r="U5796" s="1"/>
      <c r="V5796" s="1"/>
      <c r="W5796" s="1"/>
      <c r="X5796" s="1"/>
      <c r="Y5796" s="1"/>
      <c r="AA5796" s="102"/>
      <c r="AB5796" s="1"/>
      <c r="AC5796" s="1"/>
      <c r="AD5796" s="1"/>
      <c r="AE5796" s="1"/>
      <c r="AF5796" s="1"/>
      <c r="AG5796" s="1"/>
    </row>
    <row r="5797" ht="15.75" customHeight="1">
      <c r="A5797" s="1"/>
      <c r="B5797" s="1"/>
      <c r="C5797" s="1"/>
      <c r="D5797" s="1"/>
      <c r="E5797" s="1"/>
      <c r="F5797" s="1"/>
      <c r="G5797" s="1"/>
      <c r="H5797" s="1"/>
      <c r="I5797" s="1"/>
      <c r="J5797" s="1"/>
      <c r="K5797" s="102" t="s">
        <v>9092</v>
      </c>
      <c r="L5797" s="102" t="str">
        <f>B698</f>
        <v>J2</v>
      </c>
      <c r="M5797" s="102" t="s">
        <v>9093</v>
      </c>
      <c r="N5797" s="102" t="s">
        <v>9094</v>
      </c>
      <c r="O5797" s="105">
        <v>1.3684562E7</v>
      </c>
      <c r="P5797" s="105">
        <v>1.1528886E7</v>
      </c>
      <c r="Q5797" s="102" t="s">
        <v>2501</v>
      </c>
      <c r="S5797" s="1"/>
      <c r="T5797" s="1"/>
      <c r="U5797" s="1"/>
      <c r="V5797" s="1"/>
      <c r="W5797" s="1"/>
      <c r="X5797" s="1"/>
      <c r="Y5797" s="1"/>
      <c r="AA5797" s="102"/>
      <c r="AB5797" s="1"/>
      <c r="AC5797" s="1"/>
      <c r="AD5797" s="1"/>
      <c r="AE5797" s="1"/>
      <c r="AF5797" s="1"/>
      <c r="AG5797" s="1"/>
    </row>
    <row r="5798" ht="15.75" customHeight="1">
      <c r="A5798" s="1"/>
      <c r="B5798" s="1"/>
      <c r="C5798" s="1"/>
      <c r="D5798" s="1"/>
      <c r="E5798" s="1"/>
      <c r="F5798" s="1"/>
      <c r="G5798" s="1"/>
      <c r="H5798" s="1"/>
      <c r="I5798" s="1"/>
      <c r="J5798" s="1"/>
      <c r="K5798" s="102" t="s">
        <v>9093</v>
      </c>
      <c r="L5798" s="102" t="str">
        <f>B698</f>
        <v>J2</v>
      </c>
      <c r="M5798" s="102" t="s">
        <v>9092</v>
      </c>
      <c r="N5798" s="102" t="s">
        <v>9094</v>
      </c>
      <c r="O5798" s="105">
        <v>1.3684562E7</v>
      </c>
      <c r="P5798" s="105">
        <v>1.1528886E7</v>
      </c>
      <c r="Q5798" s="102" t="s">
        <v>2501</v>
      </c>
      <c r="S5798" s="1"/>
      <c r="T5798" s="1"/>
      <c r="U5798" s="1"/>
      <c r="V5798" s="1"/>
      <c r="W5798" s="1"/>
      <c r="X5798" s="1"/>
      <c r="Y5798" s="1"/>
      <c r="AA5798" s="102"/>
      <c r="AB5798" s="1"/>
      <c r="AC5798" s="1"/>
      <c r="AD5798" s="1"/>
      <c r="AE5798" s="1"/>
      <c r="AF5798" s="1"/>
      <c r="AG5798" s="1"/>
    </row>
    <row r="5799" ht="15.75" customHeight="1">
      <c r="A5799" s="1"/>
      <c r="B5799" s="1"/>
      <c r="C5799" s="1"/>
      <c r="D5799" s="1"/>
      <c r="E5799" s="1"/>
      <c r="F5799" s="1"/>
      <c r="G5799" s="1"/>
      <c r="H5799" s="1"/>
      <c r="I5799" s="1"/>
      <c r="J5799" s="1"/>
      <c r="K5799" s="102" t="s">
        <v>9095</v>
      </c>
      <c r="L5799" s="102" t="str">
        <f>B698</f>
        <v>J2</v>
      </c>
      <c r="M5799" s="102"/>
      <c r="N5799" s="102" t="s">
        <v>9096</v>
      </c>
      <c r="O5799" s="105">
        <v>2.2024569E7</v>
      </c>
      <c r="P5799" s="105">
        <v>1.9862683E7</v>
      </c>
      <c r="Q5799" s="102" t="s">
        <v>2439</v>
      </c>
      <c r="S5799" s="1"/>
      <c r="T5799" s="1"/>
      <c r="U5799" s="1"/>
      <c r="V5799" s="1"/>
      <c r="W5799" s="1"/>
      <c r="X5799" s="1"/>
      <c r="Y5799" s="1"/>
      <c r="AA5799" s="102"/>
      <c r="AB5799" s="1"/>
      <c r="AC5799" s="1"/>
      <c r="AD5799" s="1"/>
      <c r="AE5799" s="1"/>
      <c r="AF5799" s="1"/>
      <c r="AG5799" s="1"/>
    </row>
    <row r="5800" ht="15.75" customHeight="1">
      <c r="A5800" s="1"/>
      <c r="B5800" s="1"/>
      <c r="C5800" s="1"/>
      <c r="D5800" s="1"/>
      <c r="E5800" s="1"/>
      <c r="F5800" s="1"/>
      <c r="G5800" s="1"/>
      <c r="H5800" s="1"/>
      <c r="I5800" s="1"/>
      <c r="J5800" s="1"/>
      <c r="K5800" s="102" t="s">
        <v>9097</v>
      </c>
      <c r="L5800" s="102" t="str">
        <f>B698</f>
        <v>J2</v>
      </c>
      <c r="M5800" s="102"/>
      <c r="N5800" s="102" t="s">
        <v>9098</v>
      </c>
      <c r="O5800" s="105">
        <v>8738272.0</v>
      </c>
      <c r="P5800" s="105">
        <v>8870231.0</v>
      </c>
      <c r="Q5800" s="102" t="s">
        <v>2501</v>
      </c>
      <c r="S5800" s="1"/>
      <c r="T5800" s="1"/>
      <c r="U5800" s="1"/>
      <c r="V5800" s="1"/>
      <c r="W5800" s="1"/>
      <c r="X5800" s="1"/>
      <c r="Y5800" s="1"/>
      <c r="AA5800" s="102"/>
      <c r="AB5800" s="1"/>
      <c r="AC5800" s="1"/>
      <c r="AD5800" s="1"/>
      <c r="AE5800" s="1"/>
      <c r="AF5800" s="1"/>
      <c r="AG5800" s="1"/>
    </row>
    <row r="5801" ht="15.75" customHeight="1">
      <c r="A5801" s="1"/>
      <c r="B5801" s="1"/>
      <c r="C5801" s="1"/>
      <c r="D5801" s="1"/>
      <c r="E5801" s="1"/>
      <c r="F5801" s="1"/>
      <c r="G5801" s="1"/>
      <c r="H5801" s="1"/>
      <c r="I5801" s="1"/>
      <c r="J5801" s="1"/>
      <c r="K5801" s="102" t="s">
        <v>9099</v>
      </c>
      <c r="L5801" s="102" t="str">
        <f>B698</f>
        <v>J2</v>
      </c>
      <c r="M5801" s="102"/>
      <c r="N5801" s="102" t="s">
        <v>9100</v>
      </c>
      <c r="O5801" s="105">
        <v>1.3832032E7</v>
      </c>
      <c r="P5801" s="105">
        <v>1.1711326E7</v>
      </c>
      <c r="Q5801" s="102" t="s">
        <v>2446</v>
      </c>
      <c r="S5801" s="1"/>
      <c r="T5801" s="1"/>
      <c r="U5801" s="1"/>
      <c r="V5801" s="1"/>
      <c r="W5801" s="1"/>
      <c r="X5801" s="1"/>
      <c r="Y5801" s="1"/>
      <c r="AA5801" s="102"/>
      <c r="AB5801" s="1"/>
      <c r="AC5801" s="1"/>
      <c r="AD5801" s="1"/>
      <c r="AE5801" s="1"/>
      <c r="AF5801" s="1"/>
      <c r="AG5801" s="1"/>
    </row>
    <row r="5802" ht="15.75" customHeight="1">
      <c r="A5802" s="1"/>
      <c r="B5802" s="1"/>
      <c r="C5802" s="1"/>
      <c r="D5802" s="1"/>
      <c r="E5802" s="1"/>
      <c r="F5802" s="1"/>
      <c r="G5802" s="1"/>
      <c r="H5802" s="1"/>
      <c r="I5802" s="1"/>
      <c r="J5802" s="1"/>
      <c r="K5802" s="102" t="s">
        <v>9101</v>
      </c>
      <c r="L5802" s="102" t="str">
        <f>B698</f>
        <v>J2</v>
      </c>
      <c r="M5802" s="102"/>
      <c r="N5802" s="102" t="s">
        <v>9102</v>
      </c>
      <c r="O5802" s="105">
        <v>2.1292707E7</v>
      </c>
      <c r="P5802" s="105">
        <v>1.9130821E7</v>
      </c>
      <c r="Q5802" s="102" t="s">
        <v>2432</v>
      </c>
      <c r="S5802" s="1"/>
      <c r="T5802" s="1"/>
      <c r="U5802" s="1"/>
      <c r="V5802" s="1"/>
      <c r="W5802" s="1"/>
      <c r="X5802" s="1"/>
      <c r="Y5802" s="1"/>
      <c r="AA5802" s="102"/>
      <c r="AB5802" s="1"/>
      <c r="AC5802" s="1"/>
      <c r="AD5802" s="1"/>
      <c r="AE5802" s="1"/>
      <c r="AF5802" s="1"/>
      <c r="AG5802" s="1"/>
    </row>
    <row r="5803" ht="15.75" customHeight="1">
      <c r="A5803" s="1"/>
      <c r="B5803" s="1"/>
      <c r="C5803" s="1"/>
      <c r="D5803" s="1"/>
      <c r="E5803" s="1"/>
      <c r="F5803" s="1"/>
      <c r="G5803" s="1"/>
      <c r="H5803" s="1"/>
      <c r="I5803" s="1"/>
      <c r="J5803" s="1"/>
      <c r="K5803" s="102" t="s">
        <v>9103</v>
      </c>
      <c r="L5803" s="102" t="str">
        <f>B698</f>
        <v>J2</v>
      </c>
      <c r="M5803" s="102"/>
      <c r="N5803" s="102" t="s">
        <v>9104</v>
      </c>
      <c r="O5803" s="105">
        <v>2.1325248E7</v>
      </c>
      <c r="P5803" s="105">
        <v>1.9163362E7</v>
      </c>
      <c r="Q5803" s="102" t="s">
        <v>2454</v>
      </c>
      <c r="S5803" s="1"/>
      <c r="T5803" s="1"/>
      <c r="U5803" s="1"/>
      <c r="V5803" s="1"/>
      <c r="W5803" s="1"/>
      <c r="X5803" s="1"/>
      <c r="Y5803" s="1"/>
      <c r="AA5803" s="102"/>
      <c r="AB5803" s="1"/>
      <c r="AC5803" s="1"/>
      <c r="AD5803" s="1"/>
      <c r="AE5803" s="1"/>
      <c r="AF5803" s="1"/>
      <c r="AG5803" s="1"/>
    </row>
    <row r="5804" ht="15.75" customHeight="1">
      <c r="A5804" s="1"/>
      <c r="B5804" s="1"/>
      <c r="C5804" s="1"/>
      <c r="D5804" s="1"/>
      <c r="E5804" s="1"/>
      <c r="F5804" s="1"/>
      <c r="G5804" s="1"/>
      <c r="H5804" s="1"/>
      <c r="I5804" s="1"/>
      <c r="J5804" s="1"/>
      <c r="K5804" s="102" t="s">
        <v>9105</v>
      </c>
      <c r="L5804" s="102" t="str">
        <f>B698</f>
        <v>J2</v>
      </c>
      <c r="M5804" s="102"/>
      <c r="N5804" s="102" t="s">
        <v>9106</v>
      </c>
      <c r="O5804" s="105">
        <v>2.3475526E7</v>
      </c>
      <c r="P5804" s="105">
        <v>2.131364E7</v>
      </c>
      <c r="Q5804" s="102" t="s">
        <v>2501</v>
      </c>
      <c r="S5804" s="1"/>
      <c r="T5804" s="1"/>
      <c r="U5804" s="1"/>
      <c r="V5804" s="1"/>
      <c r="W5804" s="1"/>
      <c r="X5804" s="1"/>
      <c r="Y5804" s="1"/>
      <c r="AA5804" s="102"/>
      <c r="AB5804" s="1"/>
      <c r="AC5804" s="1"/>
      <c r="AD5804" s="1"/>
      <c r="AE5804" s="1"/>
      <c r="AF5804" s="1"/>
      <c r="AG5804" s="1"/>
    </row>
    <row r="5805" ht="15.75" customHeight="1">
      <c r="A5805" s="1"/>
      <c r="B5805" s="1"/>
      <c r="C5805" s="1"/>
      <c r="D5805" s="1"/>
      <c r="E5805" s="1"/>
      <c r="F5805" s="1"/>
      <c r="G5805" s="1"/>
      <c r="H5805" s="1"/>
      <c r="I5805" s="1"/>
      <c r="J5805" s="1"/>
      <c r="K5805" s="102" t="s">
        <v>9107</v>
      </c>
      <c r="L5805" s="102" t="str">
        <f>C699</f>
        <v>J2a</v>
      </c>
      <c r="M5805" s="102" t="s">
        <v>9108</v>
      </c>
      <c r="N5805" s="102" t="s">
        <v>9109</v>
      </c>
      <c r="O5805" s="105">
        <v>2751678.0</v>
      </c>
      <c r="P5805" s="105">
        <v>2883637.0</v>
      </c>
      <c r="Q5805" s="102" t="s">
        <v>2468</v>
      </c>
      <c r="S5805" s="1"/>
      <c r="T5805" s="1"/>
      <c r="U5805" s="1"/>
      <c r="V5805" s="1"/>
      <c r="W5805" s="1"/>
      <c r="X5805" s="1"/>
      <c r="Y5805" s="1"/>
      <c r="AA5805" s="102"/>
      <c r="AB5805" s="1"/>
      <c r="AC5805" s="1"/>
      <c r="AD5805" s="1"/>
      <c r="AE5805" s="1"/>
      <c r="AF5805" s="1"/>
      <c r="AG5805" s="1"/>
    </row>
    <row r="5806" ht="15.75" customHeight="1">
      <c r="A5806" s="1"/>
      <c r="B5806" s="1"/>
      <c r="C5806" s="1"/>
      <c r="D5806" s="1"/>
      <c r="E5806" s="1"/>
      <c r="F5806" s="1"/>
      <c r="G5806" s="1"/>
      <c r="H5806" s="1"/>
      <c r="I5806" s="1"/>
      <c r="J5806" s="1"/>
      <c r="K5806" s="102" t="s">
        <v>9108</v>
      </c>
      <c r="L5806" s="102" t="str">
        <f>C699</f>
        <v>J2a</v>
      </c>
      <c r="M5806" s="102" t="s">
        <v>9107</v>
      </c>
      <c r="N5806" s="102" t="s">
        <v>9109</v>
      </c>
      <c r="O5806" s="105">
        <v>2751678.0</v>
      </c>
      <c r="P5806" s="105">
        <v>2883637.0</v>
      </c>
      <c r="Q5806" s="102" t="s">
        <v>2468</v>
      </c>
      <c r="S5806" s="1"/>
      <c r="T5806" s="1"/>
      <c r="U5806" s="1"/>
      <c r="V5806" s="1"/>
      <c r="W5806" s="1"/>
      <c r="X5806" s="1"/>
      <c r="Y5806" s="1"/>
      <c r="AA5806" s="102"/>
      <c r="AB5806" s="1"/>
      <c r="AC5806" s="1"/>
      <c r="AD5806" s="1"/>
      <c r="AE5806" s="1"/>
      <c r="AF5806" s="1"/>
      <c r="AG5806" s="1"/>
    </row>
    <row r="5807" ht="15.75" customHeight="1">
      <c r="A5807" s="1"/>
      <c r="B5807" s="1"/>
      <c r="C5807" s="1"/>
      <c r="D5807" s="1"/>
      <c r="E5807" s="1"/>
      <c r="F5807" s="1"/>
      <c r="G5807" s="1"/>
      <c r="H5807" s="1"/>
      <c r="I5807" s="1"/>
      <c r="J5807" s="1"/>
      <c r="K5807" s="102" t="s">
        <v>9110</v>
      </c>
      <c r="L5807" s="102" t="str">
        <f>C699</f>
        <v>J2a</v>
      </c>
      <c r="M5807" s="102" t="s">
        <v>9111</v>
      </c>
      <c r="N5807" s="102" t="s">
        <v>9112</v>
      </c>
      <c r="O5807" s="105">
        <v>1.877249E7</v>
      </c>
      <c r="P5807" s="105">
        <v>1.666061E7</v>
      </c>
      <c r="Q5807" s="102" t="s">
        <v>2501</v>
      </c>
      <c r="S5807" s="1"/>
      <c r="T5807" s="1"/>
      <c r="U5807" s="1"/>
      <c r="V5807" s="1"/>
      <c r="W5807" s="1"/>
      <c r="X5807" s="1"/>
      <c r="Y5807" s="1"/>
      <c r="AA5807" s="102"/>
      <c r="AB5807" s="1"/>
      <c r="AC5807" s="1"/>
      <c r="AD5807" s="1"/>
      <c r="AE5807" s="1"/>
      <c r="AF5807" s="1"/>
      <c r="AG5807" s="1"/>
    </row>
    <row r="5808" ht="15.75" customHeight="1">
      <c r="A5808" s="1"/>
      <c r="B5808" s="1"/>
      <c r="C5808" s="1"/>
      <c r="D5808" s="1"/>
      <c r="E5808" s="1"/>
      <c r="F5808" s="1"/>
      <c r="G5808" s="1"/>
      <c r="H5808" s="1"/>
      <c r="I5808" s="1"/>
      <c r="J5808" s="1"/>
      <c r="K5808" s="102" t="s">
        <v>9113</v>
      </c>
      <c r="L5808" s="102" t="str">
        <f>C699</f>
        <v>J2a</v>
      </c>
      <c r="M5808" s="102" t="s">
        <v>9114</v>
      </c>
      <c r="N5808" s="102" t="s">
        <v>9112</v>
      </c>
      <c r="O5808" s="105">
        <v>1.877249E7</v>
      </c>
      <c r="P5808" s="105">
        <v>1.666061E7</v>
      </c>
      <c r="Q5808" s="102" t="s">
        <v>2501</v>
      </c>
      <c r="S5808" s="1"/>
      <c r="T5808" s="1"/>
      <c r="U5808" s="1"/>
      <c r="V5808" s="1"/>
      <c r="W5808" s="1"/>
      <c r="X5808" s="1"/>
      <c r="Y5808" s="1"/>
      <c r="AA5808" s="102"/>
      <c r="AB5808" s="1"/>
      <c r="AC5808" s="1"/>
      <c r="AD5808" s="1"/>
      <c r="AE5808" s="1"/>
      <c r="AF5808" s="1"/>
      <c r="AG5808" s="1"/>
    </row>
    <row r="5809" ht="15.75" customHeight="1">
      <c r="A5809" s="1"/>
      <c r="B5809" s="1"/>
      <c r="C5809" s="1"/>
      <c r="D5809" s="1"/>
      <c r="E5809" s="1"/>
      <c r="F5809" s="1"/>
      <c r="G5809" s="1"/>
      <c r="H5809" s="1"/>
      <c r="I5809" s="1"/>
      <c r="J5809" s="1"/>
      <c r="K5809" s="102" t="s">
        <v>9115</v>
      </c>
      <c r="L5809" s="102" t="str">
        <f>C699</f>
        <v>J2a</v>
      </c>
      <c r="M5809" s="102" t="s">
        <v>9116</v>
      </c>
      <c r="N5809" s="102" t="s">
        <v>9112</v>
      </c>
      <c r="O5809" s="105">
        <v>1.877249E7</v>
      </c>
      <c r="P5809" s="105">
        <v>1.666061E7</v>
      </c>
      <c r="Q5809" s="102" t="s">
        <v>2501</v>
      </c>
      <c r="S5809" s="1"/>
      <c r="T5809" s="1"/>
      <c r="U5809" s="1"/>
      <c r="V5809" s="1"/>
      <c r="W5809" s="1"/>
      <c r="X5809" s="1"/>
      <c r="Y5809" s="1"/>
      <c r="AA5809" s="102"/>
      <c r="AB5809" s="1"/>
      <c r="AC5809" s="1"/>
      <c r="AD5809" s="1"/>
      <c r="AE5809" s="1"/>
      <c r="AF5809" s="1"/>
      <c r="AG5809" s="1"/>
    </row>
    <row r="5810" ht="15.75" customHeight="1">
      <c r="A5810" s="1"/>
      <c r="B5810" s="1"/>
      <c r="C5810" s="1"/>
      <c r="D5810" s="1"/>
      <c r="E5810" s="1"/>
      <c r="F5810" s="1"/>
      <c r="G5810" s="1"/>
      <c r="H5810" s="1"/>
      <c r="I5810" s="1"/>
      <c r="J5810" s="1"/>
      <c r="K5810" s="102" t="s">
        <v>9117</v>
      </c>
      <c r="L5810" s="102" t="str">
        <f>C699</f>
        <v>J2a</v>
      </c>
      <c r="M5810" s="102" t="s">
        <v>9118</v>
      </c>
      <c r="N5810" s="102" t="s">
        <v>9119</v>
      </c>
      <c r="O5810" s="105">
        <v>2736889.0</v>
      </c>
      <c r="P5810" s="105">
        <v>2868848.0</v>
      </c>
      <c r="Q5810" s="102" t="s">
        <v>2529</v>
      </c>
      <c r="S5810" s="1"/>
      <c r="T5810" s="1"/>
      <c r="U5810" s="1"/>
      <c r="V5810" s="1"/>
      <c r="W5810" s="1"/>
      <c r="X5810" s="1"/>
      <c r="Y5810" s="1"/>
      <c r="AA5810" s="102"/>
      <c r="AB5810" s="1"/>
      <c r="AC5810" s="1"/>
      <c r="AD5810" s="1"/>
      <c r="AE5810" s="1"/>
      <c r="AF5810" s="1"/>
      <c r="AG5810" s="1"/>
    </row>
    <row r="5811" ht="15.75" customHeight="1">
      <c r="A5811" s="1"/>
      <c r="B5811" s="1"/>
      <c r="C5811" s="1"/>
      <c r="D5811" s="1"/>
      <c r="E5811" s="1"/>
      <c r="F5811" s="1"/>
      <c r="G5811" s="1"/>
      <c r="H5811" s="1"/>
      <c r="I5811" s="1"/>
      <c r="J5811" s="1"/>
      <c r="K5811" s="102" t="s">
        <v>9118</v>
      </c>
      <c r="L5811" s="102" t="str">
        <f>C699</f>
        <v>J2a</v>
      </c>
      <c r="M5811" s="102" t="s">
        <v>9117</v>
      </c>
      <c r="N5811" s="102" t="s">
        <v>9119</v>
      </c>
      <c r="O5811" s="105">
        <v>2736889.0</v>
      </c>
      <c r="P5811" s="105">
        <v>2868848.0</v>
      </c>
      <c r="Q5811" s="102" t="s">
        <v>2529</v>
      </c>
      <c r="S5811" s="1"/>
      <c r="T5811" s="1"/>
      <c r="U5811" s="1"/>
      <c r="V5811" s="1"/>
      <c r="W5811" s="1"/>
      <c r="X5811" s="1"/>
      <c r="Y5811" s="1"/>
      <c r="AA5811" s="102"/>
      <c r="AB5811" s="1"/>
      <c r="AC5811" s="1"/>
      <c r="AD5811" s="1"/>
      <c r="AE5811" s="1"/>
      <c r="AF5811" s="1"/>
      <c r="AG5811" s="1"/>
    </row>
    <row r="5812" ht="15.75" customHeight="1">
      <c r="A5812" s="1"/>
      <c r="B5812" s="1"/>
      <c r="C5812" s="1"/>
      <c r="D5812" s="1"/>
      <c r="E5812" s="1"/>
      <c r="F5812" s="1"/>
      <c r="G5812" s="1"/>
      <c r="H5812" s="1"/>
      <c r="I5812" s="1"/>
      <c r="J5812" s="1"/>
      <c r="K5812" s="102" t="s">
        <v>9120</v>
      </c>
      <c r="L5812" s="102" t="str">
        <f>C699</f>
        <v>J2a</v>
      </c>
      <c r="M5812" s="102" t="s">
        <v>9121</v>
      </c>
      <c r="N5812" s="102" t="s">
        <v>9122</v>
      </c>
      <c r="O5812" s="105">
        <v>2745276.0</v>
      </c>
      <c r="P5812" s="105">
        <v>2877235.0</v>
      </c>
      <c r="Q5812" s="102" t="s">
        <v>2501</v>
      </c>
      <c r="S5812" s="1"/>
      <c r="T5812" s="1"/>
      <c r="U5812" s="1"/>
      <c r="V5812" s="1"/>
      <c r="W5812" s="1"/>
      <c r="X5812" s="1"/>
      <c r="Y5812" s="1"/>
      <c r="AA5812" s="102"/>
      <c r="AB5812" s="1"/>
      <c r="AC5812" s="1"/>
      <c r="AD5812" s="1"/>
      <c r="AE5812" s="1"/>
      <c r="AF5812" s="1"/>
      <c r="AG5812" s="1"/>
    </row>
    <row r="5813" ht="15.75" customHeight="1">
      <c r="A5813" s="1"/>
      <c r="B5813" s="1"/>
      <c r="C5813" s="1"/>
      <c r="D5813" s="1"/>
      <c r="E5813" s="1"/>
      <c r="F5813" s="1"/>
      <c r="G5813" s="1"/>
      <c r="H5813" s="1"/>
      <c r="I5813" s="1"/>
      <c r="J5813" s="1"/>
      <c r="K5813" s="102" t="s">
        <v>9121</v>
      </c>
      <c r="L5813" s="102" t="str">
        <f>C699</f>
        <v>J2a</v>
      </c>
      <c r="M5813" s="102" t="s">
        <v>9120</v>
      </c>
      <c r="N5813" s="102" t="s">
        <v>9122</v>
      </c>
      <c r="O5813" s="105">
        <v>2745276.0</v>
      </c>
      <c r="P5813" s="105">
        <v>2877235.0</v>
      </c>
      <c r="Q5813" s="102" t="s">
        <v>2501</v>
      </c>
      <c r="S5813" s="1"/>
      <c r="T5813" s="1"/>
      <c r="U5813" s="1"/>
      <c r="V5813" s="1"/>
      <c r="W5813" s="1"/>
      <c r="X5813" s="1"/>
      <c r="Y5813" s="1"/>
      <c r="AA5813" s="102"/>
      <c r="AB5813" s="1"/>
      <c r="AC5813" s="1"/>
      <c r="AD5813" s="1"/>
      <c r="AE5813" s="1"/>
      <c r="AF5813" s="1"/>
      <c r="AG5813" s="1"/>
    </row>
    <row r="5814" ht="15.75" customHeight="1">
      <c r="A5814" s="1"/>
      <c r="B5814" s="1"/>
      <c r="C5814" s="1"/>
      <c r="D5814" s="1"/>
      <c r="E5814" s="1"/>
      <c r="F5814" s="1"/>
      <c r="G5814" s="1"/>
      <c r="H5814" s="1"/>
      <c r="I5814" s="1"/>
      <c r="J5814" s="1"/>
      <c r="K5814" s="102" t="s">
        <v>9123</v>
      </c>
      <c r="L5814" s="102" t="str">
        <f>C699</f>
        <v>J2a</v>
      </c>
      <c r="M5814" s="102" t="s">
        <v>9124</v>
      </c>
      <c r="N5814" s="102" t="s">
        <v>9125</v>
      </c>
      <c r="O5814" s="105">
        <v>2773548.0</v>
      </c>
      <c r="P5814" s="105">
        <v>2905507.0</v>
      </c>
      <c r="Q5814" s="102" t="s">
        <v>2439</v>
      </c>
      <c r="S5814" s="1"/>
      <c r="T5814" s="1"/>
      <c r="U5814" s="1"/>
      <c r="V5814" s="1"/>
      <c r="W5814" s="1"/>
      <c r="X5814" s="1"/>
      <c r="Y5814" s="1"/>
      <c r="AA5814" s="102"/>
      <c r="AB5814" s="1"/>
      <c r="AC5814" s="1"/>
      <c r="AD5814" s="1"/>
      <c r="AE5814" s="1"/>
      <c r="AF5814" s="1"/>
      <c r="AG5814" s="1"/>
    </row>
    <row r="5815" ht="15.75" customHeight="1">
      <c r="A5815" s="1"/>
      <c r="B5815" s="1"/>
      <c r="C5815" s="1"/>
      <c r="D5815" s="1"/>
      <c r="E5815" s="1"/>
      <c r="F5815" s="1"/>
      <c r="G5815" s="1"/>
      <c r="H5815" s="1"/>
      <c r="I5815" s="1"/>
      <c r="J5815" s="1"/>
      <c r="K5815" s="102" t="s">
        <v>9126</v>
      </c>
      <c r="L5815" s="102" t="str">
        <f>C699</f>
        <v>J2a</v>
      </c>
      <c r="M5815" s="102" t="s">
        <v>9127</v>
      </c>
      <c r="N5815" s="102" t="s">
        <v>9125</v>
      </c>
      <c r="O5815" s="105">
        <v>2773548.0</v>
      </c>
      <c r="P5815" s="105">
        <v>2905507.0</v>
      </c>
      <c r="Q5815" s="102" t="s">
        <v>2439</v>
      </c>
      <c r="S5815" s="1"/>
      <c r="T5815" s="1"/>
      <c r="U5815" s="1"/>
      <c r="V5815" s="1"/>
      <c r="W5815" s="1"/>
      <c r="X5815" s="1"/>
      <c r="Y5815" s="1"/>
      <c r="AA5815" s="102"/>
      <c r="AB5815" s="1"/>
      <c r="AC5815" s="1"/>
      <c r="AD5815" s="1"/>
      <c r="AE5815" s="1"/>
      <c r="AF5815" s="1"/>
      <c r="AG5815" s="1"/>
    </row>
    <row r="5816" ht="15.75" customHeight="1">
      <c r="A5816" s="1"/>
      <c r="B5816" s="1"/>
      <c r="C5816" s="1"/>
      <c r="D5816" s="1"/>
      <c r="E5816" s="1"/>
      <c r="F5816" s="1"/>
      <c r="G5816" s="1"/>
      <c r="H5816" s="1"/>
      <c r="I5816" s="1"/>
      <c r="J5816" s="1"/>
      <c r="K5816" s="102" t="s">
        <v>9128</v>
      </c>
      <c r="L5816" s="102" t="str">
        <f>C699</f>
        <v>J2a</v>
      </c>
      <c r="M5816" s="102" t="s">
        <v>9129</v>
      </c>
      <c r="N5816" s="102" t="s">
        <v>9125</v>
      </c>
      <c r="O5816" s="105">
        <v>2773548.0</v>
      </c>
      <c r="P5816" s="105">
        <v>2905507.0</v>
      </c>
      <c r="Q5816" s="102" t="s">
        <v>2439</v>
      </c>
      <c r="S5816" s="1"/>
      <c r="T5816" s="1"/>
      <c r="U5816" s="1"/>
      <c r="V5816" s="1"/>
      <c r="W5816" s="1"/>
      <c r="X5816" s="1"/>
      <c r="Y5816" s="1"/>
      <c r="AA5816" s="102"/>
      <c r="AB5816" s="1"/>
      <c r="AC5816" s="1"/>
      <c r="AD5816" s="1"/>
      <c r="AE5816" s="1"/>
      <c r="AF5816" s="1"/>
      <c r="AG5816" s="1"/>
    </row>
    <row r="5817" ht="15.75" customHeight="1">
      <c r="A5817" s="1"/>
      <c r="B5817" s="1"/>
      <c r="C5817" s="1"/>
      <c r="D5817" s="1"/>
      <c r="E5817" s="1"/>
      <c r="F5817" s="1"/>
      <c r="G5817" s="1"/>
      <c r="H5817" s="1"/>
      <c r="I5817" s="1"/>
      <c r="J5817" s="1"/>
      <c r="K5817" s="102" t="s">
        <v>9130</v>
      </c>
      <c r="L5817" s="102" t="str">
        <f>C699</f>
        <v>J2a</v>
      </c>
      <c r="M5817" s="102"/>
      <c r="N5817" s="102" t="s">
        <v>9131</v>
      </c>
      <c r="O5817" s="105">
        <v>6864895.0</v>
      </c>
      <c r="P5817" s="105">
        <v>6996854.0</v>
      </c>
      <c r="Q5817" s="102" t="s">
        <v>2576</v>
      </c>
      <c r="S5817" s="1"/>
      <c r="T5817" s="1"/>
      <c r="U5817" s="1"/>
      <c r="V5817" s="1"/>
      <c r="W5817" s="1"/>
      <c r="X5817" s="1"/>
      <c r="Y5817" s="1"/>
      <c r="AA5817" s="102"/>
      <c r="AB5817" s="1"/>
      <c r="AC5817" s="1"/>
      <c r="AD5817" s="1"/>
      <c r="AE5817" s="1"/>
      <c r="AF5817" s="1"/>
      <c r="AG5817" s="1"/>
    </row>
    <row r="5818" ht="15.75" customHeight="1">
      <c r="A5818" s="1"/>
      <c r="B5818" s="1"/>
      <c r="C5818" s="1"/>
      <c r="D5818" s="1"/>
      <c r="E5818" s="1"/>
      <c r="F5818" s="1"/>
      <c r="G5818" s="1"/>
      <c r="H5818" s="1"/>
      <c r="I5818" s="1"/>
      <c r="J5818" s="1"/>
      <c r="K5818" s="102" t="s">
        <v>9132</v>
      </c>
      <c r="L5818" s="102" t="str">
        <f>C699</f>
        <v>J2a</v>
      </c>
      <c r="M5818" s="102" t="s">
        <v>9133</v>
      </c>
      <c r="N5818" s="102" t="s">
        <v>9134</v>
      </c>
      <c r="O5818" s="105">
        <v>7158459.0</v>
      </c>
      <c r="P5818" s="105">
        <v>7290418.0</v>
      </c>
      <c r="Q5818" s="102" t="s">
        <v>2468</v>
      </c>
      <c r="S5818" s="1"/>
      <c r="T5818" s="1"/>
      <c r="U5818" s="1"/>
      <c r="V5818" s="1"/>
      <c r="W5818" s="1"/>
      <c r="X5818" s="1"/>
      <c r="Y5818" s="1"/>
      <c r="AA5818" s="102"/>
      <c r="AB5818" s="1"/>
      <c r="AC5818" s="1"/>
      <c r="AD5818" s="1"/>
      <c r="AE5818" s="1"/>
      <c r="AF5818" s="1"/>
      <c r="AG5818" s="1"/>
    </row>
    <row r="5819" ht="15.75" customHeight="1">
      <c r="A5819" s="1"/>
      <c r="B5819" s="1"/>
      <c r="C5819" s="1"/>
      <c r="D5819" s="1"/>
      <c r="E5819" s="1"/>
      <c r="F5819" s="1"/>
      <c r="G5819" s="1"/>
      <c r="H5819" s="1"/>
      <c r="I5819" s="1"/>
      <c r="J5819" s="1"/>
      <c r="K5819" s="102" t="s">
        <v>9133</v>
      </c>
      <c r="L5819" s="102" t="str">
        <f>C699</f>
        <v>J2a</v>
      </c>
      <c r="M5819" s="102" t="s">
        <v>9132</v>
      </c>
      <c r="N5819" s="102" t="s">
        <v>9134</v>
      </c>
      <c r="O5819" s="105">
        <v>7158459.0</v>
      </c>
      <c r="P5819" s="105">
        <v>7290418.0</v>
      </c>
      <c r="Q5819" s="102" t="s">
        <v>2468</v>
      </c>
      <c r="S5819" s="1"/>
      <c r="T5819" s="1"/>
      <c r="U5819" s="1"/>
      <c r="V5819" s="1"/>
      <c r="W5819" s="1"/>
      <c r="X5819" s="1"/>
      <c r="Y5819" s="1"/>
      <c r="AA5819" s="102"/>
      <c r="AB5819" s="1"/>
      <c r="AC5819" s="1"/>
      <c r="AD5819" s="1"/>
      <c r="AE5819" s="1"/>
      <c r="AF5819" s="1"/>
      <c r="AG5819" s="1"/>
    </row>
    <row r="5820" ht="15.75" customHeight="1">
      <c r="A5820" s="1"/>
      <c r="B5820" s="1"/>
      <c r="C5820" s="1"/>
      <c r="D5820" s="1"/>
      <c r="E5820" s="1"/>
      <c r="F5820" s="1"/>
      <c r="G5820" s="1"/>
      <c r="H5820" s="1"/>
      <c r="I5820" s="1"/>
      <c r="J5820" s="1"/>
      <c r="K5820" s="102" t="s">
        <v>9135</v>
      </c>
      <c r="L5820" s="102" t="str">
        <f>C699</f>
        <v>J2a</v>
      </c>
      <c r="M5820" s="102" t="s">
        <v>9136</v>
      </c>
      <c r="N5820" s="102" t="s">
        <v>9137</v>
      </c>
      <c r="O5820" s="105">
        <v>7190024.0</v>
      </c>
      <c r="P5820" s="105">
        <v>7321983.0</v>
      </c>
      <c r="Q5820" s="102" t="s">
        <v>2468</v>
      </c>
      <c r="S5820" s="1"/>
      <c r="T5820" s="1"/>
      <c r="U5820" s="1"/>
      <c r="V5820" s="1"/>
      <c r="W5820" s="1"/>
      <c r="X5820" s="1"/>
      <c r="Y5820" s="1"/>
      <c r="AA5820" s="102"/>
      <c r="AB5820" s="1"/>
      <c r="AC5820" s="1"/>
      <c r="AD5820" s="1"/>
      <c r="AE5820" s="1"/>
      <c r="AF5820" s="1"/>
      <c r="AG5820" s="1"/>
    </row>
    <row r="5821" ht="15.75" customHeight="1">
      <c r="A5821" s="1"/>
      <c r="B5821" s="1"/>
      <c r="C5821" s="1"/>
      <c r="D5821" s="1"/>
      <c r="E5821" s="1"/>
      <c r="F5821" s="1"/>
      <c r="G5821" s="1"/>
      <c r="H5821" s="1"/>
      <c r="I5821" s="1"/>
      <c r="J5821" s="1"/>
      <c r="K5821" s="102" t="s">
        <v>9136</v>
      </c>
      <c r="L5821" s="102" t="str">
        <f>C699</f>
        <v>J2a</v>
      </c>
      <c r="M5821" s="102" t="s">
        <v>9135</v>
      </c>
      <c r="N5821" s="102" t="s">
        <v>9137</v>
      </c>
      <c r="O5821" s="105">
        <v>7190024.0</v>
      </c>
      <c r="P5821" s="105">
        <v>7321983.0</v>
      </c>
      <c r="Q5821" s="102" t="s">
        <v>2468</v>
      </c>
      <c r="S5821" s="1"/>
      <c r="T5821" s="1"/>
      <c r="U5821" s="1"/>
      <c r="V5821" s="1"/>
      <c r="W5821" s="1"/>
      <c r="X5821" s="1"/>
      <c r="Y5821" s="1"/>
      <c r="AA5821" s="102"/>
      <c r="AB5821" s="1"/>
      <c r="AC5821" s="1"/>
      <c r="AD5821" s="1"/>
      <c r="AE5821" s="1"/>
      <c r="AF5821" s="1"/>
      <c r="AG5821" s="1"/>
    </row>
    <row r="5822" ht="15.75" customHeight="1">
      <c r="A5822" s="1"/>
      <c r="B5822" s="1"/>
      <c r="C5822" s="1"/>
      <c r="D5822" s="1"/>
      <c r="E5822" s="1"/>
      <c r="F5822" s="1"/>
      <c r="G5822" s="1"/>
      <c r="H5822" s="1"/>
      <c r="I5822" s="1"/>
      <c r="J5822" s="1"/>
      <c r="K5822" s="102" t="s">
        <v>9138</v>
      </c>
      <c r="L5822" s="102" t="str">
        <f>C699</f>
        <v>J2a</v>
      </c>
      <c r="M5822" s="102" t="s">
        <v>9139</v>
      </c>
      <c r="N5822" s="102" t="s">
        <v>9140</v>
      </c>
      <c r="O5822" s="105">
        <v>1.4352921E7</v>
      </c>
      <c r="P5822" s="105">
        <v>1.2232216E7</v>
      </c>
      <c r="Q5822" s="102" t="s">
        <v>2439</v>
      </c>
      <c r="S5822" s="1"/>
      <c r="T5822" s="1"/>
      <c r="U5822" s="1"/>
      <c r="V5822" s="1"/>
      <c r="W5822" s="1"/>
      <c r="X5822" s="1"/>
      <c r="Y5822" s="1"/>
      <c r="AA5822" s="102"/>
      <c r="AB5822" s="1"/>
      <c r="AC5822" s="1"/>
      <c r="AD5822" s="1"/>
      <c r="AE5822" s="1"/>
      <c r="AF5822" s="1"/>
      <c r="AG5822" s="1"/>
    </row>
    <row r="5823" ht="15.75" customHeight="1">
      <c r="A5823" s="1"/>
      <c r="B5823" s="1"/>
      <c r="C5823" s="1"/>
      <c r="D5823" s="1"/>
      <c r="E5823" s="1"/>
      <c r="F5823" s="1"/>
      <c r="G5823" s="1"/>
      <c r="H5823" s="1"/>
      <c r="I5823" s="1"/>
      <c r="J5823" s="1"/>
      <c r="K5823" s="102" t="s">
        <v>9139</v>
      </c>
      <c r="L5823" s="102" t="str">
        <f>C699</f>
        <v>J2a</v>
      </c>
      <c r="M5823" s="102" t="s">
        <v>9138</v>
      </c>
      <c r="N5823" s="102" t="s">
        <v>9140</v>
      </c>
      <c r="O5823" s="105">
        <v>1.4352921E7</v>
      </c>
      <c r="P5823" s="105">
        <v>1.2232216E7</v>
      </c>
      <c r="Q5823" s="102" t="s">
        <v>2439</v>
      </c>
      <c r="S5823" s="1"/>
      <c r="T5823" s="1"/>
      <c r="U5823" s="1"/>
      <c r="V5823" s="1"/>
      <c r="W5823" s="1"/>
      <c r="X5823" s="1"/>
      <c r="Y5823" s="1"/>
      <c r="AA5823" s="102"/>
      <c r="AB5823" s="1"/>
      <c r="AC5823" s="1"/>
      <c r="AD5823" s="1"/>
      <c r="AE5823" s="1"/>
      <c r="AF5823" s="1"/>
      <c r="AG5823" s="1"/>
    </row>
    <row r="5824" ht="15.75" customHeight="1">
      <c r="A5824" s="1"/>
      <c r="B5824" s="1"/>
      <c r="C5824" s="1"/>
      <c r="D5824" s="1"/>
      <c r="E5824" s="1"/>
      <c r="F5824" s="1"/>
      <c r="G5824" s="1"/>
      <c r="H5824" s="1"/>
      <c r="I5824" s="1"/>
      <c r="J5824" s="1"/>
      <c r="K5824" s="102" t="s">
        <v>9141</v>
      </c>
      <c r="L5824" s="102" t="str">
        <f>C699</f>
        <v>J2a</v>
      </c>
      <c r="M5824" s="102"/>
      <c r="N5824" s="102" t="s">
        <v>9142</v>
      </c>
      <c r="O5824" s="105">
        <v>1.4392807E7</v>
      </c>
      <c r="P5824" s="105">
        <v>1.2272103E7</v>
      </c>
      <c r="Q5824" s="102" t="s">
        <v>2529</v>
      </c>
      <c r="S5824" s="1"/>
      <c r="T5824" s="1"/>
      <c r="U5824" s="1"/>
      <c r="V5824" s="1"/>
      <c r="W5824" s="1"/>
      <c r="X5824" s="1"/>
      <c r="Y5824" s="1"/>
      <c r="AA5824" s="102"/>
      <c r="AB5824" s="1"/>
      <c r="AC5824" s="1"/>
      <c r="AD5824" s="1"/>
      <c r="AE5824" s="1"/>
      <c r="AF5824" s="1"/>
      <c r="AG5824" s="1"/>
    </row>
    <row r="5825" ht="15.75" customHeight="1">
      <c r="A5825" s="1"/>
      <c r="B5825" s="1"/>
      <c r="C5825" s="1"/>
      <c r="D5825" s="1"/>
      <c r="E5825" s="1"/>
      <c r="F5825" s="1"/>
      <c r="G5825" s="1"/>
      <c r="H5825" s="1"/>
      <c r="I5825" s="1"/>
      <c r="J5825" s="1"/>
      <c r="K5825" s="102" t="s">
        <v>9143</v>
      </c>
      <c r="L5825" s="102" t="str">
        <f>C699</f>
        <v>J2a</v>
      </c>
      <c r="M5825" s="102" t="s">
        <v>9144</v>
      </c>
      <c r="N5825" s="102" t="s">
        <v>9145</v>
      </c>
      <c r="O5825" s="105">
        <v>1.5203E7</v>
      </c>
      <c r="P5825" s="105">
        <v>1.3091086E7</v>
      </c>
      <c r="Q5825" s="102" t="s">
        <v>2514</v>
      </c>
      <c r="S5825" s="1"/>
      <c r="T5825" s="1"/>
      <c r="U5825" s="1"/>
      <c r="V5825" s="1"/>
      <c r="W5825" s="1"/>
      <c r="X5825" s="1"/>
      <c r="Y5825" s="1"/>
      <c r="AA5825" s="102"/>
      <c r="AB5825" s="1"/>
      <c r="AC5825" s="1"/>
      <c r="AD5825" s="1"/>
      <c r="AE5825" s="1"/>
      <c r="AF5825" s="1"/>
      <c r="AG5825" s="1"/>
    </row>
    <row r="5826" ht="15.75" customHeight="1">
      <c r="A5826" s="1"/>
      <c r="B5826" s="1"/>
      <c r="C5826" s="1"/>
      <c r="D5826" s="1"/>
      <c r="E5826" s="1"/>
      <c r="F5826" s="1"/>
      <c r="G5826" s="1"/>
      <c r="H5826" s="1"/>
      <c r="I5826" s="1"/>
      <c r="J5826" s="1"/>
      <c r="K5826" s="102" t="s">
        <v>9144</v>
      </c>
      <c r="L5826" s="102" t="str">
        <f>C699</f>
        <v>J2a</v>
      </c>
      <c r="M5826" s="102" t="s">
        <v>9143</v>
      </c>
      <c r="N5826" s="102" t="s">
        <v>9145</v>
      </c>
      <c r="O5826" s="105">
        <v>1.5203E7</v>
      </c>
      <c r="P5826" s="105">
        <v>1.3091086E7</v>
      </c>
      <c r="Q5826" s="102" t="s">
        <v>2514</v>
      </c>
      <c r="S5826" s="1"/>
      <c r="T5826" s="1"/>
      <c r="U5826" s="1"/>
      <c r="V5826" s="1"/>
      <c r="W5826" s="1"/>
      <c r="X5826" s="1"/>
      <c r="Y5826" s="1"/>
      <c r="AA5826" s="102"/>
      <c r="AB5826" s="1"/>
      <c r="AC5826" s="1"/>
      <c r="AD5826" s="1"/>
      <c r="AE5826" s="1"/>
      <c r="AF5826" s="1"/>
      <c r="AG5826" s="1"/>
    </row>
    <row r="5827" ht="15.75" customHeight="1">
      <c r="A5827" s="1"/>
      <c r="B5827" s="1"/>
      <c r="C5827" s="1"/>
      <c r="D5827" s="1"/>
      <c r="E5827" s="1"/>
      <c r="F5827" s="1"/>
      <c r="G5827" s="1"/>
      <c r="H5827" s="1"/>
      <c r="I5827" s="1"/>
      <c r="J5827" s="1"/>
      <c r="K5827" s="102" t="s">
        <v>9146</v>
      </c>
      <c r="L5827" s="102" t="str">
        <f>C699</f>
        <v>J2a</v>
      </c>
      <c r="M5827" s="102" t="s">
        <v>9147</v>
      </c>
      <c r="N5827" s="102" t="s">
        <v>9148</v>
      </c>
      <c r="O5827" s="105">
        <v>1.5468045E7</v>
      </c>
      <c r="P5827" s="105">
        <v>1.3356165E7</v>
      </c>
      <c r="Q5827" s="102" t="s">
        <v>2563</v>
      </c>
      <c r="S5827" s="1"/>
      <c r="T5827" s="1"/>
      <c r="U5827" s="1"/>
      <c r="V5827" s="1"/>
      <c r="W5827" s="1"/>
      <c r="X5827" s="1"/>
      <c r="Y5827" s="1"/>
      <c r="AA5827" s="102"/>
      <c r="AB5827" s="1"/>
      <c r="AC5827" s="1"/>
      <c r="AD5827" s="1"/>
      <c r="AE5827" s="1"/>
      <c r="AF5827" s="1"/>
      <c r="AG5827" s="1"/>
    </row>
    <row r="5828" ht="15.75" customHeight="1">
      <c r="A5828" s="1"/>
      <c r="B5828" s="1"/>
      <c r="C5828" s="1"/>
      <c r="D5828" s="1"/>
      <c r="E5828" s="1"/>
      <c r="F5828" s="1"/>
      <c r="G5828" s="1"/>
      <c r="H5828" s="1"/>
      <c r="I5828" s="1"/>
      <c r="J5828" s="1"/>
      <c r="K5828" s="102" t="s">
        <v>9147</v>
      </c>
      <c r="L5828" s="102" t="str">
        <f>C699</f>
        <v>J2a</v>
      </c>
      <c r="M5828" s="102" t="s">
        <v>9146</v>
      </c>
      <c r="N5828" s="102" t="s">
        <v>9148</v>
      </c>
      <c r="O5828" s="105">
        <v>1.5468045E7</v>
      </c>
      <c r="P5828" s="105">
        <v>1.3356165E7</v>
      </c>
      <c r="Q5828" s="102" t="s">
        <v>2563</v>
      </c>
      <c r="S5828" s="1"/>
      <c r="T5828" s="1"/>
      <c r="U5828" s="1"/>
      <c r="V5828" s="1"/>
      <c r="W5828" s="1"/>
      <c r="X5828" s="1"/>
      <c r="Y5828" s="1"/>
      <c r="AA5828" s="102"/>
      <c r="AB5828" s="1"/>
      <c r="AC5828" s="1"/>
      <c r="AD5828" s="1"/>
      <c r="AE5828" s="1"/>
      <c r="AF5828" s="1"/>
      <c r="AG5828" s="1"/>
    </row>
    <row r="5829" ht="15.75" customHeight="1">
      <c r="A5829" s="1"/>
      <c r="B5829" s="1"/>
      <c r="C5829" s="1"/>
      <c r="D5829" s="1"/>
      <c r="E5829" s="1"/>
      <c r="F5829" s="1"/>
      <c r="G5829" s="1"/>
      <c r="H5829" s="1"/>
      <c r="I5829" s="1"/>
      <c r="J5829" s="1"/>
      <c r="K5829" s="102" t="s">
        <v>9149</v>
      </c>
      <c r="L5829" s="102" t="str">
        <f>C699</f>
        <v>J2a</v>
      </c>
      <c r="M5829" s="102" t="s">
        <v>9150</v>
      </c>
      <c r="N5829" s="102" t="s">
        <v>9151</v>
      </c>
      <c r="O5829" s="105">
        <v>1.5610713E7</v>
      </c>
      <c r="P5829" s="105">
        <v>1.3498833E7</v>
      </c>
      <c r="Q5829" s="102" t="s">
        <v>2446</v>
      </c>
      <c r="S5829" s="1"/>
      <c r="T5829" s="1"/>
      <c r="U5829" s="1"/>
      <c r="V5829" s="1"/>
      <c r="W5829" s="1"/>
      <c r="X5829" s="1"/>
      <c r="Y5829" s="1"/>
      <c r="AA5829" s="102"/>
      <c r="AB5829" s="1"/>
      <c r="AC5829" s="1"/>
      <c r="AD5829" s="1"/>
      <c r="AE5829" s="1"/>
      <c r="AF5829" s="1"/>
      <c r="AG5829" s="1"/>
    </row>
    <row r="5830" ht="15.75" customHeight="1">
      <c r="A5830" s="1"/>
      <c r="B5830" s="1"/>
      <c r="C5830" s="1"/>
      <c r="D5830" s="1"/>
      <c r="E5830" s="1"/>
      <c r="F5830" s="1"/>
      <c r="G5830" s="1"/>
      <c r="H5830" s="1"/>
      <c r="I5830" s="1"/>
      <c r="J5830" s="1"/>
      <c r="K5830" s="102" t="s">
        <v>9150</v>
      </c>
      <c r="L5830" s="102" t="str">
        <f>C699</f>
        <v>J2a</v>
      </c>
      <c r="M5830" s="102" t="s">
        <v>9149</v>
      </c>
      <c r="N5830" s="102" t="s">
        <v>9151</v>
      </c>
      <c r="O5830" s="105">
        <v>1.5610713E7</v>
      </c>
      <c r="P5830" s="105">
        <v>1.3498833E7</v>
      </c>
      <c r="Q5830" s="102" t="s">
        <v>2446</v>
      </c>
      <c r="S5830" s="1"/>
      <c r="T5830" s="1"/>
      <c r="U5830" s="1"/>
      <c r="V5830" s="1"/>
      <c r="W5830" s="1"/>
      <c r="X5830" s="1"/>
      <c r="Y5830" s="1"/>
      <c r="AA5830" s="102"/>
      <c r="AB5830" s="1"/>
      <c r="AC5830" s="1"/>
      <c r="AD5830" s="1"/>
      <c r="AE5830" s="1"/>
      <c r="AF5830" s="1"/>
      <c r="AG5830" s="1"/>
    </row>
    <row r="5831" ht="15.75" customHeight="1">
      <c r="A5831" s="1"/>
      <c r="B5831" s="1"/>
      <c r="C5831" s="1"/>
      <c r="D5831" s="1"/>
      <c r="E5831" s="1"/>
      <c r="F5831" s="1"/>
      <c r="G5831" s="1"/>
      <c r="H5831" s="1"/>
      <c r="I5831" s="1"/>
      <c r="J5831" s="1"/>
      <c r="K5831" s="102" t="s">
        <v>9152</v>
      </c>
      <c r="L5831" s="102" t="str">
        <f>C699</f>
        <v>J2a</v>
      </c>
      <c r="M5831" s="102" t="s">
        <v>9153</v>
      </c>
      <c r="N5831" s="102" t="s">
        <v>9154</v>
      </c>
      <c r="O5831" s="105">
        <v>1.5704139E7</v>
      </c>
      <c r="P5831" s="105">
        <v>1.3592259E7</v>
      </c>
      <c r="Q5831" s="102" t="s">
        <v>2501</v>
      </c>
      <c r="S5831" s="1"/>
      <c r="T5831" s="1"/>
      <c r="U5831" s="1"/>
      <c r="V5831" s="1"/>
      <c r="W5831" s="1"/>
      <c r="X5831" s="1"/>
      <c r="Y5831" s="1"/>
      <c r="AA5831" s="102"/>
      <c r="AB5831" s="1"/>
      <c r="AC5831" s="1"/>
      <c r="AD5831" s="1"/>
      <c r="AE5831" s="1"/>
      <c r="AF5831" s="1"/>
      <c r="AG5831" s="1"/>
    </row>
    <row r="5832" ht="15.75" customHeight="1">
      <c r="A5832" s="1"/>
      <c r="B5832" s="1"/>
      <c r="C5832" s="1"/>
      <c r="D5832" s="1"/>
      <c r="E5832" s="1"/>
      <c r="F5832" s="1"/>
      <c r="G5832" s="1"/>
      <c r="H5832" s="1"/>
      <c r="I5832" s="1"/>
      <c r="J5832" s="1"/>
      <c r="K5832" s="102" t="s">
        <v>9153</v>
      </c>
      <c r="L5832" s="102" t="str">
        <f>C699</f>
        <v>J2a</v>
      </c>
      <c r="M5832" s="102" t="s">
        <v>9152</v>
      </c>
      <c r="N5832" s="102" t="s">
        <v>9154</v>
      </c>
      <c r="O5832" s="105">
        <v>1.5704139E7</v>
      </c>
      <c r="P5832" s="105">
        <v>1.3592259E7</v>
      </c>
      <c r="Q5832" s="102" t="s">
        <v>2501</v>
      </c>
      <c r="S5832" s="1"/>
      <c r="T5832" s="1"/>
      <c r="U5832" s="1"/>
      <c r="V5832" s="1"/>
      <c r="W5832" s="1"/>
      <c r="X5832" s="1"/>
      <c r="Y5832" s="1"/>
      <c r="AA5832" s="102"/>
      <c r="AB5832" s="1"/>
      <c r="AC5832" s="1"/>
      <c r="AD5832" s="1"/>
      <c r="AE5832" s="1"/>
      <c r="AF5832" s="1"/>
      <c r="AG5832" s="1"/>
    </row>
    <row r="5833" ht="15.75" customHeight="1">
      <c r="A5833" s="1"/>
      <c r="B5833" s="1"/>
      <c r="C5833" s="1"/>
      <c r="D5833" s="1"/>
      <c r="E5833" s="1"/>
      <c r="F5833" s="1"/>
      <c r="G5833" s="1"/>
      <c r="H5833" s="1"/>
      <c r="I5833" s="1"/>
      <c r="J5833" s="1"/>
      <c r="K5833" s="102" t="s">
        <v>9155</v>
      </c>
      <c r="L5833" s="102" t="str">
        <f>C699</f>
        <v>J2a</v>
      </c>
      <c r="M5833" s="102" t="s">
        <v>9156</v>
      </c>
      <c r="N5833" s="102" t="s">
        <v>9157</v>
      </c>
      <c r="O5833" s="105">
        <v>1.5775488E7</v>
      </c>
      <c r="P5833" s="105">
        <v>1.3663608E7</v>
      </c>
      <c r="Q5833" s="102" t="s">
        <v>2468</v>
      </c>
      <c r="S5833" s="1"/>
      <c r="T5833" s="1"/>
      <c r="U5833" s="1"/>
      <c r="V5833" s="1"/>
      <c r="W5833" s="1"/>
      <c r="X5833" s="1"/>
      <c r="Y5833" s="1"/>
      <c r="AA5833" s="102"/>
      <c r="AB5833" s="1"/>
      <c r="AC5833" s="1"/>
      <c r="AD5833" s="1"/>
      <c r="AE5833" s="1"/>
      <c r="AF5833" s="1"/>
      <c r="AG5833" s="1"/>
    </row>
    <row r="5834" ht="15.75" customHeight="1">
      <c r="A5834" s="1"/>
      <c r="B5834" s="1"/>
      <c r="C5834" s="1"/>
      <c r="D5834" s="1"/>
      <c r="E5834" s="1"/>
      <c r="F5834" s="1"/>
      <c r="G5834" s="1"/>
      <c r="H5834" s="1"/>
      <c r="I5834" s="1"/>
      <c r="J5834" s="1"/>
      <c r="K5834" s="102" t="s">
        <v>9156</v>
      </c>
      <c r="L5834" s="102" t="str">
        <f>C699</f>
        <v>J2a</v>
      </c>
      <c r="M5834" s="102" t="s">
        <v>9155</v>
      </c>
      <c r="N5834" s="102" t="s">
        <v>9157</v>
      </c>
      <c r="O5834" s="105">
        <v>1.5775488E7</v>
      </c>
      <c r="P5834" s="105">
        <v>1.3663608E7</v>
      </c>
      <c r="Q5834" s="102" t="s">
        <v>2468</v>
      </c>
      <c r="S5834" s="1"/>
      <c r="T5834" s="1"/>
      <c r="U5834" s="1"/>
      <c r="V5834" s="1"/>
      <c r="W5834" s="1"/>
      <c r="X5834" s="1"/>
      <c r="Y5834" s="1"/>
      <c r="AA5834" s="102"/>
      <c r="AB5834" s="1"/>
      <c r="AC5834" s="1"/>
      <c r="AD5834" s="1"/>
      <c r="AE5834" s="1"/>
      <c r="AF5834" s="1"/>
      <c r="AG5834" s="1"/>
    </row>
    <row r="5835" ht="15.75" customHeight="1">
      <c r="A5835" s="1"/>
      <c r="B5835" s="1"/>
      <c r="C5835" s="1"/>
      <c r="D5835" s="1"/>
      <c r="E5835" s="1"/>
      <c r="F5835" s="1"/>
      <c r="G5835" s="1"/>
      <c r="H5835" s="1"/>
      <c r="I5835" s="1"/>
      <c r="J5835" s="1"/>
      <c r="K5835" s="102" t="s">
        <v>9158</v>
      </c>
      <c r="L5835" s="102" t="str">
        <f>C699</f>
        <v>J2a</v>
      </c>
      <c r="M5835" s="102"/>
      <c r="N5835" s="102" t="s">
        <v>9159</v>
      </c>
      <c r="O5835" s="105">
        <v>1.5998551E7</v>
      </c>
      <c r="P5835" s="105">
        <v>1.3886671E7</v>
      </c>
      <c r="Q5835" s="102" t="s">
        <v>2423</v>
      </c>
      <c r="S5835" s="1"/>
      <c r="T5835" s="1"/>
      <c r="U5835" s="1"/>
      <c r="V5835" s="1"/>
      <c r="W5835" s="1"/>
      <c r="X5835" s="1"/>
      <c r="Y5835" s="1"/>
      <c r="AA5835" s="102"/>
      <c r="AB5835" s="1"/>
      <c r="AC5835" s="1"/>
      <c r="AD5835" s="1"/>
      <c r="AE5835" s="1"/>
      <c r="AF5835" s="1"/>
      <c r="AG5835" s="1"/>
    </row>
    <row r="5836" ht="15.75" customHeight="1">
      <c r="A5836" s="1"/>
      <c r="B5836" s="1"/>
      <c r="C5836" s="1"/>
      <c r="D5836" s="1"/>
      <c r="E5836" s="1"/>
      <c r="F5836" s="1"/>
      <c r="G5836" s="1"/>
      <c r="H5836" s="1"/>
      <c r="I5836" s="1"/>
      <c r="J5836" s="1"/>
      <c r="K5836" s="102" t="s">
        <v>9160</v>
      </c>
      <c r="L5836" s="102" t="str">
        <f>C699</f>
        <v>J2a</v>
      </c>
      <c r="M5836" s="102" t="s">
        <v>9161</v>
      </c>
      <c r="N5836" s="102" t="s">
        <v>9162</v>
      </c>
      <c r="O5836" s="105">
        <v>1.6293662E7</v>
      </c>
      <c r="P5836" s="105">
        <v>1.4181782E7</v>
      </c>
      <c r="Q5836" s="102" t="s">
        <v>2439</v>
      </c>
      <c r="S5836" s="1"/>
      <c r="T5836" s="1"/>
      <c r="U5836" s="1"/>
      <c r="V5836" s="1"/>
      <c r="W5836" s="1"/>
      <c r="X5836" s="1"/>
      <c r="Y5836" s="1"/>
      <c r="AA5836" s="102"/>
      <c r="AB5836" s="1"/>
      <c r="AC5836" s="1"/>
      <c r="AD5836" s="1"/>
      <c r="AE5836" s="1"/>
      <c r="AF5836" s="1"/>
      <c r="AG5836" s="1"/>
    </row>
    <row r="5837" ht="15.75" customHeight="1">
      <c r="A5837" s="1"/>
      <c r="B5837" s="1"/>
      <c r="C5837" s="1"/>
      <c r="D5837" s="1"/>
      <c r="E5837" s="1"/>
      <c r="F5837" s="1"/>
      <c r="G5837" s="1"/>
      <c r="H5837" s="1"/>
      <c r="I5837" s="1"/>
      <c r="J5837" s="1"/>
      <c r="K5837" s="102" t="s">
        <v>9161</v>
      </c>
      <c r="L5837" s="102" t="str">
        <f>C699</f>
        <v>J2a</v>
      </c>
      <c r="M5837" s="102" t="s">
        <v>9160</v>
      </c>
      <c r="N5837" s="102" t="s">
        <v>9162</v>
      </c>
      <c r="O5837" s="105">
        <v>1.6293662E7</v>
      </c>
      <c r="P5837" s="105">
        <v>1.4181782E7</v>
      </c>
      <c r="Q5837" s="102" t="s">
        <v>2439</v>
      </c>
      <c r="S5837" s="1"/>
      <c r="T5837" s="1"/>
      <c r="U5837" s="1"/>
      <c r="V5837" s="1"/>
      <c r="W5837" s="1"/>
      <c r="X5837" s="1"/>
      <c r="Y5837" s="1"/>
      <c r="AA5837" s="102"/>
      <c r="AB5837" s="1"/>
      <c r="AC5837" s="1"/>
      <c r="AD5837" s="1"/>
      <c r="AE5837" s="1"/>
      <c r="AF5837" s="1"/>
      <c r="AG5837" s="1"/>
    </row>
    <row r="5838" ht="15.75" customHeight="1">
      <c r="A5838" s="1"/>
      <c r="B5838" s="1"/>
      <c r="C5838" s="1"/>
      <c r="D5838" s="1"/>
      <c r="E5838" s="1"/>
      <c r="F5838" s="1"/>
      <c r="G5838" s="1"/>
      <c r="H5838" s="1"/>
      <c r="I5838" s="1"/>
      <c r="J5838" s="1"/>
      <c r="K5838" s="102" t="s">
        <v>9163</v>
      </c>
      <c r="L5838" s="102" t="str">
        <f>C699</f>
        <v>J2a</v>
      </c>
      <c r="M5838" s="102" t="s">
        <v>9164</v>
      </c>
      <c r="N5838" s="102" t="s">
        <v>9165</v>
      </c>
      <c r="O5838" s="105">
        <v>1.6310787E7</v>
      </c>
      <c r="P5838" s="105">
        <v>1.4198907E7</v>
      </c>
      <c r="Q5838" s="102" t="s">
        <v>2563</v>
      </c>
      <c r="S5838" s="1"/>
      <c r="T5838" s="1"/>
      <c r="U5838" s="1"/>
      <c r="V5838" s="1"/>
      <c r="W5838" s="1"/>
      <c r="X5838" s="1"/>
      <c r="Y5838" s="1"/>
      <c r="AA5838" s="102"/>
      <c r="AB5838" s="1"/>
      <c r="AC5838" s="1"/>
      <c r="AD5838" s="1"/>
      <c r="AE5838" s="1"/>
      <c r="AF5838" s="1"/>
      <c r="AG5838" s="1"/>
    </row>
    <row r="5839" ht="15.75" customHeight="1">
      <c r="A5839" s="1"/>
      <c r="B5839" s="1"/>
      <c r="C5839" s="1"/>
      <c r="D5839" s="1"/>
      <c r="E5839" s="1"/>
      <c r="F5839" s="1"/>
      <c r="G5839" s="1"/>
      <c r="H5839" s="1"/>
      <c r="I5839" s="1"/>
      <c r="J5839" s="1"/>
      <c r="K5839" s="102" t="s">
        <v>9164</v>
      </c>
      <c r="L5839" s="102" t="str">
        <f>C699</f>
        <v>J2a</v>
      </c>
      <c r="M5839" s="102" t="s">
        <v>9163</v>
      </c>
      <c r="N5839" s="102" t="s">
        <v>9165</v>
      </c>
      <c r="O5839" s="105">
        <v>1.6310787E7</v>
      </c>
      <c r="P5839" s="105">
        <v>1.4198907E7</v>
      </c>
      <c r="Q5839" s="102" t="s">
        <v>2563</v>
      </c>
      <c r="S5839" s="1"/>
      <c r="T5839" s="1"/>
      <c r="U5839" s="1"/>
      <c r="V5839" s="1"/>
      <c r="W5839" s="1"/>
      <c r="X5839" s="1"/>
      <c r="Y5839" s="1"/>
      <c r="AA5839" s="102"/>
      <c r="AB5839" s="1"/>
      <c r="AC5839" s="1"/>
      <c r="AD5839" s="1"/>
      <c r="AE5839" s="1"/>
      <c r="AF5839" s="1"/>
      <c r="AG5839" s="1"/>
    </row>
    <row r="5840" ht="15.75" customHeight="1">
      <c r="A5840" s="1"/>
      <c r="B5840" s="1"/>
      <c r="C5840" s="1"/>
      <c r="D5840" s="1"/>
      <c r="E5840" s="1"/>
      <c r="F5840" s="1"/>
      <c r="G5840" s="1"/>
      <c r="H5840" s="1"/>
      <c r="I5840" s="1"/>
      <c r="J5840" s="1"/>
      <c r="K5840" s="102" t="s">
        <v>9166</v>
      </c>
      <c r="L5840" s="102" t="str">
        <f>C699</f>
        <v>J2a</v>
      </c>
      <c r="M5840" s="102" t="s">
        <v>9167</v>
      </c>
      <c r="N5840" s="102" t="s">
        <v>9168</v>
      </c>
      <c r="O5840" s="105">
        <v>1.651874E7</v>
      </c>
      <c r="P5840" s="105">
        <v>1.440686E7</v>
      </c>
      <c r="Q5840" s="102" t="s">
        <v>2439</v>
      </c>
      <c r="S5840" s="1"/>
      <c r="T5840" s="1"/>
      <c r="U5840" s="1"/>
      <c r="V5840" s="1"/>
      <c r="W5840" s="1"/>
      <c r="X5840" s="1"/>
      <c r="Y5840" s="1"/>
      <c r="AA5840" s="102"/>
      <c r="AB5840" s="1"/>
      <c r="AC5840" s="1"/>
      <c r="AD5840" s="1"/>
      <c r="AE5840" s="1"/>
      <c r="AF5840" s="1"/>
      <c r="AG5840" s="1"/>
    </row>
    <row r="5841" ht="15.75" customHeight="1">
      <c r="A5841" s="1"/>
      <c r="B5841" s="1"/>
      <c r="C5841" s="1"/>
      <c r="D5841" s="1"/>
      <c r="E5841" s="1"/>
      <c r="F5841" s="1"/>
      <c r="G5841" s="1"/>
      <c r="H5841" s="1"/>
      <c r="I5841" s="1"/>
      <c r="J5841" s="1"/>
      <c r="K5841" s="102" t="s">
        <v>9167</v>
      </c>
      <c r="L5841" s="102" t="str">
        <f>C699</f>
        <v>J2a</v>
      </c>
      <c r="M5841" s="102" t="s">
        <v>9166</v>
      </c>
      <c r="N5841" s="102" t="s">
        <v>9168</v>
      </c>
      <c r="O5841" s="105">
        <v>1.651874E7</v>
      </c>
      <c r="P5841" s="105">
        <v>1.440686E7</v>
      </c>
      <c r="Q5841" s="102" t="s">
        <v>2439</v>
      </c>
      <c r="S5841" s="1"/>
      <c r="T5841" s="1"/>
      <c r="U5841" s="1"/>
      <c r="V5841" s="1"/>
      <c r="W5841" s="1"/>
      <c r="X5841" s="1"/>
      <c r="Y5841" s="1"/>
      <c r="AA5841" s="102"/>
      <c r="AB5841" s="1"/>
      <c r="AC5841" s="1"/>
      <c r="AD5841" s="1"/>
      <c r="AE5841" s="1"/>
      <c r="AF5841" s="1"/>
      <c r="AG5841" s="1"/>
    </row>
    <row r="5842" ht="15.75" customHeight="1">
      <c r="A5842" s="1"/>
      <c r="B5842" s="1"/>
      <c r="C5842" s="1"/>
      <c r="D5842" s="1"/>
      <c r="E5842" s="1"/>
      <c r="F5842" s="1"/>
      <c r="G5842" s="1"/>
      <c r="H5842" s="1"/>
      <c r="I5842" s="1"/>
      <c r="J5842" s="1"/>
      <c r="K5842" s="102" t="s">
        <v>9169</v>
      </c>
      <c r="L5842" s="102" t="str">
        <f>C699</f>
        <v>J2a</v>
      </c>
      <c r="M5842" s="102" t="s">
        <v>9170</v>
      </c>
      <c r="N5842" s="102" t="s">
        <v>9171</v>
      </c>
      <c r="O5842" s="105">
        <v>1.7042047E7</v>
      </c>
      <c r="P5842" s="105">
        <v>1.4930167E7</v>
      </c>
      <c r="Q5842" s="102" t="s">
        <v>2501</v>
      </c>
      <c r="S5842" s="1"/>
      <c r="T5842" s="1"/>
      <c r="U5842" s="1"/>
      <c r="V5842" s="1"/>
      <c r="W5842" s="1"/>
      <c r="X5842" s="1"/>
      <c r="Y5842" s="1"/>
      <c r="AA5842" s="102"/>
      <c r="AB5842" s="1"/>
      <c r="AC5842" s="1"/>
      <c r="AD5842" s="1"/>
      <c r="AE5842" s="1"/>
      <c r="AF5842" s="1"/>
      <c r="AG5842" s="1"/>
    </row>
    <row r="5843" ht="15.75" customHeight="1">
      <c r="A5843" s="1"/>
      <c r="B5843" s="1"/>
      <c r="C5843" s="1"/>
      <c r="D5843" s="1"/>
      <c r="E5843" s="1"/>
      <c r="F5843" s="1"/>
      <c r="G5843" s="1"/>
      <c r="H5843" s="1"/>
      <c r="I5843" s="1"/>
      <c r="J5843" s="1"/>
      <c r="K5843" s="102" t="s">
        <v>9170</v>
      </c>
      <c r="L5843" s="102" t="str">
        <f>C699</f>
        <v>J2a</v>
      </c>
      <c r="M5843" s="102" t="s">
        <v>9169</v>
      </c>
      <c r="N5843" s="102" t="s">
        <v>9171</v>
      </c>
      <c r="O5843" s="105">
        <v>1.7042047E7</v>
      </c>
      <c r="P5843" s="105">
        <v>1.4930167E7</v>
      </c>
      <c r="Q5843" s="102" t="s">
        <v>2501</v>
      </c>
      <c r="S5843" s="1"/>
      <c r="T5843" s="1"/>
      <c r="U5843" s="1"/>
      <c r="V5843" s="1"/>
      <c r="W5843" s="1"/>
      <c r="X5843" s="1"/>
      <c r="Y5843" s="1"/>
      <c r="AA5843" s="102"/>
      <c r="AB5843" s="1"/>
      <c r="AC5843" s="1"/>
      <c r="AD5843" s="1"/>
      <c r="AE5843" s="1"/>
      <c r="AF5843" s="1"/>
      <c r="AG5843" s="1"/>
    </row>
    <row r="5844" ht="15.75" customHeight="1">
      <c r="A5844" s="1"/>
      <c r="B5844" s="1"/>
      <c r="C5844" s="1"/>
      <c r="D5844" s="1"/>
      <c r="E5844" s="1"/>
      <c r="F5844" s="1"/>
      <c r="G5844" s="1"/>
      <c r="H5844" s="1"/>
      <c r="I5844" s="1"/>
      <c r="J5844" s="1"/>
      <c r="K5844" s="102" t="s">
        <v>9172</v>
      </c>
      <c r="L5844" s="102" t="str">
        <f>C699</f>
        <v>J2a</v>
      </c>
      <c r="M5844" s="102" t="s">
        <v>9173</v>
      </c>
      <c r="N5844" s="102" t="s">
        <v>9174</v>
      </c>
      <c r="O5844" s="105">
        <v>1.6994287E7</v>
      </c>
      <c r="P5844" s="105">
        <v>1.4882407E7</v>
      </c>
      <c r="Q5844" s="102" t="s">
        <v>2576</v>
      </c>
      <c r="S5844" s="1"/>
      <c r="T5844" s="1"/>
      <c r="U5844" s="1"/>
      <c r="V5844" s="1"/>
      <c r="W5844" s="1"/>
      <c r="X5844" s="1"/>
      <c r="Y5844" s="1"/>
      <c r="AA5844" s="102"/>
      <c r="AB5844" s="1"/>
      <c r="AC5844" s="1"/>
      <c r="AD5844" s="1"/>
      <c r="AE5844" s="1"/>
      <c r="AF5844" s="1"/>
      <c r="AG5844" s="1"/>
    </row>
    <row r="5845" ht="15.75" customHeight="1">
      <c r="A5845" s="1"/>
      <c r="B5845" s="1"/>
      <c r="C5845" s="1"/>
      <c r="D5845" s="1"/>
      <c r="E5845" s="1"/>
      <c r="F5845" s="1"/>
      <c r="G5845" s="1"/>
      <c r="H5845" s="1"/>
      <c r="I5845" s="1"/>
      <c r="J5845" s="1"/>
      <c r="K5845" s="102" t="s">
        <v>9173</v>
      </c>
      <c r="L5845" s="102" t="str">
        <f>C699</f>
        <v>J2a</v>
      </c>
      <c r="M5845" s="102" t="s">
        <v>9172</v>
      </c>
      <c r="N5845" s="102" t="s">
        <v>9174</v>
      </c>
      <c r="O5845" s="105">
        <v>1.6994287E7</v>
      </c>
      <c r="P5845" s="105">
        <v>1.4882407E7</v>
      </c>
      <c r="Q5845" s="102" t="s">
        <v>2576</v>
      </c>
      <c r="S5845" s="1"/>
      <c r="T5845" s="1"/>
      <c r="U5845" s="1"/>
      <c r="V5845" s="1"/>
      <c r="W5845" s="1"/>
      <c r="X5845" s="1"/>
      <c r="Y5845" s="1"/>
      <c r="AA5845" s="102"/>
      <c r="AB5845" s="1"/>
      <c r="AC5845" s="1"/>
      <c r="AD5845" s="1"/>
      <c r="AE5845" s="1"/>
      <c r="AF5845" s="1"/>
      <c r="AG5845" s="1"/>
    </row>
    <row r="5846" ht="15.75" customHeight="1">
      <c r="A5846" s="1"/>
      <c r="B5846" s="1"/>
      <c r="C5846" s="1"/>
      <c r="D5846" s="1"/>
      <c r="E5846" s="1"/>
      <c r="F5846" s="1"/>
      <c r="G5846" s="1"/>
      <c r="H5846" s="1"/>
      <c r="I5846" s="1"/>
      <c r="J5846" s="1"/>
      <c r="K5846" s="102" t="s">
        <v>9175</v>
      </c>
      <c r="L5846" s="102" t="str">
        <f>C699</f>
        <v>J2a</v>
      </c>
      <c r="M5846" s="102" t="s">
        <v>9176</v>
      </c>
      <c r="N5846" s="102" t="s">
        <v>9177</v>
      </c>
      <c r="O5846" s="105">
        <v>1.7905568E7</v>
      </c>
      <c r="P5846" s="105">
        <v>1.5793688E7</v>
      </c>
      <c r="Q5846" s="102" t="s">
        <v>2501</v>
      </c>
      <c r="S5846" s="1"/>
      <c r="T5846" s="1"/>
      <c r="U5846" s="1"/>
      <c r="V5846" s="1"/>
      <c r="W5846" s="1"/>
      <c r="X5846" s="1"/>
      <c r="Y5846" s="1"/>
      <c r="AA5846" s="102"/>
      <c r="AB5846" s="1"/>
      <c r="AC5846" s="1"/>
      <c r="AD5846" s="1"/>
      <c r="AE5846" s="1"/>
      <c r="AF5846" s="1"/>
      <c r="AG5846" s="1"/>
    </row>
    <row r="5847" ht="15.75" customHeight="1">
      <c r="A5847" s="1"/>
      <c r="B5847" s="1"/>
      <c r="C5847" s="1"/>
      <c r="D5847" s="1"/>
      <c r="E5847" s="1"/>
      <c r="F5847" s="1"/>
      <c r="G5847" s="1"/>
      <c r="H5847" s="1"/>
      <c r="I5847" s="1"/>
      <c r="J5847" s="1"/>
      <c r="K5847" s="102" t="s">
        <v>9176</v>
      </c>
      <c r="L5847" s="102" t="str">
        <f>C699</f>
        <v>J2a</v>
      </c>
      <c r="M5847" s="102" t="s">
        <v>9175</v>
      </c>
      <c r="N5847" s="102" t="s">
        <v>9178</v>
      </c>
      <c r="O5847" s="105">
        <v>1.790497E7</v>
      </c>
      <c r="P5847" s="105">
        <v>1.579309E7</v>
      </c>
      <c r="Q5847" s="102" t="s">
        <v>2501</v>
      </c>
      <c r="S5847" s="1"/>
      <c r="T5847" s="1"/>
      <c r="U5847" s="1"/>
      <c r="V5847" s="1"/>
      <c r="W5847" s="1"/>
      <c r="X5847" s="1"/>
      <c r="Y5847" s="1"/>
      <c r="AA5847" s="102"/>
      <c r="AB5847" s="1"/>
      <c r="AC5847" s="1"/>
      <c r="AD5847" s="1"/>
      <c r="AE5847" s="1"/>
      <c r="AF5847" s="1"/>
      <c r="AG5847" s="1"/>
    </row>
    <row r="5848" ht="15.75" customHeight="1">
      <c r="A5848" s="1"/>
      <c r="B5848" s="1"/>
      <c r="C5848" s="1"/>
      <c r="D5848" s="1"/>
      <c r="E5848" s="1"/>
      <c r="F5848" s="1"/>
      <c r="G5848" s="1"/>
      <c r="H5848" s="1"/>
      <c r="I5848" s="1"/>
      <c r="J5848" s="1"/>
      <c r="K5848" s="102" t="s">
        <v>9179</v>
      </c>
      <c r="L5848" s="102" t="str">
        <f>C699</f>
        <v>J2a</v>
      </c>
      <c r="M5848" s="102" t="s">
        <v>9180</v>
      </c>
      <c r="N5848" s="102" t="s">
        <v>9181</v>
      </c>
      <c r="O5848" s="105">
        <v>1.8952077E7</v>
      </c>
      <c r="P5848" s="105">
        <v>1.6840197E7</v>
      </c>
      <c r="Q5848" s="102" t="s">
        <v>2439</v>
      </c>
      <c r="S5848" s="1"/>
      <c r="T5848" s="1"/>
      <c r="U5848" s="1"/>
      <c r="V5848" s="1"/>
      <c r="W5848" s="1"/>
      <c r="X5848" s="1"/>
      <c r="Y5848" s="1"/>
      <c r="AA5848" s="102"/>
      <c r="AB5848" s="1"/>
      <c r="AC5848" s="1"/>
      <c r="AD5848" s="1"/>
      <c r="AE5848" s="1"/>
      <c r="AF5848" s="1"/>
      <c r="AG5848" s="1"/>
    </row>
    <row r="5849" ht="15.75" customHeight="1">
      <c r="A5849" s="1"/>
      <c r="B5849" s="1"/>
      <c r="C5849" s="1"/>
      <c r="D5849" s="1"/>
      <c r="E5849" s="1"/>
      <c r="F5849" s="1"/>
      <c r="G5849" s="1"/>
      <c r="H5849" s="1"/>
      <c r="I5849" s="1"/>
      <c r="J5849" s="1"/>
      <c r="K5849" s="102" t="s">
        <v>9180</v>
      </c>
      <c r="L5849" s="102" t="str">
        <f>C699</f>
        <v>J2a</v>
      </c>
      <c r="M5849" s="102" t="s">
        <v>9179</v>
      </c>
      <c r="N5849" s="102" t="s">
        <v>9181</v>
      </c>
      <c r="O5849" s="105">
        <v>1.8952077E7</v>
      </c>
      <c r="P5849" s="105">
        <v>1.6840197E7</v>
      </c>
      <c r="Q5849" s="102" t="s">
        <v>2439</v>
      </c>
      <c r="S5849" s="1"/>
      <c r="T5849" s="1"/>
      <c r="U5849" s="1"/>
      <c r="V5849" s="1"/>
      <c r="W5849" s="1"/>
      <c r="X5849" s="1"/>
      <c r="Y5849" s="1"/>
      <c r="AA5849" s="102"/>
      <c r="AB5849" s="1"/>
      <c r="AC5849" s="1"/>
      <c r="AD5849" s="1"/>
      <c r="AE5849" s="1"/>
      <c r="AF5849" s="1"/>
      <c r="AG5849" s="1"/>
    </row>
    <row r="5850" ht="15.75" customHeight="1">
      <c r="A5850" s="1"/>
      <c r="B5850" s="1"/>
      <c r="C5850" s="1"/>
      <c r="D5850" s="1"/>
      <c r="E5850" s="1"/>
      <c r="F5850" s="1"/>
      <c r="G5850" s="1"/>
      <c r="H5850" s="1"/>
      <c r="I5850" s="1"/>
      <c r="J5850" s="1"/>
      <c r="K5850" s="102" t="s">
        <v>9182</v>
      </c>
      <c r="L5850" s="102" t="str">
        <f>C699</f>
        <v>J2a</v>
      </c>
      <c r="M5850" s="102" t="s">
        <v>9183</v>
      </c>
      <c r="N5850" s="102" t="s">
        <v>9184</v>
      </c>
      <c r="O5850" s="105">
        <v>1.906907E7</v>
      </c>
      <c r="P5850" s="105">
        <v>1.695719E7</v>
      </c>
      <c r="Q5850" s="102" t="s">
        <v>2439</v>
      </c>
      <c r="S5850" s="1"/>
      <c r="T5850" s="1"/>
      <c r="U5850" s="1"/>
      <c r="V5850" s="1"/>
      <c r="W5850" s="1"/>
      <c r="X5850" s="1"/>
      <c r="Y5850" s="1"/>
      <c r="AA5850" s="102"/>
      <c r="AB5850" s="1"/>
      <c r="AC5850" s="1"/>
      <c r="AD5850" s="1"/>
      <c r="AE5850" s="1"/>
      <c r="AF5850" s="1"/>
      <c r="AG5850" s="1"/>
    </row>
    <row r="5851" ht="15.75" customHeight="1">
      <c r="A5851" s="1"/>
      <c r="B5851" s="1"/>
      <c r="C5851" s="1"/>
      <c r="D5851" s="1"/>
      <c r="E5851" s="1"/>
      <c r="F5851" s="1"/>
      <c r="G5851" s="1"/>
      <c r="H5851" s="1"/>
      <c r="I5851" s="1"/>
      <c r="J5851" s="1"/>
      <c r="K5851" s="102" t="s">
        <v>9183</v>
      </c>
      <c r="L5851" s="102" t="str">
        <f>C699</f>
        <v>J2a</v>
      </c>
      <c r="M5851" s="102" t="s">
        <v>9182</v>
      </c>
      <c r="N5851" s="102" t="s">
        <v>9184</v>
      </c>
      <c r="O5851" s="105">
        <v>1.906907E7</v>
      </c>
      <c r="P5851" s="105">
        <v>1.695719E7</v>
      </c>
      <c r="Q5851" s="102" t="s">
        <v>2439</v>
      </c>
      <c r="S5851" s="1"/>
      <c r="T5851" s="1"/>
      <c r="U5851" s="1"/>
      <c r="V5851" s="1"/>
      <c r="W5851" s="1"/>
      <c r="X5851" s="1"/>
      <c r="Y5851" s="1"/>
      <c r="AA5851" s="102"/>
      <c r="AB5851" s="1"/>
      <c r="AC5851" s="1"/>
      <c r="AD5851" s="1"/>
      <c r="AE5851" s="1"/>
      <c r="AF5851" s="1"/>
      <c r="AG5851" s="1"/>
    </row>
    <row r="5852" ht="15.75" customHeight="1">
      <c r="A5852" s="1"/>
      <c r="B5852" s="1"/>
      <c r="C5852" s="1"/>
      <c r="D5852" s="1"/>
      <c r="E5852" s="1"/>
      <c r="F5852" s="1"/>
      <c r="G5852" s="1"/>
      <c r="H5852" s="1"/>
      <c r="I5852" s="1"/>
      <c r="J5852" s="1"/>
      <c r="K5852" s="102" t="s">
        <v>9185</v>
      </c>
      <c r="L5852" s="102" t="str">
        <f>C699</f>
        <v>J2a</v>
      </c>
      <c r="M5852" s="102"/>
      <c r="N5852" s="102" t="s">
        <v>9186</v>
      </c>
      <c r="O5852" s="105">
        <v>1.9220113E7</v>
      </c>
      <c r="P5852" s="105">
        <v>1.7108233E7</v>
      </c>
      <c r="Q5852" s="102" t="s">
        <v>2533</v>
      </c>
      <c r="S5852" s="1"/>
      <c r="T5852" s="1"/>
      <c r="U5852" s="1"/>
      <c r="V5852" s="1"/>
      <c r="W5852" s="1"/>
      <c r="X5852" s="1"/>
      <c r="Y5852" s="1"/>
      <c r="AA5852" s="102"/>
      <c r="AB5852" s="1"/>
      <c r="AC5852" s="1"/>
      <c r="AD5852" s="1"/>
      <c r="AE5852" s="1"/>
      <c r="AF5852" s="1"/>
      <c r="AG5852" s="1"/>
    </row>
    <row r="5853" ht="15.75" customHeight="1">
      <c r="A5853" s="1"/>
      <c r="B5853" s="1"/>
      <c r="C5853" s="1"/>
      <c r="D5853" s="1"/>
      <c r="E5853" s="1"/>
      <c r="F5853" s="1"/>
      <c r="G5853" s="1"/>
      <c r="H5853" s="1"/>
      <c r="I5853" s="1"/>
      <c r="J5853" s="1"/>
      <c r="K5853" s="102" t="s">
        <v>9187</v>
      </c>
      <c r="L5853" s="102" t="str">
        <f>C699</f>
        <v>J2a</v>
      </c>
      <c r="M5853" s="102" t="s">
        <v>9188</v>
      </c>
      <c r="N5853" s="102" t="s">
        <v>9189</v>
      </c>
      <c r="O5853" s="105">
        <v>1.9283232E7</v>
      </c>
      <c r="P5853" s="105">
        <v>1.7171352E7</v>
      </c>
      <c r="Q5853" s="102" t="s">
        <v>2432</v>
      </c>
      <c r="S5853" s="1"/>
      <c r="T5853" s="1"/>
      <c r="U5853" s="1"/>
      <c r="V5853" s="1"/>
      <c r="W5853" s="1"/>
      <c r="X5853" s="1"/>
      <c r="Y5853" s="1"/>
      <c r="AA5853" s="102"/>
      <c r="AB5853" s="1"/>
      <c r="AC5853" s="1"/>
      <c r="AD5853" s="1"/>
      <c r="AE5853" s="1"/>
      <c r="AF5853" s="1"/>
      <c r="AG5853" s="1"/>
    </row>
    <row r="5854" ht="15.75" customHeight="1">
      <c r="A5854" s="1"/>
      <c r="B5854" s="1"/>
      <c r="C5854" s="1"/>
      <c r="D5854" s="1"/>
      <c r="E5854" s="1"/>
      <c r="F5854" s="1"/>
      <c r="G5854" s="1"/>
      <c r="H5854" s="1"/>
      <c r="I5854" s="1"/>
      <c r="J5854" s="1"/>
      <c r="K5854" s="102" t="s">
        <v>9188</v>
      </c>
      <c r="L5854" s="102" t="str">
        <f>C699</f>
        <v>J2a</v>
      </c>
      <c r="M5854" s="102" t="s">
        <v>9187</v>
      </c>
      <c r="N5854" s="102" t="s">
        <v>9189</v>
      </c>
      <c r="O5854" s="105">
        <v>1.9283232E7</v>
      </c>
      <c r="P5854" s="105">
        <v>1.7171352E7</v>
      </c>
      <c r="Q5854" s="102" t="s">
        <v>2432</v>
      </c>
      <c r="S5854" s="1"/>
      <c r="T5854" s="1"/>
      <c r="U5854" s="1"/>
      <c r="V5854" s="1"/>
      <c r="W5854" s="1"/>
      <c r="X5854" s="1"/>
      <c r="Y5854" s="1"/>
      <c r="AA5854" s="102"/>
      <c r="AB5854" s="1"/>
      <c r="AC5854" s="1"/>
      <c r="AD5854" s="1"/>
      <c r="AE5854" s="1"/>
      <c r="AF5854" s="1"/>
      <c r="AG5854" s="1"/>
    </row>
    <row r="5855" ht="15.75" customHeight="1">
      <c r="A5855" s="1"/>
      <c r="B5855" s="1"/>
      <c r="C5855" s="1"/>
      <c r="D5855" s="1"/>
      <c r="E5855" s="1"/>
      <c r="F5855" s="1"/>
      <c r="G5855" s="1"/>
      <c r="H5855" s="1"/>
      <c r="I5855" s="1"/>
      <c r="J5855" s="1"/>
      <c r="K5855" s="102" t="s">
        <v>9190</v>
      </c>
      <c r="L5855" s="102" t="str">
        <f>C699</f>
        <v>J2a</v>
      </c>
      <c r="M5855" s="102" t="s">
        <v>9191</v>
      </c>
      <c r="N5855" s="102" t="s">
        <v>9192</v>
      </c>
      <c r="O5855" s="105">
        <v>1.9531673E7</v>
      </c>
      <c r="P5855" s="105">
        <v>1.7419793E7</v>
      </c>
      <c r="Q5855" s="102" t="s">
        <v>2501</v>
      </c>
      <c r="S5855" s="1"/>
      <c r="T5855" s="1"/>
      <c r="U5855" s="1"/>
      <c r="V5855" s="1"/>
      <c r="W5855" s="1"/>
      <c r="X5855" s="1"/>
      <c r="Y5855" s="1"/>
      <c r="AA5855" s="102"/>
      <c r="AB5855" s="1"/>
      <c r="AC5855" s="1"/>
      <c r="AD5855" s="1"/>
      <c r="AE5855" s="1"/>
      <c r="AF5855" s="1"/>
      <c r="AG5855" s="1"/>
    </row>
    <row r="5856" ht="15.75" customHeight="1">
      <c r="A5856" s="1"/>
      <c r="B5856" s="1"/>
      <c r="C5856" s="1"/>
      <c r="D5856" s="1"/>
      <c r="E5856" s="1"/>
      <c r="F5856" s="1"/>
      <c r="G5856" s="1"/>
      <c r="H5856" s="1"/>
      <c r="I5856" s="1"/>
      <c r="J5856" s="1"/>
      <c r="K5856" s="102" t="s">
        <v>9191</v>
      </c>
      <c r="L5856" s="102" t="str">
        <f>C699</f>
        <v>J2a</v>
      </c>
      <c r="M5856" s="102" t="s">
        <v>9190</v>
      </c>
      <c r="N5856" s="102" t="s">
        <v>9192</v>
      </c>
      <c r="O5856" s="105">
        <v>1.9531673E7</v>
      </c>
      <c r="P5856" s="105">
        <v>1.7419793E7</v>
      </c>
      <c r="Q5856" s="102" t="s">
        <v>2501</v>
      </c>
      <c r="S5856" s="1"/>
      <c r="T5856" s="1"/>
      <c r="U5856" s="1"/>
      <c r="V5856" s="1"/>
      <c r="W5856" s="1"/>
      <c r="X5856" s="1"/>
      <c r="Y5856" s="1"/>
      <c r="AA5856" s="102"/>
      <c r="AB5856" s="1"/>
      <c r="AC5856" s="1"/>
      <c r="AD5856" s="1"/>
      <c r="AE5856" s="1"/>
      <c r="AF5856" s="1"/>
      <c r="AG5856" s="1"/>
    </row>
    <row r="5857" ht="15.75" customHeight="1">
      <c r="A5857" s="1"/>
      <c r="B5857" s="1"/>
      <c r="C5857" s="1"/>
      <c r="D5857" s="1"/>
      <c r="E5857" s="1"/>
      <c r="F5857" s="1"/>
      <c r="G5857" s="1"/>
      <c r="H5857" s="1"/>
      <c r="I5857" s="1"/>
      <c r="J5857" s="1"/>
      <c r="K5857" s="102" t="s">
        <v>9193</v>
      </c>
      <c r="L5857" s="102" t="str">
        <f>C699</f>
        <v>J2a</v>
      </c>
      <c r="M5857" s="102"/>
      <c r="N5857" s="102" t="s">
        <v>9194</v>
      </c>
      <c r="O5857" s="105">
        <v>2.2950033E7</v>
      </c>
      <c r="P5857" s="105">
        <v>2.0788147E7</v>
      </c>
      <c r="Q5857" s="102" t="s">
        <v>2533</v>
      </c>
      <c r="S5857" s="1"/>
      <c r="T5857" s="1"/>
      <c r="U5857" s="1"/>
      <c r="V5857" s="1"/>
      <c r="W5857" s="1"/>
      <c r="X5857" s="1"/>
      <c r="Y5857" s="1"/>
      <c r="AA5857" s="102"/>
      <c r="AB5857" s="1"/>
      <c r="AC5857" s="1"/>
      <c r="AD5857" s="1"/>
      <c r="AE5857" s="1"/>
      <c r="AF5857" s="1"/>
      <c r="AG5857" s="1"/>
    </row>
    <row r="5858" ht="15.75" customHeight="1">
      <c r="A5858" s="1"/>
      <c r="B5858" s="1"/>
      <c r="C5858" s="1"/>
      <c r="D5858" s="1"/>
      <c r="E5858" s="1"/>
      <c r="F5858" s="1"/>
      <c r="G5858" s="1"/>
      <c r="H5858" s="1"/>
      <c r="I5858" s="1"/>
      <c r="J5858" s="1"/>
      <c r="K5858" s="102" t="s">
        <v>9195</v>
      </c>
      <c r="L5858" s="102" t="str">
        <f>C699</f>
        <v>J2a</v>
      </c>
      <c r="M5858" s="102"/>
      <c r="N5858" s="102" t="s">
        <v>9196</v>
      </c>
      <c r="O5858" s="105">
        <v>2.3421475E7</v>
      </c>
      <c r="P5858" s="105">
        <v>2.1259589E7</v>
      </c>
      <c r="Q5858" s="102" t="s">
        <v>2439</v>
      </c>
      <c r="S5858" s="1"/>
      <c r="T5858" s="1"/>
      <c r="U5858" s="1"/>
      <c r="V5858" s="1"/>
      <c r="W5858" s="1"/>
      <c r="X5858" s="1"/>
      <c r="Y5858" s="1"/>
      <c r="AA5858" s="102"/>
      <c r="AB5858" s="1"/>
      <c r="AC5858" s="1"/>
      <c r="AD5858" s="1"/>
      <c r="AE5858" s="1"/>
      <c r="AF5858" s="1"/>
      <c r="AG5858" s="1"/>
    </row>
    <row r="5859" ht="15.75" customHeight="1">
      <c r="A5859" s="1"/>
      <c r="B5859" s="1"/>
      <c r="C5859" s="1"/>
      <c r="D5859" s="1"/>
      <c r="E5859" s="1"/>
      <c r="F5859" s="1"/>
      <c r="G5859" s="1"/>
      <c r="H5859" s="1"/>
      <c r="I5859" s="1"/>
      <c r="J5859" s="1"/>
      <c r="K5859" s="102" t="s">
        <v>9197</v>
      </c>
      <c r="L5859" s="102" t="str">
        <f>C699</f>
        <v>J2a</v>
      </c>
      <c r="M5859" s="102"/>
      <c r="N5859" s="102" t="s">
        <v>9198</v>
      </c>
      <c r="O5859" s="105">
        <v>2.342215E7</v>
      </c>
      <c r="P5859" s="105">
        <v>2.1260264E7</v>
      </c>
      <c r="Q5859" s="102" t="s">
        <v>2576</v>
      </c>
      <c r="S5859" s="1"/>
      <c r="T5859" s="1"/>
      <c r="U5859" s="1"/>
      <c r="V5859" s="1"/>
      <c r="W5859" s="1"/>
      <c r="X5859" s="1"/>
      <c r="Y5859" s="1"/>
      <c r="AA5859" s="102"/>
      <c r="AB5859" s="1"/>
      <c r="AC5859" s="1"/>
      <c r="AD5859" s="1"/>
      <c r="AE5859" s="1"/>
      <c r="AF5859" s="1"/>
      <c r="AG5859" s="1"/>
    </row>
    <row r="5860" ht="15.75" customHeight="1">
      <c r="A5860" s="1"/>
      <c r="B5860" s="1"/>
      <c r="C5860" s="1"/>
      <c r="D5860" s="1"/>
      <c r="E5860" s="1"/>
      <c r="F5860" s="1"/>
      <c r="G5860" s="1"/>
      <c r="H5860" s="1"/>
      <c r="I5860" s="1"/>
      <c r="J5860" s="1"/>
      <c r="K5860" s="102" t="s">
        <v>9199</v>
      </c>
      <c r="L5860" s="102" t="str">
        <f>C699</f>
        <v>J2a</v>
      </c>
      <c r="M5860" s="102" t="s">
        <v>9200</v>
      </c>
      <c r="N5860" s="102" t="s">
        <v>9201</v>
      </c>
      <c r="O5860" s="105">
        <v>6854256.0</v>
      </c>
      <c r="P5860" s="105">
        <v>6986215.0</v>
      </c>
      <c r="Q5860" s="102" t="s">
        <v>2501</v>
      </c>
      <c r="S5860" s="1"/>
      <c r="T5860" s="1"/>
      <c r="U5860" s="1"/>
      <c r="V5860" s="1"/>
      <c r="W5860" s="1"/>
      <c r="X5860" s="1"/>
      <c r="Y5860" s="1"/>
      <c r="AA5860" s="102"/>
      <c r="AB5860" s="1"/>
      <c r="AC5860" s="1"/>
      <c r="AD5860" s="1"/>
      <c r="AE5860" s="1"/>
      <c r="AF5860" s="1"/>
      <c r="AG5860" s="1"/>
    </row>
    <row r="5861" ht="15.75" customHeight="1">
      <c r="A5861" s="1"/>
      <c r="B5861" s="1"/>
      <c r="C5861" s="1"/>
      <c r="D5861" s="1"/>
      <c r="E5861" s="1"/>
      <c r="F5861" s="1"/>
      <c r="G5861" s="1"/>
      <c r="H5861" s="1"/>
      <c r="I5861" s="1"/>
      <c r="J5861" s="1"/>
      <c r="K5861" s="102" t="s">
        <v>9200</v>
      </c>
      <c r="L5861" s="102" t="str">
        <f>C699</f>
        <v>J2a</v>
      </c>
      <c r="M5861" s="102" t="s">
        <v>9199</v>
      </c>
      <c r="N5861" s="102" t="s">
        <v>9201</v>
      </c>
      <c r="O5861" s="105">
        <v>6854256.0</v>
      </c>
      <c r="P5861" s="105">
        <v>6986215.0</v>
      </c>
      <c r="Q5861" s="102" t="s">
        <v>2501</v>
      </c>
      <c r="S5861" s="1"/>
      <c r="T5861" s="1"/>
      <c r="U5861" s="1"/>
      <c r="V5861" s="1"/>
      <c r="W5861" s="1"/>
      <c r="X5861" s="1"/>
      <c r="Y5861" s="1"/>
      <c r="AA5861" s="102"/>
      <c r="AB5861" s="1"/>
      <c r="AC5861" s="1"/>
      <c r="AD5861" s="1"/>
      <c r="AE5861" s="1"/>
      <c r="AF5861" s="1"/>
      <c r="AG5861" s="1"/>
    </row>
    <row r="5862" ht="15.75" customHeight="1">
      <c r="A5862" s="1"/>
      <c r="B5862" s="1"/>
      <c r="C5862" s="1"/>
      <c r="D5862" s="1"/>
      <c r="E5862" s="1"/>
      <c r="F5862" s="1"/>
      <c r="G5862" s="1"/>
      <c r="H5862" s="1"/>
      <c r="I5862" s="1"/>
      <c r="J5862" s="1"/>
      <c r="K5862" s="102" t="s">
        <v>9202</v>
      </c>
      <c r="L5862" s="102" t="str">
        <f>C699</f>
        <v>J2a</v>
      </c>
      <c r="M5862" s="102" t="s">
        <v>9203</v>
      </c>
      <c r="N5862" s="102" t="s">
        <v>9204</v>
      </c>
      <c r="O5862" s="105">
        <v>1.6196053E7</v>
      </c>
      <c r="P5862" s="105">
        <v>1.4084173E7</v>
      </c>
      <c r="Q5862" s="102" t="s">
        <v>2533</v>
      </c>
      <c r="S5862" s="1"/>
      <c r="T5862" s="1"/>
      <c r="U5862" s="1"/>
      <c r="V5862" s="1"/>
      <c r="W5862" s="1"/>
      <c r="X5862" s="1"/>
      <c r="Y5862" s="1"/>
      <c r="AA5862" s="102"/>
      <c r="AB5862" s="1"/>
      <c r="AC5862" s="1"/>
      <c r="AD5862" s="1"/>
      <c r="AE5862" s="1"/>
      <c r="AF5862" s="1"/>
      <c r="AG5862" s="1"/>
    </row>
    <row r="5863" ht="15.75" customHeight="1">
      <c r="A5863" s="1"/>
      <c r="B5863" s="1"/>
      <c r="C5863" s="1"/>
      <c r="D5863" s="1"/>
      <c r="E5863" s="1"/>
      <c r="F5863" s="1"/>
      <c r="G5863" s="1"/>
      <c r="H5863" s="1"/>
      <c r="I5863" s="1"/>
      <c r="J5863" s="1"/>
      <c r="K5863" s="102" t="s">
        <v>9203</v>
      </c>
      <c r="L5863" s="102" t="str">
        <f>C699</f>
        <v>J2a</v>
      </c>
      <c r="M5863" s="102" t="s">
        <v>9202</v>
      </c>
      <c r="N5863" s="102" t="s">
        <v>9204</v>
      </c>
      <c r="O5863" s="105">
        <v>1.6196053E7</v>
      </c>
      <c r="P5863" s="105">
        <v>1.4084173E7</v>
      </c>
      <c r="Q5863" s="102" t="s">
        <v>2533</v>
      </c>
      <c r="S5863" s="1"/>
      <c r="T5863" s="1"/>
      <c r="U5863" s="1"/>
      <c r="V5863" s="1"/>
      <c r="W5863" s="1"/>
      <c r="X5863" s="1"/>
      <c r="Y5863" s="1"/>
      <c r="AA5863" s="102"/>
      <c r="AB5863" s="1"/>
      <c r="AC5863" s="1"/>
      <c r="AD5863" s="1"/>
      <c r="AE5863" s="1"/>
      <c r="AF5863" s="1"/>
      <c r="AG5863" s="1"/>
    </row>
    <row r="5864" ht="15.75" customHeight="1">
      <c r="A5864" s="1"/>
      <c r="B5864" s="1"/>
      <c r="C5864" s="1"/>
      <c r="D5864" s="1"/>
      <c r="E5864" s="1"/>
      <c r="F5864" s="1"/>
      <c r="G5864" s="1"/>
      <c r="H5864" s="1"/>
      <c r="I5864" s="1"/>
      <c r="J5864" s="1"/>
      <c r="K5864" s="102" t="s">
        <v>9205</v>
      </c>
      <c r="L5864" s="102" t="str">
        <f>C699</f>
        <v>J2a</v>
      </c>
      <c r="M5864" s="102" t="s">
        <v>9206</v>
      </c>
      <c r="N5864" s="102" t="s">
        <v>9207</v>
      </c>
      <c r="O5864" s="105">
        <v>1.7191877E7</v>
      </c>
      <c r="P5864" s="105">
        <v>1.5079997E7</v>
      </c>
      <c r="Q5864" s="102" t="s">
        <v>2533</v>
      </c>
      <c r="S5864" s="1"/>
      <c r="T5864" s="1"/>
      <c r="U5864" s="1"/>
      <c r="V5864" s="1"/>
      <c r="W5864" s="1"/>
      <c r="X5864" s="1"/>
      <c r="Y5864" s="1"/>
      <c r="AA5864" s="102"/>
      <c r="AB5864" s="1"/>
      <c r="AC5864" s="1"/>
      <c r="AD5864" s="1"/>
      <c r="AE5864" s="1"/>
      <c r="AF5864" s="1"/>
      <c r="AG5864" s="1"/>
    </row>
    <row r="5865" ht="15.75" customHeight="1">
      <c r="A5865" s="1"/>
      <c r="B5865" s="1"/>
      <c r="C5865" s="1"/>
      <c r="D5865" s="1"/>
      <c r="E5865" s="1"/>
      <c r="F5865" s="1"/>
      <c r="G5865" s="1"/>
      <c r="H5865" s="1"/>
      <c r="I5865" s="1"/>
      <c r="J5865" s="1"/>
      <c r="K5865" s="102" t="s">
        <v>9206</v>
      </c>
      <c r="L5865" s="102" t="str">
        <f>C699</f>
        <v>J2a</v>
      </c>
      <c r="M5865" s="102" t="s">
        <v>9205</v>
      </c>
      <c r="N5865" s="102" t="s">
        <v>9207</v>
      </c>
      <c r="O5865" s="105">
        <v>1.7191877E7</v>
      </c>
      <c r="P5865" s="105">
        <v>1.5079997E7</v>
      </c>
      <c r="Q5865" s="102" t="s">
        <v>2533</v>
      </c>
      <c r="S5865" s="1"/>
      <c r="T5865" s="1"/>
      <c r="U5865" s="1"/>
      <c r="V5865" s="1"/>
      <c r="W5865" s="1"/>
      <c r="X5865" s="1"/>
      <c r="Y5865" s="1"/>
      <c r="AA5865" s="102"/>
      <c r="AB5865" s="1"/>
      <c r="AC5865" s="1"/>
      <c r="AD5865" s="1"/>
      <c r="AE5865" s="1"/>
      <c r="AF5865" s="1"/>
      <c r="AG5865" s="1"/>
    </row>
    <row r="5866" ht="15.75" customHeight="1">
      <c r="A5866" s="1"/>
      <c r="B5866" s="1"/>
      <c r="C5866" s="1"/>
      <c r="D5866" s="1"/>
      <c r="E5866" s="1"/>
      <c r="F5866" s="1"/>
      <c r="G5866" s="1"/>
      <c r="H5866" s="1"/>
      <c r="I5866" s="1"/>
      <c r="J5866" s="1"/>
      <c r="K5866" s="102" t="s">
        <v>9208</v>
      </c>
      <c r="L5866" s="102" t="str">
        <f>C699</f>
        <v>J2a</v>
      </c>
      <c r="M5866" s="102" t="s">
        <v>9209</v>
      </c>
      <c r="N5866" s="102" t="s">
        <v>9210</v>
      </c>
      <c r="O5866" s="105">
        <v>1.8018684E7</v>
      </c>
      <c r="P5866" s="105">
        <v>1.5906804E7</v>
      </c>
      <c r="Q5866" s="102" t="s">
        <v>2514</v>
      </c>
      <c r="S5866" s="1"/>
      <c r="T5866" s="1"/>
      <c r="U5866" s="1"/>
      <c r="V5866" s="1"/>
      <c r="W5866" s="1"/>
      <c r="X5866" s="1"/>
      <c r="Y5866" s="1"/>
      <c r="AA5866" s="102"/>
      <c r="AB5866" s="1"/>
      <c r="AC5866" s="1"/>
      <c r="AD5866" s="1"/>
      <c r="AE5866" s="1"/>
      <c r="AF5866" s="1"/>
      <c r="AG5866" s="1"/>
    </row>
    <row r="5867" ht="15.75" customHeight="1">
      <c r="A5867" s="1"/>
      <c r="B5867" s="1"/>
      <c r="C5867" s="1"/>
      <c r="D5867" s="1"/>
      <c r="E5867" s="1"/>
      <c r="F5867" s="1"/>
      <c r="G5867" s="1"/>
      <c r="H5867" s="1"/>
      <c r="I5867" s="1"/>
      <c r="J5867" s="1"/>
      <c r="K5867" s="102" t="s">
        <v>9209</v>
      </c>
      <c r="L5867" s="102" t="str">
        <f>C699</f>
        <v>J2a</v>
      </c>
      <c r="M5867" s="102" t="s">
        <v>9208</v>
      </c>
      <c r="N5867" s="102" t="s">
        <v>9210</v>
      </c>
      <c r="O5867" s="105">
        <v>1.8018684E7</v>
      </c>
      <c r="P5867" s="105">
        <v>1.5906804E7</v>
      </c>
      <c r="Q5867" s="102" t="s">
        <v>2514</v>
      </c>
      <c r="S5867" s="1"/>
      <c r="T5867" s="1"/>
      <c r="U5867" s="1"/>
      <c r="V5867" s="1"/>
      <c r="W5867" s="1"/>
      <c r="X5867" s="1"/>
      <c r="Y5867" s="1"/>
      <c r="AA5867" s="102"/>
      <c r="AB5867" s="1"/>
      <c r="AC5867" s="1"/>
      <c r="AD5867" s="1"/>
      <c r="AE5867" s="1"/>
      <c r="AF5867" s="1"/>
      <c r="AG5867" s="1"/>
    </row>
    <row r="5868" ht="15.75" customHeight="1">
      <c r="A5868" s="1"/>
      <c r="B5868" s="1"/>
      <c r="C5868" s="1"/>
      <c r="D5868" s="1"/>
      <c r="E5868" s="1"/>
      <c r="F5868" s="1"/>
      <c r="G5868" s="1"/>
      <c r="H5868" s="1"/>
      <c r="I5868" s="1"/>
      <c r="J5868" s="1"/>
      <c r="K5868" s="102" t="s">
        <v>9211</v>
      </c>
      <c r="L5868" s="102" t="str">
        <f>C699</f>
        <v>J2a</v>
      </c>
      <c r="M5868" s="102" t="s">
        <v>9212</v>
      </c>
      <c r="N5868" s="102" t="s">
        <v>9213</v>
      </c>
      <c r="O5868" s="105">
        <v>8351025.0</v>
      </c>
      <c r="P5868" s="105">
        <v>8482984.0</v>
      </c>
      <c r="Q5868" s="102" t="s">
        <v>2439</v>
      </c>
      <c r="S5868" s="1"/>
      <c r="T5868" s="1"/>
      <c r="U5868" s="1"/>
      <c r="V5868" s="1"/>
      <c r="W5868" s="1"/>
      <c r="X5868" s="1"/>
      <c r="Y5868" s="1"/>
      <c r="AA5868" s="102"/>
      <c r="AB5868" s="1"/>
      <c r="AC5868" s="1"/>
      <c r="AD5868" s="1"/>
      <c r="AE5868" s="1"/>
      <c r="AF5868" s="1"/>
      <c r="AG5868" s="1"/>
    </row>
    <row r="5869" ht="15.75" customHeight="1">
      <c r="A5869" s="1"/>
      <c r="B5869" s="1"/>
      <c r="C5869" s="1"/>
      <c r="D5869" s="1"/>
      <c r="E5869" s="1"/>
      <c r="F5869" s="1"/>
      <c r="G5869" s="1"/>
      <c r="H5869" s="1"/>
      <c r="I5869" s="1"/>
      <c r="J5869" s="1"/>
      <c r="K5869" s="102" t="s">
        <v>9212</v>
      </c>
      <c r="L5869" s="102" t="str">
        <f>C699</f>
        <v>J2a</v>
      </c>
      <c r="M5869" s="102" t="s">
        <v>9211</v>
      </c>
      <c r="N5869" s="102" t="s">
        <v>9213</v>
      </c>
      <c r="O5869" s="105">
        <v>8351025.0</v>
      </c>
      <c r="P5869" s="105">
        <v>8482984.0</v>
      </c>
      <c r="Q5869" s="102" t="s">
        <v>2439</v>
      </c>
      <c r="S5869" s="1"/>
      <c r="T5869" s="1"/>
      <c r="U5869" s="1"/>
      <c r="V5869" s="1"/>
      <c r="W5869" s="1"/>
      <c r="X5869" s="1"/>
      <c r="Y5869" s="1"/>
      <c r="AA5869" s="102"/>
      <c r="AB5869" s="1"/>
      <c r="AC5869" s="1"/>
      <c r="AD5869" s="1"/>
      <c r="AE5869" s="1"/>
      <c r="AF5869" s="1"/>
      <c r="AG5869" s="1"/>
    </row>
    <row r="5870" ht="15.75" customHeight="1">
      <c r="A5870" s="1"/>
      <c r="B5870" s="1"/>
      <c r="C5870" s="1"/>
      <c r="D5870" s="1"/>
      <c r="E5870" s="1"/>
      <c r="F5870" s="1"/>
      <c r="G5870" s="1"/>
      <c r="H5870" s="1"/>
      <c r="I5870" s="1"/>
      <c r="J5870" s="1"/>
      <c r="K5870" s="102" t="s">
        <v>9214</v>
      </c>
      <c r="L5870" s="102" t="str">
        <f>C699</f>
        <v>J2a</v>
      </c>
      <c r="M5870" s="102" t="s">
        <v>9215</v>
      </c>
      <c r="N5870" s="102" t="s">
        <v>9216</v>
      </c>
      <c r="O5870" s="105">
        <v>8417425.0</v>
      </c>
      <c r="P5870" s="105">
        <v>8549384.0</v>
      </c>
      <c r="Q5870" s="102" t="s">
        <v>2563</v>
      </c>
      <c r="S5870" s="1"/>
      <c r="T5870" s="1"/>
      <c r="U5870" s="1"/>
      <c r="V5870" s="1"/>
      <c r="W5870" s="1"/>
      <c r="X5870" s="1"/>
      <c r="Y5870" s="1"/>
      <c r="AA5870" s="102"/>
      <c r="AB5870" s="1"/>
      <c r="AC5870" s="1"/>
      <c r="AD5870" s="1"/>
      <c r="AE5870" s="1"/>
      <c r="AF5870" s="1"/>
      <c r="AG5870" s="1"/>
    </row>
    <row r="5871" ht="15.75" customHeight="1">
      <c r="A5871" s="1"/>
      <c r="B5871" s="1"/>
      <c r="C5871" s="1"/>
      <c r="D5871" s="1"/>
      <c r="E5871" s="1"/>
      <c r="F5871" s="1"/>
      <c r="G5871" s="1"/>
      <c r="H5871" s="1"/>
      <c r="I5871" s="1"/>
      <c r="J5871" s="1"/>
      <c r="K5871" s="102" t="s">
        <v>9215</v>
      </c>
      <c r="L5871" s="102" t="str">
        <f>C699</f>
        <v>J2a</v>
      </c>
      <c r="M5871" s="102" t="s">
        <v>9214</v>
      </c>
      <c r="N5871" s="102" t="s">
        <v>9216</v>
      </c>
      <c r="O5871" s="105">
        <v>8417425.0</v>
      </c>
      <c r="P5871" s="105">
        <v>8549384.0</v>
      </c>
      <c r="Q5871" s="102" t="s">
        <v>2563</v>
      </c>
      <c r="S5871" s="1"/>
      <c r="T5871" s="1"/>
      <c r="U5871" s="1"/>
      <c r="V5871" s="1"/>
      <c r="W5871" s="1"/>
      <c r="X5871" s="1"/>
      <c r="Y5871" s="1"/>
      <c r="AA5871" s="102"/>
      <c r="AB5871" s="1"/>
      <c r="AC5871" s="1"/>
      <c r="AD5871" s="1"/>
      <c r="AE5871" s="1"/>
      <c r="AF5871" s="1"/>
      <c r="AG5871" s="1"/>
    </row>
    <row r="5872" ht="15.75" customHeight="1">
      <c r="A5872" s="1"/>
      <c r="B5872" s="1"/>
      <c r="C5872" s="1"/>
      <c r="D5872" s="1"/>
      <c r="E5872" s="1"/>
      <c r="F5872" s="1"/>
      <c r="G5872" s="1"/>
      <c r="H5872" s="1"/>
      <c r="I5872" s="1"/>
      <c r="J5872" s="1"/>
      <c r="K5872" s="102" t="s">
        <v>9217</v>
      </c>
      <c r="L5872" s="102" t="str">
        <f>C699</f>
        <v>J2a</v>
      </c>
      <c r="M5872" s="102" t="s">
        <v>9218</v>
      </c>
      <c r="N5872" s="102" t="s">
        <v>9219</v>
      </c>
      <c r="O5872" s="105">
        <v>8474549.0</v>
      </c>
      <c r="P5872" s="105">
        <v>8606508.0</v>
      </c>
      <c r="Q5872" s="102" t="s">
        <v>2454</v>
      </c>
      <c r="S5872" s="1"/>
      <c r="T5872" s="1"/>
      <c r="U5872" s="1"/>
      <c r="V5872" s="1"/>
      <c r="W5872" s="1"/>
      <c r="X5872" s="1"/>
      <c r="Y5872" s="1"/>
      <c r="AA5872" s="102"/>
      <c r="AB5872" s="1"/>
      <c r="AC5872" s="1"/>
      <c r="AD5872" s="1"/>
      <c r="AE5872" s="1"/>
      <c r="AF5872" s="1"/>
      <c r="AG5872" s="1"/>
    </row>
    <row r="5873" ht="15.75" customHeight="1">
      <c r="A5873" s="1"/>
      <c r="B5873" s="1"/>
      <c r="C5873" s="1"/>
      <c r="D5873" s="1"/>
      <c r="E5873" s="1"/>
      <c r="F5873" s="1"/>
      <c r="G5873" s="1"/>
      <c r="H5873" s="1"/>
      <c r="I5873" s="1"/>
      <c r="J5873" s="1"/>
      <c r="K5873" s="102" t="s">
        <v>9218</v>
      </c>
      <c r="L5873" s="102" t="str">
        <f>C699</f>
        <v>J2a</v>
      </c>
      <c r="M5873" s="102" t="s">
        <v>9217</v>
      </c>
      <c r="N5873" s="102" t="s">
        <v>9219</v>
      </c>
      <c r="O5873" s="105">
        <v>8474549.0</v>
      </c>
      <c r="P5873" s="105">
        <v>8606508.0</v>
      </c>
      <c r="Q5873" s="102" t="s">
        <v>2454</v>
      </c>
      <c r="S5873" s="1"/>
      <c r="T5873" s="1"/>
      <c r="U5873" s="1"/>
      <c r="V5873" s="1"/>
      <c r="W5873" s="1"/>
      <c r="X5873" s="1"/>
      <c r="Y5873" s="1"/>
      <c r="AA5873" s="102"/>
      <c r="AB5873" s="1"/>
      <c r="AC5873" s="1"/>
      <c r="AD5873" s="1"/>
      <c r="AE5873" s="1"/>
      <c r="AF5873" s="1"/>
      <c r="AG5873" s="1"/>
    </row>
    <row r="5874" ht="15.75" customHeight="1">
      <c r="A5874" s="1"/>
      <c r="B5874" s="1"/>
      <c r="C5874" s="1"/>
      <c r="D5874" s="1"/>
      <c r="E5874" s="1"/>
      <c r="F5874" s="1"/>
      <c r="G5874" s="1"/>
      <c r="H5874" s="1"/>
      <c r="I5874" s="1"/>
      <c r="J5874" s="1"/>
      <c r="K5874" s="102" t="s">
        <v>9220</v>
      </c>
      <c r="L5874" s="102" t="str">
        <f>C699</f>
        <v>J2a</v>
      </c>
      <c r="M5874" s="102"/>
      <c r="N5874" s="102" t="s">
        <v>9221</v>
      </c>
      <c r="O5874" s="105">
        <v>1.7032059E7</v>
      </c>
      <c r="P5874" s="105">
        <v>1.4920179E7</v>
      </c>
      <c r="Q5874" s="102" t="s">
        <v>2446</v>
      </c>
      <c r="S5874" s="1"/>
      <c r="T5874" s="1"/>
      <c r="U5874" s="1"/>
      <c r="V5874" s="1"/>
      <c r="W5874" s="1"/>
      <c r="X5874" s="1"/>
      <c r="Y5874" s="1"/>
      <c r="AA5874" s="102"/>
      <c r="AB5874" s="1"/>
      <c r="AC5874" s="1"/>
      <c r="AD5874" s="1"/>
      <c r="AE5874" s="1"/>
      <c r="AF5874" s="1"/>
      <c r="AG5874" s="1"/>
    </row>
    <row r="5875" ht="15.75" customHeight="1">
      <c r="A5875" s="1"/>
      <c r="B5875" s="1"/>
      <c r="C5875" s="1"/>
      <c r="D5875" s="1"/>
      <c r="E5875" s="1"/>
      <c r="F5875" s="1"/>
      <c r="G5875" s="1"/>
      <c r="H5875" s="1"/>
      <c r="I5875" s="1"/>
      <c r="J5875" s="1"/>
      <c r="K5875" s="102" t="s">
        <v>9222</v>
      </c>
      <c r="L5875" s="102" t="str">
        <f>C699</f>
        <v>J2a</v>
      </c>
      <c r="M5875" s="102" t="s">
        <v>9223</v>
      </c>
      <c r="N5875" s="102" t="s">
        <v>9224</v>
      </c>
      <c r="O5875" s="105">
        <v>1.8615144E7</v>
      </c>
      <c r="P5875" s="105">
        <v>1.6503264E7</v>
      </c>
      <c r="Q5875" s="102" t="s">
        <v>2533</v>
      </c>
      <c r="S5875" s="1"/>
      <c r="T5875" s="1"/>
      <c r="U5875" s="1"/>
      <c r="V5875" s="1"/>
      <c r="W5875" s="1"/>
      <c r="X5875" s="1"/>
      <c r="Y5875" s="1"/>
      <c r="AA5875" s="102"/>
      <c r="AB5875" s="1"/>
      <c r="AC5875" s="1"/>
      <c r="AD5875" s="1"/>
      <c r="AE5875" s="1"/>
      <c r="AF5875" s="1"/>
      <c r="AG5875" s="1"/>
    </row>
    <row r="5876" ht="15.75" customHeight="1">
      <c r="A5876" s="1"/>
      <c r="B5876" s="1"/>
      <c r="C5876" s="1"/>
      <c r="D5876" s="1"/>
      <c r="E5876" s="1"/>
      <c r="F5876" s="1"/>
      <c r="G5876" s="1"/>
      <c r="H5876" s="1"/>
      <c r="I5876" s="1"/>
      <c r="J5876" s="1"/>
      <c r="K5876" s="102" t="s">
        <v>9223</v>
      </c>
      <c r="L5876" s="102" t="str">
        <f>C699</f>
        <v>J2a</v>
      </c>
      <c r="M5876" s="102" t="s">
        <v>9222</v>
      </c>
      <c r="N5876" s="102" t="s">
        <v>9224</v>
      </c>
      <c r="O5876" s="105">
        <v>1.8615144E7</v>
      </c>
      <c r="P5876" s="105">
        <v>1.6503264E7</v>
      </c>
      <c r="Q5876" s="102" t="s">
        <v>2533</v>
      </c>
      <c r="S5876" s="1"/>
      <c r="T5876" s="1"/>
      <c r="U5876" s="1"/>
      <c r="V5876" s="1"/>
      <c r="W5876" s="1"/>
      <c r="X5876" s="1"/>
      <c r="Y5876" s="1"/>
      <c r="AA5876" s="102"/>
      <c r="AB5876" s="1"/>
      <c r="AC5876" s="1"/>
      <c r="AD5876" s="1"/>
      <c r="AE5876" s="1"/>
      <c r="AF5876" s="1"/>
      <c r="AG5876" s="1"/>
    </row>
    <row r="5877" ht="15.75" customHeight="1">
      <c r="A5877" s="1"/>
      <c r="B5877" s="1"/>
      <c r="C5877" s="1"/>
      <c r="D5877" s="1"/>
      <c r="E5877" s="1"/>
      <c r="F5877" s="1"/>
      <c r="G5877" s="1"/>
      <c r="H5877" s="1"/>
      <c r="I5877" s="1"/>
      <c r="J5877" s="1"/>
      <c r="K5877" s="102" t="s">
        <v>9225</v>
      </c>
      <c r="L5877" s="102" t="str">
        <f>C699</f>
        <v>J2a</v>
      </c>
      <c r="M5877" s="102" t="s">
        <v>9226</v>
      </c>
      <c r="N5877" s="102" t="s">
        <v>9227</v>
      </c>
      <c r="O5877" s="105">
        <v>1.8772238E7</v>
      </c>
      <c r="P5877" s="105">
        <v>1.6660358E7</v>
      </c>
      <c r="Q5877" s="102" t="s">
        <v>2563</v>
      </c>
      <c r="S5877" s="1"/>
      <c r="T5877" s="1"/>
      <c r="U5877" s="1"/>
      <c r="V5877" s="1"/>
      <c r="W5877" s="1"/>
      <c r="X5877" s="1"/>
      <c r="Y5877" s="1"/>
      <c r="AA5877" s="102"/>
      <c r="AB5877" s="1"/>
      <c r="AC5877" s="1"/>
      <c r="AD5877" s="1"/>
      <c r="AE5877" s="1"/>
      <c r="AF5877" s="1"/>
      <c r="AG5877" s="1"/>
    </row>
    <row r="5878" ht="15.75" customHeight="1">
      <c r="A5878" s="1"/>
      <c r="B5878" s="1"/>
      <c r="C5878" s="1"/>
      <c r="D5878" s="1"/>
      <c r="E5878" s="1"/>
      <c r="F5878" s="1"/>
      <c r="G5878" s="1"/>
      <c r="H5878" s="1"/>
      <c r="I5878" s="1"/>
      <c r="J5878" s="1"/>
      <c r="K5878" s="102" t="s">
        <v>9226</v>
      </c>
      <c r="L5878" s="102" t="str">
        <f>C699</f>
        <v>J2a</v>
      </c>
      <c r="M5878" s="102" t="s">
        <v>9225</v>
      </c>
      <c r="N5878" s="102" t="s">
        <v>9227</v>
      </c>
      <c r="O5878" s="105">
        <v>1.8772238E7</v>
      </c>
      <c r="P5878" s="105">
        <v>1.6660358E7</v>
      </c>
      <c r="Q5878" s="102" t="s">
        <v>2563</v>
      </c>
      <c r="S5878" s="1"/>
      <c r="T5878" s="1"/>
      <c r="U5878" s="1"/>
      <c r="V5878" s="1"/>
      <c r="W5878" s="1"/>
      <c r="X5878" s="1"/>
      <c r="Y5878" s="1"/>
      <c r="AA5878" s="102"/>
      <c r="AB5878" s="1"/>
      <c r="AC5878" s="1"/>
      <c r="AD5878" s="1"/>
      <c r="AE5878" s="1"/>
      <c r="AF5878" s="1"/>
      <c r="AG5878" s="1"/>
    </row>
    <row r="5879" ht="15.75" customHeight="1">
      <c r="A5879" s="1"/>
      <c r="B5879" s="1"/>
      <c r="C5879" s="1"/>
      <c r="D5879" s="1"/>
      <c r="E5879" s="1"/>
      <c r="F5879" s="1"/>
      <c r="G5879" s="1"/>
      <c r="H5879" s="1"/>
      <c r="I5879" s="1"/>
      <c r="J5879" s="1"/>
      <c r="K5879" s="102" t="s">
        <v>9228</v>
      </c>
      <c r="L5879" s="102" t="str">
        <f>C699</f>
        <v>J2a</v>
      </c>
      <c r="M5879" s="102" t="s">
        <v>9229</v>
      </c>
      <c r="N5879" s="102" t="s">
        <v>9230</v>
      </c>
      <c r="O5879" s="105">
        <v>2.3748578E7</v>
      </c>
      <c r="P5879" s="105">
        <v>2.1586692E7</v>
      </c>
      <c r="Q5879" s="102" t="s">
        <v>2468</v>
      </c>
      <c r="S5879" s="1"/>
      <c r="T5879" s="1"/>
      <c r="U5879" s="1"/>
      <c r="V5879" s="1"/>
      <c r="W5879" s="1"/>
      <c r="X5879" s="1"/>
      <c r="Y5879" s="1"/>
      <c r="AA5879" s="102"/>
      <c r="AB5879" s="1"/>
      <c r="AC5879" s="1"/>
      <c r="AD5879" s="1"/>
      <c r="AE5879" s="1"/>
      <c r="AF5879" s="1"/>
      <c r="AG5879" s="1"/>
    </row>
    <row r="5880" ht="15.75" customHeight="1">
      <c r="A5880" s="1"/>
      <c r="B5880" s="1"/>
      <c r="C5880" s="1"/>
      <c r="D5880" s="1"/>
      <c r="E5880" s="1"/>
      <c r="F5880" s="1"/>
      <c r="G5880" s="1"/>
      <c r="H5880" s="1"/>
      <c r="I5880" s="1"/>
      <c r="J5880" s="1"/>
      <c r="K5880" s="102" t="s">
        <v>9229</v>
      </c>
      <c r="L5880" s="102" t="str">
        <f>C699</f>
        <v>J2a</v>
      </c>
      <c r="M5880" s="102" t="s">
        <v>9228</v>
      </c>
      <c r="N5880" s="102" t="s">
        <v>9230</v>
      </c>
      <c r="O5880" s="105">
        <v>2.3748578E7</v>
      </c>
      <c r="P5880" s="105">
        <v>2.1586692E7</v>
      </c>
      <c r="Q5880" s="102" t="s">
        <v>2468</v>
      </c>
      <c r="S5880" s="1"/>
      <c r="T5880" s="1"/>
      <c r="U5880" s="1"/>
      <c r="V5880" s="1"/>
      <c r="W5880" s="1"/>
      <c r="X5880" s="1"/>
      <c r="Y5880" s="1"/>
      <c r="AA5880" s="102"/>
      <c r="AB5880" s="1"/>
      <c r="AC5880" s="1"/>
      <c r="AD5880" s="1"/>
      <c r="AE5880" s="1"/>
      <c r="AF5880" s="1"/>
      <c r="AG5880" s="1"/>
    </row>
    <row r="5881" ht="15.75" customHeight="1">
      <c r="A5881" s="1"/>
      <c r="B5881" s="1"/>
      <c r="C5881" s="1"/>
      <c r="D5881" s="1"/>
      <c r="E5881" s="1"/>
      <c r="F5881" s="1"/>
      <c r="G5881" s="1"/>
      <c r="H5881" s="1"/>
      <c r="I5881" s="1"/>
      <c r="J5881" s="1"/>
      <c r="K5881" s="102" t="s">
        <v>9231</v>
      </c>
      <c r="L5881" s="102" t="str">
        <f>C699</f>
        <v>J2a</v>
      </c>
      <c r="M5881" s="102" t="s">
        <v>9232</v>
      </c>
      <c r="N5881" s="102" t="s">
        <v>9233</v>
      </c>
      <c r="O5881" s="105">
        <v>1.4106407E7</v>
      </c>
      <c r="P5881" s="105">
        <v>1.1985701E7</v>
      </c>
      <c r="Q5881" s="102" t="s">
        <v>2439</v>
      </c>
      <c r="S5881" s="1"/>
      <c r="T5881" s="1"/>
      <c r="U5881" s="1"/>
      <c r="V5881" s="1"/>
      <c r="W5881" s="1"/>
      <c r="X5881" s="1"/>
      <c r="Y5881" s="1"/>
      <c r="AA5881" s="102"/>
      <c r="AB5881" s="1"/>
      <c r="AC5881" s="1"/>
      <c r="AD5881" s="1"/>
      <c r="AE5881" s="1"/>
      <c r="AF5881" s="1"/>
      <c r="AG5881" s="1"/>
    </row>
    <row r="5882" ht="15.75" customHeight="1">
      <c r="A5882" s="1"/>
      <c r="B5882" s="1"/>
      <c r="C5882" s="1"/>
      <c r="D5882" s="1"/>
      <c r="E5882" s="1"/>
      <c r="F5882" s="1"/>
      <c r="G5882" s="1"/>
      <c r="H5882" s="1"/>
      <c r="I5882" s="1"/>
      <c r="J5882" s="1"/>
      <c r="K5882" s="102" t="s">
        <v>9232</v>
      </c>
      <c r="L5882" s="102" t="str">
        <f>C699</f>
        <v>J2a</v>
      </c>
      <c r="M5882" s="102" t="s">
        <v>9231</v>
      </c>
      <c r="N5882" s="102" t="s">
        <v>9233</v>
      </c>
      <c r="O5882" s="105">
        <v>1.4106407E7</v>
      </c>
      <c r="P5882" s="105">
        <v>1.1985701E7</v>
      </c>
      <c r="Q5882" s="102" t="s">
        <v>2439</v>
      </c>
      <c r="S5882" s="1"/>
      <c r="T5882" s="1"/>
      <c r="U5882" s="1"/>
      <c r="V5882" s="1"/>
      <c r="W5882" s="1"/>
      <c r="X5882" s="1"/>
      <c r="Y5882" s="1"/>
      <c r="AA5882" s="102"/>
      <c r="AB5882" s="1"/>
      <c r="AC5882" s="1"/>
      <c r="AD5882" s="1"/>
      <c r="AE5882" s="1"/>
      <c r="AF5882" s="1"/>
      <c r="AG5882" s="1"/>
    </row>
    <row r="5883" ht="15.75" customHeight="1">
      <c r="A5883" s="1"/>
      <c r="B5883" s="1"/>
      <c r="C5883" s="1"/>
      <c r="D5883" s="1"/>
      <c r="E5883" s="1"/>
      <c r="F5883" s="1"/>
      <c r="G5883" s="1"/>
      <c r="H5883" s="1"/>
      <c r="I5883" s="1"/>
      <c r="J5883" s="1"/>
      <c r="K5883" s="102" t="s">
        <v>9234</v>
      </c>
      <c r="L5883" s="102" t="str">
        <f>C699</f>
        <v>J2a</v>
      </c>
      <c r="M5883" s="102"/>
      <c r="N5883" s="102" t="s">
        <v>9235</v>
      </c>
      <c r="O5883" s="105">
        <v>2.2243566E7</v>
      </c>
      <c r="P5883" s="105">
        <v>2.008168E7</v>
      </c>
      <c r="Q5883" s="102" t="s">
        <v>2501</v>
      </c>
      <c r="S5883" s="1"/>
      <c r="T5883" s="1"/>
      <c r="U5883" s="1"/>
      <c r="V5883" s="1"/>
      <c r="W5883" s="1"/>
      <c r="X5883" s="1"/>
      <c r="Y5883" s="1"/>
      <c r="AA5883" s="102"/>
      <c r="AB5883" s="1"/>
      <c r="AC5883" s="1"/>
      <c r="AD5883" s="1"/>
      <c r="AE5883" s="1"/>
      <c r="AF5883" s="1"/>
      <c r="AG5883" s="1"/>
    </row>
    <row r="5884" ht="15.75" customHeight="1">
      <c r="A5884" s="1"/>
      <c r="B5884" s="1"/>
      <c r="C5884" s="1"/>
      <c r="D5884" s="1"/>
      <c r="E5884" s="1"/>
      <c r="F5884" s="1"/>
      <c r="G5884" s="1"/>
      <c r="H5884" s="1"/>
      <c r="I5884" s="1"/>
      <c r="J5884" s="1"/>
      <c r="K5884" s="102" t="s">
        <v>9236</v>
      </c>
      <c r="L5884" s="102" t="str">
        <f>C699</f>
        <v>J2a</v>
      </c>
      <c r="M5884" s="102" t="s">
        <v>9237</v>
      </c>
      <c r="N5884" s="102" t="s">
        <v>9238</v>
      </c>
      <c r="O5884" s="105">
        <v>2.2711465E7</v>
      </c>
      <c r="P5884" s="105">
        <v>2.0549579E7</v>
      </c>
      <c r="Q5884" s="102" t="s">
        <v>2529</v>
      </c>
      <c r="S5884" s="1"/>
      <c r="T5884" s="1"/>
      <c r="U5884" s="1"/>
      <c r="V5884" s="1"/>
      <c r="W5884" s="1"/>
      <c r="X5884" s="1"/>
      <c r="Y5884" s="1"/>
      <c r="AA5884" s="102"/>
      <c r="AB5884" s="1"/>
      <c r="AC5884" s="1"/>
      <c r="AD5884" s="1"/>
      <c r="AE5884" s="1"/>
      <c r="AF5884" s="1"/>
      <c r="AG5884" s="1"/>
    </row>
    <row r="5885" ht="15.75" customHeight="1">
      <c r="A5885" s="1"/>
      <c r="B5885" s="1"/>
      <c r="C5885" s="1"/>
      <c r="D5885" s="1"/>
      <c r="E5885" s="1"/>
      <c r="F5885" s="1"/>
      <c r="G5885" s="1"/>
      <c r="H5885" s="1"/>
      <c r="I5885" s="1"/>
      <c r="J5885" s="1"/>
      <c r="K5885" s="102" t="s">
        <v>9237</v>
      </c>
      <c r="L5885" s="102" t="str">
        <f>C699</f>
        <v>J2a</v>
      </c>
      <c r="M5885" s="102" t="s">
        <v>9236</v>
      </c>
      <c r="N5885" s="102" t="s">
        <v>9238</v>
      </c>
      <c r="O5885" s="105">
        <v>2.2711465E7</v>
      </c>
      <c r="P5885" s="105">
        <v>2.0549579E7</v>
      </c>
      <c r="Q5885" s="102" t="s">
        <v>2529</v>
      </c>
      <c r="S5885" s="1"/>
      <c r="T5885" s="1"/>
      <c r="U5885" s="1"/>
      <c r="V5885" s="1"/>
      <c r="W5885" s="1"/>
      <c r="X5885" s="1"/>
      <c r="Y5885" s="1"/>
      <c r="AA5885" s="102"/>
      <c r="AB5885" s="1"/>
      <c r="AC5885" s="1"/>
      <c r="AD5885" s="1"/>
      <c r="AE5885" s="1"/>
      <c r="AF5885" s="1"/>
      <c r="AG5885" s="1"/>
    </row>
    <row r="5886" ht="15.75" customHeight="1">
      <c r="A5886" s="1"/>
      <c r="B5886" s="1"/>
      <c r="C5886" s="1"/>
      <c r="D5886" s="1"/>
      <c r="E5886" s="1"/>
      <c r="F5886" s="1"/>
      <c r="G5886" s="1"/>
      <c r="H5886" s="1"/>
      <c r="I5886" s="1"/>
      <c r="J5886" s="1"/>
      <c r="K5886" s="102" t="s">
        <v>9239</v>
      </c>
      <c r="L5886" s="102" t="str">
        <f>C699</f>
        <v>J2a</v>
      </c>
      <c r="M5886" s="102" t="s">
        <v>9240</v>
      </c>
      <c r="N5886" s="102" t="s">
        <v>9241</v>
      </c>
      <c r="O5886" s="105">
        <v>2.1970721E7</v>
      </c>
      <c r="P5886" s="105">
        <v>1.9808835E7</v>
      </c>
      <c r="Q5886" s="102" t="s">
        <v>2446</v>
      </c>
      <c r="S5886" s="1"/>
      <c r="T5886" s="1"/>
      <c r="U5886" s="1"/>
      <c r="V5886" s="1"/>
      <c r="W5886" s="1"/>
      <c r="X5886" s="1"/>
      <c r="Y5886" s="1"/>
      <c r="AA5886" s="102"/>
      <c r="AB5886" s="1"/>
      <c r="AC5886" s="1"/>
      <c r="AD5886" s="1"/>
      <c r="AE5886" s="1"/>
      <c r="AF5886" s="1"/>
      <c r="AG5886" s="1"/>
    </row>
    <row r="5887" ht="15.75" customHeight="1">
      <c r="A5887" s="1"/>
      <c r="B5887" s="1"/>
      <c r="C5887" s="1"/>
      <c r="D5887" s="1"/>
      <c r="E5887" s="1"/>
      <c r="F5887" s="1"/>
      <c r="G5887" s="1"/>
      <c r="H5887" s="1"/>
      <c r="I5887" s="1"/>
      <c r="J5887" s="1"/>
      <c r="K5887" s="102" t="s">
        <v>9240</v>
      </c>
      <c r="L5887" s="102" t="str">
        <f>C699</f>
        <v>J2a</v>
      </c>
      <c r="M5887" s="102" t="s">
        <v>9239</v>
      </c>
      <c r="N5887" s="102" t="s">
        <v>9241</v>
      </c>
      <c r="O5887" s="105">
        <v>2.1970721E7</v>
      </c>
      <c r="P5887" s="105">
        <v>1.9808835E7</v>
      </c>
      <c r="Q5887" s="102" t="s">
        <v>2446</v>
      </c>
      <c r="S5887" s="1"/>
      <c r="T5887" s="1"/>
      <c r="U5887" s="1"/>
      <c r="V5887" s="1"/>
      <c r="W5887" s="1"/>
      <c r="X5887" s="1"/>
      <c r="Y5887" s="1"/>
      <c r="AA5887" s="102"/>
      <c r="AB5887" s="1"/>
      <c r="AC5887" s="1"/>
      <c r="AD5887" s="1"/>
      <c r="AE5887" s="1"/>
      <c r="AF5887" s="1"/>
      <c r="AG5887" s="1"/>
    </row>
    <row r="5888" ht="15.75" customHeight="1">
      <c r="A5888" s="1"/>
      <c r="B5888" s="1"/>
      <c r="C5888" s="1"/>
      <c r="D5888" s="1"/>
      <c r="E5888" s="1"/>
      <c r="F5888" s="1"/>
      <c r="G5888" s="1"/>
      <c r="H5888" s="1"/>
      <c r="I5888" s="1"/>
      <c r="J5888" s="1"/>
      <c r="K5888" s="102" t="s">
        <v>9242</v>
      </c>
      <c r="L5888" s="102" t="str">
        <f>C699</f>
        <v>J2a</v>
      </c>
      <c r="M5888" s="102"/>
      <c r="N5888" s="102" t="s">
        <v>9243</v>
      </c>
      <c r="O5888" s="105">
        <v>1.6437462E7</v>
      </c>
      <c r="P5888" s="105">
        <v>1.4325582E7</v>
      </c>
      <c r="Q5888" s="102" t="s">
        <v>2468</v>
      </c>
      <c r="S5888" s="1"/>
      <c r="T5888" s="1"/>
      <c r="U5888" s="1"/>
      <c r="V5888" s="1"/>
      <c r="W5888" s="1"/>
      <c r="X5888" s="1"/>
      <c r="Y5888" s="1"/>
      <c r="AA5888" s="102"/>
      <c r="AB5888" s="1"/>
      <c r="AC5888" s="1"/>
      <c r="AD5888" s="1"/>
      <c r="AE5888" s="1"/>
      <c r="AF5888" s="1"/>
      <c r="AG5888" s="1"/>
    </row>
    <row r="5889" ht="15.75" customHeight="1">
      <c r="A5889" s="1"/>
      <c r="B5889" s="1"/>
      <c r="C5889" s="1"/>
      <c r="D5889" s="1"/>
      <c r="E5889" s="1"/>
      <c r="F5889" s="1"/>
      <c r="G5889" s="1"/>
      <c r="H5889" s="1"/>
      <c r="I5889" s="1"/>
      <c r="J5889" s="1"/>
      <c r="K5889" s="102" t="s">
        <v>9244</v>
      </c>
      <c r="L5889" s="102" t="str">
        <f>C699</f>
        <v>J2a</v>
      </c>
      <c r="M5889" s="102" t="s">
        <v>9245</v>
      </c>
      <c r="N5889" s="102" t="s">
        <v>9246</v>
      </c>
      <c r="O5889" s="105">
        <v>2.1674327E7</v>
      </c>
      <c r="P5889" s="105">
        <v>1.9512441E7</v>
      </c>
      <c r="Q5889" s="102" t="s">
        <v>2468</v>
      </c>
      <c r="S5889" s="1"/>
      <c r="T5889" s="1"/>
      <c r="U5889" s="1"/>
      <c r="V5889" s="1"/>
      <c r="W5889" s="1"/>
      <c r="X5889" s="1"/>
      <c r="Y5889" s="1"/>
      <c r="AA5889" s="102"/>
      <c r="AB5889" s="1"/>
      <c r="AC5889" s="1"/>
      <c r="AD5889" s="1"/>
      <c r="AE5889" s="1"/>
      <c r="AF5889" s="1"/>
      <c r="AG5889" s="1"/>
    </row>
    <row r="5890" ht="15.75" customHeight="1">
      <c r="A5890" s="1"/>
      <c r="B5890" s="1"/>
      <c r="C5890" s="1"/>
      <c r="D5890" s="1"/>
      <c r="E5890" s="1"/>
      <c r="F5890" s="1"/>
      <c r="G5890" s="1"/>
      <c r="H5890" s="1"/>
      <c r="I5890" s="1"/>
      <c r="J5890" s="1"/>
      <c r="K5890" s="102" t="s">
        <v>9245</v>
      </c>
      <c r="L5890" s="102" t="str">
        <f>C699</f>
        <v>J2a</v>
      </c>
      <c r="M5890" s="102" t="s">
        <v>9244</v>
      </c>
      <c r="N5890" s="102" t="s">
        <v>9246</v>
      </c>
      <c r="O5890" s="105">
        <v>2.1674327E7</v>
      </c>
      <c r="P5890" s="105">
        <v>1.9512441E7</v>
      </c>
      <c r="Q5890" s="102" t="s">
        <v>2468</v>
      </c>
      <c r="S5890" s="1"/>
      <c r="T5890" s="1"/>
      <c r="U5890" s="1"/>
      <c r="V5890" s="1"/>
      <c r="W5890" s="1"/>
      <c r="X5890" s="1"/>
      <c r="Y5890" s="1"/>
      <c r="AA5890" s="102"/>
      <c r="AB5890" s="1"/>
      <c r="AC5890" s="1"/>
      <c r="AD5890" s="1"/>
      <c r="AE5890" s="1"/>
      <c r="AF5890" s="1"/>
      <c r="AG5890" s="1"/>
    </row>
    <row r="5891" ht="15.75" customHeight="1">
      <c r="A5891" s="1"/>
      <c r="B5891" s="1"/>
      <c r="C5891" s="1"/>
      <c r="D5891" s="1"/>
      <c r="E5891" s="1"/>
      <c r="F5891" s="1"/>
      <c r="G5891" s="1"/>
      <c r="H5891" s="1"/>
      <c r="I5891" s="1"/>
      <c r="J5891" s="1"/>
      <c r="K5891" s="102" t="s">
        <v>9247</v>
      </c>
      <c r="L5891" s="102" t="str">
        <f>C699</f>
        <v>J2a</v>
      </c>
      <c r="M5891" s="102"/>
      <c r="N5891" s="102" t="s">
        <v>9248</v>
      </c>
      <c r="O5891" s="105">
        <v>7969047.0</v>
      </c>
      <c r="P5891" s="105">
        <v>8101006.0</v>
      </c>
      <c r="Q5891" s="102" t="s">
        <v>2468</v>
      </c>
      <c r="S5891" s="1"/>
      <c r="T5891" s="1"/>
      <c r="U5891" s="1"/>
      <c r="V5891" s="1"/>
      <c r="W5891" s="1"/>
      <c r="X5891" s="1"/>
      <c r="Y5891" s="1"/>
      <c r="AA5891" s="102"/>
      <c r="AB5891" s="1"/>
      <c r="AC5891" s="1"/>
      <c r="AD5891" s="1"/>
      <c r="AE5891" s="1"/>
      <c r="AF5891" s="1"/>
      <c r="AG5891" s="1"/>
    </row>
    <row r="5892" ht="15.75" customHeight="1">
      <c r="A5892" s="1"/>
      <c r="B5892" s="1"/>
      <c r="C5892" s="1"/>
      <c r="D5892" s="1"/>
      <c r="E5892" s="1"/>
      <c r="F5892" s="1"/>
      <c r="G5892" s="1"/>
      <c r="H5892" s="1"/>
      <c r="I5892" s="1"/>
      <c r="J5892" s="1"/>
      <c r="K5892" s="102" t="s">
        <v>9249</v>
      </c>
      <c r="L5892" s="102" t="str">
        <f>C699</f>
        <v>J2a</v>
      </c>
      <c r="M5892" s="102"/>
      <c r="N5892" s="102" t="s">
        <v>9250</v>
      </c>
      <c r="O5892" s="105">
        <v>2.1337542E7</v>
      </c>
      <c r="P5892" s="105">
        <v>1.9175656E7</v>
      </c>
      <c r="Q5892" s="102" t="s">
        <v>2501</v>
      </c>
      <c r="S5892" s="1"/>
      <c r="T5892" s="1"/>
      <c r="U5892" s="1"/>
      <c r="V5892" s="1"/>
      <c r="W5892" s="1"/>
      <c r="X5892" s="1"/>
      <c r="Y5892" s="1"/>
      <c r="AA5892" s="102"/>
      <c r="AB5892" s="1"/>
      <c r="AC5892" s="1"/>
      <c r="AD5892" s="1"/>
      <c r="AE5892" s="1"/>
      <c r="AF5892" s="1"/>
      <c r="AG5892" s="1"/>
    </row>
    <row r="5893" ht="15.75" customHeight="1">
      <c r="A5893" s="1"/>
      <c r="B5893" s="1"/>
      <c r="C5893" s="1"/>
      <c r="D5893" s="1"/>
      <c r="E5893" s="1"/>
      <c r="F5893" s="1"/>
      <c r="G5893" s="1"/>
      <c r="H5893" s="1"/>
      <c r="I5893" s="1"/>
      <c r="J5893" s="1"/>
      <c r="K5893" s="102" t="s">
        <v>9251</v>
      </c>
      <c r="L5893" s="102" t="str">
        <f>C699</f>
        <v>J2a</v>
      </c>
      <c r="M5893" s="102"/>
      <c r="N5893" s="102" t="s">
        <v>9252</v>
      </c>
      <c r="O5893" s="105">
        <v>2.1555393E7</v>
      </c>
      <c r="P5893" s="105">
        <v>1.9393507E7</v>
      </c>
      <c r="Q5893" s="102" t="s">
        <v>2439</v>
      </c>
      <c r="S5893" s="1"/>
      <c r="T5893" s="1"/>
      <c r="U5893" s="1"/>
      <c r="V5893" s="1"/>
      <c r="W5893" s="1"/>
      <c r="X5893" s="1"/>
      <c r="Y5893" s="1"/>
      <c r="AA5893" s="102"/>
      <c r="AB5893" s="1"/>
      <c r="AC5893" s="1"/>
      <c r="AD5893" s="1"/>
      <c r="AE5893" s="1"/>
      <c r="AF5893" s="1"/>
      <c r="AG5893" s="1"/>
    </row>
    <row r="5894" ht="15.75" customHeight="1">
      <c r="A5894" s="1"/>
      <c r="B5894" s="1"/>
      <c r="C5894" s="1"/>
      <c r="D5894" s="1"/>
      <c r="E5894" s="1"/>
      <c r="F5894" s="1"/>
      <c r="G5894" s="1"/>
      <c r="H5894" s="1"/>
      <c r="I5894" s="1"/>
      <c r="J5894" s="1"/>
      <c r="K5894" s="102" t="s">
        <v>9253</v>
      </c>
      <c r="L5894" s="102" t="str">
        <f>C699</f>
        <v>J2a</v>
      </c>
      <c r="M5894" s="102"/>
      <c r="N5894" s="102" t="s">
        <v>9254</v>
      </c>
      <c r="O5894" s="105">
        <v>7676739.0</v>
      </c>
      <c r="P5894" s="105">
        <v>7808698.0</v>
      </c>
      <c r="Q5894" s="102" t="s">
        <v>2501</v>
      </c>
      <c r="S5894" s="1"/>
      <c r="T5894" s="1"/>
      <c r="U5894" s="1"/>
      <c r="V5894" s="1"/>
      <c r="W5894" s="1"/>
      <c r="X5894" s="1"/>
      <c r="Y5894" s="1"/>
      <c r="AA5894" s="102"/>
      <c r="AB5894" s="1"/>
      <c r="AC5894" s="1"/>
      <c r="AD5894" s="1"/>
      <c r="AE5894" s="1"/>
      <c r="AF5894" s="1"/>
      <c r="AG5894" s="1"/>
    </row>
    <row r="5895" ht="15.75" customHeight="1">
      <c r="A5895" s="1"/>
      <c r="B5895" s="1"/>
      <c r="C5895" s="1"/>
      <c r="D5895" s="1"/>
      <c r="E5895" s="1"/>
      <c r="F5895" s="1"/>
      <c r="G5895" s="1"/>
      <c r="H5895" s="1"/>
      <c r="I5895" s="1"/>
      <c r="J5895" s="1"/>
      <c r="K5895" s="102" t="s">
        <v>9255</v>
      </c>
      <c r="L5895" s="102" t="str">
        <f>C699</f>
        <v>J2a</v>
      </c>
      <c r="M5895" s="102"/>
      <c r="N5895" s="102" t="s">
        <v>9256</v>
      </c>
      <c r="O5895" s="105">
        <v>7680253.0</v>
      </c>
      <c r="P5895" s="105">
        <v>7812212.0</v>
      </c>
      <c r="Q5895" s="102" t="s">
        <v>2514</v>
      </c>
      <c r="S5895" s="1"/>
      <c r="T5895" s="1"/>
      <c r="U5895" s="1"/>
      <c r="V5895" s="1"/>
      <c r="W5895" s="1"/>
      <c r="X5895" s="1"/>
      <c r="Y5895" s="1"/>
      <c r="AA5895" s="102"/>
      <c r="AB5895" s="1"/>
      <c r="AC5895" s="1"/>
      <c r="AD5895" s="1"/>
      <c r="AE5895" s="1"/>
      <c r="AF5895" s="1"/>
      <c r="AG5895" s="1"/>
    </row>
    <row r="5896" ht="15.75" customHeight="1">
      <c r="A5896" s="1"/>
      <c r="B5896" s="1"/>
      <c r="C5896" s="1"/>
      <c r="D5896" s="1"/>
      <c r="E5896" s="1"/>
      <c r="F5896" s="1"/>
      <c r="G5896" s="1"/>
      <c r="H5896" s="1"/>
      <c r="I5896" s="1"/>
      <c r="J5896" s="1"/>
      <c r="K5896" s="102" t="s">
        <v>9257</v>
      </c>
      <c r="L5896" s="102" t="str">
        <f>C699</f>
        <v>J2a</v>
      </c>
      <c r="M5896" s="102"/>
      <c r="N5896" s="102" t="s">
        <v>9258</v>
      </c>
      <c r="O5896" s="105">
        <v>7839500.0</v>
      </c>
      <c r="P5896" s="105">
        <v>7971459.0</v>
      </c>
      <c r="Q5896" s="102" t="s">
        <v>2454</v>
      </c>
      <c r="S5896" s="1"/>
      <c r="T5896" s="1"/>
      <c r="U5896" s="1"/>
      <c r="V5896" s="1"/>
      <c r="W5896" s="1"/>
      <c r="X5896" s="1"/>
      <c r="Y5896" s="1"/>
      <c r="AA5896" s="102"/>
      <c r="AB5896" s="1"/>
      <c r="AC5896" s="1"/>
      <c r="AD5896" s="1"/>
      <c r="AE5896" s="1"/>
      <c r="AF5896" s="1"/>
      <c r="AG5896" s="1"/>
    </row>
    <row r="5897" ht="15.75" customHeight="1">
      <c r="A5897" s="1"/>
      <c r="B5897" s="1"/>
      <c r="C5897" s="1"/>
      <c r="D5897" s="1"/>
      <c r="E5897" s="1"/>
      <c r="F5897" s="1"/>
      <c r="G5897" s="1"/>
      <c r="H5897" s="1"/>
      <c r="I5897" s="1"/>
      <c r="J5897" s="1"/>
      <c r="K5897" s="102" t="s">
        <v>9259</v>
      </c>
      <c r="L5897" s="102" t="str">
        <f>C699</f>
        <v>J2a</v>
      </c>
      <c r="M5897" s="102"/>
      <c r="N5897" s="102" t="s">
        <v>9260</v>
      </c>
      <c r="O5897" s="105">
        <v>2.1258787E7</v>
      </c>
      <c r="P5897" s="105">
        <v>1.9096901E7</v>
      </c>
      <c r="Q5897" s="102" t="s">
        <v>2529</v>
      </c>
      <c r="S5897" s="1"/>
      <c r="T5897" s="1"/>
      <c r="U5897" s="1"/>
      <c r="V5897" s="1"/>
      <c r="W5897" s="1"/>
      <c r="X5897" s="1"/>
      <c r="Y5897" s="1"/>
      <c r="AA5897" s="102"/>
      <c r="AB5897" s="1"/>
      <c r="AC5897" s="1"/>
      <c r="AD5897" s="1"/>
      <c r="AE5897" s="1"/>
      <c r="AF5897" s="1"/>
      <c r="AG5897" s="1"/>
    </row>
    <row r="5898" ht="15.75" customHeight="1">
      <c r="A5898" s="1"/>
      <c r="B5898" s="1"/>
      <c r="C5898" s="1"/>
      <c r="D5898" s="1"/>
      <c r="E5898" s="1"/>
      <c r="F5898" s="1"/>
      <c r="G5898" s="1"/>
      <c r="H5898" s="1"/>
      <c r="I5898" s="1"/>
      <c r="J5898" s="1"/>
      <c r="K5898" s="102" t="s">
        <v>9261</v>
      </c>
      <c r="L5898" s="102" t="str">
        <f>C699</f>
        <v>J2a</v>
      </c>
      <c r="M5898" s="102"/>
      <c r="N5898" s="102" t="s">
        <v>9262</v>
      </c>
      <c r="O5898" s="105">
        <v>2.1318263E7</v>
      </c>
      <c r="P5898" s="105">
        <v>1.9156377E7</v>
      </c>
      <c r="Q5898" s="102" t="s">
        <v>2454</v>
      </c>
      <c r="S5898" s="1"/>
      <c r="T5898" s="1"/>
      <c r="U5898" s="1"/>
      <c r="V5898" s="1"/>
      <c r="W5898" s="1"/>
      <c r="X5898" s="1"/>
      <c r="Y5898" s="1"/>
      <c r="AA5898" s="102"/>
      <c r="AB5898" s="1"/>
      <c r="AC5898" s="1"/>
      <c r="AD5898" s="1"/>
      <c r="AE5898" s="1"/>
      <c r="AF5898" s="1"/>
      <c r="AG5898" s="1"/>
    </row>
    <row r="5899" ht="15.75" customHeight="1">
      <c r="A5899" s="1"/>
      <c r="B5899" s="1"/>
      <c r="C5899" s="1"/>
      <c r="D5899" s="1"/>
      <c r="E5899" s="1"/>
      <c r="F5899" s="1"/>
      <c r="G5899" s="1"/>
      <c r="H5899" s="1"/>
      <c r="I5899" s="1"/>
      <c r="J5899" s="1"/>
      <c r="K5899" s="102" t="s">
        <v>9263</v>
      </c>
      <c r="L5899" s="102" t="str">
        <f t="shared" ref="L5899:L5900" si="123">C699</f>
        <v>J2a</v>
      </c>
      <c r="M5899" s="102"/>
      <c r="N5899" s="102" t="s">
        <v>9264</v>
      </c>
      <c r="O5899" s="105">
        <v>2.1541669E7</v>
      </c>
      <c r="P5899" s="105">
        <v>1.9379783E7</v>
      </c>
      <c r="Q5899" s="102" t="s">
        <v>2529</v>
      </c>
      <c r="S5899" s="1"/>
      <c r="T5899" s="1"/>
      <c r="U5899" s="1"/>
      <c r="V5899" s="1"/>
      <c r="W5899" s="1"/>
      <c r="X5899" s="1"/>
      <c r="Y5899" s="1"/>
      <c r="AA5899" s="102"/>
      <c r="AB5899" s="1"/>
      <c r="AC5899" s="1"/>
      <c r="AD5899" s="1"/>
      <c r="AE5899" s="1"/>
      <c r="AF5899" s="1"/>
      <c r="AG5899" s="1"/>
    </row>
    <row r="5900" ht="15.75" customHeight="1">
      <c r="A5900" s="1"/>
      <c r="B5900" s="1"/>
      <c r="C5900" s="1"/>
      <c r="D5900" s="1"/>
      <c r="E5900" s="1"/>
      <c r="F5900" s="1"/>
      <c r="G5900" s="1"/>
      <c r="H5900" s="1"/>
      <c r="I5900" s="1"/>
      <c r="J5900" s="1"/>
      <c r="K5900" s="102" t="s">
        <v>9265</v>
      </c>
      <c r="L5900" s="102" t="str">
        <f t="shared" si="123"/>
        <v>J2a~</v>
      </c>
      <c r="M5900" s="102" t="s">
        <v>9266</v>
      </c>
      <c r="N5900" s="102" t="s">
        <v>9267</v>
      </c>
      <c r="O5900" s="105">
        <v>7342300.0</v>
      </c>
      <c r="P5900" s="105">
        <v>7474259.0</v>
      </c>
      <c r="Q5900" s="102" t="s">
        <v>2514</v>
      </c>
      <c r="S5900" s="1"/>
      <c r="T5900" s="1"/>
      <c r="U5900" s="1"/>
      <c r="V5900" s="1"/>
      <c r="W5900" s="1"/>
      <c r="X5900" s="1"/>
      <c r="Y5900" s="1"/>
      <c r="AA5900" s="102"/>
      <c r="AB5900" s="1"/>
      <c r="AC5900" s="1"/>
      <c r="AD5900" s="1"/>
      <c r="AE5900" s="1"/>
      <c r="AF5900" s="1"/>
      <c r="AG5900" s="1"/>
    </row>
    <row r="5901" ht="15.75" customHeight="1">
      <c r="A5901" s="1"/>
      <c r="B5901" s="1"/>
      <c r="C5901" s="1"/>
      <c r="D5901" s="1"/>
      <c r="E5901" s="1"/>
      <c r="F5901" s="1"/>
      <c r="G5901" s="1"/>
      <c r="H5901" s="1"/>
      <c r="I5901" s="1"/>
      <c r="J5901" s="1"/>
      <c r="K5901" s="102" t="s">
        <v>9268</v>
      </c>
      <c r="L5901" s="102" t="str">
        <f>C700</f>
        <v>J2a~</v>
      </c>
      <c r="M5901" s="102" t="s">
        <v>9269</v>
      </c>
      <c r="N5901" s="102" t="s">
        <v>9267</v>
      </c>
      <c r="O5901" s="105">
        <v>7342300.0</v>
      </c>
      <c r="P5901" s="105">
        <v>7474259.0</v>
      </c>
      <c r="Q5901" s="102" t="s">
        <v>2514</v>
      </c>
      <c r="S5901" s="1"/>
      <c r="T5901" s="1"/>
      <c r="U5901" s="1"/>
      <c r="V5901" s="1"/>
      <c r="W5901" s="1"/>
      <c r="X5901" s="1"/>
      <c r="Y5901" s="1"/>
      <c r="AA5901" s="102"/>
      <c r="AB5901" s="1"/>
      <c r="AC5901" s="1"/>
      <c r="AD5901" s="1"/>
      <c r="AE5901" s="1"/>
      <c r="AF5901" s="1"/>
      <c r="AG5901" s="1"/>
    </row>
    <row r="5902" ht="15.75" customHeight="1">
      <c r="A5902" s="1"/>
      <c r="B5902" s="1"/>
      <c r="C5902" s="1"/>
      <c r="D5902" s="1"/>
      <c r="E5902" s="1"/>
      <c r="F5902" s="1"/>
      <c r="G5902" s="1"/>
      <c r="H5902" s="1"/>
      <c r="I5902" s="1"/>
      <c r="J5902" s="1"/>
      <c r="K5902" s="102" t="s">
        <v>9270</v>
      </c>
      <c r="L5902" s="102" t="str">
        <f>C700</f>
        <v>J2a~</v>
      </c>
      <c r="M5902" s="102" t="s">
        <v>9271</v>
      </c>
      <c r="N5902" s="102" t="s">
        <v>9267</v>
      </c>
      <c r="O5902" s="105">
        <v>7342300.0</v>
      </c>
      <c r="P5902" s="105">
        <v>7474259.0</v>
      </c>
      <c r="Q5902" s="102" t="s">
        <v>2514</v>
      </c>
      <c r="S5902" s="1"/>
      <c r="T5902" s="1"/>
      <c r="U5902" s="1"/>
      <c r="V5902" s="1"/>
      <c r="W5902" s="1"/>
      <c r="X5902" s="1"/>
      <c r="Y5902" s="1"/>
      <c r="AA5902" s="102"/>
      <c r="AB5902" s="1"/>
      <c r="AC5902" s="1"/>
      <c r="AD5902" s="1"/>
      <c r="AE5902" s="1"/>
      <c r="AF5902" s="1"/>
      <c r="AG5902" s="1"/>
    </row>
    <row r="5903" ht="15.75" customHeight="1">
      <c r="A5903" s="1"/>
      <c r="B5903" s="1"/>
      <c r="C5903" s="1"/>
      <c r="D5903" s="1"/>
      <c r="E5903" s="1"/>
      <c r="F5903" s="1"/>
      <c r="G5903" s="1"/>
      <c r="H5903" s="1"/>
      <c r="I5903" s="1"/>
      <c r="J5903" s="1"/>
      <c r="K5903" s="102" t="s">
        <v>9272</v>
      </c>
      <c r="L5903" s="102" t="str">
        <f>C700</f>
        <v>J2a~</v>
      </c>
      <c r="M5903" s="102" t="s">
        <v>9273</v>
      </c>
      <c r="N5903" s="102" t="s">
        <v>9274</v>
      </c>
      <c r="O5903" s="105">
        <v>1.8079406E7</v>
      </c>
      <c r="P5903" s="105">
        <v>1.5967526E7</v>
      </c>
      <c r="Q5903" s="102" t="s">
        <v>2501</v>
      </c>
      <c r="S5903" s="1"/>
      <c r="T5903" s="1"/>
      <c r="U5903" s="1"/>
      <c r="V5903" s="1"/>
      <c r="W5903" s="1"/>
      <c r="X5903" s="1"/>
      <c r="Y5903" s="1"/>
      <c r="AA5903" s="102"/>
      <c r="AB5903" s="1"/>
      <c r="AC5903" s="1"/>
      <c r="AD5903" s="1"/>
      <c r="AE5903" s="1"/>
      <c r="AF5903" s="1"/>
      <c r="AG5903" s="1"/>
    </row>
    <row r="5904" ht="15.75" customHeight="1">
      <c r="A5904" s="1"/>
      <c r="B5904" s="1"/>
      <c r="C5904" s="1"/>
      <c r="D5904" s="1"/>
      <c r="E5904" s="1"/>
      <c r="F5904" s="1"/>
      <c r="G5904" s="1"/>
      <c r="H5904" s="1"/>
      <c r="I5904" s="1"/>
      <c r="J5904" s="1"/>
      <c r="K5904" s="102" t="s">
        <v>9273</v>
      </c>
      <c r="L5904" s="102" t="str">
        <f>C700</f>
        <v>J2a~</v>
      </c>
      <c r="M5904" s="102" t="s">
        <v>9272</v>
      </c>
      <c r="N5904" s="102" t="s">
        <v>9274</v>
      </c>
      <c r="O5904" s="105">
        <v>1.8079406E7</v>
      </c>
      <c r="P5904" s="105">
        <v>1.5967526E7</v>
      </c>
      <c r="Q5904" s="102" t="s">
        <v>2501</v>
      </c>
      <c r="S5904" s="1"/>
      <c r="T5904" s="1"/>
      <c r="U5904" s="1"/>
      <c r="V5904" s="1"/>
      <c r="W5904" s="1"/>
      <c r="X5904" s="1"/>
      <c r="Y5904" s="1"/>
      <c r="AA5904" s="102"/>
      <c r="AB5904" s="1"/>
      <c r="AC5904" s="1"/>
      <c r="AD5904" s="1"/>
      <c r="AE5904" s="1"/>
      <c r="AF5904" s="1"/>
      <c r="AG5904" s="1"/>
    </row>
    <row r="5905" ht="15.75" customHeight="1">
      <c r="A5905" s="1"/>
      <c r="B5905" s="1"/>
      <c r="C5905" s="1"/>
      <c r="D5905" s="1"/>
      <c r="E5905" s="1"/>
      <c r="F5905" s="1"/>
      <c r="G5905" s="1"/>
      <c r="H5905" s="1"/>
      <c r="I5905" s="1"/>
      <c r="J5905" s="1"/>
      <c r="K5905" s="102" t="s">
        <v>9275</v>
      </c>
      <c r="L5905" s="102" t="str">
        <f>C700</f>
        <v>J2a~</v>
      </c>
      <c r="M5905" s="102" t="s">
        <v>9276</v>
      </c>
      <c r="N5905" s="102" t="s">
        <v>9277</v>
      </c>
      <c r="O5905" s="105">
        <v>1.9102795E7</v>
      </c>
      <c r="P5905" s="105">
        <v>1.6990915E7</v>
      </c>
      <c r="Q5905" s="102" t="s">
        <v>2446</v>
      </c>
      <c r="S5905" s="1"/>
      <c r="T5905" s="1"/>
      <c r="U5905" s="1"/>
      <c r="V5905" s="1"/>
      <c r="W5905" s="1"/>
      <c r="X5905" s="1"/>
      <c r="Y5905" s="1"/>
      <c r="AA5905" s="102"/>
      <c r="AB5905" s="1"/>
      <c r="AC5905" s="1"/>
      <c r="AD5905" s="1"/>
      <c r="AE5905" s="1"/>
      <c r="AF5905" s="1"/>
      <c r="AG5905" s="1"/>
    </row>
    <row r="5906" ht="15.75" customHeight="1">
      <c r="A5906" s="1"/>
      <c r="B5906" s="1"/>
      <c r="C5906" s="1"/>
      <c r="D5906" s="1"/>
      <c r="E5906" s="1"/>
      <c r="F5906" s="1"/>
      <c r="G5906" s="1"/>
      <c r="H5906" s="1"/>
      <c r="I5906" s="1"/>
      <c r="J5906" s="1"/>
      <c r="K5906" s="102" t="s">
        <v>9276</v>
      </c>
      <c r="L5906" s="102" t="str">
        <f>C700</f>
        <v>J2a~</v>
      </c>
      <c r="M5906" s="102" t="s">
        <v>9275</v>
      </c>
      <c r="N5906" s="102" t="s">
        <v>9277</v>
      </c>
      <c r="O5906" s="105">
        <v>1.9102795E7</v>
      </c>
      <c r="P5906" s="105">
        <v>1.6990915E7</v>
      </c>
      <c r="Q5906" s="102" t="s">
        <v>2446</v>
      </c>
      <c r="S5906" s="1"/>
      <c r="T5906" s="1"/>
      <c r="U5906" s="1"/>
      <c r="V5906" s="1"/>
      <c r="W5906" s="1"/>
      <c r="X5906" s="1"/>
      <c r="Y5906" s="1"/>
      <c r="AA5906" s="102"/>
      <c r="AB5906" s="1"/>
      <c r="AC5906" s="1"/>
      <c r="AD5906" s="1"/>
      <c r="AE5906" s="1"/>
      <c r="AF5906" s="1"/>
      <c r="AG5906" s="1"/>
    </row>
    <row r="5907" ht="15.75" customHeight="1">
      <c r="A5907" s="1"/>
      <c r="B5907" s="1"/>
      <c r="C5907" s="1"/>
      <c r="D5907" s="1"/>
      <c r="E5907" s="1"/>
      <c r="F5907" s="1"/>
      <c r="G5907" s="1"/>
      <c r="H5907" s="1"/>
      <c r="I5907" s="1"/>
      <c r="J5907" s="1"/>
      <c r="K5907" s="102" t="s">
        <v>9278</v>
      </c>
      <c r="L5907" s="102" t="str">
        <f>C700</f>
        <v>J2a~</v>
      </c>
      <c r="M5907" s="102" t="s">
        <v>9279</v>
      </c>
      <c r="N5907" s="102" t="s">
        <v>9280</v>
      </c>
      <c r="O5907" s="105">
        <v>1.9183966E7</v>
      </c>
      <c r="P5907" s="105">
        <v>1.7072086E7</v>
      </c>
      <c r="Q5907" s="102" t="s">
        <v>2514</v>
      </c>
      <c r="S5907" s="1"/>
      <c r="T5907" s="1"/>
      <c r="U5907" s="1"/>
      <c r="V5907" s="1"/>
      <c r="W5907" s="1"/>
      <c r="X5907" s="1"/>
      <c r="Y5907" s="1"/>
      <c r="AA5907" s="102"/>
      <c r="AB5907" s="1"/>
      <c r="AC5907" s="1"/>
      <c r="AD5907" s="1"/>
      <c r="AE5907" s="1"/>
      <c r="AF5907" s="1"/>
      <c r="AG5907" s="1"/>
    </row>
    <row r="5908" ht="15.75" customHeight="1">
      <c r="A5908" s="1"/>
      <c r="B5908" s="1"/>
      <c r="C5908" s="1"/>
      <c r="D5908" s="1"/>
      <c r="E5908" s="1"/>
      <c r="F5908" s="1"/>
      <c r="G5908" s="1"/>
      <c r="H5908" s="1"/>
      <c r="I5908" s="1"/>
      <c r="J5908" s="1"/>
      <c r="K5908" s="102" t="s">
        <v>9279</v>
      </c>
      <c r="L5908" s="102" t="str">
        <f>C700</f>
        <v>J2a~</v>
      </c>
      <c r="M5908" s="102" t="s">
        <v>9278</v>
      </c>
      <c r="N5908" s="102" t="s">
        <v>9280</v>
      </c>
      <c r="O5908" s="105">
        <v>1.9183966E7</v>
      </c>
      <c r="P5908" s="105">
        <v>1.7072086E7</v>
      </c>
      <c r="Q5908" s="102" t="s">
        <v>2514</v>
      </c>
      <c r="S5908" s="1"/>
      <c r="T5908" s="1"/>
      <c r="U5908" s="1"/>
      <c r="V5908" s="1"/>
      <c r="W5908" s="1"/>
      <c r="X5908" s="1"/>
      <c r="Y5908" s="1"/>
      <c r="AA5908" s="102"/>
      <c r="AB5908" s="1"/>
      <c r="AC5908" s="1"/>
      <c r="AD5908" s="1"/>
      <c r="AE5908" s="1"/>
      <c r="AF5908" s="1"/>
      <c r="AG5908" s="1"/>
    </row>
    <row r="5909" ht="15.75" customHeight="1">
      <c r="A5909" s="1"/>
      <c r="B5909" s="1"/>
      <c r="C5909" s="1"/>
      <c r="D5909" s="1"/>
      <c r="E5909" s="1"/>
      <c r="F5909" s="1"/>
      <c r="G5909" s="1"/>
      <c r="H5909" s="1"/>
      <c r="I5909" s="1"/>
      <c r="J5909" s="1"/>
      <c r="K5909" s="102" t="s">
        <v>9281</v>
      </c>
      <c r="L5909" s="102" t="str">
        <f>C700</f>
        <v>J2a~</v>
      </c>
      <c r="M5909" s="102" t="s">
        <v>9282</v>
      </c>
      <c r="N5909" s="102" t="s">
        <v>9283</v>
      </c>
      <c r="O5909" s="105">
        <v>8420738.0</v>
      </c>
      <c r="P5909" s="105">
        <v>8552697.0</v>
      </c>
      <c r="Q5909" s="102" t="s">
        <v>2576</v>
      </c>
      <c r="S5909" s="1"/>
      <c r="T5909" s="1"/>
      <c r="U5909" s="1"/>
      <c r="V5909" s="1"/>
      <c r="W5909" s="1"/>
      <c r="X5909" s="1"/>
      <c r="Y5909" s="1"/>
      <c r="AA5909" s="102"/>
      <c r="AB5909" s="1"/>
      <c r="AC5909" s="1"/>
      <c r="AD5909" s="1"/>
      <c r="AE5909" s="1"/>
      <c r="AF5909" s="1"/>
      <c r="AG5909" s="1"/>
    </row>
    <row r="5910" ht="15.75" customHeight="1">
      <c r="A5910" s="1"/>
      <c r="B5910" s="1"/>
      <c r="C5910" s="1"/>
      <c r="D5910" s="1"/>
      <c r="E5910" s="1"/>
      <c r="F5910" s="1"/>
      <c r="G5910" s="1"/>
      <c r="H5910" s="1"/>
      <c r="I5910" s="1"/>
      <c r="J5910" s="1"/>
      <c r="K5910" s="102" t="s">
        <v>9282</v>
      </c>
      <c r="L5910" s="102" t="str">
        <f>C700</f>
        <v>J2a~</v>
      </c>
      <c r="M5910" s="102" t="s">
        <v>9281</v>
      </c>
      <c r="N5910" s="102" t="s">
        <v>9283</v>
      </c>
      <c r="O5910" s="105">
        <v>8420738.0</v>
      </c>
      <c r="P5910" s="105">
        <v>8552697.0</v>
      </c>
      <c r="Q5910" s="102" t="s">
        <v>2576</v>
      </c>
      <c r="S5910" s="1"/>
      <c r="T5910" s="1"/>
      <c r="U5910" s="1"/>
      <c r="V5910" s="1"/>
      <c r="W5910" s="1"/>
      <c r="X5910" s="1"/>
      <c r="Y5910" s="1"/>
      <c r="AA5910" s="102"/>
      <c r="AB5910" s="1"/>
      <c r="AC5910" s="1"/>
      <c r="AD5910" s="1"/>
      <c r="AE5910" s="1"/>
      <c r="AF5910" s="1"/>
      <c r="AG5910" s="1"/>
    </row>
    <row r="5911" ht="15.75" customHeight="1">
      <c r="A5911" s="1"/>
      <c r="B5911" s="1"/>
      <c r="C5911" s="1"/>
      <c r="D5911" s="1"/>
      <c r="E5911" s="1"/>
      <c r="F5911" s="1"/>
      <c r="G5911" s="1"/>
      <c r="H5911" s="1"/>
      <c r="I5911" s="1"/>
      <c r="J5911" s="1"/>
      <c r="K5911" s="102" t="s">
        <v>9284</v>
      </c>
      <c r="L5911" s="102" t="str">
        <f>C700</f>
        <v>J2a~</v>
      </c>
      <c r="M5911" s="102" t="s">
        <v>9285</v>
      </c>
      <c r="N5911" s="102" t="s">
        <v>9286</v>
      </c>
      <c r="O5911" s="105">
        <v>1.4628068E7</v>
      </c>
      <c r="P5911" s="105">
        <v>1.2516136E7</v>
      </c>
      <c r="Q5911" s="102" t="s">
        <v>2529</v>
      </c>
      <c r="S5911" s="1"/>
      <c r="T5911" s="1"/>
      <c r="U5911" s="1"/>
      <c r="V5911" s="1"/>
      <c r="W5911" s="1"/>
      <c r="X5911" s="1"/>
      <c r="Y5911" s="1"/>
      <c r="AA5911" s="102"/>
      <c r="AB5911" s="1"/>
      <c r="AC5911" s="1"/>
      <c r="AD5911" s="1"/>
      <c r="AE5911" s="1"/>
      <c r="AF5911" s="1"/>
      <c r="AG5911" s="1"/>
    </row>
    <row r="5912" ht="15.75" customHeight="1">
      <c r="A5912" s="1"/>
      <c r="B5912" s="1"/>
      <c r="C5912" s="1"/>
      <c r="D5912" s="1"/>
      <c r="E5912" s="1"/>
      <c r="F5912" s="1"/>
      <c r="G5912" s="1"/>
      <c r="H5912" s="1"/>
      <c r="I5912" s="1"/>
      <c r="J5912" s="1"/>
      <c r="K5912" s="102" t="s">
        <v>9285</v>
      </c>
      <c r="L5912" s="102" t="str">
        <f>C700</f>
        <v>J2a~</v>
      </c>
      <c r="M5912" s="102" t="s">
        <v>9284</v>
      </c>
      <c r="N5912" s="102" t="s">
        <v>9286</v>
      </c>
      <c r="O5912" s="105">
        <v>1.4628068E7</v>
      </c>
      <c r="P5912" s="105">
        <v>1.2516136E7</v>
      </c>
      <c r="Q5912" s="102" t="s">
        <v>2529</v>
      </c>
      <c r="S5912" s="1"/>
      <c r="T5912" s="1"/>
      <c r="U5912" s="1"/>
      <c r="V5912" s="1"/>
      <c r="W5912" s="1"/>
      <c r="X5912" s="1"/>
      <c r="Y5912" s="1"/>
      <c r="AA5912" s="102"/>
      <c r="AB5912" s="1"/>
      <c r="AC5912" s="1"/>
      <c r="AD5912" s="1"/>
      <c r="AE5912" s="1"/>
      <c r="AF5912" s="1"/>
      <c r="AG5912" s="1"/>
    </row>
    <row r="5913" ht="15.75" customHeight="1">
      <c r="A5913" s="1"/>
      <c r="B5913" s="1"/>
      <c r="C5913" s="1"/>
      <c r="D5913" s="1"/>
      <c r="E5913" s="1"/>
      <c r="F5913" s="1"/>
      <c r="G5913" s="1"/>
      <c r="H5913" s="1"/>
      <c r="I5913" s="1"/>
      <c r="J5913" s="1"/>
      <c r="K5913" s="102" t="s">
        <v>9287</v>
      </c>
      <c r="L5913" s="102" t="str">
        <f>C700</f>
        <v>J2a~</v>
      </c>
      <c r="M5913" s="102" t="s">
        <v>9288</v>
      </c>
      <c r="N5913" s="102" t="s">
        <v>9289</v>
      </c>
      <c r="O5913" s="105">
        <v>1.6739675E7</v>
      </c>
      <c r="P5913" s="105">
        <v>1.4627795E7</v>
      </c>
      <c r="Q5913" s="102" t="s">
        <v>2501</v>
      </c>
      <c r="S5913" s="1"/>
      <c r="T5913" s="1"/>
      <c r="U5913" s="1"/>
      <c r="V5913" s="1"/>
      <c r="W5913" s="1"/>
      <c r="X5913" s="1"/>
      <c r="Y5913" s="1"/>
      <c r="AA5913" s="102"/>
      <c r="AB5913" s="1"/>
      <c r="AC5913" s="1"/>
      <c r="AD5913" s="1"/>
      <c r="AE5913" s="1"/>
      <c r="AF5913" s="1"/>
      <c r="AG5913" s="1"/>
    </row>
    <row r="5914" ht="15.75" customHeight="1">
      <c r="A5914" s="1"/>
      <c r="B5914" s="1"/>
      <c r="C5914" s="1"/>
      <c r="D5914" s="1"/>
      <c r="E5914" s="1"/>
      <c r="F5914" s="1"/>
      <c r="G5914" s="1"/>
      <c r="H5914" s="1"/>
      <c r="I5914" s="1"/>
      <c r="J5914" s="1"/>
      <c r="K5914" s="102" t="s">
        <v>9288</v>
      </c>
      <c r="L5914" s="102" t="str">
        <f>C700</f>
        <v>J2a~</v>
      </c>
      <c r="M5914" s="102" t="s">
        <v>9287</v>
      </c>
      <c r="N5914" s="102" t="s">
        <v>9289</v>
      </c>
      <c r="O5914" s="105">
        <v>1.6739675E7</v>
      </c>
      <c r="P5914" s="105">
        <v>1.4627795E7</v>
      </c>
      <c r="Q5914" s="102" t="s">
        <v>2501</v>
      </c>
      <c r="S5914" s="1"/>
      <c r="T5914" s="1"/>
      <c r="U5914" s="1"/>
      <c r="V5914" s="1"/>
      <c r="W5914" s="1"/>
      <c r="X5914" s="1"/>
      <c r="Y5914" s="1"/>
      <c r="AA5914" s="102"/>
      <c r="AB5914" s="1"/>
      <c r="AC5914" s="1"/>
      <c r="AD5914" s="1"/>
      <c r="AE5914" s="1"/>
      <c r="AF5914" s="1"/>
      <c r="AG5914" s="1"/>
    </row>
    <row r="5915" ht="15.75" customHeight="1">
      <c r="A5915" s="1"/>
      <c r="B5915" s="1"/>
      <c r="C5915" s="1"/>
      <c r="D5915" s="1"/>
      <c r="E5915" s="1"/>
      <c r="F5915" s="1"/>
      <c r="G5915" s="1"/>
      <c r="H5915" s="1"/>
      <c r="I5915" s="1"/>
      <c r="J5915" s="1"/>
      <c r="K5915" s="102" t="s">
        <v>9290</v>
      </c>
      <c r="L5915" s="102" t="str">
        <f>C700</f>
        <v>J2a~</v>
      </c>
      <c r="M5915" s="102"/>
      <c r="N5915" s="102" t="s">
        <v>9291</v>
      </c>
      <c r="O5915" s="105">
        <v>8827398.0</v>
      </c>
      <c r="P5915" s="105">
        <v>8959357.0</v>
      </c>
      <c r="Q5915" s="102" t="s">
        <v>2432</v>
      </c>
      <c r="S5915" s="1"/>
      <c r="T5915" s="1"/>
      <c r="U5915" s="1"/>
      <c r="V5915" s="1"/>
      <c r="W5915" s="1"/>
      <c r="X5915" s="1"/>
      <c r="Y5915" s="1"/>
      <c r="AA5915" s="102"/>
      <c r="AB5915" s="1"/>
      <c r="AC5915" s="1"/>
      <c r="AD5915" s="1"/>
      <c r="AE5915" s="1"/>
      <c r="AF5915" s="1"/>
      <c r="AG5915" s="1"/>
    </row>
    <row r="5916" ht="15.75" customHeight="1">
      <c r="A5916" s="1"/>
      <c r="B5916" s="1"/>
      <c r="C5916" s="1"/>
      <c r="D5916" s="1"/>
      <c r="E5916" s="1"/>
      <c r="F5916" s="1"/>
      <c r="G5916" s="1"/>
      <c r="H5916" s="1"/>
      <c r="I5916" s="1"/>
      <c r="J5916" s="1"/>
      <c r="K5916" s="102" t="s">
        <v>9292</v>
      </c>
      <c r="L5916" s="102" t="str">
        <f>C700</f>
        <v>J2a~</v>
      </c>
      <c r="M5916" s="102"/>
      <c r="N5916" s="102" t="s">
        <v>9293</v>
      </c>
      <c r="O5916" s="105">
        <v>2.1553644E7</v>
      </c>
      <c r="P5916" s="105">
        <v>1.9391758E7</v>
      </c>
      <c r="Q5916" s="102" t="s">
        <v>2439</v>
      </c>
      <c r="S5916" s="1"/>
      <c r="T5916" s="1"/>
      <c r="U5916" s="1"/>
      <c r="V5916" s="1"/>
      <c r="W5916" s="1"/>
      <c r="X5916" s="1"/>
      <c r="Y5916" s="1"/>
      <c r="AA5916" s="102"/>
      <c r="AB5916" s="1"/>
      <c r="AC5916" s="1"/>
      <c r="AD5916" s="1"/>
      <c r="AE5916" s="1"/>
      <c r="AF5916" s="1"/>
      <c r="AG5916" s="1"/>
    </row>
    <row r="5917" ht="15.75" customHeight="1">
      <c r="A5917" s="1"/>
      <c r="B5917" s="1"/>
      <c r="C5917" s="1"/>
      <c r="D5917" s="1"/>
      <c r="E5917" s="1"/>
      <c r="F5917" s="1"/>
      <c r="G5917" s="1"/>
      <c r="H5917" s="1"/>
      <c r="I5917" s="1"/>
      <c r="J5917" s="1"/>
      <c r="K5917" s="102" t="s">
        <v>9294</v>
      </c>
      <c r="L5917" s="102" t="str">
        <f>C700</f>
        <v>J2a~</v>
      </c>
      <c r="M5917" s="102"/>
      <c r="N5917" s="102" t="s">
        <v>9295</v>
      </c>
      <c r="O5917" s="105">
        <v>1.9274889E7</v>
      </c>
      <c r="P5917" s="105">
        <v>1.7163009E7</v>
      </c>
      <c r="Q5917" s="102" t="s">
        <v>2468</v>
      </c>
      <c r="S5917" s="1"/>
      <c r="T5917" s="1"/>
      <c r="U5917" s="1"/>
      <c r="V5917" s="1"/>
      <c r="W5917" s="1"/>
      <c r="X5917" s="1"/>
      <c r="Y5917" s="1"/>
      <c r="AA5917" s="102"/>
      <c r="AB5917" s="1"/>
      <c r="AC5917" s="1"/>
      <c r="AD5917" s="1"/>
      <c r="AE5917" s="1"/>
      <c r="AF5917" s="1"/>
      <c r="AG5917" s="1"/>
    </row>
    <row r="5918" ht="15.75" customHeight="1">
      <c r="A5918" s="1"/>
      <c r="B5918" s="1"/>
      <c r="C5918" s="1"/>
      <c r="D5918" s="1"/>
      <c r="E5918" s="1"/>
      <c r="F5918" s="1"/>
      <c r="G5918" s="1"/>
      <c r="H5918" s="1"/>
      <c r="I5918" s="1"/>
      <c r="J5918" s="1"/>
      <c r="K5918" s="106" t="s">
        <v>9296</v>
      </c>
      <c r="L5918" s="102" t="str">
        <f>D701</f>
        <v>J2a1</v>
      </c>
      <c r="M5918" s="102"/>
      <c r="N5918" s="108" t="s">
        <v>9297</v>
      </c>
      <c r="O5918" s="108">
        <v>2.2757708E7</v>
      </c>
      <c r="P5918" s="109">
        <v>2.0595822E7</v>
      </c>
      <c r="Q5918" s="106" t="s">
        <v>2576</v>
      </c>
      <c r="S5918" s="1"/>
      <c r="T5918" s="1"/>
      <c r="U5918" s="1"/>
      <c r="V5918" s="1"/>
      <c r="W5918" s="1"/>
      <c r="X5918" s="1"/>
      <c r="Y5918" s="1"/>
      <c r="AA5918" s="102"/>
      <c r="AB5918" s="1"/>
      <c r="AC5918" s="1"/>
      <c r="AD5918" s="1"/>
      <c r="AE5918" s="1"/>
      <c r="AF5918" s="1"/>
      <c r="AG5918" s="1"/>
    </row>
    <row r="5919" ht="15.75" customHeight="1">
      <c r="A5919" s="1"/>
      <c r="B5919" s="1"/>
      <c r="C5919" s="1"/>
      <c r="D5919" s="1"/>
      <c r="E5919" s="1"/>
      <c r="F5919" s="1"/>
      <c r="G5919" s="1"/>
      <c r="H5919" s="1"/>
      <c r="I5919" s="1"/>
      <c r="J5919" s="1"/>
      <c r="K5919" s="106" t="s">
        <v>9298</v>
      </c>
      <c r="L5919" s="102" t="str">
        <f>D701</f>
        <v>J2a1</v>
      </c>
      <c r="M5919" s="106" t="s">
        <v>9299</v>
      </c>
      <c r="N5919" s="108" t="s">
        <v>9300</v>
      </c>
      <c r="O5919" s="108">
        <v>6998824.0</v>
      </c>
      <c r="P5919" s="109">
        <v>7130783.0</v>
      </c>
      <c r="Q5919" s="106" t="s">
        <v>2576</v>
      </c>
      <c r="S5919" s="1"/>
      <c r="T5919" s="1"/>
      <c r="U5919" s="1"/>
      <c r="V5919" s="1"/>
      <c r="W5919" s="1"/>
      <c r="X5919" s="1"/>
      <c r="Y5919" s="1"/>
      <c r="AA5919" s="102"/>
      <c r="AB5919" s="1"/>
      <c r="AC5919" s="1"/>
      <c r="AD5919" s="1"/>
      <c r="AE5919" s="1"/>
      <c r="AF5919" s="1"/>
      <c r="AG5919" s="1"/>
    </row>
    <row r="5920" ht="15.75" customHeight="1">
      <c r="A5920" s="1"/>
      <c r="B5920" s="1"/>
      <c r="C5920" s="1"/>
      <c r="D5920" s="1"/>
      <c r="E5920" s="1"/>
      <c r="F5920" s="1"/>
      <c r="G5920" s="1"/>
      <c r="H5920" s="1"/>
      <c r="I5920" s="1"/>
      <c r="J5920" s="1"/>
      <c r="K5920" s="106" t="s">
        <v>9299</v>
      </c>
      <c r="L5920" s="102" t="str">
        <f>D701</f>
        <v>J2a1</v>
      </c>
      <c r="M5920" s="106" t="s">
        <v>9298</v>
      </c>
      <c r="N5920" s="108" t="s">
        <v>9300</v>
      </c>
      <c r="O5920" s="108">
        <v>6998824.0</v>
      </c>
      <c r="P5920" s="109">
        <v>7130783.0</v>
      </c>
      <c r="Q5920" s="106" t="s">
        <v>2576</v>
      </c>
      <c r="S5920" s="1"/>
      <c r="T5920" s="1"/>
      <c r="U5920" s="1"/>
      <c r="V5920" s="1"/>
      <c r="W5920" s="1"/>
      <c r="X5920" s="1"/>
      <c r="Y5920" s="1"/>
      <c r="AA5920" s="102"/>
      <c r="AB5920" s="1"/>
      <c r="AC5920" s="1"/>
      <c r="AD5920" s="1"/>
      <c r="AE5920" s="1"/>
      <c r="AF5920" s="1"/>
      <c r="AG5920" s="1"/>
    </row>
    <row r="5921" ht="15.75" customHeight="1">
      <c r="A5921" s="1"/>
      <c r="B5921" s="1"/>
      <c r="C5921" s="1"/>
      <c r="D5921" s="1"/>
      <c r="E5921" s="1"/>
      <c r="F5921" s="1"/>
      <c r="G5921" s="1"/>
      <c r="H5921" s="1"/>
      <c r="I5921" s="1"/>
      <c r="J5921" s="1"/>
      <c r="K5921" s="106" t="s">
        <v>9301</v>
      </c>
      <c r="L5921" s="102" t="str">
        <f>D701</f>
        <v>J2a1</v>
      </c>
      <c r="M5921" s="106" t="s">
        <v>9302</v>
      </c>
      <c r="N5921" s="108" t="s">
        <v>9303</v>
      </c>
      <c r="O5921" s="108">
        <v>1.5632637E7</v>
      </c>
      <c r="P5921" s="109">
        <v>1.3520757E7</v>
      </c>
      <c r="Q5921" s="106" t="s">
        <v>2446</v>
      </c>
      <c r="S5921" s="1"/>
      <c r="T5921" s="1"/>
      <c r="U5921" s="1"/>
      <c r="V5921" s="1"/>
      <c r="W5921" s="1"/>
      <c r="X5921" s="1"/>
      <c r="Y5921" s="1"/>
      <c r="AA5921" s="102"/>
      <c r="AB5921" s="1"/>
      <c r="AC5921" s="1"/>
      <c r="AD5921" s="1"/>
      <c r="AE5921" s="1"/>
      <c r="AF5921" s="1"/>
      <c r="AG5921" s="1"/>
    </row>
    <row r="5922" ht="15.75" customHeight="1">
      <c r="A5922" s="1"/>
      <c r="B5922" s="1"/>
      <c r="C5922" s="1"/>
      <c r="D5922" s="1"/>
      <c r="E5922" s="1"/>
      <c r="F5922" s="1"/>
      <c r="G5922" s="1"/>
      <c r="H5922" s="1"/>
      <c r="I5922" s="1"/>
      <c r="J5922" s="1"/>
      <c r="K5922" s="106" t="s">
        <v>9302</v>
      </c>
      <c r="L5922" s="102" t="str">
        <f>D701</f>
        <v>J2a1</v>
      </c>
      <c r="M5922" s="106" t="s">
        <v>9301</v>
      </c>
      <c r="N5922" s="108" t="s">
        <v>9303</v>
      </c>
      <c r="O5922" s="108">
        <v>1.5632637E7</v>
      </c>
      <c r="P5922" s="109">
        <v>1.3520757E7</v>
      </c>
      <c r="Q5922" s="106" t="s">
        <v>2446</v>
      </c>
      <c r="S5922" s="1"/>
      <c r="T5922" s="1"/>
      <c r="U5922" s="1"/>
      <c r="V5922" s="1"/>
      <c r="W5922" s="1"/>
      <c r="X5922" s="1"/>
      <c r="Y5922" s="1"/>
      <c r="AA5922" s="102"/>
      <c r="AB5922" s="1"/>
      <c r="AC5922" s="1"/>
      <c r="AD5922" s="1"/>
      <c r="AE5922" s="1"/>
      <c r="AF5922" s="1"/>
      <c r="AG5922" s="1"/>
    </row>
    <row r="5923" ht="15.75" customHeight="1">
      <c r="A5923" s="1"/>
      <c r="B5923" s="1"/>
      <c r="C5923" s="1"/>
      <c r="D5923" s="1"/>
      <c r="E5923" s="1"/>
      <c r="F5923" s="1"/>
      <c r="G5923" s="1"/>
      <c r="H5923" s="1"/>
      <c r="I5923" s="1"/>
      <c r="J5923" s="1"/>
      <c r="K5923" s="106" t="s">
        <v>9304</v>
      </c>
      <c r="L5923" s="102" t="str">
        <f>D701</f>
        <v>J2a1</v>
      </c>
      <c r="M5923" s="106" t="s">
        <v>9305</v>
      </c>
      <c r="N5923" s="108" t="s">
        <v>9306</v>
      </c>
      <c r="O5923" s="108">
        <v>1.7614366E7</v>
      </c>
      <c r="P5923" s="109">
        <v>1.5502486E7</v>
      </c>
      <c r="Q5923" s="106" t="s">
        <v>2439</v>
      </c>
      <c r="S5923" s="1"/>
      <c r="T5923" s="1"/>
      <c r="U5923" s="1"/>
      <c r="V5923" s="1"/>
      <c r="W5923" s="1"/>
      <c r="X5923" s="1"/>
      <c r="Y5923" s="1"/>
      <c r="AA5923" s="102"/>
      <c r="AB5923" s="1"/>
      <c r="AC5923" s="1"/>
      <c r="AD5923" s="1"/>
      <c r="AE5923" s="1"/>
      <c r="AF5923" s="1"/>
      <c r="AG5923" s="1"/>
    </row>
    <row r="5924" ht="15.75" customHeight="1">
      <c r="A5924" s="1"/>
      <c r="B5924" s="1"/>
      <c r="C5924" s="1"/>
      <c r="D5924" s="1"/>
      <c r="E5924" s="1"/>
      <c r="F5924" s="1"/>
      <c r="G5924" s="1"/>
      <c r="H5924" s="1"/>
      <c r="I5924" s="1"/>
      <c r="J5924" s="1"/>
      <c r="K5924" s="106" t="s">
        <v>9305</v>
      </c>
      <c r="L5924" s="102" t="str">
        <f>D701</f>
        <v>J2a1</v>
      </c>
      <c r="M5924" s="106" t="s">
        <v>9304</v>
      </c>
      <c r="N5924" s="108" t="s">
        <v>9306</v>
      </c>
      <c r="O5924" s="108">
        <v>1.7614366E7</v>
      </c>
      <c r="P5924" s="109">
        <v>1.5502486E7</v>
      </c>
      <c r="Q5924" s="106" t="s">
        <v>2439</v>
      </c>
      <c r="S5924" s="1"/>
      <c r="T5924" s="1"/>
      <c r="U5924" s="1"/>
      <c r="V5924" s="1"/>
      <c r="W5924" s="1"/>
      <c r="X5924" s="1"/>
      <c r="Y5924" s="1"/>
      <c r="AA5924" s="102"/>
      <c r="AB5924" s="1"/>
      <c r="AC5924" s="1"/>
      <c r="AD5924" s="1"/>
      <c r="AE5924" s="1"/>
      <c r="AF5924" s="1"/>
      <c r="AG5924" s="1"/>
    </row>
    <row r="5925" ht="15.75" customHeight="1">
      <c r="A5925" s="1"/>
      <c r="B5925" s="1"/>
      <c r="C5925" s="1"/>
      <c r="D5925" s="1"/>
      <c r="E5925" s="1"/>
      <c r="F5925" s="1"/>
      <c r="G5925" s="1"/>
      <c r="H5925" s="1"/>
      <c r="I5925" s="1"/>
      <c r="J5925" s="1"/>
      <c r="K5925" s="106" t="s">
        <v>9307</v>
      </c>
      <c r="L5925" s="102" t="str">
        <f>D701</f>
        <v>J2a1</v>
      </c>
      <c r="M5925" s="106" t="s">
        <v>9308</v>
      </c>
      <c r="N5925" s="108" t="s">
        <v>9309</v>
      </c>
      <c r="O5925" s="108">
        <v>1.935557E7</v>
      </c>
      <c r="P5925" s="109">
        <v>1.724369E7</v>
      </c>
      <c r="Q5925" s="106" t="s">
        <v>2529</v>
      </c>
      <c r="S5925" s="1"/>
      <c r="T5925" s="1"/>
      <c r="U5925" s="1"/>
      <c r="V5925" s="1"/>
      <c r="W5925" s="1"/>
      <c r="X5925" s="1"/>
      <c r="Y5925" s="1"/>
      <c r="AA5925" s="102"/>
      <c r="AB5925" s="1"/>
      <c r="AC5925" s="1"/>
      <c r="AD5925" s="1"/>
      <c r="AE5925" s="1"/>
      <c r="AF5925" s="1"/>
      <c r="AG5925" s="1"/>
    </row>
    <row r="5926" ht="15.75" customHeight="1">
      <c r="A5926" s="1"/>
      <c r="B5926" s="1"/>
      <c r="C5926" s="1"/>
      <c r="D5926" s="1"/>
      <c r="E5926" s="1"/>
      <c r="F5926" s="1"/>
      <c r="G5926" s="1"/>
      <c r="H5926" s="1"/>
      <c r="I5926" s="1"/>
      <c r="J5926" s="1"/>
      <c r="K5926" s="106" t="s">
        <v>9308</v>
      </c>
      <c r="L5926" s="102" t="str">
        <f>D701</f>
        <v>J2a1</v>
      </c>
      <c r="M5926" s="106" t="s">
        <v>9307</v>
      </c>
      <c r="N5926" s="108" t="s">
        <v>9309</v>
      </c>
      <c r="O5926" s="108">
        <v>1.935557E7</v>
      </c>
      <c r="P5926" s="109">
        <v>1.724369E7</v>
      </c>
      <c r="Q5926" s="106" t="s">
        <v>2529</v>
      </c>
      <c r="S5926" s="1"/>
      <c r="T5926" s="1"/>
      <c r="U5926" s="1"/>
      <c r="V5926" s="1"/>
      <c r="W5926" s="1"/>
      <c r="X5926" s="1"/>
      <c r="Y5926" s="1"/>
      <c r="AA5926" s="102"/>
      <c r="AB5926" s="1"/>
      <c r="AC5926" s="1"/>
      <c r="AD5926" s="1"/>
      <c r="AE5926" s="1"/>
      <c r="AF5926" s="1"/>
      <c r="AG5926" s="1"/>
    </row>
    <row r="5927" ht="15.75" customHeight="1">
      <c r="A5927" s="1"/>
      <c r="B5927" s="1"/>
      <c r="C5927" s="1"/>
      <c r="D5927" s="1"/>
      <c r="E5927" s="1"/>
      <c r="F5927" s="1"/>
      <c r="G5927" s="1"/>
      <c r="H5927" s="1"/>
      <c r="I5927" s="1"/>
      <c r="J5927" s="1"/>
      <c r="K5927" s="106" t="s">
        <v>9310</v>
      </c>
      <c r="L5927" s="102" t="str">
        <f>D701</f>
        <v>J2a1</v>
      </c>
      <c r="M5927" s="106" t="s">
        <v>9311</v>
      </c>
      <c r="N5927" s="108" t="s">
        <v>9312</v>
      </c>
      <c r="O5927" s="108">
        <v>2.3033706E7</v>
      </c>
      <c r="P5927" s="109">
        <v>2.087182E7</v>
      </c>
      <c r="Q5927" s="106" t="s">
        <v>2501</v>
      </c>
      <c r="S5927" s="1"/>
      <c r="T5927" s="1"/>
      <c r="U5927" s="1"/>
      <c r="V5927" s="1"/>
      <c r="W5927" s="1"/>
      <c r="X5927" s="1"/>
      <c r="Y5927" s="1"/>
      <c r="AA5927" s="102"/>
      <c r="AB5927" s="1"/>
      <c r="AC5927" s="1"/>
      <c r="AD5927" s="1"/>
      <c r="AE5927" s="1"/>
      <c r="AF5927" s="1"/>
      <c r="AG5927" s="1"/>
    </row>
    <row r="5928" ht="15.75" customHeight="1">
      <c r="A5928" s="1"/>
      <c r="B5928" s="1"/>
      <c r="C5928" s="1"/>
      <c r="D5928" s="1"/>
      <c r="E5928" s="1"/>
      <c r="F5928" s="1"/>
      <c r="G5928" s="1"/>
      <c r="H5928" s="1"/>
      <c r="I5928" s="1"/>
      <c r="J5928" s="1"/>
      <c r="K5928" s="106" t="s">
        <v>9311</v>
      </c>
      <c r="L5928" s="102" t="str">
        <f>D701</f>
        <v>J2a1</v>
      </c>
      <c r="M5928" s="106" t="s">
        <v>9310</v>
      </c>
      <c r="N5928" s="108" t="s">
        <v>9312</v>
      </c>
      <c r="O5928" s="108">
        <v>2.3033706E7</v>
      </c>
      <c r="P5928" s="109">
        <v>2.087182E7</v>
      </c>
      <c r="Q5928" s="106" t="s">
        <v>2501</v>
      </c>
      <c r="S5928" s="1"/>
      <c r="T5928" s="1"/>
      <c r="U5928" s="1"/>
      <c r="V5928" s="1"/>
      <c r="W5928" s="1"/>
      <c r="X5928" s="1"/>
      <c r="Y5928" s="1"/>
      <c r="AA5928" s="102"/>
      <c r="AB5928" s="1"/>
      <c r="AC5928" s="1"/>
      <c r="AD5928" s="1"/>
      <c r="AE5928" s="1"/>
      <c r="AF5928" s="1"/>
      <c r="AG5928" s="1"/>
    </row>
    <row r="5929" ht="15.75" customHeight="1">
      <c r="A5929" s="1"/>
      <c r="B5929" s="1"/>
      <c r="C5929" s="1"/>
      <c r="D5929" s="1"/>
      <c r="E5929" s="1"/>
      <c r="F5929" s="1"/>
      <c r="G5929" s="1"/>
      <c r="H5929" s="1"/>
      <c r="I5929" s="1"/>
      <c r="J5929" s="1"/>
      <c r="K5929" s="106" t="s">
        <v>9313</v>
      </c>
      <c r="L5929" s="102" t="str">
        <f>D701</f>
        <v>J2a1</v>
      </c>
      <c r="M5929" s="102"/>
      <c r="N5929" s="108" t="s">
        <v>9314</v>
      </c>
      <c r="O5929" s="108">
        <v>8465758.0</v>
      </c>
      <c r="P5929" s="109">
        <v>8597717.0</v>
      </c>
      <c r="Q5929" s="106" t="s">
        <v>2514</v>
      </c>
      <c r="S5929" s="1"/>
      <c r="T5929" s="1"/>
      <c r="U5929" s="1"/>
      <c r="V5929" s="1"/>
      <c r="W5929" s="1"/>
      <c r="X5929" s="1"/>
      <c r="Y5929" s="1"/>
      <c r="AA5929" s="102"/>
      <c r="AB5929" s="1"/>
      <c r="AC5929" s="1"/>
      <c r="AD5929" s="1"/>
      <c r="AE5929" s="1"/>
      <c r="AF5929" s="1"/>
      <c r="AG5929" s="1"/>
    </row>
    <row r="5930" ht="15.75" customHeight="1">
      <c r="A5930" s="1"/>
      <c r="B5930" s="1"/>
      <c r="C5930" s="1"/>
      <c r="D5930" s="1"/>
      <c r="E5930" s="1"/>
      <c r="F5930" s="1"/>
      <c r="G5930" s="1"/>
      <c r="H5930" s="1"/>
      <c r="I5930" s="1"/>
      <c r="J5930" s="1"/>
      <c r="K5930" s="106" t="s">
        <v>9315</v>
      </c>
      <c r="L5930" s="102" t="str">
        <f>D701</f>
        <v>J2a1</v>
      </c>
      <c r="M5930" s="102"/>
      <c r="O5930" s="108">
        <v>8809001.0</v>
      </c>
      <c r="P5930" s="109">
        <v>8940960.0</v>
      </c>
      <c r="Q5930" s="106" t="s">
        <v>2529</v>
      </c>
      <c r="S5930" s="1"/>
      <c r="T5930" s="1"/>
      <c r="U5930" s="1"/>
      <c r="V5930" s="1"/>
      <c r="W5930" s="1"/>
      <c r="X5930" s="1"/>
      <c r="Y5930" s="1"/>
      <c r="AA5930" s="102"/>
      <c r="AB5930" s="1"/>
      <c r="AC5930" s="1"/>
      <c r="AD5930" s="1"/>
      <c r="AE5930" s="1"/>
      <c r="AF5930" s="1"/>
      <c r="AG5930" s="1"/>
    </row>
    <row r="5931" ht="15.75" customHeight="1">
      <c r="A5931" s="1"/>
      <c r="B5931" s="1"/>
      <c r="C5931" s="1"/>
      <c r="D5931" s="1"/>
      <c r="E5931" s="1"/>
      <c r="F5931" s="1"/>
      <c r="G5931" s="1"/>
      <c r="H5931" s="1"/>
      <c r="I5931" s="1"/>
      <c r="J5931" s="1"/>
      <c r="K5931" s="106" t="s">
        <v>9316</v>
      </c>
      <c r="L5931" s="102" t="str">
        <f>D701</f>
        <v>J2a1</v>
      </c>
      <c r="M5931" s="106" t="s">
        <v>13</v>
      </c>
      <c r="N5931" s="108" t="s">
        <v>9317</v>
      </c>
      <c r="O5931" s="108">
        <v>2.0816211E7</v>
      </c>
      <c r="P5931" s="109">
        <v>1.8654325E7</v>
      </c>
      <c r="Q5931" s="106" t="s">
        <v>2576</v>
      </c>
      <c r="S5931" s="1"/>
      <c r="T5931" s="1"/>
      <c r="U5931" s="1"/>
      <c r="V5931" s="1"/>
      <c r="W5931" s="1"/>
      <c r="X5931" s="1"/>
      <c r="Y5931" s="1"/>
      <c r="AA5931" s="102"/>
      <c r="AB5931" s="1"/>
      <c r="AC5931" s="1"/>
      <c r="AD5931" s="1"/>
      <c r="AE5931" s="1"/>
      <c r="AF5931" s="1"/>
      <c r="AG5931" s="1"/>
    </row>
    <row r="5932" ht="15.75" customHeight="1">
      <c r="A5932" s="1"/>
      <c r="B5932" s="1"/>
      <c r="C5932" s="1"/>
      <c r="D5932" s="1"/>
      <c r="E5932" s="1"/>
      <c r="F5932" s="1"/>
      <c r="G5932" s="1"/>
      <c r="H5932" s="1"/>
      <c r="I5932" s="1"/>
      <c r="J5932" s="1"/>
      <c r="K5932" s="106" t="s">
        <v>9318</v>
      </c>
      <c r="L5932" s="102" t="str">
        <f>D701</f>
        <v>J2a1</v>
      </c>
      <c r="M5932" s="106" t="s">
        <v>13</v>
      </c>
      <c r="N5932" s="108" t="s">
        <v>9319</v>
      </c>
      <c r="O5932" s="108">
        <v>2.0836109E7</v>
      </c>
      <c r="P5932" s="109">
        <v>1.8674223E7</v>
      </c>
      <c r="Q5932" s="106" t="s">
        <v>2468</v>
      </c>
      <c r="S5932" s="1"/>
      <c r="T5932" s="1"/>
      <c r="U5932" s="1"/>
      <c r="V5932" s="1"/>
      <c r="W5932" s="1"/>
      <c r="X5932" s="1"/>
      <c r="Y5932" s="1"/>
      <c r="AA5932" s="102"/>
      <c r="AB5932" s="1"/>
      <c r="AC5932" s="1"/>
      <c r="AD5932" s="1"/>
      <c r="AE5932" s="1"/>
      <c r="AF5932" s="1"/>
      <c r="AG5932" s="1"/>
    </row>
    <row r="5933" ht="15.75" customHeight="1">
      <c r="A5933" s="1"/>
      <c r="B5933" s="1"/>
      <c r="C5933" s="1"/>
      <c r="D5933" s="1"/>
      <c r="E5933" s="1"/>
      <c r="F5933" s="1"/>
      <c r="G5933" s="1"/>
      <c r="H5933" s="1"/>
      <c r="I5933" s="1"/>
      <c r="J5933" s="1"/>
      <c r="K5933" s="106" t="s">
        <v>9320</v>
      </c>
      <c r="L5933" s="102" t="str">
        <f>D701</f>
        <v>J2a1</v>
      </c>
      <c r="M5933" s="102"/>
      <c r="N5933" s="108" t="s">
        <v>9321</v>
      </c>
      <c r="O5933" s="108">
        <v>2.1965236E7</v>
      </c>
      <c r="P5933" s="109">
        <v>1.980335E7</v>
      </c>
      <c r="Q5933" s="106" t="s">
        <v>2529</v>
      </c>
      <c r="S5933" s="1"/>
      <c r="T5933" s="1"/>
      <c r="U5933" s="1"/>
      <c r="V5933" s="1"/>
      <c r="W5933" s="1"/>
      <c r="X5933" s="1"/>
      <c r="Y5933" s="1"/>
      <c r="AA5933" s="102"/>
      <c r="AB5933" s="1"/>
      <c r="AC5933" s="1"/>
      <c r="AD5933" s="1"/>
      <c r="AE5933" s="1"/>
      <c r="AF5933" s="1"/>
      <c r="AG5933" s="1"/>
    </row>
    <row r="5934" ht="15.75" customHeight="1">
      <c r="A5934" s="1"/>
      <c r="B5934" s="1"/>
      <c r="C5934" s="1"/>
      <c r="D5934" s="1"/>
      <c r="E5934" s="1"/>
      <c r="F5934" s="1"/>
      <c r="G5934" s="1"/>
      <c r="H5934" s="1"/>
      <c r="I5934" s="1"/>
      <c r="J5934" s="1"/>
      <c r="K5934" s="102" t="s">
        <v>9322</v>
      </c>
      <c r="L5934" s="102" t="str">
        <f>E702</f>
        <v>J2a1a</v>
      </c>
      <c r="M5934" s="102" t="s">
        <v>9323</v>
      </c>
      <c r="N5934" s="102" t="s">
        <v>9324</v>
      </c>
      <c r="O5934" s="105">
        <v>2.3021978E7</v>
      </c>
      <c r="P5934" s="105">
        <v>2.0860092E7</v>
      </c>
      <c r="Q5934" s="102" t="s">
        <v>2468</v>
      </c>
      <c r="S5934" s="1"/>
      <c r="T5934" s="1"/>
      <c r="U5934" s="1"/>
      <c r="V5934" s="1"/>
      <c r="W5934" s="1"/>
      <c r="X5934" s="1"/>
      <c r="Y5934" s="1"/>
      <c r="AA5934" s="102"/>
      <c r="AB5934" s="1"/>
      <c r="AC5934" s="1"/>
      <c r="AD5934" s="1"/>
      <c r="AE5934" s="1"/>
      <c r="AF5934" s="1"/>
      <c r="AG5934" s="1"/>
    </row>
    <row r="5935" ht="15.75" customHeight="1">
      <c r="A5935" s="1"/>
      <c r="B5935" s="1"/>
      <c r="C5935" s="1"/>
      <c r="D5935" s="1"/>
      <c r="E5935" s="1"/>
      <c r="F5935" s="1"/>
      <c r="G5935" s="1"/>
      <c r="H5935" s="1"/>
      <c r="I5935" s="1"/>
      <c r="J5935" s="1"/>
      <c r="K5935" s="102" t="s">
        <v>9325</v>
      </c>
      <c r="L5935" s="102" t="str">
        <f>E702</f>
        <v>J2a1a</v>
      </c>
      <c r="M5935" s="102" t="s">
        <v>9326</v>
      </c>
      <c r="N5935" s="102" t="s">
        <v>9324</v>
      </c>
      <c r="O5935" s="105">
        <v>2.3021978E7</v>
      </c>
      <c r="P5935" s="105">
        <v>2.0860092E7</v>
      </c>
      <c r="Q5935" s="102" t="s">
        <v>2468</v>
      </c>
      <c r="S5935" s="1"/>
      <c r="T5935" s="1"/>
      <c r="U5935" s="1"/>
      <c r="V5935" s="1"/>
      <c r="W5935" s="1"/>
      <c r="X5935" s="1"/>
      <c r="Y5935" s="1"/>
      <c r="AA5935" s="102"/>
      <c r="AB5935" s="1"/>
      <c r="AC5935" s="1"/>
      <c r="AD5935" s="1"/>
      <c r="AE5935" s="1"/>
      <c r="AF5935" s="1"/>
      <c r="AG5935" s="1"/>
    </row>
    <row r="5936" ht="15.75" customHeight="1">
      <c r="A5936" s="1"/>
      <c r="B5936" s="1"/>
      <c r="C5936" s="1"/>
      <c r="D5936" s="1"/>
      <c r="E5936" s="1"/>
      <c r="F5936" s="1"/>
      <c r="G5936" s="1"/>
      <c r="H5936" s="1"/>
      <c r="I5936" s="1"/>
      <c r="J5936" s="1"/>
      <c r="K5936" s="102" t="s">
        <v>9327</v>
      </c>
      <c r="L5936" s="102" t="str">
        <f>E702</f>
        <v>J2a1a</v>
      </c>
      <c r="M5936" s="102" t="s">
        <v>9328</v>
      </c>
      <c r="N5936" s="102" t="s">
        <v>9324</v>
      </c>
      <c r="O5936" s="105">
        <v>2.3021978E7</v>
      </c>
      <c r="P5936" s="105">
        <v>2.0860092E7</v>
      </c>
      <c r="Q5936" s="102" t="s">
        <v>2468</v>
      </c>
      <c r="S5936" s="1"/>
      <c r="T5936" s="1"/>
      <c r="U5936" s="1"/>
      <c r="V5936" s="1"/>
      <c r="W5936" s="1"/>
      <c r="X5936" s="1"/>
      <c r="Y5936" s="1"/>
      <c r="AA5936" s="102"/>
      <c r="AB5936" s="1"/>
      <c r="AC5936" s="1"/>
      <c r="AD5936" s="1"/>
      <c r="AE5936" s="1"/>
      <c r="AF5936" s="1"/>
      <c r="AG5936" s="1"/>
    </row>
    <row r="5937" ht="15.75" customHeight="1">
      <c r="A5937" s="1"/>
      <c r="B5937" s="1"/>
      <c r="C5937" s="1"/>
      <c r="D5937" s="1"/>
      <c r="E5937" s="1"/>
      <c r="F5937" s="1"/>
      <c r="G5937" s="1"/>
      <c r="H5937" s="1"/>
      <c r="I5937" s="1"/>
      <c r="J5937" s="1"/>
      <c r="K5937" s="102" t="s">
        <v>9329</v>
      </c>
      <c r="L5937" s="102" t="str">
        <f>E702</f>
        <v>J2a1a</v>
      </c>
      <c r="M5937" s="102" t="s">
        <v>9330</v>
      </c>
      <c r="N5937" s="102" t="s">
        <v>9324</v>
      </c>
      <c r="O5937" s="105">
        <v>2.3021978E7</v>
      </c>
      <c r="P5937" s="105">
        <v>2.0860092E7</v>
      </c>
      <c r="Q5937" s="102" t="s">
        <v>2468</v>
      </c>
      <c r="S5937" s="1"/>
      <c r="T5937" s="1"/>
      <c r="U5937" s="1"/>
      <c r="V5937" s="1"/>
      <c r="W5937" s="1"/>
      <c r="X5937" s="1"/>
      <c r="Y5937" s="1"/>
      <c r="AA5937" s="102"/>
      <c r="AB5937" s="1"/>
      <c r="AC5937" s="1"/>
      <c r="AD5937" s="1"/>
      <c r="AE5937" s="1"/>
      <c r="AF5937" s="1"/>
      <c r="AG5937" s="1"/>
    </row>
    <row r="5938" ht="15.75" customHeight="1">
      <c r="A5938" s="1"/>
      <c r="B5938" s="1"/>
      <c r="C5938" s="1"/>
      <c r="D5938" s="1"/>
      <c r="E5938" s="1"/>
      <c r="F5938" s="1"/>
      <c r="G5938" s="1"/>
      <c r="H5938" s="1"/>
      <c r="I5938" s="1"/>
      <c r="J5938" s="1"/>
      <c r="K5938" s="102" t="s">
        <v>9331</v>
      </c>
      <c r="L5938" t="str">
        <f>E702</f>
        <v>J2a1a</v>
      </c>
      <c r="M5938" s="102" t="s">
        <v>9332</v>
      </c>
      <c r="N5938" s="1" t="s">
        <v>9333</v>
      </c>
      <c r="O5938" s="114">
        <v>1.4213941E7</v>
      </c>
      <c r="P5938" s="105">
        <v>1.2093235E7</v>
      </c>
      <c r="Q5938" s="102" t="s">
        <v>2439</v>
      </c>
      <c r="S5938" s="1"/>
      <c r="T5938" s="1"/>
      <c r="U5938" s="1"/>
      <c r="V5938" s="1"/>
      <c r="W5938" s="1"/>
      <c r="X5938" s="1"/>
      <c r="Y5938" s="1"/>
      <c r="AA5938" s="102"/>
      <c r="AB5938" s="1"/>
      <c r="AC5938" s="1"/>
      <c r="AD5938" s="1"/>
      <c r="AE5938" s="1"/>
      <c r="AF5938" s="1"/>
      <c r="AG5938" s="1"/>
    </row>
    <row r="5939" ht="15.75" customHeight="1">
      <c r="A5939" s="1"/>
      <c r="B5939" s="1"/>
      <c r="C5939" s="1"/>
      <c r="D5939" s="1"/>
      <c r="E5939" s="1"/>
      <c r="F5939" s="1"/>
      <c r="G5939" s="1"/>
      <c r="H5939" s="1"/>
      <c r="I5939" s="1"/>
      <c r="J5939" s="1"/>
      <c r="K5939" s="106" t="s">
        <v>9332</v>
      </c>
      <c r="L5939" t="str">
        <f>E702</f>
        <v>J2a1a</v>
      </c>
      <c r="M5939" s="106" t="s">
        <v>9331</v>
      </c>
      <c r="N5939" s="1" t="s">
        <v>9333</v>
      </c>
      <c r="O5939" s="114">
        <v>1.4213941E7</v>
      </c>
      <c r="P5939" s="105">
        <v>1.2093235E7</v>
      </c>
      <c r="Q5939" s="102" t="s">
        <v>2439</v>
      </c>
      <c r="S5939" s="1"/>
      <c r="T5939" s="1"/>
      <c r="U5939" s="1"/>
      <c r="V5939" s="1"/>
      <c r="W5939" s="1"/>
      <c r="X5939" s="1"/>
      <c r="Y5939" s="1"/>
      <c r="AA5939" s="102"/>
      <c r="AB5939" s="1"/>
      <c r="AC5939" s="1"/>
      <c r="AD5939" s="1"/>
      <c r="AE5939" s="1"/>
      <c r="AF5939" s="1"/>
      <c r="AG5939" s="1"/>
    </row>
    <row r="5940" ht="15.75" customHeight="1">
      <c r="A5940" s="1"/>
      <c r="B5940" s="1"/>
      <c r="C5940" s="1"/>
      <c r="D5940" s="1"/>
      <c r="E5940" s="1"/>
      <c r="F5940" s="1"/>
      <c r="G5940" s="1"/>
      <c r="H5940" s="1"/>
      <c r="I5940" s="1"/>
      <c r="J5940" s="1"/>
      <c r="K5940" s="19" t="s">
        <v>9334</v>
      </c>
      <c r="L5940" s="19" t="str">
        <f>E702</f>
        <v>J2a1a</v>
      </c>
      <c r="M5940" s="1"/>
      <c r="N5940" s="108" t="s">
        <v>9335</v>
      </c>
      <c r="O5940" s="108">
        <v>1.5003985E7</v>
      </c>
      <c r="P5940" s="19">
        <v>1.289207E7</v>
      </c>
      <c r="Q5940" s="19" t="s">
        <v>2446</v>
      </c>
      <c r="S5940" s="1"/>
      <c r="T5940" s="1"/>
      <c r="U5940" s="1"/>
      <c r="V5940" s="1"/>
      <c r="W5940" s="1"/>
      <c r="X5940" s="1"/>
      <c r="Y5940" s="1"/>
      <c r="AA5940" s="102"/>
      <c r="AB5940" s="1"/>
      <c r="AC5940" s="1"/>
      <c r="AD5940" s="1"/>
      <c r="AE5940" s="1"/>
      <c r="AF5940" s="1"/>
      <c r="AG5940" s="1"/>
    </row>
    <row r="5941" ht="15.75" customHeight="1">
      <c r="A5941" s="1"/>
      <c r="B5941" s="1"/>
      <c r="C5941" s="1"/>
      <c r="D5941" s="1"/>
      <c r="E5941" s="1"/>
      <c r="F5941" s="1"/>
      <c r="G5941" s="1"/>
      <c r="H5941" s="1"/>
      <c r="I5941" s="1"/>
      <c r="J5941" s="1"/>
      <c r="K5941" s="102" t="s">
        <v>9336</v>
      </c>
      <c r="L5941" t="str">
        <f>E702</f>
        <v>J2a1a</v>
      </c>
      <c r="M5941" s="102" t="s">
        <v>9337</v>
      </c>
      <c r="N5941" s="1" t="s">
        <v>9338</v>
      </c>
      <c r="O5941" s="114">
        <v>1.7506532E7</v>
      </c>
      <c r="P5941" s="105">
        <v>1.5394652E7</v>
      </c>
      <c r="Q5941" s="102" t="s">
        <v>2439</v>
      </c>
      <c r="S5941" s="1"/>
      <c r="T5941" s="1"/>
      <c r="U5941" s="1"/>
      <c r="V5941" s="1"/>
      <c r="W5941" s="1"/>
      <c r="X5941" s="1"/>
      <c r="Y5941" s="1"/>
      <c r="AA5941" s="102"/>
      <c r="AB5941" s="1"/>
      <c r="AC5941" s="1"/>
      <c r="AD5941" s="1"/>
      <c r="AE5941" s="1"/>
      <c r="AF5941" s="1"/>
      <c r="AG5941" s="1"/>
    </row>
    <row r="5942" ht="15.75" customHeight="1">
      <c r="A5942" s="1"/>
      <c r="B5942" s="1"/>
      <c r="C5942" s="1"/>
      <c r="D5942" s="1"/>
      <c r="E5942" s="1"/>
      <c r="F5942" s="1"/>
      <c r="G5942" s="1"/>
      <c r="H5942" s="1"/>
      <c r="I5942" s="1"/>
      <c r="J5942" s="1"/>
      <c r="K5942" s="106" t="s">
        <v>9337</v>
      </c>
      <c r="L5942" t="str">
        <f>E702</f>
        <v>J2a1a</v>
      </c>
      <c r="M5942" s="106" t="s">
        <v>9336</v>
      </c>
      <c r="N5942" s="1" t="s">
        <v>9338</v>
      </c>
      <c r="O5942" s="114">
        <v>1.7506532E7</v>
      </c>
      <c r="P5942" s="105">
        <v>1.5394652E7</v>
      </c>
      <c r="Q5942" s="102" t="s">
        <v>2439</v>
      </c>
      <c r="S5942" s="1"/>
      <c r="T5942" s="1"/>
      <c r="U5942" s="1"/>
      <c r="V5942" s="1"/>
      <c r="W5942" s="1"/>
      <c r="X5942" s="1"/>
      <c r="Y5942" s="1"/>
      <c r="AA5942" s="102"/>
      <c r="AB5942" s="1"/>
      <c r="AC5942" s="1"/>
      <c r="AD5942" s="1"/>
      <c r="AE5942" s="1"/>
      <c r="AF5942" s="1"/>
      <c r="AG5942" s="1"/>
    </row>
    <row r="5943" ht="15.75" customHeight="1">
      <c r="A5943" s="1"/>
      <c r="B5943" s="1"/>
      <c r="C5943" s="1"/>
      <c r="D5943" s="1"/>
      <c r="E5943" s="1"/>
      <c r="F5943" s="1"/>
      <c r="G5943" s="1"/>
      <c r="H5943" s="1"/>
      <c r="I5943" s="1"/>
      <c r="J5943" s="1"/>
      <c r="K5943" s="102" t="s">
        <v>9339</v>
      </c>
      <c r="L5943" t="str">
        <f>E702</f>
        <v>J2a1a</v>
      </c>
      <c r="M5943" s="102" t="s">
        <v>9340</v>
      </c>
      <c r="N5943" s="1" t="s">
        <v>9341</v>
      </c>
      <c r="O5943" s="114">
        <v>1.9037126E7</v>
      </c>
      <c r="P5943" s="105">
        <v>1.6925246E7</v>
      </c>
      <c r="Q5943" s="102" t="s">
        <v>2446</v>
      </c>
      <c r="S5943" s="1"/>
      <c r="T5943" s="1"/>
      <c r="U5943" s="1"/>
      <c r="V5943" s="1"/>
      <c r="W5943" s="1"/>
      <c r="X5943" s="1"/>
      <c r="Y5943" s="1"/>
      <c r="AA5943" s="102"/>
      <c r="AB5943" s="1"/>
      <c r="AC5943" s="1"/>
      <c r="AD5943" s="1"/>
      <c r="AE5943" s="1"/>
      <c r="AF5943" s="1"/>
      <c r="AG5943" s="1"/>
    </row>
    <row r="5944" ht="15.75" customHeight="1">
      <c r="A5944" s="1"/>
      <c r="B5944" s="1"/>
      <c r="C5944" s="1"/>
      <c r="D5944" s="1"/>
      <c r="E5944" s="1"/>
      <c r="F5944" s="1"/>
      <c r="G5944" s="1"/>
      <c r="H5944" s="1"/>
      <c r="I5944" s="1"/>
      <c r="J5944" s="1"/>
      <c r="K5944" s="106" t="s">
        <v>9340</v>
      </c>
      <c r="L5944" t="str">
        <f>E702</f>
        <v>J2a1a</v>
      </c>
      <c r="M5944" s="106" t="s">
        <v>9339</v>
      </c>
      <c r="N5944" s="1" t="s">
        <v>9341</v>
      </c>
      <c r="O5944" s="114">
        <v>1.9037126E7</v>
      </c>
      <c r="P5944" s="105">
        <v>1.6925246E7</v>
      </c>
      <c r="Q5944" s="102" t="s">
        <v>2446</v>
      </c>
      <c r="S5944" s="1"/>
      <c r="T5944" s="1"/>
      <c r="U5944" s="1"/>
      <c r="V5944" s="1"/>
      <c r="W5944" s="1"/>
      <c r="X5944" s="1"/>
      <c r="Y5944" s="1"/>
      <c r="AA5944" s="102"/>
      <c r="AB5944" s="1"/>
      <c r="AC5944" s="1"/>
      <c r="AD5944" s="1"/>
      <c r="AE5944" s="1"/>
      <c r="AF5944" s="1"/>
      <c r="AG5944" s="1"/>
    </row>
    <row r="5945" ht="15.75" customHeight="1">
      <c r="A5945" s="1"/>
      <c r="B5945" s="1"/>
      <c r="C5945" s="1"/>
      <c r="D5945" s="1"/>
      <c r="E5945" s="1"/>
      <c r="F5945" s="1"/>
      <c r="G5945" s="1"/>
      <c r="H5945" s="1"/>
      <c r="I5945" s="1"/>
      <c r="J5945" s="1"/>
      <c r="K5945" s="102" t="s">
        <v>9342</v>
      </c>
      <c r="L5945" t="str">
        <f>E702</f>
        <v>J2a1a</v>
      </c>
      <c r="M5945" s="102" t="s">
        <v>9343</v>
      </c>
      <c r="N5945" s="1" t="s">
        <v>9344</v>
      </c>
      <c r="O5945" s="114">
        <v>2.2715995E7</v>
      </c>
      <c r="P5945" s="105">
        <v>2.0554109E7</v>
      </c>
      <c r="Q5945" s="102" t="s">
        <v>2501</v>
      </c>
      <c r="S5945" s="1"/>
      <c r="T5945" s="1"/>
      <c r="U5945" s="1"/>
      <c r="V5945" s="1"/>
      <c r="W5945" s="1"/>
      <c r="X5945" s="1"/>
      <c r="Y5945" s="1"/>
      <c r="AA5945" s="102"/>
      <c r="AB5945" s="1"/>
      <c r="AC5945" s="1"/>
      <c r="AD5945" s="1"/>
      <c r="AE5945" s="1"/>
      <c r="AF5945" s="1"/>
      <c r="AG5945" s="1"/>
    </row>
    <row r="5946" ht="15.75" customHeight="1">
      <c r="A5946" s="1"/>
      <c r="B5946" s="1"/>
      <c r="C5946" s="1"/>
      <c r="D5946" s="1"/>
      <c r="E5946" s="1"/>
      <c r="F5946" s="1"/>
      <c r="G5946" s="1"/>
      <c r="H5946" s="1"/>
      <c r="I5946" s="1"/>
      <c r="J5946" s="1"/>
      <c r="K5946" s="106" t="s">
        <v>9343</v>
      </c>
      <c r="L5946" t="str">
        <f>E702</f>
        <v>J2a1a</v>
      </c>
      <c r="M5946" s="106" t="s">
        <v>9342</v>
      </c>
      <c r="N5946" s="1" t="s">
        <v>9344</v>
      </c>
      <c r="O5946" s="114">
        <v>2.2715995E7</v>
      </c>
      <c r="P5946" s="105">
        <v>2.0554109E7</v>
      </c>
      <c r="Q5946" s="102" t="s">
        <v>2501</v>
      </c>
      <c r="S5946" s="1"/>
      <c r="T5946" s="1"/>
      <c r="U5946" s="1"/>
      <c r="V5946" s="1"/>
      <c r="W5946" s="1"/>
      <c r="X5946" s="1"/>
      <c r="Y5946" s="1"/>
      <c r="AA5946" s="102"/>
      <c r="AB5946" s="1"/>
      <c r="AC5946" s="1"/>
      <c r="AD5946" s="1"/>
      <c r="AE5946" s="1"/>
      <c r="AF5946" s="1"/>
      <c r="AG5946" s="1"/>
    </row>
    <row r="5947" ht="15.75" customHeight="1">
      <c r="A5947" s="1"/>
      <c r="B5947" s="1"/>
      <c r="C5947" s="1"/>
      <c r="D5947" s="1"/>
      <c r="E5947" s="1"/>
      <c r="F5947" s="1"/>
      <c r="G5947" s="1"/>
      <c r="H5947" s="1"/>
      <c r="I5947" s="1"/>
      <c r="J5947" s="1"/>
      <c r="K5947" s="102" t="s">
        <v>9345</v>
      </c>
      <c r="L5947" t="str">
        <f>E702</f>
        <v>J2a1a</v>
      </c>
      <c r="M5947" s="102" t="s">
        <v>9346</v>
      </c>
      <c r="N5947" s="1" t="s">
        <v>9347</v>
      </c>
      <c r="O5947" s="114">
        <v>2.3402887E7</v>
      </c>
      <c r="P5947" s="105">
        <v>2.1241001E7</v>
      </c>
      <c r="Q5947" s="102" t="s">
        <v>2468</v>
      </c>
      <c r="S5947" s="1"/>
      <c r="T5947" s="1"/>
      <c r="U5947" s="1"/>
      <c r="V5947" s="1"/>
      <c r="W5947" s="1"/>
      <c r="X5947" s="1"/>
      <c r="Y5947" s="1"/>
      <c r="AA5947" s="102"/>
      <c r="AB5947" s="1"/>
      <c r="AC5947" s="1"/>
      <c r="AD5947" s="1"/>
      <c r="AE5947" s="1"/>
      <c r="AF5947" s="1"/>
      <c r="AG5947" s="1"/>
    </row>
    <row r="5948" ht="15.75" customHeight="1">
      <c r="A5948" s="1"/>
      <c r="B5948" s="1"/>
      <c r="C5948" s="1"/>
      <c r="D5948" s="1"/>
      <c r="E5948" s="1"/>
      <c r="F5948" s="1"/>
      <c r="G5948" s="1"/>
      <c r="H5948" s="1"/>
      <c r="I5948" s="1"/>
      <c r="J5948" s="1"/>
      <c r="K5948" s="106" t="s">
        <v>9346</v>
      </c>
      <c r="L5948" t="str">
        <f>E702</f>
        <v>J2a1a</v>
      </c>
      <c r="M5948" s="106" t="s">
        <v>9345</v>
      </c>
      <c r="N5948" s="1" t="s">
        <v>9347</v>
      </c>
      <c r="O5948" s="114">
        <v>2.3402887E7</v>
      </c>
      <c r="P5948" s="105">
        <v>2.1241001E7</v>
      </c>
      <c r="Q5948" s="102" t="s">
        <v>2468</v>
      </c>
      <c r="S5948" s="1"/>
      <c r="T5948" s="1"/>
      <c r="U5948" s="1"/>
      <c r="V5948" s="1"/>
      <c r="W5948" s="1"/>
      <c r="X5948" s="1"/>
      <c r="Y5948" s="1"/>
      <c r="AA5948" s="102"/>
      <c r="AB5948" s="1"/>
      <c r="AC5948" s="1"/>
      <c r="AD5948" s="1"/>
      <c r="AE5948" s="1"/>
      <c r="AF5948" s="1"/>
      <c r="AG5948" s="1"/>
    </row>
    <row r="5949" ht="15.75" customHeight="1">
      <c r="A5949" s="1"/>
      <c r="B5949" s="1"/>
      <c r="C5949" s="1"/>
      <c r="D5949" s="1"/>
      <c r="E5949" s="1"/>
      <c r="F5949" s="1"/>
      <c r="G5949" s="1"/>
      <c r="H5949" s="1"/>
      <c r="I5949" s="1"/>
      <c r="J5949" s="1"/>
      <c r="K5949" s="102" t="s">
        <v>9348</v>
      </c>
      <c r="L5949" t="str">
        <f>E702</f>
        <v>J2a1a</v>
      </c>
      <c r="M5949" s="102" t="s">
        <v>9349</v>
      </c>
      <c r="N5949" s="1" t="s">
        <v>9350</v>
      </c>
      <c r="O5949" s="114">
        <v>7910634.0</v>
      </c>
      <c r="P5949" s="105">
        <v>8042593.0</v>
      </c>
      <c r="Q5949" s="102" t="s">
        <v>2468</v>
      </c>
      <c r="S5949" s="1"/>
      <c r="T5949" s="1"/>
      <c r="U5949" s="1"/>
      <c r="V5949" s="1"/>
      <c r="W5949" s="1"/>
      <c r="X5949" s="1"/>
      <c r="Y5949" s="1"/>
      <c r="AA5949" s="102"/>
      <c r="AB5949" s="1"/>
      <c r="AC5949" s="1"/>
      <c r="AD5949" s="1"/>
      <c r="AE5949" s="1"/>
      <c r="AF5949" s="1"/>
      <c r="AG5949" s="1"/>
    </row>
    <row r="5950" ht="15.75" customHeight="1">
      <c r="A5950" s="1"/>
      <c r="B5950" s="1"/>
      <c r="C5950" s="1"/>
      <c r="D5950" s="1"/>
      <c r="E5950" s="1"/>
      <c r="F5950" s="1"/>
      <c r="G5950" s="1"/>
      <c r="H5950" s="1"/>
      <c r="I5950" s="1"/>
      <c r="J5950" s="1"/>
      <c r="K5950" s="106" t="s">
        <v>9351</v>
      </c>
      <c r="L5950" t="str">
        <f>E702</f>
        <v>J2a1a</v>
      </c>
      <c r="M5950" s="106" t="s">
        <v>9352</v>
      </c>
      <c r="N5950" s="1" t="s">
        <v>9350</v>
      </c>
      <c r="O5950" s="114">
        <v>7910634.0</v>
      </c>
      <c r="P5950" s="105">
        <v>8042593.0</v>
      </c>
      <c r="Q5950" s="102" t="s">
        <v>2468</v>
      </c>
      <c r="S5950" s="1"/>
      <c r="T5950" s="1"/>
      <c r="U5950" s="1"/>
      <c r="V5950" s="1"/>
      <c r="W5950" s="1"/>
      <c r="X5950" s="1"/>
      <c r="Y5950" s="1"/>
      <c r="AA5950" s="102"/>
      <c r="AB5950" s="1"/>
      <c r="AC5950" s="1"/>
      <c r="AD5950" s="1"/>
      <c r="AE5950" s="1"/>
      <c r="AF5950" s="1"/>
      <c r="AG5950" s="1"/>
    </row>
    <row r="5951" ht="15.75" customHeight="1">
      <c r="A5951" s="1"/>
      <c r="B5951" s="1"/>
      <c r="C5951" s="1"/>
      <c r="D5951" s="1"/>
      <c r="E5951" s="1"/>
      <c r="F5951" s="1"/>
      <c r="G5951" s="1"/>
      <c r="H5951" s="1"/>
      <c r="I5951" s="1"/>
      <c r="J5951" s="1"/>
      <c r="K5951" s="106" t="s">
        <v>9353</v>
      </c>
      <c r="L5951" t="str">
        <f>E702</f>
        <v>J2a1a</v>
      </c>
      <c r="M5951" s="106" t="s">
        <v>9354</v>
      </c>
      <c r="N5951" s="1" t="s">
        <v>9350</v>
      </c>
      <c r="O5951" s="114">
        <v>7910634.0</v>
      </c>
      <c r="P5951" s="105">
        <v>8042593.0</v>
      </c>
      <c r="Q5951" s="102" t="s">
        <v>2468</v>
      </c>
      <c r="S5951" s="1"/>
      <c r="T5951" s="1"/>
      <c r="U5951" s="1"/>
      <c r="V5951" s="1"/>
      <c r="W5951" s="1"/>
      <c r="X5951" s="1"/>
      <c r="Y5951" s="1"/>
      <c r="AA5951" s="102"/>
      <c r="AB5951" s="1"/>
      <c r="AC5951" s="1"/>
      <c r="AD5951" s="1"/>
      <c r="AE5951" s="1"/>
      <c r="AF5951" s="1"/>
      <c r="AG5951" s="1"/>
    </row>
    <row r="5952" ht="15.75" customHeight="1">
      <c r="A5952" s="1"/>
      <c r="B5952" s="1"/>
      <c r="C5952" s="1"/>
      <c r="D5952" s="1"/>
      <c r="E5952" s="1"/>
      <c r="F5952" s="1"/>
      <c r="G5952" s="1"/>
      <c r="H5952" s="1"/>
      <c r="I5952" s="1"/>
      <c r="J5952" s="1"/>
      <c r="K5952" s="102" t="s">
        <v>9355</v>
      </c>
      <c r="L5952" s="102" t="str">
        <f>E702</f>
        <v>J2a1a</v>
      </c>
      <c r="M5952" s="102" t="s">
        <v>9356</v>
      </c>
      <c r="N5952" s="102" t="s">
        <v>9357</v>
      </c>
      <c r="O5952" s="105">
        <v>2.2942897E7</v>
      </c>
      <c r="P5952" s="105">
        <v>2.0781011E7</v>
      </c>
      <c r="Q5952" s="102" t="s">
        <v>2529</v>
      </c>
      <c r="S5952" s="1"/>
      <c r="T5952" s="1"/>
      <c r="U5952" s="1"/>
      <c r="V5952" s="1"/>
      <c r="W5952" s="1"/>
      <c r="X5952" s="1"/>
      <c r="Y5952" s="1"/>
      <c r="AA5952" s="102"/>
      <c r="AB5952" s="1"/>
      <c r="AC5952" s="1"/>
      <c r="AD5952" s="1"/>
      <c r="AE5952" s="1"/>
      <c r="AF5952" s="1"/>
      <c r="AG5952" s="1"/>
    </row>
    <row r="5953" ht="15.75" customHeight="1">
      <c r="A5953" s="1"/>
      <c r="B5953" s="1"/>
      <c r="C5953" s="1"/>
      <c r="D5953" s="1"/>
      <c r="E5953" s="1"/>
      <c r="F5953" s="1"/>
      <c r="G5953" s="1"/>
      <c r="H5953" s="1"/>
      <c r="I5953" s="1"/>
      <c r="J5953" s="1"/>
      <c r="K5953" s="102" t="s">
        <v>9358</v>
      </c>
      <c r="L5953" s="102" t="str">
        <f>E702</f>
        <v>J2a1a</v>
      </c>
      <c r="M5953" s="102" t="s">
        <v>9359</v>
      </c>
      <c r="N5953" s="102" t="s">
        <v>9357</v>
      </c>
      <c r="O5953" s="105">
        <v>2.2942897E7</v>
      </c>
      <c r="P5953" s="105">
        <v>2.0781011E7</v>
      </c>
      <c r="Q5953" s="102" t="s">
        <v>2529</v>
      </c>
      <c r="S5953" s="1"/>
      <c r="T5953" s="1"/>
      <c r="U5953" s="1"/>
      <c r="V5953" s="1"/>
      <c r="W5953" s="1"/>
      <c r="X5953" s="1"/>
      <c r="Y5953" s="1"/>
      <c r="AA5953" s="102"/>
      <c r="AB5953" s="1"/>
      <c r="AC5953" s="1"/>
      <c r="AD5953" s="1"/>
      <c r="AE5953" s="1"/>
      <c r="AF5953" s="1"/>
      <c r="AG5953" s="1"/>
    </row>
    <row r="5954" ht="15.75" customHeight="1">
      <c r="A5954" s="1"/>
      <c r="B5954" s="1"/>
      <c r="C5954" s="1"/>
      <c r="D5954" s="1"/>
      <c r="E5954" s="1"/>
      <c r="F5954" s="1"/>
      <c r="G5954" s="1"/>
      <c r="H5954" s="1"/>
      <c r="I5954" s="1"/>
      <c r="J5954" s="1"/>
      <c r="K5954" s="102" t="s">
        <v>9360</v>
      </c>
      <c r="L5954" s="102" t="str">
        <f>E702</f>
        <v>J2a1a</v>
      </c>
      <c r="M5954" s="102" t="s">
        <v>9361</v>
      </c>
      <c r="N5954" s="102" t="s">
        <v>9357</v>
      </c>
      <c r="O5954" s="105">
        <v>2.2942897E7</v>
      </c>
      <c r="P5954" s="105">
        <v>2.0781011E7</v>
      </c>
      <c r="Q5954" s="102" t="s">
        <v>2529</v>
      </c>
      <c r="S5954" s="1"/>
      <c r="T5954" s="1"/>
      <c r="U5954" s="1"/>
      <c r="V5954" s="1"/>
      <c r="W5954" s="1"/>
      <c r="X5954" s="1"/>
      <c r="Y5954" s="1"/>
      <c r="AA5954" s="102"/>
      <c r="AB5954" s="1"/>
      <c r="AC5954" s="1"/>
      <c r="AD5954" s="1"/>
      <c r="AE5954" s="1"/>
      <c r="AF5954" s="1"/>
      <c r="AG5954" s="1"/>
    </row>
    <row r="5955" ht="15.75" customHeight="1">
      <c r="A5955" s="1"/>
      <c r="B5955" s="1"/>
      <c r="C5955" s="1"/>
      <c r="D5955" s="1"/>
      <c r="E5955" s="1"/>
      <c r="F5955" s="1"/>
      <c r="G5955" s="1"/>
      <c r="H5955" s="1"/>
      <c r="I5955" s="1"/>
      <c r="J5955" s="1"/>
      <c r="K5955" s="102" t="s">
        <v>9362</v>
      </c>
      <c r="L5955" s="102" t="str">
        <f>E702</f>
        <v>J2a1a</v>
      </c>
      <c r="M5955" s="102" t="s">
        <v>9363</v>
      </c>
      <c r="N5955" s="102" t="s">
        <v>9357</v>
      </c>
      <c r="O5955" s="105">
        <v>2.2942897E7</v>
      </c>
      <c r="P5955" s="105">
        <v>2.0781011E7</v>
      </c>
      <c r="Q5955" s="102" t="s">
        <v>2529</v>
      </c>
      <c r="S5955" s="1"/>
      <c r="T5955" s="1"/>
      <c r="U5955" s="1"/>
      <c r="V5955" s="1"/>
      <c r="W5955" s="1"/>
      <c r="X5955" s="1"/>
      <c r="Y5955" s="1"/>
      <c r="AA5955" s="102"/>
      <c r="AB5955" s="1"/>
      <c r="AC5955" s="1"/>
      <c r="AD5955" s="1"/>
      <c r="AE5955" s="1"/>
      <c r="AF5955" s="1"/>
      <c r="AG5955" s="1"/>
    </row>
    <row r="5956" ht="15.75" customHeight="1">
      <c r="A5956" s="1"/>
      <c r="B5956" s="1"/>
      <c r="C5956" s="1"/>
      <c r="D5956" s="1"/>
      <c r="E5956" s="1"/>
      <c r="F5956" s="1"/>
      <c r="G5956" s="1"/>
      <c r="H5956" s="1"/>
      <c r="I5956" s="1"/>
      <c r="J5956" s="1"/>
      <c r="K5956" s="19" t="s">
        <v>9364</v>
      </c>
      <c r="L5956" s="1" t="str">
        <f>E702</f>
        <v>J2a1a</v>
      </c>
      <c r="M5956" s="1"/>
      <c r="N5956" s="108" t="s">
        <v>9365</v>
      </c>
      <c r="O5956" s="108">
        <v>9422558.0</v>
      </c>
      <c r="P5956" s="19">
        <v>9584949.0</v>
      </c>
      <c r="Q5956" s="19" t="s">
        <v>2533</v>
      </c>
      <c r="S5956" s="1"/>
      <c r="T5956" s="1"/>
      <c r="U5956" s="1"/>
      <c r="V5956" s="1"/>
      <c r="W5956" s="1"/>
      <c r="X5956" s="1"/>
      <c r="Y5956" s="1"/>
      <c r="AA5956" s="102"/>
      <c r="AB5956" s="1"/>
      <c r="AC5956" s="1"/>
      <c r="AD5956" s="1"/>
      <c r="AE5956" s="1"/>
      <c r="AF5956" s="1"/>
      <c r="AG5956" s="1"/>
    </row>
    <row r="5957" ht="15.75" customHeight="1">
      <c r="A5957" s="1"/>
      <c r="B5957" s="1"/>
      <c r="C5957" s="1"/>
      <c r="D5957" s="1"/>
      <c r="E5957" s="1"/>
      <c r="F5957" s="1"/>
      <c r="G5957" s="1"/>
      <c r="H5957" s="1"/>
      <c r="I5957" s="1"/>
      <c r="J5957" s="1"/>
      <c r="K5957" s="102" t="s">
        <v>9366</v>
      </c>
      <c r="L5957" t="str">
        <f>E702</f>
        <v>J2a1a</v>
      </c>
      <c r="M5957" s="102" t="s">
        <v>9367</v>
      </c>
      <c r="N5957" s="1" t="s">
        <v>9368</v>
      </c>
      <c r="O5957" s="114">
        <v>8482151.0</v>
      </c>
      <c r="P5957" s="105">
        <v>8614110.0</v>
      </c>
      <c r="Q5957" s="102" t="s">
        <v>2446</v>
      </c>
      <c r="S5957" s="1"/>
      <c r="T5957" s="1"/>
      <c r="U5957" s="1"/>
      <c r="V5957" s="1"/>
      <c r="W5957" s="1"/>
      <c r="X5957" s="1"/>
      <c r="Y5957" s="1"/>
      <c r="AA5957" s="102"/>
      <c r="AB5957" s="1"/>
      <c r="AC5957" s="1"/>
      <c r="AD5957" s="1"/>
      <c r="AE5957" s="1"/>
      <c r="AF5957" s="1"/>
      <c r="AG5957" s="1"/>
    </row>
    <row r="5958" ht="15.75" customHeight="1">
      <c r="A5958" s="1"/>
      <c r="B5958" s="1"/>
      <c r="C5958" s="1"/>
      <c r="D5958" s="1"/>
      <c r="E5958" s="1"/>
      <c r="F5958" s="1"/>
      <c r="G5958" s="1"/>
      <c r="H5958" s="1"/>
      <c r="I5958" s="1"/>
      <c r="J5958" s="1"/>
      <c r="K5958" s="106" t="s">
        <v>9367</v>
      </c>
      <c r="L5958" t="str">
        <f>E702</f>
        <v>J2a1a</v>
      </c>
      <c r="M5958" s="106" t="s">
        <v>9366</v>
      </c>
      <c r="N5958" s="1" t="s">
        <v>9368</v>
      </c>
      <c r="O5958" s="114">
        <v>8482151.0</v>
      </c>
      <c r="P5958" s="105">
        <v>8614110.0</v>
      </c>
      <c r="Q5958" s="102" t="s">
        <v>2446</v>
      </c>
      <c r="S5958" s="1"/>
      <c r="T5958" s="1"/>
      <c r="U5958" s="1"/>
      <c r="V5958" s="1"/>
      <c r="W5958" s="1"/>
      <c r="X5958" s="1"/>
      <c r="Y5958" s="1"/>
      <c r="AA5958" s="102"/>
      <c r="AB5958" s="1"/>
      <c r="AC5958" s="1"/>
      <c r="AD5958" s="1"/>
      <c r="AE5958" s="1"/>
      <c r="AF5958" s="1"/>
      <c r="AG5958" s="1"/>
    </row>
    <row r="5959" ht="15.75" customHeight="1">
      <c r="A5959" s="1"/>
      <c r="B5959" s="1"/>
      <c r="C5959" s="1"/>
      <c r="D5959" s="1"/>
      <c r="E5959" s="1"/>
      <c r="F5959" s="1"/>
      <c r="G5959" s="1"/>
      <c r="H5959" s="1"/>
      <c r="I5959" s="1"/>
      <c r="J5959" s="1"/>
      <c r="K5959" s="102" t="s">
        <v>9369</v>
      </c>
      <c r="L5959" t="str">
        <f t="shared" ref="L5959:L5960" si="124">E702</f>
        <v>J2a1a</v>
      </c>
      <c r="M5959" s="102"/>
      <c r="N5959" s="1" t="s">
        <v>9370</v>
      </c>
      <c r="O5959" s="114">
        <v>2.1493159E7</v>
      </c>
      <c r="P5959" s="105">
        <v>1.9331273E7</v>
      </c>
      <c r="Q5959" s="102" t="s">
        <v>2439</v>
      </c>
      <c r="S5959" s="1"/>
      <c r="T5959" s="1"/>
      <c r="U5959" s="1"/>
      <c r="V5959" s="1"/>
      <c r="W5959" s="1"/>
      <c r="X5959" s="1"/>
      <c r="Y5959" s="1"/>
      <c r="AA5959" s="102"/>
      <c r="AB5959" s="1"/>
      <c r="AC5959" s="1"/>
      <c r="AD5959" s="1"/>
      <c r="AE5959" s="1"/>
      <c r="AF5959" s="1"/>
      <c r="AG5959" s="1"/>
    </row>
    <row r="5960" ht="15.75" customHeight="1">
      <c r="A5960" s="1"/>
      <c r="B5960" s="1"/>
      <c r="C5960" s="1"/>
      <c r="D5960" s="1"/>
      <c r="E5960" s="1"/>
      <c r="F5960" s="1"/>
      <c r="G5960" s="1"/>
      <c r="H5960" s="1"/>
      <c r="I5960" s="1"/>
      <c r="J5960" s="1"/>
      <c r="K5960" s="102" t="s">
        <v>9371</v>
      </c>
      <c r="L5960" s="102" t="str">
        <f t="shared" si="124"/>
        <v>J2a1a~</v>
      </c>
      <c r="M5960" s="102" t="s">
        <v>9372</v>
      </c>
      <c r="N5960" s="1" t="s">
        <v>9373</v>
      </c>
      <c r="O5960" s="114">
        <v>7179825.0</v>
      </c>
      <c r="P5960" s="105">
        <v>7311784.0</v>
      </c>
      <c r="Q5960" s="102" t="s">
        <v>2439</v>
      </c>
      <c r="S5960" s="1"/>
      <c r="T5960" s="1"/>
      <c r="U5960" s="1"/>
      <c r="V5960" s="1"/>
      <c r="W5960" s="1"/>
      <c r="X5960" s="1"/>
      <c r="Y5960" s="1"/>
      <c r="AA5960" s="102"/>
      <c r="AB5960" s="1"/>
      <c r="AC5960" s="1"/>
      <c r="AD5960" s="1"/>
      <c r="AE5960" s="1"/>
      <c r="AF5960" s="1"/>
      <c r="AG5960" s="1"/>
    </row>
    <row r="5961" ht="15.75" customHeight="1">
      <c r="A5961" s="1"/>
      <c r="B5961" s="1"/>
      <c r="C5961" s="1"/>
      <c r="D5961" s="1"/>
      <c r="E5961" s="1"/>
      <c r="F5961" s="1"/>
      <c r="G5961" s="1"/>
      <c r="H5961" s="1"/>
      <c r="I5961" s="1"/>
      <c r="J5961" s="1"/>
      <c r="K5961" s="106" t="s">
        <v>9372</v>
      </c>
      <c r="L5961" t="str">
        <f>E703</f>
        <v>J2a1a~</v>
      </c>
      <c r="M5961" s="106" t="s">
        <v>9371</v>
      </c>
      <c r="N5961" s="1" t="s">
        <v>9373</v>
      </c>
      <c r="O5961" s="114">
        <v>7179825.0</v>
      </c>
      <c r="P5961" s="105">
        <v>7311784.0</v>
      </c>
      <c r="Q5961" s="102" t="s">
        <v>2439</v>
      </c>
      <c r="S5961" s="1"/>
      <c r="T5961" s="1"/>
      <c r="U5961" s="1"/>
      <c r="V5961" s="1"/>
      <c r="W5961" s="1"/>
      <c r="X5961" s="1"/>
      <c r="Y5961" s="1"/>
      <c r="AA5961" s="102"/>
      <c r="AB5961" s="1"/>
      <c r="AC5961" s="1"/>
      <c r="AD5961" s="1"/>
      <c r="AE5961" s="1"/>
      <c r="AF5961" s="1"/>
      <c r="AG5961" s="1"/>
    </row>
    <row r="5962" ht="15.75" customHeight="1">
      <c r="A5962" s="1"/>
      <c r="B5962" s="1"/>
      <c r="C5962" s="1"/>
      <c r="D5962" s="1"/>
      <c r="E5962" s="1"/>
      <c r="F5962" s="1"/>
      <c r="G5962" s="1"/>
      <c r="H5962" s="1"/>
      <c r="I5962" s="1"/>
      <c r="J5962" s="1"/>
      <c r="K5962" s="102" t="s">
        <v>9374</v>
      </c>
      <c r="L5962" t="str">
        <f>E703</f>
        <v>J2a1a~</v>
      </c>
      <c r="M5962" s="102"/>
      <c r="N5962" s="1" t="s">
        <v>9375</v>
      </c>
      <c r="O5962" s="114">
        <v>1.5003984E7</v>
      </c>
      <c r="P5962" s="105">
        <v>1.2892069E7</v>
      </c>
      <c r="Q5962" s="102" t="s">
        <v>2423</v>
      </c>
      <c r="S5962" s="1"/>
      <c r="T5962" s="1"/>
      <c r="U5962" s="1"/>
      <c r="V5962" s="1"/>
      <c r="W5962" s="1"/>
      <c r="X5962" s="1"/>
      <c r="Y5962" s="1"/>
      <c r="AA5962" s="102"/>
      <c r="AB5962" s="1"/>
      <c r="AC5962" s="1"/>
      <c r="AD5962" s="1"/>
      <c r="AE5962" s="1"/>
      <c r="AF5962" s="1"/>
      <c r="AG5962" s="1"/>
    </row>
    <row r="5963" ht="15.75" customHeight="1">
      <c r="A5963" s="1"/>
      <c r="B5963" s="1"/>
      <c r="C5963" s="1"/>
      <c r="D5963" s="1"/>
      <c r="E5963" s="1"/>
      <c r="F5963" s="1"/>
      <c r="G5963" s="1"/>
      <c r="H5963" s="1"/>
      <c r="I5963" s="1"/>
      <c r="J5963" s="1"/>
      <c r="K5963" s="102" t="s">
        <v>9376</v>
      </c>
      <c r="L5963" t="str">
        <f>E703</f>
        <v>J2a1a~</v>
      </c>
      <c r="M5963" s="102" t="s">
        <v>9377</v>
      </c>
      <c r="N5963" s="1" t="s">
        <v>9378</v>
      </c>
      <c r="O5963" s="114">
        <v>1.5459533E7</v>
      </c>
      <c r="P5963" s="105">
        <v>1.3347653E7</v>
      </c>
      <c r="Q5963" s="102" t="s">
        <v>2501</v>
      </c>
      <c r="S5963" s="1"/>
      <c r="T5963" s="1"/>
      <c r="U5963" s="1"/>
      <c r="V5963" s="1"/>
      <c r="W5963" s="1"/>
      <c r="X5963" s="1"/>
      <c r="Y5963" s="1"/>
      <c r="AA5963" s="102"/>
      <c r="AB5963" s="1"/>
      <c r="AC5963" s="1"/>
      <c r="AD5963" s="1"/>
      <c r="AE5963" s="1"/>
      <c r="AF5963" s="1"/>
      <c r="AG5963" s="1"/>
    </row>
    <row r="5964" ht="15.75" customHeight="1">
      <c r="A5964" s="1"/>
      <c r="B5964" s="1"/>
      <c r="C5964" s="1"/>
      <c r="D5964" s="1"/>
      <c r="E5964" s="1"/>
      <c r="F5964" s="1"/>
      <c r="G5964" s="1"/>
      <c r="H5964" s="1"/>
      <c r="I5964" s="1"/>
      <c r="J5964" s="1"/>
      <c r="K5964" s="106" t="s">
        <v>9377</v>
      </c>
      <c r="L5964" t="str">
        <f>E703</f>
        <v>J2a1a~</v>
      </c>
      <c r="M5964" s="106" t="s">
        <v>9376</v>
      </c>
      <c r="N5964" s="1" t="s">
        <v>9378</v>
      </c>
      <c r="O5964" s="114">
        <v>1.5459533E7</v>
      </c>
      <c r="P5964" s="105">
        <v>1.3347653E7</v>
      </c>
      <c r="Q5964" s="102" t="s">
        <v>2501</v>
      </c>
      <c r="S5964" s="1"/>
      <c r="T5964" s="1"/>
      <c r="U5964" s="1"/>
      <c r="V5964" s="1"/>
      <c r="W5964" s="1"/>
      <c r="X5964" s="1"/>
      <c r="Y5964" s="1"/>
      <c r="AA5964" s="102"/>
      <c r="AB5964" s="1"/>
      <c r="AC5964" s="1"/>
      <c r="AD5964" s="1"/>
      <c r="AE5964" s="1"/>
      <c r="AF5964" s="1"/>
      <c r="AG5964" s="1"/>
    </row>
    <row r="5965" ht="15.75" customHeight="1">
      <c r="A5965" s="1"/>
      <c r="B5965" s="1"/>
      <c r="C5965" s="1"/>
      <c r="D5965" s="1"/>
      <c r="E5965" s="1"/>
      <c r="F5965" s="1"/>
      <c r="G5965" s="1"/>
      <c r="H5965" s="1"/>
      <c r="I5965" s="1"/>
      <c r="J5965" s="1"/>
      <c r="K5965" s="102" t="s">
        <v>9379</v>
      </c>
      <c r="L5965" t="str">
        <f>E703</f>
        <v>J2a1a~</v>
      </c>
      <c r="M5965" s="102" t="s">
        <v>9380</v>
      </c>
      <c r="N5965" s="1" t="s">
        <v>9381</v>
      </c>
      <c r="O5965" s="114">
        <v>1.637593E7</v>
      </c>
      <c r="P5965" s="105">
        <v>1.426405E7</v>
      </c>
      <c r="Q5965" s="102" t="s">
        <v>2501</v>
      </c>
      <c r="S5965" s="1"/>
      <c r="T5965" s="1"/>
      <c r="U5965" s="1"/>
      <c r="V5965" s="1"/>
      <c r="W5965" s="1"/>
      <c r="X5965" s="1"/>
      <c r="Y5965" s="1"/>
      <c r="AA5965" s="102"/>
      <c r="AB5965" s="1"/>
      <c r="AC5965" s="1"/>
      <c r="AD5965" s="1"/>
      <c r="AE5965" s="1"/>
      <c r="AF5965" s="1"/>
      <c r="AG5965" s="1"/>
    </row>
    <row r="5966" ht="15.75" customHeight="1">
      <c r="A5966" s="1"/>
      <c r="B5966" s="1"/>
      <c r="C5966" s="1"/>
      <c r="D5966" s="1"/>
      <c r="E5966" s="1"/>
      <c r="F5966" s="1"/>
      <c r="G5966" s="1"/>
      <c r="H5966" s="1"/>
      <c r="I5966" s="1"/>
      <c r="J5966" s="1"/>
      <c r="K5966" s="106" t="s">
        <v>9380</v>
      </c>
      <c r="L5966" t="str">
        <f>E703</f>
        <v>J2a1a~</v>
      </c>
      <c r="M5966" s="106" t="s">
        <v>9379</v>
      </c>
      <c r="N5966" s="1" t="s">
        <v>9381</v>
      </c>
      <c r="O5966" s="114">
        <v>1.637593E7</v>
      </c>
      <c r="P5966" s="105">
        <v>1.426405E7</v>
      </c>
      <c r="Q5966" s="102" t="s">
        <v>2501</v>
      </c>
      <c r="S5966" s="1"/>
      <c r="T5966" s="1"/>
      <c r="U5966" s="1"/>
      <c r="V5966" s="1"/>
      <c r="W5966" s="1"/>
      <c r="X5966" s="1"/>
      <c r="Y5966" s="1"/>
      <c r="AA5966" s="102"/>
      <c r="AB5966" s="1"/>
      <c r="AC5966" s="1"/>
      <c r="AD5966" s="1"/>
      <c r="AE5966" s="1"/>
      <c r="AF5966" s="1"/>
      <c r="AG5966" s="1"/>
    </row>
    <row r="5967" ht="15.75" customHeight="1">
      <c r="A5967" s="1"/>
      <c r="B5967" s="1"/>
      <c r="C5967" s="1"/>
      <c r="D5967" s="1"/>
      <c r="E5967" s="1"/>
      <c r="F5967" s="1"/>
      <c r="G5967" s="1"/>
      <c r="H5967" s="1"/>
      <c r="I5967" s="1"/>
      <c r="J5967" s="1"/>
      <c r="K5967" s="102" t="s">
        <v>9382</v>
      </c>
      <c r="L5967" t="str">
        <f>E703</f>
        <v>J2a1a~</v>
      </c>
      <c r="M5967" s="102" t="s">
        <v>9383</v>
      </c>
      <c r="N5967" s="1" t="s">
        <v>9384</v>
      </c>
      <c r="O5967" s="114">
        <v>2.320089E7</v>
      </c>
      <c r="P5967" s="105">
        <v>2.1039004E7</v>
      </c>
      <c r="Q5967" s="102" t="s">
        <v>2432</v>
      </c>
      <c r="S5967" s="1"/>
      <c r="T5967" s="1"/>
      <c r="U5967" s="1"/>
      <c r="V5967" s="1"/>
      <c r="W5967" s="1"/>
      <c r="X5967" s="1"/>
      <c r="Y5967" s="1"/>
      <c r="AA5967" s="102"/>
      <c r="AB5967" s="1"/>
      <c r="AC5967" s="1"/>
      <c r="AD5967" s="1"/>
      <c r="AE5967" s="1"/>
      <c r="AF5967" s="1"/>
      <c r="AG5967" s="1"/>
    </row>
    <row r="5968" ht="15.75" customHeight="1">
      <c r="A5968" s="1"/>
      <c r="B5968" s="1"/>
      <c r="C5968" s="1"/>
      <c r="D5968" s="1"/>
      <c r="E5968" s="1"/>
      <c r="F5968" s="1"/>
      <c r="G5968" s="1"/>
      <c r="H5968" s="1"/>
      <c r="I5968" s="1"/>
      <c r="J5968" s="1"/>
      <c r="K5968" s="106" t="s">
        <v>9383</v>
      </c>
      <c r="L5968" t="str">
        <f>E703</f>
        <v>J2a1a~</v>
      </c>
      <c r="M5968" s="106" t="s">
        <v>9382</v>
      </c>
      <c r="N5968" s="1" t="s">
        <v>9384</v>
      </c>
      <c r="O5968" s="114">
        <v>2.320089E7</v>
      </c>
      <c r="P5968" s="105">
        <v>2.1039004E7</v>
      </c>
      <c r="Q5968" s="102" t="s">
        <v>2432</v>
      </c>
      <c r="S5968" s="1"/>
      <c r="T5968" s="1"/>
      <c r="U5968" s="1"/>
      <c r="V5968" s="1"/>
      <c r="W5968" s="1"/>
      <c r="X5968" s="1"/>
      <c r="Y5968" s="1"/>
      <c r="AA5968" s="102"/>
      <c r="AB5968" s="1"/>
      <c r="AC5968" s="1"/>
      <c r="AD5968" s="1"/>
      <c r="AE5968" s="1"/>
      <c r="AF5968" s="1"/>
      <c r="AG5968" s="1"/>
    </row>
    <row r="5969" ht="15.75" customHeight="1">
      <c r="A5969" s="1"/>
      <c r="B5969" s="1"/>
      <c r="C5969" s="1"/>
      <c r="D5969" s="1"/>
      <c r="E5969" s="1"/>
      <c r="F5969" s="1"/>
      <c r="G5969" s="1"/>
      <c r="H5969" s="1"/>
      <c r="I5969" s="1"/>
      <c r="J5969" s="1"/>
      <c r="K5969" s="102" t="s">
        <v>9385</v>
      </c>
      <c r="L5969" t="str">
        <f>E703</f>
        <v>J2a1a~</v>
      </c>
      <c r="M5969" s="102" t="s">
        <v>9386</v>
      </c>
      <c r="N5969" s="1" t="s">
        <v>9387</v>
      </c>
      <c r="O5969" s="114">
        <v>9998032.0</v>
      </c>
      <c r="P5969" s="105">
        <v>1.0160423E7</v>
      </c>
      <c r="Q5969" s="102" t="s">
        <v>2529</v>
      </c>
      <c r="S5969" s="1"/>
      <c r="T5969" s="1"/>
      <c r="U5969" s="1"/>
      <c r="V5969" s="1"/>
      <c r="W5969" s="1"/>
      <c r="X5969" s="1"/>
      <c r="Y5969" s="1"/>
      <c r="AA5969" s="102"/>
      <c r="AB5969" s="1"/>
      <c r="AC5969" s="1"/>
      <c r="AD5969" s="1"/>
      <c r="AE5969" s="1"/>
      <c r="AF5969" s="1"/>
      <c r="AG5969" s="1"/>
    </row>
    <row r="5970" ht="15.75" customHeight="1">
      <c r="A5970" s="1"/>
      <c r="B5970" s="1"/>
      <c r="C5970" s="1"/>
      <c r="D5970" s="1"/>
      <c r="E5970" s="1"/>
      <c r="F5970" s="1"/>
      <c r="G5970" s="1"/>
      <c r="H5970" s="1"/>
      <c r="I5970" s="1"/>
      <c r="J5970" s="1"/>
      <c r="K5970" s="106" t="s">
        <v>9386</v>
      </c>
      <c r="L5970" t="str">
        <f>E703</f>
        <v>J2a1a~</v>
      </c>
      <c r="M5970" s="106" t="s">
        <v>9385</v>
      </c>
      <c r="N5970" s="1" t="s">
        <v>9387</v>
      </c>
      <c r="O5970" s="114">
        <v>9998032.0</v>
      </c>
      <c r="P5970" s="105">
        <v>1.0160423E7</v>
      </c>
      <c r="Q5970" s="102" t="s">
        <v>2529</v>
      </c>
      <c r="S5970" s="1"/>
      <c r="T5970" s="1"/>
      <c r="U5970" s="1"/>
      <c r="V5970" s="1"/>
      <c r="W5970" s="1"/>
      <c r="X5970" s="1"/>
      <c r="Y5970" s="1"/>
      <c r="AA5970" s="102"/>
      <c r="AB5970" s="1"/>
      <c r="AC5970" s="1"/>
      <c r="AD5970" s="1"/>
      <c r="AE5970" s="1"/>
      <c r="AF5970" s="1"/>
      <c r="AG5970" s="1"/>
    </row>
    <row r="5971" ht="15.75" customHeight="1">
      <c r="A5971" s="1"/>
      <c r="B5971" s="1"/>
      <c r="C5971" s="1"/>
      <c r="D5971" s="1"/>
      <c r="E5971" s="1"/>
      <c r="F5971" s="1"/>
      <c r="G5971" s="1"/>
      <c r="H5971" s="1"/>
      <c r="I5971" s="1"/>
      <c r="J5971" s="1"/>
      <c r="K5971" s="102" t="s">
        <v>9388</v>
      </c>
      <c r="L5971" t="str">
        <f>E703</f>
        <v>J2a1a~</v>
      </c>
      <c r="M5971" s="102"/>
      <c r="N5971" s="1" t="s">
        <v>9389</v>
      </c>
      <c r="O5971" s="114">
        <v>2.1534723E7</v>
      </c>
      <c r="P5971" s="105">
        <v>1.9372837E7</v>
      </c>
      <c r="Q5971" s="102" t="s">
        <v>2439</v>
      </c>
      <c r="S5971" s="1"/>
      <c r="T5971" s="1"/>
      <c r="U5971" s="1"/>
      <c r="V5971" s="1"/>
      <c r="W5971" s="1"/>
      <c r="X5971" s="1"/>
      <c r="Y5971" s="1"/>
      <c r="AA5971" s="102"/>
      <c r="AB5971" s="1"/>
      <c r="AC5971" s="1"/>
      <c r="AD5971" s="1"/>
      <c r="AE5971" s="1"/>
      <c r="AF5971" s="1"/>
      <c r="AG5971" s="1"/>
    </row>
    <row r="5972" ht="15.75" customHeight="1">
      <c r="A5972" s="1"/>
      <c r="B5972" s="1"/>
      <c r="C5972" s="1"/>
      <c r="D5972" s="1"/>
      <c r="E5972" s="1"/>
      <c r="F5972" s="1"/>
      <c r="G5972" s="1"/>
      <c r="H5972" s="1"/>
      <c r="I5972" s="1"/>
      <c r="J5972" s="1"/>
      <c r="K5972" s="102" t="s">
        <v>9390</v>
      </c>
      <c r="L5972" t="str">
        <f>E703</f>
        <v>J2a1a~</v>
      </c>
      <c r="M5972" s="102"/>
      <c r="N5972" s="1" t="s">
        <v>9391</v>
      </c>
      <c r="O5972" s="114">
        <v>8678907.0</v>
      </c>
      <c r="P5972" s="105">
        <v>8810866.0</v>
      </c>
      <c r="Q5972" s="102" t="s">
        <v>2501</v>
      </c>
      <c r="S5972" s="1"/>
      <c r="T5972" s="1"/>
      <c r="U5972" s="1"/>
      <c r="V5972" s="1"/>
      <c r="W5972" s="1"/>
      <c r="X5972" s="1"/>
      <c r="Y5972" s="1"/>
      <c r="AA5972" s="102"/>
      <c r="AB5972" s="1"/>
      <c r="AC5972" s="1"/>
      <c r="AD5972" s="1"/>
      <c r="AE5972" s="1"/>
      <c r="AF5972" s="1"/>
      <c r="AG5972" s="1"/>
    </row>
    <row r="5973" ht="15.75" customHeight="1">
      <c r="A5973" s="1"/>
      <c r="B5973" s="1"/>
      <c r="C5973" s="1"/>
      <c r="D5973" s="1"/>
      <c r="E5973" s="1"/>
      <c r="F5973" s="1"/>
      <c r="G5973" s="1"/>
      <c r="H5973" s="1"/>
      <c r="I5973" s="1"/>
      <c r="J5973" s="1"/>
      <c r="K5973" s="102" t="s">
        <v>9392</v>
      </c>
      <c r="L5973" t="str">
        <f>E703</f>
        <v>J2a1a~</v>
      </c>
      <c r="M5973" s="102"/>
      <c r="N5973" s="1" t="s">
        <v>9393</v>
      </c>
      <c r="O5973" s="114">
        <v>2.3838019E7</v>
      </c>
      <c r="P5973" s="105">
        <v>2.1676133E7</v>
      </c>
      <c r="Q5973" s="102" t="s">
        <v>2446</v>
      </c>
      <c r="S5973" s="1"/>
      <c r="T5973" s="1"/>
      <c r="U5973" s="1"/>
      <c r="V5973" s="1"/>
      <c r="W5973" s="1"/>
      <c r="X5973" s="1"/>
      <c r="Y5973" s="1"/>
      <c r="AA5973" s="102"/>
      <c r="AB5973" s="1"/>
      <c r="AC5973" s="1"/>
      <c r="AD5973" s="1"/>
      <c r="AE5973" s="1"/>
      <c r="AF5973" s="1"/>
      <c r="AG5973" s="1"/>
    </row>
    <row r="5974" ht="15.75" customHeight="1">
      <c r="A5974" s="1"/>
      <c r="B5974" s="1"/>
      <c r="C5974" s="1"/>
      <c r="D5974" s="1"/>
      <c r="E5974" s="1"/>
      <c r="F5974" s="1"/>
      <c r="G5974" s="1"/>
      <c r="H5974" s="1"/>
      <c r="I5974" s="1"/>
      <c r="J5974" s="1"/>
      <c r="K5974" s="19" t="s">
        <v>9394</v>
      </c>
      <c r="L5974" s="1" t="str">
        <f>F704</f>
        <v>J2a1a1</v>
      </c>
      <c r="M5974" s="1"/>
      <c r="N5974" s="108" t="s">
        <v>9395</v>
      </c>
      <c r="O5974" s="108">
        <v>8107430.0</v>
      </c>
      <c r="P5974" s="19">
        <v>8239389.0</v>
      </c>
      <c r="Q5974" s="19" t="s">
        <v>2529</v>
      </c>
      <c r="S5974" s="1"/>
      <c r="T5974" s="1"/>
      <c r="U5974" s="1"/>
      <c r="V5974" s="1"/>
      <c r="W5974" s="1"/>
      <c r="X5974" s="1"/>
      <c r="Y5974" s="1"/>
      <c r="AA5974" s="102"/>
      <c r="AB5974" s="1"/>
      <c r="AC5974" s="1"/>
      <c r="AD5974" s="1"/>
      <c r="AE5974" s="1"/>
      <c r="AF5974" s="1"/>
      <c r="AG5974" s="1"/>
    </row>
    <row r="5975" ht="15.75" customHeight="1">
      <c r="A5975" s="1"/>
      <c r="B5975" s="1"/>
      <c r="C5975" s="1"/>
      <c r="D5975" s="1"/>
      <c r="E5975" s="1"/>
      <c r="F5975" s="1"/>
      <c r="G5975" s="1"/>
      <c r="H5975" s="1"/>
      <c r="I5975" s="1"/>
      <c r="J5975" s="1"/>
      <c r="K5975" s="106" t="s">
        <v>9396</v>
      </c>
      <c r="L5975" s="102" t="str">
        <f>F704</f>
        <v>J2a1a1</v>
      </c>
      <c r="M5975" s="106" t="s">
        <v>9397</v>
      </c>
      <c r="N5975" s="1" t="s">
        <v>9398</v>
      </c>
      <c r="O5975" s="115">
        <v>7284302.0</v>
      </c>
      <c r="P5975" s="105">
        <v>7416261.0</v>
      </c>
      <c r="Q5975" s="102" t="s">
        <v>2514</v>
      </c>
      <c r="S5975" s="1"/>
      <c r="T5975" s="1"/>
      <c r="U5975" s="1"/>
      <c r="V5975" s="1"/>
      <c r="W5975" s="1"/>
      <c r="X5975" s="1"/>
      <c r="Y5975" s="1"/>
      <c r="AA5975" s="102"/>
      <c r="AB5975" s="1"/>
      <c r="AC5975" s="1"/>
      <c r="AD5975" s="1"/>
      <c r="AE5975" s="1"/>
      <c r="AF5975" s="1"/>
      <c r="AG5975" s="1"/>
    </row>
    <row r="5976" ht="15.75" customHeight="1">
      <c r="A5976" s="1"/>
      <c r="B5976" s="1"/>
      <c r="C5976" s="1"/>
      <c r="D5976" s="1"/>
      <c r="E5976" s="1"/>
      <c r="F5976" s="1"/>
      <c r="G5976" s="1"/>
      <c r="H5976" s="1"/>
      <c r="I5976" s="1"/>
      <c r="J5976" s="1"/>
      <c r="K5976" s="106" t="s">
        <v>9397</v>
      </c>
      <c r="L5976" s="102" t="str">
        <f>F704</f>
        <v>J2a1a1</v>
      </c>
      <c r="M5976" s="106" t="s">
        <v>9396</v>
      </c>
      <c r="N5976" s="1" t="s">
        <v>9398</v>
      </c>
      <c r="O5976" s="115">
        <v>7284302.0</v>
      </c>
      <c r="P5976" s="105">
        <v>7416261.0</v>
      </c>
      <c r="Q5976" s="102" t="s">
        <v>2514</v>
      </c>
      <c r="S5976" s="1"/>
      <c r="T5976" s="1"/>
      <c r="U5976" s="1"/>
      <c r="V5976" s="1"/>
      <c r="W5976" s="1"/>
      <c r="X5976" s="1"/>
      <c r="Y5976" s="1"/>
      <c r="AA5976" s="102"/>
      <c r="AB5976" s="1"/>
      <c r="AC5976" s="1"/>
      <c r="AD5976" s="1"/>
      <c r="AE5976" s="1"/>
      <c r="AF5976" s="1"/>
      <c r="AG5976" s="1"/>
    </row>
    <row r="5977" ht="15.75" customHeight="1">
      <c r="A5977" s="1"/>
      <c r="B5977" s="1"/>
      <c r="C5977" s="1"/>
      <c r="D5977" s="1"/>
      <c r="E5977" s="1"/>
      <c r="F5977" s="1"/>
      <c r="G5977" s="1"/>
      <c r="H5977" s="1"/>
      <c r="I5977" s="1"/>
      <c r="J5977" s="1"/>
      <c r="K5977" s="102" t="s">
        <v>9399</v>
      </c>
      <c r="L5977" s="102" t="str">
        <f>G705</f>
        <v>J2a1a1a</v>
      </c>
      <c r="M5977" s="102"/>
      <c r="N5977" s="1" t="s">
        <v>9400</v>
      </c>
      <c r="O5977" s="114">
        <v>9089648.0</v>
      </c>
      <c r="P5977" s="105">
        <v>9252039.0</v>
      </c>
      <c r="Q5977" s="102" t="s">
        <v>2514</v>
      </c>
      <c r="S5977" s="1"/>
      <c r="T5977" s="1"/>
      <c r="U5977" s="1"/>
      <c r="V5977" s="1"/>
      <c r="W5977" s="1"/>
      <c r="X5977" s="1"/>
      <c r="Y5977" s="1"/>
      <c r="AA5977" s="102"/>
      <c r="AB5977" s="1"/>
      <c r="AC5977" s="1"/>
      <c r="AD5977" s="1"/>
      <c r="AE5977" s="1"/>
      <c r="AF5977" s="1"/>
      <c r="AG5977" s="1"/>
    </row>
    <row r="5978" ht="15.75" customHeight="1">
      <c r="A5978" s="1"/>
      <c r="B5978" s="1"/>
      <c r="C5978" s="1"/>
      <c r="D5978" s="1"/>
      <c r="E5978" s="1"/>
      <c r="F5978" s="1"/>
      <c r="G5978" s="1"/>
      <c r="H5978" s="1"/>
      <c r="I5978" s="1"/>
      <c r="J5978" s="1"/>
      <c r="K5978" s="42" t="s">
        <v>9401</v>
      </c>
      <c r="L5978" t="str">
        <f>G705</f>
        <v>J2a1a1a</v>
      </c>
      <c r="N5978" s="108" t="s">
        <v>9402</v>
      </c>
      <c r="O5978" s="108">
        <v>4065584.0</v>
      </c>
      <c r="P5978" s="42">
        <v>4197543.0</v>
      </c>
      <c r="Q5978" s="42" t="s">
        <v>2439</v>
      </c>
      <c r="S5978" s="1"/>
      <c r="T5978" s="1"/>
      <c r="U5978" s="1"/>
      <c r="V5978" s="1"/>
      <c r="W5978" s="1"/>
      <c r="X5978" s="1"/>
      <c r="Y5978" s="1"/>
      <c r="AA5978" s="102"/>
      <c r="AB5978" s="1"/>
      <c r="AC5978" s="1"/>
      <c r="AD5978" s="1"/>
      <c r="AE5978" s="1"/>
      <c r="AF5978" s="1"/>
      <c r="AG5978" s="1"/>
    </row>
    <row r="5979" ht="15.75" customHeight="1">
      <c r="A5979" s="1"/>
      <c r="B5979" s="1"/>
      <c r="C5979" s="1"/>
      <c r="D5979" s="1"/>
      <c r="E5979" s="1"/>
      <c r="F5979" s="1"/>
      <c r="G5979" s="1"/>
      <c r="H5979" s="1"/>
      <c r="I5979" s="1"/>
      <c r="J5979" s="1"/>
      <c r="K5979" s="102" t="s">
        <v>1379</v>
      </c>
      <c r="L5979" s="102" t="str">
        <f t="shared" ref="L5979:L5980" si="125">H706</f>
        <v>J2a1a1a1~</v>
      </c>
      <c r="M5979" s="102"/>
      <c r="N5979" s="1" t="s">
        <v>9403</v>
      </c>
      <c r="O5979" s="114">
        <v>6687352.0</v>
      </c>
      <c r="P5979" s="105">
        <v>6819311.0</v>
      </c>
      <c r="Q5979" s="102" t="s">
        <v>2576</v>
      </c>
      <c r="S5979" s="1"/>
      <c r="T5979" s="1"/>
      <c r="U5979" s="1"/>
      <c r="V5979" s="1"/>
      <c r="W5979" s="1"/>
      <c r="X5979" s="1"/>
      <c r="Y5979" s="1"/>
      <c r="AA5979" s="102"/>
      <c r="AB5979" s="1"/>
      <c r="AC5979" s="1"/>
      <c r="AD5979" s="1"/>
      <c r="AE5979" s="1"/>
      <c r="AF5979" s="1"/>
      <c r="AG5979" s="1"/>
    </row>
    <row r="5980" ht="15.75" customHeight="1">
      <c r="A5980" s="1"/>
      <c r="B5980" s="1"/>
      <c r="C5980" s="1"/>
      <c r="D5980" s="1"/>
      <c r="E5980" s="1"/>
      <c r="F5980" s="1"/>
      <c r="G5980" s="1"/>
      <c r="H5980" s="1"/>
      <c r="I5980" s="1"/>
      <c r="J5980" s="1"/>
      <c r="K5980" s="106" t="s">
        <v>9404</v>
      </c>
      <c r="L5980" s="102" t="str">
        <f t="shared" si="125"/>
        <v>J2a1a1a2</v>
      </c>
      <c r="M5980" s="102"/>
      <c r="N5980" s="1" t="s">
        <v>9405</v>
      </c>
      <c r="O5980" s="114">
        <v>2.2107312E7</v>
      </c>
      <c r="P5980" s="114">
        <v>1.9945426E7</v>
      </c>
      <c r="Q5980" s="1" t="s">
        <v>2529</v>
      </c>
      <c r="S5980" s="1"/>
      <c r="T5980" s="1"/>
      <c r="U5980" s="1"/>
      <c r="V5980" s="1"/>
      <c r="W5980" s="1"/>
      <c r="X5980" s="1"/>
      <c r="Y5980" s="1"/>
      <c r="AA5980" s="102"/>
      <c r="AB5980" s="1"/>
      <c r="AC5980" s="1"/>
      <c r="AD5980" s="1"/>
      <c r="AE5980" s="1"/>
      <c r="AF5980" s="1"/>
      <c r="AG5980" s="1"/>
    </row>
    <row r="5981" ht="15.75" customHeight="1">
      <c r="A5981" s="1"/>
      <c r="B5981" s="1"/>
      <c r="C5981" s="1"/>
      <c r="D5981" s="1"/>
      <c r="E5981" s="1"/>
      <c r="F5981" s="1"/>
      <c r="G5981" s="1"/>
      <c r="H5981" s="1"/>
      <c r="I5981" s="1"/>
      <c r="J5981" s="1"/>
      <c r="K5981" s="102" t="s">
        <v>9406</v>
      </c>
      <c r="L5981" s="102" t="str">
        <f>H707</f>
        <v>J2a1a1a2</v>
      </c>
      <c r="M5981" s="102"/>
      <c r="N5981" s="1" t="s">
        <v>9407</v>
      </c>
      <c r="O5981" s="114">
        <v>7825861.0</v>
      </c>
      <c r="P5981" s="105">
        <v>7957820.0</v>
      </c>
      <c r="Q5981" s="102" t="s">
        <v>2514</v>
      </c>
      <c r="S5981" s="1"/>
      <c r="T5981" s="1"/>
      <c r="U5981" s="1"/>
      <c r="V5981" s="1"/>
      <c r="W5981" s="1"/>
      <c r="X5981" s="1"/>
      <c r="Y5981" s="1"/>
      <c r="AA5981" s="102"/>
      <c r="AB5981" s="1"/>
      <c r="AC5981" s="1"/>
      <c r="AD5981" s="1"/>
      <c r="AE5981" s="1"/>
      <c r="AF5981" s="1"/>
      <c r="AG5981" s="1"/>
    </row>
    <row r="5982" ht="15.75" customHeight="1">
      <c r="A5982" s="1"/>
      <c r="B5982" s="1"/>
      <c r="C5982" s="1"/>
      <c r="D5982" s="1"/>
      <c r="E5982" s="1"/>
      <c r="F5982" s="1"/>
      <c r="G5982" s="1"/>
      <c r="H5982" s="1"/>
      <c r="I5982" s="1"/>
      <c r="J5982" s="1"/>
      <c r="K5982" s="1" t="s">
        <v>9408</v>
      </c>
      <c r="L5982" s="1" t="str">
        <f>H707</f>
        <v>J2a1a1a2</v>
      </c>
      <c r="M5982" s="1"/>
      <c r="N5982" s="1" t="s">
        <v>9409</v>
      </c>
      <c r="O5982" s="114">
        <v>8584780.0</v>
      </c>
      <c r="P5982" s="114">
        <v>8716739.0</v>
      </c>
      <c r="Q5982" s="1" t="s">
        <v>2432</v>
      </c>
      <c r="S5982" s="1"/>
      <c r="T5982" s="1"/>
      <c r="U5982" s="1"/>
      <c r="V5982" s="1"/>
      <c r="W5982" s="1"/>
      <c r="X5982" s="1"/>
      <c r="Y5982" s="1"/>
      <c r="AA5982" s="102"/>
      <c r="AB5982" s="1"/>
      <c r="AC5982" s="1"/>
      <c r="AD5982" s="1"/>
      <c r="AE5982" s="1"/>
      <c r="AF5982" s="1"/>
      <c r="AG5982" s="1"/>
    </row>
    <row r="5983" ht="15.75" customHeight="1">
      <c r="A5983" s="1"/>
      <c r="B5983" s="1"/>
      <c r="C5983" s="1"/>
      <c r="D5983" s="1"/>
      <c r="E5983" s="1"/>
      <c r="F5983" s="1"/>
      <c r="G5983" s="1"/>
      <c r="H5983" s="1"/>
      <c r="I5983" s="1"/>
      <c r="J5983" s="1"/>
      <c r="K5983" s="1" t="s">
        <v>9410</v>
      </c>
      <c r="L5983" s="1" t="str">
        <f>H707</f>
        <v>J2a1a1a2</v>
      </c>
      <c r="M5983" s="1"/>
      <c r="N5983" s="1" t="s">
        <v>9411</v>
      </c>
      <c r="O5983" s="114">
        <v>8595006.0</v>
      </c>
      <c r="P5983" s="114">
        <v>8726965.0</v>
      </c>
      <c r="Q5983" s="1" t="s">
        <v>2454</v>
      </c>
      <c r="S5983" s="1"/>
      <c r="T5983" s="1"/>
      <c r="U5983" s="1"/>
      <c r="V5983" s="1"/>
      <c r="W5983" s="1"/>
      <c r="X5983" s="1"/>
      <c r="Y5983" s="1"/>
      <c r="AA5983" s="102"/>
      <c r="AB5983" s="1"/>
      <c r="AC5983" s="1"/>
      <c r="AD5983" s="1"/>
      <c r="AE5983" s="1"/>
      <c r="AF5983" s="1"/>
      <c r="AG5983" s="1"/>
    </row>
    <row r="5984" ht="15.75" customHeight="1">
      <c r="A5984" s="1"/>
      <c r="B5984" s="1"/>
      <c r="C5984" s="1"/>
      <c r="D5984" s="1"/>
      <c r="E5984" s="1"/>
      <c r="F5984" s="1"/>
      <c r="G5984" s="1"/>
      <c r="H5984" s="1"/>
      <c r="I5984" s="1"/>
      <c r="J5984" s="1"/>
      <c r="K5984" s="1" t="s">
        <v>9412</v>
      </c>
      <c r="L5984" s="1" t="str">
        <f>H707</f>
        <v>J2a1a1a2</v>
      </c>
      <c r="M5984" s="1"/>
      <c r="N5984" s="1" t="s">
        <v>9413</v>
      </c>
      <c r="O5984" s="114">
        <v>8676525.0</v>
      </c>
      <c r="P5984" s="114">
        <v>8808484.0</v>
      </c>
      <c r="Q5984" s="1" t="s">
        <v>2501</v>
      </c>
      <c r="S5984" s="1"/>
      <c r="T5984" s="1"/>
      <c r="U5984" s="1"/>
      <c r="V5984" s="1"/>
      <c r="W5984" s="1"/>
      <c r="X5984" s="1"/>
      <c r="Y5984" s="1"/>
      <c r="AA5984" s="102"/>
      <c r="AB5984" s="1"/>
      <c r="AC5984" s="1"/>
      <c r="AD5984" s="1"/>
      <c r="AE5984" s="1"/>
      <c r="AF5984" s="1"/>
      <c r="AG5984" s="1"/>
    </row>
    <row r="5985" ht="15.75" customHeight="1">
      <c r="A5985" s="1"/>
      <c r="B5985" s="1"/>
      <c r="C5985" s="1"/>
      <c r="D5985" s="1"/>
      <c r="E5985" s="1"/>
      <c r="F5985" s="1"/>
      <c r="G5985" s="1"/>
      <c r="H5985" s="1"/>
      <c r="I5985" s="1"/>
      <c r="J5985" s="1"/>
      <c r="K5985" s="1" t="s">
        <v>9414</v>
      </c>
      <c r="L5985" s="1" t="str">
        <f>H707</f>
        <v>J2a1a1a2</v>
      </c>
      <c r="M5985" s="1"/>
      <c r="N5985" s="1" t="s">
        <v>9415</v>
      </c>
      <c r="O5985" s="114">
        <v>9814308.0</v>
      </c>
      <c r="P5985" s="114">
        <v>9976699.0</v>
      </c>
      <c r="Q5985" s="1" t="s">
        <v>2501</v>
      </c>
      <c r="S5985" s="1"/>
      <c r="T5985" s="1"/>
      <c r="U5985" s="1"/>
      <c r="V5985" s="1"/>
      <c r="W5985" s="1"/>
      <c r="X5985" s="1"/>
      <c r="Y5985" s="1"/>
      <c r="AA5985" s="102"/>
      <c r="AB5985" s="1"/>
      <c r="AC5985" s="1"/>
      <c r="AD5985" s="1"/>
      <c r="AE5985" s="1"/>
      <c r="AF5985" s="1"/>
      <c r="AG5985" s="1"/>
    </row>
    <row r="5986" ht="15.75" customHeight="1">
      <c r="A5986" s="1"/>
      <c r="B5986" s="1"/>
      <c r="C5986" s="1"/>
      <c r="D5986" s="1"/>
      <c r="E5986" s="1"/>
      <c r="F5986" s="1"/>
      <c r="G5986" s="1"/>
      <c r="H5986" s="1"/>
      <c r="I5986" s="1"/>
      <c r="J5986" s="1"/>
      <c r="K5986" s="1" t="s">
        <v>9416</v>
      </c>
      <c r="L5986" s="1" t="str">
        <f>H707</f>
        <v>J2a1a1a2</v>
      </c>
      <c r="M5986" s="1"/>
      <c r="N5986" s="1" t="s">
        <v>9417</v>
      </c>
      <c r="O5986" s="114">
        <v>1.9055732E7</v>
      </c>
      <c r="P5986" s="114">
        <v>1.6943852E7</v>
      </c>
      <c r="Q5986" s="1" t="s">
        <v>2454</v>
      </c>
      <c r="S5986" s="1"/>
      <c r="T5986" s="1"/>
      <c r="U5986" s="1"/>
      <c r="V5986" s="1"/>
      <c r="W5986" s="1"/>
      <c r="X5986" s="1"/>
      <c r="Y5986" s="1"/>
      <c r="AA5986" s="102"/>
      <c r="AB5986" s="1"/>
      <c r="AC5986" s="1"/>
      <c r="AD5986" s="1"/>
      <c r="AE5986" s="1"/>
      <c r="AF5986" s="1"/>
      <c r="AG5986" s="1"/>
    </row>
    <row r="5987" ht="15.75" customHeight="1">
      <c r="A5987" s="1"/>
      <c r="B5987" s="1"/>
      <c r="C5987" s="1"/>
      <c r="D5987" s="1"/>
      <c r="E5987" s="1"/>
      <c r="F5987" s="1"/>
      <c r="G5987" s="1"/>
      <c r="H5987" s="1"/>
      <c r="I5987" s="1"/>
      <c r="J5987" s="1"/>
      <c r="K5987" s="1" t="s">
        <v>9418</v>
      </c>
      <c r="L5987" s="1" t="str">
        <f>H707</f>
        <v>J2a1a1a2</v>
      </c>
      <c r="M5987" s="1"/>
      <c r="N5987" s="1" t="s">
        <v>9419</v>
      </c>
      <c r="O5987" s="114">
        <v>2.220536E7</v>
      </c>
      <c r="P5987" s="114">
        <v>2.0043474E7</v>
      </c>
      <c r="Q5987" s="1" t="s">
        <v>2533</v>
      </c>
      <c r="S5987" s="1"/>
      <c r="T5987" s="1"/>
      <c r="U5987" s="1"/>
      <c r="V5987" s="1"/>
      <c r="W5987" s="1"/>
      <c r="X5987" s="1"/>
      <c r="Y5987" s="1"/>
      <c r="AA5987" s="102"/>
      <c r="AB5987" s="1"/>
      <c r="AC5987" s="1"/>
      <c r="AD5987" s="1"/>
      <c r="AE5987" s="1"/>
      <c r="AF5987" s="1"/>
      <c r="AG5987" s="1"/>
    </row>
    <row r="5988" ht="15.75" customHeight="1">
      <c r="A5988" s="1"/>
      <c r="B5988" s="1"/>
      <c r="C5988" s="1"/>
      <c r="D5988" s="1"/>
      <c r="E5988" s="1"/>
      <c r="F5988" s="1"/>
      <c r="G5988" s="1"/>
      <c r="H5988" s="1"/>
      <c r="I5988" s="1"/>
      <c r="J5988" s="1"/>
      <c r="K5988" s="1" t="s">
        <v>9420</v>
      </c>
      <c r="L5988" s="1" t="str">
        <f>H707</f>
        <v>J2a1a1a2</v>
      </c>
      <c r="M5988" s="1"/>
      <c r="N5988" s="1" t="s">
        <v>9421</v>
      </c>
      <c r="O5988" s="114">
        <v>2.1457266E7</v>
      </c>
      <c r="P5988" s="114">
        <v>1.929538E7</v>
      </c>
      <c r="Q5988" s="1" t="s">
        <v>2529</v>
      </c>
      <c r="S5988" s="1"/>
      <c r="T5988" s="1"/>
      <c r="U5988" s="1"/>
      <c r="V5988" s="1"/>
      <c r="W5988" s="1"/>
      <c r="X5988" s="1"/>
      <c r="Y5988" s="1"/>
      <c r="AA5988" s="102"/>
      <c r="AB5988" s="1"/>
      <c r="AC5988" s="1"/>
      <c r="AD5988" s="1"/>
      <c r="AE5988" s="1"/>
      <c r="AF5988" s="1"/>
      <c r="AG5988" s="1"/>
    </row>
    <row r="5989" ht="15.75" customHeight="1">
      <c r="A5989" s="1"/>
      <c r="B5989" s="1"/>
      <c r="C5989" s="1"/>
      <c r="D5989" s="1"/>
      <c r="E5989" s="1"/>
      <c r="F5989" s="1"/>
      <c r="G5989" s="1"/>
      <c r="H5989" s="1"/>
      <c r="I5989" s="1"/>
      <c r="J5989" s="1"/>
      <c r="K5989" s="1" t="s">
        <v>9422</v>
      </c>
      <c r="L5989" s="1" t="str">
        <f>H707</f>
        <v>J2a1a1a2</v>
      </c>
      <c r="M5989" s="1"/>
      <c r="N5989" s="1" t="s">
        <v>9423</v>
      </c>
      <c r="O5989" s="114">
        <v>2.1607985E7</v>
      </c>
      <c r="P5989" s="114">
        <v>1.9446099E7</v>
      </c>
      <c r="Q5989" s="1" t="s">
        <v>2529</v>
      </c>
      <c r="S5989" s="1"/>
      <c r="T5989" s="1"/>
      <c r="U5989" s="1"/>
      <c r="V5989" s="1"/>
      <c r="W5989" s="1"/>
      <c r="X5989" s="1"/>
      <c r="Y5989" s="1"/>
      <c r="AA5989" s="102"/>
      <c r="AB5989" s="1"/>
      <c r="AC5989" s="1"/>
      <c r="AD5989" s="1"/>
      <c r="AE5989" s="1"/>
      <c r="AF5989" s="1"/>
      <c r="AG5989" s="1"/>
    </row>
    <row r="5990" ht="15.75" customHeight="1">
      <c r="A5990" s="1"/>
      <c r="B5990" s="1"/>
      <c r="C5990" s="1"/>
      <c r="D5990" s="1"/>
      <c r="E5990" s="1"/>
      <c r="F5990" s="1"/>
      <c r="G5990" s="1"/>
      <c r="H5990" s="1"/>
      <c r="I5990" s="1"/>
      <c r="J5990" s="1"/>
      <c r="K5990" s="102" t="s">
        <v>1383</v>
      </c>
      <c r="L5990" s="102" t="str">
        <f>I708</f>
        <v>J2a1a1a2a</v>
      </c>
      <c r="M5990" s="102"/>
      <c r="N5990" s="1" t="s">
        <v>9424</v>
      </c>
      <c r="O5990" s="114">
        <v>1.8182306E7</v>
      </c>
      <c r="P5990" s="105">
        <v>1.6070426E7</v>
      </c>
      <c r="Q5990" s="102" t="s">
        <v>2446</v>
      </c>
      <c r="S5990" s="1"/>
      <c r="T5990" s="1"/>
      <c r="U5990" s="1"/>
      <c r="V5990" s="1"/>
      <c r="W5990" s="1"/>
      <c r="X5990" s="1"/>
      <c r="Y5990" s="1"/>
      <c r="AA5990" s="102"/>
      <c r="AB5990" s="1"/>
      <c r="AC5990" s="1"/>
      <c r="AD5990" s="1"/>
      <c r="AE5990" s="1"/>
      <c r="AF5990" s="1"/>
      <c r="AG5990" s="1"/>
    </row>
    <row r="5991" ht="15.75" customHeight="1">
      <c r="A5991" s="1"/>
      <c r="B5991" s="1"/>
      <c r="C5991" s="1"/>
      <c r="D5991" s="1"/>
      <c r="E5991" s="1"/>
      <c r="F5991" s="1"/>
      <c r="G5991" s="1"/>
      <c r="H5991" s="1"/>
      <c r="I5991" s="1"/>
      <c r="J5991" s="1"/>
      <c r="K5991" s="102" t="s">
        <v>9425</v>
      </c>
      <c r="L5991" s="102" t="str">
        <f>J709</f>
        <v>J2a1a1a2a1~</v>
      </c>
      <c r="M5991" s="106" t="s">
        <v>9426</v>
      </c>
      <c r="N5991" s="102"/>
      <c r="O5991" s="114">
        <v>7512826.0</v>
      </c>
      <c r="P5991" s="105">
        <v>7644785.0</v>
      </c>
      <c r="Q5991" s="102" t="s">
        <v>2563</v>
      </c>
      <c r="S5991" s="1"/>
      <c r="T5991" s="1"/>
      <c r="U5991" s="1"/>
      <c r="V5991" s="1"/>
      <c r="W5991" s="1"/>
      <c r="X5991" s="1"/>
      <c r="Y5991" s="1"/>
      <c r="AA5991" s="102"/>
      <c r="AB5991" s="1"/>
      <c r="AC5991" s="1"/>
      <c r="AD5991" s="1"/>
      <c r="AE5991" s="1"/>
      <c r="AF5991" s="1"/>
      <c r="AG5991" s="1"/>
    </row>
    <row r="5992" ht="15.75" customHeight="1">
      <c r="A5992" s="1"/>
      <c r="B5992" s="1"/>
      <c r="C5992" s="1"/>
      <c r="D5992" s="1"/>
      <c r="E5992" s="1"/>
      <c r="F5992" s="1"/>
      <c r="G5992" s="1"/>
      <c r="H5992" s="1"/>
      <c r="I5992" s="1"/>
      <c r="J5992" s="1"/>
      <c r="K5992" s="106" t="s">
        <v>9427</v>
      </c>
      <c r="L5992" s="102" t="str">
        <f>J709</f>
        <v>J2a1a1a2a1~</v>
      </c>
      <c r="M5992" s="106" t="s">
        <v>9428</v>
      </c>
      <c r="N5992" s="1"/>
      <c r="O5992" s="114">
        <v>7512826.0</v>
      </c>
      <c r="P5992" s="105">
        <v>7644785.0</v>
      </c>
      <c r="Q5992" s="102" t="s">
        <v>2563</v>
      </c>
      <c r="S5992" s="1"/>
      <c r="T5992" s="1"/>
      <c r="U5992" s="1"/>
      <c r="V5992" s="1"/>
      <c r="W5992" s="1"/>
      <c r="X5992" s="1"/>
      <c r="Y5992" s="1"/>
      <c r="AA5992" s="102"/>
      <c r="AB5992" s="1"/>
      <c r="AC5992" s="1"/>
      <c r="AD5992" s="1"/>
      <c r="AE5992" s="1"/>
      <c r="AF5992" s="1"/>
      <c r="AG5992" s="1"/>
    </row>
    <row r="5993" ht="15.75" customHeight="1">
      <c r="A5993" s="1"/>
      <c r="B5993" s="1"/>
      <c r="C5993" s="1"/>
      <c r="D5993" s="1"/>
      <c r="E5993" s="1"/>
      <c r="F5993" s="1"/>
      <c r="G5993" s="1"/>
      <c r="H5993" s="1"/>
      <c r="I5993" s="1"/>
      <c r="J5993" s="1"/>
      <c r="K5993" s="106" t="s">
        <v>9429</v>
      </c>
      <c r="L5993" s="102" t="str">
        <f>J709</f>
        <v>J2a1a1a2a1~</v>
      </c>
      <c r="M5993" s="106" t="s">
        <v>9430</v>
      </c>
      <c r="N5993" s="1"/>
      <c r="O5993" s="114">
        <v>7512826.0</v>
      </c>
      <c r="P5993" s="105">
        <v>7644785.0</v>
      </c>
      <c r="Q5993" s="102" t="s">
        <v>2563</v>
      </c>
      <c r="S5993" s="1"/>
      <c r="T5993" s="1"/>
      <c r="U5993" s="1"/>
      <c r="V5993" s="1"/>
      <c r="W5993" s="1"/>
      <c r="X5993" s="1"/>
      <c r="Y5993" s="1"/>
      <c r="AA5993" s="102"/>
      <c r="AB5993" s="1"/>
      <c r="AC5993" s="1"/>
      <c r="AD5993" s="1"/>
      <c r="AE5993" s="1"/>
      <c r="AF5993" s="1"/>
      <c r="AG5993" s="1"/>
    </row>
    <row r="5994" ht="15.75" customHeight="1">
      <c r="A5994" s="1"/>
      <c r="B5994" s="1"/>
      <c r="C5994" s="1"/>
      <c r="D5994" s="1"/>
      <c r="E5994" s="1"/>
      <c r="F5994" s="1"/>
      <c r="G5994" s="1"/>
      <c r="H5994" s="1"/>
      <c r="I5994" s="1"/>
      <c r="J5994" s="1"/>
      <c r="K5994" s="102" t="s">
        <v>1387</v>
      </c>
      <c r="L5994" s="102" t="str">
        <f>K710</f>
        <v>J2a1a1a2a1a~</v>
      </c>
      <c r="M5994" s="102"/>
      <c r="N5994" s="1" t="s">
        <v>9431</v>
      </c>
      <c r="O5994" s="114">
        <v>8358241.0</v>
      </c>
      <c r="P5994" s="105">
        <v>8490200.0</v>
      </c>
      <c r="Q5994" s="102" t="s">
        <v>2501</v>
      </c>
      <c r="S5994" s="1"/>
      <c r="T5994" s="1"/>
      <c r="U5994" s="1"/>
      <c r="V5994" s="1"/>
      <c r="W5994" s="1"/>
      <c r="X5994" s="1"/>
      <c r="Y5994" s="1"/>
      <c r="AA5994" s="102"/>
      <c r="AB5994" s="1"/>
      <c r="AC5994" s="1"/>
      <c r="AD5994" s="1"/>
      <c r="AE5994" s="1"/>
      <c r="AF5994" s="1"/>
      <c r="AG5994" s="1"/>
    </row>
    <row r="5995" ht="15.75" customHeight="1">
      <c r="A5995" s="1"/>
      <c r="B5995" s="1"/>
      <c r="C5995" s="1"/>
      <c r="D5995" s="1"/>
      <c r="E5995" s="1"/>
      <c r="F5995" s="1"/>
      <c r="G5995" s="1"/>
      <c r="H5995" s="1"/>
      <c r="I5995" s="1"/>
      <c r="J5995" s="1"/>
      <c r="K5995" s="102" t="s">
        <v>1389</v>
      </c>
      <c r="L5995" s="102" t="str">
        <f>L711</f>
        <v>J2a1a1a2a1a1~</v>
      </c>
      <c r="M5995" s="102"/>
      <c r="N5995" s="1" t="s">
        <v>9432</v>
      </c>
      <c r="O5995" s="114">
        <v>1.8919262E7</v>
      </c>
      <c r="P5995" s="105">
        <v>1.6807382E7</v>
      </c>
      <c r="Q5995" s="102" t="s">
        <v>2454</v>
      </c>
      <c r="S5995" s="1"/>
      <c r="T5995" s="1"/>
      <c r="U5995" s="1"/>
      <c r="V5995" s="1"/>
      <c r="W5995" s="1"/>
      <c r="X5995" s="1"/>
      <c r="Y5995" s="1"/>
      <c r="AA5995" s="102"/>
      <c r="AB5995" s="1"/>
      <c r="AC5995" s="1"/>
      <c r="AD5995" s="1"/>
      <c r="AE5995" s="1"/>
      <c r="AF5995" s="1"/>
      <c r="AG5995" s="1"/>
    </row>
    <row r="5996" ht="15.75" customHeight="1">
      <c r="A5996" s="1"/>
      <c r="B5996" s="1"/>
      <c r="C5996" s="1"/>
      <c r="D5996" s="1"/>
      <c r="E5996" s="1"/>
      <c r="F5996" s="1"/>
      <c r="G5996" s="1"/>
      <c r="H5996" s="1"/>
      <c r="I5996" s="1"/>
      <c r="J5996" s="1"/>
      <c r="K5996" s="102" t="s">
        <v>1391</v>
      </c>
      <c r="L5996" s="102" t="str">
        <f t="shared" ref="L5996:L5997" si="126">M712</f>
        <v>J2a1a1a2a1a1a~</v>
      </c>
      <c r="M5996" s="102"/>
      <c r="N5996" s="1" t="s">
        <v>9433</v>
      </c>
      <c r="O5996" s="114">
        <v>2.2010783E7</v>
      </c>
      <c r="P5996" s="105">
        <v>1.9848897E7</v>
      </c>
      <c r="Q5996" s="102" t="s">
        <v>2533</v>
      </c>
      <c r="S5996" s="1"/>
      <c r="T5996" s="1"/>
      <c r="U5996" s="1"/>
      <c r="V5996" s="1"/>
      <c r="W5996" s="1"/>
      <c r="X5996" s="1"/>
      <c r="Y5996" s="1"/>
      <c r="AA5996" s="102"/>
      <c r="AB5996" s="1"/>
      <c r="AC5996" s="1"/>
      <c r="AD5996" s="1"/>
      <c r="AE5996" s="1"/>
      <c r="AF5996" s="1"/>
      <c r="AG5996" s="1"/>
    </row>
    <row r="5997" ht="15.75" customHeight="1">
      <c r="A5997" s="1"/>
      <c r="B5997" s="1"/>
      <c r="C5997" s="1"/>
      <c r="D5997" s="1"/>
      <c r="E5997" s="1"/>
      <c r="F5997" s="1"/>
      <c r="G5997" s="1"/>
      <c r="H5997" s="1"/>
      <c r="I5997" s="1"/>
      <c r="J5997" s="1"/>
      <c r="K5997" s="102" t="s">
        <v>1393</v>
      </c>
      <c r="L5997" s="102" t="str">
        <f t="shared" si="126"/>
        <v>J2a1a1a2a1a1b~</v>
      </c>
      <c r="M5997" s="102"/>
      <c r="N5997" s="1"/>
      <c r="O5997" s="114">
        <v>1.9136709E7</v>
      </c>
      <c r="P5997" s="105">
        <v>1.7024829E7</v>
      </c>
      <c r="Q5997" s="102" t="s">
        <v>2446</v>
      </c>
      <c r="S5997" s="1"/>
      <c r="T5997" s="1"/>
      <c r="U5997" s="1"/>
      <c r="V5997" s="1"/>
      <c r="W5997" s="1"/>
      <c r="X5997" s="1"/>
      <c r="Y5997" s="1"/>
      <c r="AA5997" s="102"/>
      <c r="AB5997" s="1"/>
      <c r="AC5997" s="1"/>
      <c r="AD5997" s="1"/>
      <c r="AE5997" s="1"/>
      <c r="AF5997" s="1"/>
      <c r="AG5997" s="1"/>
    </row>
    <row r="5998" ht="15.75" customHeight="1">
      <c r="A5998" s="1"/>
      <c r="B5998" s="1"/>
      <c r="C5998" s="1"/>
      <c r="D5998" s="1"/>
      <c r="E5998" s="1"/>
      <c r="F5998" s="1"/>
      <c r="G5998" s="1"/>
      <c r="H5998" s="1"/>
      <c r="I5998" s="1"/>
      <c r="J5998" s="1"/>
      <c r="K5998" s="102" t="s">
        <v>1395</v>
      </c>
      <c r="L5998" s="102" t="str">
        <f>L714</f>
        <v>J2a1a1a2a1a2~</v>
      </c>
      <c r="M5998" s="102"/>
      <c r="N5998" s="1" t="s">
        <v>9434</v>
      </c>
      <c r="O5998" s="114">
        <v>1.9120515E7</v>
      </c>
      <c r="P5998" s="105">
        <v>1.7008635E7</v>
      </c>
      <c r="Q5998" s="102" t="s">
        <v>2529</v>
      </c>
      <c r="S5998" s="1"/>
      <c r="T5998" s="1"/>
      <c r="U5998" s="1"/>
      <c r="V5998" s="1"/>
      <c r="W5998" s="1"/>
      <c r="X5998" s="1"/>
      <c r="Y5998" s="1"/>
      <c r="AA5998" s="102"/>
      <c r="AB5998" s="1"/>
      <c r="AC5998" s="1"/>
      <c r="AD5998" s="1"/>
      <c r="AE5998" s="1"/>
      <c r="AF5998" s="1"/>
      <c r="AG5998" s="1"/>
    </row>
    <row r="5999" ht="15.75" customHeight="1">
      <c r="A5999" s="1"/>
      <c r="B5999" s="1"/>
      <c r="C5999" s="1"/>
      <c r="D5999" s="1"/>
      <c r="E5999" s="1"/>
      <c r="F5999" s="1"/>
      <c r="G5999" s="1"/>
      <c r="H5999" s="1"/>
      <c r="I5999" s="1"/>
      <c r="J5999" s="1"/>
      <c r="K5999" s="102" t="s">
        <v>1397</v>
      </c>
      <c r="L5999" s="102" t="str">
        <f>M715</f>
        <v>J2a1a1a2a1a2a~</v>
      </c>
      <c r="M5999" s="102"/>
      <c r="N5999" s="1"/>
      <c r="O5999" s="114">
        <v>1.4795274E7</v>
      </c>
      <c r="P5999" s="105">
        <v>1.2683345E7</v>
      </c>
      <c r="Q5999" s="102" t="s">
        <v>2501</v>
      </c>
      <c r="S5999" s="1"/>
      <c r="T5999" s="1"/>
      <c r="U5999" s="1"/>
      <c r="V5999" s="1"/>
      <c r="W5999" s="1"/>
      <c r="X5999" s="1"/>
      <c r="Y5999" s="1"/>
      <c r="AA5999" s="102"/>
      <c r="AB5999" s="1"/>
      <c r="AC5999" s="1"/>
      <c r="AD5999" s="1"/>
      <c r="AE5999" s="1"/>
      <c r="AF5999" s="1"/>
      <c r="AG5999" s="1"/>
    </row>
    <row r="6000" ht="15.75" customHeight="1">
      <c r="A6000" s="1"/>
      <c r="B6000" s="1"/>
      <c r="C6000" s="1"/>
      <c r="D6000" s="1"/>
      <c r="E6000" s="1"/>
      <c r="F6000" s="1"/>
      <c r="G6000" s="1"/>
      <c r="H6000" s="1"/>
      <c r="I6000" s="1"/>
      <c r="J6000" s="1"/>
      <c r="K6000" s="102" t="s">
        <v>1399</v>
      </c>
      <c r="L6000" s="102" t="str">
        <f t="shared" ref="L6000:L6001" si="127">N716</f>
        <v>J2a1a1a2a1a2a1~</v>
      </c>
      <c r="M6000" s="102"/>
      <c r="N6000" s="1"/>
      <c r="O6000" s="114">
        <v>1.5825043E7</v>
      </c>
      <c r="P6000" s="105">
        <v>1.3713163E7</v>
      </c>
      <c r="Q6000" s="102" t="s">
        <v>2439</v>
      </c>
      <c r="S6000" s="1"/>
      <c r="T6000" s="1"/>
      <c r="U6000" s="1"/>
      <c r="V6000" s="1"/>
      <c r="W6000" s="1"/>
      <c r="X6000" s="1"/>
      <c r="Y6000" s="1"/>
      <c r="AA6000" s="102"/>
      <c r="AB6000" s="1"/>
      <c r="AC6000" s="1"/>
      <c r="AD6000" s="1"/>
      <c r="AE6000" s="1"/>
      <c r="AF6000" s="1"/>
      <c r="AG6000" s="1"/>
    </row>
    <row r="6001" ht="15.75" customHeight="1">
      <c r="A6001" s="1"/>
      <c r="B6001" s="1"/>
      <c r="C6001" s="1"/>
      <c r="D6001" s="1"/>
      <c r="E6001" s="1"/>
      <c r="F6001" s="1"/>
      <c r="G6001" s="1"/>
      <c r="H6001" s="1"/>
      <c r="I6001" s="1"/>
      <c r="J6001" s="1"/>
      <c r="K6001" s="102" t="s">
        <v>1401</v>
      </c>
      <c r="L6001" s="102" t="str">
        <f t="shared" si="127"/>
        <v>J2a1a1a2a1a2a2~</v>
      </c>
      <c r="M6001" s="102"/>
      <c r="N6001" s="1" t="s">
        <v>9435</v>
      </c>
      <c r="O6001" s="114">
        <v>8315554.0</v>
      </c>
      <c r="P6001" s="105">
        <v>8447513.0</v>
      </c>
      <c r="Q6001" s="102" t="s">
        <v>2468</v>
      </c>
      <c r="S6001" s="1"/>
      <c r="T6001" s="1"/>
      <c r="U6001" s="1"/>
      <c r="V6001" s="1"/>
      <c r="W6001" s="1"/>
      <c r="X6001" s="1"/>
      <c r="Y6001" s="1"/>
      <c r="AA6001" s="102"/>
      <c r="AB6001" s="1"/>
      <c r="AC6001" s="1"/>
      <c r="AD6001" s="1"/>
      <c r="AE6001" s="1"/>
      <c r="AF6001" s="1"/>
      <c r="AG6001" s="1"/>
    </row>
    <row r="6002" ht="15.75" customHeight="1">
      <c r="A6002" s="1"/>
      <c r="B6002" s="1"/>
      <c r="C6002" s="1"/>
      <c r="D6002" s="1"/>
      <c r="E6002" s="1"/>
      <c r="F6002" s="1"/>
      <c r="G6002" s="1"/>
      <c r="H6002" s="1"/>
      <c r="I6002" s="1"/>
      <c r="J6002" s="1"/>
      <c r="K6002" s="102" t="s">
        <v>1403</v>
      </c>
      <c r="L6002" s="102" t="str">
        <f t="shared" ref="L6002:L6003" si="128">O718</f>
        <v>J2a1a1a2a1a2a2a~</v>
      </c>
      <c r="M6002" s="102"/>
      <c r="N6002" s="1" t="s">
        <v>9436</v>
      </c>
      <c r="O6002" s="114">
        <v>1.4237505E7</v>
      </c>
      <c r="P6002" s="105">
        <v>1.2116799E7</v>
      </c>
      <c r="Q6002" s="102" t="s">
        <v>2468</v>
      </c>
      <c r="S6002" s="1"/>
      <c r="T6002" s="1"/>
      <c r="U6002" s="1"/>
      <c r="V6002" s="1"/>
      <c r="W6002" s="1"/>
      <c r="X6002" s="1"/>
      <c r="Y6002" s="1"/>
      <c r="AA6002" s="102"/>
      <c r="AB6002" s="1"/>
      <c r="AC6002" s="1"/>
      <c r="AD6002" s="1"/>
      <c r="AE6002" s="1"/>
      <c r="AF6002" s="1"/>
      <c r="AG6002" s="1"/>
    </row>
    <row r="6003" ht="15.75" customHeight="1">
      <c r="A6003" s="1"/>
      <c r="B6003" s="1"/>
      <c r="C6003" s="1"/>
      <c r="D6003" s="1"/>
      <c r="E6003" s="1"/>
      <c r="F6003" s="1"/>
      <c r="G6003" s="1"/>
      <c r="H6003" s="1"/>
      <c r="I6003" s="1"/>
      <c r="J6003" s="1"/>
      <c r="K6003" s="102" t="s">
        <v>1405</v>
      </c>
      <c r="L6003" s="102" t="str">
        <f t="shared" si="128"/>
        <v>J2a1a1a2a1a2a2b~</v>
      </c>
      <c r="N6003" s="102"/>
      <c r="O6003" s="114">
        <v>1.7956123E7</v>
      </c>
      <c r="P6003" s="105">
        <v>1.5844243E7</v>
      </c>
      <c r="Q6003" s="102" t="s">
        <v>2501</v>
      </c>
      <c r="S6003" s="1"/>
      <c r="T6003" s="1"/>
      <c r="U6003" s="1"/>
      <c r="V6003" s="1"/>
      <c r="W6003" s="1"/>
      <c r="X6003" s="1"/>
      <c r="Y6003" s="1"/>
      <c r="AA6003" s="102"/>
      <c r="AB6003" s="1"/>
      <c r="AC6003" s="1"/>
      <c r="AD6003" s="1"/>
      <c r="AE6003" s="1"/>
      <c r="AF6003" s="1"/>
      <c r="AG6003" s="1"/>
    </row>
    <row r="6004" ht="15.75" customHeight="1">
      <c r="A6004" s="1"/>
      <c r="B6004" s="1"/>
      <c r="C6004" s="1"/>
      <c r="D6004" s="1"/>
      <c r="E6004" s="1"/>
      <c r="F6004" s="1"/>
      <c r="G6004" s="1"/>
      <c r="H6004" s="1"/>
      <c r="I6004" s="1"/>
      <c r="J6004" s="1"/>
      <c r="K6004" s="102" t="s">
        <v>1407</v>
      </c>
      <c r="L6004" s="102" t="str">
        <f>P720</f>
        <v>J2a1a1a2a1a2a2b1~</v>
      </c>
      <c r="M6004" s="102"/>
      <c r="N6004" s="102"/>
      <c r="O6004" s="114">
        <v>1.9106207E7</v>
      </c>
      <c r="P6004" s="105">
        <v>1.6994327E7</v>
      </c>
      <c r="Q6004" s="102" t="s">
        <v>2501</v>
      </c>
      <c r="S6004" s="1"/>
      <c r="T6004" s="1"/>
      <c r="U6004" s="1"/>
      <c r="V6004" s="1"/>
      <c r="W6004" s="1"/>
      <c r="X6004" s="1"/>
      <c r="Y6004" s="1"/>
      <c r="AA6004" s="102"/>
      <c r="AB6004" s="1"/>
      <c r="AC6004" s="1"/>
      <c r="AD6004" s="1"/>
      <c r="AE6004" s="1"/>
      <c r="AF6004" s="1"/>
      <c r="AG6004" s="1"/>
    </row>
    <row r="6005" ht="15.75" customHeight="1">
      <c r="A6005" s="1"/>
      <c r="B6005" s="1"/>
      <c r="C6005" s="1"/>
      <c r="D6005" s="1"/>
      <c r="E6005" s="1"/>
      <c r="F6005" s="1"/>
      <c r="G6005" s="1"/>
      <c r="H6005" s="1"/>
      <c r="I6005" s="1"/>
      <c r="J6005" s="1"/>
      <c r="K6005" s="102" t="s">
        <v>1409</v>
      </c>
      <c r="L6005" s="102" t="str">
        <f>Q721</f>
        <v>J2a1a1a2a1a2a2b1a~</v>
      </c>
      <c r="M6005" s="102"/>
      <c r="N6005" s="102"/>
      <c r="O6005" s="114">
        <v>1.8774307E7</v>
      </c>
      <c r="P6005" s="105">
        <v>1.6662427E7</v>
      </c>
      <c r="Q6005" s="102" t="s">
        <v>2533</v>
      </c>
      <c r="S6005" s="1"/>
      <c r="T6005" s="1"/>
      <c r="U6005" s="1"/>
      <c r="V6005" s="1"/>
      <c r="W6005" s="1"/>
      <c r="X6005" s="1"/>
      <c r="Y6005" s="1"/>
      <c r="AA6005" s="102"/>
      <c r="AB6005" s="1"/>
      <c r="AC6005" s="1"/>
      <c r="AD6005" s="1"/>
      <c r="AE6005" s="1"/>
      <c r="AF6005" s="1"/>
      <c r="AG6005" s="1"/>
    </row>
    <row r="6006" ht="15.75" customHeight="1">
      <c r="A6006" s="1"/>
      <c r="B6006" s="1"/>
      <c r="C6006" s="1"/>
      <c r="D6006" s="1"/>
      <c r="E6006" s="1"/>
      <c r="F6006" s="1"/>
      <c r="G6006" s="1"/>
      <c r="H6006" s="1"/>
      <c r="I6006" s="1"/>
      <c r="J6006" s="1"/>
      <c r="K6006" s="102" t="s">
        <v>9437</v>
      </c>
      <c r="L6006" s="102" t="str">
        <f>J722</f>
        <v>J2a1a1a2a2</v>
      </c>
      <c r="M6006" s="102"/>
      <c r="N6006" s="1" t="s">
        <v>9438</v>
      </c>
      <c r="O6006" s="114">
        <v>2.2063013E7</v>
      </c>
      <c r="P6006" s="105">
        <v>1.9901127E7</v>
      </c>
      <c r="Q6006" s="102" t="s">
        <v>2529</v>
      </c>
      <c r="S6006" s="1"/>
      <c r="T6006" s="1"/>
      <c r="U6006" s="1"/>
      <c r="V6006" s="1"/>
      <c r="W6006" s="1"/>
      <c r="X6006" s="1"/>
      <c r="Y6006" s="1"/>
      <c r="AA6006" s="102"/>
      <c r="AB6006" s="1"/>
      <c r="AC6006" s="1"/>
      <c r="AD6006" s="1"/>
      <c r="AE6006" s="1"/>
      <c r="AF6006" s="1"/>
      <c r="AG6006" s="1"/>
    </row>
    <row r="6007" ht="15.75" customHeight="1">
      <c r="A6007" s="1"/>
      <c r="B6007" s="1"/>
      <c r="C6007" s="1"/>
      <c r="D6007" s="1"/>
      <c r="E6007" s="1"/>
      <c r="F6007" s="1"/>
      <c r="G6007" s="1"/>
      <c r="H6007" s="1"/>
      <c r="I6007" s="1"/>
      <c r="J6007" s="1"/>
      <c r="K6007" s="106" t="s">
        <v>9439</v>
      </c>
      <c r="L6007" s="102" t="str">
        <f>J722</f>
        <v>J2a1a1a2a2</v>
      </c>
      <c r="M6007" s="102"/>
      <c r="N6007" s="1"/>
      <c r="O6007" s="114">
        <v>1.0025562E7</v>
      </c>
      <c r="P6007" s="116">
        <v>1.0187953E7</v>
      </c>
      <c r="Q6007" s="117" t="s">
        <v>2468</v>
      </c>
      <c r="S6007" s="1"/>
      <c r="T6007" s="1"/>
      <c r="U6007" s="1"/>
      <c r="V6007" s="1"/>
      <c r="W6007" s="1"/>
      <c r="X6007" s="1"/>
      <c r="Y6007" s="1"/>
      <c r="AA6007" s="102"/>
      <c r="AB6007" s="1"/>
      <c r="AC6007" s="1"/>
      <c r="AD6007" s="1"/>
      <c r="AE6007" s="1"/>
      <c r="AF6007" s="1"/>
      <c r="AG6007" s="1"/>
    </row>
    <row r="6008" ht="15.75" customHeight="1">
      <c r="A6008" s="1"/>
      <c r="B6008" s="1"/>
      <c r="C6008" s="1"/>
      <c r="D6008" s="1"/>
      <c r="E6008" s="1"/>
      <c r="F6008" s="1"/>
      <c r="G6008" s="1"/>
      <c r="H6008" s="1"/>
      <c r="I6008" s="1"/>
      <c r="J6008" s="1"/>
      <c r="K6008" s="106" t="s">
        <v>9440</v>
      </c>
      <c r="L6008" s="102" t="str">
        <f>J722</f>
        <v>J2a1a1a2a2</v>
      </c>
      <c r="M6008" s="106" t="s">
        <v>9441</v>
      </c>
      <c r="N6008" s="1" t="s">
        <v>5874</v>
      </c>
      <c r="O6008" s="114">
        <v>1.8727829E7</v>
      </c>
      <c r="P6008" s="116">
        <v>1.6615949E7</v>
      </c>
      <c r="Q6008" s="117" t="s">
        <v>2501</v>
      </c>
      <c r="S6008" s="1"/>
      <c r="T6008" s="1"/>
      <c r="U6008" s="1"/>
      <c r="V6008" s="1"/>
      <c r="W6008" s="1"/>
      <c r="X6008" s="1"/>
      <c r="Y6008" s="1"/>
      <c r="AA6008" s="102"/>
      <c r="AB6008" s="1"/>
      <c r="AC6008" s="1"/>
      <c r="AD6008" s="1"/>
      <c r="AE6008" s="1"/>
      <c r="AF6008" s="1"/>
      <c r="AG6008" s="1"/>
    </row>
    <row r="6009" ht="15.75" customHeight="1">
      <c r="A6009" s="1"/>
      <c r="B6009" s="1"/>
      <c r="C6009" s="1"/>
      <c r="D6009" s="1"/>
      <c r="E6009" s="1"/>
      <c r="F6009" s="1"/>
      <c r="G6009" s="1"/>
      <c r="H6009" s="1"/>
      <c r="I6009" s="1"/>
      <c r="J6009" s="1"/>
      <c r="K6009" s="106" t="s">
        <v>9441</v>
      </c>
      <c r="L6009" s="102" t="str">
        <f>J722</f>
        <v>J2a1a1a2a2</v>
      </c>
      <c r="M6009" s="106" t="s">
        <v>9440</v>
      </c>
      <c r="N6009" s="1" t="s">
        <v>5874</v>
      </c>
      <c r="O6009" s="114">
        <v>1.8727829E7</v>
      </c>
      <c r="P6009" s="116">
        <v>1.6615949E7</v>
      </c>
      <c r="Q6009" s="117" t="s">
        <v>2501</v>
      </c>
      <c r="S6009" s="1"/>
      <c r="T6009" s="1"/>
      <c r="U6009" s="1"/>
      <c r="V6009" s="1"/>
      <c r="W6009" s="1"/>
      <c r="X6009" s="1"/>
      <c r="Y6009" s="1"/>
      <c r="AA6009" s="102"/>
      <c r="AB6009" s="1"/>
      <c r="AC6009" s="1"/>
      <c r="AD6009" s="1"/>
      <c r="AE6009" s="1"/>
      <c r="AF6009" s="1"/>
      <c r="AG6009" s="1"/>
    </row>
    <row r="6010" ht="15.75" customHeight="1">
      <c r="A6010" s="1"/>
      <c r="B6010" s="1"/>
      <c r="C6010" s="1"/>
      <c r="D6010" s="1"/>
      <c r="E6010" s="1"/>
      <c r="F6010" s="1"/>
      <c r="G6010" s="1"/>
      <c r="H6010" s="1"/>
      <c r="I6010" s="1"/>
      <c r="J6010" s="1"/>
      <c r="K6010" s="42" t="s">
        <v>9442</v>
      </c>
      <c r="L6010" t="str">
        <f>K723</f>
        <v>J2a1a1a2a2a</v>
      </c>
      <c r="N6010" s="108" t="s">
        <v>9443</v>
      </c>
      <c r="O6010" s="108">
        <v>2.1772281E7</v>
      </c>
      <c r="P6010" s="42">
        <v>1.9610395E7</v>
      </c>
      <c r="Q6010" s="42" t="s">
        <v>2439</v>
      </c>
      <c r="S6010" s="1"/>
      <c r="T6010" s="1"/>
      <c r="U6010" s="1"/>
      <c r="V6010" s="1"/>
      <c r="W6010" s="1"/>
      <c r="X6010" s="1"/>
      <c r="Y6010" s="1"/>
      <c r="AA6010" s="102"/>
      <c r="AB6010" s="1"/>
      <c r="AC6010" s="1"/>
      <c r="AD6010" s="1"/>
      <c r="AE6010" s="1"/>
      <c r="AF6010" s="1"/>
      <c r="AG6010" s="1"/>
    </row>
    <row r="6011" ht="15.75" customHeight="1">
      <c r="A6011" s="1"/>
      <c r="B6011" s="1"/>
      <c r="C6011" s="1"/>
      <c r="D6011" s="1"/>
      <c r="E6011" s="1"/>
      <c r="F6011" s="1"/>
      <c r="G6011" s="1"/>
      <c r="H6011" s="1"/>
      <c r="I6011" s="1"/>
      <c r="J6011" s="1"/>
      <c r="K6011" s="106" t="s">
        <v>9444</v>
      </c>
      <c r="L6011" s="102" t="str">
        <f t="shared" ref="L6011:L6012" si="129">K723</f>
        <v>J2a1a1a2a2a</v>
      </c>
      <c r="M6011" s="102"/>
      <c r="N6011" s="108" t="s">
        <v>9445</v>
      </c>
      <c r="O6011" s="108">
        <v>1.5008228E7</v>
      </c>
      <c r="P6011" s="106">
        <v>1.2896313E7</v>
      </c>
      <c r="Q6011" s="106" t="s">
        <v>2468</v>
      </c>
      <c r="S6011" s="1"/>
      <c r="T6011" s="1"/>
      <c r="U6011" s="1"/>
      <c r="V6011" s="1"/>
      <c r="W6011" s="1"/>
      <c r="X6011" s="1"/>
      <c r="Y6011" s="1"/>
      <c r="AA6011" s="102"/>
      <c r="AB6011" s="1"/>
      <c r="AC6011" s="1"/>
      <c r="AD6011" s="1"/>
      <c r="AE6011" s="1"/>
      <c r="AF6011" s="1"/>
      <c r="AG6011" s="1"/>
    </row>
    <row r="6012" ht="15.75" customHeight="1">
      <c r="A6012" s="1"/>
      <c r="B6012" s="1"/>
      <c r="C6012" s="1"/>
      <c r="D6012" s="1"/>
      <c r="E6012" s="1"/>
      <c r="F6012" s="1"/>
      <c r="G6012" s="1"/>
      <c r="H6012" s="1"/>
      <c r="I6012" s="1"/>
      <c r="J6012" s="1"/>
      <c r="K6012" s="106" t="s">
        <v>1415</v>
      </c>
      <c r="L6012" s="102" t="str">
        <f t="shared" si="129"/>
        <v>J2a1a1a2a2a~</v>
      </c>
      <c r="M6012" s="102" t="s">
        <v>9446</v>
      </c>
      <c r="N6012" s="1"/>
      <c r="O6012" s="114">
        <v>1.7873097E7</v>
      </c>
      <c r="P6012" s="105">
        <v>1.5761217E7</v>
      </c>
      <c r="Q6012" s="102" t="s">
        <v>2501</v>
      </c>
      <c r="S6012" s="1"/>
      <c r="T6012" s="1"/>
      <c r="U6012" s="1"/>
      <c r="V6012" s="1"/>
      <c r="W6012" s="1"/>
      <c r="X6012" s="1"/>
      <c r="Y6012" s="1"/>
      <c r="AA6012" s="102"/>
      <c r="AB6012" s="1"/>
      <c r="AC6012" s="1"/>
      <c r="AD6012" s="1"/>
      <c r="AE6012" s="1"/>
      <c r="AF6012" s="1"/>
      <c r="AG6012" s="1"/>
    </row>
    <row r="6013" ht="15.75" customHeight="1">
      <c r="A6013" s="1"/>
      <c r="B6013" s="1"/>
      <c r="C6013" s="1"/>
      <c r="D6013" s="1"/>
      <c r="E6013" s="1"/>
      <c r="F6013" s="1"/>
      <c r="G6013" s="1"/>
      <c r="H6013" s="1"/>
      <c r="I6013" s="1"/>
      <c r="J6013" s="1"/>
      <c r="K6013" s="106" t="s">
        <v>9446</v>
      </c>
      <c r="L6013" s="102" t="str">
        <f>K724</f>
        <v>J2a1a1a2a2a~</v>
      </c>
      <c r="M6013" s="106" t="s">
        <v>1415</v>
      </c>
      <c r="N6013" s="1"/>
      <c r="O6013" s="114">
        <v>1.7873097E7</v>
      </c>
      <c r="P6013" s="105">
        <v>1.5761217E7</v>
      </c>
      <c r="Q6013" s="102" t="s">
        <v>2501</v>
      </c>
      <c r="S6013" s="1"/>
      <c r="T6013" s="1"/>
      <c r="U6013" s="1"/>
      <c r="V6013" s="1"/>
      <c r="W6013" s="1"/>
      <c r="X6013" s="1"/>
      <c r="Y6013" s="1"/>
      <c r="AA6013" s="102"/>
      <c r="AB6013" s="1"/>
      <c r="AC6013" s="1"/>
      <c r="AD6013" s="1"/>
      <c r="AE6013" s="1"/>
      <c r="AF6013" s="1"/>
      <c r="AG6013" s="1"/>
    </row>
    <row r="6014" ht="15.75" customHeight="1">
      <c r="A6014" s="1"/>
      <c r="B6014" s="1"/>
      <c r="C6014" s="1"/>
      <c r="D6014" s="1"/>
      <c r="E6014" s="1"/>
      <c r="F6014" s="1"/>
      <c r="G6014" s="1"/>
      <c r="H6014" s="1"/>
      <c r="I6014" s="1"/>
      <c r="J6014" s="1"/>
      <c r="K6014" s="106" t="s">
        <v>1417</v>
      </c>
      <c r="L6014" s="102" t="str">
        <f>L725</f>
        <v>J2a1a1a2a2a1~</v>
      </c>
      <c r="M6014" s="102"/>
      <c r="N6014" s="1" t="s">
        <v>9447</v>
      </c>
      <c r="O6014" s="114">
        <v>1.4994788E7</v>
      </c>
      <c r="P6014" s="105">
        <v>1.2882873E7</v>
      </c>
      <c r="Q6014" s="102" t="s">
        <v>2439</v>
      </c>
      <c r="S6014" s="1"/>
      <c r="T6014" s="1"/>
      <c r="U6014" s="1"/>
      <c r="V6014" s="1"/>
      <c r="W6014" s="1"/>
      <c r="X6014" s="1"/>
      <c r="Y6014" s="1"/>
      <c r="AA6014" s="102"/>
      <c r="AB6014" s="1"/>
      <c r="AC6014" s="1"/>
      <c r="AD6014" s="1"/>
      <c r="AE6014" s="1"/>
      <c r="AF6014" s="1"/>
      <c r="AG6014" s="1"/>
    </row>
    <row r="6015" ht="15.75" customHeight="1">
      <c r="A6015" s="1"/>
      <c r="B6015" s="1"/>
      <c r="C6015" s="1"/>
      <c r="D6015" s="1"/>
      <c r="E6015" s="1"/>
      <c r="F6015" s="1"/>
      <c r="G6015" s="1"/>
      <c r="H6015" s="1"/>
      <c r="I6015" s="1"/>
      <c r="J6015" s="1"/>
      <c r="K6015" s="106" t="s">
        <v>1419</v>
      </c>
      <c r="L6015" s="102" t="str">
        <f>M726</f>
        <v>J2a1a1a2a2a1a~</v>
      </c>
      <c r="M6015" s="102"/>
      <c r="N6015" s="1" t="s">
        <v>9448</v>
      </c>
      <c r="O6015" s="114">
        <v>2901070.0</v>
      </c>
      <c r="P6015" s="105">
        <v>3033029.0</v>
      </c>
      <c r="Q6015" s="102" t="s">
        <v>2514</v>
      </c>
      <c r="S6015" s="1"/>
      <c r="T6015" s="1"/>
      <c r="U6015" s="1"/>
      <c r="V6015" s="1"/>
      <c r="W6015" s="1"/>
      <c r="X6015" s="1"/>
      <c r="Y6015" s="1"/>
      <c r="AA6015" s="102"/>
      <c r="AB6015" s="1"/>
      <c r="AC6015" s="1"/>
      <c r="AD6015" s="1"/>
      <c r="AE6015" s="1"/>
      <c r="AF6015" s="1"/>
      <c r="AG6015" s="1"/>
    </row>
    <row r="6016" ht="15.75" customHeight="1">
      <c r="A6016" s="1"/>
      <c r="B6016" s="1"/>
      <c r="C6016" s="1"/>
      <c r="D6016" s="1"/>
      <c r="E6016" s="1"/>
      <c r="F6016" s="1"/>
      <c r="G6016" s="1"/>
      <c r="H6016" s="1"/>
      <c r="I6016" s="1"/>
      <c r="J6016" s="1"/>
      <c r="K6016" s="106" t="s">
        <v>1421</v>
      </c>
      <c r="L6016" s="102" t="str">
        <f t="shared" ref="L6016:L6017" si="130">N727</f>
        <v>J2a1a1a2a2a1a1~</v>
      </c>
      <c r="M6016" s="102"/>
      <c r="N6016" s="1"/>
      <c r="O6016" s="114">
        <v>1.9441579E7</v>
      </c>
      <c r="P6016" s="105">
        <v>1.7329699E7</v>
      </c>
      <c r="Q6016" s="102" t="s">
        <v>2454</v>
      </c>
      <c r="S6016" s="1"/>
      <c r="T6016" s="1"/>
      <c r="U6016" s="1"/>
      <c r="V6016" s="1"/>
      <c r="W6016" s="1"/>
      <c r="X6016" s="1"/>
      <c r="Y6016" s="1"/>
      <c r="AA6016" s="102"/>
      <c r="AB6016" s="1"/>
      <c r="AC6016" s="1"/>
      <c r="AD6016" s="1"/>
      <c r="AE6016" s="1"/>
      <c r="AF6016" s="1"/>
      <c r="AG6016" s="1"/>
    </row>
    <row r="6017" ht="15.75" customHeight="1">
      <c r="A6017" s="1"/>
      <c r="B6017" s="1"/>
      <c r="C6017" s="1"/>
      <c r="D6017" s="1"/>
      <c r="E6017" s="1"/>
      <c r="F6017" s="1"/>
      <c r="G6017" s="1"/>
      <c r="H6017" s="1"/>
      <c r="I6017" s="1"/>
      <c r="J6017" s="1"/>
      <c r="K6017" s="106" t="s">
        <v>1423</v>
      </c>
      <c r="L6017" s="102" t="str">
        <f t="shared" si="130"/>
        <v>J2a1a1a2a2a1a2~</v>
      </c>
      <c r="M6017" s="102"/>
      <c r="N6017" s="1" t="s">
        <v>9449</v>
      </c>
      <c r="O6017" s="114">
        <v>2.1771891E7</v>
      </c>
      <c r="P6017" s="105">
        <v>1.9610005E7</v>
      </c>
      <c r="Q6017" s="102" t="s">
        <v>2468</v>
      </c>
      <c r="S6017" s="1"/>
      <c r="T6017" s="1"/>
      <c r="U6017" s="1"/>
      <c r="V6017" s="1"/>
      <c r="W6017" s="1"/>
      <c r="X6017" s="1"/>
      <c r="Y6017" s="1"/>
      <c r="AA6017" s="102"/>
      <c r="AB6017" s="1"/>
      <c r="AC6017" s="1"/>
      <c r="AD6017" s="1"/>
      <c r="AE6017" s="1"/>
      <c r="AF6017" s="1"/>
      <c r="AG6017" s="1"/>
    </row>
    <row r="6018" ht="15.75" customHeight="1">
      <c r="A6018" s="1"/>
      <c r="B6018" s="1"/>
      <c r="C6018" s="1"/>
      <c r="D6018" s="1"/>
      <c r="E6018" s="1"/>
      <c r="F6018" s="1"/>
      <c r="G6018" s="1"/>
      <c r="H6018" s="1"/>
      <c r="I6018" s="1"/>
      <c r="J6018" s="1"/>
      <c r="K6018" s="106" t="s">
        <v>1425</v>
      </c>
      <c r="L6018" s="102" t="str">
        <f>O729</f>
        <v>J2a1a1a2a2a1a2a~</v>
      </c>
      <c r="M6018" s="102"/>
      <c r="N6018" s="1"/>
      <c r="O6018" s="114">
        <v>2.3069014E7</v>
      </c>
      <c r="P6018" s="105">
        <v>2.0907128E7</v>
      </c>
      <c r="Q6018" s="102" t="s">
        <v>2468</v>
      </c>
      <c r="S6018" s="1"/>
      <c r="T6018" s="1"/>
      <c r="U6018" s="1"/>
      <c r="V6018" s="1"/>
      <c r="W6018" s="1"/>
      <c r="X6018" s="1"/>
      <c r="Y6018" s="1"/>
      <c r="AA6018" s="102"/>
      <c r="AB6018" s="1"/>
      <c r="AC6018" s="1"/>
      <c r="AD6018" s="1"/>
      <c r="AE6018" s="1"/>
      <c r="AF6018" s="1"/>
      <c r="AG6018" s="1"/>
    </row>
    <row r="6019" ht="15.75" customHeight="1">
      <c r="A6019" s="1"/>
      <c r="B6019" s="1"/>
      <c r="C6019" s="1"/>
      <c r="D6019" s="1"/>
      <c r="E6019" s="1"/>
      <c r="F6019" s="1"/>
      <c r="G6019" s="1"/>
      <c r="H6019" s="1"/>
      <c r="I6019" s="1"/>
      <c r="J6019" s="1"/>
      <c r="K6019" t="s">
        <v>9450</v>
      </c>
      <c r="L6019" t="str">
        <f>L730</f>
        <v>J2a1a1a2a2a2</v>
      </c>
      <c r="M6019" t="s">
        <v>9451</v>
      </c>
      <c r="N6019" t="s">
        <v>9452</v>
      </c>
      <c r="O6019">
        <v>6739856.0</v>
      </c>
      <c r="P6019">
        <v>6871815.0</v>
      </c>
      <c r="Q6019" s="112" t="s">
        <v>2439</v>
      </c>
      <c r="S6019" s="1"/>
      <c r="T6019" s="1"/>
      <c r="U6019" s="1"/>
      <c r="V6019" s="1"/>
      <c r="W6019" s="1"/>
      <c r="X6019" s="1"/>
      <c r="Y6019" s="1"/>
      <c r="AA6019" s="102"/>
      <c r="AB6019" s="1"/>
      <c r="AC6019" s="1"/>
      <c r="AD6019" s="1"/>
      <c r="AE6019" s="1"/>
      <c r="AF6019" s="1"/>
      <c r="AG6019" s="1"/>
    </row>
    <row r="6020" ht="15.75" customHeight="1">
      <c r="A6020" s="1"/>
      <c r="B6020" s="1"/>
      <c r="C6020" s="1"/>
      <c r="D6020" s="1"/>
      <c r="E6020" s="1"/>
      <c r="F6020" s="1"/>
      <c r="G6020" s="1"/>
      <c r="H6020" s="1"/>
      <c r="I6020" s="1"/>
      <c r="J6020" s="1"/>
      <c r="K6020" t="s">
        <v>9451</v>
      </c>
      <c r="L6020" t="str">
        <f>L730</f>
        <v>J2a1a1a2a2a2</v>
      </c>
      <c r="M6020" t="s">
        <v>9450</v>
      </c>
      <c r="N6020" t="s">
        <v>9452</v>
      </c>
      <c r="O6020">
        <v>6739856.0</v>
      </c>
      <c r="P6020">
        <v>6871815.0</v>
      </c>
      <c r="Q6020" s="112" t="s">
        <v>2439</v>
      </c>
      <c r="S6020" s="1"/>
      <c r="T6020" s="1"/>
      <c r="U6020" s="1"/>
      <c r="V6020" s="1"/>
      <c r="W6020" s="1"/>
      <c r="X6020" s="1"/>
      <c r="Y6020" s="1"/>
      <c r="AA6020" s="102"/>
      <c r="AB6020" s="1"/>
      <c r="AC6020" s="1"/>
      <c r="AD6020" s="1"/>
      <c r="AE6020" s="1"/>
      <c r="AF6020" s="1"/>
      <c r="AG6020" s="1"/>
    </row>
    <row r="6021" ht="15.75" customHeight="1">
      <c r="A6021" s="1"/>
      <c r="B6021" s="1"/>
      <c r="C6021" s="1"/>
      <c r="D6021" s="1"/>
      <c r="E6021" s="1"/>
      <c r="F6021" s="1"/>
      <c r="G6021" s="1"/>
      <c r="H6021" s="1"/>
      <c r="I6021" s="1"/>
      <c r="J6021" s="1"/>
      <c r="K6021" s="102" t="s">
        <v>9453</v>
      </c>
      <c r="L6021" s="102" t="str">
        <f>K731</f>
        <v>J2a1a1a2a2b</v>
      </c>
      <c r="M6021" s="102"/>
      <c r="N6021" s="102" t="s">
        <v>9454</v>
      </c>
      <c r="O6021" s="105">
        <v>2.175133E7</v>
      </c>
      <c r="P6021" s="105">
        <v>1.9589444E7</v>
      </c>
      <c r="Q6021" s="102" t="s">
        <v>2439</v>
      </c>
      <c r="S6021" s="1"/>
      <c r="T6021" s="1"/>
      <c r="U6021" s="1"/>
      <c r="V6021" s="1"/>
      <c r="W6021" s="1"/>
      <c r="X6021" s="1"/>
      <c r="Y6021" s="1"/>
      <c r="AA6021" s="102"/>
      <c r="AB6021" s="1"/>
      <c r="AC6021" s="1"/>
      <c r="AD6021" s="1"/>
      <c r="AE6021" s="1"/>
      <c r="AF6021" s="1"/>
      <c r="AG6021" s="1"/>
    </row>
    <row r="6022" ht="15.75" customHeight="1">
      <c r="A6022" s="1"/>
      <c r="B6022" s="1"/>
      <c r="C6022" s="1"/>
      <c r="D6022" s="1"/>
      <c r="E6022" s="1"/>
      <c r="F6022" s="1"/>
      <c r="G6022" s="1"/>
      <c r="H6022" s="1"/>
      <c r="I6022" s="1"/>
      <c r="J6022" s="1"/>
      <c r="K6022" s="106" t="s">
        <v>9455</v>
      </c>
      <c r="L6022" s="102" t="str">
        <f>K731</f>
        <v>J2a1a1a2a2b</v>
      </c>
      <c r="M6022" s="102"/>
      <c r="N6022" s="108" t="s">
        <v>9456</v>
      </c>
      <c r="O6022" s="108">
        <v>2.1878995E7</v>
      </c>
      <c r="P6022" s="106">
        <v>1.9717109E7</v>
      </c>
      <c r="Q6022" s="106" t="s">
        <v>2423</v>
      </c>
      <c r="S6022" s="1"/>
      <c r="T6022" s="1"/>
      <c r="U6022" s="1"/>
      <c r="V6022" s="1"/>
      <c r="W6022" s="1"/>
      <c r="X6022" s="1"/>
      <c r="Y6022" s="1"/>
      <c r="AA6022" s="102"/>
      <c r="AB6022" s="1"/>
      <c r="AC6022" s="1"/>
      <c r="AD6022" s="1"/>
      <c r="AE6022" s="1"/>
      <c r="AF6022" s="1"/>
      <c r="AG6022" s="1"/>
    </row>
    <row r="6023" ht="15.75" customHeight="1">
      <c r="A6023" s="1"/>
      <c r="B6023" s="1"/>
      <c r="C6023" s="1"/>
      <c r="D6023" s="1"/>
      <c r="E6023" s="1"/>
      <c r="F6023" s="1"/>
      <c r="G6023" s="1"/>
      <c r="H6023" s="1"/>
      <c r="I6023" s="1"/>
      <c r="J6023" s="1"/>
      <c r="K6023" s="102" t="s">
        <v>9457</v>
      </c>
      <c r="L6023" s="102" t="str">
        <f>K731</f>
        <v>J2a1a1a2a2b</v>
      </c>
      <c r="M6023" s="102"/>
      <c r="N6023" s="102" t="s">
        <v>9458</v>
      </c>
      <c r="O6023" s="105">
        <v>1.546974E7</v>
      </c>
      <c r="P6023" s="105">
        <v>1.335786E7</v>
      </c>
      <c r="Q6023" s="102" t="s">
        <v>2533</v>
      </c>
      <c r="S6023" s="1"/>
      <c r="T6023" s="1"/>
      <c r="U6023" s="1"/>
      <c r="V6023" s="1"/>
      <c r="W6023" s="1"/>
      <c r="X6023" s="1"/>
      <c r="Y6023" s="1"/>
      <c r="AA6023" s="102"/>
      <c r="AB6023" s="1"/>
      <c r="AC6023" s="1"/>
      <c r="AD6023" s="1"/>
      <c r="AE6023" s="1"/>
      <c r="AF6023" s="1"/>
      <c r="AG6023" s="1"/>
    </row>
    <row r="6024" ht="15.75" customHeight="1">
      <c r="A6024" s="1"/>
      <c r="B6024" s="1"/>
      <c r="C6024" s="1"/>
      <c r="D6024" s="1"/>
      <c r="E6024" s="1"/>
      <c r="F6024" s="1"/>
      <c r="G6024" s="1"/>
      <c r="H6024" s="1"/>
      <c r="I6024" s="1"/>
      <c r="J6024" s="1"/>
      <c r="K6024" s="106" t="s">
        <v>1431</v>
      </c>
      <c r="L6024" s="102" t="str">
        <f t="shared" ref="L6024:L6025" si="131">L732</f>
        <v>J2a1a1a2a2b1~</v>
      </c>
      <c r="M6024" s="102"/>
      <c r="N6024" s="1"/>
      <c r="O6024" s="114">
        <v>1.7657518E7</v>
      </c>
      <c r="P6024" s="105">
        <v>1.5545638E7</v>
      </c>
      <c r="Q6024" s="102" t="s">
        <v>2468</v>
      </c>
      <c r="S6024" s="1"/>
      <c r="T6024" s="1"/>
      <c r="U6024" s="1"/>
      <c r="V6024" s="1"/>
      <c r="W6024" s="1"/>
      <c r="X6024" s="1"/>
      <c r="Y6024" s="1"/>
      <c r="AA6024" s="102"/>
      <c r="AB6024" s="1"/>
      <c r="AC6024" s="1"/>
      <c r="AD6024" s="1"/>
      <c r="AE6024" s="1"/>
      <c r="AF6024" s="1"/>
      <c r="AG6024" s="1"/>
    </row>
    <row r="6025" ht="15.75" customHeight="1">
      <c r="A6025" s="1"/>
      <c r="B6025" s="1"/>
      <c r="C6025" s="1"/>
      <c r="D6025" s="1"/>
      <c r="E6025" s="1"/>
      <c r="F6025" s="1"/>
      <c r="G6025" s="1"/>
      <c r="H6025" s="1"/>
      <c r="I6025" s="1"/>
      <c r="J6025" s="1"/>
      <c r="K6025" s="102" t="s">
        <v>1433</v>
      </c>
      <c r="L6025" s="102" t="str">
        <f t="shared" si="131"/>
        <v>J2a1a1a2a2b2~</v>
      </c>
      <c r="M6025" s="102"/>
      <c r="N6025" s="1" t="s">
        <v>9459</v>
      </c>
      <c r="O6025" s="114">
        <v>2.2183318E7</v>
      </c>
      <c r="P6025" s="105">
        <v>2.0021432E7</v>
      </c>
      <c r="Q6025" s="102" t="s">
        <v>2446</v>
      </c>
      <c r="S6025" s="1"/>
      <c r="T6025" s="1"/>
      <c r="U6025" s="1"/>
      <c r="V6025" s="1"/>
      <c r="W6025" s="1"/>
      <c r="X6025" s="1"/>
      <c r="Y6025" s="1"/>
      <c r="AA6025" s="102"/>
      <c r="AB6025" s="1"/>
      <c r="AC6025" s="1"/>
      <c r="AD6025" s="1"/>
      <c r="AE6025" s="1"/>
      <c r="AF6025" s="1"/>
      <c r="AG6025" s="1"/>
    </row>
    <row r="6026" ht="15.75" customHeight="1">
      <c r="A6026" s="1"/>
      <c r="B6026" s="1"/>
      <c r="C6026" s="1"/>
      <c r="D6026" s="1"/>
      <c r="E6026" s="1"/>
      <c r="F6026" s="1"/>
      <c r="G6026" s="1"/>
      <c r="H6026" s="1"/>
      <c r="I6026" s="1"/>
      <c r="J6026" s="1"/>
      <c r="K6026" s="102" t="s">
        <v>1435</v>
      </c>
      <c r="L6026" s="102" t="str">
        <f>M734</f>
        <v>J2a1a1a2a2b2a~</v>
      </c>
      <c r="M6026" s="102"/>
      <c r="N6026" s="1" t="s">
        <v>9460</v>
      </c>
      <c r="O6026" s="114">
        <v>7675076.0</v>
      </c>
      <c r="P6026" s="105">
        <v>7807035.0</v>
      </c>
      <c r="Q6026" s="102" t="s">
        <v>2432</v>
      </c>
      <c r="S6026" s="1"/>
      <c r="T6026" s="1"/>
      <c r="U6026" s="1"/>
      <c r="V6026" s="1"/>
      <c r="W6026" s="1"/>
      <c r="X6026" s="1"/>
      <c r="Y6026" s="1"/>
      <c r="AA6026" s="102"/>
      <c r="AB6026" s="1"/>
      <c r="AC6026" s="1"/>
      <c r="AD6026" s="1"/>
      <c r="AE6026" s="1"/>
      <c r="AF6026" s="1"/>
      <c r="AG6026" s="1"/>
    </row>
    <row r="6027" ht="15.75" customHeight="1">
      <c r="A6027" s="1"/>
      <c r="B6027" s="1"/>
      <c r="C6027" s="1"/>
      <c r="D6027" s="1"/>
      <c r="E6027" s="1"/>
      <c r="F6027" s="1"/>
      <c r="G6027" s="1"/>
      <c r="H6027" s="1"/>
      <c r="I6027" s="1"/>
      <c r="J6027" s="1"/>
      <c r="K6027" s="102" t="s">
        <v>1437</v>
      </c>
      <c r="L6027" s="102" t="str">
        <f>N735</f>
        <v>J2a1a1a2a2b2a1~</v>
      </c>
      <c r="M6027" s="102"/>
      <c r="N6027" s="1" t="s">
        <v>9461</v>
      </c>
      <c r="O6027" s="114">
        <v>8135199.0</v>
      </c>
      <c r="P6027" s="105">
        <v>8267158.0</v>
      </c>
      <c r="Q6027" s="102" t="s">
        <v>2446</v>
      </c>
      <c r="S6027" s="1"/>
      <c r="T6027" s="1"/>
      <c r="U6027" s="1"/>
      <c r="V6027" s="1"/>
      <c r="W6027" s="1"/>
      <c r="X6027" s="1"/>
      <c r="Y6027" s="1"/>
      <c r="AA6027" s="102"/>
      <c r="AB6027" s="1"/>
      <c r="AC6027" s="1"/>
      <c r="AD6027" s="1"/>
      <c r="AE6027" s="1"/>
      <c r="AF6027" s="1"/>
      <c r="AG6027" s="1"/>
    </row>
    <row r="6028" ht="15.75" customHeight="1">
      <c r="A6028" s="1"/>
      <c r="B6028" s="1"/>
      <c r="C6028" s="1"/>
      <c r="D6028" s="1"/>
      <c r="E6028" s="1"/>
      <c r="F6028" s="1"/>
      <c r="G6028" s="1"/>
      <c r="H6028" s="1"/>
      <c r="I6028" s="1"/>
      <c r="J6028" s="1"/>
      <c r="K6028" s="102" t="s">
        <v>1439</v>
      </c>
      <c r="L6028" s="102" t="str">
        <f t="shared" ref="L6028:L6030" si="132">M736</f>
        <v>J2a1a1a2a2b2b~</v>
      </c>
      <c r="M6028" s="102"/>
      <c r="N6028" s="1"/>
      <c r="O6028" s="114">
        <v>1.6204476E7</v>
      </c>
      <c r="P6028" s="105">
        <v>1.4092596E7</v>
      </c>
      <c r="Q6028" s="102" t="s">
        <v>2423</v>
      </c>
      <c r="S6028" s="1"/>
      <c r="T6028" s="1"/>
      <c r="U6028" s="1"/>
      <c r="V6028" s="1"/>
      <c r="W6028" s="1"/>
      <c r="X6028" s="1"/>
      <c r="Y6028" s="1"/>
      <c r="AA6028" s="102"/>
      <c r="AB6028" s="1"/>
      <c r="AC6028" s="1"/>
      <c r="AD6028" s="1"/>
      <c r="AE6028" s="1"/>
      <c r="AF6028" s="1"/>
      <c r="AG6028" s="1"/>
    </row>
    <row r="6029" ht="15.75" customHeight="1">
      <c r="A6029" s="1"/>
      <c r="B6029" s="1"/>
      <c r="C6029" s="1"/>
      <c r="D6029" s="1"/>
      <c r="E6029" s="1"/>
      <c r="F6029" s="1"/>
      <c r="G6029" s="1"/>
      <c r="H6029" s="1"/>
      <c r="I6029" s="1"/>
      <c r="J6029" s="1"/>
      <c r="K6029" s="102" t="s">
        <v>1441</v>
      </c>
      <c r="L6029" s="102" t="str">
        <f t="shared" si="132"/>
        <v>J2a1a1a2a2b2c~</v>
      </c>
      <c r="M6029" s="102"/>
      <c r="N6029" s="1"/>
      <c r="O6029" s="114">
        <v>2.1772975E7</v>
      </c>
      <c r="P6029" s="105">
        <v>1.9611089E7</v>
      </c>
      <c r="Q6029" s="102" t="s">
        <v>2446</v>
      </c>
      <c r="S6029" s="1"/>
      <c r="T6029" s="1"/>
      <c r="U6029" s="1"/>
      <c r="V6029" s="1"/>
      <c r="W6029" s="1"/>
      <c r="X6029" s="1"/>
      <c r="Y6029" s="1"/>
      <c r="AA6029" s="102"/>
      <c r="AB6029" s="1"/>
      <c r="AC6029" s="1"/>
      <c r="AD6029" s="1"/>
      <c r="AE6029" s="1"/>
      <c r="AF6029" s="1"/>
      <c r="AG6029" s="1"/>
    </row>
    <row r="6030" ht="15.75" customHeight="1">
      <c r="A6030" s="1"/>
      <c r="B6030" s="1"/>
      <c r="C6030" s="1"/>
      <c r="D6030" s="1"/>
      <c r="E6030" s="1"/>
      <c r="F6030" s="1"/>
      <c r="G6030" s="1"/>
      <c r="H6030" s="1"/>
      <c r="I6030" s="1"/>
      <c r="J6030" s="1"/>
      <c r="K6030" s="102" t="s">
        <v>1443</v>
      </c>
      <c r="L6030" s="102" t="str">
        <f t="shared" si="132"/>
        <v>J2a1a1a2a2b2d~</v>
      </c>
      <c r="M6030" s="102"/>
      <c r="N6030" s="1" t="s">
        <v>9462</v>
      </c>
      <c r="O6030" s="114">
        <v>1.7793052E7</v>
      </c>
      <c r="P6030" s="105">
        <v>1.5681172E7</v>
      </c>
      <c r="Q6030" s="102" t="s">
        <v>2468</v>
      </c>
      <c r="S6030" s="1"/>
      <c r="T6030" s="1"/>
      <c r="U6030" s="1"/>
      <c r="V6030" s="1"/>
      <c r="W6030" s="1"/>
      <c r="X6030" s="1"/>
      <c r="Y6030" s="1"/>
      <c r="AA6030" s="102"/>
      <c r="AB6030" s="1"/>
      <c r="AC6030" s="1"/>
      <c r="AD6030" s="1"/>
      <c r="AE6030" s="1"/>
      <c r="AF6030" s="1"/>
      <c r="AG6030" s="1"/>
    </row>
    <row r="6031" ht="15.75" customHeight="1">
      <c r="A6031" s="1"/>
      <c r="B6031" s="1"/>
      <c r="C6031" s="1"/>
      <c r="D6031" s="1"/>
      <c r="E6031" s="1"/>
      <c r="F6031" s="1"/>
      <c r="G6031" s="1"/>
      <c r="H6031" s="1"/>
      <c r="I6031" s="1"/>
      <c r="J6031" s="1"/>
      <c r="K6031" s="102" t="s">
        <v>1445</v>
      </c>
      <c r="L6031" s="102" t="str">
        <f>N739</f>
        <v>J2a1a1a2a2b2d1~</v>
      </c>
      <c r="M6031" s="102"/>
      <c r="N6031" s="1" t="s">
        <v>9463</v>
      </c>
      <c r="O6031" s="114">
        <v>1.9335412E7</v>
      </c>
      <c r="P6031" s="105">
        <v>1.7223532E7</v>
      </c>
      <c r="Q6031" s="102" t="s">
        <v>2501</v>
      </c>
      <c r="S6031" s="1"/>
      <c r="T6031" s="1"/>
      <c r="U6031" s="1"/>
      <c r="V6031" s="1"/>
      <c r="W6031" s="1"/>
      <c r="X6031" s="1"/>
      <c r="Y6031" s="1"/>
      <c r="AA6031" s="102"/>
      <c r="AB6031" s="1"/>
      <c r="AC6031" s="1"/>
      <c r="AD6031" s="1"/>
      <c r="AE6031" s="1"/>
      <c r="AF6031" s="1"/>
      <c r="AG6031" s="1"/>
    </row>
    <row r="6032" ht="15.75" customHeight="1">
      <c r="A6032" s="1"/>
      <c r="B6032" s="1"/>
      <c r="C6032" s="1"/>
      <c r="D6032" s="1"/>
      <c r="E6032" s="1"/>
      <c r="F6032" s="1"/>
      <c r="G6032" s="1"/>
      <c r="H6032" s="1"/>
      <c r="I6032" s="1"/>
      <c r="J6032" s="1"/>
      <c r="K6032" s="102" t="s">
        <v>1447</v>
      </c>
      <c r="L6032" s="102" t="str">
        <f>O740</f>
        <v>J2a1a1a2a2b2d1a~</v>
      </c>
      <c r="M6032" s="102"/>
      <c r="N6032" s="1" t="s">
        <v>9464</v>
      </c>
      <c r="O6032" s="114">
        <v>2.1062809E7</v>
      </c>
      <c r="P6032" s="105">
        <v>1.8900923E7</v>
      </c>
      <c r="Q6032" s="102" t="s">
        <v>2529</v>
      </c>
      <c r="S6032" s="1"/>
      <c r="T6032" s="1"/>
      <c r="U6032" s="1"/>
      <c r="V6032" s="1"/>
      <c r="W6032" s="1"/>
      <c r="X6032" s="1"/>
      <c r="Y6032" s="1"/>
      <c r="AA6032" s="102"/>
      <c r="AB6032" s="1"/>
      <c r="AC6032" s="1"/>
      <c r="AD6032" s="1"/>
      <c r="AE6032" s="1"/>
      <c r="AF6032" s="1"/>
      <c r="AG6032" s="1"/>
    </row>
    <row r="6033" ht="15.75" customHeight="1">
      <c r="A6033" s="1"/>
      <c r="B6033" s="1"/>
      <c r="C6033" s="1"/>
      <c r="D6033" s="1"/>
      <c r="E6033" s="1"/>
      <c r="F6033" s="1"/>
      <c r="G6033" s="1"/>
      <c r="H6033" s="1"/>
      <c r="I6033" s="1"/>
      <c r="J6033" s="1"/>
      <c r="K6033" s="1" t="s">
        <v>9465</v>
      </c>
      <c r="L6033" s="1" t="str">
        <f>I741</f>
        <v>J2a1a1a2b</v>
      </c>
      <c r="M6033" s="1"/>
      <c r="N6033" s="1" t="s">
        <v>9466</v>
      </c>
      <c r="O6033" s="114">
        <v>1.5830461E7</v>
      </c>
      <c r="P6033" s="114">
        <v>1.3718581E7</v>
      </c>
      <c r="Q6033" s="1" t="s">
        <v>2439</v>
      </c>
      <c r="S6033" s="1"/>
      <c r="T6033" s="1"/>
      <c r="U6033" s="1"/>
      <c r="V6033" s="1"/>
      <c r="W6033" s="1"/>
      <c r="X6033" s="1"/>
      <c r="Y6033" s="1"/>
      <c r="AA6033" s="102"/>
      <c r="AB6033" s="1"/>
      <c r="AC6033" s="1"/>
      <c r="AD6033" s="1"/>
      <c r="AE6033" s="1"/>
      <c r="AF6033" s="1"/>
      <c r="AG6033" s="1"/>
    </row>
    <row r="6034" ht="15.75" customHeight="1">
      <c r="A6034" s="1"/>
      <c r="B6034" s="1"/>
      <c r="C6034" s="1"/>
      <c r="D6034" s="1"/>
      <c r="E6034" s="1"/>
      <c r="F6034" s="1"/>
      <c r="G6034" s="1"/>
      <c r="H6034" s="1"/>
      <c r="I6034" s="1"/>
      <c r="J6034" s="1"/>
      <c r="K6034" s="1" t="s">
        <v>9467</v>
      </c>
      <c r="L6034" s="1" t="str">
        <f>I741</f>
        <v>J2a1a1a2b</v>
      </c>
      <c r="M6034" s="1" t="s">
        <v>9468</v>
      </c>
      <c r="N6034" s="1" t="s">
        <v>9469</v>
      </c>
      <c r="O6034" s="114">
        <v>7372423.0</v>
      </c>
      <c r="P6034" s="114">
        <v>7504382.0</v>
      </c>
      <c r="Q6034" s="1" t="s">
        <v>2501</v>
      </c>
      <c r="S6034" s="1"/>
      <c r="T6034" s="1"/>
      <c r="U6034" s="1"/>
      <c r="V6034" s="1"/>
      <c r="W6034" s="1"/>
      <c r="X6034" s="1"/>
      <c r="Y6034" s="1"/>
      <c r="AA6034" s="102"/>
      <c r="AB6034" s="1"/>
      <c r="AC6034" s="1"/>
      <c r="AD6034" s="1"/>
      <c r="AE6034" s="1"/>
      <c r="AF6034" s="1"/>
      <c r="AG6034" s="1"/>
    </row>
    <row r="6035" ht="15.75" customHeight="1">
      <c r="A6035" s="1"/>
      <c r="B6035" s="1"/>
      <c r="C6035" s="1"/>
      <c r="D6035" s="1"/>
      <c r="E6035" s="1"/>
      <c r="F6035" s="1"/>
      <c r="G6035" s="1"/>
      <c r="H6035" s="1"/>
      <c r="I6035" s="1"/>
      <c r="J6035" s="1"/>
      <c r="K6035" s="106" t="s">
        <v>9470</v>
      </c>
      <c r="L6035" s="102" t="str">
        <f>I741</f>
        <v>J2a1a1a2b</v>
      </c>
      <c r="M6035" s="106" t="s">
        <v>9471</v>
      </c>
      <c r="N6035" s="1" t="s">
        <v>9469</v>
      </c>
      <c r="O6035" s="114">
        <v>7372423.0</v>
      </c>
      <c r="P6035" s="114">
        <v>7504382.0</v>
      </c>
      <c r="Q6035" s="1" t="s">
        <v>2501</v>
      </c>
      <c r="S6035" s="1"/>
      <c r="T6035" s="1"/>
      <c r="U6035" s="1"/>
      <c r="V6035" s="1"/>
      <c r="W6035" s="1"/>
      <c r="X6035" s="1"/>
      <c r="Y6035" s="1"/>
      <c r="AA6035" s="102"/>
      <c r="AB6035" s="1"/>
      <c r="AC6035" s="1"/>
      <c r="AD6035" s="1"/>
      <c r="AE6035" s="1"/>
      <c r="AF6035" s="1"/>
      <c r="AG6035" s="1"/>
    </row>
    <row r="6036" ht="15.75" customHeight="1">
      <c r="A6036" s="1"/>
      <c r="B6036" s="1"/>
      <c r="C6036" s="1"/>
      <c r="D6036" s="1"/>
      <c r="E6036" s="1"/>
      <c r="F6036" s="1"/>
      <c r="G6036" s="1"/>
      <c r="H6036" s="1"/>
      <c r="I6036" s="1"/>
      <c r="J6036" s="1"/>
      <c r="K6036" s="106" t="s">
        <v>9472</v>
      </c>
      <c r="L6036" s="102" t="str">
        <f>I741</f>
        <v>J2a1a1a2b</v>
      </c>
      <c r="M6036" s="106" t="s">
        <v>9473</v>
      </c>
      <c r="N6036" s="1" t="s">
        <v>9469</v>
      </c>
      <c r="O6036" s="114">
        <v>7372423.0</v>
      </c>
      <c r="P6036" s="114">
        <v>7504382.0</v>
      </c>
      <c r="Q6036" s="1" t="s">
        <v>2501</v>
      </c>
      <c r="S6036" s="1"/>
      <c r="T6036" s="1"/>
      <c r="U6036" s="1"/>
      <c r="V6036" s="1"/>
      <c r="W6036" s="1"/>
      <c r="X6036" s="1"/>
      <c r="Y6036" s="1"/>
      <c r="AA6036" s="102"/>
      <c r="AB6036" s="1"/>
      <c r="AC6036" s="1"/>
      <c r="AD6036" s="1"/>
      <c r="AE6036" s="1"/>
      <c r="AF6036" s="1"/>
      <c r="AG6036" s="1"/>
    </row>
    <row r="6037" ht="15.75" customHeight="1">
      <c r="A6037" s="1"/>
      <c r="B6037" s="1"/>
      <c r="C6037" s="1"/>
      <c r="D6037" s="1"/>
      <c r="E6037" s="1"/>
      <c r="F6037" s="1"/>
      <c r="G6037" s="1"/>
      <c r="H6037" s="1"/>
      <c r="I6037" s="1"/>
      <c r="J6037" s="1"/>
      <c r="K6037" s="102" t="s">
        <v>9474</v>
      </c>
      <c r="L6037" s="102" t="str">
        <f>I741</f>
        <v>J2a1a1a2b</v>
      </c>
      <c r="M6037" s="102" t="s">
        <v>9475</v>
      </c>
      <c r="N6037" s="102"/>
      <c r="O6037" s="114">
        <v>1.0008614E7</v>
      </c>
      <c r="P6037" s="105">
        <v>1.0171005E7</v>
      </c>
      <c r="Q6037" s="102" t="s">
        <v>2501</v>
      </c>
      <c r="S6037" s="1"/>
      <c r="T6037" s="1"/>
      <c r="U6037" s="1"/>
      <c r="V6037" s="1"/>
      <c r="W6037" s="1"/>
      <c r="X6037" s="1"/>
      <c r="Y6037" s="1"/>
      <c r="AA6037" s="102"/>
      <c r="AB6037" s="1"/>
      <c r="AC6037" s="1"/>
      <c r="AD6037" s="1"/>
      <c r="AE6037" s="1"/>
      <c r="AF6037" s="1"/>
      <c r="AG6037" s="1"/>
    </row>
    <row r="6038" ht="15.75" customHeight="1">
      <c r="A6038" s="1"/>
      <c r="B6038" s="1"/>
      <c r="C6038" s="1"/>
      <c r="D6038" s="1"/>
      <c r="E6038" s="1"/>
      <c r="F6038" s="1"/>
      <c r="G6038" s="1"/>
      <c r="H6038" s="1"/>
      <c r="I6038" s="1"/>
      <c r="J6038" s="1"/>
      <c r="K6038" s="106" t="s">
        <v>9475</v>
      </c>
      <c r="L6038" s="102" t="str">
        <f>I741</f>
        <v>J2a1a1a2b</v>
      </c>
      <c r="M6038" s="106" t="s">
        <v>9474</v>
      </c>
      <c r="N6038" s="102"/>
      <c r="O6038" s="114">
        <v>1.0008614E7</v>
      </c>
      <c r="P6038" s="105">
        <v>1.0171005E7</v>
      </c>
      <c r="Q6038" s="102" t="s">
        <v>2501</v>
      </c>
      <c r="S6038" s="1"/>
      <c r="T6038" s="1"/>
      <c r="U6038" s="1"/>
      <c r="V6038" s="1"/>
      <c r="W6038" s="1"/>
      <c r="X6038" s="1"/>
      <c r="Y6038" s="1"/>
      <c r="AA6038" s="102"/>
      <c r="AB6038" s="1"/>
      <c r="AC6038" s="1"/>
      <c r="AD6038" s="1"/>
      <c r="AE6038" s="1"/>
      <c r="AF6038" s="1"/>
      <c r="AG6038" s="1"/>
    </row>
    <row r="6039" ht="15.75" customHeight="1">
      <c r="A6039" s="1"/>
      <c r="B6039" s="1"/>
      <c r="C6039" s="1"/>
      <c r="D6039" s="1"/>
      <c r="E6039" s="1"/>
      <c r="F6039" s="1"/>
      <c r="G6039" s="1"/>
      <c r="H6039" s="1"/>
      <c r="I6039" s="1"/>
      <c r="J6039" s="1"/>
      <c r="K6039" s="102" t="s">
        <v>9476</v>
      </c>
      <c r="L6039" s="102" t="str">
        <f>I741</f>
        <v>J2a1a1a2b</v>
      </c>
      <c r="M6039" s="102"/>
      <c r="N6039" s="1" t="s">
        <v>9477</v>
      </c>
      <c r="O6039" s="114">
        <v>2.3535766E7</v>
      </c>
      <c r="P6039" s="105">
        <v>2.137388E7</v>
      </c>
      <c r="Q6039" s="102" t="s">
        <v>2514</v>
      </c>
      <c r="S6039" s="1"/>
      <c r="T6039" s="1"/>
      <c r="U6039" s="1"/>
      <c r="V6039" s="1"/>
      <c r="W6039" s="1"/>
      <c r="X6039" s="1"/>
      <c r="Y6039" s="1"/>
      <c r="AA6039" s="102"/>
      <c r="AB6039" s="1"/>
      <c r="AC6039" s="1"/>
      <c r="AD6039" s="1"/>
      <c r="AE6039" s="1"/>
      <c r="AF6039" s="1"/>
      <c r="AG6039" s="1"/>
    </row>
    <row r="6040" ht="15.75" customHeight="1">
      <c r="A6040" s="1"/>
      <c r="B6040" s="1"/>
      <c r="C6040" s="1"/>
      <c r="D6040" s="1"/>
      <c r="E6040" s="1"/>
      <c r="F6040" s="1"/>
      <c r="G6040" s="1"/>
      <c r="H6040" s="1"/>
      <c r="I6040" s="1"/>
      <c r="J6040" s="1"/>
      <c r="K6040" s="102" t="s">
        <v>9478</v>
      </c>
      <c r="L6040" s="102" t="str">
        <f>I741</f>
        <v>J2a1a1a2b</v>
      </c>
      <c r="M6040" s="102"/>
      <c r="N6040" s="1" t="s">
        <v>9479</v>
      </c>
      <c r="O6040" s="114">
        <v>1.4959921E7</v>
      </c>
      <c r="P6040" s="105">
        <v>1.2847996E7</v>
      </c>
      <c r="Q6040" s="102" t="s">
        <v>2432</v>
      </c>
      <c r="S6040" s="1"/>
      <c r="T6040" s="1"/>
      <c r="U6040" s="1"/>
      <c r="V6040" s="1"/>
      <c r="W6040" s="1"/>
      <c r="X6040" s="1"/>
      <c r="Y6040" s="1"/>
      <c r="AA6040" s="102"/>
      <c r="AB6040" s="1"/>
      <c r="AC6040" s="1"/>
      <c r="AD6040" s="1"/>
      <c r="AE6040" s="1"/>
      <c r="AF6040" s="1"/>
      <c r="AG6040" s="1"/>
    </row>
    <row r="6041" ht="15.75" customHeight="1">
      <c r="A6041" s="1"/>
      <c r="B6041" s="1"/>
      <c r="C6041" s="1"/>
      <c r="D6041" s="1"/>
      <c r="E6041" s="1"/>
      <c r="F6041" s="1"/>
      <c r="G6041" s="1"/>
      <c r="H6041" s="1"/>
      <c r="I6041" s="1"/>
      <c r="J6041" s="1"/>
      <c r="K6041" s="106" t="s">
        <v>9480</v>
      </c>
      <c r="L6041" s="102" t="str">
        <f>J742</f>
        <v>J2a1a1a2b1</v>
      </c>
      <c r="M6041" s="102" t="s">
        <v>9481</v>
      </c>
      <c r="N6041" s="1" t="s">
        <v>9482</v>
      </c>
      <c r="O6041" s="114">
        <v>2.1492212E7</v>
      </c>
      <c r="P6041" s="105">
        <v>1.9330326E7</v>
      </c>
      <c r="Q6041" s="102" t="s">
        <v>2529</v>
      </c>
      <c r="S6041" s="1"/>
      <c r="T6041" s="1"/>
      <c r="U6041" s="1"/>
      <c r="V6041" s="1"/>
      <c r="W6041" s="1"/>
      <c r="X6041" s="1"/>
      <c r="Y6041" s="1"/>
      <c r="AA6041" s="102"/>
      <c r="AB6041" s="1"/>
      <c r="AC6041" s="1"/>
      <c r="AD6041" s="1"/>
      <c r="AE6041" s="1"/>
      <c r="AF6041" s="1"/>
      <c r="AG6041" s="1"/>
    </row>
    <row r="6042" ht="15.75" customHeight="1">
      <c r="A6042" s="1"/>
      <c r="B6042" s="1"/>
      <c r="C6042" s="1"/>
      <c r="D6042" s="1"/>
      <c r="E6042" s="1"/>
      <c r="F6042" s="1"/>
      <c r="G6042" s="1"/>
      <c r="H6042" s="1"/>
      <c r="I6042" s="1"/>
      <c r="J6042" s="1"/>
      <c r="K6042" s="106" t="s">
        <v>9481</v>
      </c>
      <c r="L6042" s="102" t="str">
        <f>J742</f>
        <v>J2a1a1a2b1</v>
      </c>
      <c r="M6042" s="106" t="s">
        <v>9480</v>
      </c>
      <c r="N6042" s="1" t="s">
        <v>9482</v>
      </c>
      <c r="O6042" s="114">
        <v>2.1492212E7</v>
      </c>
      <c r="P6042" s="105">
        <v>1.9330326E7</v>
      </c>
      <c r="Q6042" s="102" t="s">
        <v>2529</v>
      </c>
      <c r="S6042" s="1"/>
      <c r="T6042" s="1"/>
      <c r="U6042" s="1"/>
      <c r="V6042" s="1"/>
      <c r="W6042" s="1"/>
      <c r="X6042" s="1"/>
      <c r="Y6042" s="1"/>
      <c r="AA6042" s="102"/>
      <c r="AB6042" s="1"/>
      <c r="AC6042" s="1"/>
      <c r="AD6042" s="1"/>
      <c r="AE6042" s="1"/>
      <c r="AF6042" s="1"/>
      <c r="AG6042" s="1"/>
    </row>
    <row r="6043" ht="15.75" customHeight="1">
      <c r="A6043" s="1"/>
      <c r="B6043" s="1"/>
      <c r="C6043" s="1"/>
      <c r="D6043" s="1"/>
      <c r="E6043" s="1"/>
      <c r="F6043" s="1"/>
      <c r="G6043" s="1"/>
      <c r="H6043" s="1"/>
      <c r="I6043" s="1"/>
      <c r="J6043" s="1"/>
      <c r="K6043" s="106" t="s">
        <v>9483</v>
      </c>
      <c r="L6043" s="102" t="str">
        <f>J742</f>
        <v>J2a1a1a2b1</v>
      </c>
      <c r="M6043" s="102" t="s">
        <v>9484</v>
      </c>
      <c r="N6043" s="1" t="s">
        <v>9485</v>
      </c>
      <c r="O6043" s="114">
        <v>1.5333258E7</v>
      </c>
      <c r="P6043" s="105">
        <v>1.3221376E7</v>
      </c>
      <c r="Q6043" s="102" t="s">
        <v>2446</v>
      </c>
      <c r="S6043" s="1"/>
      <c r="T6043" s="1"/>
      <c r="U6043" s="1"/>
      <c r="V6043" s="1"/>
      <c r="W6043" s="1"/>
      <c r="X6043" s="1"/>
      <c r="Y6043" s="1"/>
      <c r="AA6043" s="102"/>
      <c r="AB6043" s="1"/>
      <c r="AC6043" s="1"/>
      <c r="AD6043" s="1"/>
      <c r="AE6043" s="1"/>
      <c r="AF6043" s="1"/>
      <c r="AG6043" s="1"/>
    </row>
    <row r="6044" ht="15.75" customHeight="1">
      <c r="A6044" s="1"/>
      <c r="B6044" s="1"/>
      <c r="C6044" s="1"/>
      <c r="D6044" s="1"/>
      <c r="E6044" s="1"/>
      <c r="F6044" s="1"/>
      <c r="G6044" s="1"/>
      <c r="H6044" s="1"/>
      <c r="I6044" s="1"/>
      <c r="J6044" s="1"/>
      <c r="K6044" s="106" t="s">
        <v>9486</v>
      </c>
      <c r="L6044" s="102" t="str">
        <f>J742</f>
        <v>J2a1a1a2b1</v>
      </c>
      <c r="M6044" s="106" t="s">
        <v>9487</v>
      </c>
      <c r="N6044" s="1" t="s">
        <v>9485</v>
      </c>
      <c r="O6044" s="114">
        <v>1.5333258E7</v>
      </c>
      <c r="P6044" s="105">
        <v>1.3221376E7</v>
      </c>
      <c r="Q6044" s="102" t="s">
        <v>2446</v>
      </c>
      <c r="S6044" s="1"/>
      <c r="T6044" s="1"/>
      <c r="U6044" s="1"/>
      <c r="V6044" s="1"/>
      <c r="W6044" s="1"/>
      <c r="X6044" s="1"/>
      <c r="Y6044" s="1"/>
      <c r="AA6044" s="102"/>
      <c r="AB6044" s="1"/>
      <c r="AC6044" s="1"/>
      <c r="AD6044" s="1"/>
      <c r="AE6044" s="1"/>
      <c r="AF6044" s="1"/>
      <c r="AG6044" s="1"/>
    </row>
    <row r="6045" ht="15.75" customHeight="1">
      <c r="A6045" s="1"/>
      <c r="B6045" s="1"/>
      <c r="C6045" s="1"/>
      <c r="D6045" s="1"/>
      <c r="E6045" s="1"/>
      <c r="F6045" s="1"/>
      <c r="G6045" s="1"/>
      <c r="H6045" s="1"/>
      <c r="I6045" s="1"/>
      <c r="J6045" s="1"/>
      <c r="K6045" s="106" t="s">
        <v>9488</v>
      </c>
      <c r="L6045" s="102" t="str">
        <f>J742</f>
        <v>J2a1a1a2b1</v>
      </c>
      <c r="M6045" s="106" t="s">
        <v>9489</v>
      </c>
      <c r="N6045" s="1" t="s">
        <v>9485</v>
      </c>
      <c r="O6045" s="114">
        <v>1.5333258E7</v>
      </c>
      <c r="P6045" s="105">
        <v>1.3221376E7</v>
      </c>
      <c r="Q6045" s="102" t="s">
        <v>2446</v>
      </c>
      <c r="S6045" s="1"/>
      <c r="T6045" s="1"/>
      <c r="U6045" s="1"/>
      <c r="V6045" s="1"/>
      <c r="W6045" s="1"/>
      <c r="X6045" s="1"/>
      <c r="Y6045" s="1"/>
      <c r="AA6045" s="102"/>
      <c r="AB6045" s="1"/>
      <c r="AC6045" s="1"/>
      <c r="AD6045" s="1"/>
      <c r="AE6045" s="1"/>
      <c r="AF6045" s="1"/>
      <c r="AG6045" s="1"/>
    </row>
    <row r="6046" ht="15.75" customHeight="1">
      <c r="A6046" s="1"/>
      <c r="B6046" s="1"/>
      <c r="C6046" s="1"/>
      <c r="D6046" s="1"/>
      <c r="E6046" s="1"/>
      <c r="F6046" s="1"/>
      <c r="G6046" s="1"/>
      <c r="H6046" s="1"/>
      <c r="I6046" s="1"/>
      <c r="J6046" s="1"/>
      <c r="K6046" s="102" t="s">
        <v>9490</v>
      </c>
      <c r="L6046" s="102" t="str">
        <f>J742</f>
        <v>J2a1a1a2b1</v>
      </c>
      <c r="M6046" s="102" t="s">
        <v>9491</v>
      </c>
      <c r="N6046" s="102"/>
      <c r="O6046" s="114">
        <v>2.2521698E7</v>
      </c>
      <c r="P6046" s="105">
        <v>2.0359812E7</v>
      </c>
      <c r="Q6046" s="102" t="s">
        <v>2439</v>
      </c>
      <c r="S6046" s="1"/>
      <c r="T6046" s="1"/>
      <c r="U6046" s="1"/>
      <c r="V6046" s="1"/>
      <c r="W6046" s="1"/>
      <c r="X6046" s="1"/>
      <c r="Y6046" s="1"/>
      <c r="AA6046" s="102"/>
      <c r="AB6046" s="1"/>
      <c r="AC6046" s="1"/>
      <c r="AD6046" s="1"/>
      <c r="AE6046" s="1"/>
      <c r="AF6046" s="1"/>
      <c r="AG6046" s="1"/>
    </row>
    <row r="6047" ht="15.75" customHeight="1">
      <c r="A6047" s="1"/>
      <c r="B6047" s="1"/>
      <c r="C6047" s="1"/>
      <c r="D6047" s="1"/>
      <c r="E6047" s="1"/>
      <c r="F6047" s="1"/>
      <c r="G6047" s="1"/>
      <c r="H6047" s="1"/>
      <c r="I6047" s="1"/>
      <c r="J6047" s="1"/>
      <c r="K6047" s="106" t="s">
        <v>9492</v>
      </c>
      <c r="L6047" s="102" t="str">
        <f>J742</f>
        <v>J2a1a1a2b1</v>
      </c>
      <c r="M6047" s="106" t="s">
        <v>9493</v>
      </c>
      <c r="N6047" s="102"/>
      <c r="O6047" s="114">
        <v>2.2521698E7</v>
      </c>
      <c r="P6047" s="105">
        <v>2.0359812E7</v>
      </c>
      <c r="Q6047" s="102" t="s">
        <v>2439</v>
      </c>
      <c r="S6047" s="1"/>
      <c r="T6047" s="1"/>
      <c r="U6047" s="1"/>
      <c r="V6047" s="1"/>
      <c r="W6047" s="1"/>
      <c r="X6047" s="1"/>
      <c r="Y6047" s="1"/>
      <c r="AA6047" s="102"/>
      <c r="AB6047" s="1"/>
      <c r="AC6047" s="1"/>
      <c r="AD6047" s="1"/>
      <c r="AE6047" s="1"/>
      <c r="AF6047" s="1"/>
      <c r="AG6047" s="1"/>
    </row>
    <row r="6048" ht="15.75" customHeight="1">
      <c r="A6048" s="1"/>
      <c r="B6048" s="1"/>
      <c r="C6048" s="1"/>
      <c r="D6048" s="1"/>
      <c r="E6048" s="1"/>
      <c r="F6048" s="1"/>
      <c r="G6048" s="1"/>
      <c r="H6048" s="1"/>
      <c r="I6048" s="1"/>
      <c r="J6048" s="1"/>
      <c r="K6048" s="106" t="s">
        <v>9494</v>
      </c>
      <c r="L6048" s="102" t="str">
        <f>J742</f>
        <v>J2a1a1a2b1</v>
      </c>
      <c r="M6048" s="106" t="s">
        <v>9495</v>
      </c>
      <c r="N6048" s="102"/>
      <c r="O6048" s="114">
        <v>2.2521698E7</v>
      </c>
      <c r="P6048" s="105">
        <v>2.0359812E7</v>
      </c>
      <c r="Q6048" s="102" t="s">
        <v>2439</v>
      </c>
      <c r="S6048" s="1"/>
      <c r="T6048" s="1"/>
      <c r="U6048" s="1"/>
      <c r="V6048" s="1"/>
      <c r="W6048" s="1"/>
      <c r="X6048" s="1"/>
      <c r="Y6048" s="1"/>
      <c r="AA6048" s="102"/>
      <c r="AB6048" s="1"/>
      <c r="AC6048" s="1"/>
      <c r="AD6048" s="1"/>
      <c r="AE6048" s="1"/>
      <c r="AF6048" s="1"/>
      <c r="AG6048" s="1"/>
    </row>
    <row r="6049" ht="15.75" customHeight="1">
      <c r="A6049" s="1"/>
      <c r="B6049" s="1"/>
      <c r="C6049" s="1"/>
      <c r="D6049" s="1"/>
      <c r="E6049" s="1"/>
      <c r="F6049" s="1"/>
      <c r="G6049" s="1"/>
      <c r="H6049" s="1"/>
      <c r="I6049" s="1"/>
      <c r="J6049" s="1"/>
      <c r="K6049" s="106" t="s">
        <v>9496</v>
      </c>
      <c r="L6049" s="102" t="str">
        <f>J742</f>
        <v>J2a1a1a2b1</v>
      </c>
      <c r="M6049" s="102" t="s">
        <v>9497</v>
      </c>
      <c r="N6049" s="1" t="s">
        <v>9498</v>
      </c>
      <c r="O6049" s="114">
        <v>7286791.0</v>
      </c>
      <c r="P6049" s="105">
        <v>7418750.0</v>
      </c>
      <c r="Q6049" s="102" t="s">
        <v>2439</v>
      </c>
      <c r="S6049" s="1"/>
      <c r="T6049" s="1"/>
      <c r="U6049" s="1"/>
      <c r="V6049" s="1"/>
      <c r="W6049" s="1"/>
      <c r="X6049" s="1"/>
      <c r="Y6049" s="1"/>
      <c r="AA6049" s="102"/>
      <c r="AB6049" s="1"/>
      <c r="AC6049" s="1"/>
      <c r="AD6049" s="1"/>
      <c r="AE6049" s="1"/>
      <c r="AF6049" s="1"/>
      <c r="AG6049" s="1"/>
    </row>
    <row r="6050" ht="15.75" customHeight="1">
      <c r="A6050" s="1"/>
      <c r="B6050" s="1"/>
      <c r="C6050" s="1"/>
      <c r="D6050" s="1"/>
      <c r="E6050" s="1"/>
      <c r="F6050" s="1"/>
      <c r="G6050" s="1"/>
      <c r="H6050" s="1"/>
      <c r="I6050" s="1"/>
      <c r="J6050" s="1"/>
      <c r="K6050" s="106" t="s">
        <v>9499</v>
      </c>
      <c r="L6050" s="102" t="str">
        <f>J742</f>
        <v>J2a1a1a2b1</v>
      </c>
      <c r="M6050" s="106" t="s">
        <v>9500</v>
      </c>
      <c r="N6050" s="1" t="s">
        <v>9498</v>
      </c>
      <c r="O6050" s="114">
        <v>7286791.0</v>
      </c>
      <c r="P6050" s="105">
        <v>7418750.0</v>
      </c>
      <c r="Q6050" s="102" t="s">
        <v>2439</v>
      </c>
      <c r="S6050" s="1"/>
      <c r="T6050" s="1"/>
      <c r="U6050" s="1"/>
      <c r="V6050" s="1"/>
      <c r="W6050" s="1"/>
      <c r="X6050" s="1"/>
      <c r="Y6050" s="1"/>
      <c r="AA6050" s="102"/>
      <c r="AB6050" s="1"/>
      <c r="AC6050" s="1"/>
      <c r="AD6050" s="1"/>
      <c r="AE6050" s="1"/>
      <c r="AF6050" s="1"/>
      <c r="AG6050" s="1"/>
    </row>
    <row r="6051" ht="15.75" customHeight="1">
      <c r="A6051" s="1"/>
      <c r="B6051" s="1"/>
      <c r="C6051" s="1"/>
      <c r="D6051" s="1"/>
      <c r="E6051" s="1"/>
      <c r="F6051" s="1"/>
      <c r="G6051" s="1"/>
      <c r="H6051" s="1"/>
      <c r="I6051" s="1"/>
      <c r="J6051" s="1"/>
      <c r="K6051" s="106" t="s">
        <v>9501</v>
      </c>
      <c r="L6051" s="102" t="str">
        <f>J742</f>
        <v>J2a1a1a2b1</v>
      </c>
      <c r="M6051" s="106" t="s">
        <v>9502</v>
      </c>
      <c r="N6051" s="1" t="s">
        <v>9498</v>
      </c>
      <c r="O6051" s="114">
        <v>7286791.0</v>
      </c>
      <c r="P6051" s="105">
        <v>7418750.0</v>
      </c>
      <c r="Q6051" s="102" t="s">
        <v>2439</v>
      </c>
      <c r="S6051" s="1"/>
      <c r="T6051" s="1"/>
      <c r="U6051" s="1"/>
      <c r="V6051" s="1"/>
      <c r="W6051" s="1"/>
      <c r="X6051" s="1"/>
      <c r="Y6051" s="1"/>
      <c r="AA6051" s="102"/>
      <c r="AB6051" s="1"/>
      <c r="AC6051" s="1"/>
      <c r="AD6051" s="1"/>
      <c r="AE6051" s="1"/>
      <c r="AF6051" s="1"/>
      <c r="AG6051" s="1"/>
    </row>
    <row r="6052" ht="15.75" customHeight="1">
      <c r="A6052" s="1"/>
      <c r="B6052" s="1"/>
      <c r="C6052" s="1"/>
      <c r="D6052" s="1"/>
      <c r="E6052" s="1"/>
      <c r="F6052" s="1"/>
      <c r="G6052" s="1"/>
      <c r="H6052" s="1"/>
      <c r="I6052" s="1"/>
      <c r="J6052" s="1"/>
      <c r="K6052" s="106" t="s">
        <v>9503</v>
      </c>
      <c r="L6052" s="102" t="str">
        <f>J742</f>
        <v>J2a1a1a2b1</v>
      </c>
      <c r="M6052" s="102" t="s">
        <v>9504</v>
      </c>
      <c r="N6052" s="1" t="s">
        <v>9505</v>
      </c>
      <c r="O6052" s="114">
        <v>8728536.0</v>
      </c>
      <c r="P6052" s="105">
        <v>8860495.0</v>
      </c>
      <c r="Q6052" s="102" t="s">
        <v>2423</v>
      </c>
      <c r="S6052" s="1"/>
      <c r="T6052" s="1"/>
      <c r="U6052" s="1"/>
      <c r="V6052" s="1"/>
      <c r="W6052" s="1"/>
      <c r="X6052" s="1"/>
      <c r="Y6052" s="1"/>
      <c r="AA6052" s="102"/>
      <c r="AB6052" s="1"/>
      <c r="AC6052" s="1"/>
      <c r="AD6052" s="1"/>
      <c r="AE6052" s="1"/>
      <c r="AF6052" s="1"/>
      <c r="AG6052" s="1"/>
    </row>
    <row r="6053" ht="15.75" customHeight="1">
      <c r="A6053" s="1"/>
      <c r="B6053" s="1"/>
      <c r="C6053" s="1"/>
      <c r="D6053" s="1"/>
      <c r="E6053" s="1"/>
      <c r="F6053" s="1"/>
      <c r="G6053" s="1"/>
      <c r="H6053" s="1"/>
      <c r="I6053" s="1"/>
      <c r="J6053" s="1"/>
      <c r="K6053" s="106" t="s">
        <v>9506</v>
      </c>
      <c r="L6053" s="102" t="str">
        <f>J742</f>
        <v>J2a1a1a2b1</v>
      </c>
      <c r="M6053" s="106" t="s">
        <v>9507</v>
      </c>
      <c r="N6053" s="1" t="s">
        <v>9505</v>
      </c>
      <c r="O6053" s="114">
        <v>8728536.0</v>
      </c>
      <c r="P6053" s="105">
        <v>8860495.0</v>
      </c>
      <c r="Q6053" s="102" t="s">
        <v>2423</v>
      </c>
      <c r="S6053" s="1"/>
      <c r="T6053" s="1"/>
      <c r="U6053" s="1"/>
      <c r="V6053" s="1"/>
      <c r="W6053" s="1"/>
      <c r="X6053" s="1"/>
      <c r="Y6053" s="1"/>
      <c r="AA6053" s="102"/>
      <c r="AB6053" s="1"/>
      <c r="AC6053" s="1"/>
      <c r="AD6053" s="1"/>
      <c r="AE6053" s="1"/>
      <c r="AF6053" s="1"/>
      <c r="AG6053" s="1"/>
    </row>
    <row r="6054" ht="15.75" customHeight="1">
      <c r="A6054" s="1"/>
      <c r="B6054" s="1"/>
      <c r="C6054" s="1"/>
      <c r="D6054" s="1"/>
      <c r="E6054" s="1"/>
      <c r="F6054" s="1"/>
      <c r="G6054" s="1"/>
      <c r="H6054" s="1"/>
      <c r="I6054" s="1"/>
      <c r="J6054" s="1"/>
      <c r="K6054" s="106" t="s">
        <v>9508</v>
      </c>
      <c r="L6054" s="102" t="str">
        <f>J742</f>
        <v>J2a1a1a2b1</v>
      </c>
      <c r="M6054" s="106" t="s">
        <v>9509</v>
      </c>
      <c r="N6054" s="1" t="s">
        <v>9505</v>
      </c>
      <c r="O6054" s="114">
        <v>8728536.0</v>
      </c>
      <c r="P6054" s="105">
        <v>8860495.0</v>
      </c>
      <c r="Q6054" s="102" t="s">
        <v>2423</v>
      </c>
      <c r="S6054" s="1"/>
      <c r="T6054" s="1"/>
      <c r="U6054" s="1"/>
      <c r="V6054" s="1"/>
      <c r="W6054" s="1"/>
      <c r="X6054" s="1"/>
      <c r="Y6054" s="1"/>
      <c r="AA6054" s="102"/>
      <c r="AB6054" s="1"/>
      <c r="AC6054" s="1"/>
      <c r="AD6054" s="1"/>
      <c r="AE6054" s="1"/>
      <c r="AF6054" s="1"/>
      <c r="AG6054" s="1"/>
    </row>
    <row r="6055" ht="15.75" customHeight="1">
      <c r="A6055" s="1"/>
      <c r="B6055" s="1"/>
      <c r="C6055" s="1"/>
      <c r="D6055" s="1"/>
      <c r="E6055" s="1"/>
      <c r="F6055" s="1"/>
      <c r="G6055" s="1"/>
      <c r="H6055" s="1"/>
      <c r="I6055" s="1"/>
      <c r="J6055" s="1"/>
      <c r="K6055" s="102" t="s">
        <v>1453</v>
      </c>
      <c r="L6055" s="102" t="str">
        <f>K743</f>
        <v>J2a1a1a2b1a~</v>
      </c>
      <c r="M6055" s="102"/>
      <c r="N6055" s="102"/>
      <c r="O6055" s="114">
        <v>2.1771501E7</v>
      </c>
      <c r="P6055" s="105">
        <v>1.9609615E7</v>
      </c>
      <c r="Q6055" s="102" t="s">
        <v>2439</v>
      </c>
      <c r="S6055" s="1"/>
      <c r="T6055" s="1"/>
      <c r="U6055" s="1"/>
      <c r="V6055" s="1"/>
      <c r="W6055" s="1"/>
      <c r="X6055" s="1"/>
      <c r="Y6055" s="1"/>
      <c r="AA6055" s="102"/>
      <c r="AB6055" s="1"/>
      <c r="AC6055" s="1"/>
      <c r="AD6055" s="1"/>
      <c r="AE6055" s="1"/>
      <c r="AF6055" s="1"/>
      <c r="AG6055" s="1"/>
    </row>
    <row r="6056" ht="15.75" customHeight="1">
      <c r="A6056" s="1"/>
      <c r="B6056" s="1"/>
      <c r="C6056" s="1"/>
      <c r="D6056" s="1"/>
      <c r="E6056" s="1"/>
      <c r="F6056" s="1"/>
      <c r="G6056" s="1"/>
      <c r="H6056" s="1"/>
      <c r="I6056" s="1"/>
      <c r="J6056" s="1"/>
      <c r="K6056" s="102" t="s">
        <v>1455</v>
      </c>
      <c r="L6056" s="102" t="str">
        <f t="shared" ref="L6056:L6057" si="133">L744</f>
        <v>J2a1a1a2b1a1~</v>
      </c>
      <c r="M6056" s="102"/>
      <c r="N6056" s="102"/>
      <c r="O6056" s="114">
        <v>1.6448468E7</v>
      </c>
      <c r="P6056" s="105">
        <v>1.4336588E7</v>
      </c>
      <c r="Q6056" s="102" t="s">
        <v>2576</v>
      </c>
      <c r="S6056" s="1"/>
      <c r="T6056" s="1"/>
      <c r="U6056" s="1"/>
      <c r="V6056" s="1"/>
      <c r="W6056" s="1"/>
      <c r="X6056" s="1"/>
      <c r="Y6056" s="1"/>
      <c r="AA6056" s="102"/>
      <c r="AB6056" s="1"/>
      <c r="AC6056" s="1"/>
      <c r="AD6056" s="1"/>
      <c r="AE6056" s="1"/>
      <c r="AF6056" s="1"/>
      <c r="AG6056" s="1"/>
    </row>
    <row r="6057" ht="15.75" customHeight="1">
      <c r="A6057" s="1"/>
      <c r="B6057" s="1"/>
      <c r="C6057" s="1"/>
      <c r="D6057" s="1"/>
      <c r="E6057" s="1"/>
      <c r="F6057" s="1"/>
      <c r="G6057" s="1"/>
      <c r="H6057" s="1"/>
      <c r="I6057" s="1"/>
      <c r="J6057" s="1"/>
      <c r="K6057" s="102" t="s">
        <v>9510</v>
      </c>
      <c r="L6057" s="102" t="str">
        <f t="shared" si="133"/>
        <v>J2a1a1a2b1a2~</v>
      </c>
      <c r="M6057" s="102" t="s">
        <v>9511</v>
      </c>
      <c r="N6057" s="102"/>
      <c r="O6057" s="114">
        <v>1.878529E7</v>
      </c>
      <c r="P6057" s="105">
        <v>1.667341E7</v>
      </c>
      <c r="Q6057" s="102" t="s">
        <v>2468</v>
      </c>
      <c r="S6057" s="1"/>
      <c r="T6057" s="1"/>
      <c r="U6057" s="1"/>
      <c r="V6057" s="1"/>
      <c r="W6057" s="1"/>
      <c r="X6057" s="1"/>
      <c r="Y6057" s="1"/>
      <c r="AA6057" s="102"/>
      <c r="AB6057" s="1"/>
      <c r="AC6057" s="1"/>
      <c r="AD6057" s="1"/>
      <c r="AE6057" s="1"/>
      <c r="AF6057" s="1"/>
      <c r="AG6057" s="1"/>
    </row>
    <row r="6058" ht="15.75" customHeight="1">
      <c r="A6058" s="1"/>
      <c r="B6058" s="1"/>
      <c r="C6058" s="1"/>
      <c r="D6058" s="1"/>
      <c r="E6058" s="1"/>
      <c r="F6058" s="1"/>
      <c r="G6058" s="1"/>
      <c r="H6058" s="1"/>
      <c r="I6058" s="1"/>
      <c r="J6058" s="1"/>
      <c r="K6058" s="106" t="s">
        <v>9511</v>
      </c>
      <c r="L6058" s="106" t="str">
        <f>L745</f>
        <v>J2a1a1a2b1a2~</v>
      </c>
      <c r="M6058" s="106" t="s">
        <v>9510</v>
      </c>
      <c r="N6058" s="102"/>
      <c r="O6058" s="114">
        <v>1.878529E7</v>
      </c>
      <c r="P6058" s="105">
        <v>1.667341E7</v>
      </c>
      <c r="Q6058" s="102" t="s">
        <v>2468</v>
      </c>
      <c r="S6058" s="1"/>
      <c r="T6058" s="1"/>
      <c r="U6058" s="1"/>
      <c r="V6058" s="1"/>
      <c r="W6058" s="1"/>
      <c r="X6058" s="1"/>
      <c r="Y6058" s="1"/>
      <c r="AA6058" s="102"/>
      <c r="AB6058" s="1"/>
      <c r="AC6058" s="1"/>
      <c r="AD6058" s="1"/>
      <c r="AE6058" s="1"/>
      <c r="AF6058" s="1"/>
      <c r="AG6058" s="1"/>
    </row>
    <row r="6059" ht="15.75" customHeight="1">
      <c r="A6059" s="1"/>
      <c r="B6059" s="1"/>
      <c r="C6059" s="1"/>
      <c r="D6059" s="1"/>
      <c r="E6059" s="1"/>
      <c r="F6059" s="1"/>
      <c r="G6059" s="1"/>
      <c r="H6059" s="1"/>
      <c r="I6059" s="1"/>
      <c r="J6059" s="1"/>
      <c r="K6059" s="102" t="s">
        <v>1459</v>
      </c>
      <c r="L6059" s="106" t="str">
        <f t="shared" ref="L6059:L6060" si="134">M746</f>
        <v>J2a1a1a2b1a2a~</v>
      </c>
      <c r="M6059" s="102"/>
      <c r="N6059" s="102"/>
      <c r="O6059" s="114">
        <v>1.3989336E7</v>
      </c>
      <c r="P6059" s="105">
        <v>1.186863E7</v>
      </c>
      <c r="Q6059" s="102" t="s">
        <v>2501</v>
      </c>
      <c r="S6059" s="1"/>
      <c r="T6059" s="1"/>
      <c r="U6059" s="1"/>
      <c r="V6059" s="1"/>
      <c r="W6059" s="1"/>
      <c r="X6059" s="1"/>
      <c r="Y6059" s="1"/>
      <c r="AA6059" s="102"/>
      <c r="AB6059" s="1"/>
      <c r="AC6059" s="1"/>
      <c r="AD6059" s="1"/>
      <c r="AE6059" s="1"/>
      <c r="AF6059" s="1"/>
      <c r="AG6059" s="1"/>
    </row>
    <row r="6060" ht="15.75" customHeight="1">
      <c r="A6060" s="1"/>
      <c r="B6060" s="1"/>
      <c r="C6060" s="1"/>
      <c r="D6060" s="1"/>
      <c r="E6060" s="1"/>
      <c r="F6060" s="1"/>
      <c r="G6060" s="1"/>
      <c r="H6060" s="1"/>
      <c r="I6060" s="1"/>
      <c r="J6060" s="1"/>
      <c r="K6060" s="102" t="s">
        <v>9512</v>
      </c>
      <c r="L6060" s="102" t="str">
        <f t="shared" si="134"/>
        <v>J2a1a1a2b1a2b~</v>
      </c>
      <c r="M6060" s="102"/>
      <c r="N6060" s="102"/>
      <c r="O6060" s="114">
        <v>1.4351108E7</v>
      </c>
      <c r="P6060" s="105">
        <v>1.2230403E7</v>
      </c>
      <c r="Q6060" s="102" t="s">
        <v>2501</v>
      </c>
      <c r="S6060" s="1"/>
      <c r="T6060" s="1"/>
      <c r="U6060" s="1"/>
      <c r="V6060" s="1"/>
      <c r="W6060" s="1"/>
      <c r="X6060" s="1"/>
      <c r="Y6060" s="1"/>
      <c r="AA6060" s="102"/>
      <c r="AB6060" s="1"/>
      <c r="AC6060" s="1"/>
      <c r="AD6060" s="1"/>
      <c r="AE6060" s="1"/>
      <c r="AF6060" s="1"/>
      <c r="AG6060" s="1"/>
    </row>
    <row r="6061" ht="15.75" customHeight="1">
      <c r="A6061" s="1"/>
      <c r="B6061" s="1"/>
      <c r="C6061" s="1"/>
      <c r="D6061" s="1"/>
      <c r="E6061" s="1"/>
      <c r="F6061" s="1"/>
      <c r="G6061" s="1"/>
      <c r="H6061" s="1"/>
      <c r="I6061" s="1"/>
      <c r="J6061" s="1"/>
      <c r="K6061" s="102" t="s">
        <v>1463</v>
      </c>
      <c r="L6061" s="102" t="str">
        <f t="shared" ref="L6061:L6062" si="135">N748</f>
        <v>J2a1a1a2b1a2b1~</v>
      </c>
      <c r="M6061" s="102"/>
      <c r="N6061" s="102"/>
      <c r="O6061" s="114">
        <v>1.415877E7</v>
      </c>
      <c r="P6061" s="105">
        <v>1.2038064E7</v>
      </c>
      <c r="Q6061" s="102" t="s">
        <v>2529</v>
      </c>
      <c r="S6061" s="1"/>
      <c r="T6061" s="1"/>
      <c r="U6061" s="1"/>
      <c r="V6061" s="1"/>
      <c r="W6061" s="1"/>
      <c r="X6061" s="1"/>
      <c r="Y6061" s="1"/>
      <c r="AA6061" s="102"/>
      <c r="AB6061" s="1"/>
      <c r="AC6061" s="1"/>
      <c r="AD6061" s="1"/>
      <c r="AE6061" s="1"/>
      <c r="AF6061" s="1"/>
      <c r="AG6061" s="1"/>
    </row>
    <row r="6062" ht="15.75" customHeight="1">
      <c r="A6062" s="1"/>
      <c r="B6062" s="1"/>
      <c r="C6062" s="1"/>
      <c r="D6062" s="1"/>
      <c r="E6062" s="1"/>
      <c r="F6062" s="1"/>
      <c r="G6062" s="1"/>
      <c r="H6062" s="1"/>
      <c r="I6062" s="1"/>
      <c r="J6062" s="1"/>
      <c r="K6062" s="102" t="s">
        <v>1465</v>
      </c>
      <c r="L6062" s="102" t="str">
        <f t="shared" si="135"/>
        <v>J2a1a1a2b1a2b2~</v>
      </c>
      <c r="M6062" s="102"/>
      <c r="N6062" s="102"/>
      <c r="O6062" s="114">
        <v>1.664281E7</v>
      </c>
      <c r="P6062" s="105">
        <v>1.453093E7</v>
      </c>
      <c r="Q6062" s="102" t="s">
        <v>2501</v>
      </c>
      <c r="S6062" s="1"/>
      <c r="T6062" s="1"/>
      <c r="U6062" s="1"/>
      <c r="V6062" s="1"/>
      <c r="W6062" s="1"/>
      <c r="X6062" s="1"/>
      <c r="Y6062" s="1"/>
      <c r="AA6062" s="102"/>
      <c r="AB6062" s="1"/>
      <c r="AC6062" s="1"/>
      <c r="AD6062" s="1"/>
      <c r="AE6062" s="1"/>
      <c r="AF6062" s="1"/>
      <c r="AG6062" s="1"/>
    </row>
    <row r="6063" ht="15.75" customHeight="1">
      <c r="A6063" s="1"/>
      <c r="B6063" s="1"/>
      <c r="C6063" s="1"/>
      <c r="D6063" s="1"/>
      <c r="E6063" s="1"/>
      <c r="F6063" s="1"/>
      <c r="G6063" s="1"/>
      <c r="H6063" s="1"/>
      <c r="I6063" s="1"/>
      <c r="J6063" s="1"/>
      <c r="K6063" t="s">
        <v>9513</v>
      </c>
      <c r="L6063" t="str">
        <f>K750</f>
        <v>J2a1a1a2b1b</v>
      </c>
      <c r="N6063" t="s">
        <v>9514</v>
      </c>
      <c r="O6063">
        <v>1.5467785E7</v>
      </c>
      <c r="P6063">
        <v>1.3355905E7</v>
      </c>
      <c r="Q6063" s="112" t="s">
        <v>2454</v>
      </c>
      <c r="S6063" s="1"/>
      <c r="T6063" s="1"/>
      <c r="U6063" s="1"/>
      <c r="V6063" s="1"/>
      <c r="W6063" s="1"/>
      <c r="X6063" s="1"/>
      <c r="Y6063" s="1"/>
      <c r="AA6063" s="102"/>
      <c r="AB6063" s="1"/>
      <c r="AC6063" s="1"/>
      <c r="AD6063" s="1"/>
      <c r="AE6063" s="1"/>
      <c r="AF6063" s="1"/>
      <c r="AG6063" s="1"/>
    </row>
    <row r="6064" ht="15.75" customHeight="1">
      <c r="A6064" s="1"/>
      <c r="B6064" s="1"/>
      <c r="C6064" s="1"/>
      <c r="D6064" s="1"/>
      <c r="E6064" s="1"/>
      <c r="F6064" s="1"/>
      <c r="G6064" s="1"/>
      <c r="H6064" s="1"/>
      <c r="I6064" s="1"/>
      <c r="J6064" s="1"/>
      <c r="K6064" s="102" t="s">
        <v>9515</v>
      </c>
      <c r="L6064" s="102" t="str">
        <f>K750</f>
        <v>J2a1a1a2b1b</v>
      </c>
      <c r="M6064" s="102" t="s">
        <v>9516</v>
      </c>
      <c r="N6064" s="1" t="s">
        <v>9517</v>
      </c>
      <c r="O6064" s="114">
        <v>1.5955067E7</v>
      </c>
      <c r="P6064" s="105">
        <v>1.3843187E7</v>
      </c>
      <c r="Q6064" s="102" t="s">
        <v>2439</v>
      </c>
      <c r="S6064" s="1"/>
      <c r="T6064" s="1"/>
      <c r="U6064" s="1"/>
      <c r="V6064" s="1"/>
      <c r="W6064" s="1"/>
      <c r="X6064" s="1"/>
      <c r="Y6064" s="1"/>
      <c r="AA6064" s="102"/>
      <c r="AB6064" s="1"/>
      <c r="AC6064" s="1"/>
      <c r="AD6064" s="1"/>
      <c r="AE6064" s="1"/>
      <c r="AF6064" s="1"/>
      <c r="AG6064" s="1"/>
    </row>
    <row r="6065" ht="15.75" customHeight="1">
      <c r="A6065" s="1"/>
      <c r="B6065" s="1"/>
      <c r="C6065" s="1"/>
      <c r="D6065" s="1"/>
      <c r="E6065" s="1"/>
      <c r="F6065" s="1"/>
      <c r="G6065" s="1"/>
      <c r="H6065" s="1"/>
      <c r="I6065" s="1"/>
      <c r="J6065" s="1"/>
      <c r="K6065" s="19" t="s">
        <v>9518</v>
      </c>
      <c r="L6065" s="1" t="str">
        <f>K750</f>
        <v>J2a1a1a2b1b</v>
      </c>
      <c r="M6065" s="19" t="s">
        <v>9519</v>
      </c>
      <c r="N6065" s="1" t="s">
        <v>9517</v>
      </c>
      <c r="O6065" s="114">
        <v>1.5955067E7</v>
      </c>
      <c r="P6065" s="105">
        <v>1.3843187E7</v>
      </c>
      <c r="Q6065" s="102" t="s">
        <v>2439</v>
      </c>
      <c r="S6065" s="1"/>
      <c r="T6065" s="1"/>
      <c r="U6065" s="1"/>
      <c r="V6065" s="1"/>
      <c r="W6065" s="1"/>
      <c r="X6065" s="1"/>
      <c r="Y6065" s="1"/>
      <c r="AA6065" s="102"/>
      <c r="AB6065" s="1"/>
      <c r="AC6065" s="1"/>
      <c r="AD6065" s="1"/>
      <c r="AE6065" s="1"/>
      <c r="AF6065" s="1"/>
      <c r="AG6065" s="1"/>
    </row>
    <row r="6066" ht="15.75" customHeight="1">
      <c r="A6066" s="1"/>
      <c r="B6066" s="1"/>
      <c r="C6066" s="1"/>
      <c r="D6066" s="1"/>
      <c r="E6066" s="1"/>
      <c r="F6066" s="1"/>
      <c r="G6066" s="1"/>
      <c r="H6066" s="1"/>
      <c r="I6066" s="1"/>
      <c r="J6066" s="1"/>
      <c r="K6066" s="19" t="s">
        <v>9520</v>
      </c>
      <c r="L6066" s="1" t="str">
        <f>K750</f>
        <v>J2a1a1a2b1b</v>
      </c>
      <c r="M6066" s="19" t="s">
        <v>9521</v>
      </c>
      <c r="N6066" s="1" t="s">
        <v>9517</v>
      </c>
      <c r="O6066" s="114">
        <v>1.5955067E7</v>
      </c>
      <c r="P6066" s="105">
        <v>1.3843187E7</v>
      </c>
      <c r="Q6066" s="102" t="s">
        <v>2439</v>
      </c>
      <c r="S6066" s="1"/>
      <c r="T6066" s="1"/>
      <c r="U6066" s="1"/>
      <c r="V6066" s="1"/>
      <c r="W6066" s="1"/>
      <c r="X6066" s="1"/>
      <c r="Y6066" s="1"/>
      <c r="AA6066" s="102"/>
      <c r="AB6066" s="1"/>
      <c r="AC6066" s="1"/>
      <c r="AD6066" s="1"/>
      <c r="AE6066" s="1"/>
      <c r="AF6066" s="1"/>
      <c r="AG6066" s="1"/>
    </row>
    <row r="6067" ht="15.75" customHeight="1">
      <c r="A6067" s="1"/>
      <c r="B6067" s="1"/>
      <c r="C6067" s="1"/>
      <c r="D6067" s="1"/>
      <c r="E6067" s="1"/>
      <c r="F6067" s="1"/>
      <c r="G6067" s="1"/>
      <c r="H6067" s="1"/>
      <c r="I6067" s="1"/>
      <c r="J6067" s="1"/>
      <c r="K6067" s="1" t="s">
        <v>9522</v>
      </c>
      <c r="L6067" s="1" t="str">
        <f>K750</f>
        <v>J2a1a1a2b1b</v>
      </c>
      <c r="M6067" s="1" t="s">
        <v>9523</v>
      </c>
      <c r="N6067" s="1" t="s">
        <v>9524</v>
      </c>
      <c r="O6067" s="114">
        <v>1.4045163E7</v>
      </c>
      <c r="P6067" s="114">
        <v>1.1924457E7</v>
      </c>
      <c r="Q6067" s="1" t="s">
        <v>2529</v>
      </c>
      <c r="S6067" s="1"/>
      <c r="T6067" s="1"/>
      <c r="U6067" s="1"/>
      <c r="V6067" s="1"/>
      <c r="W6067" s="1"/>
      <c r="X6067" s="1"/>
      <c r="Y6067" s="1"/>
      <c r="AA6067" s="102"/>
      <c r="AB6067" s="1"/>
      <c r="AC6067" s="1"/>
      <c r="AD6067" s="1"/>
      <c r="AE6067" s="1"/>
      <c r="AF6067" s="1"/>
      <c r="AG6067" s="1"/>
    </row>
    <row r="6068" ht="15.75" customHeight="1">
      <c r="A6068" s="1"/>
      <c r="B6068" s="1"/>
      <c r="C6068" s="1"/>
      <c r="D6068" s="1"/>
      <c r="E6068" s="1"/>
      <c r="F6068" s="1"/>
      <c r="G6068" s="1"/>
      <c r="H6068" s="1"/>
      <c r="I6068" s="1"/>
      <c r="J6068" s="1"/>
      <c r="K6068" s="106" t="s">
        <v>9523</v>
      </c>
      <c r="L6068" s="102" t="str">
        <f>K750</f>
        <v>J2a1a1a2b1b</v>
      </c>
      <c r="M6068" s="106" t="s">
        <v>9522</v>
      </c>
      <c r="N6068" s="1" t="s">
        <v>9524</v>
      </c>
      <c r="O6068" s="114">
        <v>1.4045163E7</v>
      </c>
      <c r="P6068" s="114">
        <v>1.1924457E7</v>
      </c>
      <c r="Q6068" s="1" t="s">
        <v>2529</v>
      </c>
      <c r="S6068" s="1"/>
      <c r="T6068" s="1"/>
      <c r="U6068" s="1"/>
      <c r="V6068" s="1"/>
      <c r="W6068" s="1"/>
      <c r="X6068" s="1"/>
      <c r="Y6068" s="1"/>
      <c r="AA6068" s="102"/>
      <c r="AB6068" s="1"/>
      <c r="AC6068" s="1"/>
      <c r="AD6068" s="1"/>
      <c r="AE6068" s="1"/>
      <c r="AF6068" s="1"/>
      <c r="AG6068" s="1"/>
    </row>
    <row r="6069" ht="15.75" customHeight="1">
      <c r="A6069" s="1"/>
      <c r="B6069" s="1"/>
      <c r="C6069" s="1"/>
      <c r="D6069" s="1"/>
      <c r="E6069" s="1"/>
      <c r="F6069" s="1"/>
      <c r="G6069" s="1"/>
      <c r="H6069" s="1"/>
      <c r="I6069" s="1"/>
      <c r="J6069" s="1"/>
      <c r="K6069" s="102" t="s">
        <v>9525</v>
      </c>
      <c r="L6069" s="102" t="str">
        <f>K750</f>
        <v>J2a1a1a2b1b</v>
      </c>
      <c r="M6069" s="102" t="s">
        <v>9526</v>
      </c>
      <c r="N6069" s="1" t="s">
        <v>9527</v>
      </c>
      <c r="O6069" s="114">
        <v>1.5850696E7</v>
      </c>
      <c r="P6069" s="105">
        <v>1.3738816E7</v>
      </c>
      <c r="Q6069" s="102" t="s">
        <v>2439</v>
      </c>
      <c r="S6069" s="1"/>
      <c r="T6069" s="1"/>
      <c r="U6069" s="1"/>
      <c r="V6069" s="1"/>
      <c r="W6069" s="1"/>
      <c r="X6069" s="1"/>
      <c r="Y6069" s="1"/>
      <c r="AA6069" s="102"/>
      <c r="AB6069" s="1"/>
      <c r="AC6069" s="1"/>
      <c r="AD6069" s="1"/>
      <c r="AE6069" s="1"/>
      <c r="AF6069" s="1"/>
      <c r="AG6069" s="1"/>
    </row>
    <row r="6070" ht="15.75" customHeight="1">
      <c r="A6070" s="1"/>
      <c r="B6070" s="1"/>
      <c r="C6070" s="1"/>
      <c r="D6070" s="1"/>
      <c r="E6070" s="1"/>
      <c r="F6070" s="1"/>
      <c r="G6070" s="1"/>
      <c r="H6070" s="1"/>
      <c r="I6070" s="1"/>
      <c r="J6070" s="1"/>
      <c r="K6070" s="106" t="s">
        <v>9528</v>
      </c>
      <c r="L6070" s="102" t="str">
        <f>K750</f>
        <v>J2a1a1a2b1b</v>
      </c>
      <c r="M6070" s="106" t="s">
        <v>9529</v>
      </c>
      <c r="N6070" s="1" t="s">
        <v>9527</v>
      </c>
      <c r="O6070" s="114">
        <v>1.5850696E7</v>
      </c>
      <c r="P6070" s="105">
        <v>1.3738816E7</v>
      </c>
      <c r="Q6070" s="102" t="s">
        <v>2439</v>
      </c>
      <c r="S6070" s="1"/>
      <c r="T6070" s="1"/>
      <c r="U6070" s="1"/>
      <c r="V6070" s="1"/>
      <c r="W6070" s="1"/>
      <c r="X6070" s="1"/>
      <c r="Y6070" s="1"/>
      <c r="AA6070" s="102"/>
      <c r="AB6070" s="1"/>
      <c r="AC6070" s="1"/>
      <c r="AD6070" s="1"/>
      <c r="AE6070" s="1"/>
      <c r="AF6070" s="1"/>
      <c r="AG6070" s="1"/>
    </row>
    <row r="6071" ht="15.75" customHeight="1">
      <c r="A6071" s="1"/>
      <c r="B6071" s="1"/>
      <c r="C6071" s="1"/>
      <c r="D6071" s="1"/>
      <c r="E6071" s="1"/>
      <c r="F6071" s="1"/>
      <c r="G6071" s="1"/>
      <c r="H6071" s="1"/>
      <c r="I6071" s="1"/>
      <c r="J6071" s="1"/>
      <c r="K6071" s="106" t="s">
        <v>9530</v>
      </c>
      <c r="L6071" s="102" t="str">
        <f>K750</f>
        <v>J2a1a1a2b1b</v>
      </c>
      <c r="M6071" s="106" t="s">
        <v>9531</v>
      </c>
      <c r="N6071" s="1" t="s">
        <v>9527</v>
      </c>
      <c r="O6071" s="114">
        <v>1.5850696E7</v>
      </c>
      <c r="P6071" s="105">
        <v>1.3738816E7</v>
      </c>
      <c r="Q6071" s="102" t="s">
        <v>2439</v>
      </c>
      <c r="S6071" s="1"/>
      <c r="T6071" s="1"/>
      <c r="U6071" s="1"/>
      <c r="V6071" s="1"/>
      <c r="W6071" s="1"/>
      <c r="X6071" s="1"/>
      <c r="Y6071" s="1"/>
      <c r="AA6071" s="102"/>
      <c r="AB6071" s="1"/>
      <c r="AC6071" s="1"/>
      <c r="AD6071" s="1"/>
      <c r="AE6071" s="1"/>
      <c r="AF6071" s="1"/>
      <c r="AG6071" s="1"/>
    </row>
    <row r="6072" ht="15.75" customHeight="1">
      <c r="A6072" s="1"/>
      <c r="B6072" s="1"/>
      <c r="C6072" s="1"/>
      <c r="D6072" s="1"/>
      <c r="E6072" s="1"/>
      <c r="F6072" s="1"/>
      <c r="G6072" s="1"/>
      <c r="H6072" s="1"/>
      <c r="I6072" s="1"/>
      <c r="J6072" s="1"/>
      <c r="K6072" s="102" t="s">
        <v>9532</v>
      </c>
      <c r="L6072" s="102" t="str">
        <f>K750</f>
        <v>J2a1a1a2b1b</v>
      </c>
      <c r="M6072" s="102" t="s">
        <v>9533</v>
      </c>
      <c r="N6072" s="1" t="s">
        <v>9534</v>
      </c>
      <c r="O6072" s="114">
        <v>1.6385218E7</v>
      </c>
      <c r="P6072" s="105">
        <v>1.4273338E7</v>
      </c>
      <c r="Q6072" s="102" t="s">
        <v>2501</v>
      </c>
      <c r="S6072" s="1"/>
      <c r="T6072" s="1"/>
      <c r="U6072" s="1"/>
      <c r="V6072" s="1"/>
      <c r="W6072" s="1"/>
      <c r="X6072" s="1"/>
      <c r="Y6072" s="1"/>
      <c r="AA6072" s="102"/>
      <c r="AB6072" s="1"/>
      <c r="AC6072" s="1"/>
      <c r="AD6072" s="1"/>
      <c r="AE6072" s="1"/>
      <c r="AF6072" s="1"/>
      <c r="AG6072" s="1"/>
    </row>
    <row r="6073" ht="15.75" customHeight="1">
      <c r="A6073" s="1"/>
      <c r="B6073" s="1"/>
      <c r="C6073" s="1"/>
      <c r="D6073" s="1"/>
      <c r="E6073" s="1"/>
      <c r="F6073" s="1"/>
      <c r="G6073" s="1"/>
      <c r="H6073" s="1"/>
      <c r="I6073" s="1"/>
      <c r="J6073" s="1"/>
      <c r="K6073" s="106" t="s">
        <v>9535</v>
      </c>
      <c r="L6073" s="102" t="str">
        <f>K750</f>
        <v>J2a1a1a2b1b</v>
      </c>
      <c r="M6073" s="106" t="s">
        <v>9536</v>
      </c>
      <c r="N6073" s="1" t="s">
        <v>9534</v>
      </c>
      <c r="O6073" s="114">
        <v>1.6385218E7</v>
      </c>
      <c r="P6073" s="105">
        <v>1.4273338E7</v>
      </c>
      <c r="Q6073" s="102" t="s">
        <v>2501</v>
      </c>
      <c r="S6073" s="1"/>
      <c r="T6073" s="1"/>
      <c r="U6073" s="1"/>
      <c r="V6073" s="1"/>
      <c r="W6073" s="1"/>
      <c r="X6073" s="1"/>
      <c r="Y6073" s="1"/>
      <c r="AA6073" s="102"/>
      <c r="AB6073" s="1"/>
      <c r="AC6073" s="1"/>
      <c r="AD6073" s="1"/>
      <c r="AE6073" s="1"/>
      <c r="AF6073" s="1"/>
      <c r="AG6073" s="1"/>
    </row>
    <row r="6074" ht="15.75" customHeight="1">
      <c r="A6074" s="1"/>
      <c r="B6074" s="1"/>
      <c r="C6074" s="1"/>
      <c r="D6074" s="1"/>
      <c r="E6074" s="1"/>
      <c r="F6074" s="1"/>
      <c r="G6074" s="1"/>
      <c r="H6074" s="1"/>
      <c r="I6074" s="1"/>
      <c r="J6074" s="1"/>
      <c r="K6074" s="106" t="s">
        <v>9537</v>
      </c>
      <c r="L6074" s="102" t="str">
        <f>K750</f>
        <v>J2a1a1a2b1b</v>
      </c>
      <c r="M6074" s="106" t="s">
        <v>9538</v>
      </c>
      <c r="N6074" s="1" t="s">
        <v>9534</v>
      </c>
      <c r="O6074" s="114">
        <v>1.6385218E7</v>
      </c>
      <c r="P6074" s="105">
        <v>1.4273338E7</v>
      </c>
      <c r="Q6074" s="102" t="s">
        <v>2501</v>
      </c>
      <c r="S6074" s="1"/>
      <c r="T6074" s="1"/>
      <c r="U6074" s="1"/>
      <c r="V6074" s="1"/>
      <c r="W6074" s="1"/>
      <c r="X6074" s="1"/>
      <c r="Y6074" s="1"/>
      <c r="AA6074" s="102"/>
      <c r="AB6074" s="1"/>
      <c r="AC6074" s="1"/>
      <c r="AD6074" s="1"/>
      <c r="AE6074" s="1"/>
      <c r="AF6074" s="1"/>
      <c r="AG6074" s="1"/>
    </row>
    <row r="6075" ht="15.75" customHeight="1">
      <c r="A6075" s="1"/>
      <c r="B6075" s="1"/>
      <c r="C6075" s="1"/>
      <c r="D6075" s="1"/>
      <c r="E6075" s="1"/>
      <c r="F6075" s="1"/>
      <c r="G6075" s="1"/>
      <c r="H6075" s="1"/>
      <c r="I6075" s="1"/>
      <c r="J6075" s="1"/>
      <c r="K6075" s="102" t="s">
        <v>9539</v>
      </c>
      <c r="L6075" s="102" t="str">
        <f>K750</f>
        <v>J2a1a1a2b1b</v>
      </c>
      <c r="M6075" s="102" t="s">
        <v>9540</v>
      </c>
      <c r="N6075" s="1" t="s">
        <v>9541</v>
      </c>
      <c r="O6075" s="114">
        <v>8233295.0</v>
      </c>
      <c r="P6075" s="105">
        <v>8365254.0</v>
      </c>
      <c r="Q6075" s="102" t="s">
        <v>2439</v>
      </c>
      <c r="S6075" s="1"/>
      <c r="T6075" s="1"/>
      <c r="U6075" s="1"/>
      <c r="V6075" s="1"/>
      <c r="W6075" s="1"/>
      <c r="X6075" s="1"/>
      <c r="Y6075" s="1"/>
      <c r="AA6075" s="102"/>
      <c r="AB6075" s="1"/>
      <c r="AC6075" s="1"/>
      <c r="AD6075" s="1"/>
      <c r="AE6075" s="1"/>
      <c r="AF6075" s="1"/>
      <c r="AG6075" s="1"/>
    </row>
    <row r="6076" ht="15.75" customHeight="1">
      <c r="A6076" s="1"/>
      <c r="B6076" s="1"/>
      <c r="C6076" s="1"/>
      <c r="D6076" s="1"/>
      <c r="E6076" s="1"/>
      <c r="F6076" s="1"/>
      <c r="G6076" s="1"/>
      <c r="H6076" s="1"/>
      <c r="I6076" s="1"/>
      <c r="J6076" s="1"/>
      <c r="K6076" s="106" t="s">
        <v>9540</v>
      </c>
      <c r="L6076" s="102" t="str">
        <f>K750</f>
        <v>J2a1a1a2b1b</v>
      </c>
      <c r="M6076" s="106" t="s">
        <v>9539</v>
      </c>
      <c r="N6076" s="1" t="s">
        <v>9541</v>
      </c>
      <c r="O6076" s="114">
        <v>8233295.0</v>
      </c>
      <c r="P6076" s="105">
        <v>8365254.0</v>
      </c>
      <c r="Q6076" s="102" t="s">
        <v>2439</v>
      </c>
      <c r="S6076" s="1"/>
      <c r="T6076" s="1"/>
      <c r="U6076" s="1"/>
      <c r="V6076" s="1"/>
      <c r="W6076" s="1"/>
      <c r="X6076" s="1"/>
      <c r="Y6076" s="1"/>
      <c r="AA6076" s="102"/>
      <c r="AB6076" s="1"/>
      <c r="AC6076" s="1"/>
      <c r="AD6076" s="1"/>
      <c r="AE6076" s="1"/>
      <c r="AF6076" s="1"/>
      <c r="AG6076" s="1"/>
    </row>
    <row r="6077" ht="15.75" customHeight="1">
      <c r="A6077" s="1"/>
      <c r="B6077" s="1"/>
      <c r="C6077" s="1"/>
      <c r="D6077" s="1"/>
      <c r="E6077" s="1"/>
      <c r="F6077" s="1"/>
      <c r="G6077" s="1"/>
      <c r="H6077" s="1"/>
      <c r="I6077" s="1"/>
      <c r="J6077" s="1"/>
      <c r="K6077" s="102" t="s">
        <v>9542</v>
      </c>
      <c r="L6077" s="102" t="str">
        <f>K750</f>
        <v>J2a1a1a2b1b</v>
      </c>
      <c r="M6077" s="102" t="s">
        <v>9543</v>
      </c>
      <c r="N6077" s="1" t="s">
        <v>9544</v>
      </c>
      <c r="O6077" s="114">
        <v>8461720.0</v>
      </c>
      <c r="P6077" s="105">
        <v>8593679.0</v>
      </c>
      <c r="Q6077" s="102" t="s">
        <v>2529</v>
      </c>
      <c r="S6077" s="1"/>
      <c r="T6077" s="1"/>
      <c r="U6077" s="1"/>
      <c r="V6077" s="1"/>
      <c r="W6077" s="1"/>
      <c r="X6077" s="1"/>
      <c r="Y6077" s="1"/>
      <c r="AA6077" s="102"/>
      <c r="AB6077" s="1"/>
      <c r="AC6077" s="1"/>
      <c r="AD6077" s="1"/>
      <c r="AE6077" s="1"/>
      <c r="AF6077" s="1"/>
      <c r="AG6077" s="1"/>
    </row>
    <row r="6078" ht="15.75" customHeight="1">
      <c r="A6078" s="1"/>
      <c r="B6078" s="1"/>
      <c r="C6078" s="1"/>
      <c r="D6078" s="1"/>
      <c r="E6078" s="1"/>
      <c r="F6078" s="1"/>
      <c r="G6078" s="1"/>
      <c r="H6078" s="1"/>
      <c r="I6078" s="1"/>
      <c r="J6078" s="1"/>
      <c r="K6078" s="106" t="s">
        <v>9543</v>
      </c>
      <c r="L6078" s="102" t="str">
        <f>K750</f>
        <v>J2a1a1a2b1b</v>
      </c>
      <c r="M6078" s="106" t="s">
        <v>9542</v>
      </c>
      <c r="N6078" s="1" t="s">
        <v>9544</v>
      </c>
      <c r="O6078" s="114">
        <v>8461720.0</v>
      </c>
      <c r="P6078" s="105">
        <v>8593679.0</v>
      </c>
      <c r="Q6078" s="102" t="s">
        <v>2529</v>
      </c>
      <c r="S6078" s="1"/>
      <c r="T6078" s="1"/>
      <c r="U6078" s="1"/>
      <c r="V6078" s="1"/>
      <c r="W6078" s="1"/>
      <c r="X6078" s="1"/>
      <c r="Y6078" s="1"/>
      <c r="AA6078" s="102"/>
      <c r="AB6078" s="1"/>
      <c r="AC6078" s="1"/>
      <c r="AD6078" s="1"/>
      <c r="AE6078" s="1"/>
      <c r="AF6078" s="1"/>
      <c r="AG6078" s="1"/>
    </row>
    <row r="6079" ht="15.75" customHeight="1">
      <c r="A6079" s="1"/>
      <c r="B6079" s="1"/>
      <c r="C6079" s="1"/>
      <c r="D6079" s="1"/>
      <c r="E6079" s="1"/>
      <c r="F6079" s="1"/>
      <c r="G6079" s="1"/>
      <c r="H6079" s="1"/>
      <c r="I6079" s="1"/>
      <c r="J6079" s="1"/>
      <c r="K6079" s="106" t="s">
        <v>9545</v>
      </c>
      <c r="L6079" s="102" t="str">
        <f>K750</f>
        <v>J2a1a1a2b1b</v>
      </c>
      <c r="M6079" s="106" t="s">
        <v>9546</v>
      </c>
      <c r="N6079" s="1" t="s">
        <v>9547</v>
      </c>
      <c r="O6079" s="114">
        <v>1.4887168E7</v>
      </c>
      <c r="P6079" s="105">
        <v>1.2775234E7</v>
      </c>
      <c r="Q6079" s="102" t="s">
        <v>2529</v>
      </c>
      <c r="S6079" s="1"/>
      <c r="T6079" s="1"/>
      <c r="U6079" s="1"/>
      <c r="V6079" s="1"/>
      <c r="W6079" s="1"/>
      <c r="X6079" s="1"/>
      <c r="Y6079" s="1"/>
      <c r="AA6079" s="102"/>
      <c r="AB6079" s="1"/>
      <c r="AC6079" s="1"/>
      <c r="AD6079" s="1"/>
      <c r="AE6079" s="1"/>
      <c r="AF6079" s="1"/>
      <c r="AG6079" s="1"/>
    </row>
    <row r="6080" ht="15.75" customHeight="1">
      <c r="A6080" s="1"/>
      <c r="B6080" s="1"/>
      <c r="C6080" s="1"/>
      <c r="D6080" s="1"/>
      <c r="E6080" s="1"/>
      <c r="F6080" s="1"/>
      <c r="G6080" s="1"/>
      <c r="H6080" s="1"/>
      <c r="I6080" s="1"/>
      <c r="J6080" s="1"/>
      <c r="K6080" s="102" t="s">
        <v>9546</v>
      </c>
      <c r="L6080" s="102" t="str">
        <f>K750</f>
        <v>J2a1a1a2b1b</v>
      </c>
      <c r="M6080" s="102" t="s">
        <v>9545</v>
      </c>
      <c r="N6080" s="1" t="s">
        <v>9547</v>
      </c>
      <c r="O6080" s="114">
        <v>1.4887168E7</v>
      </c>
      <c r="P6080" s="105">
        <v>1.2775234E7</v>
      </c>
      <c r="Q6080" s="102" t="s">
        <v>2529</v>
      </c>
      <c r="S6080" s="1"/>
      <c r="T6080" s="1"/>
      <c r="U6080" s="1"/>
      <c r="V6080" s="1"/>
      <c r="W6080" s="1"/>
      <c r="X6080" s="1"/>
      <c r="Y6080" s="1"/>
      <c r="AA6080" s="102"/>
      <c r="AB6080" s="1"/>
      <c r="AC6080" s="1"/>
      <c r="AD6080" s="1"/>
      <c r="AE6080" s="1"/>
      <c r="AF6080" s="1"/>
      <c r="AG6080" s="1"/>
    </row>
    <row r="6081" ht="15.75" customHeight="1">
      <c r="A6081" s="1"/>
      <c r="B6081" s="1"/>
      <c r="C6081" s="1"/>
      <c r="D6081" s="1"/>
      <c r="E6081" s="1"/>
      <c r="F6081" s="1"/>
      <c r="G6081" s="1"/>
      <c r="H6081" s="1"/>
      <c r="I6081" s="1"/>
      <c r="J6081" s="1"/>
      <c r="K6081" s="106" t="s">
        <v>9548</v>
      </c>
      <c r="L6081" s="102" t="str">
        <f>K750</f>
        <v>J2a1a1a2b1b</v>
      </c>
      <c r="M6081" s="106" t="s">
        <v>9549</v>
      </c>
      <c r="N6081" s="1" t="s">
        <v>9550</v>
      </c>
      <c r="O6081" s="114">
        <v>2.2183163E7</v>
      </c>
      <c r="P6081" s="105">
        <v>2.0021277E7</v>
      </c>
      <c r="Q6081" s="102" t="s">
        <v>2439</v>
      </c>
      <c r="S6081" s="1"/>
      <c r="T6081" s="1"/>
      <c r="U6081" s="1"/>
      <c r="V6081" s="1"/>
      <c r="W6081" s="1"/>
      <c r="X6081" s="1"/>
      <c r="Y6081" s="1"/>
      <c r="AA6081" s="102"/>
      <c r="AB6081" s="1"/>
      <c r="AC6081" s="1"/>
      <c r="AD6081" s="1"/>
      <c r="AE6081" s="1"/>
      <c r="AF6081" s="1"/>
      <c r="AG6081" s="1"/>
    </row>
    <row r="6082" ht="15.75" customHeight="1">
      <c r="A6082" s="1"/>
      <c r="B6082" s="1"/>
      <c r="C6082" s="1"/>
      <c r="D6082" s="1"/>
      <c r="E6082" s="1"/>
      <c r="F6082" s="1"/>
      <c r="G6082" s="1"/>
      <c r="H6082" s="1"/>
      <c r="I6082" s="1"/>
      <c r="J6082" s="1"/>
      <c r="K6082" s="102" t="s">
        <v>9549</v>
      </c>
      <c r="L6082" s="102" t="str">
        <f>K750</f>
        <v>J2a1a1a2b1b</v>
      </c>
      <c r="M6082" s="102" t="s">
        <v>9548</v>
      </c>
      <c r="N6082" s="1" t="s">
        <v>9550</v>
      </c>
      <c r="O6082" s="114">
        <v>2.2183163E7</v>
      </c>
      <c r="P6082" s="105">
        <v>2.0021277E7</v>
      </c>
      <c r="Q6082" s="102" t="s">
        <v>2439</v>
      </c>
      <c r="S6082" s="1"/>
      <c r="T6082" s="1"/>
      <c r="U6082" s="1"/>
      <c r="V6082" s="1"/>
      <c r="W6082" s="1"/>
      <c r="X6082" s="1"/>
      <c r="Y6082" s="1"/>
      <c r="AA6082" s="102"/>
      <c r="AB6082" s="1"/>
      <c r="AC6082" s="1"/>
      <c r="AD6082" s="1"/>
      <c r="AE6082" s="1"/>
      <c r="AF6082" s="1"/>
      <c r="AG6082" s="1"/>
    </row>
    <row r="6083" ht="15.75" customHeight="1">
      <c r="A6083" s="1"/>
      <c r="B6083" s="1"/>
      <c r="C6083" s="1"/>
      <c r="D6083" s="1"/>
      <c r="E6083" s="1"/>
      <c r="F6083" s="1"/>
      <c r="G6083" s="1"/>
      <c r="H6083" s="1"/>
      <c r="I6083" s="1"/>
      <c r="J6083" s="1"/>
      <c r="K6083" s="102" t="s">
        <v>9551</v>
      </c>
      <c r="L6083" s="102" t="str">
        <f>K750</f>
        <v>J2a1a1a2b1b</v>
      </c>
      <c r="M6083" s="102"/>
      <c r="N6083" s="1" t="s">
        <v>9552</v>
      </c>
      <c r="O6083" s="114">
        <v>2.4423136E7</v>
      </c>
      <c r="P6083" s="105">
        <v>2.2276989E7</v>
      </c>
      <c r="Q6083" s="102" t="s">
        <v>2468</v>
      </c>
      <c r="S6083" s="1"/>
      <c r="T6083" s="1"/>
      <c r="U6083" s="1"/>
      <c r="V6083" s="1"/>
      <c r="W6083" s="1"/>
      <c r="X6083" s="1"/>
      <c r="Y6083" s="1"/>
      <c r="AA6083" s="102"/>
      <c r="AB6083" s="1"/>
      <c r="AC6083" s="1"/>
      <c r="AD6083" s="1"/>
      <c r="AE6083" s="1"/>
      <c r="AF6083" s="1"/>
      <c r="AG6083" s="1"/>
    </row>
    <row r="6084" ht="15.75" customHeight="1">
      <c r="A6084" s="1"/>
      <c r="B6084" s="1"/>
      <c r="C6084" s="1"/>
      <c r="D6084" s="1"/>
      <c r="E6084" s="1"/>
      <c r="F6084" s="1"/>
      <c r="G6084" s="1"/>
      <c r="H6084" s="1"/>
      <c r="I6084" s="1"/>
      <c r="J6084" s="1"/>
      <c r="K6084" s="102" t="s">
        <v>1469</v>
      </c>
      <c r="L6084" s="102" t="str">
        <f>L751</f>
        <v>J2a1a1a2b1b1~</v>
      </c>
      <c r="M6084" s="102"/>
      <c r="N6084" s="102"/>
      <c r="O6084" s="114">
        <v>2.2186544E7</v>
      </c>
      <c r="P6084" s="105">
        <v>2.0024658E7</v>
      </c>
      <c r="Q6084" s="102" t="s">
        <v>2468</v>
      </c>
      <c r="S6084" s="1"/>
      <c r="T6084" s="1"/>
      <c r="U6084" s="1"/>
      <c r="V6084" s="1"/>
      <c r="W6084" s="1"/>
      <c r="X6084" s="1"/>
      <c r="Y6084" s="1"/>
      <c r="AA6084" s="102"/>
      <c r="AB6084" s="1"/>
      <c r="AC6084" s="1"/>
      <c r="AD6084" s="1"/>
      <c r="AE6084" s="1"/>
      <c r="AF6084" s="1"/>
      <c r="AG6084" s="1"/>
    </row>
    <row r="6085" ht="15.75" customHeight="1">
      <c r="A6085" s="1"/>
      <c r="B6085" s="1"/>
      <c r="C6085" s="1"/>
      <c r="D6085" s="1"/>
      <c r="E6085" s="1"/>
      <c r="F6085" s="1"/>
      <c r="G6085" s="1"/>
      <c r="H6085" s="1"/>
      <c r="I6085" s="1"/>
      <c r="J6085" s="1"/>
      <c r="K6085" s="102" t="s">
        <v>1471</v>
      </c>
      <c r="L6085" s="102" t="str">
        <f>M752</f>
        <v>J2a1a1a2b1b1a~</v>
      </c>
      <c r="M6085" s="102"/>
      <c r="N6085" s="102"/>
      <c r="O6085" s="114">
        <v>1.6445989E7</v>
      </c>
      <c r="P6085" s="105">
        <v>1.4334109E7</v>
      </c>
      <c r="Q6085" s="102" t="s">
        <v>2439</v>
      </c>
      <c r="S6085" s="1"/>
      <c r="T6085" s="1"/>
      <c r="U6085" s="1"/>
      <c r="V6085" s="1"/>
      <c r="W6085" s="1"/>
      <c r="X6085" s="1"/>
      <c r="Y6085" s="1"/>
      <c r="AA6085" s="102"/>
      <c r="AB6085" s="1"/>
      <c r="AC6085" s="1"/>
      <c r="AD6085" s="1"/>
      <c r="AE6085" s="1"/>
      <c r="AF6085" s="1"/>
      <c r="AG6085" s="1"/>
    </row>
    <row r="6086" ht="15.75" customHeight="1">
      <c r="A6086" s="1"/>
      <c r="B6086" s="1"/>
      <c r="C6086" s="1"/>
      <c r="D6086" s="1"/>
      <c r="E6086" s="1"/>
      <c r="F6086" s="1"/>
      <c r="G6086" s="1"/>
      <c r="H6086" s="1"/>
      <c r="I6086" s="1"/>
      <c r="J6086" s="1"/>
      <c r="K6086" s="102" t="s">
        <v>1473</v>
      </c>
      <c r="L6086" s="102" t="str">
        <f>L753</f>
        <v>J2a1a1a2b1b2~</v>
      </c>
      <c r="M6086" s="102"/>
      <c r="N6086" s="1" t="s">
        <v>9553</v>
      </c>
      <c r="O6086" s="114">
        <v>1.553848E7</v>
      </c>
      <c r="P6086" s="105">
        <v>1.34266E7</v>
      </c>
      <c r="Q6086" s="102" t="s">
        <v>2439</v>
      </c>
      <c r="S6086" s="1"/>
      <c r="T6086" s="1"/>
      <c r="U6086" s="1"/>
      <c r="V6086" s="1"/>
      <c r="W6086" s="1"/>
      <c r="X6086" s="1"/>
      <c r="Y6086" s="1"/>
      <c r="AA6086" s="102"/>
      <c r="AB6086" s="1"/>
      <c r="AC6086" s="1"/>
      <c r="AD6086" s="1"/>
      <c r="AE6086" s="1"/>
      <c r="AF6086" s="1"/>
      <c r="AG6086" s="1"/>
    </row>
    <row r="6087" ht="15.75" customHeight="1">
      <c r="A6087" s="1"/>
      <c r="B6087" s="1"/>
      <c r="C6087" s="1"/>
      <c r="D6087" s="1"/>
      <c r="E6087" s="1"/>
      <c r="F6087" s="1"/>
      <c r="G6087" s="1"/>
      <c r="H6087" s="1"/>
      <c r="I6087" s="1"/>
      <c r="J6087" s="1"/>
      <c r="K6087" s="102" t="s">
        <v>1475</v>
      </c>
      <c r="L6087" s="102" t="str">
        <f>M754</f>
        <v>J2a1a1a2b1b2a~</v>
      </c>
      <c r="M6087" s="102" t="s">
        <v>13</v>
      </c>
      <c r="N6087" s="1" t="s">
        <v>9554</v>
      </c>
      <c r="O6087" s="114">
        <v>1.4788364E7</v>
      </c>
      <c r="P6087" s="105">
        <v>1.2676435E7</v>
      </c>
      <c r="Q6087" s="102" t="s">
        <v>2501</v>
      </c>
      <c r="S6087" s="1"/>
      <c r="T6087" s="1"/>
      <c r="U6087" s="1"/>
      <c r="V6087" s="1"/>
      <c r="W6087" s="1"/>
      <c r="X6087" s="1"/>
      <c r="Y6087" s="1"/>
      <c r="AA6087" s="102"/>
      <c r="AB6087" s="1"/>
      <c r="AC6087" s="1"/>
      <c r="AD6087" s="1"/>
      <c r="AE6087" s="1"/>
      <c r="AF6087" s="1"/>
      <c r="AG6087" s="1"/>
    </row>
    <row r="6088" ht="15.75" customHeight="1">
      <c r="A6088" s="1"/>
      <c r="B6088" s="1"/>
      <c r="C6088" s="1"/>
      <c r="D6088" s="1"/>
      <c r="E6088" s="1"/>
      <c r="F6088" s="1"/>
      <c r="G6088" s="1"/>
      <c r="H6088" s="1"/>
      <c r="I6088" s="1"/>
      <c r="J6088" s="1"/>
      <c r="K6088" s="102" t="s">
        <v>1477</v>
      </c>
      <c r="L6088" s="102" t="str">
        <f>N755</f>
        <v>J2a1a1a2b1b2a1~</v>
      </c>
      <c r="M6088" s="102" t="s">
        <v>13</v>
      </c>
      <c r="N6088" s="1" t="s">
        <v>9555</v>
      </c>
      <c r="O6088" s="114">
        <v>7900701.0</v>
      </c>
      <c r="P6088" s="105">
        <v>8032660.0</v>
      </c>
      <c r="Q6088" s="102" t="s">
        <v>2529</v>
      </c>
      <c r="S6088" s="1"/>
      <c r="T6088" s="1"/>
      <c r="U6088" s="1"/>
      <c r="V6088" s="1"/>
      <c r="W6088" s="1"/>
      <c r="X6088" s="1"/>
      <c r="Y6088" s="1"/>
      <c r="AA6088" s="102"/>
      <c r="AB6088" s="1"/>
      <c r="AC6088" s="1"/>
      <c r="AD6088" s="1"/>
      <c r="AE6088" s="1"/>
      <c r="AF6088" s="1"/>
      <c r="AG6088" s="1"/>
    </row>
    <row r="6089" ht="15.75" customHeight="1">
      <c r="A6089" s="1"/>
      <c r="B6089" s="1"/>
      <c r="C6089" s="1"/>
      <c r="D6089" s="1"/>
      <c r="E6089" s="1"/>
      <c r="F6089" s="1"/>
      <c r="G6089" s="1"/>
      <c r="H6089" s="1"/>
      <c r="I6089" s="1"/>
      <c r="J6089" s="1"/>
      <c r="K6089" s="102" t="s">
        <v>1479</v>
      </c>
      <c r="L6089" s="102" t="str">
        <f>L756</f>
        <v>J2a1a1a2b1b3~</v>
      </c>
      <c r="M6089" s="102"/>
      <c r="N6089" s="1" t="s">
        <v>9556</v>
      </c>
      <c r="O6089" s="114">
        <v>1.4667788E7</v>
      </c>
      <c r="P6089" s="105">
        <v>1.2555853E7</v>
      </c>
      <c r="Q6089" s="102" t="s">
        <v>2514</v>
      </c>
      <c r="S6089" s="1"/>
      <c r="T6089" s="1"/>
      <c r="U6089" s="1"/>
      <c r="V6089" s="1"/>
      <c r="W6089" s="1"/>
      <c r="X6089" s="1"/>
      <c r="Y6089" s="1"/>
      <c r="AA6089" s="102"/>
      <c r="AB6089" s="1"/>
      <c r="AC6089" s="1"/>
      <c r="AD6089" s="1"/>
      <c r="AE6089" s="1"/>
      <c r="AF6089" s="1"/>
      <c r="AG6089" s="1"/>
    </row>
    <row r="6090" ht="15.75" customHeight="1">
      <c r="A6090" s="1"/>
      <c r="B6090" s="1"/>
      <c r="C6090" s="1"/>
      <c r="D6090" s="1"/>
      <c r="E6090" s="1"/>
      <c r="F6090" s="1"/>
      <c r="G6090" s="1"/>
      <c r="H6090" s="1"/>
      <c r="I6090" s="1"/>
      <c r="J6090" s="1"/>
      <c r="K6090" s="102" t="s">
        <v>9557</v>
      </c>
      <c r="L6090" s="102" t="str">
        <f>M757</f>
        <v>J2a1a1a2b1b3a~</v>
      </c>
      <c r="M6090" s="102" t="s">
        <v>9558</v>
      </c>
      <c r="N6090" s="1" t="s">
        <v>9559</v>
      </c>
      <c r="O6090" s="114">
        <v>1.4170295E7</v>
      </c>
      <c r="P6090" s="105">
        <v>1.2049589E7</v>
      </c>
      <c r="Q6090" s="102" t="s">
        <v>2533</v>
      </c>
      <c r="S6090" s="1"/>
      <c r="T6090" s="1"/>
      <c r="U6090" s="1"/>
      <c r="V6090" s="1"/>
      <c r="W6090" s="1"/>
      <c r="X6090" s="1"/>
      <c r="Y6090" s="1"/>
      <c r="AA6090" s="102"/>
      <c r="AB6090" s="1"/>
      <c r="AC6090" s="1"/>
      <c r="AD6090" s="1"/>
      <c r="AE6090" s="1"/>
      <c r="AF6090" s="1"/>
      <c r="AG6090" s="1"/>
    </row>
    <row r="6091" ht="15.75" customHeight="1">
      <c r="A6091" s="1"/>
      <c r="B6091" s="1"/>
      <c r="C6091" s="1"/>
      <c r="D6091" s="1"/>
      <c r="E6091" s="1"/>
      <c r="F6091" s="1"/>
      <c r="G6091" s="1"/>
      <c r="H6091" s="1"/>
      <c r="I6091" s="1"/>
      <c r="J6091" s="1"/>
      <c r="K6091" s="106" t="s">
        <v>9560</v>
      </c>
      <c r="L6091" s="102" t="str">
        <f>M757</f>
        <v>J2a1a1a2b1b3a~</v>
      </c>
      <c r="M6091" s="106" t="s">
        <v>9561</v>
      </c>
      <c r="N6091" s="1" t="s">
        <v>9559</v>
      </c>
      <c r="O6091" s="114">
        <v>1.4170295E7</v>
      </c>
      <c r="P6091" s="105">
        <v>1.2049589E7</v>
      </c>
      <c r="Q6091" s="102" t="s">
        <v>2533</v>
      </c>
      <c r="S6091" s="1"/>
      <c r="T6091" s="1"/>
      <c r="U6091" s="1"/>
      <c r="V6091" s="1"/>
      <c r="W6091" s="1"/>
      <c r="X6091" s="1"/>
      <c r="Y6091" s="1"/>
      <c r="AA6091" s="102"/>
      <c r="AB6091" s="1"/>
      <c r="AC6091" s="1"/>
      <c r="AD6091" s="1"/>
      <c r="AE6091" s="1"/>
      <c r="AF6091" s="1"/>
      <c r="AG6091" s="1"/>
    </row>
    <row r="6092" ht="15.75" customHeight="1">
      <c r="A6092" s="1"/>
      <c r="B6092" s="1"/>
      <c r="C6092" s="1"/>
      <c r="D6092" s="1"/>
      <c r="E6092" s="1"/>
      <c r="F6092" s="1"/>
      <c r="G6092" s="1"/>
      <c r="H6092" s="1"/>
      <c r="I6092" s="1"/>
      <c r="J6092" s="1"/>
      <c r="K6092" s="106" t="s">
        <v>9562</v>
      </c>
      <c r="L6092" s="102" t="str">
        <f>M757</f>
        <v>J2a1a1a2b1b3a~</v>
      </c>
      <c r="M6092" s="106" t="s">
        <v>9563</v>
      </c>
      <c r="N6092" s="1" t="s">
        <v>9559</v>
      </c>
      <c r="O6092" s="114">
        <v>1.4170295E7</v>
      </c>
      <c r="P6092" s="105">
        <v>1.2049589E7</v>
      </c>
      <c r="Q6092" s="102" t="s">
        <v>2533</v>
      </c>
      <c r="S6092" s="1"/>
      <c r="T6092" s="1"/>
      <c r="U6092" s="1"/>
      <c r="V6092" s="1"/>
      <c r="W6092" s="1"/>
      <c r="X6092" s="1"/>
      <c r="Y6092" s="1"/>
      <c r="AA6092" s="102"/>
      <c r="AB6092" s="1"/>
      <c r="AC6092" s="1"/>
      <c r="AD6092" s="1"/>
      <c r="AE6092" s="1"/>
      <c r="AF6092" s="1"/>
      <c r="AG6092" s="1"/>
    </row>
    <row r="6093" ht="15.75" customHeight="1">
      <c r="A6093" s="1"/>
      <c r="B6093" s="1"/>
      <c r="C6093" s="1"/>
      <c r="D6093" s="1"/>
      <c r="E6093" s="1"/>
      <c r="F6093" s="1"/>
      <c r="G6093" s="1"/>
      <c r="H6093" s="1"/>
      <c r="I6093" s="1"/>
      <c r="J6093" s="1"/>
      <c r="K6093" s="102" t="s">
        <v>1483</v>
      </c>
      <c r="L6093" s="102" t="str">
        <f t="shared" ref="L6093:L6094" si="136">N758</f>
        <v>J2a1a1a2b1b3a1~</v>
      </c>
      <c r="M6093" s="102"/>
      <c r="N6093" s="1"/>
      <c r="O6093" s="114">
        <v>2.3314315E7</v>
      </c>
      <c r="P6093" s="19">
        <v>2.1152429E7</v>
      </c>
      <c r="Q6093" s="102" t="s">
        <v>2501</v>
      </c>
      <c r="S6093" s="1"/>
      <c r="T6093" s="1"/>
      <c r="U6093" s="1"/>
      <c r="V6093" s="1"/>
      <c r="W6093" s="1"/>
      <c r="X6093" s="1"/>
      <c r="Y6093" s="1"/>
      <c r="AA6093" s="102"/>
      <c r="AB6093" s="1"/>
      <c r="AC6093" s="1"/>
      <c r="AD6093" s="1"/>
      <c r="AE6093" s="1"/>
      <c r="AF6093" s="1"/>
      <c r="AG6093" s="1"/>
    </row>
    <row r="6094" ht="15.75" customHeight="1">
      <c r="A6094" s="1"/>
      <c r="B6094" s="1"/>
      <c r="C6094" s="1"/>
      <c r="D6094" s="1"/>
      <c r="E6094" s="1"/>
      <c r="F6094" s="1"/>
      <c r="G6094" s="1"/>
      <c r="H6094" s="1"/>
      <c r="I6094" s="1"/>
      <c r="J6094" s="1"/>
      <c r="K6094" s="102" t="s">
        <v>1485</v>
      </c>
      <c r="L6094" s="102" t="str">
        <f t="shared" si="136"/>
        <v>J2a1a1a2b1b3a2~</v>
      </c>
      <c r="M6094" s="102"/>
      <c r="N6094" s="1" t="s">
        <v>9564</v>
      </c>
      <c r="O6094" s="114">
        <v>8374424.0</v>
      </c>
      <c r="P6094" s="118">
        <v>8506383.0</v>
      </c>
      <c r="Q6094" s="102" t="s">
        <v>2533</v>
      </c>
      <c r="S6094" s="1"/>
      <c r="T6094" s="1"/>
      <c r="U6094" s="1"/>
      <c r="V6094" s="1"/>
      <c r="W6094" s="1"/>
      <c r="X6094" s="1"/>
      <c r="Y6094" s="1"/>
      <c r="AA6094" s="102"/>
      <c r="AB6094" s="1"/>
      <c r="AC6094" s="1"/>
      <c r="AD6094" s="1"/>
      <c r="AE6094" s="1"/>
      <c r="AF6094" s="1"/>
      <c r="AG6094" s="1"/>
    </row>
    <row r="6095" ht="15.75" customHeight="1">
      <c r="A6095" s="1"/>
      <c r="B6095" s="1"/>
      <c r="C6095" s="1"/>
      <c r="D6095" s="1"/>
      <c r="E6095" s="1"/>
      <c r="F6095" s="1"/>
      <c r="G6095" s="1"/>
      <c r="H6095" s="1"/>
      <c r="I6095" s="1"/>
      <c r="J6095" s="1"/>
      <c r="K6095" s="102" t="s">
        <v>9565</v>
      </c>
      <c r="L6095" s="102" t="str">
        <f>O760</f>
        <v>J2a1a1a2b1b3a2a~</v>
      </c>
      <c r="M6095" s="102" t="s">
        <v>9566</v>
      </c>
      <c r="N6095" s="1" t="s">
        <v>9567</v>
      </c>
      <c r="O6095" s="114">
        <v>1.4770157E7</v>
      </c>
      <c r="P6095" s="105">
        <v>1.2658226E7</v>
      </c>
      <c r="Q6095" s="102" t="s">
        <v>2501</v>
      </c>
      <c r="S6095" s="1"/>
      <c r="T6095" s="1"/>
      <c r="U6095" s="1"/>
      <c r="V6095" s="1"/>
      <c r="W6095" s="1"/>
      <c r="X6095" s="1"/>
      <c r="Y6095" s="1"/>
      <c r="AA6095" s="102"/>
      <c r="AB6095" s="1"/>
      <c r="AC6095" s="1"/>
      <c r="AD6095" s="1"/>
      <c r="AE6095" s="1"/>
      <c r="AF6095" s="1"/>
      <c r="AG6095" s="1"/>
    </row>
    <row r="6096" ht="15.75" customHeight="1">
      <c r="A6096" s="1"/>
      <c r="B6096" s="1"/>
      <c r="C6096" s="1"/>
      <c r="D6096" s="1"/>
      <c r="E6096" s="1"/>
      <c r="F6096" s="1"/>
      <c r="G6096" s="1"/>
      <c r="H6096" s="1"/>
      <c r="I6096" s="1"/>
      <c r="J6096" s="1"/>
      <c r="K6096" s="106" t="s">
        <v>9566</v>
      </c>
      <c r="L6096" s="102" t="str">
        <f>O760</f>
        <v>J2a1a1a2b1b3a2a~</v>
      </c>
      <c r="M6096" s="106" t="s">
        <v>9565</v>
      </c>
      <c r="N6096" s="1" t="s">
        <v>9567</v>
      </c>
      <c r="O6096" s="114">
        <v>1.4770157E7</v>
      </c>
      <c r="P6096" s="105">
        <v>1.2658226E7</v>
      </c>
      <c r="Q6096" s="102" t="s">
        <v>2501</v>
      </c>
      <c r="S6096" s="1"/>
      <c r="T6096" s="1"/>
      <c r="U6096" s="1"/>
      <c r="V6096" s="1"/>
      <c r="W6096" s="1"/>
      <c r="X6096" s="1"/>
      <c r="Y6096" s="1"/>
      <c r="AA6096" s="102"/>
      <c r="AB6096" s="1"/>
      <c r="AC6096" s="1"/>
      <c r="AD6096" s="1"/>
      <c r="AE6096" s="1"/>
      <c r="AF6096" s="1"/>
      <c r="AG6096" s="1"/>
    </row>
    <row r="6097" ht="15.75" customHeight="1">
      <c r="A6097" s="1"/>
      <c r="B6097" s="1"/>
      <c r="C6097" s="1"/>
      <c r="D6097" s="1"/>
      <c r="E6097" s="1"/>
      <c r="F6097" s="1"/>
      <c r="G6097" s="1"/>
      <c r="H6097" s="1"/>
      <c r="I6097" s="1"/>
      <c r="J6097" s="1"/>
      <c r="K6097" s="102" t="s">
        <v>9568</v>
      </c>
      <c r="L6097" s="102" t="str">
        <f>P761</f>
        <v>J2a1a1a2b1b3a2a1~</v>
      </c>
      <c r="M6097" s="102" t="s">
        <v>9569</v>
      </c>
      <c r="N6097" s="1" t="s">
        <v>9570</v>
      </c>
      <c r="O6097" s="114">
        <v>2.332221E7</v>
      </c>
      <c r="P6097" s="105">
        <v>2.1160324E7</v>
      </c>
      <c r="Q6097" s="102" t="s">
        <v>2439</v>
      </c>
      <c r="S6097" s="1"/>
      <c r="T6097" s="1"/>
      <c r="U6097" s="1"/>
      <c r="V6097" s="1"/>
      <c r="W6097" s="1"/>
      <c r="X6097" s="1"/>
      <c r="Y6097" s="1"/>
      <c r="AA6097" s="102"/>
      <c r="AB6097" s="1"/>
      <c r="AC6097" s="1"/>
      <c r="AD6097" s="1"/>
      <c r="AE6097" s="1"/>
      <c r="AF6097" s="1"/>
      <c r="AG6097" s="1"/>
    </row>
    <row r="6098" ht="15.75" customHeight="1">
      <c r="A6098" s="1"/>
      <c r="B6098" s="1"/>
      <c r="C6098" s="1"/>
      <c r="D6098" s="1"/>
      <c r="E6098" s="1"/>
      <c r="F6098" s="1"/>
      <c r="G6098" s="1"/>
      <c r="H6098" s="1"/>
      <c r="I6098" s="1"/>
      <c r="J6098" s="1"/>
      <c r="K6098" s="106" t="s">
        <v>9569</v>
      </c>
      <c r="L6098" s="102" t="str">
        <f>P761</f>
        <v>J2a1a1a2b1b3a2a1~</v>
      </c>
      <c r="M6098" s="106" t="s">
        <v>9568</v>
      </c>
      <c r="N6098" s="1" t="s">
        <v>9570</v>
      </c>
      <c r="O6098" s="114">
        <v>2.332221E7</v>
      </c>
      <c r="P6098" s="105">
        <v>2.1160324E7</v>
      </c>
      <c r="Q6098" s="102" t="s">
        <v>2439</v>
      </c>
      <c r="S6098" s="1"/>
      <c r="T6098" s="1"/>
      <c r="U6098" s="1"/>
      <c r="V6098" s="1"/>
      <c r="W6098" s="1"/>
      <c r="X6098" s="1"/>
      <c r="Y6098" s="1"/>
      <c r="AA6098" s="102"/>
      <c r="AB6098" s="1"/>
      <c r="AC6098" s="1"/>
      <c r="AD6098" s="1"/>
      <c r="AE6098" s="1"/>
      <c r="AF6098" s="1"/>
      <c r="AG6098" s="1"/>
    </row>
    <row r="6099" ht="15.75" customHeight="1">
      <c r="A6099" s="1"/>
      <c r="B6099" s="1"/>
      <c r="C6099" s="1"/>
      <c r="D6099" s="1"/>
      <c r="E6099" s="1"/>
      <c r="F6099" s="1"/>
      <c r="G6099" s="1"/>
      <c r="H6099" s="1"/>
      <c r="I6099" s="1"/>
      <c r="J6099" s="1"/>
      <c r="K6099" s="102" t="s">
        <v>9571</v>
      </c>
      <c r="L6099" s="102" t="str">
        <f>Q762</f>
        <v>J2a1a1a2b1b3a2a1a~</v>
      </c>
      <c r="M6099" s="102" t="s">
        <v>9572</v>
      </c>
      <c r="N6099" s="1" t="s">
        <v>9573</v>
      </c>
      <c r="O6099" s="114">
        <v>8533570.0</v>
      </c>
      <c r="P6099" s="105">
        <v>8665529.0</v>
      </c>
      <c r="Q6099" s="102" t="s">
        <v>2468</v>
      </c>
      <c r="S6099" s="1"/>
      <c r="T6099" s="1"/>
      <c r="U6099" s="1"/>
      <c r="V6099" s="1"/>
      <c r="W6099" s="1"/>
      <c r="X6099" s="1"/>
      <c r="Y6099" s="1"/>
      <c r="AA6099" s="102"/>
      <c r="AB6099" s="1"/>
      <c r="AC6099" s="1"/>
      <c r="AD6099" s="1"/>
      <c r="AE6099" s="1"/>
      <c r="AF6099" s="1"/>
      <c r="AG6099" s="1"/>
    </row>
    <row r="6100" ht="15.75" customHeight="1">
      <c r="A6100" s="1"/>
      <c r="B6100" s="1"/>
      <c r="C6100" s="1"/>
      <c r="D6100" s="1"/>
      <c r="E6100" s="1"/>
      <c r="F6100" s="1"/>
      <c r="G6100" s="1"/>
      <c r="H6100" s="1"/>
      <c r="I6100" s="1"/>
      <c r="J6100" s="1"/>
      <c r="K6100" s="106" t="s">
        <v>9572</v>
      </c>
      <c r="L6100" s="102" t="str">
        <f>Q762</f>
        <v>J2a1a1a2b1b3a2a1a~</v>
      </c>
      <c r="M6100" s="106" t="s">
        <v>9571</v>
      </c>
      <c r="N6100" s="1" t="s">
        <v>9573</v>
      </c>
      <c r="O6100" s="114">
        <v>8533570.0</v>
      </c>
      <c r="P6100" s="105">
        <v>8665529.0</v>
      </c>
      <c r="Q6100" s="102" t="s">
        <v>2468</v>
      </c>
      <c r="S6100" s="1"/>
      <c r="T6100" s="1"/>
      <c r="U6100" s="1"/>
      <c r="V6100" s="1"/>
      <c r="W6100" s="1"/>
      <c r="X6100" s="1"/>
      <c r="Y6100" s="1"/>
      <c r="AA6100" s="102"/>
      <c r="AB6100" s="1"/>
      <c r="AC6100" s="1"/>
      <c r="AD6100" s="1"/>
      <c r="AE6100" s="1"/>
      <c r="AF6100" s="1"/>
      <c r="AG6100" s="1"/>
    </row>
    <row r="6101" ht="15.75" customHeight="1">
      <c r="A6101" s="1"/>
      <c r="B6101" s="1"/>
      <c r="C6101" s="1"/>
      <c r="D6101" s="1"/>
      <c r="E6101" s="1"/>
      <c r="F6101" s="1"/>
      <c r="G6101" s="1"/>
      <c r="H6101" s="1"/>
      <c r="I6101" s="1"/>
      <c r="J6101" s="1"/>
      <c r="K6101" s="102" t="s">
        <v>1493</v>
      </c>
      <c r="L6101" s="102" t="str">
        <f t="shared" ref="L6101:L6102" si="137">R763</f>
        <v>J2a1a1a2b1b3a2a1a1~</v>
      </c>
      <c r="M6101" s="102"/>
      <c r="N6101" s="1"/>
      <c r="O6101" s="114">
        <v>1.7150723E7</v>
      </c>
      <c r="P6101" s="105">
        <v>1.5038843E7</v>
      </c>
      <c r="Q6101" s="102" t="s">
        <v>2432</v>
      </c>
      <c r="S6101" s="1"/>
      <c r="T6101" s="1"/>
      <c r="U6101" s="1"/>
      <c r="V6101" s="1"/>
      <c r="W6101" s="1"/>
      <c r="X6101" s="1"/>
      <c r="Y6101" s="1"/>
      <c r="AA6101" s="102"/>
      <c r="AB6101" s="1"/>
      <c r="AC6101" s="1"/>
      <c r="AD6101" s="1"/>
      <c r="AE6101" s="1"/>
      <c r="AF6101" s="1"/>
      <c r="AG6101" s="1"/>
    </row>
    <row r="6102" ht="15.75" customHeight="1">
      <c r="A6102" s="1"/>
      <c r="B6102" s="1"/>
      <c r="C6102" s="1"/>
      <c r="D6102" s="1"/>
      <c r="E6102" s="1"/>
      <c r="F6102" s="1"/>
      <c r="G6102" s="1"/>
      <c r="H6102" s="1"/>
      <c r="I6102" s="1"/>
      <c r="J6102" s="1"/>
      <c r="K6102" s="102" t="s">
        <v>9574</v>
      </c>
      <c r="L6102" s="102" t="str">
        <f t="shared" si="137"/>
        <v>J2a1a1a2b1b3a2a1a2~</v>
      </c>
      <c r="M6102" s="102" t="s">
        <v>9575</v>
      </c>
      <c r="N6102" s="1" t="s">
        <v>9576</v>
      </c>
      <c r="O6102" s="114">
        <v>7329534.0</v>
      </c>
      <c r="P6102" s="105">
        <v>7461493.0</v>
      </c>
      <c r="Q6102" s="102" t="s">
        <v>2439</v>
      </c>
      <c r="S6102" s="1"/>
      <c r="T6102" s="1"/>
      <c r="U6102" s="1"/>
      <c r="V6102" s="1"/>
      <c r="W6102" s="1"/>
      <c r="X6102" s="1"/>
      <c r="Y6102" s="1"/>
      <c r="AA6102" s="102"/>
      <c r="AB6102" s="1"/>
      <c r="AC6102" s="1"/>
      <c r="AD6102" s="1"/>
      <c r="AE6102" s="1"/>
      <c r="AF6102" s="1"/>
      <c r="AG6102" s="1"/>
    </row>
    <row r="6103" ht="15.75" customHeight="1">
      <c r="A6103" s="1"/>
      <c r="B6103" s="1"/>
      <c r="C6103" s="1"/>
      <c r="D6103" s="1"/>
      <c r="E6103" s="1"/>
      <c r="F6103" s="1"/>
      <c r="G6103" s="1"/>
      <c r="H6103" s="1"/>
      <c r="I6103" s="1"/>
      <c r="J6103" s="1"/>
      <c r="K6103" s="106" t="s">
        <v>9575</v>
      </c>
      <c r="L6103" s="102" t="str">
        <f>R764</f>
        <v>J2a1a1a2b1b3a2a1a2~</v>
      </c>
      <c r="M6103" s="106" t="s">
        <v>9574</v>
      </c>
      <c r="N6103" s="1" t="s">
        <v>9576</v>
      </c>
      <c r="O6103" s="114">
        <v>7329534.0</v>
      </c>
      <c r="P6103" s="105">
        <v>7461493.0</v>
      </c>
      <c r="Q6103" s="102" t="s">
        <v>2439</v>
      </c>
      <c r="S6103" s="1"/>
      <c r="T6103" s="1"/>
      <c r="U6103" s="1"/>
      <c r="V6103" s="1"/>
      <c r="W6103" s="1"/>
      <c r="X6103" s="1"/>
      <c r="Y6103" s="1"/>
      <c r="AA6103" s="102"/>
      <c r="AB6103" s="1"/>
      <c r="AC6103" s="1"/>
      <c r="AD6103" s="1"/>
      <c r="AE6103" s="1"/>
      <c r="AF6103" s="1"/>
      <c r="AG6103" s="1"/>
    </row>
    <row r="6104" ht="15.75" customHeight="1">
      <c r="A6104" s="1"/>
      <c r="B6104" s="1"/>
      <c r="C6104" s="1"/>
      <c r="D6104" s="1"/>
      <c r="E6104" s="1"/>
      <c r="F6104" s="1"/>
      <c r="G6104" s="1"/>
      <c r="H6104" s="1"/>
      <c r="I6104" s="1"/>
      <c r="J6104" s="1"/>
      <c r="K6104" s="102" t="s">
        <v>1497</v>
      </c>
      <c r="L6104" s="102" t="str">
        <f>S765</f>
        <v>J2a1a1a2b1b3a2a1a2a~</v>
      </c>
      <c r="M6104" s="102"/>
      <c r="N6104" s="1"/>
      <c r="O6104" s="114">
        <v>8784079.0</v>
      </c>
      <c r="P6104" s="105">
        <v>8916038.0</v>
      </c>
      <c r="Q6104" s="102" t="s">
        <v>2439</v>
      </c>
      <c r="S6104" s="1"/>
      <c r="T6104" s="1"/>
      <c r="U6104" s="1"/>
      <c r="V6104" s="1"/>
      <c r="W6104" s="1"/>
      <c r="X6104" s="1"/>
      <c r="Y6104" s="1"/>
      <c r="AA6104" s="102"/>
      <c r="AB6104" s="1"/>
      <c r="AC6104" s="1"/>
      <c r="AD6104" s="1"/>
      <c r="AE6104" s="1"/>
      <c r="AF6104" s="1"/>
      <c r="AG6104" s="1"/>
    </row>
    <row r="6105" ht="15.75" customHeight="1">
      <c r="A6105" s="1"/>
      <c r="B6105" s="1"/>
      <c r="C6105" s="1"/>
      <c r="D6105" s="1"/>
      <c r="E6105" s="1"/>
      <c r="F6105" s="1"/>
      <c r="G6105" s="1"/>
      <c r="H6105" s="1"/>
      <c r="I6105" s="1"/>
      <c r="J6105" s="1"/>
      <c r="K6105" s="102" t="s">
        <v>1499</v>
      </c>
      <c r="L6105" s="102" t="str">
        <f>Q766</f>
        <v>J2a1a1a2b1b3a2a1b~</v>
      </c>
      <c r="M6105" s="102"/>
      <c r="N6105" s="1"/>
      <c r="O6105" s="114">
        <v>1.7596132E7</v>
      </c>
      <c r="P6105" s="105">
        <v>1.5484252E7</v>
      </c>
      <c r="Q6105" s="102" t="s">
        <v>2468</v>
      </c>
      <c r="S6105" s="1"/>
      <c r="T6105" s="1"/>
      <c r="U6105" s="1"/>
      <c r="V6105" s="1"/>
      <c r="W6105" s="1"/>
      <c r="X6105" s="1"/>
      <c r="Y6105" s="1"/>
      <c r="AA6105" s="102"/>
      <c r="AB6105" s="1"/>
      <c r="AC6105" s="1"/>
      <c r="AD6105" s="1"/>
      <c r="AE6105" s="1"/>
      <c r="AF6105" s="1"/>
      <c r="AG6105" s="1"/>
    </row>
    <row r="6106" ht="15.75" customHeight="1">
      <c r="A6106" s="1"/>
      <c r="B6106" s="1"/>
      <c r="C6106" s="1"/>
      <c r="D6106" s="1"/>
      <c r="E6106" s="1"/>
      <c r="F6106" s="1"/>
      <c r="G6106" s="1"/>
      <c r="H6106" s="1"/>
      <c r="I6106" s="1"/>
      <c r="J6106" s="1"/>
      <c r="K6106" s="102" t="s">
        <v>1501</v>
      </c>
      <c r="L6106" s="102" t="str">
        <f>L767</f>
        <v>J2a1a1a2b1b4~</v>
      </c>
      <c r="M6106" s="102"/>
      <c r="N6106" s="1" t="s">
        <v>9577</v>
      </c>
      <c r="O6106" s="114">
        <v>1.9528866E7</v>
      </c>
      <c r="P6106" s="105">
        <v>1.7416986E7</v>
      </c>
      <c r="Q6106" s="102" t="s">
        <v>2446</v>
      </c>
      <c r="S6106" s="1"/>
      <c r="T6106" s="1"/>
      <c r="U6106" s="1"/>
      <c r="V6106" s="1"/>
      <c r="W6106" s="1"/>
      <c r="X6106" s="1"/>
      <c r="Y6106" s="1"/>
      <c r="AA6106" s="102"/>
      <c r="AB6106" s="1"/>
      <c r="AC6106" s="1"/>
      <c r="AD6106" s="1"/>
      <c r="AE6106" s="1"/>
      <c r="AF6106" s="1"/>
      <c r="AG6106" s="1"/>
    </row>
    <row r="6107" ht="15.75" customHeight="1">
      <c r="A6107" s="1"/>
      <c r="B6107" s="1"/>
      <c r="C6107" s="1"/>
      <c r="D6107" s="1"/>
      <c r="E6107" s="1"/>
      <c r="F6107" s="1"/>
      <c r="G6107" s="1"/>
      <c r="H6107" s="1"/>
      <c r="I6107" s="1"/>
      <c r="J6107" s="1"/>
      <c r="K6107" s="102" t="s">
        <v>1503</v>
      </c>
      <c r="L6107" s="102" t="str">
        <f>M768</f>
        <v>J2a1a1a2b1b4a~</v>
      </c>
      <c r="M6107" s="102"/>
      <c r="N6107" s="1" t="s">
        <v>9578</v>
      </c>
      <c r="O6107" s="114">
        <v>1.4824169E7</v>
      </c>
      <c r="P6107" s="105">
        <v>1.2712236E7</v>
      </c>
      <c r="Q6107" s="102" t="s">
        <v>2529</v>
      </c>
      <c r="S6107" s="1"/>
      <c r="T6107" s="1"/>
      <c r="U6107" s="1"/>
      <c r="V6107" s="1"/>
      <c r="W6107" s="1"/>
      <c r="X6107" s="1"/>
      <c r="Y6107" s="1"/>
      <c r="AA6107" s="102"/>
      <c r="AB6107" s="1"/>
      <c r="AC6107" s="1"/>
      <c r="AD6107" s="1"/>
      <c r="AE6107" s="1"/>
      <c r="AF6107" s="1"/>
      <c r="AG6107" s="1"/>
    </row>
    <row r="6108" ht="15.75" customHeight="1">
      <c r="A6108" s="1"/>
      <c r="B6108" s="1"/>
      <c r="C6108" s="1"/>
      <c r="D6108" s="1"/>
      <c r="E6108" s="1"/>
      <c r="F6108" s="1"/>
      <c r="G6108" s="1"/>
      <c r="H6108" s="1"/>
      <c r="I6108" s="1"/>
      <c r="J6108" s="1"/>
      <c r="K6108" s="102" t="s">
        <v>1505</v>
      </c>
      <c r="L6108" s="102" t="str">
        <f>N769</f>
        <v>J2a1a1a2b1b4a1~</v>
      </c>
      <c r="M6108" s="102"/>
      <c r="N6108" s="1" t="s">
        <v>9579</v>
      </c>
      <c r="O6108" s="114">
        <v>1.86029E7</v>
      </c>
      <c r="P6108" s="105">
        <v>1.649102E7</v>
      </c>
      <c r="Q6108" s="102" t="s">
        <v>2439</v>
      </c>
      <c r="S6108" s="1"/>
      <c r="T6108" s="1"/>
      <c r="U6108" s="1"/>
      <c r="V6108" s="1"/>
      <c r="W6108" s="1"/>
      <c r="X6108" s="1"/>
      <c r="Y6108" s="1"/>
      <c r="AA6108" s="102"/>
      <c r="AB6108" s="1"/>
      <c r="AC6108" s="1"/>
      <c r="AD6108" s="1"/>
      <c r="AE6108" s="1"/>
      <c r="AF6108" s="1"/>
      <c r="AG6108" s="1"/>
    </row>
    <row r="6109" ht="15.75" customHeight="1">
      <c r="A6109" s="1"/>
      <c r="B6109" s="1"/>
      <c r="C6109" s="1"/>
      <c r="D6109" s="1"/>
      <c r="E6109" s="1"/>
      <c r="F6109" s="1"/>
      <c r="G6109" s="1"/>
      <c r="H6109" s="1"/>
      <c r="I6109" s="1"/>
      <c r="J6109" s="1"/>
      <c r="K6109" s="102" t="s">
        <v>1507</v>
      </c>
      <c r="L6109" s="102" t="str">
        <f>O770</f>
        <v>J2a1a1a2b1b4a1a~</v>
      </c>
      <c r="M6109" s="102"/>
      <c r="N6109" s="1"/>
      <c r="O6109" s="114">
        <v>1.6717108E7</v>
      </c>
      <c r="P6109" s="105">
        <v>1.4605228E7</v>
      </c>
      <c r="Q6109" s="102" t="s">
        <v>2514</v>
      </c>
      <c r="S6109" s="1"/>
      <c r="T6109" s="1"/>
      <c r="U6109" s="1"/>
      <c r="V6109" s="1"/>
      <c r="W6109" s="1"/>
      <c r="X6109" s="1"/>
      <c r="Y6109" s="1"/>
      <c r="AA6109" s="102"/>
      <c r="AB6109" s="1"/>
      <c r="AC6109" s="1"/>
      <c r="AD6109" s="1"/>
      <c r="AE6109" s="1"/>
      <c r="AF6109" s="1"/>
      <c r="AG6109" s="1"/>
    </row>
    <row r="6110" ht="15.75" customHeight="1">
      <c r="A6110" s="1"/>
      <c r="B6110" s="1"/>
      <c r="C6110" s="1"/>
      <c r="D6110" s="1"/>
      <c r="E6110" s="1"/>
      <c r="F6110" s="1"/>
      <c r="G6110" s="1"/>
      <c r="H6110" s="1"/>
      <c r="I6110" s="1"/>
      <c r="J6110" s="1"/>
      <c r="K6110" s="102" t="s">
        <v>1509</v>
      </c>
      <c r="L6110" s="102" t="str">
        <f t="shared" ref="L6110:L6111" si="138">P771</f>
        <v>J2a1a1a2b1b4a1a1~</v>
      </c>
      <c r="M6110" s="102"/>
      <c r="N6110" s="1"/>
      <c r="O6110" s="114">
        <v>1.6903874E7</v>
      </c>
      <c r="P6110" s="105">
        <v>1.4791994E7</v>
      </c>
      <c r="Q6110" s="102" t="s">
        <v>2576</v>
      </c>
      <c r="S6110" s="1"/>
      <c r="T6110" s="1"/>
      <c r="U6110" s="1"/>
      <c r="V6110" s="1"/>
      <c r="W6110" s="1"/>
      <c r="X6110" s="1"/>
      <c r="Y6110" s="1"/>
      <c r="AA6110" s="102"/>
      <c r="AB6110" s="1"/>
      <c r="AC6110" s="1"/>
      <c r="AD6110" s="1"/>
      <c r="AE6110" s="1"/>
      <c r="AF6110" s="1"/>
      <c r="AG6110" s="1"/>
    </row>
    <row r="6111" ht="15.75" customHeight="1">
      <c r="A6111" s="1"/>
      <c r="B6111" s="1"/>
      <c r="C6111" s="1"/>
      <c r="D6111" s="1"/>
      <c r="E6111" s="1"/>
      <c r="F6111" s="1"/>
      <c r="G6111" s="1"/>
      <c r="H6111" s="1"/>
      <c r="I6111" s="1"/>
      <c r="J6111" s="1"/>
      <c r="K6111" s="102" t="s">
        <v>1511</v>
      </c>
      <c r="L6111" s="102" t="str">
        <f t="shared" si="138"/>
        <v>J2a1a1a2b1b4a1a2~</v>
      </c>
      <c r="M6111" s="102"/>
      <c r="N6111" s="1"/>
      <c r="O6111" s="114">
        <v>2.2120527E7</v>
      </c>
      <c r="P6111" s="105">
        <v>1.9958641E7</v>
      </c>
      <c r="Q6111" s="102" t="s">
        <v>2468</v>
      </c>
      <c r="S6111" s="1"/>
      <c r="T6111" s="1"/>
      <c r="U6111" s="1"/>
      <c r="V6111" s="1"/>
      <c r="W6111" s="1"/>
      <c r="X6111" s="1"/>
      <c r="Y6111" s="1"/>
      <c r="AA6111" s="102"/>
      <c r="AB6111" s="1"/>
      <c r="AC6111" s="1"/>
      <c r="AD6111" s="1"/>
      <c r="AE6111" s="1"/>
      <c r="AF6111" s="1"/>
      <c r="AG6111" s="1"/>
    </row>
    <row r="6112" ht="15.75" customHeight="1">
      <c r="A6112" s="1"/>
      <c r="B6112" s="1"/>
      <c r="C6112" s="1"/>
      <c r="D6112" s="1"/>
      <c r="E6112" s="1"/>
      <c r="F6112" s="1"/>
      <c r="G6112" s="1"/>
      <c r="H6112" s="1"/>
      <c r="I6112" s="1"/>
      <c r="J6112" s="1"/>
      <c r="K6112" s="102" t="s">
        <v>9580</v>
      </c>
      <c r="L6112" s="102" t="str">
        <f>J773</f>
        <v>J2a1a1a2b2</v>
      </c>
      <c r="M6112" s="102" t="s">
        <v>9581</v>
      </c>
      <c r="N6112" s="102" t="s">
        <v>9582</v>
      </c>
      <c r="O6112" s="105">
        <v>2.1878809E7</v>
      </c>
      <c r="P6112" s="105">
        <v>1.9716923E7</v>
      </c>
      <c r="Q6112" s="102" t="s">
        <v>2432</v>
      </c>
      <c r="S6112" s="1"/>
      <c r="T6112" s="1"/>
      <c r="U6112" s="1"/>
      <c r="V6112" s="1"/>
      <c r="W6112" s="1"/>
      <c r="X6112" s="1"/>
      <c r="Y6112" s="1"/>
      <c r="AA6112" s="102"/>
      <c r="AB6112" s="1"/>
      <c r="AC6112" s="1"/>
      <c r="AD6112" s="1"/>
      <c r="AE6112" s="1"/>
      <c r="AF6112" s="1"/>
      <c r="AG6112" s="1"/>
    </row>
    <row r="6113" ht="15.75" customHeight="1">
      <c r="A6113" s="1"/>
      <c r="B6113" s="1"/>
      <c r="C6113" s="1"/>
      <c r="D6113" s="1"/>
      <c r="E6113" s="1"/>
      <c r="F6113" s="1"/>
      <c r="G6113" s="1"/>
      <c r="H6113" s="1"/>
      <c r="I6113" s="1"/>
      <c r="J6113" s="1"/>
      <c r="K6113" s="102" t="s">
        <v>9583</v>
      </c>
      <c r="L6113" s="102" t="str">
        <f>J773</f>
        <v>J2a1a1a2b2</v>
      </c>
      <c r="M6113" s="102" t="s">
        <v>9584</v>
      </c>
      <c r="N6113" s="102" t="s">
        <v>9582</v>
      </c>
      <c r="O6113" s="105">
        <v>2.1878809E7</v>
      </c>
      <c r="P6113" s="105">
        <v>1.9716923E7</v>
      </c>
      <c r="Q6113" s="102" t="s">
        <v>2432</v>
      </c>
      <c r="T6113" s="1"/>
      <c r="U6113" s="1"/>
      <c r="V6113" s="1"/>
      <c r="W6113" s="1"/>
      <c r="X6113" s="1"/>
      <c r="Y6113" s="1"/>
      <c r="AA6113" s="102"/>
      <c r="AB6113" s="1"/>
      <c r="AC6113" s="1"/>
      <c r="AD6113" s="1"/>
      <c r="AE6113" s="1"/>
      <c r="AF6113" s="1"/>
      <c r="AG6113" s="1"/>
    </row>
    <row r="6114" ht="15.75" customHeight="1">
      <c r="A6114" s="1"/>
      <c r="B6114" s="1"/>
      <c r="C6114" s="1"/>
      <c r="D6114" s="1"/>
      <c r="E6114" s="1"/>
      <c r="F6114" s="1"/>
      <c r="G6114" s="1"/>
      <c r="H6114" s="1"/>
      <c r="I6114" s="1"/>
      <c r="J6114" s="1"/>
      <c r="K6114" s="102" t="s">
        <v>9585</v>
      </c>
      <c r="L6114" s="102" t="str">
        <f>J773</f>
        <v>J2a1a1a2b2</v>
      </c>
      <c r="M6114" s="102" t="s">
        <v>9586</v>
      </c>
      <c r="N6114" s="102" t="s">
        <v>9582</v>
      </c>
      <c r="O6114" s="105">
        <v>2.1878809E7</v>
      </c>
      <c r="P6114" s="105">
        <v>1.9716923E7</v>
      </c>
      <c r="Q6114" s="102" t="s">
        <v>2432</v>
      </c>
      <c r="T6114" s="1"/>
      <c r="U6114" s="1"/>
      <c r="V6114" s="1"/>
      <c r="W6114" s="1"/>
      <c r="X6114" s="1"/>
      <c r="Y6114" s="1"/>
      <c r="AA6114" s="102"/>
      <c r="AB6114" s="1"/>
      <c r="AC6114" s="1"/>
      <c r="AD6114" s="1"/>
      <c r="AE6114" s="1"/>
      <c r="AF6114" s="1"/>
      <c r="AG6114" s="1"/>
    </row>
    <row r="6115" ht="15.75" customHeight="1">
      <c r="A6115" s="1"/>
      <c r="B6115" s="1"/>
      <c r="C6115" s="1"/>
      <c r="D6115" s="1"/>
      <c r="E6115" s="1"/>
      <c r="F6115" s="1"/>
      <c r="G6115" s="1"/>
      <c r="H6115" s="1"/>
      <c r="I6115" s="1"/>
      <c r="J6115" s="1"/>
      <c r="K6115" s="119" t="s">
        <v>9587</v>
      </c>
      <c r="L6115" s="102" t="str">
        <f>J773</f>
        <v>J2a1a1a2b2</v>
      </c>
      <c r="M6115" s="119" t="s">
        <v>9588</v>
      </c>
      <c r="N6115" s="1" t="s">
        <v>9589</v>
      </c>
      <c r="O6115" s="114">
        <v>1.6347992E7</v>
      </c>
      <c r="P6115" s="105">
        <v>1.4236112E7</v>
      </c>
      <c r="Q6115" s="102" t="s">
        <v>2446</v>
      </c>
      <c r="T6115" s="1"/>
      <c r="U6115" s="1"/>
      <c r="V6115" s="1"/>
      <c r="W6115" s="1"/>
      <c r="X6115" s="1"/>
      <c r="Y6115" s="1"/>
      <c r="AA6115" s="102"/>
      <c r="AB6115" s="1"/>
      <c r="AC6115" s="1"/>
      <c r="AD6115" s="1"/>
      <c r="AE6115" s="1"/>
      <c r="AF6115" s="1"/>
      <c r="AG6115" s="1"/>
    </row>
    <row r="6116" ht="15.75" customHeight="1">
      <c r="A6116" s="1"/>
      <c r="B6116" s="1"/>
      <c r="C6116" s="1"/>
      <c r="D6116" s="1"/>
      <c r="E6116" s="1"/>
      <c r="F6116" s="1"/>
      <c r="G6116" s="1"/>
      <c r="H6116" s="1"/>
      <c r="I6116" s="1"/>
      <c r="J6116" s="1"/>
      <c r="K6116" s="106" t="s">
        <v>9590</v>
      </c>
      <c r="L6116" s="102" t="str">
        <f>J773</f>
        <v>J2a1a1a2b2</v>
      </c>
      <c r="M6116" s="106" t="s">
        <v>9591</v>
      </c>
      <c r="N6116" s="1" t="s">
        <v>9589</v>
      </c>
      <c r="O6116" s="114">
        <v>1.6347992E7</v>
      </c>
      <c r="P6116" s="105">
        <v>1.4236112E7</v>
      </c>
      <c r="Q6116" s="102" t="s">
        <v>2446</v>
      </c>
      <c r="T6116" s="1"/>
      <c r="U6116" s="1"/>
      <c r="V6116" s="1"/>
      <c r="W6116" s="1"/>
      <c r="X6116" s="1"/>
      <c r="Y6116" s="1"/>
      <c r="AA6116" s="102"/>
      <c r="AB6116" s="1"/>
      <c r="AC6116" s="1"/>
      <c r="AD6116" s="1"/>
      <c r="AE6116" s="1"/>
      <c r="AF6116" s="1"/>
      <c r="AG6116" s="1"/>
    </row>
    <row r="6117" ht="15.75" customHeight="1">
      <c r="A6117" s="1"/>
      <c r="B6117" s="1"/>
      <c r="C6117" s="1"/>
      <c r="D6117" s="1"/>
      <c r="E6117" s="1"/>
      <c r="F6117" s="1"/>
      <c r="G6117" s="1"/>
      <c r="H6117" s="1"/>
      <c r="I6117" s="1"/>
      <c r="J6117" s="1"/>
      <c r="K6117" s="106" t="s">
        <v>9592</v>
      </c>
      <c r="L6117" s="102" t="str">
        <f>J773</f>
        <v>J2a1a1a2b2</v>
      </c>
      <c r="M6117" s="106" t="s">
        <v>9593</v>
      </c>
      <c r="N6117" s="1" t="s">
        <v>9589</v>
      </c>
      <c r="O6117" s="114">
        <v>1.6347992E7</v>
      </c>
      <c r="P6117" s="105">
        <v>1.4236112E7</v>
      </c>
      <c r="Q6117" s="102" t="s">
        <v>2446</v>
      </c>
      <c r="T6117" s="1"/>
      <c r="U6117" s="1"/>
      <c r="V6117" s="1"/>
      <c r="W6117" s="1"/>
      <c r="X6117" s="1"/>
      <c r="Y6117" s="1"/>
      <c r="AA6117" s="102"/>
      <c r="AB6117" s="1"/>
      <c r="AC6117" s="1"/>
      <c r="AD6117" s="1"/>
      <c r="AE6117" s="1"/>
      <c r="AF6117" s="1"/>
      <c r="AG6117" s="1"/>
    </row>
    <row r="6118" ht="15.75" customHeight="1">
      <c r="A6118" s="1"/>
      <c r="B6118" s="1"/>
      <c r="C6118" s="1"/>
      <c r="D6118" s="1"/>
      <c r="E6118" s="1"/>
      <c r="F6118" s="1"/>
      <c r="G6118" s="1"/>
      <c r="H6118" s="1"/>
      <c r="I6118" s="1"/>
      <c r="J6118" s="1"/>
      <c r="K6118" s="119" t="s">
        <v>9594</v>
      </c>
      <c r="L6118" s="102" t="str">
        <f>J773</f>
        <v>J2a1a1a2b2</v>
      </c>
      <c r="M6118" s="119" t="s">
        <v>9595</v>
      </c>
      <c r="N6118" s="1" t="s">
        <v>9596</v>
      </c>
      <c r="O6118" s="114">
        <v>1.6858642E7</v>
      </c>
      <c r="P6118" s="105">
        <v>1.4746762E7</v>
      </c>
      <c r="Q6118" s="102" t="s">
        <v>2501</v>
      </c>
      <c r="T6118" s="1"/>
      <c r="U6118" s="1"/>
      <c r="V6118" s="1"/>
      <c r="W6118" s="1"/>
      <c r="X6118" s="1"/>
      <c r="Y6118" s="1"/>
      <c r="AA6118" s="102"/>
      <c r="AB6118" s="1"/>
      <c r="AC6118" s="1"/>
      <c r="AD6118" s="1"/>
      <c r="AE6118" s="1"/>
      <c r="AF6118" s="1"/>
      <c r="AG6118" s="1"/>
    </row>
    <row r="6119" ht="15.75" customHeight="1">
      <c r="A6119" s="1"/>
      <c r="B6119" s="1"/>
      <c r="C6119" s="1"/>
      <c r="D6119" s="1"/>
      <c r="E6119" s="1"/>
      <c r="F6119" s="1"/>
      <c r="G6119" s="1"/>
      <c r="H6119" s="1"/>
      <c r="I6119" s="1"/>
      <c r="J6119" s="1"/>
      <c r="K6119" s="106" t="s">
        <v>9595</v>
      </c>
      <c r="L6119" s="102" t="str">
        <f>J773</f>
        <v>J2a1a1a2b2</v>
      </c>
      <c r="M6119" s="106" t="s">
        <v>9594</v>
      </c>
      <c r="N6119" s="1" t="s">
        <v>9596</v>
      </c>
      <c r="O6119" s="114">
        <v>1.6858642E7</v>
      </c>
      <c r="P6119" s="105">
        <v>1.4746762E7</v>
      </c>
      <c r="Q6119" s="102" t="s">
        <v>2501</v>
      </c>
      <c r="T6119" s="1"/>
      <c r="U6119" s="1"/>
      <c r="V6119" s="1"/>
      <c r="W6119" s="1"/>
      <c r="X6119" s="1"/>
      <c r="Y6119" s="1"/>
      <c r="AA6119" s="102"/>
      <c r="AB6119" s="1"/>
      <c r="AC6119" s="1"/>
      <c r="AD6119" s="1"/>
      <c r="AE6119" s="1"/>
      <c r="AF6119" s="1"/>
      <c r="AG6119" s="1"/>
    </row>
    <row r="6120" ht="15.75" customHeight="1">
      <c r="A6120" s="1"/>
      <c r="B6120" s="1"/>
      <c r="C6120" s="1"/>
      <c r="D6120" s="1"/>
      <c r="E6120" s="1"/>
      <c r="F6120" s="1"/>
      <c r="G6120" s="1"/>
      <c r="H6120" s="1"/>
      <c r="I6120" s="1"/>
      <c r="J6120" s="1"/>
      <c r="K6120" s="119" t="s">
        <v>9597</v>
      </c>
      <c r="L6120" s="102" t="str">
        <f>J773</f>
        <v>J2a1a1a2b2</v>
      </c>
      <c r="M6120" s="119" t="s">
        <v>9598</v>
      </c>
      <c r="N6120" s="1" t="s">
        <v>9599</v>
      </c>
      <c r="O6120" s="114">
        <v>2.1403841E7</v>
      </c>
      <c r="P6120" s="105">
        <v>1.9241955E7</v>
      </c>
      <c r="Q6120" s="102" t="s">
        <v>2529</v>
      </c>
      <c r="T6120" s="1"/>
      <c r="U6120" s="1"/>
      <c r="V6120" s="1"/>
      <c r="W6120" s="1"/>
      <c r="X6120" s="1"/>
      <c r="Y6120" s="1"/>
      <c r="AA6120" s="102"/>
      <c r="AB6120" s="1"/>
      <c r="AC6120" s="1"/>
      <c r="AD6120" s="1"/>
      <c r="AE6120" s="1"/>
      <c r="AF6120" s="1"/>
      <c r="AG6120" s="1"/>
    </row>
    <row r="6121" ht="15.75" customHeight="1">
      <c r="A6121" s="1"/>
      <c r="B6121" s="1"/>
      <c r="C6121" s="1"/>
      <c r="D6121" s="1"/>
      <c r="E6121" s="1"/>
      <c r="F6121" s="1"/>
      <c r="G6121" s="1"/>
      <c r="H6121" s="1"/>
      <c r="I6121" s="1"/>
      <c r="J6121" s="1"/>
      <c r="K6121" s="106" t="s">
        <v>9600</v>
      </c>
      <c r="L6121" s="102" t="str">
        <f>J773</f>
        <v>J2a1a1a2b2</v>
      </c>
      <c r="M6121" s="106" t="s">
        <v>9601</v>
      </c>
      <c r="N6121" s="1" t="s">
        <v>9599</v>
      </c>
      <c r="O6121" s="114">
        <v>2.1403841E7</v>
      </c>
      <c r="P6121" s="105">
        <v>1.9241955E7</v>
      </c>
      <c r="Q6121" s="102" t="s">
        <v>2529</v>
      </c>
      <c r="T6121" s="1"/>
      <c r="U6121" s="1"/>
      <c r="V6121" s="1"/>
      <c r="W6121" s="1"/>
      <c r="X6121" s="1"/>
      <c r="Y6121" s="1"/>
      <c r="AA6121" s="102"/>
      <c r="AB6121" s="1"/>
      <c r="AC6121" s="1"/>
      <c r="AD6121" s="1"/>
      <c r="AE6121" s="1"/>
      <c r="AF6121" s="1"/>
      <c r="AG6121" s="1"/>
    </row>
    <row r="6122" ht="15.75" customHeight="1">
      <c r="A6122" s="1"/>
      <c r="B6122" s="1"/>
      <c r="C6122" s="1"/>
      <c r="D6122" s="1"/>
      <c r="E6122" s="1"/>
      <c r="F6122" s="1"/>
      <c r="G6122" s="1"/>
      <c r="H6122" s="1"/>
      <c r="I6122" s="1"/>
      <c r="J6122" s="1"/>
      <c r="K6122" s="106" t="s">
        <v>9602</v>
      </c>
      <c r="L6122" s="102" t="str">
        <f>J773</f>
        <v>J2a1a1a2b2</v>
      </c>
      <c r="M6122" s="106" t="s">
        <v>9603</v>
      </c>
      <c r="N6122" s="1" t="s">
        <v>9599</v>
      </c>
      <c r="O6122" s="114">
        <v>2.1403841E7</v>
      </c>
      <c r="P6122" s="105">
        <v>1.9241955E7</v>
      </c>
      <c r="Q6122" s="102" t="s">
        <v>2529</v>
      </c>
      <c r="T6122" s="1"/>
      <c r="U6122" s="1"/>
      <c r="V6122" s="1"/>
      <c r="W6122" s="1"/>
      <c r="X6122" s="1"/>
      <c r="Y6122" s="1"/>
      <c r="AA6122" s="102"/>
      <c r="AB6122" s="1"/>
      <c r="AC6122" s="1"/>
      <c r="AD6122" s="1"/>
      <c r="AE6122" s="1"/>
      <c r="AF6122" s="1"/>
      <c r="AG6122" s="1"/>
    </row>
    <row r="6123" ht="15.75" customHeight="1">
      <c r="A6123" s="1"/>
      <c r="B6123" s="1"/>
      <c r="C6123" s="1"/>
      <c r="D6123" s="1"/>
      <c r="E6123" s="1"/>
      <c r="F6123" s="1"/>
      <c r="G6123" s="1"/>
      <c r="H6123" s="1"/>
      <c r="I6123" s="1"/>
      <c r="J6123" s="1"/>
      <c r="K6123" s="119" t="s">
        <v>9604</v>
      </c>
      <c r="L6123" s="102" t="str">
        <f>J773</f>
        <v>J2a1a1a2b2</v>
      </c>
      <c r="M6123" s="119" t="s">
        <v>9605</v>
      </c>
      <c r="N6123" s="1" t="s">
        <v>9606</v>
      </c>
      <c r="O6123" s="114">
        <v>7870529.0</v>
      </c>
      <c r="P6123" s="105">
        <v>8002488.0</v>
      </c>
      <c r="Q6123" s="102" t="s">
        <v>2529</v>
      </c>
      <c r="T6123" s="1"/>
      <c r="U6123" s="1"/>
      <c r="V6123" s="1"/>
      <c r="W6123" s="1"/>
      <c r="X6123" s="1"/>
      <c r="Y6123" s="1"/>
      <c r="AA6123" s="102"/>
      <c r="AB6123" s="1"/>
      <c r="AC6123" s="1"/>
      <c r="AD6123" s="1"/>
      <c r="AE6123" s="1"/>
      <c r="AF6123" s="1"/>
      <c r="AG6123" s="1"/>
    </row>
    <row r="6124" ht="15.75" customHeight="1">
      <c r="A6124" s="1"/>
      <c r="B6124" s="1"/>
      <c r="C6124" s="1"/>
      <c r="D6124" s="1"/>
      <c r="E6124" s="1"/>
      <c r="F6124" s="1"/>
      <c r="G6124" s="1"/>
      <c r="H6124" s="1"/>
      <c r="I6124" s="1"/>
      <c r="J6124" s="1"/>
      <c r="K6124" s="106" t="s">
        <v>9605</v>
      </c>
      <c r="L6124" s="102" t="str">
        <f>J773</f>
        <v>J2a1a1a2b2</v>
      </c>
      <c r="M6124" s="106" t="s">
        <v>9604</v>
      </c>
      <c r="N6124" s="1" t="s">
        <v>9606</v>
      </c>
      <c r="O6124" s="114">
        <v>7870529.0</v>
      </c>
      <c r="P6124" s="105">
        <v>8002488.0</v>
      </c>
      <c r="Q6124" s="102" t="s">
        <v>2529</v>
      </c>
      <c r="T6124" s="1"/>
      <c r="U6124" s="1"/>
      <c r="V6124" s="1"/>
      <c r="W6124" s="1"/>
      <c r="X6124" s="1"/>
      <c r="Y6124" s="1"/>
      <c r="AA6124" s="102"/>
      <c r="AB6124" s="1"/>
      <c r="AC6124" s="1"/>
      <c r="AD6124" s="1"/>
      <c r="AE6124" s="1"/>
      <c r="AF6124" s="1"/>
      <c r="AG6124" s="1"/>
    </row>
    <row r="6125" ht="15.75" customHeight="1">
      <c r="A6125" s="1"/>
      <c r="B6125" s="1"/>
      <c r="C6125" s="1"/>
      <c r="D6125" s="1"/>
      <c r="E6125" s="1"/>
      <c r="F6125" s="1"/>
      <c r="G6125" s="1"/>
      <c r="H6125" s="1"/>
      <c r="I6125" s="1"/>
      <c r="J6125" s="1"/>
      <c r="K6125" s="106" t="s">
        <v>9607</v>
      </c>
      <c r="L6125" s="102" t="str">
        <f>K774</f>
        <v>J2a1a1a2b2a</v>
      </c>
      <c r="M6125" s="106" t="s">
        <v>9608</v>
      </c>
      <c r="N6125" s="108" t="s">
        <v>9609</v>
      </c>
      <c r="O6125" s="108">
        <v>9134676.0</v>
      </c>
      <c r="P6125" s="108">
        <v>9297067.0</v>
      </c>
      <c r="Q6125" s="108" t="s">
        <v>2576</v>
      </c>
      <c r="T6125" s="1"/>
      <c r="U6125" s="1"/>
      <c r="V6125" s="1"/>
      <c r="W6125" s="1"/>
      <c r="X6125" s="1"/>
      <c r="Y6125" s="1"/>
      <c r="AA6125" s="102"/>
      <c r="AB6125" s="1"/>
      <c r="AC6125" s="1"/>
      <c r="AD6125" s="1"/>
      <c r="AE6125" s="1"/>
      <c r="AF6125" s="1"/>
      <c r="AG6125" s="1"/>
    </row>
    <row r="6126" ht="15.75" customHeight="1">
      <c r="A6126" s="1"/>
      <c r="B6126" s="1"/>
      <c r="C6126" s="1"/>
      <c r="D6126" s="1"/>
      <c r="E6126" s="1"/>
      <c r="F6126" s="1"/>
      <c r="G6126" s="1"/>
      <c r="H6126" s="1"/>
      <c r="I6126" s="1"/>
      <c r="J6126" s="1"/>
      <c r="K6126" s="106" t="s">
        <v>9608</v>
      </c>
      <c r="L6126" s="102" t="str">
        <f>K774</f>
        <v>J2a1a1a2b2a</v>
      </c>
      <c r="M6126" s="106" t="s">
        <v>9607</v>
      </c>
      <c r="N6126" s="108" t="s">
        <v>9609</v>
      </c>
      <c r="O6126" s="108">
        <v>9134676.0</v>
      </c>
      <c r="P6126" s="108">
        <v>9297067.0</v>
      </c>
      <c r="Q6126" s="108" t="s">
        <v>2576</v>
      </c>
      <c r="T6126" s="1"/>
      <c r="U6126" s="1"/>
      <c r="V6126" s="1"/>
      <c r="W6126" s="1"/>
      <c r="X6126" s="1"/>
      <c r="Y6126" s="1"/>
      <c r="AA6126" s="102"/>
      <c r="AB6126" s="1"/>
      <c r="AC6126" s="1"/>
      <c r="AD6126" s="1"/>
      <c r="AE6126" s="1"/>
      <c r="AF6126" s="1"/>
      <c r="AG6126" s="1"/>
    </row>
    <row r="6127" ht="15.75" customHeight="1">
      <c r="A6127" s="1"/>
      <c r="B6127" s="1"/>
      <c r="C6127" s="1"/>
      <c r="D6127" s="1"/>
      <c r="E6127" s="1"/>
      <c r="F6127" s="1"/>
      <c r="G6127" s="1"/>
      <c r="H6127" s="1"/>
      <c r="I6127" s="1"/>
      <c r="J6127" s="1"/>
      <c r="K6127" s="102" t="s">
        <v>9610</v>
      </c>
      <c r="L6127" s="102" t="str">
        <f>L775</f>
        <v>J2a1a1a2b2a1</v>
      </c>
      <c r="M6127" s="102"/>
      <c r="N6127" s="1" t="s">
        <v>9611</v>
      </c>
      <c r="O6127" s="114">
        <v>1.7434361E7</v>
      </c>
      <c r="P6127" s="105">
        <v>1.5322481E7</v>
      </c>
      <c r="Q6127" s="102" t="s">
        <v>2468</v>
      </c>
      <c r="T6127" s="1"/>
      <c r="U6127" s="1"/>
      <c r="V6127" s="1"/>
      <c r="W6127" s="1"/>
      <c r="X6127" s="1"/>
      <c r="Y6127" s="1"/>
      <c r="AA6127" s="102"/>
      <c r="AB6127" s="1"/>
      <c r="AC6127" s="1"/>
      <c r="AD6127" s="1"/>
      <c r="AE6127" s="1"/>
      <c r="AF6127" s="1"/>
      <c r="AG6127" s="1"/>
    </row>
    <row r="6128" ht="15.75" customHeight="1">
      <c r="A6128" s="1"/>
      <c r="B6128" s="1"/>
      <c r="C6128" s="1"/>
      <c r="D6128" s="1"/>
      <c r="E6128" s="1"/>
      <c r="F6128" s="1"/>
      <c r="G6128" s="1"/>
      <c r="H6128" s="1"/>
      <c r="I6128" s="1"/>
      <c r="J6128" s="1"/>
      <c r="K6128" s="102" t="s">
        <v>9612</v>
      </c>
      <c r="L6128" s="102" t="str">
        <f>L775</f>
        <v>J2a1a1a2b2a1</v>
      </c>
      <c r="M6128" s="102"/>
      <c r="N6128" s="1"/>
      <c r="O6128" s="114">
        <v>1.0038481E7</v>
      </c>
      <c r="P6128" s="105">
        <v>1.0200872E7</v>
      </c>
      <c r="Q6128" s="102" t="s">
        <v>2501</v>
      </c>
      <c r="T6128" s="1"/>
      <c r="U6128" s="1"/>
      <c r="V6128" s="1"/>
      <c r="W6128" s="1"/>
      <c r="X6128" s="1"/>
      <c r="Y6128" s="1"/>
      <c r="AA6128" s="102"/>
      <c r="AB6128" s="1"/>
      <c r="AC6128" s="1"/>
      <c r="AD6128" s="1"/>
      <c r="AE6128" s="1"/>
      <c r="AF6128" s="1"/>
      <c r="AG6128" s="1"/>
    </row>
    <row r="6129" ht="15.75" customHeight="1">
      <c r="A6129" s="1"/>
      <c r="B6129" s="1"/>
      <c r="C6129" s="1"/>
      <c r="D6129" s="1"/>
      <c r="E6129" s="1"/>
      <c r="F6129" s="1"/>
      <c r="G6129" s="1"/>
      <c r="H6129" s="1"/>
      <c r="I6129" s="1"/>
      <c r="J6129" s="1"/>
      <c r="K6129" s="102" t="s">
        <v>9613</v>
      </c>
      <c r="L6129" s="102" t="str">
        <f>L775</f>
        <v>J2a1a1a2b2a1</v>
      </c>
      <c r="M6129" s="102" t="s">
        <v>9614</v>
      </c>
      <c r="N6129" s="1" t="s">
        <v>9615</v>
      </c>
      <c r="O6129" s="114">
        <v>8529549.0</v>
      </c>
      <c r="P6129" s="105">
        <v>8661508.0</v>
      </c>
      <c r="Q6129" s="102" t="s">
        <v>2501</v>
      </c>
      <c r="T6129" s="1"/>
      <c r="U6129" s="1"/>
      <c r="V6129" s="1"/>
      <c r="W6129" s="1"/>
      <c r="X6129" s="1"/>
      <c r="Y6129" s="1"/>
      <c r="AA6129" s="102"/>
      <c r="AB6129" s="1"/>
      <c r="AC6129" s="1"/>
      <c r="AD6129" s="1"/>
      <c r="AE6129" s="1"/>
      <c r="AF6129" s="1"/>
      <c r="AG6129" s="1"/>
    </row>
    <row r="6130" ht="15.75" customHeight="1">
      <c r="A6130" s="1"/>
      <c r="B6130" s="1"/>
      <c r="C6130" s="1"/>
      <c r="D6130" s="1"/>
      <c r="E6130" s="1"/>
      <c r="F6130" s="1"/>
      <c r="G6130" s="1"/>
      <c r="H6130" s="1"/>
      <c r="I6130" s="1"/>
      <c r="J6130" s="1"/>
      <c r="K6130" s="106" t="s">
        <v>9614</v>
      </c>
      <c r="L6130" s="102" t="str">
        <f>L775</f>
        <v>J2a1a1a2b2a1</v>
      </c>
      <c r="M6130" s="106" t="s">
        <v>9613</v>
      </c>
      <c r="N6130" s="1" t="s">
        <v>9615</v>
      </c>
      <c r="O6130" s="114">
        <v>8529549.0</v>
      </c>
      <c r="P6130" s="105">
        <v>8661508.0</v>
      </c>
      <c r="Q6130" s="102" t="s">
        <v>2501</v>
      </c>
      <c r="T6130" s="1"/>
      <c r="U6130" s="1"/>
      <c r="V6130" s="1"/>
      <c r="W6130" s="1"/>
      <c r="X6130" s="1"/>
      <c r="Y6130" s="1"/>
      <c r="AA6130" s="102"/>
      <c r="AB6130" s="1"/>
      <c r="AC6130" s="1"/>
      <c r="AD6130" s="1"/>
      <c r="AE6130" s="1"/>
      <c r="AF6130" s="1"/>
      <c r="AG6130" s="1"/>
    </row>
    <row r="6131" ht="15.75" customHeight="1">
      <c r="A6131" s="1"/>
      <c r="B6131" s="1"/>
      <c r="C6131" s="1"/>
      <c r="D6131" s="1"/>
      <c r="E6131" s="1"/>
      <c r="F6131" s="1"/>
      <c r="G6131" s="1"/>
      <c r="H6131" s="1"/>
      <c r="I6131" s="1"/>
      <c r="J6131" s="1"/>
      <c r="K6131" s="102" t="s">
        <v>9616</v>
      </c>
      <c r="L6131" s="102" t="str">
        <f>L775</f>
        <v>J2a1a1a2b2a1</v>
      </c>
      <c r="M6131" s="102"/>
      <c r="N6131" s="1" t="s">
        <v>9617</v>
      </c>
      <c r="O6131" s="114">
        <v>7768096.0</v>
      </c>
      <c r="P6131" s="105">
        <v>7900055.0</v>
      </c>
      <c r="Q6131" s="102" t="s">
        <v>2454</v>
      </c>
      <c r="T6131" s="1"/>
      <c r="U6131" s="1"/>
      <c r="V6131" s="1"/>
      <c r="W6131" s="1"/>
      <c r="X6131" s="1"/>
      <c r="Y6131" s="1"/>
      <c r="AA6131" s="102"/>
      <c r="AB6131" s="1"/>
      <c r="AC6131" s="1"/>
      <c r="AD6131" s="1"/>
      <c r="AE6131" s="1"/>
      <c r="AF6131" s="1"/>
      <c r="AG6131" s="1"/>
    </row>
    <row r="6132" ht="15.75" customHeight="1">
      <c r="A6132" s="1"/>
      <c r="B6132" s="1"/>
      <c r="C6132" s="1"/>
      <c r="D6132" s="1"/>
      <c r="E6132" s="1"/>
      <c r="F6132" s="1"/>
      <c r="G6132" s="1"/>
      <c r="H6132" s="1"/>
      <c r="I6132" s="1"/>
      <c r="J6132" s="1"/>
      <c r="K6132" s="102" t="s">
        <v>9618</v>
      </c>
      <c r="L6132" s="102" t="str">
        <f>M776</f>
        <v>J2a1a1a2b2a1a</v>
      </c>
      <c r="M6132" s="102"/>
      <c r="N6132" s="102" t="s">
        <v>9619</v>
      </c>
      <c r="O6132" s="105">
        <v>2.1904023E7</v>
      </c>
      <c r="P6132" s="105">
        <v>1.9742137E7</v>
      </c>
      <c r="Q6132" s="102" t="s">
        <v>2529</v>
      </c>
      <c r="T6132" s="1"/>
      <c r="U6132" s="1"/>
      <c r="V6132" s="1"/>
      <c r="W6132" s="1"/>
      <c r="X6132" s="1"/>
      <c r="Y6132" s="1"/>
      <c r="AA6132" s="102"/>
      <c r="AB6132" s="1"/>
      <c r="AC6132" s="1"/>
      <c r="AD6132" s="1"/>
      <c r="AE6132" s="1"/>
      <c r="AF6132" s="1"/>
      <c r="AG6132" s="1"/>
    </row>
    <row r="6133" ht="15.75" customHeight="1">
      <c r="A6133" s="1"/>
      <c r="B6133" s="1"/>
      <c r="C6133" s="1"/>
      <c r="D6133" s="1"/>
      <c r="E6133" s="1"/>
      <c r="F6133" s="1"/>
      <c r="G6133" s="1"/>
      <c r="H6133" s="1"/>
      <c r="I6133" s="1"/>
      <c r="J6133" s="1"/>
      <c r="K6133" s="102" t="s">
        <v>9620</v>
      </c>
      <c r="L6133" s="102" t="str">
        <f>M776</f>
        <v>J2a1a1a2b2a1a</v>
      </c>
      <c r="M6133" s="102" t="s">
        <v>9621</v>
      </c>
      <c r="N6133" s="1" t="s">
        <v>9622</v>
      </c>
      <c r="O6133" s="114">
        <v>1.5499056E7</v>
      </c>
      <c r="P6133" s="105">
        <v>1.3387176E7</v>
      </c>
      <c r="Q6133" s="102" t="s">
        <v>2423</v>
      </c>
      <c r="T6133" s="1"/>
      <c r="U6133" s="1"/>
      <c r="V6133" s="1"/>
      <c r="W6133" s="1"/>
      <c r="X6133" s="1"/>
      <c r="Y6133" s="1"/>
      <c r="AA6133" s="102"/>
      <c r="AB6133" s="1"/>
      <c r="AC6133" s="1"/>
      <c r="AD6133" s="1"/>
      <c r="AE6133" s="1"/>
      <c r="AF6133" s="1"/>
      <c r="AG6133" s="1"/>
    </row>
    <row r="6134" ht="15.75" customHeight="1">
      <c r="A6134" s="1"/>
      <c r="B6134" s="1"/>
      <c r="C6134" s="1"/>
      <c r="D6134" s="1"/>
      <c r="E6134" s="1"/>
      <c r="F6134" s="1"/>
      <c r="G6134" s="1"/>
      <c r="H6134" s="1"/>
      <c r="I6134" s="1"/>
      <c r="J6134" s="1"/>
      <c r="K6134" s="106" t="s">
        <v>9621</v>
      </c>
      <c r="L6134" s="102" t="str">
        <f>M776</f>
        <v>J2a1a1a2b2a1a</v>
      </c>
      <c r="M6134" s="106" t="s">
        <v>9620</v>
      </c>
      <c r="N6134" s="1" t="s">
        <v>9622</v>
      </c>
      <c r="O6134" s="114">
        <v>1.5499056E7</v>
      </c>
      <c r="P6134" s="105">
        <v>1.3387176E7</v>
      </c>
      <c r="Q6134" s="102" t="s">
        <v>2423</v>
      </c>
      <c r="T6134" s="1"/>
      <c r="U6134" s="1"/>
      <c r="V6134" s="1"/>
      <c r="W6134" s="1"/>
      <c r="X6134" s="1"/>
      <c r="Y6134" s="1"/>
      <c r="AA6134" s="102"/>
      <c r="AB6134" s="1"/>
      <c r="AC6134" s="1"/>
      <c r="AD6134" s="1"/>
      <c r="AE6134" s="1"/>
      <c r="AF6134" s="1"/>
      <c r="AG6134" s="1"/>
    </row>
    <row r="6135" ht="15.75" customHeight="1">
      <c r="A6135" s="1"/>
      <c r="B6135" s="1"/>
      <c r="C6135" s="1"/>
      <c r="D6135" s="1"/>
      <c r="E6135" s="1"/>
      <c r="F6135" s="1"/>
      <c r="G6135" s="1"/>
      <c r="H6135" s="1"/>
      <c r="I6135" s="1"/>
      <c r="J6135" s="1"/>
      <c r="K6135" s="102" t="s">
        <v>9623</v>
      </c>
      <c r="L6135" s="102" t="str">
        <f>M776</f>
        <v>J2a1a1a2b2a1a</v>
      </c>
      <c r="M6135" s="102" t="s">
        <v>9624</v>
      </c>
      <c r="N6135" s="102" t="s">
        <v>9625</v>
      </c>
      <c r="O6135" s="105">
        <v>1.5025506E7</v>
      </c>
      <c r="P6135" s="105">
        <v>1.2913594E7</v>
      </c>
      <c r="Q6135" s="102" t="s">
        <v>2439</v>
      </c>
      <c r="T6135" s="1"/>
      <c r="U6135" s="1"/>
      <c r="V6135" s="1"/>
      <c r="W6135" s="1"/>
      <c r="X6135" s="1"/>
      <c r="Y6135" s="1"/>
      <c r="AA6135" s="102"/>
      <c r="AB6135" s="1"/>
      <c r="AC6135" s="1"/>
      <c r="AD6135" s="1"/>
      <c r="AE6135" s="1"/>
      <c r="AF6135" s="1"/>
      <c r="AG6135" s="1"/>
    </row>
    <row r="6136" ht="15.75" customHeight="1">
      <c r="A6136" s="1"/>
      <c r="B6136" s="1"/>
      <c r="C6136" s="1"/>
      <c r="D6136" s="1"/>
      <c r="E6136" s="1"/>
      <c r="F6136" s="1"/>
      <c r="G6136" s="1"/>
      <c r="H6136" s="1"/>
      <c r="I6136" s="1"/>
      <c r="J6136" s="1"/>
      <c r="K6136" s="102" t="s">
        <v>9624</v>
      </c>
      <c r="L6136" s="102" t="str">
        <f>M776</f>
        <v>J2a1a1a2b2a1a</v>
      </c>
      <c r="M6136" s="102" t="s">
        <v>9623</v>
      </c>
      <c r="N6136" s="102" t="s">
        <v>9625</v>
      </c>
      <c r="O6136" s="105">
        <v>1.5025506E7</v>
      </c>
      <c r="P6136" s="105">
        <v>1.2913594E7</v>
      </c>
      <c r="Q6136" s="102" t="s">
        <v>2439</v>
      </c>
      <c r="T6136" s="1"/>
      <c r="U6136" s="1"/>
      <c r="V6136" s="1"/>
      <c r="W6136" s="1"/>
      <c r="X6136" s="1"/>
      <c r="Y6136" s="1"/>
      <c r="AA6136" s="102"/>
      <c r="AB6136" s="1"/>
      <c r="AC6136" s="1"/>
      <c r="AD6136" s="1"/>
      <c r="AE6136" s="1"/>
      <c r="AF6136" s="1"/>
      <c r="AG6136" s="1"/>
    </row>
    <row r="6137" ht="15.75" customHeight="1">
      <c r="A6137" s="1"/>
      <c r="B6137" s="1"/>
      <c r="C6137" s="1"/>
      <c r="D6137" s="1"/>
      <c r="E6137" s="1"/>
      <c r="F6137" s="1"/>
      <c r="G6137" s="1"/>
      <c r="H6137" s="1"/>
      <c r="I6137" s="1"/>
      <c r="J6137" s="1"/>
      <c r="K6137" s="119" t="s">
        <v>9626</v>
      </c>
      <c r="L6137" s="102" t="str">
        <f>M776</f>
        <v>J2a1a1a2b2a1a</v>
      </c>
      <c r="M6137" s="102" t="s">
        <v>9627</v>
      </c>
      <c r="N6137" s="63" t="s">
        <v>9628</v>
      </c>
      <c r="O6137" s="114">
        <v>1.6345301E7</v>
      </c>
      <c r="P6137" s="105">
        <v>1.4233421E7</v>
      </c>
      <c r="Q6137" s="102" t="s">
        <v>2446</v>
      </c>
      <c r="T6137" s="1"/>
      <c r="U6137" s="1"/>
      <c r="V6137" s="1"/>
      <c r="W6137" s="1"/>
      <c r="X6137" s="1"/>
      <c r="Y6137" s="1"/>
      <c r="AA6137" s="102"/>
      <c r="AB6137" s="1"/>
      <c r="AC6137" s="1"/>
      <c r="AD6137" s="1"/>
      <c r="AE6137" s="1"/>
      <c r="AF6137" s="1"/>
      <c r="AG6137" s="1"/>
    </row>
    <row r="6138" ht="15.75" customHeight="1">
      <c r="A6138" s="1"/>
      <c r="B6138" s="1"/>
      <c r="C6138" s="1"/>
      <c r="D6138" s="1"/>
      <c r="E6138" s="1"/>
      <c r="F6138" s="1"/>
      <c r="G6138" s="1"/>
      <c r="H6138" s="1"/>
      <c r="I6138" s="1"/>
      <c r="J6138" s="1"/>
      <c r="K6138" s="106" t="s">
        <v>9627</v>
      </c>
      <c r="L6138" s="102" t="str">
        <f>M776</f>
        <v>J2a1a1a2b2a1a</v>
      </c>
      <c r="M6138" s="106" t="s">
        <v>9626</v>
      </c>
      <c r="N6138" s="63" t="s">
        <v>9628</v>
      </c>
      <c r="O6138" s="114">
        <v>1.6345301E7</v>
      </c>
      <c r="P6138" s="105">
        <v>1.4233421E7</v>
      </c>
      <c r="Q6138" s="102" t="s">
        <v>2446</v>
      </c>
      <c r="T6138" s="1"/>
      <c r="U6138" s="1"/>
      <c r="V6138" s="1"/>
      <c r="W6138" s="1"/>
      <c r="X6138" s="1"/>
      <c r="Y6138" s="1"/>
      <c r="AA6138" s="102"/>
      <c r="AB6138" s="1"/>
      <c r="AC6138" s="1"/>
      <c r="AD6138" s="1"/>
      <c r="AE6138" s="1"/>
      <c r="AF6138" s="1"/>
      <c r="AG6138" s="1"/>
    </row>
    <row r="6139" ht="15.75" customHeight="1">
      <c r="A6139" s="1"/>
      <c r="B6139" s="1"/>
      <c r="C6139" s="1"/>
      <c r="D6139" s="1"/>
      <c r="E6139" s="1"/>
      <c r="F6139" s="1"/>
      <c r="G6139" s="1"/>
      <c r="H6139" s="1"/>
      <c r="I6139" s="1"/>
      <c r="J6139" s="1"/>
      <c r="K6139" s="119" t="s">
        <v>9629</v>
      </c>
      <c r="L6139" s="102" t="str">
        <f>M776</f>
        <v>J2a1a1a2b2a1a</v>
      </c>
      <c r="M6139" s="102"/>
      <c r="N6139" s="63" t="s">
        <v>9630</v>
      </c>
      <c r="O6139" s="114">
        <v>2.3385419E7</v>
      </c>
      <c r="P6139" s="105">
        <v>2.1223533E7</v>
      </c>
      <c r="Q6139" s="102" t="s">
        <v>2432</v>
      </c>
      <c r="T6139" s="1"/>
      <c r="U6139" s="1"/>
      <c r="V6139" s="1"/>
      <c r="W6139" s="1"/>
      <c r="X6139" s="1"/>
      <c r="Y6139" s="1"/>
      <c r="AA6139" s="102"/>
      <c r="AB6139" s="1"/>
      <c r="AC6139" s="1"/>
      <c r="AD6139" s="1"/>
      <c r="AE6139" s="1"/>
      <c r="AF6139" s="1"/>
      <c r="AG6139" s="1"/>
    </row>
    <row r="6140" ht="15.75" customHeight="1">
      <c r="A6140" s="1"/>
      <c r="B6140" s="1"/>
      <c r="C6140" s="1"/>
      <c r="D6140" s="1"/>
      <c r="E6140" s="1"/>
      <c r="F6140" s="1"/>
      <c r="G6140" s="1"/>
      <c r="H6140" s="1"/>
      <c r="I6140" s="1"/>
      <c r="J6140" s="1"/>
      <c r="K6140" s="119" t="s">
        <v>9631</v>
      </c>
      <c r="L6140" s="102" t="str">
        <f>M776</f>
        <v>J2a1a1a2b2a1a</v>
      </c>
      <c r="M6140" s="102"/>
      <c r="N6140" s="63" t="s">
        <v>9632</v>
      </c>
      <c r="O6140" s="114">
        <v>9422419.0</v>
      </c>
      <c r="P6140" s="105">
        <v>9584810.0</v>
      </c>
      <c r="Q6140" s="102" t="s">
        <v>2439</v>
      </c>
      <c r="T6140" s="1"/>
      <c r="U6140" s="1"/>
      <c r="V6140" s="1"/>
      <c r="W6140" s="1"/>
      <c r="X6140" s="1"/>
      <c r="Y6140" s="1"/>
      <c r="AA6140" s="102"/>
      <c r="AB6140" s="1"/>
      <c r="AC6140" s="1"/>
      <c r="AD6140" s="1"/>
      <c r="AE6140" s="1"/>
      <c r="AF6140" s="1"/>
      <c r="AG6140" s="1"/>
    </row>
    <row r="6141" ht="15.75" customHeight="1">
      <c r="A6141" s="1"/>
      <c r="B6141" s="1"/>
      <c r="C6141" s="1"/>
      <c r="D6141" s="1"/>
      <c r="E6141" s="1"/>
      <c r="F6141" s="1"/>
      <c r="G6141" s="1"/>
      <c r="H6141" s="1"/>
      <c r="I6141" s="1"/>
      <c r="J6141" s="1"/>
      <c r="K6141" s="106" t="s">
        <v>1521</v>
      </c>
      <c r="L6141" s="102" t="str">
        <f>N777</f>
        <v>J2a1a1a2b2a1a1~</v>
      </c>
      <c r="M6141" s="102"/>
      <c r="N6141" s="19" t="s">
        <v>9633</v>
      </c>
      <c r="O6141" s="114">
        <v>1.6870081E7</v>
      </c>
      <c r="P6141" s="105">
        <v>1.4758201E7</v>
      </c>
      <c r="Q6141" s="102" t="s">
        <v>2529</v>
      </c>
      <c r="T6141" s="1"/>
      <c r="U6141" s="1"/>
      <c r="V6141" s="1"/>
      <c r="W6141" s="1"/>
      <c r="X6141" s="1"/>
      <c r="Y6141" s="1"/>
      <c r="AA6141" s="102"/>
      <c r="AB6141" s="1"/>
      <c r="AC6141" s="1"/>
      <c r="AD6141" s="1"/>
      <c r="AE6141" s="1"/>
      <c r="AF6141" s="1"/>
      <c r="AG6141" s="1"/>
    </row>
    <row r="6142" ht="15.75" customHeight="1">
      <c r="A6142" s="1"/>
      <c r="B6142" s="1"/>
      <c r="C6142" s="1"/>
      <c r="D6142" s="1"/>
      <c r="E6142" s="1"/>
      <c r="F6142" s="1"/>
      <c r="G6142" s="1"/>
      <c r="H6142" s="1"/>
      <c r="I6142" s="1"/>
      <c r="J6142" s="1"/>
      <c r="K6142" s="19" t="s">
        <v>9634</v>
      </c>
      <c r="L6142" s="1" t="str">
        <f>O778</f>
        <v>J2a1a1a2b2a1a1a</v>
      </c>
      <c r="M6142" s="19" t="s">
        <v>9635</v>
      </c>
      <c r="N6142" s="108" t="s">
        <v>9636</v>
      </c>
      <c r="O6142" s="108">
        <v>1.4779241E7</v>
      </c>
      <c r="P6142" s="19">
        <v>1.2667311E7</v>
      </c>
      <c r="Q6142" s="19" t="s">
        <v>2468</v>
      </c>
      <c r="T6142" s="1"/>
      <c r="U6142" s="1"/>
      <c r="V6142" s="1"/>
      <c r="W6142" s="1"/>
      <c r="X6142" s="1"/>
      <c r="Y6142" s="1"/>
      <c r="AA6142" s="102"/>
      <c r="AB6142" s="1"/>
      <c r="AC6142" s="1"/>
      <c r="AD6142" s="1"/>
      <c r="AE6142" s="1"/>
      <c r="AF6142" s="1"/>
      <c r="AG6142" s="1"/>
    </row>
    <row r="6143" ht="15.75" customHeight="1">
      <c r="A6143" s="1"/>
      <c r="B6143" s="1"/>
      <c r="C6143" s="1"/>
      <c r="D6143" s="1"/>
      <c r="E6143" s="1"/>
      <c r="F6143" s="1"/>
      <c r="G6143" s="1"/>
      <c r="H6143" s="1"/>
      <c r="I6143" s="1"/>
      <c r="J6143" s="1"/>
      <c r="K6143" s="19" t="s">
        <v>9635</v>
      </c>
      <c r="L6143" s="1" t="str">
        <f>O778</f>
        <v>J2a1a1a2b2a1a1a</v>
      </c>
      <c r="M6143" s="19" t="s">
        <v>9634</v>
      </c>
      <c r="N6143" s="108" t="s">
        <v>9636</v>
      </c>
      <c r="O6143" s="108">
        <v>1.4779241E7</v>
      </c>
      <c r="P6143" s="19">
        <v>1.2667311E7</v>
      </c>
      <c r="Q6143" s="19" t="s">
        <v>2468</v>
      </c>
      <c r="T6143" s="1"/>
      <c r="U6143" s="1"/>
      <c r="V6143" s="1"/>
      <c r="W6143" s="1"/>
      <c r="X6143" s="1"/>
      <c r="Y6143" s="1"/>
      <c r="AA6143" s="102"/>
      <c r="AB6143" s="1"/>
      <c r="AC6143" s="1"/>
      <c r="AD6143" s="1"/>
      <c r="AE6143" s="1"/>
      <c r="AF6143" s="1"/>
      <c r="AG6143" s="1"/>
    </row>
    <row r="6144" ht="15.75" customHeight="1">
      <c r="A6144" s="1"/>
      <c r="B6144" s="1"/>
      <c r="C6144" s="1"/>
      <c r="D6144" s="1"/>
      <c r="E6144" s="1"/>
      <c r="F6144" s="1"/>
      <c r="G6144" s="1"/>
      <c r="H6144" s="1"/>
      <c r="I6144" s="1"/>
      <c r="J6144" s="1"/>
      <c r="K6144" s="19" t="s">
        <v>9637</v>
      </c>
      <c r="L6144" s="1" t="str">
        <f>O778</f>
        <v>J2a1a1a2b2a1a1a</v>
      </c>
      <c r="M6144" s="19" t="s">
        <v>9638</v>
      </c>
      <c r="N6144" s="108" t="s">
        <v>9639</v>
      </c>
      <c r="O6144" s="108">
        <v>1.4556357E7</v>
      </c>
      <c r="P6144" s="19">
        <v>1.2444558E7</v>
      </c>
      <c r="Q6144" s="19" t="s">
        <v>2432</v>
      </c>
      <c r="T6144" s="1"/>
      <c r="U6144" s="1"/>
      <c r="V6144" s="1"/>
      <c r="W6144" s="1"/>
      <c r="X6144" s="1"/>
      <c r="Y6144" s="1"/>
      <c r="AA6144" s="102"/>
      <c r="AB6144" s="1"/>
      <c r="AC6144" s="1"/>
      <c r="AD6144" s="1"/>
      <c r="AE6144" s="1"/>
      <c r="AF6144" s="1"/>
      <c r="AG6144" s="1"/>
    </row>
    <row r="6145" ht="15.75" customHeight="1">
      <c r="A6145" s="1"/>
      <c r="B6145" s="1"/>
      <c r="C6145" s="1"/>
      <c r="D6145" s="1"/>
      <c r="E6145" s="1"/>
      <c r="F6145" s="1"/>
      <c r="G6145" s="1"/>
      <c r="H6145" s="1"/>
      <c r="I6145" s="1"/>
      <c r="J6145" s="1"/>
      <c r="K6145" s="19" t="s">
        <v>9638</v>
      </c>
      <c r="L6145" s="1" t="str">
        <f>O778</f>
        <v>J2a1a1a2b2a1a1a</v>
      </c>
      <c r="M6145" s="19" t="s">
        <v>9637</v>
      </c>
      <c r="N6145" s="108" t="s">
        <v>9639</v>
      </c>
      <c r="O6145" s="108">
        <v>1.4556357E7</v>
      </c>
      <c r="P6145" s="19">
        <v>1.2444558E7</v>
      </c>
      <c r="Q6145" s="19" t="s">
        <v>2432</v>
      </c>
      <c r="T6145" s="1"/>
      <c r="U6145" s="1"/>
      <c r="V6145" s="1"/>
      <c r="W6145" s="1"/>
      <c r="X6145" s="1"/>
      <c r="Y6145" s="1"/>
      <c r="AA6145" s="102"/>
      <c r="AB6145" s="1"/>
      <c r="AC6145" s="1"/>
      <c r="AD6145" s="1"/>
      <c r="AE6145" s="1"/>
      <c r="AF6145" s="1"/>
      <c r="AG6145" s="1"/>
    </row>
    <row r="6146" ht="15.75" customHeight="1">
      <c r="A6146" s="1"/>
      <c r="B6146" s="1"/>
      <c r="C6146" s="1"/>
      <c r="D6146" s="1"/>
      <c r="E6146" s="1"/>
      <c r="F6146" s="1"/>
      <c r="G6146" s="1"/>
      <c r="H6146" s="1"/>
      <c r="I6146" s="1"/>
      <c r="J6146" s="1"/>
      <c r="K6146" s="19" t="s">
        <v>9640</v>
      </c>
      <c r="L6146" s="1" t="str">
        <f>O778</f>
        <v>J2a1a1a2b2a1a1a</v>
      </c>
      <c r="M6146" s="19" t="s">
        <v>9641</v>
      </c>
      <c r="N6146" s="108" t="s">
        <v>9642</v>
      </c>
      <c r="O6146" s="108">
        <v>1.541736E7</v>
      </c>
      <c r="P6146" s="19">
        <v>1.330548E7</v>
      </c>
      <c r="Q6146" s="19" t="s">
        <v>2439</v>
      </c>
      <c r="T6146" s="1"/>
      <c r="U6146" s="1"/>
      <c r="V6146" s="1"/>
      <c r="W6146" s="1"/>
      <c r="X6146" s="1"/>
      <c r="Y6146" s="1"/>
      <c r="AA6146" s="102"/>
      <c r="AB6146" s="1"/>
      <c r="AC6146" s="1"/>
      <c r="AD6146" s="1"/>
      <c r="AE6146" s="1"/>
      <c r="AF6146" s="1"/>
      <c r="AG6146" s="1"/>
    </row>
    <row r="6147" ht="15.75" customHeight="1">
      <c r="A6147" s="1"/>
      <c r="B6147" s="1"/>
      <c r="C6147" s="1"/>
      <c r="D6147" s="1"/>
      <c r="E6147" s="1"/>
      <c r="F6147" s="1"/>
      <c r="G6147" s="1"/>
      <c r="H6147" s="1"/>
      <c r="I6147" s="1"/>
      <c r="J6147" s="1"/>
      <c r="K6147" s="19" t="s">
        <v>9643</v>
      </c>
      <c r="L6147" s="1" t="str">
        <f>O778</f>
        <v>J2a1a1a2b2a1a1a</v>
      </c>
      <c r="M6147" s="19" t="s">
        <v>9644</v>
      </c>
      <c r="N6147" s="108" t="s">
        <v>9642</v>
      </c>
      <c r="O6147" s="108">
        <v>1.541736E7</v>
      </c>
      <c r="P6147" s="19">
        <v>1.330548E7</v>
      </c>
      <c r="Q6147" s="19" t="s">
        <v>2439</v>
      </c>
      <c r="T6147" s="1"/>
      <c r="U6147" s="1"/>
      <c r="V6147" s="1"/>
      <c r="W6147" s="1"/>
      <c r="X6147" s="1"/>
      <c r="Y6147" s="1"/>
      <c r="AA6147" s="102"/>
      <c r="AB6147" s="1"/>
      <c r="AC6147" s="1"/>
      <c r="AD6147" s="1"/>
      <c r="AE6147" s="1"/>
      <c r="AF6147" s="1"/>
      <c r="AG6147" s="1"/>
    </row>
    <row r="6148" ht="15.75" customHeight="1">
      <c r="A6148" s="1"/>
      <c r="B6148" s="1"/>
      <c r="C6148" s="1"/>
      <c r="D6148" s="1"/>
      <c r="E6148" s="1"/>
      <c r="F6148" s="1"/>
      <c r="G6148" s="1"/>
      <c r="H6148" s="1"/>
      <c r="I6148" s="1"/>
      <c r="J6148" s="1"/>
      <c r="K6148" s="19" t="s">
        <v>9645</v>
      </c>
      <c r="L6148" s="1" t="str">
        <f>O778</f>
        <v>J2a1a1a2b2a1a1a</v>
      </c>
      <c r="M6148" s="19" t="s">
        <v>9646</v>
      </c>
      <c r="N6148" s="108" t="s">
        <v>9642</v>
      </c>
      <c r="O6148" s="108">
        <v>1.541736E7</v>
      </c>
      <c r="P6148" s="19">
        <v>1.330548E7</v>
      </c>
      <c r="Q6148" s="19" t="s">
        <v>2439</v>
      </c>
      <c r="T6148" s="1"/>
      <c r="U6148" s="1"/>
      <c r="V6148" s="1"/>
      <c r="W6148" s="1"/>
      <c r="X6148" s="1"/>
      <c r="Y6148" s="1"/>
      <c r="AA6148" s="102"/>
      <c r="AB6148" s="1"/>
      <c r="AC6148" s="1"/>
      <c r="AD6148" s="1"/>
      <c r="AE6148" s="1"/>
      <c r="AF6148" s="1"/>
      <c r="AG6148" s="1"/>
    </row>
    <row r="6149" ht="15.75" customHeight="1">
      <c r="A6149" s="1"/>
      <c r="B6149" s="1"/>
      <c r="C6149" s="1"/>
      <c r="D6149" s="1"/>
      <c r="E6149" s="1"/>
      <c r="F6149" s="1"/>
      <c r="G6149" s="1"/>
      <c r="H6149" s="1"/>
      <c r="I6149" s="1"/>
      <c r="J6149" s="1"/>
      <c r="K6149" s="19" t="s">
        <v>9647</v>
      </c>
      <c r="L6149" s="1" t="str">
        <f>O778</f>
        <v>J2a1a1a2b2a1a1a</v>
      </c>
      <c r="M6149" s="19" t="s">
        <v>9648</v>
      </c>
      <c r="N6149" s="108" t="s">
        <v>9649</v>
      </c>
      <c r="O6149" s="108">
        <v>1.5611645E7</v>
      </c>
      <c r="P6149" s="19">
        <v>1.3499765E7</v>
      </c>
      <c r="Q6149" s="19" t="s">
        <v>2533</v>
      </c>
      <c r="T6149" s="1"/>
      <c r="U6149" s="1"/>
      <c r="V6149" s="1"/>
      <c r="W6149" s="1"/>
      <c r="X6149" s="1"/>
      <c r="Y6149" s="1"/>
      <c r="AA6149" s="102"/>
      <c r="AB6149" s="1"/>
      <c r="AC6149" s="1"/>
      <c r="AD6149" s="1"/>
      <c r="AE6149" s="1"/>
      <c r="AF6149" s="1"/>
      <c r="AG6149" s="1"/>
    </row>
    <row r="6150" ht="15.75" customHeight="1">
      <c r="A6150" s="1"/>
      <c r="B6150" s="1"/>
      <c r="C6150" s="1"/>
      <c r="D6150" s="1"/>
      <c r="E6150" s="1"/>
      <c r="F6150" s="1"/>
      <c r="G6150" s="1"/>
      <c r="H6150" s="1"/>
      <c r="I6150" s="1"/>
      <c r="J6150" s="1"/>
      <c r="K6150" s="19" t="s">
        <v>9650</v>
      </c>
      <c r="L6150" s="1" t="str">
        <f>O778</f>
        <v>J2a1a1a2b2a1a1a</v>
      </c>
      <c r="M6150" s="19" t="s">
        <v>9651</v>
      </c>
      <c r="N6150" s="108" t="s">
        <v>9649</v>
      </c>
      <c r="O6150" s="108">
        <v>1.5611645E7</v>
      </c>
      <c r="P6150" s="19">
        <v>1.3499765E7</v>
      </c>
      <c r="Q6150" s="19" t="s">
        <v>2533</v>
      </c>
      <c r="T6150" s="1"/>
      <c r="U6150" s="1"/>
      <c r="V6150" s="1"/>
      <c r="W6150" s="1"/>
      <c r="X6150" s="1"/>
      <c r="Y6150" s="1"/>
      <c r="AA6150" s="102"/>
      <c r="AB6150" s="1"/>
      <c r="AC6150" s="1"/>
      <c r="AD6150" s="1"/>
      <c r="AE6150" s="1"/>
      <c r="AF6150" s="1"/>
      <c r="AG6150" s="1"/>
    </row>
    <row r="6151" ht="15.75" customHeight="1">
      <c r="A6151" s="1"/>
      <c r="B6151" s="1"/>
      <c r="C6151" s="1"/>
      <c r="D6151" s="1"/>
      <c r="E6151" s="1"/>
      <c r="F6151" s="1"/>
      <c r="G6151" s="1"/>
      <c r="H6151" s="1"/>
      <c r="I6151" s="1"/>
      <c r="J6151" s="1"/>
      <c r="K6151" s="19" t="s">
        <v>9652</v>
      </c>
      <c r="L6151" s="1" t="str">
        <f>O778</f>
        <v>J2a1a1a2b2a1a1a</v>
      </c>
      <c r="M6151" s="19" t="s">
        <v>9653</v>
      </c>
      <c r="N6151" s="108" t="s">
        <v>9649</v>
      </c>
      <c r="O6151" s="108">
        <v>1.5611645E7</v>
      </c>
      <c r="P6151" s="19">
        <v>1.3499765E7</v>
      </c>
      <c r="Q6151" s="19" t="s">
        <v>2533</v>
      </c>
      <c r="T6151" s="1"/>
      <c r="U6151" s="1"/>
      <c r="V6151" s="1"/>
      <c r="W6151" s="1"/>
      <c r="X6151" s="1"/>
      <c r="Y6151" s="1"/>
      <c r="AA6151" s="102"/>
      <c r="AB6151" s="1"/>
      <c r="AC6151" s="1"/>
      <c r="AD6151" s="1"/>
      <c r="AE6151" s="1"/>
      <c r="AF6151" s="1"/>
      <c r="AG6151" s="1"/>
    </row>
    <row r="6152" ht="15.75" customHeight="1">
      <c r="A6152" s="1"/>
      <c r="B6152" s="1"/>
      <c r="C6152" s="1"/>
      <c r="D6152" s="1"/>
      <c r="E6152" s="1"/>
      <c r="F6152" s="1"/>
      <c r="G6152" s="1"/>
      <c r="H6152" s="1"/>
      <c r="I6152" s="1"/>
      <c r="J6152" s="1"/>
      <c r="K6152" s="19" t="s">
        <v>9654</v>
      </c>
      <c r="L6152" s="1" t="str">
        <f t="shared" ref="L6152:L6153" si="139">O778</f>
        <v>J2a1a1a2b2a1a1a</v>
      </c>
      <c r="M6152" s="1"/>
      <c r="N6152" s="108" t="s">
        <v>9655</v>
      </c>
      <c r="O6152" s="108">
        <v>8204667.0</v>
      </c>
      <c r="P6152" s="19">
        <v>8336626.0</v>
      </c>
      <c r="Q6152" s="19" t="s">
        <v>2529</v>
      </c>
      <c r="T6152" s="1"/>
      <c r="U6152" s="1"/>
      <c r="V6152" s="1"/>
      <c r="W6152" s="1"/>
      <c r="X6152" s="1"/>
      <c r="Y6152" s="1"/>
      <c r="AA6152" s="102"/>
      <c r="AB6152" s="1"/>
      <c r="AC6152" s="1"/>
      <c r="AD6152" s="1"/>
      <c r="AE6152" s="1"/>
      <c r="AF6152" s="1"/>
      <c r="AG6152" s="1"/>
    </row>
    <row r="6153" ht="15.75" customHeight="1">
      <c r="A6153" s="1"/>
      <c r="B6153" s="1"/>
      <c r="C6153" s="1"/>
      <c r="D6153" s="1"/>
      <c r="E6153" s="1"/>
      <c r="F6153" s="1"/>
      <c r="G6153" s="1"/>
      <c r="H6153" s="1"/>
      <c r="I6153" s="1"/>
      <c r="J6153" s="1"/>
      <c r="K6153" s="119" t="s">
        <v>1525</v>
      </c>
      <c r="L6153" s="102" t="str">
        <f t="shared" si="139"/>
        <v>J2a1a1a2b2a1a1a~</v>
      </c>
      <c r="M6153" s="102"/>
      <c r="N6153" s="1" t="s">
        <v>9656</v>
      </c>
      <c r="O6153" s="114">
        <v>1.6711564E7</v>
      </c>
      <c r="P6153" s="105">
        <v>1.4599684E7</v>
      </c>
      <c r="Q6153" s="102" t="s">
        <v>2514</v>
      </c>
      <c r="T6153" s="1"/>
      <c r="U6153" s="1"/>
      <c r="V6153" s="1"/>
      <c r="W6153" s="1"/>
      <c r="X6153" s="1"/>
      <c r="Y6153" s="1"/>
      <c r="AA6153" s="102"/>
      <c r="AB6153" s="1"/>
      <c r="AC6153" s="1"/>
      <c r="AD6153" s="1"/>
      <c r="AE6153" s="1"/>
      <c r="AF6153" s="1"/>
      <c r="AG6153" s="1"/>
    </row>
    <row r="6154" ht="15.75" customHeight="1">
      <c r="A6154" s="1"/>
      <c r="B6154" s="1"/>
      <c r="C6154" s="1"/>
      <c r="D6154" s="1"/>
      <c r="E6154" s="1"/>
      <c r="F6154" s="1"/>
      <c r="G6154" s="1"/>
      <c r="H6154" s="1"/>
      <c r="I6154" s="1"/>
      <c r="J6154" s="1"/>
      <c r="K6154" s="119" t="s">
        <v>1527</v>
      </c>
      <c r="L6154" s="102" t="str">
        <f t="shared" ref="L6154:L6155" si="140">P780</f>
        <v>J2a1a1a2b2a1a1a1~</v>
      </c>
      <c r="M6154" s="102"/>
      <c r="N6154" s="1" t="s">
        <v>9657</v>
      </c>
      <c r="O6154" s="114">
        <v>1.6757626E7</v>
      </c>
      <c r="P6154" s="105">
        <v>1.4645746E7</v>
      </c>
      <c r="Q6154" s="102" t="s">
        <v>2468</v>
      </c>
      <c r="T6154" s="1"/>
      <c r="U6154" s="1"/>
      <c r="V6154" s="1"/>
      <c r="W6154" s="1"/>
      <c r="X6154" s="1"/>
      <c r="Y6154" s="1"/>
      <c r="AA6154" s="102"/>
      <c r="AB6154" s="1"/>
      <c r="AC6154" s="1"/>
      <c r="AD6154" s="1"/>
      <c r="AE6154" s="1"/>
      <c r="AF6154" s="1"/>
      <c r="AG6154" s="1"/>
    </row>
    <row r="6155" ht="15.75" customHeight="1">
      <c r="A6155" s="1"/>
      <c r="B6155" s="1"/>
      <c r="C6155" s="1"/>
      <c r="D6155" s="1"/>
      <c r="E6155" s="1"/>
      <c r="F6155" s="1"/>
      <c r="G6155" s="1"/>
      <c r="H6155" s="1"/>
      <c r="I6155" s="1"/>
      <c r="J6155" s="1"/>
      <c r="K6155" s="119" t="s">
        <v>1529</v>
      </c>
      <c r="L6155" s="102" t="str">
        <f t="shared" si="140"/>
        <v>J2a1a1a2b2a1a1a2~</v>
      </c>
      <c r="M6155" s="102"/>
      <c r="N6155" s="1"/>
      <c r="O6155" s="114">
        <v>1.3672333E7</v>
      </c>
      <c r="P6155" s="105">
        <v>1.1516657E7</v>
      </c>
      <c r="Q6155" s="102" t="s">
        <v>2576</v>
      </c>
      <c r="T6155" s="1"/>
      <c r="U6155" s="1"/>
      <c r="V6155" s="1"/>
      <c r="W6155" s="1"/>
      <c r="X6155" s="1"/>
      <c r="Y6155" s="1"/>
      <c r="AA6155" s="102"/>
      <c r="AB6155" s="1"/>
      <c r="AC6155" s="1"/>
      <c r="AD6155" s="1"/>
      <c r="AE6155" s="1"/>
      <c r="AF6155" s="1"/>
      <c r="AG6155" s="1"/>
    </row>
    <row r="6156" ht="15.75" customHeight="1">
      <c r="A6156" s="1"/>
      <c r="B6156" s="1"/>
      <c r="C6156" s="1"/>
      <c r="D6156" s="1"/>
      <c r="E6156" s="1"/>
      <c r="F6156" s="1"/>
      <c r="G6156" s="1"/>
      <c r="H6156" s="1"/>
      <c r="I6156" s="1"/>
      <c r="J6156" s="1"/>
      <c r="K6156" s="119" t="s">
        <v>1531</v>
      </c>
      <c r="L6156" s="102" t="str">
        <f>Q782</f>
        <v>J2a1a1a2b2a1a1a2a~</v>
      </c>
      <c r="M6156" s="102"/>
      <c r="N6156" s="1" t="s">
        <v>9658</v>
      </c>
      <c r="O6156" s="114">
        <v>1.6895607E7</v>
      </c>
      <c r="P6156" s="105">
        <v>1.4783727E7</v>
      </c>
      <c r="Q6156" s="102" t="s">
        <v>2563</v>
      </c>
      <c r="T6156" s="1"/>
      <c r="U6156" s="1"/>
      <c r="V6156" s="1"/>
      <c r="W6156" s="1"/>
      <c r="X6156" s="1"/>
      <c r="Y6156" s="1"/>
      <c r="AA6156" s="102"/>
      <c r="AB6156" s="1"/>
      <c r="AC6156" s="1"/>
      <c r="AD6156" s="1"/>
      <c r="AE6156" s="1"/>
      <c r="AF6156" s="1"/>
      <c r="AG6156" s="1"/>
    </row>
    <row r="6157" ht="15.75" customHeight="1">
      <c r="A6157" s="1"/>
      <c r="B6157" s="1"/>
      <c r="C6157" s="1"/>
      <c r="D6157" s="1"/>
      <c r="E6157" s="1"/>
      <c r="F6157" s="1"/>
      <c r="G6157" s="1"/>
      <c r="H6157" s="1"/>
      <c r="I6157" s="1"/>
      <c r="J6157" s="1"/>
      <c r="K6157" s="119" t="s">
        <v>1533</v>
      </c>
      <c r="L6157" s="102" t="str">
        <f>R783</f>
        <v>J2a1a1a2b2a1a1a2a1~</v>
      </c>
      <c r="M6157" s="102"/>
      <c r="N6157" s="1" t="s">
        <v>9659</v>
      </c>
      <c r="O6157" s="114">
        <v>1.806695E7</v>
      </c>
      <c r="P6157" s="105">
        <v>1.595507E7</v>
      </c>
      <c r="Q6157" s="102" t="s">
        <v>2533</v>
      </c>
      <c r="T6157" s="1"/>
      <c r="U6157" s="1"/>
      <c r="V6157" s="1"/>
      <c r="W6157" s="1"/>
      <c r="X6157" s="1"/>
      <c r="Y6157" s="1"/>
      <c r="AA6157" s="102"/>
      <c r="AB6157" s="1"/>
      <c r="AC6157" s="1"/>
      <c r="AD6157" s="1"/>
      <c r="AE6157" s="1"/>
      <c r="AF6157" s="1"/>
      <c r="AG6157" s="1"/>
    </row>
    <row r="6158" ht="15.75" customHeight="1">
      <c r="A6158" s="1"/>
      <c r="B6158" s="1"/>
      <c r="C6158" s="1"/>
      <c r="D6158" s="1"/>
      <c r="E6158" s="1"/>
      <c r="F6158" s="1"/>
      <c r="G6158" s="1"/>
      <c r="H6158" s="1"/>
      <c r="I6158" s="1"/>
      <c r="J6158" s="1"/>
      <c r="K6158" s="119" t="s">
        <v>1535</v>
      </c>
      <c r="L6158" s="102" t="str">
        <f>S784</f>
        <v>J2a1a1a2b2a1a1a2a1a~</v>
      </c>
      <c r="M6158" s="102"/>
      <c r="N6158" s="1" t="s">
        <v>9660</v>
      </c>
      <c r="O6158" s="114">
        <v>1.7892757E7</v>
      </c>
      <c r="P6158" s="105">
        <v>1.5780877E7</v>
      </c>
      <c r="Q6158" s="102" t="s">
        <v>2501</v>
      </c>
      <c r="T6158" s="1"/>
      <c r="U6158" s="1"/>
      <c r="V6158" s="1"/>
      <c r="W6158" s="1"/>
      <c r="X6158" s="1"/>
      <c r="Y6158" s="1"/>
      <c r="AA6158" s="102"/>
      <c r="AB6158" s="1"/>
      <c r="AC6158" s="1"/>
      <c r="AD6158" s="1"/>
      <c r="AE6158" s="1"/>
      <c r="AF6158" s="1"/>
      <c r="AG6158" s="1"/>
    </row>
    <row r="6159" ht="15.75" customHeight="1">
      <c r="A6159" s="1"/>
      <c r="B6159" s="1"/>
      <c r="C6159" s="1"/>
      <c r="D6159" s="1"/>
      <c r="E6159" s="1"/>
      <c r="F6159" s="1"/>
      <c r="G6159" s="1"/>
      <c r="H6159" s="1"/>
      <c r="I6159" s="1"/>
      <c r="J6159" s="1"/>
      <c r="K6159" s="119" t="s">
        <v>9661</v>
      </c>
      <c r="L6159" s="102" t="str">
        <f>P785</f>
        <v>J2a1a1a2b2a1a1a3</v>
      </c>
      <c r="M6159" s="102"/>
      <c r="N6159" s="1" t="s">
        <v>9662</v>
      </c>
      <c r="O6159" s="114">
        <v>1.4324563E7</v>
      </c>
      <c r="P6159" s="105">
        <v>1.2203857E7</v>
      </c>
      <c r="Q6159" s="102" t="s">
        <v>2468</v>
      </c>
      <c r="T6159" s="1"/>
      <c r="U6159" s="1"/>
      <c r="V6159" s="1"/>
      <c r="W6159" s="1"/>
      <c r="X6159" s="1"/>
      <c r="Y6159" s="1"/>
      <c r="AA6159" s="102"/>
      <c r="AB6159" s="1"/>
      <c r="AC6159" s="1"/>
      <c r="AD6159" s="1"/>
      <c r="AE6159" s="1"/>
      <c r="AF6159" s="1"/>
      <c r="AG6159" s="1"/>
    </row>
    <row r="6160" ht="15.75" customHeight="1">
      <c r="A6160" s="1"/>
      <c r="B6160" s="1"/>
      <c r="C6160" s="1"/>
      <c r="D6160" s="1"/>
      <c r="E6160" s="1"/>
      <c r="F6160" s="1"/>
      <c r="G6160" s="1"/>
      <c r="H6160" s="1"/>
      <c r="I6160" s="1"/>
      <c r="J6160" s="1"/>
      <c r="K6160" s="19" t="s">
        <v>9663</v>
      </c>
      <c r="L6160" s="1" t="str">
        <f>P785</f>
        <v>J2a1a1a2b2a1a1a3</v>
      </c>
      <c r="M6160" s="19" t="s">
        <v>9664</v>
      </c>
      <c r="N6160" s="108" t="s">
        <v>9665</v>
      </c>
      <c r="O6160" s="108">
        <v>1.6506993E7</v>
      </c>
      <c r="P6160" s="19">
        <v>1.4395113E7</v>
      </c>
      <c r="Q6160" s="19" t="s">
        <v>2439</v>
      </c>
      <c r="T6160" s="1"/>
      <c r="U6160" s="1"/>
      <c r="V6160" s="1"/>
      <c r="W6160" s="1"/>
      <c r="X6160" s="1"/>
      <c r="Y6160" s="1"/>
      <c r="AA6160" s="102"/>
      <c r="AB6160" s="1"/>
      <c r="AC6160" s="1"/>
      <c r="AD6160" s="1"/>
      <c r="AE6160" s="1"/>
      <c r="AF6160" s="1"/>
      <c r="AG6160" s="1"/>
    </row>
    <row r="6161" ht="15.75" customHeight="1">
      <c r="A6161" s="1"/>
      <c r="B6161" s="1"/>
      <c r="C6161" s="1"/>
      <c r="D6161" s="1"/>
      <c r="E6161" s="1"/>
      <c r="F6161" s="1"/>
      <c r="G6161" s="1"/>
      <c r="H6161" s="1"/>
      <c r="I6161" s="1"/>
      <c r="J6161" s="1"/>
      <c r="K6161" s="106" t="s">
        <v>9664</v>
      </c>
      <c r="L6161" s="102" t="str">
        <f>P785</f>
        <v>J2a1a1a2b2a1a1a3</v>
      </c>
      <c r="M6161" s="106" t="s">
        <v>9663</v>
      </c>
      <c r="N6161" s="108" t="s">
        <v>9665</v>
      </c>
      <c r="O6161" s="108">
        <v>1.6506993E7</v>
      </c>
      <c r="P6161" s="19">
        <v>1.4395113E7</v>
      </c>
      <c r="Q6161" s="19" t="s">
        <v>2439</v>
      </c>
      <c r="T6161" s="1"/>
      <c r="U6161" s="1"/>
      <c r="V6161" s="1"/>
      <c r="W6161" s="1"/>
      <c r="X6161" s="1"/>
      <c r="Y6161" s="1"/>
      <c r="AA6161" s="102"/>
      <c r="AB6161" s="1"/>
      <c r="AC6161" s="1"/>
      <c r="AD6161" s="1"/>
      <c r="AE6161" s="1"/>
      <c r="AF6161" s="1"/>
      <c r="AG6161" s="1"/>
    </row>
    <row r="6162" ht="15.75" customHeight="1">
      <c r="A6162" s="1"/>
      <c r="B6162" s="1"/>
      <c r="C6162" s="1"/>
      <c r="D6162" s="1"/>
      <c r="E6162" s="1"/>
      <c r="F6162" s="1"/>
      <c r="G6162" s="1"/>
      <c r="H6162" s="1"/>
      <c r="I6162" s="1"/>
      <c r="J6162" s="1"/>
      <c r="K6162" s="119" t="s">
        <v>1539</v>
      </c>
      <c r="L6162" s="102" t="str">
        <f>Q786</f>
        <v>J2a1a1a2b2a1a1a3a~</v>
      </c>
      <c r="M6162" s="102"/>
      <c r="N6162" s="1"/>
      <c r="O6162" s="114">
        <v>1.7471949E7</v>
      </c>
      <c r="P6162" s="105">
        <v>1.5360069E7</v>
      </c>
      <c r="Q6162" s="102" t="s">
        <v>2446</v>
      </c>
      <c r="T6162" s="1"/>
      <c r="U6162" s="1"/>
      <c r="V6162" s="1"/>
      <c r="W6162" s="1"/>
      <c r="X6162" s="1"/>
      <c r="Y6162" s="1"/>
      <c r="AA6162" s="102"/>
      <c r="AB6162" s="1"/>
      <c r="AC6162" s="1"/>
      <c r="AD6162" s="1"/>
      <c r="AE6162" s="1"/>
      <c r="AF6162" s="1"/>
      <c r="AG6162" s="1"/>
    </row>
    <row r="6163" ht="15.75" customHeight="1">
      <c r="A6163" s="1"/>
      <c r="B6163" s="1"/>
      <c r="C6163" s="1"/>
      <c r="D6163" s="1"/>
      <c r="E6163" s="1"/>
      <c r="F6163" s="1"/>
      <c r="G6163" s="1"/>
      <c r="H6163" s="1"/>
      <c r="I6163" s="1"/>
      <c r="J6163" s="1"/>
      <c r="K6163" s="119" t="s">
        <v>1541</v>
      </c>
      <c r="L6163" s="102" t="str">
        <f>R787</f>
        <v>J2a1a1a2b2a1a1a3a1~</v>
      </c>
      <c r="M6163" s="102"/>
      <c r="N6163" s="1"/>
      <c r="O6163" s="114">
        <v>2.1546878E7</v>
      </c>
      <c r="P6163" s="105">
        <v>1.9384992E7</v>
      </c>
      <c r="Q6163" s="102" t="s">
        <v>2468</v>
      </c>
      <c r="T6163" s="1"/>
      <c r="U6163" s="1"/>
      <c r="V6163" s="1"/>
      <c r="W6163" s="1"/>
      <c r="X6163" s="1"/>
      <c r="Y6163" s="1"/>
      <c r="AA6163" s="102"/>
      <c r="AB6163" s="1"/>
      <c r="AC6163" s="1"/>
      <c r="AD6163" s="1"/>
      <c r="AE6163" s="1"/>
      <c r="AF6163" s="1"/>
      <c r="AG6163" s="1"/>
    </row>
    <row r="6164" ht="15.75" customHeight="1">
      <c r="A6164" s="1"/>
      <c r="B6164" s="1"/>
      <c r="C6164" s="1"/>
      <c r="D6164" s="1"/>
      <c r="E6164" s="1"/>
      <c r="F6164" s="1"/>
      <c r="G6164" s="1"/>
      <c r="H6164" s="1"/>
      <c r="I6164" s="1"/>
      <c r="J6164" s="1"/>
      <c r="K6164" s="119" t="s">
        <v>1543</v>
      </c>
      <c r="L6164" s="102" t="str">
        <f>S788</f>
        <v>J2a1a1a2b2a1a1a3a1a~</v>
      </c>
      <c r="M6164" s="102"/>
      <c r="N6164" s="1"/>
      <c r="O6164" s="114">
        <v>1.7395654E7</v>
      </c>
      <c r="P6164" s="105">
        <v>1.5283774E7</v>
      </c>
      <c r="Q6164" s="102" t="s">
        <v>2529</v>
      </c>
      <c r="T6164" s="1"/>
      <c r="U6164" s="1"/>
      <c r="V6164" s="1"/>
      <c r="W6164" s="1"/>
      <c r="X6164" s="1"/>
      <c r="Y6164" s="1"/>
      <c r="AA6164" s="102"/>
      <c r="AB6164" s="1"/>
      <c r="AC6164" s="1"/>
      <c r="AD6164" s="1"/>
      <c r="AE6164" s="1"/>
      <c r="AF6164" s="1"/>
      <c r="AG6164" s="1"/>
    </row>
    <row r="6165" ht="15.75" customHeight="1">
      <c r="A6165" s="1"/>
      <c r="B6165" s="1"/>
      <c r="C6165" s="1"/>
      <c r="D6165" s="1"/>
      <c r="E6165" s="1"/>
      <c r="F6165" s="1"/>
      <c r="G6165" s="1"/>
      <c r="H6165" s="1"/>
      <c r="I6165" s="1"/>
      <c r="J6165" s="1"/>
      <c r="K6165" s="119" t="s">
        <v>1545</v>
      </c>
      <c r="L6165" s="102" t="str">
        <f>R789</f>
        <v>J2a1a1a2b2a1a1a3a2~</v>
      </c>
      <c r="M6165" s="102"/>
      <c r="N6165" s="1"/>
      <c r="O6165" s="114">
        <v>9894039.0</v>
      </c>
      <c r="P6165" s="105">
        <v>1.005643E7</v>
      </c>
      <c r="Q6165" s="102" t="s">
        <v>2432</v>
      </c>
      <c r="T6165" s="1"/>
      <c r="U6165" s="1"/>
      <c r="V6165" s="1"/>
      <c r="W6165" s="1"/>
      <c r="X6165" s="1"/>
      <c r="Y6165" s="1"/>
      <c r="AA6165" s="102"/>
      <c r="AB6165" s="1"/>
      <c r="AC6165" s="1"/>
      <c r="AD6165" s="1"/>
      <c r="AE6165" s="1"/>
      <c r="AF6165" s="1"/>
      <c r="AG6165" s="1"/>
    </row>
    <row r="6166" ht="15.75" customHeight="1">
      <c r="A6166" s="1"/>
      <c r="B6166" s="1"/>
      <c r="C6166" s="1"/>
      <c r="D6166" s="1"/>
      <c r="E6166" s="1"/>
      <c r="F6166" s="1"/>
      <c r="G6166" s="1"/>
      <c r="H6166" s="1"/>
      <c r="I6166" s="1"/>
      <c r="J6166" s="1"/>
      <c r="K6166" s="119" t="s">
        <v>1547</v>
      </c>
      <c r="L6166" s="102" t="str">
        <f t="shared" ref="L6166:L6167" si="141">S790</f>
        <v>J2a1a1a2b2a1a1a3a2a~</v>
      </c>
      <c r="M6166" s="102"/>
      <c r="N6166" s="1"/>
      <c r="O6166" s="114">
        <v>7191564.0</v>
      </c>
      <c r="P6166" s="105">
        <v>7323523.0</v>
      </c>
      <c r="Q6166" s="102" t="s">
        <v>2439</v>
      </c>
      <c r="T6166" s="1"/>
      <c r="U6166" s="1"/>
      <c r="V6166" s="1"/>
      <c r="W6166" s="1"/>
      <c r="X6166" s="1"/>
      <c r="Y6166" s="1"/>
      <c r="AA6166" s="102"/>
      <c r="AB6166" s="1"/>
      <c r="AC6166" s="1"/>
      <c r="AD6166" s="1"/>
      <c r="AE6166" s="1"/>
      <c r="AF6166" s="1"/>
      <c r="AG6166" s="1"/>
    </row>
    <row r="6167" ht="15.75" customHeight="1">
      <c r="A6167" s="1"/>
      <c r="B6167" s="1"/>
      <c r="C6167" s="1"/>
      <c r="D6167" s="1"/>
      <c r="E6167" s="1"/>
      <c r="F6167" s="1"/>
      <c r="G6167" s="1"/>
      <c r="H6167" s="1"/>
      <c r="I6167" s="1"/>
      <c r="J6167" s="1"/>
      <c r="K6167" s="119" t="s">
        <v>1549</v>
      </c>
      <c r="L6167" s="102" t="str">
        <f t="shared" si="141"/>
        <v>J2a1a1a2b2a1a1a3a2b~</v>
      </c>
      <c r="M6167" s="102"/>
      <c r="N6167" s="1"/>
      <c r="O6167" s="114">
        <v>1.4485686E7</v>
      </c>
      <c r="P6167" s="105">
        <v>1.2364955E7</v>
      </c>
      <c r="Q6167" s="102" t="s">
        <v>2468</v>
      </c>
      <c r="T6167" s="1"/>
      <c r="U6167" s="1"/>
      <c r="V6167" s="1"/>
      <c r="W6167" s="1"/>
      <c r="X6167" s="1"/>
      <c r="Y6167" s="1"/>
      <c r="AA6167" s="102"/>
      <c r="AB6167" s="1"/>
      <c r="AC6167" s="1"/>
      <c r="AD6167" s="1"/>
      <c r="AE6167" s="1"/>
      <c r="AF6167" s="1"/>
      <c r="AG6167" s="1"/>
    </row>
    <row r="6168" ht="15.75" customHeight="1">
      <c r="A6168" s="1"/>
      <c r="B6168" s="1"/>
      <c r="C6168" s="1"/>
      <c r="D6168" s="1"/>
      <c r="E6168" s="1"/>
      <c r="F6168" s="1"/>
      <c r="G6168" s="1"/>
      <c r="H6168" s="1"/>
      <c r="I6168" s="1"/>
      <c r="J6168" s="1"/>
      <c r="K6168" s="119" t="s">
        <v>1551</v>
      </c>
      <c r="L6168" s="102" t="str">
        <f>T792</f>
        <v>J2a1a1a2b2a1a1a3a2b1~</v>
      </c>
      <c r="M6168" s="102"/>
      <c r="N6168" s="1"/>
      <c r="O6168" s="114">
        <v>1.6820952E7</v>
      </c>
      <c r="P6168" s="105">
        <v>1.4709072E7</v>
      </c>
      <c r="Q6168" s="102" t="s">
        <v>2468</v>
      </c>
      <c r="T6168" s="1"/>
      <c r="U6168" s="1"/>
      <c r="V6168" s="1"/>
      <c r="W6168" s="1"/>
      <c r="X6168" s="1"/>
      <c r="Y6168" s="1"/>
      <c r="AA6168" s="102"/>
      <c r="AB6168" s="1"/>
      <c r="AC6168" s="1"/>
      <c r="AD6168" s="1"/>
      <c r="AE6168" s="1"/>
      <c r="AF6168" s="1"/>
      <c r="AG6168" s="1"/>
    </row>
    <row r="6169" ht="15.75" customHeight="1">
      <c r="A6169" s="1"/>
      <c r="B6169" s="1"/>
      <c r="C6169" s="1"/>
      <c r="D6169" s="1"/>
      <c r="E6169" s="1"/>
      <c r="F6169" s="1"/>
      <c r="G6169" s="1"/>
      <c r="H6169" s="1"/>
      <c r="I6169" s="1"/>
      <c r="J6169" s="1"/>
      <c r="K6169" s="106" t="s">
        <v>9666</v>
      </c>
      <c r="L6169" s="102" t="str">
        <f>Q793</f>
        <v>J2a1a1a2b2a1a1a3b</v>
      </c>
      <c r="M6169" s="102"/>
      <c r="N6169" s="102" t="s">
        <v>9667</v>
      </c>
      <c r="O6169" s="105">
        <v>2.189986E7</v>
      </c>
      <c r="P6169" s="105">
        <v>1.9737974E7</v>
      </c>
      <c r="Q6169" s="102" t="s">
        <v>2501</v>
      </c>
      <c r="T6169" s="1"/>
      <c r="U6169" s="1"/>
      <c r="V6169" s="1"/>
      <c r="W6169" s="1"/>
      <c r="X6169" s="1"/>
      <c r="Y6169" s="1"/>
      <c r="AA6169" s="102"/>
      <c r="AB6169" s="1"/>
      <c r="AC6169" s="1"/>
      <c r="AD6169" s="1"/>
      <c r="AE6169" s="1"/>
      <c r="AF6169" s="1"/>
      <c r="AG6169" s="1"/>
    </row>
    <row r="6170" ht="15.75" customHeight="1">
      <c r="A6170" s="1"/>
      <c r="B6170" s="1"/>
      <c r="C6170" s="1"/>
      <c r="D6170" s="1"/>
      <c r="E6170" s="1"/>
      <c r="F6170" s="1"/>
      <c r="G6170" s="1"/>
      <c r="H6170" s="1"/>
      <c r="I6170" s="1"/>
      <c r="J6170" s="1"/>
      <c r="K6170" s="102" t="s">
        <v>9668</v>
      </c>
      <c r="L6170" s="102" t="str">
        <f t="shared" ref="L6170:L6171" si="142">Q793</f>
        <v>J2a1a1a2b2a1a1a3b</v>
      </c>
      <c r="M6170" s="102"/>
      <c r="N6170" s="102"/>
      <c r="O6170" s="105">
        <v>4780599.0</v>
      </c>
      <c r="P6170" s="105">
        <v>4912558.0</v>
      </c>
      <c r="Q6170" s="102" t="s">
        <v>2576</v>
      </c>
      <c r="T6170" s="1"/>
      <c r="U6170" s="1"/>
      <c r="V6170" s="1"/>
      <c r="W6170" s="1"/>
      <c r="X6170" s="1"/>
      <c r="Y6170" s="1"/>
      <c r="AA6170" s="102"/>
      <c r="AB6170" s="1"/>
      <c r="AC6170" s="1"/>
      <c r="AD6170" s="1"/>
      <c r="AE6170" s="1"/>
      <c r="AF6170" s="1"/>
      <c r="AG6170" s="1"/>
    </row>
    <row r="6171" ht="15.75" customHeight="1">
      <c r="A6171" s="1"/>
      <c r="B6171" s="1"/>
      <c r="C6171" s="1"/>
      <c r="D6171" s="1"/>
      <c r="E6171" s="1"/>
      <c r="F6171" s="1"/>
      <c r="G6171" s="1"/>
      <c r="H6171" s="1"/>
      <c r="I6171" s="1"/>
      <c r="J6171" s="1"/>
      <c r="K6171" s="119" t="s">
        <v>9669</v>
      </c>
      <c r="L6171" s="102" t="str">
        <f t="shared" si="142"/>
        <v>J2a1a1a2b2a1a1a3b~</v>
      </c>
      <c r="M6171" s="102"/>
      <c r="N6171" s="1"/>
      <c r="O6171" s="114">
        <v>7360818.0</v>
      </c>
      <c r="P6171" s="105">
        <v>7492777.0</v>
      </c>
      <c r="Q6171" s="102" t="s">
        <v>2529</v>
      </c>
      <c r="T6171" s="1"/>
      <c r="U6171" s="1"/>
      <c r="V6171" s="1"/>
      <c r="W6171" s="1"/>
      <c r="X6171" s="1"/>
      <c r="Y6171" s="1"/>
      <c r="AA6171" s="102"/>
      <c r="AB6171" s="1"/>
      <c r="AC6171" s="1"/>
      <c r="AD6171" s="1"/>
      <c r="AE6171" s="1"/>
      <c r="AF6171" s="1"/>
      <c r="AG6171" s="1"/>
    </row>
    <row r="6172" ht="15.75" customHeight="1">
      <c r="A6172" s="1"/>
      <c r="B6172" s="1"/>
      <c r="C6172" s="1"/>
      <c r="D6172" s="1"/>
      <c r="E6172" s="1"/>
      <c r="F6172" s="1"/>
      <c r="G6172" s="1"/>
      <c r="H6172" s="1"/>
      <c r="I6172" s="1"/>
      <c r="J6172" s="1"/>
      <c r="K6172" s="119" t="s">
        <v>9670</v>
      </c>
      <c r="L6172" s="102" t="str">
        <f>R795</f>
        <v>J2a1a1a2b2a1a1a3b1~</v>
      </c>
      <c r="M6172" s="102" t="s">
        <v>9671</v>
      </c>
      <c r="N6172" s="1"/>
      <c r="O6172" s="114">
        <v>2.3779443E7</v>
      </c>
      <c r="P6172" s="105">
        <v>2.1617557E7</v>
      </c>
      <c r="Q6172" s="102" t="s">
        <v>2439</v>
      </c>
      <c r="T6172" s="1"/>
      <c r="U6172" s="1"/>
      <c r="V6172" s="1"/>
      <c r="W6172" s="1"/>
      <c r="X6172" s="1"/>
      <c r="Y6172" s="1"/>
      <c r="AA6172" s="102"/>
      <c r="AB6172" s="1"/>
      <c r="AC6172" s="1"/>
      <c r="AD6172" s="1"/>
      <c r="AE6172" s="1"/>
      <c r="AF6172" s="1"/>
      <c r="AG6172" s="1"/>
    </row>
    <row r="6173" ht="15.75" customHeight="1">
      <c r="A6173" s="1"/>
      <c r="B6173" s="1"/>
      <c r="C6173" s="1"/>
      <c r="D6173" s="1"/>
      <c r="E6173" s="1"/>
      <c r="F6173" s="1"/>
      <c r="G6173" s="1"/>
      <c r="H6173" s="1"/>
      <c r="I6173" s="1"/>
      <c r="J6173" s="1"/>
      <c r="K6173" s="106" t="s">
        <v>9671</v>
      </c>
      <c r="L6173" s="102" t="str">
        <f>R795</f>
        <v>J2a1a1a2b2a1a1a3b1~</v>
      </c>
      <c r="M6173" s="106" t="s">
        <v>9670</v>
      </c>
      <c r="N6173" s="1"/>
      <c r="O6173" s="114">
        <v>2.3779443E7</v>
      </c>
      <c r="P6173" s="105">
        <v>2.1617557E7</v>
      </c>
      <c r="Q6173" s="102" t="s">
        <v>2439</v>
      </c>
      <c r="T6173" s="1"/>
      <c r="U6173" s="1"/>
      <c r="V6173" s="1"/>
      <c r="W6173" s="1"/>
      <c r="X6173" s="1"/>
      <c r="Y6173" s="1"/>
      <c r="AA6173" s="102"/>
      <c r="AB6173" s="1"/>
      <c r="AC6173" s="1"/>
      <c r="AD6173" s="1"/>
      <c r="AE6173" s="1"/>
      <c r="AF6173" s="1"/>
      <c r="AG6173" s="1"/>
    </row>
    <row r="6174" ht="15.75" customHeight="1">
      <c r="A6174" s="1"/>
      <c r="B6174" s="1"/>
      <c r="C6174" s="1"/>
      <c r="D6174" s="1"/>
      <c r="E6174" s="1"/>
      <c r="F6174" s="1"/>
      <c r="G6174" s="1"/>
      <c r="H6174" s="1"/>
      <c r="I6174" s="1"/>
      <c r="J6174" s="1"/>
      <c r="K6174" s="119" t="s">
        <v>1559</v>
      </c>
      <c r="L6174" s="102" t="str">
        <f t="shared" ref="L6174:L6175" si="143">S796</f>
        <v>J2a1a1a2b2a1a1a3b1a~</v>
      </c>
      <c r="M6174" s="102"/>
      <c r="N6174" s="1" t="s">
        <v>9672</v>
      </c>
      <c r="O6174" s="114">
        <v>2.1594777E7</v>
      </c>
      <c r="P6174" s="105">
        <v>1.9432891E7</v>
      </c>
      <c r="Q6174" s="102" t="s">
        <v>2529</v>
      </c>
      <c r="T6174" s="1"/>
      <c r="U6174" s="1"/>
      <c r="V6174" s="1"/>
      <c r="W6174" s="1"/>
      <c r="X6174" s="1"/>
      <c r="Y6174" s="1"/>
      <c r="AA6174" s="102"/>
      <c r="AB6174" s="1"/>
      <c r="AC6174" s="1"/>
      <c r="AD6174" s="1"/>
      <c r="AE6174" s="1"/>
      <c r="AF6174" s="1"/>
      <c r="AG6174" s="1"/>
    </row>
    <row r="6175" ht="15.75" customHeight="1">
      <c r="A6175" s="1"/>
      <c r="B6175" s="1"/>
      <c r="C6175" s="1"/>
      <c r="D6175" s="1"/>
      <c r="E6175" s="1"/>
      <c r="F6175" s="1"/>
      <c r="G6175" s="1"/>
      <c r="H6175" s="1"/>
      <c r="I6175" s="1"/>
      <c r="J6175" s="1"/>
      <c r="K6175" s="119" t="s">
        <v>1561</v>
      </c>
      <c r="L6175" s="102" t="str">
        <f t="shared" si="143"/>
        <v>J2a1a1a2b2a1a1a3b1b~</v>
      </c>
      <c r="M6175" s="102"/>
      <c r="N6175" s="1" t="s">
        <v>9673</v>
      </c>
      <c r="O6175" s="114">
        <v>8334640.0</v>
      </c>
      <c r="P6175" s="105">
        <v>8466599.0</v>
      </c>
      <c r="Q6175" s="102" t="s">
        <v>2563</v>
      </c>
      <c r="T6175" s="1"/>
      <c r="U6175" s="1"/>
      <c r="V6175" s="1"/>
      <c r="W6175" s="1"/>
      <c r="X6175" s="1"/>
      <c r="Y6175" s="1"/>
      <c r="AA6175" s="102"/>
      <c r="AB6175" s="1"/>
      <c r="AC6175" s="1"/>
      <c r="AD6175" s="1"/>
      <c r="AE6175" s="1"/>
      <c r="AF6175" s="1"/>
      <c r="AG6175" s="1"/>
    </row>
    <row r="6176" ht="15.75" customHeight="1">
      <c r="A6176" s="1"/>
      <c r="B6176" s="1"/>
      <c r="C6176" s="1"/>
      <c r="D6176" s="1"/>
      <c r="E6176" s="1"/>
      <c r="F6176" s="1"/>
      <c r="G6176" s="1"/>
      <c r="H6176" s="1"/>
      <c r="I6176" s="1"/>
      <c r="J6176" s="1"/>
      <c r="K6176" s="119" t="s">
        <v>9674</v>
      </c>
      <c r="L6176" s="102" t="str">
        <f>T798</f>
        <v>J2a1a1a2b2a1a1a3b1b1~</v>
      </c>
      <c r="M6176" s="102" t="s">
        <v>9675</v>
      </c>
      <c r="N6176" s="1"/>
      <c r="O6176" s="114">
        <v>1.7423432E7</v>
      </c>
      <c r="P6176" s="105">
        <v>1.5311552E7</v>
      </c>
      <c r="Q6176" s="102" t="s">
        <v>2439</v>
      </c>
      <c r="T6176" s="1"/>
      <c r="U6176" s="1"/>
      <c r="V6176" s="1"/>
      <c r="W6176" s="1"/>
      <c r="X6176" s="1"/>
      <c r="Y6176" s="1"/>
      <c r="AA6176" s="102"/>
      <c r="AB6176" s="1"/>
      <c r="AC6176" s="1"/>
      <c r="AD6176" s="1"/>
      <c r="AE6176" s="1"/>
      <c r="AF6176" s="1"/>
      <c r="AG6176" s="1"/>
    </row>
    <row r="6177" ht="15.75" customHeight="1">
      <c r="A6177" s="1"/>
      <c r="B6177" s="1"/>
      <c r="C6177" s="1"/>
      <c r="D6177" s="1"/>
      <c r="E6177" s="1"/>
      <c r="F6177" s="1"/>
      <c r="G6177" s="1"/>
      <c r="H6177" s="1"/>
      <c r="I6177" s="1"/>
      <c r="J6177" s="1"/>
      <c r="K6177" s="106" t="s">
        <v>9675</v>
      </c>
      <c r="L6177" s="102" t="str">
        <f t="shared" ref="L6177:L6178" si="144">T798</f>
        <v>J2a1a1a2b2a1a1a3b1b1~</v>
      </c>
      <c r="M6177" s="106" t="s">
        <v>9674</v>
      </c>
      <c r="N6177" s="1"/>
      <c r="O6177" s="114">
        <v>1.7423432E7</v>
      </c>
      <c r="P6177" s="105">
        <v>1.5311552E7</v>
      </c>
      <c r="Q6177" s="102" t="s">
        <v>2439</v>
      </c>
      <c r="T6177" s="1"/>
      <c r="U6177" s="1"/>
      <c r="V6177" s="1"/>
      <c r="W6177" s="1"/>
      <c r="X6177" s="1"/>
      <c r="Y6177" s="1"/>
      <c r="AA6177" s="102"/>
      <c r="AB6177" s="1"/>
      <c r="AC6177" s="1"/>
      <c r="AD6177" s="1"/>
      <c r="AE6177" s="1"/>
      <c r="AF6177" s="1"/>
      <c r="AG6177" s="1"/>
    </row>
    <row r="6178" ht="15.75" customHeight="1">
      <c r="A6178" s="1"/>
      <c r="B6178" s="1"/>
      <c r="C6178" s="1"/>
      <c r="D6178" s="1"/>
      <c r="E6178" s="1"/>
      <c r="F6178" s="1"/>
      <c r="G6178" s="1"/>
      <c r="H6178" s="1"/>
      <c r="I6178" s="1"/>
      <c r="J6178" s="1"/>
      <c r="K6178" s="119" t="s">
        <v>1565</v>
      </c>
      <c r="L6178" s="102" t="str">
        <f t="shared" si="144"/>
        <v>J2a1a1a2b2a1a1a3b1b2~</v>
      </c>
      <c r="M6178" s="102"/>
      <c r="N6178" s="1"/>
      <c r="O6178" s="114">
        <v>1.9108113E7</v>
      </c>
      <c r="P6178" s="105">
        <v>1.6996233E7</v>
      </c>
      <c r="Q6178" s="102" t="s">
        <v>2439</v>
      </c>
      <c r="T6178" s="1"/>
      <c r="U6178" s="1"/>
      <c r="V6178" s="1"/>
      <c r="W6178" s="1"/>
      <c r="X6178" s="1"/>
      <c r="Y6178" s="1"/>
      <c r="AA6178" s="102"/>
      <c r="AB6178" s="1"/>
      <c r="AC6178" s="1"/>
      <c r="AD6178" s="1"/>
      <c r="AE6178" s="1"/>
      <c r="AF6178" s="1"/>
      <c r="AG6178" s="1"/>
    </row>
    <row r="6179" ht="15.75" customHeight="1">
      <c r="A6179" s="1"/>
      <c r="B6179" s="1"/>
      <c r="C6179" s="1"/>
      <c r="D6179" s="1"/>
      <c r="E6179" s="1"/>
      <c r="F6179" s="1"/>
      <c r="G6179" s="1"/>
      <c r="H6179" s="1"/>
      <c r="I6179" s="1"/>
      <c r="J6179" s="1"/>
      <c r="K6179" s="119" t="s">
        <v>9676</v>
      </c>
      <c r="L6179" s="102" t="str">
        <f>R800</f>
        <v>J2a1a1a2b2a1a1a3b2~</v>
      </c>
      <c r="M6179" s="102" t="s">
        <v>9677</v>
      </c>
      <c r="N6179" s="1" t="s">
        <v>9678</v>
      </c>
      <c r="O6179" s="114">
        <v>1.617265E7</v>
      </c>
      <c r="P6179" s="105">
        <v>1.406077E7</v>
      </c>
      <c r="Q6179" s="102" t="s">
        <v>2439</v>
      </c>
      <c r="T6179" s="1"/>
      <c r="U6179" s="1"/>
      <c r="V6179" s="1"/>
      <c r="W6179" s="1"/>
      <c r="X6179" s="1"/>
      <c r="Y6179" s="1"/>
      <c r="AA6179" s="102"/>
      <c r="AB6179" s="1"/>
      <c r="AC6179" s="1"/>
      <c r="AD6179" s="1"/>
      <c r="AE6179" s="1"/>
      <c r="AF6179" s="1"/>
      <c r="AG6179" s="1"/>
    </row>
    <row r="6180" ht="15.75" customHeight="1">
      <c r="A6180" s="1"/>
      <c r="B6180" s="1"/>
      <c r="C6180" s="1"/>
      <c r="D6180" s="1"/>
      <c r="E6180" s="1"/>
      <c r="F6180" s="1"/>
      <c r="G6180" s="1"/>
      <c r="H6180" s="1"/>
      <c r="I6180" s="1"/>
      <c r="J6180" s="1"/>
      <c r="K6180" s="106" t="s">
        <v>9677</v>
      </c>
      <c r="L6180" s="102" t="str">
        <f>R800</f>
        <v>J2a1a1a2b2a1a1a3b2~</v>
      </c>
      <c r="M6180" s="106" t="s">
        <v>9676</v>
      </c>
      <c r="N6180" s="1" t="s">
        <v>9678</v>
      </c>
      <c r="O6180" s="114">
        <v>1.617265E7</v>
      </c>
      <c r="P6180" s="105">
        <v>1.406077E7</v>
      </c>
      <c r="Q6180" s="102" t="s">
        <v>2439</v>
      </c>
      <c r="T6180" s="1"/>
      <c r="U6180" s="1"/>
      <c r="V6180" s="1"/>
      <c r="W6180" s="1"/>
      <c r="X6180" s="1"/>
      <c r="Y6180" s="1"/>
      <c r="AA6180" s="102"/>
      <c r="AB6180" s="1"/>
      <c r="AC6180" s="1"/>
      <c r="AD6180" s="1"/>
      <c r="AE6180" s="1"/>
      <c r="AF6180" s="1"/>
      <c r="AG6180" s="1"/>
    </row>
    <row r="6181" ht="15.75" customHeight="1">
      <c r="A6181" s="1"/>
      <c r="B6181" s="1"/>
      <c r="C6181" s="1"/>
      <c r="D6181" s="1"/>
      <c r="E6181" s="1"/>
      <c r="F6181" s="1"/>
      <c r="G6181" s="1"/>
      <c r="H6181" s="1"/>
      <c r="I6181" s="1"/>
      <c r="J6181" s="1"/>
      <c r="K6181" s="119" t="s">
        <v>1569</v>
      </c>
      <c r="L6181" s="102" t="str">
        <f t="shared" ref="L6181:L6182" si="145">S801</f>
        <v>J2a1a1a2b2a1a1a3b2a~</v>
      </c>
      <c r="M6181" s="102"/>
      <c r="N6181" s="1"/>
      <c r="O6181" s="114">
        <v>1.8228114E7</v>
      </c>
      <c r="P6181" s="105">
        <v>1.6116234E7</v>
      </c>
      <c r="Q6181" s="102" t="s">
        <v>2514</v>
      </c>
      <c r="T6181" s="1"/>
      <c r="U6181" s="1"/>
      <c r="V6181" s="1"/>
      <c r="W6181" s="1"/>
      <c r="X6181" s="1"/>
      <c r="Y6181" s="1"/>
      <c r="AA6181" s="102"/>
      <c r="AB6181" s="1"/>
      <c r="AC6181" s="1"/>
      <c r="AD6181" s="1"/>
      <c r="AE6181" s="1"/>
      <c r="AF6181" s="1"/>
      <c r="AG6181" s="1"/>
    </row>
    <row r="6182" ht="15.75" customHeight="1">
      <c r="A6182" s="1"/>
      <c r="B6182" s="1"/>
      <c r="C6182" s="1"/>
      <c r="D6182" s="1"/>
      <c r="E6182" s="1"/>
      <c r="F6182" s="1"/>
      <c r="G6182" s="1"/>
      <c r="H6182" s="1"/>
      <c r="I6182" s="1"/>
      <c r="J6182" s="1"/>
      <c r="K6182" s="119" t="s">
        <v>1571</v>
      </c>
      <c r="L6182" s="102" t="str">
        <f t="shared" si="145"/>
        <v>J2a1a1a2b2a1a1a3b2b~</v>
      </c>
      <c r="M6182" s="102"/>
      <c r="N6182" s="1"/>
      <c r="O6182" s="114">
        <v>1.5272543E7</v>
      </c>
      <c r="P6182" s="105">
        <v>1.3160632E7</v>
      </c>
      <c r="Q6182" s="102" t="s">
        <v>2439</v>
      </c>
      <c r="T6182" s="1"/>
      <c r="U6182" s="1"/>
      <c r="V6182" s="1"/>
      <c r="W6182" s="1"/>
      <c r="X6182" s="1"/>
      <c r="Y6182" s="1"/>
      <c r="AA6182" s="102"/>
      <c r="AB6182" s="1"/>
      <c r="AC6182" s="1"/>
      <c r="AD6182" s="1"/>
      <c r="AE6182" s="1"/>
      <c r="AF6182" s="1"/>
      <c r="AG6182" s="1"/>
    </row>
    <row r="6183" ht="15.75" customHeight="1">
      <c r="A6183" s="1"/>
      <c r="B6183" s="1"/>
      <c r="C6183" s="1"/>
      <c r="D6183" s="1"/>
      <c r="E6183" s="1"/>
      <c r="F6183" s="1"/>
      <c r="G6183" s="1"/>
      <c r="H6183" s="1"/>
      <c r="I6183" s="1"/>
      <c r="J6183" s="1"/>
      <c r="K6183" s="119" t="s">
        <v>9679</v>
      </c>
      <c r="L6183" s="102" t="str">
        <f>T803</f>
        <v>J2a1a1a2b2a1a1a3b2b1~</v>
      </c>
      <c r="M6183" s="102" t="s">
        <v>9680</v>
      </c>
      <c r="N6183" s="1" t="s">
        <v>9681</v>
      </c>
      <c r="O6183" s="114">
        <v>2.3047365E7</v>
      </c>
      <c r="P6183" s="105">
        <v>2.0885479E7</v>
      </c>
      <c r="Q6183" s="102" t="s">
        <v>2423</v>
      </c>
      <c r="T6183" s="1"/>
      <c r="U6183" s="1"/>
      <c r="V6183" s="1"/>
      <c r="W6183" s="1"/>
      <c r="X6183" s="1"/>
      <c r="Y6183" s="1"/>
      <c r="AA6183" s="102"/>
      <c r="AB6183" s="1"/>
      <c r="AC6183" s="1"/>
      <c r="AD6183" s="1"/>
      <c r="AE6183" s="1"/>
      <c r="AF6183" s="1"/>
      <c r="AG6183" s="1"/>
    </row>
    <row r="6184" ht="15.75" customHeight="1">
      <c r="A6184" s="1"/>
      <c r="B6184" s="1"/>
      <c r="C6184" s="1"/>
      <c r="D6184" s="1"/>
      <c r="E6184" s="1"/>
      <c r="F6184" s="1"/>
      <c r="G6184" s="1"/>
      <c r="H6184" s="1"/>
      <c r="I6184" s="1"/>
      <c r="J6184" s="1"/>
      <c r="K6184" s="119" t="s">
        <v>9682</v>
      </c>
      <c r="L6184" s="102" t="str">
        <f>S804</f>
        <v>J2a1a1a2b2a1a1a3b2c~</v>
      </c>
      <c r="M6184" s="102" t="s">
        <v>9683</v>
      </c>
      <c r="N6184" s="1" t="s">
        <v>9684</v>
      </c>
      <c r="O6184" s="114">
        <v>1.5256963E7</v>
      </c>
      <c r="P6184" s="105">
        <v>1.3145047E7</v>
      </c>
      <c r="Q6184" s="102" t="s">
        <v>2468</v>
      </c>
      <c r="T6184" s="1"/>
      <c r="U6184" s="1"/>
      <c r="V6184" s="1"/>
      <c r="W6184" s="1"/>
      <c r="X6184" s="1"/>
      <c r="Y6184" s="1"/>
      <c r="AA6184" s="102"/>
      <c r="AB6184" s="1"/>
      <c r="AC6184" s="1"/>
      <c r="AD6184" s="1"/>
      <c r="AE6184" s="1"/>
      <c r="AF6184" s="1"/>
      <c r="AG6184" s="1"/>
    </row>
    <row r="6185" ht="15.75" customHeight="1">
      <c r="A6185" s="1"/>
      <c r="B6185" s="1"/>
      <c r="C6185" s="1"/>
      <c r="D6185" s="1"/>
      <c r="E6185" s="1"/>
      <c r="F6185" s="1"/>
      <c r="G6185" s="1"/>
      <c r="H6185" s="1"/>
      <c r="I6185" s="1"/>
      <c r="J6185" s="1"/>
      <c r="K6185" s="119" t="s">
        <v>1577</v>
      </c>
      <c r="L6185" s="102" t="str">
        <f t="shared" ref="L6185:L6188" si="146">T805</f>
        <v>J2a1a1a2b2a1a1a3b2c1~</v>
      </c>
      <c r="M6185" s="102"/>
      <c r="N6185" s="1"/>
      <c r="O6185" s="114">
        <v>1.5506284E7</v>
      </c>
      <c r="P6185" s="105">
        <v>1.3394404E7</v>
      </c>
      <c r="Q6185" s="102" t="s">
        <v>2423</v>
      </c>
      <c r="T6185" s="1"/>
      <c r="U6185" s="1"/>
      <c r="V6185" s="1"/>
      <c r="W6185" s="1"/>
      <c r="X6185" s="1"/>
      <c r="Y6185" s="1"/>
      <c r="AA6185" s="102"/>
      <c r="AB6185" s="1"/>
      <c r="AC6185" s="1"/>
      <c r="AD6185" s="1"/>
      <c r="AE6185" s="1"/>
      <c r="AF6185" s="1"/>
      <c r="AG6185" s="1"/>
    </row>
    <row r="6186" ht="15.75" customHeight="1">
      <c r="A6186" s="1"/>
      <c r="B6186" s="1"/>
      <c r="C6186" s="1"/>
      <c r="D6186" s="1"/>
      <c r="E6186" s="1"/>
      <c r="F6186" s="1"/>
      <c r="G6186" s="1"/>
      <c r="H6186" s="1"/>
      <c r="I6186" s="1"/>
      <c r="J6186" s="1"/>
      <c r="K6186" s="119" t="s">
        <v>9685</v>
      </c>
      <c r="L6186" s="102" t="str">
        <f t="shared" si="146"/>
        <v>J2a1a1a2b2a1a1a3b2c2~</v>
      </c>
      <c r="M6186" s="102" t="s">
        <v>9686</v>
      </c>
      <c r="N6186" s="1"/>
      <c r="O6186" s="114">
        <v>1.6491736E7</v>
      </c>
      <c r="P6186" s="105">
        <v>1.4379856E7</v>
      </c>
      <c r="Q6186" s="102" t="s">
        <v>2446</v>
      </c>
      <c r="T6186" s="1"/>
      <c r="U6186" s="1"/>
      <c r="V6186" s="1"/>
      <c r="W6186" s="1"/>
      <c r="X6186" s="1"/>
      <c r="Y6186" s="1"/>
      <c r="AA6186" s="102"/>
      <c r="AB6186" s="1"/>
      <c r="AC6186" s="1"/>
      <c r="AD6186" s="1"/>
      <c r="AE6186" s="1"/>
      <c r="AF6186" s="1"/>
      <c r="AG6186" s="1"/>
    </row>
    <row r="6187" ht="15.75" customHeight="1">
      <c r="A6187" s="1"/>
      <c r="B6187" s="1"/>
      <c r="C6187" s="1"/>
      <c r="D6187" s="1"/>
      <c r="E6187" s="1"/>
      <c r="F6187" s="1"/>
      <c r="G6187" s="1"/>
      <c r="H6187" s="1"/>
      <c r="I6187" s="1"/>
      <c r="J6187" s="1"/>
      <c r="K6187" s="119" t="s">
        <v>1581</v>
      </c>
      <c r="L6187" s="102" t="str">
        <f t="shared" si="146"/>
        <v>J2a1a1a2b2a1a1a3b2c3~</v>
      </c>
      <c r="M6187" s="102"/>
      <c r="N6187" s="1"/>
      <c r="O6187" s="114">
        <v>1.6659337E7</v>
      </c>
      <c r="P6187" s="105">
        <v>1.4547457E7</v>
      </c>
      <c r="Q6187" s="102" t="s">
        <v>2446</v>
      </c>
      <c r="T6187" s="1"/>
      <c r="U6187" s="1"/>
      <c r="V6187" s="1"/>
      <c r="W6187" s="1"/>
      <c r="X6187" s="1"/>
      <c r="Y6187" s="1"/>
      <c r="AA6187" s="102"/>
      <c r="AB6187" s="1"/>
      <c r="AC6187" s="1"/>
      <c r="AD6187" s="1"/>
      <c r="AE6187" s="1"/>
      <c r="AF6187" s="1"/>
      <c r="AG6187" s="1"/>
    </row>
    <row r="6188" ht="15.75" customHeight="1">
      <c r="A6188" s="1"/>
      <c r="B6188" s="1"/>
      <c r="C6188" s="1"/>
      <c r="D6188" s="1"/>
      <c r="E6188" s="1"/>
      <c r="F6188" s="1"/>
      <c r="G6188" s="1"/>
      <c r="H6188" s="1"/>
      <c r="I6188" s="1"/>
      <c r="J6188" s="1"/>
      <c r="K6188" s="119" t="s">
        <v>1583</v>
      </c>
      <c r="L6188" s="102" t="str">
        <f t="shared" si="146"/>
        <v>J2a1a1a2b2a1a1a3b2c4~</v>
      </c>
      <c r="M6188" s="102"/>
      <c r="N6188" s="1"/>
      <c r="O6188" s="114">
        <v>2.2618111E7</v>
      </c>
      <c r="P6188" s="105">
        <v>2.0456225E7</v>
      </c>
      <c r="Q6188" s="102" t="s">
        <v>2439</v>
      </c>
      <c r="T6188" s="1"/>
      <c r="U6188" s="1"/>
      <c r="V6188" s="1"/>
      <c r="W6188" s="1"/>
      <c r="X6188" s="1"/>
      <c r="Y6188" s="1"/>
      <c r="AA6188" s="102"/>
      <c r="AB6188" s="1"/>
      <c r="AC6188" s="1"/>
      <c r="AD6188" s="1"/>
      <c r="AE6188" s="1"/>
      <c r="AF6188" s="1"/>
      <c r="AG6188" s="1"/>
    </row>
    <row r="6189" ht="15.75" customHeight="1">
      <c r="A6189" s="1"/>
      <c r="B6189" s="1"/>
      <c r="C6189" s="1"/>
      <c r="D6189" s="1"/>
      <c r="E6189" s="1"/>
      <c r="F6189" s="1"/>
      <c r="G6189" s="1"/>
      <c r="H6189" s="1"/>
      <c r="I6189" s="1"/>
      <c r="J6189" s="1"/>
      <c r="K6189" s="119" t="s">
        <v>1585</v>
      </c>
      <c r="L6189" s="102" t="str">
        <f t="shared" ref="L6189:L6190" si="147">O809</f>
        <v>J2a1a1a2b2a1a1b~</v>
      </c>
      <c r="M6189" s="102"/>
      <c r="N6189" s="1" t="s">
        <v>9687</v>
      </c>
      <c r="O6189" s="114">
        <v>9770734.0</v>
      </c>
      <c r="P6189" s="105">
        <v>9933125.0</v>
      </c>
      <c r="Q6189" s="102" t="s">
        <v>2529</v>
      </c>
      <c r="T6189" s="1"/>
      <c r="U6189" s="1"/>
      <c r="V6189" s="1"/>
      <c r="W6189" s="1"/>
      <c r="X6189" s="1"/>
      <c r="Y6189" s="1"/>
      <c r="AA6189" s="102"/>
      <c r="AB6189" s="1"/>
      <c r="AC6189" s="1"/>
      <c r="AD6189" s="1"/>
      <c r="AE6189" s="1"/>
      <c r="AF6189" s="1"/>
      <c r="AG6189" s="1"/>
    </row>
    <row r="6190" ht="15.75" customHeight="1">
      <c r="A6190" s="1"/>
      <c r="B6190" s="1"/>
      <c r="C6190" s="1"/>
      <c r="D6190" s="1"/>
      <c r="E6190" s="1"/>
      <c r="F6190" s="1"/>
      <c r="G6190" s="1"/>
      <c r="H6190" s="1"/>
      <c r="I6190" s="1"/>
      <c r="J6190" s="1"/>
      <c r="K6190" s="119" t="s">
        <v>1587</v>
      </c>
      <c r="L6190" s="102" t="str">
        <f t="shared" si="147"/>
        <v>J2a1a1a2b2a1a1c~</v>
      </c>
      <c r="M6190" s="102"/>
      <c r="N6190" s="1"/>
      <c r="O6190" s="114">
        <v>2.2535938E7</v>
      </c>
      <c r="P6190" s="105">
        <v>2.0374052E7</v>
      </c>
      <c r="Q6190" s="102" t="s">
        <v>2514</v>
      </c>
      <c r="T6190" s="1"/>
      <c r="U6190" s="1"/>
      <c r="V6190" s="1"/>
      <c r="W6190" s="1"/>
      <c r="X6190" s="1"/>
      <c r="Y6190" s="1"/>
      <c r="AA6190" s="102"/>
      <c r="AB6190" s="1"/>
      <c r="AC6190" s="1"/>
      <c r="AD6190" s="1"/>
      <c r="AE6190" s="1"/>
      <c r="AF6190" s="1"/>
      <c r="AG6190" s="1"/>
    </row>
    <row r="6191" ht="15.75" customHeight="1">
      <c r="A6191" s="1"/>
      <c r="B6191" s="1"/>
      <c r="C6191" s="1"/>
      <c r="D6191" s="1"/>
      <c r="E6191" s="1"/>
      <c r="F6191" s="1"/>
      <c r="G6191" s="1"/>
      <c r="H6191" s="1"/>
      <c r="I6191" s="1"/>
      <c r="J6191" s="1"/>
      <c r="K6191" s="119" t="s">
        <v>1589</v>
      </c>
      <c r="L6191" s="102" t="str">
        <f>P811</f>
        <v>J2a1a1a2b2a1a1c1~</v>
      </c>
      <c r="M6191" s="102"/>
      <c r="N6191" s="1" t="s">
        <v>9688</v>
      </c>
      <c r="O6191" s="114">
        <v>7763241.0</v>
      </c>
      <c r="P6191" s="105">
        <v>7895200.0</v>
      </c>
      <c r="Q6191" s="102" t="s">
        <v>2501</v>
      </c>
      <c r="T6191" s="1"/>
      <c r="U6191" s="1"/>
      <c r="V6191" s="1"/>
      <c r="W6191" s="1"/>
      <c r="X6191" s="1"/>
      <c r="Y6191" s="1"/>
      <c r="AA6191" s="102"/>
      <c r="AB6191" s="1"/>
      <c r="AC6191" s="1"/>
      <c r="AD6191" s="1"/>
      <c r="AE6191" s="1"/>
      <c r="AF6191" s="1"/>
      <c r="AG6191" s="1"/>
    </row>
    <row r="6192" ht="15.75" customHeight="1">
      <c r="A6192" s="1"/>
      <c r="B6192" s="1"/>
      <c r="C6192" s="1"/>
      <c r="D6192" s="1"/>
      <c r="E6192" s="1"/>
      <c r="F6192" s="1"/>
      <c r="G6192" s="1"/>
      <c r="H6192" s="1"/>
      <c r="I6192" s="1"/>
      <c r="J6192" s="1"/>
      <c r="K6192" s="119" t="s">
        <v>1591</v>
      </c>
      <c r="L6192" s="102" t="str">
        <f>Q812</f>
        <v>J2a1a1a2b2a1a1c1a~</v>
      </c>
      <c r="M6192" s="102"/>
      <c r="N6192" s="1" t="s">
        <v>9689</v>
      </c>
      <c r="O6192" s="114">
        <v>2.2826825E7</v>
      </c>
      <c r="P6192" s="105">
        <v>2.0664939E7</v>
      </c>
      <c r="Q6192" s="102" t="s">
        <v>2501</v>
      </c>
      <c r="T6192" s="1"/>
      <c r="U6192" s="1"/>
      <c r="V6192" s="1"/>
      <c r="W6192" s="1"/>
      <c r="X6192" s="1"/>
      <c r="Y6192" s="1"/>
      <c r="AA6192" s="102"/>
      <c r="AB6192" s="1"/>
      <c r="AC6192" s="1"/>
      <c r="AD6192" s="1"/>
      <c r="AE6192" s="1"/>
      <c r="AF6192" s="1"/>
      <c r="AG6192" s="1"/>
    </row>
    <row r="6193" ht="15.75" customHeight="1">
      <c r="A6193" s="1"/>
      <c r="B6193" s="1"/>
      <c r="C6193" s="1"/>
      <c r="D6193" s="1"/>
      <c r="E6193" s="1"/>
      <c r="F6193" s="1"/>
      <c r="G6193" s="1"/>
      <c r="H6193" s="1"/>
      <c r="I6193" s="1"/>
      <c r="J6193" s="1"/>
      <c r="K6193" s="119" t="s">
        <v>1593</v>
      </c>
      <c r="L6193" s="102" t="str">
        <f>R813</f>
        <v>J2a1a1a2b2a1a1c1a1~</v>
      </c>
      <c r="M6193" s="102"/>
      <c r="N6193" s="1" t="s">
        <v>9690</v>
      </c>
      <c r="O6193" s="114">
        <v>1.8204737E7</v>
      </c>
      <c r="P6193" s="105">
        <v>1.6092857E7</v>
      </c>
      <c r="Q6193" s="102" t="s">
        <v>2529</v>
      </c>
      <c r="T6193" s="1"/>
      <c r="U6193" s="1"/>
      <c r="V6193" s="1"/>
      <c r="W6193" s="1"/>
      <c r="X6193" s="1"/>
      <c r="Y6193" s="1"/>
      <c r="AA6193" s="102"/>
      <c r="AB6193" s="1"/>
      <c r="AC6193" s="1"/>
      <c r="AD6193" s="1"/>
      <c r="AE6193" s="1"/>
      <c r="AF6193" s="1"/>
      <c r="AG6193" s="1"/>
    </row>
    <row r="6194" ht="15.75" customHeight="1">
      <c r="A6194" s="1"/>
      <c r="B6194" s="1"/>
      <c r="C6194" s="1"/>
      <c r="D6194" s="1"/>
      <c r="E6194" s="1"/>
      <c r="F6194" s="1"/>
      <c r="G6194" s="1"/>
      <c r="H6194" s="1"/>
      <c r="I6194" s="1"/>
      <c r="J6194" s="1"/>
      <c r="K6194" s="119" t="s">
        <v>1595</v>
      </c>
      <c r="L6194" s="102" t="str">
        <f>S814</f>
        <v>J2a1a1a2b2a1a1c1a1a~</v>
      </c>
      <c r="M6194" s="102"/>
      <c r="N6194" s="1"/>
      <c r="O6194" s="114">
        <v>2.3959094E7</v>
      </c>
      <c r="P6194" s="105">
        <v>2.1812947E7</v>
      </c>
      <c r="Q6194" s="102" t="s">
        <v>2529</v>
      </c>
      <c r="T6194" s="1"/>
      <c r="U6194" s="1"/>
      <c r="V6194" s="1"/>
      <c r="W6194" s="1"/>
      <c r="X6194" s="1"/>
      <c r="Y6194" s="1"/>
      <c r="AA6194" s="102"/>
      <c r="AB6194" s="1"/>
      <c r="AC6194" s="1"/>
      <c r="AD6194" s="1"/>
      <c r="AE6194" s="1"/>
      <c r="AF6194" s="1"/>
      <c r="AG6194" s="1"/>
    </row>
    <row r="6195" ht="15.75" customHeight="1">
      <c r="A6195" s="1"/>
      <c r="B6195" s="1"/>
      <c r="C6195" s="1"/>
      <c r="D6195" s="1"/>
      <c r="E6195" s="1"/>
      <c r="F6195" s="1"/>
      <c r="G6195" s="1"/>
      <c r="H6195" s="1"/>
      <c r="I6195" s="1"/>
      <c r="J6195" s="1"/>
      <c r="K6195" s="119" t="s">
        <v>1597</v>
      </c>
      <c r="L6195" s="102" t="str">
        <f>R815</f>
        <v>J2a1a1a2b2a1a1c1a2~</v>
      </c>
      <c r="M6195" s="102"/>
      <c r="N6195" s="1"/>
      <c r="O6195" s="114">
        <v>1.5618272E7</v>
      </c>
      <c r="P6195" s="105">
        <v>1.3506392E7</v>
      </c>
      <c r="Q6195" s="102" t="s">
        <v>2501</v>
      </c>
      <c r="T6195" s="1"/>
      <c r="U6195" s="1"/>
      <c r="V6195" s="1"/>
      <c r="W6195" s="1"/>
      <c r="X6195" s="1"/>
      <c r="Y6195" s="1"/>
      <c r="AA6195" s="102"/>
      <c r="AB6195" s="1"/>
      <c r="AC6195" s="1"/>
      <c r="AD6195" s="1"/>
      <c r="AE6195" s="1"/>
      <c r="AF6195" s="1"/>
      <c r="AG6195" s="1"/>
    </row>
    <row r="6196" ht="15.75" customHeight="1">
      <c r="A6196" s="1"/>
      <c r="B6196" s="1"/>
      <c r="C6196" s="1"/>
      <c r="D6196" s="1"/>
      <c r="E6196" s="1"/>
      <c r="F6196" s="1"/>
      <c r="G6196" s="1"/>
      <c r="H6196" s="1"/>
      <c r="I6196" s="1"/>
      <c r="J6196" s="1"/>
      <c r="K6196" s="119" t="s">
        <v>1599</v>
      </c>
      <c r="L6196" s="102" t="str">
        <f>P816</f>
        <v>J2a1a1a2b2a1a1c2~</v>
      </c>
      <c r="M6196" s="102"/>
      <c r="N6196" s="1" t="s">
        <v>9691</v>
      </c>
      <c r="O6196" s="114">
        <v>1.4100003E7</v>
      </c>
      <c r="P6196" s="105">
        <v>1.1979297E7</v>
      </c>
      <c r="Q6196" s="102" t="s">
        <v>2514</v>
      </c>
      <c r="T6196" s="1"/>
      <c r="U6196" s="1"/>
      <c r="V6196" s="1"/>
      <c r="W6196" s="1"/>
      <c r="X6196" s="1"/>
      <c r="Y6196" s="1"/>
      <c r="AA6196" s="102"/>
      <c r="AB6196" s="1"/>
      <c r="AC6196" s="1"/>
      <c r="AD6196" s="1"/>
      <c r="AE6196" s="1"/>
      <c r="AF6196" s="1"/>
      <c r="AG6196" s="1"/>
    </row>
    <row r="6197" ht="15.75" customHeight="1">
      <c r="A6197" s="1"/>
      <c r="B6197" s="1"/>
      <c r="C6197" s="1"/>
      <c r="D6197" s="1"/>
      <c r="E6197" s="1"/>
      <c r="F6197" s="1"/>
      <c r="G6197" s="1"/>
      <c r="H6197" s="1"/>
      <c r="I6197" s="1"/>
      <c r="J6197" s="1"/>
      <c r="K6197" s="119" t="s">
        <v>1601</v>
      </c>
      <c r="L6197" s="102" t="str">
        <f t="shared" ref="L6197:L6198" si="148">Q817</f>
        <v>J2a1a1a2b2a1a1c2a~</v>
      </c>
      <c r="M6197" s="102" t="s">
        <v>13</v>
      </c>
      <c r="N6197" s="1" t="s">
        <v>9692</v>
      </c>
      <c r="O6197" s="114">
        <v>2.1311223E7</v>
      </c>
      <c r="P6197" s="105">
        <v>1.9149337E7</v>
      </c>
      <c r="Q6197" s="102" t="s">
        <v>2501</v>
      </c>
      <c r="T6197" s="1"/>
      <c r="U6197" s="1"/>
      <c r="V6197" s="1"/>
      <c r="W6197" s="1"/>
      <c r="X6197" s="1"/>
      <c r="Y6197" s="1"/>
      <c r="AA6197" s="102"/>
      <c r="AB6197" s="1"/>
      <c r="AC6197" s="1"/>
      <c r="AD6197" s="1"/>
      <c r="AE6197" s="1"/>
      <c r="AF6197" s="1"/>
      <c r="AG6197" s="1"/>
    </row>
    <row r="6198" ht="15.75" customHeight="1">
      <c r="A6198" s="1"/>
      <c r="B6198" s="1"/>
      <c r="C6198" s="1"/>
      <c r="D6198" s="1"/>
      <c r="E6198" s="1"/>
      <c r="F6198" s="1"/>
      <c r="G6198" s="1"/>
      <c r="H6198" s="1"/>
      <c r="I6198" s="1"/>
      <c r="J6198" s="1"/>
      <c r="K6198" s="119" t="s">
        <v>1603</v>
      </c>
      <c r="L6198" s="102" t="str">
        <f t="shared" si="148"/>
        <v>J2a1a1a2b2a1a1c2b~</v>
      </c>
      <c r="M6198" s="102"/>
      <c r="N6198" s="1" t="s">
        <v>9693</v>
      </c>
      <c r="O6198" s="114">
        <v>1.8195873E7</v>
      </c>
      <c r="P6198" s="105">
        <v>1.6083993E7</v>
      </c>
      <c r="Q6198" s="102" t="s">
        <v>2514</v>
      </c>
      <c r="T6198" s="1"/>
      <c r="U6198" s="1"/>
      <c r="V6198" s="1"/>
      <c r="W6198" s="1"/>
      <c r="X6198" s="1"/>
      <c r="Y6198" s="1"/>
      <c r="AA6198" s="102"/>
      <c r="AB6198" s="1"/>
      <c r="AC6198" s="1"/>
      <c r="AD6198" s="1"/>
      <c r="AE6198" s="1"/>
      <c r="AF6198" s="1"/>
      <c r="AG6198" s="1"/>
    </row>
    <row r="6199" ht="15.75" customHeight="1">
      <c r="A6199" s="1"/>
      <c r="B6199" s="1"/>
      <c r="C6199" s="1"/>
      <c r="D6199" s="1"/>
      <c r="E6199" s="1"/>
      <c r="F6199" s="1"/>
      <c r="G6199" s="1"/>
      <c r="H6199" s="1"/>
      <c r="I6199" s="1"/>
      <c r="J6199" s="1"/>
      <c r="K6199" s="119" t="s">
        <v>1605</v>
      </c>
      <c r="L6199" s="102" t="str">
        <f>R819</f>
        <v>J2a1a1a2b2a1a1c2b1~</v>
      </c>
      <c r="M6199" s="102"/>
      <c r="N6199" s="1" t="s">
        <v>9694</v>
      </c>
      <c r="O6199" s="114">
        <v>8715534.0</v>
      </c>
      <c r="P6199" s="105">
        <v>8847493.0</v>
      </c>
      <c r="Q6199" s="102" t="s">
        <v>2439</v>
      </c>
      <c r="T6199" s="1"/>
      <c r="U6199" s="1"/>
      <c r="V6199" s="1"/>
      <c r="W6199" s="1"/>
      <c r="X6199" s="1"/>
      <c r="Y6199" s="1"/>
      <c r="AA6199" s="102"/>
      <c r="AB6199" s="1"/>
      <c r="AC6199" s="1"/>
      <c r="AD6199" s="1"/>
      <c r="AE6199" s="1"/>
      <c r="AF6199" s="1"/>
      <c r="AG6199" s="1"/>
    </row>
    <row r="6200" ht="15.75" customHeight="1">
      <c r="A6200" s="1"/>
      <c r="B6200" s="1"/>
      <c r="C6200" s="1"/>
      <c r="D6200" s="1"/>
      <c r="E6200" s="1"/>
      <c r="F6200" s="1"/>
      <c r="G6200" s="1"/>
      <c r="H6200" s="1"/>
      <c r="I6200" s="1"/>
      <c r="J6200" s="1"/>
      <c r="K6200" s="119" t="s">
        <v>1607</v>
      </c>
      <c r="L6200" s="102" t="str">
        <f t="shared" ref="L6200:L6201" si="149">S820</f>
        <v>J2a1a1a2b2a1a1c2b1a~</v>
      </c>
      <c r="M6200" s="102"/>
      <c r="N6200" s="1" t="s">
        <v>9695</v>
      </c>
      <c r="O6200" s="114">
        <v>1.6369547E7</v>
      </c>
      <c r="P6200" s="105">
        <v>1.4257667E7</v>
      </c>
      <c r="Q6200" s="102" t="s">
        <v>2501</v>
      </c>
      <c r="T6200" s="1"/>
      <c r="U6200" s="1"/>
      <c r="V6200" s="1"/>
      <c r="W6200" s="1"/>
      <c r="X6200" s="1"/>
      <c r="Y6200" s="1"/>
      <c r="AA6200" s="102"/>
      <c r="AB6200" s="1"/>
      <c r="AC6200" s="1"/>
      <c r="AD6200" s="1"/>
      <c r="AE6200" s="1"/>
      <c r="AF6200" s="1"/>
      <c r="AG6200" s="1"/>
    </row>
    <row r="6201" ht="15.75" customHeight="1">
      <c r="A6201" s="1"/>
      <c r="B6201" s="1"/>
      <c r="C6201" s="1"/>
      <c r="D6201" s="1"/>
      <c r="E6201" s="1"/>
      <c r="F6201" s="1"/>
      <c r="G6201" s="1"/>
      <c r="H6201" s="1"/>
      <c r="I6201" s="1"/>
      <c r="J6201" s="1"/>
      <c r="K6201" s="119" t="s">
        <v>1609</v>
      </c>
      <c r="L6201" s="102" t="str">
        <f t="shared" si="149"/>
        <v>J2a1a1a2b2a1a1c2b1b~</v>
      </c>
      <c r="M6201" s="102"/>
      <c r="N6201" s="1" t="s">
        <v>9696</v>
      </c>
      <c r="O6201" s="114">
        <v>7932593.0</v>
      </c>
      <c r="P6201" s="105">
        <v>8064552.0</v>
      </c>
      <c r="Q6201" s="102" t="s">
        <v>2439</v>
      </c>
      <c r="T6201" s="1"/>
      <c r="U6201" s="1"/>
      <c r="V6201" s="1"/>
      <c r="W6201" s="1"/>
      <c r="X6201" s="1"/>
      <c r="Y6201" s="1"/>
      <c r="AA6201" s="102"/>
      <c r="AB6201" s="1"/>
      <c r="AC6201" s="1"/>
      <c r="AD6201" s="1"/>
      <c r="AE6201" s="1"/>
      <c r="AF6201" s="1"/>
      <c r="AG6201" s="1"/>
    </row>
    <row r="6202" ht="15.75" customHeight="1">
      <c r="A6202" s="1"/>
      <c r="B6202" s="1"/>
      <c r="C6202" s="1"/>
      <c r="D6202" s="1"/>
      <c r="E6202" s="1"/>
      <c r="F6202" s="1"/>
      <c r="G6202" s="1"/>
      <c r="H6202" s="1"/>
      <c r="I6202" s="1"/>
      <c r="J6202" s="1"/>
      <c r="K6202" s="119" t="s">
        <v>1611</v>
      </c>
      <c r="L6202" s="102" t="str">
        <f t="shared" ref="L6202:L6203" si="150">T822</f>
        <v>J2a1a1a2b2a1a1c2b1b1~</v>
      </c>
      <c r="M6202" s="102"/>
      <c r="N6202" s="1"/>
      <c r="O6202" s="114">
        <v>7031221.0</v>
      </c>
      <c r="P6202" s="105">
        <v>7163180.0</v>
      </c>
      <c r="Q6202" s="102" t="s">
        <v>2501</v>
      </c>
      <c r="T6202" s="1"/>
      <c r="U6202" s="1"/>
      <c r="V6202" s="1"/>
      <c r="W6202" s="1"/>
      <c r="X6202" s="1"/>
      <c r="Y6202" s="1"/>
      <c r="AA6202" s="102"/>
      <c r="AB6202" s="1"/>
      <c r="AC6202" s="1"/>
      <c r="AD6202" s="1"/>
      <c r="AE6202" s="1"/>
      <c r="AF6202" s="1"/>
      <c r="AG6202" s="1"/>
    </row>
    <row r="6203" ht="15.75" customHeight="1">
      <c r="A6203" s="1"/>
      <c r="B6203" s="1"/>
      <c r="C6203" s="1"/>
      <c r="D6203" s="1"/>
      <c r="E6203" s="1"/>
      <c r="F6203" s="1"/>
      <c r="G6203" s="1"/>
      <c r="H6203" s="1"/>
      <c r="I6203" s="1"/>
      <c r="J6203" s="1"/>
      <c r="K6203" s="119" t="s">
        <v>9697</v>
      </c>
      <c r="L6203" s="102" t="str">
        <f t="shared" si="150"/>
        <v>J2a1a1a2b2a1a1c2b1b2~</v>
      </c>
      <c r="M6203" s="102" t="s">
        <v>9698</v>
      </c>
      <c r="N6203" s="1" t="s">
        <v>9699</v>
      </c>
      <c r="O6203" s="114">
        <v>2.1984998E7</v>
      </c>
      <c r="P6203" s="105">
        <v>1.9823112E7</v>
      </c>
      <c r="Q6203" s="102" t="s">
        <v>2454</v>
      </c>
      <c r="T6203" s="1"/>
      <c r="U6203" s="1"/>
      <c r="V6203" s="1"/>
      <c r="W6203" s="1"/>
      <c r="X6203" s="1"/>
      <c r="Y6203" s="1"/>
      <c r="AA6203" s="102"/>
      <c r="AB6203" s="1"/>
      <c r="AC6203" s="1"/>
      <c r="AD6203" s="1"/>
      <c r="AE6203" s="1"/>
      <c r="AF6203" s="1"/>
      <c r="AG6203" s="1"/>
    </row>
    <row r="6204" ht="15.75" customHeight="1">
      <c r="A6204" s="1"/>
      <c r="B6204" s="1"/>
      <c r="C6204" s="1"/>
      <c r="D6204" s="1"/>
      <c r="E6204" s="1"/>
      <c r="F6204" s="1"/>
      <c r="G6204" s="1"/>
      <c r="H6204" s="1"/>
      <c r="I6204" s="1"/>
      <c r="J6204" s="1"/>
      <c r="K6204" s="106" t="s">
        <v>9698</v>
      </c>
      <c r="L6204" s="102" t="str">
        <f>T823</f>
        <v>J2a1a1a2b2a1a1c2b1b2~</v>
      </c>
      <c r="M6204" s="106" t="s">
        <v>9697</v>
      </c>
      <c r="N6204" s="1" t="s">
        <v>9699</v>
      </c>
      <c r="O6204" s="114">
        <v>2.1984998E7</v>
      </c>
      <c r="P6204" s="105">
        <v>1.9823112E7</v>
      </c>
      <c r="Q6204" s="102" t="s">
        <v>2454</v>
      </c>
      <c r="T6204" s="1"/>
      <c r="U6204" s="1"/>
      <c r="V6204" s="1"/>
      <c r="W6204" s="1"/>
      <c r="X6204" s="1"/>
      <c r="Y6204" s="1"/>
      <c r="AA6204" s="102"/>
      <c r="AB6204" s="1"/>
      <c r="AC6204" s="1"/>
      <c r="AD6204" s="1"/>
      <c r="AE6204" s="1"/>
      <c r="AF6204" s="1"/>
      <c r="AG6204" s="1"/>
    </row>
    <row r="6205" ht="15.75" customHeight="1">
      <c r="A6205" s="1"/>
      <c r="B6205" s="1"/>
      <c r="C6205" s="1"/>
      <c r="D6205" s="1"/>
      <c r="E6205" s="1"/>
      <c r="F6205" s="1"/>
      <c r="G6205" s="1"/>
      <c r="H6205" s="1"/>
      <c r="I6205" s="1"/>
      <c r="J6205" s="1"/>
      <c r="K6205" s="119" t="s">
        <v>9700</v>
      </c>
      <c r="L6205" s="102" t="str">
        <f>U824</f>
        <v>J2a1a1a2b2a1a1c2b1b2a~</v>
      </c>
      <c r="M6205" s="102" t="s">
        <v>9701</v>
      </c>
      <c r="N6205" s="1"/>
      <c r="O6205" s="114">
        <v>1.8164961E7</v>
      </c>
      <c r="P6205" s="105">
        <v>1.6053081E7</v>
      </c>
      <c r="Q6205" s="102" t="s">
        <v>2514</v>
      </c>
      <c r="T6205" s="1"/>
      <c r="U6205" s="1"/>
      <c r="V6205" s="1"/>
      <c r="W6205" s="1"/>
      <c r="X6205" s="1"/>
      <c r="Y6205" s="1"/>
      <c r="AA6205" s="102"/>
      <c r="AB6205" s="1"/>
      <c r="AC6205" s="1"/>
      <c r="AD6205" s="1"/>
      <c r="AE6205" s="1"/>
      <c r="AF6205" s="1"/>
      <c r="AG6205" s="1"/>
    </row>
    <row r="6206" ht="15.75" customHeight="1">
      <c r="A6206" s="1"/>
      <c r="B6206" s="1"/>
      <c r="C6206" s="1"/>
      <c r="D6206" s="1"/>
      <c r="E6206" s="1"/>
      <c r="F6206" s="1"/>
      <c r="G6206" s="1"/>
      <c r="H6206" s="1"/>
      <c r="I6206" s="1"/>
      <c r="J6206" s="1"/>
      <c r="K6206" s="106" t="s">
        <v>9701</v>
      </c>
      <c r="L6206" s="102" t="str">
        <f>U824</f>
        <v>J2a1a1a2b2a1a1c2b1b2a~</v>
      </c>
      <c r="M6206" s="106" t="s">
        <v>9700</v>
      </c>
      <c r="N6206" s="1"/>
      <c r="O6206" s="114">
        <v>1.8164961E7</v>
      </c>
      <c r="P6206" s="105">
        <v>1.6053081E7</v>
      </c>
      <c r="Q6206" s="102" t="s">
        <v>2514</v>
      </c>
      <c r="T6206" s="1"/>
      <c r="U6206" s="1"/>
      <c r="V6206" s="1"/>
      <c r="W6206" s="1"/>
      <c r="X6206" s="1"/>
      <c r="Y6206" s="1"/>
      <c r="AA6206" s="102"/>
      <c r="AB6206" s="1"/>
      <c r="AC6206" s="1"/>
      <c r="AD6206" s="1"/>
      <c r="AE6206" s="1"/>
      <c r="AF6206" s="1"/>
      <c r="AG6206" s="1"/>
    </row>
    <row r="6207" ht="15.75" customHeight="1">
      <c r="A6207" s="1"/>
      <c r="B6207" s="1"/>
      <c r="C6207" s="1"/>
      <c r="D6207" s="1"/>
      <c r="E6207" s="1"/>
      <c r="F6207" s="1"/>
      <c r="G6207" s="1"/>
      <c r="H6207" s="1"/>
      <c r="I6207" s="1"/>
      <c r="J6207" s="1"/>
      <c r="K6207" s="119" t="s">
        <v>1617</v>
      </c>
      <c r="L6207" s="102" t="str">
        <f>V825</f>
        <v>J2a1a1a2b2a1a1c2b1b2a1~</v>
      </c>
      <c r="M6207" s="102"/>
      <c r="N6207" s="1"/>
      <c r="O6207" s="114">
        <v>1.478892E7</v>
      </c>
      <c r="P6207" s="105">
        <v>1.2676991E7</v>
      </c>
      <c r="Q6207" s="102" t="s">
        <v>2439</v>
      </c>
      <c r="T6207" s="1"/>
      <c r="U6207" s="1"/>
      <c r="V6207" s="1"/>
      <c r="W6207" s="1"/>
      <c r="X6207" s="1"/>
      <c r="Y6207" s="1"/>
      <c r="AA6207" s="102"/>
      <c r="AB6207" s="1"/>
      <c r="AC6207" s="1"/>
      <c r="AD6207" s="1"/>
      <c r="AE6207" s="1"/>
      <c r="AF6207" s="1"/>
      <c r="AG6207" s="1"/>
    </row>
    <row r="6208" ht="15.75" customHeight="1">
      <c r="A6208" s="1"/>
      <c r="B6208" s="1"/>
      <c r="C6208" s="1"/>
      <c r="D6208" s="1"/>
      <c r="E6208" s="1"/>
      <c r="F6208" s="1"/>
      <c r="G6208" s="1"/>
      <c r="H6208" s="1"/>
      <c r="I6208" s="1"/>
      <c r="J6208" s="1"/>
      <c r="K6208" s="119" t="s">
        <v>9702</v>
      </c>
      <c r="L6208" s="102" t="str">
        <f>W826</f>
        <v>J2a1a1a2b2a1a1c2b1b2a1a~</v>
      </c>
      <c r="M6208" s="102" t="s">
        <v>9703</v>
      </c>
      <c r="N6208" s="1"/>
      <c r="O6208" s="114">
        <v>1.9421744E7</v>
      </c>
      <c r="P6208" s="105">
        <v>1.7309864E7</v>
      </c>
      <c r="Q6208" s="102" t="s">
        <v>2446</v>
      </c>
      <c r="T6208" s="1"/>
      <c r="U6208" s="1"/>
      <c r="V6208" s="1"/>
      <c r="W6208" s="1"/>
      <c r="X6208" s="1"/>
      <c r="Y6208" s="1"/>
      <c r="AA6208" s="102"/>
      <c r="AB6208" s="1"/>
      <c r="AC6208" s="1"/>
      <c r="AD6208" s="1"/>
      <c r="AE6208" s="1"/>
      <c r="AF6208" s="1"/>
      <c r="AG6208" s="1"/>
    </row>
    <row r="6209" ht="15.75" customHeight="1">
      <c r="A6209" s="1"/>
      <c r="B6209" s="1"/>
      <c r="C6209" s="1"/>
      <c r="D6209" s="1"/>
      <c r="E6209" s="1"/>
      <c r="F6209" s="1"/>
      <c r="G6209" s="1"/>
      <c r="H6209" s="1"/>
      <c r="I6209" s="1"/>
      <c r="J6209" s="1"/>
      <c r="K6209" s="106" t="s">
        <v>9703</v>
      </c>
      <c r="L6209" s="102" t="str">
        <f>W826</f>
        <v>J2a1a1a2b2a1a1c2b1b2a1a~</v>
      </c>
      <c r="M6209" s="106" t="s">
        <v>9702</v>
      </c>
      <c r="N6209" s="1"/>
      <c r="O6209" s="114">
        <v>1.9421744E7</v>
      </c>
      <c r="P6209" s="105">
        <v>1.7309864E7</v>
      </c>
      <c r="Q6209" s="102" t="s">
        <v>2446</v>
      </c>
      <c r="T6209" s="1"/>
      <c r="U6209" s="1"/>
      <c r="V6209" s="1"/>
      <c r="W6209" s="1"/>
      <c r="X6209" s="1"/>
      <c r="Y6209" s="1"/>
      <c r="AA6209" s="102"/>
      <c r="AB6209" s="1"/>
      <c r="AC6209" s="1"/>
      <c r="AD6209" s="1"/>
      <c r="AE6209" s="1"/>
      <c r="AF6209" s="1"/>
      <c r="AG6209" s="1"/>
    </row>
    <row r="6210" ht="15.75" customHeight="1">
      <c r="A6210" s="1"/>
      <c r="B6210" s="1"/>
      <c r="C6210" s="1"/>
      <c r="D6210" s="1"/>
      <c r="E6210" s="1"/>
      <c r="F6210" s="1"/>
      <c r="G6210" s="1"/>
      <c r="H6210" s="1"/>
      <c r="I6210" s="1"/>
      <c r="J6210" s="1"/>
      <c r="K6210" s="119" t="s">
        <v>1621</v>
      </c>
      <c r="L6210" s="102" t="str">
        <f>M827</f>
        <v>J2a1a1a2b2a1b~</v>
      </c>
      <c r="M6210" s="1"/>
      <c r="N6210" s="1" t="s">
        <v>9704</v>
      </c>
      <c r="O6210" s="114">
        <v>7864399.0</v>
      </c>
      <c r="P6210" s="105">
        <v>7996358.0</v>
      </c>
      <c r="Q6210" s="102" t="s">
        <v>2468</v>
      </c>
      <c r="T6210" s="1"/>
      <c r="U6210" s="1"/>
      <c r="V6210" s="1"/>
      <c r="W6210" s="1"/>
      <c r="X6210" s="1"/>
      <c r="Y6210" s="1"/>
      <c r="AA6210" s="102"/>
      <c r="AB6210" s="1"/>
      <c r="AC6210" s="1"/>
      <c r="AD6210" s="1"/>
      <c r="AE6210" s="1"/>
      <c r="AF6210" s="1"/>
      <c r="AG6210" s="1"/>
    </row>
    <row r="6211" ht="15.75" customHeight="1">
      <c r="A6211" s="1"/>
      <c r="B6211" s="1"/>
      <c r="C6211" s="1"/>
      <c r="D6211" s="1"/>
      <c r="E6211" s="1"/>
      <c r="F6211" s="1"/>
      <c r="G6211" s="1"/>
      <c r="H6211" s="1"/>
      <c r="I6211" s="1"/>
      <c r="J6211" s="1"/>
      <c r="K6211" s="102" t="s">
        <v>1623</v>
      </c>
      <c r="L6211" s="102" t="str">
        <f>N828</f>
        <v>J2a1a1a2b2a1b1~</v>
      </c>
      <c r="M6211" s="102"/>
      <c r="N6211" s="1"/>
      <c r="O6211" s="114">
        <v>7185027.0</v>
      </c>
      <c r="P6211" s="105">
        <v>7316986.0</v>
      </c>
      <c r="Q6211" s="102" t="s">
        <v>2529</v>
      </c>
      <c r="T6211" s="1"/>
      <c r="U6211" s="1"/>
      <c r="V6211" s="1"/>
      <c r="W6211" s="1"/>
      <c r="X6211" s="1"/>
      <c r="Y6211" s="1"/>
      <c r="AA6211" s="102"/>
      <c r="AB6211" s="1"/>
      <c r="AC6211" s="1"/>
      <c r="AD6211" s="1"/>
      <c r="AE6211" s="1"/>
      <c r="AF6211" s="1"/>
      <c r="AG6211" s="1"/>
    </row>
    <row r="6212" ht="15.75" customHeight="1">
      <c r="A6212" s="1"/>
      <c r="B6212" s="1"/>
      <c r="C6212" s="1"/>
      <c r="D6212" s="1"/>
      <c r="E6212" s="1"/>
      <c r="F6212" s="1"/>
      <c r="G6212" s="1"/>
      <c r="H6212" s="1"/>
      <c r="I6212" s="1"/>
      <c r="J6212" s="1"/>
      <c r="K6212" s="102" t="s">
        <v>1625</v>
      </c>
      <c r="L6212" s="102" t="str">
        <f t="shared" ref="L6212:L6213" si="151">O829</f>
        <v>J2a1a1a2b2a1b1a~</v>
      </c>
      <c r="M6212" s="102"/>
      <c r="N6212" s="1"/>
      <c r="O6212" s="114">
        <v>2.1541897E7</v>
      </c>
      <c r="P6212" s="105">
        <v>1.9380011E7</v>
      </c>
      <c r="Q6212" s="102" t="s">
        <v>2529</v>
      </c>
      <c r="T6212" s="1"/>
      <c r="U6212" s="1"/>
      <c r="V6212" s="1"/>
      <c r="W6212" s="1"/>
      <c r="X6212" s="1"/>
      <c r="Y6212" s="1"/>
      <c r="AA6212" s="102"/>
      <c r="AB6212" s="1"/>
      <c r="AC6212" s="1"/>
      <c r="AD6212" s="1"/>
      <c r="AE6212" s="1"/>
      <c r="AF6212" s="1"/>
      <c r="AG6212" s="1"/>
    </row>
    <row r="6213" ht="15.75" customHeight="1">
      <c r="A6213" s="1"/>
      <c r="B6213" s="1"/>
      <c r="C6213" s="1"/>
      <c r="D6213" s="1"/>
      <c r="E6213" s="1"/>
      <c r="F6213" s="1"/>
      <c r="G6213" s="1"/>
      <c r="H6213" s="1"/>
      <c r="I6213" s="1"/>
      <c r="J6213" s="1"/>
      <c r="K6213" s="102" t="s">
        <v>1627</v>
      </c>
      <c r="L6213" s="102" t="str">
        <f t="shared" si="151"/>
        <v>J2a1a1a2b2a1b1b~</v>
      </c>
      <c r="M6213" s="102"/>
      <c r="N6213" s="1" t="s">
        <v>9705</v>
      </c>
      <c r="O6213" s="114">
        <v>2.2121646E7</v>
      </c>
      <c r="P6213" s="105">
        <v>1.995976E7</v>
      </c>
      <c r="Q6213" s="102" t="s">
        <v>2501</v>
      </c>
      <c r="T6213" s="1"/>
      <c r="U6213" s="1"/>
      <c r="V6213" s="1"/>
      <c r="W6213" s="1"/>
      <c r="X6213" s="1"/>
      <c r="Y6213" s="1"/>
      <c r="AA6213" s="102"/>
      <c r="AB6213" s="1"/>
      <c r="AC6213" s="1"/>
      <c r="AD6213" s="1"/>
      <c r="AE6213" s="1"/>
      <c r="AF6213" s="1"/>
      <c r="AG6213" s="1"/>
    </row>
    <row r="6214" ht="15.75" customHeight="1">
      <c r="A6214" s="1"/>
      <c r="B6214" s="1"/>
      <c r="C6214" s="1"/>
      <c r="D6214" s="1"/>
      <c r="E6214" s="1"/>
      <c r="F6214" s="1"/>
      <c r="G6214" s="1"/>
      <c r="H6214" s="1"/>
      <c r="I6214" s="1"/>
      <c r="J6214" s="1"/>
      <c r="K6214" s="102" t="s">
        <v>1629</v>
      </c>
      <c r="L6214" s="102" t="str">
        <f>P831</f>
        <v>J2a1a1a2b2a1b1b1~</v>
      </c>
      <c r="M6214" s="102"/>
      <c r="N6214" s="1" t="s">
        <v>9706</v>
      </c>
      <c r="O6214" s="114">
        <v>9821791.0</v>
      </c>
      <c r="P6214" s="105">
        <v>9984182.0</v>
      </c>
      <c r="Q6214" s="102" t="s">
        <v>2439</v>
      </c>
      <c r="T6214" s="1"/>
      <c r="U6214" s="1"/>
      <c r="V6214" s="1"/>
      <c r="W6214" s="1"/>
      <c r="X6214" s="1"/>
      <c r="Y6214" s="1"/>
      <c r="AA6214" s="102"/>
      <c r="AB6214" s="1"/>
      <c r="AC6214" s="1"/>
      <c r="AD6214" s="1"/>
      <c r="AE6214" s="1"/>
      <c r="AF6214" s="1"/>
      <c r="AG6214" s="1"/>
    </row>
    <row r="6215" ht="15.75" customHeight="1">
      <c r="A6215" s="1"/>
      <c r="B6215" s="1"/>
      <c r="C6215" s="1"/>
      <c r="D6215" s="1"/>
      <c r="E6215" s="1"/>
      <c r="F6215" s="1"/>
      <c r="G6215" s="1"/>
      <c r="H6215" s="1"/>
      <c r="I6215" s="1"/>
      <c r="J6215" s="1"/>
      <c r="K6215" s="102" t="s">
        <v>1631</v>
      </c>
      <c r="L6215" s="102" t="str">
        <f>Q832</f>
        <v>J2a1a1a2b2a1b1b1a~</v>
      </c>
      <c r="M6215" s="102"/>
      <c r="N6215" s="1" t="s">
        <v>9707</v>
      </c>
      <c r="O6215" s="114">
        <v>1.4806847E7</v>
      </c>
      <c r="P6215" s="105">
        <v>1.2694918E7</v>
      </c>
      <c r="Q6215" s="102" t="s">
        <v>2563</v>
      </c>
      <c r="T6215" s="1"/>
      <c r="U6215" s="1"/>
      <c r="V6215" s="1"/>
      <c r="W6215" s="1"/>
      <c r="X6215" s="1"/>
      <c r="Y6215" s="1"/>
      <c r="AA6215" s="102"/>
      <c r="AB6215" s="1"/>
      <c r="AC6215" s="1"/>
      <c r="AD6215" s="1"/>
      <c r="AE6215" s="1"/>
      <c r="AF6215" s="1"/>
      <c r="AG6215" s="1"/>
    </row>
    <row r="6216" ht="15.75" customHeight="1">
      <c r="A6216" s="1"/>
      <c r="B6216" s="1"/>
      <c r="C6216" s="1"/>
      <c r="D6216" s="1"/>
      <c r="E6216" s="1"/>
      <c r="F6216" s="1"/>
      <c r="G6216" s="1"/>
      <c r="H6216" s="1"/>
      <c r="I6216" s="1"/>
      <c r="J6216" s="1"/>
      <c r="K6216" s="102" t="s">
        <v>9708</v>
      </c>
      <c r="L6216" s="102" t="str">
        <f>L833</f>
        <v>J2a1a1a2b2a2</v>
      </c>
      <c r="M6216" s="102" t="s">
        <v>9709</v>
      </c>
      <c r="N6216" s="1" t="s">
        <v>9710</v>
      </c>
      <c r="O6216" s="114">
        <v>2.2146827E7</v>
      </c>
      <c r="P6216" s="105">
        <v>1.9984941E7</v>
      </c>
      <c r="Q6216" s="102" t="s">
        <v>2501</v>
      </c>
      <c r="T6216" s="1"/>
      <c r="U6216" s="1"/>
      <c r="V6216" s="1"/>
      <c r="W6216" s="1"/>
      <c r="X6216" s="1"/>
      <c r="Y6216" s="1"/>
      <c r="AA6216" s="102"/>
      <c r="AB6216" s="1"/>
      <c r="AC6216" s="1"/>
      <c r="AD6216" s="1"/>
      <c r="AE6216" s="1"/>
      <c r="AF6216" s="1"/>
      <c r="AG6216" s="1"/>
    </row>
    <row r="6217" ht="15.75" customHeight="1">
      <c r="A6217" s="1"/>
      <c r="B6217" s="1"/>
      <c r="C6217" s="1"/>
      <c r="D6217" s="1"/>
      <c r="E6217" s="1"/>
      <c r="F6217" s="1"/>
      <c r="G6217" s="1"/>
      <c r="H6217" s="1"/>
      <c r="I6217" s="1"/>
      <c r="J6217" s="1"/>
      <c r="K6217" s="106" t="s">
        <v>9709</v>
      </c>
      <c r="L6217" s="102" t="str">
        <f>L833</f>
        <v>J2a1a1a2b2a2</v>
      </c>
      <c r="M6217" s="106" t="s">
        <v>9708</v>
      </c>
      <c r="N6217" s="1" t="s">
        <v>9710</v>
      </c>
      <c r="O6217" s="114">
        <v>2.2146827E7</v>
      </c>
      <c r="P6217" s="105">
        <v>1.9984941E7</v>
      </c>
      <c r="Q6217" s="102" t="s">
        <v>2501</v>
      </c>
      <c r="T6217" s="1"/>
      <c r="U6217" s="1"/>
      <c r="V6217" s="1"/>
      <c r="W6217" s="1"/>
      <c r="X6217" s="1"/>
      <c r="Y6217" s="1"/>
      <c r="AA6217" s="102"/>
      <c r="AB6217" s="1"/>
      <c r="AC6217" s="1"/>
      <c r="AD6217" s="1"/>
      <c r="AE6217" s="1"/>
      <c r="AF6217" s="1"/>
      <c r="AG6217" s="1"/>
    </row>
    <row r="6218" ht="15.75" customHeight="1">
      <c r="A6218" s="1"/>
      <c r="B6218" s="1"/>
      <c r="C6218" s="1"/>
      <c r="D6218" s="1"/>
      <c r="E6218" s="1"/>
      <c r="F6218" s="1"/>
      <c r="G6218" s="1"/>
      <c r="H6218" s="1"/>
      <c r="I6218" s="1"/>
      <c r="J6218" s="1"/>
      <c r="K6218" s="102" t="s">
        <v>1635</v>
      </c>
      <c r="L6218" s="102" t="str">
        <f>M834</f>
        <v>J2a1a1a2b2a2a~</v>
      </c>
      <c r="M6218" s="102"/>
      <c r="N6218" s="1"/>
      <c r="O6218" s="114">
        <v>2.1925528E7</v>
      </c>
      <c r="P6218" s="105">
        <v>1.9763642E7</v>
      </c>
      <c r="Q6218" s="102" t="s">
        <v>2432</v>
      </c>
      <c r="T6218" s="1"/>
      <c r="U6218" s="1"/>
      <c r="V6218" s="1"/>
      <c r="W6218" s="1"/>
      <c r="X6218" s="1"/>
      <c r="Y6218" s="1"/>
      <c r="AA6218" s="102"/>
      <c r="AB6218" s="1"/>
      <c r="AC6218" s="1"/>
      <c r="AD6218" s="1"/>
      <c r="AE6218" s="1"/>
      <c r="AF6218" s="1"/>
      <c r="AG6218" s="1"/>
    </row>
    <row r="6219" ht="15.75" customHeight="1">
      <c r="A6219" s="1"/>
      <c r="B6219" s="1"/>
      <c r="C6219" s="1"/>
      <c r="D6219" s="1"/>
      <c r="E6219" s="1"/>
      <c r="F6219" s="1"/>
      <c r="G6219" s="1"/>
      <c r="H6219" s="1"/>
      <c r="I6219" s="1"/>
      <c r="J6219" s="1"/>
      <c r="K6219" s="102" t="s">
        <v>1637</v>
      </c>
      <c r="L6219" s="102" t="str">
        <f>N835</f>
        <v>J2a1a1a2b2a2a1~</v>
      </c>
      <c r="M6219" s="102"/>
      <c r="N6219" s="1"/>
      <c r="O6219" s="114">
        <v>2.3546963E7</v>
      </c>
      <c r="P6219" s="105">
        <v>2.1385077E7</v>
      </c>
      <c r="Q6219" s="102" t="s">
        <v>2468</v>
      </c>
      <c r="T6219" s="1"/>
      <c r="U6219" s="1"/>
      <c r="V6219" s="1"/>
      <c r="W6219" s="1"/>
      <c r="X6219" s="1"/>
      <c r="Y6219" s="1"/>
      <c r="AA6219" s="102"/>
      <c r="AB6219" s="1"/>
      <c r="AC6219" s="1"/>
      <c r="AD6219" s="1"/>
      <c r="AE6219" s="1"/>
      <c r="AF6219" s="1"/>
      <c r="AG6219" s="1"/>
    </row>
    <row r="6220" ht="15.75" customHeight="1">
      <c r="A6220" s="1"/>
      <c r="B6220" s="1"/>
      <c r="C6220" s="1"/>
      <c r="D6220" s="1"/>
      <c r="E6220" s="1"/>
      <c r="F6220" s="1"/>
      <c r="G6220" s="1"/>
      <c r="H6220" s="1"/>
      <c r="I6220" s="1"/>
      <c r="J6220" s="1"/>
      <c r="K6220" s="102" t="s">
        <v>1639</v>
      </c>
      <c r="L6220" s="102" t="str">
        <f>O836</f>
        <v>J2a1a1a2b2a2a1a~</v>
      </c>
      <c r="M6220" s="102"/>
      <c r="N6220" s="1"/>
      <c r="O6220" s="114">
        <v>1.5480948E7</v>
      </c>
      <c r="P6220" s="105">
        <v>1.3369068E7</v>
      </c>
      <c r="Q6220" s="102" t="s">
        <v>2432</v>
      </c>
      <c r="T6220" s="1"/>
      <c r="U6220" s="1"/>
      <c r="V6220" s="1"/>
      <c r="W6220" s="1"/>
      <c r="X6220" s="1"/>
      <c r="Y6220" s="1"/>
      <c r="AA6220" s="102"/>
      <c r="AB6220" s="1"/>
      <c r="AC6220" s="1"/>
      <c r="AD6220" s="1"/>
      <c r="AE6220" s="1"/>
      <c r="AF6220" s="1"/>
      <c r="AG6220" s="1"/>
    </row>
    <row r="6221" ht="15.75" customHeight="1">
      <c r="A6221" s="1"/>
      <c r="B6221" s="1"/>
      <c r="C6221" s="1"/>
      <c r="D6221" s="1"/>
      <c r="E6221" s="1"/>
      <c r="F6221" s="1"/>
      <c r="G6221" s="1"/>
      <c r="H6221" s="1"/>
      <c r="I6221" s="1"/>
      <c r="J6221" s="1"/>
      <c r="K6221" s="106" t="s">
        <v>9711</v>
      </c>
      <c r="L6221" s="106" t="str">
        <f>M837</f>
        <v>J2a1a1a2b2a2b</v>
      </c>
      <c r="M6221" s="106" t="s">
        <v>9712</v>
      </c>
      <c r="N6221" s="108" t="s">
        <v>9713</v>
      </c>
      <c r="O6221" s="108">
        <v>1.4555305E7</v>
      </c>
      <c r="P6221" s="106">
        <v>1.2443506E7</v>
      </c>
      <c r="Q6221" s="106" t="s">
        <v>2501</v>
      </c>
      <c r="T6221" s="1"/>
      <c r="U6221" s="1"/>
      <c r="V6221" s="1"/>
      <c r="W6221" s="1"/>
      <c r="X6221" s="1"/>
      <c r="Y6221" s="1"/>
      <c r="AA6221" s="102"/>
      <c r="AB6221" s="1"/>
      <c r="AC6221" s="1"/>
      <c r="AD6221" s="1"/>
      <c r="AE6221" s="1"/>
      <c r="AF6221" s="1"/>
      <c r="AG6221" s="1"/>
    </row>
    <row r="6222" ht="15.75" customHeight="1">
      <c r="A6222" s="1"/>
      <c r="B6222" s="1"/>
      <c r="C6222" s="1"/>
      <c r="D6222" s="1"/>
      <c r="E6222" s="1"/>
      <c r="F6222" s="1"/>
      <c r="G6222" s="1"/>
      <c r="H6222" s="1"/>
      <c r="I6222" s="1"/>
      <c r="J6222" s="1"/>
      <c r="K6222" s="106" t="s">
        <v>9712</v>
      </c>
      <c r="L6222" s="102" t="str">
        <f t="shared" ref="L6222:L6223" si="152">M837</f>
        <v>J2a1a1a2b2a2b</v>
      </c>
      <c r="M6222" s="106" t="s">
        <v>9711</v>
      </c>
      <c r="N6222" s="108" t="s">
        <v>9713</v>
      </c>
      <c r="O6222" s="108">
        <v>1.4555305E7</v>
      </c>
      <c r="P6222" s="106">
        <v>1.2443506E7</v>
      </c>
      <c r="Q6222" s="106" t="s">
        <v>2501</v>
      </c>
      <c r="T6222" s="1"/>
      <c r="U6222" s="1"/>
      <c r="V6222" s="1"/>
      <c r="W6222" s="1"/>
      <c r="X6222" s="1"/>
      <c r="Y6222" s="1"/>
      <c r="AA6222" s="102"/>
      <c r="AB6222" s="1"/>
      <c r="AC6222" s="1"/>
      <c r="AD6222" s="1"/>
      <c r="AE6222" s="1"/>
      <c r="AF6222" s="1"/>
      <c r="AG6222" s="1"/>
    </row>
    <row r="6223" ht="15.75" customHeight="1">
      <c r="A6223" s="1"/>
      <c r="B6223" s="1"/>
      <c r="C6223" s="1"/>
      <c r="D6223" s="1"/>
      <c r="E6223" s="1"/>
      <c r="F6223" s="1"/>
      <c r="G6223" s="1"/>
      <c r="H6223" s="1"/>
      <c r="I6223" s="1"/>
      <c r="J6223" s="1"/>
      <c r="K6223" s="102" t="s">
        <v>9714</v>
      </c>
      <c r="L6223" s="102" t="str">
        <f t="shared" si="152"/>
        <v>J2a1a1a2b2a2b~</v>
      </c>
      <c r="M6223" s="102" t="s">
        <v>9715</v>
      </c>
      <c r="N6223" s="1" t="s">
        <v>9716</v>
      </c>
      <c r="O6223" s="114">
        <v>9434174.0</v>
      </c>
      <c r="P6223" s="105">
        <v>9596565.0</v>
      </c>
      <c r="Q6223" s="102" t="s">
        <v>2468</v>
      </c>
      <c r="T6223" s="1"/>
      <c r="U6223" s="1"/>
      <c r="V6223" s="1"/>
      <c r="W6223" s="1"/>
      <c r="X6223" s="1"/>
      <c r="Y6223" s="1"/>
      <c r="AA6223" s="102"/>
      <c r="AB6223" s="1"/>
      <c r="AC6223" s="1"/>
      <c r="AD6223" s="1"/>
      <c r="AE6223" s="1"/>
      <c r="AF6223" s="1"/>
      <c r="AG6223" s="1"/>
    </row>
    <row r="6224" ht="15.75" customHeight="1">
      <c r="A6224" s="1"/>
      <c r="B6224" s="1"/>
      <c r="C6224" s="1"/>
      <c r="D6224" s="1"/>
      <c r="E6224" s="1"/>
      <c r="F6224" s="1"/>
      <c r="G6224" s="1"/>
      <c r="H6224" s="1"/>
      <c r="I6224" s="1"/>
      <c r="J6224" s="1"/>
      <c r="K6224" s="106" t="s">
        <v>9715</v>
      </c>
      <c r="L6224" s="102" t="str">
        <f>M838</f>
        <v>J2a1a1a2b2a2b~</v>
      </c>
      <c r="M6224" s="106" t="s">
        <v>9714</v>
      </c>
      <c r="N6224" s="1" t="s">
        <v>9716</v>
      </c>
      <c r="O6224" s="114">
        <v>9434174.0</v>
      </c>
      <c r="P6224" s="105">
        <v>9596565.0</v>
      </c>
      <c r="Q6224" s="102" t="s">
        <v>2468</v>
      </c>
      <c r="T6224" s="1"/>
      <c r="U6224" s="1"/>
      <c r="V6224" s="1"/>
      <c r="W6224" s="1"/>
      <c r="X6224" s="1"/>
      <c r="Y6224" s="1"/>
      <c r="AA6224" s="102"/>
      <c r="AB6224" s="1"/>
      <c r="AC6224" s="1"/>
      <c r="AD6224" s="1"/>
      <c r="AE6224" s="1"/>
      <c r="AF6224" s="1"/>
      <c r="AG6224" s="1"/>
    </row>
    <row r="6225" ht="15.75" customHeight="1">
      <c r="A6225" s="1"/>
      <c r="B6225" s="1"/>
      <c r="C6225" s="1"/>
      <c r="D6225" s="1"/>
      <c r="E6225" s="1"/>
      <c r="F6225" s="1"/>
      <c r="G6225" s="1"/>
      <c r="H6225" s="1"/>
      <c r="I6225" s="1"/>
      <c r="J6225" s="1"/>
      <c r="K6225" s="102" t="s">
        <v>1645</v>
      </c>
      <c r="L6225" s="102" t="str">
        <f>N839</f>
        <v>J2a1a1a2b2a2b1</v>
      </c>
      <c r="M6225" s="102"/>
      <c r="N6225" s="1" t="s">
        <v>9717</v>
      </c>
      <c r="O6225" s="114">
        <v>1.7138654E7</v>
      </c>
      <c r="P6225" s="105">
        <v>1.5026774E7</v>
      </c>
      <c r="Q6225" s="102" t="s">
        <v>2501</v>
      </c>
      <c r="T6225" s="1"/>
      <c r="U6225" s="1"/>
      <c r="V6225" s="1"/>
      <c r="W6225" s="1"/>
      <c r="X6225" s="1"/>
      <c r="Y6225" s="1"/>
      <c r="AA6225" s="102"/>
      <c r="AB6225" s="1"/>
      <c r="AC6225" s="1"/>
      <c r="AD6225" s="1"/>
      <c r="AE6225" s="1"/>
      <c r="AF6225" s="1"/>
      <c r="AG6225" s="1"/>
    </row>
    <row r="6226" ht="15.75" customHeight="1">
      <c r="A6226" s="1"/>
      <c r="B6226" s="1"/>
      <c r="C6226" s="1"/>
      <c r="D6226" s="1"/>
      <c r="E6226" s="1"/>
      <c r="F6226" s="1"/>
      <c r="G6226" s="1"/>
      <c r="H6226" s="1"/>
      <c r="I6226" s="1"/>
      <c r="J6226" s="1"/>
      <c r="K6226" s="102" t="s">
        <v>1647</v>
      </c>
      <c r="L6226" s="102" t="str">
        <f t="shared" ref="L6226:L6227" si="153">O840</f>
        <v>J2a1a1a2b2a2b1a~</v>
      </c>
      <c r="M6226" s="102"/>
      <c r="N6226" s="1" t="s">
        <v>9718</v>
      </c>
      <c r="O6226" s="114">
        <v>2.1286126E7</v>
      </c>
      <c r="P6226" s="105">
        <v>1.912424E7</v>
      </c>
      <c r="Q6226" s="102" t="s">
        <v>2533</v>
      </c>
      <c r="T6226" s="1"/>
      <c r="U6226" s="1"/>
      <c r="V6226" s="1"/>
      <c r="W6226" s="1"/>
      <c r="X6226" s="1"/>
      <c r="Y6226" s="1"/>
      <c r="AA6226" s="102"/>
      <c r="AB6226" s="1"/>
      <c r="AC6226" s="1"/>
      <c r="AD6226" s="1"/>
      <c r="AE6226" s="1"/>
      <c r="AF6226" s="1"/>
      <c r="AG6226" s="1"/>
    </row>
    <row r="6227" ht="15.75" customHeight="1">
      <c r="A6227" s="1"/>
      <c r="B6227" s="1"/>
      <c r="C6227" s="1"/>
      <c r="D6227" s="1"/>
      <c r="E6227" s="1"/>
      <c r="F6227" s="1"/>
      <c r="G6227" s="1"/>
      <c r="H6227" s="1"/>
      <c r="I6227" s="1"/>
      <c r="J6227" s="1"/>
      <c r="K6227" s="102" t="s">
        <v>1649</v>
      </c>
      <c r="L6227" s="102" t="str">
        <f t="shared" si="153"/>
        <v>J2a1a1a2b2a2b1b~</v>
      </c>
      <c r="M6227" s="102"/>
      <c r="N6227" s="1" t="s">
        <v>9719</v>
      </c>
      <c r="O6227" s="114">
        <v>2.2934222E7</v>
      </c>
      <c r="P6227" s="105">
        <v>2.0772336E7</v>
      </c>
      <c r="Q6227" s="102" t="s">
        <v>2468</v>
      </c>
      <c r="T6227" s="1"/>
      <c r="U6227" s="1"/>
      <c r="V6227" s="1"/>
      <c r="W6227" s="1"/>
      <c r="X6227" s="1"/>
      <c r="Y6227" s="1"/>
      <c r="AA6227" s="102"/>
      <c r="AB6227" s="1"/>
      <c r="AC6227" s="1"/>
      <c r="AD6227" s="1"/>
      <c r="AE6227" s="1"/>
      <c r="AF6227" s="1"/>
      <c r="AG6227" s="1"/>
    </row>
    <row r="6228" ht="15.75" customHeight="1">
      <c r="A6228" s="1"/>
      <c r="B6228" s="1"/>
      <c r="C6228" s="1"/>
      <c r="D6228" s="1"/>
      <c r="E6228" s="1"/>
      <c r="F6228" s="1"/>
      <c r="G6228" s="1"/>
      <c r="H6228" s="1"/>
      <c r="I6228" s="1"/>
      <c r="J6228" s="1"/>
      <c r="K6228" s="102" t="s">
        <v>1651</v>
      </c>
      <c r="L6228" s="102" t="str">
        <f>P842</f>
        <v>J2a1a1a2b2a2b1b1~</v>
      </c>
      <c r="M6228" s="102"/>
      <c r="N6228" s="1"/>
      <c r="O6228" s="114">
        <v>8162841.0</v>
      </c>
      <c r="P6228" s="105">
        <v>8294800.0</v>
      </c>
      <c r="Q6228" s="102" t="s">
        <v>2454</v>
      </c>
      <c r="T6228" s="1"/>
      <c r="U6228" s="1"/>
      <c r="V6228" s="1"/>
      <c r="W6228" s="1"/>
      <c r="X6228" s="1"/>
      <c r="Y6228" s="1"/>
      <c r="AA6228" s="102"/>
      <c r="AB6228" s="1"/>
      <c r="AC6228" s="1"/>
      <c r="AD6228" s="1"/>
      <c r="AE6228" s="1"/>
      <c r="AF6228" s="1"/>
      <c r="AG6228" s="1"/>
    </row>
    <row r="6229" ht="15.75" customHeight="1">
      <c r="A6229" s="1"/>
      <c r="B6229" s="1"/>
      <c r="C6229" s="1"/>
      <c r="D6229" s="1"/>
      <c r="E6229" s="1"/>
      <c r="F6229" s="1"/>
      <c r="G6229" s="1"/>
      <c r="H6229" s="1"/>
      <c r="I6229" s="1"/>
      <c r="J6229" s="1"/>
      <c r="K6229" s="102" t="s">
        <v>9720</v>
      </c>
      <c r="L6229" s="102" t="str">
        <f>Q843</f>
        <v>J2a1a1a2b2a2b1b1a~</v>
      </c>
      <c r="M6229" s="102" t="s">
        <v>9721</v>
      </c>
      <c r="N6229" s="1"/>
      <c r="O6229" s="114">
        <v>2.3990813E7</v>
      </c>
      <c r="P6229" s="105">
        <v>2.1844666E7</v>
      </c>
      <c r="Q6229" s="102" t="s">
        <v>2432</v>
      </c>
      <c r="T6229" s="1"/>
      <c r="U6229" s="1"/>
      <c r="V6229" s="1"/>
      <c r="W6229" s="1"/>
      <c r="X6229" s="1"/>
      <c r="Y6229" s="1"/>
      <c r="AA6229" s="102"/>
      <c r="AB6229" s="1"/>
      <c r="AC6229" s="1"/>
      <c r="AD6229" s="1"/>
      <c r="AE6229" s="1"/>
      <c r="AF6229" s="1"/>
      <c r="AG6229" s="1"/>
    </row>
    <row r="6230" ht="15.75" customHeight="1">
      <c r="A6230" s="1"/>
      <c r="B6230" s="1"/>
      <c r="C6230" s="1"/>
      <c r="D6230" s="1"/>
      <c r="E6230" s="1"/>
      <c r="F6230" s="1"/>
      <c r="G6230" s="1"/>
      <c r="H6230" s="1"/>
      <c r="I6230" s="1"/>
      <c r="J6230" s="1"/>
      <c r="K6230" s="106" t="s">
        <v>9721</v>
      </c>
      <c r="L6230" s="102" t="str">
        <f>Q843</f>
        <v>J2a1a1a2b2a2b1b1a~</v>
      </c>
      <c r="M6230" s="106" t="s">
        <v>9720</v>
      </c>
      <c r="N6230" s="1"/>
      <c r="O6230" s="114">
        <v>2.3990813E7</v>
      </c>
      <c r="P6230" s="105">
        <v>2.1844666E7</v>
      </c>
      <c r="Q6230" s="102" t="s">
        <v>2432</v>
      </c>
      <c r="T6230" s="1"/>
      <c r="U6230" s="1"/>
      <c r="V6230" s="1"/>
      <c r="W6230" s="1"/>
      <c r="X6230" s="1"/>
      <c r="Y6230" s="1"/>
      <c r="AA6230" s="102"/>
      <c r="AB6230" s="1"/>
      <c r="AC6230" s="1"/>
      <c r="AD6230" s="1"/>
      <c r="AE6230" s="1"/>
      <c r="AF6230" s="1"/>
      <c r="AG6230" s="1"/>
    </row>
    <row r="6231" ht="15.75" customHeight="1">
      <c r="A6231" s="1"/>
      <c r="B6231" s="1"/>
      <c r="C6231" s="1"/>
      <c r="D6231" s="1"/>
      <c r="E6231" s="1"/>
      <c r="F6231" s="1"/>
      <c r="G6231" s="1"/>
      <c r="H6231" s="1"/>
      <c r="I6231" s="1"/>
      <c r="J6231" s="1"/>
      <c r="K6231" s="102" t="s">
        <v>1655</v>
      </c>
      <c r="L6231" s="102" t="str">
        <f>P844</f>
        <v>J2a1a1a2b2a2b1b2</v>
      </c>
      <c r="M6231" s="102"/>
      <c r="N6231" s="102" t="s">
        <v>9722</v>
      </c>
      <c r="O6231" s="105">
        <v>2.1764694E7</v>
      </c>
      <c r="P6231" s="105">
        <v>1.9602808E7</v>
      </c>
      <c r="Q6231" s="102" t="s">
        <v>2501</v>
      </c>
      <c r="T6231" s="1"/>
      <c r="U6231" s="1"/>
      <c r="V6231" s="1"/>
      <c r="W6231" s="1"/>
      <c r="X6231" s="1"/>
      <c r="Y6231" s="1"/>
      <c r="AA6231" s="102"/>
      <c r="AB6231" s="1"/>
      <c r="AC6231" s="1"/>
      <c r="AD6231" s="1"/>
      <c r="AE6231" s="1"/>
      <c r="AF6231" s="1"/>
      <c r="AG6231" s="1"/>
    </row>
    <row r="6232" ht="15.75" customHeight="1">
      <c r="A6232" s="1"/>
      <c r="B6232" s="1"/>
      <c r="C6232" s="1"/>
      <c r="D6232" s="1"/>
      <c r="E6232" s="1"/>
      <c r="F6232" s="1"/>
      <c r="G6232" s="1"/>
      <c r="H6232" s="1"/>
      <c r="I6232" s="1"/>
      <c r="J6232" s="1"/>
      <c r="K6232" s="102" t="s">
        <v>1657</v>
      </c>
      <c r="L6232" s="102" t="str">
        <f>N845</f>
        <v>J2a1a1a2b2a2b2~</v>
      </c>
      <c r="M6232" s="102"/>
      <c r="N6232" s="1" t="s">
        <v>9723</v>
      </c>
      <c r="O6232" s="114">
        <v>8709332.0</v>
      </c>
      <c r="P6232" s="105">
        <v>8841291.0</v>
      </c>
      <c r="Q6232" s="102" t="s">
        <v>2439</v>
      </c>
      <c r="T6232" s="1"/>
      <c r="U6232" s="1"/>
      <c r="V6232" s="1"/>
      <c r="W6232" s="1"/>
      <c r="X6232" s="1"/>
      <c r="Y6232" s="1"/>
      <c r="AA6232" s="102"/>
      <c r="AB6232" s="1"/>
      <c r="AC6232" s="1"/>
      <c r="AD6232" s="1"/>
      <c r="AE6232" s="1"/>
      <c r="AF6232" s="1"/>
      <c r="AG6232" s="1"/>
    </row>
    <row r="6233" ht="15.75" customHeight="1">
      <c r="A6233" s="1"/>
      <c r="B6233" s="1"/>
      <c r="C6233" s="1"/>
      <c r="D6233" s="1"/>
      <c r="E6233" s="1"/>
      <c r="F6233" s="1"/>
      <c r="G6233" s="1"/>
      <c r="H6233" s="1"/>
      <c r="I6233" s="1"/>
      <c r="J6233" s="1"/>
      <c r="K6233" s="102" t="s">
        <v>1659</v>
      </c>
      <c r="L6233" s="102" t="str">
        <f>O846</f>
        <v>J2a1a1a2b2a2b2a~</v>
      </c>
      <c r="M6233" s="102"/>
      <c r="N6233" s="1"/>
      <c r="O6233" s="114">
        <v>1.7821045E7</v>
      </c>
      <c r="P6233" s="105">
        <v>1.5709165E7</v>
      </c>
      <c r="Q6233" s="102" t="s">
        <v>2439</v>
      </c>
      <c r="T6233" s="1"/>
      <c r="U6233" s="1"/>
      <c r="V6233" s="1"/>
      <c r="W6233" s="1"/>
      <c r="X6233" s="1"/>
      <c r="Y6233" s="1"/>
      <c r="AA6233" s="102"/>
      <c r="AB6233" s="1"/>
      <c r="AC6233" s="1"/>
      <c r="AD6233" s="1"/>
      <c r="AE6233" s="1"/>
      <c r="AF6233" s="1"/>
      <c r="AG6233" s="1"/>
    </row>
    <row r="6234" ht="15.75" customHeight="1">
      <c r="A6234" s="1"/>
      <c r="B6234" s="1"/>
      <c r="C6234" s="1"/>
      <c r="D6234" s="1"/>
      <c r="E6234" s="1"/>
      <c r="F6234" s="1"/>
      <c r="G6234" s="1"/>
      <c r="H6234" s="1"/>
      <c r="I6234" s="1"/>
      <c r="J6234" s="1"/>
      <c r="K6234" s="102" t="s">
        <v>1661</v>
      </c>
      <c r="L6234" s="102" t="str">
        <f t="shared" ref="L6234:L6235" si="154">P847</f>
        <v>J2a1a1a2b2a2b2a1~</v>
      </c>
      <c r="M6234" s="102"/>
      <c r="N6234" s="1"/>
      <c r="O6234" s="114">
        <v>7930970.0</v>
      </c>
      <c r="P6234" s="105">
        <v>8062929.0</v>
      </c>
      <c r="Q6234" s="102" t="s">
        <v>2529</v>
      </c>
      <c r="T6234" s="1"/>
      <c r="U6234" s="1"/>
      <c r="V6234" s="1"/>
      <c r="W6234" s="1"/>
      <c r="X6234" s="1"/>
      <c r="Y6234" s="1"/>
      <c r="AA6234" s="102"/>
      <c r="AB6234" s="1"/>
      <c r="AC6234" s="1"/>
      <c r="AD6234" s="1"/>
      <c r="AE6234" s="1"/>
      <c r="AF6234" s="1"/>
      <c r="AG6234" s="1"/>
    </row>
    <row r="6235" ht="15.75" customHeight="1">
      <c r="A6235" s="1"/>
      <c r="B6235" s="1"/>
      <c r="C6235" s="1"/>
      <c r="D6235" s="1"/>
      <c r="E6235" s="1"/>
      <c r="F6235" s="1"/>
      <c r="G6235" s="1"/>
      <c r="H6235" s="1"/>
      <c r="I6235" s="1"/>
      <c r="J6235" s="1"/>
      <c r="K6235" s="102" t="s">
        <v>1663</v>
      </c>
      <c r="L6235" s="102" t="str">
        <f t="shared" si="154"/>
        <v>J2a1a1a2b2a2b2a2~</v>
      </c>
      <c r="M6235" s="102"/>
      <c r="N6235" s="1"/>
      <c r="O6235" s="114">
        <v>1.6805902E7</v>
      </c>
      <c r="P6235" s="105">
        <v>1.4694022E7</v>
      </c>
      <c r="Q6235" s="102" t="s">
        <v>2468</v>
      </c>
      <c r="T6235" s="1"/>
      <c r="U6235" s="1"/>
      <c r="V6235" s="1"/>
      <c r="W6235" s="1"/>
      <c r="X6235" s="1"/>
      <c r="Y6235" s="1"/>
      <c r="AA6235" s="102"/>
      <c r="AB6235" s="1"/>
      <c r="AC6235" s="1"/>
      <c r="AD6235" s="1"/>
      <c r="AE6235" s="1"/>
      <c r="AF6235" s="1"/>
      <c r="AG6235" s="1"/>
    </row>
    <row r="6236" ht="15.75" customHeight="1">
      <c r="A6236" s="1"/>
      <c r="B6236" s="1"/>
      <c r="C6236" s="1"/>
      <c r="D6236" s="1"/>
      <c r="E6236" s="1"/>
      <c r="F6236" s="1"/>
      <c r="G6236" s="1"/>
      <c r="H6236" s="1"/>
      <c r="I6236" s="1"/>
      <c r="J6236" s="1"/>
      <c r="K6236" s="102" t="s">
        <v>1665</v>
      </c>
      <c r="L6236" s="102" t="str">
        <f>Q849</f>
        <v>J2a1a1a2b2a2b2a2a~</v>
      </c>
      <c r="M6236" s="102"/>
      <c r="N6236" s="1"/>
      <c r="O6236" s="114">
        <v>1.5202857E7</v>
      </c>
      <c r="P6236" s="105">
        <v>1.3090943E7</v>
      </c>
      <c r="Q6236" s="102" t="s">
        <v>2439</v>
      </c>
      <c r="T6236" s="1"/>
      <c r="U6236" s="1"/>
      <c r="V6236" s="1"/>
      <c r="W6236" s="1"/>
      <c r="X6236" s="1"/>
      <c r="Y6236" s="1"/>
      <c r="AA6236" s="102"/>
      <c r="AB6236" s="1"/>
      <c r="AC6236" s="1"/>
      <c r="AD6236" s="1"/>
      <c r="AE6236" s="1"/>
      <c r="AF6236" s="1"/>
      <c r="AG6236" s="1"/>
    </row>
    <row r="6237" ht="15.75" customHeight="1">
      <c r="A6237" s="1"/>
      <c r="B6237" s="1"/>
      <c r="C6237" s="1"/>
      <c r="D6237" s="1"/>
      <c r="E6237" s="1"/>
      <c r="F6237" s="1"/>
      <c r="G6237" s="1"/>
      <c r="H6237" s="1"/>
      <c r="I6237" s="1"/>
      <c r="J6237" s="1"/>
      <c r="K6237" s="102" t="s">
        <v>1667</v>
      </c>
      <c r="L6237" s="102" t="str">
        <f>O850</f>
        <v>J2a1a1a2b2a2b2b~</v>
      </c>
      <c r="M6237" s="102"/>
      <c r="N6237" s="1" t="s">
        <v>9724</v>
      </c>
      <c r="O6237" s="114">
        <v>2842406.0</v>
      </c>
      <c r="P6237" s="105">
        <v>2974365.0</v>
      </c>
      <c r="Q6237" s="102" t="s">
        <v>2439</v>
      </c>
      <c r="T6237" s="1"/>
      <c r="U6237" s="1"/>
      <c r="V6237" s="1"/>
      <c r="W6237" s="1"/>
      <c r="X6237" s="1"/>
      <c r="Y6237" s="1"/>
      <c r="AA6237" s="102"/>
      <c r="AB6237" s="1"/>
      <c r="AC6237" s="1"/>
      <c r="AD6237" s="1"/>
      <c r="AE6237" s="1"/>
      <c r="AF6237" s="1"/>
      <c r="AG6237" s="1"/>
    </row>
    <row r="6238" ht="15.75" customHeight="1">
      <c r="A6238" s="1"/>
      <c r="B6238" s="1"/>
      <c r="C6238" s="1"/>
      <c r="D6238" s="1"/>
      <c r="E6238" s="1"/>
      <c r="F6238" s="1"/>
      <c r="G6238" s="1"/>
      <c r="H6238" s="1"/>
      <c r="I6238" s="1"/>
      <c r="J6238" s="1"/>
      <c r="K6238" s="102" t="s">
        <v>1669</v>
      </c>
      <c r="L6238" s="102" t="str">
        <f>P851</f>
        <v>J2a1a1a2b2a2b2b1~</v>
      </c>
      <c r="M6238" s="102"/>
      <c r="N6238" s="1"/>
      <c r="O6238" s="114">
        <v>2.8783208E7</v>
      </c>
      <c r="P6238" s="105">
        <v>2.6637061E7</v>
      </c>
      <c r="Q6238" s="102" t="s">
        <v>2529</v>
      </c>
      <c r="T6238" s="1"/>
      <c r="U6238" s="1"/>
      <c r="V6238" s="1"/>
      <c r="W6238" s="1"/>
      <c r="X6238" s="1"/>
      <c r="Y6238" s="1"/>
      <c r="AA6238" s="102"/>
      <c r="AB6238" s="1"/>
      <c r="AC6238" s="1"/>
      <c r="AD6238" s="1"/>
      <c r="AE6238" s="1"/>
      <c r="AF6238" s="1"/>
      <c r="AG6238" s="1"/>
    </row>
    <row r="6239" ht="15.75" customHeight="1">
      <c r="A6239" s="1"/>
      <c r="B6239" s="1"/>
      <c r="C6239" s="1"/>
      <c r="D6239" s="1"/>
      <c r="E6239" s="1"/>
      <c r="F6239" s="1"/>
      <c r="G6239" s="1"/>
      <c r="H6239" s="1"/>
      <c r="I6239" s="1"/>
      <c r="J6239" s="1"/>
      <c r="K6239" s="102" t="s">
        <v>1671</v>
      </c>
      <c r="L6239" s="102" t="str">
        <f>Q852</f>
        <v>J2a1a1a2b2a2b2b1a~</v>
      </c>
      <c r="M6239" s="102"/>
      <c r="N6239" s="1" t="s">
        <v>9725</v>
      </c>
      <c r="O6239" s="114">
        <v>2834407.0</v>
      </c>
      <c r="P6239" s="105">
        <v>2966366.0</v>
      </c>
      <c r="Q6239" s="102" t="s">
        <v>2468</v>
      </c>
      <c r="T6239" s="1"/>
      <c r="U6239" s="1"/>
      <c r="V6239" s="1"/>
      <c r="W6239" s="1"/>
      <c r="X6239" s="1"/>
      <c r="Y6239" s="1"/>
      <c r="AA6239" s="102"/>
      <c r="AB6239" s="1"/>
      <c r="AC6239" s="1"/>
      <c r="AD6239" s="1"/>
      <c r="AE6239" s="1"/>
      <c r="AF6239" s="1"/>
      <c r="AG6239" s="1"/>
    </row>
    <row r="6240" ht="15.75" customHeight="1">
      <c r="A6240" s="1"/>
      <c r="B6240" s="1"/>
      <c r="C6240" s="1"/>
      <c r="D6240" s="1"/>
      <c r="E6240" s="1"/>
      <c r="F6240" s="1"/>
      <c r="G6240" s="1"/>
      <c r="H6240" s="1"/>
      <c r="I6240" s="1"/>
      <c r="J6240" s="1"/>
      <c r="K6240" s="102" t="s">
        <v>1673</v>
      </c>
      <c r="L6240" s="102" t="str">
        <f>P853</f>
        <v>J2a1a1a2b2a2b2b2~</v>
      </c>
      <c r="M6240" s="102" t="s">
        <v>13</v>
      </c>
      <c r="N6240" s="1" t="s">
        <v>9726</v>
      </c>
      <c r="O6240" s="114">
        <v>1.6222141E7</v>
      </c>
      <c r="P6240" s="105">
        <v>1.4110261E7</v>
      </c>
      <c r="Q6240" s="102" t="s">
        <v>2439</v>
      </c>
      <c r="T6240" s="1"/>
      <c r="U6240" s="1"/>
      <c r="V6240" s="1"/>
      <c r="W6240" s="1"/>
      <c r="X6240" s="1"/>
      <c r="Y6240" s="1"/>
      <c r="AA6240" s="102"/>
      <c r="AB6240" s="1"/>
      <c r="AC6240" s="1"/>
      <c r="AD6240" s="1"/>
      <c r="AE6240" s="1"/>
      <c r="AF6240" s="1"/>
      <c r="AG6240" s="1"/>
    </row>
    <row r="6241" ht="15.75" customHeight="1">
      <c r="A6241" s="1"/>
      <c r="B6241" s="1"/>
      <c r="C6241" s="1"/>
      <c r="D6241" s="1"/>
      <c r="E6241" s="1"/>
      <c r="F6241" s="1"/>
      <c r="G6241" s="1"/>
      <c r="H6241" s="1"/>
      <c r="I6241" s="1"/>
      <c r="J6241" s="1"/>
      <c r="K6241" s="102" t="s">
        <v>1675</v>
      </c>
      <c r="L6241" s="102" t="str">
        <f>Q854</f>
        <v>J2a1a1a2b2a2b2b2a~</v>
      </c>
      <c r="M6241" s="102"/>
      <c r="N6241" s="1" t="s">
        <v>9727</v>
      </c>
      <c r="O6241" s="114">
        <v>2.2890891E7</v>
      </c>
      <c r="P6241" s="105">
        <v>2.0729005E7</v>
      </c>
      <c r="Q6241" s="102" t="s">
        <v>2576</v>
      </c>
      <c r="T6241" s="1"/>
      <c r="U6241" s="1"/>
      <c r="V6241" s="1"/>
      <c r="W6241" s="1"/>
      <c r="X6241" s="1"/>
      <c r="Y6241" s="1"/>
      <c r="AA6241" s="102"/>
      <c r="AB6241" s="1"/>
      <c r="AC6241" s="1"/>
      <c r="AD6241" s="1"/>
      <c r="AE6241" s="1"/>
      <c r="AF6241" s="1"/>
      <c r="AG6241" s="1"/>
    </row>
    <row r="6242" ht="15.75" customHeight="1">
      <c r="A6242" s="1"/>
      <c r="B6242" s="1"/>
      <c r="C6242" s="1"/>
      <c r="D6242" s="1"/>
      <c r="E6242" s="1"/>
      <c r="F6242" s="1"/>
      <c r="G6242" s="1"/>
      <c r="H6242" s="1"/>
      <c r="I6242" s="1"/>
      <c r="J6242" s="1"/>
      <c r="K6242" s="102" t="s">
        <v>1677</v>
      </c>
      <c r="L6242" s="102" t="str">
        <f>R855</f>
        <v>J2a1a1a2b2a2b2b2a1~</v>
      </c>
      <c r="M6242" s="102"/>
      <c r="N6242" s="1" t="s">
        <v>9728</v>
      </c>
      <c r="O6242" s="114">
        <v>2.0835365E7</v>
      </c>
      <c r="P6242" s="105">
        <v>1.8673479E7</v>
      </c>
      <c r="Q6242" s="102" t="s">
        <v>2468</v>
      </c>
      <c r="T6242" s="1"/>
      <c r="U6242" s="1"/>
      <c r="V6242" s="1"/>
      <c r="W6242" s="1"/>
      <c r="X6242" s="1"/>
      <c r="Y6242" s="1"/>
      <c r="AA6242" s="102"/>
      <c r="AB6242" s="1"/>
      <c r="AC6242" s="1"/>
      <c r="AD6242" s="1"/>
      <c r="AE6242" s="1"/>
      <c r="AF6242" s="1"/>
      <c r="AG6242" s="1"/>
    </row>
    <row r="6243" ht="15.75" customHeight="1">
      <c r="A6243" s="1"/>
      <c r="B6243" s="1"/>
      <c r="C6243" s="1"/>
      <c r="D6243" s="1"/>
      <c r="E6243" s="1"/>
      <c r="F6243" s="1"/>
      <c r="G6243" s="1"/>
      <c r="H6243" s="1"/>
      <c r="I6243" s="1"/>
      <c r="J6243" s="1"/>
      <c r="K6243" s="106" t="s">
        <v>9729</v>
      </c>
      <c r="L6243" s="106" t="str">
        <f>N856</f>
        <v>J2a1a1a2b2a2b3</v>
      </c>
      <c r="M6243" s="106" t="s">
        <v>9730</v>
      </c>
      <c r="N6243" s="108" t="s">
        <v>9731</v>
      </c>
      <c r="O6243" s="108">
        <v>2889745.0</v>
      </c>
      <c r="P6243" s="106">
        <v>3021704.0</v>
      </c>
      <c r="Q6243" s="106" t="s">
        <v>2576</v>
      </c>
      <c r="T6243" s="1"/>
      <c r="U6243" s="1"/>
      <c r="V6243" s="1"/>
      <c r="W6243" s="1"/>
      <c r="X6243" s="1"/>
      <c r="Y6243" s="1"/>
      <c r="AA6243" s="102"/>
      <c r="AB6243" s="1"/>
      <c r="AC6243" s="1"/>
      <c r="AD6243" s="1"/>
      <c r="AE6243" s="1"/>
      <c r="AF6243" s="1"/>
      <c r="AG6243" s="1"/>
    </row>
    <row r="6244" ht="15.75" customHeight="1">
      <c r="A6244" s="1"/>
      <c r="B6244" s="1"/>
      <c r="C6244" s="1"/>
      <c r="D6244" s="1"/>
      <c r="E6244" s="1"/>
      <c r="F6244" s="1"/>
      <c r="G6244" s="1"/>
      <c r="H6244" s="1"/>
      <c r="I6244" s="1"/>
      <c r="J6244" s="1"/>
      <c r="K6244" s="106" t="s">
        <v>9730</v>
      </c>
      <c r="L6244" s="106" t="str">
        <f>N856</f>
        <v>J2a1a1a2b2a2b3</v>
      </c>
      <c r="M6244" s="106" t="s">
        <v>9729</v>
      </c>
      <c r="N6244" s="108" t="s">
        <v>9731</v>
      </c>
      <c r="O6244" s="108">
        <v>2889745.0</v>
      </c>
      <c r="P6244" s="106">
        <v>3021704.0</v>
      </c>
      <c r="Q6244" s="106" t="s">
        <v>2576</v>
      </c>
      <c r="T6244" s="1"/>
      <c r="U6244" s="1"/>
      <c r="V6244" s="1"/>
      <c r="W6244" s="1"/>
      <c r="X6244" s="1"/>
      <c r="Y6244" s="1"/>
      <c r="AA6244" s="102"/>
      <c r="AB6244" s="1"/>
      <c r="AC6244" s="1"/>
      <c r="AD6244" s="1"/>
      <c r="AE6244" s="1"/>
      <c r="AF6244" s="1"/>
      <c r="AG6244" s="1"/>
    </row>
    <row r="6245" ht="15.75" customHeight="1">
      <c r="A6245" s="1"/>
      <c r="B6245" s="1"/>
      <c r="C6245" s="1"/>
      <c r="D6245" s="1"/>
      <c r="E6245" s="1"/>
      <c r="F6245" s="1"/>
      <c r="G6245" s="1"/>
      <c r="H6245" s="1"/>
      <c r="I6245" s="1"/>
      <c r="J6245" s="1"/>
      <c r="K6245" s="106" t="s">
        <v>9732</v>
      </c>
      <c r="L6245" s="106" t="str">
        <f>N856</f>
        <v>J2a1a1a2b2a2b3</v>
      </c>
      <c r="M6245" s="106"/>
      <c r="N6245" s="108" t="s">
        <v>9733</v>
      </c>
      <c r="O6245" s="108">
        <v>1.8885556E7</v>
      </c>
      <c r="P6245" s="106">
        <v>1.6773676E7</v>
      </c>
      <c r="Q6245" s="106" t="s">
        <v>2501</v>
      </c>
      <c r="T6245" s="1"/>
      <c r="U6245" s="1"/>
      <c r="V6245" s="1"/>
      <c r="W6245" s="1"/>
      <c r="X6245" s="1"/>
      <c r="Y6245" s="1"/>
      <c r="AA6245" s="102"/>
      <c r="AB6245" s="1"/>
      <c r="AC6245" s="1"/>
      <c r="AD6245" s="1"/>
      <c r="AE6245" s="1"/>
      <c r="AF6245" s="1"/>
      <c r="AG6245" s="1"/>
    </row>
    <row r="6246" ht="15.75" customHeight="1">
      <c r="A6246" s="1"/>
      <c r="B6246" s="1"/>
      <c r="C6246" s="1"/>
      <c r="D6246" s="1"/>
      <c r="E6246" s="1"/>
      <c r="F6246" s="1"/>
      <c r="G6246" s="1"/>
      <c r="H6246" s="1"/>
      <c r="I6246" s="1"/>
      <c r="J6246" s="1"/>
      <c r="K6246" s="106" t="s">
        <v>9734</v>
      </c>
      <c r="L6246" s="106" t="str">
        <f>N856</f>
        <v>J2a1a1a2b2a2b3</v>
      </c>
      <c r="M6246" s="106" t="s">
        <v>9735</v>
      </c>
      <c r="N6246" s="108" t="s">
        <v>9736</v>
      </c>
      <c r="O6246" s="108">
        <v>8332185.0</v>
      </c>
      <c r="P6246" s="106">
        <v>8464144.0</v>
      </c>
      <c r="Q6246" s="106" t="s">
        <v>2533</v>
      </c>
      <c r="T6246" s="1"/>
      <c r="U6246" s="1"/>
      <c r="V6246" s="1"/>
      <c r="W6246" s="1"/>
      <c r="X6246" s="1"/>
      <c r="Y6246" s="1"/>
      <c r="AA6246" s="102"/>
      <c r="AB6246" s="1"/>
      <c r="AC6246" s="1"/>
      <c r="AD6246" s="1"/>
      <c r="AE6246" s="1"/>
      <c r="AF6246" s="1"/>
      <c r="AG6246" s="1"/>
    </row>
    <row r="6247" ht="15.75" customHeight="1">
      <c r="A6247" s="1"/>
      <c r="B6247" s="1"/>
      <c r="C6247" s="1"/>
      <c r="D6247" s="1"/>
      <c r="E6247" s="1"/>
      <c r="F6247" s="1"/>
      <c r="G6247" s="1"/>
      <c r="H6247" s="1"/>
      <c r="I6247" s="1"/>
      <c r="J6247" s="1"/>
      <c r="K6247" s="106" t="s">
        <v>9735</v>
      </c>
      <c r="L6247" s="102" t="str">
        <f>N856</f>
        <v>J2a1a1a2b2a2b3</v>
      </c>
      <c r="M6247" s="106" t="s">
        <v>9734</v>
      </c>
      <c r="N6247" s="108" t="s">
        <v>9736</v>
      </c>
      <c r="O6247" s="108">
        <v>8332185.0</v>
      </c>
      <c r="P6247" s="106">
        <v>8464144.0</v>
      </c>
      <c r="Q6247" s="106" t="s">
        <v>2533</v>
      </c>
      <c r="T6247" s="1"/>
      <c r="U6247" s="1"/>
      <c r="V6247" s="1"/>
      <c r="W6247" s="1"/>
      <c r="X6247" s="1"/>
      <c r="Y6247" s="1"/>
      <c r="AA6247" s="102"/>
      <c r="AB6247" s="1"/>
      <c r="AC6247" s="1"/>
      <c r="AD6247" s="1"/>
      <c r="AE6247" s="1"/>
      <c r="AF6247" s="1"/>
      <c r="AG6247" s="1"/>
    </row>
    <row r="6248" ht="15.75" customHeight="1">
      <c r="A6248" s="1"/>
      <c r="B6248" s="1"/>
      <c r="C6248" s="1"/>
      <c r="D6248" s="1"/>
      <c r="E6248" s="1"/>
      <c r="F6248" s="1"/>
      <c r="G6248" s="1"/>
      <c r="H6248" s="1"/>
      <c r="I6248" s="1"/>
      <c r="J6248" s="1"/>
      <c r="K6248" s="106" t="s">
        <v>9737</v>
      </c>
      <c r="L6248" s="102" t="str">
        <f>N856</f>
        <v>J2a1a1a2b2a2b3</v>
      </c>
      <c r="M6248" s="102"/>
      <c r="N6248" s="108" t="s">
        <v>9738</v>
      </c>
      <c r="O6248" s="108">
        <v>8568974.0</v>
      </c>
      <c r="P6248" s="106">
        <v>8700933.0</v>
      </c>
      <c r="Q6248" s="106" t="s">
        <v>2501</v>
      </c>
      <c r="T6248" s="1"/>
      <c r="U6248" s="1"/>
      <c r="V6248" s="1"/>
      <c r="W6248" s="1"/>
      <c r="X6248" s="1"/>
      <c r="Y6248" s="1"/>
      <c r="AA6248" s="102"/>
      <c r="AB6248" s="1"/>
      <c r="AC6248" s="1"/>
      <c r="AD6248" s="1"/>
      <c r="AE6248" s="1"/>
      <c r="AF6248" s="1"/>
      <c r="AG6248" s="1"/>
    </row>
    <row r="6249" ht="15.75" customHeight="1">
      <c r="A6249" s="1"/>
      <c r="B6249" s="1"/>
      <c r="C6249" s="1"/>
      <c r="D6249" s="1"/>
      <c r="E6249" s="1"/>
      <c r="F6249" s="1"/>
      <c r="G6249" s="1"/>
      <c r="H6249" s="1"/>
      <c r="I6249" s="1"/>
      <c r="J6249" s="1"/>
      <c r="K6249" s="102" t="s">
        <v>9739</v>
      </c>
      <c r="L6249" s="102" t="str">
        <f>O857</f>
        <v>J2a1a1a2b2a2b3a</v>
      </c>
      <c r="M6249" s="102"/>
      <c r="N6249" s="102" t="s">
        <v>9740</v>
      </c>
      <c r="O6249" s="105">
        <v>1.6492197E7</v>
      </c>
      <c r="P6249" s="105">
        <v>1.4380317E7</v>
      </c>
      <c r="Q6249" s="102" t="s">
        <v>2432</v>
      </c>
      <c r="T6249" s="1"/>
      <c r="U6249" s="1"/>
      <c r="V6249" s="1"/>
      <c r="W6249" s="1"/>
      <c r="X6249" s="1"/>
      <c r="Y6249" s="1"/>
      <c r="AA6249" s="102"/>
      <c r="AB6249" s="1"/>
      <c r="AC6249" s="1"/>
      <c r="AD6249" s="1"/>
      <c r="AE6249" s="1"/>
      <c r="AF6249" s="1"/>
      <c r="AG6249" s="1"/>
    </row>
    <row r="6250" ht="15.75" customHeight="1">
      <c r="A6250" s="1"/>
      <c r="B6250" s="1"/>
      <c r="C6250" s="1"/>
      <c r="D6250" s="1"/>
      <c r="E6250" s="1"/>
      <c r="F6250" s="1"/>
      <c r="G6250" s="1"/>
      <c r="H6250" s="1"/>
      <c r="I6250" s="1"/>
      <c r="J6250" s="1"/>
      <c r="K6250" s="106" t="s">
        <v>9741</v>
      </c>
      <c r="L6250" s="102" t="str">
        <f>O857</f>
        <v>J2a1a1a2b2a2b3a</v>
      </c>
      <c r="M6250" s="102"/>
      <c r="N6250" s="108" t="s">
        <v>9742</v>
      </c>
      <c r="O6250" s="108">
        <v>6859963.0</v>
      </c>
      <c r="P6250" s="109">
        <v>6991922.0</v>
      </c>
      <c r="Q6250" s="106" t="s">
        <v>2501</v>
      </c>
      <c r="T6250" s="1"/>
      <c r="U6250" s="1"/>
      <c r="V6250" s="1"/>
      <c r="W6250" s="1"/>
      <c r="X6250" s="1"/>
      <c r="Y6250" s="1"/>
      <c r="AA6250" s="102"/>
      <c r="AB6250" s="1"/>
      <c r="AC6250" s="1"/>
      <c r="AD6250" s="1"/>
      <c r="AE6250" s="1"/>
      <c r="AF6250" s="1"/>
      <c r="AG6250" s="1"/>
    </row>
    <row r="6251" ht="15.75" customHeight="1">
      <c r="A6251" s="1"/>
      <c r="B6251" s="1"/>
      <c r="C6251" s="1"/>
      <c r="D6251" s="1"/>
      <c r="E6251" s="1"/>
      <c r="F6251" s="1"/>
      <c r="G6251" s="1"/>
      <c r="H6251" s="1"/>
      <c r="I6251" s="1"/>
      <c r="J6251" s="1"/>
      <c r="K6251" s="102" t="s">
        <v>1683</v>
      </c>
      <c r="L6251" s="102" t="str">
        <f t="shared" ref="L6251:L6252" si="155">P858</f>
        <v>J2a1a1a2b2a2b3a1~</v>
      </c>
      <c r="M6251" s="102"/>
      <c r="N6251" s="1"/>
      <c r="O6251" s="114">
        <v>1.4070491E7</v>
      </c>
      <c r="P6251" s="105">
        <v>1.1949785E7</v>
      </c>
      <c r="Q6251" s="102" t="s">
        <v>2529</v>
      </c>
      <c r="T6251" s="1"/>
      <c r="U6251" s="1"/>
      <c r="V6251" s="1"/>
      <c r="W6251" s="1"/>
      <c r="X6251" s="1"/>
      <c r="Y6251" s="1"/>
      <c r="AA6251" s="102"/>
      <c r="AB6251" s="1"/>
      <c r="AC6251" s="1"/>
      <c r="AD6251" s="1"/>
      <c r="AE6251" s="1"/>
      <c r="AF6251" s="1"/>
      <c r="AG6251" s="1"/>
    </row>
    <row r="6252" ht="15.75" customHeight="1">
      <c r="A6252" s="1"/>
      <c r="B6252" s="1"/>
      <c r="C6252" s="1"/>
      <c r="D6252" s="1"/>
      <c r="E6252" s="1"/>
      <c r="F6252" s="1"/>
      <c r="G6252" s="1"/>
      <c r="H6252" s="1"/>
      <c r="I6252" s="1"/>
      <c r="J6252" s="1"/>
      <c r="K6252" s="102" t="s">
        <v>1685</v>
      </c>
      <c r="L6252" s="102" t="str">
        <f t="shared" si="155"/>
        <v>J2a1a1a2b2a2b3a2~</v>
      </c>
      <c r="M6252" s="102"/>
      <c r="N6252" s="1" t="s">
        <v>9743</v>
      </c>
      <c r="O6252" s="114">
        <v>1.6089097E7</v>
      </c>
      <c r="P6252" s="105">
        <v>1.3977217E7</v>
      </c>
      <c r="Q6252" s="102" t="s">
        <v>2439</v>
      </c>
      <c r="T6252" s="1"/>
      <c r="U6252" s="1"/>
      <c r="V6252" s="1"/>
      <c r="W6252" s="1"/>
      <c r="X6252" s="1"/>
      <c r="Y6252" s="1"/>
      <c r="AA6252" s="102"/>
      <c r="AB6252" s="1"/>
      <c r="AC6252" s="1"/>
      <c r="AD6252" s="1"/>
      <c r="AE6252" s="1"/>
      <c r="AF6252" s="1"/>
      <c r="AG6252" s="1"/>
    </row>
    <row r="6253" ht="15.75" customHeight="1">
      <c r="A6253" s="1"/>
      <c r="B6253" s="1"/>
      <c r="C6253" s="1"/>
      <c r="D6253" s="1"/>
      <c r="E6253" s="1"/>
      <c r="F6253" s="1"/>
      <c r="G6253" s="1"/>
      <c r="H6253" s="1"/>
      <c r="I6253" s="1"/>
      <c r="J6253" s="1"/>
      <c r="K6253" s="102" t="s">
        <v>1687</v>
      </c>
      <c r="L6253" s="102" t="str">
        <f>Q860</f>
        <v>J2a1a1a2b2a2b3a2a~</v>
      </c>
      <c r="M6253" s="102"/>
      <c r="N6253" s="1"/>
      <c r="O6253" s="114">
        <v>1.4247323E7</v>
      </c>
      <c r="P6253" s="105">
        <v>1.2126617E7</v>
      </c>
      <c r="Q6253" s="102" t="s">
        <v>2446</v>
      </c>
      <c r="T6253" s="1"/>
      <c r="U6253" s="1"/>
      <c r="V6253" s="1"/>
      <c r="W6253" s="1"/>
      <c r="X6253" s="1"/>
      <c r="Y6253" s="1"/>
      <c r="AA6253" s="102"/>
      <c r="AB6253" s="1"/>
      <c r="AC6253" s="1"/>
      <c r="AD6253" s="1"/>
      <c r="AE6253" s="1"/>
      <c r="AF6253" s="1"/>
      <c r="AG6253" s="1"/>
    </row>
    <row r="6254" ht="15.75" customHeight="1">
      <c r="A6254" s="1"/>
      <c r="B6254" s="1"/>
      <c r="C6254" s="1"/>
      <c r="D6254" s="1"/>
      <c r="E6254" s="1"/>
      <c r="F6254" s="1"/>
      <c r="G6254" s="1"/>
      <c r="H6254" s="1"/>
      <c r="I6254" s="1"/>
      <c r="J6254" s="1"/>
      <c r="K6254" s="102" t="s">
        <v>1689</v>
      </c>
      <c r="L6254" s="102" t="str">
        <f>R861</f>
        <v>J2a1a1a2b2a2b3a2a1~</v>
      </c>
      <c r="M6254" s="102"/>
      <c r="N6254" s="1" t="s">
        <v>9744</v>
      </c>
      <c r="O6254" s="114">
        <v>1.9055972E7</v>
      </c>
      <c r="P6254" s="105">
        <v>1.6944092E7</v>
      </c>
      <c r="Q6254" s="102" t="s">
        <v>2446</v>
      </c>
      <c r="T6254" s="1"/>
      <c r="U6254" s="1"/>
      <c r="V6254" s="1"/>
      <c r="W6254" s="1"/>
      <c r="X6254" s="1"/>
      <c r="Y6254" s="1"/>
      <c r="AA6254" s="102"/>
      <c r="AB6254" s="1"/>
      <c r="AC6254" s="1"/>
      <c r="AD6254" s="1"/>
      <c r="AE6254" s="1"/>
      <c r="AF6254" s="1"/>
      <c r="AG6254" s="1"/>
    </row>
    <row r="6255" ht="15.75" customHeight="1">
      <c r="A6255" s="1"/>
      <c r="B6255" s="1"/>
      <c r="C6255" s="1"/>
      <c r="D6255" s="1"/>
      <c r="E6255" s="1"/>
      <c r="F6255" s="1"/>
      <c r="G6255" s="1"/>
      <c r="H6255" s="1"/>
      <c r="I6255" s="1"/>
      <c r="J6255" s="1"/>
      <c r="K6255" s="102" t="s">
        <v>1691</v>
      </c>
      <c r="L6255" s="102" t="str">
        <f t="shared" ref="L6255:L6256" si="156">S862</f>
        <v>J2a1a1a2b2a2b3a2a1a~</v>
      </c>
      <c r="M6255" s="102"/>
      <c r="N6255" s="1" t="s">
        <v>9745</v>
      </c>
      <c r="O6255" s="114">
        <v>1.5541399E7</v>
      </c>
      <c r="P6255" s="105">
        <v>1.3429519E7</v>
      </c>
      <c r="Q6255" s="102" t="s">
        <v>2501</v>
      </c>
      <c r="T6255" s="1"/>
      <c r="U6255" s="1"/>
      <c r="V6255" s="1"/>
      <c r="W6255" s="1"/>
      <c r="X6255" s="1"/>
      <c r="Y6255" s="1"/>
      <c r="AA6255" s="102"/>
      <c r="AB6255" s="1"/>
      <c r="AC6255" s="1"/>
      <c r="AD6255" s="1"/>
      <c r="AE6255" s="1"/>
      <c r="AF6255" s="1"/>
      <c r="AG6255" s="1"/>
    </row>
    <row r="6256" ht="15.75" customHeight="1">
      <c r="A6256" s="1"/>
      <c r="B6256" s="1"/>
      <c r="C6256" s="1"/>
      <c r="D6256" s="1"/>
      <c r="E6256" s="1"/>
      <c r="F6256" s="1"/>
      <c r="G6256" s="1"/>
      <c r="H6256" s="1"/>
      <c r="I6256" s="1"/>
      <c r="J6256" s="1"/>
      <c r="K6256" s="102" t="s">
        <v>9746</v>
      </c>
      <c r="L6256" s="102" t="str">
        <f t="shared" si="156"/>
        <v>J2a1a1a2b2a2b3a2a1b~</v>
      </c>
      <c r="M6256" s="102" t="s">
        <v>9747</v>
      </c>
      <c r="N6256" s="1" t="s">
        <v>9748</v>
      </c>
      <c r="O6256" s="114">
        <v>7735562.0</v>
      </c>
      <c r="P6256" s="105">
        <v>7867521.0</v>
      </c>
      <c r="Q6256" s="102" t="s">
        <v>2501</v>
      </c>
      <c r="T6256" s="1"/>
      <c r="U6256" s="1"/>
      <c r="V6256" s="1"/>
      <c r="W6256" s="1"/>
      <c r="X6256" s="1"/>
      <c r="Y6256" s="1"/>
      <c r="AA6256" s="102"/>
      <c r="AB6256" s="1"/>
      <c r="AC6256" s="1"/>
      <c r="AD6256" s="1"/>
      <c r="AE6256" s="1"/>
      <c r="AF6256" s="1"/>
      <c r="AG6256" s="1"/>
    </row>
    <row r="6257" ht="15.75" customHeight="1">
      <c r="A6257" s="1"/>
      <c r="B6257" s="1"/>
      <c r="C6257" s="1"/>
      <c r="D6257" s="1"/>
      <c r="E6257" s="1"/>
      <c r="F6257" s="1"/>
      <c r="G6257" s="1"/>
      <c r="H6257" s="1"/>
      <c r="I6257" s="1"/>
      <c r="J6257" s="1"/>
      <c r="K6257" s="106" t="s">
        <v>9747</v>
      </c>
      <c r="L6257" s="102" t="str">
        <f>S863</f>
        <v>J2a1a1a2b2a2b3a2a1b~</v>
      </c>
      <c r="M6257" s="106" t="s">
        <v>9746</v>
      </c>
      <c r="N6257" s="1" t="s">
        <v>9748</v>
      </c>
      <c r="O6257" s="114">
        <v>7735562.0</v>
      </c>
      <c r="P6257" s="105">
        <v>7867521.0</v>
      </c>
      <c r="Q6257" s="102" t="s">
        <v>2501</v>
      </c>
      <c r="T6257" s="1"/>
      <c r="U6257" s="1"/>
      <c r="V6257" s="1"/>
      <c r="W6257" s="1"/>
      <c r="X6257" s="1"/>
      <c r="Y6257" s="1"/>
      <c r="AA6257" s="102"/>
      <c r="AB6257" s="1"/>
      <c r="AC6257" s="1"/>
      <c r="AD6257" s="1"/>
      <c r="AE6257" s="1"/>
      <c r="AF6257" s="1"/>
      <c r="AG6257" s="1"/>
    </row>
    <row r="6258" ht="15.75" customHeight="1">
      <c r="A6258" s="1"/>
      <c r="B6258" s="1"/>
      <c r="C6258" s="1"/>
      <c r="D6258" s="1"/>
      <c r="E6258" s="1"/>
      <c r="F6258" s="1"/>
      <c r="G6258" s="1"/>
      <c r="H6258" s="1"/>
      <c r="I6258" s="1"/>
      <c r="J6258" s="1"/>
      <c r="K6258" s="102" t="s">
        <v>1695</v>
      </c>
      <c r="L6258" s="102" t="str">
        <f>T864</f>
        <v>J2a1a1a2b2a2b3a2a1b1~</v>
      </c>
      <c r="M6258" s="102"/>
      <c r="N6258" s="1" t="s">
        <v>9749</v>
      </c>
      <c r="O6258" s="114">
        <v>1.6293384E7</v>
      </c>
      <c r="P6258" s="105">
        <v>1.4181504E7</v>
      </c>
      <c r="Q6258" s="102" t="s">
        <v>2533</v>
      </c>
      <c r="T6258" s="1"/>
      <c r="U6258" s="1"/>
      <c r="V6258" s="1"/>
      <c r="W6258" s="1"/>
      <c r="X6258" s="1"/>
      <c r="Y6258" s="1"/>
      <c r="AA6258" s="102"/>
      <c r="AB6258" s="1"/>
      <c r="AC6258" s="1"/>
      <c r="AD6258" s="1"/>
      <c r="AE6258" s="1"/>
      <c r="AF6258" s="1"/>
      <c r="AG6258" s="1"/>
    </row>
    <row r="6259" ht="15.75" customHeight="1">
      <c r="A6259" s="1"/>
      <c r="B6259" s="1"/>
      <c r="C6259" s="1"/>
      <c r="D6259" s="1"/>
      <c r="E6259" s="1"/>
      <c r="F6259" s="1"/>
      <c r="G6259" s="1"/>
      <c r="H6259" s="1"/>
      <c r="I6259" s="1"/>
      <c r="J6259" s="1"/>
      <c r="K6259" s="102" t="s">
        <v>1697</v>
      </c>
      <c r="L6259" s="102" t="str">
        <f>U865</f>
        <v>J2a1a1a2b2a2b3a2a1b1a~</v>
      </c>
      <c r="M6259" s="102"/>
      <c r="N6259" s="1" t="s">
        <v>9750</v>
      </c>
      <c r="O6259" s="114">
        <v>1.9461253E7</v>
      </c>
      <c r="P6259" s="105">
        <v>1.7349373E7</v>
      </c>
      <c r="Q6259" s="102" t="s">
        <v>2439</v>
      </c>
      <c r="T6259" s="1"/>
      <c r="U6259" s="1"/>
      <c r="V6259" s="1"/>
      <c r="W6259" s="1"/>
      <c r="X6259" s="1"/>
      <c r="Y6259" s="1"/>
      <c r="AA6259" s="102"/>
      <c r="AB6259" s="1"/>
      <c r="AC6259" s="1"/>
      <c r="AD6259" s="1"/>
      <c r="AE6259" s="1"/>
      <c r="AF6259" s="1"/>
      <c r="AG6259" s="1"/>
    </row>
    <row r="6260" ht="15.75" customHeight="1">
      <c r="A6260" s="1"/>
      <c r="B6260" s="1"/>
      <c r="C6260" s="1"/>
      <c r="D6260" s="1"/>
      <c r="E6260" s="1"/>
      <c r="F6260" s="1"/>
      <c r="G6260" s="1"/>
      <c r="H6260" s="1"/>
      <c r="I6260" s="1"/>
      <c r="J6260" s="1"/>
      <c r="K6260" s="102" t="s">
        <v>1699</v>
      </c>
      <c r="L6260" s="102" t="str">
        <f>V866</f>
        <v>J2a1a1a2b2a2b3a2a1b1a1~</v>
      </c>
      <c r="M6260" s="102"/>
      <c r="N6260" s="1"/>
      <c r="O6260" s="114">
        <v>1.7883275E7</v>
      </c>
      <c r="P6260" s="105">
        <v>1.5771395E7</v>
      </c>
      <c r="Q6260" s="102" t="s">
        <v>2439</v>
      </c>
      <c r="T6260" s="1"/>
      <c r="U6260" s="1"/>
      <c r="V6260" s="1"/>
      <c r="W6260" s="1"/>
      <c r="X6260" s="1"/>
      <c r="Y6260" s="1"/>
      <c r="AA6260" s="102"/>
      <c r="AB6260" s="1"/>
      <c r="AC6260" s="1"/>
      <c r="AD6260" s="1"/>
      <c r="AE6260" s="1"/>
      <c r="AF6260" s="1"/>
      <c r="AG6260" s="1"/>
    </row>
    <row r="6261" ht="15.75" customHeight="1">
      <c r="A6261" s="1"/>
      <c r="B6261" s="1"/>
      <c r="C6261" s="1"/>
      <c r="D6261" s="1"/>
      <c r="E6261" s="1"/>
      <c r="F6261" s="1"/>
      <c r="G6261" s="1"/>
      <c r="H6261" s="1"/>
      <c r="I6261" s="1"/>
      <c r="J6261" s="1"/>
      <c r="K6261" s="102" t="s">
        <v>1701</v>
      </c>
      <c r="L6261" s="102" t="str">
        <f>W867</f>
        <v>J2a1a1a2b2a2b3a2a1b1a1a~</v>
      </c>
      <c r="M6261" s="102"/>
      <c r="N6261" s="1"/>
      <c r="O6261" s="114">
        <v>1.9169506E7</v>
      </c>
      <c r="P6261" s="105">
        <v>1.7057626E7</v>
      </c>
      <c r="Q6261" s="102" t="s">
        <v>2529</v>
      </c>
      <c r="T6261" s="1"/>
      <c r="U6261" s="1"/>
      <c r="V6261" s="1"/>
      <c r="W6261" s="1"/>
      <c r="X6261" s="1"/>
      <c r="Y6261" s="1"/>
      <c r="AA6261" s="102"/>
      <c r="AB6261" s="1"/>
      <c r="AC6261" s="1"/>
      <c r="AD6261" s="1"/>
      <c r="AE6261" s="1"/>
      <c r="AF6261" s="1"/>
      <c r="AG6261" s="1"/>
    </row>
    <row r="6262" ht="15.75" customHeight="1">
      <c r="A6262" s="1"/>
      <c r="B6262" s="1"/>
      <c r="C6262" s="1"/>
      <c r="D6262" s="1"/>
      <c r="E6262" s="1"/>
      <c r="F6262" s="1"/>
      <c r="G6262" s="1"/>
      <c r="H6262" s="1"/>
      <c r="I6262" s="1"/>
      <c r="J6262" s="1"/>
      <c r="K6262" s="102" t="s">
        <v>9751</v>
      </c>
      <c r="L6262" s="102" t="str">
        <f>V868</f>
        <v>J2a1a1a2b2a2b3a2a1b1a2~</v>
      </c>
      <c r="M6262" s="102" t="s">
        <v>9752</v>
      </c>
      <c r="N6262" s="1" t="s">
        <v>9753</v>
      </c>
      <c r="O6262" s="114">
        <v>1.8833136E7</v>
      </c>
      <c r="P6262" s="105">
        <v>1.6721256E7</v>
      </c>
      <c r="Q6262" s="102" t="s">
        <v>2529</v>
      </c>
      <c r="T6262" s="1"/>
      <c r="U6262" s="1"/>
      <c r="V6262" s="1"/>
      <c r="W6262" s="1"/>
      <c r="X6262" s="1"/>
      <c r="Y6262" s="1"/>
      <c r="AA6262" s="102"/>
      <c r="AB6262" s="1"/>
      <c r="AC6262" s="1"/>
      <c r="AD6262" s="1"/>
      <c r="AE6262" s="1"/>
      <c r="AF6262" s="1"/>
      <c r="AG6262" s="1"/>
    </row>
    <row r="6263" ht="15.75" customHeight="1">
      <c r="A6263" s="1"/>
      <c r="B6263" s="1"/>
      <c r="C6263" s="1"/>
      <c r="D6263" s="1"/>
      <c r="E6263" s="1"/>
      <c r="F6263" s="1"/>
      <c r="G6263" s="1"/>
      <c r="H6263" s="1"/>
      <c r="I6263" s="1"/>
      <c r="J6263" s="1"/>
      <c r="K6263" s="106" t="s">
        <v>9752</v>
      </c>
      <c r="L6263" s="102" t="str">
        <f>V868</f>
        <v>J2a1a1a2b2a2b3a2a1b1a2~</v>
      </c>
      <c r="M6263" s="106" t="s">
        <v>9751</v>
      </c>
      <c r="N6263" s="1" t="s">
        <v>9753</v>
      </c>
      <c r="O6263" s="114">
        <v>1.8833136E7</v>
      </c>
      <c r="P6263" s="105">
        <v>1.6721256E7</v>
      </c>
      <c r="Q6263" s="102" t="s">
        <v>2529</v>
      </c>
      <c r="T6263" s="1"/>
      <c r="U6263" s="1"/>
      <c r="V6263" s="1"/>
      <c r="W6263" s="1"/>
      <c r="X6263" s="1"/>
      <c r="Y6263" s="1"/>
      <c r="AA6263" s="102"/>
      <c r="AB6263" s="1"/>
      <c r="AC6263" s="1"/>
      <c r="AD6263" s="1"/>
      <c r="AE6263" s="1"/>
      <c r="AF6263" s="1"/>
      <c r="AG6263" s="1"/>
    </row>
    <row r="6264" ht="15.75" customHeight="1">
      <c r="A6264" s="1"/>
      <c r="B6264" s="1"/>
      <c r="C6264" s="1"/>
      <c r="D6264" s="1"/>
      <c r="E6264" s="1"/>
      <c r="F6264" s="1"/>
      <c r="G6264" s="1"/>
      <c r="H6264" s="1"/>
      <c r="I6264" s="1"/>
      <c r="J6264" s="1"/>
      <c r="K6264" s="102" t="s">
        <v>1705</v>
      </c>
      <c r="L6264" s="102" t="str">
        <f>W869</f>
        <v>J2a1a1a2b2a2b3a2a1b1a2a~</v>
      </c>
      <c r="M6264" s="102"/>
      <c r="N6264" s="1" t="s">
        <v>9754</v>
      </c>
      <c r="O6264" s="114">
        <v>2.3057569E7</v>
      </c>
      <c r="P6264" s="105">
        <v>2.0895683E7</v>
      </c>
      <c r="Q6264" s="102" t="s">
        <v>2468</v>
      </c>
      <c r="T6264" s="1"/>
      <c r="U6264" s="1"/>
      <c r="V6264" s="1"/>
      <c r="W6264" s="1"/>
      <c r="X6264" s="1"/>
      <c r="Y6264" s="1"/>
      <c r="AA6264" s="102"/>
      <c r="AB6264" s="1"/>
      <c r="AC6264" s="1"/>
      <c r="AD6264" s="1"/>
      <c r="AE6264" s="1"/>
      <c r="AF6264" s="1"/>
      <c r="AG6264" s="1"/>
    </row>
    <row r="6265" ht="15.75" customHeight="1">
      <c r="A6265" s="1"/>
      <c r="B6265" s="1"/>
      <c r="C6265" s="1"/>
      <c r="D6265" s="1"/>
      <c r="E6265" s="1"/>
      <c r="F6265" s="1"/>
      <c r="G6265" s="1"/>
      <c r="H6265" s="1"/>
      <c r="I6265" s="1"/>
      <c r="J6265" s="1"/>
      <c r="K6265" s="102" t="s">
        <v>1707</v>
      </c>
      <c r="L6265" s="102" t="str">
        <f>U870</f>
        <v>J2a1a1a2b2a2b3a2a1b1b~</v>
      </c>
      <c r="M6265" s="102"/>
      <c r="N6265" s="1" t="s">
        <v>9755</v>
      </c>
      <c r="O6265" s="114">
        <v>1.9545471E7</v>
      </c>
      <c r="P6265" s="105">
        <v>1.7433591E7</v>
      </c>
      <c r="Q6265" s="102" t="s">
        <v>2468</v>
      </c>
      <c r="T6265" s="1"/>
      <c r="U6265" s="1"/>
      <c r="V6265" s="1"/>
      <c r="W6265" s="1"/>
      <c r="X6265" s="1"/>
      <c r="Y6265" s="1"/>
      <c r="AA6265" s="102"/>
      <c r="AB6265" s="1"/>
      <c r="AC6265" s="1"/>
      <c r="AD6265" s="1"/>
      <c r="AE6265" s="1"/>
      <c r="AF6265" s="1"/>
      <c r="AG6265" s="1"/>
    </row>
    <row r="6266" ht="15.75" customHeight="1">
      <c r="A6266" s="1"/>
      <c r="B6266" s="1"/>
      <c r="C6266" s="1"/>
      <c r="D6266" s="1"/>
      <c r="E6266" s="1"/>
      <c r="F6266" s="1"/>
      <c r="G6266" s="1"/>
      <c r="H6266" s="1"/>
      <c r="I6266" s="1"/>
      <c r="J6266" s="1"/>
      <c r="K6266" s="102" t="s">
        <v>1709</v>
      </c>
      <c r="L6266" s="102" t="str">
        <f>V871</f>
        <v>J2a1a1a2b2a2b3a2a1b1b1~</v>
      </c>
      <c r="M6266" s="102"/>
      <c r="N6266" s="1"/>
      <c r="O6266" s="114">
        <v>1.4360216E7</v>
      </c>
      <c r="P6266" s="105">
        <v>1.2239511E7</v>
      </c>
      <c r="Q6266" s="102" t="s">
        <v>2439</v>
      </c>
      <c r="T6266" s="1"/>
      <c r="U6266" s="1"/>
      <c r="V6266" s="1"/>
      <c r="W6266" s="1"/>
      <c r="X6266" s="1"/>
      <c r="Y6266" s="1"/>
      <c r="AA6266" s="102"/>
      <c r="AB6266" s="1"/>
      <c r="AC6266" s="1"/>
      <c r="AD6266" s="1"/>
      <c r="AE6266" s="1"/>
      <c r="AF6266" s="1"/>
      <c r="AG6266" s="1"/>
    </row>
    <row r="6267" ht="15.75" customHeight="1">
      <c r="A6267" s="1"/>
      <c r="B6267" s="1"/>
      <c r="C6267" s="1"/>
      <c r="D6267" s="1"/>
      <c r="E6267" s="1"/>
      <c r="F6267" s="1"/>
      <c r="G6267" s="1"/>
      <c r="H6267" s="1"/>
      <c r="I6267" s="1"/>
      <c r="J6267" s="1"/>
      <c r="K6267" s="102" t="s">
        <v>1711</v>
      </c>
      <c r="L6267" s="102" t="str">
        <f>W872</f>
        <v>J2a1a1a2b2a2b3a2a1b1b1a~</v>
      </c>
      <c r="M6267" s="102"/>
      <c r="N6267" s="1"/>
      <c r="O6267" s="114">
        <v>9901784.0</v>
      </c>
      <c r="P6267" s="105">
        <v>1.0064175E7</v>
      </c>
      <c r="Q6267" s="102" t="s">
        <v>2468</v>
      </c>
      <c r="T6267" s="1"/>
      <c r="U6267" s="1"/>
      <c r="V6267" s="1"/>
      <c r="W6267" s="1"/>
      <c r="X6267" s="1"/>
      <c r="Y6267" s="1"/>
      <c r="AA6267" s="102"/>
      <c r="AB6267" s="1"/>
      <c r="AC6267" s="1"/>
      <c r="AD6267" s="1"/>
      <c r="AE6267" s="1"/>
      <c r="AF6267" s="1"/>
      <c r="AG6267" s="1"/>
    </row>
    <row r="6268" ht="15.75" customHeight="1">
      <c r="A6268" s="1"/>
      <c r="B6268" s="1"/>
      <c r="C6268" s="1"/>
      <c r="D6268" s="1"/>
      <c r="E6268" s="1"/>
      <c r="F6268" s="1"/>
      <c r="G6268" s="1"/>
      <c r="H6268" s="1"/>
      <c r="I6268" s="1"/>
      <c r="J6268" s="1"/>
      <c r="K6268" s="102" t="s">
        <v>1713</v>
      </c>
      <c r="L6268" s="102" t="str">
        <f>X873</f>
        <v>J2a1a1a2b2a2b3a2a1b1b1a1~</v>
      </c>
      <c r="M6268" s="102"/>
      <c r="N6268" s="1"/>
      <c r="O6268" s="114">
        <v>2.363528E7</v>
      </c>
      <c r="P6268" s="105">
        <v>2.1473394E7</v>
      </c>
      <c r="Q6268" s="102" t="s">
        <v>2439</v>
      </c>
      <c r="T6268" s="1"/>
      <c r="U6268" s="1"/>
      <c r="V6268" s="1"/>
      <c r="W6268" s="1"/>
      <c r="X6268" s="1"/>
      <c r="Y6268" s="1"/>
      <c r="AA6268" s="102"/>
      <c r="AB6268" s="1"/>
      <c r="AC6268" s="1"/>
      <c r="AD6268" s="1"/>
      <c r="AE6268" s="1"/>
      <c r="AF6268" s="1"/>
      <c r="AG6268" s="1"/>
    </row>
    <row r="6269" ht="15.75" customHeight="1">
      <c r="A6269" s="1"/>
      <c r="B6269" s="1"/>
      <c r="C6269" s="1"/>
      <c r="D6269" s="1"/>
      <c r="E6269" s="1"/>
      <c r="F6269" s="1"/>
      <c r="G6269" s="1"/>
      <c r="H6269" s="1"/>
      <c r="I6269" s="1"/>
      <c r="J6269" s="1"/>
      <c r="K6269" s="102" t="s">
        <v>1715</v>
      </c>
      <c r="L6269" s="102" t="str">
        <f>W874</f>
        <v>J2a1a1a2b2a2b3a2a1b1b1b~</v>
      </c>
      <c r="M6269" s="102"/>
      <c r="N6269" s="1" t="s">
        <v>9756</v>
      </c>
      <c r="O6269" s="114">
        <v>2.1294739E7</v>
      </c>
      <c r="P6269" s="105">
        <v>1.9132853E7</v>
      </c>
      <c r="Q6269" s="102" t="s">
        <v>2468</v>
      </c>
      <c r="T6269" s="1"/>
      <c r="U6269" s="1"/>
      <c r="V6269" s="1"/>
      <c r="W6269" s="1"/>
      <c r="X6269" s="1"/>
      <c r="Y6269" s="1"/>
      <c r="AA6269" s="102"/>
      <c r="AB6269" s="1"/>
      <c r="AC6269" s="1"/>
      <c r="AD6269" s="1"/>
      <c r="AE6269" s="1"/>
      <c r="AF6269" s="1"/>
      <c r="AG6269" s="1"/>
    </row>
    <row r="6270" ht="15.75" customHeight="1">
      <c r="A6270" s="1"/>
      <c r="B6270" s="1"/>
      <c r="C6270" s="1"/>
      <c r="D6270" s="1"/>
      <c r="E6270" s="1"/>
      <c r="F6270" s="1"/>
      <c r="G6270" s="1"/>
      <c r="H6270" s="1"/>
      <c r="I6270" s="1"/>
      <c r="J6270" s="1"/>
      <c r="K6270" s="102" t="s">
        <v>1717</v>
      </c>
      <c r="L6270" s="102" t="str">
        <f>X875</f>
        <v>J2a1a1a2b2a2b3a2a1b1b1b1~</v>
      </c>
      <c r="M6270" s="102"/>
      <c r="N6270" s="1"/>
      <c r="O6270" s="114">
        <v>2813324.0</v>
      </c>
      <c r="P6270" s="105">
        <v>2945283.0</v>
      </c>
      <c r="Q6270" s="102" t="s">
        <v>2468</v>
      </c>
      <c r="T6270" s="1"/>
      <c r="U6270" s="1"/>
      <c r="V6270" s="1"/>
      <c r="W6270" s="1"/>
      <c r="X6270" s="1"/>
      <c r="Y6270" s="1"/>
      <c r="AA6270" s="102"/>
      <c r="AB6270" s="1"/>
      <c r="AC6270" s="1"/>
      <c r="AD6270" s="1"/>
      <c r="AE6270" s="1"/>
      <c r="AF6270" s="1"/>
      <c r="AG6270" s="1"/>
    </row>
    <row r="6271" ht="15.75" customHeight="1">
      <c r="A6271" s="1"/>
      <c r="B6271" s="1"/>
      <c r="C6271" s="1"/>
      <c r="D6271" s="1"/>
      <c r="E6271" s="1"/>
      <c r="F6271" s="1"/>
      <c r="G6271" s="1"/>
      <c r="H6271" s="1"/>
      <c r="I6271" s="1"/>
      <c r="J6271" s="1"/>
      <c r="K6271" s="102" t="s">
        <v>1719</v>
      </c>
      <c r="L6271" s="102" t="str">
        <f>L876</f>
        <v>J2a1a1a2b2a3~</v>
      </c>
      <c r="M6271" s="102" t="s">
        <v>13</v>
      </c>
      <c r="N6271" s="1" t="s">
        <v>9757</v>
      </c>
      <c r="O6271" s="114">
        <v>1.8151627E7</v>
      </c>
      <c r="P6271" s="105">
        <v>1.6039747E7</v>
      </c>
      <c r="Q6271" s="102" t="s">
        <v>2423</v>
      </c>
      <c r="T6271" s="1"/>
      <c r="U6271" s="1"/>
      <c r="V6271" s="1"/>
      <c r="W6271" s="1"/>
      <c r="X6271" s="1"/>
      <c r="Y6271" s="1"/>
      <c r="AA6271" s="102"/>
      <c r="AB6271" s="1"/>
      <c r="AC6271" s="1"/>
      <c r="AD6271" s="1"/>
      <c r="AE6271" s="1"/>
      <c r="AF6271" s="1"/>
      <c r="AG6271" s="1"/>
    </row>
    <row r="6272" ht="15.75" customHeight="1">
      <c r="A6272" s="1"/>
      <c r="B6272" s="1"/>
      <c r="C6272" s="1"/>
      <c r="D6272" s="1"/>
      <c r="E6272" s="1"/>
      <c r="F6272" s="1"/>
      <c r="G6272" s="1"/>
      <c r="H6272" s="1"/>
      <c r="I6272" s="1"/>
      <c r="J6272" s="1"/>
      <c r="K6272" s="102" t="s">
        <v>1721</v>
      </c>
      <c r="L6272" s="102" t="str">
        <f>M877</f>
        <v>J2a1a1a2b2a3a~</v>
      </c>
      <c r="M6272" s="102" t="s">
        <v>13</v>
      </c>
      <c r="N6272" s="1" t="s">
        <v>13</v>
      </c>
      <c r="O6272" s="114">
        <v>7756442.0</v>
      </c>
      <c r="P6272" s="105">
        <v>7888401.0</v>
      </c>
      <c r="Q6272" s="102" t="s">
        <v>2529</v>
      </c>
      <c r="T6272" s="1"/>
      <c r="U6272" s="1"/>
      <c r="V6272" s="1"/>
      <c r="W6272" s="1"/>
      <c r="X6272" s="1"/>
      <c r="Y6272" s="1"/>
      <c r="AA6272" s="102"/>
      <c r="AB6272" s="1"/>
      <c r="AC6272" s="1"/>
      <c r="AD6272" s="1"/>
      <c r="AE6272" s="1"/>
      <c r="AF6272" s="1"/>
      <c r="AG6272" s="1"/>
    </row>
    <row r="6273" ht="15.75" customHeight="1">
      <c r="A6273" s="1"/>
      <c r="B6273" s="1"/>
      <c r="C6273" s="1"/>
      <c r="D6273" s="1"/>
      <c r="E6273" s="1"/>
      <c r="F6273" s="1"/>
      <c r="G6273" s="1"/>
      <c r="H6273" s="1"/>
      <c r="I6273" s="1"/>
      <c r="J6273" s="1"/>
      <c r="K6273" s="102" t="s">
        <v>1723</v>
      </c>
      <c r="L6273" s="102" t="str">
        <f>N878</f>
        <v>J2a1a1a2b2a3a1~</v>
      </c>
      <c r="M6273" s="102" t="s">
        <v>13</v>
      </c>
      <c r="N6273" s="1" t="s">
        <v>13</v>
      </c>
      <c r="O6273" s="114">
        <v>6798050.0</v>
      </c>
      <c r="P6273" s="105">
        <v>6930009.0</v>
      </c>
      <c r="Q6273" s="102" t="s">
        <v>2533</v>
      </c>
      <c r="T6273" s="1"/>
      <c r="U6273" s="1"/>
      <c r="V6273" s="1"/>
      <c r="W6273" s="1"/>
      <c r="X6273" s="1"/>
      <c r="Y6273" s="1"/>
      <c r="AA6273" s="102"/>
      <c r="AB6273" s="1"/>
      <c r="AC6273" s="1"/>
      <c r="AD6273" s="1"/>
      <c r="AE6273" s="1"/>
      <c r="AF6273" s="1"/>
      <c r="AG6273" s="1"/>
    </row>
    <row r="6274" ht="15.75" customHeight="1">
      <c r="A6274" s="1"/>
      <c r="B6274" s="1"/>
      <c r="C6274" s="1"/>
      <c r="D6274" s="1"/>
      <c r="E6274" s="1"/>
      <c r="F6274" s="1"/>
      <c r="G6274" s="1"/>
      <c r="H6274" s="1"/>
      <c r="I6274" s="1"/>
      <c r="J6274" s="1"/>
      <c r="K6274" s="102" t="s">
        <v>1725</v>
      </c>
      <c r="L6274" s="102" t="str">
        <f>O879</f>
        <v>J2a1a1a2b2a3a1a~</v>
      </c>
      <c r="M6274" s="102" t="s">
        <v>13</v>
      </c>
      <c r="N6274" s="1" t="s">
        <v>13</v>
      </c>
      <c r="O6274" s="114">
        <v>2.3955361E7</v>
      </c>
      <c r="P6274" s="105">
        <v>2.1809214E7</v>
      </c>
      <c r="Q6274" s="102" t="s">
        <v>2576</v>
      </c>
      <c r="T6274" s="1"/>
      <c r="U6274" s="1"/>
      <c r="V6274" s="1"/>
      <c r="W6274" s="1"/>
      <c r="X6274" s="1"/>
      <c r="Y6274" s="1"/>
      <c r="AA6274" s="102"/>
      <c r="AB6274" s="1"/>
      <c r="AC6274" s="1"/>
      <c r="AD6274" s="1"/>
      <c r="AE6274" s="1"/>
      <c r="AF6274" s="1"/>
      <c r="AG6274" s="1"/>
    </row>
    <row r="6275" ht="15.75" customHeight="1">
      <c r="A6275" s="1"/>
      <c r="B6275" s="1"/>
      <c r="C6275" s="1"/>
      <c r="D6275" s="1"/>
      <c r="E6275" s="1"/>
      <c r="F6275" s="1"/>
      <c r="G6275" s="1"/>
      <c r="H6275" s="1"/>
      <c r="I6275" s="1"/>
      <c r="J6275" s="1"/>
      <c r="K6275" s="102" t="s">
        <v>1727</v>
      </c>
      <c r="L6275" s="102" t="str">
        <f>N880</f>
        <v>J2a1a1a2b2a3a2~</v>
      </c>
      <c r="M6275" s="102" t="s">
        <v>13</v>
      </c>
      <c r="N6275" s="1" t="s">
        <v>13</v>
      </c>
      <c r="O6275" s="114">
        <v>1.5908519E7</v>
      </c>
      <c r="P6275" s="105">
        <v>1.3796639E7</v>
      </c>
      <c r="Q6275" s="102" t="s">
        <v>2529</v>
      </c>
      <c r="T6275" s="1"/>
      <c r="U6275" s="1"/>
      <c r="V6275" s="1"/>
      <c r="W6275" s="1"/>
      <c r="X6275" s="1"/>
      <c r="Y6275" s="1"/>
      <c r="AA6275" s="102"/>
      <c r="AB6275" s="1"/>
      <c r="AC6275" s="1"/>
      <c r="AD6275" s="1"/>
      <c r="AE6275" s="1"/>
      <c r="AF6275" s="1"/>
      <c r="AG6275" s="1"/>
    </row>
    <row r="6276" ht="15.75" customHeight="1">
      <c r="A6276" s="1"/>
      <c r="B6276" s="1"/>
      <c r="C6276" s="1"/>
      <c r="D6276" s="1"/>
      <c r="E6276" s="1"/>
      <c r="F6276" s="1"/>
      <c r="G6276" s="1"/>
      <c r="H6276" s="1"/>
      <c r="I6276" s="1"/>
      <c r="J6276" s="1"/>
      <c r="K6276" s="102" t="s">
        <v>1729</v>
      </c>
      <c r="L6276" s="102" t="str">
        <f t="shared" ref="L6276:L6277" si="157">O881</f>
        <v>J2a1a1a2b2a3a2a~</v>
      </c>
      <c r="M6276" s="102" t="s">
        <v>13</v>
      </c>
      <c r="N6276" s="1" t="s">
        <v>13</v>
      </c>
      <c r="O6276" s="114">
        <v>1.8913637E7</v>
      </c>
      <c r="P6276" s="105">
        <v>1.6801757E7</v>
      </c>
      <c r="Q6276" s="102" t="s">
        <v>2529</v>
      </c>
      <c r="T6276" s="1"/>
      <c r="U6276" s="1"/>
      <c r="V6276" s="1"/>
      <c r="W6276" s="1"/>
      <c r="X6276" s="1"/>
      <c r="Y6276" s="1"/>
      <c r="AA6276" s="102"/>
      <c r="AB6276" s="1"/>
      <c r="AC6276" s="1"/>
      <c r="AD6276" s="1"/>
      <c r="AE6276" s="1"/>
      <c r="AF6276" s="1"/>
      <c r="AG6276" s="1"/>
    </row>
    <row r="6277" ht="15.75" customHeight="1">
      <c r="A6277" s="1"/>
      <c r="B6277" s="1"/>
      <c r="C6277" s="1"/>
      <c r="D6277" s="1"/>
      <c r="E6277" s="1"/>
      <c r="F6277" s="1"/>
      <c r="G6277" s="1"/>
      <c r="H6277" s="1"/>
      <c r="I6277" s="1"/>
      <c r="J6277" s="1"/>
      <c r="K6277" s="102" t="s">
        <v>1731</v>
      </c>
      <c r="L6277" s="102" t="str">
        <f t="shared" si="157"/>
        <v>J2a1a1a2b2a3a2b~</v>
      </c>
      <c r="M6277" s="102" t="s">
        <v>13</v>
      </c>
      <c r="N6277" s="1" t="s">
        <v>13</v>
      </c>
      <c r="O6277" s="114">
        <v>1.7012404E7</v>
      </c>
      <c r="P6277" s="105">
        <v>1.4900524E7</v>
      </c>
      <c r="Q6277" s="102" t="s">
        <v>2423</v>
      </c>
      <c r="T6277" s="1"/>
      <c r="U6277" s="1"/>
      <c r="V6277" s="1"/>
      <c r="W6277" s="1"/>
      <c r="X6277" s="1"/>
      <c r="Y6277" s="1"/>
      <c r="AA6277" s="102"/>
      <c r="AB6277" s="1"/>
      <c r="AC6277" s="1"/>
      <c r="AD6277" s="1"/>
      <c r="AE6277" s="1"/>
      <c r="AF6277" s="1"/>
      <c r="AG6277" s="1"/>
    </row>
    <row r="6278" ht="15.75" customHeight="1">
      <c r="A6278" s="1"/>
      <c r="B6278" s="1"/>
      <c r="C6278" s="1"/>
      <c r="D6278" s="1"/>
      <c r="E6278" s="1"/>
      <c r="F6278" s="1"/>
      <c r="G6278" s="1"/>
      <c r="H6278" s="1"/>
      <c r="I6278" s="1"/>
      <c r="J6278" s="1"/>
      <c r="K6278" s="102" t="s">
        <v>1733</v>
      </c>
      <c r="L6278" s="102" t="str">
        <f>P883</f>
        <v>J2a1a1a2b2a3a2b1~</v>
      </c>
      <c r="M6278" s="102" t="s">
        <v>13</v>
      </c>
      <c r="N6278" s="1" t="s">
        <v>13</v>
      </c>
      <c r="O6278" s="114">
        <v>1.6510591E7</v>
      </c>
      <c r="P6278" s="105">
        <v>1.4398711E7</v>
      </c>
      <c r="Q6278" s="102" t="s">
        <v>2576</v>
      </c>
      <c r="T6278" s="1"/>
      <c r="U6278" s="1"/>
      <c r="V6278" s="1"/>
      <c r="W6278" s="1"/>
      <c r="X6278" s="1"/>
      <c r="Y6278" s="1"/>
      <c r="AA6278" s="102"/>
      <c r="AB6278" s="1"/>
      <c r="AC6278" s="1"/>
      <c r="AD6278" s="1"/>
      <c r="AE6278" s="1"/>
      <c r="AF6278" s="1"/>
      <c r="AG6278" s="1"/>
    </row>
    <row r="6279" ht="15.75" customHeight="1">
      <c r="A6279" s="1"/>
      <c r="B6279" s="1"/>
      <c r="C6279" s="1"/>
      <c r="D6279" s="1"/>
      <c r="E6279" s="1"/>
      <c r="F6279" s="1"/>
      <c r="G6279" s="1"/>
      <c r="H6279" s="1"/>
      <c r="I6279" s="1"/>
      <c r="J6279" s="1"/>
      <c r="K6279" s="102" t="s">
        <v>1735</v>
      </c>
      <c r="L6279" s="102" t="str">
        <f>M884</f>
        <v>J2a1a1a2b2a3b~</v>
      </c>
      <c r="M6279" s="102" t="s">
        <v>13</v>
      </c>
      <c r="N6279" s="1" t="s">
        <v>9758</v>
      </c>
      <c r="O6279" s="114">
        <v>7077049.0</v>
      </c>
      <c r="P6279" s="105">
        <v>7209008.0</v>
      </c>
      <c r="Q6279" s="102" t="s">
        <v>2468</v>
      </c>
      <c r="T6279" s="1"/>
      <c r="U6279" s="1"/>
      <c r="V6279" s="1"/>
      <c r="W6279" s="1"/>
      <c r="X6279" s="1"/>
      <c r="Y6279" s="1"/>
      <c r="AA6279" s="102"/>
      <c r="AB6279" s="1"/>
      <c r="AC6279" s="1"/>
      <c r="AD6279" s="1"/>
      <c r="AE6279" s="1"/>
      <c r="AF6279" s="1"/>
      <c r="AG6279" s="1"/>
    </row>
    <row r="6280" ht="15.75" customHeight="1">
      <c r="A6280" s="1"/>
      <c r="B6280" s="1"/>
      <c r="C6280" s="1"/>
      <c r="D6280" s="1"/>
      <c r="E6280" s="1"/>
      <c r="F6280" s="1"/>
      <c r="G6280" s="1"/>
      <c r="H6280" s="1"/>
      <c r="I6280" s="1"/>
      <c r="J6280" s="1"/>
      <c r="K6280" s="102" t="s">
        <v>1737</v>
      </c>
      <c r="L6280" s="102" t="str">
        <f>N885</f>
        <v>J2a1a1a2b2a3b1~</v>
      </c>
      <c r="M6280" s="102" t="s">
        <v>13</v>
      </c>
      <c r="N6280" s="1" t="s">
        <v>9759</v>
      </c>
      <c r="O6280" s="114">
        <v>2.1615626E7</v>
      </c>
      <c r="P6280" s="105">
        <v>1.945374E7</v>
      </c>
      <c r="Q6280" s="102" t="s">
        <v>2423</v>
      </c>
      <c r="T6280" s="1"/>
      <c r="U6280" s="1"/>
      <c r="V6280" s="1"/>
      <c r="W6280" s="1"/>
      <c r="X6280" s="1"/>
      <c r="Y6280" s="1"/>
      <c r="AA6280" s="102"/>
      <c r="AB6280" s="1"/>
      <c r="AC6280" s="1"/>
      <c r="AD6280" s="1"/>
      <c r="AE6280" s="1"/>
      <c r="AF6280" s="1"/>
      <c r="AG6280" s="1"/>
    </row>
    <row r="6281" ht="15.75" customHeight="1">
      <c r="A6281" s="1"/>
      <c r="B6281" s="1"/>
      <c r="C6281" s="1"/>
      <c r="D6281" s="1"/>
      <c r="E6281" s="1"/>
      <c r="F6281" s="1"/>
      <c r="G6281" s="1"/>
      <c r="H6281" s="1"/>
      <c r="I6281" s="1"/>
      <c r="J6281" s="1"/>
      <c r="K6281" s="102" t="s">
        <v>1739</v>
      </c>
      <c r="L6281" s="102" t="str">
        <f>O886</f>
        <v>J2a1a1a2b2a3b1a~</v>
      </c>
      <c r="M6281" s="102" t="s">
        <v>13</v>
      </c>
      <c r="N6281" s="1" t="s">
        <v>9760</v>
      </c>
      <c r="O6281" s="114">
        <v>8070134.0</v>
      </c>
      <c r="P6281" s="105">
        <v>8202093.0</v>
      </c>
      <c r="Q6281" s="102" t="s">
        <v>2529</v>
      </c>
      <c r="T6281" s="1"/>
      <c r="U6281" s="1"/>
      <c r="V6281" s="1"/>
      <c r="W6281" s="1"/>
      <c r="X6281" s="1"/>
      <c r="Y6281" s="1"/>
      <c r="AA6281" s="102"/>
      <c r="AB6281" s="1"/>
      <c r="AC6281" s="1"/>
      <c r="AD6281" s="1"/>
      <c r="AE6281" s="1"/>
      <c r="AF6281" s="1"/>
      <c r="AG6281" s="1"/>
    </row>
    <row r="6282" ht="15.75" customHeight="1">
      <c r="A6282" s="1"/>
      <c r="B6282" s="1"/>
      <c r="C6282" s="1"/>
      <c r="D6282" s="1"/>
      <c r="E6282" s="1"/>
      <c r="F6282" s="1"/>
      <c r="G6282" s="1"/>
      <c r="H6282" s="1"/>
      <c r="I6282" s="1"/>
      <c r="J6282" s="1"/>
      <c r="K6282" s="102" t="s">
        <v>1741</v>
      </c>
      <c r="L6282" s="102" t="str">
        <f>P887</f>
        <v>J2a1a1a2b2a3b1a1~</v>
      </c>
      <c r="M6282" s="102" t="s">
        <v>13</v>
      </c>
      <c r="N6282" s="1" t="s">
        <v>9761</v>
      </c>
      <c r="O6282" s="114">
        <v>2664971.0</v>
      </c>
      <c r="P6282" s="105">
        <v>2796930.0</v>
      </c>
      <c r="Q6282" s="102" t="s">
        <v>2501</v>
      </c>
      <c r="T6282" s="1"/>
      <c r="U6282" s="1"/>
      <c r="V6282" s="1"/>
      <c r="W6282" s="1"/>
      <c r="X6282" s="1"/>
      <c r="Y6282" s="1"/>
      <c r="AA6282" s="102"/>
      <c r="AB6282" s="1"/>
      <c r="AC6282" s="1"/>
      <c r="AD6282" s="1"/>
      <c r="AE6282" s="1"/>
      <c r="AF6282" s="1"/>
      <c r="AG6282" s="1"/>
    </row>
    <row r="6283" ht="15.75" customHeight="1">
      <c r="A6283" s="1"/>
      <c r="B6283" s="1"/>
      <c r="C6283" s="1"/>
      <c r="D6283" s="1"/>
      <c r="E6283" s="1"/>
      <c r="F6283" s="1"/>
      <c r="G6283" s="1"/>
      <c r="H6283" s="1"/>
      <c r="I6283" s="1"/>
      <c r="J6283" s="1"/>
      <c r="K6283" s="102" t="s">
        <v>9762</v>
      </c>
      <c r="L6283" s="102" t="str">
        <f>Q888</f>
        <v>J2a1a1a2b2a3b1a1a~</v>
      </c>
      <c r="M6283" s="102" t="s">
        <v>9763</v>
      </c>
      <c r="N6283" s="1" t="s">
        <v>9764</v>
      </c>
      <c r="O6283" s="114">
        <v>1.7420227E7</v>
      </c>
      <c r="P6283" s="105">
        <v>1.5308347E7</v>
      </c>
      <c r="Q6283" s="102" t="s">
        <v>2529</v>
      </c>
      <c r="T6283" s="1"/>
      <c r="U6283" s="1"/>
      <c r="V6283" s="1"/>
      <c r="W6283" s="1"/>
      <c r="X6283" s="1"/>
      <c r="Y6283" s="1"/>
      <c r="AA6283" s="102"/>
      <c r="AB6283" s="1"/>
      <c r="AC6283" s="1"/>
      <c r="AD6283" s="1"/>
      <c r="AE6283" s="1"/>
      <c r="AF6283" s="1"/>
      <c r="AG6283" s="1"/>
    </row>
    <row r="6284" ht="15.75" customHeight="1">
      <c r="A6284" s="1"/>
      <c r="B6284" s="1"/>
      <c r="C6284" s="1"/>
      <c r="D6284" s="1"/>
      <c r="E6284" s="1"/>
      <c r="F6284" s="1"/>
      <c r="G6284" s="1"/>
      <c r="H6284" s="1"/>
      <c r="I6284" s="1"/>
      <c r="J6284" s="1"/>
      <c r="K6284" s="106" t="s">
        <v>9763</v>
      </c>
      <c r="L6284" s="102" t="str">
        <f>Q888</f>
        <v>J2a1a1a2b2a3b1a1a~</v>
      </c>
      <c r="M6284" s="106" t="s">
        <v>9762</v>
      </c>
      <c r="N6284" s="1" t="s">
        <v>9764</v>
      </c>
      <c r="O6284" s="114">
        <v>1.7420227E7</v>
      </c>
      <c r="P6284" s="105">
        <v>1.5308347E7</v>
      </c>
      <c r="Q6284" s="102" t="s">
        <v>2529</v>
      </c>
      <c r="T6284" s="1"/>
      <c r="U6284" s="1"/>
      <c r="V6284" s="1"/>
      <c r="W6284" s="1"/>
      <c r="X6284" s="1"/>
      <c r="Y6284" s="1"/>
      <c r="AA6284" s="102"/>
      <c r="AB6284" s="1"/>
      <c r="AC6284" s="1"/>
      <c r="AD6284" s="1"/>
      <c r="AE6284" s="1"/>
      <c r="AF6284" s="1"/>
      <c r="AG6284" s="1"/>
    </row>
    <row r="6285" ht="15.75" customHeight="1">
      <c r="A6285" s="1"/>
      <c r="B6285" s="1"/>
      <c r="C6285" s="1"/>
      <c r="D6285" s="1"/>
      <c r="E6285" s="1"/>
      <c r="F6285" s="1"/>
      <c r="G6285" s="1"/>
      <c r="H6285" s="1"/>
      <c r="I6285" s="1"/>
      <c r="J6285" s="1"/>
      <c r="K6285" s="102" t="s">
        <v>9765</v>
      </c>
      <c r="L6285" s="102" t="str">
        <f>R889</f>
        <v>J2a1a1a2b2a3b1a1a1~</v>
      </c>
      <c r="M6285" s="102" t="s">
        <v>9766</v>
      </c>
      <c r="N6285" s="1"/>
      <c r="O6285" s="114">
        <v>2.3129789E7</v>
      </c>
      <c r="P6285" s="105">
        <v>2.0967903E7</v>
      </c>
      <c r="Q6285" s="102" t="s">
        <v>2501</v>
      </c>
      <c r="T6285" s="1"/>
      <c r="U6285" s="1"/>
      <c r="V6285" s="1"/>
      <c r="W6285" s="1"/>
      <c r="X6285" s="1"/>
      <c r="Y6285" s="1"/>
      <c r="AA6285" s="102"/>
      <c r="AB6285" s="1"/>
      <c r="AC6285" s="1"/>
      <c r="AD6285" s="1"/>
      <c r="AE6285" s="1"/>
      <c r="AF6285" s="1"/>
      <c r="AG6285" s="1"/>
    </row>
    <row r="6286" ht="15.75" customHeight="1">
      <c r="A6286" s="1"/>
      <c r="B6286" s="1"/>
      <c r="C6286" s="1"/>
      <c r="D6286" s="1"/>
      <c r="E6286" s="1"/>
      <c r="F6286" s="1"/>
      <c r="G6286" s="1"/>
      <c r="H6286" s="1"/>
      <c r="I6286" s="1"/>
      <c r="J6286" s="1"/>
      <c r="K6286" s="106" t="s">
        <v>9766</v>
      </c>
      <c r="L6286" s="102" t="str">
        <f>R889</f>
        <v>J2a1a1a2b2a3b1a1a1~</v>
      </c>
      <c r="M6286" s="106" t="s">
        <v>9765</v>
      </c>
      <c r="N6286" s="1"/>
      <c r="O6286" s="114">
        <v>2.3129789E7</v>
      </c>
      <c r="P6286" s="105">
        <v>2.0967903E7</v>
      </c>
      <c r="Q6286" s="102" t="s">
        <v>2501</v>
      </c>
      <c r="T6286" s="1"/>
      <c r="U6286" s="1"/>
      <c r="V6286" s="1"/>
      <c r="W6286" s="1"/>
      <c r="X6286" s="1"/>
      <c r="Y6286" s="1"/>
      <c r="AA6286" s="102"/>
      <c r="AB6286" s="1"/>
      <c r="AC6286" s="1"/>
      <c r="AD6286" s="1"/>
      <c r="AE6286" s="1"/>
      <c r="AF6286" s="1"/>
      <c r="AG6286" s="1"/>
    </row>
    <row r="6287" ht="15.75" customHeight="1">
      <c r="A6287" s="1"/>
      <c r="B6287" s="1"/>
      <c r="C6287" s="1"/>
      <c r="D6287" s="1"/>
      <c r="E6287" s="1"/>
      <c r="F6287" s="1"/>
      <c r="G6287" s="1"/>
      <c r="H6287" s="1"/>
      <c r="I6287" s="1"/>
      <c r="J6287" s="1"/>
      <c r="K6287" s="102" t="s">
        <v>9767</v>
      </c>
      <c r="L6287" s="102" t="str">
        <f>S890</f>
        <v>J2a1a1a2b2a3b1a1a1a~</v>
      </c>
      <c r="M6287" s="102" t="s">
        <v>9768</v>
      </c>
      <c r="N6287" s="1" t="s">
        <v>9769</v>
      </c>
      <c r="O6287" s="114">
        <v>2.1602835E7</v>
      </c>
      <c r="P6287" s="105">
        <v>1.9440949E7</v>
      </c>
      <c r="Q6287" s="102" t="s">
        <v>2468</v>
      </c>
      <c r="T6287" s="1"/>
      <c r="U6287" s="1"/>
      <c r="V6287" s="1"/>
      <c r="W6287" s="1"/>
      <c r="X6287" s="1"/>
      <c r="Y6287" s="1"/>
      <c r="AA6287" s="102"/>
      <c r="AB6287" s="1"/>
      <c r="AC6287" s="1"/>
      <c r="AD6287" s="1"/>
      <c r="AE6287" s="1"/>
      <c r="AF6287" s="1"/>
      <c r="AG6287" s="1"/>
    </row>
    <row r="6288" ht="15.75" customHeight="1">
      <c r="A6288" s="1"/>
      <c r="B6288" s="1"/>
      <c r="C6288" s="1"/>
      <c r="D6288" s="1"/>
      <c r="E6288" s="1"/>
      <c r="F6288" s="1"/>
      <c r="G6288" s="1"/>
      <c r="H6288" s="1"/>
      <c r="I6288" s="1"/>
      <c r="J6288" s="1"/>
      <c r="K6288" s="106" t="s">
        <v>9768</v>
      </c>
      <c r="L6288" s="102" t="str">
        <f>S890</f>
        <v>J2a1a1a2b2a3b1a1a1a~</v>
      </c>
      <c r="M6288" s="106" t="s">
        <v>9767</v>
      </c>
      <c r="N6288" s="1" t="s">
        <v>9769</v>
      </c>
      <c r="O6288" s="114">
        <v>2.1602835E7</v>
      </c>
      <c r="P6288" s="105">
        <v>1.9440949E7</v>
      </c>
      <c r="Q6288" s="102" t="s">
        <v>2468</v>
      </c>
      <c r="T6288" s="1"/>
      <c r="U6288" s="1"/>
      <c r="V6288" s="1"/>
      <c r="W6288" s="1"/>
      <c r="X6288" s="1"/>
      <c r="Y6288" s="1"/>
      <c r="AA6288" s="102"/>
      <c r="AB6288" s="1"/>
      <c r="AC6288" s="1"/>
      <c r="AD6288" s="1"/>
      <c r="AE6288" s="1"/>
      <c r="AF6288" s="1"/>
      <c r="AG6288" s="1"/>
    </row>
    <row r="6289" ht="15.75" customHeight="1">
      <c r="A6289" s="1"/>
      <c r="B6289" s="1"/>
      <c r="C6289" s="1"/>
      <c r="D6289" s="1"/>
      <c r="E6289" s="1"/>
      <c r="F6289" s="1"/>
      <c r="G6289" s="1"/>
      <c r="H6289" s="1"/>
      <c r="I6289" s="1"/>
      <c r="J6289" s="1"/>
      <c r="K6289" s="102" t="s">
        <v>1749</v>
      </c>
      <c r="L6289" s="102" t="str">
        <f>R891</f>
        <v>J2a1a1a2b2a3b1a1a2~</v>
      </c>
      <c r="M6289" s="102" t="s">
        <v>13</v>
      </c>
      <c r="N6289" s="1" t="s">
        <v>9770</v>
      </c>
      <c r="O6289" s="114">
        <v>1.6255391E7</v>
      </c>
      <c r="P6289" s="105">
        <v>1.4143511E7</v>
      </c>
      <c r="Q6289" s="102" t="s">
        <v>2529</v>
      </c>
      <c r="T6289" s="1"/>
      <c r="U6289" s="1"/>
      <c r="V6289" s="1"/>
      <c r="W6289" s="1"/>
      <c r="X6289" s="1"/>
      <c r="Y6289" s="1"/>
      <c r="AA6289" s="102"/>
      <c r="AB6289" s="1"/>
      <c r="AC6289" s="1"/>
      <c r="AD6289" s="1"/>
      <c r="AE6289" s="1"/>
      <c r="AF6289" s="1"/>
      <c r="AG6289" s="1"/>
    </row>
    <row r="6290" ht="15.75" customHeight="1">
      <c r="A6290" s="1"/>
      <c r="B6290" s="1"/>
      <c r="C6290" s="1"/>
      <c r="D6290" s="1"/>
      <c r="E6290" s="1"/>
      <c r="F6290" s="1"/>
      <c r="G6290" s="1"/>
      <c r="H6290" s="1"/>
      <c r="I6290" s="1"/>
      <c r="J6290" s="1"/>
      <c r="K6290" s="102" t="s">
        <v>1751</v>
      </c>
      <c r="L6290" s="102" t="str">
        <f>S892</f>
        <v>J2a1a1a2b2a3b1a1a2a~</v>
      </c>
      <c r="M6290" s="102" t="s">
        <v>13</v>
      </c>
      <c r="N6290" s="1" t="s">
        <v>13</v>
      </c>
      <c r="O6290" s="114">
        <v>7662320.0</v>
      </c>
      <c r="P6290" s="105">
        <v>7794279.0</v>
      </c>
      <c r="Q6290" s="102" t="s">
        <v>2468</v>
      </c>
      <c r="T6290" s="1"/>
      <c r="U6290" s="1"/>
      <c r="V6290" s="1"/>
      <c r="W6290" s="1"/>
      <c r="X6290" s="1"/>
      <c r="Y6290" s="1"/>
      <c r="AA6290" s="102"/>
      <c r="AB6290" s="1"/>
      <c r="AC6290" s="1"/>
      <c r="AD6290" s="1"/>
      <c r="AE6290" s="1"/>
      <c r="AF6290" s="1"/>
      <c r="AG6290" s="1"/>
    </row>
    <row r="6291" ht="15.75" customHeight="1">
      <c r="A6291" s="1"/>
      <c r="B6291" s="1"/>
      <c r="C6291" s="1"/>
      <c r="D6291" s="1"/>
      <c r="E6291" s="1"/>
      <c r="F6291" s="1"/>
      <c r="G6291" s="1"/>
      <c r="H6291" s="1"/>
      <c r="I6291" s="1"/>
      <c r="J6291" s="1"/>
      <c r="K6291" s="102" t="s">
        <v>1753</v>
      </c>
      <c r="L6291" s="102" t="str">
        <f>T893</f>
        <v>J2a1a1a2b2a3b1a1a2a1~</v>
      </c>
      <c r="M6291" s="102" t="s">
        <v>13</v>
      </c>
      <c r="N6291" s="1" t="s">
        <v>13</v>
      </c>
      <c r="O6291" s="114">
        <v>1.4761013E7</v>
      </c>
      <c r="P6291" s="105">
        <v>1.2649082E7</v>
      </c>
      <c r="Q6291" s="102" t="s">
        <v>2439</v>
      </c>
      <c r="T6291" s="1"/>
      <c r="U6291" s="1"/>
      <c r="V6291" s="1"/>
      <c r="W6291" s="1"/>
      <c r="X6291" s="1"/>
      <c r="Y6291" s="1"/>
      <c r="AA6291" s="102"/>
      <c r="AB6291" s="1"/>
      <c r="AC6291" s="1"/>
      <c r="AD6291" s="1"/>
      <c r="AE6291" s="1"/>
      <c r="AF6291" s="1"/>
      <c r="AG6291" s="1"/>
    </row>
    <row r="6292" ht="15.75" customHeight="1">
      <c r="A6292" s="1"/>
      <c r="B6292" s="1"/>
      <c r="C6292" s="1"/>
      <c r="D6292" s="1"/>
      <c r="E6292" s="1"/>
      <c r="F6292" s="1"/>
      <c r="G6292" s="1"/>
      <c r="H6292" s="1"/>
      <c r="I6292" s="1"/>
      <c r="J6292" s="1"/>
      <c r="K6292" s="102" t="s">
        <v>1755</v>
      </c>
      <c r="L6292" s="102" t="str">
        <f t="shared" ref="L6292:L6293" si="158">U894</f>
        <v>J2a1a1a2b2a3b1a1a2a1a~</v>
      </c>
      <c r="M6292" s="102" t="s">
        <v>13</v>
      </c>
      <c r="N6292" s="1" t="s">
        <v>13</v>
      </c>
      <c r="O6292" s="114">
        <v>1.8095921E7</v>
      </c>
      <c r="P6292" s="105">
        <v>1.5984041E7</v>
      </c>
      <c r="Q6292" s="102" t="s">
        <v>2563</v>
      </c>
      <c r="T6292" s="1"/>
      <c r="U6292" s="1"/>
      <c r="V6292" s="1"/>
      <c r="W6292" s="1"/>
      <c r="X6292" s="1"/>
      <c r="Y6292" s="1"/>
      <c r="AA6292" s="102"/>
      <c r="AB6292" s="1"/>
      <c r="AC6292" s="1"/>
      <c r="AD6292" s="1"/>
      <c r="AE6292" s="1"/>
      <c r="AF6292" s="1"/>
      <c r="AG6292" s="1"/>
    </row>
    <row r="6293" ht="15.75" customHeight="1">
      <c r="A6293" s="1"/>
      <c r="B6293" s="1"/>
      <c r="C6293" s="1"/>
      <c r="D6293" s="1"/>
      <c r="E6293" s="1"/>
      <c r="F6293" s="1"/>
      <c r="G6293" s="1"/>
      <c r="H6293" s="1"/>
      <c r="I6293" s="1"/>
      <c r="J6293" s="1"/>
      <c r="K6293" s="102" t="s">
        <v>1757</v>
      </c>
      <c r="L6293" s="102" t="str">
        <f t="shared" si="158"/>
        <v>J2a1a1a2b2a3b1a1a2a1b~</v>
      </c>
      <c r="M6293" s="102" t="s">
        <v>13</v>
      </c>
      <c r="N6293" s="1" t="s">
        <v>13</v>
      </c>
      <c r="O6293" s="114">
        <v>1.594456E7</v>
      </c>
      <c r="P6293" s="105">
        <v>1.383268E7</v>
      </c>
      <c r="Q6293" s="102" t="s">
        <v>2501</v>
      </c>
      <c r="T6293" s="1"/>
      <c r="U6293" s="1"/>
      <c r="V6293" s="1"/>
      <c r="W6293" s="1"/>
      <c r="X6293" s="1"/>
      <c r="Y6293" s="1"/>
      <c r="AA6293" s="102"/>
      <c r="AB6293" s="1"/>
      <c r="AC6293" s="1"/>
      <c r="AD6293" s="1"/>
      <c r="AE6293" s="1"/>
      <c r="AF6293" s="1"/>
      <c r="AG6293" s="1"/>
    </row>
    <row r="6294" ht="15.75" customHeight="1">
      <c r="A6294" s="1"/>
      <c r="B6294" s="1"/>
      <c r="C6294" s="1"/>
      <c r="D6294" s="1"/>
      <c r="E6294" s="1"/>
      <c r="F6294" s="1"/>
      <c r="G6294" s="1"/>
      <c r="H6294" s="1"/>
      <c r="I6294" s="1"/>
      <c r="J6294" s="1"/>
      <c r="K6294" s="102" t="s">
        <v>1759</v>
      </c>
      <c r="L6294" s="102" t="str">
        <f>Q896</f>
        <v>J2a1a1a2b2a3b1a1b~</v>
      </c>
      <c r="M6294" s="102" t="s">
        <v>13</v>
      </c>
      <c r="N6294" s="1" t="s">
        <v>9771</v>
      </c>
      <c r="O6294" s="114">
        <v>2.445922E7</v>
      </c>
      <c r="P6294" s="105">
        <v>2.2313073E7</v>
      </c>
      <c r="Q6294" s="102" t="s">
        <v>2501</v>
      </c>
      <c r="T6294" s="1"/>
      <c r="U6294" s="1"/>
      <c r="V6294" s="1"/>
      <c r="W6294" s="1"/>
      <c r="X6294" s="1"/>
      <c r="Y6294" s="1"/>
      <c r="AA6294" s="102"/>
      <c r="AB6294" s="1"/>
      <c r="AC6294" s="1"/>
      <c r="AD6294" s="1"/>
      <c r="AE6294" s="1"/>
      <c r="AF6294" s="1"/>
      <c r="AG6294" s="1"/>
    </row>
    <row r="6295" ht="15.75" customHeight="1">
      <c r="A6295" s="1"/>
      <c r="B6295" s="1"/>
      <c r="C6295" s="1"/>
      <c r="D6295" s="1"/>
      <c r="E6295" s="1"/>
      <c r="F6295" s="1"/>
      <c r="G6295" s="1"/>
      <c r="H6295" s="1"/>
      <c r="I6295" s="1"/>
      <c r="J6295" s="1"/>
      <c r="K6295" s="102" t="s">
        <v>1761</v>
      </c>
      <c r="L6295" s="102" t="str">
        <f>R897</f>
        <v>J2a1a1a2b2a3b1a1b1~</v>
      </c>
      <c r="M6295" s="102" t="s">
        <v>13</v>
      </c>
      <c r="N6295" s="1" t="s">
        <v>13</v>
      </c>
      <c r="O6295" s="114">
        <v>1.3226226E7</v>
      </c>
      <c r="P6295" s="105">
        <v>1.107055E7</v>
      </c>
      <c r="Q6295" s="102" t="s">
        <v>2454</v>
      </c>
      <c r="T6295" s="1"/>
      <c r="U6295" s="1"/>
      <c r="V6295" s="1"/>
      <c r="W6295" s="1"/>
      <c r="X6295" s="1"/>
      <c r="Y6295" s="1"/>
      <c r="AA6295" s="102"/>
      <c r="AB6295" s="1"/>
      <c r="AC6295" s="1"/>
      <c r="AD6295" s="1"/>
      <c r="AE6295" s="1"/>
      <c r="AF6295" s="1"/>
      <c r="AG6295" s="1"/>
    </row>
    <row r="6296" ht="15.75" customHeight="1">
      <c r="A6296" s="1"/>
      <c r="B6296" s="1"/>
      <c r="C6296" s="1"/>
      <c r="D6296" s="1"/>
      <c r="E6296" s="1"/>
      <c r="F6296" s="1"/>
      <c r="G6296" s="1"/>
      <c r="H6296" s="1"/>
      <c r="I6296" s="1"/>
      <c r="J6296" s="1"/>
      <c r="K6296" s="102" t="s">
        <v>1763</v>
      </c>
      <c r="L6296" s="102" t="str">
        <f>S898</f>
        <v>J2a1a1a2b2a3b1a1b1a~</v>
      </c>
      <c r="M6296" s="102" t="s">
        <v>13</v>
      </c>
      <c r="N6296" s="1" t="s">
        <v>9772</v>
      </c>
      <c r="O6296" s="114">
        <v>1.8623398E7</v>
      </c>
      <c r="P6296" s="105">
        <v>1.6511518E7</v>
      </c>
      <c r="Q6296" s="102" t="s">
        <v>2446</v>
      </c>
      <c r="T6296" s="1"/>
      <c r="U6296" s="1"/>
      <c r="V6296" s="1"/>
      <c r="W6296" s="1"/>
      <c r="X6296" s="1"/>
      <c r="Y6296" s="1"/>
      <c r="AA6296" s="102"/>
      <c r="AB6296" s="1"/>
      <c r="AC6296" s="1"/>
      <c r="AD6296" s="1"/>
      <c r="AE6296" s="1"/>
      <c r="AF6296" s="1"/>
      <c r="AG6296" s="1"/>
    </row>
    <row r="6297" ht="15.75" customHeight="1">
      <c r="A6297" s="1"/>
      <c r="B6297" s="1"/>
      <c r="C6297" s="1"/>
      <c r="D6297" s="1"/>
      <c r="E6297" s="1"/>
      <c r="F6297" s="1"/>
      <c r="G6297" s="1"/>
      <c r="H6297" s="1"/>
      <c r="I6297" s="1"/>
      <c r="J6297" s="1"/>
      <c r="K6297" s="102" t="s">
        <v>9773</v>
      </c>
      <c r="L6297" s="102" t="str">
        <f>T899</f>
        <v>J2a1a1a2b2a3b1a1b1a1~</v>
      </c>
      <c r="M6297" s="102" t="s">
        <v>9774</v>
      </c>
      <c r="N6297" s="1" t="s">
        <v>13</v>
      </c>
      <c r="O6297" s="114">
        <v>8469972.0</v>
      </c>
      <c r="P6297" s="105">
        <v>8601931.0</v>
      </c>
      <c r="Q6297" s="102" t="s">
        <v>2529</v>
      </c>
      <c r="T6297" s="1"/>
      <c r="U6297" s="1"/>
      <c r="V6297" s="1"/>
      <c r="W6297" s="1"/>
      <c r="X6297" s="1"/>
      <c r="Y6297" s="1"/>
      <c r="AA6297" s="102"/>
      <c r="AB6297" s="1"/>
      <c r="AC6297" s="1"/>
      <c r="AD6297" s="1"/>
      <c r="AE6297" s="1"/>
      <c r="AF6297" s="1"/>
      <c r="AG6297" s="1"/>
    </row>
    <row r="6298" ht="15.75" customHeight="1">
      <c r="A6298" s="1"/>
      <c r="B6298" s="1"/>
      <c r="C6298" s="1"/>
      <c r="D6298" s="1"/>
      <c r="E6298" s="1"/>
      <c r="F6298" s="1"/>
      <c r="G6298" s="1"/>
      <c r="H6298" s="1"/>
      <c r="I6298" s="1"/>
      <c r="J6298" s="1"/>
      <c r="K6298" s="106" t="s">
        <v>9774</v>
      </c>
      <c r="L6298" s="102" t="str">
        <f t="shared" ref="L6298:L6299" si="159">T899</f>
        <v>J2a1a1a2b2a3b1a1b1a1~</v>
      </c>
      <c r="M6298" s="106" t="s">
        <v>9773</v>
      </c>
      <c r="N6298" s="1"/>
      <c r="O6298" s="114">
        <v>8469972.0</v>
      </c>
      <c r="P6298" s="105">
        <v>8601931.0</v>
      </c>
      <c r="Q6298" s="102" t="s">
        <v>2529</v>
      </c>
      <c r="T6298" s="1"/>
      <c r="U6298" s="1"/>
      <c r="V6298" s="1"/>
      <c r="W6298" s="1"/>
      <c r="X6298" s="1"/>
      <c r="Y6298" s="1"/>
      <c r="AA6298" s="102"/>
      <c r="AB6298" s="1"/>
      <c r="AC6298" s="1"/>
      <c r="AD6298" s="1"/>
      <c r="AE6298" s="1"/>
      <c r="AF6298" s="1"/>
      <c r="AG6298" s="1"/>
    </row>
    <row r="6299" ht="15.75" customHeight="1">
      <c r="A6299" s="1"/>
      <c r="B6299" s="1"/>
      <c r="C6299" s="1"/>
      <c r="D6299" s="1"/>
      <c r="E6299" s="1"/>
      <c r="F6299" s="1"/>
      <c r="G6299" s="1"/>
      <c r="H6299" s="1"/>
      <c r="I6299" s="1"/>
      <c r="J6299" s="1"/>
      <c r="K6299" s="102" t="s">
        <v>1767</v>
      </c>
      <c r="L6299" s="102" t="str">
        <f t="shared" si="159"/>
        <v>J2a1a1a2b2a3b1a1b1a2~</v>
      </c>
      <c r="M6299" s="102"/>
      <c r="N6299" s="1" t="s">
        <v>9775</v>
      </c>
      <c r="O6299" s="114">
        <v>1.4995138E7</v>
      </c>
      <c r="P6299" s="105">
        <v>1.2883223E7</v>
      </c>
      <c r="Q6299" s="102" t="s">
        <v>2468</v>
      </c>
      <c r="T6299" s="1"/>
      <c r="U6299" s="1"/>
      <c r="V6299" s="1"/>
      <c r="W6299" s="1"/>
      <c r="X6299" s="1"/>
      <c r="Y6299" s="1"/>
      <c r="AA6299" s="102"/>
      <c r="AB6299" s="1"/>
      <c r="AC6299" s="1"/>
      <c r="AD6299" s="1"/>
      <c r="AE6299" s="1"/>
      <c r="AF6299" s="1"/>
      <c r="AG6299" s="1"/>
    </row>
    <row r="6300" ht="15.75" customHeight="1">
      <c r="A6300" s="1"/>
      <c r="B6300" s="1"/>
      <c r="C6300" s="1"/>
      <c r="D6300" s="1"/>
      <c r="E6300" s="1"/>
      <c r="F6300" s="1"/>
      <c r="G6300" s="1"/>
      <c r="H6300" s="1"/>
      <c r="I6300" s="1"/>
      <c r="J6300" s="1"/>
      <c r="K6300" s="102" t="s">
        <v>1769</v>
      </c>
      <c r="L6300" s="102" t="str">
        <f t="shared" ref="L6300:L6301" si="160">U901</f>
        <v>J2a1a1a2b2a3b1a1b1a2a~</v>
      </c>
      <c r="M6300" s="102"/>
      <c r="N6300" s="1"/>
      <c r="O6300" s="114">
        <v>1.4173947E7</v>
      </c>
      <c r="P6300" s="105">
        <v>1.2053241E7</v>
      </c>
      <c r="Q6300" s="102" t="s">
        <v>2501</v>
      </c>
      <c r="T6300" s="1"/>
      <c r="U6300" s="1"/>
      <c r="V6300" s="1"/>
      <c r="W6300" s="1"/>
      <c r="X6300" s="1"/>
      <c r="Y6300" s="1"/>
      <c r="AA6300" s="102"/>
      <c r="AB6300" s="1"/>
      <c r="AC6300" s="1"/>
      <c r="AD6300" s="1"/>
      <c r="AE6300" s="1"/>
      <c r="AF6300" s="1"/>
      <c r="AG6300" s="1"/>
    </row>
    <row r="6301" ht="15.75" customHeight="1">
      <c r="A6301" s="1"/>
      <c r="B6301" s="1"/>
      <c r="C6301" s="1"/>
      <c r="D6301" s="1"/>
      <c r="E6301" s="1"/>
      <c r="F6301" s="1"/>
      <c r="G6301" s="1"/>
      <c r="H6301" s="1"/>
      <c r="I6301" s="1"/>
      <c r="J6301" s="1"/>
      <c r="K6301" s="102" t="s">
        <v>1771</v>
      </c>
      <c r="L6301" s="102" t="str">
        <f t="shared" si="160"/>
        <v>J2a1a1a2b2a3b1a1b1a2b~</v>
      </c>
      <c r="M6301" s="102"/>
      <c r="N6301" s="1"/>
      <c r="O6301" s="114">
        <v>2.3553941E7</v>
      </c>
      <c r="P6301" s="105">
        <v>2.1392055E7</v>
      </c>
      <c r="Q6301" s="102" t="s">
        <v>2468</v>
      </c>
      <c r="T6301" s="1"/>
      <c r="U6301" s="1"/>
      <c r="V6301" s="1"/>
      <c r="W6301" s="1"/>
      <c r="X6301" s="1"/>
      <c r="Y6301" s="1"/>
      <c r="AA6301" s="102"/>
      <c r="AB6301" s="1"/>
      <c r="AC6301" s="1"/>
      <c r="AD6301" s="1"/>
      <c r="AE6301" s="1"/>
      <c r="AF6301" s="1"/>
      <c r="AG6301" s="1"/>
    </row>
    <row r="6302" ht="15.75" customHeight="1">
      <c r="A6302" s="1"/>
      <c r="B6302" s="1"/>
      <c r="C6302" s="1"/>
      <c r="D6302" s="1"/>
      <c r="E6302" s="1"/>
      <c r="F6302" s="1"/>
      <c r="G6302" s="1"/>
      <c r="H6302" s="1"/>
      <c r="I6302" s="1"/>
      <c r="J6302" s="1"/>
      <c r="K6302" s="102" t="s">
        <v>1773</v>
      </c>
      <c r="L6302" s="102" t="str">
        <f>O903</f>
        <v>J2a1a1a2b2a3b1b~</v>
      </c>
      <c r="M6302" s="102"/>
      <c r="N6302" s="1" t="s">
        <v>9776</v>
      </c>
      <c r="O6302" s="114">
        <v>1.7116649E7</v>
      </c>
      <c r="P6302" s="105">
        <v>1.5004769E7</v>
      </c>
      <c r="Q6302" s="102" t="s">
        <v>2446</v>
      </c>
      <c r="T6302" s="1"/>
      <c r="U6302" s="1"/>
      <c r="V6302" s="1"/>
      <c r="W6302" s="1"/>
      <c r="X6302" s="1"/>
      <c r="Y6302" s="1"/>
      <c r="AA6302" s="102"/>
      <c r="AB6302" s="1"/>
      <c r="AC6302" s="1"/>
      <c r="AD6302" s="1"/>
      <c r="AE6302" s="1"/>
      <c r="AF6302" s="1"/>
      <c r="AG6302" s="1"/>
    </row>
    <row r="6303" ht="15.75" customHeight="1">
      <c r="A6303" s="1"/>
      <c r="B6303" s="1"/>
      <c r="C6303" s="1"/>
      <c r="D6303" s="1"/>
      <c r="E6303" s="1"/>
      <c r="F6303" s="1"/>
      <c r="G6303" s="1"/>
      <c r="H6303" s="1"/>
      <c r="I6303" s="1"/>
      <c r="J6303" s="1"/>
      <c r="K6303" s="102" t="s">
        <v>1775</v>
      </c>
      <c r="L6303" s="102" t="str">
        <f t="shared" ref="L6303:L6304" si="161">P904</f>
        <v>J2a1a1a2b2a3b1b1~</v>
      </c>
      <c r="M6303" s="102"/>
      <c r="N6303" s="1" t="s">
        <v>9777</v>
      </c>
      <c r="O6303" s="114">
        <v>1.6578313E7</v>
      </c>
      <c r="P6303" s="105">
        <v>1.4466433E7</v>
      </c>
      <c r="Q6303" s="102" t="s">
        <v>2533</v>
      </c>
      <c r="T6303" s="1"/>
      <c r="U6303" s="1"/>
      <c r="V6303" s="1"/>
      <c r="W6303" s="1"/>
      <c r="X6303" s="1"/>
      <c r="Y6303" s="1"/>
      <c r="AA6303" s="102"/>
      <c r="AB6303" s="1"/>
      <c r="AC6303" s="1"/>
      <c r="AD6303" s="1"/>
      <c r="AE6303" s="1"/>
      <c r="AF6303" s="1"/>
      <c r="AG6303" s="1"/>
    </row>
    <row r="6304" ht="15.75" customHeight="1">
      <c r="A6304" s="1"/>
      <c r="B6304" s="1"/>
      <c r="C6304" s="1"/>
      <c r="D6304" s="1"/>
      <c r="E6304" s="1"/>
      <c r="F6304" s="1"/>
      <c r="G6304" s="1"/>
      <c r="H6304" s="1"/>
      <c r="I6304" s="1"/>
      <c r="J6304" s="1"/>
      <c r="K6304" s="102" t="s">
        <v>9778</v>
      </c>
      <c r="L6304" s="102" t="str">
        <f t="shared" si="161"/>
        <v>J2a1a1a2b2a3b1b2~</v>
      </c>
      <c r="M6304" s="102" t="s">
        <v>9779</v>
      </c>
      <c r="N6304" s="1" t="s">
        <v>9780</v>
      </c>
      <c r="O6304" s="114">
        <v>1.7392251E7</v>
      </c>
      <c r="P6304" s="105">
        <v>1.5280371E7</v>
      </c>
      <c r="Q6304" s="102" t="s">
        <v>2439</v>
      </c>
      <c r="T6304" s="1"/>
      <c r="U6304" s="1"/>
      <c r="V6304" s="1"/>
      <c r="W6304" s="1"/>
      <c r="X6304" s="1"/>
      <c r="Y6304" s="1"/>
      <c r="AA6304" s="102"/>
      <c r="AB6304" s="1"/>
      <c r="AC6304" s="1"/>
      <c r="AD6304" s="1"/>
      <c r="AE6304" s="1"/>
      <c r="AF6304" s="1"/>
      <c r="AG6304" s="1"/>
    </row>
    <row r="6305" ht="15.75" customHeight="1">
      <c r="A6305" s="1"/>
      <c r="B6305" s="1"/>
      <c r="C6305" s="1"/>
      <c r="D6305" s="1"/>
      <c r="E6305" s="1"/>
      <c r="F6305" s="1"/>
      <c r="G6305" s="1"/>
      <c r="H6305" s="1"/>
      <c r="I6305" s="1"/>
      <c r="J6305" s="1"/>
      <c r="K6305" s="106" t="s">
        <v>9779</v>
      </c>
      <c r="L6305" s="102" t="str">
        <f>P905</f>
        <v>J2a1a1a2b2a3b1b2~</v>
      </c>
      <c r="M6305" s="106" t="s">
        <v>9778</v>
      </c>
      <c r="N6305" s="1" t="s">
        <v>9780</v>
      </c>
      <c r="O6305" s="114">
        <v>1.7392251E7</v>
      </c>
      <c r="P6305" s="105">
        <v>1.5280371E7</v>
      </c>
      <c r="Q6305" s="102" t="s">
        <v>2439</v>
      </c>
      <c r="T6305" s="1"/>
      <c r="U6305" s="1"/>
      <c r="V6305" s="1"/>
      <c r="W6305" s="1"/>
      <c r="X6305" s="1"/>
      <c r="Y6305" s="1"/>
      <c r="AA6305" s="102"/>
      <c r="AB6305" s="1"/>
      <c r="AC6305" s="1"/>
      <c r="AD6305" s="1"/>
      <c r="AE6305" s="1"/>
      <c r="AF6305" s="1"/>
      <c r="AG6305" s="1"/>
    </row>
    <row r="6306" ht="15.75" customHeight="1">
      <c r="A6306" s="1"/>
      <c r="B6306" s="1"/>
      <c r="C6306" s="1"/>
      <c r="D6306" s="1"/>
      <c r="E6306" s="1"/>
      <c r="F6306" s="1"/>
      <c r="G6306" s="1"/>
      <c r="H6306" s="1"/>
      <c r="I6306" s="1"/>
      <c r="J6306" s="1"/>
      <c r="K6306" s="102" t="s">
        <v>1779</v>
      </c>
      <c r="L6306" s="102" t="str">
        <f>Q906</f>
        <v>J2a1a1a2b2a3b1b2a~</v>
      </c>
      <c r="M6306" s="102" t="s">
        <v>13</v>
      </c>
      <c r="N6306" s="1" t="s">
        <v>13</v>
      </c>
      <c r="O6306" s="114">
        <v>6821337.0</v>
      </c>
      <c r="P6306" s="105">
        <v>6953296.0</v>
      </c>
      <c r="Q6306" s="102" t="s">
        <v>2514</v>
      </c>
      <c r="T6306" s="1"/>
      <c r="U6306" s="1"/>
      <c r="V6306" s="1"/>
      <c r="W6306" s="1"/>
      <c r="X6306" s="1"/>
      <c r="Y6306" s="1"/>
      <c r="AA6306" s="102"/>
      <c r="AB6306" s="1"/>
      <c r="AC6306" s="1"/>
      <c r="AD6306" s="1"/>
      <c r="AE6306" s="1"/>
      <c r="AF6306" s="1"/>
      <c r="AG6306" s="1"/>
    </row>
    <row r="6307" ht="15.75" customHeight="1">
      <c r="A6307" s="1"/>
      <c r="B6307" s="1"/>
      <c r="C6307" s="1"/>
      <c r="D6307" s="1"/>
      <c r="E6307" s="1"/>
      <c r="F6307" s="1"/>
      <c r="G6307" s="1"/>
      <c r="H6307" s="1"/>
      <c r="I6307" s="1"/>
      <c r="J6307" s="1"/>
      <c r="K6307" s="102" t="s">
        <v>1781</v>
      </c>
      <c r="L6307" s="102" t="str">
        <f>R907</f>
        <v>J2a1a1a2b2a3b1b2a1~</v>
      </c>
      <c r="M6307" s="102" t="s">
        <v>13</v>
      </c>
      <c r="N6307" s="1" t="s">
        <v>13</v>
      </c>
      <c r="O6307" s="114">
        <v>1.5190776E7</v>
      </c>
      <c r="P6307" s="105">
        <v>1.3078862E7</v>
      </c>
      <c r="Q6307" s="102" t="s">
        <v>2501</v>
      </c>
      <c r="T6307" s="1"/>
      <c r="U6307" s="1"/>
      <c r="V6307" s="1"/>
      <c r="W6307" s="1"/>
      <c r="X6307" s="1"/>
      <c r="Y6307" s="1"/>
      <c r="AA6307" s="102"/>
      <c r="AB6307" s="1"/>
      <c r="AC6307" s="1"/>
      <c r="AD6307" s="1"/>
      <c r="AE6307" s="1"/>
      <c r="AF6307" s="1"/>
      <c r="AG6307" s="1"/>
    </row>
    <row r="6308" ht="15.75" customHeight="1">
      <c r="A6308" s="1"/>
      <c r="B6308" s="1"/>
      <c r="C6308" s="1"/>
      <c r="D6308" s="1"/>
      <c r="E6308" s="1"/>
      <c r="F6308" s="1"/>
      <c r="G6308" s="1"/>
      <c r="H6308" s="1"/>
      <c r="I6308" s="1"/>
      <c r="J6308" s="1"/>
      <c r="K6308" s="102" t="s">
        <v>1783</v>
      </c>
      <c r="L6308" s="102" t="str">
        <f>S908</f>
        <v>J2a1a1a2b2a3b1b2a1a~</v>
      </c>
      <c r="M6308" s="102" t="s">
        <v>13</v>
      </c>
      <c r="N6308" s="1" t="s">
        <v>9781</v>
      </c>
      <c r="O6308" s="114">
        <v>8241008.0</v>
      </c>
      <c r="P6308" s="105">
        <v>8372967.0</v>
      </c>
      <c r="Q6308" s="102" t="s">
        <v>2514</v>
      </c>
      <c r="T6308" s="1"/>
      <c r="U6308" s="1"/>
      <c r="V6308" s="1"/>
      <c r="W6308" s="1"/>
      <c r="X6308" s="1"/>
      <c r="Y6308" s="1"/>
      <c r="AA6308" s="102"/>
      <c r="AB6308" s="1"/>
      <c r="AC6308" s="1"/>
      <c r="AD6308" s="1"/>
      <c r="AE6308" s="1"/>
      <c r="AF6308" s="1"/>
      <c r="AG6308" s="1"/>
    </row>
    <row r="6309" ht="15.75" customHeight="1">
      <c r="A6309" s="1"/>
      <c r="B6309" s="1"/>
      <c r="C6309" s="1"/>
      <c r="D6309" s="1"/>
      <c r="E6309" s="1"/>
      <c r="F6309" s="1"/>
      <c r="G6309" s="1"/>
      <c r="H6309" s="1"/>
      <c r="I6309" s="1"/>
      <c r="J6309" s="1"/>
      <c r="K6309" s="102" t="s">
        <v>1785</v>
      </c>
      <c r="L6309" s="102" t="str">
        <f>P909</f>
        <v>J2a1a1a2b2a3b1b3~</v>
      </c>
      <c r="M6309" s="102" t="s">
        <v>13</v>
      </c>
      <c r="N6309" s="1" t="s">
        <v>9782</v>
      </c>
      <c r="O6309" s="114">
        <v>8313573.0</v>
      </c>
      <c r="P6309" s="105">
        <v>8445532.0</v>
      </c>
      <c r="Q6309" s="102" t="s">
        <v>2501</v>
      </c>
      <c r="T6309" s="1"/>
      <c r="U6309" s="1"/>
      <c r="V6309" s="1"/>
      <c r="W6309" s="1"/>
      <c r="X6309" s="1"/>
      <c r="Y6309" s="1"/>
      <c r="AA6309" s="102"/>
      <c r="AB6309" s="1"/>
      <c r="AC6309" s="1"/>
      <c r="AD6309" s="1"/>
      <c r="AE6309" s="1"/>
      <c r="AF6309" s="1"/>
      <c r="AG6309" s="1"/>
    </row>
    <row r="6310" ht="15.75" customHeight="1">
      <c r="A6310" s="1"/>
      <c r="B6310" s="1"/>
      <c r="C6310" s="1"/>
      <c r="D6310" s="1"/>
      <c r="E6310" s="1"/>
      <c r="F6310" s="1"/>
      <c r="G6310" s="1"/>
      <c r="H6310" s="1"/>
      <c r="I6310" s="1"/>
      <c r="J6310" s="1"/>
      <c r="K6310" s="102" t="s">
        <v>1787</v>
      </c>
      <c r="L6310" s="102" t="str">
        <f>Q910</f>
        <v>J2a1a1a2b2a3b1b3a~</v>
      </c>
      <c r="M6310" s="102" t="s">
        <v>13</v>
      </c>
      <c r="N6310" s="1" t="s">
        <v>9783</v>
      </c>
      <c r="O6310" s="114">
        <v>1.8077831E7</v>
      </c>
      <c r="P6310" s="105">
        <v>1.5965951E7</v>
      </c>
      <c r="Q6310" s="102" t="s">
        <v>2423</v>
      </c>
      <c r="T6310" s="1"/>
      <c r="U6310" s="1"/>
      <c r="V6310" s="1"/>
      <c r="W6310" s="1"/>
      <c r="X6310" s="1"/>
      <c r="Y6310" s="1"/>
      <c r="AA6310" s="102"/>
      <c r="AB6310" s="1"/>
      <c r="AC6310" s="1"/>
      <c r="AD6310" s="1"/>
      <c r="AE6310" s="1"/>
      <c r="AF6310" s="1"/>
      <c r="AG6310" s="1"/>
    </row>
    <row r="6311" ht="15.75" customHeight="1">
      <c r="A6311" s="1"/>
      <c r="B6311" s="1"/>
      <c r="C6311" s="1"/>
      <c r="D6311" s="1"/>
      <c r="E6311" s="1"/>
      <c r="F6311" s="1"/>
      <c r="G6311" s="1"/>
      <c r="H6311" s="1"/>
      <c r="I6311" s="1"/>
      <c r="J6311" s="1"/>
      <c r="K6311" s="102" t="s">
        <v>1789</v>
      </c>
      <c r="L6311" s="102" t="str">
        <f t="shared" ref="L6311:L6312" si="162">R911</f>
        <v>J2a1a1a2b2a3b1b3a1~</v>
      </c>
      <c r="M6311" s="102" t="s">
        <v>13</v>
      </c>
      <c r="N6311" s="1" t="s">
        <v>13</v>
      </c>
      <c r="O6311" s="114">
        <v>1.8922751E7</v>
      </c>
      <c r="P6311" s="105">
        <v>1.6810871E7</v>
      </c>
      <c r="Q6311" s="102" t="s">
        <v>2529</v>
      </c>
      <c r="T6311" s="1"/>
      <c r="U6311" s="1"/>
      <c r="V6311" s="1"/>
      <c r="W6311" s="1"/>
      <c r="X6311" s="1"/>
      <c r="Y6311" s="1"/>
      <c r="AA6311" s="102"/>
      <c r="AB6311" s="1"/>
      <c r="AC6311" s="1"/>
      <c r="AD6311" s="1"/>
      <c r="AE6311" s="1"/>
      <c r="AF6311" s="1"/>
      <c r="AG6311" s="1"/>
    </row>
    <row r="6312" ht="15.75" customHeight="1">
      <c r="A6312" s="1"/>
      <c r="B6312" s="1"/>
      <c r="C6312" s="1"/>
      <c r="D6312" s="1"/>
      <c r="E6312" s="1"/>
      <c r="F6312" s="1"/>
      <c r="G6312" s="1"/>
      <c r="H6312" s="1"/>
      <c r="I6312" s="1"/>
      <c r="J6312" s="1"/>
      <c r="K6312" s="102" t="s">
        <v>1791</v>
      </c>
      <c r="L6312" s="102" t="str">
        <f t="shared" si="162"/>
        <v>J2a1a1a2b2a3b1b3a2~</v>
      </c>
      <c r="M6312" s="102" t="s">
        <v>13</v>
      </c>
      <c r="N6312" s="1" t="s">
        <v>9784</v>
      </c>
      <c r="O6312" s="114">
        <v>1.5415083E7</v>
      </c>
      <c r="P6312" s="105">
        <v>1.3303203E7</v>
      </c>
      <c r="Q6312" s="102" t="s">
        <v>2514</v>
      </c>
      <c r="T6312" s="1"/>
      <c r="U6312" s="1"/>
      <c r="V6312" s="1"/>
      <c r="W6312" s="1"/>
      <c r="X6312" s="1"/>
      <c r="Y6312" s="1"/>
      <c r="AA6312" s="102"/>
      <c r="AB6312" s="1"/>
      <c r="AC6312" s="1"/>
      <c r="AD6312" s="1"/>
      <c r="AE6312" s="1"/>
      <c r="AF6312" s="1"/>
      <c r="AG6312" s="1"/>
    </row>
    <row r="6313" ht="15.75" customHeight="1">
      <c r="A6313" s="1"/>
      <c r="B6313" s="1"/>
      <c r="C6313" s="1"/>
      <c r="D6313" s="1"/>
      <c r="E6313" s="1"/>
      <c r="F6313" s="1"/>
      <c r="G6313" s="1"/>
      <c r="H6313" s="1"/>
      <c r="I6313" s="1"/>
      <c r="J6313" s="1"/>
      <c r="K6313" s="102" t="s">
        <v>1793</v>
      </c>
      <c r="L6313" s="102" t="str">
        <f>S913</f>
        <v>J2a1a1a2b2a3b1b3a2a~</v>
      </c>
      <c r="M6313" s="102" t="s">
        <v>13</v>
      </c>
      <c r="N6313" s="1" t="s">
        <v>13</v>
      </c>
      <c r="O6313" s="114">
        <v>1.8137157E7</v>
      </c>
      <c r="P6313" s="105">
        <v>1.6025277E7</v>
      </c>
      <c r="Q6313" s="102" t="s">
        <v>2533</v>
      </c>
      <c r="T6313" s="1"/>
      <c r="U6313" s="1"/>
      <c r="V6313" s="1"/>
      <c r="W6313" s="1"/>
      <c r="X6313" s="1"/>
      <c r="Y6313" s="1"/>
      <c r="AA6313" s="102"/>
      <c r="AB6313" s="1"/>
      <c r="AC6313" s="1"/>
      <c r="AD6313" s="1"/>
      <c r="AE6313" s="1"/>
      <c r="AF6313" s="1"/>
      <c r="AG6313" s="1"/>
    </row>
    <row r="6314" ht="15.75" customHeight="1">
      <c r="A6314" s="1"/>
      <c r="B6314" s="1"/>
      <c r="C6314" s="1"/>
      <c r="D6314" s="1"/>
      <c r="E6314" s="1"/>
      <c r="F6314" s="1"/>
      <c r="G6314" s="1"/>
      <c r="H6314" s="1"/>
      <c r="I6314" s="1"/>
      <c r="J6314" s="1"/>
      <c r="K6314" s="102" t="s">
        <v>1795</v>
      </c>
      <c r="L6314" s="102" t="str">
        <f>T914</f>
        <v>J2a1a1a2b2a3b1b3a2a1~</v>
      </c>
      <c r="M6314" s="102" t="s">
        <v>13</v>
      </c>
      <c r="N6314" s="1" t="s">
        <v>13</v>
      </c>
      <c r="O6314" s="114">
        <v>2.441819E7</v>
      </c>
      <c r="P6314" s="105">
        <v>2.2272043E7</v>
      </c>
      <c r="Q6314" s="102" t="s">
        <v>2501</v>
      </c>
      <c r="T6314" s="1"/>
      <c r="U6314" s="1"/>
      <c r="V6314" s="1"/>
      <c r="W6314" s="1"/>
      <c r="X6314" s="1"/>
      <c r="Y6314" s="1"/>
      <c r="AA6314" s="102"/>
      <c r="AB6314" s="1"/>
      <c r="AC6314" s="1"/>
      <c r="AD6314" s="1"/>
      <c r="AE6314" s="1"/>
      <c r="AF6314" s="1"/>
      <c r="AG6314" s="1"/>
    </row>
    <row r="6315" ht="15.75" customHeight="1">
      <c r="A6315" s="1"/>
      <c r="B6315" s="1"/>
      <c r="C6315" s="1"/>
      <c r="D6315" s="1"/>
      <c r="E6315" s="1"/>
      <c r="F6315" s="1"/>
      <c r="G6315" s="1"/>
      <c r="H6315" s="1"/>
      <c r="I6315" s="1"/>
      <c r="J6315" s="1"/>
      <c r="K6315" s="102" t="s">
        <v>1797</v>
      </c>
      <c r="L6315" s="102" t="str">
        <f>U915</f>
        <v>J2a1a1a2b2a3b1b3a2a1a~</v>
      </c>
      <c r="M6315" s="102" t="s">
        <v>13</v>
      </c>
      <c r="N6315" s="1" t="s">
        <v>13</v>
      </c>
      <c r="O6315" s="114">
        <v>9395238.0</v>
      </c>
      <c r="P6315" s="105">
        <v>9557629.0</v>
      </c>
      <c r="Q6315" s="102" t="s">
        <v>2533</v>
      </c>
      <c r="T6315" s="1"/>
      <c r="U6315" s="1"/>
      <c r="V6315" s="1"/>
      <c r="W6315" s="1"/>
      <c r="X6315" s="1"/>
      <c r="Y6315" s="1"/>
      <c r="AA6315" s="102"/>
      <c r="AB6315" s="1"/>
      <c r="AC6315" s="1"/>
      <c r="AD6315" s="1"/>
      <c r="AE6315" s="1"/>
      <c r="AF6315" s="1"/>
      <c r="AG6315" s="1"/>
    </row>
    <row r="6316" ht="15.75" customHeight="1">
      <c r="A6316" s="1"/>
      <c r="B6316" s="1"/>
      <c r="C6316" s="1"/>
      <c r="D6316" s="1"/>
      <c r="E6316" s="1"/>
      <c r="F6316" s="1"/>
      <c r="G6316" s="1"/>
      <c r="H6316" s="1"/>
      <c r="I6316" s="1"/>
      <c r="J6316" s="1"/>
      <c r="K6316" s="102" t="s">
        <v>1799</v>
      </c>
      <c r="L6316" s="102" t="str">
        <f>Q916</f>
        <v>J2a1a1a2b2a3b1b3b~</v>
      </c>
      <c r="M6316" s="102" t="s">
        <v>13</v>
      </c>
      <c r="N6316" s="1" t="s">
        <v>13</v>
      </c>
      <c r="O6316" s="114">
        <v>2.2850194E7</v>
      </c>
      <c r="P6316" s="105">
        <v>2.0688308E7</v>
      </c>
      <c r="Q6316" s="102" t="s">
        <v>2563</v>
      </c>
      <c r="T6316" s="1"/>
      <c r="U6316" s="1"/>
      <c r="V6316" s="1"/>
      <c r="W6316" s="1"/>
      <c r="X6316" s="1"/>
      <c r="Y6316" s="1"/>
      <c r="AA6316" s="102"/>
      <c r="AB6316" s="1"/>
      <c r="AC6316" s="1"/>
      <c r="AD6316" s="1"/>
      <c r="AE6316" s="1"/>
      <c r="AF6316" s="1"/>
      <c r="AG6316" s="1"/>
    </row>
    <row r="6317" ht="15.75" customHeight="1">
      <c r="A6317" s="1"/>
      <c r="B6317" s="1"/>
      <c r="C6317" s="1"/>
      <c r="D6317" s="1"/>
      <c r="E6317" s="1"/>
      <c r="F6317" s="1"/>
      <c r="G6317" s="1"/>
      <c r="H6317" s="1"/>
      <c r="I6317" s="1"/>
      <c r="J6317" s="1"/>
      <c r="K6317" s="102" t="s">
        <v>1801</v>
      </c>
      <c r="L6317" s="102" t="str">
        <f>R917</f>
        <v>J2a1a1a2b2a3b1b3b1~</v>
      </c>
      <c r="M6317" s="102" t="s">
        <v>13</v>
      </c>
      <c r="N6317" s="1" t="s">
        <v>13</v>
      </c>
      <c r="O6317" s="114">
        <v>1.6546558E7</v>
      </c>
      <c r="P6317" s="105">
        <v>1.4434678E7</v>
      </c>
      <c r="Q6317" s="102" t="s">
        <v>2563</v>
      </c>
      <c r="T6317" s="1"/>
      <c r="U6317" s="1"/>
      <c r="V6317" s="1"/>
      <c r="W6317" s="1"/>
      <c r="X6317" s="1"/>
      <c r="Y6317" s="1"/>
      <c r="AA6317" s="102"/>
      <c r="AB6317" s="1"/>
      <c r="AC6317" s="1"/>
      <c r="AD6317" s="1"/>
      <c r="AE6317" s="1"/>
      <c r="AF6317" s="1"/>
      <c r="AG6317" s="1"/>
    </row>
    <row r="6318" ht="15.75" customHeight="1">
      <c r="A6318" s="1"/>
      <c r="B6318" s="1"/>
      <c r="C6318" s="1"/>
      <c r="D6318" s="1"/>
      <c r="E6318" s="1"/>
      <c r="F6318" s="1"/>
      <c r="G6318" s="1"/>
      <c r="H6318" s="1"/>
      <c r="I6318" s="1"/>
      <c r="J6318" s="1"/>
      <c r="K6318" s="102" t="s">
        <v>1803</v>
      </c>
      <c r="L6318" s="102" t="str">
        <f>S918</f>
        <v>J2a1a1a2b2a3b1b3b1a~</v>
      </c>
      <c r="M6318" s="102" t="s">
        <v>13</v>
      </c>
      <c r="N6318" s="1" t="s">
        <v>13</v>
      </c>
      <c r="O6318" s="114">
        <v>1.5571608E7</v>
      </c>
      <c r="P6318" s="105">
        <v>1.3459728E7</v>
      </c>
      <c r="Q6318" s="102" t="s">
        <v>2501</v>
      </c>
      <c r="T6318" s="1"/>
      <c r="U6318" s="1"/>
      <c r="V6318" s="1"/>
      <c r="W6318" s="1"/>
      <c r="X6318" s="1"/>
      <c r="Y6318" s="1"/>
      <c r="AA6318" s="102"/>
      <c r="AB6318" s="1"/>
      <c r="AC6318" s="1"/>
      <c r="AD6318" s="1"/>
      <c r="AE6318" s="1"/>
      <c r="AF6318" s="1"/>
      <c r="AG6318" s="1"/>
    </row>
    <row r="6319" ht="15.75" customHeight="1">
      <c r="A6319" s="1"/>
      <c r="B6319" s="1"/>
      <c r="C6319" s="1"/>
      <c r="D6319" s="1"/>
      <c r="E6319" s="1"/>
      <c r="F6319" s="1"/>
      <c r="G6319" s="1"/>
      <c r="H6319" s="1"/>
      <c r="I6319" s="1"/>
      <c r="J6319" s="1"/>
      <c r="K6319" s="102" t="s">
        <v>1805</v>
      </c>
      <c r="L6319" s="102" t="str">
        <f>T919</f>
        <v>J2a1a1a2b2a3b1b3b1a1~</v>
      </c>
      <c r="M6319" s="102" t="s">
        <v>13</v>
      </c>
      <c r="N6319" s="1" t="s">
        <v>13</v>
      </c>
      <c r="O6319" s="114">
        <v>2.4003951E7</v>
      </c>
      <c r="P6319" s="105">
        <v>2.1857804E7</v>
      </c>
      <c r="Q6319" s="102" t="s">
        <v>2454</v>
      </c>
      <c r="T6319" s="1"/>
      <c r="U6319" s="1"/>
      <c r="V6319" s="1"/>
      <c r="W6319" s="1"/>
      <c r="X6319" s="1"/>
      <c r="Y6319" s="1"/>
      <c r="AA6319" s="102"/>
      <c r="AB6319" s="1"/>
      <c r="AC6319" s="1"/>
      <c r="AD6319" s="1"/>
      <c r="AE6319" s="1"/>
      <c r="AF6319" s="1"/>
      <c r="AG6319" s="1"/>
    </row>
    <row r="6320" ht="15.75" customHeight="1">
      <c r="A6320" s="1"/>
      <c r="B6320" s="1"/>
      <c r="C6320" s="1"/>
      <c r="D6320" s="1"/>
      <c r="E6320" s="1"/>
      <c r="F6320" s="1"/>
      <c r="G6320" s="1"/>
      <c r="H6320" s="1"/>
      <c r="I6320" s="1"/>
      <c r="J6320" s="1"/>
      <c r="K6320" s="102" t="s">
        <v>1807</v>
      </c>
      <c r="L6320" s="102" t="str">
        <f>U920</f>
        <v>J2a1a1a2b2a3b1b3b1a1a~</v>
      </c>
      <c r="M6320" s="102" t="s">
        <v>13</v>
      </c>
      <c r="N6320" s="1" t="s">
        <v>13</v>
      </c>
      <c r="O6320" s="114">
        <v>8253523.0</v>
      </c>
      <c r="P6320" s="105">
        <v>8385482.0</v>
      </c>
      <c r="Q6320" s="102" t="s">
        <v>2529</v>
      </c>
      <c r="T6320" s="1"/>
      <c r="U6320" s="1"/>
      <c r="V6320" s="1"/>
      <c r="W6320" s="1"/>
      <c r="X6320" s="1"/>
      <c r="Y6320" s="1"/>
      <c r="AA6320" s="102"/>
      <c r="AB6320" s="1"/>
      <c r="AC6320" s="1"/>
      <c r="AD6320" s="1"/>
      <c r="AE6320" s="1"/>
      <c r="AF6320" s="1"/>
      <c r="AG6320" s="1"/>
    </row>
    <row r="6321" ht="15.75" customHeight="1">
      <c r="A6321" s="1"/>
      <c r="B6321" s="1"/>
      <c r="C6321" s="1"/>
      <c r="D6321" s="1"/>
      <c r="E6321" s="1"/>
      <c r="F6321" s="1"/>
      <c r="G6321" s="1"/>
      <c r="H6321" s="1"/>
      <c r="I6321" s="1"/>
      <c r="J6321" s="1"/>
      <c r="K6321" s="102" t="s">
        <v>1809</v>
      </c>
      <c r="L6321" s="102" t="str">
        <f>V921</f>
        <v>J2a1a1a2b2a3b1b3b1a1a1~</v>
      </c>
      <c r="M6321" s="102" t="s">
        <v>13</v>
      </c>
      <c r="N6321" s="1" t="s">
        <v>13</v>
      </c>
      <c r="O6321" s="114">
        <v>8776839.0</v>
      </c>
      <c r="P6321" s="114">
        <v>8908798.0</v>
      </c>
      <c r="Q6321" s="102" t="s">
        <v>2501</v>
      </c>
      <c r="T6321" s="1"/>
      <c r="U6321" s="1"/>
      <c r="V6321" s="1"/>
      <c r="W6321" s="1"/>
      <c r="X6321" s="1"/>
      <c r="Y6321" s="1"/>
      <c r="AA6321" s="102"/>
      <c r="AB6321" s="1"/>
      <c r="AC6321" s="1"/>
      <c r="AD6321" s="1"/>
      <c r="AE6321" s="1"/>
      <c r="AF6321" s="1"/>
      <c r="AG6321" s="1"/>
    </row>
    <row r="6322" ht="15.75" customHeight="1">
      <c r="A6322" s="1"/>
      <c r="B6322" s="1"/>
      <c r="C6322" s="1"/>
      <c r="D6322" s="1"/>
      <c r="E6322" s="1"/>
      <c r="F6322" s="1"/>
      <c r="G6322" s="1"/>
      <c r="H6322" s="1"/>
      <c r="I6322" s="1"/>
      <c r="J6322" s="1"/>
      <c r="K6322" s="102" t="s">
        <v>1811</v>
      </c>
      <c r="L6322" s="102" t="str">
        <f>U922</f>
        <v>J2a1a1a2b2a3b1b3b1a1b~</v>
      </c>
      <c r="M6322" s="102" t="s">
        <v>13</v>
      </c>
      <c r="N6322" s="1" t="s">
        <v>13</v>
      </c>
      <c r="O6322" s="114">
        <v>1.8854781E7</v>
      </c>
      <c r="P6322" s="105">
        <v>1.6742901E7</v>
      </c>
      <c r="Q6322" s="102" t="s">
        <v>2529</v>
      </c>
      <c r="T6322" s="1"/>
      <c r="U6322" s="1"/>
      <c r="V6322" s="1"/>
      <c r="W6322" s="1"/>
      <c r="X6322" s="1"/>
      <c r="Y6322" s="1"/>
      <c r="AA6322" s="102"/>
      <c r="AB6322" s="1"/>
      <c r="AC6322" s="1"/>
      <c r="AD6322" s="1"/>
      <c r="AE6322" s="1"/>
      <c r="AF6322" s="1"/>
      <c r="AG6322" s="1"/>
    </row>
    <row r="6323" ht="15.75" customHeight="1">
      <c r="A6323" s="1"/>
      <c r="B6323" s="1"/>
      <c r="C6323" s="1"/>
      <c r="D6323" s="1"/>
      <c r="E6323" s="1"/>
      <c r="F6323" s="1"/>
      <c r="G6323" s="1"/>
      <c r="H6323" s="1"/>
      <c r="I6323" s="1"/>
      <c r="J6323" s="1"/>
      <c r="K6323" s="102" t="s">
        <v>1813</v>
      </c>
      <c r="L6323" s="102" t="str">
        <f>V923</f>
        <v>J2a1a1a2b2a3b1b3b1a1b1~</v>
      </c>
      <c r="M6323" s="102" t="s">
        <v>13</v>
      </c>
      <c r="N6323" s="1" t="s">
        <v>13</v>
      </c>
      <c r="O6323" s="114">
        <v>2.1175914E7</v>
      </c>
      <c r="P6323" s="105">
        <v>1.9014028E7</v>
      </c>
      <c r="Q6323" s="102" t="s">
        <v>2501</v>
      </c>
      <c r="T6323" s="1"/>
      <c r="U6323" s="1"/>
      <c r="V6323" s="1"/>
      <c r="W6323" s="1"/>
      <c r="X6323" s="1"/>
      <c r="Y6323" s="1"/>
      <c r="AA6323" s="102"/>
      <c r="AB6323" s="1"/>
      <c r="AC6323" s="1"/>
      <c r="AD6323" s="1"/>
      <c r="AE6323" s="1"/>
      <c r="AF6323" s="1"/>
      <c r="AG6323" s="1"/>
    </row>
    <row r="6324" ht="15.75" customHeight="1">
      <c r="A6324" s="1"/>
      <c r="B6324" s="1"/>
      <c r="C6324" s="1"/>
      <c r="D6324" s="1"/>
      <c r="E6324" s="1"/>
      <c r="F6324" s="1"/>
      <c r="G6324" s="1"/>
      <c r="H6324" s="1"/>
      <c r="I6324" s="1"/>
      <c r="J6324" s="1"/>
      <c r="K6324" s="102" t="s">
        <v>1815</v>
      </c>
      <c r="L6324" s="102" t="str">
        <f>R924</f>
        <v>J2a1a1a2b2a3b1b3b2~</v>
      </c>
      <c r="M6324" s="102" t="s">
        <v>13</v>
      </c>
      <c r="N6324" s="1" t="s">
        <v>13</v>
      </c>
      <c r="O6324" s="114">
        <v>8508175.0</v>
      </c>
      <c r="P6324" s="105">
        <v>8640134.0</v>
      </c>
      <c r="Q6324" s="102" t="s">
        <v>2501</v>
      </c>
      <c r="T6324" s="1"/>
      <c r="U6324" s="1"/>
      <c r="V6324" s="1"/>
      <c r="W6324" s="1"/>
      <c r="X6324" s="1"/>
      <c r="Y6324" s="1"/>
      <c r="AA6324" s="102"/>
      <c r="AB6324" s="1"/>
      <c r="AC6324" s="1"/>
      <c r="AD6324" s="1"/>
      <c r="AE6324" s="1"/>
      <c r="AF6324" s="1"/>
      <c r="AG6324" s="1"/>
    </row>
    <row r="6325" ht="15.75" customHeight="1">
      <c r="A6325" s="1"/>
      <c r="B6325" s="1"/>
      <c r="C6325" s="1"/>
      <c r="D6325" s="1"/>
      <c r="E6325" s="1"/>
      <c r="F6325" s="1"/>
      <c r="G6325" s="1"/>
      <c r="H6325" s="1"/>
      <c r="I6325" s="1"/>
      <c r="J6325" s="1"/>
      <c r="K6325" s="102" t="s">
        <v>1817</v>
      </c>
      <c r="L6325" s="102" t="str">
        <f>S925</f>
        <v>J2a1a1a2b2a3b1b3b2a~</v>
      </c>
      <c r="M6325" s="102" t="s">
        <v>13</v>
      </c>
      <c r="N6325" s="1" t="s">
        <v>13</v>
      </c>
      <c r="O6325" s="114">
        <v>1.5769022E7</v>
      </c>
      <c r="P6325" s="105">
        <v>1.3657142E7</v>
      </c>
      <c r="Q6325" s="102" t="s">
        <v>2439</v>
      </c>
      <c r="T6325" s="1"/>
      <c r="U6325" s="1"/>
      <c r="V6325" s="1"/>
      <c r="W6325" s="1"/>
      <c r="X6325" s="1"/>
      <c r="Y6325" s="1"/>
      <c r="AA6325" s="102"/>
      <c r="AB6325" s="1"/>
      <c r="AC6325" s="1"/>
      <c r="AD6325" s="1"/>
      <c r="AE6325" s="1"/>
      <c r="AF6325" s="1"/>
      <c r="AG6325" s="1"/>
    </row>
    <row r="6326" ht="15.75" customHeight="1">
      <c r="A6326" s="1"/>
      <c r="B6326" s="1"/>
      <c r="C6326" s="1"/>
      <c r="D6326" s="1"/>
      <c r="E6326" s="1"/>
      <c r="F6326" s="1"/>
      <c r="G6326" s="1"/>
      <c r="H6326" s="1"/>
      <c r="I6326" s="1"/>
      <c r="J6326" s="1"/>
      <c r="K6326" s="102" t="s">
        <v>1819</v>
      </c>
      <c r="L6326" s="102" t="str">
        <f>T926</f>
        <v>J2a1a1a2b2a3b1b3b2a1~</v>
      </c>
      <c r="M6326" s="102" t="s">
        <v>13</v>
      </c>
      <c r="N6326" s="1" t="s">
        <v>13</v>
      </c>
      <c r="O6326" s="114">
        <v>6957494.0</v>
      </c>
      <c r="P6326" s="105">
        <v>7089453.0</v>
      </c>
      <c r="Q6326" s="102" t="s">
        <v>2576</v>
      </c>
      <c r="T6326" s="1"/>
      <c r="U6326" s="1"/>
      <c r="V6326" s="1"/>
      <c r="W6326" s="1"/>
      <c r="X6326" s="1"/>
      <c r="Y6326" s="1"/>
      <c r="AA6326" s="102"/>
      <c r="AB6326" s="1"/>
      <c r="AC6326" s="1"/>
      <c r="AD6326" s="1"/>
      <c r="AE6326" s="1"/>
      <c r="AF6326" s="1"/>
      <c r="AG6326" s="1"/>
    </row>
    <row r="6327" ht="15.75" customHeight="1">
      <c r="A6327" s="1"/>
      <c r="B6327" s="1"/>
      <c r="C6327" s="1"/>
      <c r="D6327" s="1"/>
      <c r="E6327" s="1"/>
      <c r="F6327" s="1"/>
      <c r="G6327" s="1"/>
      <c r="H6327" s="1"/>
      <c r="I6327" s="1"/>
      <c r="J6327" s="1"/>
      <c r="K6327" s="102" t="s">
        <v>1821</v>
      </c>
      <c r="L6327" s="102" t="str">
        <f t="shared" ref="L6327:L6328" si="163">U927</f>
        <v>J2a1a1a2b2a3b1b3b2a1a~</v>
      </c>
      <c r="M6327" s="102" t="s">
        <v>13</v>
      </c>
      <c r="N6327" s="1" t="s">
        <v>13</v>
      </c>
      <c r="O6327" s="114">
        <v>1.7897927E7</v>
      </c>
      <c r="P6327" s="105">
        <v>1.5786047E7</v>
      </c>
      <c r="Q6327" s="102" t="s">
        <v>2514</v>
      </c>
      <c r="T6327" s="1"/>
      <c r="U6327" s="1"/>
      <c r="V6327" s="1"/>
      <c r="W6327" s="1"/>
      <c r="X6327" s="1"/>
      <c r="Y6327" s="1"/>
      <c r="AA6327" s="102"/>
      <c r="AB6327" s="1"/>
      <c r="AC6327" s="1"/>
      <c r="AD6327" s="1"/>
      <c r="AE6327" s="1"/>
      <c r="AF6327" s="1"/>
      <c r="AG6327" s="1"/>
    </row>
    <row r="6328" ht="15.75" customHeight="1">
      <c r="A6328" s="1"/>
      <c r="B6328" s="1"/>
      <c r="C6328" s="1"/>
      <c r="D6328" s="1"/>
      <c r="E6328" s="1"/>
      <c r="F6328" s="1"/>
      <c r="G6328" s="1"/>
      <c r="H6328" s="1"/>
      <c r="I6328" s="1"/>
      <c r="J6328" s="1"/>
      <c r="K6328" s="102" t="s">
        <v>1823</v>
      </c>
      <c r="L6328" s="102" t="str">
        <f t="shared" si="163"/>
        <v>J2a1a1a2b2a3b1b3b2a1b~</v>
      </c>
      <c r="M6328" s="102" t="s">
        <v>13</v>
      </c>
      <c r="N6328" s="1" t="s">
        <v>9785</v>
      </c>
      <c r="O6328" s="114">
        <v>1.9092678E7</v>
      </c>
      <c r="P6328" s="105">
        <v>1.6980798E7</v>
      </c>
      <c r="Q6328" s="102" t="s">
        <v>2501</v>
      </c>
      <c r="T6328" s="1"/>
      <c r="U6328" s="1"/>
      <c r="V6328" s="1"/>
      <c r="W6328" s="1"/>
      <c r="X6328" s="1"/>
      <c r="Y6328" s="1"/>
      <c r="AA6328" s="102"/>
      <c r="AB6328" s="1"/>
      <c r="AC6328" s="1"/>
      <c r="AD6328" s="1"/>
      <c r="AE6328" s="1"/>
      <c r="AF6328" s="1"/>
      <c r="AG6328" s="1"/>
    </row>
    <row r="6329" ht="15.75" customHeight="1">
      <c r="A6329" s="1"/>
      <c r="B6329" s="1"/>
      <c r="C6329" s="1"/>
      <c r="D6329" s="1"/>
      <c r="E6329" s="1"/>
      <c r="F6329" s="1"/>
      <c r="G6329" s="1"/>
      <c r="H6329" s="1"/>
      <c r="I6329" s="1"/>
      <c r="J6329" s="1"/>
      <c r="K6329" s="102" t="s">
        <v>1825</v>
      </c>
      <c r="L6329" s="102" t="str">
        <f>V929</f>
        <v>J2a1a1a2b2a3b1b3b2a1b1~</v>
      </c>
      <c r="M6329" s="102" t="s">
        <v>13</v>
      </c>
      <c r="N6329" s="1" t="s">
        <v>13</v>
      </c>
      <c r="O6329" s="114">
        <v>1.9429924E7</v>
      </c>
      <c r="P6329" s="105">
        <v>1.7318044E7</v>
      </c>
      <c r="Q6329" s="102" t="s">
        <v>2454</v>
      </c>
      <c r="T6329" s="1"/>
      <c r="U6329" s="1"/>
      <c r="V6329" s="1"/>
      <c r="W6329" s="1"/>
      <c r="X6329" s="1"/>
      <c r="Y6329" s="1"/>
      <c r="AA6329" s="102"/>
      <c r="AB6329" s="1"/>
      <c r="AC6329" s="1"/>
      <c r="AD6329" s="1"/>
      <c r="AE6329" s="1"/>
      <c r="AF6329" s="1"/>
      <c r="AG6329" s="1"/>
    </row>
    <row r="6330" ht="15.75" customHeight="1">
      <c r="A6330" s="1"/>
      <c r="B6330" s="1"/>
      <c r="C6330" s="1"/>
      <c r="D6330" s="1"/>
      <c r="E6330" s="1"/>
      <c r="F6330" s="1"/>
      <c r="G6330" s="1"/>
      <c r="H6330" s="1"/>
      <c r="I6330" s="1"/>
      <c r="J6330" s="1"/>
      <c r="K6330" s="102" t="s">
        <v>9786</v>
      </c>
      <c r="L6330" s="102" t="str">
        <f>W930</f>
        <v>J2a1a1a2b2a3b1b3b2a1b1a~</v>
      </c>
      <c r="M6330" s="102" t="s">
        <v>9787</v>
      </c>
      <c r="N6330" s="1" t="s">
        <v>13</v>
      </c>
      <c r="O6330" s="114">
        <v>8818813.0</v>
      </c>
      <c r="P6330" s="105">
        <v>8950772.0</v>
      </c>
      <c r="Q6330" s="102" t="s">
        <v>2454</v>
      </c>
      <c r="T6330" s="1"/>
      <c r="U6330" s="1"/>
      <c r="V6330" s="1"/>
      <c r="W6330" s="1"/>
      <c r="X6330" s="1"/>
      <c r="Y6330" s="1"/>
      <c r="AA6330" s="102"/>
      <c r="AB6330" s="1"/>
      <c r="AC6330" s="1"/>
      <c r="AD6330" s="1"/>
      <c r="AE6330" s="1"/>
      <c r="AF6330" s="1"/>
      <c r="AG6330" s="1"/>
    </row>
    <row r="6331" ht="15.75" customHeight="1">
      <c r="A6331" s="1"/>
      <c r="B6331" s="1"/>
      <c r="C6331" s="1"/>
      <c r="D6331" s="1"/>
      <c r="E6331" s="1"/>
      <c r="F6331" s="1"/>
      <c r="G6331" s="1"/>
      <c r="H6331" s="1"/>
      <c r="I6331" s="1"/>
      <c r="J6331" s="1"/>
      <c r="K6331" s="106" t="s">
        <v>9787</v>
      </c>
      <c r="L6331" s="102" t="str">
        <f>W930</f>
        <v>J2a1a1a2b2a3b1b3b2a1b1a~</v>
      </c>
      <c r="M6331" s="106" t="s">
        <v>9786</v>
      </c>
      <c r="N6331" s="1"/>
      <c r="O6331" s="114">
        <v>8818813.0</v>
      </c>
      <c r="P6331" s="105">
        <v>8950772.0</v>
      </c>
      <c r="Q6331" s="102" t="s">
        <v>2454</v>
      </c>
      <c r="T6331" s="1"/>
      <c r="U6331" s="1"/>
      <c r="V6331" s="1"/>
      <c r="W6331" s="1"/>
      <c r="X6331" s="1"/>
      <c r="Y6331" s="1"/>
      <c r="AA6331" s="102"/>
      <c r="AB6331" s="1"/>
      <c r="AC6331" s="1"/>
      <c r="AD6331" s="1"/>
      <c r="AE6331" s="1"/>
      <c r="AF6331" s="1"/>
      <c r="AG6331" s="1"/>
    </row>
    <row r="6332" ht="15.75" customHeight="1">
      <c r="A6332" s="1"/>
      <c r="B6332" s="1"/>
      <c r="C6332" s="1"/>
      <c r="D6332" s="1"/>
      <c r="E6332" s="1"/>
      <c r="F6332" s="1"/>
      <c r="G6332" s="1"/>
      <c r="H6332" s="1"/>
      <c r="I6332" s="1"/>
      <c r="J6332" s="1"/>
      <c r="K6332" s="102" t="s">
        <v>1829</v>
      </c>
      <c r="L6332" s="102" t="str">
        <f>V931</f>
        <v>J2a1a1a2b2a3b1b3b2a1b2~</v>
      </c>
      <c r="M6332" s="102" t="s">
        <v>13</v>
      </c>
      <c r="N6332" s="1" t="s">
        <v>9788</v>
      </c>
      <c r="O6332" s="114">
        <v>1.3653389E7</v>
      </c>
      <c r="P6332" s="105">
        <v>1.1497713E7</v>
      </c>
      <c r="Q6332" s="102" t="s">
        <v>2501</v>
      </c>
      <c r="T6332" s="1"/>
      <c r="U6332" s="1"/>
      <c r="V6332" s="1"/>
      <c r="W6332" s="1"/>
      <c r="X6332" s="1"/>
      <c r="Y6332" s="1"/>
      <c r="AA6332" s="102"/>
      <c r="AB6332" s="1"/>
      <c r="AC6332" s="1"/>
      <c r="AD6332" s="1"/>
      <c r="AE6332" s="1"/>
      <c r="AF6332" s="1"/>
      <c r="AG6332" s="1"/>
    </row>
    <row r="6333" ht="15.75" customHeight="1">
      <c r="A6333" s="1"/>
      <c r="B6333" s="1"/>
      <c r="C6333" s="1"/>
      <c r="D6333" s="1"/>
      <c r="E6333" s="1"/>
      <c r="F6333" s="1"/>
      <c r="G6333" s="1"/>
      <c r="H6333" s="1"/>
      <c r="I6333" s="1"/>
      <c r="J6333" s="1"/>
      <c r="K6333" s="102" t="s">
        <v>1831</v>
      </c>
      <c r="L6333" s="102" t="str">
        <f t="shared" ref="L6333:L6334" si="164">W932</f>
        <v>J2a1a1a2b2a3b1b3b2a1b2a~</v>
      </c>
      <c r="M6333" s="102" t="s">
        <v>13</v>
      </c>
      <c r="N6333" s="1" t="s">
        <v>13</v>
      </c>
      <c r="O6333" s="114">
        <v>1.7086528E7</v>
      </c>
      <c r="P6333" s="105">
        <v>1.4974648E7</v>
      </c>
      <c r="Q6333" s="102" t="s">
        <v>2529</v>
      </c>
      <c r="T6333" s="1"/>
      <c r="U6333" s="1"/>
      <c r="V6333" s="1"/>
      <c r="W6333" s="1"/>
      <c r="X6333" s="1"/>
      <c r="Y6333" s="1"/>
      <c r="AA6333" s="102"/>
      <c r="AB6333" s="1"/>
      <c r="AC6333" s="1"/>
      <c r="AD6333" s="1"/>
      <c r="AE6333" s="1"/>
      <c r="AF6333" s="1"/>
      <c r="AG6333" s="1"/>
    </row>
    <row r="6334" ht="15.75" customHeight="1">
      <c r="A6334" s="1"/>
      <c r="B6334" s="1"/>
      <c r="C6334" s="1"/>
      <c r="D6334" s="1"/>
      <c r="E6334" s="1"/>
      <c r="F6334" s="1"/>
      <c r="G6334" s="1"/>
      <c r="H6334" s="1"/>
      <c r="I6334" s="1"/>
      <c r="J6334" s="1"/>
      <c r="K6334" s="102" t="s">
        <v>1833</v>
      </c>
      <c r="L6334" s="102" t="str">
        <f t="shared" si="164"/>
        <v>J2a1a1a2b2a3b1b3b2a1b2b~</v>
      </c>
      <c r="M6334" s="102" t="s">
        <v>13</v>
      </c>
      <c r="N6334" s="1"/>
      <c r="O6334" s="114">
        <v>1.7715542E7</v>
      </c>
      <c r="P6334" s="105">
        <v>1.5603662E7</v>
      </c>
      <c r="Q6334" s="102" t="s">
        <v>2501</v>
      </c>
      <c r="T6334" s="1"/>
      <c r="U6334" s="1"/>
      <c r="V6334" s="1"/>
      <c r="W6334" s="1"/>
      <c r="X6334" s="1"/>
      <c r="Y6334" s="1"/>
      <c r="AA6334" s="102"/>
      <c r="AB6334" s="1"/>
      <c r="AC6334" s="1"/>
      <c r="AD6334" s="1"/>
      <c r="AE6334" s="1"/>
      <c r="AF6334" s="1"/>
      <c r="AG6334" s="1"/>
    </row>
    <row r="6335" ht="15.75" customHeight="1">
      <c r="A6335" s="1"/>
      <c r="B6335" s="1"/>
      <c r="C6335" s="1"/>
      <c r="D6335" s="1"/>
      <c r="E6335" s="1"/>
      <c r="F6335" s="1"/>
      <c r="G6335" s="1"/>
      <c r="H6335" s="1"/>
      <c r="I6335" s="1"/>
      <c r="J6335" s="1"/>
      <c r="K6335" s="102" t="s">
        <v>1835</v>
      </c>
      <c r="L6335" s="102" t="str">
        <f>S934</f>
        <v>J2a1a1a2b2a3b1b3b2b~</v>
      </c>
      <c r="M6335" s="102"/>
      <c r="N6335" s="1"/>
      <c r="O6335" s="114">
        <v>1.5115228E7</v>
      </c>
      <c r="P6335" s="105">
        <v>1.3003315E7</v>
      </c>
      <c r="Q6335" s="102" t="s">
        <v>2454</v>
      </c>
      <c r="T6335" s="1"/>
      <c r="U6335" s="1"/>
      <c r="V6335" s="1"/>
      <c r="W6335" s="1"/>
      <c r="X6335" s="1"/>
      <c r="Y6335" s="1"/>
      <c r="AA6335" s="102"/>
      <c r="AB6335" s="1"/>
      <c r="AC6335" s="1"/>
      <c r="AD6335" s="1"/>
      <c r="AE6335" s="1"/>
      <c r="AF6335" s="1"/>
      <c r="AG6335" s="1"/>
    </row>
    <row r="6336" ht="15.75" customHeight="1">
      <c r="A6336" s="1"/>
      <c r="B6336" s="1"/>
      <c r="C6336" s="1"/>
      <c r="D6336" s="1"/>
      <c r="E6336" s="1"/>
      <c r="F6336" s="1"/>
      <c r="G6336" s="1"/>
      <c r="H6336" s="1"/>
      <c r="I6336" s="1"/>
      <c r="J6336" s="1"/>
      <c r="K6336" s="102" t="s">
        <v>1837</v>
      </c>
      <c r="L6336" s="102" t="str">
        <f t="shared" ref="L6336:L6337" si="165">T935</f>
        <v>J2a1a1a2b2a3b1b3b2b1~</v>
      </c>
      <c r="M6336" s="102"/>
      <c r="N6336" s="1"/>
      <c r="O6336" s="114">
        <v>9875314.0</v>
      </c>
      <c r="P6336" s="105">
        <v>1.0037705E7</v>
      </c>
      <c r="Q6336" s="102" t="s">
        <v>2576</v>
      </c>
      <c r="T6336" s="1"/>
      <c r="U6336" s="1"/>
      <c r="V6336" s="1"/>
      <c r="W6336" s="1"/>
      <c r="X6336" s="1"/>
      <c r="Y6336" s="1"/>
      <c r="AA6336" s="102"/>
      <c r="AB6336" s="1"/>
      <c r="AC6336" s="1"/>
      <c r="AD6336" s="1"/>
      <c r="AE6336" s="1"/>
      <c r="AF6336" s="1"/>
      <c r="AG6336" s="1"/>
    </row>
    <row r="6337" ht="15.75" customHeight="1">
      <c r="A6337" s="1"/>
      <c r="B6337" s="1"/>
      <c r="C6337" s="1"/>
      <c r="D6337" s="1"/>
      <c r="E6337" s="1"/>
      <c r="F6337" s="1"/>
      <c r="G6337" s="1"/>
      <c r="H6337" s="1"/>
      <c r="I6337" s="1"/>
      <c r="J6337" s="1"/>
      <c r="K6337" s="102" t="s">
        <v>1839</v>
      </c>
      <c r="L6337" s="102" t="str">
        <f t="shared" si="165"/>
        <v>J2a1a1a2b2a3b1b3b2b2~</v>
      </c>
      <c r="M6337" s="102"/>
      <c r="N6337" s="1"/>
      <c r="O6337" s="114">
        <v>1.5522456E7</v>
      </c>
      <c r="P6337" s="105">
        <v>1.3410576E7</v>
      </c>
      <c r="Q6337" s="102" t="s">
        <v>2563</v>
      </c>
      <c r="T6337" s="1"/>
      <c r="U6337" s="1"/>
      <c r="V6337" s="1"/>
      <c r="W6337" s="1"/>
      <c r="X6337" s="1"/>
      <c r="Y6337" s="1"/>
      <c r="AA6337" s="102"/>
      <c r="AB6337" s="1"/>
      <c r="AC6337" s="1"/>
      <c r="AD6337" s="1"/>
      <c r="AE6337" s="1"/>
      <c r="AF6337" s="1"/>
      <c r="AG6337" s="1"/>
    </row>
    <row r="6338" ht="15.75" customHeight="1">
      <c r="A6338" s="1"/>
      <c r="B6338" s="1"/>
      <c r="C6338" s="1"/>
      <c r="D6338" s="1"/>
      <c r="E6338" s="1"/>
      <c r="F6338" s="1"/>
      <c r="G6338" s="1"/>
      <c r="H6338" s="1"/>
      <c r="I6338" s="1"/>
      <c r="J6338" s="1"/>
      <c r="K6338" s="102" t="s">
        <v>1841</v>
      </c>
      <c r="L6338" s="102" t="str">
        <f>U937</f>
        <v>J2a1a1a2b2a3b1b3b2b2a~</v>
      </c>
      <c r="M6338" s="102"/>
      <c r="N6338" s="1"/>
      <c r="O6338" s="114">
        <v>8884334.0</v>
      </c>
      <c r="P6338" s="105">
        <v>9016293.0</v>
      </c>
      <c r="Q6338" s="102" t="s">
        <v>2446</v>
      </c>
      <c r="T6338" s="1"/>
      <c r="U6338" s="1"/>
      <c r="V6338" s="1"/>
      <c r="W6338" s="1"/>
      <c r="X6338" s="1"/>
      <c r="Y6338" s="1"/>
      <c r="AA6338" s="102"/>
      <c r="AB6338" s="1"/>
      <c r="AC6338" s="1"/>
      <c r="AD6338" s="1"/>
      <c r="AE6338" s="1"/>
      <c r="AF6338" s="1"/>
      <c r="AG6338" s="1"/>
    </row>
    <row r="6339" ht="15.75" customHeight="1">
      <c r="A6339" s="1"/>
      <c r="B6339" s="1"/>
      <c r="C6339" s="1"/>
      <c r="D6339" s="1"/>
      <c r="E6339" s="1"/>
      <c r="F6339" s="1"/>
      <c r="G6339" s="1"/>
      <c r="H6339" s="1"/>
      <c r="I6339" s="1"/>
      <c r="J6339" s="1"/>
      <c r="K6339" s="102" t="s">
        <v>9789</v>
      </c>
      <c r="L6339" s="102" t="str">
        <f>V938</f>
        <v>J2a1a1a2b2a3b1b3b2b2a1~</v>
      </c>
      <c r="M6339" s="102" t="s">
        <v>9790</v>
      </c>
      <c r="N6339" s="1"/>
      <c r="O6339" s="114">
        <v>1.7574498E7</v>
      </c>
      <c r="P6339" s="105">
        <v>1.5462618E7</v>
      </c>
      <c r="Q6339" s="102" t="s">
        <v>2468</v>
      </c>
      <c r="T6339" s="1"/>
      <c r="U6339" s="1"/>
      <c r="V6339" s="1"/>
      <c r="W6339" s="1"/>
      <c r="X6339" s="1"/>
      <c r="Y6339" s="1"/>
      <c r="AA6339" s="102"/>
      <c r="AB6339" s="1"/>
      <c r="AC6339" s="1"/>
      <c r="AD6339" s="1"/>
      <c r="AE6339" s="1"/>
      <c r="AF6339" s="1"/>
      <c r="AG6339" s="1"/>
    </row>
    <row r="6340" ht="15.75" customHeight="1">
      <c r="A6340" s="1"/>
      <c r="B6340" s="1"/>
      <c r="C6340" s="1"/>
      <c r="D6340" s="1"/>
      <c r="E6340" s="1"/>
      <c r="F6340" s="1"/>
      <c r="G6340" s="1"/>
      <c r="H6340" s="1"/>
      <c r="I6340" s="1"/>
      <c r="J6340" s="1"/>
      <c r="K6340" s="106" t="s">
        <v>9790</v>
      </c>
      <c r="L6340" s="102" t="str">
        <f t="shared" ref="L6340:L6341" si="166">V938</f>
        <v>J2a1a1a2b2a3b1b3b2b2a1~</v>
      </c>
      <c r="M6340" s="106" t="s">
        <v>9789</v>
      </c>
      <c r="N6340" s="1"/>
      <c r="O6340" s="114">
        <v>1.7574498E7</v>
      </c>
      <c r="P6340" s="105">
        <v>1.5462618E7</v>
      </c>
      <c r="Q6340" s="102" t="s">
        <v>2468</v>
      </c>
      <c r="T6340" s="1"/>
      <c r="U6340" s="1"/>
      <c r="V6340" s="1"/>
      <c r="W6340" s="1"/>
      <c r="X6340" s="1"/>
      <c r="Y6340" s="1"/>
      <c r="AA6340" s="102"/>
      <c r="AB6340" s="1"/>
      <c r="AC6340" s="1"/>
      <c r="AD6340" s="1"/>
      <c r="AE6340" s="1"/>
      <c r="AF6340" s="1"/>
      <c r="AG6340" s="1"/>
    </row>
    <row r="6341" ht="15.75" customHeight="1">
      <c r="A6341" s="1"/>
      <c r="B6341" s="1"/>
      <c r="C6341" s="1"/>
      <c r="D6341" s="1"/>
      <c r="E6341" s="1"/>
      <c r="F6341" s="1"/>
      <c r="G6341" s="1"/>
      <c r="H6341" s="1"/>
      <c r="I6341" s="1"/>
      <c r="J6341" s="1"/>
      <c r="K6341" s="102" t="s">
        <v>1845</v>
      </c>
      <c r="L6341" s="102" t="str">
        <f t="shared" si="166"/>
        <v>J2a1a1a2b2a3b1b3b2b2a2~</v>
      </c>
      <c r="M6341" s="102"/>
      <c r="N6341" s="1"/>
      <c r="O6341" s="114">
        <v>1.7434269E7</v>
      </c>
      <c r="P6341" s="105">
        <v>1.5322389E7</v>
      </c>
      <c r="Q6341" s="102" t="s">
        <v>2423</v>
      </c>
      <c r="T6341" s="1"/>
      <c r="U6341" s="1"/>
      <c r="V6341" s="1"/>
      <c r="W6341" s="1"/>
      <c r="X6341" s="1"/>
      <c r="Y6341" s="1"/>
      <c r="AA6341" s="102"/>
      <c r="AB6341" s="1"/>
      <c r="AC6341" s="1"/>
      <c r="AD6341" s="1"/>
      <c r="AE6341" s="1"/>
      <c r="AF6341" s="1"/>
      <c r="AG6341" s="1"/>
    </row>
    <row r="6342" ht="15.75" customHeight="1">
      <c r="A6342" s="1"/>
      <c r="B6342" s="1"/>
      <c r="C6342" s="1"/>
      <c r="D6342" s="1"/>
      <c r="E6342" s="1"/>
      <c r="F6342" s="1"/>
      <c r="G6342" s="1"/>
      <c r="H6342" s="1"/>
      <c r="I6342" s="1"/>
      <c r="J6342" s="1"/>
      <c r="K6342" s="102" t="s">
        <v>1847</v>
      </c>
      <c r="L6342" s="102" t="str">
        <f>T940</f>
        <v>J2a1a1a2b2a3b1b3b2b3~</v>
      </c>
      <c r="M6342" s="102"/>
      <c r="N6342" s="1"/>
      <c r="O6342" s="114">
        <v>1.6629156E7</v>
      </c>
      <c r="P6342" s="105">
        <v>1.4517276E7</v>
      </c>
      <c r="Q6342" s="102" t="s">
        <v>2501</v>
      </c>
      <c r="T6342" s="1"/>
      <c r="U6342" s="1"/>
      <c r="V6342" s="1"/>
      <c r="W6342" s="1"/>
      <c r="X6342" s="1"/>
      <c r="Y6342" s="1"/>
      <c r="AA6342" s="102"/>
      <c r="AB6342" s="1"/>
      <c r="AC6342" s="1"/>
      <c r="AD6342" s="1"/>
      <c r="AE6342" s="1"/>
      <c r="AF6342" s="1"/>
      <c r="AG6342" s="1"/>
    </row>
    <row r="6343" ht="15.75" customHeight="1">
      <c r="A6343" s="1"/>
      <c r="B6343" s="1"/>
      <c r="C6343" s="1"/>
      <c r="D6343" s="1"/>
      <c r="E6343" s="1"/>
      <c r="F6343" s="1"/>
      <c r="G6343" s="1"/>
      <c r="H6343" s="1"/>
      <c r="I6343" s="1"/>
      <c r="J6343" s="1"/>
      <c r="K6343" s="102" t="s">
        <v>1849</v>
      </c>
      <c r="L6343" s="102" t="str">
        <f>U941</f>
        <v>J2a1a1a2b2a3b1b3b2b3a~</v>
      </c>
      <c r="M6343" s="102"/>
      <c r="N6343" s="1" t="s">
        <v>9791</v>
      </c>
      <c r="O6343" s="114">
        <v>8561929.0</v>
      </c>
      <c r="P6343" s="105">
        <v>8693888.0</v>
      </c>
      <c r="Q6343" s="102" t="s">
        <v>2501</v>
      </c>
      <c r="T6343" s="1"/>
      <c r="U6343" s="1"/>
      <c r="V6343" s="1"/>
      <c r="W6343" s="1"/>
      <c r="X6343" s="1"/>
      <c r="Y6343" s="1"/>
      <c r="AA6343" s="102"/>
      <c r="AB6343" s="1"/>
      <c r="AC6343" s="1"/>
      <c r="AD6343" s="1"/>
      <c r="AE6343" s="1"/>
      <c r="AF6343" s="1"/>
      <c r="AG6343" s="1"/>
    </row>
    <row r="6344" ht="15.75" customHeight="1">
      <c r="A6344" s="1"/>
      <c r="B6344" s="1"/>
      <c r="C6344" s="1"/>
      <c r="D6344" s="1"/>
      <c r="E6344" s="1"/>
      <c r="F6344" s="1"/>
      <c r="G6344" s="1"/>
      <c r="H6344" s="1"/>
      <c r="I6344" s="1"/>
      <c r="J6344" s="1"/>
      <c r="K6344" s="102" t="s">
        <v>1851</v>
      </c>
      <c r="L6344" s="102" t="str">
        <f>V942</f>
        <v>J2a1a1a2b2a3b1b3b2b3a1~</v>
      </c>
      <c r="M6344" s="102"/>
      <c r="N6344" s="1"/>
      <c r="O6344" s="114">
        <v>2.4001211E7</v>
      </c>
      <c r="P6344" s="105">
        <v>2.1855064E7</v>
      </c>
      <c r="Q6344" s="102" t="s">
        <v>2529</v>
      </c>
      <c r="T6344" s="1"/>
      <c r="U6344" s="1"/>
      <c r="V6344" s="1"/>
      <c r="W6344" s="1"/>
      <c r="X6344" s="1"/>
      <c r="Y6344" s="1"/>
      <c r="AA6344" s="102"/>
      <c r="AB6344" s="1"/>
      <c r="AC6344" s="1"/>
      <c r="AD6344" s="1"/>
      <c r="AE6344" s="1"/>
      <c r="AF6344" s="1"/>
      <c r="AG6344" s="1"/>
    </row>
    <row r="6345" ht="15.75" customHeight="1">
      <c r="A6345" s="1"/>
      <c r="B6345" s="1"/>
      <c r="C6345" s="1"/>
      <c r="D6345" s="1"/>
      <c r="E6345" s="1"/>
      <c r="F6345" s="1"/>
      <c r="G6345" s="1"/>
      <c r="H6345" s="1"/>
      <c r="I6345" s="1"/>
      <c r="J6345" s="1"/>
      <c r="K6345" s="102" t="s">
        <v>1853</v>
      </c>
      <c r="L6345" s="102" t="str">
        <f>W943</f>
        <v>J2a1a1a2b2a3b1b3b2b3a1a~</v>
      </c>
      <c r="M6345" s="102"/>
      <c r="N6345" s="1"/>
      <c r="O6345" s="114">
        <v>1.3232899E7</v>
      </c>
      <c r="P6345" s="105">
        <v>1.1077223E7</v>
      </c>
      <c r="Q6345" s="102" t="s">
        <v>2501</v>
      </c>
      <c r="T6345" s="1"/>
      <c r="U6345" s="1"/>
      <c r="V6345" s="1"/>
      <c r="W6345" s="1"/>
      <c r="X6345" s="1"/>
      <c r="Y6345" s="1"/>
      <c r="AA6345" s="102"/>
      <c r="AB6345" s="1"/>
      <c r="AC6345" s="1"/>
      <c r="AD6345" s="1"/>
      <c r="AE6345" s="1"/>
      <c r="AF6345" s="1"/>
      <c r="AG6345" s="1"/>
    </row>
    <row r="6346" ht="15.75" customHeight="1">
      <c r="A6346" s="1"/>
      <c r="B6346" s="1"/>
      <c r="C6346" s="1"/>
      <c r="D6346" s="1"/>
      <c r="E6346" s="1"/>
      <c r="F6346" s="1"/>
      <c r="G6346" s="1"/>
      <c r="H6346" s="1"/>
      <c r="I6346" s="1"/>
      <c r="J6346" s="1"/>
      <c r="K6346" s="102" t="s">
        <v>1855</v>
      </c>
      <c r="L6346" s="102" t="str">
        <f>V944</f>
        <v>J2a1a1a2b2a3b1b3b2b3a2~</v>
      </c>
      <c r="M6346" s="102"/>
      <c r="N6346" s="1"/>
      <c r="O6346" s="114">
        <v>2.2845632E7</v>
      </c>
      <c r="P6346" s="105">
        <v>2.0683746E7</v>
      </c>
      <c r="Q6346" s="102" t="s">
        <v>2454</v>
      </c>
      <c r="T6346" s="1"/>
      <c r="U6346" s="1"/>
      <c r="V6346" s="1"/>
      <c r="W6346" s="1"/>
      <c r="X6346" s="1"/>
      <c r="Y6346" s="1"/>
      <c r="AA6346" s="102"/>
      <c r="AB6346" s="1"/>
      <c r="AC6346" s="1"/>
      <c r="AD6346" s="1"/>
      <c r="AE6346" s="1"/>
      <c r="AF6346" s="1"/>
      <c r="AG6346" s="1"/>
    </row>
    <row r="6347" ht="15.75" customHeight="1">
      <c r="A6347" s="1"/>
      <c r="B6347" s="1"/>
      <c r="C6347" s="1"/>
      <c r="D6347" s="1"/>
      <c r="E6347" s="1"/>
      <c r="F6347" s="1"/>
      <c r="G6347" s="1"/>
      <c r="H6347" s="1"/>
      <c r="I6347" s="1"/>
      <c r="J6347" s="1"/>
      <c r="K6347" s="102" t="s">
        <v>1857</v>
      </c>
      <c r="L6347" s="102" t="str">
        <f>U945</f>
        <v>J2a1a1a2b2a3b1b3b2b3b~</v>
      </c>
      <c r="M6347" s="102"/>
      <c r="N6347" s="1"/>
      <c r="O6347" s="114">
        <v>2.2931205E7</v>
      </c>
      <c r="P6347" s="105">
        <v>2.0769319E7</v>
      </c>
      <c r="Q6347" s="102" t="s">
        <v>2454</v>
      </c>
      <c r="T6347" s="1"/>
      <c r="U6347" s="1"/>
      <c r="V6347" s="1"/>
      <c r="W6347" s="1"/>
      <c r="X6347" s="1"/>
      <c r="Y6347" s="1"/>
      <c r="AA6347" s="102"/>
      <c r="AB6347" s="1"/>
      <c r="AC6347" s="1"/>
      <c r="AD6347" s="1"/>
      <c r="AE6347" s="1"/>
      <c r="AF6347" s="1"/>
      <c r="AG6347" s="1"/>
    </row>
    <row r="6348" ht="15.75" customHeight="1">
      <c r="A6348" s="1"/>
      <c r="B6348" s="1"/>
      <c r="C6348" s="1"/>
      <c r="D6348" s="1"/>
      <c r="E6348" s="1"/>
      <c r="F6348" s="1"/>
      <c r="G6348" s="1"/>
      <c r="H6348" s="1"/>
      <c r="I6348" s="1"/>
      <c r="J6348" s="1"/>
      <c r="K6348" s="102" t="s">
        <v>9792</v>
      </c>
      <c r="L6348" s="102" t="str">
        <f>V946</f>
        <v>J2a1a1a2b2a3b1b3b2b3b1~</v>
      </c>
      <c r="M6348" s="102" t="s">
        <v>9793</v>
      </c>
      <c r="N6348" s="1"/>
      <c r="O6348" s="114">
        <v>1.5341492E7</v>
      </c>
      <c r="P6348" s="105">
        <v>1.3229611E7</v>
      </c>
      <c r="Q6348" s="102" t="s">
        <v>2432</v>
      </c>
      <c r="T6348" s="1"/>
      <c r="U6348" s="1"/>
      <c r="V6348" s="1"/>
      <c r="W6348" s="1"/>
      <c r="X6348" s="1"/>
      <c r="Y6348" s="1"/>
      <c r="AA6348" s="102"/>
      <c r="AB6348" s="1"/>
      <c r="AC6348" s="1"/>
      <c r="AD6348" s="1"/>
      <c r="AE6348" s="1"/>
      <c r="AF6348" s="1"/>
      <c r="AG6348" s="1"/>
    </row>
    <row r="6349" ht="15.75" customHeight="1">
      <c r="A6349" s="1"/>
      <c r="B6349" s="1"/>
      <c r="C6349" s="1"/>
      <c r="D6349" s="1"/>
      <c r="E6349" s="1"/>
      <c r="F6349" s="1"/>
      <c r="G6349" s="1"/>
      <c r="H6349" s="1"/>
      <c r="I6349" s="1"/>
      <c r="J6349" s="1"/>
      <c r="K6349" s="106" t="s">
        <v>9793</v>
      </c>
      <c r="L6349" s="102" t="str">
        <f t="shared" ref="L6349:L6350" si="167">V946</f>
        <v>J2a1a1a2b2a3b1b3b2b3b1~</v>
      </c>
      <c r="M6349" s="106" t="s">
        <v>9792</v>
      </c>
      <c r="N6349" s="1"/>
      <c r="O6349" s="114">
        <v>1.5341492E7</v>
      </c>
      <c r="P6349" s="105">
        <v>1.3229611E7</v>
      </c>
      <c r="Q6349" s="102" t="s">
        <v>2432</v>
      </c>
      <c r="T6349" s="1"/>
      <c r="U6349" s="1"/>
      <c r="V6349" s="1"/>
      <c r="W6349" s="1"/>
      <c r="X6349" s="1"/>
      <c r="Y6349" s="1"/>
      <c r="AA6349" s="102"/>
      <c r="AB6349" s="1"/>
      <c r="AC6349" s="1"/>
      <c r="AD6349" s="1"/>
      <c r="AE6349" s="1"/>
      <c r="AF6349" s="1"/>
      <c r="AG6349" s="1"/>
    </row>
    <row r="6350" ht="15.75" customHeight="1">
      <c r="A6350" s="1"/>
      <c r="B6350" s="1"/>
      <c r="C6350" s="1"/>
      <c r="D6350" s="1"/>
      <c r="E6350" s="1"/>
      <c r="F6350" s="1"/>
      <c r="G6350" s="1"/>
      <c r="H6350" s="1"/>
      <c r="I6350" s="1"/>
      <c r="J6350" s="1"/>
      <c r="K6350" s="102" t="s">
        <v>1861</v>
      </c>
      <c r="L6350" s="102" t="str">
        <f t="shared" si="167"/>
        <v>J2a1a1a2b2a3b1b3b2b3b2~</v>
      </c>
      <c r="M6350" s="102"/>
      <c r="N6350" s="1"/>
      <c r="O6350" s="114">
        <v>2.3993856E7</v>
      </c>
      <c r="P6350" s="105">
        <v>2.1847709E7</v>
      </c>
      <c r="Q6350" s="102" t="s">
        <v>2423</v>
      </c>
      <c r="T6350" s="1"/>
      <c r="U6350" s="1"/>
      <c r="V6350" s="1"/>
      <c r="W6350" s="1"/>
      <c r="X6350" s="1"/>
      <c r="Y6350" s="1"/>
      <c r="AA6350" s="102"/>
      <c r="AB6350" s="1"/>
      <c r="AC6350" s="1"/>
      <c r="AD6350" s="1"/>
      <c r="AE6350" s="1"/>
      <c r="AF6350" s="1"/>
      <c r="AG6350" s="1"/>
    </row>
    <row r="6351" ht="15.75" customHeight="1">
      <c r="A6351" s="1"/>
      <c r="B6351" s="1"/>
      <c r="C6351" s="1"/>
      <c r="D6351" s="1"/>
      <c r="E6351" s="1"/>
      <c r="F6351" s="1"/>
      <c r="G6351" s="1"/>
      <c r="H6351" s="1"/>
      <c r="I6351" s="1"/>
      <c r="J6351" s="1"/>
      <c r="K6351" s="102" t="s">
        <v>1863</v>
      </c>
      <c r="L6351" s="102" t="str">
        <f t="shared" ref="L6351:L6352" si="168">W948</f>
        <v>J2a1a1a2b2a3b1b3b2b3b2a~</v>
      </c>
      <c r="M6351" s="102"/>
      <c r="N6351" s="1"/>
      <c r="O6351" s="114">
        <v>8478905.0</v>
      </c>
      <c r="P6351" s="105">
        <v>8610864.0</v>
      </c>
      <c r="Q6351" s="102" t="s">
        <v>2576</v>
      </c>
      <c r="T6351" s="1"/>
      <c r="U6351" s="1"/>
      <c r="V6351" s="1"/>
      <c r="W6351" s="1"/>
      <c r="X6351" s="1"/>
      <c r="Y6351" s="1"/>
      <c r="AA6351" s="102"/>
      <c r="AB6351" s="1"/>
      <c r="AC6351" s="1"/>
      <c r="AD6351" s="1"/>
      <c r="AE6351" s="1"/>
      <c r="AF6351" s="1"/>
      <c r="AG6351" s="1"/>
    </row>
    <row r="6352" ht="15.75" customHeight="1">
      <c r="A6352" s="1"/>
      <c r="B6352" s="1"/>
      <c r="C6352" s="1"/>
      <c r="D6352" s="1"/>
      <c r="E6352" s="1"/>
      <c r="F6352" s="1"/>
      <c r="G6352" s="1"/>
      <c r="H6352" s="1"/>
      <c r="I6352" s="1"/>
      <c r="J6352" s="1"/>
      <c r="K6352" s="102" t="s">
        <v>1865</v>
      </c>
      <c r="L6352" s="102" t="str">
        <f t="shared" si="168"/>
        <v>J2a1a1a2b2a3b1b3b2b3b2b~</v>
      </c>
      <c r="M6352" s="102"/>
      <c r="N6352" s="1"/>
      <c r="O6352" s="114">
        <v>1.776566E7</v>
      </c>
      <c r="P6352" s="105">
        <v>1.565378E7</v>
      </c>
      <c r="Q6352" s="102" t="s">
        <v>2423</v>
      </c>
      <c r="T6352" s="1"/>
      <c r="U6352" s="1"/>
      <c r="V6352" s="1"/>
      <c r="W6352" s="1"/>
      <c r="X6352" s="1"/>
      <c r="Y6352" s="1"/>
      <c r="AA6352" s="102"/>
      <c r="AB6352" s="1"/>
      <c r="AC6352" s="1"/>
      <c r="AD6352" s="1"/>
      <c r="AE6352" s="1"/>
      <c r="AF6352" s="1"/>
      <c r="AG6352" s="1"/>
    </row>
    <row r="6353" ht="15.75" customHeight="1">
      <c r="A6353" s="1"/>
      <c r="B6353" s="1"/>
      <c r="C6353" s="1"/>
      <c r="D6353" s="1"/>
      <c r="E6353" s="1"/>
      <c r="F6353" s="1"/>
      <c r="G6353" s="1"/>
      <c r="H6353" s="1"/>
      <c r="I6353" s="1"/>
      <c r="J6353" s="1"/>
      <c r="K6353" s="102" t="s">
        <v>1867</v>
      </c>
      <c r="L6353" s="102" t="str">
        <f t="shared" ref="L6353:L6354" si="169">X950</f>
        <v>J2a1a1a2b2a3b1b3b2b3b2b1~</v>
      </c>
      <c r="M6353" s="102"/>
      <c r="N6353" s="1"/>
      <c r="O6353" s="114">
        <v>2.2664496E7</v>
      </c>
      <c r="P6353" s="105">
        <v>2.050261E7</v>
      </c>
      <c r="Q6353" s="102" t="s">
        <v>2439</v>
      </c>
      <c r="T6353" s="1"/>
      <c r="U6353" s="1"/>
      <c r="V6353" s="1"/>
      <c r="W6353" s="1"/>
      <c r="X6353" s="1"/>
      <c r="Y6353" s="1"/>
      <c r="AA6353" s="102"/>
      <c r="AB6353" s="1"/>
      <c r="AC6353" s="1"/>
      <c r="AD6353" s="1"/>
      <c r="AE6353" s="1"/>
      <c r="AF6353" s="1"/>
      <c r="AG6353" s="1"/>
    </row>
    <row r="6354" ht="15.75" customHeight="1">
      <c r="A6354" s="1"/>
      <c r="B6354" s="1"/>
      <c r="C6354" s="1"/>
      <c r="D6354" s="1"/>
      <c r="E6354" s="1"/>
      <c r="F6354" s="1"/>
      <c r="G6354" s="1"/>
      <c r="H6354" s="1"/>
      <c r="I6354" s="1"/>
      <c r="J6354" s="1"/>
      <c r="K6354" s="102" t="s">
        <v>1869</v>
      </c>
      <c r="L6354" s="102" t="str">
        <f t="shared" si="169"/>
        <v>J2a1a1a2b2a3b1b3b2b3b2b2~</v>
      </c>
      <c r="M6354" s="102"/>
      <c r="N6354" s="1"/>
      <c r="O6354" s="114">
        <v>2.2062493E7</v>
      </c>
      <c r="P6354" s="105">
        <v>1.9900607E7</v>
      </c>
      <c r="Q6354" s="102" t="s">
        <v>2446</v>
      </c>
      <c r="T6354" s="1"/>
      <c r="U6354" s="1"/>
      <c r="V6354" s="1"/>
      <c r="W6354" s="1"/>
      <c r="X6354" s="1"/>
      <c r="Y6354" s="1"/>
      <c r="AA6354" s="102"/>
      <c r="AB6354" s="1"/>
      <c r="AC6354" s="1"/>
      <c r="AD6354" s="1"/>
      <c r="AE6354" s="1"/>
      <c r="AF6354" s="1"/>
      <c r="AG6354" s="1"/>
    </row>
    <row r="6355" ht="15.75" customHeight="1">
      <c r="A6355" s="1"/>
      <c r="B6355" s="1"/>
      <c r="C6355" s="1"/>
      <c r="D6355" s="1"/>
      <c r="E6355" s="1"/>
      <c r="F6355" s="1"/>
      <c r="G6355" s="1"/>
      <c r="H6355" s="1"/>
      <c r="I6355" s="1"/>
      <c r="J6355" s="1"/>
      <c r="K6355" s="102" t="s">
        <v>1871</v>
      </c>
      <c r="L6355" s="102" t="str">
        <f t="shared" ref="L6355:L6356" si="170">Y952</f>
        <v>J2a1a1a2b2a3b1b3b2b3b2b2a~</v>
      </c>
      <c r="M6355" s="102"/>
      <c r="N6355" s="1"/>
      <c r="O6355" s="114">
        <v>2.2107209E7</v>
      </c>
      <c r="P6355" s="105">
        <v>1.9945323E7</v>
      </c>
      <c r="Q6355" s="102" t="s">
        <v>2454</v>
      </c>
      <c r="S6355" s="1"/>
      <c r="T6355" s="1"/>
      <c r="U6355" s="1"/>
      <c r="V6355" s="1"/>
      <c r="W6355" s="1"/>
      <c r="X6355" s="1"/>
      <c r="Y6355" s="1"/>
      <c r="AA6355" s="102"/>
      <c r="AB6355" s="1"/>
      <c r="AC6355" s="1"/>
      <c r="AD6355" s="1"/>
      <c r="AE6355" s="1"/>
      <c r="AF6355" s="1"/>
      <c r="AG6355" s="1"/>
    </row>
    <row r="6356" ht="15.75" customHeight="1">
      <c r="A6356" s="1"/>
      <c r="B6356" s="1"/>
      <c r="C6356" s="1"/>
      <c r="D6356" s="1"/>
      <c r="E6356" s="1"/>
      <c r="F6356" s="1"/>
      <c r="G6356" s="1"/>
      <c r="H6356" s="1"/>
      <c r="I6356" s="1"/>
      <c r="J6356" s="1"/>
      <c r="K6356" s="102" t="s">
        <v>1873</v>
      </c>
      <c r="L6356" s="102" t="str">
        <f t="shared" si="170"/>
        <v>J2a1a1a2b2a3b1b3b2b3b2b2b~</v>
      </c>
      <c r="M6356" s="102"/>
      <c r="N6356" s="1"/>
      <c r="O6356" s="114">
        <v>1.4334633E7</v>
      </c>
      <c r="P6356" s="105">
        <v>1.2213928E7</v>
      </c>
      <c r="Q6356" s="102" t="s">
        <v>2501</v>
      </c>
      <c r="S6356" s="1"/>
      <c r="T6356" s="1"/>
      <c r="U6356" s="1"/>
      <c r="V6356" s="1"/>
      <c r="W6356" s="1"/>
      <c r="X6356" s="1"/>
      <c r="Y6356" s="1"/>
      <c r="AA6356" s="102"/>
      <c r="AB6356" s="1"/>
      <c r="AC6356" s="1"/>
      <c r="AD6356" s="1"/>
      <c r="AE6356" s="1"/>
      <c r="AF6356" s="1"/>
      <c r="AG6356" s="1"/>
    </row>
    <row r="6357" ht="15.75" customHeight="1">
      <c r="A6357" s="1"/>
      <c r="B6357" s="1"/>
      <c r="C6357" s="1"/>
      <c r="D6357" s="1"/>
      <c r="E6357" s="1"/>
      <c r="F6357" s="1"/>
      <c r="G6357" s="1"/>
      <c r="H6357" s="1"/>
      <c r="I6357" s="1"/>
      <c r="J6357" s="1"/>
      <c r="K6357" s="120" t="s">
        <v>9794</v>
      </c>
      <c r="L6357" t="str">
        <f>G954</f>
        <v>J2a1a1b</v>
      </c>
      <c r="M6357" s="42" t="s">
        <v>9795</v>
      </c>
      <c r="N6357" s="108" t="s">
        <v>9796</v>
      </c>
      <c r="O6357" s="108">
        <v>2687198.0</v>
      </c>
      <c r="P6357" s="42">
        <v>2819157.0</v>
      </c>
      <c r="Q6357" s="42" t="s">
        <v>2576</v>
      </c>
      <c r="S6357" s="1"/>
      <c r="T6357" s="1"/>
      <c r="U6357" s="1"/>
      <c r="V6357" s="1"/>
      <c r="W6357" s="1"/>
      <c r="X6357" s="1"/>
      <c r="Y6357" s="1"/>
      <c r="AA6357" s="102"/>
      <c r="AB6357" s="1"/>
      <c r="AC6357" s="1"/>
      <c r="AD6357" s="1"/>
      <c r="AE6357" s="1"/>
      <c r="AF6357" s="1"/>
      <c r="AG6357" s="1"/>
    </row>
    <row r="6358" ht="15.75" customHeight="1">
      <c r="A6358" s="1"/>
      <c r="B6358" s="1"/>
      <c r="C6358" s="1"/>
      <c r="D6358" s="1"/>
      <c r="E6358" s="1"/>
      <c r="F6358" s="1"/>
      <c r="G6358" s="1"/>
      <c r="H6358" s="1"/>
      <c r="I6358" s="1"/>
      <c r="J6358" s="1"/>
      <c r="K6358" s="19" t="s">
        <v>9797</v>
      </c>
      <c r="L6358" s="1" t="str">
        <f>G954</f>
        <v>J2a1a1b</v>
      </c>
      <c r="M6358" s="19" t="s">
        <v>9798</v>
      </c>
      <c r="N6358" s="108" t="s">
        <v>9796</v>
      </c>
      <c r="O6358" s="108">
        <v>2687198.0</v>
      </c>
      <c r="P6358" s="42">
        <v>2819157.0</v>
      </c>
      <c r="Q6358" s="42" t="s">
        <v>2576</v>
      </c>
      <c r="S6358" s="1"/>
      <c r="T6358" s="1"/>
      <c r="U6358" s="1"/>
      <c r="V6358" s="1"/>
      <c r="W6358" s="1"/>
      <c r="X6358" s="1"/>
      <c r="Y6358" s="1"/>
      <c r="AA6358" s="102"/>
      <c r="AB6358" s="1"/>
      <c r="AC6358" s="1"/>
      <c r="AD6358" s="1"/>
      <c r="AE6358" s="1"/>
      <c r="AF6358" s="1"/>
      <c r="AG6358" s="1"/>
    </row>
    <row r="6359" ht="15.75" customHeight="1">
      <c r="A6359" s="1"/>
      <c r="B6359" s="1"/>
      <c r="C6359" s="1"/>
      <c r="D6359" s="1"/>
      <c r="E6359" s="1"/>
      <c r="F6359" s="1"/>
      <c r="G6359" s="1"/>
      <c r="H6359" s="1"/>
      <c r="I6359" s="1"/>
      <c r="J6359" s="1"/>
      <c r="K6359" s="19" t="s">
        <v>9799</v>
      </c>
      <c r="L6359" s="1" t="str">
        <f>G954</f>
        <v>J2a1a1b</v>
      </c>
      <c r="M6359" s="19" t="s">
        <v>9800</v>
      </c>
      <c r="N6359" s="108" t="s">
        <v>9796</v>
      </c>
      <c r="O6359" s="108">
        <v>2687198.0</v>
      </c>
      <c r="P6359" s="42">
        <v>2819157.0</v>
      </c>
      <c r="Q6359" s="42" t="s">
        <v>2576</v>
      </c>
      <c r="S6359" s="1"/>
      <c r="T6359" s="1"/>
      <c r="U6359" s="1"/>
      <c r="V6359" s="1"/>
      <c r="W6359" s="1"/>
      <c r="X6359" s="1"/>
      <c r="Y6359" s="1"/>
      <c r="AA6359" s="102"/>
      <c r="AB6359" s="1"/>
      <c r="AC6359" s="1"/>
      <c r="AD6359" s="1"/>
      <c r="AE6359" s="1"/>
      <c r="AF6359" s="1"/>
      <c r="AG6359" s="1"/>
    </row>
    <row r="6360" ht="15.75" customHeight="1">
      <c r="A6360" s="1"/>
      <c r="B6360" s="1"/>
      <c r="C6360" s="1"/>
      <c r="D6360" s="1"/>
      <c r="E6360" s="1"/>
      <c r="F6360" s="1"/>
      <c r="G6360" s="1"/>
      <c r="H6360" s="1"/>
      <c r="I6360" s="1"/>
      <c r="J6360" s="1"/>
      <c r="K6360" s="19" t="s">
        <v>9801</v>
      </c>
      <c r="L6360" s="1" t="str">
        <f>G954</f>
        <v>J2a1a1b</v>
      </c>
      <c r="M6360" s="19" t="s">
        <v>9802</v>
      </c>
      <c r="N6360" s="108" t="s">
        <v>9796</v>
      </c>
      <c r="O6360" s="108">
        <v>2687198.0</v>
      </c>
      <c r="P6360" s="42">
        <v>2819157.0</v>
      </c>
      <c r="Q6360" s="42" t="s">
        <v>2576</v>
      </c>
      <c r="S6360" s="1"/>
      <c r="T6360" s="1"/>
      <c r="U6360" s="1"/>
      <c r="V6360" s="1"/>
      <c r="W6360" s="1"/>
      <c r="X6360" s="1"/>
      <c r="Y6360" s="1"/>
      <c r="AA6360" s="102"/>
      <c r="AB6360" s="1"/>
      <c r="AC6360" s="1"/>
      <c r="AD6360" s="1"/>
      <c r="AE6360" s="1"/>
      <c r="AF6360" s="1"/>
      <c r="AG6360" s="1"/>
    </row>
    <row r="6361" ht="15.75" customHeight="1">
      <c r="A6361" s="1"/>
      <c r="B6361" s="1"/>
      <c r="C6361" s="1"/>
      <c r="D6361" s="1"/>
      <c r="E6361" s="1"/>
      <c r="F6361" s="1"/>
      <c r="G6361" s="1"/>
      <c r="H6361" s="1"/>
      <c r="I6361" s="1"/>
      <c r="J6361" s="1"/>
      <c r="K6361" s="1" t="s">
        <v>9803</v>
      </c>
      <c r="L6361" s="1" t="str">
        <f>G954</f>
        <v>J2a1a1b</v>
      </c>
      <c r="M6361" s="1" t="s">
        <v>9804</v>
      </c>
      <c r="N6361" s="1" t="s">
        <v>9805</v>
      </c>
      <c r="O6361" s="114">
        <v>8265737.0</v>
      </c>
      <c r="P6361" s="114">
        <v>8397696.0</v>
      </c>
      <c r="Q6361" s="1" t="s">
        <v>2439</v>
      </c>
      <c r="S6361" s="1"/>
      <c r="T6361" s="1"/>
      <c r="U6361" s="1"/>
      <c r="V6361" s="1"/>
      <c r="W6361" s="1"/>
      <c r="X6361" s="1"/>
      <c r="Y6361" s="1"/>
      <c r="AA6361" s="102"/>
      <c r="AB6361" s="1"/>
      <c r="AC6361" s="1"/>
      <c r="AD6361" s="1"/>
      <c r="AE6361" s="1"/>
      <c r="AF6361" s="1"/>
      <c r="AG6361" s="1"/>
    </row>
    <row r="6362" ht="15.75" customHeight="1">
      <c r="A6362" s="1"/>
      <c r="B6362" s="1"/>
      <c r="C6362" s="1"/>
      <c r="D6362" s="1"/>
      <c r="E6362" s="1"/>
      <c r="F6362" s="1"/>
      <c r="G6362" s="1"/>
      <c r="H6362" s="1"/>
      <c r="I6362" s="1"/>
      <c r="J6362" s="1"/>
      <c r="K6362" s="19" t="s">
        <v>9804</v>
      </c>
      <c r="L6362" s="1" t="str">
        <f>G954</f>
        <v>J2a1a1b</v>
      </c>
      <c r="M6362" s="19" t="s">
        <v>9803</v>
      </c>
      <c r="N6362" s="1" t="s">
        <v>9805</v>
      </c>
      <c r="O6362" s="114">
        <v>8265737.0</v>
      </c>
      <c r="P6362" s="114">
        <v>8397696.0</v>
      </c>
      <c r="Q6362" s="1" t="s">
        <v>2439</v>
      </c>
      <c r="S6362" s="1"/>
      <c r="T6362" s="1"/>
      <c r="U6362" s="1"/>
      <c r="V6362" s="1"/>
      <c r="W6362" s="1"/>
      <c r="X6362" s="1"/>
      <c r="Y6362" s="1"/>
      <c r="AA6362" s="102"/>
      <c r="AB6362" s="1"/>
      <c r="AC6362" s="1"/>
      <c r="AD6362" s="1"/>
      <c r="AE6362" s="1"/>
      <c r="AF6362" s="1"/>
      <c r="AG6362" s="1"/>
    </row>
    <row r="6363" ht="15.75" customHeight="1">
      <c r="A6363" s="1"/>
      <c r="B6363" s="1"/>
      <c r="C6363" s="1"/>
      <c r="D6363" s="1"/>
      <c r="E6363" s="1"/>
      <c r="F6363" s="1"/>
      <c r="G6363" s="1"/>
      <c r="H6363" s="1"/>
      <c r="I6363" s="1"/>
      <c r="J6363" s="1"/>
      <c r="K6363" s="42" t="s">
        <v>9806</v>
      </c>
      <c r="L6363" t="str">
        <f>G954</f>
        <v>J2a1a1b</v>
      </c>
      <c r="M6363" s="42" t="s">
        <v>9807</v>
      </c>
      <c r="N6363" s="108" t="s">
        <v>9808</v>
      </c>
      <c r="O6363" s="108">
        <v>2.3141753E7</v>
      </c>
      <c r="P6363" s="42">
        <v>2.0979867E7</v>
      </c>
      <c r="Q6363" s="42" t="s">
        <v>2432</v>
      </c>
      <c r="S6363" s="1"/>
      <c r="T6363" s="1"/>
      <c r="U6363" s="1"/>
      <c r="V6363" s="1"/>
      <c r="W6363" s="1"/>
      <c r="X6363" s="1"/>
      <c r="Y6363" s="1"/>
      <c r="AA6363" s="102"/>
      <c r="AB6363" s="1"/>
      <c r="AC6363" s="1"/>
      <c r="AD6363" s="1"/>
      <c r="AE6363" s="1"/>
      <c r="AF6363" s="1"/>
      <c r="AG6363" s="1"/>
    </row>
    <row r="6364" ht="15.75" customHeight="1">
      <c r="A6364" s="1"/>
      <c r="B6364" s="1"/>
      <c r="C6364" s="1"/>
      <c r="D6364" s="1"/>
      <c r="E6364" s="1"/>
      <c r="F6364" s="1"/>
      <c r="G6364" s="1"/>
      <c r="H6364" s="1"/>
      <c r="I6364" s="1"/>
      <c r="J6364" s="1"/>
      <c r="K6364" s="19" t="s">
        <v>9809</v>
      </c>
      <c r="L6364" s="1" t="str">
        <f>G954</f>
        <v>J2a1a1b</v>
      </c>
      <c r="M6364" s="19" t="s">
        <v>9810</v>
      </c>
      <c r="N6364" s="108" t="s">
        <v>9808</v>
      </c>
      <c r="O6364" s="108">
        <v>2.3141753E7</v>
      </c>
      <c r="P6364" s="42">
        <v>2.0979867E7</v>
      </c>
      <c r="Q6364" s="42" t="s">
        <v>2432</v>
      </c>
      <c r="S6364" s="1"/>
      <c r="T6364" s="1"/>
      <c r="U6364" s="1"/>
      <c r="V6364" s="1"/>
      <c r="W6364" s="1"/>
      <c r="X6364" s="1"/>
      <c r="Y6364" s="1"/>
      <c r="AA6364" s="102"/>
      <c r="AB6364" s="1"/>
      <c r="AC6364" s="1"/>
      <c r="AD6364" s="1"/>
      <c r="AE6364" s="1"/>
      <c r="AF6364" s="1"/>
      <c r="AG6364" s="1"/>
    </row>
    <row r="6365" ht="15.75" customHeight="1">
      <c r="A6365" s="1"/>
      <c r="B6365" s="1"/>
      <c r="C6365" s="1"/>
      <c r="D6365" s="1"/>
      <c r="E6365" s="1"/>
      <c r="F6365" s="1"/>
      <c r="G6365" s="1"/>
      <c r="H6365" s="1"/>
      <c r="I6365" s="1"/>
      <c r="J6365" s="1"/>
      <c r="K6365" s="19" t="s">
        <v>9811</v>
      </c>
      <c r="L6365" s="1" t="str">
        <f>G954</f>
        <v>J2a1a1b</v>
      </c>
      <c r="M6365" s="19" t="s">
        <v>9812</v>
      </c>
      <c r="N6365" s="108" t="s">
        <v>9808</v>
      </c>
      <c r="O6365" s="108">
        <v>2.3141753E7</v>
      </c>
      <c r="P6365" s="42">
        <v>2.0979867E7</v>
      </c>
      <c r="Q6365" s="42" t="s">
        <v>2432</v>
      </c>
      <c r="S6365" s="1"/>
      <c r="T6365" s="1"/>
      <c r="U6365" s="1"/>
      <c r="V6365" s="1"/>
      <c r="W6365" s="1"/>
      <c r="X6365" s="1"/>
      <c r="Y6365" s="1"/>
      <c r="AA6365" s="102"/>
      <c r="AB6365" s="1"/>
      <c r="AC6365" s="1"/>
      <c r="AD6365" s="1"/>
      <c r="AE6365" s="1"/>
      <c r="AF6365" s="1"/>
      <c r="AG6365" s="1"/>
    </row>
    <row r="6366" ht="15.75" customHeight="1">
      <c r="A6366" s="1"/>
      <c r="B6366" s="1"/>
      <c r="C6366" s="1"/>
      <c r="D6366" s="1"/>
      <c r="E6366" s="1"/>
      <c r="F6366" s="1"/>
      <c r="G6366" s="1"/>
      <c r="H6366" s="1"/>
      <c r="I6366" s="1"/>
      <c r="J6366" s="1"/>
      <c r="K6366" s="19" t="s">
        <v>9813</v>
      </c>
      <c r="L6366" s="1" t="str">
        <f>G954</f>
        <v>J2a1a1b</v>
      </c>
      <c r="M6366" s="19" t="s">
        <v>9814</v>
      </c>
      <c r="N6366" s="108" t="s">
        <v>9808</v>
      </c>
      <c r="O6366" s="108">
        <v>2.3141753E7</v>
      </c>
      <c r="P6366" s="42">
        <v>2.0979867E7</v>
      </c>
      <c r="Q6366" s="42" t="s">
        <v>2432</v>
      </c>
      <c r="S6366" s="1"/>
      <c r="T6366" s="1"/>
      <c r="U6366" s="1"/>
      <c r="V6366" s="1"/>
      <c r="W6366" s="1"/>
      <c r="X6366" s="1"/>
      <c r="Y6366" s="1"/>
      <c r="AA6366" s="102"/>
      <c r="AB6366" s="1"/>
      <c r="AC6366" s="1"/>
      <c r="AD6366" s="1"/>
      <c r="AE6366" s="1"/>
      <c r="AF6366" s="1"/>
      <c r="AG6366" s="1"/>
    </row>
    <row r="6367" ht="15.75" customHeight="1">
      <c r="A6367" s="1"/>
      <c r="B6367" s="1"/>
      <c r="C6367" s="1"/>
      <c r="D6367" s="1"/>
      <c r="E6367" s="1"/>
      <c r="F6367" s="1"/>
      <c r="G6367" s="1"/>
      <c r="H6367" s="1"/>
      <c r="I6367" s="1"/>
      <c r="J6367" s="1"/>
      <c r="K6367" s="1" t="s">
        <v>9815</v>
      </c>
      <c r="L6367" s="1" t="str">
        <f>H955</f>
        <v>J2a1a1b1</v>
      </c>
      <c r="M6367" s="1" t="s">
        <v>9816</v>
      </c>
      <c r="N6367" s="1" t="s">
        <v>9817</v>
      </c>
      <c r="O6367" s="114">
        <v>1.9068737E7</v>
      </c>
      <c r="P6367" s="114">
        <v>1.6956857E7</v>
      </c>
      <c r="Q6367" s="1" t="s">
        <v>2439</v>
      </c>
      <c r="S6367" s="1"/>
      <c r="T6367" s="1"/>
      <c r="U6367" s="1"/>
      <c r="V6367" s="1"/>
      <c r="W6367" s="1"/>
      <c r="X6367" s="1"/>
      <c r="Y6367" s="1"/>
      <c r="AA6367" s="102"/>
      <c r="AB6367" s="1"/>
      <c r="AC6367" s="1"/>
      <c r="AD6367" s="1"/>
      <c r="AE6367" s="1"/>
      <c r="AF6367" s="1"/>
      <c r="AG6367" s="1"/>
    </row>
    <row r="6368" ht="15.75" customHeight="1">
      <c r="A6368" s="1"/>
      <c r="B6368" s="1"/>
      <c r="C6368" s="1"/>
      <c r="D6368" s="1"/>
      <c r="E6368" s="1"/>
      <c r="F6368" s="1"/>
      <c r="G6368" s="1"/>
      <c r="H6368" s="1"/>
      <c r="I6368" s="1"/>
      <c r="J6368" s="1"/>
      <c r="K6368" s="19" t="s">
        <v>9816</v>
      </c>
      <c r="L6368" s="1" t="str">
        <f t="shared" ref="L6368:L6369" si="171">H955</f>
        <v>J2a1a1b1</v>
      </c>
      <c r="M6368" s="19" t="s">
        <v>9815</v>
      </c>
      <c r="N6368" s="1" t="s">
        <v>9817</v>
      </c>
      <c r="O6368" s="114">
        <v>1.9068737E7</v>
      </c>
      <c r="P6368" s="114">
        <v>1.6956857E7</v>
      </c>
      <c r="Q6368" s="1" t="s">
        <v>2439</v>
      </c>
      <c r="S6368" s="1"/>
      <c r="T6368" s="1"/>
      <c r="U6368" s="1"/>
      <c r="V6368" s="1"/>
      <c r="W6368" s="1"/>
      <c r="X6368" s="1"/>
      <c r="Y6368" s="1"/>
      <c r="AA6368" s="102"/>
      <c r="AB6368" s="1"/>
      <c r="AC6368" s="1"/>
      <c r="AD6368" s="1"/>
      <c r="AE6368" s="1"/>
      <c r="AF6368" s="1"/>
      <c r="AG6368" s="1"/>
    </row>
    <row r="6369" ht="15.75" customHeight="1">
      <c r="A6369" s="1"/>
      <c r="B6369" s="1"/>
      <c r="C6369" s="1"/>
      <c r="D6369" s="1"/>
      <c r="E6369" s="1"/>
      <c r="F6369" s="1"/>
      <c r="G6369" s="1"/>
      <c r="H6369" s="1"/>
      <c r="I6369" s="1"/>
      <c r="J6369" s="1"/>
      <c r="K6369" s="42" t="s">
        <v>1879</v>
      </c>
      <c r="L6369" t="str">
        <f t="shared" si="171"/>
        <v>J2a1a1b1~</v>
      </c>
      <c r="N6369" s="108" t="s">
        <v>9818</v>
      </c>
      <c r="O6369" s="108">
        <v>7247694.0</v>
      </c>
      <c r="P6369" s="42">
        <v>7379653.0</v>
      </c>
      <c r="Q6369" s="42" t="s">
        <v>2432</v>
      </c>
      <c r="S6369" s="1"/>
      <c r="T6369" s="1"/>
      <c r="U6369" s="1"/>
      <c r="V6369" s="1"/>
      <c r="W6369" s="1"/>
      <c r="X6369" s="1"/>
      <c r="Y6369" s="1"/>
      <c r="AA6369" s="102"/>
      <c r="AB6369" s="1"/>
      <c r="AC6369" s="1"/>
      <c r="AD6369" s="1"/>
      <c r="AE6369" s="1"/>
      <c r="AF6369" s="1"/>
      <c r="AG6369" s="1"/>
    </row>
    <row r="6370" ht="15.75" customHeight="1">
      <c r="A6370" s="1"/>
      <c r="B6370" s="1"/>
      <c r="C6370" s="1"/>
      <c r="D6370" s="1"/>
      <c r="E6370" s="1"/>
      <c r="F6370" s="1"/>
      <c r="G6370" s="1"/>
      <c r="H6370" s="1"/>
      <c r="I6370" s="1"/>
      <c r="J6370" s="1"/>
      <c r="K6370" s="42" t="s">
        <v>9819</v>
      </c>
      <c r="L6370" t="str">
        <f>I957</f>
        <v>J2a1a1b1a</v>
      </c>
      <c r="N6370" s="108" t="s">
        <v>9820</v>
      </c>
      <c r="O6370" s="108">
        <v>7882829.0</v>
      </c>
      <c r="P6370" s="42">
        <v>8014788.0</v>
      </c>
      <c r="Q6370" s="42" t="s">
        <v>2439</v>
      </c>
      <c r="S6370" s="1"/>
      <c r="T6370" s="1"/>
      <c r="U6370" s="1"/>
      <c r="V6370" s="1"/>
      <c r="W6370" s="1"/>
      <c r="X6370" s="1"/>
      <c r="Y6370" s="1"/>
      <c r="AA6370" s="102"/>
      <c r="AB6370" s="1"/>
      <c r="AC6370" s="1"/>
      <c r="AD6370" s="1"/>
      <c r="AE6370" s="1"/>
      <c r="AF6370" s="1"/>
      <c r="AG6370" s="1"/>
    </row>
    <row r="6371" ht="15.75" customHeight="1">
      <c r="A6371" s="1"/>
      <c r="B6371" s="1"/>
      <c r="C6371" s="1"/>
      <c r="D6371" s="1"/>
      <c r="E6371" s="1"/>
      <c r="F6371" s="1"/>
      <c r="G6371" s="1"/>
      <c r="H6371" s="1"/>
      <c r="I6371" s="1"/>
      <c r="J6371" s="1"/>
      <c r="K6371" s="1" t="s">
        <v>9821</v>
      </c>
      <c r="L6371" s="1" t="str">
        <f>I957</f>
        <v>J2a1a1b1a</v>
      </c>
      <c r="M6371" s="1"/>
      <c r="N6371" s="1" t="s">
        <v>9822</v>
      </c>
      <c r="O6371" s="114">
        <v>1.7873156E7</v>
      </c>
      <c r="P6371" s="114">
        <v>1.6956857E7</v>
      </c>
      <c r="Q6371" s="1" t="s">
        <v>2439</v>
      </c>
      <c r="S6371" s="1"/>
      <c r="T6371" s="1"/>
      <c r="U6371" s="1"/>
      <c r="V6371" s="1"/>
      <c r="W6371" s="1"/>
      <c r="X6371" s="1"/>
      <c r="Y6371" s="1"/>
      <c r="AA6371" s="102"/>
      <c r="AB6371" s="1"/>
      <c r="AC6371" s="1"/>
      <c r="AD6371" s="1"/>
      <c r="AE6371" s="1"/>
      <c r="AF6371" s="1"/>
      <c r="AG6371" s="1"/>
    </row>
    <row r="6372" ht="15.75" customHeight="1">
      <c r="A6372" s="1"/>
      <c r="B6372" s="1"/>
      <c r="C6372" s="1"/>
      <c r="D6372" s="1"/>
      <c r="E6372" s="1"/>
      <c r="F6372" s="1"/>
      <c r="G6372" s="1"/>
      <c r="H6372" s="1"/>
      <c r="I6372" s="1"/>
      <c r="J6372" s="1"/>
      <c r="K6372" s="1" t="s">
        <v>1883</v>
      </c>
      <c r="L6372" s="1" t="str">
        <f>J958</f>
        <v>J2a1a1b1a1 </v>
      </c>
      <c r="M6372" s="1"/>
      <c r="N6372" s="1"/>
      <c r="O6372" s="114">
        <v>1.3305822E7</v>
      </c>
      <c r="P6372" s="114">
        <v>1.1150146E7</v>
      </c>
      <c r="Q6372" s="1" t="s">
        <v>2439</v>
      </c>
      <c r="S6372" s="1"/>
      <c r="T6372" s="1"/>
      <c r="U6372" s="1"/>
      <c r="V6372" s="1"/>
      <c r="W6372" s="1"/>
      <c r="X6372" s="1"/>
      <c r="Y6372" s="1"/>
      <c r="AA6372" s="102"/>
      <c r="AB6372" s="1"/>
      <c r="AC6372" s="1"/>
      <c r="AD6372" s="1"/>
      <c r="AE6372" s="1"/>
      <c r="AF6372" s="1"/>
      <c r="AG6372" s="1"/>
    </row>
    <row r="6373" ht="15.75" customHeight="1">
      <c r="A6373" s="1"/>
      <c r="B6373" s="1"/>
      <c r="C6373" s="1"/>
      <c r="D6373" s="1"/>
      <c r="E6373" s="1"/>
      <c r="F6373" s="1"/>
      <c r="G6373" s="1"/>
      <c r="H6373" s="1"/>
      <c r="I6373" s="1"/>
      <c r="J6373" s="1"/>
      <c r="K6373" s="1" t="s">
        <v>9823</v>
      </c>
      <c r="L6373" s="1" t="str">
        <f>K959</f>
        <v>J2a1a1b1a1a</v>
      </c>
      <c r="M6373" s="1"/>
      <c r="N6373" s="1" t="s">
        <v>9824</v>
      </c>
      <c r="O6373" s="114">
        <v>2.2091087E7</v>
      </c>
      <c r="P6373" s="114">
        <v>1.9929201E7</v>
      </c>
      <c r="Q6373" s="1" t="s">
        <v>2576</v>
      </c>
      <c r="S6373" s="1"/>
      <c r="T6373" s="1"/>
      <c r="U6373" s="1"/>
      <c r="V6373" s="1"/>
      <c r="W6373" s="1"/>
      <c r="X6373" s="1"/>
      <c r="Y6373" s="1"/>
      <c r="AA6373" s="102"/>
      <c r="AB6373" s="1"/>
      <c r="AC6373" s="1"/>
      <c r="AD6373" s="1"/>
      <c r="AE6373" s="1"/>
      <c r="AF6373" s="1"/>
      <c r="AG6373" s="1"/>
    </row>
    <row r="6374" ht="15.75" customHeight="1">
      <c r="A6374" s="1"/>
      <c r="B6374" s="1"/>
      <c r="C6374" s="1"/>
      <c r="D6374" s="1"/>
      <c r="E6374" s="1"/>
      <c r="F6374" s="1"/>
      <c r="G6374" s="1"/>
      <c r="H6374" s="1"/>
      <c r="I6374" s="1"/>
      <c r="J6374" s="1"/>
      <c r="K6374" s="1" t="s">
        <v>9825</v>
      </c>
      <c r="L6374" s="1" t="str">
        <f>K959</f>
        <v>J2a1a1b1a1a</v>
      </c>
      <c r="M6374" s="1" t="s">
        <v>9826</v>
      </c>
      <c r="N6374" s="1" t="s">
        <v>9827</v>
      </c>
      <c r="O6374" s="114">
        <v>1.8965923E7</v>
      </c>
      <c r="P6374" s="114">
        <v>1.6854043E7</v>
      </c>
      <c r="Q6374" s="1" t="s">
        <v>2576</v>
      </c>
      <c r="S6374" s="1"/>
      <c r="T6374" s="1"/>
      <c r="U6374" s="1"/>
      <c r="V6374" s="1"/>
      <c r="W6374" s="1"/>
      <c r="X6374" s="1"/>
      <c r="Y6374" s="1"/>
      <c r="AA6374" s="102"/>
      <c r="AB6374" s="1"/>
      <c r="AC6374" s="1"/>
      <c r="AD6374" s="1"/>
      <c r="AE6374" s="1"/>
      <c r="AF6374" s="1"/>
      <c r="AG6374" s="1"/>
    </row>
    <row r="6375" ht="15.75" customHeight="1">
      <c r="A6375" s="1"/>
      <c r="B6375" s="1"/>
      <c r="C6375" s="1"/>
      <c r="D6375" s="1"/>
      <c r="E6375" s="1"/>
      <c r="F6375" s="1"/>
      <c r="G6375" s="1"/>
      <c r="H6375" s="1"/>
      <c r="I6375" s="1"/>
      <c r="J6375" s="1"/>
      <c r="K6375" s="19" t="s">
        <v>9826</v>
      </c>
      <c r="L6375" s="1" t="str">
        <f>K959</f>
        <v>J2a1a1b1a1a</v>
      </c>
      <c r="M6375" s="19" t="s">
        <v>9828</v>
      </c>
      <c r="N6375" s="1" t="s">
        <v>9827</v>
      </c>
      <c r="O6375" s="114">
        <v>1.8965923E7</v>
      </c>
      <c r="P6375" s="114">
        <v>1.6854043E7</v>
      </c>
      <c r="Q6375" s="1" t="s">
        <v>2576</v>
      </c>
      <c r="S6375" s="1"/>
      <c r="T6375" s="1"/>
      <c r="U6375" s="1"/>
      <c r="V6375" s="1"/>
      <c r="W6375" s="1"/>
      <c r="X6375" s="1"/>
      <c r="Y6375" s="1"/>
      <c r="AA6375" s="102"/>
      <c r="AB6375" s="1"/>
      <c r="AC6375" s="1"/>
      <c r="AD6375" s="1"/>
      <c r="AE6375" s="1"/>
      <c r="AF6375" s="1"/>
      <c r="AG6375" s="1"/>
    </row>
    <row r="6376" ht="15.75" customHeight="1">
      <c r="A6376" s="1"/>
      <c r="B6376" s="1"/>
      <c r="C6376" s="1"/>
      <c r="D6376" s="1"/>
      <c r="E6376" s="1"/>
      <c r="F6376" s="1"/>
      <c r="G6376" s="1"/>
      <c r="H6376" s="1"/>
      <c r="I6376" s="1"/>
      <c r="J6376" s="1"/>
      <c r="K6376" s="1" t="s">
        <v>9829</v>
      </c>
      <c r="L6376" s="1" t="str">
        <f>K959</f>
        <v>J2a1a1b1a1a</v>
      </c>
      <c r="M6376" s="1"/>
      <c r="N6376" s="1" t="s">
        <v>9830</v>
      </c>
      <c r="O6376" s="114">
        <v>7228093.0</v>
      </c>
      <c r="P6376" s="114">
        <v>7360052.0</v>
      </c>
      <c r="Q6376" s="1" t="s">
        <v>2576</v>
      </c>
      <c r="S6376" s="1"/>
      <c r="T6376" s="1"/>
      <c r="U6376" s="1"/>
      <c r="V6376" s="1"/>
      <c r="W6376" s="1"/>
      <c r="X6376" s="1"/>
      <c r="Y6376" s="1"/>
      <c r="AA6376" s="102"/>
      <c r="AB6376" s="1"/>
      <c r="AC6376" s="1"/>
      <c r="AD6376" s="1"/>
      <c r="AE6376" s="1"/>
      <c r="AF6376" s="1"/>
      <c r="AG6376" s="1"/>
    </row>
    <row r="6377" ht="15.75" customHeight="1">
      <c r="A6377" s="1"/>
      <c r="B6377" s="1"/>
      <c r="C6377" s="1"/>
      <c r="D6377" s="1"/>
      <c r="E6377" s="1"/>
      <c r="F6377" s="1"/>
      <c r="G6377" s="1"/>
      <c r="H6377" s="1"/>
      <c r="I6377" s="1"/>
      <c r="J6377" s="1"/>
      <c r="K6377" s="1" t="s">
        <v>9831</v>
      </c>
      <c r="L6377" s="1" t="str">
        <f>K959</f>
        <v>J2a1a1b1a1a</v>
      </c>
      <c r="M6377" s="1"/>
      <c r="N6377" s="1" t="s">
        <v>9832</v>
      </c>
      <c r="O6377" s="114">
        <v>7767864.0</v>
      </c>
      <c r="P6377" s="114">
        <v>7899823.0</v>
      </c>
      <c r="Q6377" s="1" t="s">
        <v>2439</v>
      </c>
      <c r="S6377" s="1"/>
      <c r="T6377" s="1"/>
      <c r="U6377" s="1"/>
      <c r="V6377" s="1"/>
      <c r="W6377" s="1"/>
      <c r="X6377" s="1"/>
      <c r="Y6377" s="1"/>
      <c r="AA6377" s="102"/>
      <c r="AB6377" s="1"/>
      <c r="AC6377" s="1"/>
      <c r="AD6377" s="1"/>
      <c r="AE6377" s="1"/>
      <c r="AF6377" s="1"/>
      <c r="AG6377" s="1"/>
    </row>
    <row r="6378" ht="15.75" customHeight="1">
      <c r="A6378" s="1"/>
      <c r="B6378" s="1"/>
      <c r="C6378" s="1"/>
      <c r="D6378" s="1"/>
      <c r="E6378" s="1"/>
      <c r="F6378" s="1"/>
      <c r="G6378" s="1"/>
      <c r="H6378" s="1"/>
      <c r="I6378" s="1"/>
      <c r="J6378" s="1"/>
      <c r="K6378" s="1" t="s">
        <v>9833</v>
      </c>
      <c r="L6378" s="1" t="str">
        <f>K959</f>
        <v>J2a1a1b1a1a</v>
      </c>
      <c r="M6378" s="1"/>
      <c r="N6378" s="1" t="s">
        <v>9834</v>
      </c>
      <c r="O6378" s="114">
        <v>9812532.0</v>
      </c>
      <c r="P6378" s="114">
        <v>9974923.0</v>
      </c>
      <c r="Q6378" s="1" t="s">
        <v>2533</v>
      </c>
      <c r="S6378" s="1"/>
      <c r="T6378" s="1"/>
      <c r="U6378" s="1"/>
      <c r="V6378" s="1"/>
      <c r="W6378" s="1"/>
      <c r="X6378" s="1"/>
      <c r="Y6378" s="1"/>
      <c r="AA6378" s="102"/>
      <c r="AB6378" s="1"/>
      <c r="AC6378" s="1"/>
      <c r="AD6378" s="1"/>
      <c r="AE6378" s="1"/>
      <c r="AF6378" s="1"/>
      <c r="AG6378" s="1"/>
    </row>
    <row r="6379" ht="15.75" customHeight="1">
      <c r="A6379" s="1"/>
      <c r="B6379" s="1"/>
      <c r="C6379" s="1"/>
      <c r="D6379" s="1"/>
      <c r="E6379" s="1"/>
      <c r="F6379" s="1"/>
      <c r="G6379" s="1"/>
      <c r="H6379" s="1"/>
      <c r="I6379" s="1"/>
      <c r="J6379" s="1"/>
      <c r="K6379" s="1" t="s">
        <v>9835</v>
      </c>
      <c r="L6379" s="1" t="str">
        <f>K959</f>
        <v>J2a1a1b1a1a</v>
      </c>
      <c r="M6379" s="1"/>
      <c r="N6379" s="1" t="s">
        <v>9836</v>
      </c>
      <c r="O6379" s="114">
        <v>1.8060844E7</v>
      </c>
      <c r="P6379" s="114">
        <v>1.5948964E7</v>
      </c>
      <c r="Q6379" s="1" t="s">
        <v>2439</v>
      </c>
      <c r="S6379" s="1"/>
      <c r="T6379" s="1"/>
      <c r="U6379" s="1"/>
      <c r="V6379" s="1"/>
      <c r="W6379" s="1"/>
      <c r="X6379" s="1"/>
      <c r="Y6379" s="1"/>
      <c r="AA6379" s="102"/>
      <c r="AB6379" s="1"/>
      <c r="AC6379" s="1"/>
      <c r="AD6379" s="1"/>
      <c r="AE6379" s="1"/>
      <c r="AF6379" s="1"/>
      <c r="AG6379" s="1"/>
    </row>
    <row r="6380" ht="15.75" customHeight="1">
      <c r="A6380" s="1"/>
      <c r="B6380" s="1"/>
      <c r="C6380" s="1"/>
      <c r="D6380" s="1"/>
      <c r="E6380" s="1"/>
      <c r="F6380" s="1"/>
      <c r="G6380" s="1"/>
      <c r="H6380" s="1"/>
      <c r="I6380" s="1"/>
      <c r="J6380" s="1"/>
      <c r="K6380" s="102" t="s">
        <v>9837</v>
      </c>
      <c r="L6380" s="102" t="str">
        <f>K959</f>
        <v>J2a1a1b1a1a</v>
      </c>
      <c r="M6380" s="102" t="s">
        <v>9838</v>
      </c>
      <c r="N6380" s="1"/>
      <c r="O6380" s="114">
        <v>4889207.0</v>
      </c>
      <c r="P6380" s="105">
        <v>5021166.0</v>
      </c>
      <c r="Q6380" s="102" t="s">
        <v>2468</v>
      </c>
      <c r="S6380" s="1"/>
      <c r="T6380" s="1"/>
      <c r="U6380" s="1"/>
      <c r="V6380" s="1"/>
      <c r="W6380" s="1"/>
      <c r="X6380" s="1"/>
      <c r="Y6380" s="1"/>
      <c r="AA6380" s="102"/>
      <c r="AB6380" s="1"/>
      <c r="AC6380" s="1"/>
      <c r="AD6380" s="1"/>
      <c r="AE6380" s="1"/>
      <c r="AF6380" s="1"/>
      <c r="AG6380" s="1"/>
    </row>
    <row r="6381" ht="15.75" customHeight="1">
      <c r="A6381" s="1"/>
      <c r="B6381" s="1"/>
      <c r="C6381" s="1"/>
      <c r="D6381" s="1"/>
      <c r="E6381" s="1"/>
      <c r="F6381" s="1"/>
      <c r="G6381" s="1"/>
      <c r="H6381" s="1"/>
      <c r="I6381" s="1"/>
      <c r="J6381" s="1"/>
      <c r="K6381" s="106" t="s">
        <v>9838</v>
      </c>
      <c r="L6381" t="str">
        <f>K959</f>
        <v>J2a1a1b1a1a</v>
      </c>
      <c r="M6381" s="106" t="s">
        <v>9837</v>
      </c>
      <c r="N6381" s="1"/>
      <c r="O6381" s="114">
        <v>4889207.0</v>
      </c>
      <c r="P6381" s="105">
        <v>5021166.0</v>
      </c>
      <c r="Q6381" s="102" t="s">
        <v>2468</v>
      </c>
      <c r="S6381" s="1"/>
      <c r="T6381" s="1"/>
      <c r="U6381" s="1"/>
      <c r="V6381" s="1"/>
      <c r="W6381" s="1"/>
      <c r="X6381" s="1"/>
      <c r="Y6381" s="1"/>
      <c r="AA6381" s="102"/>
      <c r="AB6381" s="1"/>
      <c r="AC6381" s="1"/>
      <c r="AD6381" s="1"/>
      <c r="AE6381" s="1"/>
      <c r="AF6381" s="1"/>
      <c r="AG6381" s="1"/>
    </row>
    <row r="6382" ht="15.75" customHeight="1">
      <c r="A6382" s="1"/>
      <c r="B6382" s="1"/>
      <c r="C6382" s="1"/>
      <c r="D6382" s="1"/>
      <c r="E6382" s="1"/>
      <c r="F6382" s="1"/>
      <c r="G6382" s="1"/>
      <c r="H6382" s="1"/>
      <c r="I6382" s="1"/>
      <c r="J6382" s="1"/>
      <c r="K6382" s="102" t="s">
        <v>9839</v>
      </c>
      <c r="L6382" s="102" t="str">
        <f>K959</f>
        <v>J2a1a1b1a1a</v>
      </c>
      <c r="M6382" s="102" t="s">
        <v>9840</v>
      </c>
      <c r="N6382" s="1"/>
      <c r="O6382" s="114">
        <v>1.3225212E7</v>
      </c>
      <c r="P6382" s="105">
        <v>1.1069536E7</v>
      </c>
      <c r="Q6382" s="102" t="s">
        <v>2439</v>
      </c>
      <c r="S6382" s="1"/>
      <c r="T6382" s="1"/>
      <c r="U6382" s="1"/>
      <c r="V6382" s="1"/>
      <c r="W6382" s="1"/>
      <c r="X6382" s="1"/>
      <c r="Y6382" s="1"/>
      <c r="AA6382" s="102"/>
      <c r="AB6382" s="1"/>
      <c r="AC6382" s="1"/>
      <c r="AD6382" s="1"/>
      <c r="AE6382" s="1"/>
      <c r="AF6382" s="1"/>
      <c r="AG6382" s="1"/>
    </row>
    <row r="6383" ht="15.75" customHeight="1">
      <c r="A6383" s="1"/>
      <c r="B6383" s="1"/>
      <c r="C6383" s="1"/>
      <c r="D6383" s="1"/>
      <c r="E6383" s="1"/>
      <c r="F6383" s="1"/>
      <c r="G6383" s="1"/>
      <c r="H6383" s="1"/>
      <c r="I6383" s="1"/>
      <c r="J6383" s="1"/>
      <c r="K6383" s="19" t="s">
        <v>9840</v>
      </c>
      <c r="L6383" s="1" t="str">
        <f>K959</f>
        <v>J2a1a1b1a1a</v>
      </c>
      <c r="M6383" s="19" t="s">
        <v>9839</v>
      </c>
      <c r="N6383" s="1"/>
      <c r="O6383" s="114">
        <v>1.3225212E7</v>
      </c>
      <c r="P6383" s="105">
        <v>1.1069536E7</v>
      </c>
      <c r="Q6383" s="102" t="s">
        <v>2439</v>
      </c>
      <c r="S6383" s="1"/>
      <c r="T6383" s="1"/>
      <c r="U6383" s="1"/>
      <c r="V6383" s="1"/>
      <c r="W6383" s="1"/>
      <c r="X6383" s="1"/>
      <c r="Y6383" s="1"/>
      <c r="AA6383" s="102"/>
      <c r="AB6383" s="1"/>
      <c r="AC6383" s="1"/>
      <c r="AD6383" s="1"/>
      <c r="AE6383" s="1"/>
      <c r="AF6383" s="1"/>
      <c r="AG6383" s="1"/>
    </row>
    <row r="6384" ht="15.75" customHeight="1">
      <c r="A6384" s="1"/>
      <c r="B6384" s="1"/>
      <c r="C6384" s="1"/>
      <c r="D6384" s="1"/>
      <c r="E6384" s="1"/>
      <c r="F6384" s="1"/>
      <c r="G6384" s="1"/>
      <c r="H6384" s="1"/>
      <c r="I6384" s="1"/>
      <c r="J6384" s="1"/>
      <c r="K6384" s="106" t="s">
        <v>9841</v>
      </c>
      <c r="L6384" s="102" t="str">
        <f>L960</f>
        <v>J2a1a1b1a1a1</v>
      </c>
      <c r="M6384" s="102"/>
      <c r="N6384" s="108" t="s">
        <v>9842</v>
      </c>
      <c r="O6384" s="108">
        <v>2.1750382E7</v>
      </c>
      <c r="P6384" s="106">
        <v>1.9588496E7</v>
      </c>
      <c r="Q6384" s="106" t="s">
        <v>2501</v>
      </c>
      <c r="S6384" s="1"/>
      <c r="T6384" s="1"/>
      <c r="U6384" s="1"/>
      <c r="V6384" s="1"/>
      <c r="W6384" s="1"/>
      <c r="X6384" s="1"/>
      <c r="Y6384" s="1"/>
      <c r="AA6384" s="102"/>
      <c r="AB6384" s="1"/>
      <c r="AC6384" s="1"/>
      <c r="AD6384" s="1"/>
      <c r="AE6384" s="1"/>
      <c r="AF6384" s="1"/>
      <c r="AG6384" s="1"/>
    </row>
    <row r="6385" ht="15.75" customHeight="1">
      <c r="A6385" s="1"/>
      <c r="B6385" s="1"/>
      <c r="C6385" s="1"/>
      <c r="D6385" s="1"/>
      <c r="E6385" s="1"/>
      <c r="F6385" s="1"/>
      <c r="G6385" s="1"/>
      <c r="H6385" s="1"/>
      <c r="I6385" s="1"/>
      <c r="J6385" s="1"/>
      <c r="K6385" s="1" t="s">
        <v>9843</v>
      </c>
      <c r="L6385" s="1" t="str">
        <f>L960</f>
        <v>J2a1a1b1a1a1</v>
      </c>
      <c r="M6385" s="1"/>
      <c r="N6385" s="1" t="s">
        <v>9844</v>
      </c>
      <c r="O6385" s="114">
        <v>1.6764114E7</v>
      </c>
      <c r="P6385" s="114">
        <v>1.4652234E7</v>
      </c>
      <c r="Q6385" s="1" t="s">
        <v>2432</v>
      </c>
      <c r="S6385" s="1"/>
      <c r="T6385" s="1"/>
      <c r="U6385" s="1"/>
      <c r="V6385" s="1"/>
      <c r="W6385" s="1"/>
      <c r="X6385" s="1"/>
      <c r="Y6385" s="1"/>
      <c r="AA6385" s="102"/>
      <c r="AB6385" s="1"/>
      <c r="AC6385" s="1"/>
      <c r="AD6385" s="1"/>
      <c r="AE6385" s="1"/>
      <c r="AF6385" s="1"/>
      <c r="AG6385" s="1"/>
    </row>
    <row r="6386" ht="15.75" customHeight="1">
      <c r="A6386" s="1"/>
      <c r="B6386" s="1"/>
      <c r="C6386" s="1"/>
      <c r="D6386" s="1"/>
      <c r="E6386" s="1"/>
      <c r="F6386" s="1"/>
      <c r="G6386" s="1"/>
      <c r="H6386" s="1"/>
      <c r="I6386" s="1"/>
      <c r="J6386" s="1"/>
      <c r="K6386" s="106" t="s">
        <v>9845</v>
      </c>
      <c r="L6386" s="102" t="str">
        <f>L960</f>
        <v>J2a1a1b1a1a1</v>
      </c>
      <c r="M6386" s="102"/>
      <c r="O6386" s="108">
        <v>2.3570648E7</v>
      </c>
      <c r="P6386" s="106">
        <v>2.1408762E7</v>
      </c>
      <c r="Q6386" s="106" t="s">
        <v>2514</v>
      </c>
      <c r="S6386" s="1"/>
      <c r="T6386" s="1"/>
      <c r="U6386" s="1"/>
      <c r="V6386" s="1"/>
      <c r="W6386" s="1"/>
      <c r="X6386" s="1"/>
      <c r="Y6386" s="1"/>
      <c r="AA6386" s="102"/>
      <c r="AB6386" s="1"/>
      <c r="AC6386" s="1"/>
      <c r="AD6386" s="1"/>
      <c r="AE6386" s="1"/>
      <c r="AF6386" s="1"/>
      <c r="AG6386" s="1"/>
    </row>
    <row r="6387" ht="15.75" customHeight="1">
      <c r="A6387" s="1"/>
      <c r="B6387" s="1"/>
      <c r="C6387" s="1"/>
      <c r="D6387" s="1"/>
      <c r="E6387" s="1"/>
      <c r="F6387" s="1"/>
      <c r="G6387" s="1"/>
      <c r="H6387" s="1"/>
      <c r="I6387" s="1"/>
      <c r="J6387" s="1"/>
      <c r="K6387" s="42" t="s">
        <v>9846</v>
      </c>
      <c r="L6387" t="str">
        <f>M961</f>
        <v>J2a1a1b1a1a1a </v>
      </c>
      <c r="O6387" s="108">
        <v>1.4096273E7</v>
      </c>
      <c r="P6387" s="42">
        <v>1.1975567E7</v>
      </c>
      <c r="Q6387" s="42" t="s">
        <v>2439</v>
      </c>
      <c r="S6387" s="1"/>
      <c r="T6387" s="1"/>
      <c r="U6387" s="1"/>
      <c r="V6387" s="1"/>
      <c r="W6387" s="1"/>
      <c r="X6387" s="1"/>
      <c r="Y6387" s="1"/>
      <c r="AA6387" s="102"/>
      <c r="AB6387" s="1"/>
      <c r="AC6387" s="1"/>
      <c r="AD6387" s="1"/>
      <c r="AE6387" s="1"/>
      <c r="AF6387" s="1"/>
      <c r="AG6387" s="1"/>
    </row>
    <row r="6388" ht="15.75" customHeight="1">
      <c r="A6388" s="1"/>
      <c r="B6388" s="1"/>
      <c r="C6388" s="1"/>
      <c r="D6388" s="1"/>
      <c r="E6388" s="1"/>
      <c r="F6388" s="1"/>
      <c r="G6388" s="1"/>
      <c r="H6388" s="1"/>
      <c r="I6388" s="1"/>
      <c r="J6388" s="1"/>
      <c r="K6388" s="106" t="s">
        <v>9847</v>
      </c>
      <c r="L6388" s="102" t="str">
        <f>M961</f>
        <v>J2a1a1b1a1a1a </v>
      </c>
      <c r="M6388" s="102"/>
      <c r="N6388" s="108" t="s">
        <v>9848</v>
      </c>
      <c r="O6388" s="108">
        <v>1.5623927E7</v>
      </c>
      <c r="P6388" s="106">
        <v>1.3512047E7</v>
      </c>
      <c r="Q6388" s="106" t="s">
        <v>2529</v>
      </c>
      <c r="S6388" s="1"/>
      <c r="T6388" s="1"/>
      <c r="U6388" s="1"/>
      <c r="V6388" s="1"/>
      <c r="W6388" s="1"/>
      <c r="X6388" s="1"/>
      <c r="Y6388" s="1"/>
      <c r="AA6388" s="102"/>
      <c r="AB6388" s="1"/>
      <c r="AC6388" s="1"/>
      <c r="AD6388" s="1"/>
      <c r="AE6388" s="1"/>
      <c r="AF6388" s="1"/>
      <c r="AG6388" s="1"/>
    </row>
    <row r="6389" ht="15.75" customHeight="1">
      <c r="A6389" s="1"/>
      <c r="B6389" s="1"/>
      <c r="C6389" s="1"/>
      <c r="D6389" s="1"/>
      <c r="E6389" s="1"/>
      <c r="F6389" s="1"/>
      <c r="G6389" s="1"/>
      <c r="H6389" s="1"/>
      <c r="I6389" s="1"/>
      <c r="J6389" s="1"/>
      <c r="K6389" s="106" t="s">
        <v>9849</v>
      </c>
      <c r="L6389" s="102" t="str">
        <f>M961</f>
        <v>J2a1a1b1a1a1a </v>
      </c>
      <c r="M6389" s="102"/>
      <c r="N6389" s="108" t="s">
        <v>9850</v>
      </c>
      <c r="O6389" s="108">
        <v>1.4200857E7</v>
      </c>
      <c r="P6389" s="109">
        <v>1.2080151E7</v>
      </c>
      <c r="Q6389" s="106" t="s">
        <v>2423</v>
      </c>
      <c r="S6389" s="1"/>
      <c r="T6389" s="1"/>
      <c r="U6389" s="1"/>
      <c r="V6389" s="1"/>
      <c r="W6389" s="1"/>
      <c r="X6389" s="1"/>
      <c r="Y6389" s="1"/>
      <c r="AA6389" s="102"/>
      <c r="AB6389" s="1"/>
      <c r="AC6389" s="1"/>
      <c r="AD6389" s="1"/>
      <c r="AE6389" s="1"/>
      <c r="AF6389" s="1"/>
      <c r="AG6389" s="1"/>
    </row>
    <row r="6390" ht="15.75" customHeight="1">
      <c r="A6390" s="1"/>
      <c r="B6390" s="1"/>
      <c r="C6390" s="1"/>
      <c r="D6390" s="1"/>
      <c r="E6390" s="1"/>
      <c r="F6390" s="1"/>
      <c r="G6390" s="1"/>
      <c r="H6390" s="1"/>
      <c r="I6390" s="1"/>
      <c r="J6390" s="1"/>
      <c r="K6390" s="106" t="s">
        <v>9851</v>
      </c>
      <c r="L6390" s="102" t="str">
        <f t="shared" ref="L6390:L6391" si="172">M961</f>
        <v>J2a1a1b1a1a1a </v>
      </c>
      <c r="M6390" s="102"/>
      <c r="N6390" s="108" t="s">
        <v>9852</v>
      </c>
      <c r="O6390" s="108">
        <v>1.9307257E7</v>
      </c>
      <c r="P6390" s="109">
        <v>1.7195377E7</v>
      </c>
      <c r="Q6390" s="106" t="s">
        <v>2576</v>
      </c>
      <c r="S6390" s="1"/>
      <c r="T6390" s="1"/>
      <c r="U6390" s="1"/>
      <c r="V6390" s="1"/>
      <c r="W6390" s="1"/>
      <c r="X6390" s="1"/>
      <c r="Y6390" s="1"/>
      <c r="AA6390" s="102"/>
      <c r="AB6390" s="1"/>
      <c r="AC6390" s="1"/>
      <c r="AD6390" s="1"/>
      <c r="AE6390" s="1"/>
      <c r="AF6390" s="1"/>
      <c r="AG6390" s="1"/>
    </row>
    <row r="6391" ht="15.75" customHeight="1">
      <c r="A6391" s="1"/>
      <c r="B6391" s="1"/>
      <c r="C6391" s="1"/>
      <c r="D6391" s="1"/>
      <c r="E6391" s="1"/>
      <c r="F6391" s="1"/>
      <c r="G6391" s="1"/>
      <c r="H6391" s="1"/>
      <c r="I6391" s="1"/>
      <c r="J6391" s="1"/>
      <c r="K6391" t="s">
        <v>9853</v>
      </c>
      <c r="L6391" t="str">
        <f t="shared" si="172"/>
        <v>J2a1a1b1a1a1a~</v>
      </c>
      <c r="M6391" s="113"/>
      <c r="N6391" s="113" t="s">
        <v>9854</v>
      </c>
      <c r="O6391" s="111">
        <v>1.7595842E7</v>
      </c>
      <c r="P6391" s="111">
        <v>1.5483962E7</v>
      </c>
      <c r="Q6391" s="106" t="s">
        <v>2529</v>
      </c>
      <c r="S6391" s="1"/>
      <c r="T6391" s="1"/>
      <c r="U6391" s="1"/>
      <c r="V6391" s="1"/>
      <c r="W6391" s="1"/>
      <c r="X6391" s="1"/>
      <c r="Y6391" s="1"/>
      <c r="AA6391" s="102"/>
      <c r="AB6391" s="1"/>
      <c r="AC6391" s="1"/>
      <c r="AD6391" s="1"/>
      <c r="AE6391" s="1"/>
      <c r="AF6391" s="1"/>
      <c r="AG6391" s="1"/>
    </row>
    <row r="6392" ht="15.75" customHeight="1">
      <c r="A6392" s="1"/>
      <c r="B6392" s="1"/>
      <c r="C6392" s="1"/>
      <c r="D6392" s="1"/>
      <c r="E6392" s="1"/>
      <c r="F6392" s="1"/>
      <c r="G6392" s="1"/>
      <c r="H6392" s="1"/>
      <c r="I6392" s="1"/>
      <c r="J6392" s="1"/>
      <c r="K6392" t="s">
        <v>9855</v>
      </c>
      <c r="L6392" t="str">
        <f>M962</f>
        <v>J2a1a1b1a1a1a~</v>
      </c>
      <c r="M6392" s="113"/>
      <c r="N6392" s="113" t="s">
        <v>9856</v>
      </c>
      <c r="O6392" s="111">
        <v>1.7595861E7</v>
      </c>
      <c r="P6392" s="111">
        <v>1.5483981E7</v>
      </c>
      <c r="Q6392" s="106" t="s">
        <v>2423</v>
      </c>
      <c r="S6392" s="1"/>
      <c r="T6392" s="1"/>
      <c r="U6392" s="1"/>
      <c r="V6392" s="1"/>
      <c r="W6392" s="1"/>
      <c r="X6392" s="1"/>
      <c r="Y6392" s="1"/>
      <c r="AA6392" s="102"/>
      <c r="AB6392" s="1"/>
      <c r="AC6392" s="1"/>
      <c r="AD6392" s="1"/>
      <c r="AE6392" s="1"/>
      <c r="AF6392" s="1"/>
      <c r="AG6392" s="1"/>
    </row>
    <row r="6393" ht="15.75" customHeight="1">
      <c r="A6393" s="1"/>
      <c r="B6393" s="1"/>
      <c r="C6393" s="1"/>
      <c r="D6393" s="1"/>
      <c r="E6393" s="1"/>
      <c r="F6393" s="1"/>
      <c r="G6393" s="1"/>
      <c r="H6393" s="1"/>
      <c r="I6393" s="1"/>
      <c r="J6393" s="1"/>
      <c r="K6393" s="106" t="s">
        <v>9857</v>
      </c>
      <c r="L6393" s="102" t="str">
        <f>N963</f>
        <v>J2a1a1b1a1a1a1</v>
      </c>
      <c r="M6393" s="102"/>
      <c r="O6393" s="108">
        <v>2.2815729E7</v>
      </c>
      <c r="P6393" s="109">
        <v>2.0653843E7</v>
      </c>
      <c r="Q6393" s="106" t="s">
        <v>2529</v>
      </c>
      <c r="S6393" s="1"/>
      <c r="T6393" s="1"/>
      <c r="U6393" s="1"/>
      <c r="V6393" s="1"/>
      <c r="W6393" s="1"/>
      <c r="X6393" s="1"/>
      <c r="Y6393" s="1"/>
      <c r="AA6393" s="102"/>
      <c r="AB6393" s="1"/>
      <c r="AC6393" s="1"/>
      <c r="AD6393" s="1"/>
      <c r="AE6393" s="1"/>
      <c r="AF6393" s="1"/>
      <c r="AG6393" s="1"/>
    </row>
    <row r="6394" ht="15.75" customHeight="1">
      <c r="A6394" s="1"/>
      <c r="B6394" s="1"/>
      <c r="C6394" s="1"/>
      <c r="D6394" s="1"/>
      <c r="E6394" s="1"/>
      <c r="F6394" s="1"/>
      <c r="G6394" s="1"/>
      <c r="H6394" s="1"/>
      <c r="I6394" s="1"/>
      <c r="J6394" s="1"/>
      <c r="K6394" s="106" t="s">
        <v>9858</v>
      </c>
      <c r="L6394" s="102" t="str">
        <f>N963</f>
        <v>J2a1a1b1a1a1a1</v>
      </c>
      <c r="M6394" s="102"/>
      <c r="O6394" s="108">
        <v>1.7217893E7</v>
      </c>
      <c r="P6394" s="109">
        <v>1.5106013E7</v>
      </c>
      <c r="Q6394" s="106" t="s">
        <v>2446</v>
      </c>
      <c r="S6394" s="1"/>
      <c r="T6394" s="1"/>
      <c r="U6394" s="1"/>
      <c r="V6394" s="1"/>
      <c r="W6394" s="1"/>
      <c r="X6394" s="1"/>
      <c r="Y6394" s="1"/>
      <c r="AA6394" s="102"/>
      <c r="AB6394" s="1"/>
      <c r="AC6394" s="1"/>
      <c r="AD6394" s="1"/>
      <c r="AE6394" s="1"/>
      <c r="AF6394" s="1"/>
      <c r="AG6394" s="1"/>
    </row>
    <row r="6395" ht="15.75" customHeight="1">
      <c r="A6395" s="1"/>
      <c r="B6395" s="1"/>
      <c r="C6395" s="1"/>
      <c r="D6395" s="1"/>
      <c r="E6395" s="1"/>
      <c r="F6395" s="1"/>
      <c r="G6395" s="1"/>
      <c r="H6395" s="1"/>
      <c r="I6395" s="1"/>
      <c r="J6395" s="1"/>
      <c r="K6395" s="106" t="s">
        <v>9859</v>
      </c>
      <c r="L6395" s="102" t="str">
        <f>N963</f>
        <v>J2a1a1b1a1a1a1</v>
      </c>
      <c r="M6395" s="102"/>
      <c r="O6395" s="108">
        <v>1.5584182E7</v>
      </c>
      <c r="P6395" s="109">
        <v>1.3472302E7</v>
      </c>
      <c r="Q6395" s="106" t="s">
        <v>2514</v>
      </c>
      <c r="S6395" s="1"/>
      <c r="T6395" s="1"/>
      <c r="U6395" s="1"/>
      <c r="V6395" s="1"/>
      <c r="W6395" s="1"/>
      <c r="X6395" s="1"/>
      <c r="Y6395" s="1"/>
      <c r="AA6395" s="102"/>
      <c r="AB6395" s="1"/>
      <c r="AC6395" s="1"/>
      <c r="AD6395" s="1"/>
      <c r="AE6395" s="1"/>
      <c r="AF6395" s="1"/>
      <c r="AG6395" s="1"/>
    </row>
    <row r="6396" ht="15.75" customHeight="1">
      <c r="A6396" s="1"/>
      <c r="B6396" s="1"/>
      <c r="C6396" s="1"/>
      <c r="D6396" s="1"/>
      <c r="E6396" s="1"/>
      <c r="F6396" s="1"/>
      <c r="G6396" s="1"/>
      <c r="H6396" s="1"/>
      <c r="I6396" s="1"/>
      <c r="J6396" s="1"/>
      <c r="K6396" s="106" t="s">
        <v>9860</v>
      </c>
      <c r="L6396" s="102" t="str">
        <f>N963</f>
        <v>J2a1a1b1a1a1a1</v>
      </c>
      <c r="M6396" s="102"/>
      <c r="O6396" s="108">
        <v>1.5490982E7</v>
      </c>
      <c r="P6396" s="109">
        <v>1.3379102E7</v>
      </c>
      <c r="Q6396" s="106" t="s">
        <v>2576</v>
      </c>
      <c r="S6396" s="1"/>
      <c r="T6396" s="1"/>
      <c r="U6396" s="1"/>
      <c r="V6396" s="1"/>
      <c r="W6396" s="1"/>
      <c r="X6396" s="1"/>
      <c r="Y6396" s="1"/>
      <c r="AA6396" s="102"/>
      <c r="AB6396" s="1"/>
      <c r="AC6396" s="1"/>
      <c r="AD6396" s="1"/>
      <c r="AE6396" s="1"/>
      <c r="AF6396" s="1"/>
      <c r="AG6396" s="1"/>
    </row>
    <row r="6397" ht="15.75" customHeight="1">
      <c r="A6397" s="1"/>
      <c r="B6397" s="1"/>
      <c r="C6397" s="1"/>
      <c r="D6397" s="1"/>
      <c r="E6397" s="1"/>
      <c r="F6397" s="1"/>
      <c r="G6397" s="1"/>
      <c r="H6397" s="1"/>
      <c r="I6397" s="1"/>
      <c r="J6397" s="1"/>
      <c r="K6397" s="106" t="s">
        <v>9861</v>
      </c>
      <c r="L6397" s="102" t="str">
        <f t="shared" ref="L6397:L6398" si="173">N963</f>
        <v>J2a1a1b1a1a1a1</v>
      </c>
      <c r="M6397" s="102"/>
      <c r="O6397" s="108">
        <v>2.2915391E7</v>
      </c>
      <c r="P6397" s="109">
        <v>2.0753505E7</v>
      </c>
      <c r="Q6397" s="106" t="s">
        <v>2468</v>
      </c>
      <c r="S6397" s="1"/>
      <c r="T6397" s="1"/>
      <c r="U6397" s="1"/>
      <c r="V6397" s="1"/>
      <c r="W6397" s="1"/>
      <c r="X6397" s="1"/>
      <c r="Y6397" s="1"/>
      <c r="AA6397" s="102"/>
      <c r="AB6397" s="1"/>
      <c r="AC6397" s="1"/>
      <c r="AD6397" s="1"/>
      <c r="AE6397" s="1"/>
      <c r="AF6397" s="1"/>
      <c r="AG6397" s="1"/>
    </row>
    <row r="6398" ht="15.75" customHeight="1">
      <c r="A6398" s="1"/>
      <c r="B6398" s="1"/>
      <c r="C6398" s="1"/>
      <c r="D6398" s="1"/>
      <c r="E6398" s="1"/>
      <c r="F6398" s="1"/>
      <c r="G6398" s="1"/>
      <c r="H6398" s="1"/>
      <c r="I6398" s="1"/>
      <c r="J6398" s="1"/>
      <c r="K6398" t="s">
        <v>1895</v>
      </c>
      <c r="L6398" t="str">
        <f t="shared" si="173"/>
        <v>J2a1a1b1a1a1a1~</v>
      </c>
      <c r="O6398" t="s">
        <v>9862</v>
      </c>
      <c r="P6398" t="s">
        <v>9863</v>
      </c>
      <c r="Q6398" s="121" t="s">
        <v>9864</v>
      </c>
      <c r="S6398" s="1"/>
      <c r="T6398" s="1"/>
      <c r="U6398" s="1"/>
      <c r="V6398" s="1"/>
      <c r="W6398" s="1"/>
      <c r="X6398" s="1"/>
      <c r="Y6398" s="1"/>
      <c r="AA6398" s="102"/>
      <c r="AB6398" s="1"/>
      <c r="AC6398" s="1"/>
      <c r="AD6398" s="1"/>
      <c r="AE6398" s="1"/>
      <c r="AF6398" s="1"/>
      <c r="AG6398" s="1"/>
    </row>
    <row r="6399" ht="15.75" customHeight="1">
      <c r="A6399" s="1"/>
      <c r="B6399" s="1"/>
      <c r="C6399" s="1"/>
      <c r="D6399" s="1"/>
      <c r="E6399" s="1"/>
      <c r="F6399" s="1"/>
      <c r="G6399" s="1"/>
      <c r="H6399" s="1"/>
      <c r="I6399" s="1"/>
      <c r="J6399" s="1"/>
      <c r="K6399" s="42" t="s">
        <v>9865</v>
      </c>
      <c r="L6399" t="str">
        <f>M965</f>
        <v>J2a1a1b1a1a1b </v>
      </c>
      <c r="M6399" s="42" t="s">
        <v>9866</v>
      </c>
      <c r="N6399" s="108" t="s">
        <v>9867</v>
      </c>
      <c r="O6399" s="108">
        <v>2.1843503E7</v>
      </c>
      <c r="P6399" s="42">
        <v>1.9681617E7</v>
      </c>
      <c r="Q6399" s="42" t="s">
        <v>2533</v>
      </c>
      <c r="S6399" s="1"/>
      <c r="T6399" s="1"/>
      <c r="U6399" s="1"/>
      <c r="V6399" s="1"/>
      <c r="W6399" s="1"/>
      <c r="X6399" s="1"/>
      <c r="Y6399" s="1"/>
      <c r="AA6399" s="102"/>
      <c r="AB6399" s="1"/>
      <c r="AC6399" s="1"/>
      <c r="AD6399" s="1"/>
      <c r="AE6399" s="1"/>
      <c r="AF6399" s="1"/>
      <c r="AG6399" s="1"/>
    </row>
    <row r="6400" ht="15.75" customHeight="1">
      <c r="A6400" s="1"/>
      <c r="B6400" s="1"/>
      <c r="C6400" s="1"/>
      <c r="D6400" s="1"/>
      <c r="E6400" s="1"/>
      <c r="F6400" s="1"/>
      <c r="G6400" s="1"/>
      <c r="H6400" s="1"/>
      <c r="I6400" s="1"/>
      <c r="J6400" s="1"/>
      <c r="K6400" s="42" t="s">
        <v>9866</v>
      </c>
      <c r="L6400" t="str">
        <f>M965</f>
        <v>J2a1a1b1a1a1b </v>
      </c>
      <c r="M6400" s="42" t="s">
        <v>9865</v>
      </c>
      <c r="N6400" s="108" t="s">
        <v>9867</v>
      </c>
      <c r="O6400" s="108">
        <v>2.1843503E7</v>
      </c>
      <c r="P6400" s="42">
        <v>1.9681617E7</v>
      </c>
      <c r="Q6400" s="42" t="s">
        <v>2533</v>
      </c>
      <c r="S6400" s="1"/>
      <c r="T6400" s="1"/>
      <c r="U6400" s="1"/>
      <c r="V6400" s="1"/>
      <c r="W6400" s="1"/>
      <c r="X6400" s="1"/>
      <c r="Y6400" s="1"/>
      <c r="AA6400" s="102"/>
      <c r="AB6400" s="1"/>
      <c r="AC6400" s="1"/>
      <c r="AD6400" s="1"/>
      <c r="AE6400" s="1"/>
      <c r="AF6400" s="1"/>
      <c r="AG6400" s="1"/>
    </row>
    <row r="6401" ht="15.75" customHeight="1">
      <c r="A6401" s="1"/>
      <c r="B6401" s="1"/>
      <c r="C6401" s="1"/>
      <c r="D6401" s="1"/>
      <c r="E6401" s="1"/>
      <c r="F6401" s="1"/>
      <c r="G6401" s="1"/>
      <c r="H6401" s="1"/>
      <c r="I6401" s="1"/>
      <c r="J6401" s="1"/>
      <c r="K6401" s="42" t="s">
        <v>9868</v>
      </c>
      <c r="L6401" t="str">
        <f>M965</f>
        <v>J2a1a1b1a1a1b </v>
      </c>
      <c r="M6401" s="42" t="s">
        <v>9869</v>
      </c>
      <c r="N6401" s="108" t="s">
        <v>9870</v>
      </c>
      <c r="O6401" s="108">
        <v>1.4987651E7</v>
      </c>
      <c r="P6401" s="42">
        <v>1.2875717E7</v>
      </c>
      <c r="Q6401" s="42" t="s">
        <v>2454</v>
      </c>
      <c r="S6401" s="1"/>
      <c r="T6401" s="1"/>
      <c r="U6401" s="1"/>
      <c r="V6401" s="1"/>
      <c r="W6401" s="1"/>
      <c r="X6401" s="1"/>
      <c r="Y6401" s="1"/>
      <c r="AA6401" s="102"/>
      <c r="AB6401" s="1"/>
      <c r="AC6401" s="1"/>
      <c r="AD6401" s="1"/>
      <c r="AE6401" s="1"/>
      <c r="AF6401" s="1"/>
      <c r="AG6401" s="1"/>
    </row>
    <row r="6402" ht="15.75" customHeight="1">
      <c r="A6402" s="1"/>
      <c r="B6402" s="1"/>
      <c r="C6402" s="1"/>
      <c r="D6402" s="1"/>
      <c r="E6402" s="1"/>
      <c r="F6402" s="1"/>
      <c r="G6402" s="1"/>
      <c r="H6402" s="1"/>
      <c r="I6402" s="1"/>
      <c r="J6402" s="1"/>
      <c r="K6402" s="42" t="s">
        <v>9869</v>
      </c>
      <c r="L6402" t="str">
        <f>M965</f>
        <v>J2a1a1b1a1a1b </v>
      </c>
      <c r="M6402" s="42" t="s">
        <v>9868</v>
      </c>
      <c r="N6402" s="108" t="s">
        <v>9870</v>
      </c>
      <c r="O6402" s="108">
        <v>1.4987651E7</v>
      </c>
      <c r="P6402" s="42">
        <v>1.2875717E7</v>
      </c>
      <c r="Q6402" s="42" t="s">
        <v>2454</v>
      </c>
      <c r="S6402" s="1"/>
      <c r="T6402" s="1"/>
      <c r="U6402" s="1"/>
      <c r="V6402" s="1"/>
      <c r="W6402" s="1"/>
      <c r="X6402" s="1"/>
      <c r="Y6402" s="1"/>
      <c r="AA6402" s="102"/>
      <c r="AB6402" s="1"/>
      <c r="AC6402" s="1"/>
      <c r="AD6402" s="1"/>
      <c r="AE6402" s="1"/>
      <c r="AF6402" s="1"/>
      <c r="AG6402" s="1"/>
    </row>
    <row r="6403" ht="15.75" customHeight="1">
      <c r="A6403" s="1"/>
      <c r="B6403" s="1"/>
      <c r="C6403" s="1"/>
      <c r="D6403" s="1"/>
      <c r="E6403" s="1"/>
      <c r="F6403" s="1"/>
      <c r="G6403" s="1"/>
      <c r="H6403" s="1"/>
      <c r="I6403" s="1"/>
      <c r="J6403" s="1"/>
      <c r="K6403" s="42" t="s">
        <v>9871</v>
      </c>
      <c r="L6403" t="str">
        <f>M965</f>
        <v>J2a1a1b1a1a1b </v>
      </c>
      <c r="M6403" s="42" t="s">
        <v>9872</v>
      </c>
      <c r="N6403" s="108" t="s">
        <v>9873</v>
      </c>
      <c r="O6403" s="108">
        <v>2.1051168E7</v>
      </c>
      <c r="P6403" s="42">
        <v>1.8889282E7</v>
      </c>
      <c r="Q6403" s="42" t="s">
        <v>2446</v>
      </c>
      <c r="S6403" s="1"/>
      <c r="T6403" s="1"/>
      <c r="U6403" s="1"/>
      <c r="V6403" s="1"/>
      <c r="W6403" s="1"/>
      <c r="X6403" s="1"/>
      <c r="Y6403" s="1"/>
      <c r="AA6403" s="102"/>
      <c r="AB6403" s="1"/>
      <c r="AC6403" s="1"/>
      <c r="AD6403" s="1"/>
      <c r="AE6403" s="1"/>
      <c r="AF6403" s="1"/>
      <c r="AG6403" s="1"/>
    </row>
    <row r="6404" ht="15.75" customHeight="1">
      <c r="A6404" s="1"/>
      <c r="B6404" s="1"/>
      <c r="C6404" s="1"/>
      <c r="D6404" s="1"/>
      <c r="E6404" s="1"/>
      <c r="F6404" s="1"/>
      <c r="G6404" s="1"/>
      <c r="H6404" s="1"/>
      <c r="I6404" s="1"/>
      <c r="J6404" s="1"/>
      <c r="K6404" s="42" t="s">
        <v>9872</v>
      </c>
      <c r="L6404" t="str">
        <f>M965</f>
        <v>J2a1a1b1a1a1b </v>
      </c>
      <c r="M6404" s="42" t="s">
        <v>9871</v>
      </c>
      <c r="N6404" s="108" t="s">
        <v>9873</v>
      </c>
      <c r="O6404" s="108">
        <v>2.1051168E7</v>
      </c>
      <c r="P6404" s="42">
        <v>1.8889282E7</v>
      </c>
      <c r="Q6404" s="42" t="s">
        <v>2446</v>
      </c>
      <c r="S6404" s="1"/>
      <c r="T6404" s="1"/>
      <c r="U6404" s="1"/>
      <c r="V6404" s="1"/>
      <c r="W6404" s="1"/>
      <c r="X6404" s="1"/>
      <c r="Y6404" s="1"/>
      <c r="AA6404" s="102"/>
      <c r="AB6404" s="1"/>
      <c r="AC6404" s="1"/>
      <c r="AD6404" s="1"/>
      <c r="AE6404" s="1"/>
      <c r="AF6404" s="1"/>
      <c r="AG6404" s="1"/>
    </row>
    <row r="6405" ht="15.75" customHeight="1">
      <c r="A6405" s="1"/>
      <c r="B6405" s="1"/>
      <c r="C6405" s="1"/>
      <c r="D6405" s="1"/>
      <c r="E6405" s="1"/>
      <c r="F6405" s="1"/>
      <c r="G6405" s="1"/>
      <c r="H6405" s="1"/>
      <c r="I6405" s="1"/>
      <c r="J6405" s="1"/>
      <c r="K6405" s="42" t="s">
        <v>9874</v>
      </c>
      <c r="L6405" t="str">
        <f>M965</f>
        <v>J2a1a1b1a1a1b </v>
      </c>
      <c r="M6405" s="42" t="s">
        <v>9875</v>
      </c>
      <c r="N6405" s="108" t="s">
        <v>9876</v>
      </c>
      <c r="O6405" s="108">
        <v>2.1628267E7</v>
      </c>
      <c r="P6405" s="42">
        <v>1.9466381E7</v>
      </c>
      <c r="Q6405" s="42" t="s">
        <v>2514</v>
      </c>
      <c r="S6405" s="1"/>
      <c r="T6405" s="1"/>
      <c r="U6405" s="1"/>
      <c r="V6405" s="1"/>
      <c r="W6405" s="1"/>
      <c r="X6405" s="1"/>
      <c r="Y6405" s="1"/>
      <c r="AA6405" s="102"/>
      <c r="AB6405" s="1"/>
      <c r="AC6405" s="1"/>
      <c r="AD6405" s="1"/>
      <c r="AE6405" s="1"/>
      <c r="AF6405" s="1"/>
      <c r="AG6405" s="1"/>
    </row>
    <row r="6406" ht="15.75" customHeight="1">
      <c r="A6406" s="1"/>
      <c r="B6406" s="1"/>
      <c r="C6406" s="1"/>
      <c r="D6406" s="1"/>
      <c r="E6406" s="1"/>
      <c r="F6406" s="1"/>
      <c r="G6406" s="1"/>
      <c r="H6406" s="1"/>
      <c r="I6406" s="1"/>
      <c r="J6406" s="1"/>
      <c r="K6406" s="42" t="s">
        <v>9875</v>
      </c>
      <c r="L6406" t="str">
        <f>M965</f>
        <v>J2a1a1b1a1a1b </v>
      </c>
      <c r="M6406" s="42" t="s">
        <v>9874</v>
      </c>
      <c r="N6406" s="108" t="s">
        <v>9876</v>
      </c>
      <c r="O6406" s="108">
        <v>2.1628267E7</v>
      </c>
      <c r="P6406" s="42">
        <v>1.9466381E7</v>
      </c>
      <c r="Q6406" s="42" t="s">
        <v>2514</v>
      </c>
      <c r="S6406" s="1"/>
      <c r="T6406" s="1"/>
      <c r="U6406" s="1"/>
      <c r="V6406" s="1"/>
      <c r="W6406" s="1"/>
      <c r="X6406" s="1"/>
      <c r="Y6406" s="1"/>
      <c r="AA6406" s="102"/>
      <c r="AB6406" s="1"/>
      <c r="AC6406" s="1"/>
      <c r="AD6406" s="1"/>
      <c r="AE6406" s="1"/>
      <c r="AF6406" s="1"/>
      <c r="AG6406" s="1"/>
    </row>
    <row r="6407" ht="15.75" customHeight="1">
      <c r="A6407" s="1"/>
      <c r="B6407" s="1"/>
      <c r="C6407" s="1"/>
      <c r="D6407" s="1"/>
      <c r="E6407" s="1"/>
      <c r="F6407" s="1"/>
      <c r="G6407" s="1"/>
      <c r="H6407" s="1"/>
      <c r="I6407" s="1"/>
      <c r="J6407" s="1"/>
      <c r="K6407" s="42" t="s">
        <v>9877</v>
      </c>
      <c r="L6407" t="str">
        <f>M965</f>
        <v>J2a1a1b1a1a1b </v>
      </c>
      <c r="M6407" s="42" t="s">
        <v>9878</v>
      </c>
      <c r="N6407" s="108" t="s">
        <v>9879</v>
      </c>
      <c r="O6407" s="108">
        <v>2.1837756E7</v>
      </c>
      <c r="P6407" s="42">
        <v>1.967587E7</v>
      </c>
      <c r="Q6407" s="42" t="s">
        <v>2576</v>
      </c>
      <c r="S6407" s="1"/>
      <c r="T6407" s="1"/>
      <c r="U6407" s="1"/>
      <c r="V6407" s="1"/>
      <c r="W6407" s="1"/>
      <c r="X6407" s="1"/>
      <c r="Y6407" s="1"/>
      <c r="AA6407" s="102"/>
      <c r="AB6407" s="1"/>
      <c r="AC6407" s="1"/>
      <c r="AD6407" s="1"/>
      <c r="AE6407" s="1"/>
      <c r="AF6407" s="1"/>
      <c r="AG6407" s="1"/>
    </row>
    <row r="6408" ht="15.75" customHeight="1">
      <c r="A6408" s="1"/>
      <c r="B6408" s="1"/>
      <c r="C6408" s="1"/>
      <c r="D6408" s="1"/>
      <c r="E6408" s="1"/>
      <c r="F6408" s="1"/>
      <c r="G6408" s="1"/>
      <c r="H6408" s="1"/>
      <c r="I6408" s="1"/>
      <c r="J6408" s="1"/>
      <c r="K6408" s="42" t="s">
        <v>9880</v>
      </c>
      <c r="L6408" t="str">
        <f>M965</f>
        <v>J2a1a1b1a1a1b </v>
      </c>
      <c r="M6408" s="42" t="s">
        <v>9881</v>
      </c>
      <c r="N6408" s="108" t="s">
        <v>9879</v>
      </c>
      <c r="O6408" s="108">
        <v>2.1837756E7</v>
      </c>
      <c r="P6408" s="42">
        <v>1.967587E7</v>
      </c>
      <c r="Q6408" s="42" t="s">
        <v>2576</v>
      </c>
      <c r="S6408" s="1"/>
      <c r="T6408" s="1"/>
      <c r="U6408" s="1"/>
      <c r="V6408" s="1"/>
      <c r="W6408" s="1"/>
      <c r="X6408" s="1"/>
      <c r="Y6408" s="1"/>
      <c r="AA6408" s="102"/>
      <c r="AB6408" s="1"/>
      <c r="AC6408" s="1"/>
      <c r="AD6408" s="1"/>
      <c r="AE6408" s="1"/>
      <c r="AF6408" s="1"/>
      <c r="AG6408" s="1"/>
    </row>
    <row r="6409" ht="15.75" customHeight="1">
      <c r="A6409" s="1"/>
      <c r="B6409" s="1"/>
      <c r="C6409" s="1"/>
      <c r="D6409" s="1"/>
      <c r="E6409" s="1"/>
      <c r="F6409" s="1"/>
      <c r="G6409" s="1"/>
      <c r="H6409" s="1"/>
      <c r="I6409" s="1"/>
      <c r="J6409" s="1"/>
      <c r="K6409" s="42" t="s">
        <v>9882</v>
      </c>
      <c r="L6409" t="str">
        <f>M965</f>
        <v>J2a1a1b1a1a1b </v>
      </c>
      <c r="M6409" s="42" t="s">
        <v>9883</v>
      </c>
      <c r="N6409" s="108" t="s">
        <v>9879</v>
      </c>
      <c r="O6409" s="108">
        <v>2.1837756E7</v>
      </c>
      <c r="P6409" s="42">
        <v>1.967587E7</v>
      </c>
      <c r="Q6409" s="42" t="s">
        <v>2576</v>
      </c>
      <c r="S6409" s="1"/>
      <c r="T6409" s="1"/>
      <c r="U6409" s="1"/>
      <c r="V6409" s="1"/>
      <c r="W6409" s="1"/>
      <c r="X6409" s="1"/>
      <c r="Y6409" s="1"/>
      <c r="AA6409" s="102"/>
      <c r="AB6409" s="1"/>
      <c r="AC6409" s="1"/>
      <c r="AD6409" s="1"/>
      <c r="AE6409" s="1"/>
      <c r="AF6409" s="1"/>
      <c r="AG6409" s="1"/>
    </row>
    <row r="6410" ht="15.75" customHeight="1">
      <c r="A6410" s="1"/>
      <c r="B6410" s="1"/>
      <c r="C6410" s="1"/>
      <c r="D6410" s="1"/>
      <c r="E6410" s="1"/>
      <c r="F6410" s="1"/>
      <c r="G6410" s="1"/>
      <c r="H6410" s="1"/>
      <c r="I6410" s="1"/>
      <c r="J6410" s="1"/>
      <c r="K6410" s="42" t="s">
        <v>9884</v>
      </c>
      <c r="L6410" t="str">
        <f>M965</f>
        <v>J2a1a1b1a1a1b </v>
      </c>
      <c r="M6410" s="42" t="s">
        <v>9885</v>
      </c>
      <c r="N6410" s="108" t="s">
        <v>9886</v>
      </c>
      <c r="O6410" s="108">
        <v>2.183779E7</v>
      </c>
      <c r="P6410" s="42">
        <v>1.9675904E7</v>
      </c>
      <c r="Q6410" s="42" t="s">
        <v>2501</v>
      </c>
      <c r="S6410" s="1"/>
      <c r="T6410" s="1"/>
      <c r="U6410" s="1"/>
      <c r="V6410" s="1"/>
      <c r="W6410" s="1"/>
      <c r="X6410" s="1"/>
      <c r="Y6410" s="1"/>
      <c r="AA6410" s="102"/>
      <c r="AB6410" s="1"/>
      <c r="AC6410" s="1"/>
      <c r="AD6410" s="1"/>
      <c r="AE6410" s="1"/>
      <c r="AF6410" s="1"/>
      <c r="AG6410" s="1"/>
    </row>
    <row r="6411" ht="15.75" customHeight="1">
      <c r="A6411" s="1"/>
      <c r="B6411" s="1"/>
      <c r="C6411" s="1"/>
      <c r="D6411" s="1"/>
      <c r="E6411" s="1"/>
      <c r="F6411" s="1"/>
      <c r="G6411" s="1"/>
      <c r="H6411" s="1"/>
      <c r="I6411" s="1"/>
      <c r="J6411" s="1"/>
      <c r="K6411" s="19" t="s">
        <v>9887</v>
      </c>
      <c r="L6411" s="1" t="str">
        <f>M965</f>
        <v>J2a1a1b1a1a1b </v>
      </c>
      <c r="M6411" s="19" t="s">
        <v>9888</v>
      </c>
      <c r="N6411" s="108" t="s">
        <v>9886</v>
      </c>
      <c r="O6411" s="108">
        <v>2.183779E7</v>
      </c>
      <c r="P6411" s="42">
        <v>1.9675904E7</v>
      </c>
      <c r="Q6411" s="42" t="s">
        <v>2501</v>
      </c>
      <c r="S6411" s="1"/>
      <c r="T6411" s="1"/>
      <c r="U6411" s="1"/>
      <c r="V6411" s="1"/>
      <c r="W6411" s="1"/>
      <c r="X6411" s="1"/>
      <c r="Y6411" s="1"/>
      <c r="AA6411" s="102"/>
      <c r="AB6411" s="1"/>
      <c r="AC6411" s="1"/>
      <c r="AD6411" s="1"/>
      <c r="AE6411" s="1"/>
      <c r="AF6411" s="1"/>
      <c r="AG6411" s="1"/>
    </row>
    <row r="6412" ht="15.75" customHeight="1">
      <c r="A6412" s="1"/>
      <c r="B6412" s="1"/>
      <c r="C6412" s="1"/>
      <c r="D6412" s="1"/>
      <c r="E6412" s="1"/>
      <c r="F6412" s="1"/>
      <c r="G6412" s="1"/>
      <c r="H6412" s="1"/>
      <c r="I6412" s="1"/>
      <c r="J6412" s="1"/>
      <c r="K6412" s="19" t="s">
        <v>9889</v>
      </c>
      <c r="L6412" s="1" t="str">
        <f>M965</f>
        <v>J2a1a1b1a1a1b </v>
      </c>
      <c r="M6412" s="19" t="s">
        <v>9890</v>
      </c>
      <c r="N6412" s="108" t="s">
        <v>9886</v>
      </c>
      <c r="O6412" s="108">
        <v>2.183779E7</v>
      </c>
      <c r="P6412" s="42">
        <v>1.9675904E7</v>
      </c>
      <c r="Q6412" s="42" t="s">
        <v>2501</v>
      </c>
      <c r="S6412" s="1"/>
      <c r="T6412" s="1"/>
      <c r="U6412" s="1"/>
      <c r="V6412" s="1"/>
      <c r="W6412" s="1"/>
      <c r="X6412" s="1"/>
      <c r="Y6412" s="1"/>
      <c r="AA6412" s="102"/>
      <c r="AB6412" s="1"/>
      <c r="AC6412" s="1"/>
      <c r="AD6412" s="1"/>
      <c r="AE6412" s="1"/>
      <c r="AF6412" s="1"/>
      <c r="AG6412" s="1"/>
    </row>
    <row r="6413" ht="15.75" customHeight="1">
      <c r="A6413" s="1"/>
      <c r="B6413" s="1"/>
      <c r="C6413" s="1"/>
      <c r="D6413" s="1"/>
      <c r="E6413" s="1"/>
      <c r="F6413" s="1"/>
      <c r="G6413" s="1"/>
      <c r="H6413" s="1"/>
      <c r="I6413" s="1"/>
      <c r="J6413" s="1"/>
      <c r="K6413" t="s">
        <v>9891</v>
      </c>
      <c r="L6413" t="str">
        <f>H966</f>
        <v>J2a1a1b2</v>
      </c>
      <c r="M6413" t="s">
        <v>9892</v>
      </c>
      <c r="N6413" t="s">
        <v>9893</v>
      </c>
      <c r="O6413">
        <v>1.4286528E7</v>
      </c>
      <c r="P6413">
        <v>1.2165822E7</v>
      </c>
      <c r="Q6413" s="112" t="s">
        <v>2439</v>
      </c>
      <c r="S6413" s="1"/>
      <c r="T6413" s="1"/>
      <c r="U6413" s="1"/>
      <c r="V6413" s="1"/>
      <c r="W6413" s="1"/>
      <c r="X6413" s="1"/>
      <c r="Y6413" s="1"/>
      <c r="AA6413" s="102"/>
      <c r="AB6413" s="1"/>
      <c r="AC6413" s="1"/>
      <c r="AD6413" s="1"/>
      <c r="AE6413" s="1"/>
      <c r="AF6413" s="1"/>
      <c r="AG6413" s="1"/>
    </row>
    <row r="6414" ht="15.75" customHeight="1">
      <c r="A6414" s="1"/>
      <c r="B6414" s="1"/>
      <c r="C6414" s="1"/>
      <c r="D6414" s="1"/>
      <c r="E6414" s="1"/>
      <c r="F6414" s="1"/>
      <c r="G6414" s="1"/>
      <c r="H6414" s="1"/>
      <c r="I6414" s="1"/>
      <c r="J6414" s="1"/>
      <c r="K6414" t="s">
        <v>9894</v>
      </c>
      <c r="L6414" t="str">
        <f>H966</f>
        <v>J2a1a1b2</v>
      </c>
      <c r="M6414" t="s">
        <v>9895</v>
      </c>
      <c r="N6414" t="s">
        <v>9893</v>
      </c>
      <c r="O6414">
        <v>1.4286528E7</v>
      </c>
      <c r="P6414">
        <v>1.2165822E7</v>
      </c>
      <c r="Q6414" s="112" t="s">
        <v>2439</v>
      </c>
      <c r="S6414" s="1"/>
      <c r="T6414" s="1"/>
      <c r="U6414" s="1"/>
      <c r="V6414" s="1"/>
      <c r="W6414" s="1"/>
      <c r="X6414" s="1"/>
      <c r="Y6414" s="1"/>
      <c r="AA6414" s="102"/>
      <c r="AB6414" s="1"/>
      <c r="AC6414" s="1"/>
      <c r="AD6414" s="1"/>
      <c r="AE6414" s="1"/>
      <c r="AF6414" s="1"/>
      <c r="AG6414" s="1"/>
    </row>
    <row r="6415" ht="15.75" customHeight="1">
      <c r="A6415" s="1"/>
      <c r="B6415" s="1"/>
      <c r="C6415" s="1"/>
      <c r="D6415" s="1"/>
      <c r="E6415" s="1"/>
      <c r="F6415" s="1"/>
      <c r="G6415" s="1"/>
      <c r="H6415" s="1"/>
      <c r="I6415" s="1"/>
      <c r="J6415" s="1"/>
      <c r="K6415" t="s">
        <v>9896</v>
      </c>
      <c r="L6415" t="str">
        <f>H966</f>
        <v>J2a1a1b2</v>
      </c>
      <c r="M6415" t="s">
        <v>9897</v>
      </c>
      <c r="N6415" t="s">
        <v>9893</v>
      </c>
      <c r="O6415">
        <v>1.4286528E7</v>
      </c>
      <c r="P6415">
        <v>1.2165822E7</v>
      </c>
      <c r="Q6415" s="112" t="s">
        <v>2439</v>
      </c>
      <c r="S6415" s="1"/>
      <c r="T6415" s="1"/>
      <c r="U6415" s="1"/>
      <c r="V6415" s="1"/>
      <c r="W6415" s="1"/>
      <c r="X6415" s="1"/>
      <c r="Y6415" s="1"/>
      <c r="AA6415" s="102"/>
      <c r="AB6415" s="1"/>
      <c r="AC6415" s="1"/>
      <c r="AD6415" s="1"/>
      <c r="AE6415" s="1"/>
      <c r="AF6415" s="1"/>
      <c r="AG6415" s="1"/>
    </row>
    <row r="6416" ht="15.75" customHeight="1">
      <c r="A6416" s="1"/>
      <c r="B6416" s="1"/>
      <c r="C6416" s="1"/>
      <c r="D6416" s="1"/>
      <c r="E6416" s="1"/>
      <c r="F6416" s="1"/>
      <c r="G6416" s="1"/>
      <c r="H6416" s="1"/>
      <c r="I6416" s="1"/>
      <c r="J6416" s="1"/>
      <c r="K6416" s="42" t="s">
        <v>9898</v>
      </c>
      <c r="L6416" t="str">
        <f>H966</f>
        <v>J2a1a1b2</v>
      </c>
      <c r="M6416" s="42" t="s">
        <v>9899</v>
      </c>
      <c r="N6416" t="s">
        <v>9900</v>
      </c>
      <c r="O6416" s="108">
        <v>1.4073113E7</v>
      </c>
      <c r="P6416" s="105">
        <v>1.1952407E7</v>
      </c>
      <c r="Q6416" s="102" t="s">
        <v>2439</v>
      </c>
      <c r="S6416" s="1"/>
      <c r="T6416" s="1"/>
      <c r="U6416" s="1"/>
      <c r="V6416" s="1"/>
      <c r="W6416" s="1"/>
      <c r="X6416" s="1"/>
      <c r="Y6416" s="1"/>
      <c r="AA6416" s="102"/>
      <c r="AB6416" s="1"/>
      <c r="AC6416" s="1"/>
      <c r="AD6416" s="1"/>
      <c r="AE6416" s="1"/>
      <c r="AF6416" s="1"/>
      <c r="AG6416" s="1"/>
    </row>
    <row r="6417" ht="15.75" customHeight="1">
      <c r="A6417" s="1"/>
      <c r="B6417" s="1"/>
      <c r="C6417" s="1"/>
      <c r="D6417" s="1"/>
      <c r="E6417" s="1"/>
      <c r="F6417" s="1"/>
      <c r="G6417" s="1"/>
      <c r="H6417" s="1"/>
      <c r="I6417" s="1"/>
      <c r="J6417" s="1"/>
      <c r="K6417" s="102" t="s">
        <v>9901</v>
      </c>
      <c r="L6417" t="str">
        <f>H966</f>
        <v>J2a1a1b2</v>
      </c>
      <c r="M6417" s="102" t="s">
        <v>9902</v>
      </c>
      <c r="N6417" t="s">
        <v>9900</v>
      </c>
      <c r="O6417" s="108">
        <v>1.4073113E7</v>
      </c>
      <c r="P6417" s="105">
        <v>1.1952407E7</v>
      </c>
      <c r="Q6417" s="102" t="s">
        <v>2439</v>
      </c>
      <c r="S6417" s="1"/>
      <c r="T6417" s="1"/>
      <c r="U6417" s="1"/>
      <c r="V6417" s="1"/>
      <c r="W6417" s="1"/>
      <c r="X6417" s="1"/>
      <c r="Y6417" s="1"/>
      <c r="AA6417" s="102"/>
      <c r="AB6417" s="1"/>
      <c r="AC6417" s="1"/>
      <c r="AD6417" s="1"/>
      <c r="AE6417" s="1"/>
      <c r="AF6417" s="1"/>
      <c r="AG6417" s="1"/>
    </row>
    <row r="6418" ht="15.75" customHeight="1">
      <c r="A6418" s="1"/>
      <c r="B6418" s="1"/>
      <c r="C6418" s="1"/>
      <c r="D6418" s="1"/>
      <c r="E6418" s="1"/>
      <c r="F6418" s="1"/>
      <c r="G6418" s="1"/>
      <c r="H6418" s="1"/>
      <c r="I6418" s="1"/>
      <c r="J6418" s="1"/>
      <c r="K6418" s="106" t="s">
        <v>9903</v>
      </c>
      <c r="L6418" t="str">
        <f>H966</f>
        <v>J2a1a1b2</v>
      </c>
      <c r="M6418" s="106" t="s">
        <v>9904</v>
      </c>
      <c r="N6418" t="s">
        <v>9900</v>
      </c>
      <c r="O6418" s="108">
        <v>1.4073113E7</v>
      </c>
      <c r="P6418" s="105">
        <v>1.1952407E7</v>
      </c>
      <c r="Q6418" s="102" t="s">
        <v>2439</v>
      </c>
      <c r="S6418" s="1"/>
      <c r="T6418" s="1"/>
      <c r="U6418" s="1"/>
      <c r="V6418" s="1"/>
      <c r="W6418" s="1"/>
      <c r="X6418" s="1"/>
      <c r="Y6418" s="1"/>
      <c r="AA6418" s="102"/>
      <c r="AB6418" s="1"/>
      <c r="AC6418" s="1"/>
      <c r="AD6418" s="1"/>
      <c r="AE6418" s="1"/>
      <c r="AF6418" s="1"/>
      <c r="AG6418" s="1"/>
    </row>
    <row r="6419" ht="15.75" customHeight="1">
      <c r="A6419" s="1"/>
      <c r="B6419" s="1"/>
      <c r="C6419" s="1"/>
      <c r="D6419" s="1"/>
      <c r="E6419" s="1"/>
      <c r="F6419" s="1"/>
      <c r="G6419" s="1"/>
      <c r="H6419" s="1"/>
      <c r="I6419" s="1"/>
      <c r="J6419" s="1"/>
      <c r="K6419" s="106" t="s">
        <v>9905</v>
      </c>
      <c r="L6419" t="str">
        <f>H966</f>
        <v>J2a1a1b2</v>
      </c>
      <c r="M6419" s="106" t="s">
        <v>9906</v>
      </c>
      <c r="N6419" t="s">
        <v>9907</v>
      </c>
      <c r="O6419" s="108">
        <v>1.4197456E7</v>
      </c>
      <c r="P6419" s="105">
        <v>1.207675E7</v>
      </c>
      <c r="Q6419" s="102" t="s">
        <v>2439</v>
      </c>
      <c r="S6419" s="1"/>
      <c r="T6419" s="1"/>
      <c r="U6419" s="1"/>
      <c r="V6419" s="1"/>
      <c r="W6419" s="1"/>
      <c r="X6419" s="1"/>
      <c r="Y6419" s="1"/>
      <c r="AA6419" s="102"/>
      <c r="AB6419" s="1"/>
      <c r="AC6419" s="1"/>
      <c r="AD6419" s="1"/>
      <c r="AE6419" s="1"/>
      <c r="AF6419" s="1"/>
      <c r="AG6419" s="1"/>
    </row>
    <row r="6420" ht="15.75" customHeight="1">
      <c r="A6420" s="1"/>
      <c r="B6420" s="1"/>
      <c r="C6420" s="1"/>
      <c r="D6420" s="1"/>
      <c r="E6420" s="1"/>
      <c r="F6420" s="1"/>
      <c r="G6420" s="1"/>
      <c r="H6420" s="1"/>
      <c r="I6420" s="1"/>
      <c r="J6420" s="1"/>
      <c r="K6420" s="102" t="s">
        <v>9908</v>
      </c>
      <c r="L6420" t="str">
        <f>H966</f>
        <v>J2a1a1b2</v>
      </c>
      <c r="M6420" s="102" t="s">
        <v>9909</v>
      </c>
      <c r="N6420" t="s">
        <v>9907</v>
      </c>
      <c r="O6420" s="108">
        <v>1.4197456E7</v>
      </c>
      <c r="P6420" s="105">
        <v>1.207675E7</v>
      </c>
      <c r="Q6420" s="102" t="s">
        <v>2439</v>
      </c>
      <c r="S6420" s="1"/>
      <c r="T6420" s="1"/>
      <c r="U6420" s="1"/>
      <c r="V6420" s="1"/>
      <c r="W6420" s="1"/>
      <c r="X6420" s="1"/>
      <c r="Y6420" s="1"/>
      <c r="AA6420" s="102"/>
      <c r="AB6420" s="1"/>
      <c r="AC6420" s="1"/>
      <c r="AD6420" s="1"/>
      <c r="AE6420" s="1"/>
      <c r="AF6420" s="1"/>
      <c r="AG6420" s="1"/>
    </row>
    <row r="6421" ht="15.75" customHeight="1">
      <c r="A6421" s="1"/>
      <c r="B6421" s="1"/>
      <c r="C6421" s="1"/>
      <c r="D6421" s="1"/>
      <c r="E6421" s="1"/>
      <c r="F6421" s="1"/>
      <c r="G6421" s="1"/>
      <c r="H6421" s="1"/>
      <c r="I6421" s="1"/>
      <c r="J6421" s="1"/>
      <c r="K6421" s="106" t="s">
        <v>9910</v>
      </c>
      <c r="L6421" t="str">
        <f>H966</f>
        <v>J2a1a1b2</v>
      </c>
      <c r="M6421" s="106" t="s">
        <v>9911</v>
      </c>
      <c r="N6421" t="s">
        <v>9907</v>
      </c>
      <c r="O6421" s="108">
        <v>1.4197456E7</v>
      </c>
      <c r="P6421" s="105">
        <v>1.207675E7</v>
      </c>
      <c r="Q6421" s="102" t="s">
        <v>2439</v>
      </c>
      <c r="S6421" s="1"/>
      <c r="T6421" s="1"/>
      <c r="U6421" s="1"/>
      <c r="V6421" s="1"/>
      <c r="W6421" s="1"/>
      <c r="X6421" s="1"/>
      <c r="Y6421" s="1"/>
      <c r="AA6421" s="102"/>
      <c r="AB6421" s="1"/>
      <c r="AC6421" s="1"/>
      <c r="AD6421" s="1"/>
      <c r="AE6421" s="1"/>
      <c r="AF6421" s="1"/>
      <c r="AG6421" s="1"/>
    </row>
    <row r="6422" ht="15.75" customHeight="1">
      <c r="A6422" s="1"/>
      <c r="B6422" s="1"/>
      <c r="C6422" s="1"/>
      <c r="D6422" s="1"/>
      <c r="E6422" s="1"/>
      <c r="F6422" s="1"/>
      <c r="G6422" s="1"/>
      <c r="H6422" s="1"/>
      <c r="I6422" s="1"/>
      <c r="J6422" s="1"/>
      <c r="K6422" s="106" t="s">
        <v>9912</v>
      </c>
      <c r="L6422" t="str">
        <f>H966</f>
        <v>J2a1a1b2</v>
      </c>
      <c r="M6422" s="106" t="s">
        <v>9913</v>
      </c>
      <c r="N6422" t="s">
        <v>9914</v>
      </c>
      <c r="O6422" s="108">
        <v>1.4454866E7</v>
      </c>
      <c r="P6422" s="105">
        <v>1.2334139E7</v>
      </c>
      <c r="Q6422" s="102" t="s">
        <v>2501</v>
      </c>
      <c r="S6422" s="1"/>
      <c r="T6422" s="1"/>
      <c r="U6422" s="1"/>
      <c r="V6422" s="1"/>
      <c r="W6422" s="1"/>
      <c r="X6422" s="1"/>
      <c r="Y6422" s="1"/>
      <c r="AA6422" s="102"/>
      <c r="AB6422" s="1"/>
      <c r="AC6422" s="1"/>
      <c r="AD6422" s="1"/>
      <c r="AE6422" s="1"/>
      <c r="AF6422" s="1"/>
      <c r="AG6422" s="1"/>
    </row>
    <row r="6423" ht="15.75" customHeight="1">
      <c r="A6423" s="1"/>
      <c r="B6423" s="1"/>
      <c r="C6423" s="1"/>
      <c r="D6423" s="1"/>
      <c r="E6423" s="1"/>
      <c r="F6423" s="1"/>
      <c r="G6423" s="1"/>
      <c r="H6423" s="1"/>
      <c r="I6423" s="1"/>
      <c r="J6423" s="1"/>
      <c r="K6423" s="102" t="s">
        <v>9915</v>
      </c>
      <c r="L6423" t="str">
        <f>H966</f>
        <v>J2a1a1b2</v>
      </c>
      <c r="M6423" s="102" t="s">
        <v>9916</v>
      </c>
      <c r="N6423" t="s">
        <v>9914</v>
      </c>
      <c r="O6423" s="108">
        <v>1.4454866E7</v>
      </c>
      <c r="P6423" s="105">
        <v>1.2334139E7</v>
      </c>
      <c r="Q6423" s="102" t="s">
        <v>2501</v>
      </c>
      <c r="S6423" s="1"/>
      <c r="T6423" s="1"/>
      <c r="U6423" s="1"/>
      <c r="V6423" s="1"/>
      <c r="W6423" s="1"/>
      <c r="X6423" s="1"/>
      <c r="Y6423" s="1"/>
      <c r="AA6423" s="102"/>
      <c r="AB6423" s="1"/>
      <c r="AC6423" s="1"/>
      <c r="AD6423" s="1"/>
      <c r="AE6423" s="1"/>
      <c r="AF6423" s="1"/>
      <c r="AG6423" s="1"/>
    </row>
    <row r="6424" ht="15.75" customHeight="1">
      <c r="A6424" s="1"/>
      <c r="B6424" s="1"/>
      <c r="C6424" s="1"/>
      <c r="D6424" s="1"/>
      <c r="E6424" s="1"/>
      <c r="F6424" s="1"/>
      <c r="G6424" s="1"/>
      <c r="H6424" s="1"/>
      <c r="I6424" s="1"/>
      <c r="J6424" s="1"/>
      <c r="K6424" s="106" t="s">
        <v>9917</v>
      </c>
      <c r="L6424" t="str">
        <f>H966</f>
        <v>J2a1a1b2</v>
      </c>
      <c r="M6424" s="106" t="s">
        <v>9918</v>
      </c>
      <c r="N6424" t="s">
        <v>9914</v>
      </c>
      <c r="O6424" s="108">
        <v>1.4454866E7</v>
      </c>
      <c r="P6424" s="105">
        <v>1.2334139E7</v>
      </c>
      <c r="Q6424" s="102" t="s">
        <v>2501</v>
      </c>
      <c r="S6424" s="1"/>
      <c r="T6424" s="1"/>
      <c r="U6424" s="1"/>
      <c r="V6424" s="1"/>
      <c r="W6424" s="1"/>
      <c r="X6424" s="1"/>
      <c r="Y6424" s="1"/>
      <c r="AA6424" s="102"/>
      <c r="AB6424" s="1"/>
      <c r="AC6424" s="1"/>
      <c r="AD6424" s="1"/>
      <c r="AE6424" s="1"/>
      <c r="AF6424" s="1"/>
      <c r="AG6424" s="1"/>
    </row>
    <row r="6425" ht="15.75" customHeight="1">
      <c r="A6425" s="1"/>
      <c r="B6425" s="1"/>
      <c r="C6425" s="1"/>
      <c r="D6425" s="1"/>
      <c r="E6425" s="1"/>
      <c r="F6425" s="1"/>
      <c r="G6425" s="1"/>
      <c r="H6425" s="1"/>
      <c r="I6425" s="1"/>
      <c r="J6425" s="1"/>
      <c r="K6425" s="106" t="s">
        <v>9919</v>
      </c>
      <c r="L6425" t="str">
        <f>H966</f>
        <v>J2a1a1b2</v>
      </c>
      <c r="M6425" s="106" t="s">
        <v>9920</v>
      </c>
      <c r="N6425" t="s">
        <v>9921</v>
      </c>
      <c r="O6425" s="108">
        <v>1.5047272E7</v>
      </c>
      <c r="P6425" s="105">
        <v>1.2935362E7</v>
      </c>
      <c r="Q6425" s="102" t="s">
        <v>2501</v>
      </c>
      <c r="S6425" s="1"/>
      <c r="T6425" s="1"/>
      <c r="U6425" s="1"/>
      <c r="V6425" s="1"/>
      <c r="W6425" s="1"/>
      <c r="X6425" s="1"/>
      <c r="Y6425" s="1"/>
      <c r="AA6425" s="102"/>
      <c r="AB6425" s="1"/>
      <c r="AC6425" s="1"/>
      <c r="AD6425" s="1"/>
      <c r="AE6425" s="1"/>
      <c r="AF6425" s="1"/>
      <c r="AG6425" s="1"/>
    </row>
    <row r="6426" ht="15.75" customHeight="1">
      <c r="A6426" s="1"/>
      <c r="B6426" s="1"/>
      <c r="C6426" s="1"/>
      <c r="D6426" s="1"/>
      <c r="E6426" s="1"/>
      <c r="F6426" s="1"/>
      <c r="G6426" s="1"/>
      <c r="H6426" s="1"/>
      <c r="I6426" s="1"/>
      <c r="J6426" s="1"/>
      <c r="K6426" s="102" t="s">
        <v>9922</v>
      </c>
      <c r="L6426" t="str">
        <f>H966</f>
        <v>J2a1a1b2</v>
      </c>
      <c r="M6426" s="102" t="s">
        <v>9923</v>
      </c>
      <c r="N6426" t="s">
        <v>9921</v>
      </c>
      <c r="O6426" s="108">
        <v>1.5047272E7</v>
      </c>
      <c r="P6426" s="105">
        <v>1.2935362E7</v>
      </c>
      <c r="Q6426" s="102" t="s">
        <v>2501</v>
      </c>
      <c r="S6426" s="1"/>
      <c r="T6426" s="1"/>
      <c r="U6426" s="1"/>
      <c r="V6426" s="1"/>
      <c r="W6426" s="1"/>
      <c r="X6426" s="1"/>
      <c r="Y6426" s="1"/>
      <c r="AA6426" s="102"/>
      <c r="AB6426" s="1"/>
      <c r="AC6426" s="1"/>
      <c r="AD6426" s="1"/>
      <c r="AE6426" s="1"/>
      <c r="AF6426" s="1"/>
      <c r="AG6426" s="1"/>
    </row>
    <row r="6427" ht="15.75" customHeight="1">
      <c r="A6427" s="1"/>
      <c r="B6427" s="1"/>
      <c r="C6427" s="1"/>
      <c r="D6427" s="1"/>
      <c r="E6427" s="1"/>
      <c r="F6427" s="1"/>
      <c r="G6427" s="1"/>
      <c r="H6427" s="1"/>
      <c r="I6427" s="1"/>
      <c r="J6427" s="1"/>
      <c r="K6427" s="106" t="s">
        <v>9924</v>
      </c>
      <c r="L6427" t="str">
        <f>H966</f>
        <v>J2a1a1b2</v>
      </c>
      <c r="M6427" s="106" t="s">
        <v>9925</v>
      </c>
      <c r="N6427" t="s">
        <v>9921</v>
      </c>
      <c r="O6427" s="108">
        <v>1.5047272E7</v>
      </c>
      <c r="P6427" s="105">
        <v>1.2935362E7</v>
      </c>
      <c r="Q6427" s="102" t="s">
        <v>2501</v>
      </c>
      <c r="S6427" s="1"/>
      <c r="T6427" s="1"/>
      <c r="U6427" s="1"/>
      <c r="V6427" s="1"/>
      <c r="W6427" s="1"/>
      <c r="X6427" s="1"/>
      <c r="Y6427" s="1"/>
      <c r="AA6427" s="102"/>
      <c r="AB6427" s="1"/>
      <c r="AC6427" s="1"/>
      <c r="AD6427" s="1"/>
      <c r="AE6427" s="1"/>
      <c r="AF6427" s="1"/>
      <c r="AG6427" s="1"/>
    </row>
    <row r="6428" ht="15.75" customHeight="1">
      <c r="A6428" s="1"/>
      <c r="B6428" s="1"/>
      <c r="C6428" s="1"/>
      <c r="D6428" s="1"/>
      <c r="E6428" s="1"/>
      <c r="F6428" s="1"/>
      <c r="G6428" s="1"/>
      <c r="H6428" s="1"/>
      <c r="I6428" s="1"/>
      <c r="J6428" s="1"/>
      <c r="K6428" s="106" t="s">
        <v>9926</v>
      </c>
      <c r="L6428" t="str">
        <f>H966</f>
        <v>J2a1a1b2</v>
      </c>
      <c r="M6428" s="106" t="s">
        <v>9927</v>
      </c>
      <c r="N6428" t="s">
        <v>9928</v>
      </c>
      <c r="O6428" s="108">
        <v>1.7300275E7</v>
      </c>
      <c r="P6428" s="105">
        <v>1.5188395E7</v>
      </c>
      <c r="Q6428" s="102" t="s">
        <v>2446</v>
      </c>
      <c r="S6428" s="1"/>
      <c r="T6428" s="1"/>
      <c r="U6428" s="1"/>
      <c r="V6428" s="1"/>
      <c r="W6428" s="1"/>
      <c r="X6428" s="1"/>
      <c r="Y6428" s="1"/>
      <c r="AA6428" s="102"/>
      <c r="AB6428" s="1"/>
      <c r="AC6428" s="1"/>
      <c r="AD6428" s="1"/>
      <c r="AE6428" s="1"/>
      <c r="AF6428" s="1"/>
      <c r="AG6428" s="1"/>
    </row>
    <row r="6429" ht="15.75" customHeight="1">
      <c r="A6429" s="1"/>
      <c r="B6429" s="1"/>
      <c r="C6429" s="1"/>
      <c r="D6429" s="1"/>
      <c r="E6429" s="1"/>
      <c r="F6429" s="1"/>
      <c r="G6429" s="1"/>
      <c r="H6429" s="1"/>
      <c r="I6429" s="1"/>
      <c r="J6429" s="1"/>
      <c r="K6429" s="102" t="s">
        <v>9927</v>
      </c>
      <c r="L6429" t="str">
        <f>H966</f>
        <v>J2a1a1b2</v>
      </c>
      <c r="M6429" s="102" t="s">
        <v>9926</v>
      </c>
      <c r="N6429" t="s">
        <v>9928</v>
      </c>
      <c r="O6429" s="108">
        <v>1.7300275E7</v>
      </c>
      <c r="P6429" s="105">
        <v>1.5188395E7</v>
      </c>
      <c r="Q6429" s="102" t="s">
        <v>2446</v>
      </c>
      <c r="S6429" s="1"/>
      <c r="T6429" s="1"/>
      <c r="U6429" s="1"/>
      <c r="V6429" s="1"/>
      <c r="W6429" s="1"/>
      <c r="X6429" s="1"/>
      <c r="Y6429" s="1"/>
      <c r="AA6429" s="102"/>
      <c r="AB6429" s="1"/>
      <c r="AC6429" s="1"/>
      <c r="AD6429" s="1"/>
      <c r="AE6429" s="1"/>
      <c r="AF6429" s="1"/>
      <c r="AG6429" s="1"/>
    </row>
    <row r="6430" ht="15.75" customHeight="1">
      <c r="A6430" s="1"/>
      <c r="B6430" s="1"/>
      <c r="C6430" s="1"/>
      <c r="D6430" s="1"/>
      <c r="E6430" s="1"/>
      <c r="F6430" s="1"/>
      <c r="G6430" s="1"/>
      <c r="H6430" s="1"/>
      <c r="I6430" s="1"/>
      <c r="J6430" s="1"/>
      <c r="K6430" s="106" t="s">
        <v>9929</v>
      </c>
      <c r="L6430" t="str">
        <f>H966</f>
        <v>J2a1a1b2</v>
      </c>
      <c r="M6430" s="106" t="s">
        <v>9930</v>
      </c>
      <c r="N6430" t="s">
        <v>9931</v>
      </c>
      <c r="O6430" s="108">
        <v>1.7319025E7</v>
      </c>
      <c r="P6430" s="105">
        <v>1.5207145E7</v>
      </c>
      <c r="Q6430" s="102" t="s">
        <v>2501</v>
      </c>
      <c r="S6430" s="1"/>
      <c r="T6430" s="1"/>
      <c r="U6430" s="1"/>
      <c r="V6430" s="1"/>
      <c r="W6430" s="1"/>
      <c r="X6430" s="1"/>
      <c r="Y6430" s="1"/>
      <c r="AA6430" s="102"/>
      <c r="AB6430" s="1"/>
      <c r="AC6430" s="1"/>
      <c r="AD6430" s="1"/>
      <c r="AE6430" s="1"/>
      <c r="AF6430" s="1"/>
      <c r="AG6430" s="1"/>
    </row>
    <row r="6431" ht="15.75" customHeight="1">
      <c r="A6431" s="1"/>
      <c r="B6431" s="1"/>
      <c r="C6431" s="1"/>
      <c r="D6431" s="1"/>
      <c r="E6431" s="1"/>
      <c r="F6431" s="1"/>
      <c r="G6431" s="1"/>
      <c r="H6431" s="1"/>
      <c r="I6431" s="1"/>
      <c r="J6431" s="1"/>
      <c r="K6431" s="102" t="s">
        <v>9932</v>
      </c>
      <c r="L6431" t="str">
        <f>H966</f>
        <v>J2a1a1b2</v>
      </c>
      <c r="M6431" s="102" t="s">
        <v>9933</v>
      </c>
      <c r="N6431" t="s">
        <v>9931</v>
      </c>
      <c r="O6431" s="108">
        <v>1.7319025E7</v>
      </c>
      <c r="P6431" s="105">
        <v>1.5207145E7</v>
      </c>
      <c r="Q6431" s="102" t="s">
        <v>2501</v>
      </c>
      <c r="S6431" s="1"/>
      <c r="T6431" s="1"/>
      <c r="U6431" s="1"/>
      <c r="V6431" s="1"/>
      <c r="W6431" s="1"/>
      <c r="X6431" s="1"/>
      <c r="Y6431" s="1"/>
      <c r="AA6431" s="102"/>
      <c r="AB6431" s="1"/>
      <c r="AC6431" s="1"/>
      <c r="AD6431" s="1"/>
      <c r="AE6431" s="1"/>
      <c r="AF6431" s="1"/>
      <c r="AG6431" s="1"/>
    </row>
    <row r="6432" ht="15.75" customHeight="1">
      <c r="A6432" s="1"/>
      <c r="B6432" s="1"/>
      <c r="C6432" s="1"/>
      <c r="D6432" s="1"/>
      <c r="E6432" s="1"/>
      <c r="F6432" s="1"/>
      <c r="G6432" s="1"/>
      <c r="H6432" s="1"/>
      <c r="I6432" s="1"/>
      <c r="J6432" s="1"/>
      <c r="K6432" s="122" t="s">
        <v>9934</v>
      </c>
      <c r="L6432" t="str">
        <f>H966</f>
        <v>J2a1a1b2</v>
      </c>
      <c r="M6432" s="106" t="s">
        <v>9935</v>
      </c>
      <c r="N6432" t="s">
        <v>9931</v>
      </c>
      <c r="O6432" s="108">
        <v>1.7319025E7</v>
      </c>
      <c r="P6432" s="105">
        <v>1.5207145E7</v>
      </c>
      <c r="Q6432" s="102" t="s">
        <v>2501</v>
      </c>
      <c r="S6432" s="1"/>
      <c r="T6432" s="1"/>
      <c r="U6432" s="1"/>
      <c r="V6432" s="1"/>
      <c r="W6432" s="1"/>
      <c r="X6432" s="1"/>
      <c r="Y6432" s="1"/>
      <c r="AA6432" s="102"/>
      <c r="AB6432" s="1"/>
      <c r="AC6432" s="1"/>
      <c r="AD6432" s="1"/>
      <c r="AE6432" s="1"/>
      <c r="AF6432" s="1"/>
      <c r="AG6432" s="1"/>
    </row>
    <row r="6433" ht="15.75" customHeight="1">
      <c r="A6433" s="1"/>
      <c r="B6433" s="1"/>
      <c r="C6433" s="1"/>
      <c r="D6433" s="1"/>
      <c r="E6433" s="1"/>
      <c r="F6433" s="1"/>
      <c r="G6433" s="1"/>
      <c r="H6433" s="1"/>
      <c r="I6433" s="1"/>
      <c r="J6433" s="1"/>
      <c r="K6433" s="106" t="s">
        <v>9936</v>
      </c>
      <c r="L6433" t="str">
        <f>H966</f>
        <v>J2a1a1b2</v>
      </c>
      <c r="M6433" s="106" t="s">
        <v>9937</v>
      </c>
      <c r="N6433" t="s">
        <v>9938</v>
      </c>
      <c r="O6433" s="108">
        <v>1.7381144E7</v>
      </c>
      <c r="P6433" s="105">
        <v>1.5269264E7</v>
      </c>
      <c r="Q6433" s="102" t="s">
        <v>2501</v>
      </c>
      <c r="S6433" s="1"/>
      <c r="T6433" s="1"/>
      <c r="U6433" s="1"/>
      <c r="V6433" s="1"/>
      <c r="W6433" s="1"/>
      <c r="X6433" s="1"/>
      <c r="Y6433" s="1"/>
      <c r="AA6433" s="102"/>
      <c r="AB6433" s="1"/>
      <c r="AC6433" s="1"/>
      <c r="AD6433" s="1"/>
      <c r="AE6433" s="1"/>
      <c r="AF6433" s="1"/>
      <c r="AG6433" s="1"/>
    </row>
    <row r="6434" ht="15.75" customHeight="1">
      <c r="A6434" s="1"/>
      <c r="B6434" s="1"/>
      <c r="C6434" s="1"/>
      <c r="D6434" s="1"/>
      <c r="E6434" s="1"/>
      <c r="F6434" s="1"/>
      <c r="G6434" s="1"/>
      <c r="H6434" s="1"/>
      <c r="I6434" s="1"/>
      <c r="J6434" s="1"/>
      <c r="K6434" s="102" t="s">
        <v>9939</v>
      </c>
      <c r="L6434" t="str">
        <f>H966</f>
        <v>J2a1a1b2</v>
      </c>
      <c r="M6434" s="102" t="s">
        <v>9940</v>
      </c>
      <c r="N6434" t="s">
        <v>9938</v>
      </c>
      <c r="O6434" s="108">
        <v>1.7381144E7</v>
      </c>
      <c r="P6434" s="105">
        <v>1.5269264E7</v>
      </c>
      <c r="Q6434" s="102" t="s">
        <v>2501</v>
      </c>
      <c r="S6434" s="1"/>
      <c r="T6434" s="1"/>
      <c r="U6434" s="1"/>
      <c r="V6434" s="1"/>
      <c r="W6434" s="1"/>
      <c r="X6434" s="1"/>
      <c r="Y6434" s="1"/>
      <c r="AA6434" s="102"/>
      <c r="AB6434" s="1"/>
      <c r="AC6434" s="1"/>
      <c r="AD6434" s="1"/>
      <c r="AE6434" s="1"/>
      <c r="AF6434" s="1"/>
      <c r="AG6434" s="1"/>
    </row>
    <row r="6435" ht="15.75" customHeight="1">
      <c r="A6435" s="1"/>
      <c r="B6435" s="1"/>
      <c r="C6435" s="1"/>
      <c r="D6435" s="1"/>
      <c r="E6435" s="1"/>
      <c r="F6435" s="1"/>
      <c r="G6435" s="1"/>
      <c r="H6435" s="1"/>
      <c r="I6435" s="1"/>
      <c r="J6435" s="1"/>
      <c r="K6435" s="106" t="s">
        <v>9941</v>
      </c>
      <c r="L6435" t="str">
        <f>H966</f>
        <v>J2a1a1b2</v>
      </c>
      <c r="M6435" s="106" t="s">
        <v>9942</v>
      </c>
      <c r="N6435" t="s">
        <v>9938</v>
      </c>
      <c r="O6435" s="108">
        <v>1.7381144E7</v>
      </c>
      <c r="P6435" s="105">
        <v>1.5269264E7</v>
      </c>
      <c r="Q6435" s="102" t="s">
        <v>2501</v>
      </c>
      <c r="S6435" s="1"/>
      <c r="T6435" s="1"/>
      <c r="U6435" s="1"/>
      <c r="V6435" s="1"/>
      <c r="W6435" s="1"/>
      <c r="X6435" s="1"/>
      <c r="Y6435" s="1"/>
      <c r="AA6435" s="102"/>
      <c r="AB6435" s="1"/>
      <c r="AC6435" s="1"/>
      <c r="AD6435" s="1"/>
      <c r="AE6435" s="1"/>
      <c r="AF6435" s="1"/>
      <c r="AG6435" s="1"/>
    </row>
    <row r="6436" ht="15.75" customHeight="1">
      <c r="A6436" s="1"/>
      <c r="B6436" s="1"/>
      <c r="C6436" s="1"/>
      <c r="D6436" s="1"/>
      <c r="E6436" s="1"/>
      <c r="F6436" s="1"/>
      <c r="G6436" s="1"/>
      <c r="H6436" s="1"/>
      <c r="I6436" s="1"/>
      <c r="J6436" s="1"/>
      <c r="K6436" s="106" t="s">
        <v>9943</v>
      </c>
      <c r="L6436" t="str">
        <f>H966</f>
        <v>J2a1a1b2</v>
      </c>
      <c r="M6436" s="106" t="s">
        <v>9944</v>
      </c>
      <c r="N6436" t="s">
        <v>9945</v>
      </c>
      <c r="O6436" s="108">
        <v>1.7676943E7</v>
      </c>
      <c r="P6436" s="105">
        <v>1.5565063E7</v>
      </c>
      <c r="Q6436" s="102" t="s">
        <v>2439</v>
      </c>
      <c r="S6436" s="1"/>
      <c r="T6436" s="1"/>
      <c r="U6436" s="1"/>
      <c r="V6436" s="1"/>
      <c r="W6436" s="1"/>
      <c r="X6436" s="1"/>
      <c r="Y6436" s="1"/>
      <c r="AA6436" s="102"/>
      <c r="AB6436" s="1"/>
      <c r="AC6436" s="1"/>
      <c r="AD6436" s="1"/>
      <c r="AE6436" s="1"/>
      <c r="AF6436" s="1"/>
      <c r="AG6436" s="1"/>
    </row>
    <row r="6437" ht="15.75" customHeight="1">
      <c r="A6437" s="1"/>
      <c r="B6437" s="1"/>
      <c r="C6437" s="1"/>
      <c r="D6437" s="1"/>
      <c r="E6437" s="1"/>
      <c r="F6437" s="1"/>
      <c r="G6437" s="1"/>
      <c r="H6437" s="1"/>
      <c r="I6437" s="1"/>
      <c r="J6437" s="1"/>
      <c r="K6437" s="102" t="s">
        <v>9946</v>
      </c>
      <c r="L6437" t="str">
        <f>H966</f>
        <v>J2a1a1b2</v>
      </c>
      <c r="M6437" s="102" t="s">
        <v>9947</v>
      </c>
      <c r="N6437" t="s">
        <v>9945</v>
      </c>
      <c r="O6437" s="108">
        <v>1.7676943E7</v>
      </c>
      <c r="P6437" s="105">
        <v>1.5565063E7</v>
      </c>
      <c r="Q6437" s="102" t="s">
        <v>2439</v>
      </c>
      <c r="S6437" s="1"/>
      <c r="T6437" s="1"/>
      <c r="U6437" s="1"/>
      <c r="V6437" s="1"/>
      <c r="W6437" s="1"/>
      <c r="X6437" s="1"/>
      <c r="Y6437" s="1"/>
      <c r="AA6437" s="102"/>
      <c r="AB6437" s="1"/>
      <c r="AC6437" s="1"/>
      <c r="AD6437" s="1"/>
      <c r="AE6437" s="1"/>
      <c r="AF6437" s="1"/>
      <c r="AG6437" s="1"/>
    </row>
    <row r="6438" ht="15.75" customHeight="1">
      <c r="A6438" s="1"/>
      <c r="B6438" s="1"/>
      <c r="C6438" s="1"/>
      <c r="D6438" s="1"/>
      <c r="E6438" s="1"/>
      <c r="F6438" s="1"/>
      <c r="G6438" s="1"/>
      <c r="H6438" s="1"/>
      <c r="I6438" s="1"/>
      <c r="J6438" s="1"/>
      <c r="K6438" s="106" t="s">
        <v>9948</v>
      </c>
      <c r="L6438" t="str">
        <f>H966</f>
        <v>J2a1a1b2</v>
      </c>
      <c r="M6438" s="106" t="s">
        <v>9949</v>
      </c>
      <c r="N6438" t="s">
        <v>9945</v>
      </c>
      <c r="O6438" s="108">
        <v>1.7676943E7</v>
      </c>
      <c r="P6438" s="105">
        <v>1.5565063E7</v>
      </c>
      <c r="Q6438" s="102" t="s">
        <v>2439</v>
      </c>
      <c r="S6438" s="1"/>
      <c r="T6438" s="1"/>
      <c r="U6438" s="1"/>
      <c r="V6438" s="1"/>
      <c r="W6438" s="1"/>
      <c r="X6438" s="1"/>
      <c r="Y6438" s="1"/>
      <c r="AA6438" s="102"/>
      <c r="AB6438" s="1"/>
      <c r="AC6438" s="1"/>
      <c r="AD6438" s="1"/>
      <c r="AE6438" s="1"/>
      <c r="AF6438" s="1"/>
      <c r="AG6438" s="1"/>
    </row>
    <row r="6439" ht="15.75" customHeight="1">
      <c r="A6439" s="1"/>
      <c r="B6439" s="1"/>
      <c r="C6439" s="1"/>
      <c r="D6439" s="1"/>
      <c r="E6439" s="1"/>
      <c r="F6439" s="1"/>
      <c r="G6439" s="1"/>
      <c r="H6439" s="1"/>
      <c r="I6439" s="1"/>
      <c r="J6439" s="1"/>
      <c r="K6439" s="106" t="s">
        <v>9950</v>
      </c>
      <c r="L6439" t="str">
        <f>H966</f>
        <v>J2a1a1b2</v>
      </c>
      <c r="M6439" s="106" t="s">
        <v>9951</v>
      </c>
      <c r="N6439" t="s">
        <v>9952</v>
      </c>
      <c r="O6439" s="108">
        <v>2.1717735E7</v>
      </c>
      <c r="P6439" s="105">
        <v>1.9555849E7</v>
      </c>
      <c r="Q6439" s="102" t="s">
        <v>2501</v>
      </c>
      <c r="S6439" s="1"/>
      <c r="T6439" s="1"/>
      <c r="U6439" s="1"/>
      <c r="V6439" s="1"/>
      <c r="W6439" s="1"/>
      <c r="X6439" s="1"/>
      <c r="Y6439" s="1"/>
      <c r="AA6439" s="102"/>
      <c r="AB6439" s="1"/>
      <c r="AC6439" s="1"/>
      <c r="AD6439" s="1"/>
      <c r="AE6439" s="1"/>
      <c r="AF6439" s="1"/>
      <c r="AG6439" s="1"/>
    </row>
    <row r="6440" ht="15.75" customHeight="1">
      <c r="A6440" s="1"/>
      <c r="B6440" s="1"/>
      <c r="C6440" s="1"/>
      <c r="D6440" s="1"/>
      <c r="E6440" s="1"/>
      <c r="F6440" s="1"/>
      <c r="G6440" s="1"/>
      <c r="H6440" s="1"/>
      <c r="I6440" s="1"/>
      <c r="J6440" s="1"/>
      <c r="K6440" s="102" t="s">
        <v>9951</v>
      </c>
      <c r="L6440" t="str">
        <f>H966</f>
        <v>J2a1a1b2</v>
      </c>
      <c r="M6440" s="102" t="s">
        <v>9950</v>
      </c>
      <c r="N6440" t="s">
        <v>9952</v>
      </c>
      <c r="O6440" s="108">
        <v>2.1717735E7</v>
      </c>
      <c r="P6440" s="105">
        <v>1.9555849E7</v>
      </c>
      <c r="Q6440" s="102" t="s">
        <v>2501</v>
      </c>
      <c r="S6440" s="1"/>
      <c r="T6440" s="1"/>
      <c r="U6440" s="1"/>
      <c r="V6440" s="1"/>
      <c r="W6440" s="1"/>
      <c r="X6440" s="1"/>
      <c r="Y6440" s="1"/>
      <c r="AA6440" s="102"/>
      <c r="AB6440" s="1"/>
      <c r="AC6440" s="1"/>
      <c r="AD6440" s="1"/>
      <c r="AE6440" s="1"/>
      <c r="AF6440" s="1"/>
      <c r="AG6440" s="1"/>
    </row>
    <row r="6441" ht="15.75" customHeight="1">
      <c r="A6441" s="1"/>
      <c r="B6441" s="1"/>
      <c r="C6441" s="1"/>
      <c r="D6441" s="1"/>
      <c r="E6441" s="1"/>
      <c r="F6441" s="1"/>
      <c r="G6441" s="1"/>
      <c r="H6441" s="1"/>
      <c r="I6441" s="1"/>
      <c r="J6441" s="1"/>
      <c r="K6441" s="106" t="s">
        <v>9953</v>
      </c>
      <c r="L6441" t="str">
        <f>H966</f>
        <v>J2a1a1b2</v>
      </c>
      <c r="M6441" s="106" t="s">
        <v>9954</v>
      </c>
      <c r="N6441" t="s">
        <v>9955</v>
      </c>
      <c r="O6441" s="108">
        <v>2.3137392E7</v>
      </c>
      <c r="P6441" s="105">
        <v>2.0975506E7</v>
      </c>
      <c r="Q6441" s="102" t="s">
        <v>2446</v>
      </c>
      <c r="S6441" s="1"/>
      <c r="T6441" s="1"/>
      <c r="U6441" s="1"/>
      <c r="V6441" s="1"/>
      <c r="W6441" s="1"/>
      <c r="X6441" s="1"/>
      <c r="Y6441" s="1"/>
      <c r="AA6441" s="102"/>
      <c r="AB6441" s="1"/>
      <c r="AC6441" s="1"/>
      <c r="AD6441" s="1"/>
      <c r="AE6441" s="1"/>
      <c r="AF6441" s="1"/>
      <c r="AG6441" s="1"/>
    </row>
    <row r="6442" ht="15.75" customHeight="1">
      <c r="A6442" s="1"/>
      <c r="B6442" s="1"/>
      <c r="C6442" s="1"/>
      <c r="D6442" s="1"/>
      <c r="E6442" s="1"/>
      <c r="F6442" s="1"/>
      <c r="G6442" s="1"/>
      <c r="H6442" s="1"/>
      <c r="I6442" s="1"/>
      <c r="J6442" s="1"/>
      <c r="K6442" s="102" t="s">
        <v>9956</v>
      </c>
      <c r="L6442" t="str">
        <f>H966</f>
        <v>J2a1a1b2</v>
      </c>
      <c r="M6442" s="102" t="s">
        <v>9957</v>
      </c>
      <c r="N6442" t="s">
        <v>9955</v>
      </c>
      <c r="O6442" s="108">
        <v>2.3137392E7</v>
      </c>
      <c r="P6442" s="105">
        <v>2.0975506E7</v>
      </c>
      <c r="Q6442" s="102" t="s">
        <v>2446</v>
      </c>
      <c r="S6442" s="1"/>
      <c r="T6442" s="1"/>
      <c r="U6442" s="1"/>
      <c r="V6442" s="1"/>
      <c r="W6442" s="1"/>
      <c r="X6442" s="1"/>
      <c r="Y6442" s="1"/>
      <c r="AA6442" s="102"/>
      <c r="AB6442" s="1"/>
      <c r="AC6442" s="1"/>
      <c r="AD6442" s="1"/>
      <c r="AE6442" s="1"/>
      <c r="AF6442" s="1"/>
      <c r="AG6442" s="1"/>
    </row>
    <row r="6443" ht="15.75" customHeight="1">
      <c r="A6443" s="1"/>
      <c r="B6443" s="1"/>
      <c r="C6443" s="1"/>
      <c r="D6443" s="1"/>
      <c r="E6443" s="1"/>
      <c r="F6443" s="1"/>
      <c r="G6443" s="1"/>
      <c r="H6443" s="1"/>
      <c r="I6443" s="1"/>
      <c r="J6443" s="1"/>
      <c r="K6443" s="106" t="s">
        <v>9958</v>
      </c>
      <c r="L6443" t="str">
        <f>H966</f>
        <v>J2a1a1b2</v>
      </c>
      <c r="M6443" s="106" t="s">
        <v>9959</v>
      </c>
      <c r="N6443" t="s">
        <v>9955</v>
      </c>
      <c r="O6443" s="108">
        <v>2.3137392E7</v>
      </c>
      <c r="P6443" s="105">
        <v>2.0975506E7</v>
      </c>
      <c r="Q6443" s="102" t="s">
        <v>2446</v>
      </c>
      <c r="S6443" s="1"/>
      <c r="T6443" s="1"/>
      <c r="U6443" s="1"/>
      <c r="V6443" s="1"/>
      <c r="W6443" s="1"/>
      <c r="X6443" s="1"/>
      <c r="Y6443" s="1"/>
      <c r="AA6443" s="102"/>
      <c r="AB6443" s="1"/>
      <c r="AC6443" s="1"/>
      <c r="AD6443" s="1"/>
      <c r="AE6443" s="1"/>
      <c r="AF6443" s="1"/>
      <c r="AG6443" s="1"/>
    </row>
    <row r="6444" ht="15.75" customHeight="1">
      <c r="A6444" s="1"/>
      <c r="B6444" s="1"/>
      <c r="C6444" s="1"/>
      <c r="D6444" s="1"/>
      <c r="E6444" s="1"/>
      <c r="F6444" s="1"/>
      <c r="G6444" s="1"/>
      <c r="H6444" s="1"/>
      <c r="I6444" s="1"/>
      <c r="J6444" s="1"/>
      <c r="K6444" s="106" t="s">
        <v>9960</v>
      </c>
      <c r="L6444" t="str">
        <f>H966</f>
        <v>J2a1a1b2</v>
      </c>
      <c r="M6444" s="106" t="s">
        <v>9961</v>
      </c>
      <c r="N6444" t="s">
        <v>9962</v>
      </c>
      <c r="O6444" s="108">
        <v>2.3184106E7</v>
      </c>
      <c r="P6444" s="105">
        <v>2.102222E7</v>
      </c>
      <c r="Q6444" s="102" t="s">
        <v>2533</v>
      </c>
      <c r="S6444" s="1"/>
      <c r="T6444" s="1"/>
      <c r="U6444" s="1"/>
      <c r="V6444" s="1"/>
      <c r="W6444" s="1"/>
      <c r="X6444" s="1"/>
      <c r="Y6444" s="1"/>
      <c r="AA6444" s="102"/>
      <c r="AB6444" s="1"/>
      <c r="AC6444" s="1"/>
      <c r="AD6444" s="1"/>
      <c r="AE6444" s="1"/>
      <c r="AF6444" s="1"/>
      <c r="AG6444" s="1"/>
    </row>
    <row r="6445" ht="15.75" customHeight="1">
      <c r="A6445" s="1"/>
      <c r="B6445" s="1"/>
      <c r="C6445" s="1"/>
      <c r="D6445" s="1"/>
      <c r="E6445" s="1"/>
      <c r="F6445" s="1"/>
      <c r="G6445" s="1"/>
      <c r="H6445" s="1"/>
      <c r="I6445" s="1"/>
      <c r="J6445" s="1"/>
      <c r="K6445" s="102" t="s">
        <v>9963</v>
      </c>
      <c r="L6445" t="str">
        <f>H966</f>
        <v>J2a1a1b2</v>
      </c>
      <c r="M6445" s="102" t="s">
        <v>9964</v>
      </c>
      <c r="N6445" t="s">
        <v>9962</v>
      </c>
      <c r="O6445" s="108">
        <v>2.3184106E7</v>
      </c>
      <c r="P6445" s="105">
        <v>2.102222E7</v>
      </c>
      <c r="Q6445" s="102" t="s">
        <v>2533</v>
      </c>
      <c r="S6445" s="1"/>
      <c r="T6445" s="1"/>
      <c r="U6445" s="1"/>
      <c r="V6445" s="1"/>
      <c r="W6445" s="1"/>
      <c r="X6445" s="1"/>
      <c r="Y6445" s="1"/>
      <c r="AA6445" s="102"/>
      <c r="AB6445" s="1"/>
      <c r="AC6445" s="1"/>
      <c r="AD6445" s="1"/>
      <c r="AE6445" s="1"/>
      <c r="AF6445" s="1"/>
      <c r="AG6445" s="1"/>
    </row>
    <row r="6446" ht="15.75" customHeight="1">
      <c r="A6446" s="1"/>
      <c r="B6446" s="1"/>
      <c r="C6446" s="1"/>
      <c r="D6446" s="1"/>
      <c r="E6446" s="1"/>
      <c r="F6446" s="1"/>
      <c r="G6446" s="1"/>
      <c r="H6446" s="1"/>
      <c r="I6446" s="1"/>
      <c r="J6446" s="1"/>
      <c r="K6446" s="106" t="s">
        <v>9965</v>
      </c>
      <c r="L6446" t="str">
        <f>H966</f>
        <v>J2a1a1b2</v>
      </c>
      <c r="M6446" s="106" t="s">
        <v>9966</v>
      </c>
      <c r="N6446" t="s">
        <v>9962</v>
      </c>
      <c r="O6446" s="108">
        <v>2.3184106E7</v>
      </c>
      <c r="P6446" s="105">
        <v>2.102222E7</v>
      </c>
      <c r="Q6446" s="102" t="s">
        <v>2533</v>
      </c>
      <c r="S6446" s="1"/>
      <c r="T6446" s="1"/>
      <c r="U6446" s="1"/>
      <c r="V6446" s="1"/>
      <c r="W6446" s="1"/>
      <c r="X6446" s="1"/>
      <c r="Y6446" s="1"/>
      <c r="AA6446" s="102"/>
      <c r="AB6446" s="1"/>
      <c r="AC6446" s="1"/>
      <c r="AD6446" s="1"/>
      <c r="AE6446" s="1"/>
      <c r="AF6446" s="1"/>
      <c r="AG6446" s="1"/>
    </row>
    <row r="6447" ht="15.75" customHeight="1">
      <c r="A6447" s="1"/>
      <c r="B6447" s="1"/>
      <c r="C6447" s="1"/>
      <c r="D6447" s="1"/>
      <c r="E6447" s="1"/>
      <c r="F6447" s="1"/>
      <c r="G6447" s="1"/>
      <c r="H6447" s="1"/>
      <c r="I6447" s="1"/>
      <c r="J6447" s="1"/>
      <c r="K6447" s="106" t="s">
        <v>9967</v>
      </c>
      <c r="L6447" t="str">
        <f>H966</f>
        <v>J2a1a1b2</v>
      </c>
      <c r="M6447" s="106" t="s">
        <v>9968</v>
      </c>
      <c r="N6447" t="s">
        <v>9969</v>
      </c>
      <c r="O6447" s="108">
        <v>6969270.0</v>
      </c>
      <c r="P6447" s="105">
        <v>7101229.0</v>
      </c>
      <c r="Q6447" s="102" t="s">
        <v>2439</v>
      </c>
      <c r="S6447" s="1"/>
      <c r="T6447" s="1"/>
      <c r="U6447" s="1"/>
      <c r="V6447" s="1"/>
      <c r="W6447" s="1"/>
      <c r="X6447" s="1"/>
      <c r="Y6447" s="1"/>
      <c r="AA6447" s="102"/>
      <c r="AB6447" s="1"/>
      <c r="AC6447" s="1"/>
      <c r="AD6447" s="1"/>
      <c r="AE6447" s="1"/>
      <c r="AF6447" s="1"/>
      <c r="AG6447" s="1"/>
    </row>
    <row r="6448" ht="15.75" customHeight="1">
      <c r="A6448" s="1"/>
      <c r="B6448" s="1"/>
      <c r="C6448" s="1"/>
      <c r="D6448" s="1"/>
      <c r="E6448" s="1"/>
      <c r="F6448" s="1"/>
      <c r="G6448" s="1"/>
      <c r="H6448" s="1"/>
      <c r="I6448" s="1"/>
      <c r="J6448" s="1"/>
      <c r="K6448" s="102" t="s">
        <v>9970</v>
      </c>
      <c r="L6448" t="str">
        <f>H966</f>
        <v>J2a1a1b2</v>
      </c>
      <c r="M6448" s="102" t="s">
        <v>9971</v>
      </c>
      <c r="N6448" t="s">
        <v>9969</v>
      </c>
      <c r="O6448" s="108">
        <v>6969270.0</v>
      </c>
      <c r="P6448" s="105">
        <v>7101229.0</v>
      </c>
      <c r="Q6448" s="102" t="s">
        <v>2439</v>
      </c>
      <c r="S6448" s="1"/>
      <c r="T6448" s="1"/>
      <c r="U6448" s="1"/>
      <c r="V6448" s="1"/>
      <c r="W6448" s="1"/>
      <c r="X6448" s="1"/>
      <c r="Y6448" s="1"/>
      <c r="AA6448" s="102"/>
      <c r="AB6448" s="1"/>
      <c r="AC6448" s="1"/>
      <c r="AD6448" s="1"/>
      <c r="AE6448" s="1"/>
      <c r="AF6448" s="1"/>
      <c r="AG6448" s="1"/>
    </row>
    <row r="6449" ht="15.75" customHeight="1">
      <c r="A6449" s="1"/>
      <c r="B6449" s="1"/>
      <c r="C6449" s="1"/>
      <c r="D6449" s="1"/>
      <c r="E6449" s="1"/>
      <c r="F6449" s="1"/>
      <c r="G6449" s="1"/>
      <c r="H6449" s="1"/>
      <c r="I6449" s="1"/>
      <c r="J6449" s="1"/>
      <c r="K6449" s="106" t="s">
        <v>9972</v>
      </c>
      <c r="L6449" t="str">
        <f>H966</f>
        <v>J2a1a1b2</v>
      </c>
      <c r="M6449" s="106" t="s">
        <v>9973</v>
      </c>
      <c r="N6449" t="s">
        <v>9969</v>
      </c>
      <c r="O6449" s="108">
        <v>6969270.0</v>
      </c>
      <c r="P6449" s="105">
        <v>7101229.0</v>
      </c>
      <c r="Q6449" s="102" t="s">
        <v>2439</v>
      </c>
      <c r="S6449" s="1"/>
      <c r="T6449" s="1"/>
      <c r="U6449" s="1"/>
      <c r="V6449" s="1"/>
      <c r="W6449" s="1"/>
      <c r="X6449" s="1"/>
      <c r="Y6449" s="1"/>
      <c r="AA6449" s="102"/>
      <c r="AB6449" s="1"/>
      <c r="AC6449" s="1"/>
      <c r="AD6449" s="1"/>
      <c r="AE6449" s="1"/>
      <c r="AF6449" s="1"/>
      <c r="AG6449" s="1"/>
    </row>
    <row r="6450" ht="15.75" customHeight="1">
      <c r="A6450" s="1"/>
      <c r="B6450" s="1"/>
      <c r="C6450" s="1"/>
      <c r="D6450" s="1"/>
      <c r="E6450" s="1"/>
      <c r="F6450" s="1"/>
      <c r="G6450" s="1"/>
      <c r="H6450" s="1"/>
      <c r="I6450" s="1"/>
      <c r="J6450" s="1"/>
      <c r="K6450" s="106" t="s">
        <v>9974</v>
      </c>
      <c r="L6450" t="str">
        <f>H966</f>
        <v>J2a1a1b2</v>
      </c>
      <c r="M6450" s="106" t="s">
        <v>9975</v>
      </c>
      <c r="N6450" t="s">
        <v>9969</v>
      </c>
      <c r="O6450" s="108">
        <v>6969270.0</v>
      </c>
      <c r="P6450" s="105">
        <v>7101229.0</v>
      </c>
      <c r="Q6450" s="102" t="s">
        <v>2439</v>
      </c>
      <c r="S6450" s="1"/>
      <c r="T6450" s="1"/>
      <c r="U6450" s="1"/>
      <c r="V6450" s="1"/>
      <c r="W6450" s="1"/>
      <c r="X6450" s="1"/>
      <c r="Y6450" s="1"/>
      <c r="AA6450" s="102"/>
      <c r="AB6450" s="1"/>
      <c r="AC6450" s="1"/>
      <c r="AD6450" s="1"/>
      <c r="AE6450" s="1"/>
      <c r="AF6450" s="1"/>
      <c r="AG6450" s="1"/>
    </row>
    <row r="6451" ht="15.75" customHeight="1">
      <c r="A6451" s="1"/>
      <c r="B6451" s="1"/>
      <c r="C6451" s="1"/>
      <c r="D6451" s="1"/>
      <c r="E6451" s="1"/>
      <c r="F6451" s="1"/>
      <c r="G6451" s="1"/>
      <c r="H6451" s="1"/>
      <c r="I6451" s="1"/>
      <c r="J6451" s="1"/>
      <c r="K6451" s="106" t="s">
        <v>9976</v>
      </c>
      <c r="L6451" t="str">
        <f>H966</f>
        <v>J2a1a1b2</v>
      </c>
      <c r="M6451" s="106" t="s">
        <v>9977</v>
      </c>
      <c r="N6451" t="s">
        <v>9978</v>
      </c>
      <c r="O6451" s="108">
        <v>1.8095242E7</v>
      </c>
      <c r="P6451" s="105">
        <v>1.5983362E7</v>
      </c>
      <c r="Q6451" s="102" t="s">
        <v>2563</v>
      </c>
      <c r="S6451" s="1"/>
      <c r="T6451" s="1"/>
      <c r="U6451" s="1"/>
      <c r="V6451" s="1"/>
      <c r="W6451" s="1"/>
      <c r="X6451" s="1"/>
      <c r="Y6451" s="1"/>
      <c r="AA6451" s="102"/>
      <c r="AB6451" s="1"/>
      <c r="AC6451" s="1"/>
      <c r="AD6451" s="1"/>
      <c r="AE6451" s="1"/>
      <c r="AF6451" s="1"/>
      <c r="AG6451" s="1"/>
    </row>
    <row r="6452" ht="15.75" customHeight="1">
      <c r="A6452" s="1"/>
      <c r="B6452" s="1"/>
      <c r="C6452" s="1"/>
      <c r="D6452" s="1"/>
      <c r="E6452" s="1"/>
      <c r="F6452" s="1"/>
      <c r="G6452" s="1"/>
      <c r="H6452" s="1"/>
      <c r="I6452" s="1"/>
      <c r="J6452" s="1"/>
      <c r="K6452" s="102" t="s">
        <v>9979</v>
      </c>
      <c r="L6452" t="str">
        <f>H966</f>
        <v>J2a1a1b2</v>
      </c>
      <c r="M6452" s="102" t="s">
        <v>9980</v>
      </c>
      <c r="N6452" t="s">
        <v>9978</v>
      </c>
      <c r="O6452" s="108">
        <v>1.8095242E7</v>
      </c>
      <c r="P6452" s="105">
        <v>1.5983362E7</v>
      </c>
      <c r="Q6452" s="102" t="s">
        <v>2563</v>
      </c>
      <c r="S6452" s="1"/>
      <c r="T6452" s="1"/>
      <c r="U6452" s="1"/>
      <c r="V6452" s="1"/>
      <c r="W6452" s="1"/>
      <c r="X6452" s="1"/>
      <c r="Y6452" s="1"/>
      <c r="AA6452" s="102"/>
      <c r="AB6452" s="1"/>
      <c r="AC6452" s="1"/>
      <c r="AD6452" s="1"/>
      <c r="AE6452" s="1"/>
      <c r="AF6452" s="1"/>
      <c r="AG6452" s="1"/>
    </row>
    <row r="6453" ht="15.75" customHeight="1">
      <c r="A6453" s="1"/>
      <c r="B6453" s="1"/>
      <c r="C6453" s="1"/>
      <c r="D6453" s="1"/>
      <c r="E6453" s="1"/>
      <c r="F6453" s="1"/>
      <c r="G6453" s="1"/>
      <c r="H6453" s="1"/>
      <c r="I6453" s="1"/>
      <c r="J6453" s="1"/>
      <c r="K6453" s="42" t="s">
        <v>9981</v>
      </c>
      <c r="L6453" t="str">
        <f>H966</f>
        <v>J2a1a1b2</v>
      </c>
      <c r="M6453" s="42" t="s">
        <v>9982</v>
      </c>
      <c r="N6453" t="s">
        <v>9978</v>
      </c>
      <c r="O6453" s="108">
        <v>1.8095242E7</v>
      </c>
      <c r="P6453" s="105">
        <v>1.5983362E7</v>
      </c>
      <c r="Q6453" s="102" t="s">
        <v>2563</v>
      </c>
      <c r="S6453" s="1"/>
      <c r="T6453" s="1"/>
      <c r="U6453" s="1"/>
      <c r="V6453" s="1"/>
      <c r="W6453" s="1"/>
      <c r="X6453" s="1"/>
      <c r="Y6453" s="1"/>
      <c r="AA6453" s="102"/>
      <c r="AB6453" s="1"/>
      <c r="AC6453" s="1"/>
      <c r="AD6453" s="1"/>
      <c r="AE6453" s="1"/>
      <c r="AF6453" s="1"/>
      <c r="AG6453" s="1"/>
    </row>
    <row r="6454" ht="15.75" customHeight="1">
      <c r="A6454" s="1"/>
      <c r="B6454" s="1"/>
      <c r="C6454" s="1"/>
      <c r="D6454" s="1"/>
      <c r="E6454" s="1"/>
      <c r="F6454" s="1"/>
      <c r="G6454" s="1"/>
      <c r="H6454" s="1"/>
      <c r="I6454" s="1"/>
      <c r="J6454" s="1"/>
      <c r="K6454" t="s">
        <v>9983</v>
      </c>
      <c r="L6454" t="str">
        <f>H966</f>
        <v>J2a1a1b2</v>
      </c>
      <c r="N6454" t="s">
        <v>9984</v>
      </c>
      <c r="O6454">
        <v>6753448.0</v>
      </c>
      <c r="P6454">
        <v>6885407.0</v>
      </c>
      <c r="Q6454" s="112" t="s">
        <v>2468</v>
      </c>
      <c r="S6454" s="1"/>
      <c r="T6454" s="1"/>
      <c r="U6454" s="1"/>
      <c r="V6454" s="1"/>
      <c r="W6454" s="1"/>
      <c r="X6454" s="1"/>
      <c r="Y6454" s="1"/>
      <c r="AA6454" s="102"/>
      <c r="AB6454" s="1"/>
      <c r="AC6454" s="1"/>
      <c r="AD6454" s="1"/>
      <c r="AE6454" s="1"/>
      <c r="AF6454" s="1"/>
      <c r="AG6454" s="1"/>
    </row>
    <row r="6455" ht="15.75" customHeight="1">
      <c r="A6455" s="1"/>
      <c r="B6455" s="1"/>
      <c r="C6455" s="1"/>
      <c r="D6455" s="1"/>
      <c r="E6455" s="1"/>
      <c r="F6455" s="1"/>
      <c r="G6455" s="1"/>
      <c r="H6455" s="1"/>
      <c r="I6455" s="1"/>
      <c r="J6455" s="1"/>
      <c r="K6455" s="102" t="s">
        <v>9985</v>
      </c>
      <c r="L6455" t="str">
        <f>H966</f>
        <v>J2a1a1b2</v>
      </c>
      <c r="M6455" s="102" t="s">
        <v>9986</v>
      </c>
      <c r="N6455" t="s">
        <v>9987</v>
      </c>
      <c r="O6455" s="108">
        <v>1.9559263E7</v>
      </c>
      <c r="P6455" s="105">
        <v>1.7447383E7</v>
      </c>
      <c r="Q6455" s="102" t="s">
        <v>2533</v>
      </c>
      <c r="S6455" s="1"/>
      <c r="T6455" s="1"/>
      <c r="U6455" s="1"/>
      <c r="V6455" s="1"/>
      <c r="W6455" s="1"/>
      <c r="X6455" s="1"/>
      <c r="Y6455" s="1"/>
      <c r="AA6455" s="102"/>
      <c r="AB6455" s="1"/>
      <c r="AC6455" s="1"/>
      <c r="AD6455" s="1"/>
      <c r="AE6455" s="1"/>
      <c r="AF6455" s="1"/>
      <c r="AG6455" s="1"/>
    </row>
    <row r="6456" ht="15.75" customHeight="1">
      <c r="A6456" s="1"/>
      <c r="B6456" s="1"/>
      <c r="C6456" s="1"/>
      <c r="D6456" s="1"/>
      <c r="E6456" s="1"/>
      <c r="F6456" s="1"/>
      <c r="G6456" s="1"/>
      <c r="H6456" s="1"/>
      <c r="I6456" s="1"/>
      <c r="J6456" s="1"/>
      <c r="K6456" s="106" t="s">
        <v>9986</v>
      </c>
      <c r="L6456" t="str">
        <f>H966</f>
        <v>J2a1a1b2</v>
      </c>
      <c r="M6456" s="106" t="s">
        <v>9985</v>
      </c>
      <c r="N6456" t="s">
        <v>9987</v>
      </c>
      <c r="O6456" s="108">
        <v>1.9559263E7</v>
      </c>
      <c r="P6456" s="105">
        <v>1.7447383E7</v>
      </c>
      <c r="Q6456" s="102" t="s">
        <v>2533</v>
      </c>
      <c r="S6456" s="1"/>
      <c r="T6456" s="1"/>
      <c r="U6456" s="1"/>
      <c r="V6456" s="1"/>
      <c r="W6456" s="1"/>
      <c r="X6456" s="1"/>
      <c r="Y6456" s="1"/>
      <c r="AA6456" s="102"/>
      <c r="AB6456" s="1"/>
      <c r="AC6456" s="1"/>
      <c r="AD6456" s="1"/>
      <c r="AE6456" s="1"/>
      <c r="AF6456" s="1"/>
      <c r="AG6456" s="1"/>
    </row>
    <row r="6457" ht="15.75" customHeight="1">
      <c r="A6457" s="1"/>
      <c r="B6457" s="1"/>
      <c r="C6457" s="1"/>
      <c r="D6457" s="1"/>
      <c r="E6457" s="1"/>
      <c r="F6457" s="1"/>
      <c r="G6457" s="1"/>
      <c r="H6457" s="1"/>
      <c r="I6457" s="1"/>
      <c r="J6457" s="1"/>
      <c r="K6457" s="102" t="s">
        <v>9988</v>
      </c>
      <c r="L6457" t="str">
        <f>H966</f>
        <v>J2a1a1b2</v>
      </c>
      <c r="M6457" s="102"/>
      <c r="N6457" t="s">
        <v>9989</v>
      </c>
      <c r="O6457" s="108">
        <v>2.2129144E7</v>
      </c>
      <c r="P6457" s="105">
        <v>1.9967258E7</v>
      </c>
      <c r="Q6457" s="102" t="s">
        <v>2439</v>
      </c>
      <c r="S6457" s="1"/>
      <c r="T6457" s="1"/>
      <c r="U6457" s="1"/>
      <c r="V6457" s="1"/>
      <c r="W6457" s="1"/>
      <c r="X6457" s="1"/>
      <c r="Y6457" s="1"/>
      <c r="AA6457" s="102"/>
      <c r="AB6457" s="1"/>
      <c r="AC6457" s="1"/>
      <c r="AD6457" s="1"/>
      <c r="AE6457" s="1"/>
      <c r="AF6457" s="1"/>
      <c r="AG6457" s="1"/>
    </row>
    <row r="6458" ht="15.75" customHeight="1">
      <c r="A6458" s="1"/>
      <c r="B6458" s="1"/>
      <c r="C6458" s="1"/>
      <c r="D6458" s="1"/>
      <c r="E6458" s="1"/>
      <c r="F6458" s="1"/>
      <c r="G6458" s="1"/>
      <c r="H6458" s="1"/>
      <c r="I6458" s="1"/>
      <c r="J6458" s="1"/>
      <c r="K6458" s="102" t="s">
        <v>9990</v>
      </c>
      <c r="L6458" t="str">
        <f>H966</f>
        <v>J2a1a1b2</v>
      </c>
      <c r="M6458" s="102"/>
      <c r="N6458" t="s">
        <v>9991</v>
      </c>
      <c r="O6458" s="108">
        <v>8509773.0</v>
      </c>
      <c r="P6458" s="105">
        <v>8641732.0</v>
      </c>
      <c r="Q6458" s="102" t="s">
        <v>2514</v>
      </c>
      <c r="S6458" s="1"/>
      <c r="T6458" s="1"/>
      <c r="U6458" s="1"/>
      <c r="V6458" s="1"/>
      <c r="W6458" s="1"/>
      <c r="X6458" s="1"/>
      <c r="Y6458" s="1"/>
      <c r="AA6458" s="102"/>
      <c r="AB6458" s="1"/>
      <c r="AC6458" s="1"/>
      <c r="AD6458" s="1"/>
      <c r="AE6458" s="1"/>
      <c r="AF6458" s="1"/>
      <c r="AG6458" s="1"/>
    </row>
    <row r="6459" ht="15.75" customHeight="1">
      <c r="A6459" s="1"/>
      <c r="B6459" s="1"/>
      <c r="C6459" s="1"/>
      <c r="D6459" s="1"/>
      <c r="E6459" s="1"/>
      <c r="F6459" s="1"/>
      <c r="G6459" s="1"/>
      <c r="H6459" s="1"/>
      <c r="I6459" s="1"/>
      <c r="J6459" s="1"/>
      <c r="K6459" s="106" t="s">
        <v>9992</v>
      </c>
      <c r="L6459" s="102" t="str">
        <f>I967</f>
        <v>J2a1a1b2a</v>
      </c>
      <c r="M6459" s="106" t="s">
        <v>9993</v>
      </c>
      <c r="N6459" s="108" t="s">
        <v>9994</v>
      </c>
      <c r="O6459" s="108">
        <v>1.4064845E7</v>
      </c>
      <c r="P6459" s="106">
        <v>1.1944139E7</v>
      </c>
      <c r="Q6459" s="106" t="s">
        <v>2514</v>
      </c>
      <c r="S6459" s="1"/>
      <c r="T6459" s="1"/>
      <c r="U6459" s="1"/>
      <c r="V6459" s="1"/>
      <c r="W6459" s="1"/>
      <c r="X6459" s="1"/>
      <c r="Y6459" s="1"/>
      <c r="AA6459" s="102"/>
      <c r="AB6459" s="1"/>
      <c r="AC6459" s="1"/>
      <c r="AD6459" s="1"/>
      <c r="AE6459" s="1"/>
      <c r="AF6459" s="1"/>
      <c r="AG6459" s="1"/>
    </row>
    <row r="6460" ht="15.75" customHeight="1">
      <c r="A6460" s="1"/>
      <c r="B6460" s="1"/>
      <c r="C6460" s="1"/>
      <c r="D6460" s="1"/>
      <c r="E6460" s="1"/>
      <c r="F6460" s="1"/>
      <c r="G6460" s="1"/>
      <c r="H6460" s="1"/>
      <c r="I6460" s="1"/>
      <c r="J6460" s="1"/>
      <c r="K6460" s="106" t="s">
        <v>9995</v>
      </c>
      <c r="L6460" s="102" t="str">
        <f>I967</f>
        <v>J2a1a1b2a</v>
      </c>
      <c r="M6460" s="106" t="s">
        <v>9996</v>
      </c>
      <c r="N6460" s="108" t="s">
        <v>9994</v>
      </c>
      <c r="O6460" s="108">
        <v>1.4064845E7</v>
      </c>
      <c r="P6460" s="106">
        <v>1.1944139E7</v>
      </c>
      <c r="Q6460" s="106" t="s">
        <v>2514</v>
      </c>
      <c r="S6460" s="1"/>
      <c r="T6460" s="1"/>
      <c r="U6460" s="1"/>
      <c r="V6460" s="1"/>
      <c r="W6460" s="1"/>
      <c r="X6460" s="1"/>
      <c r="Y6460" s="1"/>
      <c r="AA6460" s="102"/>
      <c r="AB6460" s="1"/>
      <c r="AC6460" s="1"/>
      <c r="AD6460" s="1"/>
      <c r="AE6460" s="1"/>
      <c r="AF6460" s="1"/>
      <c r="AG6460" s="1"/>
    </row>
    <row r="6461" ht="15.75" customHeight="1">
      <c r="A6461" s="1"/>
      <c r="B6461" s="1"/>
      <c r="C6461" s="1"/>
      <c r="D6461" s="1"/>
      <c r="E6461" s="1"/>
      <c r="F6461" s="1"/>
      <c r="G6461" s="1"/>
      <c r="H6461" s="1"/>
      <c r="I6461" s="1"/>
      <c r="J6461" s="1"/>
      <c r="K6461" s="106" t="s">
        <v>9997</v>
      </c>
      <c r="L6461" s="102" t="str">
        <f>I967</f>
        <v>J2a1a1b2a</v>
      </c>
      <c r="M6461" s="106" t="s">
        <v>9998</v>
      </c>
      <c r="N6461" s="108" t="s">
        <v>9994</v>
      </c>
      <c r="O6461" s="108">
        <v>1.4064845E7</v>
      </c>
      <c r="P6461" s="106">
        <v>1.1944139E7</v>
      </c>
      <c r="Q6461" s="106" t="s">
        <v>2514</v>
      </c>
      <c r="S6461" s="1"/>
      <c r="T6461" s="1"/>
      <c r="U6461" s="1"/>
      <c r="V6461" s="1"/>
      <c r="W6461" s="1"/>
      <c r="X6461" s="1"/>
      <c r="Y6461" s="1"/>
      <c r="AA6461" s="102"/>
      <c r="AB6461" s="1"/>
      <c r="AC6461" s="1"/>
      <c r="AD6461" s="1"/>
      <c r="AE6461" s="1"/>
      <c r="AF6461" s="1"/>
      <c r="AG6461" s="1"/>
    </row>
    <row r="6462" ht="15.75" customHeight="1">
      <c r="A6462" s="1"/>
      <c r="B6462" s="1"/>
      <c r="C6462" s="1"/>
      <c r="D6462" s="1"/>
      <c r="E6462" s="1"/>
      <c r="F6462" s="1"/>
      <c r="G6462" s="1"/>
      <c r="H6462" s="1"/>
      <c r="I6462" s="1"/>
      <c r="J6462" s="1"/>
      <c r="K6462" s="106" t="s">
        <v>9999</v>
      </c>
      <c r="L6462" s="102" t="str">
        <f>I967</f>
        <v>J2a1a1b2a</v>
      </c>
      <c r="M6462" s="106" t="s">
        <v>10000</v>
      </c>
      <c r="N6462" s="108" t="s">
        <v>10001</v>
      </c>
      <c r="O6462" s="108">
        <v>1.5387592E7</v>
      </c>
      <c r="P6462" s="106">
        <v>1.3275712E7</v>
      </c>
      <c r="Q6462" s="106" t="s">
        <v>2439</v>
      </c>
      <c r="S6462" s="1"/>
      <c r="T6462" s="1"/>
      <c r="U6462" s="1"/>
      <c r="V6462" s="1"/>
      <c r="W6462" s="1"/>
      <c r="X6462" s="1"/>
      <c r="Y6462" s="1"/>
      <c r="AA6462" s="102"/>
      <c r="AB6462" s="1"/>
      <c r="AC6462" s="1"/>
      <c r="AD6462" s="1"/>
      <c r="AE6462" s="1"/>
      <c r="AF6462" s="1"/>
      <c r="AG6462" s="1"/>
    </row>
    <row r="6463" ht="15.75" customHeight="1">
      <c r="A6463" s="1"/>
      <c r="B6463" s="1"/>
      <c r="C6463" s="1"/>
      <c r="D6463" s="1"/>
      <c r="E6463" s="1"/>
      <c r="F6463" s="1"/>
      <c r="G6463" s="1"/>
      <c r="H6463" s="1"/>
      <c r="I6463" s="1"/>
      <c r="J6463" s="1"/>
      <c r="K6463" s="106" t="s">
        <v>10002</v>
      </c>
      <c r="L6463" s="102" t="str">
        <f>I967</f>
        <v>J2a1a1b2a</v>
      </c>
      <c r="M6463" s="106" t="s">
        <v>10003</v>
      </c>
      <c r="N6463" s="108" t="s">
        <v>10001</v>
      </c>
      <c r="O6463" s="108">
        <v>1.5387592E7</v>
      </c>
      <c r="P6463" s="106">
        <v>1.3275712E7</v>
      </c>
      <c r="Q6463" s="106" t="s">
        <v>2439</v>
      </c>
      <c r="S6463" s="1"/>
      <c r="T6463" s="1"/>
      <c r="U6463" s="1"/>
      <c r="V6463" s="1"/>
      <c r="W6463" s="1"/>
      <c r="X6463" s="1"/>
      <c r="Y6463" s="1"/>
      <c r="AA6463" s="102"/>
      <c r="AB6463" s="1"/>
      <c r="AC6463" s="1"/>
      <c r="AD6463" s="1"/>
      <c r="AE6463" s="1"/>
      <c r="AF6463" s="1"/>
      <c r="AG6463" s="1"/>
    </row>
    <row r="6464" ht="15.75" customHeight="1">
      <c r="A6464" s="1"/>
      <c r="B6464" s="1"/>
      <c r="C6464" s="1"/>
      <c r="D6464" s="1"/>
      <c r="E6464" s="1"/>
      <c r="F6464" s="1"/>
      <c r="G6464" s="1"/>
      <c r="H6464" s="1"/>
      <c r="I6464" s="1"/>
      <c r="J6464" s="1"/>
      <c r="K6464" s="106" t="s">
        <v>10004</v>
      </c>
      <c r="L6464" s="102" t="str">
        <f>I967</f>
        <v>J2a1a1b2a</v>
      </c>
      <c r="M6464" s="106" t="s">
        <v>10005</v>
      </c>
      <c r="N6464" s="108" t="s">
        <v>10001</v>
      </c>
      <c r="O6464" s="108">
        <v>1.5387592E7</v>
      </c>
      <c r="P6464" s="106">
        <v>1.3275712E7</v>
      </c>
      <c r="Q6464" s="106" t="s">
        <v>2439</v>
      </c>
      <c r="S6464" s="1"/>
      <c r="T6464" s="1"/>
      <c r="U6464" s="1"/>
      <c r="V6464" s="1"/>
      <c r="W6464" s="1"/>
      <c r="X6464" s="1"/>
      <c r="Y6464" s="1"/>
      <c r="AA6464" s="102"/>
      <c r="AB6464" s="1"/>
      <c r="AC6464" s="1"/>
      <c r="AD6464" s="1"/>
      <c r="AE6464" s="1"/>
      <c r="AF6464" s="1"/>
      <c r="AG6464" s="1"/>
    </row>
    <row r="6465" ht="15.75" customHeight="1">
      <c r="A6465" s="1"/>
      <c r="B6465" s="1"/>
      <c r="C6465" s="1"/>
      <c r="D6465" s="1"/>
      <c r="E6465" s="1"/>
      <c r="F6465" s="1"/>
      <c r="G6465" s="1"/>
      <c r="H6465" s="1"/>
      <c r="I6465" s="1"/>
      <c r="J6465" s="1"/>
      <c r="K6465" s="106" t="s">
        <v>10006</v>
      </c>
      <c r="L6465" s="102" t="str">
        <f>I967</f>
        <v>J2a1a1b2a</v>
      </c>
      <c r="M6465" s="106" t="s">
        <v>10007</v>
      </c>
      <c r="N6465" s="108" t="s">
        <v>10001</v>
      </c>
      <c r="O6465" s="108">
        <v>1.5387592E7</v>
      </c>
      <c r="P6465" s="106">
        <v>1.3275712E7</v>
      </c>
      <c r="Q6465" s="106" t="s">
        <v>2439</v>
      </c>
      <c r="S6465" s="1"/>
      <c r="T6465" s="1"/>
      <c r="U6465" s="1"/>
      <c r="V6465" s="1"/>
      <c r="W6465" s="1"/>
      <c r="X6465" s="1"/>
      <c r="Y6465" s="1"/>
      <c r="AA6465" s="102"/>
      <c r="AB6465" s="1"/>
      <c r="AC6465" s="1"/>
      <c r="AD6465" s="1"/>
      <c r="AE6465" s="1"/>
      <c r="AF6465" s="1"/>
      <c r="AG6465" s="1"/>
    </row>
    <row r="6466" ht="15.75" customHeight="1">
      <c r="A6466" s="1"/>
      <c r="B6466" s="1"/>
      <c r="C6466" s="1"/>
      <c r="D6466" s="1"/>
      <c r="E6466" s="1"/>
      <c r="F6466" s="1"/>
      <c r="G6466" s="1"/>
      <c r="H6466" s="1"/>
      <c r="I6466" s="1"/>
      <c r="J6466" s="1"/>
      <c r="K6466" s="106" t="s">
        <v>10008</v>
      </c>
      <c r="L6466" s="102" t="str">
        <f>I967</f>
        <v>J2a1a1b2a</v>
      </c>
      <c r="M6466" s="106" t="s">
        <v>10009</v>
      </c>
      <c r="N6466" s="108" t="s">
        <v>10010</v>
      </c>
      <c r="O6466" s="108">
        <v>1.5906786E7</v>
      </c>
      <c r="P6466" s="106">
        <v>1.3794906E7</v>
      </c>
      <c r="Q6466" s="106" t="s">
        <v>2439</v>
      </c>
      <c r="S6466" s="1"/>
      <c r="T6466" s="1"/>
      <c r="U6466" s="1"/>
      <c r="V6466" s="1"/>
      <c r="W6466" s="1"/>
      <c r="X6466" s="1"/>
      <c r="Y6466" s="1"/>
      <c r="AA6466" s="102"/>
      <c r="AB6466" s="1"/>
      <c r="AC6466" s="1"/>
      <c r="AD6466" s="1"/>
      <c r="AE6466" s="1"/>
      <c r="AF6466" s="1"/>
      <c r="AG6466" s="1"/>
    </row>
    <row r="6467" ht="15.75" customHeight="1">
      <c r="A6467" s="1"/>
      <c r="B6467" s="1"/>
      <c r="C6467" s="1"/>
      <c r="D6467" s="1"/>
      <c r="E6467" s="1"/>
      <c r="F6467" s="1"/>
      <c r="G6467" s="1"/>
      <c r="H6467" s="1"/>
      <c r="I6467" s="1"/>
      <c r="J6467" s="1"/>
      <c r="K6467" s="106" t="s">
        <v>10011</v>
      </c>
      <c r="L6467" s="102" t="str">
        <f>I967</f>
        <v>J2a1a1b2a</v>
      </c>
      <c r="M6467" s="106" t="s">
        <v>10012</v>
      </c>
      <c r="N6467" s="108" t="s">
        <v>10010</v>
      </c>
      <c r="O6467" s="108">
        <v>1.5906786E7</v>
      </c>
      <c r="P6467" s="106">
        <v>1.3794906E7</v>
      </c>
      <c r="Q6467" s="106" t="s">
        <v>2439</v>
      </c>
      <c r="S6467" s="1"/>
      <c r="T6467" s="1"/>
      <c r="U6467" s="1"/>
      <c r="V6467" s="1"/>
      <c r="W6467" s="1"/>
      <c r="X6467" s="1"/>
      <c r="Y6467" s="1"/>
      <c r="AA6467" s="102"/>
      <c r="AB6467" s="1"/>
      <c r="AC6467" s="1"/>
      <c r="AD6467" s="1"/>
      <c r="AE6467" s="1"/>
      <c r="AF6467" s="1"/>
      <c r="AG6467" s="1"/>
    </row>
    <row r="6468" ht="15.75" customHeight="1">
      <c r="A6468" s="1"/>
      <c r="B6468" s="1"/>
      <c r="C6468" s="1"/>
      <c r="D6468" s="1"/>
      <c r="E6468" s="1"/>
      <c r="F6468" s="1"/>
      <c r="G6468" s="1"/>
      <c r="H6468" s="1"/>
      <c r="I6468" s="1"/>
      <c r="J6468" s="1"/>
      <c r="K6468" s="106" t="s">
        <v>10013</v>
      </c>
      <c r="L6468" s="102" t="str">
        <f>I967</f>
        <v>J2a1a1b2a</v>
      </c>
      <c r="M6468" s="106" t="s">
        <v>10014</v>
      </c>
      <c r="N6468" s="108" t="s">
        <v>10010</v>
      </c>
      <c r="O6468" s="108">
        <v>1.5906786E7</v>
      </c>
      <c r="P6468" s="106">
        <v>1.3794906E7</v>
      </c>
      <c r="Q6468" s="106" t="s">
        <v>2439</v>
      </c>
      <c r="S6468" s="1"/>
      <c r="T6468" s="1"/>
      <c r="U6468" s="1"/>
      <c r="V6468" s="1"/>
      <c r="W6468" s="1"/>
      <c r="X6468" s="1"/>
      <c r="Y6468" s="1"/>
      <c r="AA6468" s="102"/>
      <c r="AB6468" s="1"/>
      <c r="AC6468" s="1"/>
      <c r="AD6468" s="1"/>
      <c r="AE6468" s="1"/>
      <c r="AF6468" s="1"/>
      <c r="AG6468" s="1"/>
    </row>
    <row r="6469" ht="15.75" customHeight="1">
      <c r="A6469" s="1"/>
      <c r="B6469" s="1"/>
      <c r="C6469" s="1"/>
      <c r="D6469" s="1"/>
      <c r="E6469" s="1"/>
      <c r="F6469" s="1"/>
      <c r="G6469" s="1"/>
      <c r="H6469" s="1"/>
      <c r="I6469" s="1"/>
      <c r="J6469" s="1"/>
      <c r="K6469" s="106" t="s">
        <v>10015</v>
      </c>
      <c r="L6469" s="102" t="str">
        <f>I967</f>
        <v>J2a1a1b2a</v>
      </c>
      <c r="M6469" s="106" t="s">
        <v>10016</v>
      </c>
      <c r="N6469" s="108" t="s">
        <v>10017</v>
      </c>
      <c r="O6469" s="108">
        <v>1.9089674E7</v>
      </c>
      <c r="P6469" s="106">
        <v>1.6977794E7</v>
      </c>
      <c r="Q6469" s="106" t="s">
        <v>2529</v>
      </c>
      <c r="S6469" s="1"/>
      <c r="T6469" s="1"/>
      <c r="U6469" s="1"/>
      <c r="V6469" s="1"/>
      <c r="W6469" s="1"/>
      <c r="X6469" s="1"/>
      <c r="Y6469" s="1"/>
      <c r="AA6469" s="102"/>
      <c r="AB6469" s="1"/>
      <c r="AC6469" s="1"/>
      <c r="AD6469" s="1"/>
      <c r="AE6469" s="1"/>
      <c r="AF6469" s="1"/>
      <c r="AG6469" s="1"/>
    </row>
    <row r="6470" ht="15.75" customHeight="1">
      <c r="A6470" s="1"/>
      <c r="B6470" s="1"/>
      <c r="C6470" s="1"/>
      <c r="D6470" s="1"/>
      <c r="E6470" s="1"/>
      <c r="F6470" s="1"/>
      <c r="G6470" s="1"/>
      <c r="H6470" s="1"/>
      <c r="I6470" s="1"/>
      <c r="J6470" s="1"/>
      <c r="K6470" s="106" t="s">
        <v>10018</v>
      </c>
      <c r="L6470" s="102" t="str">
        <f>I967</f>
        <v>J2a1a1b2a</v>
      </c>
      <c r="M6470" s="106" t="s">
        <v>10019</v>
      </c>
      <c r="N6470" s="108" t="s">
        <v>10017</v>
      </c>
      <c r="O6470" s="108">
        <v>1.9089674E7</v>
      </c>
      <c r="P6470" s="106">
        <v>1.6977794E7</v>
      </c>
      <c r="Q6470" s="106" t="s">
        <v>2529</v>
      </c>
      <c r="S6470" s="1"/>
      <c r="T6470" s="1"/>
      <c r="U6470" s="1"/>
      <c r="V6470" s="1"/>
      <c r="W6470" s="1"/>
      <c r="X6470" s="1"/>
      <c r="Y6470" s="1"/>
      <c r="AA6470" s="102"/>
      <c r="AB6470" s="1"/>
      <c r="AC6470" s="1"/>
      <c r="AD6470" s="1"/>
      <c r="AE6470" s="1"/>
      <c r="AF6470" s="1"/>
      <c r="AG6470" s="1"/>
    </row>
    <row r="6471" ht="15.75" customHeight="1">
      <c r="A6471" s="1"/>
      <c r="B6471" s="1"/>
      <c r="C6471" s="1"/>
      <c r="D6471" s="1"/>
      <c r="E6471" s="1"/>
      <c r="F6471" s="1"/>
      <c r="G6471" s="1"/>
      <c r="H6471" s="1"/>
      <c r="I6471" s="1"/>
      <c r="J6471" s="1"/>
      <c r="K6471" s="106" t="s">
        <v>10020</v>
      </c>
      <c r="L6471" s="102" t="str">
        <f>I967</f>
        <v>J2a1a1b2a</v>
      </c>
      <c r="M6471" s="106" t="s">
        <v>10021</v>
      </c>
      <c r="N6471" s="108" t="s">
        <v>10017</v>
      </c>
      <c r="O6471" s="108">
        <v>1.9089674E7</v>
      </c>
      <c r="P6471" s="106">
        <v>1.6977794E7</v>
      </c>
      <c r="Q6471" s="106" t="s">
        <v>2529</v>
      </c>
      <c r="S6471" s="1"/>
      <c r="T6471" s="1"/>
      <c r="U6471" s="1"/>
      <c r="V6471" s="1"/>
      <c r="W6471" s="1"/>
      <c r="X6471" s="1"/>
      <c r="Y6471" s="1"/>
      <c r="AA6471" s="102"/>
      <c r="AB6471" s="1"/>
      <c r="AC6471" s="1"/>
      <c r="AD6471" s="1"/>
      <c r="AE6471" s="1"/>
      <c r="AF6471" s="1"/>
      <c r="AG6471" s="1"/>
    </row>
    <row r="6472" ht="15.75" customHeight="1">
      <c r="A6472" s="1"/>
      <c r="B6472" s="1"/>
      <c r="C6472" s="1"/>
      <c r="D6472" s="1"/>
      <c r="E6472" s="1"/>
      <c r="F6472" s="1"/>
      <c r="G6472" s="1"/>
      <c r="H6472" s="1"/>
      <c r="I6472" s="1"/>
      <c r="J6472" s="1"/>
      <c r="K6472" s="106" t="s">
        <v>10022</v>
      </c>
      <c r="L6472" s="102" t="str">
        <f>I967</f>
        <v>J2a1a1b2a</v>
      </c>
      <c r="M6472" s="106" t="s">
        <v>10023</v>
      </c>
      <c r="N6472" s="108" t="s">
        <v>10024</v>
      </c>
      <c r="O6472" s="108">
        <v>2.1900502E7</v>
      </c>
      <c r="P6472" s="106">
        <v>1.9738616E7</v>
      </c>
      <c r="Q6472" s="106" t="s">
        <v>2423</v>
      </c>
      <c r="S6472" s="1"/>
      <c r="T6472" s="1"/>
      <c r="U6472" s="1"/>
      <c r="V6472" s="1"/>
      <c r="W6472" s="1"/>
      <c r="X6472" s="1"/>
      <c r="Y6472" s="1"/>
      <c r="AA6472" s="102"/>
      <c r="AB6472" s="1"/>
      <c r="AC6472" s="1"/>
      <c r="AD6472" s="1"/>
      <c r="AE6472" s="1"/>
      <c r="AF6472" s="1"/>
      <c r="AG6472" s="1"/>
    </row>
    <row r="6473" ht="15.75" customHeight="1">
      <c r="A6473" s="1"/>
      <c r="B6473" s="1"/>
      <c r="C6473" s="1"/>
      <c r="D6473" s="1"/>
      <c r="E6473" s="1"/>
      <c r="F6473" s="1"/>
      <c r="G6473" s="1"/>
      <c r="H6473" s="1"/>
      <c r="I6473" s="1"/>
      <c r="J6473" s="1"/>
      <c r="K6473" s="106" t="s">
        <v>10023</v>
      </c>
      <c r="L6473" s="102" t="str">
        <f>I967</f>
        <v>J2a1a1b2a</v>
      </c>
      <c r="M6473" s="106" t="s">
        <v>10022</v>
      </c>
      <c r="N6473" s="108" t="s">
        <v>10024</v>
      </c>
      <c r="O6473" s="108">
        <v>2.1900502E7</v>
      </c>
      <c r="P6473" s="106">
        <v>1.9738616E7</v>
      </c>
      <c r="Q6473" s="106" t="s">
        <v>2423</v>
      </c>
      <c r="S6473" s="1"/>
      <c r="T6473" s="1"/>
      <c r="U6473" s="1"/>
      <c r="V6473" s="1"/>
      <c r="W6473" s="1"/>
      <c r="X6473" s="1"/>
      <c r="Y6473" s="1"/>
      <c r="AA6473" s="102"/>
      <c r="AB6473" s="1"/>
      <c r="AC6473" s="1"/>
      <c r="AD6473" s="1"/>
      <c r="AE6473" s="1"/>
      <c r="AF6473" s="1"/>
      <c r="AG6473" s="1"/>
    </row>
    <row r="6474" ht="15.75" customHeight="1">
      <c r="A6474" s="1"/>
      <c r="B6474" s="1"/>
      <c r="C6474" s="1"/>
      <c r="D6474" s="1"/>
      <c r="E6474" s="1"/>
      <c r="F6474" s="1"/>
      <c r="G6474" s="1"/>
      <c r="H6474" s="1"/>
      <c r="I6474" s="1"/>
      <c r="J6474" s="1"/>
      <c r="K6474" s="106" t="s">
        <v>10025</v>
      </c>
      <c r="L6474" s="102" t="str">
        <f>I967</f>
        <v>J2a1a1b2a</v>
      </c>
      <c r="M6474" s="106" t="s">
        <v>10026</v>
      </c>
      <c r="N6474" s="108" t="s">
        <v>10027</v>
      </c>
      <c r="O6474" s="108">
        <v>2.3060922E7</v>
      </c>
      <c r="P6474" s="106">
        <v>2.0899036E7</v>
      </c>
      <c r="Q6474" s="106" t="s">
        <v>2576</v>
      </c>
      <c r="S6474" s="1"/>
      <c r="T6474" s="1"/>
      <c r="U6474" s="1"/>
      <c r="V6474" s="1"/>
      <c r="W6474" s="1"/>
      <c r="X6474" s="1"/>
      <c r="Y6474" s="1"/>
      <c r="AA6474" s="102"/>
      <c r="AB6474" s="1"/>
      <c r="AC6474" s="1"/>
      <c r="AD6474" s="1"/>
      <c r="AE6474" s="1"/>
      <c r="AF6474" s="1"/>
      <c r="AG6474" s="1"/>
    </row>
    <row r="6475" ht="15.75" customHeight="1">
      <c r="A6475" s="1"/>
      <c r="B6475" s="1"/>
      <c r="C6475" s="1"/>
      <c r="D6475" s="1"/>
      <c r="E6475" s="1"/>
      <c r="F6475" s="1"/>
      <c r="G6475" s="1"/>
      <c r="H6475" s="1"/>
      <c r="I6475" s="1"/>
      <c r="J6475" s="1"/>
      <c r="K6475" s="106" t="s">
        <v>10028</v>
      </c>
      <c r="L6475" s="102" t="str">
        <f>I967</f>
        <v>J2a1a1b2a</v>
      </c>
      <c r="M6475" s="106" t="s">
        <v>10029</v>
      </c>
      <c r="N6475" s="108" t="s">
        <v>10027</v>
      </c>
      <c r="O6475" s="108">
        <v>2.3060922E7</v>
      </c>
      <c r="P6475" s="106">
        <v>2.0899036E7</v>
      </c>
      <c r="Q6475" s="106" t="s">
        <v>2576</v>
      </c>
      <c r="S6475" s="1"/>
      <c r="T6475" s="1"/>
      <c r="U6475" s="1"/>
      <c r="V6475" s="1"/>
      <c r="W6475" s="1"/>
      <c r="X6475" s="1"/>
      <c r="Y6475" s="1"/>
      <c r="AA6475" s="102"/>
      <c r="AB6475" s="1"/>
      <c r="AC6475" s="1"/>
      <c r="AD6475" s="1"/>
      <c r="AE6475" s="1"/>
      <c r="AF6475" s="1"/>
      <c r="AG6475" s="1"/>
    </row>
    <row r="6476" ht="15.75" customHeight="1">
      <c r="A6476" s="1"/>
      <c r="B6476" s="1"/>
      <c r="C6476" s="1"/>
      <c r="D6476" s="1"/>
      <c r="E6476" s="1"/>
      <c r="F6476" s="1"/>
      <c r="G6476" s="1"/>
      <c r="H6476" s="1"/>
      <c r="I6476" s="1"/>
      <c r="J6476" s="1"/>
      <c r="K6476" s="106" t="s">
        <v>10030</v>
      </c>
      <c r="L6476" s="102" t="str">
        <f>I967</f>
        <v>J2a1a1b2a</v>
      </c>
      <c r="M6476" s="106" t="s">
        <v>10031</v>
      </c>
      <c r="N6476" s="108" t="s">
        <v>10027</v>
      </c>
      <c r="O6476" s="108">
        <v>2.3060922E7</v>
      </c>
      <c r="P6476" s="106">
        <v>2.0899036E7</v>
      </c>
      <c r="Q6476" s="106" t="s">
        <v>2576</v>
      </c>
      <c r="S6476" s="1"/>
      <c r="T6476" s="1"/>
      <c r="U6476" s="1"/>
      <c r="V6476" s="1"/>
      <c r="W6476" s="1"/>
      <c r="X6476" s="1"/>
      <c r="Y6476" s="1"/>
      <c r="AA6476" s="102"/>
      <c r="AB6476" s="1"/>
      <c r="AC6476" s="1"/>
      <c r="AD6476" s="1"/>
      <c r="AE6476" s="1"/>
      <c r="AF6476" s="1"/>
      <c r="AG6476" s="1"/>
    </row>
    <row r="6477" ht="15.75" customHeight="1">
      <c r="A6477" s="1"/>
      <c r="B6477" s="1"/>
      <c r="C6477" s="1"/>
      <c r="D6477" s="1"/>
      <c r="E6477" s="1"/>
      <c r="F6477" s="1"/>
      <c r="G6477" s="1"/>
      <c r="H6477" s="1"/>
      <c r="I6477" s="1"/>
      <c r="J6477" s="1"/>
      <c r="K6477" s="106" t="s">
        <v>10032</v>
      </c>
      <c r="L6477" s="102" t="str">
        <f>I967</f>
        <v>J2a1a1b2a</v>
      </c>
      <c r="M6477" s="106" t="s">
        <v>10033</v>
      </c>
      <c r="N6477" s="108" t="s">
        <v>10034</v>
      </c>
      <c r="O6477" s="108">
        <v>7608911.0</v>
      </c>
      <c r="P6477" s="106">
        <v>7740870.0</v>
      </c>
      <c r="Q6477" s="106" t="s">
        <v>2423</v>
      </c>
      <c r="S6477" s="1"/>
      <c r="T6477" s="1"/>
      <c r="U6477" s="1"/>
      <c r="V6477" s="1"/>
      <c r="W6477" s="1"/>
      <c r="X6477" s="1"/>
      <c r="Y6477" s="1"/>
      <c r="AA6477" s="102"/>
      <c r="AB6477" s="1"/>
      <c r="AC6477" s="1"/>
      <c r="AD6477" s="1"/>
      <c r="AE6477" s="1"/>
      <c r="AF6477" s="1"/>
      <c r="AG6477" s="1"/>
    </row>
    <row r="6478" ht="15.75" customHeight="1">
      <c r="A6478" s="1"/>
      <c r="B6478" s="1"/>
      <c r="C6478" s="1"/>
      <c r="D6478" s="1"/>
      <c r="E6478" s="1"/>
      <c r="F6478" s="1"/>
      <c r="G6478" s="1"/>
      <c r="H6478" s="1"/>
      <c r="I6478" s="1"/>
      <c r="J6478" s="1"/>
      <c r="K6478" s="106" t="s">
        <v>10035</v>
      </c>
      <c r="L6478" s="102" t="str">
        <f>I967</f>
        <v>J2a1a1b2a</v>
      </c>
      <c r="M6478" s="106" t="s">
        <v>10036</v>
      </c>
      <c r="N6478" s="108" t="s">
        <v>10034</v>
      </c>
      <c r="O6478" s="108">
        <v>7608911.0</v>
      </c>
      <c r="P6478" s="106">
        <v>7740870.0</v>
      </c>
      <c r="Q6478" s="106" t="s">
        <v>2423</v>
      </c>
      <c r="S6478" s="1"/>
      <c r="T6478" s="1"/>
      <c r="U6478" s="1"/>
      <c r="V6478" s="1"/>
      <c r="W6478" s="1"/>
      <c r="X6478" s="1"/>
      <c r="Y6478" s="1"/>
      <c r="AA6478" s="102"/>
      <c r="AB6478" s="1"/>
      <c r="AC6478" s="1"/>
      <c r="AD6478" s="1"/>
      <c r="AE6478" s="1"/>
      <c r="AF6478" s="1"/>
      <c r="AG6478" s="1"/>
    </row>
    <row r="6479" ht="15.75" customHeight="1">
      <c r="A6479" s="1"/>
      <c r="B6479" s="1"/>
      <c r="C6479" s="1"/>
      <c r="D6479" s="1"/>
      <c r="E6479" s="1"/>
      <c r="F6479" s="1"/>
      <c r="G6479" s="1"/>
      <c r="H6479" s="1"/>
      <c r="I6479" s="1"/>
      <c r="J6479" s="1"/>
      <c r="K6479" s="106" t="s">
        <v>10037</v>
      </c>
      <c r="L6479" s="102" t="str">
        <f>I967</f>
        <v>J2a1a1b2a</v>
      </c>
      <c r="M6479" s="106" t="s">
        <v>10038</v>
      </c>
      <c r="N6479" s="108" t="s">
        <v>10034</v>
      </c>
      <c r="O6479" s="108">
        <v>7608911.0</v>
      </c>
      <c r="P6479" s="106">
        <v>7740870.0</v>
      </c>
      <c r="Q6479" s="106" t="s">
        <v>2423</v>
      </c>
      <c r="S6479" s="1"/>
      <c r="T6479" s="1"/>
      <c r="U6479" s="1"/>
      <c r="V6479" s="1"/>
      <c r="W6479" s="1"/>
      <c r="X6479" s="1"/>
      <c r="Y6479" s="1"/>
      <c r="AA6479" s="102"/>
      <c r="AB6479" s="1"/>
      <c r="AC6479" s="1"/>
      <c r="AD6479" s="1"/>
      <c r="AE6479" s="1"/>
      <c r="AF6479" s="1"/>
      <c r="AG6479" s="1"/>
    </row>
    <row r="6480" ht="15.75" customHeight="1">
      <c r="A6480" s="1"/>
      <c r="B6480" s="1"/>
      <c r="C6480" s="1"/>
      <c r="D6480" s="1"/>
      <c r="E6480" s="1"/>
      <c r="F6480" s="1"/>
      <c r="G6480" s="1"/>
      <c r="H6480" s="1"/>
      <c r="I6480" s="1"/>
      <c r="J6480" s="1"/>
      <c r="K6480" s="106" t="s">
        <v>10039</v>
      </c>
      <c r="L6480" s="102" t="str">
        <f>I967</f>
        <v>J2a1a1b2a</v>
      </c>
      <c r="M6480" s="102"/>
      <c r="N6480" s="108" t="s">
        <v>10040</v>
      </c>
      <c r="O6480" s="108">
        <v>8145687.0</v>
      </c>
      <c r="P6480" s="106">
        <v>8277646.0</v>
      </c>
      <c r="Q6480" s="106" t="s">
        <v>2529</v>
      </c>
      <c r="S6480" s="1"/>
      <c r="T6480" s="1"/>
      <c r="U6480" s="1"/>
      <c r="V6480" s="1"/>
      <c r="W6480" s="1"/>
      <c r="X6480" s="1"/>
      <c r="Y6480" s="1"/>
      <c r="AA6480" s="102"/>
      <c r="AB6480" s="1"/>
      <c r="AC6480" s="1"/>
      <c r="AD6480" s="1"/>
      <c r="AE6480" s="1"/>
      <c r="AF6480" s="1"/>
      <c r="AG6480" s="1"/>
    </row>
    <row r="6481" ht="15.75" customHeight="1">
      <c r="A6481" s="1"/>
      <c r="B6481" s="1"/>
      <c r="C6481" s="1"/>
      <c r="D6481" s="1"/>
      <c r="E6481" s="1"/>
      <c r="F6481" s="1"/>
      <c r="G6481" s="1"/>
      <c r="H6481" s="1"/>
      <c r="I6481" s="1"/>
      <c r="J6481" s="1"/>
      <c r="K6481" s="106" t="s">
        <v>10041</v>
      </c>
      <c r="L6481" s="102" t="str">
        <f>I967</f>
        <v>J2a1a1b2a</v>
      </c>
      <c r="M6481" s="102"/>
      <c r="N6481" s="108" t="s">
        <v>10042</v>
      </c>
      <c r="O6481" s="108">
        <v>2.1371764E7</v>
      </c>
      <c r="P6481" s="106">
        <v>1.9209878E7</v>
      </c>
      <c r="Q6481" s="106" t="s">
        <v>2533</v>
      </c>
      <c r="S6481" s="1"/>
      <c r="T6481" s="1"/>
      <c r="U6481" s="1"/>
      <c r="V6481" s="1"/>
      <c r="W6481" s="1"/>
      <c r="X6481" s="1"/>
      <c r="Y6481" s="1"/>
      <c r="AA6481" s="102"/>
      <c r="AB6481" s="1"/>
      <c r="AC6481" s="1"/>
      <c r="AD6481" s="1"/>
      <c r="AE6481" s="1"/>
      <c r="AF6481" s="1"/>
      <c r="AG6481" s="1"/>
    </row>
    <row r="6482" ht="15.75" customHeight="1">
      <c r="A6482" s="1"/>
      <c r="B6482" s="1"/>
      <c r="C6482" s="1"/>
      <c r="D6482" s="1"/>
      <c r="E6482" s="1"/>
      <c r="F6482" s="1"/>
      <c r="G6482" s="1"/>
      <c r="H6482" s="1"/>
      <c r="I6482" s="1"/>
      <c r="J6482" s="1"/>
      <c r="K6482" t="s">
        <v>10043</v>
      </c>
      <c r="L6482" t="str">
        <f>J968</f>
        <v>J2a1a1b2a1</v>
      </c>
      <c r="M6482" t="s">
        <v>10044</v>
      </c>
      <c r="N6482" t="s">
        <v>10045</v>
      </c>
      <c r="O6482">
        <v>1.9136822E7</v>
      </c>
      <c r="P6482">
        <v>1.7024942E7</v>
      </c>
      <c r="Q6482" s="112" t="s">
        <v>2529</v>
      </c>
      <c r="S6482" s="1"/>
      <c r="T6482" s="1"/>
      <c r="U6482" s="1"/>
      <c r="V6482" s="1"/>
      <c r="W6482" s="1"/>
      <c r="X6482" s="1"/>
      <c r="Y6482" s="1"/>
      <c r="AA6482" s="102"/>
      <c r="AB6482" s="1"/>
      <c r="AC6482" s="1"/>
      <c r="AD6482" s="1"/>
      <c r="AE6482" s="1"/>
      <c r="AF6482" s="1"/>
      <c r="AG6482" s="1"/>
    </row>
    <row r="6483" ht="15.75" customHeight="1">
      <c r="A6483" s="1"/>
      <c r="B6483" s="1"/>
      <c r="C6483" s="1"/>
      <c r="D6483" s="1"/>
      <c r="E6483" s="1"/>
      <c r="F6483" s="1"/>
      <c r="G6483" s="1"/>
      <c r="H6483" s="1"/>
      <c r="I6483" s="1"/>
      <c r="J6483" s="1"/>
      <c r="K6483" t="s">
        <v>10046</v>
      </c>
      <c r="L6483" t="str">
        <f>J968</f>
        <v>J2a1a1b2a1</v>
      </c>
      <c r="M6483" t="s">
        <v>10047</v>
      </c>
      <c r="N6483" t="s">
        <v>10045</v>
      </c>
      <c r="O6483">
        <v>1.9136822E7</v>
      </c>
      <c r="P6483">
        <v>1.7024942E7</v>
      </c>
      <c r="Q6483" s="112" t="s">
        <v>2529</v>
      </c>
      <c r="S6483" s="1"/>
      <c r="T6483" s="1"/>
      <c r="U6483" s="1"/>
      <c r="V6483" s="1"/>
      <c r="W6483" s="1"/>
      <c r="X6483" s="1"/>
      <c r="Y6483" s="1"/>
      <c r="AA6483" s="102"/>
      <c r="AB6483" s="1"/>
      <c r="AC6483" s="1"/>
      <c r="AD6483" s="1"/>
      <c r="AE6483" s="1"/>
      <c r="AF6483" s="1"/>
      <c r="AG6483" s="1"/>
    </row>
    <row r="6484" ht="15.75" customHeight="1">
      <c r="A6484" s="1"/>
      <c r="B6484" s="1"/>
      <c r="C6484" s="1"/>
      <c r="D6484" s="1"/>
      <c r="E6484" s="1"/>
      <c r="F6484" s="1"/>
      <c r="G6484" s="1"/>
      <c r="H6484" s="1"/>
      <c r="I6484" s="1"/>
      <c r="J6484" s="1"/>
      <c r="K6484" t="s">
        <v>10048</v>
      </c>
      <c r="L6484" t="str">
        <f>J968</f>
        <v>J2a1a1b2a1</v>
      </c>
      <c r="M6484" t="s">
        <v>10049</v>
      </c>
      <c r="N6484" t="s">
        <v>10045</v>
      </c>
      <c r="O6484">
        <v>1.9136822E7</v>
      </c>
      <c r="P6484">
        <v>1.7024942E7</v>
      </c>
      <c r="Q6484" s="112" t="s">
        <v>2529</v>
      </c>
      <c r="S6484" s="1"/>
      <c r="T6484" s="1"/>
      <c r="U6484" s="1"/>
      <c r="V6484" s="1"/>
      <c r="W6484" s="1"/>
      <c r="X6484" s="1"/>
      <c r="Y6484" s="1"/>
      <c r="AA6484" s="102"/>
      <c r="AB6484" s="1"/>
      <c r="AC6484" s="1"/>
      <c r="AD6484" s="1"/>
      <c r="AE6484" s="1"/>
      <c r="AF6484" s="1"/>
      <c r="AG6484" s="1"/>
    </row>
    <row r="6485" ht="15.75" customHeight="1">
      <c r="A6485" s="1"/>
      <c r="B6485" s="1"/>
      <c r="C6485" s="1"/>
      <c r="D6485" s="1"/>
      <c r="E6485" s="1"/>
      <c r="F6485" s="1"/>
      <c r="G6485" s="1"/>
      <c r="H6485" s="1"/>
      <c r="I6485" s="1"/>
      <c r="J6485" s="1"/>
      <c r="K6485" s="106" t="s">
        <v>10050</v>
      </c>
      <c r="L6485" s="102" t="str">
        <f>J968</f>
        <v>J2a1a1b2a1</v>
      </c>
      <c r="M6485" s="106" t="s">
        <v>10051</v>
      </c>
      <c r="N6485" s="1" t="s">
        <v>10052</v>
      </c>
      <c r="O6485" s="114">
        <v>1.5926644E7</v>
      </c>
      <c r="P6485" s="105">
        <v>1.3814764E7</v>
      </c>
      <c r="Q6485" s="102" t="s">
        <v>2529</v>
      </c>
      <c r="S6485" s="1"/>
      <c r="T6485" s="1"/>
      <c r="U6485" s="1"/>
      <c r="V6485" s="1"/>
      <c r="W6485" s="1"/>
      <c r="X6485" s="1"/>
      <c r="Y6485" s="1"/>
      <c r="AA6485" s="102"/>
      <c r="AB6485" s="1"/>
      <c r="AC6485" s="1"/>
      <c r="AD6485" s="1"/>
      <c r="AE6485" s="1"/>
      <c r="AF6485" s="1"/>
      <c r="AG6485" s="1"/>
    </row>
    <row r="6486" ht="15.75" customHeight="1">
      <c r="A6486" s="1"/>
      <c r="B6486" s="1"/>
      <c r="C6486" s="1"/>
      <c r="D6486" s="1"/>
      <c r="E6486" s="1"/>
      <c r="F6486" s="1"/>
      <c r="G6486" s="1"/>
      <c r="H6486" s="1"/>
      <c r="I6486" s="1"/>
      <c r="J6486" s="1"/>
      <c r="K6486" s="102" t="s">
        <v>10051</v>
      </c>
      <c r="L6486" s="102" t="str">
        <f>J968</f>
        <v>J2a1a1b2a1</v>
      </c>
      <c r="M6486" s="102" t="s">
        <v>10050</v>
      </c>
      <c r="N6486" s="1" t="s">
        <v>10052</v>
      </c>
      <c r="O6486" s="114">
        <v>1.5926644E7</v>
      </c>
      <c r="P6486" s="105">
        <v>1.3814764E7</v>
      </c>
      <c r="Q6486" s="102" t="s">
        <v>2529</v>
      </c>
      <c r="S6486" s="1"/>
      <c r="T6486" s="1"/>
      <c r="U6486" s="1"/>
      <c r="V6486" s="1"/>
      <c r="W6486" s="1"/>
      <c r="X6486" s="1"/>
      <c r="Y6486" s="1"/>
      <c r="AA6486" s="102"/>
      <c r="AB6486" s="1"/>
      <c r="AC6486" s="1"/>
      <c r="AD6486" s="1"/>
      <c r="AE6486" s="1"/>
      <c r="AF6486" s="1"/>
      <c r="AG6486" s="1"/>
    </row>
    <row r="6487" ht="15.75" customHeight="1">
      <c r="A6487" s="1"/>
      <c r="B6487" s="1"/>
      <c r="C6487" s="1"/>
      <c r="D6487" s="1"/>
      <c r="E6487" s="1"/>
      <c r="F6487" s="1"/>
      <c r="G6487" s="1"/>
      <c r="H6487" s="1"/>
      <c r="I6487" s="1"/>
      <c r="J6487" s="1"/>
      <c r="K6487" s="106" t="s">
        <v>10053</v>
      </c>
      <c r="L6487" s="102" t="str">
        <f>J968</f>
        <v>J2a1a1b2a1</v>
      </c>
      <c r="M6487" s="106" t="s">
        <v>10054</v>
      </c>
      <c r="N6487" s="1" t="s">
        <v>10055</v>
      </c>
      <c r="O6487" s="114">
        <v>1.6605728E7</v>
      </c>
      <c r="P6487" s="105">
        <v>1.4493848E7</v>
      </c>
      <c r="Q6487" s="102" t="s">
        <v>2501</v>
      </c>
      <c r="S6487" s="1"/>
      <c r="T6487" s="1"/>
      <c r="U6487" s="1"/>
      <c r="V6487" s="1"/>
      <c r="W6487" s="1"/>
      <c r="X6487" s="1"/>
      <c r="Y6487" s="1"/>
      <c r="AA6487" s="102"/>
      <c r="AB6487" s="1"/>
      <c r="AC6487" s="1"/>
      <c r="AD6487" s="1"/>
      <c r="AE6487" s="1"/>
      <c r="AF6487" s="1"/>
      <c r="AG6487" s="1"/>
    </row>
    <row r="6488" ht="15.75" customHeight="1">
      <c r="A6488" s="1"/>
      <c r="B6488" s="1"/>
      <c r="C6488" s="1"/>
      <c r="D6488" s="1"/>
      <c r="E6488" s="1"/>
      <c r="F6488" s="1"/>
      <c r="G6488" s="1"/>
      <c r="H6488" s="1"/>
      <c r="I6488" s="1"/>
      <c r="J6488" s="1"/>
      <c r="K6488" s="102" t="s">
        <v>10056</v>
      </c>
      <c r="L6488" s="102" t="str">
        <f>J968</f>
        <v>J2a1a1b2a1</v>
      </c>
      <c r="M6488" s="102" t="s">
        <v>10057</v>
      </c>
      <c r="N6488" s="1" t="s">
        <v>10055</v>
      </c>
      <c r="O6488" s="114">
        <v>1.6605728E7</v>
      </c>
      <c r="P6488" s="105">
        <v>1.4493848E7</v>
      </c>
      <c r="Q6488" s="102" t="s">
        <v>2501</v>
      </c>
      <c r="S6488" s="1"/>
      <c r="T6488" s="1"/>
      <c r="U6488" s="1"/>
      <c r="V6488" s="1"/>
      <c r="W6488" s="1"/>
      <c r="X6488" s="1"/>
      <c r="Y6488" s="1"/>
      <c r="AA6488" s="102"/>
      <c r="AB6488" s="1"/>
      <c r="AC6488" s="1"/>
      <c r="AD6488" s="1"/>
      <c r="AE6488" s="1"/>
      <c r="AF6488" s="1"/>
      <c r="AG6488" s="1"/>
    </row>
    <row r="6489" ht="15.75" customHeight="1">
      <c r="A6489" s="1"/>
      <c r="B6489" s="1"/>
      <c r="C6489" s="1"/>
      <c r="D6489" s="1"/>
      <c r="E6489" s="1"/>
      <c r="F6489" s="1"/>
      <c r="G6489" s="1"/>
      <c r="H6489" s="1"/>
      <c r="I6489" s="1"/>
      <c r="J6489" s="1"/>
      <c r="K6489" s="106" t="s">
        <v>10058</v>
      </c>
      <c r="L6489" s="102" t="str">
        <f>J968</f>
        <v>J2a1a1b2a1</v>
      </c>
      <c r="M6489" s="106" t="s">
        <v>10059</v>
      </c>
      <c r="N6489" s="1" t="s">
        <v>10055</v>
      </c>
      <c r="O6489" s="114">
        <v>1.6605728E7</v>
      </c>
      <c r="P6489" s="105">
        <v>1.4493848E7</v>
      </c>
      <c r="Q6489" s="102" t="s">
        <v>2501</v>
      </c>
      <c r="S6489" s="1"/>
      <c r="T6489" s="1"/>
      <c r="U6489" s="1"/>
      <c r="V6489" s="1"/>
      <c r="W6489" s="1"/>
      <c r="X6489" s="1"/>
      <c r="Y6489" s="1"/>
      <c r="AA6489" s="102"/>
      <c r="AB6489" s="1"/>
      <c r="AC6489" s="1"/>
      <c r="AD6489" s="1"/>
      <c r="AE6489" s="1"/>
      <c r="AF6489" s="1"/>
      <c r="AG6489" s="1"/>
    </row>
    <row r="6490" ht="15.75" customHeight="1">
      <c r="A6490" s="1"/>
      <c r="B6490" s="1"/>
      <c r="C6490" s="1"/>
      <c r="D6490" s="1"/>
      <c r="E6490" s="1"/>
      <c r="F6490" s="1"/>
      <c r="G6490" s="1"/>
      <c r="H6490" s="1"/>
      <c r="I6490" s="1"/>
      <c r="J6490" s="1"/>
      <c r="K6490" s="106" t="s">
        <v>10060</v>
      </c>
      <c r="L6490" s="102" t="str">
        <f>J968</f>
        <v>J2a1a1b2a1</v>
      </c>
      <c r="M6490" s="106" t="s">
        <v>10061</v>
      </c>
      <c r="N6490" s="1" t="s">
        <v>10062</v>
      </c>
      <c r="O6490" s="114">
        <v>2.1214947E7</v>
      </c>
      <c r="P6490" s="105">
        <v>1.9053061E7</v>
      </c>
      <c r="Q6490" s="102" t="s">
        <v>2446</v>
      </c>
      <c r="S6490" s="1"/>
      <c r="T6490" s="1"/>
      <c r="U6490" s="1"/>
      <c r="V6490" s="1"/>
      <c r="W6490" s="1"/>
      <c r="X6490" s="1"/>
      <c r="Y6490" s="1"/>
      <c r="AA6490" s="102"/>
      <c r="AB6490" s="1"/>
      <c r="AC6490" s="1"/>
      <c r="AD6490" s="1"/>
      <c r="AE6490" s="1"/>
      <c r="AF6490" s="1"/>
      <c r="AG6490" s="1"/>
    </row>
    <row r="6491" ht="15.75" customHeight="1">
      <c r="A6491" s="1"/>
      <c r="B6491" s="1"/>
      <c r="C6491" s="1"/>
      <c r="D6491" s="1"/>
      <c r="E6491" s="1"/>
      <c r="F6491" s="1"/>
      <c r="G6491" s="1"/>
      <c r="H6491" s="1"/>
      <c r="I6491" s="1"/>
      <c r="J6491" s="1"/>
      <c r="K6491" s="102" t="s">
        <v>10063</v>
      </c>
      <c r="L6491" s="102" t="str">
        <f>J968</f>
        <v>J2a1a1b2a1</v>
      </c>
      <c r="M6491" s="102" t="s">
        <v>10064</v>
      </c>
      <c r="N6491" s="1" t="s">
        <v>10062</v>
      </c>
      <c r="O6491" s="114">
        <v>2.1214947E7</v>
      </c>
      <c r="P6491" s="105">
        <v>1.9053061E7</v>
      </c>
      <c r="Q6491" s="102" t="s">
        <v>2446</v>
      </c>
      <c r="S6491" s="1"/>
      <c r="T6491" s="1"/>
      <c r="U6491" s="1"/>
      <c r="V6491" s="1"/>
      <c r="W6491" s="1"/>
      <c r="X6491" s="1"/>
      <c r="Y6491" s="1"/>
      <c r="AA6491" s="102"/>
      <c r="AB6491" s="1"/>
      <c r="AC6491" s="1"/>
      <c r="AD6491" s="1"/>
      <c r="AE6491" s="1"/>
      <c r="AF6491" s="1"/>
      <c r="AG6491" s="1"/>
    </row>
    <row r="6492" ht="15.75" customHeight="1">
      <c r="A6492" s="1"/>
      <c r="B6492" s="1"/>
      <c r="C6492" s="1"/>
      <c r="D6492" s="1"/>
      <c r="E6492" s="1"/>
      <c r="F6492" s="1"/>
      <c r="G6492" s="1"/>
      <c r="H6492" s="1"/>
      <c r="I6492" s="1"/>
      <c r="J6492" s="1"/>
      <c r="K6492" s="106" t="s">
        <v>10065</v>
      </c>
      <c r="L6492" s="102" t="str">
        <f>J968</f>
        <v>J2a1a1b2a1</v>
      </c>
      <c r="M6492" s="106" t="s">
        <v>10066</v>
      </c>
      <c r="N6492" s="1" t="s">
        <v>10062</v>
      </c>
      <c r="O6492" s="114">
        <v>2.1214947E7</v>
      </c>
      <c r="P6492" s="105">
        <v>1.9053061E7</v>
      </c>
      <c r="Q6492" s="102" t="s">
        <v>2446</v>
      </c>
      <c r="S6492" s="1"/>
      <c r="T6492" s="1"/>
      <c r="U6492" s="1"/>
      <c r="V6492" s="1"/>
      <c r="W6492" s="1"/>
      <c r="X6492" s="1"/>
      <c r="Y6492" s="1"/>
      <c r="AA6492" s="102"/>
      <c r="AB6492" s="1"/>
      <c r="AC6492" s="1"/>
      <c r="AD6492" s="1"/>
      <c r="AE6492" s="1"/>
      <c r="AF6492" s="1"/>
      <c r="AG6492" s="1"/>
    </row>
    <row r="6493" ht="15.75" customHeight="1">
      <c r="A6493" s="1"/>
      <c r="B6493" s="1"/>
      <c r="C6493" s="1"/>
      <c r="D6493" s="1"/>
      <c r="E6493" s="1"/>
      <c r="F6493" s="1"/>
      <c r="G6493" s="1"/>
      <c r="H6493" s="1"/>
      <c r="I6493" s="1"/>
      <c r="J6493" s="1"/>
      <c r="K6493" s="106" t="s">
        <v>10067</v>
      </c>
      <c r="L6493" s="102" t="str">
        <f>J968</f>
        <v>J2a1a1b2a1</v>
      </c>
      <c r="M6493" s="106" t="s">
        <v>10068</v>
      </c>
      <c r="N6493" s="1" t="s">
        <v>10069</v>
      </c>
      <c r="O6493" s="114">
        <v>2.2126204E7</v>
      </c>
      <c r="P6493" s="105">
        <v>1.9964318E7</v>
      </c>
      <c r="Q6493" s="102" t="s">
        <v>2468</v>
      </c>
      <c r="S6493" s="1"/>
      <c r="T6493" s="1"/>
      <c r="U6493" s="1"/>
      <c r="V6493" s="1"/>
      <c r="W6493" s="1"/>
      <c r="X6493" s="1"/>
      <c r="Y6493" s="1"/>
      <c r="AA6493" s="102"/>
      <c r="AB6493" s="1"/>
      <c r="AC6493" s="1"/>
      <c r="AD6493" s="1"/>
      <c r="AE6493" s="1"/>
      <c r="AF6493" s="1"/>
      <c r="AG6493" s="1"/>
    </row>
    <row r="6494" ht="15.75" customHeight="1">
      <c r="A6494" s="1"/>
      <c r="B6494" s="1"/>
      <c r="C6494" s="1"/>
      <c r="D6494" s="1"/>
      <c r="E6494" s="1"/>
      <c r="F6494" s="1"/>
      <c r="G6494" s="1"/>
      <c r="H6494" s="1"/>
      <c r="I6494" s="1"/>
      <c r="J6494" s="1"/>
      <c r="K6494" s="102" t="s">
        <v>10068</v>
      </c>
      <c r="L6494" s="102" t="str">
        <f>J968</f>
        <v>J2a1a1b2a1</v>
      </c>
      <c r="M6494" s="102" t="s">
        <v>10067</v>
      </c>
      <c r="N6494" s="1" t="s">
        <v>10069</v>
      </c>
      <c r="O6494" s="114">
        <v>2.2126204E7</v>
      </c>
      <c r="P6494" s="105">
        <v>1.9964318E7</v>
      </c>
      <c r="Q6494" s="102" t="s">
        <v>2468</v>
      </c>
      <c r="S6494" s="1"/>
      <c r="T6494" s="1"/>
      <c r="U6494" s="1"/>
      <c r="V6494" s="1"/>
      <c r="W6494" s="1"/>
      <c r="X6494" s="1"/>
      <c r="Y6494" s="1"/>
      <c r="AA6494" s="102"/>
      <c r="AB6494" s="1"/>
      <c r="AC6494" s="1"/>
      <c r="AD6494" s="1"/>
      <c r="AE6494" s="1"/>
      <c r="AF6494" s="1"/>
      <c r="AG6494" s="1"/>
    </row>
    <row r="6495" ht="15.75" customHeight="1">
      <c r="A6495" s="1"/>
      <c r="B6495" s="1"/>
      <c r="C6495" s="1"/>
      <c r="D6495" s="1"/>
      <c r="E6495" s="1"/>
      <c r="F6495" s="1"/>
      <c r="G6495" s="1"/>
      <c r="H6495" s="1"/>
      <c r="I6495" s="1"/>
      <c r="J6495" s="1"/>
      <c r="K6495" s="106" t="s">
        <v>10070</v>
      </c>
      <c r="L6495" s="102" t="str">
        <f>J968</f>
        <v>J2a1a1b2a1</v>
      </c>
      <c r="M6495" s="106" t="s">
        <v>10071</v>
      </c>
      <c r="N6495" s="1" t="s">
        <v>10072</v>
      </c>
      <c r="O6495" s="114">
        <v>6884700.0</v>
      </c>
      <c r="P6495" s="114">
        <v>7016659.0</v>
      </c>
      <c r="Q6495" s="1" t="s">
        <v>2501</v>
      </c>
      <c r="S6495" s="1"/>
      <c r="T6495" s="1"/>
      <c r="U6495" s="1"/>
      <c r="V6495" s="1"/>
      <c r="W6495" s="1"/>
      <c r="X6495" s="1"/>
      <c r="Y6495" s="1"/>
      <c r="AA6495" s="102"/>
      <c r="AB6495" s="1"/>
      <c r="AC6495" s="1"/>
      <c r="AD6495" s="1"/>
      <c r="AE6495" s="1"/>
      <c r="AF6495" s="1"/>
      <c r="AG6495" s="1"/>
    </row>
    <row r="6496" ht="15.75" customHeight="1">
      <c r="A6496" s="1"/>
      <c r="B6496" s="1"/>
      <c r="C6496" s="1"/>
      <c r="D6496" s="1"/>
      <c r="E6496" s="1"/>
      <c r="F6496" s="1"/>
      <c r="G6496" s="1"/>
      <c r="H6496" s="1"/>
      <c r="I6496" s="1"/>
      <c r="J6496" s="1"/>
      <c r="K6496" s="102" t="s">
        <v>10073</v>
      </c>
      <c r="L6496" s="102" t="str">
        <f>J968</f>
        <v>J2a1a1b2a1</v>
      </c>
      <c r="M6496" s="102" t="s">
        <v>10074</v>
      </c>
      <c r="N6496" s="1" t="s">
        <v>10072</v>
      </c>
      <c r="O6496" s="114">
        <v>6884700.0</v>
      </c>
      <c r="P6496" s="114">
        <v>7016659.0</v>
      </c>
      <c r="Q6496" s="1" t="s">
        <v>2501</v>
      </c>
      <c r="S6496" s="1"/>
      <c r="T6496" s="1"/>
      <c r="U6496" s="1"/>
      <c r="V6496" s="1"/>
      <c r="W6496" s="1"/>
      <c r="X6496" s="1"/>
      <c r="Y6496" s="1"/>
      <c r="AA6496" s="102"/>
      <c r="AB6496" s="1"/>
      <c r="AC6496" s="1"/>
      <c r="AD6496" s="1"/>
      <c r="AE6496" s="1"/>
      <c r="AF6496" s="1"/>
      <c r="AG6496" s="1"/>
    </row>
    <row r="6497" ht="15.75" customHeight="1">
      <c r="A6497" s="1"/>
      <c r="B6497" s="1"/>
      <c r="C6497" s="1"/>
      <c r="D6497" s="1"/>
      <c r="E6497" s="1"/>
      <c r="F6497" s="1"/>
      <c r="G6497" s="1"/>
      <c r="H6497" s="1"/>
      <c r="I6497" s="1"/>
      <c r="J6497" s="1"/>
      <c r="K6497" s="106" t="s">
        <v>10075</v>
      </c>
      <c r="L6497" s="102" t="str">
        <f>J968</f>
        <v>J2a1a1b2a1</v>
      </c>
      <c r="M6497" s="106" t="s">
        <v>10076</v>
      </c>
      <c r="N6497" s="1" t="s">
        <v>10072</v>
      </c>
      <c r="O6497" s="114">
        <v>6884700.0</v>
      </c>
      <c r="P6497" s="114">
        <v>7016659.0</v>
      </c>
      <c r="Q6497" s="1" t="s">
        <v>2501</v>
      </c>
      <c r="S6497" s="1"/>
      <c r="T6497" s="1"/>
      <c r="U6497" s="1"/>
      <c r="V6497" s="1"/>
      <c r="W6497" s="1"/>
      <c r="X6497" s="1"/>
      <c r="Y6497" s="1"/>
      <c r="AA6497" s="102"/>
      <c r="AB6497" s="1"/>
      <c r="AC6497" s="1"/>
      <c r="AD6497" s="1"/>
      <c r="AE6497" s="1"/>
      <c r="AF6497" s="1"/>
      <c r="AG6497" s="1"/>
    </row>
    <row r="6498" ht="15.75" customHeight="1">
      <c r="A6498" s="1"/>
      <c r="B6498" s="1"/>
      <c r="C6498" s="1"/>
      <c r="D6498" s="1"/>
      <c r="E6498" s="1"/>
      <c r="F6498" s="1"/>
      <c r="G6498" s="1"/>
      <c r="H6498" s="1"/>
      <c r="I6498" s="1"/>
      <c r="J6498" s="1"/>
      <c r="K6498" s="106" t="s">
        <v>10077</v>
      </c>
      <c r="L6498" s="102" t="str">
        <f>J968</f>
        <v>J2a1a1b2a1</v>
      </c>
      <c r="M6498" s="106" t="s">
        <v>10078</v>
      </c>
      <c r="N6498" s="1" t="s">
        <v>10072</v>
      </c>
      <c r="O6498" s="114">
        <v>6884700.0</v>
      </c>
      <c r="P6498" s="114">
        <v>7016659.0</v>
      </c>
      <c r="Q6498" s="1" t="s">
        <v>2501</v>
      </c>
      <c r="S6498" s="1"/>
      <c r="T6498" s="1"/>
      <c r="U6498" s="1"/>
      <c r="V6498" s="1"/>
      <c r="W6498" s="1"/>
      <c r="X6498" s="1"/>
      <c r="Y6498" s="1"/>
      <c r="AA6498" s="102"/>
      <c r="AB6498" s="1"/>
      <c r="AC6498" s="1"/>
      <c r="AD6498" s="1"/>
      <c r="AE6498" s="1"/>
      <c r="AF6498" s="1"/>
      <c r="AG6498" s="1"/>
    </row>
    <row r="6499" ht="15.75" customHeight="1">
      <c r="A6499" s="1"/>
      <c r="B6499" s="1"/>
      <c r="C6499" s="1"/>
      <c r="D6499" s="1"/>
      <c r="E6499" s="1"/>
      <c r="F6499" s="1"/>
      <c r="G6499" s="1"/>
      <c r="H6499" s="1"/>
      <c r="I6499" s="1"/>
      <c r="J6499" s="1"/>
      <c r="K6499" s="102" t="s">
        <v>10079</v>
      </c>
      <c r="L6499" s="102" t="str">
        <f>J968</f>
        <v>J2a1a1b2a1</v>
      </c>
      <c r="M6499" s="102" t="s">
        <v>10080</v>
      </c>
      <c r="N6499" s="1" t="s">
        <v>10081</v>
      </c>
      <c r="O6499" s="114">
        <v>1.7016421E7</v>
      </c>
      <c r="P6499" s="105">
        <v>1.4904541E7</v>
      </c>
      <c r="Q6499" s="102" t="s">
        <v>2423</v>
      </c>
      <c r="S6499" s="1"/>
      <c r="T6499" s="1"/>
      <c r="U6499" s="1"/>
      <c r="V6499" s="1"/>
      <c r="W6499" s="1"/>
      <c r="X6499" s="1"/>
      <c r="Y6499" s="1"/>
      <c r="AA6499" s="102"/>
      <c r="AB6499" s="1"/>
      <c r="AC6499" s="1"/>
      <c r="AD6499" s="1"/>
      <c r="AE6499" s="1"/>
      <c r="AF6499" s="1"/>
      <c r="AG6499" s="1"/>
    </row>
    <row r="6500" ht="15.75" customHeight="1">
      <c r="A6500" s="1"/>
      <c r="B6500" s="1"/>
      <c r="C6500" s="1"/>
      <c r="D6500" s="1"/>
      <c r="E6500" s="1"/>
      <c r="F6500" s="1"/>
      <c r="G6500" s="1"/>
      <c r="H6500" s="1"/>
      <c r="I6500" s="1"/>
      <c r="J6500" s="1"/>
      <c r="K6500" s="106" t="s">
        <v>10080</v>
      </c>
      <c r="L6500" s="102" t="str">
        <f>J968</f>
        <v>J2a1a1b2a1</v>
      </c>
      <c r="M6500" s="106" t="s">
        <v>10079</v>
      </c>
      <c r="N6500" s="1" t="s">
        <v>10081</v>
      </c>
      <c r="O6500" s="114">
        <v>1.7016421E7</v>
      </c>
      <c r="P6500" s="105">
        <v>1.4904541E7</v>
      </c>
      <c r="Q6500" s="102" t="s">
        <v>2423</v>
      </c>
      <c r="S6500" s="1"/>
      <c r="T6500" s="1"/>
      <c r="U6500" s="1"/>
      <c r="V6500" s="1"/>
      <c r="W6500" s="1"/>
      <c r="X6500" s="1"/>
      <c r="Y6500" s="1"/>
      <c r="AA6500" s="102"/>
      <c r="AB6500" s="1"/>
      <c r="AC6500" s="1"/>
      <c r="AD6500" s="1"/>
      <c r="AE6500" s="1"/>
      <c r="AF6500" s="1"/>
      <c r="AG6500" s="1"/>
    </row>
    <row r="6501" ht="15.75" customHeight="1">
      <c r="A6501" s="1"/>
      <c r="B6501" s="1"/>
      <c r="C6501" s="1"/>
      <c r="D6501" s="1"/>
      <c r="E6501" s="1"/>
      <c r="F6501" s="1"/>
      <c r="G6501" s="1"/>
      <c r="H6501" s="1"/>
      <c r="I6501" s="1"/>
      <c r="J6501" s="1"/>
      <c r="K6501" s="102" t="s">
        <v>10082</v>
      </c>
      <c r="L6501" s="102" t="str">
        <f>J968</f>
        <v>J2a1a1b2a1</v>
      </c>
      <c r="M6501" s="102"/>
      <c r="N6501" s="1" t="s">
        <v>10083</v>
      </c>
      <c r="O6501" s="114">
        <v>8729159.0</v>
      </c>
      <c r="P6501" s="105">
        <v>8861118.0</v>
      </c>
      <c r="Q6501" s="102" t="s">
        <v>2529</v>
      </c>
      <c r="S6501" s="1"/>
      <c r="T6501" s="1"/>
      <c r="U6501" s="1"/>
      <c r="V6501" s="1"/>
      <c r="W6501" s="1"/>
      <c r="X6501" s="1"/>
      <c r="Y6501" s="1"/>
      <c r="AA6501" s="102"/>
      <c r="AB6501" s="1"/>
      <c r="AC6501" s="1"/>
      <c r="AD6501" s="1"/>
      <c r="AE6501" s="1"/>
      <c r="AF6501" s="1"/>
      <c r="AG6501" s="1"/>
    </row>
    <row r="6502" ht="15.75" customHeight="1">
      <c r="A6502" s="1"/>
      <c r="B6502" s="1"/>
      <c r="C6502" s="1"/>
      <c r="D6502" s="1"/>
      <c r="E6502" s="1"/>
      <c r="F6502" s="1"/>
      <c r="G6502" s="1"/>
      <c r="H6502" s="1"/>
      <c r="I6502" s="1"/>
      <c r="J6502" s="1"/>
      <c r="K6502" s="102" t="s">
        <v>10084</v>
      </c>
      <c r="L6502" s="102" t="str">
        <f>J968</f>
        <v>J2a1a1b2a1</v>
      </c>
      <c r="M6502" s="102"/>
      <c r="N6502" s="1" t="s">
        <v>10085</v>
      </c>
      <c r="O6502" s="114">
        <v>2.2836385E7</v>
      </c>
      <c r="P6502" s="105">
        <v>2.0674499E7</v>
      </c>
      <c r="Q6502" s="102" t="s">
        <v>2423</v>
      </c>
      <c r="S6502" s="1"/>
      <c r="T6502" s="1"/>
      <c r="U6502" s="1"/>
      <c r="V6502" s="1"/>
      <c r="W6502" s="1"/>
      <c r="X6502" s="1"/>
      <c r="Y6502" s="1"/>
      <c r="AA6502" s="102"/>
      <c r="AB6502" s="1"/>
      <c r="AC6502" s="1"/>
      <c r="AD6502" s="1"/>
      <c r="AE6502" s="1"/>
      <c r="AF6502" s="1"/>
      <c r="AG6502" s="1"/>
    </row>
    <row r="6503" ht="15.75" customHeight="1">
      <c r="A6503" s="1"/>
      <c r="B6503" s="1"/>
      <c r="C6503" s="1"/>
      <c r="D6503" s="1"/>
      <c r="E6503" s="1"/>
      <c r="F6503" s="1"/>
      <c r="G6503" s="1"/>
      <c r="H6503" s="1"/>
      <c r="I6503" s="1"/>
      <c r="J6503" s="1"/>
      <c r="K6503" s="102" t="s">
        <v>10086</v>
      </c>
      <c r="L6503" s="102" t="str">
        <f>J968</f>
        <v>J2a1a1b2a1</v>
      </c>
      <c r="M6503" s="102"/>
      <c r="N6503" s="1" t="s">
        <v>10087</v>
      </c>
      <c r="O6503" s="114">
        <v>2.3562474E7</v>
      </c>
      <c r="P6503" s="105">
        <v>2.1400588E7</v>
      </c>
      <c r="Q6503" s="102" t="s">
        <v>2468</v>
      </c>
      <c r="S6503" s="1"/>
      <c r="T6503" s="1"/>
      <c r="U6503" s="1"/>
      <c r="V6503" s="1"/>
      <c r="W6503" s="1"/>
      <c r="X6503" s="1"/>
      <c r="Y6503" s="1"/>
      <c r="AA6503" s="102"/>
      <c r="AB6503" s="1"/>
      <c r="AC6503" s="1"/>
      <c r="AD6503" s="1"/>
      <c r="AE6503" s="1"/>
      <c r="AF6503" s="1"/>
      <c r="AG6503" s="1"/>
    </row>
    <row r="6504" ht="15.75" customHeight="1">
      <c r="A6504" s="1"/>
      <c r="B6504" s="1"/>
      <c r="C6504" s="1"/>
      <c r="D6504" s="1"/>
      <c r="E6504" s="1"/>
      <c r="F6504" s="1"/>
      <c r="G6504" s="1"/>
      <c r="H6504" s="1"/>
      <c r="I6504" s="1"/>
      <c r="J6504" s="1"/>
      <c r="K6504" s="42" t="s">
        <v>10088</v>
      </c>
      <c r="L6504" t="str">
        <f>K969</f>
        <v>J2a1a1b2a1a</v>
      </c>
      <c r="N6504" s="108" t="s">
        <v>10089</v>
      </c>
      <c r="O6504" s="108">
        <v>2.1142273E7</v>
      </c>
      <c r="P6504" s="42">
        <v>1.8980387E7</v>
      </c>
      <c r="Q6504" s="42" t="s">
        <v>2501</v>
      </c>
      <c r="S6504" s="1"/>
      <c r="T6504" s="1"/>
      <c r="U6504" s="1"/>
      <c r="V6504" s="1"/>
      <c r="W6504" s="1"/>
      <c r="X6504" s="1"/>
      <c r="Y6504" s="1"/>
      <c r="AA6504" s="102"/>
      <c r="AB6504" s="1"/>
      <c r="AC6504" s="1"/>
      <c r="AD6504" s="1"/>
      <c r="AE6504" s="1"/>
      <c r="AF6504" s="1"/>
      <c r="AG6504" s="1"/>
    </row>
    <row r="6505" ht="15.75" customHeight="1">
      <c r="A6505" s="1"/>
      <c r="B6505" s="1"/>
      <c r="C6505" s="1"/>
      <c r="D6505" s="1"/>
      <c r="E6505" s="1"/>
      <c r="F6505" s="1"/>
      <c r="G6505" s="1"/>
      <c r="H6505" s="1"/>
      <c r="I6505" s="1"/>
      <c r="J6505" s="1"/>
      <c r="K6505" s="42" t="s">
        <v>10090</v>
      </c>
      <c r="L6505" t="str">
        <f>K969</f>
        <v>J2a1a1b2a1a</v>
      </c>
      <c r="N6505" s="108" t="s">
        <v>10091</v>
      </c>
      <c r="O6505" s="108">
        <v>6870824.0</v>
      </c>
      <c r="P6505" s="42">
        <v>7002783.0</v>
      </c>
      <c r="Q6505" s="42" t="s">
        <v>2514</v>
      </c>
      <c r="S6505" s="1"/>
      <c r="T6505" s="1"/>
      <c r="U6505" s="1"/>
      <c r="V6505" s="1"/>
      <c r="W6505" s="1"/>
      <c r="X6505" s="1"/>
      <c r="Y6505" s="1"/>
      <c r="AA6505" s="102"/>
      <c r="AB6505" s="1"/>
      <c r="AC6505" s="1"/>
      <c r="AD6505" s="1"/>
      <c r="AE6505" s="1"/>
      <c r="AF6505" s="1"/>
      <c r="AG6505" s="1"/>
    </row>
    <row r="6506" ht="15.75" customHeight="1">
      <c r="A6506" s="1"/>
      <c r="B6506" s="1"/>
      <c r="C6506" s="1"/>
      <c r="D6506" s="1"/>
      <c r="E6506" s="1"/>
      <c r="F6506" s="1"/>
      <c r="G6506" s="1"/>
      <c r="H6506" s="1"/>
      <c r="I6506" s="1"/>
      <c r="J6506" s="1"/>
      <c r="K6506" s="42" t="s">
        <v>10092</v>
      </c>
      <c r="L6506" t="str">
        <f>K969</f>
        <v>J2a1a1b2a1a</v>
      </c>
      <c r="N6506" s="108" t="s">
        <v>10093</v>
      </c>
      <c r="O6506" s="108">
        <v>1.7217419E7</v>
      </c>
      <c r="P6506" s="42">
        <v>1.5105539E7</v>
      </c>
      <c r="Q6506" s="42" t="s">
        <v>2439</v>
      </c>
      <c r="S6506" s="1"/>
      <c r="T6506" s="1"/>
      <c r="U6506" s="1"/>
      <c r="V6506" s="1"/>
      <c r="W6506" s="1"/>
      <c r="X6506" s="1"/>
      <c r="Y6506" s="1"/>
      <c r="AA6506" s="102"/>
      <c r="AB6506" s="1"/>
      <c r="AC6506" s="1"/>
      <c r="AD6506" s="1"/>
      <c r="AE6506" s="1"/>
      <c r="AF6506" s="1"/>
      <c r="AG6506" s="1"/>
    </row>
    <row r="6507" ht="15.75" customHeight="1">
      <c r="A6507" s="1"/>
      <c r="B6507" s="1"/>
      <c r="C6507" s="1"/>
      <c r="D6507" s="1"/>
      <c r="E6507" s="1"/>
      <c r="F6507" s="1"/>
      <c r="G6507" s="1"/>
      <c r="H6507" s="1"/>
      <c r="I6507" s="1"/>
      <c r="J6507" s="1"/>
      <c r="K6507" s="42" t="s">
        <v>10094</v>
      </c>
      <c r="L6507" t="str">
        <f>K969</f>
        <v>J2a1a1b2a1a</v>
      </c>
      <c r="N6507" s="108" t="s">
        <v>10095</v>
      </c>
      <c r="O6507" s="108">
        <v>2.1822466E7</v>
      </c>
      <c r="P6507" s="42">
        <v>1.966058E7</v>
      </c>
      <c r="Q6507" s="42" t="s">
        <v>2533</v>
      </c>
      <c r="S6507" s="1"/>
      <c r="T6507" s="1"/>
      <c r="U6507" s="1"/>
      <c r="V6507" s="1"/>
      <c r="W6507" s="1"/>
      <c r="X6507" s="1"/>
      <c r="Y6507" s="1"/>
      <c r="AA6507" s="102"/>
      <c r="AB6507" s="1"/>
      <c r="AC6507" s="1"/>
      <c r="AD6507" s="1"/>
      <c r="AE6507" s="1"/>
      <c r="AF6507" s="1"/>
      <c r="AG6507" s="1"/>
    </row>
    <row r="6508" ht="15.75" customHeight="1">
      <c r="A6508" s="1"/>
      <c r="B6508" s="1"/>
      <c r="C6508" s="1"/>
      <c r="D6508" s="1"/>
      <c r="E6508" s="1"/>
      <c r="F6508" s="1"/>
      <c r="G6508" s="1"/>
      <c r="H6508" s="1"/>
      <c r="I6508" s="1"/>
      <c r="J6508" s="1"/>
      <c r="K6508" s="42" t="s">
        <v>10096</v>
      </c>
      <c r="L6508" t="str">
        <f>L970</f>
        <v>J2a1a1b2a1a1</v>
      </c>
      <c r="M6508" s="42" t="s">
        <v>10097</v>
      </c>
      <c r="N6508" s="108" t="s">
        <v>10098</v>
      </c>
      <c r="O6508" s="108">
        <v>7152161.0</v>
      </c>
      <c r="P6508" s="42">
        <v>7284120.0</v>
      </c>
      <c r="Q6508" s="42" t="s">
        <v>2529</v>
      </c>
      <c r="S6508" s="1"/>
      <c r="T6508" s="1"/>
      <c r="U6508" s="1"/>
      <c r="V6508" s="1"/>
      <c r="W6508" s="1"/>
      <c r="X6508" s="1"/>
      <c r="Y6508" s="1"/>
      <c r="AA6508" s="102"/>
      <c r="AB6508" s="1"/>
      <c r="AC6508" s="1"/>
      <c r="AD6508" s="1"/>
      <c r="AE6508" s="1"/>
      <c r="AF6508" s="1"/>
      <c r="AG6508" s="1"/>
    </row>
    <row r="6509" ht="15.75" customHeight="1">
      <c r="A6509" s="1"/>
      <c r="B6509" s="1"/>
      <c r="C6509" s="1"/>
      <c r="D6509" s="1"/>
      <c r="E6509" s="1"/>
      <c r="F6509" s="1"/>
      <c r="G6509" s="1"/>
      <c r="H6509" s="1"/>
      <c r="I6509" s="1"/>
      <c r="J6509" s="1"/>
      <c r="K6509" s="42" t="s">
        <v>10099</v>
      </c>
      <c r="L6509" t="str">
        <f>L970</f>
        <v>J2a1a1b2a1a1</v>
      </c>
      <c r="M6509" s="42" t="s">
        <v>10100</v>
      </c>
      <c r="N6509" s="108" t="s">
        <v>10098</v>
      </c>
      <c r="O6509" s="108">
        <v>7152161.0</v>
      </c>
      <c r="P6509" s="42">
        <v>7284120.0</v>
      </c>
      <c r="Q6509" s="42" t="s">
        <v>2529</v>
      </c>
      <c r="S6509" s="1"/>
      <c r="T6509" s="1"/>
      <c r="U6509" s="1"/>
      <c r="V6509" s="1"/>
      <c r="W6509" s="1"/>
      <c r="X6509" s="1"/>
      <c r="Y6509" s="1"/>
      <c r="AA6509" s="102"/>
      <c r="AB6509" s="1"/>
      <c r="AC6509" s="1"/>
      <c r="AD6509" s="1"/>
      <c r="AE6509" s="1"/>
      <c r="AF6509" s="1"/>
      <c r="AG6509" s="1"/>
    </row>
    <row r="6510" ht="15.75" customHeight="1">
      <c r="A6510" s="1"/>
      <c r="B6510" s="1"/>
      <c r="C6510" s="1"/>
      <c r="D6510" s="1"/>
      <c r="E6510" s="1"/>
      <c r="F6510" s="1"/>
      <c r="G6510" s="1"/>
      <c r="H6510" s="1"/>
      <c r="I6510" s="1"/>
      <c r="J6510" s="1"/>
      <c r="K6510" s="42" t="s">
        <v>10101</v>
      </c>
      <c r="L6510" t="str">
        <f>L970</f>
        <v>J2a1a1b2a1a1</v>
      </c>
      <c r="M6510" s="42" t="s">
        <v>10102</v>
      </c>
      <c r="N6510" s="108" t="s">
        <v>10098</v>
      </c>
      <c r="O6510" s="108">
        <v>7152161.0</v>
      </c>
      <c r="P6510" s="42">
        <v>7284120.0</v>
      </c>
      <c r="Q6510" s="42" t="s">
        <v>2529</v>
      </c>
      <c r="S6510" s="1"/>
      <c r="T6510" s="1"/>
      <c r="U6510" s="1"/>
      <c r="V6510" s="1"/>
      <c r="W6510" s="1"/>
      <c r="X6510" s="1"/>
      <c r="Y6510" s="1"/>
      <c r="AA6510" s="102"/>
      <c r="AB6510" s="1"/>
      <c r="AC6510" s="1"/>
      <c r="AD6510" s="1"/>
      <c r="AE6510" s="1"/>
      <c r="AF6510" s="1"/>
      <c r="AG6510" s="1"/>
    </row>
    <row r="6511" ht="15.75" customHeight="1">
      <c r="A6511" s="1"/>
      <c r="B6511" s="1"/>
      <c r="C6511" s="1"/>
      <c r="D6511" s="1"/>
      <c r="E6511" s="1"/>
      <c r="F6511" s="1"/>
      <c r="G6511" s="1"/>
      <c r="H6511" s="1"/>
      <c r="I6511" s="1"/>
      <c r="J6511" s="1"/>
      <c r="K6511" s="42" t="s">
        <v>10103</v>
      </c>
      <c r="L6511" t="str">
        <f>L970</f>
        <v>J2a1a1b2a1a1</v>
      </c>
      <c r="M6511" s="42" t="s">
        <v>10104</v>
      </c>
      <c r="N6511" s="108" t="s">
        <v>10105</v>
      </c>
      <c r="O6511" s="108">
        <v>1.5798404E7</v>
      </c>
      <c r="P6511" s="42">
        <v>1.3686524E7</v>
      </c>
      <c r="Q6511" s="42" t="s">
        <v>2501</v>
      </c>
      <c r="S6511" s="1"/>
      <c r="T6511" s="1"/>
      <c r="U6511" s="1"/>
      <c r="V6511" s="1"/>
      <c r="W6511" s="1"/>
      <c r="X6511" s="1"/>
      <c r="Y6511" s="1"/>
      <c r="AA6511" s="102"/>
      <c r="AB6511" s="1"/>
      <c r="AC6511" s="1"/>
      <c r="AD6511" s="1"/>
      <c r="AE6511" s="1"/>
      <c r="AF6511" s="1"/>
      <c r="AG6511" s="1"/>
    </row>
    <row r="6512" ht="15.75" customHeight="1">
      <c r="A6512" s="1"/>
      <c r="B6512" s="1"/>
      <c r="C6512" s="1"/>
      <c r="D6512" s="1"/>
      <c r="E6512" s="1"/>
      <c r="F6512" s="1"/>
      <c r="G6512" s="1"/>
      <c r="H6512" s="1"/>
      <c r="I6512" s="1"/>
      <c r="J6512" s="1"/>
      <c r="K6512" s="42" t="s">
        <v>10106</v>
      </c>
      <c r="L6512" t="str">
        <f>L970</f>
        <v>J2a1a1b2a1a1</v>
      </c>
      <c r="M6512" s="42" t="s">
        <v>10107</v>
      </c>
      <c r="N6512" s="108" t="s">
        <v>10105</v>
      </c>
      <c r="O6512" s="108">
        <v>1.5798404E7</v>
      </c>
      <c r="P6512" s="42">
        <v>1.3686524E7</v>
      </c>
      <c r="Q6512" s="42" t="s">
        <v>2501</v>
      </c>
      <c r="S6512" s="1"/>
      <c r="T6512" s="1"/>
      <c r="U6512" s="1"/>
      <c r="V6512" s="1"/>
      <c r="W6512" s="1"/>
      <c r="X6512" s="1"/>
      <c r="Y6512" s="1"/>
      <c r="AA6512" s="102"/>
      <c r="AB6512" s="1"/>
      <c r="AC6512" s="1"/>
      <c r="AD6512" s="1"/>
      <c r="AE6512" s="1"/>
      <c r="AF6512" s="1"/>
      <c r="AG6512" s="1"/>
    </row>
    <row r="6513" ht="15.75" customHeight="1">
      <c r="A6513" s="1"/>
      <c r="B6513" s="1"/>
      <c r="C6513" s="1"/>
      <c r="D6513" s="1"/>
      <c r="E6513" s="1"/>
      <c r="F6513" s="1"/>
      <c r="G6513" s="1"/>
      <c r="H6513" s="1"/>
      <c r="I6513" s="1"/>
      <c r="J6513" s="1"/>
      <c r="K6513" s="42" t="s">
        <v>10108</v>
      </c>
      <c r="L6513" t="str">
        <f>L970</f>
        <v>J2a1a1b2a1a1</v>
      </c>
      <c r="M6513" s="42" t="s">
        <v>10109</v>
      </c>
      <c r="N6513" s="108" t="s">
        <v>10105</v>
      </c>
      <c r="O6513" s="108">
        <v>1.5798404E7</v>
      </c>
      <c r="P6513" s="42">
        <v>1.3686524E7</v>
      </c>
      <c r="Q6513" s="42" t="s">
        <v>2501</v>
      </c>
      <c r="S6513" s="1"/>
      <c r="T6513" s="1"/>
      <c r="U6513" s="1"/>
      <c r="V6513" s="1"/>
      <c r="W6513" s="1"/>
      <c r="X6513" s="1"/>
      <c r="Y6513" s="1"/>
      <c r="AA6513" s="102"/>
      <c r="AB6513" s="1"/>
      <c r="AC6513" s="1"/>
      <c r="AD6513" s="1"/>
      <c r="AE6513" s="1"/>
      <c r="AF6513" s="1"/>
      <c r="AG6513" s="1"/>
    </row>
    <row r="6514" ht="15.75" customHeight="1">
      <c r="A6514" s="1"/>
      <c r="B6514" s="1"/>
      <c r="C6514" s="1"/>
      <c r="D6514" s="1"/>
      <c r="E6514" s="1"/>
      <c r="F6514" s="1"/>
      <c r="G6514" s="1"/>
      <c r="H6514" s="1"/>
      <c r="I6514" s="1"/>
      <c r="J6514" s="1"/>
      <c r="K6514" s="42" t="s">
        <v>10110</v>
      </c>
      <c r="L6514" t="str">
        <f>L970</f>
        <v>J2a1a1b2a1a1</v>
      </c>
      <c r="O6514" s="123" t="s">
        <v>2406</v>
      </c>
      <c r="P6514" s="42">
        <v>1.0873493E7</v>
      </c>
      <c r="Q6514" s="42" t="s">
        <v>2439</v>
      </c>
      <c r="S6514" s="1"/>
      <c r="T6514" s="1"/>
      <c r="U6514" s="1"/>
      <c r="V6514" s="1"/>
      <c r="W6514" s="1"/>
      <c r="X6514" s="1"/>
      <c r="Y6514" s="1"/>
      <c r="AA6514" s="102"/>
      <c r="AB6514" s="1"/>
      <c r="AC6514" s="1"/>
      <c r="AD6514" s="1"/>
      <c r="AE6514" s="1"/>
      <c r="AF6514" s="1"/>
      <c r="AG6514" s="1"/>
    </row>
    <row r="6515" ht="15.75" customHeight="1">
      <c r="A6515" s="1"/>
      <c r="B6515" s="1"/>
      <c r="C6515" s="1"/>
      <c r="D6515" s="1"/>
      <c r="E6515" s="1"/>
      <c r="F6515" s="1"/>
      <c r="G6515" s="1"/>
      <c r="H6515" s="1"/>
      <c r="I6515" s="1"/>
      <c r="J6515" s="1"/>
      <c r="K6515" s="42" t="s">
        <v>10111</v>
      </c>
      <c r="L6515" t="str">
        <f>L970</f>
        <v>J2a1a1b2a1a1</v>
      </c>
      <c r="M6515" s="42" t="s">
        <v>10112</v>
      </c>
      <c r="N6515" s="108" t="s">
        <v>10113</v>
      </c>
      <c r="O6515" s="108">
        <v>2.3461351E7</v>
      </c>
      <c r="P6515" s="42">
        <v>2.1299465E7</v>
      </c>
      <c r="Q6515" s="42" t="s">
        <v>2501</v>
      </c>
      <c r="S6515" s="1"/>
      <c r="T6515" s="1"/>
      <c r="U6515" s="1"/>
      <c r="V6515" s="1"/>
      <c r="W6515" s="1"/>
      <c r="X6515" s="1"/>
      <c r="Y6515" s="1"/>
      <c r="AA6515" s="102"/>
      <c r="AB6515" s="1"/>
      <c r="AC6515" s="1"/>
      <c r="AD6515" s="1"/>
      <c r="AE6515" s="1"/>
      <c r="AF6515" s="1"/>
      <c r="AG6515" s="1"/>
    </row>
    <row r="6516" ht="15.75" customHeight="1">
      <c r="A6516" s="1"/>
      <c r="B6516" s="1"/>
      <c r="C6516" s="1"/>
      <c r="D6516" s="1"/>
      <c r="E6516" s="1"/>
      <c r="F6516" s="1"/>
      <c r="G6516" s="1"/>
      <c r="H6516" s="1"/>
      <c r="I6516" s="1"/>
      <c r="J6516" s="1"/>
      <c r="K6516" s="106" t="s">
        <v>10112</v>
      </c>
      <c r="L6516" s="102" t="str">
        <f>L970</f>
        <v>J2a1a1b2a1a1</v>
      </c>
      <c r="M6516" s="106" t="s">
        <v>10111</v>
      </c>
      <c r="N6516" s="108" t="s">
        <v>10113</v>
      </c>
      <c r="O6516" s="108">
        <v>2.3461351E7</v>
      </c>
      <c r="P6516" s="42">
        <v>2.1299465E7</v>
      </c>
      <c r="Q6516" s="42" t="s">
        <v>2501</v>
      </c>
      <c r="S6516" s="1"/>
      <c r="T6516" s="1"/>
      <c r="U6516" s="1"/>
      <c r="V6516" s="1"/>
      <c r="W6516" s="1"/>
      <c r="X6516" s="1"/>
      <c r="Y6516" s="1"/>
      <c r="AA6516" s="102"/>
      <c r="AB6516" s="1"/>
      <c r="AC6516" s="1"/>
      <c r="AD6516" s="1"/>
      <c r="AE6516" s="1"/>
      <c r="AF6516" s="1"/>
      <c r="AG6516" s="1"/>
    </row>
    <row r="6517" ht="15.75" customHeight="1">
      <c r="A6517" s="1"/>
      <c r="B6517" s="1"/>
      <c r="C6517" s="1"/>
      <c r="D6517" s="1"/>
      <c r="E6517" s="1"/>
      <c r="F6517" s="1"/>
      <c r="G6517" s="1"/>
      <c r="H6517" s="1"/>
      <c r="I6517" s="1"/>
      <c r="J6517" s="1"/>
      <c r="K6517" s="106" t="s">
        <v>10114</v>
      </c>
      <c r="L6517" s="102" t="str">
        <f>L970</f>
        <v>J2a1a1b2a1a1</v>
      </c>
      <c r="M6517" s="102"/>
      <c r="N6517" s="108" t="s">
        <v>10115</v>
      </c>
      <c r="O6517" s="108">
        <v>1.6687241E7</v>
      </c>
      <c r="P6517" s="106">
        <v>1.4575361E7</v>
      </c>
      <c r="Q6517" s="106" t="s">
        <v>2514</v>
      </c>
      <c r="S6517" s="1"/>
      <c r="T6517" s="1"/>
      <c r="U6517" s="1"/>
      <c r="V6517" s="1"/>
      <c r="W6517" s="1"/>
      <c r="X6517" s="1"/>
      <c r="Y6517" s="1"/>
      <c r="AA6517" s="102"/>
      <c r="AB6517" s="1"/>
      <c r="AC6517" s="1"/>
      <c r="AD6517" s="1"/>
      <c r="AE6517" s="1"/>
      <c r="AF6517" s="1"/>
      <c r="AG6517" s="1"/>
    </row>
    <row r="6518" ht="15.75" customHeight="1">
      <c r="A6518" s="1"/>
      <c r="B6518" s="1"/>
      <c r="C6518" s="1"/>
      <c r="D6518" s="1"/>
      <c r="E6518" s="1"/>
      <c r="F6518" s="1"/>
      <c r="G6518" s="1"/>
      <c r="H6518" s="1"/>
      <c r="I6518" s="1"/>
      <c r="J6518" s="1"/>
      <c r="K6518" t="s">
        <v>1909</v>
      </c>
      <c r="L6518" t="str">
        <f>M971</f>
        <v>J2a1a1b2a1a1a</v>
      </c>
      <c r="N6518" t="s">
        <v>10116</v>
      </c>
      <c r="O6518">
        <v>2.1716366E7</v>
      </c>
      <c r="P6518">
        <v>1.955448E7</v>
      </c>
      <c r="Q6518" s="112" t="s">
        <v>2501</v>
      </c>
      <c r="S6518" s="1"/>
      <c r="T6518" s="1"/>
      <c r="U6518" s="1"/>
      <c r="V6518" s="1"/>
      <c r="W6518" s="1"/>
      <c r="X6518" s="1"/>
      <c r="Y6518" s="1"/>
      <c r="AA6518" s="102"/>
      <c r="AB6518" s="1"/>
      <c r="AC6518" s="1"/>
      <c r="AD6518" s="1"/>
      <c r="AE6518" s="1"/>
      <c r="AF6518" s="1"/>
      <c r="AG6518" s="1"/>
    </row>
    <row r="6519" ht="15.75" customHeight="1">
      <c r="A6519" s="1"/>
      <c r="B6519" s="1"/>
      <c r="C6519" s="1"/>
      <c r="D6519" s="1"/>
      <c r="E6519" s="1"/>
      <c r="F6519" s="1"/>
      <c r="G6519" s="1"/>
      <c r="H6519" s="1"/>
      <c r="I6519" s="1"/>
      <c r="J6519" s="1"/>
      <c r="K6519" s="42" t="s">
        <v>10117</v>
      </c>
      <c r="L6519" t="str">
        <f>L972</f>
        <v>J2a1a1b2a1a2</v>
      </c>
      <c r="M6519" s="42" t="s">
        <v>10118</v>
      </c>
      <c r="N6519" s="108" t="s">
        <v>10119</v>
      </c>
      <c r="O6519" s="108">
        <v>1.5466041E7</v>
      </c>
      <c r="P6519" s="42">
        <v>1.3354161E7</v>
      </c>
      <c r="Q6519" s="42" t="s">
        <v>2501</v>
      </c>
      <c r="S6519" s="1"/>
      <c r="T6519" s="1"/>
      <c r="U6519" s="1"/>
      <c r="V6519" s="1"/>
      <c r="W6519" s="1"/>
      <c r="X6519" s="1"/>
      <c r="Y6519" s="1"/>
      <c r="AA6519" s="102"/>
      <c r="AB6519" s="1"/>
      <c r="AC6519" s="1"/>
      <c r="AD6519" s="1"/>
      <c r="AE6519" s="1"/>
      <c r="AF6519" s="1"/>
      <c r="AG6519" s="1"/>
    </row>
    <row r="6520" ht="15.75" customHeight="1">
      <c r="A6520" s="1"/>
      <c r="B6520" s="1"/>
      <c r="C6520" s="1"/>
      <c r="D6520" s="1"/>
      <c r="E6520" s="1"/>
      <c r="F6520" s="1"/>
      <c r="G6520" s="1"/>
      <c r="H6520" s="1"/>
      <c r="I6520" s="1"/>
      <c r="J6520" s="1"/>
      <c r="K6520" s="42" t="s">
        <v>10118</v>
      </c>
      <c r="L6520" t="str">
        <f>L972</f>
        <v>J2a1a1b2a1a2</v>
      </c>
      <c r="M6520" s="42" t="s">
        <v>10117</v>
      </c>
      <c r="N6520" s="108" t="s">
        <v>10119</v>
      </c>
      <c r="O6520" s="108">
        <v>1.5466041E7</v>
      </c>
      <c r="P6520" s="42">
        <v>1.3354161E7</v>
      </c>
      <c r="Q6520" s="42" t="s">
        <v>2501</v>
      </c>
      <c r="S6520" s="1"/>
      <c r="T6520" s="1"/>
      <c r="U6520" s="1"/>
      <c r="V6520" s="1"/>
      <c r="W6520" s="1"/>
      <c r="X6520" s="1"/>
      <c r="Y6520" s="1"/>
      <c r="AA6520" s="102"/>
      <c r="AB6520" s="1"/>
      <c r="AC6520" s="1"/>
      <c r="AD6520" s="1"/>
      <c r="AE6520" s="1"/>
      <c r="AF6520" s="1"/>
      <c r="AG6520" s="1"/>
    </row>
    <row r="6521" ht="15.75" customHeight="1">
      <c r="A6521" s="1"/>
      <c r="B6521" s="1"/>
      <c r="C6521" s="1"/>
      <c r="D6521" s="1"/>
      <c r="E6521" s="1"/>
      <c r="F6521" s="1"/>
      <c r="G6521" s="1"/>
      <c r="H6521" s="1"/>
      <c r="I6521" s="1"/>
      <c r="J6521" s="1"/>
      <c r="K6521" s="42" t="s">
        <v>10120</v>
      </c>
      <c r="L6521" t="str">
        <f>L972</f>
        <v>J2a1a1b2a1a2</v>
      </c>
      <c r="M6521" s="42" t="s">
        <v>10121</v>
      </c>
      <c r="N6521" s="108" t="s">
        <v>10122</v>
      </c>
      <c r="O6521" s="108">
        <v>1.7283314E7</v>
      </c>
      <c r="P6521" s="42">
        <v>1.5171434E7</v>
      </c>
      <c r="Q6521" s="42" t="s">
        <v>2533</v>
      </c>
      <c r="S6521" s="1"/>
      <c r="T6521" s="1"/>
      <c r="U6521" s="1"/>
      <c r="V6521" s="1"/>
      <c r="W6521" s="1"/>
      <c r="X6521" s="1"/>
      <c r="Y6521" s="1"/>
      <c r="AA6521" s="102"/>
      <c r="AB6521" s="1"/>
      <c r="AC6521" s="1"/>
      <c r="AD6521" s="1"/>
      <c r="AE6521" s="1"/>
      <c r="AF6521" s="1"/>
      <c r="AG6521" s="1"/>
    </row>
    <row r="6522" ht="15.75" customHeight="1">
      <c r="A6522" s="1"/>
      <c r="B6522" s="1"/>
      <c r="C6522" s="1"/>
      <c r="D6522" s="1"/>
      <c r="E6522" s="1"/>
      <c r="F6522" s="1"/>
      <c r="G6522" s="1"/>
      <c r="H6522" s="1"/>
      <c r="I6522" s="1"/>
      <c r="J6522" s="1"/>
      <c r="K6522" s="42" t="s">
        <v>10121</v>
      </c>
      <c r="L6522" t="str">
        <f>L972</f>
        <v>J2a1a1b2a1a2</v>
      </c>
      <c r="M6522" s="42" t="s">
        <v>10120</v>
      </c>
      <c r="N6522" s="108" t="s">
        <v>10122</v>
      </c>
      <c r="O6522" s="108">
        <v>1.7283314E7</v>
      </c>
      <c r="P6522" s="42">
        <v>1.5171434E7</v>
      </c>
      <c r="Q6522" s="42" t="s">
        <v>2533</v>
      </c>
      <c r="S6522" s="1"/>
      <c r="T6522" s="1"/>
      <c r="U6522" s="1"/>
      <c r="V6522" s="1"/>
      <c r="W6522" s="1"/>
      <c r="X6522" s="1"/>
      <c r="Y6522" s="1"/>
      <c r="AA6522" s="102"/>
      <c r="AB6522" s="1"/>
      <c r="AC6522" s="1"/>
      <c r="AD6522" s="1"/>
      <c r="AE6522" s="1"/>
      <c r="AF6522" s="1"/>
      <c r="AG6522" s="1"/>
    </row>
    <row r="6523" ht="15.75" customHeight="1">
      <c r="A6523" s="1"/>
      <c r="B6523" s="1"/>
      <c r="C6523" s="1"/>
      <c r="D6523" s="1"/>
      <c r="E6523" s="1"/>
      <c r="F6523" s="1"/>
      <c r="G6523" s="1"/>
      <c r="H6523" s="1"/>
      <c r="I6523" s="1"/>
      <c r="J6523" s="1"/>
      <c r="K6523" s="42" t="s">
        <v>10123</v>
      </c>
      <c r="L6523" t="str">
        <f>L972</f>
        <v>J2a1a1b2a1a2</v>
      </c>
      <c r="O6523" s="108">
        <v>1.9515016E7</v>
      </c>
      <c r="P6523" s="42">
        <v>1.7403136E7</v>
      </c>
      <c r="Q6523" s="42" t="s">
        <v>2529</v>
      </c>
      <c r="S6523" s="1"/>
      <c r="T6523" s="1"/>
      <c r="U6523" s="1"/>
      <c r="V6523" s="1"/>
      <c r="W6523" s="1"/>
      <c r="X6523" s="1"/>
      <c r="Y6523" s="1"/>
      <c r="AA6523" s="102"/>
      <c r="AB6523" s="1"/>
      <c r="AC6523" s="1"/>
      <c r="AD6523" s="1"/>
      <c r="AE6523" s="1"/>
      <c r="AF6523" s="1"/>
      <c r="AG6523" s="1"/>
    </row>
    <row r="6524" ht="15.75" customHeight="1">
      <c r="A6524" s="1"/>
      <c r="B6524" s="1"/>
      <c r="C6524" s="1"/>
      <c r="D6524" s="1"/>
      <c r="E6524" s="1"/>
      <c r="F6524" s="1"/>
      <c r="G6524" s="1"/>
      <c r="H6524" s="1"/>
      <c r="I6524" s="1"/>
      <c r="J6524" s="1"/>
      <c r="K6524" s="1" t="s">
        <v>10124</v>
      </c>
      <c r="L6524" s="1" t="str">
        <f>M973</f>
        <v>J2a1a1b2a1a2a</v>
      </c>
      <c r="M6524" s="1" t="s">
        <v>10125</v>
      </c>
      <c r="N6524" s="1" t="s">
        <v>10126</v>
      </c>
      <c r="O6524" s="114">
        <v>1.6557944E7</v>
      </c>
      <c r="P6524" s="114">
        <v>1.4446064E7</v>
      </c>
      <c r="Q6524" s="1" t="s">
        <v>2439</v>
      </c>
      <c r="S6524" s="1"/>
      <c r="T6524" s="1"/>
      <c r="U6524" s="1"/>
      <c r="V6524" s="1"/>
      <c r="W6524" s="1"/>
      <c r="X6524" s="1"/>
      <c r="Y6524" s="1"/>
      <c r="AA6524" s="102"/>
      <c r="AB6524" s="1"/>
      <c r="AC6524" s="1"/>
      <c r="AD6524" s="1"/>
      <c r="AE6524" s="1"/>
      <c r="AF6524" s="1"/>
      <c r="AG6524" s="1"/>
    </row>
    <row r="6525" ht="15.75" customHeight="1">
      <c r="A6525" s="1"/>
      <c r="B6525" s="1"/>
      <c r="C6525" s="1"/>
      <c r="D6525" s="1"/>
      <c r="E6525" s="1"/>
      <c r="F6525" s="1"/>
      <c r="G6525" s="1"/>
      <c r="H6525" s="1"/>
      <c r="I6525" s="1"/>
      <c r="J6525" s="1"/>
      <c r="K6525" s="19" t="s">
        <v>10125</v>
      </c>
      <c r="L6525" s="1" t="str">
        <f>M973</f>
        <v>J2a1a1b2a1a2a</v>
      </c>
      <c r="M6525" s="19" t="s">
        <v>10124</v>
      </c>
      <c r="N6525" s="1" t="s">
        <v>10126</v>
      </c>
      <c r="O6525" s="114">
        <v>1.6557944E7</v>
      </c>
      <c r="P6525" s="114">
        <v>1.4446064E7</v>
      </c>
      <c r="Q6525" s="1" t="s">
        <v>2439</v>
      </c>
      <c r="S6525" s="1"/>
      <c r="T6525" s="1"/>
      <c r="U6525" s="1"/>
      <c r="V6525" s="1"/>
      <c r="W6525" s="1"/>
      <c r="X6525" s="1"/>
      <c r="Y6525" s="1"/>
      <c r="AA6525" s="102"/>
      <c r="AB6525" s="1"/>
      <c r="AC6525" s="1"/>
      <c r="AD6525" s="1"/>
      <c r="AE6525" s="1"/>
      <c r="AF6525" s="1"/>
      <c r="AG6525" s="1"/>
    </row>
    <row r="6526" ht="15.75" customHeight="1">
      <c r="A6526" s="1"/>
      <c r="B6526" s="1"/>
      <c r="C6526" s="1"/>
      <c r="D6526" s="1"/>
      <c r="E6526" s="1"/>
      <c r="F6526" s="1"/>
      <c r="G6526" s="1"/>
      <c r="H6526" s="1"/>
      <c r="I6526" s="1"/>
      <c r="J6526" s="1"/>
      <c r="K6526" s="1" t="s">
        <v>10127</v>
      </c>
      <c r="L6526" s="1" t="str">
        <f>M973</f>
        <v>J2a1a1b2a1a2a</v>
      </c>
      <c r="M6526" s="1" t="s">
        <v>10128</v>
      </c>
      <c r="N6526" s="1" t="s">
        <v>10129</v>
      </c>
      <c r="O6526" s="114">
        <v>1.6348037E7</v>
      </c>
      <c r="P6526" s="114">
        <v>1.4236157E7</v>
      </c>
      <c r="Q6526" s="1" t="s">
        <v>2529</v>
      </c>
      <c r="S6526" s="1"/>
      <c r="T6526" s="1"/>
      <c r="U6526" s="1"/>
      <c r="V6526" s="1"/>
      <c r="W6526" s="1"/>
      <c r="X6526" s="1"/>
      <c r="Y6526" s="1"/>
      <c r="AA6526" s="102"/>
      <c r="AB6526" s="1"/>
      <c r="AC6526" s="1"/>
      <c r="AD6526" s="1"/>
      <c r="AE6526" s="1"/>
      <c r="AF6526" s="1"/>
      <c r="AG6526" s="1"/>
    </row>
    <row r="6527" ht="15.75" customHeight="1">
      <c r="A6527" s="1"/>
      <c r="B6527" s="1"/>
      <c r="C6527" s="1"/>
      <c r="D6527" s="1"/>
      <c r="E6527" s="1"/>
      <c r="F6527" s="1"/>
      <c r="G6527" s="1"/>
      <c r="H6527" s="1"/>
      <c r="I6527" s="1"/>
      <c r="J6527" s="1"/>
      <c r="K6527" s="19" t="s">
        <v>10128</v>
      </c>
      <c r="L6527" s="1" t="str">
        <f>M973</f>
        <v>J2a1a1b2a1a2a</v>
      </c>
      <c r="M6527" s="19" t="s">
        <v>10127</v>
      </c>
      <c r="N6527" s="1" t="s">
        <v>10129</v>
      </c>
      <c r="O6527" s="114">
        <v>1.6348037E7</v>
      </c>
      <c r="P6527" s="114">
        <v>1.4236157E7</v>
      </c>
      <c r="Q6527" s="1" t="s">
        <v>2529</v>
      </c>
      <c r="S6527" s="1"/>
      <c r="T6527" s="1"/>
      <c r="U6527" s="1"/>
      <c r="V6527" s="1"/>
      <c r="W6527" s="1"/>
      <c r="X6527" s="1"/>
      <c r="Y6527" s="1"/>
      <c r="AA6527" s="102"/>
      <c r="AB6527" s="1"/>
      <c r="AC6527" s="1"/>
      <c r="AD6527" s="1"/>
      <c r="AE6527" s="1"/>
      <c r="AF6527" s="1"/>
      <c r="AG6527" s="1"/>
    </row>
    <row r="6528" ht="15.75" customHeight="1">
      <c r="A6528" s="1"/>
      <c r="B6528" s="1"/>
      <c r="C6528" s="1"/>
      <c r="D6528" s="1"/>
      <c r="E6528" s="1"/>
      <c r="F6528" s="1"/>
      <c r="G6528" s="1"/>
      <c r="H6528" s="1"/>
      <c r="I6528" s="1"/>
      <c r="J6528" s="1"/>
      <c r="K6528" s="1" t="s">
        <v>10130</v>
      </c>
      <c r="L6528" s="1" t="str">
        <f>M973</f>
        <v>J2a1a1b2a1a2a</v>
      </c>
      <c r="M6528" s="1" t="s">
        <v>10131</v>
      </c>
      <c r="N6528" s="1" t="s">
        <v>10132</v>
      </c>
      <c r="O6528" s="114">
        <v>9838737.0</v>
      </c>
      <c r="P6528" s="114">
        <v>1.0001128E7</v>
      </c>
      <c r="Q6528" s="1" t="s">
        <v>2439</v>
      </c>
      <c r="S6528" s="1"/>
      <c r="T6528" s="1"/>
      <c r="U6528" s="1"/>
      <c r="V6528" s="1"/>
      <c r="W6528" s="1"/>
      <c r="X6528" s="1"/>
      <c r="Y6528" s="1"/>
      <c r="AA6528" s="102"/>
      <c r="AB6528" s="1"/>
      <c r="AC6528" s="1"/>
      <c r="AD6528" s="1"/>
      <c r="AE6528" s="1"/>
      <c r="AF6528" s="1"/>
      <c r="AG6528" s="1"/>
    </row>
    <row r="6529" ht="15.75" customHeight="1">
      <c r="A6529" s="1"/>
      <c r="B6529" s="1"/>
      <c r="C6529" s="1"/>
      <c r="D6529" s="1"/>
      <c r="E6529" s="1"/>
      <c r="F6529" s="1"/>
      <c r="G6529" s="1"/>
      <c r="H6529" s="1"/>
      <c r="I6529" s="1"/>
      <c r="J6529" s="1"/>
      <c r="K6529" s="19" t="s">
        <v>10131</v>
      </c>
      <c r="L6529" s="1" t="str">
        <f>M973</f>
        <v>J2a1a1b2a1a2a</v>
      </c>
      <c r="M6529" s="19" t="s">
        <v>10130</v>
      </c>
      <c r="N6529" s="1" t="s">
        <v>10132</v>
      </c>
      <c r="O6529" s="114">
        <v>9838737.0</v>
      </c>
      <c r="P6529" s="114">
        <v>1.0001128E7</v>
      </c>
      <c r="Q6529" s="1" t="s">
        <v>2439</v>
      </c>
      <c r="S6529" s="1"/>
      <c r="T6529" s="1"/>
      <c r="U6529" s="1"/>
      <c r="V6529" s="1"/>
      <c r="W6529" s="1"/>
      <c r="X6529" s="1"/>
      <c r="Y6529" s="1"/>
      <c r="AA6529" s="102"/>
      <c r="AB6529" s="1"/>
      <c r="AC6529" s="1"/>
      <c r="AD6529" s="1"/>
      <c r="AE6529" s="1"/>
      <c r="AF6529" s="1"/>
      <c r="AG6529" s="1"/>
    </row>
    <row r="6530" ht="15.75" customHeight="1">
      <c r="A6530" s="1"/>
      <c r="B6530" s="1"/>
      <c r="C6530" s="1"/>
      <c r="D6530" s="1"/>
      <c r="E6530" s="1"/>
      <c r="F6530" s="1"/>
      <c r="G6530" s="1"/>
      <c r="H6530" s="1"/>
      <c r="I6530" s="1"/>
      <c r="J6530" s="1"/>
      <c r="K6530" s="1" t="s">
        <v>10133</v>
      </c>
      <c r="L6530" s="1" t="str">
        <f>N974</f>
        <v>J2a1a1b2a1a2a1</v>
      </c>
      <c r="M6530" s="1" t="s">
        <v>10134</v>
      </c>
      <c r="N6530" s="1" t="s">
        <v>10135</v>
      </c>
      <c r="O6530" s="114">
        <v>1.5548627E7</v>
      </c>
      <c r="P6530" s="114">
        <v>1.3436747E7</v>
      </c>
      <c r="Q6530" s="1" t="s">
        <v>2423</v>
      </c>
      <c r="S6530" s="1"/>
      <c r="T6530" s="1"/>
      <c r="U6530" s="1"/>
      <c r="V6530" s="1"/>
      <c r="W6530" s="1"/>
      <c r="X6530" s="1"/>
      <c r="Y6530" s="1"/>
      <c r="AA6530" s="102"/>
      <c r="AB6530" s="1"/>
      <c r="AC6530" s="1"/>
      <c r="AD6530" s="1"/>
      <c r="AE6530" s="1"/>
      <c r="AF6530" s="1"/>
      <c r="AG6530" s="1"/>
    </row>
    <row r="6531" ht="15.75" customHeight="1">
      <c r="A6531" s="1"/>
      <c r="B6531" s="1"/>
      <c r="C6531" s="1"/>
      <c r="D6531" s="1"/>
      <c r="E6531" s="1"/>
      <c r="F6531" s="1"/>
      <c r="G6531" s="1"/>
      <c r="H6531" s="1"/>
      <c r="I6531" s="1"/>
      <c r="J6531" s="1"/>
      <c r="K6531" s="42" t="s">
        <v>10134</v>
      </c>
      <c r="L6531" t="str">
        <f>N974</f>
        <v>J2a1a1b2a1a2a1</v>
      </c>
      <c r="M6531" s="42" t="s">
        <v>10133</v>
      </c>
      <c r="N6531" s="1" t="s">
        <v>10135</v>
      </c>
      <c r="O6531" s="114">
        <v>1.5548627E7</v>
      </c>
      <c r="P6531" s="114">
        <v>1.3436747E7</v>
      </c>
      <c r="Q6531" s="1" t="s">
        <v>2423</v>
      </c>
      <c r="S6531" s="1"/>
      <c r="T6531" s="1"/>
      <c r="U6531" s="1"/>
      <c r="V6531" s="1"/>
      <c r="W6531" s="1"/>
      <c r="X6531" s="1"/>
      <c r="Y6531" s="1"/>
      <c r="AA6531" s="102"/>
      <c r="AB6531" s="1"/>
      <c r="AC6531" s="1"/>
      <c r="AD6531" s="1"/>
      <c r="AE6531" s="1"/>
      <c r="AF6531" s="1"/>
      <c r="AG6531" s="1"/>
    </row>
    <row r="6532" ht="15.75" customHeight="1">
      <c r="A6532" s="1"/>
      <c r="B6532" s="1"/>
      <c r="C6532" s="1"/>
      <c r="D6532" s="1"/>
      <c r="E6532" s="1"/>
      <c r="F6532" s="1"/>
      <c r="G6532" s="1"/>
      <c r="H6532" s="1"/>
      <c r="I6532" s="1"/>
      <c r="J6532" s="1"/>
      <c r="K6532" s="1" t="s">
        <v>10136</v>
      </c>
      <c r="L6532" s="1" t="str">
        <f>N974</f>
        <v>J2a1a1b2a1a2a1</v>
      </c>
      <c r="M6532" s="1" t="s">
        <v>10137</v>
      </c>
      <c r="N6532" s="1" t="s">
        <v>10138</v>
      </c>
      <c r="O6532" s="114">
        <v>1.8117807E7</v>
      </c>
      <c r="P6532" s="114">
        <v>1.6005927E7</v>
      </c>
      <c r="Q6532" s="19" t="s">
        <v>2446</v>
      </c>
      <c r="S6532" s="1"/>
      <c r="T6532" s="1"/>
      <c r="U6532" s="1"/>
      <c r="V6532" s="1"/>
      <c r="W6532" s="1"/>
      <c r="X6532" s="1"/>
      <c r="Y6532" s="1"/>
      <c r="AA6532" s="102"/>
      <c r="AB6532" s="1"/>
      <c r="AC6532" s="1"/>
      <c r="AD6532" s="1"/>
      <c r="AE6532" s="1"/>
      <c r="AF6532" s="1"/>
      <c r="AG6532" s="1"/>
    </row>
    <row r="6533" ht="15.75" customHeight="1">
      <c r="A6533" s="1"/>
      <c r="B6533" s="1"/>
      <c r="C6533" s="1"/>
      <c r="D6533" s="1"/>
      <c r="E6533" s="1"/>
      <c r="F6533" s="1"/>
      <c r="G6533" s="1"/>
      <c r="H6533" s="1"/>
      <c r="I6533" s="1"/>
      <c r="J6533" s="1"/>
      <c r="K6533" s="19" t="s">
        <v>10137</v>
      </c>
      <c r="L6533" s="1" t="str">
        <f>N974</f>
        <v>J2a1a1b2a1a2a1</v>
      </c>
      <c r="M6533" s="19" t="s">
        <v>10136</v>
      </c>
      <c r="N6533" s="1" t="s">
        <v>10138</v>
      </c>
      <c r="O6533" s="114">
        <v>1.8117807E7</v>
      </c>
      <c r="P6533" s="114">
        <v>1.6005927E7</v>
      </c>
      <c r="Q6533" s="19" t="s">
        <v>2446</v>
      </c>
      <c r="S6533" s="1"/>
      <c r="T6533" s="1"/>
      <c r="U6533" s="1"/>
      <c r="V6533" s="1"/>
      <c r="W6533" s="1"/>
      <c r="X6533" s="1"/>
      <c r="Y6533" s="1"/>
      <c r="AA6533" s="102"/>
      <c r="AB6533" s="1"/>
      <c r="AC6533" s="1"/>
      <c r="AD6533" s="1"/>
      <c r="AE6533" s="1"/>
      <c r="AF6533" s="1"/>
      <c r="AG6533" s="1"/>
    </row>
    <row r="6534" ht="15.75" customHeight="1">
      <c r="A6534" s="1"/>
      <c r="B6534" s="1"/>
      <c r="C6534" s="1"/>
      <c r="D6534" s="1"/>
      <c r="E6534" s="1"/>
      <c r="F6534" s="1"/>
      <c r="G6534" s="1"/>
      <c r="H6534" s="1"/>
      <c r="I6534" s="1"/>
      <c r="J6534" s="1"/>
      <c r="K6534" s="1" t="s">
        <v>10139</v>
      </c>
      <c r="L6534" s="1" t="str">
        <f>N974</f>
        <v>J2a1a1b2a1a2a1</v>
      </c>
      <c r="M6534" s="1" t="s">
        <v>10140</v>
      </c>
      <c r="N6534" s="1" t="s">
        <v>10141</v>
      </c>
      <c r="O6534" s="114">
        <v>8048690.0</v>
      </c>
      <c r="P6534" s="114">
        <v>8180649.0</v>
      </c>
      <c r="Q6534" s="1" t="s">
        <v>2468</v>
      </c>
      <c r="S6534" s="1"/>
      <c r="T6534" s="1"/>
      <c r="U6534" s="1"/>
      <c r="V6534" s="1"/>
      <c r="W6534" s="1"/>
      <c r="X6534" s="1"/>
      <c r="Y6534" s="1"/>
      <c r="AA6534" s="102"/>
      <c r="AB6534" s="1"/>
      <c r="AC6534" s="1"/>
      <c r="AD6534" s="1"/>
      <c r="AE6534" s="1"/>
      <c r="AF6534" s="1"/>
      <c r="AG6534" s="1"/>
    </row>
    <row r="6535" ht="15.75" customHeight="1">
      <c r="A6535" s="1"/>
      <c r="B6535" s="1"/>
      <c r="C6535" s="1"/>
      <c r="D6535" s="1"/>
      <c r="E6535" s="1"/>
      <c r="F6535" s="1"/>
      <c r="G6535" s="1"/>
      <c r="H6535" s="1"/>
      <c r="I6535" s="1"/>
      <c r="J6535" s="1"/>
      <c r="K6535" s="19" t="s">
        <v>10140</v>
      </c>
      <c r="L6535" s="1" t="str">
        <f>N974</f>
        <v>J2a1a1b2a1a2a1</v>
      </c>
      <c r="M6535" s="19" t="s">
        <v>10139</v>
      </c>
      <c r="N6535" s="1" t="s">
        <v>10141</v>
      </c>
      <c r="O6535" s="114">
        <v>8048690.0</v>
      </c>
      <c r="P6535" s="114">
        <v>8180649.0</v>
      </c>
      <c r="Q6535" s="1" t="s">
        <v>2468</v>
      </c>
      <c r="S6535" s="1"/>
      <c r="T6535" s="1"/>
      <c r="U6535" s="1"/>
      <c r="V6535" s="1"/>
      <c r="W6535" s="1"/>
      <c r="X6535" s="1"/>
      <c r="Y6535" s="1"/>
      <c r="AA6535" s="102"/>
      <c r="AB6535" s="1"/>
      <c r="AC6535" s="1"/>
      <c r="AD6535" s="1"/>
      <c r="AE6535" s="1"/>
      <c r="AF6535" s="1"/>
      <c r="AG6535" s="1"/>
    </row>
    <row r="6536" ht="15.75" customHeight="1">
      <c r="A6536" s="1"/>
      <c r="B6536" s="1"/>
      <c r="C6536" s="1"/>
      <c r="D6536" s="1"/>
      <c r="E6536" s="1"/>
      <c r="F6536" s="1"/>
      <c r="G6536" s="1"/>
      <c r="H6536" s="1"/>
      <c r="I6536" s="1"/>
      <c r="J6536" s="1"/>
      <c r="K6536" s="1" t="s">
        <v>10142</v>
      </c>
      <c r="L6536" s="1" t="str">
        <f>N974</f>
        <v>J2a1a1b2a1a2a1</v>
      </c>
      <c r="M6536" s="1" t="s">
        <v>10143</v>
      </c>
      <c r="N6536" s="1" t="s">
        <v>10144</v>
      </c>
      <c r="O6536" s="114">
        <v>1.721753E7</v>
      </c>
      <c r="P6536" s="114">
        <v>1.510565E7</v>
      </c>
      <c r="Q6536" s="1" t="s">
        <v>2454</v>
      </c>
      <c r="S6536" s="1"/>
      <c r="T6536" s="1"/>
      <c r="U6536" s="1"/>
      <c r="V6536" s="1"/>
      <c r="W6536" s="1"/>
      <c r="X6536" s="1"/>
      <c r="Y6536" s="1"/>
      <c r="AA6536" s="102"/>
      <c r="AB6536" s="1"/>
      <c r="AC6536" s="1"/>
      <c r="AD6536" s="1"/>
      <c r="AE6536" s="1"/>
      <c r="AF6536" s="1"/>
      <c r="AG6536" s="1"/>
    </row>
    <row r="6537" ht="15.75" customHeight="1">
      <c r="A6537" s="1"/>
      <c r="B6537" s="1"/>
      <c r="C6537" s="1"/>
      <c r="D6537" s="1"/>
      <c r="E6537" s="1"/>
      <c r="F6537" s="1"/>
      <c r="G6537" s="1"/>
      <c r="H6537" s="1"/>
      <c r="I6537" s="1"/>
      <c r="J6537" s="1"/>
      <c r="K6537" s="106" t="s">
        <v>10143</v>
      </c>
      <c r="L6537" s="102" t="str">
        <f>N974</f>
        <v>J2a1a1b2a1a2a1</v>
      </c>
      <c r="M6537" s="106" t="s">
        <v>10142</v>
      </c>
      <c r="N6537" s="1" t="s">
        <v>10144</v>
      </c>
      <c r="O6537" s="114">
        <v>1.721753E7</v>
      </c>
      <c r="P6537" s="114">
        <v>1.510565E7</v>
      </c>
      <c r="Q6537" s="1" t="s">
        <v>2454</v>
      </c>
      <c r="S6537" s="1"/>
      <c r="T6537" s="1"/>
      <c r="U6537" s="1"/>
      <c r="V6537" s="1"/>
      <c r="W6537" s="1"/>
      <c r="X6537" s="1"/>
      <c r="Y6537" s="1"/>
      <c r="AA6537" s="102"/>
      <c r="AB6537" s="1"/>
      <c r="AC6537" s="1"/>
      <c r="AD6537" s="1"/>
      <c r="AE6537" s="1"/>
      <c r="AF6537" s="1"/>
      <c r="AG6537" s="1"/>
    </row>
    <row r="6538" ht="15.75" customHeight="1">
      <c r="A6538" s="1"/>
      <c r="B6538" s="1"/>
      <c r="C6538" s="1"/>
      <c r="D6538" s="1"/>
      <c r="E6538" s="1"/>
      <c r="F6538" s="1"/>
      <c r="G6538" s="1"/>
      <c r="H6538" s="1"/>
      <c r="I6538" s="1"/>
      <c r="J6538" s="1"/>
      <c r="K6538" s="102" t="s">
        <v>10145</v>
      </c>
      <c r="L6538" s="102" t="str">
        <f>N974</f>
        <v>J2a1a1b2a1a2a1</v>
      </c>
      <c r="M6538" s="102" t="s">
        <v>10146</v>
      </c>
      <c r="N6538" s="1" t="s">
        <v>10147</v>
      </c>
      <c r="O6538" s="114">
        <v>2.2967644E7</v>
      </c>
      <c r="P6538" s="105">
        <v>2.0805758E7</v>
      </c>
      <c r="Q6538" s="102" t="s">
        <v>2439</v>
      </c>
      <c r="S6538" s="1"/>
      <c r="T6538" s="1"/>
      <c r="U6538" s="1"/>
      <c r="V6538" s="1"/>
      <c r="W6538" s="1"/>
      <c r="X6538" s="1"/>
      <c r="Y6538" s="1"/>
      <c r="AA6538" s="102"/>
      <c r="AB6538" s="1"/>
      <c r="AC6538" s="1"/>
      <c r="AD6538" s="1"/>
      <c r="AE6538" s="1"/>
      <c r="AF6538" s="1"/>
      <c r="AG6538" s="1"/>
    </row>
    <row r="6539" ht="15.75" customHeight="1">
      <c r="A6539" s="1"/>
      <c r="B6539" s="1"/>
      <c r="C6539" s="1"/>
      <c r="D6539" s="1"/>
      <c r="E6539" s="1"/>
      <c r="F6539" s="1"/>
      <c r="G6539" s="1"/>
      <c r="H6539" s="1"/>
      <c r="I6539" s="1"/>
      <c r="J6539" s="1"/>
      <c r="K6539" s="106" t="s">
        <v>10146</v>
      </c>
      <c r="L6539" s="102" t="str">
        <f>N974</f>
        <v>J2a1a1b2a1a2a1</v>
      </c>
      <c r="M6539" s="106" t="s">
        <v>10145</v>
      </c>
      <c r="N6539" s="1" t="s">
        <v>10147</v>
      </c>
      <c r="O6539" s="114">
        <v>2.2967644E7</v>
      </c>
      <c r="P6539" s="105">
        <v>2.0805758E7</v>
      </c>
      <c r="Q6539" s="102" t="s">
        <v>2439</v>
      </c>
      <c r="S6539" s="1"/>
      <c r="T6539" s="1"/>
      <c r="U6539" s="1"/>
      <c r="V6539" s="1"/>
      <c r="W6539" s="1"/>
      <c r="X6539" s="1"/>
      <c r="Y6539" s="1"/>
      <c r="AA6539" s="102"/>
      <c r="AB6539" s="1"/>
      <c r="AC6539" s="1"/>
      <c r="AD6539" s="1"/>
      <c r="AE6539" s="1"/>
      <c r="AF6539" s="1"/>
      <c r="AG6539" s="1"/>
    </row>
    <row r="6540" ht="15.75" customHeight="1">
      <c r="A6540" s="1"/>
      <c r="B6540" s="1"/>
      <c r="C6540" s="1"/>
      <c r="D6540" s="1"/>
      <c r="E6540" s="1"/>
      <c r="F6540" s="1"/>
      <c r="G6540" s="1"/>
      <c r="H6540" s="1"/>
      <c r="I6540" s="1"/>
      <c r="J6540" s="1"/>
      <c r="K6540" s="102" t="s">
        <v>10148</v>
      </c>
      <c r="L6540" s="102" t="str">
        <f>N974</f>
        <v>J2a1a1b2a1a2a1</v>
      </c>
      <c r="M6540" s="102" t="s">
        <v>10149</v>
      </c>
      <c r="N6540" s="1" t="s">
        <v>10150</v>
      </c>
      <c r="O6540" s="114">
        <v>2.1438089E7</v>
      </c>
      <c r="P6540" s="105">
        <v>1.9276203E7</v>
      </c>
      <c r="Q6540" s="102" t="s">
        <v>2439</v>
      </c>
      <c r="S6540" s="1"/>
      <c r="T6540" s="1"/>
      <c r="U6540" s="1"/>
      <c r="V6540" s="1"/>
      <c r="W6540" s="1"/>
      <c r="X6540" s="1"/>
      <c r="Y6540" s="1"/>
      <c r="AA6540" s="102"/>
      <c r="AB6540" s="1"/>
      <c r="AC6540" s="1"/>
      <c r="AD6540" s="1"/>
      <c r="AE6540" s="1"/>
      <c r="AF6540" s="1"/>
      <c r="AG6540" s="1"/>
    </row>
    <row r="6541" ht="15.75" customHeight="1">
      <c r="A6541" s="1"/>
      <c r="B6541" s="1"/>
      <c r="C6541" s="1"/>
      <c r="D6541" s="1"/>
      <c r="E6541" s="1"/>
      <c r="F6541" s="1"/>
      <c r="G6541" s="1"/>
      <c r="H6541" s="1"/>
      <c r="I6541" s="1"/>
      <c r="J6541" s="1"/>
      <c r="K6541" s="106" t="s">
        <v>10149</v>
      </c>
      <c r="L6541" s="102" t="str">
        <f>N974</f>
        <v>J2a1a1b2a1a2a1</v>
      </c>
      <c r="M6541" s="106" t="s">
        <v>10148</v>
      </c>
      <c r="N6541" s="1" t="s">
        <v>10150</v>
      </c>
      <c r="O6541" s="114">
        <v>2.1438089E7</v>
      </c>
      <c r="P6541" s="105">
        <v>1.9276203E7</v>
      </c>
      <c r="Q6541" s="102" t="s">
        <v>2439</v>
      </c>
      <c r="S6541" s="1"/>
      <c r="T6541" s="1"/>
      <c r="U6541" s="1"/>
      <c r="V6541" s="1"/>
      <c r="W6541" s="1"/>
      <c r="X6541" s="1"/>
      <c r="Y6541" s="1"/>
      <c r="AA6541" s="102"/>
      <c r="AB6541" s="1"/>
      <c r="AC6541" s="1"/>
      <c r="AD6541" s="1"/>
      <c r="AE6541" s="1"/>
      <c r="AF6541" s="1"/>
      <c r="AG6541" s="1"/>
    </row>
    <row r="6542" ht="15.75" customHeight="1">
      <c r="A6542" s="1"/>
      <c r="B6542" s="1"/>
      <c r="C6542" s="1"/>
      <c r="D6542" s="1"/>
      <c r="E6542" s="1"/>
      <c r="F6542" s="1"/>
      <c r="G6542" s="1"/>
      <c r="H6542" s="1"/>
      <c r="I6542" s="1"/>
      <c r="J6542" s="1"/>
      <c r="K6542" s="102" t="s">
        <v>10151</v>
      </c>
      <c r="L6542" s="102" t="str">
        <f t="shared" ref="L6542:L6543" si="174">N974</f>
        <v>J2a1a1b2a1a2a1</v>
      </c>
      <c r="M6542" s="102"/>
      <c r="N6542" s="1" t="s">
        <v>10152</v>
      </c>
      <c r="O6542" s="114">
        <v>1.9462118E7</v>
      </c>
      <c r="P6542" s="105">
        <v>1.7350238E7</v>
      </c>
      <c r="Q6542" s="102" t="s">
        <v>2501</v>
      </c>
      <c r="S6542" s="1"/>
      <c r="T6542" s="1"/>
      <c r="U6542" s="1"/>
      <c r="V6542" s="1"/>
      <c r="W6542" s="1"/>
      <c r="X6542" s="1"/>
      <c r="Y6542" s="1"/>
      <c r="AA6542" s="102"/>
      <c r="AB6542" s="1"/>
      <c r="AC6542" s="1"/>
      <c r="AD6542" s="1"/>
      <c r="AE6542" s="1"/>
      <c r="AF6542" s="1"/>
      <c r="AG6542" s="1"/>
    </row>
    <row r="6543" ht="15.75" customHeight="1">
      <c r="A6543" s="1"/>
      <c r="B6543" s="1"/>
      <c r="C6543" s="1"/>
      <c r="D6543" s="1"/>
      <c r="E6543" s="1"/>
      <c r="F6543" s="1"/>
      <c r="G6543" s="1"/>
      <c r="H6543" s="1"/>
      <c r="I6543" s="1"/>
      <c r="J6543" s="1"/>
      <c r="K6543" t="s">
        <v>1917</v>
      </c>
      <c r="L6543" t="str">
        <f t="shared" si="174"/>
        <v>J2a1a1b2a1a2a1~</v>
      </c>
      <c r="N6543" t="s">
        <v>10153</v>
      </c>
      <c r="O6543">
        <v>6753342.0</v>
      </c>
      <c r="P6543">
        <v>6885301.0</v>
      </c>
      <c r="Q6543" s="112" t="s">
        <v>2501</v>
      </c>
      <c r="S6543" s="1"/>
      <c r="T6543" s="1"/>
      <c r="U6543" s="1"/>
      <c r="V6543" s="1"/>
      <c r="W6543" s="1"/>
      <c r="X6543" s="1"/>
      <c r="Y6543" s="1"/>
      <c r="AA6543" s="102"/>
      <c r="AB6543" s="1"/>
      <c r="AC6543" s="1"/>
      <c r="AD6543" s="1"/>
      <c r="AE6543" s="1"/>
      <c r="AF6543" s="1"/>
      <c r="AG6543" s="1"/>
    </row>
    <row r="6544" ht="15.75" customHeight="1">
      <c r="A6544" s="1"/>
      <c r="B6544" s="1"/>
      <c r="C6544" s="1"/>
      <c r="D6544" s="1"/>
      <c r="E6544" s="1"/>
      <c r="F6544" s="1"/>
      <c r="G6544" s="1"/>
      <c r="H6544" s="1"/>
      <c r="I6544" s="1"/>
      <c r="J6544" s="1"/>
      <c r="K6544" t="s">
        <v>1919</v>
      </c>
      <c r="L6544" t="str">
        <f>O976</f>
        <v>J2a1a1b2a1a2a1a</v>
      </c>
      <c r="M6544" s="113"/>
      <c r="N6544" s="113"/>
      <c r="O6544" s="111">
        <v>1.9077318E7</v>
      </c>
      <c r="P6544" s="111">
        <v>1.6965438E7</v>
      </c>
      <c r="Q6544" s="112" t="s">
        <v>2468</v>
      </c>
      <c r="S6544" s="1"/>
      <c r="T6544" s="1"/>
      <c r="U6544" s="1"/>
      <c r="V6544" s="1"/>
      <c r="W6544" s="1"/>
      <c r="X6544" s="1"/>
      <c r="Y6544" s="1"/>
      <c r="AA6544" s="102"/>
      <c r="AB6544" s="1"/>
      <c r="AC6544" s="1"/>
      <c r="AD6544" s="1"/>
      <c r="AE6544" s="1"/>
      <c r="AF6544" s="1"/>
      <c r="AG6544" s="1"/>
    </row>
    <row r="6545" ht="15.75" customHeight="1">
      <c r="A6545" s="1"/>
      <c r="B6545" s="1"/>
      <c r="C6545" s="1"/>
      <c r="D6545" s="1"/>
      <c r="E6545" s="1"/>
      <c r="F6545" s="1"/>
      <c r="G6545" s="1"/>
      <c r="H6545" s="1"/>
      <c r="I6545" s="1"/>
      <c r="J6545" s="1"/>
      <c r="K6545" s="102" t="s">
        <v>10154</v>
      </c>
      <c r="L6545" s="102" t="str">
        <f>K977</f>
        <v>J2a1a1b2a1b</v>
      </c>
      <c r="M6545" s="102" t="s">
        <v>10155</v>
      </c>
      <c r="N6545" s="1" t="s">
        <v>10156</v>
      </c>
      <c r="O6545" s="114">
        <v>2.2863862E7</v>
      </c>
      <c r="P6545" s="105">
        <v>2.0701976E7</v>
      </c>
      <c r="Q6545" s="102" t="s">
        <v>2501</v>
      </c>
      <c r="S6545" s="1"/>
      <c r="T6545" s="1"/>
      <c r="U6545" s="1"/>
      <c r="V6545" s="1"/>
      <c r="W6545" s="1"/>
      <c r="X6545" s="1"/>
      <c r="Y6545" s="1"/>
      <c r="AA6545" s="102"/>
      <c r="AB6545" s="1"/>
      <c r="AC6545" s="1"/>
      <c r="AD6545" s="1"/>
      <c r="AE6545" s="1"/>
      <c r="AF6545" s="1"/>
      <c r="AG6545" s="1"/>
    </row>
    <row r="6546" ht="15.75" customHeight="1">
      <c r="A6546" s="1"/>
      <c r="B6546" s="1"/>
      <c r="C6546" s="1"/>
      <c r="D6546" s="1"/>
      <c r="E6546" s="1"/>
      <c r="F6546" s="1"/>
      <c r="G6546" s="1"/>
      <c r="H6546" s="1"/>
      <c r="I6546" s="1"/>
      <c r="J6546" s="1"/>
      <c r="K6546" s="106" t="s">
        <v>10155</v>
      </c>
      <c r="L6546" s="102" t="str">
        <f>K977</f>
        <v>J2a1a1b2a1b</v>
      </c>
      <c r="M6546" s="106" t="s">
        <v>10154</v>
      </c>
      <c r="N6546" s="1" t="s">
        <v>10156</v>
      </c>
      <c r="O6546" s="114">
        <v>2.2863862E7</v>
      </c>
      <c r="P6546" s="105">
        <v>2.0701976E7</v>
      </c>
      <c r="Q6546" s="102" t="s">
        <v>2501</v>
      </c>
      <c r="S6546" s="1"/>
      <c r="T6546" s="1"/>
      <c r="U6546" s="1"/>
      <c r="V6546" s="1"/>
      <c r="W6546" s="1"/>
      <c r="X6546" s="1"/>
      <c r="Y6546" s="1"/>
      <c r="AA6546" s="102"/>
      <c r="AB6546" s="1"/>
      <c r="AC6546" s="1"/>
      <c r="AD6546" s="1"/>
      <c r="AE6546" s="1"/>
      <c r="AF6546" s="1"/>
      <c r="AG6546" s="1"/>
    </row>
    <row r="6547" ht="15.75" customHeight="1">
      <c r="A6547" s="1"/>
      <c r="B6547" s="1"/>
      <c r="C6547" s="1"/>
      <c r="D6547" s="1"/>
      <c r="E6547" s="1"/>
      <c r="F6547" s="1"/>
      <c r="G6547" s="1"/>
      <c r="H6547" s="1"/>
      <c r="I6547" s="1"/>
      <c r="J6547" s="1"/>
      <c r="K6547" s="102" t="s">
        <v>10157</v>
      </c>
      <c r="L6547" s="102" t="str">
        <f>K977</f>
        <v>J2a1a1b2a1b</v>
      </c>
      <c r="M6547" s="102" t="s">
        <v>10158</v>
      </c>
      <c r="N6547" s="1" t="s">
        <v>10159</v>
      </c>
      <c r="O6547" s="114">
        <v>7262796.0</v>
      </c>
      <c r="P6547" s="105">
        <v>7394755.0</v>
      </c>
      <c r="Q6547" s="102" t="s">
        <v>2501</v>
      </c>
      <c r="S6547" s="1"/>
      <c r="T6547" s="1"/>
      <c r="U6547" s="1"/>
      <c r="V6547" s="1"/>
      <c r="W6547" s="1"/>
      <c r="X6547" s="1"/>
      <c r="Y6547" s="1"/>
      <c r="AA6547" s="102"/>
      <c r="AB6547" s="1"/>
      <c r="AC6547" s="1"/>
      <c r="AD6547" s="1"/>
      <c r="AE6547" s="1"/>
      <c r="AF6547" s="1"/>
      <c r="AG6547" s="1"/>
    </row>
    <row r="6548" ht="15.75" customHeight="1">
      <c r="A6548" s="1"/>
      <c r="B6548" s="1"/>
      <c r="C6548" s="1"/>
      <c r="D6548" s="1"/>
      <c r="E6548" s="1"/>
      <c r="F6548" s="1"/>
      <c r="G6548" s="1"/>
      <c r="H6548" s="1"/>
      <c r="I6548" s="1"/>
      <c r="J6548" s="1"/>
      <c r="K6548" s="106" t="s">
        <v>10160</v>
      </c>
      <c r="L6548" s="102" t="str">
        <f>K977</f>
        <v>J2a1a1b2a1b</v>
      </c>
      <c r="M6548" s="106" t="s">
        <v>10161</v>
      </c>
      <c r="N6548" s="1" t="s">
        <v>10159</v>
      </c>
      <c r="O6548" s="114">
        <v>7262796.0</v>
      </c>
      <c r="P6548" s="105">
        <v>7394755.0</v>
      </c>
      <c r="Q6548" s="102" t="s">
        <v>2501</v>
      </c>
      <c r="S6548" s="1"/>
      <c r="T6548" s="1"/>
      <c r="U6548" s="1"/>
      <c r="V6548" s="1"/>
      <c r="W6548" s="1"/>
      <c r="X6548" s="1"/>
      <c r="Y6548" s="1"/>
      <c r="AA6548" s="102"/>
      <c r="AB6548" s="1"/>
      <c r="AC6548" s="1"/>
      <c r="AD6548" s="1"/>
      <c r="AE6548" s="1"/>
      <c r="AF6548" s="1"/>
      <c r="AG6548" s="1"/>
    </row>
    <row r="6549" ht="15.75" customHeight="1">
      <c r="A6549" s="1"/>
      <c r="B6549" s="1"/>
      <c r="C6549" s="1"/>
      <c r="D6549" s="1"/>
      <c r="E6549" s="1"/>
      <c r="F6549" s="1"/>
      <c r="G6549" s="1"/>
      <c r="H6549" s="1"/>
      <c r="I6549" s="1"/>
      <c r="J6549" s="1"/>
      <c r="K6549" s="106" t="s">
        <v>10162</v>
      </c>
      <c r="L6549" s="102" t="str">
        <f>K977</f>
        <v>J2a1a1b2a1b</v>
      </c>
      <c r="M6549" s="106" t="s">
        <v>10163</v>
      </c>
      <c r="N6549" s="1" t="s">
        <v>10159</v>
      </c>
      <c r="O6549" s="114">
        <v>7262796.0</v>
      </c>
      <c r="P6549" s="105">
        <v>7394755.0</v>
      </c>
      <c r="Q6549" s="102" t="s">
        <v>2501</v>
      </c>
      <c r="S6549" s="1"/>
      <c r="T6549" s="1"/>
      <c r="U6549" s="1"/>
      <c r="V6549" s="1"/>
      <c r="W6549" s="1"/>
      <c r="X6549" s="1"/>
      <c r="Y6549" s="1"/>
      <c r="AA6549" s="102"/>
      <c r="AB6549" s="1"/>
      <c r="AC6549" s="1"/>
      <c r="AD6549" s="1"/>
      <c r="AE6549" s="1"/>
      <c r="AF6549" s="1"/>
      <c r="AG6549" s="1"/>
    </row>
    <row r="6550" ht="15.75" customHeight="1">
      <c r="A6550" s="1"/>
      <c r="B6550" s="1"/>
      <c r="C6550" s="1"/>
      <c r="D6550" s="1"/>
      <c r="E6550" s="1"/>
      <c r="F6550" s="1"/>
      <c r="G6550" s="1"/>
      <c r="H6550" s="1"/>
      <c r="I6550" s="1"/>
      <c r="J6550" s="1"/>
      <c r="K6550" s="102" t="s">
        <v>10164</v>
      </c>
      <c r="L6550" s="102" t="str">
        <f>K977</f>
        <v>J2a1a1b2a1b</v>
      </c>
      <c r="M6550" s="102" t="s">
        <v>10165</v>
      </c>
      <c r="N6550" s="1" t="s">
        <v>10166</v>
      </c>
      <c r="O6550" s="114">
        <v>1.5580293E7</v>
      </c>
      <c r="P6550" s="105">
        <v>1.3468413E7</v>
      </c>
      <c r="Q6550" s="102" t="s">
        <v>2501</v>
      </c>
      <c r="S6550" s="1"/>
      <c r="T6550" s="1"/>
      <c r="U6550" s="1"/>
      <c r="V6550" s="1"/>
      <c r="W6550" s="1"/>
      <c r="X6550" s="1"/>
      <c r="Y6550" s="1"/>
      <c r="AA6550" s="102"/>
      <c r="AB6550" s="1"/>
      <c r="AC6550" s="1"/>
      <c r="AD6550" s="1"/>
      <c r="AE6550" s="1"/>
      <c r="AF6550" s="1"/>
      <c r="AG6550" s="1"/>
    </row>
    <row r="6551" ht="15.75" customHeight="1">
      <c r="A6551" s="1"/>
      <c r="B6551" s="1"/>
      <c r="C6551" s="1"/>
      <c r="D6551" s="1"/>
      <c r="E6551" s="1"/>
      <c r="F6551" s="1"/>
      <c r="G6551" s="1"/>
      <c r="H6551" s="1"/>
      <c r="I6551" s="1"/>
      <c r="J6551" s="1"/>
      <c r="K6551" s="106" t="s">
        <v>10165</v>
      </c>
      <c r="L6551" s="102" t="str">
        <f>K977</f>
        <v>J2a1a1b2a1b</v>
      </c>
      <c r="M6551" s="106" t="s">
        <v>10164</v>
      </c>
      <c r="N6551" s="1" t="s">
        <v>10166</v>
      </c>
      <c r="O6551" s="114">
        <v>1.5580293E7</v>
      </c>
      <c r="P6551" s="105">
        <v>1.3468413E7</v>
      </c>
      <c r="Q6551" s="102" t="s">
        <v>2501</v>
      </c>
      <c r="S6551" s="1"/>
      <c r="T6551" s="1"/>
      <c r="U6551" s="1"/>
      <c r="V6551" s="1"/>
      <c r="W6551" s="1"/>
      <c r="X6551" s="1"/>
      <c r="Y6551" s="1"/>
      <c r="AA6551" s="102"/>
      <c r="AB6551" s="1"/>
      <c r="AC6551" s="1"/>
      <c r="AD6551" s="1"/>
      <c r="AE6551" s="1"/>
      <c r="AF6551" s="1"/>
      <c r="AG6551" s="1"/>
    </row>
    <row r="6552" ht="15.75" customHeight="1">
      <c r="A6552" s="1"/>
      <c r="B6552" s="1"/>
      <c r="C6552" s="1"/>
      <c r="D6552" s="1"/>
      <c r="E6552" s="1"/>
      <c r="F6552" s="1"/>
      <c r="G6552" s="1"/>
      <c r="H6552" s="1"/>
      <c r="I6552" s="1"/>
      <c r="J6552" s="1"/>
      <c r="K6552" s="102" t="s">
        <v>10167</v>
      </c>
      <c r="L6552" s="102" t="str">
        <f>K977</f>
        <v>J2a1a1b2a1b</v>
      </c>
      <c r="M6552" s="102" t="s">
        <v>10168</v>
      </c>
      <c r="N6552" s="1" t="s">
        <v>10169</v>
      </c>
      <c r="O6552" s="114">
        <v>1.7223691E7</v>
      </c>
      <c r="P6552" s="105">
        <v>1.5111811E7</v>
      </c>
      <c r="Q6552" s="102" t="s">
        <v>2439</v>
      </c>
      <c r="S6552" s="1"/>
      <c r="T6552" s="1"/>
      <c r="U6552" s="1"/>
      <c r="V6552" s="1"/>
      <c r="W6552" s="1"/>
      <c r="X6552" s="1"/>
      <c r="Y6552" s="1"/>
      <c r="AA6552" s="102"/>
      <c r="AB6552" s="1"/>
      <c r="AC6552" s="1"/>
      <c r="AD6552" s="1"/>
      <c r="AE6552" s="1"/>
      <c r="AF6552" s="1"/>
      <c r="AG6552" s="1"/>
    </row>
    <row r="6553" ht="15.75" customHeight="1">
      <c r="A6553" s="1"/>
      <c r="B6553" s="1"/>
      <c r="C6553" s="1"/>
      <c r="D6553" s="1"/>
      <c r="E6553" s="1"/>
      <c r="F6553" s="1"/>
      <c r="G6553" s="1"/>
      <c r="H6553" s="1"/>
      <c r="I6553" s="1"/>
      <c r="J6553" s="1"/>
      <c r="K6553" s="106" t="s">
        <v>10168</v>
      </c>
      <c r="L6553" s="102" t="str">
        <f>K977</f>
        <v>J2a1a1b2a1b</v>
      </c>
      <c r="M6553" s="106" t="s">
        <v>10167</v>
      </c>
      <c r="N6553" s="1" t="s">
        <v>10169</v>
      </c>
      <c r="O6553" s="114">
        <v>1.7223691E7</v>
      </c>
      <c r="P6553" s="105">
        <v>1.5111811E7</v>
      </c>
      <c r="Q6553" s="102" t="s">
        <v>2439</v>
      </c>
      <c r="S6553" s="1"/>
      <c r="T6553" s="1"/>
      <c r="U6553" s="1"/>
      <c r="V6553" s="1"/>
      <c r="W6553" s="1"/>
      <c r="X6553" s="1"/>
      <c r="Y6553" s="1"/>
      <c r="AA6553" s="102"/>
      <c r="AB6553" s="1"/>
      <c r="AC6553" s="1"/>
      <c r="AD6553" s="1"/>
      <c r="AE6553" s="1"/>
      <c r="AF6553" s="1"/>
      <c r="AG6553" s="1"/>
    </row>
    <row r="6554" ht="15.75" customHeight="1">
      <c r="A6554" s="1"/>
      <c r="B6554" s="1"/>
      <c r="C6554" s="1"/>
      <c r="D6554" s="1"/>
      <c r="E6554" s="1"/>
      <c r="F6554" s="1"/>
      <c r="G6554" s="1"/>
      <c r="H6554" s="1"/>
      <c r="I6554" s="1"/>
      <c r="J6554" s="1"/>
      <c r="K6554" s="102" t="s">
        <v>10170</v>
      </c>
      <c r="L6554" s="102" t="str">
        <f>K977</f>
        <v>J2a1a1b2a1b</v>
      </c>
      <c r="M6554" s="102" t="s">
        <v>10171</v>
      </c>
      <c r="N6554" s="1" t="s">
        <v>10172</v>
      </c>
      <c r="O6554" s="114">
        <v>6715180.0</v>
      </c>
      <c r="P6554" s="105">
        <v>6847139.0</v>
      </c>
      <c r="Q6554" s="102" t="s">
        <v>2529</v>
      </c>
      <c r="S6554" s="1"/>
      <c r="T6554" s="1"/>
      <c r="U6554" s="1"/>
      <c r="V6554" s="1"/>
      <c r="W6554" s="1"/>
      <c r="X6554" s="1"/>
      <c r="Y6554" s="1"/>
      <c r="AA6554" s="102"/>
      <c r="AB6554" s="1"/>
      <c r="AC6554" s="1"/>
      <c r="AD6554" s="1"/>
      <c r="AE6554" s="1"/>
      <c r="AF6554" s="1"/>
      <c r="AG6554" s="1"/>
    </row>
    <row r="6555" ht="15.75" customHeight="1">
      <c r="A6555" s="1"/>
      <c r="B6555" s="1"/>
      <c r="C6555" s="1"/>
      <c r="D6555" s="1"/>
      <c r="E6555" s="1"/>
      <c r="F6555" s="1"/>
      <c r="G6555" s="1"/>
      <c r="H6555" s="1"/>
      <c r="I6555" s="1"/>
      <c r="J6555" s="1"/>
      <c r="K6555" s="106" t="s">
        <v>10171</v>
      </c>
      <c r="L6555" s="102" t="str">
        <f>K977</f>
        <v>J2a1a1b2a1b</v>
      </c>
      <c r="M6555" s="106" t="s">
        <v>10170</v>
      </c>
      <c r="N6555" s="1" t="s">
        <v>10172</v>
      </c>
      <c r="O6555" s="114">
        <v>6715180.0</v>
      </c>
      <c r="P6555" s="105">
        <v>6847139.0</v>
      </c>
      <c r="Q6555" s="102" t="s">
        <v>2529</v>
      </c>
      <c r="S6555" s="1"/>
      <c r="T6555" s="1"/>
      <c r="U6555" s="1"/>
      <c r="V6555" s="1"/>
      <c r="W6555" s="1"/>
      <c r="X6555" s="1"/>
      <c r="Y6555" s="1"/>
      <c r="AA6555" s="102"/>
      <c r="AB6555" s="1"/>
      <c r="AC6555" s="1"/>
      <c r="AD6555" s="1"/>
      <c r="AE6555" s="1"/>
      <c r="AF6555" s="1"/>
      <c r="AG6555" s="1"/>
    </row>
    <row r="6556" ht="15.75" customHeight="1">
      <c r="A6556" s="1"/>
      <c r="B6556" s="1"/>
      <c r="C6556" s="1"/>
      <c r="D6556" s="1"/>
      <c r="E6556" s="1"/>
      <c r="F6556" s="1"/>
      <c r="G6556" s="1"/>
      <c r="H6556" s="1"/>
      <c r="I6556" s="1"/>
      <c r="J6556" s="1"/>
      <c r="K6556" s="102" t="s">
        <v>10173</v>
      </c>
      <c r="L6556" s="102" t="str">
        <f>K977</f>
        <v>J2a1a1b2a1b</v>
      </c>
      <c r="M6556" s="102" t="s">
        <v>10174</v>
      </c>
      <c r="N6556" s="1" t="s">
        <v>10175</v>
      </c>
      <c r="O6556" s="114">
        <v>7206433.0</v>
      </c>
      <c r="P6556" s="105">
        <v>7338392.0</v>
      </c>
      <c r="Q6556" s="102" t="s">
        <v>2439</v>
      </c>
      <c r="S6556" s="1"/>
      <c r="T6556" s="1"/>
      <c r="U6556" s="1"/>
      <c r="V6556" s="1"/>
      <c r="W6556" s="1"/>
      <c r="X6556" s="1"/>
      <c r="Y6556" s="1"/>
      <c r="AA6556" s="102"/>
      <c r="AB6556" s="1"/>
      <c r="AC6556" s="1"/>
      <c r="AD6556" s="1"/>
      <c r="AE6556" s="1"/>
      <c r="AF6556" s="1"/>
      <c r="AG6556" s="1"/>
    </row>
    <row r="6557" ht="15.75" customHeight="1">
      <c r="A6557" s="1"/>
      <c r="B6557" s="1"/>
      <c r="C6557" s="1"/>
      <c r="D6557" s="1"/>
      <c r="E6557" s="1"/>
      <c r="F6557" s="1"/>
      <c r="G6557" s="1"/>
      <c r="H6557" s="1"/>
      <c r="I6557" s="1"/>
      <c r="J6557" s="1"/>
      <c r="K6557" s="106" t="s">
        <v>10174</v>
      </c>
      <c r="L6557" s="102" t="str">
        <f>K977</f>
        <v>J2a1a1b2a1b</v>
      </c>
      <c r="M6557" s="106" t="s">
        <v>10173</v>
      </c>
      <c r="N6557" s="1" t="s">
        <v>10175</v>
      </c>
      <c r="O6557" s="114">
        <v>7206433.0</v>
      </c>
      <c r="P6557" s="105">
        <v>7338392.0</v>
      </c>
      <c r="Q6557" s="102" t="s">
        <v>2439</v>
      </c>
      <c r="S6557" s="1"/>
      <c r="T6557" s="1"/>
      <c r="U6557" s="1"/>
      <c r="V6557" s="1"/>
      <c r="W6557" s="1"/>
      <c r="X6557" s="1"/>
      <c r="Y6557" s="1"/>
      <c r="AA6557" s="102"/>
      <c r="AB6557" s="1"/>
      <c r="AC6557" s="1"/>
      <c r="AD6557" s="1"/>
      <c r="AE6557" s="1"/>
      <c r="AF6557" s="1"/>
      <c r="AG6557" s="1"/>
    </row>
    <row r="6558" ht="15.75" customHeight="1">
      <c r="A6558" s="1"/>
      <c r="B6558" s="1"/>
      <c r="C6558" s="1"/>
      <c r="D6558" s="1"/>
      <c r="E6558" s="1"/>
      <c r="F6558" s="1"/>
      <c r="G6558" s="1"/>
      <c r="H6558" s="1"/>
      <c r="I6558" s="1"/>
      <c r="J6558" s="1"/>
      <c r="K6558" s="102" t="s">
        <v>10176</v>
      </c>
      <c r="L6558" s="102" t="str">
        <f>K977</f>
        <v>J2a1a1b2a1b</v>
      </c>
      <c r="M6558" s="102" t="s">
        <v>10177</v>
      </c>
      <c r="N6558" s="1" t="s">
        <v>10178</v>
      </c>
      <c r="O6558" s="114">
        <v>7687686.0</v>
      </c>
      <c r="P6558" s="105">
        <v>7819645.0</v>
      </c>
      <c r="Q6558" s="102" t="s">
        <v>2514</v>
      </c>
      <c r="S6558" s="1"/>
      <c r="T6558" s="1"/>
      <c r="U6558" s="1"/>
      <c r="V6558" s="1"/>
      <c r="W6558" s="1"/>
      <c r="X6558" s="1"/>
      <c r="Y6558" s="1"/>
      <c r="AA6558" s="102"/>
      <c r="AB6558" s="1"/>
      <c r="AC6558" s="1"/>
      <c r="AD6558" s="1"/>
      <c r="AE6558" s="1"/>
      <c r="AF6558" s="1"/>
      <c r="AG6558" s="1"/>
    </row>
    <row r="6559" ht="15.75" customHeight="1">
      <c r="A6559" s="1"/>
      <c r="B6559" s="1"/>
      <c r="C6559" s="1"/>
      <c r="D6559" s="1"/>
      <c r="E6559" s="1"/>
      <c r="F6559" s="1"/>
      <c r="G6559" s="1"/>
      <c r="H6559" s="1"/>
      <c r="I6559" s="1"/>
      <c r="J6559" s="1"/>
      <c r="K6559" s="106" t="s">
        <v>10177</v>
      </c>
      <c r="L6559" s="102" t="str">
        <f>K977</f>
        <v>J2a1a1b2a1b</v>
      </c>
      <c r="M6559" s="106" t="s">
        <v>10176</v>
      </c>
      <c r="N6559" s="1" t="s">
        <v>10178</v>
      </c>
      <c r="O6559" s="114">
        <v>7687686.0</v>
      </c>
      <c r="P6559" s="105">
        <v>7819645.0</v>
      </c>
      <c r="Q6559" s="102" t="s">
        <v>2514</v>
      </c>
      <c r="S6559" s="1"/>
      <c r="T6559" s="1"/>
      <c r="U6559" s="1"/>
      <c r="V6559" s="1"/>
      <c r="W6559" s="1"/>
      <c r="X6559" s="1"/>
      <c r="Y6559" s="1"/>
      <c r="AA6559" s="102"/>
      <c r="AB6559" s="1"/>
      <c r="AC6559" s="1"/>
      <c r="AD6559" s="1"/>
      <c r="AE6559" s="1"/>
      <c r="AF6559" s="1"/>
      <c r="AG6559" s="1"/>
    </row>
    <row r="6560" ht="15.75" customHeight="1">
      <c r="A6560" s="1"/>
      <c r="B6560" s="1"/>
      <c r="C6560" s="1"/>
      <c r="D6560" s="1"/>
      <c r="E6560" s="1"/>
      <c r="F6560" s="1"/>
      <c r="G6560" s="1"/>
      <c r="H6560" s="1"/>
      <c r="I6560" s="1"/>
      <c r="J6560" s="1"/>
      <c r="K6560" s="102" t="s">
        <v>10179</v>
      </c>
      <c r="L6560" s="102" t="str">
        <f>K977</f>
        <v>J2a1a1b2a1b</v>
      </c>
      <c r="M6560" s="102" t="s">
        <v>10180</v>
      </c>
      <c r="N6560" s="1" t="s">
        <v>10181</v>
      </c>
      <c r="O6560" s="114">
        <v>1.4146908E7</v>
      </c>
      <c r="P6560" s="105">
        <v>1.2026202E7</v>
      </c>
      <c r="Q6560" s="102" t="s">
        <v>2439</v>
      </c>
      <c r="S6560" s="1"/>
      <c r="T6560" s="1"/>
      <c r="U6560" s="1"/>
      <c r="V6560" s="1"/>
      <c r="W6560" s="1"/>
      <c r="X6560" s="1"/>
      <c r="Y6560" s="1"/>
      <c r="AA6560" s="102"/>
      <c r="AB6560" s="1"/>
      <c r="AC6560" s="1"/>
      <c r="AD6560" s="1"/>
      <c r="AE6560" s="1"/>
      <c r="AF6560" s="1"/>
      <c r="AG6560" s="1"/>
    </row>
    <row r="6561" ht="15.75" customHeight="1">
      <c r="A6561" s="1"/>
      <c r="B6561" s="1"/>
      <c r="C6561" s="1"/>
      <c r="D6561" s="1"/>
      <c r="E6561" s="1"/>
      <c r="F6561" s="1"/>
      <c r="G6561" s="1"/>
      <c r="H6561" s="1"/>
      <c r="I6561" s="1"/>
      <c r="J6561" s="1"/>
      <c r="K6561" s="106" t="s">
        <v>10180</v>
      </c>
      <c r="L6561" s="102" t="str">
        <f>K977</f>
        <v>J2a1a1b2a1b</v>
      </c>
      <c r="M6561" s="106" t="s">
        <v>10179</v>
      </c>
      <c r="N6561" s="1" t="s">
        <v>10181</v>
      </c>
      <c r="O6561" s="114">
        <v>1.4146908E7</v>
      </c>
      <c r="P6561" s="105">
        <v>1.2026202E7</v>
      </c>
      <c r="Q6561" s="102" t="s">
        <v>2439</v>
      </c>
      <c r="S6561" s="1"/>
      <c r="T6561" s="1"/>
      <c r="U6561" s="1"/>
      <c r="V6561" s="1"/>
      <c r="W6561" s="1"/>
      <c r="X6561" s="1"/>
      <c r="Y6561" s="1"/>
      <c r="AA6561" s="102"/>
      <c r="AB6561" s="1"/>
      <c r="AC6561" s="1"/>
      <c r="AD6561" s="1"/>
      <c r="AE6561" s="1"/>
      <c r="AF6561" s="1"/>
      <c r="AG6561" s="1"/>
    </row>
    <row r="6562" ht="15.75" customHeight="1">
      <c r="A6562" s="1"/>
      <c r="B6562" s="1"/>
      <c r="C6562" s="1"/>
      <c r="D6562" s="1"/>
      <c r="E6562" s="1"/>
      <c r="F6562" s="1"/>
      <c r="G6562" s="1"/>
      <c r="H6562" s="1"/>
      <c r="I6562" s="1"/>
      <c r="J6562" s="1"/>
      <c r="K6562" s="102" t="s">
        <v>10182</v>
      </c>
      <c r="L6562" s="102" t="str">
        <f>K977</f>
        <v>J2a1a1b2a1b</v>
      </c>
      <c r="M6562" s="102" t="s">
        <v>10183</v>
      </c>
      <c r="N6562" s="1" t="s">
        <v>10184</v>
      </c>
      <c r="O6562" s="114">
        <v>1.4912052E7</v>
      </c>
      <c r="P6562" s="105">
        <v>1.2800119E7</v>
      </c>
      <c r="Q6562" s="102" t="s">
        <v>2514</v>
      </c>
      <c r="S6562" s="1"/>
      <c r="T6562" s="1"/>
      <c r="U6562" s="1"/>
      <c r="V6562" s="1"/>
      <c r="W6562" s="1"/>
      <c r="X6562" s="1"/>
      <c r="Y6562" s="1"/>
      <c r="AA6562" s="102"/>
      <c r="AB6562" s="1"/>
      <c r="AC6562" s="1"/>
      <c r="AD6562" s="1"/>
      <c r="AE6562" s="1"/>
      <c r="AF6562" s="1"/>
      <c r="AG6562" s="1"/>
    </row>
    <row r="6563" ht="15.75" customHeight="1">
      <c r="A6563" s="1"/>
      <c r="B6563" s="1"/>
      <c r="C6563" s="1"/>
      <c r="D6563" s="1"/>
      <c r="E6563" s="1"/>
      <c r="F6563" s="1"/>
      <c r="G6563" s="1"/>
      <c r="H6563" s="1"/>
      <c r="I6563" s="1"/>
      <c r="J6563" s="1"/>
      <c r="K6563" s="106" t="s">
        <v>10183</v>
      </c>
      <c r="L6563" s="102" t="str">
        <f>K977</f>
        <v>J2a1a1b2a1b</v>
      </c>
      <c r="M6563" s="106" t="s">
        <v>10182</v>
      </c>
      <c r="N6563" s="1" t="s">
        <v>10184</v>
      </c>
      <c r="O6563" s="114">
        <v>1.4912052E7</v>
      </c>
      <c r="P6563" s="105">
        <v>1.2800119E7</v>
      </c>
      <c r="Q6563" s="102" t="s">
        <v>2514</v>
      </c>
      <c r="S6563" s="1"/>
      <c r="T6563" s="1"/>
      <c r="U6563" s="1"/>
      <c r="V6563" s="1"/>
      <c r="W6563" s="1"/>
      <c r="X6563" s="1"/>
      <c r="Y6563" s="1"/>
      <c r="AA6563" s="102"/>
      <c r="AB6563" s="1"/>
      <c r="AC6563" s="1"/>
      <c r="AD6563" s="1"/>
      <c r="AE6563" s="1"/>
      <c r="AF6563" s="1"/>
      <c r="AG6563" s="1"/>
    </row>
    <row r="6564" ht="15.75" customHeight="1">
      <c r="A6564" s="1"/>
      <c r="B6564" s="1"/>
      <c r="C6564" s="1"/>
      <c r="D6564" s="1"/>
      <c r="E6564" s="1"/>
      <c r="F6564" s="1"/>
      <c r="G6564" s="1"/>
      <c r="H6564" s="1"/>
      <c r="I6564" s="1"/>
      <c r="J6564" s="1"/>
      <c r="K6564" s="102" t="s">
        <v>10185</v>
      </c>
      <c r="L6564" s="102" t="str">
        <f>K977</f>
        <v>J2a1a1b2a1b</v>
      </c>
      <c r="M6564" s="102" t="s">
        <v>10186</v>
      </c>
      <c r="N6564" s="1" t="s">
        <v>10187</v>
      </c>
      <c r="O6564" s="114">
        <v>1.7212253E7</v>
      </c>
      <c r="P6564" s="105">
        <v>1.5100373E7</v>
      </c>
      <c r="Q6564" s="102" t="s">
        <v>2446</v>
      </c>
      <c r="S6564" s="1"/>
      <c r="T6564" s="1"/>
      <c r="U6564" s="1"/>
      <c r="V6564" s="1"/>
      <c r="W6564" s="1"/>
      <c r="X6564" s="1"/>
      <c r="Y6564" s="1"/>
      <c r="AA6564" s="102"/>
      <c r="AB6564" s="1"/>
      <c r="AC6564" s="1"/>
      <c r="AD6564" s="1"/>
      <c r="AE6564" s="1"/>
      <c r="AF6564" s="1"/>
      <c r="AG6564" s="1"/>
    </row>
    <row r="6565" ht="15.75" customHeight="1">
      <c r="A6565" s="1"/>
      <c r="B6565" s="1"/>
      <c r="C6565" s="1"/>
      <c r="D6565" s="1"/>
      <c r="E6565" s="1"/>
      <c r="F6565" s="1"/>
      <c r="G6565" s="1"/>
      <c r="H6565" s="1"/>
      <c r="I6565" s="1"/>
      <c r="J6565" s="1"/>
      <c r="K6565" s="106" t="s">
        <v>10186</v>
      </c>
      <c r="L6565" s="102" t="str">
        <f>K977</f>
        <v>J2a1a1b2a1b</v>
      </c>
      <c r="M6565" s="106" t="s">
        <v>10185</v>
      </c>
      <c r="N6565" s="1" t="s">
        <v>10187</v>
      </c>
      <c r="O6565" s="114">
        <v>1.7212253E7</v>
      </c>
      <c r="P6565" s="105">
        <v>1.5100373E7</v>
      </c>
      <c r="Q6565" s="102" t="s">
        <v>2446</v>
      </c>
      <c r="S6565" s="1"/>
      <c r="T6565" s="1"/>
      <c r="U6565" s="1"/>
      <c r="V6565" s="1"/>
      <c r="W6565" s="1"/>
      <c r="X6565" s="1"/>
      <c r="Y6565" s="1"/>
      <c r="AA6565" s="102"/>
      <c r="AB6565" s="1"/>
      <c r="AC6565" s="1"/>
      <c r="AD6565" s="1"/>
      <c r="AE6565" s="1"/>
      <c r="AF6565" s="1"/>
      <c r="AG6565" s="1"/>
    </row>
    <row r="6566" ht="15.75" customHeight="1">
      <c r="A6566" s="1"/>
      <c r="B6566" s="1"/>
      <c r="C6566" s="1"/>
      <c r="D6566" s="1"/>
      <c r="E6566" s="1"/>
      <c r="F6566" s="1"/>
      <c r="G6566" s="1"/>
      <c r="H6566" s="1"/>
      <c r="I6566" s="1"/>
      <c r="J6566" s="1"/>
      <c r="K6566" s="102" t="s">
        <v>10188</v>
      </c>
      <c r="L6566" s="102" t="str">
        <f>K977</f>
        <v>J2a1a1b2a1b</v>
      </c>
      <c r="M6566" s="102" t="s">
        <v>10189</v>
      </c>
      <c r="N6566" s="1" t="s">
        <v>10190</v>
      </c>
      <c r="O6566" s="114">
        <v>1.7248041E7</v>
      </c>
      <c r="P6566" s="105">
        <v>1.5136161E7</v>
      </c>
      <c r="Q6566" s="102" t="s">
        <v>2423</v>
      </c>
      <c r="S6566" s="1"/>
      <c r="T6566" s="1"/>
      <c r="U6566" s="1"/>
      <c r="V6566" s="1"/>
      <c r="W6566" s="1"/>
      <c r="X6566" s="1"/>
      <c r="Y6566" s="1"/>
      <c r="AA6566" s="102"/>
      <c r="AB6566" s="1"/>
      <c r="AC6566" s="1"/>
      <c r="AD6566" s="1"/>
      <c r="AE6566" s="1"/>
      <c r="AF6566" s="1"/>
      <c r="AG6566" s="1"/>
    </row>
    <row r="6567" ht="15.75" customHeight="1">
      <c r="A6567" s="1"/>
      <c r="B6567" s="1"/>
      <c r="C6567" s="1"/>
      <c r="D6567" s="1"/>
      <c r="E6567" s="1"/>
      <c r="F6567" s="1"/>
      <c r="G6567" s="1"/>
      <c r="H6567" s="1"/>
      <c r="I6567" s="1"/>
      <c r="J6567" s="1"/>
      <c r="K6567" s="106" t="s">
        <v>10189</v>
      </c>
      <c r="L6567" s="102" t="str">
        <f>K977</f>
        <v>J2a1a1b2a1b</v>
      </c>
      <c r="M6567" s="106" t="s">
        <v>10188</v>
      </c>
      <c r="N6567" s="1" t="s">
        <v>10190</v>
      </c>
      <c r="O6567" s="114">
        <v>1.7248041E7</v>
      </c>
      <c r="P6567" s="105">
        <v>1.5136161E7</v>
      </c>
      <c r="Q6567" s="102" t="s">
        <v>2423</v>
      </c>
      <c r="S6567" s="1"/>
      <c r="T6567" s="1"/>
      <c r="U6567" s="1"/>
      <c r="V6567" s="1"/>
      <c r="W6567" s="1"/>
      <c r="X6567" s="1"/>
      <c r="Y6567" s="1"/>
      <c r="AA6567" s="102"/>
      <c r="AB6567" s="1"/>
      <c r="AC6567" s="1"/>
      <c r="AD6567" s="1"/>
      <c r="AE6567" s="1"/>
      <c r="AF6567" s="1"/>
      <c r="AG6567" s="1"/>
    </row>
    <row r="6568" ht="15.75" customHeight="1">
      <c r="A6568" s="1"/>
      <c r="B6568" s="1"/>
      <c r="C6568" s="1"/>
      <c r="D6568" s="1"/>
      <c r="E6568" s="1"/>
      <c r="F6568" s="1"/>
      <c r="G6568" s="1"/>
      <c r="H6568" s="1"/>
      <c r="I6568" s="1"/>
      <c r="J6568" s="1"/>
      <c r="K6568" s="102" t="s">
        <v>10191</v>
      </c>
      <c r="L6568" s="102" t="str">
        <f>K977</f>
        <v>J2a1a1b2a1b</v>
      </c>
      <c r="M6568" s="102" t="s">
        <v>10192</v>
      </c>
      <c r="N6568" s="1" t="s">
        <v>10193</v>
      </c>
      <c r="O6568" s="114">
        <v>1.7296259E7</v>
      </c>
      <c r="P6568" s="105">
        <v>1.5184379E7</v>
      </c>
      <c r="Q6568" s="102" t="s">
        <v>2529</v>
      </c>
      <c r="S6568" s="1"/>
      <c r="T6568" s="1"/>
      <c r="U6568" s="1"/>
      <c r="V6568" s="1"/>
      <c r="W6568" s="1"/>
      <c r="X6568" s="1"/>
      <c r="Y6568" s="1"/>
      <c r="AA6568" s="102"/>
      <c r="AB6568" s="1"/>
      <c r="AC6568" s="1"/>
      <c r="AD6568" s="1"/>
      <c r="AE6568" s="1"/>
      <c r="AF6568" s="1"/>
      <c r="AG6568" s="1"/>
    </row>
    <row r="6569" ht="15.75" customHeight="1">
      <c r="A6569" s="1"/>
      <c r="B6569" s="1"/>
      <c r="C6569" s="1"/>
      <c r="D6569" s="1"/>
      <c r="E6569" s="1"/>
      <c r="F6569" s="1"/>
      <c r="G6569" s="1"/>
      <c r="H6569" s="1"/>
      <c r="I6569" s="1"/>
      <c r="J6569" s="1"/>
      <c r="K6569" s="106" t="s">
        <v>10192</v>
      </c>
      <c r="L6569" s="102" t="str">
        <f>K977</f>
        <v>J2a1a1b2a1b</v>
      </c>
      <c r="M6569" s="106" t="s">
        <v>10191</v>
      </c>
      <c r="N6569" s="1" t="s">
        <v>10193</v>
      </c>
      <c r="O6569" s="114">
        <v>1.7296259E7</v>
      </c>
      <c r="P6569" s="105">
        <v>1.5184379E7</v>
      </c>
      <c r="Q6569" s="102" t="s">
        <v>2529</v>
      </c>
      <c r="S6569" s="1"/>
      <c r="T6569" s="1"/>
      <c r="U6569" s="1"/>
      <c r="V6569" s="1"/>
      <c r="W6569" s="1"/>
      <c r="X6569" s="1"/>
      <c r="Y6569" s="1"/>
      <c r="AA6569" s="102"/>
      <c r="AB6569" s="1"/>
      <c r="AC6569" s="1"/>
      <c r="AD6569" s="1"/>
      <c r="AE6569" s="1"/>
      <c r="AF6569" s="1"/>
      <c r="AG6569" s="1"/>
    </row>
    <row r="6570" ht="15.75" customHeight="1">
      <c r="A6570" s="1"/>
      <c r="B6570" s="1"/>
      <c r="C6570" s="1"/>
      <c r="D6570" s="1"/>
      <c r="E6570" s="1"/>
      <c r="F6570" s="1"/>
      <c r="G6570" s="1"/>
      <c r="H6570" s="1"/>
      <c r="I6570" s="1"/>
      <c r="J6570" s="1"/>
      <c r="K6570" s="102" t="s">
        <v>10194</v>
      </c>
      <c r="L6570" s="102" t="str">
        <f>K977</f>
        <v>J2a1a1b2a1b</v>
      </c>
      <c r="M6570" s="102" t="s">
        <v>10195</v>
      </c>
      <c r="N6570" s="1" t="s">
        <v>10196</v>
      </c>
      <c r="O6570" s="114">
        <v>1.888224E7</v>
      </c>
      <c r="P6570" s="105">
        <v>1.677036E7</v>
      </c>
      <c r="Q6570" s="102" t="s">
        <v>2432</v>
      </c>
      <c r="S6570" s="1"/>
      <c r="T6570" s="1"/>
      <c r="U6570" s="1"/>
      <c r="V6570" s="1"/>
      <c r="W6570" s="1"/>
      <c r="X6570" s="1"/>
      <c r="Y6570" s="1"/>
      <c r="AA6570" s="102"/>
      <c r="AB6570" s="1"/>
      <c r="AC6570" s="1"/>
      <c r="AD6570" s="1"/>
      <c r="AE6570" s="1"/>
      <c r="AF6570" s="1"/>
      <c r="AG6570" s="1"/>
    </row>
    <row r="6571" ht="15.75" customHeight="1">
      <c r="A6571" s="1"/>
      <c r="B6571" s="1"/>
      <c r="C6571" s="1"/>
      <c r="D6571" s="1"/>
      <c r="E6571" s="1"/>
      <c r="F6571" s="1"/>
      <c r="G6571" s="1"/>
      <c r="H6571" s="1"/>
      <c r="I6571" s="1"/>
      <c r="J6571" s="1"/>
      <c r="K6571" s="106" t="s">
        <v>10195</v>
      </c>
      <c r="L6571" s="102" t="str">
        <f>K977</f>
        <v>J2a1a1b2a1b</v>
      </c>
      <c r="M6571" s="106" t="s">
        <v>10194</v>
      </c>
      <c r="N6571" s="1" t="s">
        <v>10196</v>
      </c>
      <c r="O6571" s="114">
        <v>1.888224E7</v>
      </c>
      <c r="P6571" s="105">
        <v>1.677036E7</v>
      </c>
      <c r="Q6571" s="102" t="s">
        <v>2432</v>
      </c>
      <c r="S6571" s="1"/>
      <c r="T6571" s="1"/>
      <c r="U6571" s="1"/>
      <c r="V6571" s="1"/>
      <c r="W6571" s="1"/>
      <c r="X6571" s="1"/>
      <c r="Y6571" s="1"/>
      <c r="AA6571" s="102"/>
      <c r="AB6571" s="1"/>
      <c r="AC6571" s="1"/>
      <c r="AD6571" s="1"/>
      <c r="AE6571" s="1"/>
      <c r="AF6571" s="1"/>
      <c r="AG6571" s="1"/>
    </row>
    <row r="6572" ht="15.75" customHeight="1">
      <c r="A6572" s="1"/>
      <c r="B6572" s="1"/>
      <c r="C6572" s="1"/>
      <c r="D6572" s="1"/>
      <c r="E6572" s="1"/>
      <c r="F6572" s="1"/>
      <c r="G6572" s="1"/>
      <c r="H6572" s="1"/>
      <c r="I6572" s="1"/>
      <c r="J6572" s="1"/>
      <c r="K6572" s="102" t="s">
        <v>10197</v>
      </c>
      <c r="L6572" s="102" t="str">
        <f>K977</f>
        <v>J2a1a1b2a1b</v>
      </c>
      <c r="M6572" s="102" t="s">
        <v>10198</v>
      </c>
      <c r="N6572" s="1" t="s">
        <v>10199</v>
      </c>
      <c r="O6572" s="114">
        <v>1.9300678E7</v>
      </c>
      <c r="P6572" s="105">
        <v>1.7188798E7</v>
      </c>
      <c r="Q6572" s="102" t="s">
        <v>2439</v>
      </c>
      <c r="S6572" s="1"/>
      <c r="T6572" s="1"/>
      <c r="U6572" s="1"/>
      <c r="V6572" s="1"/>
      <c r="W6572" s="1"/>
      <c r="X6572" s="1"/>
      <c r="Y6572" s="1"/>
      <c r="AA6572" s="102"/>
      <c r="AB6572" s="1"/>
      <c r="AC6572" s="1"/>
      <c r="AD6572" s="1"/>
      <c r="AE6572" s="1"/>
      <c r="AF6572" s="1"/>
      <c r="AG6572" s="1"/>
    </row>
    <row r="6573" ht="15.75" customHeight="1">
      <c r="A6573" s="1"/>
      <c r="B6573" s="1"/>
      <c r="C6573" s="1"/>
      <c r="D6573" s="1"/>
      <c r="E6573" s="1"/>
      <c r="F6573" s="1"/>
      <c r="G6573" s="1"/>
      <c r="H6573" s="1"/>
      <c r="I6573" s="1"/>
      <c r="J6573" s="1"/>
      <c r="K6573" s="106" t="s">
        <v>10198</v>
      </c>
      <c r="L6573" s="102" t="str">
        <f>K977</f>
        <v>J2a1a1b2a1b</v>
      </c>
      <c r="M6573" s="106" t="s">
        <v>10197</v>
      </c>
      <c r="N6573" s="1" t="s">
        <v>10199</v>
      </c>
      <c r="O6573" s="114">
        <v>1.9300678E7</v>
      </c>
      <c r="P6573" s="105">
        <v>1.7188798E7</v>
      </c>
      <c r="Q6573" s="102" t="s">
        <v>2439</v>
      </c>
      <c r="S6573" s="1"/>
      <c r="T6573" s="1"/>
      <c r="U6573" s="1"/>
      <c r="V6573" s="1"/>
      <c r="W6573" s="1"/>
      <c r="X6573" s="1"/>
      <c r="Y6573" s="1"/>
      <c r="AA6573" s="102"/>
      <c r="AB6573" s="1"/>
      <c r="AC6573" s="1"/>
      <c r="AD6573" s="1"/>
      <c r="AE6573" s="1"/>
      <c r="AF6573" s="1"/>
      <c r="AG6573" s="1"/>
    </row>
    <row r="6574" ht="15.75" customHeight="1">
      <c r="A6574" s="1"/>
      <c r="B6574" s="1"/>
      <c r="C6574" s="1"/>
      <c r="D6574" s="1"/>
      <c r="E6574" s="1"/>
      <c r="F6574" s="1"/>
      <c r="G6574" s="1"/>
      <c r="H6574" s="1"/>
      <c r="I6574" s="1"/>
      <c r="J6574" s="1"/>
      <c r="K6574" s="102" t="s">
        <v>10200</v>
      </c>
      <c r="L6574" s="102" t="str">
        <f>K977</f>
        <v>J2a1a1b2a1b</v>
      </c>
      <c r="M6574" s="102"/>
      <c r="N6574" s="1" t="s">
        <v>10201</v>
      </c>
      <c r="O6574" s="114">
        <v>3718328.0</v>
      </c>
      <c r="P6574" s="105">
        <v>3850287.0</v>
      </c>
      <c r="Q6574" s="102" t="s">
        <v>2529</v>
      </c>
      <c r="S6574" s="1"/>
      <c r="T6574" s="1"/>
      <c r="U6574" s="1"/>
      <c r="V6574" s="1"/>
      <c r="W6574" s="1"/>
      <c r="X6574" s="1"/>
      <c r="Y6574" s="1"/>
      <c r="AA6574" s="102"/>
      <c r="AB6574" s="1"/>
      <c r="AC6574" s="1"/>
      <c r="AD6574" s="1"/>
      <c r="AE6574" s="1"/>
      <c r="AF6574" s="1"/>
      <c r="AG6574" s="1"/>
    </row>
    <row r="6575" ht="15.75" customHeight="1">
      <c r="A6575" s="1"/>
      <c r="B6575" s="1"/>
      <c r="C6575" s="1"/>
      <c r="D6575" s="1"/>
      <c r="E6575" s="1"/>
      <c r="F6575" s="1"/>
      <c r="G6575" s="1"/>
      <c r="H6575" s="1"/>
      <c r="I6575" s="1"/>
      <c r="J6575" s="1"/>
      <c r="K6575" t="s">
        <v>10202</v>
      </c>
      <c r="L6575" t="str">
        <f>L978</f>
        <v>J2a1a1b2a1b1</v>
      </c>
      <c r="M6575" t="s">
        <v>10203</v>
      </c>
      <c r="N6575" t="s">
        <v>10204</v>
      </c>
      <c r="O6575">
        <v>1.8077016E7</v>
      </c>
      <c r="P6575">
        <v>1.5965136E7</v>
      </c>
      <c r="Q6575" s="112" t="s">
        <v>2529</v>
      </c>
      <c r="S6575" s="1"/>
      <c r="T6575" s="1"/>
      <c r="U6575" s="1"/>
      <c r="V6575" s="1"/>
      <c r="W6575" s="1"/>
      <c r="X6575" s="1"/>
      <c r="Y6575" s="1"/>
      <c r="AA6575" s="102"/>
      <c r="AB6575" s="1"/>
      <c r="AC6575" s="1"/>
      <c r="AD6575" s="1"/>
      <c r="AE6575" s="1"/>
      <c r="AF6575" s="1"/>
      <c r="AG6575" s="1"/>
    </row>
    <row r="6576" ht="15.75" customHeight="1">
      <c r="A6576" s="1"/>
      <c r="B6576" s="1"/>
      <c r="C6576" s="1"/>
      <c r="D6576" s="1"/>
      <c r="E6576" s="1"/>
      <c r="F6576" s="1"/>
      <c r="G6576" s="1"/>
      <c r="H6576" s="1"/>
      <c r="I6576" s="1"/>
      <c r="J6576" s="1"/>
      <c r="K6576" t="s">
        <v>10205</v>
      </c>
      <c r="L6576" t="str">
        <f>L978</f>
        <v>J2a1a1b2a1b1</v>
      </c>
      <c r="M6576" t="s">
        <v>10206</v>
      </c>
      <c r="N6576" t="s">
        <v>10204</v>
      </c>
      <c r="O6576">
        <v>1.8077016E7</v>
      </c>
      <c r="P6576">
        <v>1.5965136E7</v>
      </c>
      <c r="Q6576" s="112" t="s">
        <v>2529</v>
      </c>
      <c r="S6576" s="1"/>
      <c r="T6576" s="1"/>
      <c r="U6576" s="1"/>
      <c r="V6576" s="1"/>
      <c r="W6576" s="1"/>
      <c r="X6576" s="1"/>
      <c r="Y6576" s="1"/>
      <c r="AA6576" s="102"/>
      <c r="AB6576" s="1"/>
      <c r="AC6576" s="1"/>
      <c r="AD6576" s="1"/>
      <c r="AE6576" s="1"/>
      <c r="AF6576" s="1"/>
      <c r="AG6576" s="1"/>
    </row>
    <row r="6577" ht="15.75" customHeight="1">
      <c r="A6577" s="1"/>
      <c r="B6577" s="1"/>
      <c r="C6577" s="1"/>
      <c r="D6577" s="1"/>
      <c r="E6577" s="1"/>
      <c r="F6577" s="1"/>
      <c r="G6577" s="1"/>
      <c r="H6577" s="1"/>
      <c r="I6577" s="1"/>
      <c r="J6577" s="1"/>
      <c r="K6577" t="s">
        <v>10207</v>
      </c>
      <c r="L6577" t="str">
        <f>L978</f>
        <v>J2a1a1b2a1b1</v>
      </c>
      <c r="M6577" t="s">
        <v>10208</v>
      </c>
      <c r="N6577" t="s">
        <v>10204</v>
      </c>
      <c r="O6577">
        <v>1.8077016E7</v>
      </c>
      <c r="P6577">
        <v>1.5965136E7</v>
      </c>
      <c r="Q6577" s="112" t="s">
        <v>2529</v>
      </c>
      <c r="S6577" s="1"/>
      <c r="T6577" s="1"/>
      <c r="U6577" s="1"/>
      <c r="V6577" s="1"/>
      <c r="W6577" s="1"/>
      <c r="X6577" s="1"/>
      <c r="Y6577" s="1"/>
      <c r="AA6577" s="102"/>
      <c r="AB6577" s="1"/>
      <c r="AC6577" s="1"/>
      <c r="AD6577" s="1"/>
      <c r="AE6577" s="1"/>
      <c r="AF6577" s="1"/>
      <c r="AG6577" s="1"/>
    </row>
    <row r="6578" ht="15.75" customHeight="1">
      <c r="A6578" s="1"/>
      <c r="B6578" s="1"/>
      <c r="C6578" s="1"/>
      <c r="D6578" s="1"/>
      <c r="E6578" s="1"/>
      <c r="F6578" s="1"/>
      <c r="G6578" s="1"/>
      <c r="H6578" s="1"/>
      <c r="I6578" s="1"/>
      <c r="J6578" s="1"/>
      <c r="K6578" t="s">
        <v>10209</v>
      </c>
      <c r="L6578" t="str">
        <f>L978</f>
        <v>J2a1a1b2a1b1</v>
      </c>
      <c r="M6578" t="s">
        <v>10210</v>
      </c>
      <c r="N6578" t="s">
        <v>10211</v>
      </c>
      <c r="O6578">
        <v>2.2725065E7</v>
      </c>
      <c r="P6578">
        <v>2.0563179E7</v>
      </c>
      <c r="Q6578" s="121" t="s">
        <v>2576</v>
      </c>
      <c r="S6578" s="1"/>
      <c r="T6578" s="1"/>
      <c r="U6578" s="1"/>
      <c r="V6578" s="1"/>
      <c r="W6578" s="1"/>
      <c r="X6578" s="1"/>
      <c r="Y6578" s="1"/>
      <c r="AA6578" s="102"/>
      <c r="AB6578" s="1"/>
      <c r="AC6578" s="1"/>
      <c r="AD6578" s="1"/>
      <c r="AE6578" s="1"/>
      <c r="AF6578" s="1"/>
      <c r="AG6578" s="1"/>
    </row>
    <row r="6579" ht="15.75" customHeight="1">
      <c r="A6579" s="1"/>
      <c r="B6579" s="1"/>
      <c r="C6579" s="1"/>
      <c r="D6579" s="1"/>
      <c r="E6579" s="1"/>
      <c r="F6579" s="1"/>
      <c r="G6579" s="1"/>
      <c r="H6579" s="1"/>
      <c r="I6579" s="1"/>
      <c r="J6579" s="1"/>
      <c r="K6579" t="s">
        <v>10210</v>
      </c>
      <c r="L6579" t="str">
        <f>L978</f>
        <v>J2a1a1b2a1b1</v>
      </c>
      <c r="M6579" t="s">
        <v>10209</v>
      </c>
      <c r="N6579" t="s">
        <v>10211</v>
      </c>
      <c r="O6579">
        <v>2.2725065E7</v>
      </c>
      <c r="P6579">
        <v>2.0563179E7</v>
      </c>
      <c r="Q6579" s="112" t="s">
        <v>2576</v>
      </c>
      <c r="S6579" s="1"/>
      <c r="T6579" s="1"/>
      <c r="U6579" s="1"/>
      <c r="V6579" s="1"/>
      <c r="W6579" s="1"/>
      <c r="X6579" s="1"/>
      <c r="Y6579" s="1"/>
      <c r="AA6579" s="102"/>
      <c r="AB6579" s="1"/>
      <c r="AC6579" s="1"/>
      <c r="AD6579" s="1"/>
      <c r="AE6579" s="1"/>
      <c r="AF6579" s="1"/>
      <c r="AG6579" s="1"/>
    </row>
    <row r="6580" ht="15.75" customHeight="1">
      <c r="A6580" s="1"/>
      <c r="B6580" s="1"/>
      <c r="C6580" s="1"/>
      <c r="D6580" s="1"/>
      <c r="E6580" s="1"/>
      <c r="F6580" s="1"/>
      <c r="G6580" s="1"/>
      <c r="H6580" s="1"/>
      <c r="I6580" s="1"/>
      <c r="J6580" s="1"/>
      <c r="K6580" t="s">
        <v>10212</v>
      </c>
      <c r="L6580" t="str">
        <f>L978</f>
        <v>J2a1a1b2a1b1</v>
      </c>
      <c r="M6580" t="s">
        <v>10213</v>
      </c>
      <c r="N6580" t="s">
        <v>10214</v>
      </c>
      <c r="O6580">
        <v>2.3243897E7</v>
      </c>
      <c r="P6580">
        <v>2.1082011E7</v>
      </c>
      <c r="Q6580" s="112" t="s">
        <v>2529</v>
      </c>
      <c r="S6580" s="1"/>
      <c r="T6580" s="1"/>
      <c r="U6580" s="1"/>
      <c r="V6580" s="1"/>
      <c r="W6580" s="1"/>
      <c r="X6580" s="1"/>
      <c r="Y6580" s="1"/>
      <c r="AA6580" s="102"/>
      <c r="AB6580" s="1"/>
      <c r="AC6580" s="1"/>
      <c r="AD6580" s="1"/>
      <c r="AE6580" s="1"/>
      <c r="AF6580" s="1"/>
      <c r="AG6580" s="1"/>
    </row>
    <row r="6581" ht="15.75" customHeight="1">
      <c r="A6581" s="1"/>
      <c r="B6581" s="1"/>
      <c r="C6581" s="1"/>
      <c r="D6581" s="1"/>
      <c r="E6581" s="1"/>
      <c r="F6581" s="1"/>
      <c r="G6581" s="1"/>
      <c r="H6581" s="1"/>
      <c r="I6581" s="1"/>
      <c r="J6581" s="1"/>
      <c r="K6581" t="s">
        <v>10215</v>
      </c>
      <c r="L6581" t="str">
        <f>L978</f>
        <v>J2a1a1b2a1b1</v>
      </c>
      <c r="M6581" t="s">
        <v>10216</v>
      </c>
      <c r="N6581" t="s">
        <v>10214</v>
      </c>
      <c r="O6581">
        <v>2.3243897E7</v>
      </c>
      <c r="P6581">
        <v>2.1082011E7</v>
      </c>
      <c r="Q6581" s="112" t="s">
        <v>2529</v>
      </c>
      <c r="S6581" s="1"/>
      <c r="T6581" s="1"/>
      <c r="U6581" s="1"/>
      <c r="V6581" s="1"/>
      <c r="W6581" s="1"/>
      <c r="X6581" s="1"/>
      <c r="Y6581" s="1"/>
      <c r="AA6581" s="102"/>
      <c r="AB6581" s="1"/>
      <c r="AC6581" s="1"/>
      <c r="AD6581" s="1"/>
      <c r="AE6581" s="1"/>
      <c r="AF6581" s="1"/>
      <c r="AG6581" s="1"/>
    </row>
    <row r="6582" ht="15.75" customHeight="1">
      <c r="A6582" s="1"/>
      <c r="B6582" s="1"/>
      <c r="C6582" s="1"/>
      <c r="D6582" s="1"/>
      <c r="E6582" s="1"/>
      <c r="F6582" s="1"/>
      <c r="G6582" s="1"/>
      <c r="H6582" s="1"/>
      <c r="I6582" s="1"/>
      <c r="J6582" s="1"/>
      <c r="K6582" t="s">
        <v>10217</v>
      </c>
      <c r="L6582" t="str">
        <f>L978</f>
        <v>J2a1a1b2a1b1</v>
      </c>
      <c r="M6582" t="s">
        <v>10218</v>
      </c>
      <c r="N6582" t="s">
        <v>10214</v>
      </c>
      <c r="O6582">
        <v>2.3243897E7</v>
      </c>
      <c r="P6582">
        <v>2.1082011E7</v>
      </c>
      <c r="Q6582" s="112" t="s">
        <v>2529</v>
      </c>
      <c r="S6582" s="1"/>
      <c r="T6582" s="1"/>
      <c r="U6582" s="1"/>
      <c r="V6582" s="1"/>
      <c r="W6582" s="1"/>
      <c r="X6582" s="1"/>
      <c r="Y6582" s="1"/>
      <c r="AA6582" s="102"/>
      <c r="AB6582" s="1"/>
      <c r="AC6582" s="1"/>
      <c r="AD6582" s="1"/>
      <c r="AE6582" s="1"/>
      <c r="AF6582" s="1"/>
      <c r="AG6582" s="1"/>
    </row>
    <row r="6583" ht="15.75" customHeight="1">
      <c r="A6583" s="1"/>
      <c r="B6583" s="1"/>
      <c r="C6583" s="1"/>
      <c r="D6583" s="1"/>
      <c r="E6583" s="1"/>
      <c r="F6583" s="1"/>
      <c r="G6583" s="1"/>
      <c r="H6583" s="1"/>
      <c r="I6583" s="1"/>
      <c r="J6583" s="1"/>
      <c r="K6583" t="s">
        <v>1925</v>
      </c>
      <c r="L6583" t="str">
        <f t="shared" ref="L6583:L6584" si="175">M979</f>
        <v>J2a1a1b2a1b1a~</v>
      </c>
      <c r="N6583" t="s">
        <v>10219</v>
      </c>
      <c r="O6583">
        <v>2.1764458E7</v>
      </c>
      <c r="P6583">
        <v>1.9602572E7</v>
      </c>
      <c r="Q6583" s="112" t="s">
        <v>2468</v>
      </c>
      <c r="S6583" s="1"/>
      <c r="T6583" s="1"/>
      <c r="U6583" s="1"/>
      <c r="V6583" s="1"/>
      <c r="W6583" s="1"/>
      <c r="X6583" s="1"/>
      <c r="Y6583" s="1"/>
      <c r="AA6583" s="102"/>
      <c r="AB6583" s="1"/>
      <c r="AC6583" s="1"/>
      <c r="AD6583" s="1"/>
      <c r="AE6583" s="1"/>
      <c r="AF6583" s="1"/>
      <c r="AG6583" s="1"/>
    </row>
    <row r="6584" ht="15.75" customHeight="1">
      <c r="A6584" s="1"/>
      <c r="B6584" s="1"/>
      <c r="C6584" s="1"/>
      <c r="D6584" s="1"/>
      <c r="E6584" s="1"/>
      <c r="F6584" s="1"/>
      <c r="G6584" s="1"/>
      <c r="H6584" s="1"/>
      <c r="I6584" s="1"/>
      <c r="J6584" s="1"/>
      <c r="K6584" s="106" t="s">
        <v>10220</v>
      </c>
      <c r="L6584" s="102" t="str">
        <f t="shared" si="175"/>
        <v>J2a1a1b2a1b1b~</v>
      </c>
      <c r="M6584" s="106" t="s">
        <v>10221</v>
      </c>
      <c r="N6584" s="108" t="s">
        <v>10222</v>
      </c>
      <c r="O6584" s="108">
        <v>1.7357773E7</v>
      </c>
      <c r="P6584" s="106">
        <v>1.5245893E7</v>
      </c>
      <c r="Q6584" s="106" t="s">
        <v>2576</v>
      </c>
      <c r="S6584" s="1"/>
      <c r="T6584" s="1"/>
      <c r="U6584" s="1"/>
      <c r="V6584" s="1"/>
      <c r="W6584" s="1"/>
      <c r="X6584" s="1"/>
      <c r="Y6584" s="1"/>
      <c r="AA6584" s="102"/>
      <c r="AB6584" s="1"/>
      <c r="AC6584" s="1"/>
      <c r="AD6584" s="1"/>
      <c r="AE6584" s="1"/>
      <c r="AF6584" s="1"/>
      <c r="AG6584" s="1"/>
    </row>
    <row r="6585" ht="15.75" customHeight="1">
      <c r="A6585" s="1"/>
      <c r="B6585" s="1"/>
      <c r="C6585" s="1"/>
      <c r="D6585" s="1"/>
      <c r="E6585" s="1"/>
      <c r="F6585" s="1"/>
      <c r="G6585" s="1"/>
      <c r="H6585" s="1"/>
      <c r="I6585" s="1"/>
      <c r="J6585" s="1"/>
      <c r="K6585" s="106" t="s">
        <v>10221</v>
      </c>
      <c r="L6585" s="102" t="str">
        <f>M980</f>
        <v>J2a1a1b2a1b1b~</v>
      </c>
      <c r="M6585" s="106" t="s">
        <v>10220</v>
      </c>
      <c r="N6585" s="108" t="s">
        <v>10222</v>
      </c>
      <c r="O6585" s="108">
        <v>1.7357773E7</v>
      </c>
      <c r="P6585" s="106">
        <v>1.5245893E7</v>
      </c>
      <c r="Q6585" s="106" t="s">
        <v>2576</v>
      </c>
      <c r="S6585" s="1"/>
      <c r="T6585" s="1"/>
      <c r="U6585" s="1"/>
      <c r="V6585" s="1"/>
      <c r="W6585" s="1"/>
      <c r="X6585" s="1"/>
      <c r="Y6585" s="1"/>
      <c r="AA6585" s="102"/>
      <c r="AB6585" s="1"/>
      <c r="AC6585" s="1"/>
      <c r="AD6585" s="1"/>
      <c r="AE6585" s="1"/>
      <c r="AF6585" s="1"/>
      <c r="AG6585" s="1"/>
    </row>
    <row r="6586" ht="15.75" customHeight="1">
      <c r="A6586" s="1"/>
      <c r="B6586" s="1"/>
      <c r="C6586" s="1"/>
      <c r="D6586" s="1"/>
      <c r="E6586" s="1"/>
      <c r="F6586" s="1"/>
      <c r="G6586" s="1"/>
      <c r="H6586" s="1"/>
      <c r="I6586" s="1"/>
      <c r="J6586" s="1"/>
      <c r="K6586" s="106" t="s">
        <v>1929</v>
      </c>
      <c r="L6586" s="102" t="str">
        <f>N981</f>
        <v>J2a1a1b2a1b1b1~</v>
      </c>
      <c r="M6586" s="102"/>
      <c r="N6586" s="108" t="s">
        <v>10223</v>
      </c>
      <c r="O6586" s="108">
        <v>1.6964789E7</v>
      </c>
      <c r="P6586" s="106">
        <v>1.4852909E7</v>
      </c>
      <c r="Q6586" s="106" t="s">
        <v>2501</v>
      </c>
      <c r="S6586" s="1"/>
      <c r="T6586" s="1"/>
      <c r="U6586" s="1"/>
      <c r="V6586" s="1"/>
      <c r="W6586" s="1"/>
      <c r="X6586" s="1"/>
      <c r="Y6586" s="1"/>
      <c r="AA6586" s="102"/>
      <c r="AB6586" s="1"/>
      <c r="AC6586" s="1"/>
      <c r="AD6586" s="1"/>
      <c r="AE6586" s="1"/>
      <c r="AF6586" s="1"/>
      <c r="AG6586" s="1"/>
    </row>
    <row r="6587" ht="15.75" customHeight="1">
      <c r="A6587" s="1"/>
      <c r="B6587" s="1"/>
      <c r="C6587" s="1"/>
      <c r="D6587" s="1"/>
      <c r="E6587" s="1"/>
      <c r="F6587" s="1"/>
      <c r="G6587" s="1"/>
      <c r="H6587" s="1"/>
      <c r="I6587" s="1"/>
      <c r="J6587" s="1"/>
      <c r="K6587" s="106" t="s">
        <v>1931</v>
      </c>
      <c r="L6587" s="102" t="str">
        <f>O982</f>
        <v>J2a1a1b2a1b1b1a~</v>
      </c>
      <c r="M6587" s="102"/>
      <c r="N6587" s="108" t="s">
        <v>10224</v>
      </c>
      <c r="O6587" s="108">
        <v>6678418.0</v>
      </c>
      <c r="P6587" s="106">
        <v>6810377.0</v>
      </c>
      <c r="Q6587" s="106" t="s">
        <v>2468</v>
      </c>
      <c r="S6587" s="1"/>
      <c r="T6587" s="1"/>
      <c r="U6587" s="1"/>
      <c r="V6587" s="1"/>
      <c r="W6587" s="1"/>
      <c r="X6587" s="1"/>
      <c r="Y6587" s="1"/>
      <c r="AA6587" s="102"/>
      <c r="AB6587" s="1"/>
      <c r="AC6587" s="1"/>
      <c r="AD6587" s="1"/>
      <c r="AE6587" s="1"/>
      <c r="AF6587" s="1"/>
      <c r="AG6587" s="1"/>
    </row>
    <row r="6588" ht="15.75" customHeight="1">
      <c r="A6588" s="1"/>
      <c r="B6588" s="1"/>
      <c r="C6588" s="1"/>
      <c r="D6588" s="1"/>
      <c r="E6588" s="1"/>
      <c r="F6588" s="1"/>
      <c r="G6588" s="1"/>
      <c r="H6588" s="1"/>
      <c r="I6588" s="1"/>
      <c r="J6588" s="1"/>
      <c r="K6588" s="106" t="s">
        <v>1933</v>
      </c>
      <c r="L6588" s="102" t="str">
        <f>N983</f>
        <v>J2a1a1b2a1b1b2~</v>
      </c>
      <c r="M6588" s="102"/>
      <c r="N6588" s="108" t="s">
        <v>10225</v>
      </c>
      <c r="O6588" s="108">
        <v>7410953.0</v>
      </c>
      <c r="P6588" s="106">
        <v>7542912.0</v>
      </c>
      <c r="Q6588" s="106" t="s">
        <v>2432</v>
      </c>
      <c r="S6588" s="1"/>
      <c r="T6588" s="1"/>
      <c r="U6588" s="1"/>
      <c r="V6588" s="1"/>
      <c r="W6588" s="1"/>
      <c r="X6588" s="1"/>
      <c r="Y6588" s="1"/>
      <c r="AA6588" s="102"/>
      <c r="AB6588" s="1"/>
      <c r="AC6588" s="1"/>
      <c r="AD6588" s="1"/>
      <c r="AE6588" s="1"/>
      <c r="AF6588" s="1"/>
      <c r="AG6588" s="1"/>
    </row>
    <row r="6589" ht="15.75" customHeight="1">
      <c r="A6589" s="1"/>
      <c r="B6589" s="1"/>
      <c r="C6589" s="1"/>
      <c r="D6589" s="1"/>
      <c r="E6589" s="1"/>
      <c r="F6589" s="1"/>
      <c r="G6589" s="1"/>
      <c r="H6589" s="1"/>
      <c r="I6589" s="1"/>
      <c r="J6589" s="1"/>
      <c r="K6589" s="106" t="s">
        <v>1935</v>
      </c>
      <c r="L6589" s="102" t="str">
        <f t="shared" ref="L6589:L6590" si="176">O984</f>
        <v>J2a1a1b2a1b1b2a~</v>
      </c>
      <c r="M6589" s="102"/>
      <c r="N6589" s="108" t="s">
        <v>10226</v>
      </c>
      <c r="O6589" s="108">
        <v>1.8609571E7</v>
      </c>
      <c r="P6589" s="106">
        <v>1.6497691E7</v>
      </c>
      <c r="Q6589" s="106" t="s">
        <v>2468</v>
      </c>
      <c r="S6589" s="1"/>
      <c r="T6589" s="1"/>
      <c r="U6589" s="1"/>
      <c r="V6589" s="1"/>
      <c r="W6589" s="1"/>
      <c r="X6589" s="1"/>
      <c r="Y6589" s="1"/>
      <c r="AA6589" s="102"/>
      <c r="AB6589" s="1"/>
      <c r="AC6589" s="1"/>
      <c r="AD6589" s="1"/>
      <c r="AE6589" s="1"/>
      <c r="AF6589" s="1"/>
      <c r="AG6589" s="1"/>
    </row>
    <row r="6590" ht="15.75" customHeight="1">
      <c r="A6590" s="1"/>
      <c r="B6590" s="1"/>
      <c r="C6590" s="1"/>
      <c r="D6590" s="1"/>
      <c r="E6590" s="1"/>
      <c r="F6590" s="1"/>
      <c r="G6590" s="1"/>
      <c r="H6590" s="1"/>
      <c r="I6590" s="1"/>
      <c r="J6590" s="1"/>
      <c r="K6590" s="106" t="s">
        <v>10227</v>
      </c>
      <c r="L6590" s="102" t="str">
        <f t="shared" si="176"/>
        <v>J2a1a1b2a1b1b2b~</v>
      </c>
      <c r="M6590" s="106" t="s">
        <v>10228</v>
      </c>
      <c r="N6590" s="108" t="s">
        <v>10229</v>
      </c>
      <c r="O6590" s="108">
        <v>8148822.0</v>
      </c>
      <c r="P6590" s="106">
        <v>8280781.0</v>
      </c>
      <c r="Q6590" s="106" t="s">
        <v>2501</v>
      </c>
      <c r="S6590" s="1"/>
      <c r="T6590" s="1"/>
      <c r="U6590" s="1"/>
      <c r="V6590" s="1"/>
      <c r="W6590" s="1"/>
      <c r="X6590" s="1"/>
      <c r="Y6590" s="1"/>
      <c r="AA6590" s="102"/>
      <c r="AB6590" s="1"/>
      <c r="AC6590" s="1"/>
      <c r="AD6590" s="1"/>
      <c r="AE6590" s="1"/>
      <c r="AF6590" s="1"/>
      <c r="AG6590" s="1"/>
    </row>
    <row r="6591" ht="15.75" customHeight="1">
      <c r="A6591" s="1"/>
      <c r="B6591" s="1"/>
      <c r="C6591" s="1"/>
      <c r="D6591" s="1"/>
      <c r="E6591" s="1"/>
      <c r="F6591" s="1"/>
      <c r="G6591" s="1"/>
      <c r="H6591" s="1"/>
      <c r="I6591" s="1"/>
      <c r="J6591" s="1"/>
      <c r="K6591" s="42" t="s">
        <v>10228</v>
      </c>
      <c r="L6591" t="str">
        <f>O985</f>
        <v>J2a1a1b2a1b1b2b~</v>
      </c>
      <c r="M6591" s="42" t="s">
        <v>10227</v>
      </c>
      <c r="N6591" s="108" t="s">
        <v>10229</v>
      </c>
      <c r="O6591" s="108">
        <v>8148822.0</v>
      </c>
      <c r="P6591" s="106">
        <v>8280781.0</v>
      </c>
      <c r="Q6591" s="106" t="s">
        <v>2501</v>
      </c>
      <c r="S6591" s="1"/>
      <c r="T6591" s="1"/>
      <c r="U6591" s="1"/>
      <c r="V6591" s="1"/>
      <c r="W6591" s="1"/>
      <c r="X6591" s="1"/>
      <c r="Y6591" s="1"/>
      <c r="AA6591" s="102"/>
      <c r="AB6591" s="1"/>
      <c r="AC6591" s="1"/>
      <c r="AD6591" s="1"/>
      <c r="AE6591" s="1"/>
      <c r="AF6591" s="1"/>
      <c r="AG6591" s="1"/>
    </row>
    <row r="6592" ht="15.75" customHeight="1">
      <c r="A6592" s="1"/>
      <c r="B6592" s="1"/>
      <c r="C6592" s="1"/>
      <c r="D6592" s="1"/>
      <c r="E6592" s="1"/>
      <c r="F6592" s="1"/>
      <c r="G6592" s="1"/>
      <c r="H6592" s="1"/>
      <c r="I6592" s="1"/>
      <c r="J6592" s="1"/>
      <c r="K6592" t="s">
        <v>1939</v>
      </c>
      <c r="L6592" t="str">
        <f>P986</f>
        <v>J2a1a1b2a1b1b2b1</v>
      </c>
      <c r="N6592" t="s">
        <v>10230</v>
      </c>
      <c r="O6592">
        <v>2.2744993E7</v>
      </c>
      <c r="P6592">
        <v>2.0583107E7</v>
      </c>
      <c r="Q6592" s="112" t="s">
        <v>2529</v>
      </c>
      <c r="S6592" s="1"/>
      <c r="T6592" s="1"/>
      <c r="U6592" s="1"/>
      <c r="V6592" s="1"/>
      <c r="W6592" s="1"/>
      <c r="X6592" s="1"/>
      <c r="Y6592" s="1"/>
      <c r="AA6592" s="102"/>
      <c r="AB6592" s="1"/>
      <c r="AC6592" s="1"/>
      <c r="AD6592" s="1"/>
      <c r="AE6592" s="1"/>
      <c r="AF6592" s="1"/>
      <c r="AG6592" s="1"/>
    </row>
    <row r="6593" ht="15.75" customHeight="1">
      <c r="A6593" s="1"/>
      <c r="B6593" s="1"/>
      <c r="C6593" s="1"/>
      <c r="D6593" s="1"/>
      <c r="E6593" s="1"/>
      <c r="F6593" s="1"/>
      <c r="G6593" s="1"/>
      <c r="H6593" s="1"/>
      <c r="I6593" s="1"/>
      <c r="J6593" s="1"/>
      <c r="K6593" s="106" t="s">
        <v>1941</v>
      </c>
      <c r="L6593" s="102" t="str">
        <f>Q987</f>
        <v>J2a1a1b2a1b1b2b1a~</v>
      </c>
      <c r="M6593" s="102"/>
      <c r="O6593" s="108">
        <v>2.3119953E7</v>
      </c>
      <c r="P6593" s="106">
        <v>2.0958067E7</v>
      </c>
      <c r="Q6593" s="106" t="s">
        <v>2501</v>
      </c>
      <c r="S6593" s="1"/>
      <c r="T6593" s="1"/>
      <c r="U6593" s="1"/>
      <c r="V6593" s="1"/>
      <c r="W6593" s="1"/>
      <c r="X6593" s="1"/>
      <c r="Y6593" s="1"/>
      <c r="AA6593" s="102"/>
      <c r="AB6593" s="1"/>
      <c r="AC6593" s="1"/>
      <c r="AD6593" s="1"/>
      <c r="AE6593" s="1"/>
      <c r="AF6593" s="1"/>
      <c r="AG6593" s="1"/>
    </row>
    <row r="6594" ht="15.75" customHeight="1">
      <c r="A6594" s="1"/>
      <c r="B6594" s="1"/>
      <c r="C6594" s="1"/>
      <c r="D6594" s="1"/>
      <c r="E6594" s="1"/>
      <c r="F6594" s="1"/>
      <c r="G6594" s="1"/>
      <c r="H6594" s="1"/>
      <c r="I6594" s="1"/>
      <c r="J6594" s="1"/>
      <c r="K6594" s="106" t="s">
        <v>1943</v>
      </c>
      <c r="L6594" s="102" t="str">
        <f>O988</f>
        <v>J2a1a1b2a1b1b2c~</v>
      </c>
      <c r="M6594" s="102"/>
      <c r="N6594" s="108" t="s">
        <v>10231</v>
      </c>
      <c r="O6594" s="108">
        <v>6778425.0</v>
      </c>
      <c r="P6594" s="106">
        <v>6910384.0</v>
      </c>
      <c r="Q6594" s="106" t="s">
        <v>2501</v>
      </c>
      <c r="S6594" s="1"/>
      <c r="T6594" s="1"/>
      <c r="U6594" s="1"/>
      <c r="V6594" s="1"/>
      <c r="W6594" s="1"/>
      <c r="X6594" s="1"/>
      <c r="Y6594" s="1"/>
      <c r="AA6594" s="102"/>
      <c r="AB6594" s="1"/>
      <c r="AC6594" s="1"/>
      <c r="AD6594" s="1"/>
      <c r="AE6594" s="1"/>
      <c r="AF6594" s="1"/>
      <c r="AG6594" s="1"/>
    </row>
    <row r="6595" ht="15.75" customHeight="1">
      <c r="A6595" s="1"/>
      <c r="B6595" s="1"/>
      <c r="C6595" s="1"/>
      <c r="D6595" s="1"/>
      <c r="E6595" s="1"/>
      <c r="F6595" s="1"/>
      <c r="G6595" s="1"/>
      <c r="H6595" s="1"/>
      <c r="I6595" s="1"/>
      <c r="J6595" s="1"/>
      <c r="K6595" s="106" t="s">
        <v>1945</v>
      </c>
      <c r="L6595" s="102" t="str">
        <f>P989</f>
        <v>J2a1a1b2a1b1b2c1~</v>
      </c>
      <c r="M6595" s="102"/>
      <c r="N6595" s="108" t="s">
        <v>10232</v>
      </c>
      <c r="O6595" s="108">
        <v>1.3477931E7</v>
      </c>
      <c r="P6595" s="106">
        <v>1.1322255E7</v>
      </c>
      <c r="Q6595" s="106" t="s">
        <v>2501</v>
      </c>
      <c r="S6595" s="1"/>
      <c r="T6595" s="1"/>
      <c r="U6595" s="1"/>
      <c r="V6595" s="1"/>
      <c r="W6595" s="1"/>
      <c r="X6595" s="1"/>
      <c r="Y6595" s="1"/>
      <c r="AA6595" s="102"/>
      <c r="AB6595" s="1"/>
      <c r="AC6595" s="1"/>
      <c r="AD6595" s="1"/>
      <c r="AE6595" s="1"/>
      <c r="AF6595" s="1"/>
      <c r="AG6595" s="1"/>
    </row>
    <row r="6596" ht="15.75" customHeight="1">
      <c r="A6596" s="1"/>
      <c r="B6596" s="1"/>
      <c r="C6596" s="1"/>
      <c r="D6596" s="1"/>
      <c r="E6596" s="1"/>
      <c r="F6596" s="1"/>
      <c r="G6596" s="1"/>
      <c r="H6596" s="1"/>
      <c r="I6596" s="1"/>
      <c r="J6596" s="1"/>
      <c r="K6596" s="106" t="s">
        <v>10233</v>
      </c>
      <c r="L6596" s="102" t="str">
        <f>N990</f>
        <v>J2a1a1b2a1b1b3~</v>
      </c>
      <c r="M6596" s="106" t="s">
        <v>10234</v>
      </c>
      <c r="N6596" s="108" t="s">
        <v>10235</v>
      </c>
      <c r="O6596" s="108">
        <v>1.5058527E7</v>
      </c>
      <c r="P6596" s="106">
        <v>1.2946619E7</v>
      </c>
      <c r="Q6596" s="106" t="s">
        <v>2468</v>
      </c>
      <c r="S6596" s="1"/>
      <c r="T6596" s="1"/>
      <c r="U6596" s="1"/>
      <c r="V6596" s="1"/>
      <c r="W6596" s="1"/>
      <c r="X6596" s="1"/>
      <c r="Y6596" s="1"/>
      <c r="AA6596" s="102"/>
      <c r="AB6596" s="1"/>
      <c r="AC6596" s="1"/>
      <c r="AD6596" s="1"/>
      <c r="AE6596" s="1"/>
      <c r="AF6596" s="1"/>
      <c r="AG6596" s="1"/>
    </row>
    <row r="6597" ht="15.75" customHeight="1">
      <c r="A6597" s="1"/>
      <c r="B6597" s="1"/>
      <c r="C6597" s="1"/>
      <c r="D6597" s="1"/>
      <c r="E6597" s="1"/>
      <c r="F6597" s="1"/>
      <c r="G6597" s="1"/>
      <c r="H6597" s="1"/>
      <c r="I6597" s="1"/>
      <c r="J6597" s="1"/>
      <c r="K6597" s="106" t="s">
        <v>10234</v>
      </c>
      <c r="L6597" s="102" t="str">
        <f>N990</f>
        <v>J2a1a1b2a1b1b3~</v>
      </c>
      <c r="M6597" s="106" t="s">
        <v>10233</v>
      </c>
      <c r="N6597" s="108" t="s">
        <v>10235</v>
      </c>
      <c r="O6597" s="108">
        <v>1.5058527E7</v>
      </c>
      <c r="P6597" s="106">
        <v>1.2946619E7</v>
      </c>
      <c r="Q6597" s="106" t="s">
        <v>2468</v>
      </c>
      <c r="S6597" s="1"/>
      <c r="T6597" s="1"/>
      <c r="U6597" s="1"/>
      <c r="V6597" s="1"/>
      <c r="W6597" s="1"/>
      <c r="X6597" s="1"/>
      <c r="Y6597" s="1"/>
      <c r="AA6597" s="102"/>
      <c r="AB6597" s="1"/>
      <c r="AC6597" s="1"/>
      <c r="AD6597" s="1"/>
      <c r="AE6597" s="1"/>
      <c r="AF6597" s="1"/>
      <c r="AG6597" s="1"/>
    </row>
    <row r="6598" ht="15.75" customHeight="1">
      <c r="A6598" s="1"/>
      <c r="B6598" s="1"/>
      <c r="C6598" s="1"/>
      <c r="D6598" s="1"/>
      <c r="E6598" s="1"/>
      <c r="F6598" s="1"/>
      <c r="G6598" s="1"/>
      <c r="H6598" s="1"/>
      <c r="I6598" s="1"/>
      <c r="J6598" s="1"/>
      <c r="K6598" s="106" t="s">
        <v>1949</v>
      </c>
      <c r="L6598" s="102" t="str">
        <f>O991</f>
        <v>J2a1a1b2a1b1b3a~</v>
      </c>
      <c r="M6598" s="102"/>
      <c r="N6598" s="108" t="s">
        <v>10236</v>
      </c>
      <c r="O6598" s="108">
        <v>2.213369E7</v>
      </c>
      <c r="P6598" s="106">
        <v>1.9971804E7</v>
      </c>
      <c r="Q6598" s="106" t="s">
        <v>2446</v>
      </c>
      <c r="S6598" s="1"/>
      <c r="T6598" s="1"/>
      <c r="U6598" s="1"/>
      <c r="V6598" s="1"/>
      <c r="W6598" s="1"/>
      <c r="X6598" s="1"/>
      <c r="Y6598" s="1"/>
      <c r="AA6598" s="102"/>
      <c r="AB6598" s="1"/>
      <c r="AC6598" s="1"/>
      <c r="AD6598" s="1"/>
      <c r="AE6598" s="1"/>
      <c r="AF6598" s="1"/>
      <c r="AG6598" s="1"/>
    </row>
    <row r="6599" ht="15.75" customHeight="1">
      <c r="A6599" s="1"/>
      <c r="B6599" s="1"/>
      <c r="C6599" s="1"/>
      <c r="D6599" s="1"/>
      <c r="E6599" s="1"/>
      <c r="F6599" s="1"/>
      <c r="G6599" s="1"/>
      <c r="H6599" s="1"/>
      <c r="I6599" s="1"/>
      <c r="J6599" s="1"/>
      <c r="K6599" s="106" t="s">
        <v>10237</v>
      </c>
      <c r="L6599" s="102" t="str">
        <f>P992</f>
        <v>J2a1a1b2a1b1b3a1~</v>
      </c>
      <c r="M6599" s="106" t="s">
        <v>10238</v>
      </c>
      <c r="N6599" s="108" t="s">
        <v>10239</v>
      </c>
      <c r="O6599" s="108">
        <v>2.1492262E7</v>
      </c>
      <c r="P6599" s="106">
        <v>1.9330376E7</v>
      </c>
      <c r="Q6599" s="106" t="s">
        <v>2468</v>
      </c>
      <c r="S6599" s="1"/>
      <c r="T6599" s="1"/>
      <c r="U6599" s="1"/>
      <c r="V6599" s="1"/>
      <c r="W6599" s="1"/>
      <c r="X6599" s="1"/>
      <c r="Y6599" s="1"/>
      <c r="AA6599" s="102"/>
      <c r="AB6599" s="1"/>
      <c r="AC6599" s="1"/>
      <c r="AD6599" s="1"/>
      <c r="AE6599" s="1"/>
      <c r="AF6599" s="1"/>
      <c r="AG6599" s="1"/>
    </row>
    <row r="6600" ht="15.75" customHeight="1">
      <c r="A6600" s="1"/>
      <c r="B6600" s="1"/>
      <c r="C6600" s="1"/>
      <c r="D6600" s="1"/>
      <c r="E6600" s="1"/>
      <c r="F6600" s="1"/>
      <c r="G6600" s="1"/>
      <c r="H6600" s="1"/>
      <c r="I6600" s="1"/>
      <c r="J6600" s="1"/>
      <c r="K6600" s="106" t="s">
        <v>10238</v>
      </c>
      <c r="L6600" s="102" t="str">
        <f t="shared" ref="L6600:L6601" si="177">P992</f>
        <v>J2a1a1b2a1b1b3a1~</v>
      </c>
      <c r="M6600" s="106" t="s">
        <v>10237</v>
      </c>
      <c r="N6600" s="108" t="s">
        <v>10239</v>
      </c>
      <c r="O6600" s="108">
        <v>2.1492262E7</v>
      </c>
      <c r="P6600" s="106">
        <v>1.9330376E7</v>
      </c>
      <c r="Q6600" s="106" t="s">
        <v>2468</v>
      </c>
      <c r="S6600" s="1"/>
      <c r="T6600" s="1"/>
      <c r="U6600" s="1"/>
      <c r="V6600" s="1"/>
      <c r="W6600" s="1"/>
      <c r="X6600" s="1"/>
      <c r="Y6600" s="1"/>
      <c r="AA6600" s="102"/>
      <c r="AB6600" s="1"/>
      <c r="AC6600" s="1"/>
      <c r="AD6600" s="1"/>
      <c r="AE6600" s="1"/>
      <c r="AF6600" s="1"/>
      <c r="AG6600" s="1"/>
    </row>
    <row r="6601" ht="15.75" customHeight="1">
      <c r="A6601" s="1"/>
      <c r="B6601" s="1"/>
      <c r="C6601" s="1"/>
      <c r="D6601" s="1"/>
      <c r="E6601" s="1"/>
      <c r="F6601" s="1"/>
      <c r="G6601" s="1"/>
      <c r="H6601" s="1"/>
      <c r="I6601" s="1"/>
      <c r="J6601" s="1"/>
      <c r="K6601" s="106" t="s">
        <v>10240</v>
      </c>
      <c r="L6601" s="102" t="str">
        <f t="shared" si="177"/>
        <v>J2a1a1b2a1b1b3a2~</v>
      </c>
      <c r="M6601" s="106" t="s">
        <v>10241</v>
      </c>
      <c r="N6601" s="108" t="s">
        <v>10242</v>
      </c>
      <c r="O6601" s="108">
        <v>1.9510167E7</v>
      </c>
      <c r="P6601" s="106">
        <v>1.7398287E7</v>
      </c>
      <c r="Q6601" s="106" t="s">
        <v>2468</v>
      </c>
      <c r="S6601" s="1"/>
      <c r="T6601" s="1"/>
      <c r="U6601" s="1"/>
      <c r="V6601" s="1"/>
      <c r="W6601" s="1"/>
      <c r="X6601" s="1"/>
      <c r="Y6601" s="1"/>
      <c r="AA6601" s="102"/>
      <c r="AB6601" s="1"/>
      <c r="AC6601" s="1"/>
      <c r="AD6601" s="1"/>
      <c r="AE6601" s="1"/>
      <c r="AF6601" s="1"/>
      <c r="AG6601" s="1"/>
    </row>
    <row r="6602" ht="15.75" customHeight="1">
      <c r="A6602" s="1"/>
      <c r="B6602" s="1"/>
      <c r="C6602" s="1"/>
      <c r="D6602" s="1"/>
      <c r="E6602" s="1"/>
      <c r="F6602" s="1"/>
      <c r="G6602" s="1"/>
      <c r="H6602" s="1"/>
      <c r="I6602" s="1"/>
      <c r="J6602" s="1"/>
      <c r="K6602" s="106" t="s">
        <v>10241</v>
      </c>
      <c r="L6602" s="102" t="str">
        <f>P993</f>
        <v>J2a1a1b2a1b1b3a2~</v>
      </c>
      <c r="M6602" s="106" t="s">
        <v>10240</v>
      </c>
      <c r="N6602" s="108" t="s">
        <v>10242</v>
      </c>
      <c r="O6602" s="108">
        <v>1.9510167E7</v>
      </c>
      <c r="P6602" s="106">
        <v>1.7398287E7</v>
      </c>
      <c r="Q6602" s="106" t="s">
        <v>2468</v>
      </c>
      <c r="S6602" s="1"/>
      <c r="T6602" s="1"/>
      <c r="U6602" s="1"/>
      <c r="V6602" s="1"/>
      <c r="W6602" s="1"/>
      <c r="X6602" s="1"/>
      <c r="Y6602" s="1"/>
      <c r="AA6602" s="102"/>
      <c r="AB6602" s="1"/>
      <c r="AC6602" s="1"/>
      <c r="AD6602" s="1"/>
      <c r="AE6602" s="1"/>
      <c r="AF6602" s="1"/>
      <c r="AG6602" s="1"/>
    </row>
    <row r="6603" ht="15.75" customHeight="1">
      <c r="A6603" s="1"/>
      <c r="B6603" s="1"/>
      <c r="C6603" s="1"/>
      <c r="D6603" s="1"/>
      <c r="E6603" s="1"/>
      <c r="F6603" s="1"/>
      <c r="G6603" s="1"/>
      <c r="H6603" s="1"/>
      <c r="I6603" s="1"/>
      <c r="J6603" s="1"/>
      <c r="K6603" s="106" t="s">
        <v>1955</v>
      </c>
      <c r="L6603" s="102" t="str">
        <f>Q994</f>
        <v>J2a1a1b2a1b1b3a2a~</v>
      </c>
      <c r="M6603" s="102"/>
      <c r="N6603" s="108" t="s">
        <v>10243</v>
      </c>
      <c r="O6603" s="108">
        <v>1.3837816E7</v>
      </c>
      <c r="P6603" s="109">
        <v>1.171711E7</v>
      </c>
      <c r="Q6603" s="106" t="s">
        <v>2439</v>
      </c>
      <c r="S6603" s="1"/>
      <c r="T6603" s="1"/>
      <c r="U6603" s="1"/>
      <c r="V6603" s="1"/>
      <c r="W6603" s="1"/>
      <c r="X6603" s="1"/>
      <c r="Y6603" s="1"/>
      <c r="AA6603" s="102"/>
      <c r="AB6603" s="1"/>
      <c r="AC6603" s="1"/>
      <c r="AD6603" s="1"/>
      <c r="AE6603" s="1"/>
      <c r="AF6603" s="1"/>
      <c r="AG6603" s="1"/>
    </row>
    <row r="6604" ht="15.75" customHeight="1">
      <c r="A6604" s="1"/>
      <c r="B6604" s="1"/>
      <c r="C6604" s="1"/>
      <c r="D6604" s="1"/>
      <c r="E6604" s="1"/>
      <c r="F6604" s="1"/>
      <c r="G6604" s="1"/>
      <c r="H6604" s="1"/>
      <c r="I6604" s="1"/>
      <c r="J6604" s="1"/>
      <c r="K6604" s="106" t="s">
        <v>1957</v>
      </c>
      <c r="L6604" s="102" t="str">
        <f>R995</f>
        <v>J2a1a1b2a1b1b3a2a1~</v>
      </c>
      <c r="M6604" s="102"/>
      <c r="N6604" s="108" t="s">
        <v>10244</v>
      </c>
      <c r="O6604" s="108">
        <v>1.3837652E7</v>
      </c>
      <c r="P6604" s="109">
        <v>1.1716946E7</v>
      </c>
      <c r="Q6604" s="106" t="s">
        <v>2576</v>
      </c>
      <c r="S6604" s="1"/>
      <c r="T6604" s="1"/>
      <c r="U6604" s="1"/>
      <c r="V6604" s="1"/>
      <c r="W6604" s="1"/>
      <c r="X6604" s="1"/>
      <c r="Y6604" s="1"/>
      <c r="AA6604" s="102"/>
      <c r="AB6604" s="1"/>
      <c r="AC6604" s="1"/>
      <c r="AD6604" s="1"/>
      <c r="AE6604" s="1"/>
      <c r="AF6604" s="1"/>
      <c r="AG6604" s="1"/>
    </row>
    <row r="6605" ht="15.75" customHeight="1">
      <c r="A6605" s="1"/>
      <c r="B6605" s="1"/>
      <c r="C6605" s="1"/>
      <c r="D6605" s="1"/>
      <c r="E6605" s="1"/>
      <c r="F6605" s="1"/>
      <c r="G6605" s="1"/>
      <c r="H6605" s="1"/>
      <c r="I6605" s="1"/>
      <c r="J6605" s="1"/>
      <c r="K6605" s="106" t="s">
        <v>1959</v>
      </c>
      <c r="L6605" s="102" t="str">
        <f>Q996</f>
        <v>J2a1a1b2a1b1b3a2b~</v>
      </c>
      <c r="M6605" s="102"/>
      <c r="N6605" s="108" t="s">
        <v>10245</v>
      </c>
      <c r="O6605" s="108">
        <v>1.5257687E7</v>
      </c>
      <c r="P6605" s="109">
        <v>1.3145771E7</v>
      </c>
      <c r="Q6605" s="106" t="s">
        <v>2439</v>
      </c>
      <c r="S6605" s="1"/>
      <c r="T6605" s="1"/>
      <c r="U6605" s="1"/>
      <c r="V6605" s="1"/>
      <c r="W6605" s="1"/>
      <c r="X6605" s="1"/>
      <c r="Y6605" s="1"/>
      <c r="AA6605" s="102"/>
      <c r="AB6605" s="1"/>
      <c r="AC6605" s="1"/>
      <c r="AD6605" s="1"/>
      <c r="AE6605" s="1"/>
      <c r="AF6605" s="1"/>
      <c r="AG6605" s="1"/>
    </row>
    <row r="6606" ht="15.75" customHeight="1">
      <c r="A6606" s="1"/>
      <c r="B6606" s="1"/>
      <c r="C6606" s="1"/>
      <c r="D6606" s="1"/>
      <c r="E6606" s="1"/>
      <c r="F6606" s="1"/>
      <c r="G6606" s="1"/>
      <c r="H6606" s="1"/>
      <c r="I6606" s="1"/>
      <c r="J6606" s="1"/>
      <c r="K6606" s="106" t="s">
        <v>10246</v>
      </c>
      <c r="L6606" s="102" t="str">
        <f>R997</f>
        <v>J2a1a1b2a1b1b3a2b1~</v>
      </c>
      <c r="M6606" s="106" t="s">
        <v>10247</v>
      </c>
      <c r="N6606" s="108" t="s">
        <v>10248</v>
      </c>
      <c r="O6606" s="108">
        <v>8526880.0</v>
      </c>
      <c r="P6606" s="109">
        <v>8658839.0</v>
      </c>
      <c r="Q6606" s="106" t="s">
        <v>2501</v>
      </c>
      <c r="S6606" s="1"/>
      <c r="T6606" s="1"/>
      <c r="U6606" s="1"/>
      <c r="V6606" s="1"/>
      <c r="W6606" s="1"/>
      <c r="X6606" s="1"/>
      <c r="Y6606" s="1"/>
      <c r="AA6606" s="102"/>
      <c r="AB6606" s="1"/>
      <c r="AC6606" s="1"/>
      <c r="AD6606" s="1"/>
      <c r="AE6606" s="1"/>
      <c r="AF6606" s="1"/>
      <c r="AG6606" s="1"/>
    </row>
    <row r="6607" ht="15.75" customHeight="1">
      <c r="A6607" s="1"/>
      <c r="B6607" s="1"/>
      <c r="C6607" s="1"/>
      <c r="D6607" s="1"/>
      <c r="E6607" s="1"/>
      <c r="F6607" s="1"/>
      <c r="G6607" s="1"/>
      <c r="H6607" s="1"/>
      <c r="I6607" s="1"/>
      <c r="J6607" s="1"/>
      <c r="K6607" s="106" t="s">
        <v>10247</v>
      </c>
      <c r="L6607" s="102" t="str">
        <f>R997</f>
        <v>J2a1a1b2a1b1b3a2b1~</v>
      </c>
      <c r="M6607" s="106" t="s">
        <v>10246</v>
      </c>
      <c r="N6607" s="108" t="s">
        <v>10248</v>
      </c>
      <c r="O6607" s="108">
        <v>8526880.0</v>
      </c>
      <c r="P6607" s="109">
        <v>8658839.0</v>
      </c>
      <c r="Q6607" s="106" t="s">
        <v>2501</v>
      </c>
      <c r="S6607" s="1"/>
      <c r="T6607" s="1"/>
      <c r="U6607" s="1"/>
      <c r="V6607" s="1"/>
      <c r="W6607" s="1"/>
      <c r="X6607" s="1"/>
      <c r="Y6607" s="1"/>
      <c r="AA6607" s="102"/>
      <c r="AB6607" s="1"/>
      <c r="AC6607" s="1"/>
      <c r="AD6607" s="1"/>
      <c r="AE6607" s="1"/>
      <c r="AF6607" s="1"/>
      <c r="AG6607" s="1"/>
    </row>
    <row r="6608" ht="15.75" customHeight="1">
      <c r="A6608" s="1"/>
      <c r="B6608" s="1"/>
      <c r="C6608" s="1"/>
      <c r="D6608" s="1"/>
      <c r="E6608" s="1"/>
      <c r="F6608" s="1"/>
      <c r="G6608" s="1"/>
      <c r="H6608" s="1"/>
      <c r="I6608" s="1"/>
      <c r="J6608" s="1"/>
      <c r="K6608" s="106" t="s">
        <v>1963</v>
      </c>
      <c r="L6608" s="102" t="str">
        <f>S998</f>
        <v>J2a1a1b2a1b1b3a2b1a~</v>
      </c>
      <c r="M6608" s="102"/>
      <c r="O6608" s="108">
        <v>2.1081433E7</v>
      </c>
      <c r="P6608" s="109">
        <v>1.8919547E7</v>
      </c>
      <c r="Q6608" s="106" t="s">
        <v>2529</v>
      </c>
      <c r="S6608" s="1"/>
      <c r="T6608" s="1"/>
      <c r="U6608" s="1"/>
      <c r="V6608" s="1"/>
      <c r="W6608" s="1"/>
      <c r="X6608" s="1"/>
      <c r="Y6608" s="1"/>
      <c r="AA6608" s="102"/>
      <c r="AB6608" s="1"/>
      <c r="AC6608" s="1"/>
      <c r="AD6608" s="1"/>
      <c r="AE6608" s="1"/>
      <c r="AF6608" s="1"/>
      <c r="AG6608" s="1"/>
    </row>
    <row r="6609" ht="15.75" customHeight="1">
      <c r="A6609" s="1"/>
      <c r="B6609" s="1"/>
      <c r="C6609" s="1"/>
      <c r="D6609" s="1"/>
      <c r="E6609" s="1"/>
      <c r="F6609" s="1"/>
      <c r="G6609" s="1"/>
      <c r="H6609" s="1"/>
      <c r="I6609" s="1"/>
      <c r="J6609" s="1"/>
      <c r="K6609" s="106" t="s">
        <v>1965</v>
      </c>
      <c r="L6609" s="102" t="str">
        <f>T999</f>
        <v>J2a1a1b2a1b1b3a2b1a1~</v>
      </c>
      <c r="M6609" s="102"/>
      <c r="O6609" s="108">
        <v>2.3186513E7</v>
      </c>
      <c r="P6609" s="109">
        <v>2.1024627E7</v>
      </c>
      <c r="Q6609" s="106" t="s">
        <v>2501</v>
      </c>
      <c r="S6609" s="1"/>
      <c r="T6609" s="1"/>
      <c r="U6609" s="1"/>
      <c r="V6609" s="1"/>
      <c r="W6609" s="1"/>
      <c r="X6609" s="1"/>
      <c r="Y6609" s="1"/>
      <c r="AA6609" s="102"/>
      <c r="AB6609" s="1"/>
      <c r="AC6609" s="1"/>
      <c r="AD6609" s="1"/>
      <c r="AE6609" s="1"/>
      <c r="AF6609" s="1"/>
      <c r="AG6609" s="1"/>
    </row>
    <row r="6610" ht="15.75" customHeight="1">
      <c r="A6610" s="1"/>
      <c r="B6610" s="1"/>
      <c r="C6610" s="1"/>
      <c r="D6610" s="1"/>
      <c r="E6610" s="1"/>
      <c r="F6610" s="1"/>
      <c r="G6610" s="1"/>
      <c r="H6610" s="1"/>
      <c r="I6610" s="1"/>
      <c r="J6610" s="1"/>
      <c r="K6610" s="106" t="s">
        <v>1967</v>
      </c>
      <c r="L6610" s="102" t="str">
        <f>L1000</f>
        <v>J2a1a1b2a1b2~</v>
      </c>
      <c r="M6610" s="102"/>
      <c r="N6610" s="108" t="s">
        <v>10249</v>
      </c>
      <c r="O6610" s="108">
        <v>1.3211538E7</v>
      </c>
      <c r="P6610" s="109">
        <v>1.1055862E7</v>
      </c>
      <c r="Q6610" s="106" t="s">
        <v>2439</v>
      </c>
      <c r="S6610" s="1"/>
      <c r="T6610" s="1"/>
      <c r="U6610" s="1"/>
      <c r="V6610" s="1"/>
      <c r="W6610" s="1"/>
      <c r="X6610" s="1"/>
      <c r="Y6610" s="1"/>
      <c r="AA6610" s="102"/>
      <c r="AB6610" s="1"/>
      <c r="AC6610" s="1"/>
      <c r="AD6610" s="1"/>
      <c r="AE6610" s="1"/>
      <c r="AF6610" s="1"/>
      <c r="AG6610" s="1"/>
    </row>
    <row r="6611" ht="15.75" customHeight="1">
      <c r="A6611" s="1"/>
      <c r="B6611" s="1"/>
      <c r="C6611" s="1"/>
      <c r="D6611" s="1"/>
      <c r="E6611" s="1"/>
      <c r="F6611" s="1"/>
      <c r="G6611" s="1"/>
      <c r="H6611" s="1"/>
      <c r="I6611" s="1"/>
      <c r="J6611" s="1"/>
      <c r="K6611" s="106" t="s">
        <v>1969</v>
      </c>
      <c r="L6611" s="102" t="str">
        <f>M1001</f>
        <v>J2a1a1b2a1b2a~</v>
      </c>
      <c r="M6611" s="102"/>
      <c r="N6611" s="108" t="s">
        <v>10250</v>
      </c>
      <c r="O6611" s="108">
        <v>1.7919324E7</v>
      </c>
      <c r="P6611" s="109">
        <v>1.5807444E7</v>
      </c>
      <c r="Q6611" s="106" t="s">
        <v>2468</v>
      </c>
      <c r="S6611" s="1"/>
      <c r="T6611" s="1"/>
      <c r="U6611" s="1"/>
      <c r="V6611" s="1"/>
      <c r="W6611" s="1"/>
      <c r="X6611" s="1"/>
      <c r="Y6611" s="1"/>
      <c r="AA6611" s="102"/>
      <c r="AB6611" s="1"/>
      <c r="AC6611" s="1"/>
      <c r="AD6611" s="1"/>
      <c r="AE6611" s="1"/>
      <c r="AF6611" s="1"/>
      <c r="AG6611" s="1"/>
    </row>
    <row r="6612" ht="15.75" customHeight="1">
      <c r="A6612" s="1"/>
      <c r="B6612" s="1"/>
      <c r="C6612" s="1"/>
      <c r="D6612" s="1"/>
      <c r="E6612" s="1"/>
      <c r="F6612" s="1"/>
      <c r="G6612" s="1"/>
      <c r="H6612" s="1"/>
      <c r="I6612" s="1"/>
      <c r="J6612" s="1"/>
      <c r="K6612" s="106" t="s">
        <v>1971</v>
      </c>
      <c r="L6612" s="102" t="str">
        <f>N1002</f>
        <v>J2a1a1b2a1b2a1~</v>
      </c>
      <c r="M6612" s="102"/>
      <c r="N6612" s="108" t="s">
        <v>10251</v>
      </c>
      <c r="O6612" s="108">
        <v>1.5175147E7</v>
      </c>
      <c r="P6612" s="109">
        <v>1.3063233E7</v>
      </c>
      <c r="Q6612" s="106" t="s">
        <v>2468</v>
      </c>
      <c r="S6612" s="1"/>
      <c r="T6612" s="1"/>
      <c r="U6612" s="1"/>
      <c r="V6612" s="1"/>
      <c r="W6612" s="1"/>
      <c r="X6612" s="1"/>
      <c r="Y6612" s="1"/>
      <c r="AA6612" s="102"/>
      <c r="AB6612" s="1"/>
      <c r="AC6612" s="1"/>
      <c r="AD6612" s="1"/>
      <c r="AE6612" s="1"/>
      <c r="AF6612" s="1"/>
      <c r="AG6612" s="1"/>
    </row>
    <row r="6613" ht="15.75" customHeight="1">
      <c r="A6613" s="1"/>
      <c r="B6613" s="1"/>
      <c r="C6613" s="1"/>
      <c r="D6613" s="1"/>
      <c r="E6613" s="1"/>
      <c r="F6613" s="1"/>
      <c r="G6613" s="1"/>
      <c r="H6613" s="1"/>
      <c r="I6613" s="1"/>
      <c r="J6613" s="1"/>
      <c r="K6613" s="106" t="s">
        <v>1973</v>
      </c>
      <c r="L6613" s="102" t="str">
        <f>M1003</f>
        <v>J2a1a1b2a1b2b~</v>
      </c>
      <c r="M6613" s="102"/>
      <c r="N6613" s="108" t="s">
        <v>10252</v>
      </c>
      <c r="O6613" s="108">
        <v>4113819.0</v>
      </c>
      <c r="P6613" s="109">
        <v>4245778.0</v>
      </c>
      <c r="Q6613" s="106" t="s">
        <v>2563</v>
      </c>
      <c r="S6613" s="1"/>
      <c r="T6613" s="1"/>
      <c r="U6613" s="1"/>
      <c r="V6613" s="1"/>
      <c r="W6613" s="1"/>
      <c r="X6613" s="1"/>
      <c r="Y6613" s="1"/>
      <c r="AA6613" s="102"/>
      <c r="AB6613" s="1"/>
      <c r="AC6613" s="1"/>
      <c r="AD6613" s="1"/>
      <c r="AE6613" s="1"/>
      <c r="AF6613" s="1"/>
      <c r="AG6613" s="1"/>
    </row>
    <row r="6614" ht="15.75" customHeight="1">
      <c r="A6614" s="1"/>
      <c r="B6614" s="1"/>
      <c r="C6614" s="1"/>
      <c r="D6614" s="1"/>
      <c r="E6614" s="1"/>
      <c r="F6614" s="1"/>
      <c r="G6614" s="1"/>
      <c r="H6614" s="1"/>
      <c r="I6614" s="1"/>
      <c r="J6614" s="1"/>
      <c r="K6614" s="106" t="s">
        <v>1975</v>
      </c>
      <c r="L6614" s="102" t="str">
        <f>N1004</f>
        <v>J2a1a1b2a1b2b1~</v>
      </c>
      <c r="M6614" s="102"/>
      <c r="N6614" s="108" t="s">
        <v>10253</v>
      </c>
      <c r="O6614" s="108">
        <v>1.7870202E7</v>
      </c>
      <c r="P6614" s="109">
        <v>1.5758322E7</v>
      </c>
      <c r="Q6614" s="106" t="s">
        <v>2439</v>
      </c>
      <c r="S6614" s="1"/>
      <c r="T6614" s="1"/>
      <c r="U6614" s="1"/>
      <c r="V6614" s="1"/>
      <c r="W6614" s="1"/>
      <c r="X6614" s="1"/>
      <c r="Y6614" s="1"/>
      <c r="AA6614" s="102"/>
      <c r="AB6614" s="1"/>
      <c r="AC6614" s="1"/>
      <c r="AD6614" s="1"/>
      <c r="AE6614" s="1"/>
      <c r="AF6614" s="1"/>
      <c r="AG6614" s="1"/>
    </row>
    <row r="6615" ht="15.75" customHeight="1">
      <c r="A6615" s="1"/>
      <c r="B6615" s="1"/>
      <c r="C6615" s="1"/>
      <c r="D6615" s="1"/>
      <c r="E6615" s="1"/>
      <c r="F6615" s="1"/>
      <c r="G6615" s="1"/>
      <c r="H6615" s="1"/>
      <c r="I6615" s="1"/>
      <c r="J6615" s="1"/>
      <c r="K6615" s="106" t="s">
        <v>1977</v>
      </c>
      <c r="L6615" s="102" t="str">
        <f t="shared" ref="L6615:L6617" si="178">O1005</f>
        <v>J2a1a1b2a1b2b1a~</v>
      </c>
      <c r="M6615" s="102"/>
      <c r="O6615" s="108">
        <v>7179942.0</v>
      </c>
      <c r="P6615" s="109">
        <v>7311901.0</v>
      </c>
      <c r="Q6615" s="106" t="s">
        <v>2529</v>
      </c>
      <c r="S6615" s="1"/>
      <c r="T6615" s="1"/>
      <c r="U6615" s="1"/>
      <c r="V6615" s="1"/>
      <c r="W6615" s="1"/>
      <c r="X6615" s="1"/>
      <c r="Y6615" s="1"/>
      <c r="AA6615" s="102"/>
      <c r="AB6615" s="1"/>
      <c r="AC6615" s="1"/>
      <c r="AD6615" s="1"/>
      <c r="AE6615" s="1"/>
      <c r="AF6615" s="1"/>
      <c r="AG6615" s="1"/>
    </row>
    <row r="6616" ht="15.75" customHeight="1">
      <c r="A6616" s="1"/>
      <c r="B6616" s="1"/>
      <c r="C6616" s="1"/>
      <c r="D6616" s="1"/>
      <c r="E6616" s="1"/>
      <c r="F6616" s="1"/>
      <c r="G6616" s="1"/>
      <c r="H6616" s="1"/>
      <c r="I6616" s="1"/>
      <c r="J6616" s="1"/>
      <c r="K6616" s="106" t="s">
        <v>1979</v>
      </c>
      <c r="L6616" s="102" t="str">
        <f t="shared" si="178"/>
        <v>J2a1a1b2a1b2b1b~</v>
      </c>
      <c r="M6616" s="102"/>
      <c r="O6616" s="108">
        <v>8150892.0</v>
      </c>
      <c r="P6616" s="109">
        <v>8282851.0</v>
      </c>
      <c r="Q6616" s="106" t="s">
        <v>2576</v>
      </c>
      <c r="S6616" s="1"/>
      <c r="T6616" s="1"/>
      <c r="U6616" s="1"/>
      <c r="V6616" s="1"/>
      <c r="W6616" s="1"/>
      <c r="X6616" s="1"/>
      <c r="Y6616" s="1"/>
      <c r="AA6616" s="102"/>
      <c r="AB6616" s="1"/>
      <c r="AC6616" s="1"/>
      <c r="AD6616" s="1"/>
      <c r="AE6616" s="1"/>
      <c r="AF6616" s="1"/>
      <c r="AG6616" s="1"/>
    </row>
    <row r="6617" ht="15.75" customHeight="1">
      <c r="A6617" s="1"/>
      <c r="B6617" s="1"/>
      <c r="C6617" s="1"/>
      <c r="D6617" s="1"/>
      <c r="E6617" s="1"/>
      <c r="F6617" s="1"/>
      <c r="G6617" s="1"/>
      <c r="H6617" s="1"/>
      <c r="I6617" s="1"/>
      <c r="J6617" s="1"/>
      <c r="K6617" s="106" t="s">
        <v>1981</v>
      </c>
      <c r="L6617" s="102" t="str">
        <f t="shared" si="178"/>
        <v>J2a1a1b2a1b2b1c~</v>
      </c>
      <c r="M6617" s="102"/>
      <c r="N6617" s="108" t="s">
        <v>10254</v>
      </c>
      <c r="O6617" s="108">
        <v>1.9021464E7</v>
      </c>
      <c r="P6617" s="109">
        <v>1.6909584E7</v>
      </c>
      <c r="Q6617" s="106" t="s">
        <v>2501</v>
      </c>
      <c r="S6617" s="1"/>
      <c r="T6617" s="1"/>
      <c r="U6617" s="1"/>
      <c r="V6617" s="1"/>
      <c r="W6617" s="1"/>
      <c r="X6617" s="1"/>
      <c r="Y6617" s="1"/>
      <c r="AA6617" s="102"/>
      <c r="AB6617" s="1"/>
      <c r="AC6617" s="1"/>
      <c r="AD6617" s="1"/>
      <c r="AE6617" s="1"/>
      <c r="AF6617" s="1"/>
      <c r="AG6617" s="1"/>
    </row>
    <row r="6618" ht="15.75" customHeight="1">
      <c r="A6618" s="1"/>
      <c r="B6618" s="1"/>
      <c r="C6618" s="1"/>
      <c r="D6618" s="1"/>
      <c r="E6618" s="1"/>
      <c r="F6618" s="1"/>
      <c r="G6618" s="1"/>
      <c r="H6618" s="1"/>
      <c r="I6618" s="1"/>
      <c r="J6618" s="1"/>
      <c r="K6618" s="106" t="s">
        <v>1983</v>
      </c>
      <c r="L6618" s="102" t="str">
        <f t="shared" ref="L6618:L6619" si="179">P1008</f>
        <v>J2a1a1b2a1b2b1c1~</v>
      </c>
      <c r="M6618" s="102"/>
      <c r="O6618" s="108">
        <v>2.2167161E7</v>
      </c>
      <c r="P6618" s="109">
        <v>2.0005275E7</v>
      </c>
      <c r="Q6618" s="106" t="s">
        <v>2432</v>
      </c>
      <c r="S6618" s="1"/>
      <c r="T6618" s="1"/>
      <c r="U6618" s="1"/>
      <c r="V6618" s="1"/>
      <c r="W6618" s="1"/>
      <c r="X6618" s="1"/>
      <c r="Y6618" s="1"/>
      <c r="AA6618" s="102"/>
      <c r="AB6618" s="1"/>
      <c r="AC6618" s="1"/>
      <c r="AD6618" s="1"/>
      <c r="AE6618" s="1"/>
      <c r="AF6618" s="1"/>
      <c r="AG6618" s="1"/>
    </row>
    <row r="6619" ht="15.75" customHeight="1">
      <c r="A6619" s="1"/>
      <c r="B6619" s="1"/>
      <c r="C6619" s="1"/>
      <c r="D6619" s="1"/>
      <c r="E6619" s="1"/>
      <c r="F6619" s="1"/>
      <c r="G6619" s="1"/>
      <c r="H6619" s="1"/>
      <c r="I6619" s="1"/>
      <c r="J6619" s="1"/>
      <c r="K6619" s="106" t="s">
        <v>1985</v>
      </c>
      <c r="L6619" s="102" t="str">
        <f t="shared" si="179"/>
        <v>J2a1a1b2a1b2b1c2~</v>
      </c>
      <c r="M6619" s="102"/>
      <c r="O6619" s="108">
        <v>2.3067629E7</v>
      </c>
      <c r="P6619" s="109">
        <v>2.0905743E7</v>
      </c>
      <c r="Q6619" s="106" t="s">
        <v>2439</v>
      </c>
      <c r="S6619" s="1"/>
      <c r="T6619" s="1"/>
      <c r="U6619" s="1"/>
      <c r="V6619" s="1"/>
      <c r="W6619" s="1"/>
      <c r="X6619" s="1"/>
      <c r="Y6619" s="1"/>
      <c r="AA6619" s="102"/>
      <c r="AB6619" s="1"/>
      <c r="AC6619" s="1"/>
      <c r="AD6619" s="1"/>
      <c r="AE6619" s="1"/>
      <c r="AF6619" s="1"/>
      <c r="AG6619" s="1"/>
    </row>
    <row r="6620" ht="15.75" customHeight="1">
      <c r="A6620" s="1"/>
      <c r="B6620" s="1"/>
      <c r="C6620" s="1"/>
      <c r="D6620" s="1"/>
      <c r="E6620" s="1"/>
      <c r="F6620" s="1"/>
      <c r="G6620" s="1"/>
      <c r="H6620" s="1"/>
      <c r="I6620" s="1"/>
      <c r="J6620" s="1"/>
      <c r="K6620" s="106" t="s">
        <v>1987</v>
      </c>
      <c r="L6620" s="106" t="str">
        <f t="shared" ref="L6620:L6622" si="180">Q1010</f>
        <v>J2a1a1b2a1b2b1c2a~</v>
      </c>
      <c r="M6620" s="102"/>
      <c r="O6620" s="108">
        <v>1.5733475E7</v>
      </c>
      <c r="P6620" s="109">
        <v>1.3621595E7</v>
      </c>
      <c r="Q6620" s="106" t="s">
        <v>2501</v>
      </c>
      <c r="S6620" s="1"/>
      <c r="T6620" s="1"/>
      <c r="U6620" s="1"/>
      <c r="V6620" s="1"/>
      <c r="W6620" s="1"/>
      <c r="X6620" s="1"/>
      <c r="Y6620" s="1"/>
      <c r="AA6620" s="102"/>
      <c r="AB6620" s="1"/>
      <c r="AC6620" s="1"/>
      <c r="AD6620" s="1"/>
      <c r="AE6620" s="1"/>
      <c r="AF6620" s="1"/>
      <c r="AG6620" s="1"/>
    </row>
    <row r="6621" ht="15.75" customHeight="1">
      <c r="A6621" s="1"/>
      <c r="B6621" s="1"/>
      <c r="C6621" s="1"/>
      <c r="D6621" s="1"/>
      <c r="E6621" s="1"/>
      <c r="F6621" s="1"/>
      <c r="G6621" s="1"/>
      <c r="H6621" s="1"/>
      <c r="I6621" s="1"/>
      <c r="J6621" s="1"/>
      <c r="K6621" s="106" t="s">
        <v>1989</v>
      </c>
      <c r="L6621" s="102" t="str">
        <f t="shared" si="180"/>
        <v>J2a1a1b2a1b2b1c2b~</v>
      </c>
      <c r="M6621" s="102"/>
      <c r="O6621" s="108">
        <v>1.8386948E7</v>
      </c>
      <c r="P6621" s="109">
        <v>1.6275068E7</v>
      </c>
      <c r="Q6621" s="106" t="s">
        <v>2446</v>
      </c>
      <c r="S6621" s="1"/>
      <c r="T6621" s="1"/>
      <c r="U6621" s="1"/>
      <c r="V6621" s="1"/>
      <c r="W6621" s="1"/>
      <c r="X6621" s="1"/>
      <c r="Y6621" s="1"/>
      <c r="AA6621" s="102"/>
      <c r="AB6621" s="1"/>
      <c r="AC6621" s="1"/>
      <c r="AD6621" s="1"/>
      <c r="AE6621" s="1"/>
      <c r="AF6621" s="1"/>
      <c r="AG6621" s="1"/>
    </row>
    <row r="6622" ht="15.75" customHeight="1">
      <c r="A6622" s="1"/>
      <c r="B6622" s="1"/>
      <c r="C6622" s="1"/>
      <c r="D6622" s="1"/>
      <c r="E6622" s="1"/>
      <c r="F6622" s="1"/>
      <c r="G6622" s="1"/>
      <c r="H6622" s="1"/>
      <c r="I6622" s="1"/>
      <c r="J6622" s="1"/>
      <c r="K6622" s="106" t="s">
        <v>1991</v>
      </c>
      <c r="L6622" s="102" t="str">
        <f t="shared" si="180"/>
        <v>J2a1a1b2a1b2b1c2c~</v>
      </c>
      <c r="M6622" s="102"/>
      <c r="O6622" s="108">
        <v>8233388.0</v>
      </c>
      <c r="P6622" s="109">
        <v>8365347.0</v>
      </c>
      <c r="Q6622" s="106" t="s">
        <v>2533</v>
      </c>
      <c r="S6622" s="1"/>
      <c r="T6622" s="1"/>
      <c r="U6622" s="1"/>
      <c r="V6622" s="1"/>
      <c r="W6622" s="1"/>
      <c r="X6622" s="1"/>
      <c r="Y6622" s="1"/>
      <c r="AA6622" s="102"/>
      <c r="AB6622" s="1"/>
      <c r="AC6622" s="1"/>
      <c r="AD6622" s="1"/>
      <c r="AE6622" s="1"/>
      <c r="AF6622" s="1"/>
      <c r="AG6622" s="1"/>
    </row>
    <row r="6623" ht="15.75" customHeight="1">
      <c r="A6623" s="1"/>
      <c r="B6623" s="1"/>
      <c r="C6623" s="1"/>
      <c r="D6623" s="1"/>
      <c r="E6623" s="1"/>
      <c r="F6623" s="1"/>
      <c r="G6623" s="1"/>
      <c r="H6623" s="1"/>
      <c r="I6623" s="1"/>
      <c r="J6623" s="1"/>
      <c r="K6623" s="106" t="s">
        <v>1993</v>
      </c>
      <c r="L6623" s="102" t="str">
        <f t="shared" ref="L6623:L6624" si="181">R1013</f>
        <v>J2a1a1b2a1b2b1c2c1~</v>
      </c>
      <c r="M6623" s="102"/>
      <c r="O6623" s="108">
        <v>2.2937625E7</v>
      </c>
      <c r="P6623" s="109">
        <v>2.0775739E7</v>
      </c>
      <c r="Q6623" s="106" t="s">
        <v>2529</v>
      </c>
      <c r="S6623" s="1"/>
      <c r="T6623" s="1"/>
      <c r="U6623" s="1"/>
      <c r="V6623" s="1"/>
      <c r="W6623" s="1"/>
      <c r="X6623" s="1"/>
      <c r="Y6623" s="1"/>
      <c r="AA6623" s="102"/>
      <c r="AB6623" s="1"/>
      <c r="AC6623" s="1"/>
      <c r="AD6623" s="1"/>
      <c r="AE6623" s="1"/>
      <c r="AF6623" s="1"/>
      <c r="AG6623" s="1"/>
    </row>
    <row r="6624" ht="15.75" customHeight="1">
      <c r="A6624" s="1"/>
      <c r="B6624" s="1"/>
      <c r="C6624" s="1"/>
      <c r="D6624" s="1"/>
      <c r="E6624" s="1"/>
      <c r="F6624" s="1"/>
      <c r="G6624" s="1"/>
      <c r="H6624" s="1"/>
      <c r="I6624" s="1"/>
      <c r="J6624" s="1"/>
      <c r="K6624" s="106" t="s">
        <v>1995</v>
      </c>
      <c r="L6624" s="102" t="str">
        <f t="shared" si="181"/>
        <v>J2a1a1b2a1b2b1c2c2~</v>
      </c>
      <c r="M6624" s="102"/>
      <c r="O6624" s="108">
        <v>2.1754094E7</v>
      </c>
      <c r="P6624" s="109">
        <v>1.9592208E7</v>
      </c>
      <c r="Q6624" s="106" t="s">
        <v>2454</v>
      </c>
      <c r="S6624" s="1"/>
      <c r="T6624" s="1"/>
      <c r="U6624" s="1"/>
      <c r="V6624" s="1"/>
      <c r="W6624" s="1"/>
      <c r="X6624" s="1"/>
      <c r="Y6624" s="1"/>
      <c r="AA6624" s="102"/>
      <c r="AB6624" s="1"/>
      <c r="AC6624" s="1"/>
      <c r="AD6624" s="1"/>
      <c r="AE6624" s="1"/>
      <c r="AF6624" s="1"/>
      <c r="AG6624" s="1"/>
    </row>
    <row r="6625" ht="15.75" customHeight="1">
      <c r="A6625" s="1"/>
      <c r="B6625" s="1"/>
      <c r="C6625" s="1"/>
      <c r="D6625" s="1"/>
      <c r="E6625" s="1"/>
      <c r="F6625" s="1"/>
      <c r="G6625" s="1"/>
      <c r="H6625" s="1"/>
      <c r="I6625" s="1"/>
      <c r="J6625" s="1"/>
      <c r="K6625" s="42"/>
      <c r="M6625" s="42"/>
      <c r="N6625" s="1"/>
      <c r="O6625" s="114"/>
      <c r="P6625" s="105"/>
      <c r="Q6625" s="102"/>
      <c r="S6625" s="1"/>
      <c r="T6625" s="1"/>
      <c r="U6625" s="1"/>
      <c r="V6625" s="1"/>
      <c r="W6625" s="1"/>
      <c r="X6625" s="1"/>
      <c r="Y6625" s="1"/>
      <c r="AA6625" s="102"/>
      <c r="AB6625" s="1"/>
      <c r="AC6625" s="1"/>
      <c r="AD6625" s="1"/>
      <c r="AE6625" s="1"/>
      <c r="AF6625" s="1"/>
      <c r="AG6625" s="1"/>
    </row>
    <row r="6626" ht="15.75" customHeight="1">
      <c r="A6626" s="1"/>
      <c r="B6626" s="1"/>
      <c r="C6626" s="1"/>
      <c r="D6626" s="1"/>
      <c r="E6626" s="1"/>
      <c r="F6626" s="1"/>
      <c r="G6626" s="1"/>
      <c r="H6626" s="1"/>
      <c r="I6626" s="1"/>
      <c r="J6626" s="1"/>
      <c r="K6626" s="42"/>
      <c r="M6626" s="42"/>
      <c r="N6626" s="1"/>
      <c r="O6626" s="114"/>
      <c r="P6626" s="105"/>
      <c r="Q6626" s="102"/>
      <c r="S6626" s="1"/>
      <c r="T6626" s="1"/>
      <c r="U6626" s="1"/>
      <c r="V6626" s="1"/>
      <c r="W6626" s="1"/>
      <c r="X6626" s="1"/>
      <c r="Y6626" s="1"/>
      <c r="AA6626" s="102"/>
      <c r="AB6626" s="1"/>
      <c r="AC6626" s="1"/>
      <c r="AD6626" s="1"/>
      <c r="AE6626" s="1"/>
      <c r="AF6626" s="1"/>
      <c r="AG6626" s="1"/>
    </row>
    <row r="6627" ht="15.75" customHeight="1">
      <c r="A6627" s="1"/>
      <c r="B6627" s="1"/>
      <c r="C6627" s="1"/>
      <c r="D6627" s="1"/>
      <c r="E6627" s="1"/>
      <c r="F6627" s="1"/>
      <c r="G6627" s="1"/>
      <c r="H6627" s="1"/>
      <c r="I6627" s="1"/>
      <c r="J6627" s="1"/>
      <c r="K6627" s="42"/>
      <c r="M6627" s="42"/>
      <c r="N6627" s="1"/>
      <c r="O6627" s="114"/>
      <c r="P6627" s="105"/>
      <c r="Q6627" s="102"/>
      <c r="S6627" s="1"/>
      <c r="T6627" s="1"/>
      <c r="U6627" s="1"/>
      <c r="V6627" s="1"/>
      <c r="W6627" s="1"/>
      <c r="X6627" s="1"/>
      <c r="Y6627" s="1"/>
      <c r="AA6627" s="102"/>
      <c r="AB6627" s="1"/>
      <c r="AC6627" s="1"/>
      <c r="AD6627" s="1"/>
      <c r="AE6627" s="1"/>
      <c r="AF6627" s="1"/>
      <c r="AG6627" s="1"/>
    </row>
    <row r="6628" ht="15.75" customHeight="1">
      <c r="A6628" s="1"/>
      <c r="B6628" s="1"/>
      <c r="C6628" s="1"/>
      <c r="D6628" s="1"/>
      <c r="E6628" s="1"/>
      <c r="F6628" s="1"/>
      <c r="G6628" s="1"/>
      <c r="H6628" s="1"/>
      <c r="I6628" s="1"/>
      <c r="J6628" s="1"/>
      <c r="K6628" s="42"/>
      <c r="M6628" s="42"/>
      <c r="N6628" s="1"/>
      <c r="O6628" s="114"/>
      <c r="P6628" s="105"/>
      <c r="Q6628" s="102"/>
      <c r="S6628" s="1"/>
      <c r="T6628" s="1"/>
      <c r="U6628" s="1"/>
      <c r="V6628" s="1"/>
      <c r="W6628" s="1"/>
      <c r="X6628" s="1"/>
      <c r="Y6628" s="1"/>
      <c r="AA6628" s="102"/>
      <c r="AB6628" s="1"/>
      <c r="AC6628" s="1"/>
      <c r="AD6628" s="1"/>
      <c r="AE6628" s="1"/>
      <c r="AF6628" s="1"/>
      <c r="AG6628" s="1"/>
    </row>
    <row r="6629" ht="15.75" customHeight="1">
      <c r="A6629" s="1"/>
      <c r="B6629" s="1"/>
      <c r="C6629" s="1"/>
      <c r="D6629" s="1"/>
      <c r="E6629" s="1"/>
      <c r="F6629" s="1"/>
      <c r="G6629" s="1"/>
      <c r="H6629" s="1"/>
      <c r="I6629" s="1"/>
      <c r="J6629" s="1"/>
      <c r="K6629" s="42"/>
      <c r="M6629" s="42"/>
      <c r="N6629" s="1"/>
      <c r="O6629" s="114"/>
      <c r="P6629" s="105"/>
      <c r="Q6629" s="102"/>
      <c r="S6629" s="1"/>
      <c r="T6629" s="1"/>
      <c r="U6629" s="1"/>
      <c r="V6629" s="1"/>
      <c r="W6629" s="1"/>
      <c r="X6629" s="1"/>
      <c r="Y6629" s="1"/>
      <c r="AA6629" s="102"/>
      <c r="AB6629" s="1"/>
      <c r="AC6629" s="1"/>
      <c r="AD6629" s="1"/>
      <c r="AE6629" s="1"/>
      <c r="AF6629" s="1"/>
      <c r="AG6629" s="1"/>
    </row>
    <row r="6630" ht="15.75" customHeight="1">
      <c r="A6630" s="1"/>
      <c r="B6630" s="1"/>
      <c r="C6630" s="1"/>
      <c r="D6630" s="1"/>
      <c r="E6630" s="1"/>
      <c r="F6630" s="1"/>
      <c r="G6630" s="1"/>
      <c r="H6630" s="1"/>
      <c r="I6630" s="1"/>
      <c r="J6630" s="1"/>
      <c r="K6630" s="42"/>
      <c r="M6630" s="42"/>
      <c r="N6630" s="1"/>
      <c r="O6630" s="114"/>
      <c r="P6630" s="105"/>
      <c r="Q6630" s="102"/>
      <c r="S6630" s="1"/>
      <c r="T6630" s="1"/>
      <c r="U6630" s="1"/>
      <c r="V6630" s="1"/>
      <c r="W6630" s="1"/>
      <c r="X6630" s="1"/>
      <c r="Y6630" s="1"/>
      <c r="AA6630" s="102"/>
      <c r="AB6630" s="1"/>
      <c r="AC6630" s="1"/>
      <c r="AD6630" s="1"/>
      <c r="AE6630" s="1"/>
      <c r="AF6630" s="1"/>
      <c r="AG6630" s="1"/>
    </row>
    <row r="6631" ht="15.75" customHeight="1">
      <c r="A6631" s="1"/>
      <c r="B6631" s="1"/>
      <c r="C6631" s="1"/>
      <c r="D6631" s="1"/>
      <c r="E6631" s="1"/>
      <c r="F6631" s="1"/>
      <c r="G6631" s="1"/>
      <c r="H6631" s="1"/>
      <c r="I6631" s="1"/>
      <c r="J6631" s="1"/>
      <c r="K6631" s="42" t="s">
        <v>10255</v>
      </c>
      <c r="L6631" t="str">
        <f>K1015</f>
        <v>J2a1a1b2a1c~</v>
      </c>
      <c r="M6631" s="42" t="s">
        <v>10256</v>
      </c>
      <c r="N6631" s="1" t="s">
        <v>10257</v>
      </c>
      <c r="O6631" s="114">
        <v>1.4727442E7</v>
      </c>
      <c r="P6631" s="105">
        <v>1.261551E7</v>
      </c>
      <c r="Q6631" s="102" t="s">
        <v>2439</v>
      </c>
      <c r="S6631" s="1"/>
      <c r="T6631" s="1"/>
      <c r="U6631" s="1"/>
      <c r="V6631" s="1"/>
      <c r="W6631" s="1"/>
      <c r="X6631" s="1"/>
      <c r="Y6631" s="1"/>
      <c r="AA6631" s="102"/>
      <c r="AB6631" s="1"/>
      <c r="AC6631" s="1"/>
      <c r="AD6631" s="1"/>
      <c r="AE6631" s="1"/>
      <c r="AF6631" s="1"/>
      <c r="AG6631" s="1"/>
    </row>
    <row r="6632" ht="15.75" customHeight="1">
      <c r="A6632" s="1"/>
      <c r="B6632" s="1"/>
      <c r="C6632" s="1"/>
      <c r="D6632" s="1"/>
      <c r="E6632" s="1"/>
      <c r="F6632" s="1"/>
      <c r="G6632" s="1"/>
      <c r="H6632" s="1"/>
      <c r="I6632" s="1"/>
      <c r="J6632" s="1"/>
      <c r="K6632" s="102" t="s">
        <v>10256</v>
      </c>
      <c r="L6632" s="102" t="str">
        <f>K1015</f>
        <v>J2a1a1b2a1c~</v>
      </c>
      <c r="M6632" s="102" t="s">
        <v>10255</v>
      </c>
      <c r="N6632" s="1" t="s">
        <v>10257</v>
      </c>
      <c r="O6632" s="114">
        <v>1.4727442E7</v>
      </c>
      <c r="P6632" s="105">
        <v>1.261551E7</v>
      </c>
      <c r="Q6632" s="102" t="s">
        <v>2439</v>
      </c>
      <c r="S6632" s="1"/>
      <c r="T6632" s="1"/>
      <c r="U6632" s="1"/>
      <c r="V6632" s="1"/>
      <c r="W6632" s="1"/>
      <c r="X6632" s="1"/>
      <c r="Y6632" s="1"/>
      <c r="AA6632" s="102"/>
      <c r="AB6632" s="1"/>
      <c r="AC6632" s="1"/>
      <c r="AD6632" s="1"/>
      <c r="AE6632" s="1"/>
      <c r="AF6632" s="1"/>
      <c r="AG6632" s="1"/>
    </row>
    <row r="6633" ht="15.75" customHeight="1">
      <c r="A6633" s="1"/>
      <c r="B6633" s="1"/>
      <c r="C6633" s="1"/>
      <c r="D6633" s="1"/>
      <c r="E6633" s="1"/>
      <c r="F6633" s="1"/>
      <c r="G6633" s="1"/>
      <c r="H6633" s="1"/>
      <c r="I6633" s="1"/>
      <c r="J6633" s="1"/>
      <c r="K6633" t="s">
        <v>1999</v>
      </c>
      <c r="L6633" t="str">
        <f>L1016</f>
        <v>J2a1a1b2a1c1</v>
      </c>
      <c r="N6633" t="s">
        <v>10258</v>
      </c>
      <c r="O6633">
        <v>1.8077011E7</v>
      </c>
      <c r="P6633">
        <v>1.5965131E7</v>
      </c>
      <c r="Q6633" s="112" t="s">
        <v>2439</v>
      </c>
      <c r="S6633" s="1"/>
      <c r="T6633" s="1"/>
      <c r="U6633" s="1"/>
      <c r="V6633" s="1"/>
      <c r="W6633" s="1"/>
      <c r="X6633" s="1"/>
      <c r="Y6633" s="1"/>
      <c r="AA6633" s="102"/>
      <c r="AB6633" s="1"/>
      <c r="AC6633" s="1"/>
      <c r="AD6633" s="1"/>
      <c r="AE6633" s="1"/>
      <c r="AF6633" s="1"/>
      <c r="AG6633" s="1"/>
    </row>
    <row r="6634" ht="15.75" customHeight="1">
      <c r="A6634" s="1"/>
      <c r="B6634" s="1"/>
      <c r="C6634" s="1"/>
      <c r="D6634" s="1"/>
      <c r="E6634" s="1"/>
      <c r="F6634" s="1"/>
      <c r="G6634" s="1"/>
      <c r="H6634" s="1"/>
      <c r="I6634" s="1"/>
      <c r="J6634" s="1"/>
      <c r="K6634" s="124" t="s">
        <v>10259</v>
      </c>
      <c r="L6634" s="102" t="str">
        <f>M1017</f>
        <v>J2a1a1b2a1c1a~</v>
      </c>
      <c r="M6634" s="102" t="s">
        <v>10260</v>
      </c>
      <c r="N6634" s="1" t="s">
        <v>10261</v>
      </c>
      <c r="O6634" s="114">
        <v>1.5689689E7</v>
      </c>
      <c r="P6634" s="105">
        <v>1.3577809E7</v>
      </c>
      <c r="Q6634" s="102" t="s">
        <v>2446</v>
      </c>
      <c r="S6634" s="1"/>
      <c r="T6634" s="1"/>
      <c r="U6634" s="1"/>
      <c r="V6634" s="1"/>
      <c r="W6634" s="1"/>
      <c r="X6634" s="1"/>
      <c r="Y6634" s="1"/>
      <c r="AA6634" s="102"/>
      <c r="AB6634" s="1"/>
      <c r="AC6634" s="1"/>
      <c r="AD6634" s="1"/>
      <c r="AE6634" s="1"/>
      <c r="AF6634" s="1"/>
      <c r="AG6634" s="1"/>
    </row>
    <row r="6635" ht="15.75" customHeight="1">
      <c r="A6635" s="1"/>
      <c r="B6635" s="1"/>
      <c r="C6635" s="1"/>
      <c r="D6635" s="1"/>
      <c r="E6635" s="1"/>
      <c r="F6635" s="1"/>
      <c r="G6635" s="1"/>
      <c r="H6635" s="1"/>
      <c r="I6635" s="1"/>
      <c r="J6635" s="1"/>
      <c r="K6635" s="122" t="s">
        <v>10260</v>
      </c>
      <c r="L6635" s="102" t="str">
        <f>M1017</f>
        <v>J2a1a1b2a1c1a~</v>
      </c>
      <c r="M6635" s="106" t="s">
        <v>10259</v>
      </c>
      <c r="N6635" s="1" t="s">
        <v>10261</v>
      </c>
      <c r="O6635" s="114">
        <v>1.5689689E7</v>
      </c>
      <c r="P6635" s="105">
        <v>1.3577809E7</v>
      </c>
      <c r="Q6635" s="102" t="s">
        <v>2446</v>
      </c>
      <c r="S6635" s="1"/>
      <c r="T6635" s="1"/>
      <c r="U6635" s="1"/>
      <c r="V6635" s="1"/>
      <c r="W6635" s="1"/>
      <c r="X6635" s="1"/>
      <c r="Y6635" s="1"/>
      <c r="AA6635" s="102"/>
      <c r="AB6635" s="1"/>
      <c r="AC6635" s="1"/>
      <c r="AD6635" s="1"/>
      <c r="AE6635" s="1"/>
      <c r="AF6635" s="1"/>
      <c r="AG6635" s="1"/>
    </row>
    <row r="6636" ht="15.75" customHeight="1">
      <c r="A6636" s="1"/>
      <c r="B6636" s="1"/>
      <c r="C6636" s="1"/>
      <c r="D6636" s="1"/>
      <c r="E6636" s="1"/>
      <c r="F6636" s="1"/>
      <c r="G6636" s="1"/>
      <c r="H6636" s="1"/>
      <c r="I6636" s="1"/>
      <c r="J6636" s="1"/>
      <c r="K6636" s="124" t="s">
        <v>2003</v>
      </c>
      <c r="L6636" s="102" t="str">
        <f>N1018</f>
        <v>J2a1a1b2a1c1a1~</v>
      </c>
      <c r="M6636" s="102"/>
      <c r="N6636" s="1"/>
      <c r="O6636" s="114">
        <v>2.1117768E7</v>
      </c>
      <c r="P6636" s="105">
        <v>1.8955882E7</v>
      </c>
      <c r="Q6636" s="102" t="s">
        <v>2439</v>
      </c>
      <c r="S6636" s="1"/>
      <c r="T6636" s="1"/>
      <c r="U6636" s="1"/>
      <c r="V6636" s="1"/>
      <c r="W6636" s="1"/>
      <c r="X6636" s="1"/>
      <c r="Y6636" s="1"/>
      <c r="AA6636" s="102"/>
      <c r="AB6636" s="1"/>
      <c r="AC6636" s="1"/>
      <c r="AD6636" s="1"/>
      <c r="AE6636" s="1"/>
      <c r="AF6636" s="1"/>
      <c r="AG6636" s="1"/>
    </row>
    <row r="6637" ht="15.75" customHeight="1">
      <c r="A6637" s="1"/>
      <c r="B6637" s="1"/>
      <c r="C6637" s="1"/>
      <c r="D6637" s="1"/>
      <c r="E6637" s="1"/>
      <c r="F6637" s="1"/>
      <c r="G6637" s="1"/>
      <c r="H6637" s="1"/>
      <c r="I6637" s="1"/>
      <c r="J6637" s="1"/>
      <c r="K6637" s="124" t="s">
        <v>2005</v>
      </c>
      <c r="L6637" s="102" t="str">
        <f>O1019</f>
        <v>J2a1a1b2a1c1a1a~</v>
      </c>
      <c r="M6637" s="102"/>
      <c r="N6637" s="1" t="s">
        <v>10262</v>
      </c>
      <c r="O6637" s="114">
        <v>6932776.0</v>
      </c>
      <c r="P6637" s="105">
        <v>7064735.0</v>
      </c>
      <c r="Q6637" s="102" t="s">
        <v>2576</v>
      </c>
      <c r="S6637" s="1"/>
      <c r="T6637" s="1"/>
      <c r="U6637" s="1"/>
      <c r="V6637" s="1"/>
      <c r="W6637" s="1"/>
      <c r="X6637" s="1"/>
      <c r="Y6637" s="1"/>
      <c r="AA6637" s="102"/>
      <c r="AB6637" s="1"/>
      <c r="AC6637" s="1"/>
      <c r="AD6637" s="1"/>
      <c r="AE6637" s="1"/>
      <c r="AF6637" s="1"/>
      <c r="AG6637" s="1"/>
    </row>
    <row r="6638" ht="15.75" customHeight="1">
      <c r="A6638" s="1"/>
      <c r="B6638" s="1"/>
      <c r="C6638" s="1"/>
      <c r="D6638" s="1"/>
      <c r="E6638" s="1"/>
      <c r="F6638" s="1"/>
      <c r="G6638" s="1"/>
      <c r="H6638" s="1"/>
      <c r="I6638" s="1"/>
      <c r="J6638" s="1"/>
      <c r="K6638" s="102" t="s">
        <v>2007</v>
      </c>
      <c r="L6638" s="102" t="str">
        <f>L1020</f>
        <v>J2a1a1b2a1c2~</v>
      </c>
      <c r="M6638" s="102"/>
      <c r="N6638" s="1"/>
      <c r="O6638" s="114">
        <v>1.4348231E7</v>
      </c>
      <c r="P6638" s="105">
        <v>1.2227526E7</v>
      </c>
      <c r="Q6638" s="102" t="s">
        <v>2439</v>
      </c>
      <c r="S6638" s="1"/>
      <c r="T6638" s="1"/>
      <c r="U6638" s="1"/>
      <c r="V6638" s="1"/>
      <c r="W6638" s="1"/>
      <c r="X6638" s="1"/>
      <c r="Y6638" s="1"/>
      <c r="AA6638" s="102"/>
      <c r="AB6638" s="1"/>
      <c r="AC6638" s="1"/>
      <c r="AD6638" s="1"/>
      <c r="AE6638" s="1"/>
      <c r="AF6638" s="1"/>
      <c r="AG6638" s="1"/>
    </row>
    <row r="6639" ht="15.75" customHeight="1">
      <c r="A6639" s="1"/>
      <c r="B6639" s="1"/>
      <c r="C6639" s="1"/>
      <c r="D6639" s="1"/>
      <c r="E6639" s="1"/>
      <c r="F6639" s="1"/>
      <c r="G6639" s="1"/>
      <c r="H6639" s="1"/>
      <c r="I6639" s="1"/>
      <c r="J6639" s="1"/>
      <c r="K6639" t="s">
        <v>2009</v>
      </c>
      <c r="L6639" t="str">
        <f t="shared" ref="L6639:L6642" si="182">M1021</f>
        <v>J2a1a1b2a1c2a</v>
      </c>
      <c r="N6639" t="s">
        <v>10263</v>
      </c>
      <c r="O6639">
        <v>1.6492652E7</v>
      </c>
      <c r="P6639">
        <v>1.4380772E7</v>
      </c>
      <c r="Q6639" s="112" t="s">
        <v>2454</v>
      </c>
      <c r="S6639" s="1"/>
      <c r="T6639" s="1"/>
      <c r="U6639" s="1"/>
      <c r="V6639" s="1"/>
      <c r="W6639" s="1"/>
      <c r="X6639" s="1"/>
      <c r="Y6639" s="1"/>
      <c r="AA6639" s="102"/>
      <c r="AB6639" s="1"/>
      <c r="AC6639" s="1"/>
      <c r="AD6639" s="1"/>
      <c r="AE6639" s="1"/>
      <c r="AF6639" s="1"/>
      <c r="AG6639" s="1"/>
    </row>
    <row r="6640" ht="15.75" customHeight="1">
      <c r="A6640" s="1"/>
      <c r="B6640" s="1"/>
      <c r="C6640" s="1"/>
      <c r="D6640" s="1"/>
      <c r="E6640" s="1"/>
      <c r="F6640" s="1"/>
      <c r="G6640" s="1"/>
      <c r="H6640" s="1"/>
      <c r="I6640" s="1"/>
      <c r="J6640" s="1"/>
      <c r="K6640" s="102" t="s">
        <v>2011</v>
      </c>
      <c r="L6640" s="102" t="str">
        <f t="shared" si="182"/>
        <v>J2a1a1b2a1c2b~</v>
      </c>
      <c r="M6640" s="102"/>
      <c r="N6640" s="1"/>
      <c r="O6640" s="114">
        <v>1.8193003E7</v>
      </c>
      <c r="P6640" s="105">
        <v>1.6081123E7</v>
      </c>
      <c r="Q6640" s="102" t="s">
        <v>2468</v>
      </c>
      <c r="S6640" s="1"/>
      <c r="T6640" s="1"/>
      <c r="U6640" s="1"/>
      <c r="V6640" s="1"/>
      <c r="W6640" s="1"/>
      <c r="X6640" s="1"/>
      <c r="Y6640" s="1"/>
      <c r="AA6640" s="102"/>
      <c r="AB6640" s="1"/>
      <c r="AC6640" s="1"/>
      <c r="AD6640" s="1"/>
      <c r="AE6640" s="1"/>
      <c r="AF6640" s="1"/>
      <c r="AG6640" s="1"/>
    </row>
    <row r="6641" ht="15.75" customHeight="1">
      <c r="A6641" s="1"/>
      <c r="B6641" s="1"/>
      <c r="C6641" s="1"/>
      <c r="D6641" s="1"/>
      <c r="E6641" s="1"/>
      <c r="F6641" s="1"/>
      <c r="G6641" s="1"/>
      <c r="H6641" s="1"/>
      <c r="I6641" s="1"/>
      <c r="J6641" s="1"/>
      <c r="K6641" s="102" t="s">
        <v>2013</v>
      </c>
      <c r="L6641" s="102" t="str">
        <f t="shared" si="182"/>
        <v>J2a1a1b2a1c2c~</v>
      </c>
      <c r="M6641" s="102"/>
      <c r="N6641" s="1"/>
      <c r="O6641" s="114">
        <v>1.4235839E7</v>
      </c>
      <c r="P6641" s="105">
        <v>1.2115133E7</v>
      </c>
      <c r="Q6641" s="102" t="s">
        <v>2439</v>
      </c>
      <c r="S6641" s="1"/>
      <c r="T6641" s="1"/>
      <c r="U6641" s="1"/>
      <c r="V6641" s="1"/>
      <c r="W6641" s="1"/>
      <c r="X6641" s="1"/>
      <c r="Y6641" s="1"/>
      <c r="AA6641" s="102"/>
      <c r="AB6641" s="1"/>
      <c r="AC6641" s="1"/>
      <c r="AD6641" s="1"/>
      <c r="AE6641" s="1"/>
      <c r="AF6641" s="1"/>
      <c r="AG6641" s="1"/>
    </row>
    <row r="6642" ht="15.75" customHeight="1">
      <c r="A6642" s="1"/>
      <c r="B6642" s="1"/>
      <c r="C6642" s="1"/>
      <c r="D6642" s="1"/>
      <c r="E6642" s="1"/>
      <c r="F6642" s="1"/>
      <c r="G6642" s="1"/>
      <c r="H6642" s="1"/>
      <c r="I6642" s="1"/>
      <c r="J6642" s="1"/>
      <c r="K6642" s="19" t="s">
        <v>2015</v>
      </c>
      <c r="L6642" s="1" t="str">
        <f t="shared" si="182"/>
        <v>J2a1a1b2a1c2d~</v>
      </c>
      <c r="M6642" s="1"/>
      <c r="N6642" s="1"/>
      <c r="O6642" s="114">
        <v>1.4916528E7</v>
      </c>
      <c r="P6642" s="105">
        <v>1.2804595E7</v>
      </c>
      <c r="Q6642" s="102" t="s">
        <v>2501</v>
      </c>
      <c r="S6642" s="1"/>
      <c r="T6642" s="1"/>
      <c r="U6642" s="1"/>
      <c r="V6642" s="1"/>
      <c r="W6642" s="1"/>
      <c r="X6642" s="1"/>
      <c r="Y6642" s="1"/>
      <c r="AA6642" s="102"/>
      <c r="AB6642" s="1"/>
      <c r="AC6642" s="1"/>
      <c r="AD6642" s="1"/>
      <c r="AE6642" s="1"/>
      <c r="AF6642" s="1"/>
      <c r="AG6642" s="1"/>
    </row>
    <row r="6643" ht="15.75" customHeight="1">
      <c r="A6643" s="1"/>
      <c r="B6643" s="1"/>
      <c r="C6643" s="1"/>
      <c r="D6643" s="1"/>
      <c r="E6643" s="1"/>
      <c r="F6643" s="1"/>
      <c r="G6643" s="1"/>
      <c r="H6643" s="1"/>
      <c r="I6643" s="1"/>
      <c r="J6643" s="1"/>
      <c r="K6643" s="19" t="s">
        <v>2017</v>
      </c>
      <c r="L6643" s="1" t="str">
        <f>N1025</f>
        <v>J2a1a1b2a1c2d1~</v>
      </c>
      <c r="M6643" s="1"/>
      <c r="N6643" s="1"/>
      <c r="O6643" s="114">
        <v>8455149.0</v>
      </c>
      <c r="P6643" s="105">
        <v>8587108.0</v>
      </c>
      <c r="Q6643" s="102" t="s">
        <v>2439</v>
      </c>
      <c r="S6643" s="1"/>
      <c r="T6643" s="1"/>
      <c r="U6643" s="1"/>
      <c r="V6643" s="1"/>
      <c r="W6643" s="1"/>
      <c r="X6643" s="1"/>
      <c r="Y6643" s="1"/>
      <c r="AA6643" s="102"/>
      <c r="AB6643" s="1"/>
      <c r="AC6643" s="1"/>
      <c r="AD6643" s="1"/>
      <c r="AE6643" s="1"/>
      <c r="AF6643" s="1"/>
      <c r="AG6643" s="1"/>
    </row>
    <row r="6644" ht="15.75" customHeight="1">
      <c r="A6644" s="1"/>
      <c r="B6644" s="1"/>
      <c r="C6644" s="1"/>
      <c r="D6644" s="1"/>
      <c r="E6644" s="1"/>
      <c r="F6644" s="1"/>
      <c r="G6644" s="1"/>
      <c r="H6644" s="1"/>
      <c r="I6644" s="1"/>
      <c r="J6644" s="1"/>
      <c r="K6644" s="1" t="s">
        <v>10264</v>
      </c>
      <c r="L6644" s="1" t="str">
        <f>F1027</f>
        <v>J2a1a2~</v>
      </c>
      <c r="M6644" s="1"/>
      <c r="N6644" s="1" t="s">
        <v>10265</v>
      </c>
      <c r="O6644" s="114">
        <v>1.7731951E7</v>
      </c>
      <c r="P6644" s="114">
        <v>1.5620071E7</v>
      </c>
      <c r="Q6644" s="1" t="s">
        <v>2439</v>
      </c>
      <c r="S6644" s="1"/>
      <c r="T6644" s="1"/>
      <c r="U6644" s="1"/>
      <c r="V6644" s="1"/>
      <c r="W6644" s="1"/>
      <c r="X6644" s="1"/>
      <c r="Y6644" s="1"/>
      <c r="AA6644" s="102"/>
      <c r="AB6644" s="1"/>
      <c r="AC6644" s="1"/>
      <c r="AD6644" s="1"/>
      <c r="AE6644" s="1"/>
      <c r="AF6644" s="1"/>
      <c r="AG6644" s="1"/>
    </row>
    <row r="6645" ht="15.75" customHeight="1">
      <c r="A6645" s="1"/>
      <c r="B6645" s="1"/>
      <c r="C6645" s="1"/>
      <c r="D6645" s="1"/>
      <c r="E6645" s="1"/>
      <c r="F6645" s="1"/>
      <c r="G6645" s="1"/>
      <c r="H6645" s="1"/>
      <c r="I6645" s="1"/>
      <c r="J6645" s="1"/>
      <c r="K6645" s="1" t="s">
        <v>10266</v>
      </c>
      <c r="L6645" s="1" t="str">
        <f>F1027</f>
        <v>J2a1a2~</v>
      </c>
      <c r="M6645" s="1"/>
      <c r="N6645" s="1"/>
      <c r="O6645" s="114">
        <v>1.3499711E7</v>
      </c>
      <c r="P6645" s="114">
        <v>1.1344035E7</v>
      </c>
      <c r="Q6645" s="1" t="s">
        <v>2439</v>
      </c>
      <c r="S6645" s="1"/>
      <c r="T6645" s="1"/>
      <c r="U6645" s="1"/>
      <c r="V6645" s="1"/>
      <c r="W6645" s="1"/>
      <c r="X6645" s="1"/>
      <c r="Y6645" s="1"/>
      <c r="AA6645" s="102"/>
      <c r="AB6645" s="1"/>
      <c r="AC6645" s="1"/>
      <c r="AD6645" s="1"/>
      <c r="AE6645" s="1"/>
      <c r="AF6645" s="1"/>
      <c r="AG6645" s="1"/>
    </row>
    <row r="6646" ht="15.75" customHeight="1">
      <c r="A6646" s="1"/>
      <c r="B6646" s="1"/>
      <c r="C6646" s="1"/>
      <c r="D6646" s="1"/>
      <c r="E6646" s="1"/>
      <c r="F6646" s="1"/>
      <c r="G6646" s="1"/>
      <c r="H6646" s="1"/>
      <c r="I6646" s="1"/>
      <c r="J6646" s="1"/>
      <c r="K6646" s="1" t="s">
        <v>10267</v>
      </c>
      <c r="L6646" s="1" t="str">
        <f>F1027</f>
        <v>J2a1a2~</v>
      </c>
      <c r="M6646" s="1"/>
      <c r="N6646" s="1" t="s">
        <v>10268</v>
      </c>
      <c r="O6646" s="114">
        <v>2.1260216E7</v>
      </c>
      <c r="P6646" s="114">
        <v>1.909833E7</v>
      </c>
      <c r="Q6646" s="1" t="s">
        <v>2439</v>
      </c>
      <c r="S6646" s="1"/>
      <c r="T6646" s="1"/>
      <c r="U6646" s="1"/>
      <c r="V6646" s="1"/>
      <c r="W6646" s="1"/>
      <c r="X6646" s="1"/>
      <c r="Y6646" s="1"/>
      <c r="AA6646" s="102"/>
      <c r="AB6646" s="1"/>
      <c r="AC6646" s="1"/>
      <c r="AD6646" s="1"/>
      <c r="AE6646" s="1"/>
      <c r="AF6646" s="1"/>
      <c r="AG6646" s="1"/>
    </row>
    <row r="6647" ht="15.75" customHeight="1">
      <c r="A6647" s="1"/>
      <c r="B6647" s="1"/>
      <c r="C6647" s="1"/>
      <c r="D6647" s="1"/>
      <c r="E6647" s="1"/>
      <c r="F6647" s="1"/>
      <c r="G6647" s="1"/>
      <c r="H6647" s="1"/>
      <c r="I6647" s="1"/>
      <c r="J6647" s="1"/>
      <c r="K6647" s="1" t="s">
        <v>10269</v>
      </c>
      <c r="L6647" s="1" t="str">
        <f>F1027</f>
        <v>J2a1a2~</v>
      </c>
      <c r="M6647" s="1"/>
      <c r="N6647" s="1" t="s">
        <v>10270</v>
      </c>
      <c r="O6647" s="114">
        <v>2675407.0</v>
      </c>
      <c r="P6647" s="114">
        <v>2807366.0</v>
      </c>
      <c r="Q6647" s="1" t="s">
        <v>2454</v>
      </c>
      <c r="S6647" s="1"/>
      <c r="T6647" s="1"/>
      <c r="U6647" s="1"/>
      <c r="V6647" s="1"/>
      <c r="W6647" s="1"/>
      <c r="X6647" s="1"/>
      <c r="Y6647" s="1"/>
      <c r="AA6647" s="102"/>
      <c r="AB6647" s="1"/>
      <c r="AC6647" s="1"/>
      <c r="AD6647" s="1"/>
      <c r="AE6647" s="1"/>
      <c r="AF6647" s="1"/>
      <c r="AG6647" s="1"/>
    </row>
    <row r="6648" ht="15.75" customHeight="1">
      <c r="A6648" s="1"/>
      <c r="B6648" s="1"/>
      <c r="C6648" s="1"/>
      <c r="D6648" s="1"/>
      <c r="E6648" s="1"/>
      <c r="F6648" s="1"/>
      <c r="G6648" s="1"/>
      <c r="H6648" s="1"/>
      <c r="I6648" s="1"/>
      <c r="J6648" s="1"/>
      <c r="K6648" s="1" t="s">
        <v>10271</v>
      </c>
      <c r="L6648" s="1" t="str">
        <f>F1027</f>
        <v>J2a1a2~</v>
      </c>
      <c r="M6648" s="1"/>
      <c r="N6648" s="1"/>
      <c r="O6648" s="114">
        <v>4475605.0</v>
      </c>
      <c r="P6648" s="114">
        <v>4607564.0</v>
      </c>
      <c r="Q6648" s="1" t="s">
        <v>2533</v>
      </c>
      <c r="S6648" s="1"/>
      <c r="T6648" s="1"/>
      <c r="U6648" s="1"/>
      <c r="V6648" s="1"/>
      <c r="W6648" s="1"/>
      <c r="X6648" s="1"/>
      <c r="Y6648" s="1"/>
      <c r="AA6648" s="102"/>
      <c r="AB6648" s="1"/>
      <c r="AC6648" s="1"/>
      <c r="AD6648" s="1"/>
      <c r="AE6648" s="1"/>
      <c r="AF6648" s="1"/>
      <c r="AG6648" s="1"/>
    </row>
    <row r="6649" ht="15.75" customHeight="1">
      <c r="A6649" s="1"/>
      <c r="B6649" s="1"/>
      <c r="C6649" s="1"/>
      <c r="D6649" s="1"/>
      <c r="E6649" s="1"/>
      <c r="F6649" s="1"/>
      <c r="G6649" s="1"/>
      <c r="H6649" s="1"/>
      <c r="I6649" s="1"/>
      <c r="J6649" s="1"/>
      <c r="K6649" s="1" t="s">
        <v>10272</v>
      </c>
      <c r="L6649" s="1" t="str">
        <f>F1027</f>
        <v>J2a1a2~</v>
      </c>
      <c r="M6649" s="1"/>
      <c r="N6649" s="1" t="s">
        <v>10273</v>
      </c>
      <c r="O6649" s="114">
        <v>7211211.0</v>
      </c>
      <c r="P6649" s="114">
        <v>7343170.0</v>
      </c>
      <c r="Q6649" s="1" t="s">
        <v>2423</v>
      </c>
      <c r="S6649" s="1"/>
      <c r="T6649" s="1"/>
      <c r="U6649" s="1"/>
      <c r="V6649" s="1"/>
      <c r="W6649" s="1"/>
      <c r="X6649" s="1"/>
      <c r="Y6649" s="1"/>
      <c r="AA6649" s="102"/>
      <c r="AB6649" s="1"/>
      <c r="AC6649" s="1"/>
      <c r="AD6649" s="1"/>
      <c r="AE6649" s="1"/>
      <c r="AF6649" s="1"/>
      <c r="AG6649" s="1"/>
    </row>
    <row r="6650" ht="15.75" customHeight="1">
      <c r="A6650" s="1"/>
      <c r="B6650" s="1"/>
      <c r="C6650" s="1"/>
      <c r="D6650" s="1"/>
      <c r="E6650" s="1"/>
      <c r="F6650" s="1"/>
      <c r="G6650" s="1"/>
      <c r="H6650" s="1"/>
      <c r="I6650" s="1"/>
      <c r="J6650" s="1"/>
      <c r="K6650" s="1" t="s">
        <v>10274</v>
      </c>
      <c r="L6650" s="1" t="str">
        <f>F1027</f>
        <v>J2a1a2~</v>
      </c>
      <c r="M6650" s="1"/>
      <c r="N6650" s="1" t="s">
        <v>10275</v>
      </c>
      <c r="O6650" s="114">
        <v>1.7262712E7</v>
      </c>
      <c r="P6650" s="114">
        <v>1.5150832E7</v>
      </c>
      <c r="Q6650" s="1" t="s">
        <v>2501</v>
      </c>
      <c r="S6650" s="1"/>
      <c r="T6650" s="1"/>
      <c r="U6650" s="1"/>
      <c r="V6650" s="1"/>
      <c r="W6650" s="1"/>
      <c r="X6650" s="1"/>
      <c r="Y6650" s="1"/>
      <c r="AA6650" s="102"/>
      <c r="AB6650" s="1"/>
      <c r="AC6650" s="1"/>
      <c r="AD6650" s="1"/>
      <c r="AE6650" s="1"/>
      <c r="AF6650" s="1"/>
      <c r="AG6650" s="1"/>
    </row>
    <row r="6651" ht="15.75" customHeight="1">
      <c r="A6651" s="1"/>
      <c r="B6651" s="1"/>
      <c r="C6651" s="1"/>
      <c r="D6651" s="1"/>
      <c r="E6651" s="1"/>
      <c r="F6651" s="1"/>
      <c r="G6651" s="1"/>
      <c r="H6651" s="1"/>
      <c r="I6651" s="1"/>
      <c r="J6651" s="1"/>
      <c r="K6651" s="1" t="s">
        <v>10276</v>
      </c>
      <c r="L6651" s="1" t="str">
        <f>F1027</f>
        <v>J2a1a2~</v>
      </c>
      <c r="M6651" s="1"/>
      <c r="N6651" s="1" t="s">
        <v>10277</v>
      </c>
      <c r="O6651" s="114">
        <v>2.2129106E7</v>
      </c>
      <c r="P6651" s="114">
        <v>1.996722E7</v>
      </c>
      <c r="Q6651" s="1" t="s">
        <v>2529</v>
      </c>
      <c r="S6651" s="1"/>
      <c r="T6651" s="1"/>
      <c r="U6651" s="1"/>
      <c r="V6651" s="1"/>
      <c r="W6651" s="1"/>
      <c r="X6651" s="1"/>
      <c r="Y6651" s="1"/>
      <c r="AA6651" s="102"/>
      <c r="AB6651" s="1"/>
      <c r="AC6651" s="1"/>
      <c r="AD6651" s="1"/>
      <c r="AE6651" s="1"/>
      <c r="AF6651" s="1"/>
      <c r="AG6651" s="1"/>
    </row>
    <row r="6652" ht="15.75" customHeight="1">
      <c r="A6652" s="1"/>
      <c r="B6652" s="1"/>
      <c r="C6652" s="1"/>
      <c r="D6652" s="1"/>
      <c r="E6652" s="1"/>
      <c r="F6652" s="1"/>
      <c r="G6652" s="1"/>
      <c r="H6652" s="1"/>
      <c r="I6652" s="1"/>
      <c r="J6652" s="1"/>
      <c r="K6652" s="1" t="s">
        <v>10278</v>
      </c>
      <c r="L6652" s="1" t="str">
        <f>F1027</f>
        <v>J2a1a2~</v>
      </c>
      <c r="M6652" s="1"/>
      <c r="N6652" s="1" t="s">
        <v>10279</v>
      </c>
      <c r="O6652" s="114">
        <v>1.815335E7</v>
      </c>
      <c r="P6652" s="114">
        <v>1.604147E7</v>
      </c>
      <c r="Q6652" s="1" t="s">
        <v>2529</v>
      </c>
      <c r="S6652" s="1"/>
      <c r="T6652" s="1"/>
      <c r="U6652" s="1"/>
      <c r="V6652" s="1"/>
      <c r="W6652" s="1"/>
      <c r="X6652" s="1"/>
      <c r="Y6652" s="1"/>
      <c r="AA6652" s="102"/>
      <c r="AB6652" s="1"/>
      <c r="AC6652" s="1"/>
      <c r="AD6652" s="1"/>
      <c r="AE6652" s="1"/>
      <c r="AF6652" s="1"/>
      <c r="AG6652" s="1"/>
    </row>
    <row r="6653" ht="15.75" customHeight="1">
      <c r="A6653" s="1"/>
      <c r="B6653" s="1"/>
      <c r="C6653" s="1"/>
      <c r="D6653" s="1"/>
      <c r="E6653" s="1"/>
      <c r="F6653" s="1"/>
      <c r="G6653" s="1"/>
      <c r="H6653" s="1"/>
      <c r="I6653" s="1"/>
      <c r="J6653" s="1"/>
      <c r="K6653" s="106" t="s">
        <v>10280</v>
      </c>
      <c r="L6653" s="102" t="str">
        <f>G1028</f>
        <v>J2a1a2a~</v>
      </c>
      <c r="M6653" s="102"/>
      <c r="N6653" s="1" t="s">
        <v>10281</v>
      </c>
      <c r="O6653" s="114">
        <v>1.4652078E7</v>
      </c>
      <c r="P6653" s="105">
        <v>1.2540143E7</v>
      </c>
      <c r="Q6653" s="102" t="s">
        <v>2501</v>
      </c>
      <c r="S6653" s="1"/>
      <c r="T6653" s="1"/>
      <c r="U6653" s="1"/>
      <c r="V6653" s="1"/>
      <c r="W6653" s="1"/>
      <c r="X6653" s="1"/>
      <c r="Y6653" s="1"/>
      <c r="AA6653" s="102"/>
      <c r="AB6653" s="1"/>
      <c r="AC6653" s="1"/>
      <c r="AD6653" s="1"/>
      <c r="AE6653" s="1"/>
      <c r="AF6653" s="1"/>
      <c r="AG6653" s="1"/>
    </row>
    <row r="6654" ht="15.75" customHeight="1">
      <c r="A6654" s="1"/>
      <c r="B6654" s="1"/>
      <c r="C6654" s="1"/>
      <c r="D6654" s="1"/>
      <c r="E6654" s="1"/>
      <c r="F6654" s="1"/>
      <c r="G6654" s="1"/>
      <c r="H6654" s="1"/>
      <c r="I6654" s="1"/>
      <c r="J6654" s="1"/>
      <c r="K6654" s="102" t="s">
        <v>10282</v>
      </c>
      <c r="L6654" s="125" t="str">
        <f>G1028</f>
        <v>J2a1a2a~</v>
      </c>
      <c r="M6654" s="1"/>
      <c r="N6654" s="1" t="s">
        <v>10283</v>
      </c>
      <c r="O6654" s="114">
        <v>1.4959271E7</v>
      </c>
      <c r="P6654" s="114">
        <v>1.2847346E7</v>
      </c>
      <c r="Q6654" s="1" t="s">
        <v>2533</v>
      </c>
      <c r="S6654" s="1"/>
      <c r="T6654" s="1"/>
      <c r="U6654" s="1"/>
      <c r="V6654" s="1"/>
      <c r="W6654" s="1"/>
      <c r="X6654" s="1"/>
      <c r="Y6654" s="1"/>
      <c r="AA6654" s="102"/>
      <c r="AB6654" s="1"/>
      <c r="AC6654" s="1"/>
      <c r="AD6654" s="1"/>
      <c r="AE6654" s="1"/>
      <c r="AF6654" s="1"/>
      <c r="AG6654" s="1"/>
    </row>
    <row r="6655" ht="15.75" customHeight="1">
      <c r="A6655" s="1"/>
      <c r="B6655" s="1"/>
      <c r="C6655" s="1"/>
      <c r="D6655" s="1"/>
      <c r="E6655" s="1"/>
      <c r="F6655" s="1"/>
      <c r="G6655" s="1"/>
      <c r="H6655" s="1"/>
      <c r="I6655" s="1"/>
      <c r="J6655" s="1"/>
      <c r="K6655" s="102" t="s">
        <v>10284</v>
      </c>
      <c r="L6655" s="125" t="str">
        <f>G1028</f>
        <v>J2a1a2a~</v>
      </c>
      <c r="M6655" s="1"/>
      <c r="N6655" s="1" t="s">
        <v>10285</v>
      </c>
      <c r="O6655" s="114">
        <v>1.6772085E7</v>
      </c>
      <c r="P6655" s="114">
        <v>1.4660205E7</v>
      </c>
      <c r="Q6655" s="1" t="s">
        <v>2468</v>
      </c>
      <c r="S6655" s="1"/>
      <c r="T6655" s="1"/>
      <c r="U6655" s="1"/>
      <c r="V6655" s="1"/>
      <c r="W6655" s="1"/>
      <c r="X6655" s="1"/>
      <c r="Y6655" s="1"/>
      <c r="AA6655" s="102"/>
      <c r="AB6655" s="1"/>
      <c r="AC6655" s="1"/>
      <c r="AD6655" s="1"/>
      <c r="AE6655" s="1"/>
      <c r="AF6655" s="1"/>
      <c r="AG6655" s="1"/>
    </row>
    <row r="6656" ht="15.75" customHeight="1">
      <c r="A6656" s="1"/>
      <c r="B6656" s="1"/>
      <c r="C6656" s="1"/>
      <c r="D6656" s="1"/>
      <c r="E6656" s="1"/>
      <c r="F6656" s="1"/>
      <c r="G6656" s="1"/>
      <c r="H6656" s="1"/>
      <c r="I6656" s="1"/>
      <c r="J6656" s="1"/>
      <c r="K6656" s="102" t="s">
        <v>10286</v>
      </c>
      <c r="L6656" s="125" t="str">
        <f>G1028</f>
        <v>J2a1a2a~</v>
      </c>
      <c r="M6656" s="1"/>
      <c r="N6656" s="1" t="s">
        <v>10287</v>
      </c>
      <c r="O6656" s="114">
        <v>1.7448265E7</v>
      </c>
      <c r="P6656" s="114">
        <v>1.5336385E7</v>
      </c>
      <c r="Q6656" s="1" t="s">
        <v>2446</v>
      </c>
      <c r="S6656" s="1"/>
      <c r="T6656" s="1"/>
      <c r="U6656" s="1"/>
      <c r="V6656" s="1"/>
      <c r="W6656" s="1"/>
      <c r="X6656" s="1"/>
      <c r="Y6656" s="1"/>
      <c r="AA6656" s="102"/>
      <c r="AB6656" s="1"/>
      <c r="AC6656" s="1"/>
      <c r="AD6656" s="1"/>
      <c r="AE6656" s="1"/>
      <c r="AF6656" s="1"/>
      <c r="AG6656" s="1"/>
    </row>
    <row r="6657" ht="15.75" customHeight="1">
      <c r="A6657" s="1"/>
      <c r="B6657" s="1"/>
      <c r="C6657" s="1"/>
      <c r="D6657" s="1"/>
      <c r="E6657" s="1"/>
      <c r="F6657" s="1"/>
      <c r="G6657" s="1"/>
      <c r="H6657" s="1"/>
      <c r="I6657" s="1"/>
      <c r="J6657" s="1"/>
      <c r="K6657" s="1" t="s">
        <v>10288</v>
      </c>
      <c r="L6657" s="125" t="str">
        <f>G1028</f>
        <v>J2a1a2a~</v>
      </c>
      <c r="M6657" s="1"/>
      <c r="N6657" s="1" t="s">
        <v>10289</v>
      </c>
      <c r="O6657" s="114">
        <v>1.7662606E7</v>
      </c>
      <c r="P6657" s="114">
        <v>1.5550726E7</v>
      </c>
      <c r="Q6657" s="1" t="s">
        <v>2529</v>
      </c>
      <c r="S6657" s="1"/>
      <c r="T6657" s="1"/>
      <c r="U6657" s="1"/>
      <c r="V6657" s="1"/>
      <c r="W6657" s="1"/>
      <c r="X6657" s="1"/>
      <c r="Y6657" s="1"/>
      <c r="AA6657" s="102"/>
      <c r="AB6657" s="1"/>
      <c r="AC6657" s="1"/>
      <c r="AD6657" s="1"/>
      <c r="AE6657" s="1"/>
      <c r="AF6657" s="1"/>
      <c r="AG6657" s="1"/>
    </row>
    <row r="6658" ht="15.75" customHeight="1">
      <c r="A6658" s="1"/>
      <c r="B6658" s="1"/>
      <c r="C6658" s="1"/>
      <c r="D6658" s="1"/>
      <c r="E6658" s="1"/>
      <c r="F6658" s="1"/>
      <c r="G6658" s="1"/>
      <c r="H6658" s="1"/>
      <c r="I6658" s="1"/>
      <c r="J6658" s="1"/>
      <c r="K6658" s="1" t="s">
        <v>10290</v>
      </c>
      <c r="L6658" s="125" t="str">
        <f>G1028</f>
        <v>J2a1a2a~</v>
      </c>
      <c r="M6658" s="1"/>
      <c r="N6658" s="1" t="s">
        <v>10291</v>
      </c>
      <c r="O6658" s="114">
        <v>1.7874912E7</v>
      </c>
      <c r="P6658" s="114">
        <v>1.5763032E7</v>
      </c>
      <c r="Q6658" s="1" t="s">
        <v>2533</v>
      </c>
      <c r="S6658" s="1"/>
      <c r="T6658" s="1"/>
      <c r="U6658" s="1"/>
      <c r="V6658" s="1"/>
      <c r="W6658" s="1"/>
      <c r="X6658" s="1"/>
      <c r="Y6658" s="1"/>
      <c r="AA6658" s="102"/>
      <c r="AB6658" s="1"/>
      <c r="AC6658" s="1"/>
      <c r="AD6658" s="1"/>
      <c r="AE6658" s="1"/>
      <c r="AF6658" s="1"/>
      <c r="AG6658" s="1"/>
    </row>
    <row r="6659" ht="15.75" customHeight="1">
      <c r="A6659" s="1"/>
      <c r="B6659" s="1"/>
      <c r="C6659" s="1"/>
      <c r="D6659" s="1"/>
      <c r="E6659" s="1"/>
      <c r="F6659" s="1"/>
      <c r="G6659" s="1"/>
      <c r="H6659" s="1"/>
      <c r="I6659" s="1"/>
      <c r="J6659" s="1"/>
      <c r="K6659" s="1" t="s">
        <v>10292</v>
      </c>
      <c r="L6659" s="125" t="str">
        <f>G1028</f>
        <v>J2a1a2a~</v>
      </c>
      <c r="M6659" s="1"/>
      <c r="N6659" s="1" t="s">
        <v>10293</v>
      </c>
      <c r="O6659" s="114">
        <v>1.8052677E7</v>
      </c>
      <c r="P6659" s="114">
        <v>1.5940797E7</v>
      </c>
      <c r="Q6659" s="1" t="s">
        <v>2514</v>
      </c>
      <c r="S6659" s="1"/>
      <c r="T6659" s="1"/>
      <c r="U6659" s="1"/>
      <c r="V6659" s="1"/>
      <c r="W6659" s="1"/>
      <c r="X6659" s="1"/>
      <c r="Y6659" s="1"/>
      <c r="AA6659" s="102"/>
      <c r="AB6659" s="1"/>
      <c r="AC6659" s="1"/>
      <c r="AD6659" s="1"/>
      <c r="AE6659" s="1"/>
      <c r="AF6659" s="1"/>
      <c r="AG6659" s="1"/>
    </row>
    <row r="6660" ht="15.75" customHeight="1">
      <c r="A6660" s="1"/>
      <c r="B6660" s="1"/>
      <c r="C6660" s="1"/>
      <c r="D6660" s="1"/>
      <c r="E6660" s="1"/>
      <c r="F6660" s="1"/>
      <c r="G6660" s="1"/>
      <c r="H6660" s="1"/>
      <c r="I6660" s="1"/>
      <c r="J6660" s="1"/>
      <c r="K6660" s="102" t="s">
        <v>10294</v>
      </c>
      <c r="L6660" s="125" t="str">
        <f>G1028</f>
        <v>J2a1a2a~</v>
      </c>
      <c r="M6660" s="1"/>
      <c r="N6660" s="1" t="s">
        <v>10295</v>
      </c>
      <c r="O6660" s="114">
        <v>1.8920683E7</v>
      </c>
      <c r="P6660" s="114">
        <v>1.6808803E7</v>
      </c>
      <c r="Q6660" s="1" t="s">
        <v>2439</v>
      </c>
      <c r="S6660" s="1"/>
      <c r="T6660" s="1"/>
      <c r="U6660" s="1"/>
      <c r="V6660" s="1"/>
      <c r="W6660" s="1"/>
      <c r="X6660" s="1"/>
      <c r="Y6660" s="1"/>
      <c r="AA6660" s="102"/>
      <c r="AB6660" s="1"/>
      <c r="AC6660" s="1"/>
      <c r="AD6660" s="1"/>
      <c r="AE6660" s="1"/>
      <c r="AF6660" s="1"/>
      <c r="AG6660" s="1"/>
    </row>
    <row r="6661" ht="15.75" customHeight="1">
      <c r="A6661" s="1"/>
      <c r="B6661" s="1"/>
      <c r="C6661" s="1"/>
      <c r="D6661" s="1"/>
      <c r="E6661" s="1"/>
      <c r="F6661" s="1"/>
      <c r="G6661" s="1"/>
      <c r="H6661" s="1"/>
      <c r="I6661" s="1"/>
      <c r="J6661" s="1"/>
      <c r="K6661" s="102" t="s">
        <v>10296</v>
      </c>
      <c r="L6661" s="125" t="str">
        <f>G1028</f>
        <v>J2a1a2a~</v>
      </c>
      <c r="M6661" s="1"/>
      <c r="N6661" s="1" t="s">
        <v>10297</v>
      </c>
      <c r="O6661" s="114">
        <v>2.1258549E7</v>
      </c>
      <c r="P6661" s="114">
        <v>1.9096663E7</v>
      </c>
      <c r="Q6661" s="1" t="s">
        <v>2501</v>
      </c>
      <c r="S6661" s="1"/>
      <c r="T6661" s="1"/>
      <c r="U6661" s="1"/>
      <c r="V6661" s="1"/>
      <c r="W6661" s="1"/>
      <c r="X6661" s="1"/>
      <c r="Y6661" s="1"/>
      <c r="AA6661" s="102"/>
      <c r="AB6661" s="1"/>
      <c r="AC6661" s="1"/>
      <c r="AD6661" s="1"/>
      <c r="AE6661" s="1"/>
      <c r="AF6661" s="1"/>
      <c r="AG6661" s="1"/>
    </row>
    <row r="6662" ht="15.75" customHeight="1">
      <c r="A6662" s="1"/>
      <c r="B6662" s="1"/>
      <c r="C6662" s="1"/>
      <c r="D6662" s="1"/>
      <c r="E6662" s="1"/>
      <c r="F6662" s="1"/>
      <c r="G6662" s="1"/>
      <c r="H6662" s="1"/>
      <c r="I6662" s="1"/>
      <c r="J6662" s="1"/>
      <c r="K6662" s="1" t="s">
        <v>10298</v>
      </c>
      <c r="L6662" s="125" t="str">
        <f>G1028</f>
        <v>J2a1a2a~</v>
      </c>
      <c r="M6662" s="1"/>
      <c r="N6662" s="1" t="s">
        <v>10299</v>
      </c>
      <c r="O6662" s="114">
        <v>2.1649216E7</v>
      </c>
      <c r="P6662" s="114">
        <v>1.948733E7</v>
      </c>
      <c r="Q6662" s="1" t="s">
        <v>2468</v>
      </c>
      <c r="S6662" s="1"/>
      <c r="T6662" s="1"/>
      <c r="U6662" s="1"/>
      <c r="V6662" s="1"/>
      <c r="W6662" s="1"/>
      <c r="X6662" s="1"/>
      <c r="Y6662" s="1"/>
      <c r="AA6662" s="102"/>
      <c r="AB6662" s="1"/>
      <c r="AC6662" s="1"/>
      <c r="AD6662" s="1"/>
      <c r="AE6662" s="1"/>
      <c r="AF6662" s="1"/>
      <c r="AG6662" s="1"/>
    </row>
    <row r="6663" ht="15.75" customHeight="1">
      <c r="A6663" s="1"/>
      <c r="B6663" s="1"/>
      <c r="C6663" s="1"/>
      <c r="D6663" s="1"/>
      <c r="E6663" s="1"/>
      <c r="F6663" s="1"/>
      <c r="G6663" s="1"/>
      <c r="H6663" s="1"/>
      <c r="I6663" s="1"/>
      <c r="J6663" s="1"/>
      <c r="K6663" s="102" t="s">
        <v>10300</v>
      </c>
      <c r="L6663" s="125" t="str">
        <f>G1028</f>
        <v>J2a1a2a~</v>
      </c>
      <c r="M6663" s="1"/>
      <c r="N6663" s="1" t="s">
        <v>10301</v>
      </c>
      <c r="O6663" s="114">
        <v>2.1826003E7</v>
      </c>
      <c r="P6663" s="114">
        <v>1.9664117E7</v>
      </c>
      <c r="Q6663" s="1" t="s">
        <v>2533</v>
      </c>
      <c r="S6663" s="1"/>
      <c r="T6663" s="1"/>
      <c r="U6663" s="1"/>
      <c r="V6663" s="1"/>
      <c r="W6663" s="1"/>
      <c r="X6663" s="1"/>
      <c r="Y6663" s="1"/>
      <c r="AA6663" s="102"/>
      <c r="AB6663" s="1"/>
      <c r="AC6663" s="1"/>
      <c r="AD6663" s="1"/>
      <c r="AE6663" s="1"/>
      <c r="AF6663" s="1"/>
      <c r="AG6663" s="1"/>
    </row>
    <row r="6664" ht="15.75" customHeight="1">
      <c r="A6664" s="1"/>
      <c r="B6664" s="1"/>
      <c r="C6664" s="1"/>
      <c r="D6664" s="1"/>
      <c r="E6664" s="1"/>
      <c r="F6664" s="1"/>
      <c r="G6664" s="1"/>
      <c r="H6664" s="1"/>
      <c r="I6664" s="1"/>
      <c r="J6664" s="1"/>
      <c r="K6664" s="1" t="s">
        <v>10302</v>
      </c>
      <c r="L6664" s="125" t="str">
        <f>G1028</f>
        <v>J2a1a2a~</v>
      </c>
      <c r="M6664" s="1"/>
      <c r="N6664" s="1"/>
      <c r="O6664" s="114">
        <v>2.3268692E7</v>
      </c>
      <c r="P6664" s="114">
        <v>2.1106806E7</v>
      </c>
      <c r="Q6664" s="1" t="s">
        <v>2533</v>
      </c>
      <c r="S6664" s="1"/>
      <c r="T6664" s="1"/>
      <c r="U6664" s="1"/>
      <c r="V6664" s="1"/>
      <c r="W6664" s="1"/>
      <c r="X6664" s="1"/>
      <c r="Y6664" s="1"/>
      <c r="AA6664" s="102"/>
      <c r="AB6664" s="1"/>
      <c r="AC6664" s="1"/>
      <c r="AD6664" s="1"/>
      <c r="AE6664" s="1"/>
      <c r="AF6664" s="1"/>
      <c r="AG6664" s="1"/>
    </row>
    <row r="6665" ht="15.75" customHeight="1">
      <c r="A6665" s="1"/>
      <c r="B6665" s="1"/>
      <c r="C6665" s="1"/>
      <c r="D6665" s="1"/>
      <c r="E6665" s="1"/>
      <c r="F6665" s="1"/>
      <c r="G6665" s="1"/>
      <c r="H6665" s="1"/>
      <c r="I6665" s="1"/>
      <c r="J6665" s="1"/>
      <c r="K6665" s="1" t="s">
        <v>10303</v>
      </c>
      <c r="L6665" s="125" t="str">
        <f>G1028</f>
        <v>J2a1a2a~</v>
      </c>
      <c r="M6665" s="1"/>
      <c r="N6665" s="1"/>
      <c r="O6665" s="114">
        <v>8833560.0</v>
      </c>
      <c r="P6665" s="114">
        <v>8965519.0</v>
      </c>
      <c r="Q6665" s="1" t="s">
        <v>2468</v>
      </c>
      <c r="S6665" s="1"/>
      <c r="T6665" s="1"/>
      <c r="U6665" s="1"/>
      <c r="V6665" s="1"/>
      <c r="W6665" s="1"/>
      <c r="X6665" s="1"/>
      <c r="Y6665" s="1"/>
      <c r="AA6665" s="102"/>
      <c r="AB6665" s="1"/>
      <c r="AC6665" s="1"/>
      <c r="AD6665" s="1"/>
      <c r="AE6665" s="1"/>
      <c r="AF6665" s="1"/>
      <c r="AG6665" s="1"/>
    </row>
    <row r="6666" ht="15.75" customHeight="1">
      <c r="A6666" s="1"/>
      <c r="B6666" s="1"/>
      <c r="C6666" s="1"/>
      <c r="D6666" s="1"/>
      <c r="E6666" s="1"/>
      <c r="F6666" s="1"/>
      <c r="G6666" s="1"/>
      <c r="H6666" s="1"/>
      <c r="I6666" s="1"/>
      <c r="J6666" s="1"/>
      <c r="K6666" s="102" t="s">
        <v>10304</v>
      </c>
      <c r="L6666" s="125" t="str">
        <f>G1028</f>
        <v>J2a1a2a~</v>
      </c>
      <c r="M6666" s="1"/>
      <c r="N6666" s="1" t="s">
        <v>10305</v>
      </c>
      <c r="O6666" s="114">
        <v>1.5682646E7</v>
      </c>
      <c r="P6666" s="114">
        <v>1.3570766E7</v>
      </c>
      <c r="Q6666" s="1" t="s">
        <v>2439</v>
      </c>
      <c r="S6666" s="1"/>
      <c r="T6666" s="1"/>
      <c r="U6666" s="1"/>
      <c r="V6666" s="1"/>
      <c r="W6666" s="1"/>
      <c r="X6666" s="1"/>
      <c r="Y6666" s="1"/>
      <c r="AA6666" s="102"/>
      <c r="AB6666" s="1"/>
      <c r="AC6666" s="1"/>
      <c r="AD6666" s="1"/>
      <c r="AE6666" s="1"/>
      <c r="AF6666" s="1"/>
      <c r="AG6666" s="1"/>
    </row>
    <row r="6667" ht="15.75" customHeight="1">
      <c r="A6667" s="1"/>
      <c r="B6667" s="1"/>
      <c r="C6667" s="1"/>
      <c r="D6667" s="1"/>
      <c r="E6667" s="1"/>
      <c r="F6667" s="1"/>
      <c r="G6667" s="1"/>
      <c r="H6667" s="1"/>
      <c r="I6667" s="1"/>
      <c r="J6667" s="1"/>
      <c r="K6667" s="102" t="s">
        <v>10306</v>
      </c>
      <c r="L6667" s="125" t="str">
        <f>G1028</f>
        <v>J2a1a2a~</v>
      </c>
      <c r="M6667" s="1"/>
      <c r="N6667" s="1" t="s">
        <v>10307</v>
      </c>
      <c r="O6667" s="114">
        <v>1.8932725E7</v>
      </c>
      <c r="P6667" s="114">
        <v>1.6820845E7</v>
      </c>
      <c r="Q6667" s="1" t="s">
        <v>2423</v>
      </c>
      <c r="S6667" s="1"/>
      <c r="T6667" s="1"/>
      <c r="U6667" s="1"/>
      <c r="V6667" s="1"/>
      <c r="W6667" s="1"/>
      <c r="X6667" s="1"/>
      <c r="Y6667" s="1"/>
      <c r="AA6667" s="102"/>
      <c r="AB6667" s="1"/>
      <c r="AC6667" s="1"/>
      <c r="AD6667" s="1"/>
      <c r="AE6667" s="1"/>
      <c r="AF6667" s="1"/>
      <c r="AG6667" s="1"/>
    </row>
    <row r="6668" ht="15.75" customHeight="1">
      <c r="A6668" s="1"/>
      <c r="B6668" s="1"/>
      <c r="C6668" s="1"/>
      <c r="D6668" s="1"/>
      <c r="E6668" s="1"/>
      <c r="F6668" s="1"/>
      <c r="G6668" s="1"/>
      <c r="H6668" s="1"/>
      <c r="I6668" s="1"/>
      <c r="J6668" s="1"/>
      <c r="K6668" s="102" t="s">
        <v>10308</v>
      </c>
      <c r="L6668" s="125" t="str">
        <f>G1028</f>
        <v>J2a1a2a~</v>
      </c>
      <c r="M6668" s="1"/>
      <c r="N6668" s="1"/>
      <c r="O6668" s="114">
        <v>2.3525534E7</v>
      </c>
      <c r="P6668" s="114">
        <v>2.1363648E7</v>
      </c>
      <c r="Q6668" s="1" t="s">
        <v>2439</v>
      </c>
      <c r="S6668" s="1"/>
      <c r="T6668" s="1"/>
      <c r="U6668" s="1"/>
      <c r="V6668" s="1"/>
      <c r="W6668" s="1"/>
      <c r="X6668" s="1"/>
      <c r="Y6668" s="1"/>
      <c r="AA6668" s="102"/>
      <c r="AB6668" s="1"/>
      <c r="AC6668" s="1"/>
      <c r="AD6668" s="1"/>
      <c r="AE6668" s="1"/>
      <c r="AF6668" s="1"/>
      <c r="AG6668" s="1"/>
    </row>
    <row r="6669" ht="15.75" customHeight="1">
      <c r="A6669" s="1"/>
      <c r="B6669" s="1"/>
      <c r="C6669" s="1"/>
      <c r="D6669" s="1"/>
      <c r="E6669" s="1"/>
      <c r="F6669" s="1"/>
      <c r="G6669" s="1"/>
      <c r="H6669" s="1"/>
      <c r="I6669" s="1"/>
      <c r="J6669" s="1"/>
      <c r="K6669" s="1" t="s">
        <v>10309</v>
      </c>
      <c r="L6669" s="125" t="str">
        <f>G1028</f>
        <v>J2a1a2a~</v>
      </c>
      <c r="M6669" s="1"/>
      <c r="N6669" s="1"/>
      <c r="O6669" s="114">
        <v>7538517.0</v>
      </c>
      <c r="P6669" s="114">
        <v>7670476.0</v>
      </c>
      <c r="Q6669" s="1" t="s">
        <v>2439</v>
      </c>
      <c r="S6669" s="1"/>
      <c r="T6669" s="1"/>
      <c r="U6669" s="1"/>
      <c r="V6669" s="1"/>
      <c r="W6669" s="1"/>
      <c r="X6669" s="1"/>
      <c r="Y6669" s="1"/>
      <c r="AA6669" s="102"/>
      <c r="AB6669" s="1"/>
      <c r="AC6669" s="1"/>
      <c r="AD6669" s="1"/>
      <c r="AE6669" s="1"/>
      <c r="AF6669" s="1"/>
      <c r="AG6669" s="1"/>
    </row>
    <row r="6670" ht="15.75" customHeight="1">
      <c r="A6670" s="1"/>
      <c r="B6670" s="1"/>
      <c r="C6670" s="1"/>
      <c r="D6670" s="1"/>
      <c r="E6670" s="1"/>
      <c r="F6670" s="1"/>
      <c r="G6670" s="1"/>
      <c r="H6670" s="1"/>
      <c r="I6670" s="1"/>
      <c r="J6670" s="1"/>
      <c r="K6670" s="102" t="s">
        <v>10310</v>
      </c>
      <c r="L6670" s="125" t="str">
        <f>G1028</f>
        <v>J2a1a2a~</v>
      </c>
      <c r="M6670" s="1"/>
      <c r="N6670" s="1" t="s">
        <v>10311</v>
      </c>
      <c r="O6670" s="114">
        <v>7657313.0</v>
      </c>
      <c r="P6670" s="114">
        <v>7789272.0</v>
      </c>
      <c r="Q6670" s="1" t="s">
        <v>2454</v>
      </c>
      <c r="S6670" s="1"/>
      <c r="T6670" s="1"/>
      <c r="U6670" s="1"/>
      <c r="V6670" s="1"/>
      <c r="W6670" s="1"/>
      <c r="X6670" s="1"/>
      <c r="Y6670" s="1"/>
      <c r="AA6670" s="102"/>
      <c r="AB6670" s="1"/>
      <c r="AC6670" s="1"/>
      <c r="AD6670" s="1"/>
      <c r="AE6670" s="1"/>
      <c r="AF6670" s="1"/>
      <c r="AG6670" s="1"/>
    </row>
    <row r="6671" ht="15.75" customHeight="1">
      <c r="A6671" s="1"/>
      <c r="B6671" s="1"/>
      <c r="C6671" s="1"/>
      <c r="D6671" s="1"/>
      <c r="E6671" s="1"/>
      <c r="F6671" s="1"/>
      <c r="G6671" s="1"/>
      <c r="H6671" s="1"/>
      <c r="I6671" s="1"/>
      <c r="J6671" s="1"/>
      <c r="K6671" s="102" t="s">
        <v>10312</v>
      </c>
      <c r="L6671" s="125" t="str">
        <f>G1028</f>
        <v>J2a1a2a~</v>
      </c>
      <c r="M6671" s="1"/>
      <c r="N6671" s="1" t="s">
        <v>10313</v>
      </c>
      <c r="O6671" s="114">
        <v>7687989.0</v>
      </c>
      <c r="P6671" s="114">
        <v>7819948.0</v>
      </c>
      <c r="Q6671" s="1" t="s">
        <v>2501</v>
      </c>
      <c r="S6671" s="1"/>
      <c r="T6671" s="1"/>
      <c r="U6671" s="1"/>
      <c r="V6671" s="1"/>
      <c r="W6671" s="1"/>
      <c r="X6671" s="1"/>
      <c r="Y6671" s="1"/>
      <c r="AA6671" s="102"/>
      <c r="AB6671" s="1"/>
      <c r="AC6671" s="1"/>
      <c r="AD6671" s="1"/>
      <c r="AE6671" s="1"/>
      <c r="AF6671" s="1"/>
      <c r="AG6671" s="1"/>
    </row>
    <row r="6672" ht="15.75" customHeight="1">
      <c r="A6672" s="1"/>
      <c r="B6672" s="1"/>
      <c r="C6672" s="1"/>
      <c r="D6672" s="1"/>
      <c r="E6672" s="1"/>
      <c r="F6672" s="1"/>
      <c r="G6672" s="1"/>
      <c r="H6672" s="1"/>
      <c r="I6672" s="1"/>
      <c r="J6672" s="1"/>
      <c r="K6672" s="102" t="s">
        <v>10314</v>
      </c>
      <c r="L6672" s="1" t="str">
        <f>G1028</f>
        <v>J2a1a2a~</v>
      </c>
      <c r="M6672" s="1"/>
      <c r="N6672" s="1" t="s">
        <v>10315</v>
      </c>
      <c r="O6672" s="114">
        <v>8105595.0</v>
      </c>
      <c r="P6672" s="114">
        <v>8237554.0</v>
      </c>
      <c r="Q6672" s="1" t="s">
        <v>2439</v>
      </c>
      <c r="S6672" s="1"/>
      <c r="T6672" s="1"/>
      <c r="U6672" s="1"/>
      <c r="V6672" s="1"/>
      <c r="W6672" s="1"/>
      <c r="X6672" s="1"/>
      <c r="Y6672" s="1"/>
      <c r="AA6672" s="102"/>
      <c r="AB6672" s="1"/>
      <c r="AC6672" s="1"/>
      <c r="AD6672" s="1"/>
      <c r="AE6672" s="1"/>
      <c r="AF6672" s="1"/>
      <c r="AG6672" s="1"/>
    </row>
    <row r="6673" ht="15.75" customHeight="1">
      <c r="A6673" s="1"/>
      <c r="B6673" s="1"/>
      <c r="C6673" s="1"/>
      <c r="D6673" s="1"/>
      <c r="E6673" s="1"/>
      <c r="F6673" s="1"/>
      <c r="G6673" s="1"/>
      <c r="H6673" s="1"/>
      <c r="I6673" s="1"/>
      <c r="J6673" s="1"/>
      <c r="K6673" s="1" t="s">
        <v>10316</v>
      </c>
      <c r="L6673" s="125" t="str">
        <f>G1028</f>
        <v>J2a1a2a~</v>
      </c>
      <c r="M6673" s="102"/>
      <c r="N6673" s="1" t="s">
        <v>10317</v>
      </c>
      <c r="O6673" s="114">
        <v>8146079.0</v>
      </c>
      <c r="P6673" s="105">
        <v>8278038.0</v>
      </c>
      <c r="Q6673" s="102" t="s">
        <v>2454</v>
      </c>
      <c r="S6673" s="1"/>
      <c r="T6673" s="1"/>
      <c r="U6673" s="1"/>
      <c r="V6673" s="1"/>
      <c r="W6673" s="1"/>
      <c r="X6673" s="1"/>
      <c r="Y6673" s="1"/>
      <c r="AA6673" s="102"/>
      <c r="AB6673" s="1"/>
      <c r="AC6673" s="1"/>
      <c r="AD6673" s="1"/>
      <c r="AE6673" s="1"/>
      <c r="AF6673" s="1"/>
      <c r="AG6673" s="1"/>
    </row>
    <row r="6674" ht="15.75" customHeight="1">
      <c r="A6674" s="1"/>
      <c r="B6674" s="1"/>
      <c r="C6674" s="1"/>
      <c r="D6674" s="1"/>
      <c r="E6674" s="1"/>
      <c r="F6674" s="1"/>
      <c r="G6674" s="1"/>
      <c r="H6674" s="1"/>
      <c r="I6674" s="1"/>
      <c r="J6674" s="1"/>
      <c r="K6674" s="1" t="s">
        <v>10318</v>
      </c>
      <c r="L6674" s="125" t="str">
        <f>G1028</f>
        <v>J2a1a2a~</v>
      </c>
      <c r="M6674" s="102"/>
      <c r="N6674" s="1" t="s">
        <v>10319</v>
      </c>
      <c r="O6674" s="114">
        <v>8367557.0</v>
      </c>
      <c r="P6674" s="105">
        <v>8499516.0</v>
      </c>
      <c r="Q6674" s="102" t="s">
        <v>2446</v>
      </c>
      <c r="S6674" s="1"/>
      <c r="T6674" s="1"/>
      <c r="U6674" s="1"/>
      <c r="V6674" s="1"/>
      <c r="W6674" s="1"/>
      <c r="X6674" s="1"/>
      <c r="Y6674" s="1"/>
      <c r="AA6674" s="102"/>
      <c r="AB6674" s="1"/>
      <c r="AC6674" s="1"/>
      <c r="AD6674" s="1"/>
      <c r="AE6674" s="1"/>
      <c r="AF6674" s="1"/>
      <c r="AG6674" s="1"/>
    </row>
    <row r="6675" ht="15.75" customHeight="1">
      <c r="A6675" s="1"/>
      <c r="B6675" s="1"/>
      <c r="C6675" s="1"/>
      <c r="D6675" s="1"/>
      <c r="E6675" s="1"/>
      <c r="F6675" s="1"/>
      <c r="G6675" s="1"/>
      <c r="H6675" s="1"/>
      <c r="I6675" s="1"/>
      <c r="J6675" s="1"/>
      <c r="K6675" s="102" t="s">
        <v>10320</v>
      </c>
      <c r="L6675" s="125" t="str">
        <f>G1028</f>
        <v>J2a1a2a~</v>
      </c>
      <c r="M6675" s="102"/>
      <c r="N6675" s="1" t="s">
        <v>10321</v>
      </c>
      <c r="O6675" s="114">
        <v>8464038.0</v>
      </c>
      <c r="P6675" s="105">
        <v>8595997.0</v>
      </c>
      <c r="Q6675" s="102" t="s">
        <v>2439</v>
      </c>
      <c r="S6675" s="1"/>
      <c r="T6675" s="1"/>
      <c r="U6675" s="1"/>
      <c r="V6675" s="1"/>
      <c r="W6675" s="1"/>
      <c r="X6675" s="1"/>
      <c r="Y6675" s="1"/>
      <c r="AA6675" s="102"/>
      <c r="AB6675" s="1"/>
      <c r="AC6675" s="1"/>
      <c r="AD6675" s="1"/>
      <c r="AE6675" s="1"/>
      <c r="AF6675" s="1"/>
      <c r="AG6675" s="1"/>
    </row>
    <row r="6676" ht="15.75" customHeight="1">
      <c r="A6676" s="1"/>
      <c r="B6676" s="1"/>
      <c r="C6676" s="1"/>
      <c r="D6676" s="1"/>
      <c r="E6676" s="1"/>
      <c r="F6676" s="1"/>
      <c r="G6676" s="1"/>
      <c r="H6676" s="1"/>
      <c r="I6676" s="1"/>
      <c r="J6676" s="1"/>
      <c r="K6676" s="1" t="s">
        <v>10322</v>
      </c>
      <c r="L6676" s="125" t="str">
        <f>G1028</f>
        <v>J2a1a2a~</v>
      </c>
      <c r="M6676" s="102"/>
      <c r="N6676" s="1" t="s">
        <v>10323</v>
      </c>
      <c r="O6676" s="114">
        <v>8657907.0</v>
      </c>
      <c r="P6676" s="105">
        <v>8789866.0</v>
      </c>
      <c r="Q6676" s="102" t="s">
        <v>2439</v>
      </c>
      <c r="S6676" s="1"/>
      <c r="T6676" s="1"/>
      <c r="U6676" s="1"/>
      <c r="V6676" s="1"/>
      <c r="W6676" s="1"/>
      <c r="X6676" s="1"/>
      <c r="Y6676" s="1"/>
      <c r="AA6676" s="102"/>
      <c r="AB6676" s="1"/>
      <c r="AC6676" s="1"/>
      <c r="AD6676" s="1"/>
      <c r="AE6676" s="1"/>
      <c r="AF6676" s="1"/>
      <c r="AG6676" s="1"/>
    </row>
    <row r="6677" ht="15.75" customHeight="1">
      <c r="A6677" s="1"/>
      <c r="B6677" s="1"/>
      <c r="C6677" s="1"/>
      <c r="D6677" s="1"/>
      <c r="E6677" s="1"/>
      <c r="F6677" s="1"/>
      <c r="G6677" s="1"/>
      <c r="H6677" s="1"/>
      <c r="I6677" s="1"/>
      <c r="J6677" s="1"/>
      <c r="K6677" s="1" t="s">
        <v>10324</v>
      </c>
      <c r="L6677" s="125" t="str">
        <f>G1028</f>
        <v>J2a1a2a~</v>
      </c>
      <c r="M6677" s="102"/>
      <c r="N6677" s="1" t="s">
        <v>10325</v>
      </c>
      <c r="O6677" s="114">
        <v>8659125.0</v>
      </c>
      <c r="P6677" s="105">
        <v>8791084.0</v>
      </c>
      <c r="Q6677" s="102" t="s">
        <v>2468</v>
      </c>
      <c r="S6677" s="1"/>
      <c r="T6677" s="1"/>
      <c r="U6677" s="1"/>
      <c r="V6677" s="1"/>
      <c r="W6677" s="1"/>
      <c r="X6677" s="1"/>
      <c r="Y6677" s="1"/>
      <c r="AA6677" s="102"/>
      <c r="AB6677" s="1"/>
      <c r="AC6677" s="1"/>
      <c r="AD6677" s="1"/>
      <c r="AE6677" s="1"/>
      <c r="AF6677" s="1"/>
      <c r="AG6677" s="1"/>
    </row>
    <row r="6678" ht="15.75" customHeight="1">
      <c r="A6678" s="1"/>
      <c r="B6678" s="1"/>
      <c r="C6678" s="1"/>
      <c r="D6678" s="1"/>
      <c r="E6678" s="1"/>
      <c r="F6678" s="1"/>
      <c r="G6678" s="1"/>
      <c r="H6678" s="1"/>
      <c r="I6678" s="1"/>
      <c r="J6678" s="1"/>
      <c r="K6678" s="1" t="s">
        <v>10326</v>
      </c>
      <c r="L6678" s="125" t="str">
        <f>G1028</f>
        <v>J2a1a2a~</v>
      </c>
      <c r="M6678" s="102"/>
      <c r="N6678" s="1"/>
      <c r="O6678" s="114">
        <v>8696061.0</v>
      </c>
      <c r="P6678" s="105">
        <v>8828020.0</v>
      </c>
      <c r="Q6678" s="102" t="s">
        <v>2501</v>
      </c>
      <c r="S6678" s="1"/>
      <c r="T6678" s="1"/>
      <c r="U6678" s="1"/>
      <c r="V6678" s="1"/>
      <c r="W6678" s="1"/>
      <c r="X6678" s="1"/>
      <c r="Y6678" s="1"/>
      <c r="AA6678" s="102"/>
      <c r="AB6678" s="1"/>
      <c r="AC6678" s="1"/>
      <c r="AD6678" s="1"/>
      <c r="AE6678" s="1"/>
      <c r="AF6678" s="1"/>
      <c r="AG6678" s="1"/>
    </row>
    <row r="6679" ht="15.75" customHeight="1">
      <c r="A6679" s="1"/>
      <c r="B6679" s="1"/>
      <c r="C6679" s="1"/>
      <c r="D6679" s="1"/>
      <c r="E6679" s="1"/>
      <c r="F6679" s="1"/>
      <c r="G6679" s="1"/>
      <c r="H6679" s="1"/>
      <c r="I6679" s="1"/>
      <c r="J6679" s="1"/>
      <c r="K6679" s="102" t="s">
        <v>10327</v>
      </c>
      <c r="L6679" s="125" t="str">
        <f>G1028</f>
        <v>J2a1a2a~</v>
      </c>
      <c r="M6679" s="102"/>
      <c r="N6679" s="1"/>
      <c r="O6679" s="114">
        <v>8771390.0</v>
      </c>
      <c r="P6679" s="105">
        <v>8903349.0</v>
      </c>
      <c r="Q6679" s="102" t="s">
        <v>2501</v>
      </c>
      <c r="S6679" s="1"/>
      <c r="T6679" s="1"/>
      <c r="U6679" s="1"/>
      <c r="V6679" s="1"/>
      <c r="W6679" s="1"/>
      <c r="X6679" s="1"/>
      <c r="Y6679" s="1"/>
      <c r="AA6679" s="102"/>
      <c r="AB6679" s="1"/>
      <c r="AC6679" s="1"/>
      <c r="AD6679" s="1"/>
      <c r="AE6679" s="1"/>
      <c r="AF6679" s="1"/>
      <c r="AG6679" s="1"/>
    </row>
    <row r="6680" ht="15.75" customHeight="1">
      <c r="A6680" s="1"/>
      <c r="B6680" s="1"/>
      <c r="C6680" s="1"/>
      <c r="D6680" s="1"/>
      <c r="E6680" s="1"/>
      <c r="F6680" s="1"/>
      <c r="G6680" s="1"/>
      <c r="H6680" s="1"/>
      <c r="I6680" s="1"/>
      <c r="J6680" s="1"/>
      <c r="K6680" s="1" t="s">
        <v>10328</v>
      </c>
      <c r="L6680" s="125" t="str">
        <f>G1028</f>
        <v>J2a1a2a~</v>
      </c>
      <c r="M6680" s="102"/>
      <c r="N6680" s="1"/>
      <c r="O6680" s="114">
        <v>8910610.0</v>
      </c>
      <c r="P6680" s="105">
        <v>9042569.0</v>
      </c>
      <c r="Q6680" s="102" t="s">
        <v>2529</v>
      </c>
      <c r="S6680" s="1"/>
      <c r="T6680" s="1"/>
      <c r="U6680" s="1"/>
      <c r="V6680" s="1"/>
      <c r="W6680" s="1"/>
      <c r="X6680" s="1"/>
      <c r="Y6680" s="1"/>
      <c r="AA6680" s="102"/>
      <c r="AB6680" s="1"/>
      <c r="AC6680" s="1"/>
      <c r="AD6680" s="1"/>
      <c r="AE6680" s="1"/>
      <c r="AF6680" s="1"/>
      <c r="AG6680" s="1"/>
    </row>
    <row r="6681" ht="15.75" customHeight="1">
      <c r="A6681" s="1"/>
      <c r="B6681" s="1"/>
      <c r="C6681" s="1"/>
      <c r="D6681" s="1"/>
      <c r="E6681" s="1"/>
      <c r="F6681" s="1"/>
      <c r="G6681" s="1"/>
      <c r="H6681" s="1"/>
      <c r="I6681" s="1"/>
      <c r="J6681" s="1"/>
      <c r="K6681" s="102" t="s">
        <v>10329</v>
      </c>
      <c r="L6681" s="125" t="str">
        <f>G1028</f>
        <v>J2a1a2a~</v>
      </c>
      <c r="M6681" s="102"/>
      <c r="N6681" s="1"/>
      <c r="O6681" s="114">
        <v>9099327.0</v>
      </c>
      <c r="P6681" s="105">
        <v>9261718.0</v>
      </c>
      <c r="Q6681" s="102" t="s">
        <v>2468</v>
      </c>
      <c r="S6681" s="1"/>
      <c r="T6681" s="1"/>
      <c r="U6681" s="1"/>
      <c r="V6681" s="1"/>
      <c r="W6681" s="1"/>
      <c r="X6681" s="1"/>
      <c r="Y6681" s="1"/>
      <c r="AA6681" s="102"/>
      <c r="AB6681" s="1"/>
      <c r="AC6681" s="1"/>
      <c r="AD6681" s="1"/>
      <c r="AE6681" s="1"/>
      <c r="AF6681" s="1"/>
      <c r="AG6681" s="1"/>
    </row>
    <row r="6682" ht="15.75" customHeight="1">
      <c r="A6682" s="1"/>
      <c r="B6682" s="1"/>
      <c r="C6682" s="1"/>
      <c r="D6682" s="1"/>
      <c r="E6682" s="1"/>
      <c r="F6682" s="1"/>
      <c r="G6682" s="1"/>
      <c r="H6682" s="1"/>
      <c r="I6682" s="1"/>
      <c r="J6682" s="1"/>
      <c r="K6682" s="1" t="s">
        <v>10330</v>
      </c>
      <c r="L6682" s="125" t="str">
        <f>G1028</f>
        <v>J2a1a2a~</v>
      </c>
      <c r="M6682" s="102"/>
      <c r="N6682" s="1"/>
      <c r="O6682" s="114">
        <v>9791449.0</v>
      </c>
      <c r="P6682" s="105">
        <v>9953840.0</v>
      </c>
      <c r="Q6682" s="102" t="s">
        <v>2468</v>
      </c>
      <c r="S6682" s="1"/>
      <c r="T6682" s="1"/>
      <c r="U6682" s="1"/>
      <c r="V6682" s="1"/>
      <c r="W6682" s="1"/>
      <c r="X6682" s="1"/>
      <c r="Y6682" s="1"/>
      <c r="AA6682" s="102"/>
      <c r="AB6682" s="1"/>
      <c r="AC6682" s="1"/>
      <c r="AD6682" s="1"/>
      <c r="AE6682" s="1"/>
      <c r="AF6682" s="1"/>
      <c r="AG6682" s="1"/>
    </row>
    <row r="6683" ht="15.75" customHeight="1">
      <c r="A6683" s="1"/>
      <c r="B6683" s="1"/>
      <c r="C6683" s="1"/>
      <c r="D6683" s="1"/>
      <c r="E6683" s="1"/>
      <c r="F6683" s="1"/>
      <c r="G6683" s="1"/>
      <c r="H6683" s="1"/>
      <c r="I6683" s="1"/>
      <c r="J6683" s="1"/>
      <c r="K6683" s="102" t="s">
        <v>10331</v>
      </c>
      <c r="L6683" s="125" t="str">
        <f>G1028</f>
        <v>J2a1a2a~</v>
      </c>
      <c r="M6683" s="102"/>
      <c r="N6683" s="1" t="s">
        <v>10332</v>
      </c>
      <c r="O6683" s="114">
        <v>1.7422185E7</v>
      </c>
      <c r="P6683" s="105">
        <v>1.5310305E7</v>
      </c>
      <c r="Q6683" s="102" t="s">
        <v>2563</v>
      </c>
      <c r="S6683" s="1"/>
      <c r="T6683" s="1"/>
      <c r="U6683" s="1"/>
      <c r="V6683" s="1"/>
      <c r="W6683" s="1"/>
      <c r="X6683" s="1"/>
      <c r="Y6683" s="1"/>
      <c r="AA6683" s="102"/>
      <c r="AB6683" s="1"/>
      <c r="AC6683" s="1"/>
      <c r="AD6683" s="1"/>
      <c r="AE6683" s="1"/>
      <c r="AF6683" s="1"/>
      <c r="AG6683" s="1"/>
    </row>
    <row r="6684" ht="15.75" customHeight="1">
      <c r="A6684" s="1"/>
      <c r="B6684" s="1"/>
      <c r="C6684" s="1"/>
      <c r="D6684" s="1"/>
      <c r="E6684" s="1"/>
      <c r="F6684" s="1"/>
      <c r="G6684" s="1"/>
      <c r="H6684" s="1"/>
      <c r="I6684" s="1"/>
      <c r="J6684" s="1"/>
      <c r="K6684" s="1" t="s">
        <v>10333</v>
      </c>
      <c r="L6684" s="125" t="str">
        <f>G1028</f>
        <v>J2a1a2a~</v>
      </c>
      <c r="M6684" s="102"/>
      <c r="N6684" s="1" t="s">
        <v>10334</v>
      </c>
      <c r="O6684" s="114">
        <v>1.7525521E7</v>
      </c>
      <c r="P6684" s="105">
        <v>1.5413641E7</v>
      </c>
      <c r="Q6684" s="102" t="s">
        <v>2529</v>
      </c>
      <c r="S6684" s="1"/>
      <c r="T6684" s="1"/>
      <c r="U6684" s="1"/>
      <c r="V6684" s="1"/>
      <c r="W6684" s="1"/>
      <c r="X6684" s="1"/>
      <c r="Y6684" s="1"/>
      <c r="AA6684" s="102"/>
      <c r="AB6684" s="1"/>
      <c r="AC6684" s="1"/>
      <c r="AD6684" s="1"/>
      <c r="AE6684" s="1"/>
      <c r="AF6684" s="1"/>
      <c r="AG6684" s="1"/>
    </row>
    <row r="6685" ht="15.75" customHeight="1">
      <c r="A6685" s="1"/>
      <c r="B6685" s="1"/>
      <c r="C6685" s="1"/>
      <c r="D6685" s="1"/>
      <c r="E6685" s="1"/>
      <c r="F6685" s="1"/>
      <c r="G6685" s="1"/>
      <c r="H6685" s="1"/>
      <c r="I6685" s="1"/>
      <c r="J6685" s="1"/>
      <c r="K6685" s="1" t="s">
        <v>10335</v>
      </c>
      <c r="L6685" s="125" t="str">
        <f>G1028</f>
        <v>J2a1a2a~</v>
      </c>
      <c r="M6685" s="102"/>
      <c r="N6685" s="1" t="s">
        <v>10336</v>
      </c>
      <c r="O6685" s="114">
        <v>1.8113622E7</v>
      </c>
      <c r="P6685" s="105">
        <v>1.6001742E7</v>
      </c>
      <c r="Q6685" s="102" t="s">
        <v>2446</v>
      </c>
      <c r="S6685" s="1"/>
      <c r="T6685" s="1"/>
      <c r="U6685" s="1"/>
      <c r="V6685" s="1"/>
      <c r="W6685" s="1"/>
      <c r="X6685" s="1"/>
      <c r="Y6685" s="1"/>
      <c r="AA6685" s="102"/>
      <c r="AB6685" s="1"/>
      <c r="AC6685" s="1"/>
      <c r="AD6685" s="1"/>
      <c r="AE6685" s="1"/>
      <c r="AF6685" s="1"/>
      <c r="AG6685" s="1"/>
    </row>
    <row r="6686" ht="15.75" customHeight="1">
      <c r="A6686" s="1"/>
      <c r="B6686" s="1"/>
      <c r="C6686" s="1"/>
      <c r="D6686" s="1"/>
      <c r="E6686" s="1"/>
      <c r="F6686" s="1"/>
      <c r="G6686" s="1"/>
      <c r="H6686" s="1"/>
      <c r="I6686" s="1"/>
      <c r="J6686" s="1"/>
      <c r="K6686" s="102" t="s">
        <v>10337</v>
      </c>
      <c r="L6686" s="125" t="str">
        <f>G1028</f>
        <v>J2a1a2a~</v>
      </c>
      <c r="M6686" s="102"/>
      <c r="N6686" s="1" t="s">
        <v>10338</v>
      </c>
      <c r="O6686" s="114">
        <v>1.8269305E7</v>
      </c>
      <c r="P6686" s="105">
        <v>1.6157425E7</v>
      </c>
      <c r="Q6686" s="102" t="s">
        <v>2439</v>
      </c>
      <c r="S6686" s="1"/>
      <c r="T6686" s="1"/>
      <c r="U6686" s="1"/>
      <c r="V6686" s="1"/>
      <c r="W6686" s="1"/>
      <c r="X6686" s="1"/>
      <c r="Y6686" s="1"/>
      <c r="AA6686" s="102"/>
      <c r="AB6686" s="1"/>
      <c r="AC6686" s="1"/>
      <c r="AD6686" s="1"/>
      <c r="AE6686" s="1"/>
      <c r="AF6686" s="1"/>
      <c r="AG6686" s="1"/>
    </row>
    <row r="6687" ht="15.75" customHeight="1">
      <c r="A6687" s="1"/>
      <c r="B6687" s="1"/>
      <c r="C6687" s="1"/>
      <c r="D6687" s="1"/>
      <c r="E6687" s="1"/>
      <c r="F6687" s="1"/>
      <c r="G6687" s="1"/>
      <c r="H6687" s="1"/>
      <c r="I6687" s="1"/>
      <c r="J6687" s="1"/>
      <c r="K6687" s="1" t="s">
        <v>10339</v>
      </c>
      <c r="L6687" s="125" t="str">
        <f>G1028</f>
        <v>J2a1a2a~</v>
      </c>
      <c r="M6687" s="102"/>
      <c r="N6687" s="1" t="s">
        <v>10340</v>
      </c>
      <c r="O6687" s="114">
        <v>1.8782943E7</v>
      </c>
      <c r="P6687" s="105">
        <v>1.6671063E7</v>
      </c>
      <c r="Q6687" s="102" t="s">
        <v>2529</v>
      </c>
      <c r="S6687" s="1"/>
      <c r="T6687" s="1"/>
      <c r="U6687" s="1"/>
      <c r="V6687" s="1"/>
      <c r="W6687" s="1"/>
      <c r="X6687" s="1"/>
      <c r="Y6687" s="1"/>
      <c r="AA6687" s="102"/>
      <c r="AB6687" s="1"/>
      <c r="AC6687" s="1"/>
      <c r="AD6687" s="1"/>
      <c r="AE6687" s="1"/>
      <c r="AF6687" s="1"/>
      <c r="AG6687" s="1"/>
    </row>
    <row r="6688" ht="15.75" customHeight="1">
      <c r="A6688" s="1"/>
      <c r="B6688" s="1"/>
      <c r="C6688" s="1"/>
      <c r="D6688" s="1"/>
      <c r="E6688" s="1"/>
      <c r="F6688" s="1"/>
      <c r="G6688" s="1"/>
      <c r="H6688" s="1"/>
      <c r="I6688" s="1"/>
      <c r="J6688" s="1"/>
      <c r="K6688" s="1" t="s">
        <v>10341</v>
      </c>
      <c r="L6688" s="125" t="str">
        <f>G1028</f>
        <v>J2a1a2a~</v>
      </c>
      <c r="M6688" s="102"/>
      <c r="N6688" s="1" t="s">
        <v>10342</v>
      </c>
      <c r="O6688" s="114">
        <v>2.1811805E7</v>
      </c>
      <c r="P6688" s="105">
        <v>1.9649919E7</v>
      </c>
      <c r="Q6688" s="102" t="s">
        <v>2446</v>
      </c>
      <c r="S6688" s="1"/>
      <c r="T6688" s="1"/>
      <c r="U6688" s="1"/>
      <c r="V6688" s="1"/>
      <c r="W6688" s="1"/>
      <c r="X6688" s="1"/>
      <c r="Y6688" s="1"/>
      <c r="AA6688" s="102"/>
      <c r="AB6688" s="1"/>
      <c r="AC6688" s="1"/>
      <c r="AD6688" s="1"/>
      <c r="AE6688" s="1"/>
      <c r="AF6688" s="1"/>
      <c r="AG6688" s="1"/>
    </row>
    <row r="6689" ht="15.75" customHeight="1">
      <c r="A6689" s="1"/>
      <c r="B6689" s="1"/>
      <c r="C6689" s="1"/>
      <c r="D6689" s="1"/>
      <c r="E6689" s="1"/>
      <c r="F6689" s="1"/>
      <c r="G6689" s="1"/>
      <c r="H6689" s="1"/>
      <c r="I6689" s="1"/>
      <c r="J6689" s="1"/>
      <c r="K6689" s="1" t="s">
        <v>10343</v>
      </c>
      <c r="L6689" s="125" t="str">
        <f>G1028</f>
        <v>J2a1a2a~</v>
      </c>
      <c r="M6689" s="102"/>
      <c r="N6689" s="1" t="s">
        <v>10344</v>
      </c>
      <c r="O6689" s="114">
        <v>2.3055768E7</v>
      </c>
      <c r="P6689" s="105">
        <v>2.0893882E7</v>
      </c>
      <c r="Q6689" s="102" t="s">
        <v>2439</v>
      </c>
      <c r="S6689" s="1"/>
      <c r="T6689" s="1"/>
      <c r="U6689" s="1"/>
      <c r="V6689" s="1"/>
      <c r="W6689" s="1"/>
      <c r="X6689" s="1"/>
      <c r="Y6689" s="1"/>
      <c r="AA6689" s="102"/>
      <c r="AB6689" s="1"/>
      <c r="AC6689" s="1"/>
      <c r="AD6689" s="1"/>
      <c r="AE6689" s="1"/>
      <c r="AF6689" s="1"/>
      <c r="AG6689" s="1"/>
    </row>
    <row r="6690" ht="15.75" customHeight="1">
      <c r="A6690" s="1"/>
      <c r="B6690" s="1"/>
      <c r="C6690" s="1"/>
      <c r="D6690" s="1"/>
      <c r="E6690" s="1"/>
      <c r="F6690" s="1"/>
      <c r="G6690" s="1"/>
      <c r="H6690" s="1"/>
      <c r="I6690" s="1"/>
      <c r="J6690" s="1"/>
      <c r="K6690" s="102" t="s">
        <v>10345</v>
      </c>
      <c r="L6690" s="125" t="str">
        <f>G1028</f>
        <v>J2a1a2a~</v>
      </c>
      <c r="M6690" s="102"/>
      <c r="N6690" s="1" t="s">
        <v>10346</v>
      </c>
      <c r="O6690" s="114">
        <v>2.316691E7</v>
      </c>
      <c r="P6690" s="105">
        <v>2.1005024E7</v>
      </c>
      <c r="Q6690" s="102" t="s">
        <v>2501</v>
      </c>
      <c r="S6690" s="1"/>
      <c r="T6690" s="1"/>
      <c r="U6690" s="1"/>
      <c r="V6690" s="1"/>
      <c r="W6690" s="1"/>
      <c r="X6690" s="1"/>
      <c r="Y6690" s="1"/>
      <c r="AA6690" s="102"/>
      <c r="AB6690" s="1"/>
      <c r="AC6690" s="1"/>
      <c r="AD6690" s="1"/>
      <c r="AE6690" s="1"/>
      <c r="AF6690" s="1"/>
      <c r="AG6690" s="1"/>
    </row>
    <row r="6691" ht="15.75" customHeight="1">
      <c r="A6691" s="1"/>
      <c r="B6691" s="1"/>
      <c r="C6691" s="1"/>
      <c r="D6691" s="1"/>
      <c r="E6691" s="1"/>
      <c r="F6691" s="1"/>
      <c r="G6691" s="1"/>
      <c r="H6691" s="1"/>
      <c r="I6691" s="1"/>
      <c r="J6691" s="1"/>
      <c r="K6691" s="102" t="s">
        <v>10347</v>
      </c>
      <c r="L6691" s="125" t="str">
        <f>G1028</f>
        <v>J2a1a2a~</v>
      </c>
      <c r="M6691" s="102"/>
      <c r="N6691" s="1"/>
      <c r="O6691" s="114">
        <v>2.3644677E7</v>
      </c>
      <c r="P6691" s="105">
        <v>2.1482791E7</v>
      </c>
      <c r="Q6691" s="102" t="s">
        <v>2439</v>
      </c>
      <c r="S6691" s="1"/>
      <c r="T6691" s="1"/>
      <c r="U6691" s="1"/>
      <c r="V6691" s="1"/>
      <c r="W6691" s="1"/>
      <c r="X6691" s="1"/>
      <c r="Y6691" s="1"/>
      <c r="AA6691" s="102"/>
      <c r="AB6691" s="1"/>
      <c r="AC6691" s="1"/>
      <c r="AD6691" s="1"/>
      <c r="AE6691" s="1"/>
      <c r="AF6691" s="1"/>
      <c r="AG6691" s="1"/>
    </row>
    <row r="6692" ht="15.75" customHeight="1">
      <c r="A6692" s="1"/>
      <c r="B6692" s="1"/>
      <c r="C6692" s="1"/>
      <c r="D6692" s="1"/>
      <c r="E6692" s="1"/>
      <c r="F6692" s="1"/>
      <c r="G6692" s="1"/>
      <c r="H6692" s="1"/>
      <c r="I6692" s="1"/>
      <c r="J6692" s="1"/>
      <c r="K6692" s="102" t="s">
        <v>10348</v>
      </c>
      <c r="L6692" s="125" t="str">
        <f>G1028</f>
        <v>J2a1a2a~</v>
      </c>
      <c r="M6692" s="102"/>
      <c r="N6692" s="1" t="s">
        <v>10349</v>
      </c>
      <c r="O6692" s="114">
        <v>1.8850371E7</v>
      </c>
      <c r="P6692" s="105">
        <v>1.6738491E7</v>
      </c>
      <c r="Q6692" s="102" t="s">
        <v>2529</v>
      </c>
      <c r="S6692" s="1"/>
      <c r="T6692" s="1"/>
      <c r="U6692" s="1"/>
      <c r="V6692" s="1"/>
      <c r="W6692" s="1"/>
      <c r="X6692" s="1"/>
      <c r="Y6692" s="1"/>
      <c r="AA6692" s="102"/>
      <c r="AB6692" s="1"/>
      <c r="AC6692" s="1"/>
      <c r="AD6692" s="1"/>
      <c r="AE6692" s="1"/>
      <c r="AF6692" s="1"/>
      <c r="AG6692" s="1"/>
    </row>
    <row r="6693" ht="15.75" customHeight="1">
      <c r="A6693" s="1"/>
      <c r="B6693" s="1"/>
      <c r="C6693" s="1"/>
      <c r="D6693" s="1"/>
      <c r="E6693" s="1"/>
      <c r="F6693" s="1"/>
      <c r="G6693" s="1"/>
      <c r="H6693" s="1"/>
      <c r="I6693" s="1"/>
      <c r="J6693" s="1"/>
      <c r="K6693" s="124" t="s">
        <v>10350</v>
      </c>
      <c r="L6693" s="126" t="str">
        <f>H1029</f>
        <v>J2a1a2a1~</v>
      </c>
      <c r="M6693" s="102"/>
      <c r="N6693" s="102"/>
      <c r="O6693" s="114">
        <v>7247285.0</v>
      </c>
      <c r="P6693" s="105">
        <v>7379244.0</v>
      </c>
      <c r="Q6693" s="102" t="s">
        <v>2529</v>
      </c>
      <c r="S6693" s="1"/>
      <c r="T6693" s="1"/>
      <c r="U6693" s="1"/>
      <c r="V6693" s="1"/>
      <c r="W6693" s="1"/>
      <c r="X6693" s="1"/>
      <c r="Y6693" s="1"/>
      <c r="AA6693" s="102"/>
      <c r="AB6693" s="1"/>
      <c r="AC6693" s="1"/>
      <c r="AD6693" s="1"/>
      <c r="AE6693" s="1"/>
      <c r="AF6693" s="1"/>
      <c r="AG6693" s="1"/>
    </row>
    <row r="6694" ht="15.75" customHeight="1">
      <c r="A6694" s="1"/>
      <c r="B6694" s="1"/>
      <c r="C6694" s="1"/>
      <c r="D6694" s="1"/>
      <c r="E6694" s="1"/>
      <c r="F6694" s="1"/>
      <c r="G6694" s="1"/>
      <c r="H6694" s="1"/>
      <c r="I6694" s="1"/>
      <c r="J6694" s="1"/>
      <c r="K6694" s="124" t="s">
        <v>10351</v>
      </c>
      <c r="L6694" s="126" t="str">
        <f>H1029</f>
        <v>J2a1a2a1~</v>
      </c>
      <c r="M6694" s="102"/>
      <c r="N6694" s="102"/>
      <c r="O6694" s="114">
        <v>7911142.0</v>
      </c>
      <c r="P6694" s="105">
        <v>8043101.0</v>
      </c>
      <c r="Q6694" s="102" t="s">
        <v>2439</v>
      </c>
      <c r="S6694" s="1"/>
      <c r="T6694" s="1"/>
      <c r="U6694" s="1"/>
      <c r="V6694" s="1"/>
      <c r="W6694" s="1"/>
      <c r="X6694" s="1"/>
      <c r="Y6694" s="1"/>
      <c r="AA6694" s="102"/>
      <c r="AB6694" s="1"/>
      <c r="AC6694" s="1"/>
      <c r="AD6694" s="1"/>
      <c r="AE6694" s="1"/>
      <c r="AF6694" s="1"/>
      <c r="AG6694" s="1"/>
    </row>
    <row r="6695" ht="15.75" customHeight="1">
      <c r="A6695" s="1"/>
      <c r="B6695" s="1"/>
      <c r="C6695" s="1"/>
      <c r="D6695" s="1"/>
      <c r="E6695" s="1"/>
      <c r="F6695" s="1"/>
      <c r="G6695" s="1"/>
      <c r="H6695" s="1"/>
      <c r="I6695" s="1"/>
      <c r="J6695" s="1"/>
      <c r="K6695" s="124" t="s">
        <v>10352</v>
      </c>
      <c r="L6695" s="126" t="str">
        <f>H1029</f>
        <v>J2a1a2a1~</v>
      </c>
      <c r="M6695" s="102"/>
      <c r="N6695" s="1" t="s">
        <v>10353</v>
      </c>
      <c r="O6695" s="114">
        <v>7942310.0</v>
      </c>
      <c r="P6695" s="105">
        <v>8074269.0</v>
      </c>
      <c r="Q6695" s="102" t="s">
        <v>2454</v>
      </c>
      <c r="S6695" s="1"/>
      <c r="T6695" s="1"/>
      <c r="U6695" s="1"/>
      <c r="V6695" s="1"/>
      <c r="W6695" s="1"/>
      <c r="X6695" s="1"/>
      <c r="Y6695" s="1"/>
      <c r="AA6695" s="102"/>
      <c r="AB6695" s="1"/>
      <c r="AC6695" s="1"/>
      <c r="AD6695" s="1"/>
      <c r="AE6695" s="1"/>
      <c r="AF6695" s="1"/>
      <c r="AG6695" s="1"/>
    </row>
    <row r="6696" ht="15.75" customHeight="1">
      <c r="A6696" s="1"/>
      <c r="B6696" s="1"/>
      <c r="C6696" s="1"/>
      <c r="D6696" s="1"/>
      <c r="E6696" s="1"/>
      <c r="F6696" s="1"/>
      <c r="G6696" s="1"/>
      <c r="H6696" s="1"/>
      <c r="I6696" s="1"/>
      <c r="J6696" s="1"/>
      <c r="K6696" s="124" t="s">
        <v>10354</v>
      </c>
      <c r="L6696" s="126" t="str">
        <f>H1029</f>
        <v>J2a1a2a1~</v>
      </c>
      <c r="M6696" s="102"/>
      <c r="N6696" s="1" t="s">
        <v>10355</v>
      </c>
      <c r="O6696" s="114">
        <v>9464271.0</v>
      </c>
      <c r="P6696" s="105">
        <v>9626662.0</v>
      </c>
      <c r="Q6696" s="102" t="s">
        <v>2439</v>
      </c>
      <c r="S6696" s="1"/>
      <c r="T6696" s="1"/>
      <c r="U6696" s="1"/>
      <c r="V6696" s="1"/>
      <c r="W6696" s="1"/>
      <c r="X6696" s="1"/>
      <c r="Y6696" s="1"/>
      <c r="AA6696" s="102"/>
      <c r="AB6696" s="1"/>
      <c r="AC6696" s="1"/>
      <c r="AD6696" s="1"/>
      <c r="AE6696" s="1"/>
      <c r="AF6696" s="1"/>
      <c r="AG6696" s="1"/>
    </row>
    <row r="6697" ht="15.75" customHeight="1">
      <c r="A6697" s="1"/>
      <c r="B6697" s="1"/>
      <c r="C6697" s="1"/>
      <c r="D6697" s="1"/>
      <c r="E6697" s="1"/>
      <c r="F6697" s="1"/>
      <c r="G6697" s="1"/>
      <c r="H6697" s="1"/>
      <c r="I6697" s="1"/>
      <c r="J6697" s="1"/>
      <c r="K6697" s="124" t="s">
        <v>10356</v>
      </c>
      <c r="L6697" s="126" t="str">
        <f>H1029</f>
        <v>J2a1a2a1~</v>
      </c>
      <c r="M6697" s="102"/>
      <c r="N6697" s="1" t="s">
        <v>10357</v>
      </c>
      <c r="O6697" s="114">
        <v>1.3846163E7</v>
      </c>
      <c r="P6697" s="105">
        <v>1.1725457E7</v>
      </c>
      <c r="Q6697" s="102" t="s">
        <v>2432</v>
      </c>
      <c r="S6697" s="1"/>
      <c r="T6697" s="1"/>
      <c r="U6697" s="1"/>
      <c r="V6697" s="1"/>
      <c r="W6697" s="1"/>
      <c r="X6697" s="1"/>
      <c r="Y6697" s="1"/>
      <c r="AA6697" s="102"/>
      <c r="AB6697" s="1"/>
      <c r="AC6697" s="1"/>
      <c r="AD6697" s="1"/>
      <c r="AE6697" s="1"/>
      <c r="AF6697" s="1"/>
      <c r="AG6697" s="1"/>
    </row>
    <row r="6698" ht="15.75" customHeight="1">
      <c r="A6698" s="1"/>
      <c r="B6698" s="1"/>
      <c r="C6698" s="1"/>
      <c r="D6698" s="1"/>
      <c r="E6698" s="1"/>
      <c r="F6698" s="1"/>
      <c r="G6698" s="1"/>
      <c r="H6698" s="1"/>
      <c r="I6698" s="1"/>
      <c r="J6698" s="1"/>
      <c r="K6698" s="124" t="s">
        <v>10358</v>
      </c>
      <c r="L6698" s="126" t="str">
        <f>H1029</f>
        <v>J2a1a2a1~</v>
      </c>
      <c r="M6698" s="102"/>
      <c r="N6698" s="1"/>
      <c r="O6698" s="114">
        <v>1.4036674E7</v>
      </c>
      <c r="P6698" s="105">
        <v>1.1915968E7</v>
      </c>
      <c r="Q6698" s="102" t="s">
        <v>2501</v>
      </c>
      <c r="S6698" s="1"/>
      <c r="T6698" s="1"/>
      <c r="U6698" s="1"/>
      <c r="V6698" s="1"/>
      <c r="W6698" s="1"/>
      <c r="X6698" s="1"/>
      <c r="Y6698" s="1"/>
      <c r="AA6698" s="102"/>
      <c r="AB6698" s="1"/>
      <c r="AC6698" s="1"/>
      <c r="AD6698" s="1"/>
      <c r="AE6698" s="1"/>
      <c r="AF6698" s="1"/>
      <c r="AG6698" s="1"/>
    </row>
    <row r="6699" ht="15.75" customHeight="1">
      <c r="A6699" s="1"/>
      <c r="B6699" s="1"/>
      <c r="C6699" s="1"/>
      <c r="D6699" s="1"/>
      <c r="E6699" s="1"/>
      <c r="F6699" s="1"/>
      <c r="G6699" s="1"/>
      <c r="H6699" s="1"/>
      <c r="I6699" s="1"/>
      <c r="J6699" s="1"/>
      <c r="K6699" s="124" t="s">
        <v>1683</v>
      </c>
      <c r="L6699" s="126" t="str">
        <f>H1029</f>
        <v>J2a1a2a1~</v>
      </c>
      <c r="M6699" s="102"/>
      <c r="N6699" s="1"/>
      <c r="O6699" s="114">
        <v>1.4070491E7</v>
      </c>
      <c r="P6699" s="105">
        <v>1.1949785E7</v>
      </c>
      <c r="Q6699" s="102" t="s">
        <v>2529</v>
      </c>
      <c r="S6699" s="1"/>
      <c r="T6699" s="1"/>
      <c r="U6699" s="1"/>
      <c r="V6699" s="1"/>
      <c r="W6699" s="1"/>
      <c r="X6699" s="1"/>
      <c r="Y6699" s="1"/>
      <c r="AA6699" s="102"/>
      <c r="AB6699" s="1"/>
      <c r="AC6699" s="1"/>
      <c r="AD6699" s="1"/>
      <c r="AE6699" s="1"/>
      <c r="AF6699" s="1"/>
      <c r="AG6699" s="1"/>
    </row>
    <row r="6700" ht="15.75" customHeight="1">
      <c r="A6700" s="1"/>
      <c r="B6700" s="1"/>
      <c r="C6700" s="1"/>
      <c r="D6700" s="1"/>
      <c r="E6700" s="1"/>
      <c r="F6700" s="1"/>
      <c r="G6700" s="1"/>
      <c r="H6700" s="1"/>
      <c r="I6700" s="1"/>
      <c r="J6700" s="1"/>
      <c r="K6700" s="124" t="s">
        <v>10359</v>
      </c>
      <c r="L6700" s="126" t="str">
        <f>H1029</f>
        <v>J2a1a2a1~</v>
      </c>
      <c r="M6700" s="102"/>
      <c r="N6700" s="1"/>
      <c r="O6700" s="114">
        <v>1.4070499E7</v>
      </c>
      <c r="P6700" s="105">
        <v>1.1949793E7</v>
      </c>
      <c r="Q6700" s="102" t="s">
        <v>2439</v>
      </c>
      <c r="S6700" s="1"/>
      <c r="T6700" s="1"/>
      <c r="U6700" s="1"/>
      <c r="V6700" s="1"/>
      <c r="W6700" s="1"/>
      <c r="X6700" s="1"/>
      <c r="Y6700" s="1"/>
      <c r="AA6700" s="102"/>
      <c r="AB6700" s="1"/>
      <c r="AC6700" s="1"/>
      <c r="AD6700" s="1"/>
      <c r="AE6700" s="1"/>
      <c r="AF6700" s="1"/>
      <c r="AG6700" s="1"/>
    </row>
    <row r="6701" ht="15.75" customHeight="1">
      <c r="A6701" s="1"/>
      <c r="B6701" s="1"/>
      <c r="C6701" s="1"/>
      <c r="D6701" s="1"/>
      <c r="E6701" s="1"/>
      <c r="F6701" s="1"/>
      <c r="G6701" s="1"/>
      <c r="H6701" s="1"/>
      <c r="I6701" s="1"/>
      <c r="J6701" s="1"/>
      <c r="K6701" s="124" t="s">
        <v>10360</v>
      </c>
      <c r="L6701" s="126" t="str">
        <f>H1029</f>
        <v>J2a1a2a1~</v>
      </c>
      <c r="M6701" s="102"/>
      <c r="N6701" s="1"/>
      <c r="O6701" s="114">
        <v>1.4071076E7</v>
      </c>
      <c r="P6701" s="105">
        <v>1.195037E7</v>
      </c>
      <c r="Q6701" s="102" t="s">
        <v>2468</v>
      </c>
      <c r="S6701" s="1"/>
      <c r="T6701" s="1"/>
      <c r="U6701" s="1"/>
      <c r="V6701" s="1"/>
      <c r="W6701" s="1"/>
      <c r="X6701" s="1"/>
      <c r="Y6701" s="1"/>
      <c r="AA6701" s="102"/>
      <c r="AB6701" s="1"/>
      <c r="AC6701" s="1"/>
      <c r="AD6701" s="1"/>
      <c r="AE6701" s="1"/>
      <c r="AF6701" s="1"/>
      <c r="AG6701" s="1"/>
    </row>
    <row r="6702" ht="15.75" customHeight="1">
      <c r="A6702" s="1"/>
      <c r="B6702" s="1"/>
      <c r="C6702" s="1"/>
      <c r="D6702" s="1"/>
      <c r="E6702" s="1"/>
      <c r="F6702" s="1"/>
      <c r="G6702" s="1"/>
      <c r="H6702" s="1"/>
      <c r="I6702" s="1"/>
      <c r="J6702" s="1"/>
      <c r="K6702" s="124" t="s">
        <v>10361</v>
      </c>
      <c r="L6702" s="126" t="str">
        <f>H1029</f>
        <v>J2a1a2a1~</v>
      </c>
      <c r="M6702" s="102"/>
      <c r="N6702" s="1" t="s">
        <v>10362</v>
      </c>
      <c r="O6702" s="114">
        <v>1.4401071E7</v>
      </c>
      <c r="P6702" s="105">
        <v>1.2280368E7</v>
      </c>
      <c r="Q6702" s="102" t="s">
        <v>2529</v>
      </c>
      <c r="S6702" s="1"/>
      <c r="T6702" s="1"/>
      <c r="U6702" s="1"/>
      <c r="V6702" s="1"/>
      <c r="W6702" s="1"/>
      <c r="X6702" s="1"/>
      <c r="Y6702" s="1"/>
      <c r="AA6702" s="102"/>
      <c r="AB6702" s="1"/>
      <c r="AC6702" s="1"/>
      <c r="AD6702" s="1"/>
      <c r="AE6702" s="1"/>
      <c r="AF6702" s="1"/>
      <c r="AG6702" s="1"/>
    </row>
    <row r="6703" ht="15.75" customHeight="1">
      <c r="A6703" s="1"/>
      <c r="B6703" s="1"/>
      <c r="C6703" s="1"/>
      <c r="D6703" s="1"/>
      <c r="E6703" s="1"/>
      <c r="F6703" s="1"/>
      <c r="G6703" s="1"/>
      <c r="H6703" s="1"/>
      <c r="I6703" s="1"/>
      <c r="J6703" s="1"/>
      <c r="K6703" s="124" t="s">
        <v>10363</v>
      </c>
      <c r="L6703" s="126" t="str">
        <f>H1029</f>
        <v>J2a1a2a1~</v>
      </c>
      <c r="M6703" s="102"/>
      <c r="N6703" s="1" t="s">
        <v>10364</v>
      </c>
      <c r="O6703" s="114">
        <v>1.4753374E7</v>
      </c>
      <c r="P6703" s="105">
        <v>1.2641443E7</v>
      </c>
      <c r="Q6703" s="102" t="s">
        <v>2514</v>
      </c>
      <c r="S6703" s="1"/>
      <c r="T6703" s="1"/>
      <c r="U6703" s="1"/>
      <c r="V6703" s="1"/>
      <c r="W6703" s="1"/>
      <c r="X6703" s="1"/>
      <c r="Y6703" s="1"/>
      <c r="AA6703" s="102"/>
      <c r="AB6703" s="1"/>
      <c r="AC6703" s="1"/>
      <c r="AD6703" s="1"/>
      <c r="AE6703" s="1"/>
      <c r="AF6703" s="1"/>
      <c r="AG6703" s="1"/>
    </row>
    <row r="6704" ht="15.75" customHeight="1">
      <c r="A6704" s="1"/>
      <c r="B6704" s="1"/>
      <c r="C6704" s="1"/>
      <c r="D6704" s="1"/>
      <c r="E6704" s="1"/>
      <c r="F6704" s="1"/>
      <c r="G6704" s="1"/>
      <c r="H6704" s="1"/>
      <c r="I6704" s="1"/>
      <c r="J6704" s="1"/>
      <c r="K6704" s="124" t="s">
        <v>10365</v>
      </c>
      <c r="L6704" s="126" t="str">
        <f>H1029</f>
        <v>J2a1a2a1~</v>
      </c>
      <c r="M6704" s="102"/>
      <c r="N6704" s="1" t="s">
        <v>10366</v>
      </c>
      <c r="O6704" s="114">
        <v>1.5256968E7</v>
      </c>
      <c r="P6704" s="105">
        <v>1.3145052E7</v>
      </c>
      <c r="Q6704" s="102" t="s">
        <v>2468</v>
      </c>
      <c r="S6704" s="1"/>
      <c r="T6704" s="1"/>
      <c r="U6704" s="1"/>
      <c r="V6704" s="1"/>
      <c r="W6704" s="1"/>
      <c r="X6704" s="1"/>
      <c r="Y6704" s="1"/>
      <c r="AA6704" s="102"/>
      <c r="AB6704" s="1"/>
      <c r="AC6704" s="1"/>
      <c r="AD6704" s="1"/>
      <c r="AE6704" s="1"/>
      <c r="AF6704" s="1"/>
      <c r="AG6704" s="1"/>
    </row>
    <row r="6705" ht="15.75" customHeight="1">
      <c r="A6705" s="1"/>
      <c r="B6705" s="1"/>
      <c r="C6705" s="1"/>
      <c r="D6705" s="1"/>
      <c r="E6705" s="1"/>
      <c r="F6705" s="1"/>
      <c r="G6705" s="1"/>
      <c r="H6705" s="1"/>
      <c r="I6705" s="1"/>
      <c r="J6705" s="1"/>
      <c r="K6705" s="124" t="s">
        <v>10367</v>
      </c>
      <c r="L6705" s="126" t="str">
        <f>H1029</f>
        <v>J2a1a2a1~</v>
      </c>
      <c r="M6705" s="102"/>
      <c r="N6705" s="1" t="s">
        <v>10368</v>
      </c>
      <c r="O6705" s="114">
        <v>1.7339865E7</v>
      </c>
      <c r="P6705" s="105">
        <v>1.5227985E7</v>
      </c>
      <c r="Q6705" s="102" t="s">
        <v>2423</v>
      </c>
      <c r="S6705" s="1"/>
      <c r="T6705" s="1"/>
      <c r="U6705" s="1"/>
      <c r="V6705" s="1"/>
      <c r="W6705" s="1"/>
      <c r="X6705" s="1"/>
      <c r="Y6705" s="1"/>
      <c r="AA6705" s="102"/>
      <c r="AB6705" s="1"/>
      <c r="AC6705" s="1"/>
      <c r="AD6705" s="1"/>
      <c r="AE6705" s="1"/>
      <c r="AF6705" s="1"/>
      <c r="AG6705" s="1"/>
    </row>
    <row r="6706" ht="15.75" customHeight="1">
      <c r="A6706" s="1"/>
      <c r="B6706" s="1"/>
      <c r="C6706" s="1"/>
      <c r="D6706" s="1"/>
      <c r="E6706" s="1"/>
      <c r="F6706" s="1"/>
      <c r="G6706" s="1"/>
      <c r="H6706" s="1"/>
      <c r="I6706" s="1"/>
      <c r="J6706" s="1"/>
      <c r="K6706" s="124" t="s">
        <v>10369</v>
      </c>
      <c r="L6706" s="126" t="str">
        <f>H1029</f>
        <v>J2a1a2a1~</v>
      </c>
      <c r="M6706" s="102"/>
      <c r="N6706" s="1" t="s">
        <v>10370</v>
      </c>
      <c r="O6706" s="114">
        <v>1.8793069E7</v>
      </c>
      <c r="P6706" s="105">
        <v>1.6681189E7</v>
      </c>
      <c r="Q6706" s="102" t="s">
        <v>2468</v>
      </c>
      <c r="S6706" s="1"/>
      <c r="T6706" s="1"/>
      <c r="U6706" s="1"/>
      <c r="V6706" s="1"/>
      <c r="W6706" s="1"/>
      <c r="X6706" s="1"/>
      <c r="Y6706" s="1"/>
      <c r="AA6706" s="102"/>
      <c r="AB6706" s="1"/>
      <c r="AC6706" s="1"/>
      <c r="AD6706" s="1"/>
      <c r="AE6706" s="1"/>
      <c r="AF6706" s="1"/>
      <c r="AG6706" s="1"/>
    </row>
    <row r="6707" ht="15.75" customHeight="1">
      <c r="A6707" s="1"/>
      <c r="B6707" s="1"/>
      <c r="C6707" s="1"/>
      <c r="D6707" s="1"/>
      <c r="E6707" s="1"/>
      <c r="F6707" s="1"/>
      <c r="G6707" s="1"/>
      <c r="H6707" s="1"/>
      <c r="I6707" s="1"/>
      <c r="J6707" s="1"/>
      <c r="K6707" s="124" t="s">
        <v>10371</v>
      </c>
      <c r="L6707" s="126" t="str">
        <f>H1029</f>
        <v>J2a1a2a1~</v>
      </c>
      <c r="M6707" s="102"/>
      <c r="N6707" s="1"/>
      <c r="O6707" s="114">
        <v>1.9092705E7</v>
      </c>
      <c r="P6707" s="105">
        <v>1.6980825E7</v>
      </c>
      <c r="Q6707" s="102" t="s">
        <v>2468</v>
      </c>
      <c r="S6707" s="1"/>
      <c r="T6707" s="1"/>
      <c r="U6707" s="1"/>
      <c r="V6707" s="1"/>
      <c r="W6707" s="1"/>
      <c r="X6707" s="1"/>
      <c r="Y6707" s="1"/>
      <c r="AA6707" s="102"/>
      <c r="AB6707" s="1"/>
      <c r="AC6707" s="1"/>
      <c r="AD6707" s="1"/>
      <c r="AE6707" s="1"/>
      <c r="AF6707" s="1"/>
      <c r="AG6707" s="1"/>
    </row>
    <row r="6708" ht="15.75" customHeight="1">
      <c r="A6708" s="1"/>
      <c r="B6708" s="1"/>
      <c r="C6708" s="1"/>
      <c r="D6708" s="1"/>
      <c r="E6708" s="1"/>
      <c r="F6708" s="1"/>
      <c r="G6708" s="1"/>
      <c r="H6708" s="1"/>
      <c r="I6708" s="1"/>
      <c r="J6708" s="1"/>
      <c r="K6708" s="124" t="s">
        <v>10372</v>
      </c>
      <c r="L6708" s="126" t="str">
        <f>H1029</f>
        <v>J2a1a2a1~</v>
      </c>
      <c r="M6708" s="102"/>
      <c r="N6708" s="1" t="s">
        <v>10373</v>
      </c>
      <c r="O6708" s="114">
        <v>2.1571788E7</v>
      </c>
      <c r="P6708" s="105">
        <v>1.9409902E7</v>
      </c>
      <c r="Q6708" s="102" t="s">
        <v>2501</v>
      </c>
      <c r="S6708" s="1"/>
      <c r="T6708" s="1"/>
      <c r="U6708" s="1"/>
      <c r="V6708" s="1"/>
      <c r="W6708" s="1"/>
      <c r="X6708" s="1"/>
      <c r="Y6708" s="1"/>
      <c r="AA6708" s="102"/>
      <c r="AB6708" s="1"/>
      <c r="AC6708" s="1"/>
      <c r="AD6708" s="1"/>
      <c r="AE6708" s="1"/>
      <c r="AF6708" s="1"/>
      <c r="AG6708" s="1"/>
    </row>
    <row r="6709" ht="15.75" customHeight="1">
      <c r="A6709" s="1"/>
      <c r="B6709" s="1"/>
      <c r="C6709" s="1"/>
      <c r="D6709" s="1"/>
      <c r="E6709" s="1"/>
      <c r="F6709" s="1"/>
      <c r="G6709" s="1"/>
      <c r="H6709" s="1"/>
      <c r="I6709" s="1"/>
      <c r="J6709" s="1"/>
      <c r="K6709" s="124" t="s">
        <v>10374</v>
      </c>
      <c r="L6709" s="126" t="str">
        <f>H1029</f>
        <v>J2a1a2a1~</v>
      </c>
      <c r="M6709" s="102"/>
      <c r="N6709" s="1" t="s">
        <v>10375</v>
      </c>
      <c r="O6709" s="114">
        <v>2.1927406E7</v>
      </c>
      <c r="P6709" s="105">
        <v>1.976552E7</v>
      </c>
      <c r="Q6709" s="102" t="s">
        <v>2439</v>
      </c>
      <c r="S6709" s="1"/>
      <c r="T6709" s="1"/>
      <c r="U6709" s="1"/>
      <c r="V6709" s="1"/>
      <c r="W6709" s="1"/>
      <c r="X6709" s="1"/>
      <c r="Y6709" s="1"/>
      <c r="AA6709" s="102"/>
      <c r="AB6709" s="1"/>
      <c r="AC6709" s="1"/>
      <c r="AD6709" s="1"/>
      <c r="AE6709" s="1"/>
      <c r="AF6709" s="1"/>
      <c r="AG6709" s="1"/>
    </row>
    <row r="6710" ht="15.75" customHeight="1">
      <c r="A6710" s="1"/>
      <c r="B6710" s="1"/>
      <c r="C6710" s="1"/>
      <c r="D6710" s="1"/>
      <c r="E6710" s="1"/>
      <c r="F6710" s="1"/>
      <c r="G6710" s="1"/>
      <c r="H6710" s="1"/>
      <c r="I6710" s="1"/>
      <c r="J6710" s="1"/>
      <c r="K6710" s="124" t="s">
        <v>10376</v>
      </c>
      <c r="L6710" s="126" t="str">
        <f>H1029</f>
        <v>J2a1a2a1~</v>
      </c>
      <c r="M6710" s="102"/>
      <c r="N6710" s="1" t="s">
        <v>10377</v>
      </c>
      <c r="O6710" s="114">
        <v>2.2562389E7</v>
      </c>
      <c r="P6710" s="105">
        <v>2.0400503E7</v>
      </c>
      <c r="Q6710" s="102" t="s">
        <v>2533</v>
      </c>
      <c r="S6710" s="1"/>
      <c r="T6710" s="1"/>
      <c r="U6710" s="1"/>
      <c r="V6710" s="1"/>
      <c r="W6710" s="1"/>
      <c r="X6710" s="1"/>
      <c r="Y6710" s="1"/>
      <c r="AA6710" s="102"/>
      <c r="AB6710" s="1"/>
      <c r="AC6710" s="1"/>
      <c r="AD6710" s="1"/>
      <c r="AE6710" s="1"/>
      <c r="AF6710" s="1"/>
      <c r="AG6710" s="1"/>
    </row>
    <row r="6711" ht="15.75" customHeight="1">
      <c r="A6711" s="1"/>
      <c r="B6711" s="1"/>
      <c r="C6711" s="1"/>
      <c r="D6711" s="1"/>
      <c r="E6711" s="1"/>
      <c r="F6711" s="1"/>
      <c r="G6711" s="1"/>
      <c r="H6711" s="1"/>
      <c r="I6711" s="1"/>
      <c r="J6711" s="1"/>
      <c r="K6711" s="124" t="s">
        <v>10378</v>
      </c>
      <c r="L6711" s="126" t="str">
        <f>H1029</f>
        <v>J2a1a2a1~</v>
      </c>
      <c r="M6711" s="102"/>
      <c r="N6711" s="1" t="s">
        <v>10379</v>
      </c>
      <c r="O6711" s="114">
        <v>2.258853E7</v>
      </c>
      <c r="P6711" s="105">
        <v>2.0426644E7</v>
      </c>
      <c r="Q6711" s="102" t="s">
        <v>2529</v>
      </c>
      <c r="S6711" s="1"/>
      <c r="T6711" s="1"/>
      <c r="U6711" s="1"/>
      <c r="V6711" s="1"/>
      <c r="W6711" s="1"/>
      <c r="X6711" s="1"/>
      <c r="Y6711" s="1"/>
      <c r="AA6711" s="102"/>
      <c r="AB6711" s="1"/>
      <c r="AC6711" s="1"/>
      <c r="AD6711" s="1"/>
      <c r="AE6711" s="1"/>
      <c r="AF6711" s="1"/>
      <c r="AG6711" s="1"/>
    </row>
    <row r="6712" ht="15.75" customHeight="1">
      <c r="A6712" s="1"/>
      <c r="B6712" s="1"/>
      <c r="C6712" s="1"/>
      <c r="D6712" s="1"/>
      <c r="E6712" s="1"/>
      <c r="F6712" s="1"/>
      <c r="G6712" s="1"/>
      <c r="H6712" s="1"/>
      <c r="I6712" s="1"/>
      <c r="J6712" s="1"/>
      <c r="K6712" s="124" t="s">
        <v>10380</v>
      </c>
      <c r="L6712" s="126" t="str">
        <f>H1029</f>
        <v>J2a1a2a1~</v>
      </c>
      <c r="M6712" s="102"/>
      <c r="N6712" s="1"/>
      <c r="O6712" s="114">
        <v>2.2750181E7</v>
      </c>
      <c r="P6712" s="105">
        <v>2.0588295E7</v>
      </c>
      <c r="Q6712" s="102" t="s">
        <v>2563</v>
      </c>
      <c r="S6712" s="1"/>
      <c r="T6712" s="1"/>
      <c r="U6712" s="1"/>
      <c r="V6712" s="1"/>
      <c r="W6712" s="1"/>
      <c r="X6712" s="1"/>
      <c r="Y6712" s="1"/>
      <c r="AA6712" s="102"/>
      <c r="AB6712" s="1"/>
      <c r="AC6712" s="1"/>
      <c r="AD6712" s="1"/>
      <c r="AE6712" s="1"/>
      <c r="AF6712" s="1"/>
      <c r="AG6712" s="1"/>
    </row>
    <row r="6713" ht="15.75" customHeight="1">
      <c r="A6713" s="1"/>
      <c r="B6713" s="1"/>
      <c r="C6713" s="1"/>
      <c r="D6713" s="1"/>
      <c r="E6713" s="1"/>
      <c r="F6713" s="1"/>
      <c r="G6713" s="1"/>
      <c r="H6713" s="1"/>
      <c r="I6713" s="1"/>
      <c r="J6713" s="1"/>
      <c r="K6713" s="124" t="s">
        <v>10381</v>
      </c>
      <c r="L6713" s="126" t="str">
        <f>H1029</f>
        <v>J2a1a2a1~</v>
      </c>
      <c r="M6713" s="102"/>
      <c r="N6713" s="1" t="s">
        <v>10382</v>
      </c>
      <c r="O6713" s="114">
        <v>2.2753176E7</v>
      </c>
      <c r="P6713" s="105">
        <v>2.059129E7</v>
      </c>
      <c r="Q6713" s="102" t="s">
        <v>2439</v>
      </c>
      <c r="S6713" s="1"/>
      <c r="T6713" s="1"/>
      <c r="U6713" s="1"/>
      <c r="V6713" s="1"/>
      <c r="W6713" s="1"/>
      <c r="X6713" s="1"/>
      <c r="Y6713" s="1"/>
      <c r="AA6713" s="102"/>
      <c r="AB6713" s="1"/>
      <c r="AC6713" s="1"/>
      <c r="AD6713" s="1"/>
      <c r="AE6713" s="1"/>
      <c r="AF6713" s="1"/>
      <c r="AG6713" s="1"/>
    </row>
    <row r="6714" ht="15.75" customHeight="1">
      <c r="A6714" s="1"/>
      <c r="B6714" s="1"/>
      <c r="C6714" s="1"/>
      <c r="D6714" s="1"/>
      <c r="E6714" s="1"/>
      <c r="F6714" s="1"/>
      <c r="G6714" s="1"/>
      <c r="H6714" s="1"/>
      <c r="I6714" s="1"/>
      <c r="J6714" s="1"/>
      <c r="K6714" s="102" t="s">
        <v>10383</v>
      </c>
      <c r="L6714" s="126" t="str">
        <f>H1029</f>
        <v>J2a1a2a1~</v>
      </c>
      <c r="M6714" s="102"/>
      <c r="N6714" s="1" t="s">
        <v>10384</v>
      </c>
      <c r="O6714" s="114">
        <v>2.336482E7</v>
      </c>
      <c r="P6714" s="105">
        <v>2.1202934E7</v>
      </c>
      <c r="Q6714" s="102" t="s">
        <v>2529</v>
      </c>
      <c r="S6714" s="1"/>
      <c r="T6714" s="1"/>
      <c r="U6714" s="1"/>
      <c r="V6714" s="1"/>
      <c r="W6714" s="1"/>
      <c r="X6714" s="1"/>
      <c r="Y6714" s="1"/>
      <c r="AA6714" s="102"/>
      <c r="AB6714" s="1"/>
      <c r="AC6714" s="1"/>
      <c r="AD6714" s="1"/>
      <c r="AE6714" s="1"/>
      <c r="AF6714" s="1"/>
      <c r="AG6714" s="1"/>
    </row>
    <row r="6715" ht="15.75" customHeight="1">
      <c r="A6715" s="1"/>
      <c r="B6715" s="1"/>
      <c r="C6715" s="1"/>
      <c r="D6715" s="1"/>
      <c r="E6715" s="1"/>
      <c r="F6715" s="1"/>
      <c r="G6715" s="1"/>
      <c r="H6715" s="1"/>
      <c r="I6715" s="1"/>
      <c r="J6715" s="1"/>
      <c r="K6715" s="102" t="s">
        <v>10385</v>
      </c>
      <c r="L6715" s="126" t="str">
        <f>H1029</f>
        <v>J2a1a2a1~</v>
      </c>
      <c r="M6715" s="102"/>
      <c r="N6715" s="1" t="s">
        <v>10386</v>
      </c>
      <c r="O6715" s="114">
        <v>2.3384683E7</v>
      </c>
      <c r="P6715" s="105">
        <v>2.1222797E7</v>
      </c>
      <c r="Q6715" s="102" t="s">
        <v>2529</v>
      </c>
      <c r="S6715" s="1"/>
      <c r="T6715" s="1"/>
      <c r="U6715" s="1"/>
      <c r="V6715" s="1"/>
      <c r="W6715" s="1"/>
      <c r="X6715" s="1"/>
      <c r="Y6715" s="1"/>
      <c r="AA6715" s="102"/>
      <c r="AB6715" s="1"/>
      <c r="AC6715" s="1"/>
      <c r="AD6715" s="1"/>
      <c r="AE6715" s="1"/>
      <c r="AF6715" s="1"/>
      <c r="AG6715" s="1"/>
    </row>
    <row r="6716" ht="15.75" customHeight="1">
      <c r="A6716" s="1"/>
      <c r="B6716" s="1"/>
      <c r="C6716" s="1"/>
      <c r="D6716" s="1"/>
      <c r="E6716" s="1"/>
      <c r="F6716" s="1"/>
      <c r="G6716" s="1"/>
      <c r="H6716" s="1"/>
      <c r="I6716" s="1"/>
      <c r="J6716" s="1"/>
      <c r="K6716" s="102" t="s">
        <v>10387</v>
      </c>
      <c r="L6716" s="126" t="str">
        <f>H1029</f>
        <v>J2a1a2a1~</v>
      </c>
      <c r="M6716" s="102"/>
      <c r="N6716" s="1" t="s">
        <v>10388</v>
      </c>
      <c r="O6716" s="114">
        <v>8616697.0</v>
      </c>
      <c r="P6716" s="105">
        <v>8748656.0</v>
      </c>
      <c r="Q6716" s="102" t="s">
        <v>2529</v>
      </c>
      <c r="S6716" s="1"/>
      <c r="T6716" s="1"/>
      <c r="U6716" s="1"/>
      <c r="V6716" s="1"/>
      <c r="W6716" s="1"/>
      <c r="X6716" s="1"/>
      <c r="Y6716" s="1"/>
      <c r="AA6716" s="102"/>
      <c r="AB6716" s="1"/>
      <c r="AC6716" s="1"/>
      <c r="AD6716" s="1"/>
      <c r="AE6716" s="1"/>
      <c r="AF6716" s="1"/>
      <c r="AG6716" s="1"/>
    </row>
    <row r="6717" ht="15.75" customHeight="1">
      <c r="A6717" s="1"/>
      <c r="B6717" s="1"/>
      <c r="C6717" s="1"/>
      <c r="D6717" s="1"/>
      <c r="E6717" s="1"/>
      <c r="F6717" s="1"/>
      <c r="G6717" s="1"/>
      <c r="H6717" s="1"/>
      <c r="I6717" s="1"/>
      <c r="J6717" s="1"/>
      <c r="K6717" s="102" t="s">
        <v>10389</v>
      </c>
      <c r="L6717" s="126" t="str">
        <f>H1029</f>
        <v>J2a1a2a1~</v>
      </c>
      <c r="M6717" s="102"/>
      <c r="N6717" s="1" t="s">
        <v>10390</v>
      </c>
      <c r="O6717" s="114">
        <v>1.3863002E7</v>
      </c>
      <c r="P6717" s="105">
        <v>1.1742296E7</v>
      </c>
      <c r="Q6717" s="102" t="s">
        <v>2514</v>
      </c>
      <c r="S6717" s="1"/>
      <c r="T6717" s="1"/>
      <c r="U6717" s="1"/>
      <c r="V6717" s="1"/>
      <c r="W6717" s="1"/>
      <c r="X6717" s="1"/>
      <c r="Y6717" s="1"/>
      <c r="AA6717" s="102"/>
      <c r="AB6717" s="1"/>
      <c r="AC6717" s="1"/>
      <c r="AD6717" s="1"/>
      <c r="AE6717" s="1"/>
      <c r="AF6717" s="1"/>
      <c r="AG6717" s="1"/>
    </row>
    <row r="6718" ht="15.75" customHeight="1">
      <c r="A6718" s="1"/>
      <c r="B6718" s="1"/>
      <c r="C6718" s="1"/>
      <c r="D6718" s="1"/>
      <c r="E6718" s="1"/>
      <c r="F6718" s="1"/>
      <c r="G6718" s="1"/>
      <c r="H6718" s="1"/>
      <c r="I6718" s="1"/>
      <c r="J6718" s="1"/>
      <c r="K6718" s="102" t="s">
        <v>10391</v>
      </c>
      <c r="L6718" s="126" t="str">
        <f>H1029</f>
        <v>J2a1a2a1~</v>
      </c>
      <c r="M6718" s="102"/>
      <c r="N6718" s="1" t="s">
        <v>10392</v>
      </c>
      <c r="O6718" s="114">
        <v>1.5303906E7</v>
      </c>
      <c r="P6718" s="105">
        <v>1.3192005E7</v>
      </c>
      <c r="Q6718" s="102" t="s">
        <v>2529</v>
      </c>
      <c r="S6718" s="1"/>
      <c r="T6718" s="1"/>
      <c r="U6718" s="1"/>
      <c r="V6718" s="1"/>
      <c r="W6718" s="1"/>
      <c r="X6718" s="1"/>
      <c r="Y6718" s="1"/>
      <c r="AA6718" s="102"/>
      <c r="AB6718" s="1"/>
      <c r="AC6718" s="1"/>
      <c r="AD6718" s="1"/>
      <c r="AE6718" s="1"/>
      <c r="AF6718" s="1"/>
      <c r="AG6718" s="1"/>
    </row>
    <row r="6719" ht="15.75" customHeight="1">
      <c r="A6719" s="1"/>
      <c r="B6719" s="1"/>
      <c r="C6719" s="1"/>
      <c r="D6719" s="1"/>
      <c r="E6719" s="1"/>
      <c r="F6719" s="1"/>
      <c r="G6719" s="1"/>
      <c r="H6719" s="1"/>
      <c r="I6719" s="1"/>
      <c r="J6719" s="1"/>
      <c r="K6719" s="102" t="s">
        <v>10393</v>
      </c>
      <c r="L6719" s="126" t="str">
        <f>H1029</f>
        <v>J2a1a2a1~</v>
      </c>
      <c r="M6719" s="102"/>
      <c r="N6719" s="1"/>
      <c r="O6719" s="114">
        <v>2.1825198E7</v>
      </c>
      <c r="P6719" s="105">
        <v>1.9663312E7</v>
      </c>
      <c r="Q6719" s="102" t="s">
        <v>2439</v>
      </c>
      <c r="S6719" s="1"/>
      <c r="T6719" s="1"/>
      <c r="U6719" s="1"/>
      <c r="V6719" s="1"/>
      <c r="W6719" s="1"/>
      <c r="X6719" s="1"/>
      <c r="Y6719" s="1"/>
      <c r="AA6719" s="102"/>
      <c r="AB6719" s="1"/>
      <c r="AC6719" s="1"/>
      <c r="AD6719" s="1"/>
      <c r="AE6719" s="1"/>
      <c r="AF6719" s="1"/>
      <c r="AG6719" s="1"/>
    </row>
    <row r="6720" ht="15.75" customHeight="1">
      <c r="A6720" s="1"/>
      <c r="B6720" s="1"/>
      <c r="C6720" s="1"/>
      <c r="D6720" s="1"/>
      <c r="E6720" s="1"/>
      <c r="F6720" s="1"/>
      <c r="G6720" s="1"/>
      <c r="H6720" s="1"/>
      <c r="I6720" s="1"/>
      <c r="J6720" s="1"/>
      <c r="K6720" s="102" t="s">
        <v>10394</v>
      </c>
      <c r="L6720" s="126" t="str">
        <f>H1029</f>
        <v>J2a1a2a1~</v>
      </c>
      <c r="M6720" s="102"/>
      <c r="N6720" s="1" t="s">
        <v>10395</v>
      </c>
      <c r="O6720" s="114">
        <v>7245772.0</v>
      </c>
      <c r="P6720" s="105">
        <v>7377731.0</v>
      </c>
      <c r="Q6720" s="102" t="s">
        <v>2501</v>
      </c>
      <c r="S6720" s="1"/>
      <c r="T6720" s="1"/>
      <c r="U6720" s="1"/>
      <c r="V6720" s="1"/>
      <c r="W6720" s="1"/>
      <c r="X6720" s="1"/>
      <c r="Y6720" s="1"/>
      <c r="AA6720" s="102"/>
      <c r="AB6720" s="1"/>
      <c r="AC6720" s="1"/>
      <c r="AD6720" s="1"/>
      <c r="AE6720" s="1"/>
      <c r="AF6720" s="1"/>
      <c r="AG6720" s="1"/>
    </row>
    <row r="6721" ht="15.75" customHeight="1">
      <c r="A6721" s="1"/>
      <c r="B6721" s="1"/>
      <c r="C6721" s="1"/>
      <c r="D6721" s="1"/>
      <c r="E6721" s="1"/>
      <c r="F6721" s="1"/>
      <c r="G6721" s="1"/>
      <c r="H6721" s="1"/>
      <c r="I6721" s="1"/>
      <c r="J6721" s="1"/>
      <c r="K6721" s="102" t="s">
        <v>10396</v>
      </c>
      <c r="L6721" s="126" t="str">
        <f>H1029</f>
        <v>J2a1a2a1~</v>
      </c>
      <c r="M6721" s="102"/>
      <c r="N6721" s="1" t="s">
        <v>10397</v>
      </c>
      <c r="O6721" s="114">
        <v>7798488.0</v>
      </c>
      <c r="P6721" s="105">
        <v>7930447.0</v>
      </c>
      <c r="Q6721" s="102" t="s">
        <v>2439</v>
      </c>
      <c r="S6721" s="1"/>
      <c r="T6721" s="1"/>
      <c r="U6721" s="1"/>
      <c r="V6721" s="1"/>
      <c r="W6721" s="1"/>
      <c r="X6721" s="1"/>
      <c r="Y6721" s="1"/>
      <c r="AA6721" s="102"/>
      <c r="AB6721" s="1"/>
      <c r="AC6721" s="1"/>
      <c r="AD6721" s="1"/>
      <c r="AE6721" s="1"/>
      <c r="AF6721" s="1"/>
      <c r="AG6721" s="1"/>
    </row>
    <row r="6722" ht="15.75" customHeight="1">
      <c r="A6722" s="1"/>
      <c r="B6722" s="1"/>
      <c r="C6722" s="1"/>
      <c r="D6722" s="1"/>
      <c r="E6722" s="1"/>
      <c r="F6722" s="1"/>
      <c r="G6722" s="1"/>
      <c r="H6722" s="1"/>
      <c r="I6722" s="1"/>
      <c r="J6722" s="1"/>
      <c r="K6722" s="102" t="s">
        <v>10398</v>
      </c>
      <c r="L6722" s="126" t="str">
        <f>H1029</f>
        <v>J2a1a2a1~</v>
      </c>
      <c r="M6722" s="102"/>
      <c r="N6722" s="1" t="s">
        <v>10399</v>
      </c>
      <c r="O6722" s="114">
        <v>1.5548727E7</v>
      </c>
      <c r="P6722" s="105">
        <v>1.3436847E7</v>
      </c>
      <c r="Q6722" s="102" t="s">
        <v>2423</v>
      </c>
      <c r="S6722" s="1"/>
      <c r="T6722" s="1"/>
      <c r="U6722" s="1"/>
      <c r="V6722" s="1"/>
      <c r="W6722" s="1"/>
      <c r="X6722" s="1"/>
      <c r="Y6722" s="1"/>
      <c r="AA6722" s="102"/>
      <c r="AB6722" s="1"/>
      <c r="AC6722" s="1"/>
      <c r="AD6722" s="1"/>
      <c r="AE6722" s="1"/>
      <c r="AF6722" s="1"/>
      <c r="AG6722" s="1"/>
    </row>
    <row r="6723" ht="15.75" customHeight="1">
      <c r="A6723" s="1"/>
      <c r="B6723" s="1"/>
      <c r="C6723" s="1"/>
      <c r="D6723" s="1"/>
      <c r="E6723" s="1"/>
      <c r="F6723" s="1"/>
      <c r="G6723" s="1"/>
      <c r="H6723" s="1"/>
      <c r="I6723" s="1"/>
      <c r="J6723" s="1"/>
      <c r="K6723" s="102" t="s">
        <v>10400</v>
      </c>
      <c r="L6723" s="126" t="str">
        <f>H1029</f>
        <v>J2a1a2a1~</v>
      </c>
      <c r="M6723" s="102"/>
      <c r="N6723" s="1" t="s">
        <v>10401</v>
      </c>
      <c r="O6723" s="114">
        <v>2.2941996E7</v>
      </c>
      <c r="P6723" s="105">
        <v>2.078011E7</v>
      </c>
      <c r="Q6723" s="102" t="s">
        <v>2501</v>
      </c>
      <c r="S6723" s="1"/>
      <c r="T6723" s="1"/>
      <c r="U6723" s="1"/>
      <c r="V6723" s="1"/>
      <c r="W6723" s="1"/>
      <c r="X6723" s="1"/>
      <c r="Y6723" s="1"/>
      <c r="AA6723" s="102"/>
      <c r="AB6723" s="1"/>
      <c r="AC6723" s="1"/>
      <c r="AD6723" s="1"/>
      <c r="AE6723" s="1"/>
      <c r="AF6723" s="1"/>
      <c r="AG6723" s="1"/>
    </row>
    <row r="6724" ht="15.75" customHeight="1">
      <c r="A6724" s="1"/>
      <c r="B6724" s="1"/>
      <c r="C6724" s="1"/>
      <c r="D6724" s="1"/>
      <c r="E6724" s="1"/>
      <c r="F6724" s="1"/>
      <c r="G6724" s="1"/>
      <c r="H6724" s="1"/>
      <c r="I6724" s="1"/>
      <c r="J6724" s="1"/>
      <c r="K6724" s="102" t="s">
        <v>10402</v>
      </c>
      <c r="L6724" s="126" t="str">
        <f>H1029</f>
        <v>J2a1a2a1~</v>
      </c>
      <c r="M6724" s="102"/>
      <c r="N6724" s="1" t="s">
        <v>10403</v>
      </c>
      <c r="O6724" s="114">
        <v>1.9445242E7</v>
      </c>
      <c r="P6724" s="105">
        <v>1.7333362E7</v>
      </c>
      <c r="Q6724" s="102" t="s">
        <v>2501</v>
      </c>
      <c r="S6724" s="1"/>
      <c r="T6724" s="1"/>
      <c r="U6724" s="1"/>
      <c r="V6724" s="1"/>
      <c r="W6724" s="1"/>
      <c r="X6724" s="1"/>
      <c r="Y6724" s="1"/>
      <c r="AA6724" s="102"/>
      <c r="AB6724" s="1"/>
      <c r="AC6724" s="1"/>
      <c r="AD6724" s="1"/>
      <c r="AE6724" s="1"/>
      <c r="AF6724" s="1"/>
      <c r="AG6724" s="1"/>
    </row>
    <row r="6725" ht="15.75" customHeight="1">
      <c r="A6725" s="1"/>
      <c r="B6725" s="1"/>
      <c r="C6725" s="1"/>
      <c r="D6725" s="1"/>
      <c r="E6725" s="1"/>
      <c r="F6725" s="1"/>
      <c r="G6725" s="1"/>
      <c r="H6725" s="1"/>
      <c r="I6725" s="1"/>
      <c r="J6725" s="1"/>
      <c r="K6725" s="102" t="s">
        <v>10404</v>
      </c>
      <c r="L6725" t="str">
        <f>G1030</f>
        <v>J2a1a2b~</v>
      </c>
      <c r="M6725" s="102"/>
      <c r="N6725" s="1" t="s">
        <v>10405</v>
      </c>
      <c r="O6725" s="114">
        <v>1.5940078E7</v>
      </c>
      <c r="P6725" s="114">
        <v>1.3828198E7</v>
      </c>
      <c r="Q6725" s="1" t="s">
        <v>2501</v>
      </c>
      <c r="S6725" s="1"/>
      <c r="T6725" s="1"/>
      <c r="U6725" s="1"/>
      <c r="V6725" s="1"/>
      <c r="W6725" s="1"/>
      <c r="X6725" s="1"/>
      <c r="Y6725" s="1"/>
      <c r="AA6725" s="102"/>
      <c r="AB6725" s="1"/>
      <c r="AC6725" s="1"/>
      <c r="AD6725" s="1"/>
      <c r="AE6725" s="1"/>
      <c r="AF6725" s="1"/>
      <c r="AG6725" s="1"/>
    </row>
    <row r="6726" ht="15.75" customHeight="1">
      <c r="A6726" s="1"/>
      <c r="B6726" s="1"/>
      <c r="C6726" s="1"/>
      <c r="D6726" s="1"/>
      <c r="E6726" s="1"/>
      <c r="F6726" s="1"/>
      <c r="G6726" s="1"/>
      <c r="H6726" s="1"/>
      <c r="I6726" s="1"/>
      <c r="J6726" s="1"/>
      <c r="K6726" s="1" t="s">
        <v>10406</v>
      </c>
      <c r="L6726" t="str">
        <f>G1030</f>
        <v>J2a1a2b~</v>
      </c>
      <c r="M6726" s="1" t="s">
        <v>10407</v>
      </c>
      <c r="N6726" s="1" t="s">
        <v>10408</v>
      </c>
      <c r="O6726" s="114">
        <v>1.6238934E7</v>
      </c>
      <c r="P6726" s="114">
        <v>1.4127054E7</v>
      </c>
      <c r="Q6726" s="1" t="s">
        <v>2446</v>
      </c>
      <c r="S6726" s="1"/>
      <c r="T6726" s="1"/>
      <c r="U6726" s="1"/>
      <c r="V6726" s="1"/>
      <c r="W6726" s="1"/>
      <c r="X6726" s="1"/>
      <c r="Y6726" s="1"/>
      <c r="AA6726" s="102"/>
      <c r="AB6726" s="1"/>
      <c r="AC6726" s="1"/>
      <c r="AD6726" s="1"/>
      <c r="AE6726" s="1"/>
      <c r="AF6726" s="1"/>
      <c r="AG6726" s="1"/>
    </row>
    <row r="6727" ht="15.75" customHeight="1">
      <c r="A6727" s="1"/>
      <c r="B6727" s="1"/>
      <c r="C6727" s="1"/>
      <c r="D6727" s="1"/>
      <c r="E6727" s="1"/>
      <c r="F6727" s="1"/>
      <c r="G6727" s="1"/>
      <c r="H6727" s="1"/>
      <c r="I6727" s="1"/>
      <c r="J6727" s="1"/>
      <c r="K6727" s="19" t="s">
        <v>10407</v>
      </c>
      <c r="L6727" t="str">
        <f>G1030</f>
        <v>J2a1a2b~</v>
      </c>
      <c r="M6727" s="19" t="s">
        <v>10406</v>
      </c>
      <c r="N6727" s="1" t="s">
        <v>10408</v>
      </c>
      <c r="O6727" s="114">
        <v>1.6238934E7</v>
      </c>
      <c r="P6727" s="114">
        <v>1.4127054E7</v>
      </c>
      <c r="Q6727" s="1" t="s">
        <v>2446</v>
      </c>
      <c r="S6727" s="1"/>
      <c r="T6727" s="1"/>
      <c r="U6727" s="1"/>
      <c r="V6727" s="1"/>
      <c r="W6727" s="1"/>
      <c r="X6727" s="1"/>
      <c r="Y6727" s="1"/>
      <c r="AA6727" s="102"/>
      <c r="AB6727" s="1"/>
      <c r="AC6727" s="1"/>
      <c r="AD6727" s="1"/>
      <c r="AE6727" s="1"/>
      <c r="AF6727" s="1"/>
      <c r="AG6727" s="1"/>
    </row>
    <row r="6728" ht="15.75" customHeight="1">
      <c r="A6728" s="1"/>
      <c r="B6728" s="1"/>
      <c r="C6728" s="1"/>
      <c r="D6728" s="1"/>
      <c r="E6728" s="1"/>
      <c r="F6728" s="1"/>
      <c r="G6728" s="1"/>
      <c r="H6728" s="1"/>
      <c r="I6728" s="1"/>
      <c r="J6728" s="1"/>
      <c r="K6728" s="1" t="s">
        <v>10409</v>
      </c>
      <c r="L6728" t="str">
        <f>G1030</f>
        <v>J2a1a2b~</v>
      </c>
      <c r="M6728" s="1" t="s">
        <v>10410</v>
      </c>
      <c r="N6728" s="1"/>
      <c r="O6728" s="114">
        <v>5455119.0</v>
      </c>
      <c r="P6728" s="114">
        <v>5587078.0</v>
      </c>
      <c r="Q6728" s="1" t="s">
        <v>2529</v>
      </c>
      <c r="S6728" s="1"/>
      <c r="T6728" s="1"/>
      <c r="U6728" s="1"/>
      <c r="V6728" s="1"/>
      <c r="W6728" s="1"/>
      <c r="X6728" s="1"/>
      <c r="Y6728" s="1"/>
      <c r="AA6728" s="102"/>
      <c r="AB6728" s="1"/>
      <c r="AC6728" s="1"/>
      <c r="AD6728" s="1"/>
      <c r="AE6728" s="1"/>
      <c r="AF6728" s="1"/>
      <c r="AG6728" s="1"/>
    </row>
    <row r="6729" ht="15.75" customHeight="1">
      <c r="A6729" s="1"/>
      <c r="B6729" s="1"/>
      <c r="C6729" s="1"/>
      <c r="D6729" s="1"/>
      <c r="E6729" s="1"/>
      <c r="F6729" s="1"/>
      <c r="G6729" s="1"/>
      <c r="H6729" s="1"/>
      <c r="I6729" s="1"/>
      <c r="J6729" s="1"/>
      <c r="K6729" s="19" t="s">
        <v>10410</v>
      </c>
      <c r="L6729" t="str">
        <f>G1030</f>
        <v>J2a1a2b~</v>
      </c>
      <c r="M6729" s="19" t="s">
        <v>10409</v>
      </c>
      <c r="N6729" s="1"/>
      <c r="O6729" s="114">
        <v>5455119.0</v>
      </c>
      <c r="P6729" s="114">
        <v>5587078.0</v>
      </c>
      <c r="Q6729" s="1" t="s">
        <v>2529</v>
      </c>
      <c r="S6729" s="1"/>
      <c r="T6729" s="1"/>
      <c r="U6729" s="1"/>
      <c r="V6729" s="1"/>
      <c r="W6729" s="1"/>
      <c r="X6729" s="1"/>
      <c r="Y6729" s="1"/>
      <c r="AA6729" s="102"/>
      <c r="AB6729" s="1"/>
      <c r="AC6729" s="1"/>
      <c r="AD6729" s="1"/>
      <c r="AE6729" s="1"/>
      <c r="AF6729" s="1"/>
      <c r="AG6729" s="1"/>
    </row>
    <row r="6730" ht="15.75" customHeight="1">
      <c r="A6730" s="1"/>
      <c r="B6730" s="1"/>
      <c r="C6730" s="1"/>
      <c r="D6730" s="1"/>
      <c r="E6730" s="1"/>
      <c r="F6730" s="1"/>
      <c r="G6730" s="1"/>
      <c r="H6730" s="1"/>
      <c r="I6730" s="1"/>
      <c r="J6730" s="1"/>
      <c r="K6730" s="1" t="s">
        <v>10411</v>
      </c>
      <c r="L6730" t="str">
        <f>G1030</f>
        <v>J2a1a2b~</v>
      </c>
      <c r="M6730" s="1" t="s">
        <v>10412</v>
      </c>
      <c r="N6730" s="1" t="s">
        <v>10413</v>
      </c>
      <c r="O6730" s="114">
        <v>8385673.0</v>
      </c>
      <c r="P6730" s="114">
        <v>8517632.0</v>
      </c>
      <c r="Q6730" s="1" t="s">
        <v>2439</v>
      </c>
      <c r="S6730" s="1"/>
      <c r="T6730" s="1"/>
      <c r="U6730" s="1"/>
      <c r="V6730" s="1"/>
      <c r="W6730" s="1"/>
      <c r="X6730" s="1"/>
      <c r="Y6730" s="1"/>
      <c r="AA6730" s="102"/>
      <c r="AB6730" s="1"/>
      <c r="AC6730" s="1"/>
      <c r="AD6730" s="1"/>
      <c r="AE6730" s="1"/>
      <c r="AF6730" s="1"/>
      <c r="AG6730" s="1"/>
    </row>
    <row r="6731" ht="15.75" customHeight="1">
      <c r="A6731" s="1"/>
      <c r="B6731" s="1"/>
      <c r="C6731" s="1"/>
      <c r="D6731" s="1"/>
      <c r="E6731" s="1"/>
      <c r="F6731" s="1"/>
      <c r="G6731" s="1"/>
      <c r="H6731" s="1"/>
      <c r="I6731" s="1"/>
      <c r="J6731" s="1"/>
      <c r="K6731" s="19" t="s">
        <v>10412</v>
      </c>
      <c r="L6731" t="str">
        <f>G1030</f>
        <v>J2a1a2b~</v>
      </c>
      <c r="M6731" s="19" t="s">
        <v>10411</v>
      </c>
      <c r="N6731" s="1" t="s">
        <v>10413</v>
      </c>
      <c r="O6731" s="114">
        <v>8385673.0</v>
      </c>
      <c r="P6731" s="114">
        <v>8517632.0</v>
      </c>
      <c r="Q6731" s="1" t="s">
        <v>2439</v>
      </c>
      <c r="S6731" s="1"/>
      <c r="T6731" s="1"/>
      <c r="U6731" s="1"/>
      <c r="V6731" s="1"/>
      <c r="W6731" s="1"/>
      <c r="X6731" s="1"/>
      <c r="Y6731" s="1"/>
      <c r="AA6731" s="102"/>
      <c r="AB6731" s="1"/>
      <c r="AC6731" s="1"/>
      <c r="AD6731" s="1"/>
      <c r="AE6731" s="1"/>
      <c r="AF6731" s="1"/>
      <c r="AG6731" s="1"/>
    </row>
    <row r="6732" ht="15.75" customHeight="1">
      <c r="A6732" s="1"/>
      <c r="B6732" s="1"/>
      <c r="C6732" s="1"/>
      <c r="D6732" s="1"/>
      <c r="E6732" s="1"/>
      <c r="F6732" s="1"/>
      <c r="G6732" s="1"/>
      <c r="H6732" s="1"/>
      <c r="I6732" s="1"/>
      <c r="J6732" s="1"/>
      <c r="K6732" s="1" t="s">
        <v>10414</v>
      </c>
      <c r="L6732" t="str">
        <f>G1030</f>
        <v>J2a1a2b~</v>
      </c>
      <c r="M6732" s="1" t="s">
        <v>10415</v>
      </c>
      <c r="N6732" s="1" t="s">
        <v>10416</v>
      </c>
      <c r="O6732" s="114">
        <v>9859170.0</v>
      </c>
      <c r="P6732" s="114">
        <v>1.0021561E7</v>
      </c>
      <c r="Q6732" s="1" t="s">
        <v>2439</v>
      </c>
      <c r="S6732" s="1"/>
      <c r="T6732" s="1"/>
      <c r="U6732" s="1"/>
      <c r="V6732" s="1"/>
      <c r="W6732" s="1"/>
      <c r="X6732" s="1"/>
      <c r="Y6732" s="1"/>
      <c r="AA6732" s="102"/>
      <c r="AB6732" s="1"/>
      <c r="AC6732" s="1"/>
      <c r="AD6732" s="1"/>
      <c r="AE6732" s="1"/>
      <c r="AF6732" s="1"/>
      <c r="AG6732" s="1"/>
    </row>
    <row r="6733" ht="15.75" customHeight="1">
      <c r="A6733" s="1"/>
      <c r="B6733" s="1"/>
      <c r="C6733" s="1"/>
      <c r="D6733" s="1"/>
      <c r="E6733" s="1"/>
      <c r="F6733" s="1"/>
      <c r="G6733" s="1"/>
      <c r="H6733" s="1"/>
      <c r="I6733" s="1"/>
      <c r="J6733" s="1"/>
      <c r="K6733" s="106" t="s">
        <v>10415</v>
      </c>
      <c r="L6733" t="str">
        <f>G1030</f>
        <v>J2a1a2b~</v>
      </c>
      <c r="M6733" s="106" t="s">
        <v>10414</v>
      </c>
      <c r="N6733" s="1" t="s">
        <v>10416</v>
      </c>
      <c r="O6733" s="114">
        <v>9859170.0</v>
      </c>
      <c r="P6733" s="114">
        <v>1.0021561E7</v>
      </c>
      <c r="Q6733" s="1" t="s">
        <v>2439</v>
      </c>
      <c r="S6733" s="1"/>
      <c r="T6733" s="1"/>
      <c r="U6733" s="1"/>
      <c r="V6733" s="1"/>
      <c r="W6733" s="1"/>
      <c r="X6733" s="1"/>
      <c r="Y6733" s="1"/>
      <c r="AA6733" s="102"/>
      <c r="AB6733" s="1"/>
      <c r="AC6733" s="1"/>
      <c r="AD6733" s="1"/>
      <c r="AE6733" s="1"/>
      <c r="AF6733" s="1"/>
      <c r="AG6733" s="1"/>
    </row>
    <row r="6734" ht="15.75" customHeight="1">
      <c r="A6734" s="1"/>
      <c r="B6734" s="1"/>
      <c r="C6734" s="1"/>
      <c r="D6734" s="1"/>
      <c r="E6734" s="1"/>
      <c r="F6734" s="1"/>
      <c r="G6734" s="1"/>
      <c r="H6734" s="1"/>
      <c r="I6734" s="1"/>
      <c r="J6734" s="1"/>
      <c r="K6734" s="102" t="s">
        <v>10417</v>
      </c>
      <c r="L6734" t="str">
        <f>G1030</f>
        <v>J2a1a2b~</v>
      </c>
      <c r="M6734" s="102"/>
      <c r="N6734" s="1" t="s">
        <v>10418</v>
      </c>
      <c r="O6734" s="114">
        <v>1.4402672E7</v>
      </c>
      <c r="P6734" s="114">
        <v>1.2281969E7</v>
      </c>
      <c r="Q6734" s="1" t="s">
        <v>2501</v>
      </c>
      <c r="S6734" s="1"/>
      <c r="T6734" s="1"/>
      <c r="U6734" s="1"/>
      <c r="V6734" s="1"/>
      <c r="W6734" s="1"/>
      <c r="X6734" s="1"/>
      <c r="Y6734" s="1"/>
      <c r="AA6734" s="102"/>
      <c r="AB6734" s="1"/>
      <c r="AC6734" s="1"/>
      <c r="AD6734" s="1"/>
      <c r="AE6734" s="1"/>
      <c r="AF6734" s="1"/>
      <c r="AG6734" s="1"/>
    </row>
    <row r="6735" ht="15.75" customHeight="1">
      <c r="A6735" s="1"/>
      <c r="B6735" s="1"/>
      <c r="C6735" s="1"/>
      <c r="D6735" s="1"/>
      <c r="E6735" s="1"/>
      <c r="F6735" s="1"/>
      <c r="G6735" s="1"/>
      <c r="H6735" s="1"/>
      <c r="I6735" s="1"/>
      <c r="J6735" s="1"/>
      <c r="K6735" s="1" t="s">
        <v>10419</v>
      </c>
      <c r="L6735" t="str">
        <f>G1030</f>
        <v>J2a1a2b~</v>
      </c>
      <c r="M6735" s="1" t="s">
        <v>10420</v>
      </c>
      <c r="N6735" s="1" t="s">
        <v>10421</v>
      </c>
      <c r="O6735" s="114">
        <v>1.4593685E7</v>
      </c>
      <c r="P6735" s="114">
        <v>1.2481885E7</v>
      </c>
      <c r="Q6735" s="1" t="s">
        <v>2529</v>
      </c>
      <c r="S6735" s="1"/>
      <c r="T6735" s="1"/>
      <c r="U6735" s="1"/>
      <c r="V6735" s="1"/>
      <c r="W6735" s="1"/>
      <c r="X6735" s="1"/>
      <c r="Y6735" s="1"/>
      <c r="AA6735" s="102"/>
      <c r="AB6735" s="1"/>
      <c r="AC6735" s="1"/>
      <c r="AD6735" s="1"/>
      <c r="AE6735" s="1"/>
      <c r="AF6735" s="1"/>
      <c r="AG6735" s="1"/>
    </row>
    <row r="6736" ht="15.75" customHeight="1">
      <c r="A6736" s="1"/>
      <c r="B6736" s="1"/>
      <c r="C6736" s="1"/>
      <c r="D6736" s="1"/>
      <c r="E6736" s="1"/>
      <c r="F6736" s="1"/>
      <c r="G6736" s="1"/>
      <c r="H6736" s="1"/>
      <c r="I6736" s="1"/>
      <c r="J6736" s="1"/>
      <c r="K6736" s="19" t="s">
        <v>10420</v>
      </c>
      <c r="L6736" t="str">
        <f>G1030</f>
        <v>J2a1a2b~</v>
      </c>
      <c r="M6736" s="19" t="s">
        <v>10419</v>
      </c>
      <c r="N6736" s="1" t="s">
        <v>10421</v>
      </c>
      <c r="O6736" s="114">
        <v>1.4593685E7</v>
      </c>
      <c r="P6736" s="114">
        <v>1.2481885E7</v>
      </c>
      <c r="Q6736" s="1" t="s">
        <v>2529</v>
      </c>
      <c r="S6736" s="1"/>
      <c r="T6736" s="1"/>
      <c r="U6736" s="1"/>
      <c r="V6736" s="1"/>
      <c r="W6736" s="1"/>
      <c r="X6736" s="1"/>
      <c r="Y6736" s="1"/>
      <c r="AA6736" s="102"/>
      <c r="AB6736" s="1"/>
      <c r="AC6736" s="1"/>
      <c r="AD6736" s="1"/>
      <c r="AE6736" s="1"/>
      <c r="AF6736" s="1"/>
      <c r="AG6736" s="1"/>
    </row>
    <row r="6737" ht="15.75" customHeight="1">
      <c r="A6737" s="1"/>
      <c r="B6737" s="1"/>
      <c r="C6737" s="1"/>
      <c r="D6737" s="1"/>
      <c r="E6737" s="1"/>
      <c r="F6737" s="1"/>
      <c r="G6737" s="1"/>
      <c r="H6737" s="1"/>
      <c r="I6737" s="1"/>
      <c r="J6737" s="1"/>
      <c r="K6737" s="1" t="s">
        <v>10422</v>
      </c>
      <c r="L6737" t="str">
        <f>G1030</f>
        <v>J2a1a2b~</v>
      </c>
      <c r="M6737" s="1" t="s">
        <v>10423</v>
      </c>
      <c r="N6737" s="1" t="s">
        <v>10424</v>
      </c>
      <c r="O6737" s="114">
        <v>1.5060211E7</v>
      </c>
      <c r="P6737" s="114">
        <v>1.2948303E7</v>
      </c>
      <c r="Q6737" s="1" t="s">
        <v>2501</v>
      </c>
      <c r="S6737" s="1"/>
      <c r="T6737" s="1"/>
      <c r="U6737" s="1"/>
      <c r="V6737" s="1"/>
      <c r="W6737" s="1"/>
      <c r="X6737" s="1"/>
      <c r="Y6737" s="1"/>
      <c r="AA6737" s="102"/>
      <c r="AB6737" s="1"/>
      <c r="AC6737" s="1"/>
      <c r="AD6737" s="1"/>
      <c r="AE6737" s="1"/>
      <c r="AF6737" s="1"/>
      <c r="AG6737" s="1"/>
    </row>
    <row r="6738" ht="15.75" customHeight="1">
      <c r="A6738" s="1"/>
      <c r="B6738" s="1"/>
      <c r="C6738" s="1"/>
      <c r="D6738" s="1"/>
      <c r="E6738" s="1"/>
      <c r="F6738" s="1"/>
      <c r="G6738" s="1"/>
      <c r="H6738" s="1"/>
      <c r="I6738" s="1"/>
      <c r="J6738" s="1"/>
      <c r="K6738" s="19" t="s">
        <v>10423</v>
      </c>
      <c r="L6738" t="str">
        <f>G1030</f>
        <v>J2a1a2b~</v>
      </c>
      <c r="M6738" s="19" t="s">
        <v>10422</v>
      </c>
      <c r="N6738" s="1" t="s">
        <v>10424</v>
      </c>
      <c r="O6738" s="114">
        <v>1.5060211E7</v>
      </c>
      <c r="P6738" s="114">
        <v>1.2948303E7</v>
      </c>
      <c r="Q6738" s="1" t="s">
        <v>2501</v>
      </c>
      <c r="S6738" s="1"/>
      <c r="T6738" s="1"/>
      <c r="U6738" s="1"/>
      <c r="V6738" s="1"/>
      <c r="W6738" s="1"/>
      <c r="X6738" s="1"/>
      <c r="Y6738" s="1"/>
      <c r="AA6738" s="102"/>
      <c r="AB6738" s="1"/>
      <c r="AC6738" s="1"/>
      <c r="AD6738" s="1"/>
      <c r="AE6738" s="1"/>
      <c r="AF6738" s="1"/>
      <c r="AG6738" s="1"/>
    </row>
    <row r="6739" ht="15.75" customHeight="1">
      <c r="A6739" s="1"/>
      <c r="B6739" s="1"/>
      <c r="C6739" s="1"/>
      <c r="D6739" s="1"/>
      <c r="E6739" s="1"/>
      <c r="F6739" s="1"/>
      <c r="G6739" s="1"/>
      <c r="H6739" s="1"/>
      <c r="I6739" s="1"/>
      <c r="J6739" s="1"/>
      <c r="K6739" s="1" t="s">
        <v>10425</v>
      </c>
      <c r="L6739" t="str">
        <f>G1030</f>
        <v>J2a1a2b~</v>
      </c>
      <c r="M6739" s="1" t="s">
        <v>10426</v>
      </c>
      <c r="N6739" s="1" t="s">
        <v>10427</v>
      </c>
      <c r="O6739" s="114">
        <v>1.5656174E7</v>
      </c>
      <c r="P6739" s="114">
        <v>1.3544294E7</v>
      </c>
      <c r="Q6739" s="1" t="s">
        <v>2432</v>
      </c>
      <c r="S6739" s="1"/>
      <c r="T6739" s="1"/>
      <c r="U6739" s="1"/>
      <c r="V6739" s="1"/>
      <c r="W6739" s="1"/>
      <c r="X6739" s="1"/>
      <c r="Y6739" s="1"/>
      <c r="AA6739" s="102"/>
      <c r="AB6739" s="1"/>
      <c r="AC6739" s="1"/>
      <c r="AD6739" s="1"/>
      <c r="AE6739" s="1"/>
      <c r="AF6739" s="1"/>
      <c r="AG6739" s="1"/>
    </row>
    <row r="6740" ht="15.75" customHeight="1">
      <c r="A6740" s="1"/>
      <c r="B6740" s="1"/>
      <c r="C6740" s="1"/>
      <c r="D6740" s="1"/>
      <c r="E6740" s="1"/>
      <c r="F6740" s="1"/>
      <c r="G6740" s="1"/>
      <c r="H6740" s="1"/>
      <c r="I6740" s="1"/>
      <c r="J6740" s="1"/>
      <c r="K6740" s="19" t="s">
        <v>10426</v>
      </c>
      <c r="L6740" t="str">
        <f>G1030</f>
        <v>J2a1a2b~</v>
      </c>
      <c r="M6740" s="19" t="s">
        <v>10425</v>
      </c>
      <c r="N6740" s="1" t="s">
        <v>10427</v>
      </c>
      <c r="O6740" s="114">
        <v>1.5656174E7</v>
      </c>
      <c r="P6740" s="114">
        <v>1.3544294E7</v>
      </c>
      <c r="Q6740" s="1" t="s">
        <v>2432</v>
      </c>
      <c r="S6740" s="1"/>
      <c r="T6740" s="1"/>
      <c r="U6740" s="1"/>
      <c r="V6740" s="1"/>
      <c r="W6740" s="1"/>
      <c r="X6740" s="1"/>
      <c r="Y6740" s="1"/>
      <c r="AA6740" s="102"/>
      <c r="AB6740" s="1"/>
      <c r="AC6740" s="1"/>
      <c r="AD6740" s="1"/>
      <c r="AE6740" s="1"/>
      <c r="AF6740" s="1"/>
      <c r="AG6740" s="1"/>
    </row>
    <row r="6741" ht="15.75" customHeight="1">
      <c r="A6741" s="1"/>
      <c r="B6741" s="1"/>
      <c r="C6741" s="1"/>
      <c r="D6741" s="1"/>
      <c r="E6741" s="1"/>
      <c r="F6741" s="1"/>
      <c r="G6741" s="1"/>
      <c r="H6741" s="1"/>
      <c r="I6741" s="1"/>
      <c r="J6741" s="1"/>
      <c r="K6741" s="1" t="s">
        <v>10428</v>
      </c>
      <c r="L6741" t="str">
        <f>G1030</f>
        <v>J2a1a2b~</v>
      </c>
      <c r="M6741" s="1" t="s">
        <v>10429</v>
      </c>
      <c r="N6741" s="1" t="s">
        <v>10430</v>
      </c>
      <c r="O6741" s="114">
        <v>1.6195673E7</v>
      </c>
      <c r="P6741" s="114">
        <v>1.4083793E7</v>
      </c>
      <c r="Q6741" s="1" t="s">
        <v>2454</v>
      </c>
      <c r="S6741" s="1"/>
      <c r="T6741" s="1"/>
      <c r="U6741" s="1"/>
      <c r="V6741" s="1"/>
      <c r="W6741" s="1"/>
      <c r="X6741" s="1"/>
      <c r="Y6741" s="1"/>
      <c r="AA6741" s="102"/>
      <c r="AB6741" s="1"/>
      <c r="AC6741" s="1"/>
      <c r="AD6741" s="1"/>
      <c r="AE6741" s="1"/>
      <c r="AF6741" s="1"/>
      <c r="AG6741" s="1"/>
    </row>
    <row r="6742" ht="15.75" customHeight="1">
      <c r="A6742" s="1"/>
      <c r="B6742" s="1"/>
      <c r="C6742" s="1"/>
      <c r="D6742" s="1"/>
      <c r="E6742" s="1"/>
      <c r="F6742" s="1"/>
      <c r="G6742" s="1"/>
      <c r="H6742" s="1"/>
      <c r="I6742" s="1"/>
      <c r="J6742" s="1"/>
      <c r="K6742" s="19" t="s">
        <v>10429</v>
      </c>
      <c r="L6742" t="str">
        <f>G1030</f>
        <v>J2a1a2b~</v>
      </c>
      <c r="M6742" s="19" t="s">
        <v>10428</v>
      </c>
      <c r="N6742" s="1" t="s">
        <v>10430</v>
      </c>
      <c r="O6742" s="114">
        <v>1.6195673E7</v>
      </c>
      <c r="P6742" s="114">
        <v>1.4083793E7</v>
      </c>
      <c r="Q6742" s="1" t="s">
        <v>2454</v>
      </c>
      <c r="S6742" s="1"/>
      <c r="T6742" s="1"/>
      <c r="U6742" s="1"/>
      <c r="V6742" s="1"/>
      <c r="W6742" s="1"/>
      <c r="X6742" s="1"/>
      <c r="Y6742" s="1"/>
      <c r="AA6742" s="102"/>
      <c r="AB6742" s="1"/>
      <c r="AC6742" s="1"/>
      <c r="AD6742" s="1"/>
      <c r="AE6742" s="1"/>
      <c r="AF6742" s="1"/>
      <c r="AG6742" s="1"/>
    </row>
    <row r="6743" ht="15.75" customHeight="1">
      <c r="A6743" s="1"/>
      <c r="B6743" s="1"/>
      <c r="C6743" s="1"/>
      <c r="D6743" s="1"/>
      <c r="E6743" s="1"/>
      <c r="F6743" s="1"/>
      <c r="G6743" s="1"/>
      <c r="H6743" s="1"/>
      <c r="I6743" s="1"/>
      <c r="J6743" s="1"/>
      <c r="K6743" s="1" t="s">
        <v>10431</v>
      </c>
      <c r="L6743" t="str">
        <f>G1030</f>
        <v>J2a1a2b~</v>
      </c>
      <c r="M6743" s="1" t="s">
        <v>10432</v>
      </c>
      <c r="N6743" s="1" t="s">
        <v>10433</v>
      </c>
      <c r="O6743" s="114">
        <v>1.729635E7</v>
      </c>
      <c r="P6743" s="114">
        <v>1.518447E7</v>
      </c>
      <c r="Q6743" s="1" t="s">
        <v>2501</v>
      </c>
      <c r="S6743" s="1"/>
      <c r="T6743" s="1"/>
      <c r="U6743" s="1"/>
      <c r="V6743" s="1"/>
      <c r="W6743" s="1"/>
      <c r="X6743" s="1"/>
      <c r="Y6743" s="1"/>
      <c r="AA6743" s="102"/>
      <c r="AB6743" s="1"/>
      <c r="AC6743" s="1"/>
      <c r="AD6743" s="1"/>
      <c r="AE6743" s="1"/>
      <c r="AF6743" s="1"/>
      <c r="AG6743" s="1"/>
    </row>
    <row r="6744" ht="15.75" customHeight="1">
      <c r="A6744" s="1"/>
      <c r="B6744" s="1"/>
      <c r="C6744" s="1"/>
      <c r="D6744" s="1"/>
      <c r="E6744" s="1"/>
      <c r="F6744" s="1"/>
      <c r="G6744" s="1"/>
      <c r="H6744" s="1"/>
      <c r="I6744" s="1"/>
      <c r="J6744" s="1"/>
      <c r="K6744" s="106" t="s">
        <v>10432</v>
      </c>
      <c r="L6744" t="str">
        <f>G1030</f>
        <v>J2a1a2b~</v>
      </c>
      <c r="M6744" s="106" t="s">
        <v>10431</v>
      </c>
      <c r="N6744" s="1" t="s">
        <v>10433</v>
      </c>
      <c r="O6744" s="114">
        <v>1.729635E7</v>
      </c>
      <c r="P6744" s="114">
        <v>1.518447E7</v>
      </c>
      <c r="Q6744" s="1" t="s">
        <v>2501</v>
      </c>
      <c r="S6744" s="1"/>
      <c r="T6744" s="1"/>
      <c r="U6744" s="1"/>
      <c r="V6744" s="1"/>
      <c r="W6744" s="1"/>
      <c r="X6744" s="1"/>
      <c r="Y6744" s="1"/>
      <c r="AA6744" s="102"/>
      <c r="AB6744" s="1"/>
      <c r="AC6744" s="1"/>
      <c r="AD6744" s="1"/>
      <c r="AE6744" s="1"/>
      <c r="AF6744" s="1"/>
      <c r="AG6744" s="1"/>
    </row>
    <row r="6745" ht="15.75" customHeight="1">
      <c r="A6745" s="1"/>
      <c r="B6745" s="1"/>
      <c r="C6745" s="1"/>
      <c r="D6745" s="1"/>
      <c r="E6745" s="1"/>
      <c r="F6745" s="1"/>
      <c r="G6745" s="1"/>
      <c r="H6745" s="1"/>
      <c r="I6745" s="1"/>
      <c r="J6745" s="1"/>
      <c r="K6745" s="102" t="s">
        <v>10434</v>
      </c>
      <c r="L6745" t="str">
        <f>G1030</f>
        <v>J2a1a2b~</v>
      </c>
      <c r="M6745" s="102"/>
      <c r="N6745" s="1" t="s">
        <v>10435</v>
      </c>
      <c r="O6745" s="114">
        <v>1.7909673E7</v>
      </c>
      <c r="P6745" s="114">
        <v>1.5797793E7</v>
      </c>
      <c r="Q6745" s="1" t="s">
        <v>2468</v>
      </c>
      <c r="S6745" s="1"/>
      <c r="T6745" s="1"/>
      <c r="U6745" s="1"/>
      <c r="V6745" s="1"/>
      <c r="W6745" s="1"/>
      <c r="X6745" s="1"/>
      <c r="Y6745" s="1"/>
      <c r="AA6745" s="102"/>
      <c r="AB6745" s="1"/>
      <c r="AC6745" s="1"/>
      <c r="AD6745" s="1"/>
      <c r="AE6745" s="1"/>
      <c r="AF6745" s="1"/>
      <c r="AG6745" s="1"/>
    </row>
    <row r="6746" ht="15.75" customHeight="1">
      <c r="A6746" s="1"/>
      <c r="B6746" s="1"/>
      <c r="C6746" s="1"/>
      <c r="D6746" s="1"/>
      <c r="E6746" s="1"/>
      <c r="F6746" s="1"/>
      <c r="G6746" s="1"/>
      <c r="H6746" s="1"/>
      <c r="I6746" s="1"/>
      <c r="J6746" s="1"/>
      <c r="K6746" s="102" t="s">
        <v>10436</v>
      </c>
      <c r="L6746" t="str">
        <f>G1030</f>
        <v>J2a1a2b~</v>
      </c>
      <c r="M6746" s="102" t="s">
        <v>10437</v>
      </c>
      <c r="N6746" s="1" t="s">
        <v>10438</v>
      </c>
      <c r="O6746" s="114">
        <v>1.8036372E7</v>
      </c>
      <c r="P6746" s="114">
        <v>1.5924492E7</v>
      </c>
      <c r="Q6746" s="1" t="s">
        <v>2439</v>
      </c>
      <c r="S6746" s="1"/>
      <c r="T6746" s="1"/>
      <c r="U6746" s="1"/>
      <c r="V6746" s="1"/>
      <c r="W6746" s="1"/>
      <c r="X6746" s="1"/>
      <c r="Y6746" s="1"/>
      <c r="AA6746" s="102"/>
      <c r="AB6746" s="1"/>
      <c r="AC6746" s="1"/>
      <c r="AD6746" s="1"/>
      <c r="AE6746" s="1"/>
      <c r="AF6746" s="1"/>
      <c r="AG6746" s="1"/>
    </row>
    <row r="6747" ht="15.75" customHeight="1">
      <c r="A6747" s="1"/>
      <c r="B6747" s="1"/>
      <c r="C6747" s="1"/>
      <c r="D6747" s="1"/>
      <c r="E6747" s="1"/>
      <c r="F6747" s="1"/>
      <c r="G6747" s="1"/>
      <c r="H6747" s="1"/>
      <c r="I6747" s="1"/>
      <c r="J6747" s="1"/>
      <c r="K6747" s="19" t="s">
        <v>10437</v>
      </c>
      <c r="L6747" t="str">
        <f>G1030</f>
        <v>J2a1a2b~</v>
      </c>
      <c r="M6747" s="19" t="s">
        <v>10436</v>
      </c>
      <c r="N6747" s="1" t="s">
        <v>10438</v>
      </c>
      <c r="O6747" s="114">
        <v>1.8036372E7</v>
      </c>
      <c r="P6747" s="114">
        <v>1.5924492E7</v>
      </c>
      <c r="Q6747" s="1" t="s">
        <v>2439</v>
      </c>
      <c r="S6747" s="1"/>
      <c r="T6747" s="1"/>
      <c r="U6747" s="1"/>
      <c r="V6747" s="1"/>
      <c r="W6747" s="1"/>
      <c r="X6747" s="1"/>
      <c r="Y6747" s="1"/>
      <c r="AA6747" s="102"/>
      <c r="AB6747" s="1"/>
      <c r="AC6747" s="1"/>
      <c r="AD6747" s="1"/>
      <c r="AE6747" s="1"/>
      <c r="AF6747" s="1"/>
      <c r="AG6747" s="1"/>
    </row>
    <row r="6748" ht="15.75" customHeight="1">
      <c r="A6748" s="1"/>
      <c r="B6748" s="1"/>
      <c r="C6748" s="1"/>
      <c r="D6748" s="1"/>
      <c r="E6748" s="1"/>
      <c r="F6748" s="1"/>
      <c r="G6748" s="1"/>
      <c r="H6748" s="1"/>
      <c r="I6748" s="1"/>
      <c r="J6748" s="1"/>
      <c r="K6748" s="1" t="s">
        <v>10439</v>
      </c>
      <c r="L6748" t="str">
        <f>G1030</f>
        <v>J2a1a2b~</v>
      </c>
      <c r="M6748" s="1" t="s">
        <v>10440</v>
      </c>
      <c r="N6748" s="1" t="s">
        <v>10441</v>
      </c>
      <c r="O6748" s="114">
        <v>1.9205278E7</v>
      </c>
      <c r="P6748" s="114">
        <v>1.7093398E7</v>
      </c>
      <c r="Q6748" s="1" t="s">
        <v>2514</v>
      </c>
      <c r="S6748" s="1"/>
      <c r="T6748" s="1"/>
      <c r="U6748" s="1"/>
      <c r="V6748" s="1"/>
      <c r="W6748" s="1"/>
      <c r="X6748" s="1"/>
      <c r="Y6748" s="1"/>
      <c r="AA6748" s="102"/>
      <c r="AB6748" s="1"/>
      <c r="AC6748" s="1"/>
      <c r="AD6748" s="1"/>
      <c r="AE6748" s="1"/>
      <c r="AF6748" s="1"/>
      <c r="AG6748" s="1"/>
    </row>
    <row r="6749" ht="15.75" customHeight="1">
      <c r="A6749" s="1"/>
      <c r="B6749" s="1"/>
      <c r="C6749" s="1"/>
      <c r="D6749" s="1"/>
      <c r="E6749" s="1"/>
      <c r="F6749" s="1"/>
      <c r="G6749" s="1"/>
      <c r="H6749" s="1"/>
      <c r="I6749" s="1"/>
      <c r="J6749" s="1"/>
      <c r="K6749" s="19" t="s">
        <v>10440</v>
      </c>
      <c r="L6749" t="str">
        <f>G1030</f>
        <v>J2a1a2b~</v>
      </c>
      <c r="M6749" s="19" t="s">
        <v>10439</v>
      </c>
      <c r="N6749" s="1" t="s">
        <v>10441</v>
      </c>
      <c r="O6749" s="114">
        <v>1.9205278E7</v>
      </c>
      <c r="P6749" s="114">
        <v>1.7093398E7</v>
      </c>
      <c r="Q6749" s="1" t="s">
        <v>2514</v>
      </c>
      <c r="S6749" s="1"/>
      <c r="T6749" s="1"/>
      <c r="U6749" s="1"/>
      <c r="V6749" s="1"/>
      <c r="W6749" s="1"/>
      <c r="X6749" s="1"/>
      <c r="Y6749" s="1"/>
      <c r="AA6749" s="102"/>
      <c r="AB6749" s="1"/>
      <c r="AC6749" s="1"/>
      <c r="AD6749" s="1"/>
      <c r="AE6749" s="1"/>
      <c r="AF6749" s="1"/>
      <c r="AG6749" s="1"/>
    </row>
    <row r="6750" ht="15.75" customHeight="1">
      <c r="A6750" s="1"/>
      <c r="B6750" s="1"/>
      <c r="C6750" s="1"/>
      <c r="D6750" s="1"/>
      <c r="E6750" s="1"/>
      <c r="F6750" s="1"/>
      <c r="G6750" s="1"/>
      <c r="H6750" s="1"/>
      <c r="I6750" s="1"/>
      <c r="J6750" s="1"/>
      <c r="K6750" s="1" t="s">
        <v>10442</v>
      </c>
      <c r="L6750" t="str">
        <f>G1030</f>
        <v>J2a1a2b~</v>
      </c>
      <c r="M6750" s="1" t="s">
        <v>10443</v>
      </c>
      <c r="N6750" s="1" t="s">
        <v>10444</v>
      </c>
      <c r="O6750" s="114">
        <v>1.9269007E7</v>
      </c>
      <c r="P6750" s="114">
        <v>1.7157127E7</v>
      </c>
      <c r="Q6750" s="1" t="s">
        <v>2468</v>
      </c>
      <c r="S6750" s="1"/>
      <c r="T6750" s="1"/>
      <c r="U6750" s="1"/>
      <c r="V6750" s="1"/>
      <c r="W6750" s="1"/>
      <c r="X6750" s="1"/>
      <c r="Y6750" s="1"/>
      <c r="AA6750" s="102"/>
      <c r="AB6750" s="1"/>
      <c r="AC6750" s="1"/>
      <c r="AD6750" s="1"/>
      <c r="AE6750" s="1"/>
      <c r="AF6750" s="1"/>
      <c r="AG6750" s="1"/>
    </row>
    <row r="6751" ht="15.75" customHeight="1">
      <c r="A6751" s="1"/>
      <c r="B6751" s="1"/>
      <c r="C6751" s="1"/>
      <c r="D6751" s="1"/>
      <c r="E6751" s="1"/>
      <c r="F6751" s="1"/>
      <c r="G6751" s="1"/>
      <c r="H6751" s="1"/>
      <c r="I6751" s="1"/>
      <c r="J6751" s="1"/>
      <c r="K6751" s="106" t="s">
        <v>10443</v>
      </c>
      <c r="L6751" t="str">
        <f>G1030</f>
        <v>J2a1a2b~</v>
      </c>
      <c r="M6751" s="106" t="s">
        <v>10442</v>
      </c>
      <c r="N6751" s="1" t="s">
        <v>10444</v>
      </c>
      <c r="O6751" s="114">
        <v>1.9269007E7</v>
      </c>
      <c r="P6751" s="114">
        <v>1.7157127E7</v>
      </c>
      <c r="Q6751" s="1" t="s">
        <v>2468</v>
      </c>
      <c r="S6751" s="1"/>
      <c r="T6751" s="1"/>
      <c r="U6751" s="1"/>
      <c r="V6751" s="1"/>
      <c r="W6751" s="1"/>
      <c r="X6751" s="1"/>
      <c r="Y6751" s="1"/>
      <c r="AA6751" s="102"/>
      <c r="AB6751" s="1"/>
      <c r="AC6751" s="1"/>
      <c r="AD6751" s="1"/>
      <c r="AE6751" s="1"/>
      <c r="AF6751" s="1"/>
      <c r="AG6751" s="1"/>
    </row>
    <row r="6752" ht="15.75" customHeight="1">
      <c r="A6752" s="1"/>
      <c r="B6752" s="1"/>
      <c r="C6752" s="1"/>
      <c r="D6752" s="1"/>
      <c r="E6752" s="1"/>
      <c r="F6752" s="1"/>
      <c r="G6752" s="1"/>
      <c r="H6752" s="1"/>
      <c r="I6752" s="1"/>
      <c r="J6752" s="1"/>
      <c r="K6752" s="102" t="s">
        <v>10445</v>
      </c>
      <c r="L6752" t="str">
        <f>G1030</f>
        <v>J2a1a2b~</v>
      </c>
      <c r="M6752" s="102" t="s">
        <v>10446</v>
      </c>
      <c r="N6752" s="1" t="s">
        <v>10447</v>
      </c>
      <c r="O6752" s="114">
        <v>1.9413011E7</v>
      </c>
      <c r="P6752" s="114">
        <v>1.7301131E7</v>
      </c>
      <c r="Q6752" s="1" t="s">
        <v>2439</v>
      </c>
      <c r="S6752" s="1"/>
      <c r="T6752" s="1"/>
      <c r="U6752" s="1"/>
      <c r="V6752" s="1"/>
      <c r="W6752" s="1"/>
      <c r="X6752" s="1"/>
      <c r="Y6752" s="1"/>
      <c r="AA6752" s="102"/>
      <c r="AB6752" s="1"/>
      <c r="AC6752" s="1"/>
      <c r="AD6752" s="1"/>
      <c r="AE6752" s="1"/>
      <c r="AF6752" s="1"/>
      <c r="AG6752" s="1"/>
    </row>
    <row r="6753" ht="15.75" customHeight="1">
      <c r="A6753" s="1"/>
      <c r="B6753" s="1"/>
      <c r="C6753" s="1"/>
      <c r="D6753" s="1"/>
      <c r="E6753" s="1"/>
      <c r="F6753" s="1"/>
      <c r="G6753" s="1"/>
      <c r="H6753" s="1"/>
      <c r="I6753" s="1"/>
      <c r="J6753" s="1"/>
      <c r="K6753" s="19" t="s">
        <v>10446</v>
      </c>
      <c r="L6753" t="str">
        <f>G1030</f>
        <v>J2a1a2b~</v>
      </c>
      <c r="M6753" s="19" t="s">
        <v>10445</v>
      </c>
      <c r="N6753" s="1" t="s">
        <v>10447</v>
      </c>
      <c r="O6753" s="114">
        <v>1.9413011E7</v>
      </c>
      <c r="P6753" s="114">
        <v>1.7301131E7</v>
      </c>
      <c r="Q6753" s="1" t="s">
        <v>2439</v>
      </c>
      <c r="S6753" s="1"/>
      <c r="T6753" s="1"/>
      <c r="U6753" s="1"/>
      <c r="V6753" s="1"/>
      <c r="W6753" s="1"/>
      <c r="X6753" s="1"/>
      <c r="Y6753" s="1"/>
      <c r="AA6753" s="102"/>
      <c r="AB6753" s="1"/>
      <c r="AC6753" s="1"/>
      <c r="AD6753" s="1"/>
      <c r="AE6753" s="1"/>
      <c r="AF6753" s="1"/>
      <c r="AG6753" s="1"/>
    </row>
    <row r="6754" ht="15.75" customHeight="1">
      <c r="A6754" s="1"/>
      <c r="B6754" s="1"/>
      <c r="C6754" s="1"/>
      <c r="D6754" s="1"/>
      <c r="E6754" s="1"/>
      <c r="F6754" s="1"/>
      <c r="G6754" s="1"/>
      <c r="H6754" s="1"/>
      <c r="I6754" s="1"/>
      <c r="J6754" s="1"/>
      <c r="K6754" s="1" t="s">
        <v>10448</v>
      </c>
      <c r="L6754" t="str">
        <f>G1030</f>
        <v>J2a1a2b~</v>
      </c>
      <c r="M6754" s="1" t="s">
        <v>10449</v>
      </c>
      <c r="N6754" s="1" t="s">
        <v>10450</v>
      </c>
      <c r="O6754" s="114">
        <v>2.1230048E7</v>
      </c>
      <c r="P6754" s="114">
        <v>1.9068162E7</v>
      </c>
      <c r="Q6754" s="1" t="s">
        <v>2439</v>
      </c>
      <c r="S6754" s="1"/>
      <c r="T6754" s="1"/>
      <c r="U6754" s="1"/>
      <c r="V6754" s="1"/>
      <c r="W6754" s="1"/>
      <c r="X6754" s="1"/>
      <c r="Y6754" s="1"/>
      <c r="AA6754" s="102"/>
      <c r="AB6754" s="1"/>
      <c r="AC6754" s="1"/>
      <c r="AD6754" s="1"/>
      <c r="AE6754" s="1"/>
      <c r="AF6754" s="1"/>
      <c r="AG6754" s="1"/>
    </row>
    <row r="6755" ht="15.75" customHeight="1">
      <c r="A6755" s="1"/>
      <c r="B6755" s="1"/>
      <c r="C6755" s="1"/>
      <c r="D6755" s="1"/>
      <c r="E6755" s="1"/>
      <c r="F6755" s="1"/>
      <c r="G6755" s="1"/>
      <c r="H6755" s="1"/>
      <c r="I6755" s="1"/>
      <c r="J6755" s="1"/>
      <c r="K6755" s="19" t="s">
        <v>10449</v>
      </c>
      <c r="L6755" t="str">
        <f>G1030</f>
        <v>J2a1a2b~</v>
      </c>
      <c r="M6755" s="19" t="s">
        <v>10448</v>
      </c>
      <c r="N6755" s="1" t="s">
        <v>10450</v>
      </c>
      <c r="O6755" s="114">
        <v>2.1230048E7</v>
      </c>
      <c r="P6755" s="114">
        <v>1.9068162E7</v>
      </c>
      <c r="Q6755" s="1" t="s">
        <v>2439</v>
      </c>
      <c r="S6755" s="1"/>
      <c r="T6755" s="1"/>
      <c r="U6755" s="1"/>
      <c r="V6755" s="1"/>
      <c r="W6755" s="1"/>
      <c r="X6755" s="1"/>
      <c r="Y6755" s="1"/>
      <c r="AA6755" s="102"/>
      <c r="AB6755" s="1"/>
      <c r="AC6755" s="1"/>
      <c r="AD6755" s="1"/>
      <c r="AE6755" s="1"/>
      <c r="AF6755" s="1"/>
      <c r="AG6755" s="1"/>
    </row>
    <row r="6756" ht="15.75" customHeight="1">
      <c r="A6756" s="1"/>
      <c r="B6756" s="1"/>
      <c r="C6756" s="1"/>
      <c r="D6756" s="1"/>
      <c r="E6756" s="1"/>
      <c r="F6756" s="1"/>
      <c r="G6756" s="1"/>
      <c r="H6756" s="1"/>
      <c r="I6756" s="1"/>
      <c r="J6756" s="1"/>
      <c r="K6756" s="1" t="s">
        <v>10451</v>
      </c>
      <c r="L6756" t="str">
        <f>G1030</f>
        <v>J2a1a2b~</v>
      </c>
      <c r="M6756" s="1" t="s">
        <v>10452</v>
      </c>
      <c r="N6756" s="1" t="s">
        <v>10453</v>
      </c>
      <c r="O6756" s="114">
        <v>2.1293352E7</v>
      </c>
      <c r="P6756" s="114">
        <v>1.9131466E7</v>
      </c>
      <c r="Q6756" s="1" t="s">
        <v>2468</v>
      </c>
      <c r="S6756" s="1"/>
      <c r="T6756" s="1"/>
      <c r="U6756" s="1"/>
      <c r="V6756" s="1"/>
      <c r="W6756" s="1"/>
      <c r="X6756" s="1"/>
      <c r="Y6756" s="1"/>
      <c r="AA6756" s="102"/>
      <c r="AB6756" s="1"/>
      <c r="AC6756" s="1"/>
      <c r="AD6756" s="1"/>
      <c r="AE6756" s="1"/>
      <c r="AF6756" s="1"/>
      <c r="AG6756" s="1"/>
    </row>
    <row r="6757" ht="15.75" customHeight="1">
      <c r="A6757" s="1"/>
      <c r="B6757" s="1"/>
      <c r="C6757" s="1"/>
      <c r="D6757" s="1"/>
      <c r="E6757" s="1"/>
      <c r="F6757" s="1"/>
      <c r="G6757" s="1"/>
      <c r="H6757" s="1"/>
      <c r="I6757" s="1"/>
      <c r="J6757" s="1"/>
      <c r="K6757" s="106" t="s">
        <v>10452</v>
      </c>
      <c r="L6757" t="str">
        <f>G1030</f>
        <v>J2a1a2b~</v>
      </c>
      <c r="M6757" s="106" t="s">
        <v>10451</v>
      </c>
      <c r="N6757" s="1" t="s">
        <v>10453</v>
      </c>
      <c r="O6757" s="114">
        <v>2.1293352E7</v>
      </c>
      <c r="P6757" s="114">
        <v>1.9131466E7</v>
      </c>
      <c r="Q6757" s="1" t="s">
        <v>2468</v>
      </c>
      <c r="S6757" s="1"/>
      <c r="T6757" s="1"/>
      <c r="U6757" s="1"/>
      <c r="V6757" s="1"/>
      <c r="W6757" s="1"/>
      <c r="X6757" s="1"/>
      <c r="Y6757" s="1"/>
      <c r="AA6757" s="102"/>
      <c r="AB6757" s="1"/>
      <c r="AC6757" s="1"/>
      <c r="AD6757" s="1"/>
      <c r="AE6757" s="1"/>
      <c r="AF6757" s="1"/>
      <c r="AG6757" s="1"/>
    </row>
    <row r="6758" ht="15.75" customHeight="1">
      <c r="A6758" s="1"/>
      <c r="B6758" s="1"/>
      <c r="C6758" s="1"/>
      <c r="D6758" s="1"/>
      <c r="E6758" s="1"/>
      <c r="F6758" s="1"/>
      <c r="G6758" s="1"/>
      <c r="H6758" s="1"/>
      <c r="I6758" s="1"/>
      <c r="J6758" s="1"/>
      <c r="K6758" s="102" t="s">
        <v>10454</v>
      </c>
      <c r="L6758" t="str">
        <f>G1030</f>
        <v>J2a1a2b~</v>
      </c>
      <c r="M6758" s="102" t="s">
        <v>10455</v>
      </c>
      <c r="N6758" s="1" t="s">
        <v>10456</v>
      </c>
      <c r="O6758" s="114">
        <v>2.2548424E7</v>
      </c>
      <c r="P6758" s="114">
        <v>2.0386538E7</v>
      </c>
      <c r="Q6758" s="1" t="s">
        <v>2439</v>
      </c>
      <c r="S6758" s="1"/>
      <c r="T6758" s="1"/>
      <c r="U6758" s="1"/>
      <c r="V6758" s="1"/>
      <c r="W6758" s="1"/>
      <c r="X6758" s="1"/>
      <c r="Y6758" s="1"/>
      <c r="AA6758" s="102"/>
      <c r="AB6758" s="1"/>
      <c r="AC6758" s="1"/>
      <c r="AD6758" s="1"/>
      <c r="AE6758" s="1"/>
      <c r="AF6758" s="1"/>
      <c r="AG6758" s="1"/>
    </row>
    <row r="6759" ht="15.75" customHeight="1">
      <c r="A6759" s="1"/>
      <c r="B6759" s="1"/>
      <c r="C6759" s="1"/>
      <c r="D6759" s="1"/>
      <c r="E6759" s="1"/>
      <c r="F6759" s="1"/>
      <c r="G6759" s="1"/>
      <c r="H6759" s="1"/>
      <c r="I6759" s="1"/>
      <c r="J6759" s="1"/>
      <c r="K6759" s="19" t="s">
        <v>10455</v>
      </c>
      <c r="L6759" t="str">
        <f>G1030</f>
        <v>J2a1a2b~</v>
      </c>
      <c r="M6759" s="19" t="s">
        <v>10454</v>
      </c>
      <c r="N6759" s="1" t="s">
        <v>10456</v>
      </c>
      <c r="O6759" s="114">
        <v>2.2548424E7</v>
      </c>
      <c r="P6759" s="114">
        <v>2.0386538E7</v>
      </c>
      <c r="Q6759" s="1" t="s">
        <v>2439</v>
      </c>
      <c r="S6759" s="1"/>
      <c r="T6759" s="1"/>
      <c r="U6759" s="1"/>
      <c r="V6759" s="1"/>
      <c r="W6759" s="1"/>
      <c r="X6759" s="1"/>
      <c r="Y6759" s="1"/>
      <c r="AA6759" s="102"/>
      <c r="AB6759" s="1"/>
      <c r="AC6759" s="1"/>
      <c r="AD6759" s="1"/>
      <c r="AE6759" s="1"/>
      <c r="AF6759" s="1"/>
      <c r="AG6759" s="1"/>
    </row>
    <row r="6760" ht="15.75" customHeight="1">
      <c r="A6760" s="1"/>
      <c r="B6760" s="1"/>
      <c r="C6760" s="1"/>
      <c r="D6760" s="1"/>
      <c r="E6760" s="1"/>
      <c r="F6760" s="1"/>
      <c r="G6760" s="1"/>
      <c r="H6760" s="1"/>
      <c r="I6760" s="1"/>
      <c r="J6760" s="1"/>
      <c r="K6760" s="1" t="s">
        <v>10457</v>
      </c>
      <c r="L6760" t="str">
        <f>G1030</f>
        <v>J2a1a2b~</v>
      </c>
      <c r="M6760" s="1" t="s">
        <v>10458</v>
      </c>
      <c r="N6760" s="1"/>
      <c r="O6760" s="114">
        <v>8909000.0</v>
      </c>
      <c r="P6760" s="114">
        <v>9040959.0</v>
      </c>
      <c r="Q6760" s="1" t="s">
        <v>2439</v>
      </c>
      <c r="S6760" s="1"/>
      <c r="T6760" s="1"/>
      <c r="U6760" s="1"/>
      <c r="V6760" s="1"/>
      <c r="W6760" s="1"/>
      <c r="X6760" s="1"/>
      <c r="Y6760" s="1"/>
      <c r="AA6760" s="102"/>
      <c r="AB6760" s="1"/>
      <c r="AC6760" s="1"/>
      <c r="AD6760" s="1"/>
      <c r="AE6760" s="1"/>
      <c r="AF6760" s="1"/>
      <c r="AG6760" s="1"/>
    </row>
    <row r="6761" ht="15.75" customHeight="1">
      <c r="A6761" s="1"/>
      <c r="B6761" s="1"/>
      <c r="C6761" s="1"/>
      <c r="D6761" s="1"/>
      <c r="E6761" s="1"/>
      <c r="F6761" s="1"/>
      <c r="G6761" s="1"/>
      <c r="H6761" s="1"/>
      <c r="I6761" s="1"/>
      <c r="J6761" s="1"/>
      <c r="K6761" s="19" t="s">
        <v>10458</v>
      </c>
      <c r="L6761" t="str">
        <f>G1030</f>
        <v>J2a1a2b~</v>
      </c>
      <c r="M6761" s="19" t="s">
        <v>10457</v>
      </c>
      <c r="N6761" s="1"/>
      <c r="O6761" s="114">
        <v>8909000.0</v>
      </c>
      <c r="P6761" s="114">
        <v>9040959.0</v>
      </c>
      <c r="Q6761" s="1" t="s">
        <v>2439</v>
      </c>
      <c r="S6761" s="1"/>
      <c r="T6761" s="1"/>
      <c r="U6761" s="1"/>
      <c r="V6761" s="1"/>
      <c r="W6761" s="1"/>
      <c r="X6761" s="1"/>
      <c r="Y6761" s="1"/>
      <c r="AA6761" s="102"/>
      <c r="AB6761" s="1"/>
      <c r="AC6761" s="1"/>
      <c r="AD6761" s="1"/>
      <c r="AE6761" s="1"/>
      <c r="AF6761" s="1"/>
      <c r="AG6761" s="1"/>
    </row>
    <row r="6762" ht="15.75" customHeight="1">
      <c r="A6762" s="1"/>
      <c r="B6762" s="1"/>
      <c r="C6762" s="1"/>
      <c r="D6762" s="1"/>
      <c r="E6762" s="1"/>
      <c r="F6762" s="1"/>
      <c r="G6762" s="1"/>
      <c r="H6762" s="1"/>
      <c r="I6762" s="1"/>
      <c r="J6762" s="1"/>
      <c r="K6762" s="1" t="s">
        <v>10459</v>
      </c>
      <c r="L6762" t="str">
        <f>G1030</f>
        <v>J2a1a2b~</v>
      </c>
      <c r="M6762" s="1"/>
      <c r="N6762" s="1" t="s">
        <v>10460</v>
      </c>
      <c r="O6762" s="114">
        <v>9375823.0</v>
      </c>
      <c r="P6762" s="114">
        <v>9538214.0</v>
      </c>
      <c r="Q6762" s="1" t="s">
        <v>2529</v>
      </c>
      <c r="S6762" s="1"/>
      <c r="T6762" s="1"/>
      <c r="U6762" s="1"/>
      <c r="V6762" s="1"/>
      <c r="W6762" s="1"/>
      <c r="X6762" s="1"/>
      <c r="Y6762" s="1"/>
      <c r="AA6762" s="102"/>
      <c r="AB6762" s="1"/>
      <c r="AC6762" s="1"/>
      <c r="AD6762" s="1"/>
      <c r="AE6762" s="1"/>
      <c r="AF6762" s="1"/>
      <c r="AG6762" s="1"/>
    </row>
    <row r="6763" ht="15.75" customHeight="1">
      <c r="A6763" s="1"/>
      <c r="B6763" s="1"/>
      <c r="C6763" s="1"/>
      <c r="D6763" s="1"/>
      <c r="E6763" s="1"/>
      <c r="F6763" s="1"/>
      <c r="G6763" s="1"/>
      <c r="H6763" s="1"/>
      <c r="I6763" s="1"/>
      <c r="J6763" s="1"/>
      <c r="K6763" s="1" t="s">
        <v>10461</v>
      </c>
      <c r="L6763" t="str">
        <f>G1030</f>
        <v>J2a1a2b~</v>
      </c>
      <c r="M6763" s="1" t="s">
        <v>10462</v>
      </c>
      <c r="N6763" s="1" t="s">
        <v>10463</v>
      </c>
      <c r="O6763" s="114">
        <v>1.556218E7</v>
      </c>
      <c r="P6763" s="114">
        <v>1.34503E7</v>
      </c>
      <c r="Q6763" s="1" t="s">
        <v>2468</v>
      </c>
      <c r="S6763" s="1"/>
      <c r="T6763" s="1"/>
      <c r="U6763" s="1"/>
      <c r="V6763" s="1"/>
      <c r="W6763" s="1"/>
      <c r="X6763" s="1"/>
      <c r="Y6763" s="1"/>
      <c r="AA6763" s="102"/>
      <c r="AB6763" s="1"/>
      <c r="AC6763" s="1"/>
      <c r="AD6763" s="1"/>
      <c r="AE6763" s="1"/>
      <c r="AF6763" s="1"/>
      <c r="AG6763" s="1"/>
    </row>
    <row r="6764" ht="15.75" customHeight="1">
      <c r="A6764" s="1"/>
      <c r="B6764" s="1"/>
      <c r="C6764" s="1"/>
      <c r="D6764" s="1"/>
      <c r="E6764" s="1"/>
      <c r="F6764" s="1"/>
      <c r="G6764" s="1"/>
      <c r="H6764" s="1"/>
      <c r="I6764" s="1"/>
      <c r="J6764" s="1"/>
      <c r="K6764" s="19" t="s">
        <v>10462</v>
      </c>
      <c r="L6764" t="str">
        <f>G1030</f>
        <v>J2a1a2b~</v>
      </c>
      <c r="M6764" s="19" t="s">
        <v>10461</v>
      </c>
      <c r="N6764" s="1" t="s">
        <v>10463</v>
      </c>
      <c r="O6764" s="114">
        <v>1.556218E7</v>
      </c>
      <c r="P6764" s="114">
        <v>1.34503E7</v>
      </c>
      <c r="Q6764" s="1" t="s">
        <v>2468</v>
      </c>
      <c r="S6764" s="1"/>
      <c r="T6764" s="1"/>
      <c r="U6764" s="1"/>
      <c r="V6764" s="1"/>
      <c r="W6764" s="1"/>
      <c r="X6764" s="1"/>
      <c r="Y6764" s="1"/>
      <c r="AA6764" s="102"/>
      <c r="AB6764" s="1"/>
      <c r="AC6764" s="1"/>
      <c r="AD6764" s="1"/>
      <c r="AE6764" s="1"/>
      <c r="AF6764" s="1"/>
      <c r="AG6764" s="1"/>
    </row>
    <row r="6765" ht="15.75" customHeight="1">
      <c r="A6765" s="1"/>
      <c r="B6765" s="1"/>
      <c r="C6765" s="1"/>
      <c r="D6765" s="1"/>
      <c r="E6765" s="1"/>
      <c r="F6765" s="1"/>
      <c r="G6765" s="1"/>
      <c r="H6765" s="1"/>
      <c r="I6765" s="1"/>
      <c r="J6765" s="1"/>
      <c r="K6765" s="1" t="s">
        <v>10464</v>
      </c>
      <c r="L6765" t="str">
        <f>G1030</f>
        <v>J2a1a2b~</v>
      </c>
      <c r="M6765" s="1" t="s">
        <v>10465</v>
      </c>
      <c r="N6765" s="1" t="s">
        <v>10466</v>
      </c>
      <c r="O6765" s="114">
        <v>1.701823E7</v>
      </c>
      <c r="P6765" s="114">
        <v>1.490635E7</v>
      </c>
      <c r="Q6765" s="1" t="s">
        <v>2468</v>
      </c>
      <c r="S6765" s="1"/>
      <c r="T6765" s="1"/>
      <c r="U6765" s="1"/>
      <c r="V6765" s="1"/>
      <c r="W6765" s="1"/>
      <c r="X6765" s="1"/>
      <c r="Y6765" s="1"/>
      <c r="AA6765" s="102"/>
      <c r="AB6765" s="1"/>
      <c r="AC6765" s="1"/>
      <c r="AD6765" s="1"/>
      <c r="AE6765" s="1"/>
      <c r="AF6765" s="1"/>
      <c r="AG6765" s="1"/>
    </row>
    <row r="6766" ht="15.75" customHeight="1">
      <c r="A6766" s="1"/>
      <c r="B6766" s="1"/>
      <c r="C6766" s="1"/>
      <c r="D6766" s="1"/>
      <c r="E6766" s="1"/>
      <c r="F6766" s="1"/>
      <c r="G6766" s="1"/>
      <c r="H6766" s="1"/>
      <c r="I6766" s="1"/>
      <c r="J6766" s="1"/>
      <c r="K6766" s="19" t="s">
        <v>10465</v>
      </c>
      <c r="L6766" t="str">
        <f>G1030</f>
        <v>J2a1a2b~</v>
      </c>
      <c r="M6766" s="19" t="s">
        <v>10464</v>
      </c>
      <c r="N6766" s="1" t="s">
        <v>10466</v>
      </c>
      <c r="O6766" s="114">
        <v>1.701823E7</v>
      </c>
      <c r="P6766" s="114">
        <v>1.490635E7</v>
      </c>
      <c r="Q6766" s="1" t="s">
        <v>2468</v>
      </c>
      <c r="S6766" s="1"/>
      <c r="T6766" s="1"/>
      <c r="U6766" s="1"/>
      <c r="V6766" s="1"/>
      <c r="W6766" s="1"/>
      <c r="X6766" s="1"/>
      <c r="Y6766" s="1"/>
      <c r="AA6766" s="102"/>
      <c r="AB6766" s="1"/>
      <c r="AC6766" s="1"/>
      <c r="AD6766" s="1"/>
      <c r="AE6766" s="1"/>
      <c r="AF6766" s="1"/>
      <c r="AG6766" s="1"/>
    </row>
    <row r="6767" ht="15.75" customHeight="1">
      <c r="A6767" s="1"/>
      <c r="B6767" s="1"/>
      <c r="C6767" s="1"/>
      <c r="D6767" s="1"/>
      <c r="E6767" s="1"/>
      <c r="F6767" s="1"/>
      <c r="G6767" s="1"/>
      <c r="H6767" s="1"/>
      <c r="I6767" s="1"/>
      <c r="J6767" s="1"/>
      <c r="K6767" s="1" t="s">
        <v>10467</v>
      </c>
      <c r="L6767" t="str">
        <f>G1030</f>
        <v>J2a1a2b~</v>
      </c>
      <c r="M6767" s="1" t="s">
        <v>10468</v>
      </c>
      <c r="N6767" s="1" t="s">
        <v>10469</v>
      </c>
      <c r="O6767" s="114">
        <v>1.7340986E7</v>
      </c>
      <c r="P6767" s="114">
        <v>1.5229106E7</v>
      </c>
      <c r="Q6767" s="1" t="s">
        <v>2501</v>
      </c>
      <c r="S6767" s="1"/>
      <c r="T6767" s="1"/>
      <c r="U6767" s="1"/>
      <c r="V6767" s="1"/>
      <c r="W6767" s="1"/>
      <c r="X6767" s="1"/>
      <c r="Y6767" s="1"/>
      <c r="AA6767" s="102"/>
      <c r="AB6767" s="1"/>
      <c r="AC6767" s="1"/>
      <c r="AD6767" s="1"/>
      <c r="AE6767" s="1"/>
      <c r="AF6767" s="1"/>
      <c r="AG6767" s="1"/>
    </row>
    <row r="6768" ht="15.75" customHeight="1">
      <c r="A6768" s="1"/>
      <c r="B6768" s="1"/>
      <c r="C6768" s="1"/>
      <c r="D6768" s="1"/>
      <c r="E6768" s="1"/>
      <c r="F6768" s="1"/>
      <c r="G6768" s="1"/>
      <c r="H6768" s="1"/>
      <c r="I6768" s="1"/>
      <c r="J6768" s="1"/>
      <c r="K6768" s="19" t="s">
        <v>10468</v>
      </c>
      <c r="L6768" t="str">
        <f>G1030</f>
        <v>J2a1a2b~</v>
      </c>
      <c r="M6768" s="19" t="s">
        <v>10467</v>
      </c>
      <c r="N6768" s="1" t="s">
        <v>10469</v>
      </c>
      <c r="O6768" s="114">
        <v>1.7340986E7</v>
      </c>
      <c r="P6768" s="114">
        <v>1.5229106E7</v>
      </c>
      <c r="Q6768" s="1" t="s">
        <v>2501</v>
      </c>
      <c r="S6768" s="1"/>
      <c r="T6768" s="1"/>
      <c r="U6768" s="1"/>
      <c r="V6768" s="1"/>
      <c r="W6768" s="1"/>
      <c r="X6768" s="1"/>
      <c r="Y6768" s="1"/>
      <c r="AA6768" s="102"/>
      <c r="AB6768" s="1"/>
      <c r="AC6768" s="1"/>
      <c r="AD6768" s="1"/>
      <c r="AE6768" s="1"/>
      <c r="AF6768" s="1"/>
      <c r="AG6768" s="1"/>
    </row>
    <row r="6769" ht="15.75" customHeight="1">
      <c r="A6769" s="1"/>
      <c r="B6769" s="1"/>
      <c r="C6769" s="1"/>
      <c r="D6769" s="1"/>
      <c r="E6769" s="1"/>
      <c r="F6769" s="1"/>
      <c r="G6769" s="1"/>
      <c r="H6769" s="1"/>
      <c r="I6769" s="1"/>
      <c r="J6769" s="1"/>
      <c r="K6769" s="1" t="s">
        <v>10470</v>
      </c>
      <c r="L6769" t="str">
        <f>G1030</f>
        <v>J2a1a2b~</v>
      </c>
      <c r="M6769" s="1" t="s">
        <v>10471</v>
      </c>
      <c r="N6769" s="1" t="s">
        <v>10472</v>
      </c>
      <c r="O6769" s="114">
        <v>1.8079059E7</v>
      </c>
      <c r="P6769" s="114">
        <v>1.5967179E7</v>
      </c>
      <c r="Q6769" s="1" t="s">
        <v>2468</v>
      </c>
      <c r="S6769" s="1"/>
      <c r="T6769" s="1"/>
      <c r="U6769" s="1"/>
      <c r="V6769" s="1"/>
      <c r="W6769" s="1"/>
      <c r="X6769" s="1"/>
      <c r="Y6769" s="1"/>
      <c r="AA6769" s="102"/>
      <c r="AB6769" s="1"/>
      <c r="AC6769" s="1"/>
      <c r="AD6769" s="1"/>
      <c r="AE6769" s="1"/>
      <c r="AF6769" s="1"/>
      <c r="AG6769" s="1"/>
    </row>
    <row r="6770" ht="15.75" customHeight="1">
      <c r="A6770" s="1"/>
      <c r="B6770" s="1"/>
      <c r="C6770" s="1"/>
      <c r="D6770" s="1"/>
      <c r="E6770" s="1"/>
      <c r="F6770" s="1"/>
      <c r="G6770" s="1"/>
      <c r="H6770" s="1"/>
      <c r="I6770" s="1"/>
      <c r="J6770" s="1"/>
      <c r="K6770" s="106" t="s">
        <v>10471</v>
      </c>
      <c r="L6770" t="str">
        <f>G1030</f>
        <v>J2a1a2b~</v>
      </c>
      <c r="M6770" s="106" t="s">
        <v>10470</v>
      </c>
      <c r="N6770" s="1" t="s">
        <v>10472</v>
      </c>
      <c r="O6770" s="114">
        <v>1.8079059E7</v>
      </c>
      <c r="P6770" s="114">
        <v>1.5967179E7</v>
      </c>
      <c r="Q6770" s="1" t="s">
        <v>2468</v>
      </c>
      <c r="S6770" s="1"/>
      <c r="T6770" s="1"/>
      <c r="U6770" s="1"/>
      <c r="V6770" s="1"/>
      <c r="W6770" s="1"/>
      <c r="X6770" s="1"/>
      <c r="Y6770" s="1"/>
      <c r="AA6770" s="102"/>
      <c r="AB6770" s="1"/>
      <c r="AC6770" s="1"/>
      <c r="AD6770" s="1"/>
      <c r="AE6770" s="1"/>
      <c r="AF6770" s="1"/>
      <c r="AG6770" s="1"/>
    </row>
    <row r="6771" ht="15.75" customHeight="1">
      <c r="A6771" s="1"/>
      <c r="B6771" s="1"/>
      <c r="C6771" s="1"/>
      <c r="D6771" s="1"/>
      <c r="E6771" s="1"/>
      <c r="F6771" s="1"/>
      <c r="G6771" s="1"/>
      <c r="H6771" s="1"/>
      <c r="I6771" s="1"/>
      <c r="J6771" s="1"/>
      <c r="K6771" s="102" t="s">
        <v>10473</v>
      </c>
      <c r="L6771" t="str">
        <f>G1030</f>
        <v>J2a1a2b~</v>
      </c>
      <c r="M6771" s="102" t="s">
        <v>10474</v>
      </c>
      <c r="N6771" s="1" t="s">
        <v>10475</v>
      </c>
      <c r="O6771" s="114">
        <v>1.8757855E7</v>
      </c>
      <c r="P6771" s="114">
        <v>1.6645975E7</v>
      </c>
      <c r="Q6771" s="1" t="s">
        <v>2501</v>
      </c>
      <c r="S6771" s="1"/>
      <c r="T6771" s="1"/>
      <c r="U6771" s="1"/>
      <c r="V6771" s="1"/>
      <c r="W6771" s="1"/>
      <c r="X6771" s="1"/>
      <c r="Y6771" s="1"/>
      <c r="AA6771" s="102"/>
      <c r="AB6771" s="1"/>
      <c r="AC6771" s="1"/>
      <c r="AD6771" s="1"/>
      <c r="AE6771" s="1"/>
      <c r="AF6771" s="1"/>
      <c r="AG6771" s="1"/>
    </row>
    <row r="6772" ht="15.75" customHeight="1">
      <c r="A6772" s="1"/>
      <c r="B6772" s="1"/>
      <c r="C6772" s="1"/>
      <c r="D6772" s="1"/>
      <c r="E6772" s="1"/>
      <c r="F6772" s="1"/>
      <c r="G6772" s="1"/>
      <c r="H6772" s="1"/>
      <c r="I6772" s="1"/>
      <c r="J6772" s="1"/>
      <c r="K6772" s="106" t="s">
        <v>10474</v>
      </c>
      <c r="L6772" t="str">
        <f>G1030</f>
        <v>J2a1a2b~</v>
      </c>
      <c r="M6772" s="106" t="s">
        <v>10473</v>
      </c>
      <c r="N6772" s="1" t="s">
        <v>10475</v>
      </c>
      <c r="O6772" s="114">
        <v>1.8757855E7</v>
      </c>
      <c r="P6772" s="114">
        <v>1.6645975E7</v>
      </c>
      <c r="Q6772" s="1" t="s">
        <v>2501</v>
      </c>
      <c r="S6772" s="1"/>
      <c r="T6772" s="1"/>
      <c r="U6772" s="1"/>
      <c r="V6772" s="1"/>
      <c r="W6772" s="1"/>
      <c r="X6772" s="1"/>
      <c r="Y6772" s="1"/>
      <c r="AA6772" s="102"/>
      <c r="AB6772" s="1"/>
      <c r="AC6772" s="1"/>
      <c r="AD6772" s="1"/>
      <c r="AE6772" s="1"/>
      <c r="AF6772" s="1"/>
      <c r="AG6772" s="1"/>
    </row>
    <row r="6773" ht="15.75" customHeight="1">
      <c r="A6773" s="1"/>
      <c r="B6773" s="1"/>
      <c r="C6773" s="1"/>
      <c r="D6773" s="1"/>
      <c r="E6773" s="1"/>
      <c r="F6773" s="1"/>
      <c r="G6773" s="1"/>
      <c r="H6773" s="1"/>
      <c r="I6773" s="1"/>
      <c r="J6773" s="1"/>
      <c r="K6773" s="102" t="s">
        <v>10476</v>
      </c>
      <c r="L6773" t="str">
        <f>G1030</f>
        <v>J2a1a2b~</v>
      </c>
      <c r="M6773" s="102" t="s">
        <v>10477</v>
      </c>
      <c r="N6773" s="1" t="s">
        <v>10478</v>
      </c>
      <c r="O6773" s="114">
        <v>1.9003998E7</v>
      </c>
      <c r="P6773" s="114">
        <v>1.6892118E7</v>
      </c>
      <c r="Q6773" s="1" t="s">
        <v>2439</v>
      </c>
      <c r="S6773" s="1"/>
      <c r="T6773" s="1"/>
      <c r="U6773" s="1"/>
      <c r="V6773" s="1"/>
      <c r="W6773" s="1"/>
      <c r="X6773" s="1"/>
      <c r="Y6773" s="1"/>
      <c r="AA6773" s="102"/>
      <c r="AB6773" s="1"/>
      <c r="AC6773" s="1"/>
      <c r="AD6773" s="1"/>
      <c r="AE6773" s="1"/>
      <c r="AF6773" s="1"/>
      <c r="AG6773" s="1"/>
    </row>
    <row r="6774" ht="15.75" customHeight="1">
      <c r="A6774" s="1"/>
      <c r="B6774" s="1"/>
      <c r="C6774" s="1"/>
      <c r="D6774" s="1"/>
      <c r="E6774" s="1"/>
      <c r="F6774" s="1"/>
      <c r="G6774" s="1"/>
      <c r="H6774" s="1"/>
      <c r="I6774" s="1"/>
      <c r="J6774" s="1"/>
      <c r="K6774" s="106" t="s">
        <v>10477</v>
      </c>
      <c r="L6774" t="str">
        <f>G1030</f>
        <v>J2a1a2b~</v>
      </c>
      <c r="M6774" s="106" t="s">
        <v>10476</v>
      </c>
      <c r="N6774" s="1" t="s">
        <v>10478</v>
      </c>
      <c r="O6774" s="114">
        <v>1.9003998E7</v>
      </c>
      <c r="P6774" s="114">
        <v>1.6892118E7</v>
      </c>
      <c r="Q6774" s="1" t="s">
        <v>2439</v>
      </c>
      <c r="S6774" s="1"/>
      <c r="T6774" s="1"/>
      <c r="U6774" s="1"/>
      <c r="V6774" s="1"/>
      <c r="W6774" s="1"/>
      <c r="X6774" s="1"/>
      <c r="Y6774" s="1"/>
      <c r="AA6774" s="102"/>
      <c r="AB6774" s="1"/>
      <c r="AC6774" s="1"/>
      <c r="AD6774" s="1"/>
      <c r="AE6774" s="1"/>
      <c r="AF6774" s="1"/>
      <c r="AG6774" s="1"/>
    </row>
    <row r="6775" ht="15.75" customHeight="1">
      <c r="A6775" s="1"/>
      <c r="B6775" s="1"/>
      <c r="C6775" s="1"/>
      <c r="D6775" s="1"/>
      <c r="E6775" s="1"/>
      <c r="F6775" s="1"/>
      <c r="G6775" s="1"/>
      <c r="H6775" s="1"/>
      <c r="I6775" s="1"/>
      <c r="J6775" s="1"/>
      <c r="K6775" s="102" t="s">
        <v>10479</v>
      </c>
      <c r="L6775" t="str">
        <f>G1030</f>
        <v>J2a1a2b~</v>
      </c>
      <c r="M6775" s="102"/>
      <c r="N6775" s="1" t="s">
        <v>10480</v>
      </c>
      <c r="O6775" s="114">
        <v>1.9055369E7</v>
      </c>
      <c r="P6775" s="114">
        <v>1.6943489E7</v>
      </c>
      <c r="Q6775" s="1" t="s">
        <v>2576</v>
      </c>
      <c r="S6775" s="1"/>
      <c r="T6775" s="1"/>
      <c r="U6775" s="1"/>
      <c r="V6775" s="1"/>
      <c r="W6775" s="1"/>
      <c r="X6775" s="1"/>
      <c r="Y6775" s="1"/>
      <c r="AA6775" s="102"/>
      <c r="AB6775" s="1"/>
      <c r="AC6775" s="1"/>
      <c r="AD6775" s="1"/>
      <c r="AE6775" s="1"/>
      <c r="AF6775" s="1"/>
      <c r="AG6775" s="1"/>
    </row>
    <row r="6776" ht="15.75" customHeight="1">
      <c r="A6776" s="1"/>
      <c r="B6776" s="1"/>
      <c r="C6776" s="1"/>
      <c r="D6776" s="1"/>
      <c r="E6776" s="1"/>
      <c r="F6776" s="1"/>
      <c r="G6776" s="1"/>
      <c r="H6776" s="1"/>
      <c r="I6776" s="1"/>
      <c r="J6776" s="1"/>
      <c r="K6776" s="102" t="s">
        <v>10481</v>
      </c>
      <c r="L6776" t="str">
        <f>G1030</f>
        <v>J2a1a2b~</v>
      </c>
      <c r="M6776" s="102" t="s">
        <v>10482</v>
      </c>
      <c r="N6776" s="1" t="s">
        <v>10483</v>
      </c>
      <c r="O6776" s="114">
        <v>1.9243139E7</v>
      </c>
      <c r="P6776" s="114">
        <v>1.7131259E7</v>
      </c>
      <c r="Q6776" s="1" t="s">
        <v>2446</v>
      </c>
      <c r="S6776" s="1"/>
      <c r="T6776" s="1"/>
      <c r="U6776" s="1"/>
      <c r="V6776" s="1"/>
      <c r="W6776" s="1"/>
      <c r="X6776" s="1"/>
      <c r="Y6776" s="1"/>
      <c r="AA6776" s="102"/>
      <c r="AB6776" s="1"/>
      <c r="AC6776" s="1"/>
      <c r="AD6776" s="1"/>
      <c r="AE6776" s="1"/>
      <c r="AF6776" s="1"/>
      <c r="AG6776" s="1"/>
    </row>
    <row r="6777" ht="15.75" customHeight="1">
      <c r="A6777" s="1"/>
      <c r="B6777" s="1"/>
      <c r="C6777" s="1"/>
      <c r="D6777" s="1"/>
      <c r="E6777" s="1"/>
      <c r="F6777" s="1"/>
      <c r="G6777" s="1"/>
      <c r="H6777" s="1"/>
      <c r="I6777" s="1"/>
      <c r="J6777" s="1"/>
      <c r="K6777" s="19" t="s">
        <v>10482</v>
      </c>
      <c r="L6777" t="str">
        <f>G1030</f>
        <v>J2a1a2b~</v>
      </c>
      <c r="M6777" s="19" t="s">
        <v>10481</v>
      </c>
      <c r="N6777" s="1" t="s">
        <v>10483</v>
      </c>
      <c r="O6777" s="114">
        <v>1.9243139E7</v>
      </c>
      <c r="P6777" s="114">
        <v>1.7131259E7</v>
      </c>
      <c r="Q6777" s="1" t="s">
        <v>2446</v>
      </c>
      <c r="S6777" s="1"/>
      <c r="T6777" s="1"/>
      <c r="U6777" s="1"/>
      <c r="V6777" s="1"/>
      <c r="W6777" s="1"/>
      <c r="X6777" s="1"/>
      <c r="Y6777" s="1"/>
      <c r="AA6777" s="102"/>
      <c r="AB6777" s="1"/>
      <c r="AC6777" s="1"/>
      <c r="AD6777" s="1"/>
      <c r="AE6777" s="1"/>
      <c r="AF6777" s="1"/>
      <c r="AG6777" s="1"/>
    </row>
    <row r="6778" ht="15.75" customHeight="1">
      <c r="A6778" s="1"/>
      <c r="B6778" s="1"/>
      <c r="C6778" s="1"/>
      <c r="D6778" s="1"/>
      <c r="E6778" s="1"/>
      <c r="F6778" s="1"/>
      <c r="G6778" s="1"/>
      <c r="H6778" s="1"/>
      <c r="I6778" s="1"/>
      <c r="J6778" s="1"/>
      <c r="K6778" s="1" t="s">
        <v>10484</v>
      </c>
      <c r="L6778" t="str">
        <f>G1030</f>
        <v>J2a1a2b~</v>
      </c>
      <c r="M6778" s="1" t="s">
        <v>10485</v>
      </c>
      <c r="N6778" s="1" t="s">
        <v>10486</v>
      </c>
      <c r="O6778" s="114">
        <v>2.3424136E7</v>
      </c>
      <c r="P6778" s="114">
        <v>2.126225E7</v>
      </c>
      <c r="Q6778" s="1" t="s">
        <v>2446</v>
      </c>
      <c r="S6778" s="1"/>
      <c r="T6778" s="1"/>
      <c r="U6778" s="1"/>
      <c r="V6778" s="1"/>
      <c r="W6778" s="1"/>
      <c r="X6778" s="1"/>
      <c r="Y6778" s="1"/>
      <c r="AA6778" s="102"/>
      <c r="AB6778" s="1"/>
      <c r="AC6778" s="1"/>
      <c r="AD6778" s="1"/>
      <c r="AE6778" s="1"/>
      <c r="AF6778" s="1"/>
      <c r="AG6778" s="1"/>
    </row>
    <row r="6779" ht="15.75" customHeight="1">
      <c r="A6779" s="1"/>
      <c r="B6779" s="1"/>
      <c r="C6779" s="1"/>
      <c r="D6779" s="1"/>
      <c r="E6779" s="1"/>
      <c r="F6779" s="1"/>
      <c r="G6779" s="1"/>
      <c r="H6779" s="1"/>
      <c r="I6779" s="1"/>
      <c r="J6779" s="1"/>
      <c r="K6779" s="19" t="s">
        <v>10485</v>
      </c>
      <c r="L6779" t="str">
        <f>G1030</f>
        <v>J2a1a2b~</v>
      </c>
      <c r="M6779" s="19" t="s">
        <v>10484</v>
      </c>
      <c r="N6779" s="1" t="s">
        <v>10486</v>
      </c>
      <c r="O6779" s="114">
        <v>2.3424136E7</v>
      </c>
      <c r="P6779" s="114">
        <v>2.126225E7</v>
      </c>
      <c r="Q6779" s="1" t="s">
        <v>2446</v>
      </c>
      <c r="S6779" s="1"/>
      <c r="T6779" s="1"/>
      <c r="U6779" s="1"/>
      <c r="V6779" s="1"/>
      <c r="W6779" s="1"/>
      <c r="X6779" s="1"/>
      <c r="Y6779" s="1"/>
      <c r="AA6779" s="102"/>
      <c r="AB6779" s="1"/>
      <c r="AC6779" s="1"/>
      <c r="AD6779" s="1"/>
      <c r="AE6779" s="1"/>
      <c r="AF6779" s="1"/>
      <c r="AG6779" s="1"/>
    </row>
    <row r="6780" ht="15.75" customHeight="1">
      <c r="A6780" s="1"/>
      <c r="B6780" s="1"/>
      <c r="C6780" s="1"/>
      <c r="D6780" s="1"/>
      <c r="E6780" s="1"/>
      <c r="F6780" s="1"/>
      <c r="G6780" s="1"/>
      <c r="H6780" s="1"/>
      <c r="I6780" s="1"/>
      <c r="J6780" s="1"/>
      <c r="K6780" s="1" t="s">
        <v>10487</v>
      </c>
      <c r="L6780" t="str">
        <f>G1030</f>
        <v>J2a1a2b~</v>
      </c>
      <c r="M6780" s="1" t="s">
        <v>10488</v>
      </c>
      <c r="N6780" s="1"/>
      <c r="O6780" s="114">
        <v>2.3743308E7</v>
      </c>
      <c r="P6780" s="105">
        <v>2.1581422E7</v>
      </c>
      <c r="Q6780" s="102" t="s">
        <v>2468</v>
      </c>
      <c r="S6780" s="1"/>
      <c r="T6780" s="1"/>
      <c r="U6780" s="1"/>
      <c r="V6780" s="1"/>
      <c r="W6780" s="1"/>
      <c r="X6780" s="1"/>
      <c r="Y6780" s="1"/>
      <c r="AA6780" s="102"/>
      <c r="AB6780" s="1"/>
      <c r="AC6780" s="1"/>
      <c r="AD6780" s="1"/>
      <c r="AE6780" s="1"/>
      <c r="AF6780" s="1"/>
      <c r="AG6780" s="1"/>
    </row>
    <row r="6781" ht="15.75" customHeight="1">
      <c r="A6781" s="1"/>
      <c r="B6781" s="1"/>
      <c r="C6781" s="1"/>
      <c r="D6781" s="1"/>
      <c r="E6781" s="1"/>
      <c r="F6781" s="1"/>
      <c r="G6781" s="1"/>
      <c r="H6781" s="1"/>
      <c r="I6781" s="1"/>
      <c r="J6781" s="1"/>
      <c r="K6781" s="106" t="s">
        <v>10488</v>
      </c>
      <c r="L6781" t="str">
        <f>G1030</f>
        <v>J2a1a2b~</v>
      </c>
      <c r="M6781" s="106" t="s">
        <v>10487</v>
      </c>
      <c r="N6781" s="1"/>
      <c r="O6781" s="114">
        <v>2.3743308E7</v>
      </c>
      <c r="P6781" s="105">
        <v>2.1581422E7</v>
      </c>
      <c r="Q6781" s="102" t="s">
        <v>2468</v>
      </c>
      <c r="S6781" s="1"/>
      <c r="T6781" s="1"/>
      <c r="U6781" s="1"/>
      <c r="V6781" s="1"/>
      <c r="W6781" s="1"/>
      <c r="X6781" s="1"/>
      <c r="Y6781" s="1"/>
      <c r="AA6781" s="102"/>
      <c r="AB6781" s="1"/>
      <c r="AC6781" s="1"/>
      <c r="AD6781" s="1"/>
      <c r="AE6781" s="1"/>
      <c r="AF6781" s="1"/>
      <c r="AG6781" s="1"/>
    </row>
    <row r="6782" ht="15.75" customHeight="1">
      <c r="A6782" s="1"/>
      <c r="B6782" s="1"/>
      <c r="C6782" s="1"/>
      <c r="D6782" s="1"/>
      <c r="E6782" s="1"/>
      <c r="F6782" s="1"/>
      <c r="G6782" s="1"/>
      <c r="H6782" s="1"/>
      <c r="I6782" s="1"/>
      <c r="J6782" s="1"/>
      <c r="K6782" s="102" t="s">
        <v>10489</v>
      </c>
      <c r="L6782" t="str">
        <f>G1030</f>
        <v>J2a1a2b~</v>
      </c>
      <c r="M6782" s="102" t="s">
        <v>10490</v>
      </c>
      <c r="N6782" s="1" t="s">
        <v>10491</v>
      </c>
      <c r="O6782" s="114">
        <v>8051468.0</v>
      </c>
      <c r="P6782" s="105">
        <v>8183427.0</v>
      </c>
      <c r="Q6782" s="102" t="s">
        <v>2468</v>
      </c>
      <c r="S6782" s="1"/>
      <c r="T6782" s="1"/>
      <c r="U6782" s="1"/>
      <c r="V6782" s="1"/>
      <c r="W6782" s="1"/>
      <c r="X6782" s="1"/>
      <c r="Y6782" s="1"/>
      <c r="AA6782" s="102"/>
      <c r="AB6782" s="1"/>
      <c r="AC6782" s="1"/>
      <c r="AD6782" s="1"/>
      <c r="AE6782" s="1"/>
      <c r="AF6782" s="1"/>
      <c r="AG6782" s="1"/>
    </row>
    <row r="6783" ht="15.75" customHeight="1">
      <c r="A6783" s="1"/>
      <c r="B6783" s="1"/>
      <c r="C6783" s="1"/>
      <c r="D6783" s="1"/>
      <c r="E6783" s="1"/>
      <c r="F6783" s="1"/>
      <c r="G6783" s="1"/>
      <c r="H6783" s="1"/>
      <c r="I6783" s="1"/>
      <c r="J6783" s="1"/>
      <c r="K6783" s="106" t="s">
        <v>10490</v>
      </c>
      <c r="L6783" t="str">
        <f>G1030</f>
        <v>J2a1a2b~</v>
      </c>
      <c r="M6783" s="106" t="s">
        <v>10489</v>
      </c>
      <c r="N6783" s="1" t="s">
        <v>10491</v>
      </c>
      <c r="O6783" s="114">
        <v>8051468.0</v>
      </c>
      <c r="P6783" s="105">
        <v>8183427.0</v>
      </c>
      <c r="Q6783" s="102" t="s">
        <v>2468</v>
      </c>
      <c r="S6783" s="1"/>
      <c r="T6783" s="1"/>
      <c r="U6783" s="1"/>
      <c r="V6783" s="1"/>
      <c r="W6783" s="1"/>
      <c r="X6783" s="1"/>
      <c r="Y6783" s="1"/>
      <c r="AA6783" s="102"/>
      <c r="AB6783" s="1"/>
      <c r="AC6783" s="1"/>
      <c r="AD6783" s="1"/>
      <c r="AE6783" s="1"/>
      <c r="AF6783" s="1"/>
      <c r="AG6783" s="1"/>
    </row>
    <row r="6784" ht="15.75" customHeight="1">
      <c r="A6784" s="1"/>
      <c r="B6784" s="1"/>
      <c r="C6784" s="1"/>
      <c r="D6784" s="1"/>
      <c r="E6784" s="1"/>
      <c r="F6784" s="1"/>
      <c r="G6784" s="1"/>
      <c r="H6784" s="1"/>
      <c r="I6784" s="1"/>
      <c r="J6784" s="1"/>
      <c r="K6784" s="102" t="s">
        <v>10492</v>
      </c>
      <c r="L6784" t="str">
        <f>G1030</f>
        <v>J2a1a2b~</v>
      </c>
      <c r="M6784" s="102" t="s">
        <v>10493</v>
      </c>
      <c r="N6784" s="1" t="s">
        <v>10494</v>
      </c>
      <c r="O6784" s="114">
        <v>7305250.0</v>
      </c>
      <c r="P6784" s="105">
        <v>7437209.0</v>
      </c>
      <c r="Q6784" s="102" t="s">
        <v>2533</v>
      </c>
      <c r="S6784" s="1"/>
      <c r="T6784" s="1"/>
      <c r="U6784" s="1"/>
      <c r="V6784" s="1"/>
      <c r="W6784" s="1"/>
      <c r="X6784" s="1"/>
      <c r="Y6784" s="1"/>
      <c r="AA6784" s="102"/>
      <c r="AB6784" s="1"/>
      <c r="AC6784" s="1"/>
      <c r="AD6784" s="1"/>
      <c r="AE6784" s="1"/>
      <c r="AF6784" s="1"/>
      <c r="AG6784" s="1"/>
    </row>
    <row r="6785" ht="15.75" customHeight="1">
      <c r="A6785" s="1"/>
      <c r="B6785" s="1"/>
      <c r="C6785" s="1"/>
      <c r="D6785" s="1"/>
      <c r="E6785" s="1"/>
      <c r="F6785" s="1"/>
      <c r="G6785" s="1"/>
      <c r="H6785" s="1"/>
      <c r="I6785" s="1"/>
      <c r="J6785" s="1"/>
      <c r="K6785" s="19" t="s">
        <v>10493</v>
      </c>
      <c r="L6785" t="str">
        <f>G1030</f>
        <v>J2a1a2b~</v>
      </c>
      <c r="M6785" s="19" t="s">
        <v>10492</v>
      </c>
      <c r="N6785" s="1" t="s">
        <v>10494</v>
      </c>
      <c r="O6785" s="114">
        <v>7305250.0</v>
      </c>
      <c r="P6785" s="105">
        <v>7437209.0</v>
      </c>
      <c r="Q6785" s="102" t="s">
        <v>2533</v>
      </c>
      <c r="S6785" s="1"/>
      <c r="T6785" s="1"/>
      <c r="U6785" s="1"/>
      <c r="V6785" s="1"/>
      <c r="W6785" s="1"/>
      <c r="X6785" s="1"/>
      <c r="Y6785" s="1"/>
      <c r="AA6785" s="102"/>
      <c r="AB6785" s="1"/>
      <c r="AC6785" s="1"/>
      <c r="AD6785" s="1"/>
      <c r="AE6785" s="1"/>
      <c r="AF6785" s="1"/>
      <c r="AG6785" s="1"/>
    </row>
    <row r="6786" ht="15.75" customHeight="1">
      <c r="A6786" s="1"/>
      <c r="B6786" s="1"/>
      <c r="C6786" s="1"/>
      <c r="D6786" s="1"/>
      <c r="E6786" s="1"/>
      <c r="F6786" s="1"/>
      <c r="G6786" s="1"/>
      <c r="H6786" s="1"/>
      <c r="I6786" s="1"/>
      <c r="J6786" s="1"/>
      <c r="K6786" s="1" t="s">
        <v>10495</v>
      </c>
      <c r="L6786" t="str">
        <f>G1030</f>
        <v>J2a1a2b~</v>
      </c>
      <c r="M6786" s="1" t="s">
        <v>10496</v>
      </c>
      <c r="N6786" s="1" t="s">
        <v>10497</v>
      </c>
      <c r="O6786" s="114">
        <v>1.4420122E7</v>
      </c>
      <c r="P6786" s="105">
        <v>1.2299397E7</v>
      </c>
      <c r="Q6786" s="102" t="s">
        <v>2501</v>
      </c>
      <c r="S6786" s="1"/>
      <c r="T6786" s="1"/>
      <c r="U6786" s="1"/>
      <c r="V6786" s="1"/>
      <c r="W6786" s="1"/>
      <c r="X6786" s="1"/>
      <c r="Y6786" s="1"/>
      <c r="AA6786" s="102"/>
      <c r="AB6786" s="1"/>
      <c r="AC6786" s="1"/>
      <c r="AD6786" s="1"/>
      <c r="AE6786" s="1"/>
      <c r="AF6786" s="1"/>
      <c r="AG6786" s="1"/>
    </row>
    <row r="6787" ht="15.75" customHeight="1">
      <c r="A6787" s="1"/>
      <c r="B6787" s="1"/>
      <c r="C6787" s="1"/>
      <c r="D6787" s="1"/>
      <c r="E6787" s="1"/>
      <c r="F6787" s="1"/>
      <c r="G6787" s="1"/>
      <c r="H6787" s="1"/>
      <c r="I6787" s="1"/>
      <c r="J6787" s="1"/>
      <c r="K6787" s="19" t="s">
        <v>10496</v>
      </c>
      <c r="L6787" t="str">
        <f>G1030</f>
        <v>J2a1a2b~</v>
      </c>
      <c r="M6787" s="19" t="s">
        <v>10495</v>
      </c>
      <c r="N6787" s="1" t="s">
        <v>10497</v>
      </c>
      <c r="O6787" s="114">
        <v>1.4420122E7</v>
      </c>
      <c r="P6787" s="105">
        <v>1.2299397E7</v>
      </c>
      <c r="Q6787" s="102" t="s">
        <v>2501</v>
      </c>
      <c r="S6787" s="1"/>
      <c r="T6787" s="1"/>
      <c r="U6787" s="1"/>
      <c r="V6787" s="1"/>
      <c r="W6787" s="1"/>
      <c r="X6787" s="1"/>
      <c r="Y6787" s="1"/>
      <c r="AA6787" s="102"/>
      <c r="AB6787" s="1"/>
      <c r="AC6787" s="1"/>
      <c r="AD6787" s="1"/>
      <c r="AE6787" s="1"/>
      <c r="AF6787" s="1"/>
      <c r="AG6787" s="1"/>
    </row>
    <row r="6788" ht="15.75" customHeight="1">
      <c r="A6788" s="1"/>
      <c r="B6788" s="1"/>
      <c r="C6788" s="1"/>
      <c r="D6788" s="1"/>
      <c r="E6788" s="1"/>
      <c r="F6788" s="1"/>
      <c r="G6788" s="1"/>
      <c r="H6788" s="1"/>
      <c r="I6788" s="1"/>
      <c r="J6788" s="1"/>
      <c r="K6788" s="1" t="s">
        <v>10498</v>
      </c>
      <c r="L6788" t="str">
        <f>G1030</f>
        <v>J2a1a2b~</v>
      </c>
      <c r="M6788" s="1" t="s">
        <v>10499</v>
      </c>
      <c r="N6788" s="1" t="s">
        <v>10500</v>
      </c>
      <c r="O6788" s="114">
        <v>2.2172598E7</v>
      </c>
      <c r="P6788" s="105">
        <v>2.0010712E7</v>
      </c>
      <c r="Q6788" s="102" t="s">
        <v>2563</v>
      </c>
      <c r="S6788" s="1"/>
      <c r="T6788" s="1"/>
      <c r="U6788" s="1"/>
      <c r="V6788" s="1"/>
      <c r="W6788" s="1"/>
      <c r="X6788" s="1"/>
      <c r="Y6788" s="1"/>
      <c r="AA6788" s="102"/>
      <c r="AB6788" s="1"/>
      <c r="AC6788" s="1"/>
      <c r="AD6788" s="1"/>
      <c r="AE6788" s="1"/>
      <c r="AF6788" s="1"/>
      <c r="AG6788" s="1"/>
    </row>
    <row r="6789" ht="15.75" customHeight="1">
      <c r="A6789" s="1"/>
      <c r="B6789" s="1"/>
      <c r="C6789" s="1"/>
      <c r="D6789" s="1"/>
      <c r="E6789" s="1"/>
      <c r="F6789" s="1"/>
      <c r="G6789" s="1"/>
      <c r="H6789" s="1"/>
      <c r="I6789" s="1"/>
      <c r="J6789" s="1"/>
      <c r="K6789" s="106" t="s">
        <v>10499</v>
      </c>
      <c r="L6789" t="str">
        <f>G1030</f>
        <v>J2a1a2b~</v>
      </c>
      <c r="M6789" s="106" t="s">
        <v>10498</v>
      </c>
      <c r="N6789" s="1" t="s">
        <v>10500</v>
      </c>
      <c r="O6789" s="114">
        <v>2.2172598E7</v>
      </c>
      <c r="P6789" s="105">
        <v>2.0010712E7</v>
      </c>
      <c r="Q6789" s="102" t="s">
        <v>2563</v>
      </c>
      <c r="S6789" s="1"/>
      <c r="T6789" s="1"/>
      <c r="U6789" s="1"/>
      <c r="V6789" s="1"/>
      <c r="W6789" s="1"/>
      <c r="X6789" s="1"/>
      <c r="Y6789" s="1"/>
      <c r="AA6789" s="102"/>
      <c r="AB6789" s="1"/>
      <c r="AC6789" s="1"/>
      <c r="AD6789" s="1"/>
      <c r="AE6789" s="1"/>
      <c r="AF6789" s="1"/>
      <c r="AG6789" s="1"/>
    </row>
    <row r="6790" ht="15.75" customHeight="1">
      <c r="A6790" s="1"/>
      <c r="B6790" s="1"/>
      <c r="C6790" s="1"/>
      <c r="D6790" s="1"/>
      <c r="E6790" s="1"/>
      <c r="F6790" s="1"/>
      <c r="G6790" s="1"/>
      <c r="H6790" s="1"/>
      <c r="I6790" s="1"/>
      <c r="J6790" s="1"/>
      <c r="K6790" s="102" t="s">
        <v>10501</v>
      </c>
      <c r="L6790" t="str">
        <f>G1030</f>
        <v>J2a1a2b~</v>
      </c>
      <c r="M6790" s="102" t="s">
        <v>10502</v>
      </c>
      <c r="N6790" s="1" t="s">
        <v>10503</v>
      </c>
      <c r="O6790" s="114">
        <v>2.2682424E7</v>
      </c>
      <c r="P6790" s="105">
        <v>2.0520538E7</v>
      </c>
      <c r="Q6790" s="102" t="s">
        <v>2432</v>
      </c>
      <c r="S6790" s="1"/>
      <c r="T6790" s="1"/>
      <c r="U6790" s="1"/>
      <c r="V6790" s="1"/>
      <c r="W6790" s="1"/>
      <c r="X6790" s="1"/>
      <c r="Y6790" s="1"/>
      <c r="AA6790" s="102"/>
      <c r="AB6790" s="1"/>
      <c r="AC6790" s="1"/>
      <c r="AD6790" s="1"/>
      <c r="AE6790" s="1"/>
      <c r="AF6790" s="1"/>
      <c r="AG6790" s="1"/>
    </row>
    <row r="6791" ht="15.75" customHeight="1">
      <c r="A6791" s="1"/>
      <c r="B6791" s="1"/>
      <c r="C6791" s="1"/>
      <c r="D6791" s="1"/>
      <c r="E6791" s="1"/>
      <c r="F6791" s="1"/>
      <c r="G6791" s="1"/>
      <c r="H6791" s="1"/>
      <c r="I6791" s="1"/>
      <c r="J6791" s="1"/>
      <c r="K6791" s="19" t="s">
        <v>10502</v>
      </c>
      <c r="L6791" t="str">
        <f>G1030</f>
        <v>J2a1a2b~</v>
      </c>
      <c r="M6791" s="19" t="s">
        <v>10501</v>
      </c>
      <c r="N6791" s="1" t="s">
        <v>10503</v>
      </c>
      <c r="O6791" s="114">
        <v>2.2682424E7</v>
      </c>
      <c r="P6791" s="105">
        <v>2.0520538E7</v>
      </c>
      <c r="Q6791" s="102" t="s">
        <v>2432</v>
      </c>
      <c r="S6791" s="1"/>
      <c r="T6791" s="1"/>
      <c r="U6791" s="1"/>
      <c r="V6791" s="1"/>
      <c r="W6791" s="1"/>
      <c r="X6791" s="1"/>
      <c r="Y6791" s="1"/>
      <c r="AA6791" s="102"/>
      <c r="AB6791" s="1"/>
      <c r="AC6791" s="1"/>
      <c r="AD6791" s="1"/>
      <c r="AE6791" s="1"/>
      <c r="AF6791" s="1"/>
      <c r="AG6791" s="1"/>
    </row>
    <row r="6792" ht="15.75" customHeight="1">
      <c r="A6792" s="1"/>
      <c r="B6792" s="1"/>
      <c r="C6792" s="1"/>
      <c r="D6792" s="1"/>
      <c r="E6792" s="1"/>
      <c r="F6792" s="1"/>
      <c r="G6792" s="1"/>
      <c r="H6792" s="1"/>
      <c r="I6792" s="1"/>
      <c r="J6792" s="1"/>
      <c r="K6792" s="1" t="s">
        <v>10504</v>
      </c>
      <c r="L6792" t="str">
        <f>G1030</f>
        <v>J2a1a2b~</v>
      </c>
      <c r="M6792" s="1"/>
      <c r="N6792" s="1" t="s">
        <v>10505</v>
      </c>
      <c r="O6792" s="114">
        <v>7243082.0</v>
      </c>
      <c r="P6792" s="105">
        <v>7375041.0</v>
      </c>
      <c r="Q6792" s="102" t="s">
        <v>2501</v>
      </c>
      <c r="S6792" s="1"/>
      <c r="T6792" s="1"/>
      <c r="U6792" s="1"/>
      <c r="V6792" s="1"/>
      <c r="W6792" s="1"/>
      <c r="X6792" s="1"/>
      <c r="Y6792" s="1"/>
      <c r="AA6792" s="102"/>
      <c r="AB6792" s="1"/>
      <c r="AC6792" s="1"/>
      <c r="AD6792" s="1"/>
      <c r="AE6792" s="1"/>
      <c r="AF6792" s="1"/>
      <c r="AG6792" s="1"/>
    </row>
    <row r="6793" ht="15.75" customHeight="1">
      <c r="A6793" s="1"/>
      <c r="B6793" s="1"/>
      <c r="C6793" s="1"/>
      <c r="D6793" s="1"/>
      <c r="E6793" s="1"/>
      <c r="F6793" s="1"/>
      <c r="G6793" s="1"/>
      <c r="H6793" s="1"/>
      <c r="I6793" s="1"/>
      <c r="J6793" s="1"/>
      <c r="K6793" s="1" t="s">
        <v>10506</v>
      </c>
      <c r="L6793" t="str">
        <f>G1030</f>
        <v>J2a1a2b~</v>
      </c>
      <c r="M6793" s="1"/>
      <c r="N6793" s="1" t="s">
        <v>10507</v>
      </c>
      <c r="O6793" s="114">
        <v>1.576863E7</v>
      </c>
      <c r="P6793" s="105">
        <v>1.365675E7</v>
      </c>
      <c r="Q6793" s="102" t="s">
        <v>2468</v>
      </c>
      <c r="S6793" s="1"/>
      <c r="T6793" s="1"/>
      <c r="U6793" s="1"/>
      <c r="V6793" s="1"/>
      <c r="W6793" s="1"/>
      <c r="X6793" s="1"/>
      <c r="Y6793" s="1"/>
      <c r="AA6793" s="102"/>
      <c r="AB6793" s="1"/>
      <c r="AC6793" s="1"/>
      <c r="AD6793" s="1"/>
      <c r="AE6793" s="1"/>
      <c r="AF6793" s="1"/>
      <c r="AG6793" s="1"/>
    </row>
    <row r="6794" ht="15.75" customHeight="1">
      <c r="A6794" s="1"/>
      <c r="B6794" s="1"/>
      <c r="C6794" s="1"/>
      <c r="D6794" s="1"/>
      <c r="E6794" s="1"/>
      <c r="F6794" s="1"/>
      <c r="G6794" s="1"/>
      <c r="H6794" s="1"/>
      <c r="I6794" s="1"/>
      <c r="J6794" s="1"/>
      <c r="K6794" s="1" t="s">
        <v>10508</v>
      </c>
      <c r="L6794" t="str">
        <f>G1030</f>
        <v>J2a1a2b~</v>
      </c>
      <c r="M6794" s="1"/>
      <c r="N6794" s="1" t="s">
        <v>10509</v>
      </c>
      <c r="O6794" s="114">
        <v>1.634931E7</v>
      </c>
      <c r="P6794" s="105">
        <v>1.423743E7</v>
      </c>
      <c r="Q6794" s="102" t="s">
        <v>2439</v>
      </c>
      <c r="S6794" s="1"/>
      <c r="T6794" s="1"/>
      <c r="U6794" s="1"/>
      <c r="V6794" s="1"/>
      <c r="W6794" s="1"/>
      <c r="X6794" s="1"/>
      <c r="Y6794" s="1"/>
      <c r="AA6794" s="102"/>
      <c r="AB6794" s="1"/>
      <c r="AC6794" s="1"/>
      <c r="AD6794" s="1"/>
      <c r="AE6794" s="1"/>
      <c r="AF6794" s="1"/>
      <c r="AG6794" s="1"/>
    </row>
    <row r="6795" ht="15.75" customHeight="1">
      <c r="A6795" s="1"/>
      <c r="B6795" s="1"/>
      <c r="C6795" s="1"/>
      <c r="D6795" s="1"/>
      <c r="E6795" s="1"/>
      <c r="F6795" s="1"/>
      <c r="G6795" s="1"/>
      <c r="H6795" s="1"/>
      <c r="I6795" s="1"/>
      <c r="J6795" s="1"/>
      <c r="K6795" s="1" t="s">
        <v>10510</v>
      </c>
      <c r="L6795" t="str">
        <f>G1030</f>
        <v>J2a1a2b~</v>
      </c>
      <c r="M6795" s="1"/>
      <c r="N6795" s="1" t="s">
        <v>10511</v>
      </c>
      <c r="O6795" s="114">
        <v>1.7928839E7</v>
      </c>
      <c r="P6795" s="105">
        <v>1.5816959E7</v>
      </c>
      <c r="Q6795" s="102" t="s">
        <v>2432</v>
      </c>
      <c r="S6795" s="1"/>
      <c r="T6795" s="1"/>
      <c r="U6795" s="1"/>
      <c r="V6795" s="1"/>
      <c r="W6795" s="1"/>
      <c r="X6795" s="1"/>
      <c r="Y6795" s="1"/>
      <c r="AA6795" s="102"/>
      <c r="AB6795" s="1"/>
      <c r="AC6795" s="1"/>
      <c r="AD6795" s="1"/>
      <c r="AE6795" s="1"/>
      <c r="AF6795" s="1"/>
      <c r="AG6795" s="1"/>
    </row>
    <row r="6796" ht="15.75" customHeight="1">
      <c r="A6796" s="1"/>
      <c r="B6796" s="1"/>
      <c r="C6796" s="1"/>
      <c r="D6796" s="1"/>
      <c r="E6796" s="1"/>
      <c r="F6796" s="1"/>
      <c r="G6796" s="1"/>
      <c r="H6796" s="1"/>
      <c r="I6796" s="1"/>
      <c r="J6796" s="1"/>
      <c r="K6796" s="1" t="s">
        <v>10512</v>
      </c>
      <c r="L6796" t="str">
        <f>G1030</f>
        <v>J2a1a2b~</v>
      </c>
      <c r="M6796" s="1"/>
      <c r="N6796" s="1" t="s">
        <v>10513</v>
      </c>
      <c r="O6796" s="114">
        <v>1.8603528E7</v>
      </c>
      <c r="P6796" s="105">
        <v>1.6491648E7</v>
      </c>
      <c r="Q6796" s="102" t="s">
        <v>2563</v>
      </c>
      <c r="S6796" s="1"/>
      <c r="T6796" s="1"/>
      <c r="U6796" s="1"/>
      <c r="V6796" s="1"/>
      <c r="W6796" s="1"/>
      <c r="X6796" s="1"/>
      <c r="Y6796" s="1"/>
      <c r="AA6796" s="102"/>
      <c r="AB6796" s="1"/>
      <c r="AC6796" s="1"/>
      <c r="AD6796" s="1"/>
      <c r="AE6796" s="1"/>
      <c r="AF6796" s="1"/>
      <c r="AG6796" s="1"/>
    </row>
    <row r="6797" ht="15.75" customHeight="1">
      <c r="A6797" s="1"/>
      <c r="B6797" s="1"/>
      <c r="C6797" s="1"/>
      <c r="D6797" s="1"/>
      <c r="E6797" s="1"/>
      <c r="F6797" s="1"/>
      <c r="G6797" s="1"/>
      <c r="H6797" s="1"/>
      <c r="I6797" s="1"/>
      <c r="J6797" s="1"/>
      <c r="K6797" s="1" t="s">
        <v>10514</v>
      </c>
      <c r="L6797" t="str">
        <f>G1030</f>
        <v>J2a1a2b~</v>
      </c>
      <c r="M6797" s="1"/>
      <c r="N6797" s="1" t="s">
        <v>10515</v>
      </c>
      <c r="O6797" s="114">
        <v>1.8880532E7</v>
      </c>
      <c r="P6797" s="105">
        <v>1.6768652E7</v>
      </c>
      <c r="Q6797" s="106" t="s">
        <v>2501</v>
      </c>
      <c r="S6797" s="1"/>
      <c r="T6797" s="1"/>
      <c r="U6797" s="1"/>
      <c r="V6797" s="1"/>
      <c r="W6797" s="1"/>
      <c r="X6797" s="1"/>
      <c r="Y6797" s="1"/>
      <c r="AA6797" s="102"/>
      <c r="AB6797" s="1"/>
      <c r="AC6797" s="1"/>
      <c r="AD6797" s="1"/>
      <c r="AE6797" s="1"/>
      <c r="AF6797" s="1"/>
      <c r="AG6797" s="1"/>
    </row>
    <row r="6798" ht="15.75" customHeight="1">
      <c r="A6798" s="1"/>
      <c r="B6798" s="1"/>
      <c r="C6798" s="1"/>
      <c r="D6798" s="1"/>
      <c r="E6798" s="1"/>
      <c r="F6798" s="1"/>
      <c r="G6798" s="1"/>
      <c r="H6798" s="1"/>
      <c r="I6798" s="1"/>
      <c r="J6798" s="1"/>
      <c r="K6798" s="1" t="s">
        <v>10516</v>
      </c>
      <c r="L6798" t="str">
        <f>G1030</f>
        <v>J2a1a2b~</v>
      </c>
      <c r="M6798" s="1"/>
      <c r="N6798" s="1" t="s">
        <v>10517</v>
      </c>
      <c r="O6798" s="114">
        <v>2.1070718E7</v>
      </c>
      <c r="P6798" s="105">
        <v>1.8908832E7</v>
      </c>
      <c r="Q6798" s="102" t="s">
        <v>2439</v>
      </c>
      <c r="S6798" s="1"/>
      <c r="T6798" s="1"/>
      <c r="U6798" s="1"/>
      <c r="V6798" s="1"/>
      <c r="W6798" s="1"/>
      <c r="X6798" s="1"/>
      <c r="Y6798" s="1"/>
      <c r="AA6798" s="102"/>
      <c r="AB6798" s="1"/>
      <c r="AC6798" s="1"/>
      <c r="AD6798" s="1"/>
      <c r="AE6798" s="1"/>
      <c r="AF6798" s="1"/>
      <c r="AG6798" s="1"/>
    </row>
    <row r="6799" ht="15.75" customHeight="1">
      <c r="A6799" s="1"/>
      <c r="B6799" s="1"/>
      <c r="C6799" s="1"/>
      <c r="D6799" s="1"/>
      <c r="E6799" s="1"/>
      <c r="F6799" s="1"/>
      <c r="G6799" s="1"/>
      <c r="H6799" s="1"/>
      <c r="I6799" s="1"/>
      <c r="J6799" s="1"/>
      <c r="K6799" s="1" t="s">
        <v>10518</v>
      </c>
      <c r="L6799" s="1" t="str">
        <f>H1031</f>
        <v>J2a1a2b1~</v>
      </c>
      <c r="M6799" s="1"/>
      <c r="N6799" s="1"/>
      <c r="O6799" s="114">
        <v>9089915.0</v>
      </c>
      <c r="P6799" s="114">
        <v>9252306.0</v>
      </c>
      <c r="Q6799" s="1" t="s">
        <v>2529</v>
      </c>
      <c r="S6799" s="1"/>
      <c r="T6799" s="1"/>
      <c r="U6799" s="1"/>
      <c r="V6799" s="1"/>
      <c r="W6799" s="1"/>
      <c r="X6799" s="1"/>
      <c r="Y6799" s="1"/>
      <c r="AA6799" s="102"/>
      <c r="AB6799" s="1"/>
      <c r="AC6799" s="1"/>
      <c r="AD6799" s="1"/>
      <c r="AE6799" s="1"/>
      <c r="AF6799" s="1"/>
      <c r="AG6799" s="1"/>
    </row>
    <row r="6800" ht="15.75" customHeight="1">
      <c r="A6800" s="1"/>
      <c r="B6800" s="1"/>
      <c r="C6800" s="1"/>
      <c r="D6800" s="1"/>
      <c r="E6800" s="1"/>
      <c r="F6800" s="1"/>
      <c r="G6800" s="1"/>
      <c r="H6800" s="1"/>
      <c r="I6800" s="1"/>
      <c r="J6800" s="1"/>
      <c r="K6800" s="102" t="s">
        <v>10519</v>
      </c>
      <c r="L6800" t="str">
        <f>H1031</f>
        <v>J2a1a2b1~</v>
      </c>
      <c r="M6800" s="102" t="s">
        <v>10520</v>
      </c>
      <c r="N6800" s="1" t="s">
        <v>10521</v>
      </c>
      <c r="O6800" s="114">
        <v>1.5208557E7</v>
      </c>
      <c r="P6800" s="114">
        <v>1.3096643E7</v>
      </c>
      <c r="Q6800" s="1" t="s">
        <v>2439</v>
      </c>
      <c r="S6800" s="1"/>
      <c r="T6800" s="1"/>
      <c r="U6800" s="1"/>
      <c r="V6800" s="1"/>
      <c r="W6800" s="1"/>
      <c r="X6800" s="1"/>
      <c r="Y6800" s="1"/>
      <c r="AA6800" s="102"/>
      <c r="AB6800" s="1"/>
      <c r="AC6800" s="1"/>
      <c r="AD6800" s="1"/>
      <c r="AE6800" s="1"/>
      <c r="AF6800" s="1"/>
      <c r="AG6800" s="1"/>
    </row>
    <row r="6801" ht="15.75" customHeight="1">
      <c r="A6801" s="1"/>
      <c r="B6801" s="1"/>
      <c r="C6801" s="1"/>
      <c r="D6801" s="1"/>
      <c r="E6801" s="1"/>
      <c r="F6801" s="1"/>
      <c r="G6801" s="1"/>
      <c r="H6801" s="1"/>
      <c r="I6801" s="1"/>
      <c r="J6801" s="1"/>
      <c r="K6801" s="19" t="s">
        <v>10520</v>
      </c>
      <c r="L6801" t="str">
        <f>H1031</f>
        <v>J2a1a2b1~</v>
      </c>
      <c r="M6801" s="19" t="s">
        <v>10519</v>
      </c>
      <c r="N6801" s="1" t="s">
        <v>10521</v>
      </c>
      <c r="O6801" s="114">
        <v>1.5208557E7</v>
      </c>
      <c r="P6801" s="114">
        <v>1.3096643E7</v>
      </c>
      <c r="Q6801" s="1" t="s">
        <v>2439</v>
      </c>
      <c r="S6801" s="1"/>
      <c r="T6801" s="1"/>
      <c r="U6801" s="1"/>
      <c r="V6801" s="1"/>
      <c r="W6801" s="1"/>
      <c r="X6801" s="1"/>
      <c r="Y6801" s="1"/>
      <c r="AA6801" s="102"/>
      <c r="AB6801" s="1"/>
      <c r="AC6801" s="1"/>
      <c r="AD6801" s="1"/>
      <c r="AE6801" s="1"/>
      <c r="AF6801" s="1"/>
      <c r="AG6801" s="1"/>
    </row>
    <row r="6802" ht="15.75" customHeight="1">
      <c r="A6802" s="1"/>
      <c r="B6802" s="1"/>
      <c r="C6802" s="1"/>
      <c r="D6802" s="1"/>
      <c r="E6802" s="1"/>
      <c r="F6802" s="1"/>
      <c r="G6802" s="1"/>
      <c r="H6802" s="1"/>
      <c r="I6802" s="1"/>
      <c r="J6802" s="1"/>
      <c r="K6802" s="1" t="s">
        <v>10522</v>
      </c>
      <c r="L6802" t="str">
        <f>H1031</f>
        <v>J2a1a2b1~</v>
      </c>
      <c r="M6802" s="1"/>
      <c r="N6802" s="1"/>
      <c r="O6802" s="114">
        <v>1.8027742E7</v>
      </c>
      <c r="P6802" s="114">
        <v>1.5915862E7</v>
      </c>
      <c r="Q6802" s="1" t="s">
        <v>2533</v>
      </c>
      <c r="S6802" s="1"/>
      <c r="T6802" s="1"/>
      <c r="U6802" s="1"/>
      <c r="V6802" s="1"/>
      <c r="W6802" s="1"/>
      <c r="X6802" s="1"/>
      <c r="Y6802" s="1"/>
      <c r="AA6802" s="102"/>
      <c r="AB6802" s="1"/>
      <c r="AC6802" s="1"/>
      <c r="AD6802" s="1"/>
      <c r="AE6802" s="1"/>
      <c r="AF6802" s="1"/>
      <c r="AG6802" s="1"/>
    </row>
    <row r="6803" ht="15.75" customHeight="1">
      <c r="A6803" s="1"/>
      <c r="B6803" s="1"/>
      <c r="C6803" s="1"/>
      <c r="D6803" s="1"/>
      <c r="E6803" s="1"/>
      <c r="F6803" s="1"/>
      <c r="G6803" s="1"/>
      <c r="H6803" s="1"/>
      <c r="I6803" s="1"/>
      <c r="J6803" s="1"/>
      <c r="K6803" s="1" t="s">
        <v>10523</v>
      </c>
      <c r="L6803" t="str">
        <f>H1031</f>
        <v>J2a1a2b1~</v>
      </c>
      <c r="M6803" s="1"/>
      <c r="N6803" s="1"/>
      <c r="O6803" s="114">
        <v>6758158.0</v>
      </c>
      <c r="P6803" s="114">
        <v>6890117.0</v>
      </c>
      <c r="Q6803" s="1" t="s">
        <v>2446</v>
      </c>
      <c r="S6803" s="1"/>
      <c r="T6803" s="1"/>
      <c r="U6803" s="1"/>
      <c r="V6803" s="1"/>
      <c r="W6803" s="1"/>
      <c r="X6803" s="1"/>
      <c r="Y6803" s="1"/>
      <c r="AA6803" s="102"/>
      <c r="AB6803" s="1"/>
      <c r="AC6803" s="1"/>
      <c r="AD6803" s="1"/>
      <c r="AE6803" s="1"/>
      <c r="AF6803" s="1"/>
      <c r="AG6803" s="1"/>
    </row>
    <row r="6804" ht="15.75" customHeight="1">
      <c r="A6804" s="1"/>
      <c r="B6804" s="1"/>
      <c r="C6804" s="1"/>
      <c r="D6804" s="1"/>
      <c r="E6804" s="1"/>
      <c r="F6804" s="1"/>
      <c r="G6804" s="1"/>
      <c r="H6804" s="1"/>
      <c r="I6804" s="1"/>
      <c r="J6804" s="1"/>
      <c r="K6804" s="1" t="s">
        <v>10524</v>
      </c>
      <c r="L6804" t="str">
        <f>H1031</f>
        <v>J2a1a2b1~</v>
      </c>
      <c r="M6804" s="1"/>
      <c r="N6804" s="1"/>
      <c r="O6804" s="114">
        <v>6866605.0</v>
      </c>
      <c r="P6804" s="114">
        <v>6998564.0</v>
      </c>
      <c r="Q6804" s="1" t="s">
        <v>2468</v>
      </c>
      <c r="S6804" s="1"/>
      <c r="T6804" s="1"/>
      <c r="U6804" s="1"/>
      <c r="V6804" s="1"/>
      <c r="W6804" s="1"/>
      <c r="X6804" s="1"/>
      <c r="Y6804" s="1"/>
      <c r="AA6804" s="102"/>
      <c r="AB6804" s="1"/>
      <c r="AC6804" s="1"/>
      <c r="AD6804" s="1"/>
      <c r="AE6804" s="1"/>
      <c r="AF6804" s="1"/>
      <c r="AG6804" s="1"/>
    </row>
    <row r="6805" ht="15.75" customHeight="1">
      <c r="A6805" s="1"/>
      <c r="B6805" s="1"/>
      <c r="C6805" s="1"/>
      <c r="D6805" s="1"/>
      <c r="E6805" s="1"/>
      <c r="F6805" s="1"/>
      <c r="G6805" s="1"/>
      <c r="H6805" s="1"/>
      <c r="I6805" s="1"/>
      <c r="J6805" s="1"/>
      <c r="K6805" s="102" t="s">
        <v>10525</v>
      </c>
      <c r="L6805" t="str">
        <f>H1031</f>
        <v>J2a1a2b1~</v>
      </c>
      <c r="M6805" s="102"/>
      <c r="N6805" s="1"/>
      <c r="O6805" s="114">
        <v>7144789.0</v>
      </c>
      <c r="P6805" s="114">
        <v>7276748.0</v>
      </c>
      <c r="Q6805" s="1" t="s">
        <v>2468</v>
      </c>
      <c r="S6805" s="1"/>
      <c r="T6805" s="1"/>
      <c r="U6805" s="1"/>
      <c r="V6805" s="1"/>
      <c r="W6805" s="1"/>
      <c r="X6805" s="1"/>
      <c r="Y6805" s="1"/>
      <c r="AA6805" s="102"/>
      <c r="AB6805" s="1"/>
      <c r="AC6805" s="1"/>
      <c r="AD6805" s="1"/>
      <c r="AE6805" s="1"/>
      <c r="AF6805" s="1"/>
      <c r="AG6805" s="1"/>
    </row>
    <row r="6806" ht="15.75" customHeight="1">
      <c r="A6806" s="1"/>
      <c r="B6806" s="1"/>
      <c r="C6806" s="1"/>
      <c r="D6806" s="1"/>
      <c r="E6806" s="1"/>
      <c r="F6806" s="1"/>
      <c r="G6806" s="1"/>
      <c r="H6806" s="1"/>
      <c r="I6806" s="1"/>
      <c r="J6806" s="1"/>
      <c r="K6806" s="1" t="s">
        <v>10526</v>
      </c>
      <c r="L6806" t="str">
        <f>H1031</f>
        <v>J2a1a2b1~</v>
      </c>
      <c r="M6806" s="1"/>
      <c r="N6806" s="1"/>
      <c r="O6806" s="114">
        <v>7827569.0</v>
      </c>
      <c r="P6806" s="114">
        <v>7959528.0</v>
      </c>
      <c r="Q6806" s="1" t="s">
        <v>2439</v>
      </c>
      <c r="S6806" s="1"/>
      <c r="T6806" s="1"/>
      <c r="U6806" s="1"/>
      <c r="V6806" s="1"/>
      <c r="W6806" s="1"/>
      <c r="X6806" s="1"/>
      <c r="Y6806" s="1"/>
      <c r="AA6806" s="102"/>
      <c r="AB6806" s="1"/>
      <c r="AC6806" s="1"/>
      <c r="AD6806" s="1"/>
      <c r="AE6806" s="1"/>
      <c r="AF6806" s="1"/>
      <c r="AG6806" s="1"/>
    </row>
    <row r="6807" ht="15.75" customHeight="1">
      <c r="A6807" s="1"/>
      <c r="B6807" s="1"/>
      <c r="C6807" s="1"/>
      <c r="D6807" s="1"/>
      <c r="E6807" s="1"/>
      <c r="F6807" s="1"/>
      <c r="G6807" s="1"/>
      <c r="H6807" s="1"/>
      <c r="I6807" s="1"/>
      <c r="J6807" s="1"/>
      <c r="K6807" s="102" t="s">
        <v>10527</v>
      </c>
      <c r="L6807" t="str">
        <f>H1031</f>
        <v>J2a1a2b1~</v>
      </c>
      <c r="M6807" s="102"/>
      <c r="N6807" s="1"/>
      <c r="O6807" s="114">
        <v>7891598.0</v>
      </c>
      <c r="P6807" s="114">
        <v>8023557.0</v>
      </c>
      <c r="Q6807" s="1" t="s">
        <v>2439</v>
      </c>
      <c r="S6807" s="1"/>
      <c r="T6807" s="1"/>
      <c r="U6807" s="1"/>
      <c r="V6807" s="1"/>
      <c r="W6807" s="1"/>
      <c r="X6807" s="1"/>
      <c r="Y6807" s="1"/>
      <c r="AA6807" s="102"/>
      <c r="AB6807" s="1"/>
      <c r="AC6807" s="1"/>
      <c r="AD6807" s="1"/>
      <c r="AE6807" s="1"/>
      <c r="AF6807" s="1"/>
      <c r="AG6807" s="1"/>
    </row>
    <row r="6808" ht="15.75" customHeight="1">
      <c r="A6808" s="1"/>
      <c r="B6808" s="1"/>
      <c r="C6808" s="1"/>
      <c r="D6808" s="1"/>
      <c r="E6808" s="1"/>
      <c r="F6808" s="1"/>
      <c r="G6808" s="1"/>
      <c r="H6808" s="1"/>
      <c r="I6808" s="1"/>
      <c r="J6808" s="1"/>
      <c r="K6808" s="1" t="s">
        <v>10528</v>
      </c>
      <c r="L6808" t="str">
        <f>H1031</f>
        <v>J2a1a2b1~</v>
      </c>
      <c r="M6808" s="1"/>
      <c r="N6808" s="1"/>
      <c r="O6808" s="114">
        <v>8469380.0</v>
      </c>
      <c r="P6808" s="114">
        <v>8601339.0</v>
      </c>
      <c r="Q6808" s="1" t="s">
        <v>2446</v>
      </c>
      <c r="S6808" s="1"/>
      <c r="T6808" s="1"/>
      <c r="U6808" s="1"/>
      <c r="V6808" s="1"/>
      <c r="W6808" s="1"/>
      <c r="X6808" s="1"/>
      <c r="Y6808" s="1"/>
      <c r="AA6808" s="102"/>
      <c r="AB6808" s="1"/>
      <c r="AC6808" s="1"/>
      <c r="AD6808" s="1"/>
      <c r="AE6808" s="1"/>
      <c r="AF6808" s="1"/>
      <c r="AG6808" s="1"/>
    </row>
    <row r="6809" ht="15.75" customHeight="1">
      <c r="A6809" s="1"/>
      <c r="B6809" s="1"/>
      <c r="C6809" s="1"/>
      <c r="D6809" s="1"/>
      <c r="E6809" s="1"/>
      <c r="F6809" s="1"/>
      <c r="G6809" s="1"/>
      <c r="H6809" s="1"/>
      <c r="I6809" s="1"/>
      <c r="J6809" s="1"/>
      <c r="K6809" s="1" t="s">
        <v>10529</v>
      </c>
      <c r="L6809" t="str">
        <f>H1031</f>
        <v>J2a1a2b1~</v>
      </c>
      <c r="M6809" s="1"/>
      <c r="N6809" s="1"/>
      <c r="O6809" s="114">
        <v>1.4081951E7</v>
      </c>
      <c r="P6809" s="114">
        <v>1.1961245E7</v>
      </c>
      <c r="Q6809" s="1" t="s">
        <v>2529</v>
      </c>
      <c r="S6809" s="1"/>
      <c r="T6809" s="1"/>
      <c r="U6809" s="1"/>
      <c r="V6809" s="1"/>
      <c r="W6809" s="1"/>
      <c r="X6809" s="1"/>
      <c r="Y6809" s="1"/>
      <c r="AA6809" s="102"/>
      <c r="AB6809" s="1"/>
      <c r="AC6809" s="1"/>
      <c r="AD6809" s="1"/>
      <c r="AE6809" s="1"/>
      <c r="AF6809" s="1"/>
      <c r="AG6809" s="1"/>
    </row>
    <row r="6810" ht="15.75" customHeight="1">
      <c r="A6810" s="1"/>
      <c r="B6810" s="1"/>
      <c r="C6810" s="1"/>
      <c r="D6810" s="1"/>
      <c r="E6810" s="1"/>
      <c r="F6810" s="1"/>
      <c r="G6810" s="1"/>
      <c r="H6810" s="1"/>
      <c r="I6810" s="1"/>
      <c r="J6810" s="1"/>
      <c r="K6810" s="1" t="s">
        <v>10530</v>
      </c>
      <c r="L6810" t="str">
        <f>H1031</f>
        <v>J2a1a2b1~</v>
      </c>
      <c r="M6810" s="1"/>
      <c r="N6810" s="1"/>
      <c r="O6810" s="114">
        <v>1.4558851E7</v>
      </c>
      <c r="P6810" s="114">
        <v>1.2447052E7</v>
      </c>
      <c r="Q6810" s="1" t="s">
        <v>2423</v>
      </c>
      <c r="S6810" s="1"/>
      <c r="T6810" s="1"/>
      <c r="U6810" s="1"/>
      <c r="V6810" s="1"/>
      <c r="W6810" s="1"/>
      <c r="X6810" s="1"/>
      <c r="Y6810" s="1"/>
      <c r="AA6810" s="102"/>
      <c r="AB6810" s="1"/>
      <c r="AC6810" s="1"/>
      <c r="AD6810" s="1"/>
      <c r="AE6810" s="1"/>
      <c r="AF6810" s="1"/>
      <c r="AG6810" s="1"/>
    </row>
    <row r="6811" ht="15.75" customHeight="1">
      <c r="A6811" s="1"/>
      <c r="B6811" s="1"/>
      <c r="C6811" s="1"/>
      <c r="D6811" s="1"/>
      <c r="E6811" s="1"/>
      <c r="F6811" s="1"/>
      <c r="G6811" s="1"/>
      <c r="H6811" s="1"/>
      <c r="I6811" s="1"/>
      <c r="J6811" s="1"/>
      <c r="K6811" s="1" t="s">
        <v>10531</v>
      </c>
      <c r="L6811" t="str">
        <f>H1031</f>
        <v>J2a1a2b1~</v>
      </c>
      <c r="M6811" s="1"/>
      <c r="N6811" s="1"/>
      <c r="O6811" s="114">
        <v>1.4600548E7</v>
      </c>
      <c r="P6811" s="114">
        <v>1.2488748E7</v>
      </c>
      <c r="Q6811" s="1" t="s">
        <v>2446</v>
      </c>
      <c r="S6811" s="1"/>
      <c r="T6811" s="1"/>
      <c r="U6811" s="1"/>
      <c r="V6811" s="1"/>
      <c r="W6811" s="1"/>
      <c r="X6811" s="1"/>
      <c r="Y6811" s="1"/>
      <c r="AA6811" s="102"/>
      <c r="AB6811" s="1"/>
      <c r="AC6811" s="1"/>
      <c r="AD6811" s="1"/>
      <c r="AE6811" s="1"/>
      <c r="AF6811" s="1"/>
      <c r="AG6811" s="1"/>
    </row>
    <row r="6812" ht="15.75" customHeight="1">
      <c r="A6812" s="1"/>
      <c r="B6812" s="1"/>
      <c r="C6812" s="1"/>
      <c r="D6812" s="1"/>
      <c r="E6812" s="1"/>
      <c r="F6812" s="1"/>
      <c r="G6812" s="1"/>
      <c r="H6812" s="1"/>
      <c r="I6812" s="1"/>
      <c r="J6812" s="1"/>
      <c r="K6812" s="1" t="s">
        <v>10532</v>
      </c>
      <c r="L6812" t="str">
        <f>H1031</f>
        <v>J2a1a2b1~</v>
      </c>
      <c r="M6812" s="1"/>
      <c r="N6812" s="1"/>
      <c r="O6812" s="114">
        <v>1.4789898E7</v>
      </c>
      <c r="P6812" s="114">
        <v>1.2677969E7</v>
      </c>
      <c r="Q6812" s="1" t="s">
        <v>2576</v>
      </c>
      <c r="S6812" s="1"/>
      <c r="T6812" s="1"/>
      <c r="U6812" s="1"/>
      <c r="V6812" s="1"/>
      <c r="W6812" s="1"/>
      <c r="X6812" s="1"/>
      <c r="Y6812" s="1"/>
      <c r="AA6812" s="102"/>
      <c r="AB6812" s="1"/>
      <c r="AC6812" s="1"/>
      <c r="AD6812" s="1"/>
      <c r="AE6812" s="1"/>
      <c r="AF6812" s="1"/>
      <c r="AG6812" s="1"/>
    </row>
    <row r="6813" ht="15.75" customHeight="1">
      <c r="A6813" s="1"/>
      <c r="B6813" s="1"/>
      <c r="C6813" s="1"/>
      <c r="D6813" s="1"/>
      <c r="E6813" s="1"/>
      <c r="F6813" s="1"/>
      <c r="G6813" s="1"/>
      <c r="H6813" s="1"/>
      <c r="I6813" s="1"/>
      <c r="J6813" s="1"/>
      <c r="K6813" s="1" t="s">
        <v>10533</v>
      </c>
      <c r="L6813" t="str">
        <f>H1031</f>
        <v>J2a1a2b1~</v>
      </c>
      <c r="M6813" s="1"/>
      <c r="N6813" s="1"/>
      <c r="O6813" s="114">
        <v>1.7053732E7</v>
      </c>
      <c r="P6813" s="114">
        <v>1.4941852E7</v>
      </c>
      <c r="Q6813" s="1" t="s">
        <v>2514</v>
      </c>
      <c r="S6813" s="1"/>
      <c r="T6813" s="1"/>
      <c r="U6813" s="1"/>
      <c r="V6813" s="1"/>
      <c r="W6813" s="1"/>
      <c r="X6813" s="1"/>
      <c r="Y6813" s="1"/>
      <c r="AA6813" s="102"/>
      <c r="AB6813" s="1"/>
      <c r="AC6813" s="1"/>
      <c r="AD6813" s="1"/>
      <c r="AE6813" s="1"/>
      <c r="AF6813" s="1"/>
      <c r="AG6813" s="1"/>
    </row>
    <row r="6814" ht="15.75" customHeight="1">
      <c r="A6814" s="1"/>
      <c r="B6814" s="1"/>
      <c r="C6814" s="1"/>
      <c r="D6814" s="1"/>
      <c r="E6814" s="1"/>
      <c r="F6814" s="1"/>
      <c r="G6814" s="1"/>
      <c r="H6814" s="1"/>
      <c r="I6814" s="1"/>
      <c r="J6814" s="1"/>
      <c r="K6814" s="1" t="s">
        <v>10534</v>
      </c>
      <c r="L6814" t="str">
        <f>H1031</f>
        <v>J2a1a2b1~</v>
      </c>
      <c r="M6814" s="1"/>
      <c r="N6814" s="1"/>
      <c r="O6814" s="114">
        <v>1.7652441E7</v>
      </c>
      <c r="P6814" s="114">
        <v>1.5540561E7</v>
      </c>
      <c r="Q6814" s="1" t="s">
        <v>2454</v>
      </c>
      <c r="S6814" s="1"/>
      <c r="T6814" s="1"/>
      <c r="U6814" s="1"/>
      <c r="V6814" s="1"/>
      <c r="W6814" s="1"/>
      <c r="X6814" s="1"/>
      <c r="Y6814" s="1"/>
      <c r="AA6814" s="102"/>
      <c r="AB6814" s="1"/>
      <c r="AC6814" s="1"/>
      <c r="AD6814" s="1"/>
      <c r="AE6814" s="1"/>
      <c r="AF6814" s="1"/>
      <c r="AG6814" s="1"/>
    </row>
    <row r="6815" ht="15.75" customHeight="1">
      <c r="A6815" s="1"/>
      <c r="B6815" s="1"/>
      <c r="C6815" s="1"/>
      <c r="D6815" s="1"/>
      <c r="E6815" s="1"/>
      <c r="F6815" s="1"/>
      <c r="G6815" s="1"/>
      <c r="H6815" s="1"/>
      <c r="I6815" s="1"/>
      <c r="J6815" s="1"/>
      <c r="K6815" s="1" t="s">
        <v>10535</v>
      </c>
      <c r="L6815" t="str">
        <f>H1031</f>
        <v>J2a1a2b1~</v>
      </c>
      <c r="M6815" s="1"/>
      <c r="N6815" s="1"/>
      <c r="O6815" s="114">
        <v>1.7746546E7</v>
      </c>
      <c r="P6815" s="114">
        <v>1.5634666E7</v>
      </c>
      <c r="Q6815" s="1" t="s">
        <v>2533</v>
      </c>
      <c r="S6815" s="1"/>
      <c r="T6815" s="1"/>
      <c r="U6815" s="1"/>
      <c r="V6815" s="1"/>
      <c r="W6815" s="1"/>
      <c r="X6815" s="1"/>
      <c r="Y6815" s="1"/>
      <c r="AA6815" s="102"/>
      <c r="AB6815" s="1"/>
      <c r="AC6815" s="1"/>
      <c r="AD6815" s="1"/>
      <c r="AE6815" s="1"/>
      <c r="AF6815" s="1"/>
      <c r="AG6815" s="1"/>
    </row>
    <row r="6816" ht="15.75" customHeight="1">
      <c r="A6816" s="1"/>
      <c r="B6816" s="1"/>
      <c r="C6816" s="1"/>
      <c r="D6816" s="1"/>
      <c r="E6816" s="1"/>
      <c r="F6816" s="1"/>
      <c r="G6816" s="1"/>
      <c r="H6816" s="1"/>
      <c r="I6816" s="1"/>
      <c r="J6816" s="1"/>
      <c r="K6816" s="1" t="s">
        <v>10536</v>
      </c>
      <c r="L6816" t="str">
        <f>H1031</f>
        <v>J2a1a2b1~</v>
      </c>
      <c r="M6816" s="1"/>
      <c r="N6816" s="1"/>
      <c r="O6816" s="114">
        <v>1.7746597E7</v>
      </c>
      <c r="P6816" s="114">
        <v>1.5634717E7</v>
      </c>
      <c r="Q6816" s="1" t="s">
        <v>2446</v>
      </c>
      <c r="S6816" s="1"/>
      <c r="T6816" s="1"/>
      <c r="U6816" s="1"/>
      <c r="V6816" s="1"/>
      <c r="W6816" s="1"/>
      <c r="X6816" s="1"/>
      <c r="Y6816" s="1"/>
      <c r="AA6816" s="102"/>
      <c r="AB6816" s="1"/>
      <c r="AC6816" s="1"/>
      <c r="AD6816" s="1"/>
      <c r="AE6816" s="1"/>
      <c r="AF6816" s="1"/>
      <c r="AG6816" s="1"/>
    </row>
    <row r="6817" ht="15.75" customHeight="1">
      <c r="A6817" s="1"/>
      <c r="B6817" s="1"/>
      <c r="C6817" s="1"/>
      <c r="D6817" s="1"/>
      <c r="E6817" s="1"/>
      <c r="F6817" s="1"/>
      <c r="G6817" s="1"/>
      <c r="H6817" s="1"/>
      <c r="I6817" s="1"/>
      <c r="J6817" s="1"/>
      <c r="K6817" s="1" t="s">
        <v>10537</v>
      </c>
      <c r="L6817" t="str">
        <f>H1031</f>
        <v>J2a1a2b1~</v>
      </c>
      <c r="M6817" s="1"/>
      <c r="N6817" s="1"/>
      <c r="O6817" s="114">
        <v>1.7810792E7</v>
      </c>
      <c r="P6817" s="114">
        <v>1.5698912E7</v>
      </c>
      <c r="Q6817" s="1" t="s">
        <v>2563</v>
      </c>
      <c r="S6817" s="1"/>
      <c r="T6817" s="1"/>
      <c r="U6817" s="1"/>
      <c r="V6817" s="1"/>
      <c r="W6817" s="1"/>
      <c r="X6817" s="1"/>
      <c r="Y6817" s="1"/>
      <c r="AA6817" s="102"/>
      <c r="AB6817" s="1"/>
      <c r="AC6817" s="1"/>
      <c r="AD6817" s="1"/>
      <c r="AE6817" s="1"/>
      <c r="AF6817" s="1"/>
      <c r="AG6817" s="1"/>
    </row>
    <row r="6818" ht="15.75" customHeight="1">
      <c r="A6818" s="1"/>
      <c r="B6818" s="1"/>
      <c r="C6818" s="1"/>
      <c r="D6818" s="1"/>
      <c r="E6818" s="1"/>
      <c r="F6818" s="1"/>
      <c r="G6818" s="1"/>
      <c r="H6818" s="1"/>
      <c r="I6818" s="1"/>
      <c r="J6818" s="1"/>
      <c r="K6818" s="1" t="s">
        <v>10538</v>
      </c>
      <c r="L6818" t="str">
        <f>H1031</f>
        <v>J2a1a2b1~</v>
      </c>
      <c r="M6818" s="1"/>
      <c r="N6818" s="1"/>
      <c r="O6818" s="114">
        <v>1.8238497E7</v>
      </c>
      <c r="P6818" s="114">
        <v>1.6126617E7</v>
      </c>
      <c r="Q6818" s="1" t="s">
        <v>2529</v>
      </c>
      <c r="S6818" s="1"/>
      <c r="T6818" s="1"/>
      <c r="U6818" s="1"/>
      <c r="V6818" s="1"/>
      <c r="W6818" s="1"/>
      <c r="X6818" s="1"/>
      <c r="Y6818" s="1"/>
      <c r="AA6818" s="102"/>
      <c r="AB6818" s="1"/>
      <c r="AC6818" s="1"/>
      <c r="AD6818" s="1"/>
      <c r="AE6818" s="1"/>
      <c r="AF6818" s="1"/>
      <c r="AG6818" s="1"/>
    </row>
    <row r="6819" ht="15.75" customHeight="1">
      <c r="A6819" s="1"/>
      <c r="B6819" s="1"/>
      <c r="C6819" s="1"/>
      <c r="D6819" s="1"/>
      <c r="E6819" s="1"/>
      <c r="F6819" s="1"/>
      <c r="G6819" s="1"/>
      <c r="H6819" s="1"/>
      <c r="I6819" s="1"/>
      <c r="J6819" s="1"/>
      <c r="K6819" s="1" t="s">
        <v>10539</v>
      </c>
      <c r="L6819" t="str">
        <f>H1031</f>
        <v>J2a1a2b1~</v>
      </c>
      <c r="M6819" s="1"/>
      <c r="N6819" s="1"/>
      <c r="O6819" s="114">
        <v>1.9234637E7</v>
      </c>
      <c r="P6819" s="114">
        <v>1.7122757E7</v>
      </c>
      <c r="Q6819" s="1" t="s">
        <v>2439</v>
      </c>
      <c r="S6819" s="1"/>
      <c r="T6819" s="1"/>
      <c r="U6819" s="1"/>
      <c r="V6819" s="1"/>
      <c r="W6819" s="1"/>
      <c r="X6819" s="1"/>
      <c r="Y6819" s="1"/>
      <c r="AA6819" s="102"/>
      <c r="AB6819" s="1"/>
      <c r="AC6819" s="1"/>
      <c r="AD6819" s="1"/>
      <c r="AE6819" s="1"/>
      <c r="AF6819" s="1"/>
      <c r="AG6819" s="1"/>
    </row>
    <row r="6820" ht="15.75" customHeight="1">
      <c r="A6820" s="1"/>
      <c r="B6820" s="1"/>
      <c r="C6820" s="1"/>
      <c r="D6820" s="1"/>
      <c r="E6820" s="1"/>
      <c r="F6820" s="1"/>
      <c r="G6820" s="1"/>
      <c r="H6820" s="1"/>
      <c r="I6820" s="1"/>
      <c r="J6820" s="1"/>
      <c r="K6820" s="1" t="s">
        <v>10540</v>
      </c>
      <c r="L6820" t="str">
        <f>H1031</f>
        <v>J2a1a2b1~</v>
      </c>
      <c r="M6820" s="1"/>
      <c r="N6820" s="1"/>
      <c r="O6820" s="114">
        <v>1.9282617E7</v>
      </c>
      <c r="P6820" s="114">
        <v>1.7170737E7</v>
      </c>
      <c r="Q6820" s="1" t="s">
        <v>2529</v>
      </c>
      <c r="S6820" s="1"/>
      <c r="T6820" s="1"/>
      <c r="U6820" s="1"/>
      <c r="V6820" s="1"/>
      <c r="W6820" s="1"/>
      <c r="X6820" s="1"/>
      <c r="Y6820" s="1"/>
      <c r="AA6820" s="102"/>
      <c r="AB6820" s="1"/>
      <c r="AC6820" s="1"/>
      <c r="AD6820" s="1"/>
      <c r="AE6820" s="1"/>
      <c r="AF6820" s="1"/>
      <c r="AG6820" s="1"/>
    </row>
    <row r="6821" ht="15.75" customHeight="1">
      <c r="A6821" s="1"/>
      <c r="B6821" s="1"/>
      <c r="C6821" s="1"/>
      <c r="D6821" s="1"/>
      <c r="E6821" s="1"/>
      <c r="F6821" s="1"/>
      <c r="G6821" s="1"/>
      <c r="H6821" s="1"/>
      <c r="I6821" s="1"/>
      <c r="J6821" s="1"/>
      <c r="K6821" s="102" t="s">
        <v>10541</v>
      </c>
      <c r="L6821" t="str">
        <f>H1031</f>
        <v>J2a1a2b1~</v>
      </c>
      <c r="M6821" s="102"/>
      <c r="N6821" s="1"/>
      <c r="O6821" s="114">
        <v>2.0821324E7</v>
      </c>
      <c r="P6821" s="114">
        <v>1.8659438E7</v>
      </c>
      <c r="Q6821" s="1" t="s">
        <v>2501</v>
      </c>
      <c r="S6821" s="1"/>
      <c r="T6821" s="1"/>
      <c r="U6821" s="1"/>
      <c r="V6821" s="1"/>
      <c r="W6821" s="1"/>
      <c r="X6821" s="1"/>
      <c r="Y6821" s="1"/>
      <c r="AA6821" s="102"/>
      <c r="AB6821" s="1"/>
      <c r="AC6821" s="1"/>
      <c r="AD6821" s="1"/>
      <c r="AE6821" s="1"/>
      <c r="AF6821" s="1"/>
      <c r="AG6821" s="1"/>
    </row>
    <row r="6822" ht="15.75" customHeight="1">
      <c r="A6822" s="1"/>
      <c r="B6822" s="1"/>
      <c r="C6822" s="1"/>
      <c r="D6822" s="1"/>
      <c r="E6822" s="1"/>
      <c r="F6822" s="1"/>
      <c r="G6822" s="1"/>
      <c r="H6822" s="1"/>
      <c r="I6822" s="1"/>
      <c r="J6822" s="1"/>
      <c r="K6822" s="1" t="s">
        <v>10542</v>
      </c>
      <c r="L6822" t="str">
        <f>H1031</f>
        <v>J2a1a2b1~</v>
      </c>
      <c r="M6822" s="1"/>
      <c r="N6822" s="1"/>
      <c r="O6822" s="114">
        <v>2.1355167E7</v>
      </c>
      <c r="P6822" s="114">
        <v>1.9193281E7</v>
      </c>
      <c r="Q6822" s="1" t="s">
        <v>2468</v>
      </c>
      <c r="S6822" s="1"/>
      <c r="T6822" s="1"/>
      <c r="U6822" s="1"/>
      <c r="V6822" s="1"/>
      <c r="W6822" s="1"/>
      <c r="X6822" s="1"/>
      <c r="Y6822" s="1"/>
      <c r="AA6822" s="102"/>
      <c r="AB6822" s="1"/>
      <c r="AC6822" s="1"/>
      <c r="AD6822" s="1"/>
      <c r="AE6822" s="1"/>
      <c r="AF6822" s="1"/>
      <c r="AG6822" s="1"/>
    </row>
    <row r="6823" ht="15.75" customHeight="1">
      <c r="A6823" s="1"/>
      <c r="B6823" s="1"/>
      <c r="C6823" s="1"/>
      <c r="D6823" s="1"/>
      <c r="E6823" s="1"/>
      <c r="F6823" s="1"/>
      <c r="G6823" s="1"/>
      <c r="H6823" s="1"/>
      <c r="I6823" s="1"/>
      <c r="J6823" s="1"/>
      <c r="K6823" s="1" t="s">
        <v>10543</v>
      </c>
      <c r="L6823" t="str">
        <f>H1031</f>
        <v>J2a1a2b1~</v>
      </c>
      <c r="M6823" s="1"/>
      <c r="N6823" s="1"/>
      <c r="O6823" s="114">
        <v>2.1437096E7</v>
      </c>
      <c r="P6823" s="114">
        <v>1.927521E7</v>
      </c>
      <c r="Q6823" s="1" t="s">
        <v>2514</v>
      </c>
      <c r="S6823" s="1"/>
      <c r="T6823" s="1"/>
      <c r="U6823" s="1"/>
      <c r="V6823" s="1"/>
      <c r="W6823" s="1"/>
      <c r="X6823" s="1"/>
      <c r="Y6823" s="1"/>
      <c r="AA6823" s="102"/>
      <c r="AB6823" s="1"/>
      <c r="AC6823" s="1"/>
      <c r="AD6823" s="1"/>
      <c r="AE6823" s="1"/>
      <c r="AF6823" s="1"/>
      <c r="AG6823" s="1"/>
    </row>
    <row r="6824" ht="15.75" customHeight="1">
      <c r="A6824" s="1"/>
      <c r="B6824" s="1"/>
      <c r="C6824" s="1"/>
      <c r="D6824" s="1"/>
      <c r="E6824" s="1"/>
      <c r="F6824" s="1"/>
      <c r="G6824" s="1"/>
      <c r="H6824" s="1"/>
      <c r="I6824" s="1"/>
      <c r="J6824" s="1"/>
      <c r="K6824" s="1" t="s">
        <v>10544</v>
      </c>
      <c r="L6824" t="str">
        <f>H1031</f>
        <v>J2a1a2b1~</v>
      </c>
      <c r="M6824" s="1"/>
      <c r="N6824" s="1"/>
      <c r="O6824" s="114">
        <v>2.2009042E7</v>
      </c>
      <c r="P6824" s="114">
        <v>1.9847156E7</v>
      </c>
      <c r="Q6824" s="1" t="s">
        <v>2446</v>
      </c>
      <c r="S6824" s="1"/>
      <c r="T6824" s="1"/>
      <c r="U6824" s="1"/>
      <c r="V6824" s="1"/>
      <c r="W6824" s="1"/>
      <c r="X6824" s="1"/>
      <c r="Y6824" s="1"/>
      <c r="AA6824" s="102"/>
      <c r="AB6824" s="1"/>
      <c r="AC6824" s="1"/>
      <c r="AD6824" s="1"/>
      <c r="AE6824" s="1"/>
      <c r="AF6824" s="1"/>
      <c r="AG6824" s="1"/>
    </row>
    <row r="6825" ht="15.75" customHeight="1">
      <c r="A6825" s="1"/>
      <c r="B6825" s="1"/>
      <c r="C6825" s="1"/>
      <c r="D6825" s="1"/>
      <c r="E6825" s="1"/>
      <c r="F6825" s="1"/>
      <c r="G6825" s="1"/>
      <c r="H6825" s="1"/>
      <c r="I6825" s="1"/>
      <c r="J6825" s="1"/>
      <c r="K6825" s="1" t="s">
        <v>10545</v>
      </c>
      <c r="L6825" t="str">
        <f>H1031</f>
        <v>J2a1a2b1~</v>
      </c>
      <c r="M6825" s="1"/>
      <c r="N6825" s="1"/>
      <c r="O6825" s="114">
        <v>2.2522202E7</v>
      </c>
      <c r="P6825" s="114">
        <v>2.0360316E7</v>
      </c>
      <c r="Q6825" s="1" t="s">
        <v>2446</v>
      </c>
      <c r="S6825" s="1"/>
      <c r="T6825" s="1"/>
      <c r="U6825" s="1"/>
      <c r="V6825" s="1"/>
      <c r="W6825" s="1"/>
      <c r="X6825" s="1"/>
      <c r="Y6825" s="1"/>
      <c r="AA6825" s="102"/>
      <c r="AB6825" s="1"/>
      <c r="AC6825" s="1"/>
      <c r="AD6825" s="1"/>
      <c r="AE6825" s="1"/>
      <c r="AF6825" s="1"/>
      <c r="AG6825" s="1"/>
    </row>
    <row r="6826" ht="15.75" customHeight="1">
      <c r="A6826" s="1"/>
      <c r="B6826" s="1"/>
      <c r="C6826" s="1"/>
      <c r="D6826" s="1"/>
      <c r="E6826" s="1"/>
      <c r="F6826" s="1"/>
      <c r="G6826" s="1"/>
      <c r="H6826" s="1"/>
      <c r="I6826" s="1"/>
      <c r="J6826" s="1"/>
      <c r="K6826" s="102" t="s">
        <v>10546</v>
      </c>
      <c r="L6826" t="str">
        <f>H1031</f>
        <v>J2a1a2b1~</v>
      </c>
      <c r="M6826" s="102"/>
      <c r="N6826" s="1"/>
      <c r="O6826" s="114">
        <v>2.2964472E7</v>
      </c>
      <c r="P6826" s="114">
        <v>2.0802586E7</v>
      </c>
      <c r="Q6826" s="1" t="s">
        <v>2501</v>
      </c>
      <c r="S6826" s="1"/>
      <c r="T6826" s="1"/>
      <c r="U6826" s="1"/>
      <c r="V6826" s="1"/>
      <c r="W6826" s="1"/>
      <c r="X6826" s="1"/>
      <c r="Y6826" s="1"/>
      <c r="AA6826" s="102"/>
      <c r="AB6826" s="1"/>
      <c r="AC6826" s="1"/>
      <c r="AD6826" s="1"/>
      <c r="AE6826" s="1"/>
      <c r="AF6826" s="1"/>
      <c r="AG6826" s="1"/>
    </row>
    <row r="6827" ht="15.75" customHeight="1">
      <c r="A6827" s="1"/>
      <c r="B6827" s="1"/>
      <c r="C6827" s="1"/>
      <c r="D6827" s="1"/>
      <c r="E6827" s="1"/>
      <c r="F6827" s="1"/>
      <c r="G6827" s="1"/>
      <c r="H6827" s="1"/>
      <c r="I6827" s="1"/>
      <c r="J6827" s="1"/>
      <c r="K6827" s="1" t="s">
        <v>10547</v>
      </c>
      <c r="L6827" t="str">
        <f>H1031</f>
        <v>J2a1a2b1~</v>
      </c>
      <c r="M6827" s="1"/>
      <c r="N6827" s="1"/>
      <c r="O6827" s="114">
        <v>2.2983821E7</v>
      </c>
      <c r="P6827" s="114">
        <v>2.0821935E7</v>
      </c>
      <c r="Q6827" s="1" t="s">
        <v>2529</v>
      </c>
      <c r="S6827" s="1"/>
      <c r="T6827" s="1"/>
      <c r="U6827" s="1"/>
      <c r="V6827" s="1"/>
      <c r="W6827" s="1"/>
      <c r="X6827" s="1"/>
      <c r="Y6827" s="1"/>
      <c r="AA6827" s="102"/>
      <c r="AB6827" s="1"/>
      <c r="AC6827" s="1"/>
      <c r="AD6827" s="1"/>
      <c r="AE6827" s="1"/>
      <c r="AF6827" s="1"/>
      <c r="AG6827" s="1"/>
    </row>
    <row r="6828" ht="15.75" customHeight="1">
      <c r="A6828" s="1"/>
      <c r="B6828" s="1"/>
      <c r="C6828" s="1"/>
      <c r="D6828" s="1"/>
      <c r="E6828" s="1"/>
      <c r="F6828" s="1"/>
      <c r="G6828" s="1"/>
      <c r="H6828" s="1"/>
      <c r="I6828" s="1"/>
      <c r="J6828" s="1"/>
      <c r="K6828" s="1" t="s">
        <v>10548</v>
      </c>
      <c r="L6828" t="str">
        <f>H1031</f>
        <v>J2a1a2b1~</v>
      </c>
      <c r="M6828" s="1"/>
      <c r="N6828" s="1"/>
      <c r="O6828" s="114">
        <v>2.3808315E7</v>
      </c>
      <c r="P6828" s="114">
        <v>2.1646429E7</v>
      </c>
      <c r="Q6828" s="1" t="s">
        <v>2423</v>
      </c>
      <c r="S6828" s="1"/>
      <c r="T6828" s="1"/>
      <c r="U6828" s="1"/>
      <c r="V6828" s="1"/>
      <c r="W6828" s="1"/>
      <c r="X6828" s="1"/>
      <c r="Y6828" s="1"/>
      <c r="AA6828" s="102"/>
      <c r="AB6828" s="1"/>
      <c r="AC6828" s="1"/>
      <c r="AD6828" s="1"/>
      <c r="AE6828" s="1"/>
      <c r="AF6828" s="1"/>
      <c r="AG6828" s="1"/>
    </row>
    <row r="6829" ht="15.75" customHeight="1">
      <c r="A6829" s="1"/>
      <c r="B6829" s="1"/>
      <c r="C6829" s="1"/>
      <c r="D6829" s="1"/>
      <c r="E6829" s="1"/>
      <c r="F6829" s="1"/>
      <c r="G6829" s="1"/>
      <c r="H6829" s="1"/>
      <c r="I6829" s="1"/>
      <c r="J6829" s="1"/>
      <c r="K6829" s="102" t="s">
        <v>10549</v>
      </c>
      <c r="L6829" t="str">
        <f>H1031</f>
        <v>J2a1a2b1~</v>
      </c>
      <c r="M6829" s="102"/>
      <c r="N6829" s="1"/>
      <c r="O6829" s="114">
        <v>2.3968261E7</v>
      </c>
      <c r="P6829" s="114">
        <v>2.1822114E7</v>
      </c>
      <c r="Q6829" s="1" t="s">
        <v>2501</v>
      </c>
      <c r="S6829" s="1"/>
      <c r="T6829" s="1"/>
      <c r="U6829" s="1"/>
      <c r="V6829" s="1"/>
      <c r="W6829" s="1"/>
      <c r="X6829" s="1"/>
      <c r="Y6829" s="1"/>
      <c r="AA6829" s="102"/>
      <c r="AB6829" s="1"/>
      <c r="AC6829" s="1"/>
      <c r="AD6829" s="1"/>
      <c r="AE6829" s="1"/>
      <c r="AF6829" s="1"/>
      <c r="AG6829" s="1"/>
    </row>
    <row r="6830" ht="15.75" customHeight="1">
      <c r="A6830" s="1"/>
      <c r="B6830" s="1"/>
      <c r="C6830" s="1"/>
      <c r="D6830" s="1"/>
      <c r="E6830" s="1"/>
      <c r="F6830" s="1"/>
      <c r="G6830" s="1"/>
      <c r="H6830" s="1"/>
      <c r="I6830" s="1"/>
      <c r="J6830" s="1"/>
      <c r="K6830" s="1" t="s">
        <v>10550</v>
      </c>
      <c r="L6830" t="str">
        <f>H1031</f>
        <v>J2a1a2b1~</v>
      </c>
      <c r="M6830" s="1"/>
      <c r="N6830" s="1"/>
      <c r="O6830" s="114">
        <v>2804389.0</v>
      </c>
      <c r="P6830" s="114">
        <v>2936348.0</v>
      </c>
      <c r="Q6830" s="1" t="s">
        <v>2446</v>
      </c>
      <c r="S6830" s="1"/>
      <c r="T6830" s="1"/>
      <c r="U6830" s="1"/>
      <c r="V6830" s="1"/>
      <c r="W6830" s="1"/>
      <c r="X6830" s="1"/>
      <c r="Y6830" s="1"/>
      <c r="AA6830" s="102"/>
      <c r="AB6830" s="1"/>
      <c r="AC6830" s="1"/>
      <c r="AD6830" s="1"/>
      <c r="AE6830" s="1"/>
      <c r="AF6830" s="1"/>
      <c r="AG6830" s="1"/>
    </row>
    <row r="6831" ht="15.75" customHeight="1">
      <c r="A6831" s="1"/>
      <c r="B6831" s="1"/>
      <c r="C6831" s="1"/>
      <c r="D6831" s="1"/>
      <c r="E6831" s="1"/>
      <c r="F6831" s="1"/>
      <c r="G6831" s="1"/>
      <c r="H6831" s="1"/>
      <c r="I6831" s="1"/>
      <c r="J6831" s="1"/>
      <c r="K6831" s="102" t="s">
        <v>10551</v>
      </c>
      <c r="L6831" t="str">
        <f>H1031</f>
        <v>J2a1a2b1~</v>
      </c>
      <c r="M6831" s="102"/>
      <c r="N6831" s="1"/>
      <c r="O6831" s="114">
        <v>3641040.0</v>
      </c>
      <c r="P6831" s="114">
        <v>3772999.0</v>
      </c>
      <c r="Q6831" s="1" t="s">
        <v>2529</v>
      </c>
      <c r="S6831" s="1"/>
      <c r="T6831" s="1"/>
      <c r="U6831" s="1"/>
      <c r="V6831" s="1"/>
      <c r="W6831" s="1"/>
      <c r="X6831" s="1"/>
      <c r="Y6831" s="1"/>
      <c r="AA6831" s="102"/>
      <c r="AB6831" s="1"/>
      <c r="AC6831" s="1"/>
      <c r="AD6831" s="1"/>
      <c r="AE6831" s="1"/>
      <c r="AF6831" s="1"/>
      <c r="AG6831" s="1"/>
    </row>
    <row r="6832" ht="15.75" customHeight="1">
      <c r="A6832" s="1"/>
      <c r="B6832" s="1"/>
      <c r="C6832" s="1"/>
      <c r="D6832" s="1"/>
      <c r="E6832" s="1"/>
      <c r="F6832" s="1"/>
      <c r="G6832" s="1"/>
      <c r="H6832" s="1"/>
      <c r="I6832" s="1"/>
      <c r="J6832" s="1"/>
      <c r="K6832" s="1" t="s">
        <v>10552</v>
      </c>
      <c r="L6832" t="str">
        <f>H1031</f>
        <v>J2a1a2b1~</v>
      </c>
      <c r="M6832" s="1"/>
      <c r="N6832" s="1"/>
      <c r="O6832" s="114">
        <v>6636735.0</v>
      </c>
      <c r="P6832" s="114">
        <v>6768694.0</v>
      </c>
      <c r="Q6832" s="1" t="s">
        <v>2563</v>
      </c>
      <c r="S6832" s="1"/>
      <c r="T6832" s="1"/>
      <c r="U6832" s="1"/>
      <c r="V6832" s="1"/>
      <c r="W6832" s="1"/>
      <c r="X6832" s="1"/>
      <c r="Y6832" s="1"/>
      <c r="AA6832" s="102"/>
      <c r="AB6832" s="1"/>
      <c r="AC6832" s="1"/>
      <c r="AD6832" s="1"/>
      <c r="AE6832" s="1"/>
      <c r="AF6832" s="1"/>
      <c r="AG6832" s="1"/>
    </row>
    <row r="6833" ht="15.75" customHeight="1">
      <c r="A6833" s="1"/>
      <c r="B6833" s="1"/>
      <c r="C6833" s="1"/>
      <c r="D6833" s="1"/>
      <c r="E6833" s="1"/>
      <c r="F6833" s="1"/>
      <c r="G6833" s="1"/>
      <c r="H6833" s="1"/>
      <c r="I6833" s="1"/>
      <c r="J6833" s="1"/>
      <c r="K6833" s="1" t="s">
        <v>10553</v>
      </c>
      <c r="L6833" t="str">
        <f>H1031</f>
        <v>J2a1a2b1~</v>
      </c>
      <c r="M6833" s="1"/>
      <c r="N6833" s="1"/>
      <c r="O6833" s="114">
        <v>8286156.0</v>
      </c>
      <c r="P6833" s="114">
        <v>8418115.0</v>
      </c>
      <c r="Q6833" s="1" t="s">
        <v>2501</v>
      </c>
      <c r="S6833" s="1"/>
      <c r="T6833" s="1"/>
      <c r="U6833" s="1"/>
      <c r="V6833" s="1"/>
      <c r="W6833" s="1"/>
      <c r="X6833" s="1"/>
      <c r="Y6833" s="1"/>
      <c r="AA6833" s="102"/>
      <c r="AB6833" s="1"/>
      <c r="AC6833" s="1"/>
      <c r="AD6833" s="1"/>
      <c r="AE6833" s="1"/>
      <c r="AF6833" s="1"/>
      <c r="AG6833" s="1"/>
    </row>
    <row r="6834" ht="15.75" customHeight="1">
      <c r="A6834" s="1"/>
      <c r="B6834" s="1"/>
      <c r="C6834" s="1"/>
      <c r="D6834" s="1"/>
      <c r="E6834" s="1"/>
      <c r="F6834" s="1"/>
      <c r="G6834" s="1"/>
      <c r="H6834" s="1"/>
      <c r="I6834" s="1"/>
      <c r="J6834" s="1"/>
      <c r="K6834" s="1" t="s">
        <v>10554</v>
      </c>
      <c r="L6834" t="str">
        <f>H1031</f>
        <v>J2a1a2b1~</v>
      </c>
      <c r="M6834" s="1"/>
      <c r="N6834" s="1"/>
      <c r="O6834" s="114">
        <v>8491166.0</v>
      </c>
      <c r="P6834" s="114">
        <v>8623125.0</v>
      </c>
      <c r="Q6834" s="1" t="s">
        <v>2501</v>
      </c>
      <c r="S6834" s="1"/>
      <c r="T6834" s="1"/>
      <c r="U6834" s="1"/>
      <c r="V6834" s="1"/>
      <c r="W6834" s="1"/>
      <c r="X6834" s="1"/>
      <c r="Y6834" s="1"/>
      <c r="AA6834" s="102"/>
      <c r="AB6834" s="1"/>
      <c r="AC6834" s="1"/>
      <c r="AD6834" s="1"/>
      <c r="AE6834" s="1"/>
      <c r="AF6834" s="1"/>
      <c r="AG6834" s="1"/>
    </row>
    <row r="6835" ht="15.75" customHeight="1">
      <c r="A6835" s="1"/>
      <c r="B6835" s="1"/>
      <c r="C6835" s="1"/>
      <c r="D6835" s="1"/>
      <c r="E6835" s="1"/>
      <c r="F6835" s="1"/>
      <c r="G6835" s="1"/>
      <c r="H6835" s="1"/>
      <c r="I6835" s="1"/>
      <c r="J6835" s="1"/>
      <c r="K6835" s="1" t="s">
        <v>10555</v>
      </c>
      <c r="L6835" t="str">
        <f>H1031</f>
        <v>J2a1a2b1~</v>
      </c>
      <c r="M6835" s="1"/>
      <c r="N6835" s="1"/>
      <c r="O6835" s="114">
        <v>1.3818322E7</v>
      </c>
      <c r="P6835" s="114">
        <v>1.1697616E7</v>
      </c>
      <c r="Q6835" s="1" t="s">
        <v>2514</v>
      </c>
      <c r="S6835" s="1"/>
      <c r="T6835" s="1"/>
      <c r="U6835" s="1"/>
      <c r="V6835" s="1"/>
      <c r="W6835" s="1"/>
      <c r="X6835" s="1"/>
      <c r="Y6835" s="1"/>
      <c r="AA6835" s="102"/>
      <c r="AB6835" s="1"/>
      <c r="AC6835" s="1"/>
      <c r="AD6835" s="1"/>
      <c r="AE6835" s="1"/>
      <c r="AF6835" s="1"/>
      <c r="AG6835" s="1"/>
    </row>
    <row r="6836" ht="15.75" customHeight="1">
      <c r="A6836" s="1"/>
      <c r="B6836" s="1"/>
      <c r="C6836" s="1"/>
      <c r="D6836" s="1"/>
      <c r="E6836" s="1"/>
      <c r="F6836" s="1"/>
      <c r="G6836" s="1"/>
      <c r="H6836" s="1"/>
      <c r="I6836" s="1"/>
      <c r="J6836" s="1"/>
      <c r="K6836" s="102" t="s">
        <v>1769</v>
      </c>
      <c r="L6836" t="str">
        <f>H1031</f>
        <v>J2a1a2b1~</v>
      </c>
      <c r="M6836" s="102"/>
      <c r="N6836" s="1"/>
      <c r="O6836" s="114">
        <v>1.4173947E7</v>
      </c>
      <c r="P6836" s="114">
        <v>1.2053241E7</v>
      </c>
      <c r="Q6836" s="1" t="s">
        <v>2501</v>
      </c>
      <c r="S6836" s="1"/>
      <c r="T6836" s="1"/>
      <c r="U6836" s="1"/>
      <c r="V6836" s="1"/>
      <c r="W6836" s="1"/>
      <c r="X6836" s="1"/>
      <c r="Y6836" s="1"/>
      <c r="AA6836" s="102"/>
      <c r="AB6836" s="1"/>
      <c r="AC6836" s="1"/>
      <c r="AD6836" s="1"/>
      <c r="AE6836" s="1"/>
      <c r="AF6836" s="1"/>
      <c r="AG6836" s="1"/>
    </row>
    <row r="6837" ht="15.75" customHeight="1">
      <c r="A6837" s="1"/>
      <c r="B6837" s="1"/>
      <c r="C6837" s="1"/>
      <c r="D6837" s="1"/>
      <c r="E6837" s="1"/>
      <c r="F6837" s="1"/>
      <c r="G6837" s="1"/>
      <c r="H6837" s="1"/>
      <c r="I6837" s="1"/>
      <c r="J6837" s="1"/>
      <c r="K6837" s="1" t="s">
        <v>10556</v>
      </c>
      <c r="L6837" t="str">
        <f>H1031</f>
        <v>J2a1a2b1~</v>
      </c>
      <c r="M6837" s="1"/>
      <c r="N6837" s="1"/>
      <c r="O6837" s="114">
        <v>1.486786E7</v>
      </c>
      <c r="P6837" s="114">
        <v>1.275593E7</v>
      </c>
      <c r="Q6837" s="1" t="s">
        <v>2439</v>
      </c>
      <c r="S6837" s="1"/>
      <c r="T6837" s="1"/>
      <c r="U6837" s="1"/>
      <c r="V6837" s="1"/>
      <c r="W6837" s="1"/>
      <c r="X6837" s="1"/>
      <c r="Y6837" s="1"/>
      <c r="AA6837" s="102"/>
      <c r="AB6837" s="1"/>
      <c r="AC6837" s="1"/>
      <c r="AD6837" s="1"/>
      <c r="AE6837" s="1"/>
      <c r="AF6837" s="1"/>
      <c r="AG6837" s="1"/>
    </row>
    <row r="6838" ht="15.75" customHeight="1">
      <c r="A6838" s="1"/>
      <c r="B6838" s="1"/>
      <c r="C6838" s="1"/>
      <c r="D6838" s="1"/>
      <c r="E6838" s="1"/>
      <c r="F6838" s="1"/>
      <c r="G6838" s="1"/>
      <c r="H6838" s="1"/>
      <c r="I6838" s="1"/>
      <c r="J6838" s="1"/>
      <c r="K6838" s="1" t="s">
        <v>10557</v>
      </c>
      <c r="L6838" t="str">
        <f>H1031</f>
        <v>J2a1a2b1~</v>
      </c>
      <c r="M6838" s="1"/>
      <c r="N6838" s="1"/>
      <c r="O6838" s="114">
        <v>1.5930467E7</v>
      </c>
      <c r="P6838" s="114">
        <v>1.3818587E7</v>
      </c>
      <c r="Q6838" s="1" t="s">
        <v>2468</v>
      </c>
      <c r="S6838" s="1"/>
      <c r="T6838" s="1"/>
      <c r="U6838" s="1"/>
      <c r="V6838" s="1"/>
      <c r="W6838" s="1"/>
      <c r="X6838" s="1"/>
      <c r="Y6838" s="1"/>
      <c r="AA6838" s="102"/>
      <c r="AB6838" s="1"/>
      <c r="AC6838" s="1"/>
      <c r="AD6838" s="1"/>
      <c r="AE6838" s="1"/>
      <c r="AF6838" s="1"/>
      <c r="AG6838" s="1"/>
    </row>
    <row r="6839" ht="15.75" customHeight="1">
      <c r="A6839" s="1"/>
      <c r="B6839" s="1"/>
      <c r="C6839" s="1"/>
      <c r="D6839" s="1"/>
      <c r="E6839" s="1"/>
      <c r="F6839" s="1"/>
      <c r="G6839" s="1"/>
      <c r="H6839" s="1"/>
      <c r="I6839" s="1"/>
      <c r="J6839" s="1"/>
      <c r="K6839" s="1" t="s">
        <v>10558</v>
      </c>
      <c r="L6839" t="str">
        <f>H1031</f>
        <v>J2a1a2b1~</v>
      </c>
      <c r="M6839" s="1"/>
      <c r="N6839" s="1"/>
      <c r="O6839" s="114">
        <v>1.6404156E7</v>
      </c>
      <c r="P6839" s="114">
        <v>1.4292276E7</v>
      </c>
      <c r="Q6839" s="1" t="s">
        <v>2468</v>
      </c>
      <c r="S6839" s="1"/>
      <c r="T6839" s="1"/>
      <c r="U6839" s="1"/>
      <c r="V6839" s="1"/>
      <c r="W6839" s="1"/>
      <c r="X6839" s="1"/>
      <c r="Y6839" s="1"/>
      <c r="AA6839" s="102"/>
      <c r="AB6839" s="1"/>
      <c r="AC6839" s="1"/>
      <c r="AD6839" s="1"/>
      <c r="AE6839" s="1"/>
      <c r="AF6839" s="1"/>
      <c r="AG6839" s="1"/>
    </row>
    <row r="6840" ht="15.75" customHeight="1">
      <c r="A6840" s="1"/>
      <c r="B6840" s="1"/>
      <c r="C6840" s="1"/>
      <c r="D6840" s="1"/>
      <c r="E6840" s="1"/>
      <c r="F6840" s="1"/>
      <c r="G6840" s="1"/>
      <c r="H6840" s="1"/>
      <c r="I6840" s="1"/>
      <c r="J6840" s="1"/>
      <c r="K6840" s="1" t="s">
        <v>10559</v>
      </c>
      <c r="L6840" t="str">
        <f>H1031</f>
        <v>J2a1a2b1~</v>
      </c>
      <c r="M6840" s="1"/>
      <c r="N6840" s="1"/>
      <c r="O6840" s="114">
        <v>1.7174246E7</v>
      </c>
      <c r="P6840" s="114">
        <v>1.5062366E7</v>
      </c>
      <c r="Q6840" s="1" t="s">
        <v>2533</v>
      </c>
      <c r="S6840" s="1"/>
      <c r="T6840" s="1"/>
      <c r="U6840" s="1"/>
      <c r="V6840" s="1"/>
      <c r="W6840" s="1"/>
      <c r="X6840" s="1"/>
      <c r="Y6840" s="1"/>
      <c r="AA6840" s="102"/>
      <c r="AB6840" s="1"/>
      <c r="AC6840" s="1"/>
      <c r="AD6840" s="1"/>
      <c r="AE6840" s="1"/>
      <c r="AF6840" s="1"/>
      <c r="AG6840" s="1"/>
    </row>
    <row r="6841" ht="15.75" customHeight="1">
      <c r="A6841" s="1"/>
      <c r="B6841" s="1"/>
      <c r="C6841" s="1"/>
      <c r="D6841" s="1"/>
      <c r="E6841" s="1"/>
      <c r="F6841" s="1"/>
      <c r="G6841" s="1"/>
      <c r="H6841" s="1"/>
      <c r="I6841" s="1"/>
      <c r="J6841" s="1"/>
      <c r="K6841" s="102" t="s">
        <v>10560</v>
      </c>
      <c r="L6841" t="str">
        <f>H1031</f>
        <v>J2a1a2b1~</v>
      </c>
      <c r="M6841" s="102"/>
      <c r="N6841" s="1" t="s">
        <v>10561</v>
      </c>
      <c r="O6841" s="114">
        <v>1.7231906E7</v>
      </c>
      <c r="P6841" s="105">
        <v>1.5120026E7</v>
      </c>
      <c r="Q6841" s="102" t="s">
        <v>2501</v>
      </c>
      <c r="S6841" s="1"/>
      <c r="T6841" s="1"/>
      <c r="U6841" s="1"/>
      <c r="V6841" s="1"/>
      <c r="W6841" s="1"/>
      <c r="X6841" s="1"/>
      <c r="Y6841" s="1"/>
      <c r="AA6841" s="102"/>
      <c r="AB6841" s="1"/>
      <c r="AC6841" s="1"/>
      <c r="AD6841" s="1"/>
      <c r="AE6841" s="1"/>
      <c r="AF6841" s="1"/>
      <c r="AG6841" s="1"/>
    </row>
    <row r="6842" ht="15.75" customHeight="1">
      <c r="A6842" s="1"/>
      <c r="B6842" s="1"/>
      <c r="C6842" s="1"/>
      <c r="D6842" s="1"/>
      <c r="E6842" s="1"/>
      <c r="F6842" s="1"/>
      <c r="G6842" s="1"/>
      <c r="H6842" s="1"/>
      <c r="I6842" s="1"/>
      <c r="J6842" s="1"/>
      <c r="K6842" s="102" t="s">
        <v>10562</v>
      </c>
      <c r="L6842" t="str">
        <f>H1031</f>
        <v>J2a1a2b1~</v>
      </c>
      <c r="M6842" s="102"/>
      <c r="N6842" s="1"/>
      <c r="O6842" s="114">
        <v>1.7865068E7</v>
      </c>
      <c r="P6842" s="105">
        <v>1.5753188E7</v>
      </c>
      <c r="Q6842" s="102" t="s">
        <v>2529</v>
      </c>
      <c r="S6842" s="1"/>
      <c r="T6842" s="1"/>
      <c r="U6842" s="1"/>
      <c r="V6842" s="1"/>
      <c r="W6842" s="1"/>
      <c r="X6842" s="1"/>
      <c r="Y6842" s="1"/>
      <c r="AA6842" s="102"/>
      <c r="AB6842" s="1"/>
      <c r="AC6842" s="1"/>
      <c r="AD6842" s="1"/>
      <c r="AE6842" s="1"/>
      <c r="AF6842" s="1"/>
      <c r="AG6842" s="1"/>
    </row>
    <row r="6843" ht="15.75" customHeight="1">
      <c r="A6843" s="1"/>
      <c r="B6843" s="1"/>
      <c r="C6843" s="1"/>
      <c r="D6843" s="1"/>
      <c r="E6843" s="1"/>
      <c r="F6843" s="1"/>
      <c r="G6843" s="1"/>
      <c r="H6843" s="1"/>
      <c r="I6843" s="1"/>
      <c r="J6843" s="1"/>
      <c r="K6843" s="1" t="s">
        <v>10563</v>
      </c>
      <c r="L6843" t="str">
        <f>H1031</f>
        <v>J2a1a2b1~</v>
      </c>
      <c r="M6843" s="1"/>
      <c r="N6843" s="1"/>
      <c r="O6843" s="114">
        <v>1.9148641E7</v>
      </c>
      <c r="P6843" s="105">
        <v>1.7036761E7</v>
      </c>
      <c r="Q6843" s="102" t="s">
        <v>2576</v>
      </c>
      <c r="S6843" s="1"/>
      <c r="T6843" s="1"/>
      <c r="U6843" s="1"/>
      <c r="V6843" s="1"/>
      <c r="W6843" s="1"/>
      <c r="X6843" s="1"/>
      <c r="Y6843" s="1"/>
      <c r="AA6843" s="102"/>
      <c r="AB6843" s="1"/>
      <c r="AC6843" s="1"/>
      <c r="AD6843" s="1"/>
      <c r="AE6843" s="1"/>
      <c r="AF6843" s="1"/>
      <c r="AG6843" s="1"/>
    </row>
    <row r="6844" ht="15.75" customHeight="1">
      <c r="A6844" s="1"/>
      <c r="B6844" s="1"/>
      <c r="C6844" s="1"/>
      <c r="D6844" s="1"/>
      <c r="E6844" s="1"/>
      <c r="F6844" s="1"/>
      <c r="G6844" s="1"/>
      <c r="H6844" s="1"/>
      <c r="I6844" s="1"/>
      <c r="J6844" s="1"/>
      <c r="K6844" s="1" t="s">
        <v>10564</v>
      </c>
      <c r="L6844" t="str">
        <f>H1031</f>
        <v>J2a1a2b1~</v>
      </c>
      <c r="M6844" s="1"/>
      <c r="N6844" s="1"/>
      <c r="O6844" s="114">
        <v>2.1040778E7</v>
      </c>
      <c r="P6844" s="105">
        <v>1.8878892E7</v>
      </c>
      <c r="Q6844" s="102" t="s">
        <v>2468</v>
      </c>
      <c r="S6844" s="1"/>
      <c r="T6844" s="1"/>
      <c r="U6844" s="1"/>
      <c r="V6844" s="1"/>
      <c r="W6844" s="1"/>
      <c r="X6844" s="1"/>
      <c r="Y6844" s="1"/>
      <c r="AA6844" s="102"/>
      <c r="AB6844" s="1"/>
      <c r="AC6844" s="1"/>
      <c r="AD6844" s="1"/>
      <c r="AE6844" s="1"/>
      <c r="AF6844" s="1"/>
      <c r="AG6844" s="1"/>
    </row>
    <row r="6845" ht="15.75" customHeight="1">
      <c r="A6845" s="1"/>
      <c r="B6845" s="1"/>
      <c r="C6845" s="1"/>
      <c r="D6845" s="1"/>
      <c r="E6845" s="1"/>
      <c r="F6845" s="1"/>
      <c r="G6845" s="1"/>
      <c r="H6845" s="1"/>
      <c r="I6845" s="1"/>
      <c r="J6845" s="1"/>
      <c r="K6845" s="102" t="s">
        <v>10565</v>
      </c>
      <c r="L6845" t="str">
        <f>H1031</f>
        <v>J2a1a2b1~</v>
      </c>
      <c r="M6845" s="102"/>
      <c r="N6845" s="1"/>
      <c r="O6845" s="114">
        <v>2.1373818E7</v>
      </c>
      <c r="P6845" s="105">
        <v>1.9211932E7</v>
      </c>
      <c r="Q6845" s="102" t="s">
        <v>2439</v>
      </c>
      <c r="S6845" s="1"/>
      <c r="T6845" s="1"/>
      <c r="U6845" s="1"/>
      <c r="V6845" s="1"/>
      <c r="W6845" s="1"/>
      <c r="X6845" s="1"/>
      <c r="Y6845" s="1"/>
      <c r="AA6845" s="102"/>
      <c r="AB6845" s="1"/>
      <c r="AC6845" s="1"/>
      <c r="AD6845" s="1"/>
      <c r="AE6845" s="1"/>
      <c r="AF6845" s="1"/>
      <c r="AG6845" s="1"/>
    </row>
    <row r="6846" ht="15.75" customHeight="1">
      <c r="A6846" s="1"/>
      <c r="B6846" s="1"/>
      <c r="C6846" s="1"/>
      <c r="D6846" s="1"/>
      <c r="E6846" s="1"/>
      <c r="F6846" s="1"/>
      <c r="G6846" s="1"/>
      <c r="H6846" s="1"/>
      <c r="I6846" s="1"/>
      <c r="J6846" s="1"/>
      <c r="K6846" s="102" t="s">
        <v>10566</v>
      </c>
      <c r="L6846" t="str">
        <f>H1031</f>
        <v>J2a1a2b1~</v>
      </c>
      <c r="M6846" s="102"/>
      <c r="N6846" s="1"/>
      <c r="O6846" s="114">
        <v>2.1518402E7</v>
      </c>
      <c r="P6846" s="105">
        <v>1.9356516E7</v>
      </c>
      <c r="Q6846" s="102" t="s">
        <v>2533</v>
      </c>
      <c r="S6846" s="1"/>
      <c r="T6846" s="1"/>
      <c r="U6846" s="1"/>
      <c r="V6846" s="1"/>
      <c r="W6846" s="1"/>
      <c r="X6846" s="1"/>
      <c r="Y6846" s="1"/>
      <c r="AA6846" s="102"/>
      <c r="AB6846" s="1"/>
      <c r="AC6846" s="1"/>
      <c r="AD6846" s="1"/>
      <c r="AE6846" s="1"/>
      <c r="AF6846" s="1"/>
      <c r="AG6846" s="1"/>
    </row>
    <row r="6847" ht="15.75" customHeight="1">
      <c r="A6847" s="1"/>
      <c r="B6847" s="1"/>
      <c r="C6847" s="1"/>
      <c r="D6847" s="1"/>
      <c r="E6847" s="1"/>
      <c r="F6847" s="1"/>
      <c r="G6847" s="1"/>
      <c r="H6847" s="1"/>
      <c r="I6847" s="1"/>
      <c r="J6847" s="1"/>
      <c r="K6847" s="1" t="s">
        <v>10567</v>
      </c>
      <c r="L6847" t="str">
        <f>H1031</f>
        <v>J2a1a2b1~</v>
      </c>
      <c r="M6847" s="1"/>
      <c r="N6847" s="1"/>
      <c r="O6847" s="114">
        <v>2.1585261E7</v>
      </c>
      <c r="P6847" s="105">
        <v>1.9423375E7</v>
      </c>
      <c r="Q6847" s="102" t="s">
        <v>2501</v>
      </c>
      <c r="S6847" s="1"/>
      <c r="T6847" s="1"/>
      <c r="U6847" s="1"/>
      <c r="V6847" s="1"/>
      <c r="W6847" s="1"/>
      <c r="X6847" s="1"/>
      <c r="Y6847" s="1"/>
      <c r="AA6847" s="102"/>
      <c r="AB6847" s="1"/>
      <c r="AC6847" s="1"/>
      <c r="AD6847" s="1"/>
      <c r="AE6847" s="1"/>
      <c r="AF6847" s="1"/>
      <c r="AG6847" s="1"/>
    </row>
    <row r="6848" ht="15.75" customHeight="1">
      <c r="A6848" s="1"/>
      <c r="B6848" s="1"/>
      <c r="C6848" s="1"/>
      <c r="D6848" s="1"/>
      <c r="E6848" s="1"/>
      <c r="F6848" s="1"/>
      <c r="G6848" s="1"/>
      <c r="H6848" s="1"/>
      <c r="I6848" s="1"/>
      <c r="J6848" s="1"/>
      <c r="K6848" s="1" t="s">
        <v>10568</v>
      </c>
      <c r="L6848" t="str">
        <f>H1031</f>
        <v>J2a1a2b1~</v>
      </c>
      <c r="M6848" s="1"/>
      <c r="N6848" s="1"/>
      <c r="O6848" s="114">
        <v>2.1936239E7</v>
      </c>
      <c r="P6848" s="105">
        <v>1.9774353E7</v>
      </c>
      <c r="Q6848" s="102" t="s">
        <v>2439</v>
      </c>
      <c r="S6848" s="1"/>
      <c r="T6848" s="1"/>
      <c r="U6848" s="1"/>
      <c r="V6848" s="1"/>
      <c r="W6848" s="1"/>
      <c r="X6848" s="1"/>
      <c r="Y6848" s="1"/>
      <c r="AA6848" s="102"/>
      <c r="AB6848" s="1"/>
      <c r="AC6848" s="1"/>
      <c r="AD6848" s="1"/>
      <c r="AE6848" s="1"/>
      <c r="AF6848" s="1"/>
      <c r="AG6848" s="1"/>
    </row>
    <row r="6849" ht="15.75" customHeight="1">
      <c r="A6849" s="1"/>
      <c r="B6849" s="1"/>
      <c r="C6849" s="1"/>
      <c r="D6849" s="1"/>
      <c r="E6849" s="1"/>
      <c r="F6849" s="1"/>
      <c r="G6849" s="1"/>
      <c r="H6849" s="1"/>
      <c r="I6849" s="1"/>
      <c r="J6849" s="1"/>
      <c r="K6849" s="1" t="s">
        <v>10569</v>
      </c>
      <c r="L6849" t="str">
        <f>H1031</f>
        <v>J2a1a2b1~</v>
      </c>
      <c r="M6849" s="1"/>
      <c r="N6849" s="1"/>
      <c r="O6849" s="114">
        <v>2.209156E7</v>
      </c>
      <c r="P6849" s="105">
        <v>1.9929674E7</v>
      </c>
      <c r="Q6849" s="102" t="s">
        <v>2454</v>
      </c>
      <c r="S6849" s="1"/>
      <c r="T6849" s="1"/>
      <c r="U6849" s="1"/>
      <c r="V6849" s="1"/>
      <c r="W6849" s="1"/>
      <c r="X6849" s="1"/>
      <c r="Y6849" s="1"/>
      <c r="AA6849" s="102"/>
      <c r="AB6849" s="1"/>
      <c r="AC6849" s="1"/>
      <c r="AD6849" s="1"/>
      <c r="AE6849" s="1"/>
      <c r="AF6849" s="1"/>
      <c r="AG6849" s="1"/>
    </row>
    <row r="6850" ht="15.75" customHeight="1">
      <c r="A6850" s="1"/>
      <c r="B6850" s="1"/>
      <c r="C6850" s="1"/>
      <c r="D6850" s="1"/>
      <c r="E6850" s="1"/>
      <c r="F6850" s="1"/>
      <c r="G6850" s="1"/>
      <c r="H6850" s="1"/>
      <c r="I6850" s="1"/>
      <c r="J6850" s="1"/>
      <c r="K6850" s="1" t="s">
        <v>10570</v>
      </c>
      <c r="L6850" t="str">
        <f t="shared" ref="L6850:L6851" si="183">H1031</f>
        <v>J2a1a2b1~</v>
      </c>
      <c r="M6850" s="1"/>
      <c r="N6850" s="1"/>
      <c r="O6850" s="114">
        <v>2.4471398E7</v>
      </c>
      <c r="P6850" s="105">
        <v>2.2325251E7</v>
      </c>
      <c r="Q6850" s="102" t="s">
        <v>2446</v>
      </c>
      <c r="S6850" s="1"/>
      <c r="T6850" s="1"/>
      <c r="U6850" s="1"/>
      <c r="V6850" s="1"/>
      <c r="W6850" s="1"/>
      <c r="X6850" s="1"/>
      <c r="Y6850" s="1"/>
      <c r="AA6850" s="102"/>
      <c r="AB6850" s="1"/>
      <c r="AC6850" s="1"/>
      <c r="AD6850" s="1"/>
      <c r="AE6850" s="1"/>
      <c r="AF6850" s="1"/>
      <c r="AG6850" s="1"/>
    </row>
    <row r="6851" ht="15.75" customHeight="1">
      <c r="A6851" s="1"/>
      <c r="B6851" s="1"/>
      <c r="C6851" s="1"/>
      <c r="D6851" s="1"/>
      <c r="E6851" s="1"/>
      <c r="F6851" s="1"/>
      <c r="G6851" s="1"/>
      <c r="H6851" s="1"/>
      <c r="I6851" s="1"/>
      <c r="J6851" s="1"/>
      <c r="K6851" s="1" t="s">
        <v>10571</v>
      </c>
      <c r="L6851" s="102" t="str">
        <f t="shared" si="183"/>
        <v>J2a1a2b2~</v>
      </c>
      <c r="M6851" s="102"/>
      <c r="N6851" s="1" t="s">
        <v>10572</v>
      </c>
      <c r="O6851" s="114">
        <v>1.3679302E7</v>
      </c>
      <c r="P6851" s="114">
        <v>1.1523626E7</v>
      </c>
      <c r="Q6851" s="1" t="s">
        <v>2529</v>
      </c>
      <c r="S6851" s="1"/>
      <c r="T6851" s="1"/>
      <c r="U6851" s="1"/>
      <c r="V6851" s="1"/>
      <c r="W6851" s="1"/>
      <c r="X6851" s="1"/>
      <c r="Y6851" s="1"/>
      <c r="AA6851" s="102"/>
      <c r="AB6851" s="1"/>
      <c r="AC6851" s="1"/>
      <c r="AD6851" s="1"/>
      <c r="AE6851" s="1"/>
      <c r="AF6851" s="1"/>
      <c r="AG6851" s="1"/>
    </row>
    <row r="6852" ht="15.75" customHeight="1">
      <c r="A6852" s="1"/>
      <c r="B6852" s="1"/>
      <c r="C6852" s="1"/>
      <c r="D6852" s="1"/>
      <c r="E6852" s="1"/>
      <c r="F6852" s="1"/>
      <c r="G6852" s="1"/>
      <c r="H6852" s="1"/>
      <c r="I6852" s="1"/>
      <c r="J6852" s="1"/>
      <c r="K6852" s="1" t="s">
        <v>10573</v>
      </c>
      <c r="L6852" s="102" t="str">
        <f>H1032</f>
        <v>J2a1a2b2~</v>
      </c>
      <c r="M6852" s="1" t="s">
        <v>10574</v>
      </c>
      <c r="N6852" s="1" t="s">
        <v>10575</v>
      </c>
      <c r="O6852" s="114">
        <v>2.8785243E7</v>
      </c>
      <c r="P6852" s="114">
        <v>2.6639096E7</v>
      </c>
      <c r="Q6852" s="1" t="s">
        <v>2439</v>
      </c>
      <c r="S6852" s="1"/>
      <c r="T6852" s="1"/>
      <c r="U6852" s="1"/>
      <c r="V6852" s="1"/>
      <c r="W6852" s="1"/>
      <c r="X6852" s="1"/>
      <c r="Y6852" s="1"/>
      <c r="AA6852" s="102"/>
      <c r="AB6852" s="1"/>
      <c r="AC6852" s="1"/>
      <c r="AD6852" s="1"/>
      <c r="AE6852" s="1"/>
      <c r="AF6852" s="1"/>
      <c r="AG6852" s="1"/>
    </row>
    <row r="6853" ht="15.75" customHeight="1">
      <c r="A6853" s="1"/>
      <c r="B6853" s="1"/>
      <c r="C6853" s="1"/>
      <c r="D6853" s="1"/>
      <c r="E6853" s="1"/>
      <c r="F6853" s="1"/>
      <c r="G6853" s="1"/>
      <c r="H6853" s="1"/>
      <c r="I6853" s="1"/>
      <c r="J6853" s="1"/>
      <c r="K6853" s="19" t="s">
        <v>10574</v>
      </c>
      <c r="L6853" s="102" t="str">
        <f>H1032</f>
        <v>J2a1a2b2~</v>
      </c>
      <c r="M6853" s="19" t="s">
        <v>10573</v>
      </c>
      <c r="N6853" s="1" t="s">
        <v>10575</v>
      </c>
      <c r="O6853" s="114">
        <v>2.8785243E7</v>
      </c>
      <c r="P6853" s="114">
        <v>2.6639096E7</v>
      </c>
      <c r="Q6853" s="1" t="s">
        <v>2439</v>
      </c>
      <c r="S6853" s="1"/>
      <c r="T6853" s="1"/>
      <c r="U6853" s="1"/>
      <c r="V6853" s="1"/>
      <c r="W6853" s="1"/>
      <c r="X6853" s="1"/>
      <c r="Y6853" s="1"/>
      <c r="AA6853" s="102"/>
      <c r="AB6853" s="1"/>
      <c r="AC6853" s="1"/>
      <c r="AD6853" s="1"/>
      <c r="AE6853" s="1"/>
      <c r="AF6853" s="1"/>
      <c r="AG6853" s="1"/>
    </row>
    <row r="6854" ht="15.75" customHeight="1">
      <c r="A6854" s="1"/>
      <c r="B6854" s="1"/>
      <c r="C6854" s="1"/>
      <c r="D6854" s="1"/>
      <c r="E6854" s="1"/>
      <c r="F6854" s="1"/>
      <c r="G6854" s="1"/>
      <c r="H6854" s="1"/>
      <c r="I6854" s="1"/>
      <c r="J6854" s="1"/>
      <c r="K6854" s="1" t="s">
        <v>10576</v>
      </c>
      <c r="L6854" s="102" t="str">
        <f>H1032</f>
        <v>J2a1a2b2~</v>
      </c>
      <c r="M6854" s="1"/>
      <c r="N6854" s="1" t="s">
        <v>10577</v>
      </c>
      <c r="O6854" s="114">
        <v>1.4180045E7</v>
      </c>
      <c r="P6854" s="114">
        <v>1.2059339E7</v>
      </c>
      <c r="Q6854" s="1" t="s">
        <v>2439</v>
      </c>
      <c r="S6854" s="1"/>
      <c r="T6854" s="1"/>
      <c r="U6854" s="1"/>
      <c r="V6854" s="1"/>
      <c r="W6854" s="1"/>
      <c r="X6854" s="1"/>
      <c r="Y6854" s="1"/>
      <c r="AA6854" s="102"/>
      <c r="AB6854" s="1"/>
      <c r="AC6854" s="1"/>
      <c r="AD6854" s="1"/>
      <c r="AE6854" s="1"/>
      <c r="AF6854" s="1"/>
      <c r="AG6854" s="1"/>
    </row>
    <row r="6855" ht="15.75" customHeight="1">
      <c r="A6855" s="1"/>
      <c r="B6855" s="1"/>
      <c r="C6855" s="1"/>
      <c r="D6855" s="1"/>
      <c r="E6855" s="1"/>
      <c r="F6855" s="1"/>
      <c r="G6855" s="1"/>
      <c r="H6855" s="1"/>
      <c r="I6855" s="1"/>
      <c r="J6855" s="1"/>
      <c r="K6855" s="1" t="s">
        <v>10578</v>
      </c>
      <c r="L6855" s="102" t="str">
        <f>H1032</f>
        <v>J2a1a2b2~</v>
      </c>
      <c r="M6855" s="1"/>
      <c r="N6855" s="1" t="s">
        <v>10579</v>
      </c>
      <c r="O6855" s="114">
        <v>1.4407719E7</v>
      </c>
      <c r="P6855" s="114">
        <v>1.2287017E7</v>
      </c>
      <c r="Q6855" s="1" t="s">
        <v>2468</v>
      </c>
      <c r="S6855" s="1"/>
      <c r="T6855" s="1"/>
      <c r="U6855" s="1"/>
      <c r="V6855" s="1"/>
      <c r="W6855" s="1"/>
      <c r="X6855" s="1"/>
      <c r="Y6855" s="1"/>
      <c r="AA6855" s="102"/>
      <c r="AB6855" s="1"/>
      <c r="AC6855" s="1"/>
      <c r="AD6855" s="1"/>
      <c r="AE6855" s="1"/>
      <c r="AF6855" s="1"/>
      <c r="AG6855" s="1"/>
    </row>
    <row r="6856" ht="15.75" customHeight="1">
      <c r="A6856" s="1"/>
      <c r="B6856" s="1"/>
      <c r="C6856" s="1"/>
      <c r="D6856" s="1"/>
      <c r="E6856" s="1"/>
      <c r="F6856" s="1"/>
      <c r="G6856" s="1"/>
      <c r="H6856" s="1"/>
      <c r="I6856" s="1"/>
      <c r="J6856" s="1"/>
      <c r="K6856" s="1" t="s">
        <v>10580</v>
      </c>
      <c r="L6856" s="102" t="str">
        <f>H1032</f>
        <v>J2a1a2b2~</v>
      </c>
      <c r="M6856" s="1"/>
      <c r="N6856" s="1"/>
      <c r="O6856" s="114">
        <v>4271481.0</v>
      </c>
      <c r="P6856" s="114">
        <v>4403440.0</v>
      </c>
      <c r="Q6856" s="1" t="s">
        <v>2501</v>
      </c>
      <c r="S6856" s="1"/>
      <c r="T6856" s="1"/>
      <c r="U6856" s="1"/>
      <c r="V6856" s="1"/>
      <c r="W6856" s="1"/>
      <c r="X6856" s="1"/>
      <c r="Y6856" s="1"/>
      <c r="AA6856" s="102"/>
      <c r="AB6856" s="1"/>
      <c r="AC6856" s="1"/>
      <c r="AD6856" s="1"/>
      <c r="AE6856" s="1"/>
      <c r="AF6856" s="1"/>
      <c r="AG6856" s="1"/>
    </row>
    <row r="6857" ht="15.75" customHeight="1">
      <c r="A6857" s="1"/>
      <c r="B6857" s="1"/>
      <c r="C6857" s="1"/>
      <c r="D6857" s="1"/>
      <c r="E6857" s="1"/>
      <c r="F6857" s="1"/>
      <c r="G6857" s="1"/>
      <c r="H6857" s="1"/>
      <c r="I6857" s="1"/>
      <c r="J6857" s="1"/>
      <c r="K6857" s="1" t="s">
        <v>10581</v>
      </c>
      <c r="L6857" s="102" t="str">
        <f>I1033</f>
        <v>J2a1a2b2a~</v>
      </c>
      <c r="M6857" s="1"/>
      <c r="N6857" s="1" t="s">
        <v>10582</v>
      </c>
      <c r="O6857" s="114">
        <v>1.9263649E7</v>
      </c>
      <c r="P6857" s="114">
        <v>1.7151769E7</v>
      </c>
      <c r="Q6857" s="1" t="s">
        <v>2439</v>
      </c>
      <c r="S6857" s="1"/>
      <c r="T6857" s="1"/>
      <c r="U6857" s="1"/>
      <c r="V6857" s="1"/>
      <c r="W6857" s="1"/>
      <c r="X6857" s="1"/>
      <c r="Y6857" s="1"/>
      <c r="AA6857" s="102"/>
      <c r="AB6857" s="1"/>
      <c r="AC6857" s="1"/>
      <c r="AD6857" s="1"/>
      <c r="AE6857" s="1"/>
      <c r="AF6857" s="1"/>
      <c r="AG6857" s="1"/>
    </row>
    <row r="6858" ht="15.75" customHeight="1">
      <c r="A6858" s="1"/>
      <c r="B6858" s="1"/>
      <c r="C6858" s="1"/>
      <c r="D6858" s="1"/>
      <c r="E6858" s="1"/>
      <c r="F6858" s="1"/>
      <c r="G6858" s="1"/>
      <c r="H6858" s="1"/>
      <c r="I6858" s="1"/>
      <c r="J6858" s="1"/>
      <c r="K6858" s="1" t="s">
        <v>10583</v>
      </c>
      <c r="L6858" s="102" t="str">
        <f>I1033</f>
        <v>J2a1a2b2a~</v>
      </c>
      <c r="M6858" s="1" t="s">
        <v>10584</v>
      </c>
      <c r="N6858" s="1" t="s">
        <v>10585</v>
      </c>
      <c r="O6858" s="114">
        <v>2.8510522E7</v>
      </c>
      <c r="P6858" s="114">
        <v>2.6364375E7</v>
      </c>
      <c r="Q6858" s="1" t="s">
        <v>2446</v>
      </c>
      <c r="S6858" s="1"/>
      <c r="T6858" s="1"/>
      <c r="U6858" s="1"/>
      <c r="V6858" s="1"/>
      <c r="W6858" s="1"/>
      <c r="X6858" s="1"/>
      <c r="Y6858" s="1"/>
      <c r="AA6858" s="102"/>
      <c r="AB6858" s="1"/>
      <c r="AC6858" s="1"/>
      <c r="AD6858" s="1"/>
      <c r="AE6858" s="1"/>
      <c r="AF6858" s="1"/>
      <c r="AG6858" s="1"/>
    </row>
    <row r="6859" ht="15.75" customHeight="1">
      <c r="A6859" s="1"/>
      <c r="B6859" s="1"/>
      <c r="C6859" s="1"/>
      <c r="D6859" s="1"/>
      <c r="E6859" s="1"/>
      <c r="F6859" s="1"/>
      <c r="G6859" s="1"/>
      <c r="H6859" s="1"/>
      <c r="I6859" s="1"/>
      <c r="J6859" s="1"/>
      <c r="K6859" s="19" t="s">
        <v>10584</v>
      </c>
      <c r="L6859" s="102" t="str">
        <f>I1033</f>
        <v>J2a1a2b2a~</v>
      </c>
      <c r="M6859" s="106" t="s">
        <v>10583</v>
      </c>
      <c r="N6859" s="1" t="s">
        <v>10585</v>
      </c>
      <c r="O6859" s="114">
        <v>2.8510522E7</v>
      </c>
      <c r="P6859" s="114">
        <v>2.6364375E7</v>
      </c>
      <c r="Q6859" s="1" t="s">
        <v>2446</v>
      </c>
      <c r="S6859" s="1"/>
      <c r="T6859" s="1"/>
      <c r="U6859" s="1"/>
      <c r="V6859" s="1"/>
      <c r="W6859" s="1"/>
      <c r="X6859" s="1"/>
      <c r="Y6859" s="1"/>
      <c r="AA6859" s="102"/>
      <c r="AB6859" s="1"/>
      <c r="AC6859" s="1"/>
      <c r="AD6859" s="1"/>
      <c r="AE6859" s="1"/>
      <c r="AF6859" s="1"/>
      <c r="AG6859" s="1"/>
    </row>
    <row r="6860" ht="15.75" customHeight="1">
      <c r="A6860" s="1"/>
      <c r="B6860" s="1"/>
      <c r="C6860" s="1"/>
      <c r="D6860" s="1"/>
      <c r="E6860" s="1"/>
      <c r="F6860" s="1"/>
      <c r="G6860" s="1"/>
      <c r="H6860" s="1"/>
      <c r="I6860" s="1"/>
      <c r="J6860" s="1"/>
      <c r="K6860" s="1" t="s">
        <v>10586</v>
      </c>
      <c r="L6860" s="102" t="str">
        <f>I1033</f>
        <v>J2a1a2b2a~</v>
      </c>
      <c r="M6860" s="102"/>
      <c r="N6860" s="1"/>
      <c r="O6860" s="114">
        <v>2919602.0</v>
      </c>
      <c r="P6860" s="114">
        <v>3051561.0</v>
      </c>
      <c r="Q6860" s="1" t="s">
        <v>2446</v>
      </c>
      <c r="S6860" s="1"/>
      <c r="T6860" s="1"/>
      <c r="U6860" s="1"/>
      <c r="V6860" s="1"/>
      <c r="W6860" s="1"/>
      <c r="X6860" s="1"/>
      <c r="Y6860" s="1"/>
      <c r="AA6860" s="102"/>
      <c r="AB6860" s="1"/>
      <c r="AC6860" s="1"/>
      <c r="AD6860" s="1"/>
      <c r="AE6860" s="1"/>
      <c r="AF6860" s="1"/>
      <c r="AG6860" s="1"/>
    </row>
    <row r="6861" ht="15.75" customHeight="1">
      <c r="A6861" s="1"/>
      <c r="B6861" s="1"/>
      <c r="C6861" s="1"/>
      <c r="D6861" s="1"/>
      <c r="E6861" s="1"/>
      <c r="F6861" s="1"/>
      <c r="G6861" s="1"/>
      <c r="H6861" s="1"/>
      <c r="I6861" s="1"/>
      <c r="J6861" s="1"/>
      <c r="K6861" s="124" t="s">
        <v>10587</v>
      </c>
      <c r="L6861" s="102" t="str">
        <f>J1034</f>
        <v>J2a1a2b2a1~</v>
      </c>
      <c r="M6861" s="102"/>
      <c r="N6861" s="1" t="s">
        <v>10588</v>
      </c>
      <c r="O6861" s="114">
        <v>1.7704426E7</v>
      </c>
      <c r="P6861" s="105">
        <v>1.5592546E7</v>
      </c>
      <c r="Q6861" s="106" t="s">
        <v>2533</v>
      </c>
      <c r="S6861" s="1"/>
      <c r="T6861" s="1"/>
      <c r="U6861" s="1"/>
      <c r="V6861" s="1"/>
      <c r="W6861" s="1"/>
      <c r="X6861" s="1"/>
      <c r="Y6861" s="1"/>
      <c r="AA6861" s="102"/>
      <c r="AB6861" s="1"/>
      <c r="AC6861" s="1"/>
      <c r="AD6861" s="1"/>
      <c r="AE6861" s="1"/>
      <c r="AF6861" s="1"/>
      <c r="AG6861" s="1"/>
    </row>
    <row r="6862" ht="15.75" customHeight="1">
      <c r="A6862" s="1"/>
      <c r="B6862" s="1"/>
      <c r="C6862" s="1"/>
      <c r="D6862" s="1"/>
      <c r="E6862" s="1"/>
      <c r="F6862" s="1"/>
      <c r="G6862" s="1"/>
      <c r="H6862" s="1"/>
      <c r="I6862" s="1"/>
      <c r="J6862" s="1"/>
      <c r="K6862" s="124" t="s">
        <v>10589</v>
      </c>
      <c r="L6862" t="str">
        <f>J1034</f>
        <v>J2a1a2b2a1~</v>
      </c>
      <c r="M6862" s="102"/>
      <c r="N6862" s="1" t="s">
        <v>10590</v>
      </c>
      <c r="O6862" s="114">
        <v>9811469.0</v>
      </c>
      <c r="P6862" s="105">
        <v>9973860.0</v>
      </c>
      <c r="Q6862" s="102" t="s">
        <v>2439</v>
      </c>
      <c r="S6862" s="1"/>
      <c r="T6862" s="1"/>
      <c r="U6862" s="1"/>
      <c r="V6862" s="1"/>
      <c r="W6862" s="1"/>
      <c r="X6862" s="1"/>
      <c r="Y6862" s="1"/>
      <c r="AA6862" s="102"/>
      <c r="AB6862" s="1"/>
      <c r="AC6862" s="1"/>
      <c r="AD6862" s="1"/>
      <c r="AE6862" s="1"/>
      <c r="AF6862" s="1"/>
      <c r="AG6862" s="1"/>
    </row>
    <row r="6863" ht="15.75" customHeight="1">
      <c r="A6863" s="1"/>
      <c r="B6863" s="1"/>
      <c r="C6863" s="1"/>
      <c r="D6863" s="1"/>
      <c r="E6863" s="1"/>
      <c r="F6863" s="1"/>
      <c r="G6863" s="1"/>
      <c r="H6863" s="1"/>
      <c r="I6863" s="1"/>
      <c r="J6863" s="1"/>
      <c r="K6863" s="124" t="s">
        <v>3409</v>
      </c>
      <c r="L6863" t="str">
        <f>J1034</f>
        <v>J2a1a2b2a1~</v>
      </c>
      <c r="M6863" s="102" t="s">
        <v>3410</v>
      </c>
      <c r="N6863" s="1" t="s">
        <v>3411</v>
      </c>
      <c r="O6863" s="114">
        <v>7877119.0</v>
      </c>
      <c r="P6863" s="105">
        <v>8009078.0</v>
      </c>
      <c r="Q6863" s="102" t="s">
        <v>2439</v>
      </c>
      <c r="S6863" s="1"/>
      <c r="T6863" s="1"/>
      <c r="U6863" s="1"/>
      <c r="V6863" s="1"/>
      <c r="W6863" s="1"/>
      <c r="X6863" s="1"/>
      <c r="Y6863" s="1"/>
      <c r="AA6863" s="102"/>
      <c r="AB6863" s="1"/>
      <c r="AC6863" s="1"/>
      <c r="AD6863" s="1"/>
      <c r="AE6863" s="1"/>
      <c r="AF6863" s="1"/>
      <c r="AG6863" s="1"/>
    </row>
    <row r="6864" ht="15.75" customHeight="1">
      <c r="A6864" s="1"/>
      <c r="B6864" s="1"/>
      <c r="C6864" s="1"/>
      <c r="D6864" s="1"/>
      <c r="E6864" s="1"/>
      <c r="F6864" s="1"/>
      <c r="G6864" s="1"/>
      <c r="H6864" s="1"/>
      <c r="I6864" s="1"/>
      <c r="J6864" s="1"/>
      <c r="K6864" s="122" t="s">
        <v>3410</v>
      </c>
      <c r="L6864" t="str">
        <f>J1034</f>
        <v>J2a1a2b2a1~</v>
      </c>
      <c r="M6864" s="106" t="s">
        <v>3409</v>
      </c>
      <c r="N6864" s="1" t="s">
        <v>3411</v>
      </c>
      <c r="O6864" s="111">
        <v>7877119.0</v>
      </c>
      <c r="P6864" s="111">
        <v>8009078.0</v>
      </c>
      <c r="Q6864" s="112" t="s">
        <v>2439</v>
      </c>
      <c r="S6864" s="1"/>
      <c r="T6864" s="1"/>
      <c r="U6864" s="1"/>
      <c r="V6864" s="1"/>
      <c r="W6864" s="1"/>
      <c r="X6864" s="1"/>
      <c r="Y6864" s="1"/>
      <c r="AA6864" s="102"/>
      <c r="AB6864" s="1"/>
      <c r="AC6864" s="1"/>
      <c r="AD6864" s="1"/>
      <c r="AE6864" s="1"/>
      <c r="AF6864" s="1"/>
      <c r="AG6864" s="1"/>
    </row>
    <row r="6865" ht="15.75" customHeight="1">
      <c r="A6865" s="1"/>
      <c r="B6865" s="1"/>
      <c r="C6865" s="1"/>
      <c r="D6865" s="1"/>
      <c r="E6865" s="1"/>
      <c r="F6865" s="1"/>
      <c r="G6865" s="1"/>
      <c r="H6865" s="1"/>
      <c r="I6865" s="1"/>
      <c r="J6865" s="1"/>
      <c r="K6865" s="124" t="s">
        <v>10591</v>
      </c>
      <c r="L6865" t="str">
        <f>J1034</f>
        <v>J2a1a2b2a1~</v>
      </c>
      <c r="M6865" s="102"/>
      <c r="N6865" s="1" t="s">
        <v>10592</v>
      </c>
      <c r="O6865" s="114">
        <v>2.440014E7</v>
      </c>
      <c r="P6865" s="105">
        <v>2.2253993E7</v>
      </c>
      <c r="Q6865" s="102" t="s">
        <v>2529</v>
      </c>
      <c r="S6865" s="1"/>
      <c r="T6865" s="1"/>
      <c r="U6865" s="1"/>
      <c r="V6865" s="1"/>
      <c r="W6865" s="1"/>
      <c r="X6865" s="1"/>
      <c r="Y6865" s="1"/>
      <c r="AA6865" s="102"/>
      <c r="AB6865" s="1"/>
      <c r="AC6865" s="1"/>
      <c r="AD6865" s="1"/>
      <c r="AE6865" s="1"/>
      <c r="AF6865" s="1"/>
      <c r="AG6865" s="1"/>
    </row>
    <row r="6866" ht="15.75" customHeight="1">
      <c r="A6866" s="1"/>
      <c r="B6866" s="1"/>
      <c r="C6866" s="1"/>
      <c r="D6866" s="1"/>
      <c r="E6866" s="1"/>
      <c r="F6866" s="1"/>
      <c r="G6866" s="1"/>
      <c r="H6866" s="1"/>
      <c r="I6866" s="1"/>
      <c r="J6866" s="1"/>
      <c r="K6866" s="124" t="s">
        <v>10593</v>
      </c>
      <c r="L6866" t="str">
        <f>J1034</f>
        <v>J2a1a2b2a1~</v>
      </c>
      <c r="M6866" s="102"/>
      <c r="N6866" s="1" t="s">
        <v>10594</v>
      </c>
      <c r="O6866" s="114">
        <v>2748953.0</v>
      </c>
      <c r="P6866" s="105">
        <v>2880912.0</v>
      </c>
      <c r="Q6866" s="102" t="s">
        <v>2563</v>
      </c>
      <c r="S6866" s="1"/>
      <c r="T6866" s="1"/>
      <c r="U6866" s="1"/>
      <c r="V6866" s="1"/>
      <c r="W6866" s="1"/>
      <c r="X6866" s="1"/>
      <c r="Y6866" s="1"/>
      <c r="AA6866" s="102"/>
      <c r="AB6866" s="1"/>
      <c r="AC6866" s="1"/>
      <c r="AD6866" s="1"/>
      <c r="AE6866" s="1"/>
      <c r="AF6866" s="1"/>
      <c r="AG6866" s="1"/>
    </row>
    <row r="6867" ht="15.75" customHeight="1">
      <c r="A6867" s="1"/>
      <c r="B6867" s="1"/>
      <c r="C6867" s="1"/>
      <c r="D6867" s="1"/>
      <c r="E6867" s="1"/>
      <c r="F6867" s="1"/>
      <c r="G6867" s="1"/>
      <c r="H6867" s="1"/>
      <c r="I6867" s="1"/>
      <c r="J6867" s="1"/>
      <c r="K6867" s="124" t="s">
        <v>10595</v>
      </c>
      <c r="L6867" t="str">
        <f>J1034</f>
        <v>J2a1a2b2a1~</v>
      </c>
      <c r="M6867" s="102"/>
      <c r="N6867" s="1"/>
      <c r="O6867" s="114">
        <v>2762441.0</v>
      </c>
      <c r="P6867" s="105">
        <v>2894400.0</v>
      </c>
      <c r="Q6867" s="102" t="s">
        <v>2576</v>
      </c>
      <c r="S6867" s="1"/>
      <c r="T6867" s="1"/>
      <c r="U6867" s="1"/>
      <c r="V6867" s="1"/>
      <c r="W6867" s="1"/>
      <c r="X6867" s="1"/>
      <c r="Y6867" s="1"/>
      <c r="AA6867" s="102"/>
      <c r="AB6867" s="1"/>
      <c r="AC6867" s="1"/>
      <c r="AD6867" s="1"/>
      <c r="AE6867" s="1"/>
      <c r="AF6867" s="1"/>
      <c r="AG6867" s="1"/>
    </row>
    <row r="6868" ht="15.75" customHeight="1">
      <c r="A6868" s="1"/>
      <c r="B6868" s="1"/>
      <c r="C6868" s="1"/>
      <c r="D6868" s="1"/>
      <c r="E6868" s="1"/>
      <c r="F6868" s="1"/>
      <c r="G6868" s="1"/>
      <c r="H6868" s="1"/>
      <c r="I6868" s="1"/>
      <c r="J6868" s="1"/>
      <c r="K6868" s="124" t="s">
        <v>10596</v>
      </c>
      <c r="L6868" t="str">
        <f>J1034</f>
        <v>J2a1a2b2a1~</v>
      </c>
      <c r="M6868" s="102"/>
      <c r="N6868" s="1" t="s">
        <v>10597</v>
      </c>
      <c r="O6868" s="114">
        <v>7251120.0</v>
      </c>
      <c r="P6868" s="105">
        <v>7383079.0</v>
      </c>
      <c r="Q6868" s="102" t="s">
        <v>2439</v>
      </c>
      <c r="S6868" s="1"/>
      <c r="T6868" s="1"/>
      <c r="U6868" s="1"/>
      <c r="V6868" s="1"/>
      <c r="W6868" s="1"/>
      <c r="X6868" s="1"/>
      <c r="Y6868" s="1"/>
      <c r="AA6868" s="102"/>
      <c r="AB6868" s="1"/>
      <c r="AC6868" s="1"/>
      <c r="AD6868" s="1"/>
      <c r="AE6868" s="1"/>
      <c r="AF6868" s="1"/>
      <c r="AG6868" s="1"/>
    </row>
    <row r="6869" ht="15.75" customHeight="1">
      <c r="A6869" s="1"/>
      <c r="B6869" s="1"/>
      <c r="C6869" s="1"/>
      <c r="D6869" s="1"/>
      <c r="E6869" s="1"/>
      <c r="F6869" s="1"/>
      <c r="G6869" s="1"/>
      <c r="H6869" s="1"/>
      <c r="I6869" s="1"/>
      <c r="J6869" s="1"/>
      <c r="K6869" s="124" t="s">
        <v>10598</v>
      </c>
      <c r="L6869" t="str">
        <f>J1034</f>
        <v>J2a1a2b2a1~</v>
      </c>
      <c r="M6869" s="102"/>
      <c r="N6869" s="1" t="s">
        <v>10599</v>
      </c>
      <c r="O6869" s="114">
        <v>7994020.0</v>
      </c>
      <c r="P6869" s="105">
        <v>8125979.0</v>
      </c>
      <c r="Q6869" s="102" t="s">
        <v>2468</v>
      </c>
      <c r="S6869" s="1"/>
      <c r="T6869" s="1"/>
      <c r="U6869" s="1"/>
      <c r="V6869" s="1"/>
      <c r="W6869" s="1"/>
      <c r="X6869" s="1"/>
      <c r="Y6869" s="1"/>
      <c r="AA6869" s="102"/>
      <c r="AB6869" s="1"/>
      <c r="AC6869" s="1"/>
      <c r="AD6869" s="1"/>
      <c r="AE6869" s="1"/>
      <c r="AF6869" s="1"/>
      <c r="AG6869" s="1"/>
    </row>
    <row r="6870" ht="15.75" customHeight="1">
      <c r="A6870" s="1"/>
      <c r="B6870" s="1"/>
      <c r="C6870" s="1"/>
      <c r="D6870" s="1"/>
      <c r="E6870" s="1"/>
      <c r="F6870" s="1"/>
      <c r="G6870" s="1"/>
      <c r="H6870" s="1"/>
      <c r="I6870" s="1"/>
      <c r="J6870" s="1"/>
      <c r="K6870" s="124" t="s">
        <v>10600</v>
      </c>
      <c r="L6870" t="str">
        <f>J1034</f>
        <v>J2a1a2b2a1~</v>
      </c>
      <c r="M6870" s="102"/>
      <c r="N6870" s="1"/>
      <c r="O6870" s="114">
        <v>1.4560846E7</v>
      </c>
      <c r="P6870" s="105">
        <v>1.2449047E7</v>
      </c>
      <c r="Q6870" s="102" t="s">
        <v>2501</v>
      </c>
      <c r="S6870" s="1"/>
      <c r="T6870" s="1"/>
      <c r="U6870" s="1"/>
      <c r="V6870" s="1"/>
      <c r="W6870" s="1"/>
      <c r="X6870" s="1"/>
      <c r="Y6870" s="1"/>
      <c r="AA6870" s="102"/>
      <c r="AB6870" s="1"/>
      <c r="AC6870" s="1"/>
      <c r="AD6870" s="1"/>
      <c r="AE6870" s="1"/>
      <c r="AF6870" s="1"/>
      <c r="AG6870" s="1"/>
    </row>
    <row r="6871" ht="15.75" customHeight="1">
      <c r="A6871" s="1"/>
      <c r="B6871" s="1"/>
      <c r="C6871" s="1"/>
      <c r="D6871" s="1"/>
      <c r="E6871" s="1"/>
      <c r="F6871" s="1"/>
      <c r="G6871" s="1"/>
      <c r="H6871" s="1"/>
      <c r="I6871" s="1"/>
      <c r="J6871" s="1"/>
      <c r="K6871" s="124" t="s">
        <v>10601</v>
      </c>
      <c r="L6871" t="str">
        <f>J1034</f>
        <v>J2a1a2b2a1~</v>
      </c>
      <c r="M6871" s="102"/>
      <c r="N6871" s="1" t="s">
        <v>10602</v>
      </c>
      <c r="O6871" s="114">
        <v>1.4917103E7</v>
      </c>
      <c r="P6871" s="105">
        <v>1.280517E7</v>
      </c>
      <c r="Q6871" s="102" t="s">
        <v>2501</v>
      </c>
      <c r="S6871" s="1"/>
      <c r="T6871" s="1"/>
      <c r="U6871" s="1"/>
      <c r="V6871" s="1"/>
      <c r="W6871" s="1"/>
      <c r="X6871" s="1"/>
      <c r="Y6871" s="1"/>
      <c r="AA6871" s="102"/>
      <c r="AB6871" s="1"/>
      <c r="AC6871" s="1"/>
      <c r="AD6871" s="1"/>
      <c r="AE6871" s="1"/>
      <c r="AF6871" s="1"/>
      <c r="AG6871" s="1"/>
    </row>
    <row r="6872" ht="15.75" customHeight="1">
      <c r="A6872" s="1"/>
      <c r="B6872" s="1"/>
      <c r="C6872" s="1"/>
      <c r="D6872" s="1"/>
      <c r="E6872" s="1"/>
      <c r="F6872" s="1"/>
      <c r="G6872" s="1"/>
      <c r="H6872" s="1"/>
      <c r="I6872" s="1"/>
      <c r="J6872" s="1"/>
      <c r="K6872" s="124" t="s">
        <v>10603</v>
      </c>
      <c r="L6872" t="str">
        <f>J1034</f>
        <v>J2a1a2b2a1~</v>
      </c>
      <c r="M6872" s="102"/>
      <c r="N6872" s="1" t="s">
        <v>10604</v>
      </c>
      <c r="O6872" s="114">
        <v>1.5332863E7</v>
      </c>
      <c r="P6872" s="105">
        <v>1.3220981E7</v>
      </c>
      <c r="Q6872" s="102" t="s">
        <v>2468</v>
      </c>
      <c r="S6872" s="1"/>
      <c r="T6872" s="1"/>
      <c r="U6872" s="1"/>
      <c r="V6872" s="1"/>
      <c r="W6872" s="1"/>
      <c r="X6872" s="1"/>
      <c r="Y6872" s="1"/>
      <c r="AA6872" s="102"/>
      <c r="AB6872" s="1"/>
      <c r="AC6872" s="1"/>
      <c r="AD6872" s="1"/>
      <c r="AE6872" s="1"/>
      <c r="AF6872" s="1"/>
      <c r="AG6872" s="1"/>
    </row>
    <row r="6873" ht="15.75" customHeight="1">
      <c r="A6873" s="1"/>
      <c r="B6873" s="1"/>
      <c r="C6873" s="1"/>
      <c r="D6873" s="1"/>
      <c r="E6873" s="1"/>
      <c r="F6873" s="1"/>
      <c r="G6873" s="1"/>
      <c r="H6873" s="1"/>
      <c r="I6873" s="1"/>
      <c r="J6873" s="1"/>
      <c r="K6873" s="102" t="s">
        <v>10605</v>
      </c>
      <c r="L6873" t="str">
        <f>J1034</f>
        <v>J2a1a2b2a1~</v>
      </c>
      <c r="M6873" s="102"/>
      <c r="N6873" s="1"/>
      <c r="O6873" s="114">
        <v>1.5616908E7</v>
      </c>
      <c r="P6873" s="105">
        <v>1.3505028E7</v>
      </c>
      <c r="Q6873" s="102" t="s">
        <v>2501</v>
      </c>
      <c r="S6873" s="1"/>
      <c r="T6873" s="1"/>
      <c r="U6873" s="1"/>
      <c r="V6873" s="1"/>
      <c r="W6873" s="1"/>
      <c r="X6873" s="1"/>
      <c r="Y6873" s="1"/>
      <c r="AA6873" s="102"/>
      <c r="AB6873" s="1"/>
      <c r="AC6873" s="1"/>
      <c r="AD6873" s="1"/>
      <c r="AE6873" s="1"/>
      <c r="AF6873" s="1"/>
      <c r="AG6873" s="1"/>
    </row>
    <row r="6874" ht="15.75" customHeight="1">
      <c r="A6874" s="1"/>
      <c r="B6874" s="1"/>
      <c r="C6874" s="1"/>
      <c r="D6874" s="1"/>
      <c r="E6874" s="1"/>
      <c r="F6874" s="1"/>
      <c r="G6874" s="1"/>
      <c r="H6874" s="1"/>
      <c r="I6874" s="1"/>
      <c r="J6874" s="1"/>
      <c r="K6874" s="102" t="s">
        <v>10606</v>
      </c>
      <c r="L6874" t="str">
        <f>J1034</f>
        <v>J2a1a2b2a1~</v>
      </c>
      <c r="M6874" s="102"/>
      <c r="N6874" s="1" t="s">
        <v>10607</v>
      </c>
      <c r="O6874" s="114">
        <v>1.6332982E7</v>
      </c>
      <c r="P6874" s="105">
        <v>1.4221102E7</v>
      </c>
      <c r="Q6874" s="102" t="s">
        <v>2446</v>
      </c>
      <c r="S6874" s="1"/>
      <c r="T6874" s="1"/>
      <c r="U6874" s="1"/>
      <c r="V6874" s="1"/>
      <c r="W6874" s="1"/>
      <c r="X6874" s="1"/>
      <c r="Y6874" s="1"/>
      <c r="AA6874" s="102"/>
      <c r="AB6874" s="1"/>
      <c r="AC6874" s="1"/>
      <c r="AD6874" s="1"/>
      <c r="AE6874" s="1"/>
      <c r="AF6874" s="1"/>
      <c r="AG6874" s="1"/>
    </row>
    <row r="6875" ht="15.75" customHeight="1">
      <c r="A6875" s="1"/>
      <c r="B6875" s="1"/>
      <c r="C6875" s="1"/>
      <c r="D6875" s="1"/>
      <c r="E6875" s="1"/>
      <c r="F6875" s="1"/>
      <c r="G6875" s="1"/>
      <c r="H6875" s="1"/>
      <c r="I6875" s="1"/>
      <c r="J6875" s="1"/>
      <c r="K6875" s="102" t="s">
        <v>10608</v>
      </c>
      <c r="L6875" t="str">
        <f>J1034</f>
        <v>J2a1a2b2a1~</v>
      </c>
      <c r="M6875" s="102"/>
      <c r="N6875" s="1" t="s">
        <v>10609</v>
      </c>
      <c r="O6875" s="114">
        <v>1.6459283E7</v>
      </c>
      <c r="P6875" s="105">
        <v>1.4347403E7</v>
      </c>
      <c r="Q6875" s="102" t="s">
        <v>2501</v>
      </c>
      <c r="S6875" s="1"/>
      <c r="T6875" s="1"/>
      <c r="U6875" s="1"/>
      <c r="V6875" s="1"/>
      <c r="W6875" s="1"/>
      <c r="X6875" s="1"/>
      <c r="Y6875" s="1"/>
      <c r="AA6875" s="102" t="s">
        <v>10610</v>
      </c>
      <c r="AB6875" s="1"/>
      <c r="AC6875" s="1"/>
      <c r="AD6875" s="1"/>
      <c r="AE6875" s="1"/>
      <c r="AF6875" s="1"/>
      <c r="AG6875" s="1"/>
    </row>
    <row r="6876" ht="15.75" customHeight="1">
      <c r="A6876" s="1"/>
      <c r="B6876" s="1"/>
      <c r="C6876" s="1"/>
      <c r="D6876" s="1"/>
      <c r="E6876" s="1"/>
      <c r="F6876" s="1"/>
      <c r="G6876" s="1"/>
      <c r="H6876" s="1"/>
      <c r="I6876" s="1"/>
      <c r="J6876" s="1"/>
      <c r="K6876" s="102" t="s">
        <v>10611</v>
      </c>
      <c r="L6876" t="str">
        <f>J1034</f>
        <v>J2a1a2b2a1~</v>
      </c>
      <c r="M6876" s="102"/>
      <c r="N6876" s="1" t="s">
        <v>10612</v>
      </c>
      <c r="O6876" s="114">
        <v>1.7424976E7</v>
      </c>
      <c r="P6876" s="105">
        <v>1.5313096E7</v>
      </c>
      <c r="Q6876" s="102" t="s">
        <v>2468</v>
      </c>
      <c r="S6876" s="1"/>
      <c r="T6876" s="1"/>
      <c r="U6876" s="1"/>
      <c r="V6876" s="1"/>
      <c r="W6876" s="1"/>
      <c r="X6876" s="1"/>
      <c r="Y6876" s="1"/>
      <c r="AA6876" s="102"/>
      <c r="AB6876" s="1"/>
      <c r="AC6876" s="1"/>
      <c r="AD6876" s="1"/>
      <c r="AE6876" s="1"/>
      <c r="AF6876" s="1"/>
      <c r="AG6876" s="1"/>
    </row>
    <row r="6877" ht="15.75" customHeight="1">
      <c r="A6877" s="1"/>
      <c r="B6877" s="1"/>
      <c r="C6877" s="1"/>
      <c r="D6877" s="1"/>
      <c r="E6877" s="1"/>
      <c r="F6877" s="1"/>
      <c r="G6877" s="1"/>
      <c r="H6877" s="1"/>
      <c r="I6877" s="1"/>
      <c r="J6877" s="1"/>
      <c r="K6877" s="102" t="s">
        <v>10613</v>
      </c>
      <c r="L6877" t="str">
        <f>J1034</f>
        <v>J2a1a2b2a1~</v>
      </c>
      <c r="M6877" s="102"/>
      <c r="N6877" s="1" t="s">
        <v>10614</v>
      </c>
      <c r="O6877" s="114">
        <v>1.7556984E7</v>
      </c>
      <c r="P6877" s="105">
        <v>1.5445104E7</v>
      </c>
      <c r="Q6877" s="102" t="s">
        <v>2423</v>
      </c>
      <c r="S6877" s="1"/>
      <c r="T6877" s="1"/>
      <c r="U6877" s="1"/>
      <c r="V6877" s="1"/>
      <c r="W6877" s="1"/>
      <c r="X6877" s="1"/>
      <c r="Y6877" s="1"/>
      <c r="AA6877" s="102"/>
      <c r="AB6877" s="1"/>
      <c r="AC6877" s="1"/>
      <c r="AD6877" s="1"/>
      <c r="AE6877" s="1"/>
      <c r="AF6877" s="1"/>
      <c r="AG6877" s="1"/>
    </row>
    <row r="6878" ht="15.75" customHeight="1">
      <c r="A6878" s="1"/>
      <c r="B6878" s="1"/>
      <c r="C6878" s="1"/>
      <c r="D6878" s="1"/>
      <c r="E6878" s="1"/>
      <c r="F6878" s="1"/>
      <c r="G6878" s="1"/>
      <c r="H6878" s="1"/>
      <c r="I6878" s="1"/>
      <c r="J6878" s="1"/>
      <c r="K6878" s="102" t="s">
        <v>10615</v>
      </c>
      <c r="L6878" t="str">
        <f>J1034</f>
        <v>J2a1a2b2a1~</v>
      </c>
      <c r="M6878" s="102"/>
      <c r="N6878" s="1" t="s">
        <v>10616</v>
      </c>
      <c r="O6878" s="114">
        <v>1.7816857E7</v>
      </c>
      <c r="P6878" s="105">
        <v>1.5704977E7</v>
      </c>
      <c r="Q6878" s="102" t="s">
        <v>2432</v>
      </c>
      <c r="S6878" s="1"/>
      <c r="T6878" s="1"/>
      <c r="U6878" s="1"/>
      <c r="V6878" s="1"/>
      <c r="W6878" s="1"/>
      <c r="X6878" s="1"/>
      <c r="Y6878" s="1"/>
      <c r="AA6878" s="102"/>
      <c r="AB6878" s="1"/>
      <c r="AC6878" s="1"/>
      <c r="AD6878" s="1"/>
      <c r="AE6878" s="1"/>
      <c r="AF6878" s="1"/>
      <c r="AG6878" s="1"/>
    </row>
    <row r="6879" ht="15.75" customHeight="1">
      <c r="A6879" s="1"/>
      <c r="B6879" s="1"/>
      <c r="C6879" s="1"/>
      <c r="D6879" s="1"/>
      <c r="E6879" s="1"/>
      <c r="F6879" s="1"/>
      <c r="G6879" s="1"/>
      <c r="H6879" s="1"/>
      <c r="I6879" s="1"/>
      <c r="J6879" s="1"/>
      <c r="K6879" s="102" t="s">
        <v>10617</v>
      </c>
      <c r="L6879" t="str">
        <f>J1034</f>
        <v>J2a1a2b2a1~</v>
      </c>
      <c r="M6879" s="102"/>
      <c r="N6879" s="1" t="s">
        <v>10618</v>
      </c>
      <c r="O6879" s="114">
        <v>1.9519311E7</v>
      </c>
      <c r="P6879" s="105">
        <v>1.7407431E7</v>
      </c>
      <c r="Q6879" s="102" t="s">
        <v>2468</v>
      </c>
      <c r="S6879" s="1"/>
      <c r="T6879" s="1"/>
      <c r="U6879" s="1"/>
      <c r="V6879" s="1"/>
      <c r="W6879" s="1"/>
      <c r="X6879" s="1"/>
      <c r="Y6879" s="1"/>
      <c r="AA6879" s="102"/>
      <c r="AB6879" s="1"/>
      <c r="AC6879" s="1"/>
      <c r="AD6879" s="1"/>
      <c r="AE6879" s="1"/>
      <c r="AF6879" s="1"/>
      <c r="AG6879" s="1"/>
    </row>
    <row r="6880" ht="15.75" customHeight="1">
      <c r="A6880" s="1"/>
      <c r="B6880" s="1"/>
      <c r="C6880" s="1"/>
      <c r="D6880" s="1"/>
      <c r="E6880" s="1"/>
      <c r="F6880" s="1"/>
      <c r="G6880" s="1"/>
      <c r="H6880" s="1"/>
      <c r="I6880" s="1"/>
      <c r="J6880" s="1"/>
      <c r="K6880" s="102" t="s">
        <v>10619</v>
      </c>
      <c r="L6880" t="str">
        <f>J1034</f>
        <v>J2a1a2b2a1~</v>
      </c>
      <c r="M6880" s="102"/>
      <c r="N6880" s="1" t="s">
        <v>10620</v>
      </c>
      <c r="O6880" s="114">
        <v>2.110579E7</v>
      </c>
      <c r="P6880" s="105">
        <v>1.8943904E7</v>
      </c>
      <c r="Q6880" s="102" t="s">
        <v>2529</v>
      </c>
      <c r="S6880" s="1"/>
      <c r="T6880" s="1"/>
      <c r="U6880" s="1"/>
      <c r="V6880" s="1"/>
      <c r="W6880" s="1"/>
      <c r="X6880" s="1"/>
      <c r="Y6880" s="1"/>
      <c r="AA6880" s="102"/>
      <c r="AB6880" s="1"/>
      <c r="AC6880" s="1"/>
      <c r="AD6880" s="1"/>
      <c r="AE6880" s="1"/>
      <c r="AF6880" s="1"/>
      <c r="AG6880" s="1"/>
    </row>
    <row r="6881" ht="15.75" customHeight="1">
      <c r="A6881" s="1"/>
      <c r="B6881" s="1"/>
      <c r="C6881" s="1"/>
      <c r="D6881" s="1"/>
      <c r="E6881" s="1"/>
      <c r="F6881" s="1"/>
      <c r="G6881" s="1"/>
      <c r="H6881" s="1"/>
      <c r="I6881" s="1"/>
      <c r="J6881" s="1"/>
      <c r="K6881" s="102" t="s">
        <v>10621</v>
      </c>
      <c r="L6881" t="str">
        <f>J1034</f>
        <v>J2a1a2b2a1~</v>
      </c>
      <c r="M6881" s="102"/>
      <c r="N6881" s="1" t="s">
        <v>10622</v>
      </c>
      <c r="O6881" s="114">
        <v>2.1300422E7</v>
      </c>
      <c r="P6881" s="105">
        <v>1.9138536E7</v>
      </c>
      <c r="Q6881" s="102" t="s">
        <v>2501</v>
      </c>
      <c r="S6881" s="1"/>
      <c r="T6881" s="1"/>
      <c r="U6881" s="1"/>
      <c r="V6881" s="1"/>
      <c r="W6881" s="1"/>
      <c r="X6881" s="1"/>
      <c r="Y6881" s="1"/>
      <c r="AA6881" s="102"/>
      <c r="AB6881" s="1"/>
      <c r="AC6881" s="1"/>
      <c r="AD6881" s="1"/>
      <c r="AE6881" s="1"/>
      <c r="AF6881" s="1"/>
      <c r="AG6881" s="1"/>
    </row>
    <row r="6882" ht="15.75" customHeight="1">
      <c r="A6882" s="1"/>
      <c r="B6882" s="1"/>
      <c r="C6882" s="1"/>
      <c r="D6882" s="1"/>
      <c r="E6882" s="1"/>
      <c r="F6882" s="1"/>
      <c r="G6882" s="1"/>
      <c r="H6882" s="1"/>
      <c r="I6882" s="1"/>
      <c r="J6882" s="1"/>
      <c r="K6882" s="102" t="s">
        <v>10623</v>
      </c>
      <c r="L6882" t="str">
        <f>J1034</f>
        <v>J2a1a2b2a1~</v>
      </c>
      <c r="M6882" s="102"/>
      <c r="N6882" s="1" t="s">
        <v>10624</v>
      </c>
      <c r="O6882" s="114">
        <v>2.2655871E7</v>
      </c>
      <c r="P6882" s="105">
        <v>2.0493985E7</v>
      </c>
      <c r="Q6882" s="102" t="s">
        <v>2468</v>
      </c>
      <c r="S6882" s="1"/>
      <c r="T6882" s="1"/>
      <c r="U6882" s="1"/>
      <c r="V6882" s="1"/>
      <c r="W6882" s="1"/>
      <c r="X6882" s="1"/>
      <c r="Y6882" s="1"/>
      <c r="AA6882" s="102"/>
      <c r="AB6882" s="1"/>
      <c r="AC6882" s="1"/>
      <c r="AD6882" s="1"/>
      <c r="AE6882" s="1"/>
      <c r="AF6882" s="1"/>
      <c r="AG6882" s="1"/>
    </row>
    <row r="6883" ht="15.75" customHeight="1">
      <c r="A6883" s="1"/>
      <c r="B6883" s="1"/>
      <c r="C6883" s="1"/>
      <c r="D6883" s="1"/>
      <c r="E6883" s="1"/>
      <c r="F6883" s="1"/>
      <c r="G6883" s="1"/>
      <c r="H6883" s="1"/>
      <c r="I6883" s="1"/>
      <c r="J6883" s="1"/>
      <c r="K6883" s="102" t="s">
        <v>10625</v>
      </c>
      <c r="L6883" t="str">
        <f>J1034</f>
        <v>J2a1a2b2a1~</v>
      </c>
      <c r="M6883" s="102"/>
      <c r="N6883" s="1"/>
      <c r="O6883" s="114">
        <v>2.374663E7</v>
      </c>
      <c r="P6883" s="105">
        <v>2.1584744E7</v>
      </c>
      <c r="Q6883" s="102" t="s">
        <v>2468</v>
      </c>
      <c r="S6883" s="1"/>
      <c r="T6883" s="1"/>
      <c r="U6883" s="1"/>
      <c r="V6883" s="1"/>
      <c r="W6883" s="1"/>
      <c r="X6883" s="1"/>
      <c r="Y6883" s="1"/>
      <c r="AA6883" s="102"/>
      <c r="AB6883" s="1"/>
      <c r="AC6883" s="1"/>
      <c r="AD6883" s="1"/>
      <c r="AE6883" s="1"/>
      <c r="AF6883" s="1"/>
      <c r="AG6883" s="1"/>
    </row>
    <row r="6884" ht="15.75" customHeight="1">
      <c r="A6884" s="1"/>
      <c r="B6884" s="1"/>
      <c r="C6884" s="1"/>
      <c r="D6884" s="1"/>
      <c r="E6884" s="1"/>
      <c r="F6884" s="1"/>
      <c r="G6884" s="1"/>
      <c r="H6884" s="1"/>
      <c r="I6884" s="1"/>
      <c r="J6884" s="1"/>
      <c r="K6884" s="102" t="s">
        <v>10626</v>
      </c>
      <c r="L6884" t="str">
        <f>J1034</f>
        <v>J2a1a2b2a1~</v>
      </c>
      <c r="M6884" s="102"/>
      <c r="N6884" s="1"/>
      <c r="O6884" s="114">
        <v>2.3965834E7</v>
      </c>
      <c r="P6884" s="105">
        <v>2.1819687E7</v>
      </c>
      <c r="Q6884" s="102" t="s">
        <v>2439</v>
      </c>
      <c r="S6884" s="1"/>
      <c r="T6884" s="1"/>
      <c r="U6884" s="1"/>
      <c r="V6884" s="1"/>
      <c r="W6884" s="1"/>
      <c r="X6884" s="1"/>
      <c r="Y6884" s="1"/>
      <c r="AA6884" s="102"/>
      <c r="AB6884" s="1"/>
      <c r="AC6884" s="1"/>
      <c r="AD6884" s="1"/>
      <c r="AE6884" s="1"/>
      <c r="AF6884" s="1"/>
      <c r="AG6884" s="1"/>
    </row>
    <row r="6885" ht="15.75" customHeight="1">
      <c r="A6885" s="1"/>
      <c r="B6885" s="1"/>
      <c r="C6885" s="1"/>
      <c r="D6885" s="1"/>
      <c r="E6885" s="1"/>
      <c r="F6885" s="1"/>
      <c r="G6885" s="1"/>
      <c r="H6885" s="1"/>
      <c r="I6885" s="1"/>
      <c r="J6885" s="1"/>
      <c r="K6885" s="102" t="s">
        <v>10627</v>
      </c>
      <c r="L6885" t="str">
        <f>J1034</f>
        <v>J2a1a2b2a1~</v>
      </c>
      <c r="M6885" s="102"/>
      <c r="N6885" s="1"/>
      <c r="O6885" s="114">
        <v>2.8519226E7</v>
      </c>
      <c r="P6885" s="105">
        <v>2.6373079E7</v>
      </c>
      <c r="Q6885" s="102" t="s">
        <v>2533</v>
      </c>
      <c r="S6885" s="1"/>
      <c r="T6885" s="1"/>
      <c r="U6885" s="1"/>
      <c r="V6885" s="1"/>
      <c r="W6885" s="1"/>
      <c r="X6885" s="1"/>
      <c r="Y6885" s="1"/>
      <c r="AA6885" s="102"/>
      <c r="AB6885" s="1"/>
      <c r="AC6885" s="1"/>
      <c r="AD6885" s="1"/>
      <c r="AE6885" s="1"/>
      <c r="AF6885" s="1"/>
      <c r="AG6885" s="1"/>
    </row>
    <row r="6886" ht="15.75" customHeight="1">
      <c r="A6886" s="1"/>
      <c r="B6886" s="1"/>
      <c r="C6886" s="1"/>
      <c r="D6886" s="1"/>
      <c r="E6886" s="1"/>
      <c r="F6886" s="1"/>
      <c r="G6886" s="1"/>
      <c r="H6886" s="1"/>
      <c r="I6886" s="1"/>
      <c r="J6886" s="1"/>
      <c r="K6886" s="102" t="s">
        <v>10628</v>
      </c>
      <c r="L6886" t="str">
        <f>J1034</f>
        <v>J2a1a2b2a1~</v>
      </c>
      <c r="M6886" s="102"/>
      <c r="N6886" s="1" t="s">
        <v>10629</v>
      </c>
      <c r="O6886" s="114">
        <v>7557665.0</v>
      </c>
      <c r="P6886" s="105">
        <v>7689624.0</v>
      </c>
      <c r="Q6886" s="102" t="s">
        <v>2501</v>
      </c>
      <c r="S6886" s="1"/>
      <c r="T6886" s="1"/>
      <c r="U6886" s="1"/>
      <c r="V6886" s="1"/>
      <c r="W6886" s="1"/>
      <c r="X6886" s="1"/>
      <c r="Y6886" s="1"/>
      <c r="AA6886" s="102"/>
      <c r="AB6886" s="1"/>
      <c r="AC6886" s="1"/>
      <c r="AD6886" s="1"/>
      <c r="AE6886" s="1"/>
      <c r="AF6886" s="1"/>
      <c r="AG6886" s="1"/>
    </row>
    <row r="6887" ht="15.75" customHeight="1">
      <c r="A6887" s="1"/>
      <c r="B6887" s="1"/>
      <c r="C6887" s="1"/>
      <c r="D6887" s="1"/>
      <c r="E6887" s="1"/>
      <c r="F6887" s="1"/>
      <c r="G6887" s="1"/>
      <c r="H6887" s="1"/>
      <c r="I6887" s="1"/>
      <c r="J6887" s="1"/>
      <c r="K6887" s="102" t="s">
        <v>10630</v>
      </c>
      <c r="L6887" t="str">
        <f>J1034</f>
        <v>J2a1a2b2a1~</v>
      </c>
      <c r="M6887" s="102"/>
      <c r="N6887" s="1" t="s">
        <v>10631</v>
      </c>
      <c r="O6887" s="114">
        <v>7546737.0</v>
      </c>
      <c r="P6887" s="105">
        <v>7678696.0</v>
      </c>
      <c r="Q6887" s="102" t="s">
        <v>2563</v>
      </c>
      <c r="S6887" s="1"/>
      <c r="T6887" s="1"/>
      <c r="U6887" s="1"/>
      <c r="V6887" s="1"/>
      <c r="W6887" s="1"/>
      <c r="X6887" s="1"/>
      <c r="Y6887" s="1"/>
      <c r="AA6887" s="102"/>
      <c r="AB6887" s="1"/>
      <c r="AC6887" s="1"/>
      <c r="AD6887" s="1"/>
      <c r="AE6887" s="1"/>
      <c r="AF6887" s="1"/>
      <c r="AG6887" s="1"/>
    </row>
    <row r="6888" ht="15.75" customHeight="1">
      <c r="A6888" s="1"/>
      <c r="B6888" s="1"/>
      <c r="C6888" s="1"/>
      <c r="D6888" s="1"/>
      <c r="E6888" s="1"/>
      <c r="F6888" s="1"/>
      <c r="G6888" s="1"/>
      <c r="H6888" s="1"/>
      <c r="I6888" s="1"/>
      <c r="J6888" s="1"/>
      <c r="K6888" s="102" t="s">
        <v>10632</v>
      </c>
      <c r="L6888" t="str">
        <f>J1034</f>
        <v>J2a1a2b2a1~</v>
      </c>
      <c r="M6888" s="102"/>
      <c r="N6888" s="1"/>
      <c r="O6888" s="114">
        <v>7058058.0</v>
      </c>
      <c r="P6888" s="105">
        <v>7190017.0</v>
      </c>
      <c r="Q6888" s="102" t="s">
        <v>2563</v>
      </c>
      <c r="S6888" s="1"/>
      <c r="T6888" s="1"/>
      <c r="U6888" s="1"/>
      <c r="V6888" s="1"/>
      <c r="W6888" s="1"/>
      <c r="X6888" s="1"/>
      <c r="Y6888" s="1"/>
      <c r="AA6888" s="102"/>
      <c r="AB6888" s="1"/>
      <c r="AC6888" s="1"/>
      <c r="AD6888" s="1"/>
      <c r="AE6888" s="1"/>
      <c r="AF6888" s="1"/>
      <c r="AG6888" s="1"/>
    </row>
    <row r="6889" ht="15.75" customHeight="1">
      <c r="A6889" s="1"/>
      <c r="B6889" s="1"/>
      <c r="C6889" s="1"/>
      <c r="D6889" s="1"/>
      <c r="E6889" s="1"/>
      <c r="F6889" s="1"/>
      <c r="G6889" s="1"/>
      <c r="H6889" s="1"/>
      <c r="I6889" s="1"/>
      <c r="J6889" s="1"/>
      <c r="K6889" s="102" t="s">
        <v>10633</v>
      </c>
      <c r="L6889" t="str">
        <f>J1034</f>
        <v>J2a1a2b2a1~</v>
      </c>
      <c r="M6889" s="102"/>
      <c r="N6889" s="1"/>
      <c r="O6889" s="114">
        <v>1.714174E7</v>
      </c>
      <c r="P6889" s="105">
        <v>1.502986E7</v>
      </c>
      <c r="Q6889" s="102" t="s">
        <v>2501</v>
      </c>
      <c r="S6889" s="1"/>
      <c r="T6889" s="1"/>
      <c r="U6889" s="1"/>
      <c r="V6889" s="1"/>
      <c r="W6889" s="1"/>
      <c r="X6889" s="1"/>
      <c r="Y6889" s="1"/>
      <c r="AA6889" s="102"/>
      <c r="AB6889" s="1"/>
      <c r="AC6889" s="1"/>
      <c r="AD6889" s="1"/>
      <c r="AE6889" s="1"/>
      <c r="AF6889" s="1"/>
      <c r="AG6889" s="1"/>
    </row>
    <row r="6890" ht="15.75" customHeight="1">
      <c r="A6890" s="1"/>
      <c r="B6890" s="1"/>
      <c r="C6890" s="1"/>
      <c r="D6890" s="1"/>
      <c r="E6890" s="1"/>
      <c r="F6890" s="1"/>
      <c r="G6890" s="1"/>
      <c r="H6890" s="1"/>
      <c r="I6890" s="1"/>
      <c r="J6890" s="1"/>
      <c r="K6890" s="102" t="s">
        <v>10634</v>
      </c>
      <c r="L6890" t="str">
        <f>J1034</f>
        <v>J2a1a2b2a1~</v>
      </c>
      <c r="M6890" s="102"/>
      <c r="N6890" s="1" t="s">
        <v>10635</v>
      </c>
      <c r="O6890" s="114">
        <v>1.8839863E7</v>
      </c>
      <c r="P6890" s="105">
        <v>1.6727983E7</v>
      </c>
      <c r="Q6890" s="102" t="s">
        <v>2533</v>
      </c>
      <c r="S6890" s="1"/>
      <c r="T6890" s="1"/>
      <c r="U6890" s="1"/>
      <c r="V6890" s="1"/>
      <c r="W6890" s="1"/>
      <c r="X6890" s="1"/>
      <c r="Y6890" s="1"/>
      <c r="AA6890" s="102"/>
      <c r="AB6890" s="1"/>
      <c r="AC6890" s="1"/>
      <c r="AD6890" s="1"/>
      <c r="AE6890" s="1"/>
      <c r="AF6890" s="1"/>
      <c r="AG6890" s="1"/>
    </row>
    <row r="6891" ht="15.75" customHeight="1">
      <c r="A6891" s="1"/>
      <c r="B6891" s="1"/>
      <c r="C6891" s="1"/>
      <c r="D6891" s="1"/>
      <c r="E6891" s="1"/>
      <c r="F6891" s="1"/>
      <c r="G6891" s="1"/>
      <c r="H6891" s="1"/>
      <c r="I6891" s="1"/>
      <c r="J6891" s="1"/>
      <c r="K6891" s="102" t="s">
        <v>10636</v>
      </c>
      <c r="L6891" t="str">
        <f>J1034</f>
        <v>J2a1a2b2a1~</v>
      </c>
      <c r="M6891" s="102"/>
      <c r="N6891" s="1"/>
      <c r="O6891" s="114">
        <v>8373141.0</v>
      </c>
      <c r="P6891" s="105">
        <v>8505100.0</v>
      </c>
      <c r="Q6891" s="102" t="s">
        <v>2439</v>
      </c>
      <c r="S6891" s="1"/>
      <c r="T6891" s="1"/>
      <c r="U6891" s="1"/>
      <c r="V6891" s="1"/>
      <c r="W6891" s="1"/>
      <c r="X6891" s="1"/>
      <c r="Y6891" s="1"/>
      <c r="AA6891" s="102"/>
      <c r="AB6891" s="1"/>
      <c r="AC6891" s="1"/>
      <c r="AD6891" s="1"/>
      <c r="AE6891" s="1"/>
      <c r="AF6891" s="1"/>
      <c r="AG6891" s="1"/>
    </row>
    <row r="6892" ht="15.75" customHeight="1">
      <c r="A6892" s="1"/>
      <c r="B6892" s="1"/>
      <c r="C6892" s="1"/>
      <c r="D6892" s="1"/>
      <c r="E6892" s="1"/>
      <c r="F6892" s="1"/>
      <c r="G6892" s="1"/>
      <c r="H6892" s="1"/>
      <c r="I6892" s="1"/>
      <c r="J6892" s="1"/>
      <c r="K6892" s="102" t="s">
        <v>10637</v>
      </c>
      <c r="L6892" t="str">
        <f>J1034</f>
        <v>J2a1a2b2a1~</v>
      </c>
      <c r="M6892" s="102"/>
      <c r="N6892" s="1" t="s">
        <v>10638</v>
      </c>
      <c r="O6892" s="114">
        <v>1.4409481E7</v>
      </c>
      <c r="P6892" s="105">
        <v>1.2288778E7</v>
      </c>
      <c r="Q6892" s="102" t="s">
        <v>2529</v>
      </c>
      <c r="S6892" s="1"/>
      <c r="T6892" s="1"/>
      <c r="U6892" s="1"/>
      <c r="V6892" s="1"/>
      <c r="W6892" s="1"/>
      <c r="X6892" s="1"/>
      <c r="Y6892" s="1"/>
      <c r="AA6892" s="102"/>
      <c r="AB6892" s="1"/>
      <c r="AC6892" s="1"/>
      <c r="AD6892" s="1"/>
      <c r="AE6892" s="1"/>
      <c r="AF6892" s="1"/>
      <c r="AG6892" s="1"/>
    </row>
    <row r="6893" ht="15.75" customHeight="1">
      <c r="A6893" s="1"/>
      <c r="B6893" s="1"/>
      <c r="C6893" s="1"/>
      <c r="D6893" s="1"/>
      <c r="E6893" s="1"/>
      <c r="F6893" s="1"/>
      <c r="G6893" s="1"/>
      <c r="H6893" s="1"/>
      <c r="I6893" s="1"/>
      <c r="J6893" s="1"/>
      <c r="K6893" s="102" t="s">
        <v>10639</v>
      </c>
      <c r="L6893" t="str">
        <f>J1034</f>
        <v>J2a1a2b2a1~</v>
      </c>
      <c r="M6893" s="102"/>
      <c r="N6893" s="1" t="s">
        <v>10640</v>
      </c>
      <c r="O6893" s="114">
        <v>1.7388018E7</v>
      </c>
      <c r="P6893" s="105">
        <v>1.5276138E7</v>
      </c>
      <c r="Q6893" s="102" t="s">
        <v>2439</v>
      </c>
      <c r="S6893" s="1"/>
      <c r="T6893" s="1"/>
      <c r="U6893" s="1"/>
      <c r="V6893" s="1"/>
      <c r="W6893" s="1"/>
      <c r="X6893" s="1"/>
      <c r="Y6893" s="1"/>
      <c r="AA6893" s="102"/>
      <c r="AB6893" s="1"/>
      <c r="AC6893" s="1"/>
      <c r="AD6893" s="1"/>
      <c r="AE6893" s="1"/>
      <c r="AF6893" s="1"/>
      <c r="AG6893" s="1"/>
    </row>
    <row r="6894" ht="15.75" customHeight="1">
      <c r="A6894" s="1"/>
      <c r="B6894" s="1"/>
      <c r="C6894" s="1"/>
      <c r="D6894" s="1"/>
      <c r="E6894" s="1"/>
      <c r="F6894" s="1"/>
      <c r="G6894" s="1"/>
      <c r="H6894" s="1"/>
      <c r="I6894" s="1"/>
      <c r="J6894" s="1"/>
      <c r="K6894" s="102" t="s">
        <v>10641</v>
      </c>
      <c r="L6894" t="str">
        <f>J1034</f>
        <v>J2a1a2b2a1~</v>
      </c>
      <c r="M6894" s="102"/>
      <c r="N6894" s="1" t="s">
        <v>10642</v>
      </c>
      <c r="O6894" s="114">
        <v>1.7447309E7</v>
      </c>
      <c r="P6894" s="105">
        <v>1.5335429E7</v>
      </c>
      <c r="Q6894" s="102" t="s">
        <v>2501</v>
      </c>
      <c r="S6894" s="1"/>
      <c r="T6894" s="1"/>
      <c r="U6894" s="1"/>
      <c r="V6894" s="1"/>
      <c r="W6894" s="1"/>
      <c r="X6894" s="1"/>
      <c r="Y6894" s="1"/>
      <c r="AA6894" s="102"/>
      <c r="AB6894" s="1"/>
      <c r="AC6894" s="1"/>
      <c r="AD6894" s="1"/>
      <c r="AE6894" s="1"/>
      <c r="AF6894" s="1"/>
      <c r="AG6894" s="1"/>
    </row>
    <row r="6895" ht="15.75" customHeight="1">
      <c r="A6895" s="1"/>
      <c r="B6895" s="1"/>
      <c r="C6895" s="1"/>
      <c r="D6895" s="1"/>
      <c r="E6895" s="1"/>
      <c r="F6895" s="1"/>
      <c r="G6895" s="1"/>
      <c r="H6895" s="1"/>
      <c r="I6895" s="1"/>
      <c r="J6895" s="1"/>
      <c r="K6895" s="102" t="s">
        <v>10643</v>
      </c>
      <c r="L6895" t="str">
        <f>J1034</f>
        <v>J2a1a2b2a1~</v>
      </c>
      <c r="M6895" s="102"/>
      <c r="N6895" s="1" t="s">
        <v>10644</v>
      </c>
      <c r="O6895" s="114">
        <v>8483745.0</v>
      </c>
      <c r="P6895" s="105">
        <v>8615704.0</v>
      </c>
      <c r="Q6895" s="102" t="s">
        <v>2439</v>
      </c>
      <c r="S6895" s="1"/>
      <c r="T6895" s="1"/>
      <c r="U6895" s="1"/>
      <c r="V6895" s="1"/>
      <c r="W6895" s="1"/>
      <c r="X6895" s="1"/>
      <c r="Y6895" s="1"/>
      <c r="AA6895" s="102"/>
      <c r="AB6895" s="1"/>
      <c r="AC6895" s="1"/>
      <c r="AD6895" s="1"/>
      <c r="AE6895" s="1"/>
      <c r="AF6895" s="1"/>
      <c r="AG6895" s="1"/>
    </row>
    <row r="6896" ht="15.75" customHeight="1">
      <c r="A6896" s="1"/>
      <c r="B6896" s="1"/>
      <c r="C6896" s="1"/>
      <c r="D6896" s="1"/>
      <c r="E6896" s="1"/>
      <c r="F6896" s="1"/>
      <c r="G6896" s="1"/>
      <c r="H6896" s="1"/>
      <c r="I6896" s="1"/>
      <c r="J6896" s="1"/>
      <c r="K6896" s="102" t="s">
        <v>10645</v>
      </c>
      <c r="L6896" t="str">
        <f>J1034</f>
        <v>J2a1a2b2a1~</v>
      </c>
      <c r="M6896" s="102"/>
      <c r="N6896" s="1" t="s">
        <v>10646</v>
      </c>
      <c r="O6896" s="114">
        <v>1.897978E7</v>
      </c>
      <c r="P6896" s="105">
        <v>1.68679E7</v>
      </c>
      <c r="Q6896" s="102" t="s">
        <v>2576</v>
      </c>
      <c r="S6896" s="1"/>
      <c r="T6896" s="1"/>
      <c r="U6896" s="1"/>
      <c r="V6896" s="1"/>
      <c r="W6896" s="1"/>
      <c r="X6896" s="1"/>
      <c r="Y6896" s="1"/>
      <c r="AA6896" s="102"/>
      <c r="AB6896" s="1"/>
      <c r="AC6896" s="1"/>
      <c r="AD6896" s="1"/>
      <c r="AE6896" s="1"/>
      <c r="AF6896" s="1"/>
      <c r="AG6896" s="1"/>
    </row>
    <row r="6897" ht="15.75" customHeight="1">
      <c r="A6897" s="1"/>
      <c r="B6897" s="1"/>
      <c r="C6897" s="1"/>
      <c r="D6897" s="1"/>
      <c r="E6897" s="1"/>
      <c r="F6897" s="1"/>
      <c r="G6897" s="1"/>
      <c r="H6897" s="1"/>
      <c r="I6897" s="1"/>
      <c r="J6897" s="1"/>
      <c r="K6897" s="102" t="s">
        <v>10647</v>
      </c>
      <c r="L6897" t="str">
        <f>J1034</f>
        <v>J2a1a2b2a1~</v>
      </c>
      <c r="M6897" s="102"/>
      <c r="N6897" s="1" t="s">
        <v>10648</v>
      </c>
      <c r="O6897" s="114">
        <v>1.9090335E7</v>
      </c>
      <c r="P6897" s="105">
        <v>1.6978455E7</v>
      </c>
      <c r="Q6897" s="102" t="s">
        <v>2501</v>
      </c>
      <c r="S6897" s="1"/>
      <c r="T6897" s="1"/>
      <c r="U6897" s="1"/>
      <c r="V6897" s="1"/>
      <c r="W6897" s="1"/>
      <c r="X6897" s="1"/>
      <c r="Y6897" s="1"/>
      <c r="AA6897" s="102"/>
      <c r="AB6897" s="1"/>
      <c r="AC6897" s="1"/>
      <c r="AD6897" s="1"/>
      <c r="AE6897" s="1"/>
      <c r="AF6897" s="1"/>
      <c r="AG6897" s="1"/>
    </row>
    <row r="6898" ht="15.75" customHeight="1">
      <c r="A6898" s="1"/>
      <c r="B6898" s="1"/>
      <c r="C6898" s="1"/>
      <c r="D6898" s="1"/>
      <c r="E6898" s="1"/>
      <c r="F6898" s="1"/>
      <c r="G6898" s="1"/>
      <c r="H6898" s="1"/>
      <c r="I6898" s="1"/>
      <c r="J6898" s="1"/>
      <c r="K6898" s="102" t="s">
        <v>10649</v>
      </c>
      <c r="L6898" t="str">
        <f>J1034</f>
        <v>J2a1a2b2a1~</v>
      </c>
      <c r="M6898" s="102"/>
      <c r="N6898" s="1"/>
      <c r="O6898" s="114">
        <v>9153874.0</v>
      </c>
      <c r="P6898" s="105">
        <v>9316265.0</v>
      </c>
      <c r="Q6898" s="102" t="s">
        <v>2501</v>
      </c>
      <c r="S6898" s="1"/>
      <c r="T6898" s="1"/>
      <c r="U6898" s="1"/>
      <c r="V6898" s="1"/>
      <c r="W6898" s="1"/>
      <c r="X6898" s="1"/>
      <c r="Y6898" s="1"/>
      <c r="AA6898" s="102"/>
      <c r="AB6898" s="1"/>
      <c r="AC6898" s="1"/>
      <c r="AD6898" s="1"/>
      <c r="AE6898" s="1"/>
      <c r="AF6898" s="1"/>
      <c r="AG6898" s="1"/>
    </row>
    <row r="6899" ht="15.75" customHeight="1">
      <c r="A6899" s="1"/>
      <c r="B6899" s="1"/>
      <c r="C6899" s="1"/>
      <c r="D6899" s="1"/>
      <c r="E6899" s="1"/>
      <c r="F6899" s="1"/>
      <c r="G6899" s="1"/>
      <c r="H6899" s="1"/>
      <c r="I6899" s="1"/>
      <c r="J6899" s="1"/>
      <c r="K6899" s="102" t="s">
        <v>10650</v>
      </c>
      <c r="L6899" t="str">
        <f>J1034</f>
        <v>J2a1a2b2a1~</v>
      </c>
      <c r="M6899" s="102"/>
      <c r="N6899" s="1"/>
      <c r="O6899" s="114">
        <v>1.4138425E7</v>
      </c>
      <c r="P6899" s="105">
        <v>1.2017719E7</v>
      </c>
      <c r="Q6899" s="102" t="s">
        <v>2501</v>
      </c>
      <c r="S6899" s="1"/>
      <c r="T6899" s="1"/>
      <c r="U6899" s="1"/>
      <c r="V6899" s="1"/>
      <c r="W6899" s="1"/>
      <c r="X6899" s="1"/>
      <c r="Y6899" s="1"/>
      <c r="AA6899" s="102"/>
      <c r="AB6899" s="1"/>
      <c r="AC6899" s="1"/>
      <c r="AD6899" s="1"/>
      <c r="AE6899" s="1"/>
      <c r="AF6899" s="1"/>
      <c r="AG6899" s="1"/>
    </row>
    <row r="6900" ht="15.75" customHeight="1">
      <c r="A6900" s="1"/>
      <c r="B6900" s="1"/>
      <c r="C6900" s="1"/>
      <c r="D6900" s="1"/>
      <c r="E6900" s="1"/>
      <c r="F6900" s="1"/>
      <c r="G6900" s="1"/>
      <c r="H6900" s="1"/>
      <c r="I6900" s="1"/>
      <c r="J6900" s="1"/>
      <c r="K6900" s="102" t="s">
        <v>10651</v>
      </c>
      <c r="L6900" t="str">
        <f>J1034</f>
        <v>J2a1a2b2a1~</v>
      </c>
      <c r="M6900" s="102"/>
      <c r="N6900" s="1" t="s">
        <v>10652</v>
      </c>
      <c r="O6900" s="114">
        <v>1.4935505E7</v>
      </c>
      <c r="P6900" s="105">
        <v>1.282357E7</v>
      </c>
      <c r="Q6900" s="102" t="s">
        <v>2501</v>
      </c>
      <c r="S6900" s="1"/>
      <c r="T6900" s="1"/>
      <c r="U6900" s="1"/>
      <c r="V6900" s="1"/>
      <c r="W6900" s="1"/>
      <c r="X6900" s="1"/>
      <c r="Y6900" s="1"/>
      <c r="AA6900" s="102"/>
      <c r="AB6900" s="1"/>
      <c r="AC6900" s="1"/>
      <c r="AD6900" s="1"/>
      <c r="AE6900" s="1"/>
      <c r="AF6900" s="1"/>
      <c r="AG6900" s="1"/>
    </row>
    <row r="6901" ht="15.75" customHeight="1">
      <c r="A6901" s="1"/>
      <c r="B6901" s="1"/>
      <c r="C6901" s="1"/>
      <c r="D6901" s="1"/>
      <c r="E6901" s="1"/>
      <c r="F6901" s="1"/>
      <c r="G6901" s="1"/>
      <c r="H6901" s="1"/>
      <c r="I6901" s="1"/>
      <c r="J6901" s="1"/>
      <c r="K6901" s="102" t="s">
        <v>10653</v>
      </c>
      <c r="L6901" t="str">
        <f>J1034</f>
        <v>J2a1a2b2a1~</v>
      </c>
      <c r="M6901" s="102"/>
      <c r="N6901" s="1"/>
      <c r="O6901" s="114">
        <v>1.6506302E7</v>
      </c>
      <c r="P6901" s="105">
        <v>1.4394422E7</v>
      </c>
      <c r="Q6901" s="102" t="s">
        <v>2563</v>
      </c>
      <c r="S6901" s="1"/>
      <c r="T6901" s="1"/>
      <c r="U6901" s="1"/>
      <c r="V6901" s="1"/>
      <c r="W6901" s="1"/>
      <c r="X6901" s="1"/>
      <c r="Y6901" s="1"/>
      <c r="AA6901" s="102"/>
      <c r="AB6901" s="1"/>
      <c r="AC6901" s="1"/>
      <c r="AD6901" s="1"/>
      <c r="AE6901" s="1"/>
      <c r="AF6901" s="1"/>
      <c r="AG6901" s="1"/>
    </row>
    <row r="6902" ht="15.75" customHeight="1">
      <c r="A6902" s="1"/>
      <c r="B6902" s="1"/>
      <c r="C6902" s="1"/>
      <c r="D6902" s="1"/>
      <c r="E6902" s="1"/>
      <c r="F6902" s="1"/>
      <c r="G6902" s="1"/>
      <c r="H6902" s="1"/>
      <c r="I6902" s="1"/>
      <c r="J6902" s="1"/>
      <c r="K6902" s="102" t="s">
        <v>10654</v>
      </c>
      <c r="L6902" t="str">
        <f>J1034</f>
        <v>J2a1a2b2a1~</v>
      </c>
      <c r="M6902" s="102"/>
      <c r="N6902" s="1" t="s">
        <v>10655</v>
      </c>
      <c r="O6902" s="114">
        <v>1.7558205E7</v>
      </c>
      <c r="P6902" s="105">
        <v>1.5446325E7</v>
      </c>
      <c r="Q6902" s="102" t="s">
        <v>2439</v>
      </c>
      <c r="S6902" s="1"/>
      <c r="T6902" s="1"/>
      <c r="U6902" s="1"/>
      <c r="V6902" s="1"/>
      <c r="W6902" s="1"/>
      <c r="X6902" s="1"/>
      <c r="Y6902" s="1"/>
      <c r="AA6902" s="102"/>
      <c r="AB6902" s="1"/>
      <c r="AC6902" s="1"/>
      <c r="AD6902" s="1"/>
      <c r="AE6902" s="1"/>
      <c r="AF6902" s="1"/>
      <c r="AG6902" s="1"/>
    </row>
    <row r="6903" ht="15.75" customHeight="1">
      <c r="A6903" s="1"/>
      <c r="B6903" s="1"/>
      <c r="C6903" s="1"/>
      <c r="D6903" s="1"/>
      <c r="E6903" s="1"/>
      <c r="F6903" s="1"/>
      <c r="G6903" s="1"/>
      <c r="H6903" s="1"/>
      <c r="I6903" s="1"/>
      <c r="J6903" s="1"/>
      <c r="K6903" s="102" t="s">
        <v>10656</v>
      </c>
      <c r="L6903" t="str">
        <f>J1034</f>
        <v>J2a1a2b2a1~</v>
      </c>
      <c r="M6903" s="102"/>
      <c r="N6903" s="1" t="s">
        <v>10657</v>
      </c>
      <c r="O6903" s="114">
        <v>1.9107622E7</v>
      </c>
      <c r="P6903" s="105">
        <v>1.6995742E7</v>
      </c>
      <c r="Q6903" s="102" t="s">
        <v>2439</v>
      </c>
      <c r="S6903" s="1"/>
      <c r="T6903" s="1"/>
      <c r="U6903" s="1"/>
      <c r="V6903" s="1"/>
      <c r="W6903" s="1"/>
      <c r="X6903" s="1"/>
      <c r="Y6903" s="1"/>
      <c r="AA6903" s="102"/>
      <c r="AB6903" s="1"/>
      <c r="AC6903" s="1"/>
      <c r="AD6903" s="1"/>
      <c r="AE6903" s="1"/>
      <c r="AF6903" s="1"/>
      <c r="AG6903" s="1"/>
    </row>
    <row r="6904" ht="15.75" customHeight="1">
      <c r="A6904" s="1"/>
      <c r="B6904" s="1"/>
      <c r="C6904" s="1"/>
      <c r="D6904" s="1"/>
      <c r="E6904" s="1"/>
      <c r="F6904" s="1"/>
      <c r="G6904" s="1"/>
      <c r="H6904" s="1"/>
      <c r="I6904" s="1"/>
      <c r="J6904" s="1"/>
      <c r="K6904" s="102" t="s">
        <v>10658</v>
      </c>
      <c r="L6904" t="str">
        <f>J1034</f>
        <v>J2a1a2b2a1~</v>
      </c>
      <c r="M6904" s="102"/>
      <c r="N6904" s="1" t="s">
        <v>10659</v>
      </c>
      <c r="O6904" s="114">
        <v>1.9142815E7</v>
      </c>
      <c r="P6904" s="105">
        <v>1.7030935E7</v>
      </c>
      <c r="Q6904" s="102" t="s">
        <v>2501</v>
      </c>
      <c r="S6904" s="1"/>
      <c r="T6904" s="1"/>
      <c r="U6904" s="1"/>
      <c r="V6904" s="1"/>
      <c r="W6904" s="1"/>
      <c r="X6904" s="1"/>
      <c r="Y6904" s="1"/>
      <c r="AA6904" s="102"/>
      <c r="AB6904" s="1"/>
      <c r="AC6904" s="1"/>
      <c r="AD6904" s="1"/>
      <c r="AE6904" s="1"/>
      <c r="AF6904" s="1"/>
      <c r="AG6904" s="1"/>
    </row>
    <row r="6905" ht="15.75" customHeight="1">
      <c r="A6905" s="1"/>
      <c r="B6905" s="1"/>
      <c r="C6905" s="1"/>
      <c r="D6905" s="1"/>
      <c r="E6905" s="1"/>
      <c r="F6905" s="1"/>
      <c r="G6905" s="1"/>
      <c r="H6905" s="1"/>
      <c r="I6905" s="1"/>
      <c r="J6905" s="1"/>
      <c r="K6905" s="102" t="s">
        <v>10660</v>
      </c>
      <c r="L6905" t="str">
        <f>J1034</f>
        <v>J2a1a2b2a1~</v>
      </c>
      <c r="M6905" s="102"/>
      <c r="N6905" s="1" t="s">
        <v>10661</v>
      </c>
      <c r="O6905" s="114">
        <v>2.1607266E7</v>
      </c>
      <c r="P6905" s="105">
        <v>1.944538E7</v>
      </c>
      <c r="Q6905" s="102" t="s">
        <v>2533</v>
      </c>
      <c r="S6905" s="1"/>
      <c r="T6905" s="1"/>
      <c r="U6905" s="1"/>
      <c r="V6905" s="1"/>
      <c r="W6905" s="1"/>
      <c r="X6905" s="1"/>
      <c r="Y6905" s="1"/>
      <c r="AA6905" s="102"/>
      <c r="AB6905" s="1"/>
      <c r="AC6905" s="1"/>
      <c r="AD6905" s="1"/>
      <c r="AE6905" s="1"/>
      <c r="AF6905" s="1"/>
      <c r="AG6905" s="1"/>
    </row>
    <row r="6906" ht="15.75" customHeight="1">
      <c r="A6906" s="1"/>
      <c r="B6906" s="1"/>
      <c r="C6906" s="1"/>
      <c r="D6906" s="1"/>
      <c r="E6906" s="1"/>
      <c r="F6906" s="1"/>
      <c r="G6906" s="1"/>
      <c r="H6906" s="1"/>
      <c r="I6906" s="1"/>
      <c r="J6906" s="1"/>
      <c r="K6906" s="102" t="s">
        <v>10662</v>
      </c>
      <c r="L6906" t="str">
        <f>J1034</f>
        <v>J2a1a2b2a1~</v>
      </c>
      <c r="M6906" s="102"/>
      <c r="N6906" s="1" t="s">
        <v>10663</v>
      </c>
      <c r="O6906" s="114">
        <v>2.1484898E7</v>
      </c>
      <c r="P6906" s="105">
        <v>1.9323012E7</v>
      </c>
      <c r="Q6906" s="102" t="s">
        <v>2514</v>
      </c>
      <c r="S6906" s="1"/>
      <c r="T6906" s="1"/>
      <c r="U6906" s="1"/>
      <c r="V6906" s="1"/>
      <c r="W6906" s="1"/>
      <c r="X6906" s="1"/>
      <c r="Y6906" s="1"/>
      <c r="AA6906" s="102"/>
      <c r="AB6906" s="1"/>
      <c r="AC6906" s="1"/>
      <c r="AD6906" s="1"/>
      <c r="AE6906" s="1"/>
      <c r="AF6906" s="1"/>
      <c r="AG6906" s="1"/>
    </row>
    <row r="6907" ht="15.75" customHeight="1">
      <c r="A6907" s="1"/>
      <c r="B6907" s="1"/>
      <c r="C6907" s="1"/>
      <c r="D6907" s="1"/>
      <c r="E6907" s="1"/>
      <c r="F6907" s="1"/>
      <c r="G6907" s="1"/>
      <c r="H6907" s="1"/>
      <c r="I6907" s="1"/>
      <c r="J6907" s="1"/>
      <c r="K6907" s="102" t="s">
        <v>10664</v>
      </c>
      <c r="L6907" t="str">
        <f>J1034</f>
        <v>J2a1a2b2a1~</v>
      </c>
      <c r="M6907" s="102"/>
      <c r="N6907" s="1" t="s">
        <v>10665</v>
      </c>
      <c r="O6907" s="114">
        <v>1.7039443E7</v>
      </c>
      <c r="P6907" s="105">
        <v>1.4927563E7</v>
      </c>
      <c r="Q6907" s="102" t="s">
        <v>2501</v>
      </c>
      <c r="S6907" s="1"/>
      <c r="T6907" s="1"/>
      <c r="U6907" s="1"/>
      <c r="V6907" s="1"/>
      <c r="W6907" s="1"/>
      <c r="X6907" s="1"/>
      <c r="Y6907" s="1"/>
      <c r="AA6907" s="102"/>
      <c r="AB6907" s="1"/>
      <c r="AC6907" s="1"/>
      <c r="AD6907" s="1"/>
      <c r="AE6907" s="1"/>
      <c r="AF6907" s="1"/>
      <c r="AG6907" s="1"/>
    </row>
    <row r="6908" ht="15.75" customHeight="1">
      <c r="A6908" s="1"/>
      <c r="B6908" s="1"/>
      <c r="C6908" s="1"/>
      <c r="D6908" s="1"/>
      <c r="E6908" s="1"/>
      <c r="F6908" s="1"/>
      <c r="G6908" s="1"/>
      <c r="H6908" s="1"/>
      <c r="I6908" s="1"/>
      <c r="J6908" s="1"/>
      <c r="K6908" s="102" t="s">
        <v>10666</v>
      </c>
      <c r="L6908" t="str">
        <f>J1034</f>
        <v>J2a1a2b2a1~</v>
      </c>
      <c r="M6908" s="102"/>
      <c r="N6908" s="1" t="s">
        <v>10667</v>
      </c>
      <c r="O6908" s="114">
        <v>2748351.0</v>
      </c>
      <c r="P6908" s="105">
        <v>2880310.0</v>
      </c>
      <c r="Q6908" s="102" t="s">
        <v>2533</v>
      </c>
      <c r="S6908" s="1"/>
      <c r="T6908" s="1"/>
      <c r="U6908" s="1"/>
      <c r="V6908" s="1"/>
      <c r="W6908" s="1"/>
      <c r="X6908" s="1"/>
      <c r="Y6908" s="1"/>
      <c r="AA6908" s="102"/>
      <c r="AB6908" s="1"/>
      <c r="AC6908" s="1"/>
      <c r="AD6908" s="1"/>
      <c r="AE6908" s="1"/>
      <c r="AF6908" s="1"/>
      <c r="AG6908" s="1"/>
    </row>
    <row r="6909" ht="15.75" customHeight="1">
      <c r="A6909" s="1"/>
      <c r="B6909" s="1"/>
      <c r="C6909" s="1"/>
      <c r="D6909" s="1"/>
      <c r="E6909" s="1"/>
      <c r="F6909" s="1"/>
      <c r="G6909" s="1"/>
      <c r="H6909" s="1"/>
      <c r="I6909" s="1"/>
      <c r="J6909" s="1"/>
      <c r="K6909" s="102" t="s">
        <v>10668</v>
      </c>
      <c r="L6909" t="str">
        <f>J1034</f>
        <v>J2a1a2b2a1~</v>
      </c>
      <c r="M6909" s="102"/>
      <c r="N6909" s="1"/>
      <c r="O6909" s="114">
        <v>2.3530482E7</v>
      </c>
      <c r="P6909" s="105">
        <v>2.1368596E7</v>
      </c>
      <c r="Q6909" s="102" t="s">
        <v>2439</v>
      </c>
      <c r="S6909" s="1"/>
      <c r="T6909" s="1"/>
      <c r="U6909" s="1"/>
      <c r="V6909" s="1"/>
      <c r="W6909" s="1"/>
      <c r="X6909" s="1"/>
      <c r="Y6909" s="1"/>
      <c r="AA6909" s="102"/>
      <c r="AB6909" s="1"/>
      <c r="AC6909" s="1"/>
      <c r="AD6909" s="1"/>
      <c r="AE6909" s="1"/>
      <c r="AF6909" s="1"/>
      <c r="AG6909" s="1"/>
    </row>
    <row r="6910" ht="15.75" customHeight="1">
      <c r="A6910" s="1"/>
      <c r="B6910" s="1"/>
      <c r="C6910" s="1"/>
      <c r="D6910" s="1"/>
      <c r="E6910" s="1"/>
      <c r="F6910" s="1"/>
      <c r="G6910" s="1"/>
      <c r="H6910" s="1"/>
      <c r="I6910" s="1"/>
      <c r="J6910" s="1"/>
      <c r="K6910" s="102" t="s">
        <v>10669</v>
      </c>
      <c r="L6910" t="str">
        <f>J1034</f>
        <v>J2a1a2b2a1~</v>
      </c>
      <c r="M6910" s="102"/>
      <c r="N6910" s="1" t="s">
        <v>10670</v>
      </c>
      <c r="O6910" s="114">
        <v>1.8767919E7</v>
      </c>
      <c r="P6910" s="105">
        <v>1.6656039E7</v>
      </c>
      <c r="Q6910" s="102" t="s">
        <v>2501</v>
      </c>
      <c r="S6910" s="1"/>
      <c r="T6910" s="1"/>
      <c r="U6910" s="1"/>
      <c r="V6910" s="1"/>
      <c r="W6910" s="1"/>
      <c r="X6910" s="1"/>
      <c r="Y6910" s="1"/>
      <c r="AA6910" s="102"/>
      <c r="AB6910" s="1"/>
      <c r="AC6910" s="1"/>
      <c r="AD6910" s="1"/>
      <c r="AE6910" s="1"/>
      <c r="AF6910" s="1"/>
      <c r="AG6910" s="1"/>
    </row>
    <row r="6911" ht="15.75" customHeight="1">
      <c r="A6911" s="1"/>
      <c r="B6911" s="1"/>
      <c r="C6911" s="1"/>
      <c r="D6911" s="1"/>
      <c r="E6911" s="1"/>
      <c r="F6911" s="1"/>
      <c r="G6911" s="1"/>
      <c r="H6911" s="1"/>
      <c r="I6911" s="1"/>
      <c r="J6911" s="1"/>
      <c r="K6911" s="102" t="s">
        <v>10671</v>
      </c>
      <c r="L6911" t="str">
        <f>J1034</f>
        <v>J2a1a2b2a1~</v>
      </c>
      <c r="M6911" s="102"/>
      <c r="N6911" s="1"/>
      <c r="O6911" s="114">
        <v>7375761.0</v>
      </c>
      <c r="P6911" s="105">
        <v>7507720.0</v>
      </c>
      <c r="Q6911" s="102" t="s">
        <v>2439</v>
      </c>
      <c r="S6911" s="1"/>
      <c r="T6911" s="1"/>
      <c r="U6911" s="1"/>
      <c r="V6911" s="1"/>
      <c r="W6911" s="1"/>
      <c r="X6911" s="1"/>
      <c r="Y6911" s="1"/>
      <c r="AA6911" s="102"/>
      <c r="AB6911" s="1"/>
      <c r="AC6911" s="1"/>
      <c r="AD6911" s="1"/>
      <c r="AE6911" s="1"/>
      <c r="AF6911" s="1"/>
      <c r="AG6911" s="1"/>
    </row>
    <row r="6912" ht="15.75" customHeight="1">
      <c r="A6912" s="1"/>
      <c r="B6912" s="1"/>
      <c r="C6912" s="1"/>
      <c r="D6912" s="1"/>
      <c r="E6912" s="1"/>
      <c r="F6912" s="1"/>
      <c r="G6912" s="1"/>
      <c r="H6912" s="1"/>
      <c r="I6912" s="1"/>
      <c r="J6912" s="1"/>
      <c r="K6912" s="102" t="s">
        <v>10672</v>
      </c>
      <c r="L6912" t="str">
        <f>J1034</f>
        <v>J2a1a2b2a1~</v>
      </c>
      <c r="M6912" s="102"/>
      <c r="N6912" s="1" t="s">
        <v>10673</v>
      </c>
      <c r="O6912" s="114">
        <v>1.4297441E7</v>
      </c>
      <c r="P6912" s="105">
        <v>1.2176735E7</v>
      </c>
      <c r="Q6912" s="102" t="s">
        <v>2446</v>
      </c>
      <c r="S6912" s="1"/>
      <c r="T6912" s="1"/>
      <c r="U6912" s="1"/>
      <c r="V6912" s="1"/>
      <c r="W6912" s="1"/>
      <c r="X6912" s="1"/>
      <c r="Y6912" s="1"/>
      <c r="AA6912" s="102"/>
      <c r="AB6912" s="1"/>
      <c r="AC6912" s="1"/>
      <c r="AD6912" s="1"/>
      <c r="AE6912" s="1"/>
      <c r="AF6912" s="1"/>
      <c r="AG6912" s="1"/>
    </row>
    <row r="6913" ht="15.75" customHeight="1">
      <c r="A6913" s="1"/>
      <c r="B6913" s="1"/>
      <c r="C6913" s="1"/>
      <c r="D6913" s="1"/>
      <c r="E6913" s="1"/>
      <c r="F6913" s="1"/>
      <c r="G6913" s="1"/>
      <c r="H6913" s="1"/>
      <c r="I6913" s="1"/>
      <c r="J6913" s="1"/>
      <c r="K6913" s="102" t="s">
        <v>10674</v>
      </c>
      <c r="L6913" t="str">
        <f>J1034</f>
        <v>J2a1a2b2a1~</v>
      </c>
      <c r="M6913" s="102"/>
      <c r="N6913" s="1" t="s">
        <v>10675</v>
      </c>
      <c r="O6913" s="114">
        <v>7904620.0</v>
      </c>
      <c r="P6913" s="105">
        <v>8036579.0</v>
      </c>
      <c r="Q6913" s="102" t="s">
        <v>2514</v>
      </c>
      <c r="S6913" s="1"/>
      <c r="T6913" s="1"/>
      <c r="U6913" s="1"/>
      <c r="V6913" s="1"/>
      <c r="W6913" s="1"/>
      <c r="X6913" s="1"/>
      <c r="Y6913" s="1"/>
      <c r="AA6913" s="102"/>
      <c r="AB6913" s="1"/>
      <c r="AC6913" s="1"/>
      <c r="AD6913" s="1"/>
      <c r="AE6913" s="1"/>
      <c r="AF6913" s="1"/>
      <c r="AG6913" s="1"/>
    </row>
    <row r="6914" ht="15.75" customHeight="1">
      <c r="A6914" s="1"/>
      <c r="B6914" s="1"/>
      <c r="C6914" s="1"/>
      <c r="D6914" s="1"/>
      <c r="E6914" s="1"/>
      <c r="F6914" s="1"/>
      <c r="G6914" s="1"/>
      <c r="H6914" s="1"/>
      <c r="I6914" s="1"/>
      <c r="J6914" s="1"/>
      <c r="K6914" s="102" t="s">
        <v>10676</v>
      </c>
      <c r="L6914" t="str">
        <f>J1034</f>
        <v>J2a1a2b2a1~</v>
      </c>
      <c r="M6914" s="102"/>
      <c r="N6914" s="1" t="s">
        <v>10677</v>
      </c>
      <c r="O6914" s="114">
        <v>8557727.0</v>
      </c>
      <c r="P6914" s="105">
        <v>8689686.0</v>
      </c>
      <c r="Q6914" s="102" t="s">
        <v>2529</v>
      </c>
      <c r="S6914" s="1"/>
      <c r="T6914" s="1"/>
      <c r="U6914" s="1"/>
      <c r="V6914" s="1"/>
      <c r="W6914" s="1"/>
      <c r="X6914" s="1"/>
      <c r="Y6914" s="1"/>
      <c r="AA6914" s="102"/>
      <c r="AB6914" s="1"/>
      <c r="AC6914" s="1"/>
      <c r="AD6914" s="1"/>
      <c r="AE6914" s="1"/>
      <c r="AF6914" s="1"/>
      <c r="AG6914" s="1"/>
    </row>
    <row r="6915" ht="15.75" customHeight="1">
      <c r="A6915" s="1"/>
      <c r="B6915" s="1"/>
      <c r="C6915" s="1"/>
      <c r="D6915" s="1"/>
      <c r="E6915" s="1"/>
      <c r="F6915" s="1"/>
      <c r="G6915" s="1"/>
      <c r="H6915" s="1"/>
      <c r="I6915" s="1"/>
      <c r="J6915" s="1"/>
      <c r="K6915" s="102" t="s">
        <v>10678</v>
      </c>
      <c r="L6915" t="str">
        <f>J1034</f>
        <v>J2a1a2b2a1~</v>
      </c>
      <c r="M6915" s="102"/>
      <c r="N6915" s="1"/>
      <c r="O6915" s="114">
        <v>1.3946573E7</v>
      </c>
      <c r="P6915" s="105">
        <v>1.1825867E7</v>
      </c>
      <c r="Q6915" s="102" t="s">
        <v>2501</v>
      </c>
      <c r="S6915" s="1"/>
      <c r="T6915" s="1"/>
      <c r="U6915" s="1"/>
      <c r="V6915" s="1"/>
      <c r="W6915" s="1"/>
      <c r="X6915" s="1"/>
      <c r="Y6915" s="1"/>
      <c r="AA6915" s="102"/>
      <c r="AB6915" s="1"/>
      <c r="AC6915" s="1"/>
      <c r="AD6915" s="1"/>
      <c r="AE6915" s="1"/>
      <c r="AF6915" s="1"/>
      <c r="AG6915" s="1"/>
    </row>
    <row r="6916" ht="15.75" customHeight="1">
      <c r="A6916" s="1"/>
      <c r="B6916" s="1"/>
      <c r="C6916" s="1"/>
      <c r="D6916" s="1"/>
      <c r="E6916" s="1"/>
      <c r="F6916" s="1"/>
      <c r="G6916" s="1"/>
      <c r="H6916" s="1"/>
      <c r="I6916" s="1"/>
      <c r="J6916" s="1"/>
      <c r="K6916" s="102" t="s">
        <v>10679</v>
      </c>
      <c r="L6916" t="str">
        <f>J1034</f>
        <v>J2a1a2b2a1~</v>
      </c>
      <c r="M6916" s="102"/>
      <c r="N6916" s="1"/>
      <c r="O6916" s="114">
        <v>1.4327991E7</v>
      </c>
      <c r="P6916" s="105">
        <v>1.2207285E7</v>
      </c>
      <c r="Q6916" s="102" t="s">
        <v>2468</v>
      </c>
      <c r="S6916" s="1"/>
      <c r="T6916" s="1"/>
      <c r="U6916" s="1"/>
      <c r="V6916" s="1"/>
      <c r="W6916" s="1"/>
      <c r="X6916" s="1"/>
      <c r="Y6916" s="1"/>
      <c r="AA6916" s="102"/>
      <c r="AB6916" s="1"/>
      <c r="AC6916" s="1"/>
      <c r="AD6916" s="1"/>
      <c r="AE6916" s="1"/>
      <c r="AF6916" s="1"/>
      <c r="AG6916" s="1"/>
    </row>
    <row r="6917" ht="15.75" customHeight="1">
      <c r="A6917" s="1"/>
      <c r="B6917" s="1"/>
      <c r="C6917" s="1"/>
      <c r="D6917" s="1"/>
      <c r="E6917" s="1"/>
      <c r="F6917" s="1"/>
      <c r="G6917" s="1"/>
      <c r="H6917" s="1"/>
      <c r="I6917" s="1"/>
      <c r="J6917" s="1"/>
      <c r="K6917" s="102" t="s">
        <v>10680</v>
      </c>
      <c r="L6917" s="102" t="str">
        <f>K1035</f>
        <v>J2a1a2b2a1a~</v>
      </c>
      <c r="M6917" s="102"/>
      <c r="N6917" s="102"/>
      <c r="O6917" s="115">
        <v>1.323132E7</v>
      </c>
      <c r="P6917" s="105">
        <v>1.1075644E7</v>
      </c>
      <c r="Q6917" s="102" t="s">
        <v>2468</v>
      </c>
      <c r="S6917" s="1"/>
      <c r="T6917" s="1"/>
      <c r="U6917" s="1"/>
      <c r="V6917" s="1"/>
      <c r="W6917" s="1"/>
      <c r="X6917" s="1"/>
      <c r="Y6917" s="1"/>
      <c r="AA6917" s="102"/>
      <c r="AB6917" s="1"/>
      <c r="AC6917" s="1"/>
      <c r="AD6917" s="1"/>
      <c r="AE6917" s="1"/>
      <c r="AF6917" s="1"/>
      <c r="AG6917" s="1"/>
    </row>
    <row r="6918" ht="15.75" customHeight="1">
      <c r="A6918" s="1"/>
      <c r="B6918" s="1"/>
      <c r="C6918" s="1"/>
      <c r="D6918" s="1"/>
      <c r="E6918" s="1"/>
      <c r="F6918" s="1"/>
      <c r="G6918" s="1"/>
      <c r="H6918" s="1"/>
      <c r="I6918" s="1"/>
      <c r="J6918" s="1"/>
      <c r="K6918" s="102" t="s">
        <v>10681</v>
      </c>
      <c r="L6918" s="102" t="str">
        <f>K1035</f>
        <v>J2a1a2b2a1a~</v>
      </c>
      <c r="M6918" s="102"/>
      <c r="N6918" s="102"/>
      <c r="O6918" s="115">
        <v>2.1514215E7</v>
      </c>
      <c r="P6918" s="105">
        <v>1.9352329E7</v>
      </c>
      <c r="Q6918" s="102" t="s">
        <v>2533</v>
      </c>
      <c r="S6918" s="1"/>
      <c r="T6918" s="1"/>
      <c r="U6918" s="1"/>
      <c r="V6918" s="1"/>
      <c r="W6918" s="1"/>
      <c r="X6918" s="1"/>
      <c r="Y6918" s="1"/>
      <c r="AA6918" s="102"/>
      <c r="AB6918" s="1"/>
      <c r="AC6918" s="1"/>
      <c r="AD6918" s="1"/>
      <c r="AE6918" s="1"/>
      <c r="AF6918" s="1"/>
      <c r="AG6918" s="1"/>
    </row>
    <row r="6919" ht="15.75" customHeight="1">
      <c r="A6919" s="1"/>
      <c r="B6919" s="1"/>
      <c r="C6919" s="1"/>
      <c r="D6919" s="1"/>
      <c r="E6919" s="1"/>
      <c r="F6919" s="1"/>
      <c r="G6919" s="1"/>
      <c r="H6919" s="1"/>
      <c r="I6919" s="1"/>
      <c r="J6919" s="1"/>
      <c r="K6919" s="102" t="s">
        <v>10682</v>
      </c>
      <c r="L6919" s="102" t="str">
        <f>K1035</f>
        <v>J2a1a2b2a1a~</v>
      </c>
      <c r="M6919" s="102"/>
      <c r="N6919" s="102"/>
      <c r="O6919" s="115">
        <v>9891703.0</v>
      </c>
      <c r="P6919" s="105">
        <v>1.0054094E7</v>
      </c>
      <c r="Q6919" s="102" t="s">
        <v>2501</v>
      </c>
      <c r="S6919" s="1"/>
      <c r="T6919" s="1"/>
      <c r="U6919" s="1"/>
      <c r="V6919" s="1"/>
      <c r="W6919" s="1"/>
      <c r="X6919" s="1"/>
      <c r="Y6919" s="1"/>
      <c r="AA6919" s="102"/>
      <c r="AB6919" s="1"/>
      <c r="AC6919" s="1"/>
      <c r="AD6919" s="1"/>
      <c r="AE6919" s="1"/>
      <c r="AF6919" s="1"/>
      <c r="AG6919" s="1"/>
    </row>
    <row r="6920" ht="15.75" customHeight="1">
      <c r="A6920" s="1"/>
      <c r="B6920" s="1"/>
      <c r="C6920" s="1"/>
      <c r="D6920" s="1"/>
      <c r="E6920" s="1"/>
      <c r="F6920" s="1"/>
      <c r="G6920" s="1"/>
      <c r="H6920" s="1"/>
      <c r="I6920" s="1"/>
      <c r="J6920" s="1"/>
      <c r="K6920" s="102" t="s">
        <v>10683</v>
      </c>
      <c r="L6920" s="102" t="str">
        <f>K1035</f>
        <v>J2a1a2b2a1a~</v>
      </c>
      <c r="M6920" s="102"/>
      <c r="N6920" s="102"/>
      <c r="O6920" s="115">
        <v>2.4453843E7</v>
      </c>
      <c r="P6920" s="105">
        <v>2.2307696E7</v>
      </c>
      <c r="Q6920" s="102" t="s">
        <v>2501</v>
      </c>
      <c r="S6920" s="1"/>
      <c r="T6920" s="1"/>
      <c r="U6920" s="1"/>
      <c r="V6920" s="1"/>
      <c r="W6920" s="1"/>
      <c r="X6920" s="1"/>
      <c r="Y6920" s="1"/>
      <c r="AA6920" s="102"/>
      <c r="AB6920" s="1"/>
      <c r="AC6920" s="1"/>
      <c r="AD6920" s="1"/>
      <c r="AE6920" s="1"/>
      <c r="AF6920" s="1"/>
      <c r="AG6920" s="1"/>
    </row>
    <row r="6921" ht="15.75" customHeight="1">
      <c r="A6921" s="1"/>
      <c r="B6921" s="1"/>
      <c r="C6921" s="1"/>
      <c r="D6921" s="1"/>
      <c r="E6921" s="1"/>
      <c r="F6921" s="1"/>
      <c r="G6921" s="1"/>
      <c r="H6921" s="1"/>
      <c r="I6921" s="1"/>
      <c r="J6921" s="1"/>
      <c r="K6921" s="102" t="s">
        <v>2037</v>
      </c>
      <c r="L6921" s="102" t="str">
        <f>L1036</f>
        <v>J2a1a2b2a1a1~</v>
      </c>
      <c r="M6921" s="102"/>
      <c r="N6921" s="102"/>
      <c r="O6921" s="115">
        <v>2.3797534E7</v>
      </c>
      <c r="P6921" s="105">
        <v>2.1635648E7</v>
      </c>
      <c r="Q6921" s="102" t="s">
        <v>2533</v>
      </c>
      <c r="S6921" s="1"/>
      <c r="T6921" s="1"/>
      <c r="U6921" s="1"/>
      <c r="V6921" s="1"/>
      <c r="W6921" s="1"/>
      <c r="X6921" s="1"/>
      <c r="Y6921" s="1"/>
      <c r="AA6921" s="102"/>
      <c r="AB6921" s="1"/>
      <c r="AC6921" s="1"/>
      <c r="AD6921" s="1"/>
      <c r="AE6921" s="1"/>
      <c r="AF6921" s="1"/>
      <c r="AG6921" s="1"/>
    </row>
    <row r="6922" ht="15.75" customHeight="1">
      <c r="A6922" s="1"/>
      <c r="B6922" s="1"/>
      <c r="C6922" s="1"/>
      <c r="D6922" s="1"/>
      <c r="E6922" s="1"/>
      <c r="F6922" s="1"/>
      <c r="G6922" s="1"/>
      <c r="H6922" s="1"/>
      <c r="I6922" s="1"/>
      <c r="J6922" s="1"/>
      <c r="K6922" s="102" t="s">
        <v>10684</v>
      </c>
      <c r="L6922" s="102" t="str">
        <f>K1037</f>
        <v>J2a1a2b2a1b~</v>
      </c>
      <c r="M6922" s="102"/>
      <c r="N6922" s="102"/>
      <c r="O6922" s="115">
        <v>8110436.0</v>
      </c>
      <c r="P6922" s="105">
        <v>8242395.0</v>
      </c>
      <c r="Q6922" s="102" t="s">
        <v>2446</v>
      </c>
      <c r="S6922" s="1"/>
      <c r="T6922" s="1"/>
      <c r="U6922" s="1"/>
      <c r="V6922" s="1"/>
      <c r="W6922" s="1"/>
      <c r="X6922" s="1"/>
      <c r="Y6922" s="1"/>
      <c r="AA6922" s="102"/>
      <c r="AB6922" s="1"/>
      <c r="AC6922" s="1"/>
      <c r="AD6922" s="1"/>
      <c r="AE6922" s="1"/>
      <c r="AF6922" s="1"/>
      <c r="AG6922" s="1"/>
    </row>
    <row r="6923" ht="15.75" customHeight="1">
      <c r="A6923" s="1"/>
      <c r="B6923" s="1"/>
      <c r="C6923" s="1"/>
      <c r="D6923" s="1"/>
      <c r="E6923" s="1"/>
      <c r="F6923" s="1"/>
      <c r="G6923" s="1"/>
      <c r="H6923" s="1"/>
      <c r="I6923" s="1"/>
      <c r="J6923" s="1"/>
      <c r="K6923" s="102" t="s">
        <v>10685</v>
      </c>
      <c r="L6923" s="102" t="str">
        <f>K1037</f>
        <v>J2a1a2b2a1b~</v>
      </c>
      <c r="M6923" s="102"/>
      <c r="N6923" s="102"/>
      <c r="O6923" s="115">
        <v>1.9323691E7</v>
      </c>
      <c r="P6923" s="105">
        <v>1.7211811E7</v>
      </c>
      <c r="Q6923" s="102" t="s">
        <v>2423</v>
      </c>
      <c r="S6923" s="1"/>
      <c r="T6923" s="1"/>
      <c r="U6923" s="1"/>
      <c r="V6923" s="1"/>
      <c r="W6923" s="1"/>
      <c r="X6923" s="1"/>
      <c r="Y6923" s="1"/>
      <c r="AA6923" s="102"/>
      <c r="AB6923" s="1"/>
      <c r="AC6923" s="1"/>
      <c r="AD6923" s="1"/>
      <c r="AE6923" s="1"/>
      <c r="AF6923" s="1"/>
      <c r="AG6923" s="1"/>
    </row>
    <row r="6924" ht="15.75" customHeight="1">
      <c r="A6924" s="1"/>
      <c r="B6924" s="1"/>
      <c r="C6924" s="1"/>
      <c r="D6924" s="1"/>
      <c r="E6924" s="1"/>
      <c r="F6924" s="1"/>
      <c r="G6924" s="1"/>
      <c r="H6924" s="1"/>
      <c r="I6924" s="1"/>
      <c r="J6924" s="1"/>
      <c r="K6924" s="106" t="s">
        <v>10686</v>
      </c>
      <c r="L6924" s="102" t="str">
        <f>J1038</f>
        <v>J2a1a2b2a2~</v>
      </c>
      <c r="M6924" s="106" t="s">
        <v>10687</v>
      </c>
      <c r="N6924" s="1" t="s">
        <v>10688</v>
      </c>
      <c r="O6924" s="114">
        <v>1.7149601E7</v>
      </c>
      <c r="P6924" s="105">
        <v>1.5037721E7</v>
      </c>
      <c r="Q6924" s="102" t="s">
        <v>2514</v>
      </c>
      <c r="S6924" s="1"/>
      <c r="T6924" s="1"/>
      <c r="U6924" s="1"/>
      <c r="V6924" s="1"/>
      <c r="W6924" s="1"/>
      <c r="X6924" s="1"/>
      <c r="Y6924" s="1"/>
      <c r="AA6924" s="102"/>
      <c r="AB6924" s="1"/>
      <c r="AC6924" s="1"/>
      <c r="AD6924" s="1"/>
      <c r="AE6924" s="1"/>
      <c r="AF6924" s="1"/>
      <c r="AG6924" s="1"/>
    </row>
    <row r="6925" ht="15.75" customHeight="1">
      <c r="A6925" s="1"/>
      <c r="B6925" s="1"/>
      <c r="C6925" s="1"/>
      <c r="D6925" s="1"/>
      <c r="E6925" s="1"/>
      <c r="F6925" s="1"/>
      <c r="G6925" s="1"/>
      <c r="H6925" s="1"/>
      <c r="I6925" s="1"/>
      <c r="J6925" s="1"/>
      <c r="K6925" s="106" t="s">
        <v>10689</v>
      </c>
      <c r="L6925" s="102" t="str">
        <f>J1038</f>
        <v>J2a1a2b2a2~</v>
      </c>
      <c r="M6925" s="106" t="s">
        <v>10690</v>
      </c>
      <c r="N6925" s="1" t="s">
        <v>10688</v>
      </c>
      <c r="O6925" s="114">
        <v>1.7149601E7</v>
      </c>
      <c r="P6925" s="105">
        <v>1.5037721E7</v>
      </c>
      <c r="Q6925" s="102" t="s">
        <v>2514</v>
      </c>
      <c r="S6925" s="1"/>
      <c r="T6925" s="1"/>
      <c r="U6925" s="1"/>
      <c r="V6925" s="1"/>
      <c r="W6925" s="1"/>
      <c r="X6925" s="1"/>
      <c r="Y6925" s="1"/>
      <c r="AA6925" s="102"/>
      <c r="AB6925" s="1"/>
      <c r="AC6925" s="1"/>
      <c r="AD6925" s="1"/>
      <c r="AE6925" s="1"/>
      <c r="AF6925" s="1"/>
      <c r="AG6925" s="1"/>
    </row>
    <row r="6926" ht="15.75" customHeight="1">
      <c r="A6926" s="1"/>
      <c r="B6926" s="1"/>
      <c r="C6926" s="1"/>
      <c r="D6926" s="1"/>
      <c r="E6926" s="1"/>
      <c r="F6926" s="1"/>
      <c r="G6926" s="1"/>
      <c r="H6926" s="1"/>
      <c r="I6926" s="1"/>
      <c r="J6926" s="1"/>
      <c r="K6926" s="106" t="s">
        <v>10691</v>
      </c>
      <c r="L6926" s="102" t="str">
        <f>J1038</f>
        <v>J2a1a2b2a2~</v>
      </c>
      <c r="M6926" s="106" t="s">
        <v>10692</v>
      </c>
      <c r="N6926" s="1" t="s">
        <v>10688</v>
      </c>
      <c r="O6926" s="114">
        <v>1.7149601E7</v>
      </c>
      <c r="P6926" s="105">
        <v>1.5037721E7</v>
      </c>
      <c r="Q6926" s="102" t="s">
        <v>2514</v>
      </c>
      <c r="S6926" s="1"/>
      <c r="T6926" s="1"/>
      <c r="U6926" s="1"/>
      <c r="V6926" s="1"/>
      <c r="W6926" s="1"/>
      <c r="X6926" s="1"/>
      <c r="Y6926" s="1"/>
      <c r="AA6926" s="102"/>
      <c r="AB6926" s="1"/>
      <c r="AC6926" s="1"/>
      <c r="AD6926" s="1"/>
      <c r="AE6926" s="1"/>
      <c r="AF6926" s="1"/>
      <c r="AG6926" s="1"/>
    </row>
    <row r="6927" ht="15.75" customHeight="1">
      <c r="A6927" s="1"/>
      <c r="B6927" s="1"/>
      <c r="C6927" s="1"/>
      <c r="D6927" s="1"/>
      <c r="E6927" s="1"/>
      <c r="F6927" s="1"/>
      <c r="G6927" s="1"/>
      <c r="H6927" s="1"/>
      <c r="I6927" s="1"/>
      <c r="J6927" s="1"/>
      <c r="K6927" s="106" t="s">
        <v>10693</v>
      </c>
      <c r="L6927" s="102" t="str">
        <f>J1038</f>
        <v>J2a1a2b2a2~</v>
      </c>
      <c r="M6927" s="106" t="s">
        <v>10694</v>
      </c>
      <c r="N6927" s="1" t="s">
        <v>10695</v>
      </c>
      <c r="O6927" s="114">
        <v>7743566.0</v>
      </c>
      <c r="P6927" s="105">
        <v>7875525.0</v>
      </c>
      <c r="Q6927" s="102" t="s">
        <v>2529</v>
      </c>
      <c r="S6927" s="1"/>
      <c r="T6927" s="1"/>
      <c r="U6927" s="1"/>
      <c r="V6927" s="1"/>
      <c r="W6927" s="1"/>
      <c r="X6927" s="1"/>
      <c r="Y6927" s="1"/>
      <c r="AA6927" s="102"/>
      <c r="AB6927" s="1"/>
      <c r="AC6927" s="1"/>
      <c r="AD6927" s="1"/>
      <c r="AE6927" s="1"/>
      <c r="AF6927" s="1"/>
      <c r="AG6927" s="1"/>
    </row>
    <row r="6928" ht="15.75" customHeight="1">
      <c r="A6928" s="1"/>
      <c r="B6928" s="1"/>
      <c r="C6928" s="1"/>
      <c r="D6928" s="1"/>
      <c r="E6928" s="1"/>
      <c r="F6928" s="1"/>
      <c r="G6928" s="1"/>
      <c r="H6928" s="1"/>
      <c r="I6928" s="1"/>
      <c r="J6928" s="1"/>
      <c r="K6928" s="106" t="s">
        <v>10694</v>
      </c>
      <c r="L6928" s="102" t="str">
        <f>J1038</f>
        <v>J2a1a2b2a2~</v>
      </c>
      <c r="M6928" s="106" t="s">
        <v>10693</v>
      </c>
      <c r="N6928" s="1" t="s">
        <v>10695</v>
      </c>
      <c r="O6928" s="114">
        <v>7743566.0</v>
      </c>
      <c r="P6928" s="105">
        <v>7875525.0</v>
      </c>
      <c r="Q6928" s="102" t="s">
        <v>2529</v>
      </c>
      <c r="S6928" s="1"/>
      <c r="T6928" s="1"/>
      <c r="U6928" s="1"/>
      <c r="V6928" s="1"/>
      <c r="W6928" s="1"/>
      <c r="X6928" s="1"/>
      <c r="Y6928" s="1"/>
      <c r="AA6928" s="102"/>
      <c r="AB6928" s="1"/>
      <c r="AC6928" s="1"/>
      <c r="AD6928" s="1"/>
      <c r="AE6928" s="1"/>
      <c r="AF6928" s="1"/>
      <c r="AG6928" s="1"/>
    </row>
    <row r="6929" ht="15.75" customHeight="1">
      <c r="A6929" s="1"/>
      <c r="B6929" s="1"/>
      <c r="C6929" s="1"/>
      <c r="D6929" s="1"/>
      <c r="E6929" s="1"/>
      <c r="F6929" s="1"/>
      <c r="G6929" s="1"/>
      <c r="H6929" s="1"/>
      <c r="I6929" s="1"/>
      <c r="J6929" s="1"/>
      <c r="K6929" s="106" t="s">
        <v>10696</v>
      </c>
      <c r="L6929" s="102" t="str">
        <f>J1038</f>
        <v>J2a1a2b2a2~</v>
      </c>
      <c r="M6929" s="106" t="s">
        <v>10697</v>
      </c>
      <c r="N6929" s="1" t="s">
        <v>10698</v>
      </c>
      <c r="O6929" s="114">
        <v>1.6502386E7</v>
      </c>
      <c r="P6929" s="105">
        <v>1.4390506E7</v>
      </c>
      <c r="Q6929" s="102" t="s">
        <v>2439</v>
      </c>
      <c r="S6929" s="1"/>
      <c r="T6929" s="1"/>
      <c r="U6929" s="1"/>
      <c r="V6929" s="1"/>
      <c r="W6929" s="1"/>
      <c r="X6929" s="1"/>
      <c r="Y6929" s="1"/>
      <c r="AA6929" s="102"/>
      <c r="AB6929" s="1"/>
      <c r="AC6929" s="1"/>
      <c r="AD6929" s="1"/>
      <c r="AE6929" s="1"/>
      <c r="AF6929" s="1"/>
      <c r="AG6929" s="1"/>
    </row>
    <row r="6930" ht="15.75" customHeight="1">
      <c r="A6930" s="1"/>
      <c r="B6930" s="1"/>
      <c r="C6930" s="1"/>
      <c r="D6930" s="1"/>
      <c r="E6930" s="1"/>
      <c r="F6930" s="1"/>
      <c r="G6930" s="1"/>
      <c r="H6930" s="1"/>
      <c r="I6930" s="1"/>
      <c r="J6930" s="1"/>
      <c r="K6930" s="106" t="s">
        <v>10697</v>
      </c>
      <c r="L6930" s="102" t="str">
        <f>J1038</f>
        <v>J2a1a2b2a2~</v>
      </c>
      <c r="M6930" s="106" t="s">
        <v>10696</v>
      </c>
      <c r="N6930" s="1" t="s">
        <v>10698</v>
      </c>
      <c r="O6930" s="114">
        <v>1.6502386E7</v>
      </c>
      <c r="P6930" s="105">
        <v>1.4390506E7</v>
      </c>
      <c r="Q6930" s="102" t="s">
        <v>2439</v>
      </c>
      <c r="S6930" s="1"/>
      <c r="T6930" s="1"/>
      <c r="U6930" s="1"/>
      <c r="V6930" s="1"/>
      <c r="W6930" s="1"/>
      <c r="X6930" s="1"/>
      <c r="Y6930" s="1"/>
      <c r="AA6930" s="102"/>
      <c r="AB6930" s="1"/>
      <c r="AC6930" s="1"/>
      <c r="AD6930" s="1"/>
      <c r="AE6930" s="1"/>
      <c r="AF6930" s="1"/>
      <c r="AG6930" s="1"/>
    </row>
    <row r="6931" ht="15.75" customHeight="1">
      <c r="A6931" s="1"/>
      <c r="B6931" s="1"/>
      <c r="C6931" s="1"/>
      <c r="D6931" s="1"/>
      <c r="E6931" s="1"/>
      <c r="F6931" s="1"/>
      <c r="G6931" s="1"/>
      <c r="H6931" s="1"/>
      <c r="I6931" s="1"/>
      <c r="J6931" s="1"/>
      <c r="K6931" s="102" t="s">
        <v>10699</v>
      </c>
      <c r="L6931" t="str">
        <f>K1039</f>
        <v>J2a1a2b2a2a~</v>
      </c>
      <c r="M6931" s="102" t="s">
        <v>10700</v>
      </c>
      <c r="N6931" s="1" t="s">
        <v>10701</v>
      </c>
      <c r="O6931" s="114">
        <v>1.4372524E7</v>
      </c>
      <c r="P6931" s="105">
        <v>1.225182E7</v>
      </c>
      <c r="Q6931" s="102" t="s">
        <v>2501</v>
      </c>
      <c r="S6931" s="1"/>
      <c r="T6931" s="1"/>
      <c r="U6931" s="1"/>
      <c r="V6931" s="1"/>
      <c r="W6931" s="1"/>
      <c r="X6931" s="1"/>
      <c r="Y6931" s="1"/>
      <c r="AA6931" s="102"/>
      <c r="AB6931" s="1"/>
      <c r="AC6931" s="1"/>
      <c r="AD6931" s="1"/>
      <c r="AE6931" s="1"/>
      <c r="AF6931" s="1"/>
      <c r="AG6931" s="1"/>
    </row>
    <row r="6932" ht="15.75" customHeight="1">
      <c r="A6932" s="1"/>
      <c r="B6932" s="1"/>
      <c r="C6932" s="1"/>
      <c r="D6932" s="1"/>
      <c r="E6932" s="1"/>
      <c r="F6932" s="1"/>
      <c r="G6932" s="1"/>
      <c r="H6932" s="1"/>
      <c r="I6932" s="1"/>
      <c r="J6932" s="1"/>
      <c r="K6932" s="106" t="s">
        <v>10700</v>
      </c>
      <c r="L6932" t="str">
        <f>K1039</f>
        <v>J2a1a2b2a2a~</v>
      </c>
      <c r="M6932" s="106" t="s">
        <v>10699</v>
      </c>
      <c r="N6932" s="1" t="s">
        <v>10701</v>
      </c>
      <c r="O6932" s="114">
        <v>1.4372524E7</v>
      </c>
      <c r="P6932" s="105">
        <v>1.225182E7</v>
      </c>
      <c r="Q6932" s="102" t="s">
        <v>2501</v>
      </c>
      <c r="S6932" s="1"/>
      <c r="T6932" s="1"/>
      <c r="U6932" s="1"/>
      <c r="V6932" s="1"/>
      <c r="W6932" s="1"/>
      <c r="X6932" s="1"/>
      <c r="Y6932" s="1"/>
      <c r="AA6932" s="102"/>
      <c r="AB6932" s="1"/>
      <c r="AC6932" s="1"/>
      <c r="AD6932" s="1"/>
      <c r="AE6932" s="1"/>
      <c r="AF6932" s="1"/>
      <c r="AG6932" s="1"/>
    </row>
    <row r="6933" ht="15.75" customHeight="1">
      <c r="A6933" s="1"/>
      <c r="B6933" s="1"/>
      <c r="C6933" s="1"/>
      <c r="D6933" s="1"/>
      <c r="E6933" s="1"/>
      <c r="F6933" s="1"/>
      <c r="G6933" s="1"/>
      <c r="H6933" s="1"/>
      <c r="I6933" s="1"/>
      <c r="J6933" s="1"/>
      <c r="K6933" s="102" t="s">
        <v>10702</v>
      </c>
      <c r="L6933" t="str">
        <f>K1039</f>
        <v>J2a1a2b2a2a~</v>
      </c>
      <c r="M6933" s="102"/>
      <c r="N6933" s="1" t="s">
        <v>10703</v>
      </c>
      <c r="O6933" s="114">
        <v>2.2685879E7</v>
      </c>
      <c r="P6933" s="105">
        <v>2.0523993E7</v>
      </c>
      <c r="Q6933" s="102" t="s">
        <v>2468</v>
      </c>
      <c r="S6933" s="1"/>
      <c r="T6933" s="1"/>
      <c r="U6933" s="1"/>
      <c r="V6933" s="1"/>
      <c r="W6933" s="1"/>
      <c r="X6933" s="1"/>
      <c r="Y6933" s="1"/>
      <c r="AA6933" s="102"/>
      <c r="AB6933" s="1"/>
      <c r="AC6933" s="1"/>
      <c r="AD6933" s="1"/>
      <c r="AE6933" s="1"/>
      <c r="AF6933" s="1"/>
      <c r="AG6933" s="1"/>
    </row>
    <row r="6934" ht="15.75" customHeight="1">
      <c r="A6934" s="1"/>
      <c r="B6934" s="1"/>
      <c r="C6934" s="1"/>
      <c r="D6934" s="1"/>
      <c r="E6934" s="1"/>
      <c r="F6934" s="1"/>
      <c r="G6934" s="1"/>
      <c r="H6934" s="1"/>
      <c r="I6934" s="1"/>
      <c r="J6934" s="1"/>
      <c r="K6934" s="102" t="s">
        <v>10704</v>
      </c>
      <c r="L6934" t="str">
        <f>K1039</f>
        <v>J2a1a2b2a2a~</v>
      </c>
      <c r="M6934" s="102"/>
      <c r="N6934" s="1"/>
      <c r="O6934" s="114">
        <v>3166820.0</v>
      </c>
      <c r="P6934" s="105">
        <v>3298779.0</v>
      </c>
      <c r="Q6934" s="102" t="s">
        <v>2446</v>
      </c>
      <c r="S6934" s="1"/>
      <c r="T6934" s="1"/>
      <c r="U6934" s="1"/>
      <c r="V6934" s="1"/>
      <c r="W6934" s="1"/>
      <c r="X6934" s="1"/>
      <c r="Y6934" s="1"/>
      <c r="AA6934" s="102"/>
      <c r="AB6934" s="1"/>
      <c r="AC6934" s="1"/>
      <c r="AD6934" s="1"/>
      <c r="AE6934" s="1"/>
      <c r="AF6934" s="1"/>
      <c r="AG6934" s="1"/>
    </row>
    <row r="6935" ht="15.75" customHeight="1">
      <c r="A6935" s="1"/>
      <c r="B6935" s="1"/>
      <c r="C6935" s="1"/>
      <c r="D6935" s="1"/>
      <c r="E6935" s="1"/>
      <c r="F6935" s="1"/>
      <c r="G6935" s="1"/>
      <c r="H6935" s="1"/>
      <c r="I6935" s="1"/>
      <c r="J6935" s="1"/>
      <c r="K6935" s="102" t="s">
        <v>10705</v>
      </c>
      <c r="L6935" t="str">
        <f>K1039</f>
        <v>J2a1a2b2a2a~</v>
      </c>
      <c r="M6935" s="102"/>
      <c r="N6935" s="1" t="s">
        <v>10706</v>
      </c>
      <c r="O6935" s="114">
        <v>2.2589768E7</v>
      </c>
      <c r="P6935" s="105">
        <v>2.0427882E7</v>
      </c>
      <c r="Q6935" s="102" t="s">
        <v>2529</v>
      </c>
      <c r="S6935" s="1"/>
      <c r="T6935" s="1"/>
      <c r="U6935" s="1"/>
      <c r="V6935" s="1"/>
      <c r="W6935" s="1"/>
      <c r="X6935" s="1"/>
      <c r="Y6935" s="1"/>
      <c r="AA6935" s="102"/>
      <c r="AB6935" s="1"/>
      <c r="AC6935" s="1"/>
      <c r="AD6935" s="1"/>
      <c r="AE6935" s="1"/>
      <c r="AF6935" s="1"/>
      <c r="AG6935" s="1"/>
    </row>
    <row r="6936" ht="15.75" customHeight="1">
      <c r="A6936" s="1"/>
      <c r="B6936" s="1"/>
      <c r="C6936" s="1"/>
      <c r="D6936" s="1"/>
      <c r="E6936" s="1"/>
      <c r="F6936" s="1"/>
      <c r="G6936" s="1"/>
      <c r="H6936" s="1"/>
      <c r="I6936" s="1"/>
      <c r="J6936" s="1"/>
      <c r="K6936" s="102" t="s">
        <v>10707</v>
      </c>
      <c r="L6936" t="str">
        <f>K1039</f>
        <v>J2a1a2b2a2a~</v>
      </c>
      <c r="M6936" s="102"/>
      <c r="N6936" s="1" t="s">
        <v>10708</v>
      </c>
      <c r="O6936" s="114">
        <v>2672386.0</v>
      </c>
      <c r="P6936" s="105">
        <v>2804345.0</v>
      </c>
      <c r="Q6936" s="102" t="s">
        <v>2529</v>
      </c>
      <c r="S6936" s="1"/>
      <c r="T6936" s="1"/>
      <c r="U6936" s="1"/>
      <c r="V6936" s="1"/>
      <c r="W6936" s="1"/>
      <c r="X6936" s="1"/>
      <c r="Y6936" s="1"/>
      <c r="AA6936" s="102"/>
      <c r="AB6936" s="1"/>
      <c r="AC6936" s="1"/>
      <c r="AD6936" s="1"/>
      <c r="AE6936" s="1"/>
      <c r="AF6936" s="1"/>
      <c r="AG6936" s="1"/>
    </row>
    <row r="6937" ht="15.75" customHeight="1">
      <c r="A6937" s="1"/>
      <c r="B6937" s="1"/>
      <c r="C6937" s="1"/>
      <c r="D6937" s="1"/>
      <c r="E6937" s="1"/>
      <c r="F6937" s="1"/>
      <c r="G6937" s="1"/>
      <c r="H6937" s="1"/>
      <c r="I6937" s="1"/>
      <c r="J6937" s="1"/>
      <c r="K6937" s="102" t="s">
        <v>10709</v>
      </c>
      <c r="L6937" t="str">
        <f>K1039</f>
        <v>J2a1a2b2a2a~</v>
      </c>
      <c r="M6937" s="102"/>
      <c r="N6937" s="1"/>
      <c r="O6937" s="114">
        <v>4213669.0</v>
      </c>
      <c r="P6937" s="105">
        <v>4345628.0</v>
      </c>
      <c r="Q6937" s="102" t="s">
        <v>2514</v>
      </c>
      <c r="S6937" s="1"/>
      <c r="T6937" s="1"/>
      <c r="U6937" s="1"/>
      <c r="V6937" s="1"/>
      <c r="W6937" s="1"/>
      <c r="X6937" s="1"/>
      <c r="Y6937" s="1"/>
      <c r="AA6937" s="102"/>
      <c r="AB6937" s="1"/>
      <c r="AC6937" s="1"/>
      <c r="AD6937" s="1"/>
      <c r="AE6937" s="1"/>
      <c r="AF6937" s="1"/>
      <c r="AG6937" s="1"/>
    </row>
    <row r="6938" ht="15.75" customHeight="1">
      <c r="A6938" s="1"/>
      <c r="B6938" s="1"/>
      <c r="C6938" s="1"/>
      <c r="D6938" s="1"/>
      <c r="E6938" s="1"/>
      <c r="F6938" s="1"/>
      <c r="G6938" s="1"/>
      <c r="H6938" s="1"/>
      <c r="I6938" s="1"/>
      <c r="J6938" s="1"/>
      <c r="K6938" s="102" t="s">
        <v>10710</v>
      </c>
      <c r="L6938" t="str">
        <f>K1039</f>
        <v>J2a1a2b2a2a~</v>
      </c>
      <c r="M6938" s="102"/>
      <c r="N6938" s="1"/>
      <c r="O6938" s="114">
        <v>5925100.0</v>
      </c>
      <c r="P6938" s="105">
        <v>6057059.0</v>
      </c>
      <c r="Q6938" s="102" t="s">
        <v>2446</v>
      </c>
      <c r="S6938" s="1"/>
      <c r="T6938" s="1"/>
      <c r="U6938" s="1"/>
      <c r="V6938" s="1"/>
      <c r="W6938" s="1"/>
      <c r="X6938" s="1"/>
      <c r="Y6938" s="1"/>
      <c r="AA6938" s="102"/>
      <c r="AB6938" s="1"/>
      <c r="AC6938" s="1"/>
      <c r="AD6938" s="1"/>
      <c r="AE6938" s="1"/>
      <c r="AF6938" s="1"/>
      <c r="AG6938" s="1"/>
    </row>
    <row r="6939" ht="15.75" customHeight="1">
      <c r="A6939" s="1"/>
      <c r="B6939" s="1"/>
      <c r="C6939" s="1"/>
      <c r="D6939" s="1"/>
      <c r="E6939" s="1"/>
      <c r="F6939" s="1"/>
      <c r="G6939" s="1"/>
      <c r="H6939" s="1"/>
      <c r="I6939" s="1"/>
      <c r="J6939" s="1"/>
      <c r="K6939" s="102" t="s">
        <v>10711</v>
      </c>
      <c r="L6939" t="str">
        <f>K1039</f>
        <v>J2a1a2b2a2a~</v>
      </c>
      <c r="M6939" s="102"/>
      <c r="N6939" s="1" t="s">
        <v>10712</v>
      </c>
      <c r="O6939" s="114">
        <v>6793916.0</v>
      </c>
      <c r="P6939" s="105">
        <v>6925875.0</v>
      </c>
      <c r="Q6939" s="102" t="s">
        <v>2501</v>
      </c>
      <c r="S6939" s="1"/>
      <c r="T6939" s="1"/>
      <c r="U6939" s="1"/>
      <c r="V6939" s="1"/>
      <c r="W6939" s="1"/>
      <c r="X6939" s="1"/>
      <c r="Y6939" s="1"/>
      <c r="AA6939" s="102"/>
      <c r="AB6939" s="1"/>
      <c r="AC6939" s="1"/>
      <c r="AD6939" s="1"/>
      <c r="AE6939" s="1"/>
      <c r="AF6939" s="1"/>
      <c r="AG6939" s="1"/>
    </row>
    <row r="6940" ht="15.75" customHeight="1">
      <c r="A6940" s="1"/>
      <c r="B6940" s="1"/>
      <c r="C6940" s="1"/>
      <c r="D6940" s="1"/>
      <c r="E6940" s="1"/>
      <c r="F6940" s="1"/>
      <c r="G6940" s="1"/>
      <c r="H6940" s="1"/>
      <c r="I6940" s="1"/>
      <c r="J6940" s="1"/>
      <c r="K6940" s="102" t="s">
        <v>10713</v>
      </c>
      <c r="L6940" t="str">
        <f>K1039</f>
        <v>J2a1a2b2a2a~</v>
      </c>
      <c r="M6940" s="102"/>
      <c r="N6940" s="1" t="s">
        <v>10714</v>
      </c>
      <c r="O6940" s="114">
        <v>7929981.0</v>
      </c>
      <c r="P6940" s="105">
        <v>8061940.0</v>
      </c>
      <c r="Q6940" s="102" t="s">
        <v>2576</v>
      </c>
      <c r="S6940" s="1"/>
      <c r="T6940" s="1"/>
      <c r="U6940" s="1"/>
      <c r="V6940" s="1"/>
      <c r="W6940" s="1"/>
      <c r="X6940" s="1"/>
      <c r="Y6940" s="1"/>
      <c r="AA6940" s="102"/>
      <c r="AB6940" s="1"/>
      <c r="AC6940" s="1"/>
      <c r="AD6940" s="1"/>
      <c r="AE6940" s="1"/>
      <c r="AF6940" s="1"/>
      <c r="AG6940" s="1"/>
    </row>
    <row r="6941" ht="15.75" customHeight="1">
      <c r="A6941" s="1"/>
      <c r="B6941" s="1"/>
      <c r="C6941" s="1"/>
      <c r="D6941" s="1"/>
      <c r="E6941" s="1"/>
      <c r="F6941" s="1"/>
      <c r="G6941" s="1"/>
      <c r="H6941" s="1"/>
      <c r="I6941" s="1"/>
      <c r="J6941" s="1"/>
      <c r="K6941" s="102" t="s">
        <v>10715</v>
      </c>
      <c r="L6941" t="str">
        <f>K1039</f>
        <v>J2a1a2b2a2a~</v>
      </c>
      <c r="M6941" s="102"/>
      <c r="N6941" s="1" t="s">
        <v>10716</v>
      </c>
      <c r="O6941" s="114">
        <v>8390435.0</v>
      </c>
      <c r="P6941" s="105">
        <v>8522394.0</v>
      </c>
      <c r="Q6941" s="102" t="s">
        <v>2468</v>
      </c>
      <c r="S6941" s="1"/>
      <c r="T6941" s="1"/>
      <c r="U6941" s="1"/>
      <c r="V6941" s="1"/>
      <c r="W6941" s="1"/>
      <c r="X6941" s="1"/>
      <c r="Y6941" s="1"/>
      <c r="AA6941" s="102"/>
      <c r="AB6941" s="1"/>
      <c r="AC6941" s="1"/>
      <c r="AD6941" s="1"/>
      <c r="AE6941" s="1"/>
      <c r="AF6941" s="1"/>
      <c r="AG6941" s="1"/>
    </row>
    <row r="6942" ht="15.75" customHeight="1">
      <c r="A6942" s="1"/>
      <c r="B6942" s="1"/>
      <c r="C6942" s="1"/>
      <c r="D6942" s="1"/>
      <c r="E6942" s="1"/>
      <c r="F6942" s="1"/>
      <c r="G6942" s="1"/>
      <c r="H6942" s="1"/>
      <c r="I6942" s="1"/>
      <c r="J6942" s="1"/>
      <c r="K6942" s="102" t="s">
        <v>10717</v>
      </c>
      <c r="L6942" t="str">
        <f>K1039</f>
        <v>J2a1a2b2a2a~</v>
      </c>
      <c r="M6942" s="102"/>
      <c r="N6942" s="1" t="s">
        <v>10718</v>
      </c>
      <c r="O6942" s="114">
        <v>8798759.0</v>
      </c>
      <c r="P6942" s="105">
        <v>8930718.0</v>
      </c>
      <c r="Q6942" s="102" t="s">
        <v>2439</v>
      </c>
      <c r="S6942" s="1"/>
      <c r="T6942" s="1"/>
      <c r="U6942" s="1"/>
      <c r="V6942" s="1"/>
      <c r="W6942" s="1"/>
      <c r="X6942" s="1"/>
      <c r="Y6942" s="1"/>
      <c r="AA6942" s="102"/>
      <c r="AB6942" s="1"/>
      <c r="AC6942" s="1"/>
      <c r="AD6942" s="1"/>
      <c r="AE6942" s="1"/>
      <c r="AF6942" s="1"/>
      <c r="AG6942" s="1"/>
    </row>
    <row r="6943" ht="15.75" customHeight="1">
      <c r="A6943" s="1"/>
      <c r="B6943" s="1"/>
      <c r="C6943" s="1"/>
      <c r="D6943" s="1"/>
      <c r="E6943" s="1"/>
      <c r="F6943" s="1"/>
      <c r="G6943" s="1"/>
      <c r="H6943" s="1"/>
      <c r="I6943" s="1"/>
      <c r="J6943" s="1"/>
      <c r="K6943" s="102" t="s">
        <v>10719</v>
      </c>
      <c r="L6943" t="str">
        <f>K1039</f>
        <v>J2a1a2b2a2a~</v>
      </c>
      <c r="M6943" s="102"/>
      <c r="N6943" s="1"/>
      <c r="O6943" s="114">
        <v>9524742.0</v>
      </c>
      <c r="P6943" s="105">
        <v>9687133.0</v>
      </c>
      <c r="Q6943" s="102" t="s">
        <v>2514</v>
      </c>
      <c r="S6943" s="1"/>
      <c r="T6943" s="1"/>
      <c r="U6943" s="1"/>
      <c r="V6943" s="1"/>
      <c r="W6943" s="1"/>
      <c r="X6943" s="1"/>
      <c r="Y6943" s="1"/>
      <c r="AA6943" s="102"/>
      <c r="AB6943" s="1"/>
      <c r="AC6943" s="1"/>
      <c r="AD6943" s="1"/>
      <c r="AE6943" s="1"/>
      <c r="AF6943" s="1"/>
      <c r="AG6943" s="1"/>
    </row>
    <row r="6944" ht="15.75" customHeight="1">
      <c r="A6944" s="1"/>
      <c r="B6944" s="1"/>
      <c r="C6944" s="1"/>
      <c r="D6944" s="1"/>
      <c r="E6944" s="1"/>
      <c r="F6944" s="1"/>
      <c r="G6944" s="1"/>
      <c r="H6944" s="1"/>
      <c r="I6944" s="1"/>
      <c r="J6944" s="1"/>
      <c r="K6944" s="102" t="s">
        <v>10720</v>
      </c>
      <c r="L6944" t="str">
        <f>K1039</f>
        <v>J2a1a2b2a2a~</v>
      </c>
      <c r="M6944" s="102"/>
      <c r="N6944" s="1"/>
      <c r="O6944" s="114">
        <v>1.3625363E7</v>
      </c>
      <c r="P6944" s="105">
        <v>1.1469687E7</v>
      </c>
      <c r="Q6944" s="102" t="s">
        <v>2501</v>
      </c>
      <c r="S6944" s="1"/>
      <c r="T6944" s="1"/>
      <c r="U6944" s="1"/>
      <c r="V6944" s="1"/>
      <c r="W6944" s="1"/>
      <c r="X6944" s="1"/>
      <c r="Y6944" s="1"/>
      <c r="AA6944" s="102"/>
      <c r="AB6944" s="1"/>
      <c r="AC6944" s="1"/>
      <c r="AD6944" s="1"/>
      <c r="AE6944" s="1"/>
      <c r="AF6944" s="1"/>
      <c r="AG6944" s="1"/>
    </row>
    <row r="6945" ht="15.75" customHeight="1">
      <c r="A6945" s="1"/>
      <c r="B6945" s="1"/>
      <c r="C6945" s="1"/>
      <c r="D6945" s="1"/>
      <c r="E6945" s="1"/>
      <c r="F6945" s="1"/>
      <c r="G6945" s="1"/>
      <c r="H6945" s="1"/>
      <c r="I6945" s="1"/>
      <c r="J6945" s="1"/>
      <c r="K6945" s="102" t="s">
        <v>10721</v>
      </c>
      <c r="L6945" t="str">
        <f>K1039</f>
        <v>J2a1a2b2a2a~</v>
      </c>
      <c r="M6945" s="102"/>
      <c r="N6945" s="1"/>
      <c r="O6945" s="114">
        <v>1.3652702E7</v>
      </c>
      <c r="P6945" s="105">
        <v>1.1497026E7</v>
      </c>
      <c r="Q6945" s="102" t="s">
        <v>2439</v>
      </c>
      <c r="S6945" s="1"/>
      <c r="T6945" s="1"/>
      <c r="U6945" s="1"/>
      <c r="V6945" s="1"/>
      <c r="W6945" s="1"/>
      <c r="X6945" s="1"/>
      <c r="Y6945" s="1"/>
      <c r="AA6945" s="102"/>
      <c r="AB6945" s="1"/>
      <c r="AC6945" s="1"/>
      <c r="AD6945" s="1"/>
      <c r="AE6945" s="1"/>
      <c r="AF6945" s="1"/>
      <c r="AG6945" s="1"/>
    </row>
    <row r="6946" ht="15.75" customHeight="1">
      <c r="A6946" s="1"/>
      <c r="B6946" s="1"/>
      <c r="C6946" s="1"/>
      <c r="D6946" s="1"/>
      <c r="E6946" s="1"/>
      <c r="F6946" s="1"/>
      <c r="G6946" s="1"/>
      <c r="H6946" s="1"/>
      <c r="I6946" s="1"/>
      <c r="J6946" s="1"/>
      <c r="K6946" s="102" t="s">
        <v>10722</v>
      </c>
      <c r="L6946" t="str">
        <f>K1039</f>
        <v>J2a1a2b2a2a~</v>
      </c>
      <c r="M6946" s="102"/>
      <c r="N6946" s="1"/>
      <c r="O6946" s="114">
        <v>1.3844115E7</v>
      </c>
      <c r="P6946" s="105">
        <v>1.1723409E7</v>
      </c>
      <c r="Q6946" s="102" t="s">
        <v>2533</v>
      </c>
      <c r="S6946" s="1"/>
      <c r="T6946" s="1"/>
      <c r="U6946" s="1"/>
      <c r="V6946" s="1"/>
      <c r="W6946" s="1"/>
      <c r="X6946" s="1"/>
      <c r="Y6946" s="1"/>
      <c r="AA6946" s="102"/>
      <c r="AB6946" s="1"/>
      <c r="AC6946" s="1"/>
      <c r="AD6946" s="1"/>
      <c r="AE6946" s="1"/>
      <c r="AF6946" s="1"/>
      <c r="AG6946" s="1"/>
    </row>
    <row r="6947" ht="15.75" customHeight="1">
      <c r="A6947" s="1"/>
      <c r="B6947" s="1"/>
      <c r="C6947" s="1"/>
      <c r="D6947" s="1"/>
      <c r="E6947" s="1"/>
      <c r="F6947" s="1"/>
      <c r="G6947" s="1"/>
      <c r="H6947" s="1"/>
      <c r="I6947" s="1"/>
      <c r="J6947" s="1"/>
      <c r="K6947" s="102" t="s">
        <v>10723</v>
      </c>
      <c r="L6947" t="str">
        <f>K1039</f>
        <v>J2a1a2b2a2a~</v>
      </c>
      <c r="M6947" s="102"/>
      <c r="N6947" s="1" t="s">
        <v>10724</v>
      </c>
      <c r="O6947" s="114">
        <v>1.4559288E7</v>
      </c>
      <c r="P6947" s="105">
        <v>1.2447489E7</v>
      </c>
      <c r="Q6947" s="102" t="s">
        <v>2439</v>
      </c>
      <c r="S6947" s="1"/>
      <c r="T6947" s="1"/>
      <c r="U6947" s="1"/>
      <c r="V6947" s="1"/>
      <c r="W6947" s="1"/>
      <c r="X6947" s="1"/>
      <c r="Y6947" s="1"/>
      <c r="AA6947" s="102"/>
      <c r="AB6947" s="1"/>
      <c r="AC6947" s="1"/>
      <c r="AD6947" s="1"/>
      <c r="AE6947" s="1"/>
      <c r="AF6947" s="1"/>
      <c r="AG6947" s="1"/>
    </row>
    <row r="6948" ht="15.75" customHeight="1">
      <c r="A6948" s="1"/>
      <c r="B6948" s="1"/>
      <c r="C6948" s="1"/>
      <c r="D6948" s="1"/>
      <c r="E6948" s="1"/>
      <c r="F6948" s="1"/>
      <c r="G6948" s="1"/>
      <c r="H6948" s="1"/>
      <c r="I6948" s="1"/>
      <c r="J6948" s="1"/>
      <c r="K6948" s="102" t="s">
        <v>10725</v>
      </c>
      <c r="L6948" t="str">
        <f>K1039</f>
        <v>J2a1a2b2a2a~</v>
      </c>
      <c r="M6948" s="102"/>
      <c r="N6948" s="1" t="s">
        <v>10726</v>
      </c>
      <c r="O6948" s="114">
        <v>1.4728051E7</v>
      </c>
      <c r="P6948" s="105">
        <v>1.2616119E7</v>
      </c>
      <c r="Q6948" s="102" t="s">
        <v>2501</v>
      </c>
      <c r="S6948" s="1"/>
      <c r="T6948" s="1"/>
      <c r="U6948" s="1"/>
      <c r="V6948" s="1"/>
      <c r="W6948" s="1"/>
      <c r="X6948" s="1"/>
      <c r="Y6948" s="1"/>
      <c r="AA6948" s="102"/>
      <c r="AB6948" s="1"/>
      <c r="AC6948" s="1"/>
      <c r="AD6948" s="1"/>
      <c r="AE6948" s="1"/>
      <c r="AF6948" s="1"/>
      <c r="AG6948" s="1"/>
    </row>
    <row r="6949" ht="15.75" customHeight="1">
      <c r="A6949" s="1"/>
      <c r="B6949" s="1"/>
      <c r="C6949" s="1"/>
      <c r="D6949" s="1"/>
      <c r="E6949" s="1"/>
      <c r="F6949" s="1"/>
      <c r="G6949" s="1"/>
      <c r="H6949" s="1"/>
      <c r="I6949" s="1"/>
      <c r="J6949" s="1"/>
      <c r="K6949" s="102" t="s">
        <v>10727</v>
      </c>
      <c r="L6949" t="str">
        <f>K1039</f>
        <v>J2a1a2b2a2a~</v>
      </c>
      <c r="M6949" s="102"/>
      <c r="N6949" s="1" t="s">
        <v>10728</v>
      </c>
      <c r="O6949" s="114">
        <v>1.5070049E7</v>
      </c>
      <c r="P6949" s="105">
        <v>1.295814E7</v>
      </c>
      <c r="Q6949" s="102" t="s">
        <v>2529</v>
      </c>
      <c r="S6949" s="1"/>
      <c r="T6949" s="1"/>
      <c r="U6949" s="1"/>
      <c r="V6949" s="1"/>
      <c r="W6949" s="1"/>
      <c r="X6949" s="1"/>
      <c r="Y6949" s="1"/>
      <c r="AA6949" s="102"/>
      <c r="AB6949" s="1"/>
      <c r="AC6949" s="1"/>
      <c r="AD6949" s="1"/>
      <c r="AE6949" s="1"/>
      <c r="AF6949" s="1"/>
      <c r="AG6949" s="1"/>
    </row>
    <row r="6950" ht="15.75" customHeight="1">
      <c r="A6950" s="1"/>
      <c r="B6950" s="1"/>
      <c r="C6950" s="1"/>
      <c r="D6950" s="1"/>
      <c r="E6950" s="1"/>
      <c r="F6950" s="1"/>
      <c r="G6950" s="1"/>
      <c r="H6950" s="1"/>
      <c r="I6950" s="1"/>
      <c r="J6950" s="1"/>
      <c r="K6950" s="102" t="s">
        <v>10729</v>
      </c>
      <c r="L6950" t="str">
        <f>K1039</f>
        <v>J2a1a2b2a2a~</v>
      </c>
      <c r="M6950" s="102"/>
      <c r="N6950" s="1" t="s">
        <v>10730</v>
      </c>
      <c r="O6950" s="114">
        <v>1.5859096E7</v>
      </c>
      <c r="P6950" s="105">
        <v>1.3747216E7</v>
      </c>
      <c r="Q6950" s="102" t="s">
        <v>2468</v>
      </c>
      <c r="S6950" s="1"/>
      <c r="T6950" s="1"/>
      <c r="U6950" s="1"/>
      <c r="V6950" s="1"/>
      <c r="W6950" s="1"/>
      <c r="X6950" s="1"/>
      <c r="Y6950" s="1"/>
      <c r="AA6950" s="102"/>
      <c r="AB6950" s="1"/>
      <c r="AC6950" s="1"/>
      <c r="AD6950" s="1"/>
      <c r="AE6950" s="1"/>
      <c r="AF6950" s="1"/>
      <c r="AG6950" s="1"/>
    </row>
    <row r="6951" ht="15.75" customHeight="1">
      <c r="A6951" s="1"/>
      <c r="B6951" s="1"/>
      <c r="C6951" s="1"/>
      <c r="D6951" s="1"/>
      <c r="E6951" s="1"/>
      <c r="F6951" s="1"/>
      <c r="G6951" s="1"/>
      <c r="H6951" s="1"/>
      <c r="I6951" s="1"/>
      <c r="J6951" s="1"/>
      <c r="K6951" s="102" t="s">
        <v>10731</v>
      </c>
      <c r="L6951" t="str">
        <f>K1039</f>
        <v>J2a1a2b2a2a~</v>
      </c>
      <c r="M6951" s="102"/>
      <c r="N6951" s="1" t="s">
        <v>10732</v>
      </c>
      <c r="O6951" s="114">
        <v>1.5910492E7</v>
      </c>
      <c r="P6951" s="105">
        <v>1.3798612E7</v>
      </c>
      <c r="Q6951" s="102" t="s">
        <v>2529</v>
      </c>
      <c r="S6951" s="1"/>
      <c r="T6951" s="1"/>
      <c r="U6951" s="1"/>
      <c r="V6951" s="1"/>
      <c r="W6951" s="1"/>
      <c r="X6951" s="1"/>
      <c r="Y6951" s="1"/>
      <c r="AA6951" s="102"/>
      <c r="AB6951" s="1"/>
      <c r="AC6951" s="1"/>
      <c r="AD6951" s="1"/>
      <c r="AE6951" s="1"/>
      <c r="AF6951" s="1"/>
      <c r="AG6951" s="1"/>
    </row>
    <row r="6952" ht="15.75" customHeight="1">
      <c r="A6952" s="1"/>
      <c r="B6952" s="1"/>
      <c r="C6952" s="1"/>
      <c r="D6952" s="1"/>
      <c r="E6952" s="1"/>
      <c r="F6952" s="1"/>
      <c r="G6952" s="1"/>
      <c r="H6952" s="1"/>
      <c r="I6952" s="1"/>
      <c r="J6952" s="1"/>
      <c r="K6952" s="102" t="s">
        <v>10733</v>
      </c>
      <c r="L6952" t="str">
        <f>K1039</f>
        <v>J2a1a2b2a2a~</v>
      </c>
      <c r="M6952" s="102"/>
      <c r="N6952" s="1" t="s">
        <v>10734</v>
      </c>
      <c r="O6952" s="114">
        <v>1.6650399E7</v>
      </c>
      <c r="P6952" s="105">
        <v>1.4538519E7</v>
      </c>
      <c r="Q6952" s="102" t="s">
        <v>2432</v>
      </c>
      <c r="S6952" s="1"/>
      <c r="T6952" s="1"/>
      <c r="U6952" s="1"/>
      <c r="V6952" s="1"/>
      <c r="W6952" s="1"/>
      <c r="X6952" s="1"/>
      <c r="Y6952" s="1"/>
      <c r="AA6952" s="102"/>
      <c r="AB6952" s="1"/>
      <c r="AC6952" s="1"/>
      <c r="AD6952" s="1"/>
      <c r="AE6952" s="1"/>
      <c r="AF6952" s="1"/>
      <c r="AG6952" s="1"/>
    </row>
    <row r="6953" ht="15.75" customHeight="1">
      <c r="A6953" s="1"/>
      <c r="B6953" s="1"/>
      <c r="C6953" s="1"/>
      <c r="D6953" s="1"/>
      <c r="E6953" s="1"/>
      <c r="F6953" s="1"/>
      <c r="G6953" s="1"/>
      <c r="H6953" s="1"/>
      <c r="I6953" s="1"/>
      <c r="J6953" s="1"/>
      <c r="K6953" s="102" t="s">
        <v>10735</v>
      </c>
      <c r="L6953" t="str">
        <f>K1039</f>
        <v>J2a1a2b2a2a~</v>
      </c>
      <c r="M6953" s="102"/>
      <c r="N6953" s="1" t="s">
        <v>10736</v>
      </c>
      <c r="O6953" s="114">
        <v>1.740821E7</v>
      </c>
      <c r="P6953" s="105">
        <v>1.529633E7</v>
      </c>
      <c r="Q6953" s="102" t="s">
        <v>2529</v>
      </c>
      <c r="S6953" s="1"/>
      <c r="T6953" s="1"/>
      <c r="U6953" s="1"/>
      <c r="V6953" s="1"/>
      <c r="W6953" s="1"/>
      <c r="X6953" s="1"/>
      <c r="Y6953" s="1"/>
      <c r="AA6953" s="102"/>
      <c r="AB6953" s="1"/>
      <c r="AC6953" s="1"/>
      <c r="AD6953" s="1"/>
      <c r="AE6953" s="1"/>
      <c r="AF6953" s="1"/>
      <c r="AG6953" s="1"/>
    </row>
    <row r="6954" ht="15.75" customHeight="1">
      <c r="A6954" s="1"/>
      <c r="B6954" s="1"/>
      <c r="C6954" s="1"/>
      <c r="D6954" s="1"/>
      <c r="E6954" s="1"/>
      <c r="F6954" s="1"/>
      <c r="G6954" s="1"/>
      <c r="H6954" s="1"/>
      <c r="I6954" s="1"/>
      <c r="J6954" s="1"/>
      <c r="K6954" s="102" t="s">
        <v>10737</v>
      </c>
      <c r="L6954" t="str">
        <f>K1039</f>
        <v>J2a1a2b2a2a~</v>
      </c>
      <c r="M6954" s="102"/>
      <c r="N6954" s="1" t="s">
        <v>10738</v>
      </c>
      <c r="O6954" s="114">
        <v>1.7510005E7</v>
      </c>
      <c r="P6954" s="105">
        <v>1.5398125E7</v>
      </c>
      <c r="Q6954" s="102" t="s">
        <v>2446</v>
      </c>
      <c r="S6954" s="1"/>
      <c r="T6954" s="1"/>
      <c r="U6954" s="1"/>
      <c r="V6954" s="1"/>
      <c r="W6954" s="1"/>
      <c r="X6954" s="1"/>
      <c r="Y6954" s="1"/>
      <c r="AA6954" s="102"/>
      <c r="AB6954" s="1"/>
      <c r="AC6954" s="1"/>
      <c r="AD6954" s="1"/>
      <c r="AE6954" s="1"/>
      <c r="AF6954" s="1"/>
      <c r="AG6954" s="1"/>
    </row>
    <row r="6955" ht="15.75" customHeight="1">
      <c r="A6955" s="1"/>
      <c r="B6955" s="1"/>
      <c r="C6955" s="1"/>
      <c r="D6955" s="1"/>
      <c r="E6955" s="1"/>
      <c r="F6955" s="1"/>
      <c r="G6955" s="1"/>
      <c r="H6955" s="1"/>
      <c r="I6955" s="1"/>
      <c r="J6955" s="1"/>
      <c r="K6955" s="102" t="s">
        <v>10739</v>
      </c>
      <c r="L6955" t="str">
        <f>K1039</f>
        <v>J2a1a2b2a2a~</v>
      </c>
      <c r="M6955" s="102"/>
      <c r="N6955" s="1" t="s">
        <v>10740</v>
      </c>
      <c r="O6955" s="114">
        <v>1.7809948E7</v>
      </c>
      <c r="P6955" s="105">
        <v>1.5698068E7</v>
      </c>
      <c r="Q6955" s="102" t="s">
        <v>2468</v>
      </c>
      <c r="S6955" s="1"/>
      <c r="T6955" s="1"/>
      <c r="U6955" s="1"/>
      <c r="V6955" s="1"/>
      <c r="W6955" s="1"/>
      <c r="X6955" s="1"/>
      <c r="Y6955" s="1"/>
      <c r="AA6955" s="102"/>
      <c r="AB6955" s="1"/>
      <c r="AC6955" s="1"/>
      <c r="AD6955" s="1"/>
      <c r="AE6955" s="1"/>
      <c r="AF6955" s="1"/>
      <c r="AG6955" s="1"/>
    </row>
    <row r="6956" ht="15.75" customHeight="1">
      <c r="A6956" s="1"/>
      <c r="B6956" s="1"/>
      <c r="C6956" s="1"/>
      <c r="D6956" s="1"/>
      <c r="E6956" s="1"/>
      <c r="F6956" s="1"/>
      <c r="G6956" s="1"/>
      <c r="H6956" s="1"/>
      <c r="I6956" s="1"/>
      <c r="J6956" s="1"/>
      <c r="K6956" s="102" t="s">
        <v>10741</v>
      </c>
      <c r="L6956" t="str">
        <f>K1039</f>
        <v>J2a1a2b2a2a~</v>
      </c>
      <c r="M6956" s="102"/>
      <c r="N6956" s="127" t="s">
        <v>10742</v>
      </c>
      <c r="O6956" s="114">
        <v>1.8704512E7</v>
      </c>
      <c r="P6956" s="105">
        <v>1.6592632E7</v>
      </c>
      <c r="Q6956" s="102" t="s">
        <v>2529</v>
      </c>
      <c r="S6956" s="1"/>
      <c r="T6956" s="1"/>
      <c r="U6956" s="1"/>
      <c r="V6956" s="1"/>
      <c r="W6956" s="1"/>
      <c r="X6956" s="1"/>
      <c r="Y6956" s="1"/>
      <c r="AA6956" s="102"/>
      <c r="AB6956" s="1"/>
      <c r="AC6956" s="1"/>
      <c r="AD6956" s="1"/>
      <c r="AE6956" s="1"/>
      <c r="AF6956" s="1"/>
      <c r="AG6956" s="1"/>
    </row>
    <row r="6957" ht="15.75" customHeight="1">
      <c r="A6957" s="1"/>
      <c r="B6957" s="1"/>
      <c r="C6957" s="1"/>
      <c r="D6957" s="1"/>
      <c r="E6957" s="1"/>
      <c r="F6957" s="1"/>
      <c r="G6957" s="1"/>
      <c r="H6957" s="1"/>
      <c r="I6957" s="1"/>
      <c r="J6957" s="1"/>
      <c r="K6957" s="102" t="s">
        <v>10743</v>
      </c>
      <c r="L6957" t="str">
        <f>K1039</f>
        <v>J2a1a2b2a2a~</v>
      </c>
      <c r="M6957" s="102"/>
      <c r="N6957" s="1" t="s">
        <v>10744</v>
      </c>
      <c r="O6957" s="114">
        <v>1.905891E7</v>
      </c>
      <c r="P6957" s="105">
        <v>1.694703E7</v>
      </c>
      <c r="Q6957" s="102" t="s">
        <v>2501</v>
      </c>
      <c r="S6957" s="1"/>
      <c r="T6957" s="1"/>
      <c r="U6957" s="1"/>
      <c r="V6957" s="1"/>
      <c r="W6957" s="1"/>
      <c r="X6957" s="1"/>
      <c r="Y6957" s="1"/>
      <c r="AA6957" s="102"/>
      <c r="AB6957" s="1"/>
      <c r="AC6957" s="1"/>
      <c r="AD6957" s="1"/>
      <c r="AE6957" s="1"/>
      <c r="AF6957" s="1"/>
      <c r="AG6957" s="1"/>
    </row>
    <row r="6958" ht="15.75" customHeight="1">
      <c r="A6958" s="1"/>
      <c r="B6958" s="1"/>
      <c r="C6958" s="1"/>
      <c r="D6958" s="1"/>
      <c r="E6958" s="1"/>
      <c r="F6958" s="1"/>
      <c r="G6958" s="1"/>
      <c r="H6958" s="1"/>
      <c r="I6958" s="1"/>
      <c r="J6958" s="1"/>
      <c r="K6958" s="102" t="s">
        <v>10745</v>
      </c>
      <c r="L6958" t="str">
        <f>K1039</f>
        <v>J2a1a2b2a2a~</v>
      </c>
      <c r="M6958" s="102"/>
      <c r="N6958" s="1" t="s">
        <v>10746</v>
      </c>
      <c r="O6958" s="114">
        <v>1.9065514E7</v>
      </c>
      <c r="P6958" s="105">
        <v>1.6953634E7</v>
      </c>
      <c r="Q6958" s="102" t="s">
        <v>2454</v>
      </c>
      <c r="S6958" s="1"/>
      <c r="T6958" s="1"/>
      <c r="U6958" s="1"/>
      <c r="V6958" s="1"/>
      <c r="W6958" s="1"/>
      <c r="X6958" s="1"/>
      <c r="Y6958" s="1"/>
      <c r="AA6958" s="102"/>
      <c r="AB6958" s="1"/>
      <c r="AC6958" s="1"/>
      <c r="AD6958" s="1"/>
      <c r="AE6958" s="1"/>
      <c r="AF6958" s="1"/>
      <c r="AG6958" s="1"/>
    </row>
    <row r="6959" ht="15.75" customHeight="1">
      <c r="A6959" s="1"/>
      <c r="B6959" s="1"/>
      <c r="C6959" s="1"/>
      <c r="D6959" s="1"/>
      <c r="E6959" s="1"/>
      <c r="F6959" s="1"/>
      <c r="G6959" s="1"/>
      <c r="H6959" s="1"/>
      <c r="I6959" s="1"/>
      <c r="J6959" s="1"/>
      <c r="K6959" s="102" t="s">
        <v>10747</v>
      </c>
      <c r="L6959" t="str">
        <f>K1039</f>
        <v>J2a1a2b2a2a~</v>
      </c>
      <c r="M6959" s="102"/>
      <c r="N6959" s="1"/>
      <c r="O6959" s="114">
        <v>1.953317E7</v>
      </c>
      <c r="P6959" s="105">
        <v>1.742129E7</v>
      </c>
      <c r="Q6959" s="102" t="s">
        <v>2501</v>
      </c>
      <c r="S6959" s="1"/>
      <c r="T6959" s="1"/>
      <c r="U6959" s="1"/>
      <c r="V6959" s="1"/>
      <c r="W6959" s="1"/>
      <c r="X6959" s="1"/>
      <c r="Y6959" s="1"/>
      <c r="AA6959" s="102"/>
      <c r="AB6959" s="1"/>
      <c r="AC6959" s="1"/>
      <c r="AD6959" s="1"/>
      <c r="AE6959" s="1"/>
      <c r="AF6959" s="1"/>
      <c r="AG6959" s="1"/>
    </row>
    <row r="6960" ht="15.75" customHeight="1">
      <c r="A6960" s="1"/>
      <c r="B6960" s="1"/>
      <c r="C6960" s="1"/>
      <c r="D6960" s="1"/>
      <c r="E6960" s="1"/>
      <c r="F6960" s="1"/>
      <c r="G6960" s="1"/>
      <c r="H6960" s="1"/>
      <c r="I6960" s="1"/>
      <c r="J6960" s="1"/>
      <c r="K6960" s="102" t="s">
        <v>10748</v>
      </c>
      <c r="L6960" t="str">
        <f>K1039</f>
        <v>J2a1a2b2a2a~</v>
      </c>
      <c r="M6960" s="102"/>
      <c r="N6960" s="1"/>
      <c r="O6960" s="114">
        <v>2.0818836E7</v>
      </c>
      <c r="P6960" s="105">
        <v>1.865695E7</v>
      </c>
      <c r="Q6960" s="102" t="s">
        <v>2576</v>
      </c>
      <c r="S6960" s="1"/>
      <c r="T6960" s="1"/>
      <c r="U6960" s="1"/>
      <c r="V6960" s="1"/>
      <c r="W6960" s="1"/>
      <c r="X6960" s="1"/>
      <c r="Y6960" s="1"/>
      <c r="AA6960" s="102"/>
      <c r="AB6960" s="1"/>
      <c r="AC6960" s="1"/>
      <c r="AD6960" s="1"/>
      <c r="AE6960" s="1"/>
      <c r="AF6960" s="1"/>
      <c r="AG6960" s="1"/>
    </row>
    <row r="6961" ht="15.75" customHeight="1">
      <c r="A6961" s="1"/>
      <c r="B6961" s="1"/>
      <c r="C6961" s="1"/>
      <c r="D6961" s="1"/>
      <c r="E6961" s="1"/>
      <c r="F6961" s="1"/>
      <c r="G6961" s="1"/>
      <c r="H6961" s="1"/>
      <c r="I6961" s="1"/>
      <c r="J6961" s="1"/>
      <c r="K6961" s="102" t="s">
        <v>10749</v>
      </c>
      <c r="L6961" t="str">
        <f>K1039</f>
        <v>J2a1a2b2a2a~</v>
      </c>
      <c r="M6961" s="102"/>
      <c r="N6961" s="1"/>
      <c r="O6961" s="114">
        <v>2.0832549E7</v>
      </c>
      <c r="P6961" s="105">
        <v>1.8670663E7</v>
      </c>
      <c r="Q6961" s="102" t="s">
        <v>2454</v>
      </c>
      <c r="S6961" s="1"/>
      <c r="T6961" s="1"/>
      <c r="U6961" s="1"/>
      <c r="V6961" s="1"/>
      <c r="W6961" s="1"/>
      <c r="X6961" s="1"/>
      <c r="Y6961" s="1"/>
      <c r="AA6961" s="102"/>
      <c r="AB6961" s="1"/>
      <c r="AC6961" s="1"/>
      <c r="AD6961" s="1"/>
      <c r="AE6961" s="1"/>
      <c r="AF6961" s="1"/>
      <c r="AG6961" s="1"/>
    </row>
    <row r="6962" ht="15.75" customHeight="1">
      <c r="A6962" s="1"/>
      <c r="B6962" s="1"/>
      <c r="C6962" s="1"/>
      <c r="D6962" s="1"/>
      <c r="E6962" s="1"/>
      <c r="F6962" s="1"/>
      <c r="G6962" s="1"/>
      <c r="H6962" s="1"/>
      <c r="I6962" s="1"/>
      <c r="J6962" s="1"/>
      <c r="K6962" s="102" t="s">
        <v>10750</v>
      </c>
      <c r="L6962" t="str">
        <f>K1039</f>
        <v>J2a1a2b2a2a~</v>
      </c>
      <c r="M6962" s="102"/>
      <c r="N6962" s="1" t="s">
        <v>10751</v>
      </c>
      <c r="O6962" s="114">
        <v>2.1115801E7</v>
      </c>
      <c r="P6962" s="105">
        <v>1.8953915E7</v>
      </c>
      <c r="Q6962" s="102" t="s">
        <v>2501</v>
      </c>
      <c r="S6962" s="1"/>
      <c r="T6962" s="1"/>
      <c r="U6962" s="1"/>
      <c r="V6962" s="1"/>
      <c r="W6962" s="1"/>
      <c r="X6962" s="1"/>
      <c r="Y6962" s="1"/>
      <c r="AA6962" s="102"/>
      <c r="AB6962" s="1"/>
      <c r="AC6962" s="1"/>
      <c r="AD6962" s="1"/>
      <c r="AE6962" s="1"/>
      <c r="AF6962" s="1"/>
      <c r="AG6962" s="1"/>
    </row>
    <row r="6963" ht="15.75" customHeight="1">
      <c r="A6963" s="1"/>
      <c r="B6963" s="1"/>
      <c r="C6963" s="1"/>
      <c r="D6963" s="1"/>
      <c r="E6963" s="1"/>
      <c r="F6963" s="1"/>
      <c r="G6963" s="1"/>
      <c r="H6963" s="1"/>
      <c r="I6963" s="1"/>
      <c r="J6963" s="1"/>
      <c r="K6963" s="102" t="s">
        <v>10752</v>
      </c>
      <c r="L6963" t="str">
        <f>K1039</f>
        <v>J2a1a2b2a2a~</v>
      </c>
      <c r="M6963" s="102"/>
      <c r="N6963" s="1" t="s">
        <v>10753</v>
      </c>
      <c r="O6963" s="114">
        <v>2.1259598E7</v>
      </c>
      <c r="P6963" s="105">
        <v>1.9097712E7</v>
      </c>
      <c r="Q6963" s="102" t="s">
        <v>2533</v>
      </c>
      <c r="S6963" s="1"/>
      <c r="T6963" s="1"/>
      <c r="U6963" s="1"/>
      <c r="V6963" s="1"/>
      <c r="W6963" s="1"/>
      <c r="X6963" s="1"/>
      <c r="Y6963" s="1"/>
      <c r="AA6963" s="102"/>
      <c r="AB6963" s="1"/>
      <c r="AC6963" s="1"/>
      <c r="AD6963" s="1"/>
      <c r="AE6963" s="1"/>
      <c r="AF6963" s="1"/>
      <c r="AG6963" s="1"/>
    </row>
    <row r="6964" ht="15.75" customHeight="1">
      <c r="A6964" s="1"/>
      <c r="B6964" s="1"/>
      <c r="C6964" s="1"/>
      <c r="D6964" s="1"/>
      <c r="E6964" s="1"/>
      <c r="F6964" s="1"/>
      <c r="G6964" s="1"/>
      <c r="H6964" s="1"/>
      <c r="I6964" s="1"/>
      <c r="J6964" s="1"/>
      <c r="K6964" s="102" t="s">
        <v>10754</v>
      </c>
      <c r="L6964" t="str">
        <f>K1039</f>
        <v>J2a1a2b2a2a~</v>
      </c>
      <c r="M6964" s="102"/>
      <c r="N6964" s="1" t="s">
        <v>10755</v>
      </c>
      <c r="O6964" s="114">
        <v>2.145499E7</v>
      </c>
      <c r="P6964" s="105">
        <v>1.9293104E7</v>
      </c>
      <c r="Q6964" s="102" t="s">
        <v>2514</v>
      </c>
      <c r="S6964" s="1"/>
      <c r="T6964" s="1"/>
      <c r="U6964" s="1"/>
      <c r="V6964" s="1"/>
      <c r="W6964" s="1"/>
      <c r="X6964" s="1"/>
      <c r="Y6964" s="1"/>
      <c r="AA6964" s="102"/>
      <c r="AB6964" s="1"/>
      <c r="AC6964" s="1"/>
      <c r="AD6964" s="1"/>
      <c r="AE6964" s="1"/>
      <c r="AF6964" s="1"/>
      <c r="AG6964" s="1"/>
    </row>
    <row r="6965" ht="15.75" customHeight="1">
      <c r="A6965" s="1"/>
      <c r="B6965" s="1"/>
      <c r="C6965" s="1"/>
      <c r="D6965" s="1"/>
      <c r="E6965" s="1"/>
      <c r="F6965" s="1"/>
      <c r="G6965" s="1"/>
      <c r="H6965" s="1"/>
      <c r="I6965" s="1"/>
      <c r="J6965" s="1"/>
      <c r="K6965" s="102" t="s">
        <v>10756</v>
      </c>
      <c r="L6965" t="str">
        <f>K1039</f>
        <v>J2a1a2b2a2a~</v>
      </c>
      <c r="M6965" s="102"/>
      <c r="N6965" s="1" t="s">
        <v>10757</v>
      </c>
      <c r="O6965" s="114">
        <v>2.156862E7</v>
      </c>
      <c r="P6965" s="105">
        <v>1.9406734E7</v>
      </c>
      <c r="Q6965" s="102" t="s">
        <v>2446</v>
      </c>
      <c r="S6965" s="1"/>
      <c r="T6965" s="1"/>
      <c r="U6965" s="1"/>
      <c r="V6965" s="1"/>
      <c r="W6965" s="1"/>
      <c r="X6965" s="1"/>
      <c r="Y6965" s="1"/>
      <c r="AA6965" s="102"/>
      <c r="AB6965" s="1"/>
      <c r="AC6965" s="1"/>
      <c r="AD6965" s="1"/>
      <c r="AE6965" s="1"/>
      <c r="AF6965" s="1"/>
      <c r="AG6965" s="1"/>
    </row>
    <row r="6966" ht="15.75" customHeight="1">
      <c r="A6966" s="1"/>
      <c r="B6966" s="1"/>
      <c r="C6966" s="1"/>
      <c r="D6966" s="1"/>
      <c r="E6966" s="1"/>
      <c r="F6966" s="1"/>
      <c r="G6966" s="1"/>
      <c r="H6966" s="1"/>
      <c r="I6966" s="1"/>
      <c r="J6966" s="1"/>
      <c r="K6966" s="102" t="s">
        <v>10758</v>
      </c>
      <c r="L6966" t="str">
        <f>K1039</f>
        <v>J2a1a2b2a2a~</v>
      </c>
      <c r="M6966" s="102"/>
      <c r="N6966" s="1" t="s">
        <v>10759</v>
      </c>
      <c r="O6966" s="114">
        <v>2.1582974E7</v>
      </c>
      <c r="P6966" s="105">
        <v>1.9421088E7</v>
      </c>
      <c r="Q6966" s="102" t="s">
        <v>2501</v>
      </c>
      <c r="S6966" s="1"/>
      <c r="T6966" s="1"/>
      <c r="U6966" s="1"/>
      <c r="V6966" s="1"/>
      <c r="W6966" s="1"/>
      <c r="X6966" s="1"/>
      <c r="Y6966" s="1"/>
      <c r="AA6966" s="102"/>
      <c r="AB6966" s="1"/>
      <c r="AC6966" s="1"/>
      <c r="AD6966" s="1"/>
      <c r="AE6966" s="1"/>
      <c r="AF6966" s="1"/>
      <c r="AG6966" s="1"/>
    </row>
    <row r="6967" ht="15.75" customHeight="1">
      <c r="A6967" s="1"/>
      <c r="B6967" s="1"/>
      <c r="C6967" s="1"/>
      <c r="D6967" s="1"/>
      <c r="E6967" s="1"/>
      <c r="F6967" s="1"/>
      <c r="G6967" s="1"/>
      <c r="H6967" s="1"/>
      <c r="I6967" s="1"/>
      <c r="J6967" s="1"/>
      <c r="K6967" s="102" t="s">
        <v>10760</v>
      </c>
      <c r="L6967" t="str">
        <f>K1039</f>
        <v>J2a1a2b2a2a~</v>
      </c>
      <c r="M6967" s="102"/>
      <c r="N6967" s="1" t="s">
        <v>10761</v>
      </c>
      <c r="O6967" s="114">
        <v>2.1654014E7</v>
      </c>
      <c r="P6967" s="105">
        <v>1.9492128E7</v>
      </c>
      <c r="Q6967" s="102" t="s">
        <v>2501</v>
      </c>
      <c r="S6967" s="1"/>
      <c r="T6967" s="1"/>
      <c r="U6967" s="1"/>
      <c r="V6967" s="1"/>
      <c r="W6967" s="1"/>
      <c r="X6967" s="1"/>
      <c r="Y6967" s="1"/>
      <c r="AA6967" s="102"/>
      <c r="AB6967" s="1"/>
      <c r="AC6967" s="1"/>
      <c r="AD6967" s="1"/>
      <c r="AE6967" s="1"/>
      <c r="AF6967" s="1"/>
      <c r="AG6967" s="1"/>
    </row>
    <row r="6968" ht="15.75" customHeight="1">
      <c r="A6968" s="1"/>
      <c r="B6968" s="1"/>
      <c r="C6968" s="1"/>
      <c r="D6968" s="1"/>
      <c r="E6968" s="1"/>
      <c r="F6968" s="1"/>
      <c r="G6968" s="1"/>
      <c r="H6968" s="1"/>
      <c r="I6968" s="1"/>
      <c r="J6968" s="1"/>
      <c r="K6968" s="102" t="s">
        <v>10762</v>
      </c>
      <c r="L6968" t="str">
        <f>K1039</f>
        <v>J2a1a2b2a2a~</v>
      </c>
      <c r="M6968" s="102"/>
      <c r="N6968" s="1" t="s">
        <v>10763</v>
      </c>
      <c r="O6968" s="114">
        <v>2.1864033E7</v>
      </c>
      <c r="P6968" s="105">
        <v>1.9702147E7</v>
      </c>
      <c r="Q6968" s="102" t="s">
        <v>2501</v>
      </c>
      <c r="S6968" s="1"/>
      <c r="T6968" s="1"/>
      <c r="U6968" s="1"/>
      <c r="V6968" s="1"/>
      <c r="W6968" s="1"/>
      <c r="X6968" s="1"/>
      <c r="Y6968" s="1"/>
      <c r="AA6968" s="102"/>
      <c r="AB6968" s="1"/>
      <c r="AC6968" s="1"/>
      <c r="AD6968" s="1"/>
      <c r="AE6968" s="1"/>
      <c r="AF6968" s="1"/>
      <c r="AG6968" s="1"/>
    </row>
    <row r="6969" ht="15.75" customHeight="1">
      <c r="A6969" s="1"/>
      <c r="B6969" s="1"/>
      <c r="C6969" s="1"/>
      <c r="D6969" s="1"/>
      <c r="E6969" s="1"/>
      <c r="F6969" s="1"/>
      <c r="G6969" s="1"/>
      <c r="H6969" s="1"/>
      <c r="I6969" s="1"/>
      <c r="J6969" s="1"/>
      <c r="K6969" s="102" t="s">
        <v>10764</v>
      </c>
      <c r="L6969" t="str">
        <f>K1039</f>
        <v>J2a1a2b2a2a~</v>
      </c>
      <c r="M6969" s="102"/>
      <c r="N6969" s="1" t="s">
        <v>10765</v>
      </c>
      <c r="O6969" s="114">
        <v>2.2052231E7</v>
      </c>
      <c r="P6969" s="105">
        <v>1.9890345E7</v>
      </c>
      <c r="Q6969" s="102" t="s">
        <v>2501</v>
      </c>
      <c r="S6969" s="1"/>
      <c r="T6969" s="1"/>
      <c r="U6969" s="1"/>
      <c r="V6969" s="1"/>
      <c r="W6969" s="1"/>
      <c r="X6969" s="1"/>
      <c r="Y6969" s="1"/>
      <c r="AA6969" s="102"/>
      <c r="AB6969" s="1"/>
      <c r="AC6969" s="1"/>
      <c r="AD6969" s="1"/>
      <c r="AE6969" s="1"/>
      <c r="AF6969" s="1"/>
      <c r="AG6969" s="1"/>
    </row>
    <row r="6970" ht="15.75" customHeight="1">
      <c r="A6970" s="1"/>
      <c r="B6970" s="1"/>
      <c r="C6970" s="1"/>
      <c r="D6970" s="1"/>
      <c r="E6970" s="1"/>
      <c r="F6970" s="1"/>
      <c r="G6970" s="1"/>
      <c r="H6970" s="1"/>
      <c r="I6970" s="1"/>
      <c r="J6970" s="1"/>
      <c r="K6970" s="102" t="s">
        <v>10766</v>
      </c>
      <c r="L6970" t="str">
        <f>K1039</f>
        <v>J2a1a2b2a2a~</v>
      </c>
      <c r="M6970" s="102"/>
      <c r="N6970" s="1" t="s">
        <v>10767</v>
      </c>
      <c r="O6970" s="114">
        <v>2.2604208E7</v>
      </c>
      <c r="P6970" s="105">
        <v>2.0442322E7</v>
      </c>
      <c r="Q6970" s="102" t="s">
        <v>2501</v>
      </c>
      <c r="S6970" s="1"/>
      <c r="T6970" s="1"/>
      <c r="U6970" s="1"/>
      <c r="V6970" s="1"/>
      <c r="W6970" s="1"/>
      <c r="X6970" s="1"/>
      <c r="Y6970" s="1"/>
      <c r="AA6970" s="102"/>
      <c r="AB6970" s="1"/>
      <c r="AC6970" s="1"/>
      <c r="AD6970" s="1"/>
      <c r="AE6970" s="1"/>
      <c r="AF6970" s="1"/>
      <c r="AG6970" s="1"/>
    </row>
    <row r="6971" ht="15.75" customHeight="1">
      <c r="A6971" s="1"/>
      <c r="B6971" s="1"/>
      <c r="C6971" s="1"/>
      <c r="D6971" s="1"/>
      <c r="E6971" s="1"/>
      <c r="F6971" s="1"/>
      <c r="G6971" s="1"/>
      <c r="H6971" s="1"/>
      <c r="I6971" s="1"/>
      <c r="J6971" s="1"/>
      <c r="K6971" s="102" t="s">
        <v>10768</v>
      </c>
      <c r="L6971" t="str">
        <f>K1039</f>
        <v>J2a1a2b2a2a~</v>
      </c>
      <c r="M6971" s="102"/>
      <c r="N6971" s="1" t="s">
        <v>10769</v>
      </c>
      <c r="O6971" s="114">
        <v>2.2865302E7</v>
      </c>
      <c r="P6971" s="105">
        <v>2.0703416E7</v>
      </c>
      <c r="Q6971" s="102" t="s">
        <v>2501</v>
      </c>
      <c r="S6971" s="1"/>
      <c r="T6971" s="1"/>
      <c r="U6971" s="1"/>
      <c r="V6971" s="1"/>
      <c r="W6971" s="1"/>
      <c r="X6971" s="1"/>
      <c r="Y6971" s="1"/>
      <c r="AA6971" s="102"/>
      <c r="AB6971" s="1"/>
      <c r="AC6971" s="1"/>
      <c r="AD6971" s="1"/>
      <c r="AE6971" s="1"/>
      <c r="AF6971" s="1"/>
      <c r="AG6971" s="1"/>
    </row>
    <row r="6972" ht="15.75" customHeight="1">
      <c r="A6972" s="1"/>
      <c r="B6972" s="1"/>
      <c r="C6972" s="1"/>
      <c r="D6972" s="1"/>
      <c r="E6972" s="1"/>
      <c r="F6972" s="1"/>
      <c r="G6972" s="1"/>
      <c r="H6972" s="1"/>
      <c r="I6972" s="1"/>
      <c r="J6972" s="1"/>
      <c r="K6972" s="102" t="s">
        <v>10770</v>
      </c>
      <c r="L6972" t="str">
        <f>K1039</f>
        <v>J2a1a2b2a2a~</v>
      </c>
      <c r="M6972" s="102"/>
      <c r="N6972" s="1" t="s">
        <v>10771</v>
      </c>
      <c r="O6972" s="114">
        <v>2.2983123E7</v>
      </c>
      <c r="P6972" s="105">
        <v>2.0821237E7</v>
      </c>
      <c r="Q6972" s="102" t="s">
        <v>2454</v>
      </c>
      <c r="S6972" s="1"/>
      <c r="T6972" s="1"/>
      <c r="U6972" s="1"/>
      <c r="V6972" s="1"/>
      <c r="W6972" s="1"/>
      <c r="X6972" s="1"/>
      <c r="Y6972" s="1"/>
      <c r="AA6972" s="102"/>
      <c r="AB6972" s="1"/>
      <c r="AC6972" s="1"/>
      <c r="AD6972" s="1"/>
      <c r="AE6972" s="1"/>
      <c r="AF6972" s="1"/>
      <c r="AG6972" s="1"/>
    </row>
    <row r="6973" ht="15.75" customHeight="1">
      <c r="A6973" s="1"/>
      <c r="B6973" s="1"/>
      <c r="C6973" s="1"/>
      <c r="D6973" s="1"/>
      <c r="E6973" s="1"/>
      <c r="F6973" s="1"/>
      <c r="G6973" s="1"/>
      <c r="H6973" s="1"/>
      <c r="I6973" s="1"/>
      <c r="J6973" s="1"/>
      <c r="K6973" s="102" t="s">
        <v>10772</v>
      </c>
      <c r="L6973" t="str">
        <f>K1039</f>
        <v>J2a1a2b2a2a~</v>
      </c>
      <c r="M6973" s="102"/>
      <c r="N6973" s="1"/>
      <c r="O6973" s="114">
        <v>2.3237861E7</v>
      </c>
      <c r="P6973" s="105">
        <v>2.1075975E7</v>
      </c>
      <c r="Q6973" s="102" t="s">
        <v>2501</v>
      </c>
      <c r="S6973" s="1"/>
      <c r="T6973" s="1"/>
      <c r="U6973" s="1"/>
      <c r="V6973" s="1"/>
      <c r="W6973" s="1"/>
      <c r="X6973" s="1"/>
      <c r="Y6973" s="1"/>
      <c r="AA6973" s="102"/>
      <c r="AB6973" s="1"/>
      <c r="AC6973" s="1"/>
      <c r="AD6973" s="1"/>
      <c r="AE6973" s="1"/>
      <c r="AF6973" s="1"/>
      <c r="AG6973" s="1"/>
    </row>
    <row r="6974" ht="15.75" customHeight="1">
      <c r="A6974" s="1"/>
      <c r="B6974" s="1"/>
      <c r="C6974" s="1"/>
      <c r="D6974" s="1"/>
      <c r="E6974" s="1"/>
      <c r="F6974" s="1"/>
      <c r="G6974" s="1"/>
      <c r="H6974" s="1"/>
      <c r="I6974" s="1"/>
      <c r="J6974" s="1"/>
      <c r="K6974" s="102" t="s">
        <v>10773</v>
      </c>
      <c r="L6974" t="str">
        <f>K1039</f>
        <v>J2a1a2b2a2a~</v>
      </c>
      <c r="M6974" s="102"/>
      <c r="N6974" s="1" t="s">
        <v>10774</v>
      </c>
      <c r="O6974" s="114">
        <v>2.3324947E7</v>
      </c>
      <c r="P6974" s="105">
        <v>2.1163061E7</v>
      </c>
      <c r="Q6974" s="102" t="s">
        <v>2439</v>
      </c>
      <c r="S6974" s="1"/>
      <c r="T6974" s="1"/>
      <c r="U6974" s="1"/>
      <c r="V6974" s="1"/>
      <c r="W6974" s="1"/>
      <c r="X6974" s="1"/>
      <c r="Y6974" s="1"/>
      <c r="AA6974" s="102"/>
      <c r="AB6974" s="1"/>
      <c r="AC6974" s="1"/>
      <c r="AD6974" s="1"/>
      <c r="AE6974" s="1"/>
      <c r="AF6974" s="1"/>
      <c r="AG6974" s="1"/>
    </row>
    <row r="6975" ht="15.75" customHeight="1">
      <c r="A6975" s="1"/>
      <c r="B6975" s="1"/>
      <c r="C6975" s="1"/>
      <c r="D6975" s="1"/>
      <c r="E6975" s="1"/>
      <c r="F6975" s="1"/>
      <c r="G6975" s="1"/>
      <c r="H6975" s="1"/>
      <c r="I6975" s="1"/>
      <c r="J6975" s="1"/>
      <c r="K6975" s="102" t="s">
        <v>10775</v>
      </c>
      <c r="L6975" t="str">
        <f>K1039</f>
        <v>J2a1a2b2a2a~</v>
      </c>
      <c r="M6975" s="102"/>
      <c r="N6975" s="1"/>
      <c r="O6975" s="114">
        <v>2.3654359E7</v>
      </c>
      <c r="P6975" s="105">
        <v>2.1492473E7</v>
      </c>
      <c r="Q6975" s="102" t="s">
        <v>2423</v>
      </c>
      <c r="S6975" s="1"/>
      <c r="T6975" s="1"/>
      <c r="U6975" s="1"/>
      <c r="V6975" s="1"/>
      <c r="W6975" s="1"/>
      <c r="X6975" s="1"/>
      <c r="Y6975" s="1"/>
      <c r="AA6975" s="102"/>
      <c r="AB6975" s="1"/>
      <c r="AC6975" s="1"/>
      <c r="AD6975" s="1"/>
      <c r="AE6975" s="1"/>
      <c r="AF6975" s="1"/>
      <c r="AG6975" s="1"/>
    </row>
    <row r="6976" ht="15.75" customHeight="1">
      <c r="A6976" s="1"/>
      <c r="B6976" s="1"/>
      <c r="C6976" s="1"/>
      <c r="D6976" s="1"/>
      <c r="E6976" s="1"/>
      <c r="F6976" s="1"/>
      <c r="G6976" s="1"/>
      <c r="H6976" s="1"/>
      <c r="I6976" s="1"/>
      <c r="J6976" s="1"/>
      <c r="K6976" s="102" t="s">
        <v>10776</v>
      </c>
      <c r="L6976" t="str">
        <f>K1039</f>
        <v>J2a1a2b2a2a~</v>
      </c>
      <c r="M6976" s="102"/>
      <c r="N6976" s="1" t="s">
        <v>10777</v>
      </c>
      <c r="O6976" s="114">
        <v>2.377503E7</v>
      </c>
      <c r="P6976" s="105">
        <v>2.1613144E7</v>
      </c>
      <c r="Q6976" s="102" t="s">
        <v>2501</v>
      </c>
      <c r="S6976" s="1"/>
      <c r="T6976" s="1"/>
      <c r="U6976" s="1"/>
      <c r="V6976" s="1"/>
      <c r="W6976" s="1"/>
      <c r="X6976" s="1"/>
      <c r="Y6976" s="1"/>
      <c r="AA6976" s="102"/>
      <c r="AB6976" s="1"/>
      <c r="AC6976" s="1"/>
      <c r="AD6976" s="1"/>
      <c r="AE6976" s="1"/>
      <c r="AF6976" s="1"/>
      <c r="AG6976" s="1"/>
    </row>
    <row r="6977" ht="15.75" customHeight="1">
      <c r="A6977" s="1"/>
      <c r="B6977" s="1"/>
      <c r="C6977" s="1"/>
      <c r="D6977" s="1"/>
      <c r="E6977" s="1"/>
      <c r="F6977" s="1"/>
      <c r="G6977" s="1"/>
      <c r="H6977" s="1"/>
      <c r="I6977" s="1"/>
      <c r="J6977" s="1"/>
      <c r="K6977" s="102" t="s">
        <v>10778</v>
      </c>
      <c r="L6977" t="str">
        <f>K1039</f>
        <v>J2a1a2b2a2a~</v>
      </c>
      <c r="M6977" s="102"/>
      <c r="N6977" s="1" t="s">
        <v>10779</v>
      </c>
      <c r="O6977" s="114">
        <v>2.4429377E7</v>
      </c>
      <c r="P6977" s="105">
        <v>2.228323E7</v>
      </c>
      <c r="Q6977" s="102" t="s">
        <v>2563</v>
      </c>
      <c r="S6977" s="1"/>
      <c r="T6977" s="1"/>
      <c r="U6977" s="1"/>
      <c r="V6977" s="1"/>
      <c r="W6977" s="1"/>
      <c r="X6977" s="1"/>
      <c r="Y6977" s="1"/>
      <c r="AA6977" s="102"/>
      <c r="AB6977" s="1"/>
      <c r="AC6977" s="1"/>
      <c r="AD6977" s="1"/>
      <c r="AE6977" s="1"/>
      <c r="AF6977" s="1"/>
      <c r="AG6977" s="1"/>
    </row>
    <row r="6978" ht="15.75" customHeight="1">
      <c r="A6978" s="1"/>
      <c r="B6978" s="1"/>
      <c r="C6978" s="1"/>
      <c r="D6978" s="1"/>
      <c r="E6978" s="1"/>
      <c r="F6978" s="1"/>
      <c r="G6978" s="1"/>
      <c r="H6978" s="1"/>
      <c r="I6978" s="1"/>
      <c r="J6978" s="1"/>
      <c r="K6978" s="102" t="s">
        <v>10780</v>
      </c>
      <c r="L6978" t="str">
        <f>K1039</f>
        <v>J2a1a2b2a2a~</v>
      </c>
      <c r="M6978" s="102"/>
      <c r="N6978" s="1" t="s">
        <v>10781</v>
      </c>
      <c r="O6978" s="114">
        <v>2.8514414E7</v>
      </c>
      <c r="P6978" s="114">
        <v>2.6368267E7</v>
      </c>
      <c r="Q6978" s="1" t="s">
        <v>2514</v>
      </c>
      <c r="S6978" s="1"/>
      <c r="T6978" s="1"/>
      <c r="U6978" s="1"/>
      <c r="V6978" s="1"/>
      <c r="W6978" s="1"/>
      <c r="X6978" s="1"/>
      <c r="Y6978" s="1"/>
      <c r="AA6978" s="102"/>
      <c r="AB6978" s="1"/>
      <c r="AC6978" s="1"/>
      <c r="AD6978" s="1"/>
      <c r="AE6978" s="1"/>
      <c r="AF6978" s="1"/>
      <c r="AG6978" s="1"/>
    </row>
    <row r="6979" ht="15.75" customHeight="1">
      <c r="A6979" s="1"/>
      <c r="B6979" s="1"/>
      <c r="C6979" s="1"/>
      <c r="D6979" s="1"/>
      <c r="E6979" s="1"/>
      <c r="F6979" s="1"/>
      <c r="G6979" s="1"/>
      <c r="H6979" s="1"/>
      <c r="I6979" s="1"/>
      <c r="J6979" s="1"/>
      <c r="K6979" s="102" t="s">
        <v>10782</v>
      </c>
      <c r="L6979" t="str">
        <f>K1039</f>
        <v>J2a1a2b2a2a~</v>
      </c>
      <c r="M6979" s="102"/>
      <c r="N6979" s="1" t="s">
        <v>10783</v>
      </c>
      <c r="O6979" s="114">
        <v>2.8651354E7</v>
      </c>
      <c r="P6979" s="105">
        <v>2.6505207E7</v>
      </c>
      <c r="Q6979" s="102" t="s">
        <v>2529</v>
      </c>
      <c r="S6979" s="1"/>
      <c r="T6979" s="1"/>
      <c r="U6979" s="1"/>
      <c r="V6979" s="1"/>
      <c r="W6979" s="1"/>
      <c r="X6979" s="1"/>
      <c r="Y6979" s="1"/>
      <c r="AA6979" s="102"/>
      <c r="AB6979" s="1"/>
      <c r="AC6979" s="1"/>
      <c r="AD6979" s="1"/>
      <c r="AE6979" s="1"/>
      <c r="AF6979" s="1"/>
      <c r="AG6979" s="1"/>
    </row>
    <row r="6980" ht="15.75" customHeight="1">
      <c r="A6980" s="1"/>
      <c r="B6980" s="1"/>
      <c r="C6980" s="1"/>
      <c r="D6980" s="1"/>
      <c r="E6980" s="1"/>
      <c r="F6980" s="1"/>
      <c r="G6980" s="1"/>
      <c r="H6980" s="1"/>
      <c r="I6980" s="1"/>
      <c r="J6980" s="1"/>
      <c r="K6980" s="106" t="s">
        <v>2045</v>
      </c>
      <c r="L6980" t="str">
        <f t="shared" ref="L6980:L6981" si="184">L1040</f>
        <v>J2a1a2b2a2a1~</v>
      </c>
      <c r="M6980" s="102"/>
      <c r="N6980" s="1"/>
      <c r="O6980" s="114">
        <v>2.3994742E7</v>
      </c>
      <c r="P6980" s="105">
        <v>2.1848595E7</v>
      </c>
      <c r="Q6980" s="102" t="s">
        <v>2439</v>
      </c>
      <c r="S6980" s="1"/>
      <c r="T6980" s="1"/>
      <c r="U6980" s="1"/>
      <c r="V6980" s="1"/>
      <c r="W6980" s="1"/>
      <c r="X6980" s="1"/>
      <c r="Y6980" s="1"/>
      <c r="AA6980" s="102"/>
      <c r="AB6980" s="1"/>
      <c r="AC6980" s="1"/>
      <c r="AD6980" s="1"/>
      <c r="AE6980" s="1"/>
      <c r="AF6980" s="1"/>
      <c r="AG6980" s="1"/>
    </row>
    <row r="6981" ht="15.75" customHeight="1">
      <c r="A6981" s="1"/>
      <c r="B6981" s="1"/>
      <c r="C6981" s="1"/>
      <c r="D6981" s="1"/>
      <c r="E6981" s="1"/>
      <c r="F6981" s="1"/>
      <c r="G6981" s="1"/>
      <c r="H6981" s="1"/>
      <c r="I6981" s="1"/>
      <c r="J6981" s="1"/>
      <c r="K6981" s="106" t="s">
        <v>2047</v>
      </c>
      <c r="L6981" t="str">
        <f t="shared" si="184"/>
        <v>J2a1a2b2a2a2</v>
      </c>
      <c r="M6981" s="102"/>
      <c r="N6981" s="113" t="s">
        <v>10784</v>
      </c>
      <c r="O6981" s="111">
        <v>2.18787E7</v>
      </c>
      <c r="P6981" s="111">
        <v>1.9716814E7</v>
      </c>
      <c r="Q6981" s="112" t="s">
        <v>2468</v>
      </c>
      <c r="S6981" s="1"/>
      <c r="T6981" s="1"/>
      <c r="U6981" s="1"/>
      <c r="V6981" s="1"/>
      <c r="W6981" s="1"/>
      <c r="X6981" s="1"/>
      <c r="Y6981" s="1"/>
      <c r="AA6981" s="102"/>
      <c r="AB6981" s="1"/>
      <c r="AC6981" s="1"/>
      <c r="AD6981" s="1"/>
      <c r="AE6981" s="1"/>
      <c r="AF6981" s="1"/>
      <c r="AG6981" s="1"/>
    </row>
    <row r="6982" ht="15.75" customHeight="1">
      <c r="A6982" s="1"/>
      <c r="B6982" s="1"/>
      <c r="C6982" s="1"/>
      <c r="D6982" s="1"/>
      <c r="E6982" s="1"/>
      <c r="F6982" s="1"/>
      <c r="G6982" s="1"/>
      <c r="H6982" s="1"/>
      <c r="I6982" s="1"/>
      <c r="J6982" s="1"/>
      <c r="K6982" s="106" t="s">
        <v>2049</v>
      </c>
      <c r="L6982" t="str">
        <f>M1042</f>
        <v>J2a1a2b2a2a2a~</v>
      </c>
      <c r="M6982" s="102"/>
      <c r="N6982" s="1" t="s">
        <v>10785</v>
      </c>
      <c r="O6982" s="114">
        <v>2.3050678E7</v>
      </c>
      <c r="P6982" s="105">
        <v>2.0888792E7</v>
      </c>
      <c r="Q6982" s="102" t="s">
        <v>2576</v>
      </c>
      <c r="S6982" s="1"/>
      <c r="T6982" s="1"/>
      <c r="U6982" s="1"/>
      <c r="V6982" s="1"/>
      <c r="W6982" s="1"/>
      <c r="X6982" s="1"/>
      <c r="Y6982" s="1"/>
      <c r="AA6982" s="102"/>
      <c r="AB6982" s="1"/>
      <c r="AC6982" s="1"/>
      <c r="AD6982" s="1"/>
      <c r="AE6982" s="1"/>
      <c r="AF6982" s="1"/>
      <c r="AG6982" s="1"/>
    </row>
    <row r="6983" ht="15.75" customHeight="1">
      <c r="A6983" s="1"/>
      <c r="B6983" s="1"/>
      <c r="C6983" s="1"/>
      <c r="D6983" s="1"/>
      <c r="E6983" s="1"/>
      <c r="F6983" s="1"/>
      <c r="G6983" s="1"/>
      <c r="H6983" s="1"/>
      <c r="I6983" s="1"/>
      <c r="J6983" s="1"/>
      <c r="K6983" s="42" t="s">
        <v>2051</v>
      </c>
      <c r="L6983" t="str">
        <f>K1043</f>
        <v>J2a1a2b2a2b~</v>
      </c>
      <c r="N6983" s="1"/>
      <c r="O6983" s="114">
        <v>2.3399807E7</v>
      </c>
      <c r="P6983" s="105">
        <v>2.1237921E7</v>
      </c>
      <c r="Q6983" s="102" t="s">
        <v>2432</v>
      </c>
      <c r="S6983" s="1"/>
      <c r="T6983" s="1"/>
      <c r="U6983" s="1"/>
      <c r="V6983" s="1"/>
      <c r="W6983" s="1"/>
      <c r="X6983" s="1"/>
      <c r="Y6983" s="1"/>
      <c r="AA6983" s="102"/>
      <c r="AB6983" s="1"/>
      <c r="AC6983" s="1"/>
      <c r="AD6983" s="1"/>
      <c r="AE6983" s="1"/>
      <c r="AF6983" s="1"/>
      <c r="AG6983" s="1"/>
    </row>
    <row r="6984" ht="15.75" customHeight="1">
      <c r="A6984" s="1"/>
      <c r="B6984" s="1"/>
      <c r="C6984" s="1"/>
      <c r="D6984" s="1"/>
      <c r="E6984" s="1"/>
      <c r="F6984" s="1"/>
      <c r="G6984" s="1"/>
      <c r="H6984" s="1"/>
      <c r="I6984" s="1"/>
      <c r="J6984" s="1"/>
      <c r="K6984" s="42" t="s">
        <v>2053</v>
      </c>
      <c r="L6984" t="str">
        <f>L1044</f>
        <v>J2a1a2b2a2b1~</v>
      </c>
      <c r="N6984" s="1"/>
      <c r="O6984" s="114">
        <v>6989690.0</v>
      </c>
      <c r="P6984" s="105">
        <v>7121649.0</v>
      </c>
      <c r="Q6984" s="102" t="s">
        <v>2439</v>
      </c>
      <c r="S6984" s="1"/>
      <c r="T6984" s="1"/>
      <c r="U6984" s="1"/>
      <c r="V6984" s="1"/>
      <c r="W6984" s="1"/>
      <c r="X6984" s="1"/>
      <c r="Y6984" s="1"/>
      <c r="AA6984" s="102"/>
      <c r="AB6984" s="1"/>
      <c r="AC6984" s="1"/>
      <c r="AD6984" s="1"/>
      <c r="AE6984" s="1"/>
      <c r="AF6984" s="1"/>
      <c r="AG6984" s="1"/>
    </row>
    <row r="6985" ht="15.75" customHeight="1">
      <c r="A6985" s="1"/>
      <c r="B6985" s="1"/>
      <c r="C6985" s="1"/>
      <c r="D6985" s="1"/>
      <c r="E6985" s="1"/>
      <c r="F6985" s="1"/>
      <c r="G6985" s="1"/>
      <c r="H6985" s="1"/>
      <c r="I6985" s="1"/>
      <c r="J6985" s="1"/>
      <c r="K6985" s="42" t="s">
        <v>2055</v>
      </c>
      <c r="L6985" t="str">
        <f>M1045</f>
        <v>J2a1a2b2a2b1a~</v>
      </c>
      <c r="N6985" s="1"/>
      <c r="O6985" s="114">
        <v>7340105.0</v>
      </c>
      <c r="P6985" s="105">
        <v>7472064.0</v>
      </c>
      <c r="Q6985" s="102" t="s">
        <v>2501</v>
      </c>
      <c r="S6985" s="1"/>
      <c r="T6985" s="1"/>
      <c r="U6985" s="1"/>
      <c r="V6985" s="1"/>
      <c r="W6985" s="1"/>
      <c r="X6985" s="1"/>
      <c r="Y6985" s="1"/>
      <c r="AA6985" s="102"/>
      <c r="AB6985" s="1"/>
      <c r="AC6985" s="1"/>
      <c r="AD6985" s="1"/>
      <c r="AE6985" s="1"/>
      <c r="AF6985" s="1"/>
      <c r="AG6985" s="1"/>
    </row>
    <row r="6986" ht="15.75" customHeight="1">
      <c r="A6986" s="1"/>
      <c r="B6986" s="1"/>
      <c r="C6986" s="1"/>
      <c r="D6986" s="1"/>
      <c r="E6986" s="1"/>
      <c r="F6986" s="1"/>
      <c r="G6986" s="1"/>
      <c r="H6986" s="1"/>
      <c r="I6986" s="1"/>
      <c r="J6986" s="1"/>
      <c r="K6986" s="42" t="s">
        <v>2057</v>
      </c>
      <c r="L6986" t="str">
        <f>L1046</f>
        <v>J2a1a2b2a2b2~</v>
      </c>
      <c r="N6986" s="1"/>
      <c r="O6986" s="114">
        <v>7084274.0</v>
      </c>
      <c r="P6986" s="105">
        <v>7216233.0</v>
      </c>
      <c r="Q6986" s="102" t="s">
        <v>2439</v>
      </c>
      <c r="S6986" s="1"/>
      <c r="T6986" s="1"/>
      <c r="U6986" s="1"/>
      <c r="V6986" s="1"/>
      <c r="W6986" s="1"/>
      <c r="X6986" s="1"/>
      <c r="Y6986" s="1"/>
      <c r="AA6986" s="102"/>
      <c r="AB6986" s="1"/>
      <c r="AC6986" s="1"/>
      <c r="AD6986" s="1"/>
      <c r="AE6986" s="1"/>
      <c r="AF6986" s="1"/>
      <c r="AG6986" s="1"/>
    </row>
    <row r="6987" ht="15.75" customHeight="1">
      <c r="A6987" s="1"/>
      <c r="B6987" s="1"/>
      <c r="C6987" s="1"/>
      <c r="D6987" s="1"/>
      <c r="E6987" s="1"/>
      <c r="F6987" s="1"/>
      <c r="G6987" s="1"/>
      <c r="H6987" s="1"/>
      <c r="I6987" s="1"/>
      <c r="J6987" s="1"/>
      <c r="K6987" s="42" t="s">
        <v>2059</v>
      </c>
      <c r="L6987" t="str">
        <f>M1047</f>
        <v>J2a1a2b2a2b2a~</v>
      </c>
      <c r="N6987" s="1" t="s">
        <v>10786</v>
      </c>
      <c r="O6987" s="114">
        <v>1.8043394E7</v>
      </c>
      <c r="P6987" s="105">
        <v>1.5931514E7</v>
      </c>
      <c r="Q6987" s="102" t="s">
        <v>2468</v>
      </c>
      <c r="S6987" s="1"/>
      <c r="T6987" s="1"/>
      <c r="U6987" s="1"/>
      <c r="V6987" s="1"/>
      <c r="W6987" s="1"/>
      <c r="X6987" s="1"/>
      <c r="Y6987" s="1"/>
      <c r="AA6987" s="102"/>
      <c r="AB6987" s="1"/>
      <c r="AC6987" s="1"/>
      <c r="AD6987" s="1"/>
      <c r="AE6987" s="1"/>
      <c r="AF6987" s="1"/>
      <c r="AG6987" s="1"/>
    </row>
    <row r="6988" ht="15.75" customHeight="1">
      <c r="A6988" s="1"/>
      <c r="B6988" s="1"/>
      <c r="C6988" s="1"/>
      <c r="D6988" s="1"/>
      <c r="E6988" s="1"/>
      <c r="F6988" s="1"/>
      <c r="G6988" s="1"/>
      <c r="H6988" s="1"/>
      <c r="I6988" s="1"/>
      <c r="J6988" s="1"/>
      <c r="K6988" s="42" t="s">
        <v>2061</v>
      </c>
      <c r="L6988" t="str">
        <f t="shared" ref="L6988:L6989" si="185">N1048</f>
        <v>J2a1a2b2a2b2a1~</v>
      </c>
      <c r="N6988" s="1"/>
      <c r="O6988" s="114">
        <v>1.5115187E7</v>
      </c>
      <c r="P6988" s="105">
        <v>1.3003274E7</v>
      </c>
      <c r="Q6988" s="102" t="s">
        <v>2576</v>
      </c>
      <c r="S6988" s="1"/>
      <c r="T6988" s="1"/>
      <c r="U6988" s="1"/>
      <c r="V6988" s="1"/>
      <c r="W6988" s="1"/>
      <c r="X6988" s="1"/>
      <c r="Y6988" s="1"/>
      <c r="AA6988" s="102"/>
      <c r="AB6988" s="1"/>
      <c r="AC6988" s="1"/>
      <c r="AD6988" s="1"/>
      <c r="AE6988" s="1"/>
      <c r="AF6988" s="1"/>
      <c r="AG6988" s="1"/>
    </row>
    <row r="6989" ht="15.75" customHeight="1">
      <c r="A6989" s="1"/>
      <c r="B6989" s="1"/>
      <c r="C6989" s="1"/>
      <c r="D6989" s="1"/>
      <c r="E6989" s="1"/>
      <c r="F6989" s="1"/>
      <c r="G6989" s="1"/>
      <c r="H6989" s="1"/>
      <c r="I6989" s="1"/>
      <c r="J6989" s="1"/>
      <c r="K6989" s="42" t="s">
        <v>2063</v>
      </c>
      <c r="L6989" t="str">
        <f t="shared" si="185"/>
        <v>J2a1a2b2a2b2a2~</v>
      </c>
      <c r="N6989" s="1" t="s">
        <v>10787</v>
      </c>
      <c r="O6989" s="114">
        <v>1.8602947E7</v>
      </c>
      <c r="P6989" s="105">
        <v>1.6491067E7</v>
      </c>
      <c r="Q6989" s="102" t="s">
        <v>2432</v>
      </c>
      <c r="S6989" s="1"/>
      <c r="T6989" s="1"/>
      <c r="U6989" s="1"/>
      <c r="V6989" s="1"/>
      <c r="W6989" s="1"/>
      <c r="X6989" s="1"/>
      <c r="Y6989" s="1"/>
      <c r="AA6989" s="102"/>
      <c r="AB6989" s="1"/>
      <c r="AC6989" s="1"/>
      <c r="AD6989" s="1"/>
      <c r="AE6989" s="1"/>
      <c r="AF6989" s="1"/>
      <c r="AG6989" s="1"/>
    </row>
    <row r="6990" ht="15.75" customHeight="1">
      <c r="A6990" s="1"/>
      <c r="B6990" s="1"/>
      <c r="C6990" s="1"/>
      <c r="D6990" s="1"/>
      <c r="E6990" s="1"/>
      <c r="F6990" s="1"/>
      <c r="G6990" s="1"/>
      <c r="H6990" s="1"/>
      <c r="I6990" s="1"/>
      <c r="J6990" s="1"/>
      <c r="K6990" s="42" t="s">
        <v>2065</v>
      </c>
      <c r="L6990" t="str">
        <f>O1050</f>
        <v>J2a1a2b2a2b2a2a~</v>
      </c>
      <c r="N6990" s="1" t="s">
        <v>10788</v>
      </c>
      <c r="O6990" s="114">
        <v>1.9021265E7</v>
      </c>
      <c r="P6990" s="105">
        <v>1.6909385E7</v>
      </c>
      <c r="Q6990" s="102" t="s">
        <v>2501</v>
      </c>
      <c r="S6990" s="1"/>
      <c r="T6990" s="1"/>
      <c r="U6990" s="1"/>
      <c r="V6990" s="1"/>
      <c r="W6990" s="1"/>
      <c r="X6990" s="1"/>
      <c r="Y6990" s="1"/>
      <c r="AA6990" s="102"/>
      <c r="AB6990" s="1"/>
      <c r="AC6990" s="1"/>
      <c r="AD6990" s="1"/>
      <c r="AE6990" s="1"/>
      <c r="AF6990" s="1"/>
      <c r="AG6990" s="1"/>
    </row>
    <row r="6991" ht="15.75" customHeight="1">
      <c r="A6991" s="1"/>
      <c r="B6991" s="1"/>
      <c r="C6991" s="1"/>
      <c r="D6991" s="1"/>
      <c r="E6991" s="1"/>
      <c r="F6991" s="1"/>
      <c r="G6991" s="1"/>
      <c r="H6991" s="1"/>
      <c r="I6991" s="1"/>
      <c r="J6991" s="1"/>
      <c r="K6991" s="42" t="s">
        <v>2067</v>
      </c>
      <c r="L6991" t="str">
        <f>P1051</f>
        <v>J2a1a2b2a2b2a2a1~</v>
      </c>
      <c r="N6991" s="1"/>
      <c r="O6991" s="114">
        <v>1.6772684E7</v>
      </c>
      <c r="P6991" s="105">
        <v>1.4660804E7</v>
      </c>
      <c r="Q6991" s="102" t="s">
        <v>2446</v>
      </c>
      <c r="S6991" s="1"/>
      <c r="T6991" s="1"/>
      <c r="U6991" s="1"/>
      <c r="V6991" s="1"/>
      <c r="W6991" s="1"/>
      <c r="X6991" s="1"/>
      <c r="Y6991" s="1"/>
      <c r="AA6991" s="102"/>
      <c r="AB6991" s="1"/>
      <c r="AC6991" s="1"/>
      <c r="AD6991" s="1"/>
      <c r="AE6991" s="1"/>
      <c r="AF6991" s="1"/>
      <c r="AG6991" s="1"/>
    </row>
    <row r="6992" ht="15.75" customHeight="1">
      <c r="A6992" s="1"/>
      <c r="B6992" s="1"/>
      <c r="C6992" s="1"/>
      <c r="D6992" s="1"/>
      <c r="E6992" s="1"/>
      <c r="F6992" s="1"/>
      <c r="G6992" s="1"/>
      <c r="H6992" s="1"/>
      <c r="I6992" s="1"/>
      <c r="J6992" s="1"/>
      <c r="K6992" s="42" t="s">
        <v>2069</v>
      </c>
      <c r="L6992" t="str">
        <f>O1052</f>
        <v>J2a1a2b2a2b2a2b~</v>
      </c>
      <c r="N6992" s="1" t="s">
        <v>10789</v>
      </c>
      <c r="O6992" s="114">
        <v>1.74897E7</v>
      </c>
      <c r="P6992" s="105">
        <v>1.537782E7</v>
      </c>
      <c r="Q6992" s="102" t="s">
        <v>2529</v>
      </c>
      <c r="S6992" s="1"/>
      <c r="T6992" s="1"/>
      <c r="U6992" s="1"/>
      <c r="V6992" s="1"/>
      <c r="W6992" s="1"/>
      <c r="X6992" s="1"/>
      <c r="Y6992" s="1"/>
      <c r="AA6992" s="102"/>
      <c r="AB6992" s="1"/>
      <c r="AC6992" s="1"/>
      <c r="AD6992" s="1"/>
      <c r="AE6992" s="1"/>
      <c r="AF6992" s="1"/>
      <c r="AG6992" s="1"/>
    </row>
    <row r="6993" ht="15.75" customHeight="1">
      <c r="A6993" s="1"/>
      <c r="B6993" s="1"/>
      <c r="C6993" s="1"/>
      <c r="D6993" s="1"/>
      <c r="E6993" s="1"/>
      <c r="F6993" s="1"/>
      <c r="G6993" s="1"/>
      <c r="H6993" s="1"/>
      <c r="I6993" s="1"/>
      <c r="J6993" s="1"/>
      <c r="K6993" s="42" t="s">
        <v>2071</v>
      </c>
      <c r="L6993" t="str">
        <f t="shared" ref="L6993:L6994" si="186">P1053</f>
        <v>J2a1a2b2a2b2a2b1~</v>
      </c>
      <c r="N6993" s="1" t="s">
        <v>10790</v>
      </c>
      <c r="O6993" s="114">
        <v>2.2923365E7</v>
      </c>
      <c r="P6993" s="105">
        <v>2.0761479E7</v>
      </c>
      <c r="Q6993" s="102" t="s">
        <v>2439</v>
      </c>
      <c r="S6993" s="1"/>
      <c r="T6993" s="1"/>
      <c r="U6993" s="1"/>
      <c r="V6993" s="1"/>
      <c r="W6993" s="1"/>
      <c r="X6993" s="1"/>
      <c r="Y6993" s="1"/>
      <c r="AA6993" s="102"/>
      <c r="AB6993" s="1"/>
      <c r="AC6993" s="1"/>
      <c r="AD6993" s="1"/>
      <c r="AE6993" s="1"/>
      <c r="AF6993" s="1"/>
      <c r="AG6993" s="1"/>
    </row>
    <row r="6994" ht="15.75" customHeight="1">
      <c r="A6994" s="1"/>
      <c r="B6994" s="1"/>
      <c r="C6994" s="1"/>
      <c r="D6994" s="1"/>
      <c r="E6994" s="1"/>
      <c r="F6994" s="1"/>
      <c r="G6994" s="1"/>
      <c r="H6994" s="1"/>
      <c r="I6994" s="1"/>
      <c r="J6994" s="1"/>
      <c r="K6994" s="42" t="s">
        <v>2073</v>
      </c>
      <c r="L6994" t="str">
        <f t="shared" si="186"/>
        <v>J2a1a2b2a2b2a2b2~</v>
      </c>
      <c r="N6994" s="1"/>
      <c r="O6994" s="114">
        <v>2.1144027E7</v>
      </c>
      <c r="P6994" s="105">
        <v>1.8982141E7</v>
      </c>
      <c r="Q6994" s="102" t="s">
        <v>2432</v>
      </c>
      <c r="S6994" s="1"/>
      <c r="T6994" s="1"/>
      <c r="U6994" s="1"/>
      <c r="V6994" s="1"/>
      <c r="W6994" s="1"/>
      <c r="X6994" s="1"/>
      <c r="Y6994" s="1"/>
      <c r="AA6994" s="102"/>
      <c r="AB6994" s="1"/>
      <c r="AC6994" s="1"/>
      <c r="AD6994" s="1"/>
      <c r="AE6994" s="1"/>
      <c r="AF6994" s="1"/>
      <c r="AG6994" s="1"/>
    </row>
    <row r="6995" ht="15.75" customHeight="1">
      <c r="A6995" s="1"/>
      <c r="B6995" s="1"/>
      <c r="C6995" s="1"/>
      <c r="D6995" s="1"/>
      <c r="E6995" s="1"/>
      <c r="F6995" s="1"/>
      <c r="G6995" s="1"/>
      <c r="H6995" s="1"/>
      <c r="I6995" s="1"/>
      <c r="J6995" s="1"/>
      <c r="K6995" s="42" t="s">
        <v>2075</v>
      </c>
      <c r="L6995" t="str">
        <f>Q1055</f>
        <v>J2a1a2b2a2b2a2b2a~</v>
      </c>
      <c r="N6995" s="1"/>
      <c r="O6995" s="114">
        <v>2.4424835E7</v>
      </c>
      <c r="P6995" s="105">
        <v>2.2278688E7</v>
      </c>
      <c r="Q6995" s="102" t="s">
        <v>2439</v>
      </c>
      <c r="S6995" s="1"/>
      <c r="T6995" s="1"/>
      <c r="U6995" s="1"/>
      <c r="V6995" s="1"/>
      <c r="W6995" s="1"/>
      <c r="X6995" s="1"/>
      <c r="Y6995" s="1"/>
      <c r="AA6995" s="102"/>
      <c r="AB6995" s="1"/>
      <c r="AC6995" s="1"/>
      <c r="AD6995" s="1"/>
      <c r="AE6995" s="1"/>
      <c r="AF6995" s="1"/>
      <c r="AG6995" s="1"/>
    </row>
    <row r="6996" ht="15.75" customHeight="1">
      <c r="A6996" s="1"/>
      <c r="B6996" s="1"/>
      <c r="C6996" s="1"/>
      <c r="D6996" s="1"/>
      <c r="E6996" s="1"/>
      <c r="F6996" s="1"/>
      <c r="G6996" s="1"/>
      <c r="H6996" s="1"/>
      <c r="I6996" s="1"/>
      <c r="J6996" s="1"/>
      <c r="K6996" s="128" t="s">
        <v>2077</v>
      </c>
      <c r="L6996" t="str">
        <f>R1056</f>
        <v>J2a1a2b2a2b2a2b2a1~</v>
      </c>
      <c r="N6996" s="1" t="s">
        <v>10791</v>
      </c>
      <c r="O6996" s="114">
        <v>7561488.0</v>
      </c>
      <c r="P6996" s="105">
        <v>7693447.0</v>
      </c>
      <c r="Q6996" s="102" t="s">
        <v>2468</v>
      </c>
      <c r="S6996" s="1"/>
      <c r="T6996" s="1"/>
      <c r="U6996" s="1"/>
      <c r="V6996" s="1"/>
      <c r="W6996" s="1"/>
      <c r="X6996" s="1"/>
      <c r="Y6996" s="1"/>
      <c r="AA6996" s="102"/>
      <c r="AB6996" s="1"/>
      <c r="AC6996" s="1"/>
      <c r="AD6996" s="1"/>
      <c r="AE6996" s="1"/>
      <c r="AF6996" s="1"/>
      <c r="AG6996" s="1"/>
    </row>
    <row r="6997" ht="15.75" customHeight="1">
      <c r="A6997" s="1"/>
      <c r="B6997" s="1"/>
      <c r="C6997" s="1"/>
      <c r="D6997" s="1"/>
      <c r="E6997" s="1"/>
      <c r="F6997" s="1"/>
      <c r="G6997" s="1"/>
      <c r="H6997" s="1"/>
      <c r="I6997" s="1"/>
      <c r="J6997" s="1"/>
      <c r="K6997" s="42" t="s">
        <v>2079</v>
      </c>
      <c r="L6997" t="str">
        <f>S1057</f>
        <v>J2a1a2b2a2b2a2b2a1a~</v>
      </c>
      <c r="N6997" s="1"/>
      <c r="O6997" s="114">
        <v>1.3832921E7</v>
      </c>
      <c r="P6997" s="105">
        <v>1.1712215E7</v>
      </c>
      <c r="Q6997" s="102" t="s">
        <v>2439</v>
      </c>
      <c r="S6997" s="1"/>
      <c r="T6997" s="1"/>
      <c r="U6997" s="1"/>
      <c r="V6997" s="1"/>
      <c r="W6997" s="1"/>
      <c r="X6997" s="1"/>
      <c r="Y6997" s="1"/>
      <c r="AA6997" s="102"/>
      <c r="AB6997" s="1"/>
      <c r="AC6997" s="1"/>
      <c r="AD6997" s="1"/>
      <c r="AE6997" s="1"/>
      <c r="AF6997" s="1"/>
      <c r="AG6997" s="1"/>
    </row>
    <row r="6998" ht="15.75" customHeight="1">
      <c r="A6998" s="1"/>
      <c r="B6998" s="1"/>
      <c r="C6998" s="1"/>
      <c r="D6998" s="1"/>
      <c r="E6998" s="1"/>
      <c r="F6998" s="1"/>
      <c r="G6998" s="1"/>
      <c r="H6998" s="1"/>
      <c r="I6998" s="1"/>
      <c r="J6998" s="1"/>
      <c r="K6998" s="1" t="s">
        <v>10792</v>
      </c>
      <c r="L6998" s="102" t="str">
        <f>D1058</f>
        <v>J2a2~</v>
      </c>
      <c r="M6998" s="102"/>
      <c r="N6998" s="1" t="s">
        <v>10793</v>
      </c>
      <c r="O6998" s="114">
        <v>1.0038407E7</v>
      </c>
      <c r="P6998" s="105">
        <v>1.0200798E7</v>
      </c>
      <c r="Q6998" s="102" t="s">
        <v>2439</v>
      </c>
      <c r="S6998" s="1"/>
      <c r="T6998" s="1"/>
      <c r="U6998" s="1"/>
      <c r="V6998" s="1"/>
      <c r="W6998" s="1"/>
      <c r="X6998" s="1"/>
      <c r="Y6998" s="1"/>
      <c r="AA6998" s="102"/>
      <c r="AB6998" s="1"/>
      <c r="AC6998" s="1"/>
      <c r="AD6998" s="1"/>
      <c r="AE6998" s="1"/>
      <c r="AF6998" s="1"/>
      <c r="AG6998" s="1"/>
    </row>
    <row r="6999" ht="15.75" customHeight="1">
      <c r="A6999" s="1"/>
      <c r="B6999" s="1"/>
      <c r="C6999" s="1"/>
      <c r="D6999" s="1"/>
      <c r="E6999" s="1"/>
      <c r="F6999" s="1"/>
      <c r="G6999" s="1"/>
      <c r="H6999" s="1"/>
      <c r="I6999" s="1"/>
      <c r="J6999" s="1"/>
      <c r="K6999" s="102" t="s">
        <v>10794</v>
      </c>
      <c r="L6999" s="102" t="str">
        <f>D1058</f>
        <v>J2a2~</v>
      </c>
      <c r="M6999" s="102"/>
      <c r="N6999" s="1" t="s">
        <v>10795</v>
      </c>
      <c r="O6999" s="114">
        <v>7691561.0</v>
      </c>
      <c r="P6999" s="105">
        <v>7823520.0</v>
      </c>
      <c r="Q6999" s="102" t="s">
        <v>2529</v>
      </c>
      <c r="S6999" s="1"/>
      <c r="T6999" s="1"/>
      <c r="U6999" s="1"/>
      <c r="V6999" s="1"/>
      <c r="W6999" s="1"/>
      <c r="X6999" s="1"/>
      <c r="Y6999" s="1"/>
      <c r="AA6999" s="102"/>
      <c r="AB6999" s="1"/>
      <c r="AC6999" s="1"/>
      <c r="AD6999" s="1"/>
      <c r="AE6999" s="1"/>
      <c r="AF6999" s="1"/>
      <c r="AG6999" s="1"/>
    </row>
    <row r="7000" ht="15.75" customHeight="1">
      <c r="A7000" s="1"/>
      <c r="B7000" s="1"/>
      <c r="C7000" s="1"/>
      <c r="D7000" s="1"/>
      <c r="E7000" s="1"/>
      <c r="F7000" s="1"/>
      <c r="G7000" s="1"/>
      <c r="H7000" s="1"/>
      <c r="I7000" s="1"/>
      <c r="J7000" s="1"/>
      <c r="K7000" s="1" t="s">
        <v>10796</v>
      </c>
      <c r="L7000" s="1" t="str">
        <f>D1058</f>
        <v>J2a2~</v>
      </c>
      <c r="M7000" s="1"/>
      <c r="N7000" s="1" t="s">
        <v>10797</v>
      </c>
      <c r="O7000" s="114">
        <v>8761895.0</v>
      </c>
      <c r="P7000" s="114">
        <v>8893854.0</v>
      </c>
      <c r="Q7000" s="1" t="s">
        <v>2439</v>
      </c>
      <c r="S7000" s="1"/>
      <c r="T7000" s="1"/>
      <c r="U7000" s="1"/>
      <c r="V7000" s="1"/>
      <c r="W7000" s="1"/>
      <c r="X7000" s="1"/>
      <c r="Y7000" s="1"/>
      <c r="AA7000" s="102"/>
      <c r="AB7000" s="1"/>
      <c r="AC7000" s="1"/>
      <c r="AD7000" s="1"/>
      <c r="AE7000" s="1"/>
      <c r="AF7000" s="1"/>
      <c r="AG7000" s="1"/>
    </row>
    <row r="7001" ht="15.75" customHeight="1">
      <c r="A7001" s="1"/>
      <c r="B7001" s="1"/>
      <c r="C7001" s="1"/>
      <c r="D7001" s="1"/>
      <c r="E7001" s="1"/>
      <c r="F7001" s="1"/>
      <c r="G7001" s="1"/>
      <c r="H7001" s="1"/>
      <c r="I7001" s="1"/>
      <c r="J7001" s="1"/>
      <c r="K7001" s="1" t="s">
        <v>10798</v>
      </c>
      <c r="L7001" s="1" t="str">
        <f>D1058</f>
        <v>J2a2~</v>
      </c>
      <c r="M7001" s="1"/>
      <c r="N7001" s="1" t="s">
        <v>10799</v>
      </c>
      <c r="O7001" s="114">
        <v>1.4140099E7</v>
      </c>
      <c r="P7001" s="114">
        <v>1.2019393E7</v>
      </c>
      <c r="Q7001" s="1" t="s">
        <v>2501</v>
      </c>
      <c r="S7001" s="1"/>
      <c r="T7001" s="1"/>
      <c r="U7001" s="1"/>
      <c r="V7001" s="1"/>
      <c r="W7001" s="1"/>
      <c r="X7001" s="1"/>
      <c r="Y7001" s="1"/>
      <c r="AA7001" s="102"/>
      <c r="AB7001" s="1"/>
      <c r="AC7001" s="1"/>
      <c r="AD7001" s="1"/>
      <c r="AE7001" s="1"/>
      <c r="AF7001" s="1"/>
      <c r="AG7001" s="1"/>
    </row>
    <row r="7002" ht="15.75" customHeight="1">
      <c r="A7002" s="1"/>
      <c r="B7002" s="1"/>
      <c r="C7002" s="1"/>
      <c r="D7002" s="1"/>
      <c r="E7002" s="1"/>
      <c r="F7002" s="1"/>
      <c r="G7002" s="1"/>
      <c r="H7002" s="1"/>
      <c r="I7002" s="1"/>
      <c r="J7002" s="1"/>
      <c r="K7002" s="1" t="s">
        <v>10800</v>
      </c>
      <c r="L7002" s="1" t="str">
        <f>D1058</f>
        <v>J2a2~</v>
      </c>
      <c r="M7002" s="1"/>
      <c r="N7002" s="1" t="s">
        <v>10801</v>
      </c>
      <c r="O7002" s="114">
        <v>1.4588099E7</v>
      </c>
      <c r="P7002" s="114">
        <v>1.2476299E7</v>
      </c>
      <c r="Q7002" s="1" t="s">
        <v>2563</v>
      </c>
      <c r="S7002" s="1"/>
      <c r="T7002" s="1"/>
      <c r="U7002" s="1"/>
      <c r="V7002" s="1"/>
      <c r="W7002" s="1"/>
      <c r="X7002" s="1"/>
      <c r="Y7002" s="1"/>
      <c r="AA7002" s="102"/>
      <c r="AB7002" s="1"/>
      <c r="AC7002" s="1"/>
      <c r="AD7002" s="1"/>
      <c r="AE7002" s="1"/>
      <c r="AF7002" s="1"/>
      <c r="AG7002" s="1"/>
    </row>
    <row r="7003" ht="15.75" customHeight="1">
      <c r="A7003" s="1"/>
      <c r="B7003" s="1"/>
      <c r="C7003" s="1"/>
      <c r="D7003" s="1"/>
      <c r="E7003" s="1"/>
      <c r="F7003" s="1"/>
      <c r="G7003" s="1"/>
      <c r="H7003" s="1"/>
      <c r="I7003" s="1"/>
      <c r="J7003" s="1"/>
      <c r="K7003" s="102" t="s">
        <v>10802</v>
      </c>
      <c r="L7003" s="1" t="str">
        <f>D1058</f>
        <v>J2a2~</v>
      </c>
      <c r="M7003" s="1"/>
      <c r="N7003" s="1" t="s">
        <v>10803</v>
      </c>
      <c r="O7003" s="114">
        <v>1.7887537E7</v>
      </c>
      <c r="P7003" s="114">
        <v>1.5775657E7</v>
      </c>
      <c r="Q7003" s="1" t="s">
        <v>2529</v>
      </c>
      <c r="S7003" s="1"/>
      <c r="T7003" s="1"/>
      <c r="U7003" s="1"/>
      <c r="V7003" s="1"/>
      <c r="W7003" s="1"/>
      <c r="X7003" s="1"/>
      <c r="Y7003" s="1"/>
      <c r="AA7003" s="102"/>
      <c r="AB7003" s="1"/>
      <c r="AC7003" s="1"/>
      <c r="AD7003" s="1"/>
      <c r="AE7003" s="1"/>
      <c r="AF7003" s="1"/>
      <c r="AG7003" s="1"/>
    </row>
    <row r="7004" ht="15.75" customHeight="1">
      <c r="A7004" s="1"/>
      <c r="B7004" s="1"/>
      <c r="C7004" s="1"/>
      <c r="D7004" s="1"/>
      <c r="E7004" s="1"/>
      <c r="F7004" s="1"/>
      <c r="G7004" s="1"/>
      <c r="H7004" s="1"/>
      <c r="I7004" s="1"/>
      <c r="J7004" s="1"/>
      <c r="K7004" s="1" t="s">
        <v>10804</v>
      </c>
      <c r="L7004" s="1" t="str">
        <f>D1058</f>
        <v>J2a2~</v>
      </c>
      <c r="M7004" s="1"/>
      <c r="N7004" s="1" t="s">
        <v>10805</v>
      </c>
      <c r="O7004" s="114">
        <v>1.8794283E7</v>
      </c>
      <c r="P7004" s="114">
        <v>1.6682403E7</v>
      </c>
      <c r="Q7004" s="1" t="s">
        <v>2432</v>
      </c>
      <c r="S7004" s="1"/>
      <c r="T7004" s="1"/>
      <c r="U7004" s="1"/>
      <c r="V7004" s="1"/>
      <c r="W7004" s="1"/>
      <c r="X7004" s="1"/>
      <c r="Y7004" s="1"/>
      <c r="AA7004" s="102"/>
      <c r="AB7004" s="1"/>
      <c r="AC7004" s="1"/>
      <c r="AD7004" s="1"/>
      <c r="AE7004" s="1"/>
      <c r="AF7004" s="1"/>
      <c r="AG7004" s="1"/>
    </row>
    <row r="7005" ht="15.75" customHeight="1">
      <c r="A7005" s="1"/>
      <c r="B7005" s="1"/>
      <c r="C7005" s="1"/>
      <c r="D7005" s="1"/>
      <c r="E7005" s="1"/>
      <c r="F7005" s="1"/>
      <c r="G7005" s="1"/>
      <c r="H7005" s="1"/>
      <c r="I7005" s="1"/>
      <c r="J7005" s="1"/>
      <c r="K7005" s="1" t="s">
        <v>10806</v>
      </c>
      <c r="L7005" s="1" t="str">
        <f>D1058</f>
        <v>J2a2~</v>
      </c>
      <c r="M7005" s="1"/>
      <c r="N7005" s="1" t="s">
        <v>10807</v>
      </c>
      <c r="O7005" s="114">
        <v>2.2007097E7</v>
      </c>
      <c r="P7005" s="114">
        <v>1.9845211E7</v>
      </c>
      <c r="Q7005" s="1" t="s">
        <v>2501</v>
      </c>
      <c r="S7005" s="1"/>
      <c r="T7005" s="1"/>
      <c r="U7005" s="1"/>
      <c r="V7005" s="1"/>
      <c r="W7005" s="1"/>
      <c r="X7005" s="1"/>
      <c r="Y7005" s="1"/>
      <c r="AA7005" s="102"/>
      <c r="AB7005" s="1"/>
      <c r="AC7005" s="1"/>
      <c r="AD7005" s="1"/>
      <c r="AE7005" s="1"/>
      <c r="AF7005" s="1"/>
      <c r="AG7005" s="1"/>
    </row>
    <row r="7006" ht="15.75" customHeight="1">
      <c r="A7006" s="1"/>
      <c r="B7006" s="1"/>
      <c r="C7006" s="1"/>
      <c r="D7006" s="1"/>
      <c r="E7006" s="1"/>
      <c r="F7006" s="1"/>
      <c r="G7006" s="1"/>
      <c r="H7006" s="1"/>
      <c r="I7006" s="1"/>
      <c r="J7006" s="1"/>
      <c r="K7006" s="1" t="s">
        <v>10808</v>
      </c>
      <c r="L7006" s="1" t="str">
        <f>D1058</f>
        <v>J2a2~</v>
      </c>
      <c r="M7006" s="1"/>
      <c r="N7006" s="1" t="s">
        <v>10809</v>
      </c>
      <c r="O7006" s="114">
        <v>2.2013714E7</v>
      </c>
      <c r="P7006" s="114">
        <v>1.9851828E7</v>
      </c>
      <c r="Q7006" s="1" t="s">
        <v>2432</v>
      </c>
      <c r="S7006" s="1"/>
      <c r="T7006" s="1"/>
      <c r="U7006" s="1"/>
      <c r="V7006" s="1"/>
      <c r="W7006" s="1"/>
      <c r="X7006" s="1"/>
      <c r="Y7006" s="1"/>
      <c r="AA7006" s="102"/>
      <c r="AB7006" s="1"/>
      <c r="AC7006" s="1"/>
      <c r="AD7006" s="1"/>
      <c r="AE7006" s="1"/>
      <c r="AF7006" s="1"/>
      <c r="AG7006" s="1"/>
    </row>
    <row r="7007" ht="15.75" customHeight="1">
      <c r="A7007" s="1"/>
      <c r="B7007" s="1"/>
      <c r="C7007" s="1"/>
      <c r="D7007" s="1"/>
      <c r="E7007" s="1"/>
      <c r="F7007" s="1"/>
      <c r="G7007" s="1"/>
      <c r="H7007" s="1"/>
      <c r="I7007" s="1"/>
      <c r="J7007" s="1"/>
      <c r="K7007" s="1" t="s">
        <v>10810</v>
      </c>
      <c r="L7007" s="1" t="str">
        <f>D1058</f>
        <v>J2a2~</v>
      </c>
      <c r="M7007" s="1"/>
      <c r="N7007" s="1" t="s">
        <v>10811</v>
      </c>
      <c r="O7007" s="114">
        <v>2.2517258E7</v>
      </c>
      <c r="P7007" s="114">
        <v>2.0355372E7</v>
      </c>
      <c r="Q7007" s="1" t="s">
        <v>2432</v>
      </c>
      <c r="S7007" s="1"/>
      <c r="T7007" s="1"/>
      <c r="U7007" s="1"/>
      <c r="V7007" s="1"/>
      <c r="W7007" s="1"/>
      <c r="X7007" s="1"/>
      <c r="Y7007" s="1"/>
      <c r="AA7007" s="102"/>
      <c r="AB7007" s="1"/>
      <c r="AC7007" s="1"/>
      <c r="AD7007" s="1"/>
      <c r="AE7007" s="1"/>
      <c r="AF7007" s="1"/>
      <c r="AG7007" s="1"/>
    </row>
    <row r="7008" ht="15.75" customHeight="1">
      <c r="A7008" s="1"/>
      <c r="B7008" s="1"/>
      <c r="C7008" s="1"/>
      <c r="D7008" s="1"/>
      <c r="E7008" s="1"/>
      <c r="F7008" s="1"/>
      <c r="G7008" s="1"/>
      <c r="H7008" s="1"/>
      <c r="I7008" s="1"/>
      <c r="J7008" s="1"/>
      <c r="K7008" s="1" t="s">
        <v>10812</v>
      </c>
      <c r="L7008" s="1" t="str">
        <f>D1058</f>
        <v>J2a2~</v>
      </c>
      <c r="M7008" s="1"/>
      <c r="N7008" s="1" t="s">
        <v>10813</v>
      </c>
      <c r="O7008" s="114">
        <v>7698592.0</v>
      </c>
      <c r="P7008" s="114">
        <v>7830551.0</v>
      </c>
      <c r="Q7008" s="1" t="s">
        <v>2439</v>
      </c>
      <c r="S7008" s="1"/>
      <c r="T7008" s="1"/>
      <c r="U7008" s="1"/>
      <c r="V7008" s="1"/>
      <c r="W7008" s="1"/>
      <c r="X7008" s="1"/>
      <c r="Y7008" s="1"/>
      <c r="AA7008" s="102"/>
      <c r="AB7008" s="1"/>
      <c r="AC7008" s="1"/>
      <c r="AD7008" s="1"/>
      <c r="AE7008" s="1"/>
      <c r="AF7008" s="1"/>
      <c r="AG7008" s="1"/>
    </row>
    <row r="7009" ht="15.75" customHeight="1">
      <c r="A7009" s="1"/>
      <c r="B7009" s="1"/>
      <c r="C7009" s="1"/>
      <c r="D7009" s="1"/>
      <c r="E7009" s="1"/>
      <c r="F7009" s="1"/>
      <c r="G7009" s="1"/>
      <c r="H7009" s="1"/>
      <c r="I7009" s="1"/>
      <c r="J7009" s="1"/>
      <c r="K7009" s="1" t="s">
        <v>10814</v>
      </c>
      <c r="L7009" s="1" t="str">
        <f>D1058</f>
        <v>J2a2~</v>
      </c>
      <c r="M7009" s="1"/>
      <c r="N7009" s="1" t="s">
        <v>10815</v>
      </c>
      <c r="O7009" s="114">
        <v>2.1796611E7</v>
      </c>
      <c r="P7009" s="114">
        <v>1.9634725E7</v>
      </c>
      <c r="Q7009" s="1" t="s">
        <v>2446</v>
      </c>
      <c r="S7009" s="1"/>
      <c r="T7009" s="1"/>
      <c r="U7009" s="1"/>
      <c r="V7009" s="1"/>
      <c r="W7009" s="1"/>
      <c r="X7009" s="1"/>
      <c r="Y7009" s="1"/>
      <c r="AA7009" s="102"/>
      <c r="AB7009" s="1"/>
      <c r="AC7009" s="1"/>
      <c r="AD7009" s="1"/>
      <c r="AE7009" s="1"/>
      <c r="AF7009" s="1"/>
      <c r="AG7009" s="1"/>
    </row>
    <row r="7010" ht="15.75" customHeight="1">
      <c r="A7010" s="1"/>
      <c r="B7010" s="1"/>
      <c r="C7010" s="1"/>
      <c r="D7010" s="1"/>
      <c r="E7010" s="1"/>
      <c r="F7010" s="1"/>
      <c r="G7010" s="1"/>
      <c r="H7010" s="1"/>
      <c r="I7010" s="1"/>
      <c r="J7010" s="1"/>
      <c r="K7010" s="1" t="s">
        <v>10816</v>
      </c>
      <c r="L7010" s="1" t="str">
        <f>D1058</f>
        <v>J2a2~</v>
      </c>
      <c r="M7010" s="1"/>
      <c r="N7010" s="1" t="s">
        <v>10817</v>
      </c>
      <c r="O7010" s="114">
        <v>2.4403398E7</v>
      </c>
      <c r="P7010" s="114">
        <v>2.2257251E7</v>
      </c>
      <c r="Q7010" s="1" t="s">
        <v>2439</v>
      </c>
      <c r="S7010" s="1"/>
      <c r="T7010" s="1"/>
      <c r="U7010" s="1"/>
      <c r="V7010" s="1"/>
      <c r="W7010" s="1"/>
      <c r="X7010" s="1"/>
      <c r="Y7010" s="1"/>
      <c r="AA7010" s="102"/>
      <c r="AB7010" s="1"/>
      <c r="AC7010" s="1"/>
      <c r="AD7010" s="1"/>
      <c r="AE7010" s="1"/>
      <c r="AF7010" s="1"/>
      <c r="AG7010" s="1"/>
    </row>
    <row r="7011" ht="15.75" customHeight="1">
      <c r="A7011" s="1"/>
      <c r="B7011" s="1"/>
      <c r="C7011" s="1"/>
      <c r="D7011" s="1"/>
      <c r="E7011" s="1"/>
      <c r="F7011" s="1"/>
      <c r="G7011" s="1"/>
      <c r="H7011" s="1"/>
      <c r="I7011" s="1"/>
      <c r="J7011" s="1"/>
      <c r="K7011" s="1" t="s">
        <v>10818</v>
      </c>
      <c r="L7011" s="1" t="str">
        <f>D1058</f>
        <v>J2a2~</v>
      </c>
      <c r="M7011" s="1"/>
      <c r="N7011" s="1"/>
      <c r="O7011" s="114">
        <v>4167653.0</v>
      </c>
      <c r="P7011" s="114">
        <v>4299612.0</v>
      </c>
      <c r="Q7011" s="1" t="s">
        <v>2529</v>
      </c>
      <c r="S7011" s="1"/>
      <c r="T7011" s="1"/>
      <c r="U7011" s="1"/>
      <c r="V7011" s="1"/>
      <c r="W7011" s="1"/>
      <c r="X7011" s="1"/>
      <c r="Y7011" s="1"/>
      <c r="AA7011" s="102"/>
      <c r="AB7011" s="1"/>
      <c r="AC7011" s="1"/>
      <c r="AD7011" s="1"/>
      <c r="AE7011" s="1"/>
      <c r="AF7011" s="1"/>
      <c r="AG7011" s="1"/>
    </row>
    <row r="7012" ht="15.75" customHeight="1">
      <c r="A7012" s="1"/>
      <c r="B7012" s="1"/>
      <c r="C7012" s="1"/>
      <c r="D7012" s="1"/>
      <c r="E7012" s="1"/>
      <c r="F7012" s="1"/>
      <c r="G7012" s="1"/>
      <c r="H7012" s="1"/>
      <c r="I7012" s="1"/>
      <c r="J7012" s="1"/>
      <c r="K7012" s="1" t="s">
        <v>10819</v>
      </c>
      <c r="L7012" s="1" t="str">
        <f>D1058</f>
        <v>J2a2~</v>
      </c>
      <c r="M7012" s="1"/>
      <c r="N7012" s="1" t="s">
        <v>10820</v>
      </c>
      <c r="O7012" s="114">
        <v>1.4259936E7</v>
      </c>
      <c r="P7012" s="114">
        <v>1.213923E7</v>
      </c>
      <c r="Q7012" s="1" t="s">
        <v>2576</v>
      </c>
      <c r="S7012" s="1"/>
      <c r="T7012" s="1"/>
      <c r="U7012" s="1"/>
      <c r="V7012" s="1"/>
      <c r="W7012" s="1"/>
      <c r="X7012" s="1"/>
      <c r="Y7012" s="1"/>
      <c r="AA7012" s="102"/>
      <c r="AB7012" s="1"/>
      <c r="AC7012" s="1"/>
      <c r="AD7012" s="1"/>
      <c r="AE7012" s="1"/>
      <c r="AF7012" s="1"/>
      <c r="AG7012" s="1"/>
    </row>
    <row r="7013" ht="15.75" customHeight="1">
      <c r="A7013" s="1"/>
      <c r="B7013" s="1"/>
      <c r="C7013" s="1"/>
      <c r="D7013" s="1"/>
      <c r="E7013" s="1"/>
      <c r="F7013" s="1"/>
      <c r="G7013" s="1"/>
      <c r="H7013" s="1"/>
      <c r="I7013" s="1"/>
      <c r="J7013" s="1"/>
      <c r="K7013" s="1" t="s">
        <v>10821</v>
      </c>
      <c r="L7013" s="1" t="str">
        <f>D1058</f>
        <v>J2a2~</v>
      </c>
      <c r="M7013" s="1"/>
      <c r="N7013" s="1" t="s">
        <v>10822</v>
      </c>
      <c r="O7013" s="114">
        <v>2771681.0</v>
      </c>
      <c r="P7013" s="114">
        <v>2903640.0</v>
      </c>
      <c r="Q7013" s="1" t="s">
        <v>2514</v>
      </c>
      <c r="S7013" s="1"/>
      <c r="T7013" s="1"/>
      <c r="U7013" s="1"/>
      <c r="V7013" s="1"/>
      <c r="W7013" s="1"/>
      <c r="X7013" s="1"/>
      <c r="Y7013" s="1"/>
      <c r="AA7013" s="102"/>
      <c r="AB7013" s="1"/>
      <c r="AC7013" s="1"/>
      <c r="AD7013" s="1"/>
      <c r="AE7013" s="1"/>
      <c r="AF7013" s="1"/>
      <c r="AG7013" s="1"/>
    </row>
    <row r="7014" ht="15.75" customHeight="1">
      <c r="A7014" s="1"/>
      <c r="B7014" s="1"/>
      <c r="C7014" s="1"/>
      <c r="D7014" s="1"/>
      <c r="E7014" s="1"/>
      <c r="F7014" s="1"/>
      <c r="G7014" s="1"/>
      <c r="H7014" s="1"/>
      <c r="I7014" s="1"/>
      <c r="J7014" s="1"/>
      <c r="K7014" s="1" t="s">
        <v>10823</v>
      </c>
      <c r="L7014" s="1" t="str">
        <f>D1058</f>
        <v>J2a2~</v>
      </c>
      <c r="M7014" s="1"/>
      <c r="N7014" s="1" t="s">
        <v>10824</v>
      </c>
      <c r="O7014" s="114">
        <v>2.1498408E7</v>
      </c>
      <c r="P7014" s="114">
        <v>1.9336522E7</v>
      </c>
      <c r="Q7014" s="1" t="s">
        <v>2423</v>
      </c>
      <c r="S7014" s="1"/>
      <c r="T7014" s="1"/>
      <c r="U7014" s="1"/>
      <c r="V7014" s="1"/>
      <c r="W7014" s="1"/>
      <c r="X7014" s="1"/>
      <c r="Y7014" s="1"/>
      <c r="AA7014" s="102"/>
      <c r="AB7014" s="1"/>
      <c r="AC7014" s="1"/>
      <c r="AD7014" s="1"/>
      <c r="AE7014" s="1"/>
      <c r="AF7014" s="1"/>
      <c r="AG7014" s="1"/>
    </row>
    <row r="7015" ht="15.75" customHeight="1">
      <c r="A7015" s="1"/>
      <c r="B7015" s="1"/>
      <c r="C7015" s="1"/>
      <c r="D7015" s="1"/>
      <c r="E7015" s="1"/>
      <c r="F7015" s="1"/>
      <c r="G7015" s="1"/>
      <c r="H7015" s="1"/>
      <c r="I7015" s="1"/>
      <c r="J7015" s="1"/>
      <c r="K7015" s="1" t="s">
        <v>10825</v>
      </c>
      <c r="L7015" s="1" t="str">
        <f>D1058</f>
        <v>J2a2~</v>
      </c>
      <c r="M7015" s="1"/>
      <c r="N7015" s="1" t="s">
        <v>10826</v>
      </c>
      <c r="O7015" s="114">
        <v>2.2517208E7</v>
      </c>
      <c r="P7015" s="114">
        <v>2.0355322E7</v>
      </c>
      <c r="Q7015" s="1" t="s">
        <v>2514</v>
      </c>
      <c r="S7015" s="1"/>
      <c r="T7015" s="1"/>
      <c r="U7015" s="1"/>
      <c r="V7015" s="1"/>
      <c r="W7015" s="1"/>
      <c r="X7015" s="1"/>
      <c r="Y7015" s="1"/>
      <c r="AA7015" s="102"/>
      <c r="AB7015" s="1"/>
      <c r="AC7015" s="1"/>
      <c r="AD7015" s="1"/>
      <c r="AE7015" s="1"/>
      <c r="AF7015" s="1"/>
      <c r="AG7015" s="1"/>
    </row>
    <row r="7016" ht="15.75" customHeight="1">
      <c r="A7016" s="1"/>
      <c r="B7016" s="1"/>
      <c r="C7016" s="1"/>
      <c r="D7016" s="1"/>
      <c r="E7016" s="1"/>
      <c r="F7016" s="1"/>
      <c r="G7016" s="1"/>
      <c r="H7016" s="1"/>
      <c r="I7016" s="1"/>
      <c r="J7016" s="1"/>
      <c r="K7016" s="1" t="s">
        <v>10827</v>
      </c>
      <c r="L7016" s="1" t="str">
        <f>D1058</f>
        <v>J2a2~</v>
      </c>
      <c r="M7016" s="1"/>
      <c r="N7016" s="1"/>
      <c r="O7016" s="114">
        <v>2.3168893E7</v>
      </c>
      <c r="P7016" s="114">
        <v>2.1007007E7</v>
      </c>
      <c r="Q7016" s="1" t="s">
        <v>2563</v>
      </c>
      <c r="S7016" s="1"/>
      <c r="T7016" s="1"/>
      <c r="U7016" s="1"/>
      <c r="V7016" s="1"/>
      <c r="W7016" s="1"/>
      <c r="X7016" s="1"/>
      <c r="Y7016" s="1"/>
      <c r="AA7016" s="102"/>
      <c r="AB7016" s="1"/>
      <c r="AC7016" s="1"/>
      <c r="AD7016" s="1"/>
      <c r="AE7016" s="1"/>
      <c r="AF7016" s="1"/>
      <c r="AG7016" s="1"/>
    </row>
    <row r="7017" ht="15.75" customHeight="1">
      <c r="A7017" s="1"/>
      <c r="B7017" s="1"/>
      <c r="C7017" s="1"/>
      <c r="D7017" s="1"/>
      <c r="E7017" s="1"/>
      <c r="F7017" s="1"/>
      <c r="G7017" s="1"/>
      <c r="H7017" s="1"/>
      <c r="I7017" s="1"/>
      <c r="J7017" s="1"/>
      <c r="K7017" s="1" t="s">
        <v>10828</v>
      </c>
      <c r="L7017" s="1" t="str">
        <f>D1058</f>
        <v>J2a2~</v>
      </c>
      <c r="M7017" s="1"/>
      <c r="N7017" s="1" t="s">
        <v>10829</v>
      </c>
      <c r="O7017" s="114">
        <v>8151589.0</v>
      </c>
      <c r="P7017" s="114">
        <v>8283548.0</v>
      </c>
      <c r="Q7017" s="1" t="s">
        <v>2439</v>
      </c>
      <c r="S7017" s="1"/>
      <c r="T7017" s="1"/>
      <c r="U7017" s="1"/>
      <c r="V7017" s="1"/>
      <c r="W7017" s="1"/>
      <c r="X7017" s="1"/>
      <c r="Y7017" s="1"/>
      <c r="AA7017" s="102"/>
      <c r="AB7017" s="1"/>
      <c r="AC7017" s="1"/>
      <c r="AD7017" s="1"/>
      <c r="AE7017" s="1"/>
      <c r="AF7017" s="1"/>
      <c r="AG7017" s="1"/>
    </row>
    <row r="7018" ht="15.75" customHeight="1">
      <c r="A7018" s="1"/>
      <c r="B7018" s="1"/>
      <c r="C7018" s="1"/>
      <c r="D7018" s="1"/>
      <c r="E7018" s="1"/>
      <c r="F7018" s="1"/>
      <c r="G7018" s="1"/>
      <c r="H7018" s="1"/>
      <c r="I7018" s="1"/>
      <c r="J7018" s="1"/>
      <c r="K7018" s="1" t="s">
        <v>10830</v>
      </c>
      <c r="L7018" s="1" t="str">
        <f>D1058</f>
        <v>J2a2~</v>
      </c>
      <c r="M7018" s="1"/>
      <c r="N7018" s="1" t="s">
        <v>10831</v>
      </c>
      <c r="O7018" s="114">
        <v>1.4133706E7</v>
      </c>
      <c r="P7018" s="114">
        <v>1.2013E7</v>
      </c>
      <c r="Q7018" s="1" t="s">
        <v>2439</v>
      </c>
      <c r="S7018" s="1"/>
      <c r="T7018" s="1"/>
      <c r="U7018" s="1"/>
      <c r="V7018" s="1"/>
      <c r="W7018" s="1"/>
      <c r="X7018" s="1"/>
      <c r="Y7018" s="1"/>
      <c r="AA7018" s="102"/>
      <c r="AB7018" s="1"/>
      <c r="AC7018" s="1"/>
      <c r="AD7018" s="1"/>
      <c r="AE7018" s="1"/>
      <c r="AF7018" s="1"/>
      <c r="AG7018" s="1"/>
    </row>
    <row r="7019" ht="15.75" customHeight="1">
      <c r="A7019" s="1"/>
      <c r="B7019" s="1"/>
      <c r="C7019" s="1"/>
      <c r="D7019" s="1"/>
      <c r="E7019" s="1"/>
      <c r="F7019" s="1"/>
      <c r="G7019" s="1"/>
      <c r="H7019" s="1"/>
      <c r="I7019" s="1"/>
      <c r="J7019" s="1"/>
      <c r="K7019" s="102" t="s">
        <v>10832</v>
      </c>
      <c r="L7019" s="102" t="str">
        <f>E1059</f>
        <v>J2a2a</v>
      </c>
      <c r="M7019" s="102" t="s">
        <v>10833</v>
      </c>
      <c r="N7019" s="102" t="s">
        <v>10834</v>
      </c>
      <c r="O7019" s="105">
        <v>1.4870114E7</v>
      </c>
      <c r="P7019" s="105">
        <v>1.2758184E7</v>
      </c>
      <c r="Q7019" s="102" t="s">
        <v>2563</v>
      </c>
      <c r="S7019" s="1"/>
      <c r="T7019" s="1"/>
      <c r="U7019" s="1"/>
      <c r="V7019" s="1"/>
      <c r="W7019" s="1"/>
      <c r="X7019" s="1"/>
      <c r="Y7019" s="1"/>
      <c r="AA7019" s="102"/>
      <c r="AB7019" s="1"/>
      <c r="AC7019" s="1"/>
      <c r="AD7019" s="1"/>
      <c r="AE7019" s="1"/>
      <c r="AF7019" s="1"/>
      <c r="AG7019" s="1"/>
    </row>
    <row r="7020" ht="15.75" customHeight="1">
      <c r="A7020" s="1"/>
      <c r="B7020" s="1"/>
      <c r="C7020" s="1"/>
      <c r="D7020" s="1"/>
      <c r="E7020" s="1"/>
      <c r="F7020" s="1"/>
      <c r="G7020" s="1"/>
      <c r="H7020" s="1"/>
      <c r="I7020" s="1"/>
      <c r="J7020" s="1"/>
      <c r="K7020" s="102" t="s">
        <v>10835</v>
      </c>
      <c r="L7020" s="102" t="str">
        <f>E1059</f>
        <v>J2a2a</v>
      </c>
      <c r="M7020" s="102" t="s">
        <v>10836</v>
      </c>
      <c r="N7020" s="102" t="s">
        <v>10834</v>
      </c>
      <c r="O7020" s="105">
        <v>1.4870114E7</v>
      </c>
      <c r="P7020" s="105">
        <v>1.2758184E7</v>
      </c>
      <c r="Q7020" s="102" t="s">
        <v>2563</v>
      </c>
      <c r="S7020" s="1"/>
      <c r="T7020" s="1"/>
      <c r="U7020" s="1"/>
      <c r="V7020" s="1"/>
      <c r="W7020" s="1"/>
      <c r="X7020" s="1"/>
      <c r="Y7020" s="1"/>
      <c r="AA7020" s="102"/>
      <c r="AB7020" s="1"/>
      <c r="AC7020" s="1"/>
      <c r="AD7020" s="1"/>
      <c r="AE7020" s="1"/>
      <c r="AF7020" s="1"/>
      <c r="AG7020" s="1"/>
    </row>
    <row r="7021" ht="15.75" customHeight="1">
      <c r="A7021" s="1"/>
      <c r="B7021" s="1"/>
      <c r="C7021" s="1"/>
      <c r="D7021" s="1"/>
      <c r="E7021" s="1"/>
      <c r="F7021" s="1"/>
      <c r="G7021" s="1"/>
      <c r="H7021" s="1"/>
      <c r="I7021" s="1"/>
      <c r="J7021" s="1"/>
      <c r="K7021" s="102" t="s">
        <v>10837</v>
      </c>
      <c r="L7021" s="102" t="str">
        <f t="shared" ref="L7021:L7022" si="187">E1059</f>
        <v>J2a2a</v>
      </c>
      <c r="M7021" s="102" t="s">
        <v>10838</v>
      </c>
      <c r="N7021" s="102" t="s">
        <v>10834</v>
      </c>
      <c r="O7021" s="105">
        <v>1.4870114E7</v>
      </c>
      <c r="P7021" s="105">
        <v>1.2758184E7</v>
      </c>
      <c r="Q7021" s="102" t="s">
        <v>2563</v>
      </c>
      <c r="S7021" s="1"/>
      <c r="T7021" s="1"/>
      <c r="U7021" s="1"/>
      <c r="V7021" s="1"/>
      <c r="W7021" s="1"/>
      <c r="X7021" s="1"/>
      <c r="Y7021" s="1"/>
      <c r="AA7021" s="102"/>
      <c r="AB7021" s="1"/>
      <c r="AC7021" s="1"/>
      <c r="AD7021" s="1"/>
      <c r="AE7021" s="1"/>
      <c r="AF7021" s="1"/>
      <c r="AG7021" s="1"/>
    </row>
    <row r="7022" ht="15.75" customHeight="1">
      <c r="A7022" s="1"/>
      <c r="B7022" s="1"/>
      <c r="C7022" s="1"/>
      <c r="D7022" s="1"/>
      <c r="E7022" s="1"/>
      <c r="F7022" s="1"/>
      <c r="G7022" s="1"/>
      <c r="H7022" s="1"/>
      <c r="I7022" s="1"/>
      <c r="J7022" s="1"/>
      <c r="K7022" s="1" t="s">
        <v>10839</v>
      </c>
      <c r="L7022" s="1" t="str">
        <f t="shared" si="187"/>
        <v>J2a2a~</v>
      </c>
      <c r="M7022" s="1"/>
      <c r="N7022" s="1"/>
      <c r="O7022" s="114">
        <v>3134575.0</v>
      </c>
      <c r="P7022" s="114">
        <v>3266534.0</v>
      </c>
      <c r="Q7022" s="1" t="s">
        <v>2468</v>
      </c>
      <c r="S7022" s="1"/>
      <c r="T7022" s="1"/>
      <c r="U7022" s="1"/>
      <c r="V7022" s="1"/>
      <c r="W7022" s="1"/>
      <c r="X7022" s="1"/>
      <c r="Y7022" s="1"/>
      <c r="AA7022" s="102"/>
      <c r="AB7022" s="1"/>
      <c r="AC7022" s="1"/>
      <c r="AD7022" s="1"/>
      <c r="AE7022" s="1"/>
      <c r="AF7022" s="1"/>
      <c r="AG7022" s="1"/>
    </row>
    <row r="7023" ht="15.75" customHeight="1">
      <c r="A7023" s="1"/>
      <c r="B7023" s="1"/>
      <c r="C7023" s="1"/>
      <c r="D7023" s="1"/>
      <c r="E7023" s="1"/>
      <c r="F7023" s="1"/>
      <c r="G7023" s="1"/>
      <c r="H7023" s="1"/>
      <c r="I7023" s="1"/>
      <c r="J7023" s="1"/>
      <c r="K7023" s="102" t="s">
        <v>10840</v>
      </c>
      <c r="L7023" s="125" t="str">
        <f>E1060</f>
        <v>J2a2a~</v>
      </c>
      <c r="M7023" s="102"/>
      <c r="N7023" s="1" t="s">
        <v>10841</v>
      </c>
      <c r="O7023" s="114">
        <v>7668625.0</v>
      </c>
      <c r="P7023" s="105">
        <v>7800584.0</v>
      </c>
      <c r="Q7023" s="102" t="s">
        <v>2439</v>
      </c>
      <c r="S7023" s="1"/>
      <c r="T7023" s="1"/>
      <c r="U7023" s="1"/>
      <c r="V7023" s="1"/>
      <c r="W7023" s="1"/>
      <c r="X7023" s="1"/>
      <c r="Y7023" s="1"/>
      <c r="AA7023" s="102"/>
      <c r="AB7023" s="1"/>
      <c r="AC7023" s="1"/>
      <c r="AD7023" s="1"/>
      <c r="AE7023" s="1"/>
      <c r="AF7023" s="1"/>
      <c r="AG7023" s="1"/>
    </row>
    <row r="7024" ht="15.75" customHeight="1">
      <c r="A7024" s="1"/>
      <c r="B7024" s="1"/>
      <c r="C7024" s="1"/>
      <c r="D7024" s="1"/>
      <c r="E7024" s="1"/>
      <c r="F7024" s="1"/>
      <c r="G7024" s="1"/>
      <c r="H7024" s="1"/>
      <c r="I7024" s="1"/>
      <c r="J7024" s="1"/>
      <c r="K7024" s="102" t="s">
        <v>10842</v>
      </c>
      <c r="L7024" s="125" t="str">
        <f>E1060</f>
        <v>J2a2a~</v>
      </c>
      <c r="M7024" s="102"/>
      <c r="N7024" s="1" t="s">
        <v>10843</v>
      </c>
      <c r="O7024" s="114">
        <v>1.5710879E7</v>
      </c>
      <c r="P7024" s="105">
        <v>1.3598999E7</v>
      </c>
      <c r="Q7024" s="102" t="s">
        <v>2439</v>
      </c>
      <c r="S7024" s="1"/>
      <c r="T7024" s="1"/>
      <c r="U7024" s="1"/>
      <c r="V7024" s="1"/>
      <c r="W7024" s="1"/>
      <c r="X7024" s="1"/>
      <c r="Y7024" s="1"/>
      <c r="AA7024" s="102"/>
      <c r="AB7024" s="1"/>
      <c r="AC7024" s="1"/>
      <c r="AD7024" s="1"/>
      <c r="AE7024" s="1"/>
      <c r="AF7024" s="1"/>
      <c r="AG7024" s="1"/>
    </row>
    <row r="7025" ht="15.75" customHeight="1">
      <c r="A7025" s="1"/>
      <c r="B7025" s="1"/>
      <c r="C7025" s="1"/>
      <c r="D7025" s="1"/>
      <c r="E7025" s="1"/>
      <c r="F7025" s="1"/>
      <c r="G7025" s="1"/>
      <c r="H7025" s="1"/>
      <c r="I7025" s="1"/>
      <c r="J7025" s="1"/>
      <c r="K7025" s="1" t="s">
        <v>10844</v>
      </c>
      <c r="L7025" s="125" t="str">
        <f>E1060</f>
        <v>J2a2a~</v>
      </c>
      <c r="M7025" s="1"/>
      <c r="N7025" s="1" t="s">
        <v>10845</v>
      </c>
      <c r="O7025" s="114">
        <v>1.6621711E7</v>
      </c>
      <c r="P7025" s="114">
        <v>1.4509831E7</v>
      </c>
      <c r="Q7025" s="1" t="s">
        <v>2432</v>
      </c>
      <c r="S7025" s="1"/>
      <c r="T7025" s="1"/>
      <c r="U7025" s="1"/>
      <c r="V7025" s="1"/>
      <c r="W7025" s="1"/>
      <c r="X7025" s="1"/>
      <c r="Y7025" s="1"/>
      <c r="AA7025" s="102"/>
      <c r="AB7025" s="1"/>
      <c r="AC7025" s="1"/>
      <c r="AD7025" s="1"/>
      <c r="AE7025" s="1"/>
      <c r="AF7025" s="1"/>
      <c r="AG7025" s="1"/>
    </row>
    <row r="7026" ht="15.75" customHeight="1">
      <c r="A7026" s="1"/>
      <c r="B7026" s="1"/>
      <c r="C7026" s="1"/>
      <c r="D7026" s="1"/>
      <c r="E7026" s="1"/>
      <c r="F7026" s="1"/>
      <c r="G7026" s="1"/>
      <c r="H7026" s="1"/>
      <c r="I7026" s="1"/>
      <c r="J7026" s="1"/>
      <c r="K7026" s="1" t="s">
        <v>10846</v>
      </c>
      <c r="L7026" s="125" t="str">
        <f>E1060</f>
        <v>J2a2a~</v>
      </c>
      <c r="M7026" s="1"/>
      <c r="N7026" s="1" t="s">
        <v>10847</v>
      </c>
      <c r="O7026" s="114">
        <v>1.6958673E7</v>
      </c>
      <c r="P7026" s="114">
        <v>1.4846793E7</v>
      </c>
      <c r="Q7026" s="1" t="s">
        <v>2514</v>
      </c>
      <c r="S7026" s="1"/>
      <c r="T7026" s="1"/>
      <c r="U7026" s="1"/>
      <c r="V7026" s="1"/>
      <c r="W7026" s="1"/>
      <c r="X7026" s="1"/>
      <c r="Y7026" s="1"/>
      <c r="AA7026" s="102"/>
      <c r="AB7026" s="1"/>
      <c r="AC7026" s="1"/>
      <c r="AD7026" s="1"/>
      <c r="AE7026" s="1"/>
      <c r="AF7026" s="1"/>
      <c r="AG7026" s="1"/>
    </row>
    <row r="7027" ht="15.75" customHeight="1">
      <c r="A7027" s="1"/>
      <c r="B7027" s="1"/>
      <c r="C7027" s="1"/>
      <c r="D7027" s="1"/>
      <c r="E7027" s="1"/>
      <c r="F7027" s="1"/>
      <c r="G7027" s="1"/>
      <c r="H7027" s="1"/>
      <c r="I7027" s="1"/>
      <c r="J7027" s="1"/>
      <c r="K7027" s="1" t="s">
        <v>10848</v>
      </c>
      <c r="L7027" s="125" t="str">
        <f>E1060</f>
        <v>J2a2a~</v>
      </c>
      <c r="M7027" s="1"/>
      <c r="N7027" s="1" t="s">
        <v>10849</v>
      </c>
      <c r="O7027" s="114">
        <v>1.8069738E7</v>
      </c>
      <c r="P7027" s="114">
        <v>1.5957858E7</v>
      </c>
      <c r="Q7027" s="1" t="s">
        <v>2563</v>
      </c>
      <c r="S7027" s="1"/>
      <c r="T7027" s="1"/>
      <c r="U7027" s="1"/>
      <c r="V7027" s="1"/>
      <c r="W7027" s="1"/>
      <c r="X7027" s="1"/>
      <c r="Y7027" s="1"/>
      <c r="AA7027" s="102"/>
      <c r="AB7027" s="1"/>
      <c r="AC7027" s="1"/>
      <c r="AD7027" s="1"/>
      <c r="AE7027" s="1"/>
      <c r="AF7027" s="1"/>
      <c r="AG7027" s="1"/>
    </row>
    <row r="7028" ht="15.75" customHeight="1">
      <c r="A7028" s="1"/>
      <c r="B7028" s="1"/>
      <c r="C7028" s="1"/>
      <c r="D7028" s="1"/>
      <c r="E7028" s="1"/>
      <c r="F7028" s="1"/>
      <c r="G7028" s="1"/>
      <c r="H7028" s="1"/>
      <c r="I7028" s="1"/>
      <c r="J7028" s="1"/>
      <c r="K7028" s="1" t="s">
        <v>10850</v>
      </c>
      <c r="L7028" s="125" t="str">
        <f>E1060</f>
        <v>J2a2a~</v>
      </c>
      <c r="M7028" s="1"/>
      <c r="N7028" s="1" t="s">
        <v>10851</v>
      </c>
      <c r="O7028" s="114">
        <v>2.2918699E7</v>
      </c>
      <c r="P7028" s="114">
        <v>2.0756813E7</v>
      </c>
      <c r="Q7028" s="1" t="s">
        <v>2468</v>
      </c>
      <c r="S7028" s="1"/>
      <c r="T7028" s="1"/>
      <c r="U7028" s="1"/>
      <c r="V7028" s="1"/>
      <c r="W7028" s="1"/>
      <c r="X7028" s="1"/>
      <c r="Y7028" s="1"/>
      <c r="AA7028" s="102"/>
      <c r="AB7028" s="1"/>
      <c r="AC7028" s="1"/>
      <c r="AD7028" s="1"/>
      <c r="AE7028" s="1"/>
      <c r="AF7028" s="1"/>
      <c r="AG7028" s="1"/>
    </row>
    <row r="7029" ht="15.75" customHeight="1">
      <c r="A7029" s="1"/>
      <c r="B7029" s="1"/>
      <c r="C7029" s="1"/>
      <c r="D7029" s="1"/>
      <c r="E7029" s="1"/>
      <c r="F7029" s="1"/>
      <c r="G7029" s="1"/>
      <c r="H7029" s="1"/>
      <c r="I7029" s="1"/>
      <c r="J7029" s="1"/>
      <c r="K7029" s="1" t="s">
        <v>10852</v>
      </c>
      <c r="L7029" s="125" t="str">
        <f>E1060</f>
        <v>J2a2a~</v>
      </c>
      <c r="M7029" s="1"/>
      <c r="N7029" s="1" t="s">
        <v>10853</v>
      </c>
      <c r="O7029" s="114">
        <v>1.4334508E7</v>
      </c>
      <c r="P7029" s="114">
        <v>1.2213803E7</v>
      </c>
      <c r="Q7029" s="1" t="s">
        <v>2439</v>
      </c>
      <c r="S7029" s="1"/>
      <c r="T7029" s="1"/>
      <c r="U7029" s="1"/>
      <c r="V7029" s="1"/>
      <c r="W7029" s="1"/>
      <c r="X7029" s="1"/>
      <c r="Y7029" s="1"/>
      <c r="AA7029" s="102"/>
      <c r="AB7029" s="1"/>
      <c r="AC7029" s="1"/>
      <c r="AD7029" s="1"/>
      <c r="AE7029" s="1"/>
      <c r="AF7029" s="1"/>
      <c r="AG7029" s="1"/>
    </row>
    <row r="7030" ht="15.75" customHeight="1">
      <c r="A7030" s="1"/>
      <c r="B7030" s="1"/>
      <c r="C7030" s="1"/>
      <c r="D7030" s="1"/>
      <c r="E7030" s="1"/>
      <c r="F7030" s="1"/>
      <c r="G7030" s="1"/>
      <c r="H7030" s="1"/>
      <c r="I7030" s="1"/>
      <c r="J7030" s="1"/>
      <c r="K7030" s="102" t="s">
        <v>10854</v>
      </c>
      <c r="L7030" s="125" t="str">
        <f>E1060</f>
        <v>J2a2a~</v>
      </c>
      <c r="M7030" s="102"/>
      <c r="N7030" s="1" t="s">
        <v>10855</v>
      </c>
      <c r="O7030" s="114">
        <v>1.7706002E7</v>
      </c>
      <c r="P7030" s="105">
        <v>1.5594122E7</v>
      </c>
      <c r="Q7030" s="102" t="s">
        <v>2423</v>
      </c>
      <c r="S7030" s="1"/>
      <c r="T7030" s="1"/>
      <c r="U7030" s="1"/>
      <c r="V7030" s="1"/>
      <c r="W7030" s="1"/>
      <c r="X7030" s="1"/>
      <c r="Y7030" s="1"/>
      <c r="AA7030" s="102"/>
      <c r="AB7030" s="1"/>
      <c r="AC7030" s="1"/>
      <c r="AD7030" s="1"/>
      <c r="AE7030" s="1"/>
      <c r="AF7030" s="1"/>
      <c r="AG7030" s="1"/>
    </row>
    <row r="7031" ht="15.75" customHeight="1">
      <c r="A7031" s="1"/>
      <c r="B7031" s="1"/>
      <c r="C7031" s="1"/>
      <c r="D7031" s="1"/>
      <c r="E7031" s="1"/>
      <c r="F7031" s="1"/>
      <c r="G7031" s="1"/>
      <c r="H7031" s="1"/>
      <c r="I7031" s="1"/>
      <c r="J7031" s="1"/>
      <c r="K7031" s="102" t="s">
        <v>10856</v>
      </c>
      <c r="L7031" s="125" t="str">
        <f>E1060</f>
        <v>J2a2a~</v>
      </c>
      <c r="M7031" s="102"/>
      <c r="N7031" s="1" t="s">
        <v>10857</v>
      </c>
      <c r="O7031" s="114">
        <v>5749327.0</v>
      </c>
      <c r="P7031" s="105">
        <v>5881286.0</v>
      </c>
      <c r="Q7031" s="102" t="s">
        <v>2439</v>
      </c>
      <c r="S7031" s="1"/>
      <c r="T7031" s="1"/>
      <c r="U7031" s="1"/>
      <c r="V7031" s="1"/>
      <c r="W7031" s="1"/>
      <c r="X7031" s="1"/>
      <c r="Y7031" s="1"/>
      <c r="AA7031" s="102"/>
      <c r="AB7031" s="1"/>
      <c r="AC7031" s="1"/>
      <c r="AD7031" s="1"/>
      <c r="AE7031" s="1"/>
      <c r="AF7031" s="1"/>
      <c r="AG7031" s="1"/>
    </row>
    <row r="7032" ht="15.75" customHeight="1">
      <c r="A7032" s="1"/>
      <c r="B7032" s="1"/>
      <c r="C7032" s="1"/>
      <c r="D7032" s="1"/>
      <c r="E7032" s="1"/>
      <c r="F7032" s="1"/>
      <c r="G7032" s="1"/>
      <c r="H7032" s="1"/>
      <c r="I7032" s="1"/>
      <c r="J7032" s="1"/>
      <c r="K7032" s="1" t="s">
        <v>10858</v>
      </c>
      <c r="L7032" s="125" t="str">
        <f>E1060</f>
        <v>J2a2a~</v>
      </c>
      <c r="M7032" s="1"/>
      <c r="N7032" s="1"/>
      <c r="O7032" s="114">
        <v>1.5972458E7</v>
      </c>
      <c r="P7032" s="114">
        <v>1.3860578E7</v>
      </c>
      <c r="Q7032" s="1" t="s">
        <v>2468</v>
      </c>
      <c r="S7032" s="1"/>
      <c r="T7032" s="1"/>
      <c r="U7032" s="1"/>
      <c r="V7032" s="1"/>
      <c r="W7032" s="1"/>
      <c r="X7032" s="1"/>
      <c r="Y7032" s="1"/>
      <c r="AA7032" s="102"/>
      <c r="AB7032" s="1"/>
      <c r="AC7032" s="1"/>
      <c r="AD7032" s="1"/>
      <c r="AE7032" s="1"/>
      <c r="AF7032" s="1"/>
      <c r="AG7032" s="1"/>
    </row>
    <row r="7033" ht="15.75" customHeight="1">
      <c r="A7033" s="1"/>
      <c r="B7033" s="1"/>
      <c r="C7033" s="1"/>
      <c r="D7033" s="1"/>
      <c r="E7033" s="1"/>
      <c r="F7033" s="1"/>
      <c r="G7033" s="1"/>
      <c r="H7033" s="1"/>
      <c r="I7033" s="1"/>
      <c r="J7033" s="1"/>
      <c r="K7033" s="102" t="s">
        <v>10859</v>
      </c>
      <c r="L7033" s="125" t="str">
        <f>E1060</f>
        <v>J2a2a~</v>
      </c>
      <c r="M7033" s="102"/>
      <c r="N7033" s="1" t="s">
        <v>10860</v>
      </c>
      <c r="O7033" s="114">
        <v>1.6042461E7</v>
      </c>
      <c r="P7033" s="105">
        <v>1.3930581E7</v>
      </c>
      <c r="Q7033" s="102" t="s">
        <v>2533</v>
      </c>
      <c r="S7033" s="1"/>
      <c r="T7033" s="1"/>
      <c r="U7033" s="1"/>
      <c r="V7033" s="1"/>
      <c r="W7033" s="1"/>
      <c r="X7033" s="1"/>
      <c r="Y7033" s="1"/>
      <c r="AA7033" s="102"/>
      <c r="AB7033" s="1"/>
      <c r="AC7033" s="1"/>
      <c r="AD7033" s="1"/>
      <c r="AE7033" s="1"/>
      <c r="AF7033" s="1"/>
      <c r="AG7033" s="1"/>
    </row>
    <row r="7034" ht="15.75" customHeight="1">
      <c r="A7034" s="1"/>
      <c r="B7034" s="1"/>
      <c r="C7034" s="1"/>
      <c r="D7034" s="1"/>
      <c r="E7034" s="1"/>
      <c r="F7034" s="1"/>
      <c r="G7034" s="1"/>
      <c r="H7034" s="1"/>
      <c r="I7034" s="1"/>
      <c r="J7034" s="1"/>
      <c r="K7034" s="102" t="s">
        <v>10861</v>
      </c>
      <c r="L7034" s="125" t="str">
        <f>E1060</f>
        <v>J2a2a~</v>
      </c>
      <c r="M7034" s="102"/>
      <c r="N7034" s="1" t="s">
        <v>10862</v>
      </c>
      <c r="O7034" s="114">
        <v>1.7165675E7</v>
      </c>
      <c r="P7034" s="105">
        <v>1.5053795E7</v>
      </c>
      <c r="Q7034" s="102" t="s">
        <v>2501</v>
      </c>
      <c r="S7034" s="1"/>
      <c r="T7034" s="1"/>
      <c r="U7034" s="1"/>
      <c r="V7034" s="1"/>
      <c r="W7034" s="1"/>
      <c r="X7034" s="1"/>
      <c r="Y7034" s="1"/>
      <c r="AA7034" s="102"/>
      <c r="AB7034" s="1"/>
      <c r="AC7034" s="1"/>
      <c r="AD7034" s="1"/>
      <c r="AE7034" s="1"/>
      <c r="AF7034" s="1"/>
      <c r="AG7034" s="1"/>
    </row>
    <row r="7035" ht="15.75" customHeight="1">
      <c r="A7035" s="1"/>
      <c r="B7035" s="1"/>
      <c r="C7035" s="1"/>
      <c r="D7035" s="1"/>
      <c r="E7035" s="1"/>
      <c r="F7035" s="1"/>
      <c r="G7035" s="1"/>
      <c r="H7035" s="1"/>
      <c r="I7035" s="1"/>
      <c r="J7035" s="1"/>
      <c r="K7035" s="1" t="s">
        <v>10863</v>
      </c>
      <c r="L7035" s="125" t="str">
        <f>E1060</f>
        <v>J2a2a~</v>
      </c>
      <c r="M7035" s="1"/>
      <c r="N7035" s="1" t="s">
        <v>10864</v>
      </c>
      <c r="O7035" s="114">
        <v>1.3948492E7</v>
      </c>
      <c r="P7035" s="105">
        <v>1.1827786E7</v>
      </c>
      <c r="Q7035" s="1" t="s">
        <v>2501</v>
      </c>
      <c r="S7035" s="1"/>
      <c r="T7035" s="1"/>
      <c r="U7035" s="1"/>
      <c r="V7035" s="1"/>
      <c r="W7035" s="1"/>
      <c r="X7035" s="1"/>
      <c r="Y7035" s="1"/>
      <c r="AA7035" s="102"/>
      <c r="AB7035" s="1"/>
      <c r="AC7035" s="1"/>
      <c r="AD7035" s="1"/>
      <c r="AE7035" s="1"/>
      <c r="AF7035" s="1"/>
      <c r="AG7035" s="1"/>
    </row>
    <row r="7036" ht="15.75" customHeight="1">
      <c r="A7036" s="1"/>
      <c r="B7036" s="1"/>
      <c r="C7036" s="1"/>
      <c r="D7036" s="1"/>
      <c r="E7036" s="1"/>
      <c r="F7036" s="1"/>
      <c r="G7036" s="1"/>
      <c r="H7036" s="1"/>
      <c r="I7036" s="1"/>
      <c r="J7036" s="1"/>
      <c r="K7036" s="1" t="s">
        <v>10865</v>
      </c>
      <c r="L7036" s="125" t="str">
        <f>E1060</f>
        <v>J2a2a~</v>
      </c>
      <c r="M7036" s="1"/>
      <c r="N7036" s="1"/>
      <c r="O7036" s="114">
        <v>1.840258E7</v>
      </c>
      <c r="P7036" s="114">
        <v>1.62907E7</v>
      </c>
      <c r="Q7036" s="1" t="s">
        <v>2454</v>
      </c>
      <c r="S7036" s="1"/>
      <c r="T7036" s="1"/>
      <c r="U7036" s="1"/>
      <c r="V7036" s="1"/>
      <c r="W7036" s="1"/>
      <c r="X7036" s="1"/>
      <c r="Y7036" s="1"/>
      <c r="AA7036" s="102"/>
      <c r="AB7036" s="1"/>
      <c r="AC7036" s="1"/>
      <c r="AD7036" s="1"/>
      <c r="AE7036" s="1"/>
      <c r="AF7036" s="1"/>
      <c r="AG7036" s="1"/>
    </row>
    <row r="7037" ht="15.75" customHeight="1">
      <c r="A7037" s="1"/>
      <c r="B7037" s="1"/>
      <c r="C7037" s="1"/>
      <c r="D7037" s="1"/>
      <c r="E7037" s="1"/>
      <c r="F7037" s="1"/>
      <c r="G7037" s="1"/>
      <c r="H7037" s="1"/>
      <c r="I7037" s="1"/>
      <c r="J7037" s="1"/>
      <c r="K7037" s="102" t="s">
        <v>10866</v>
      </c>
      <c r="L7037" s="125" t="str">
        <f>E1060</f>
        <v>J2a2a~</v>
      </c>
      <c r="M7037" s="102"/>
      <c r="N7037" s="1" t="s">
        <v>10867</v>
      </c>
      <c r="O7037" s="114">
        <v>1.3229678E7</v>
      </c>
      <c r="P7037" s="105">
        <v>1.1074002E7</v>
      </c>
      <c r="Q7037" s="102" t="s">
        <v>2533</v>
      </c>
      <c r="S7037" s="1"/>
      <c r="T7037" s="1"/>
      <c r="U7037" s="1"/>
      <c r="V7037" s="1"/>
      <c r="W7037" s="1"/>
      <c r="X7037" s="1"/>
      <c r="Y7037" s="1"/>
      <c r="AA7037" s="102"/>
      <c r="AB7037" s="1"/>
      <c r="AC7037" s="1"/>
      <c r="AD7037" s="1"/>
      <c r="AE7037" s="1"/>
      <c r="AF7037" s="1"/>
      <c r="AG7037" s="1"/>
    </row>
    <row r="7038" ht="15.75" customHeight="1">
      <c r="A7038" s="1"/>
      <c r="B7038" s="1"/>
      <c r="C7038" s="1"/>
      <c r="D7038" s="1"/>
      <c r="E7038" s="1"/>
      <c r="F7038" s="1"/>
      <c r="G7038" s="1"/>
      <c r="H7038" s="1"/>
      <c r="I7038" s="1"/>
      <c r="J7038" s="1"/>
      <c r="K7038" s="1" t="s">
        <v>10868</v>
      </c>
      <c r="L7038" s="125" t="str">
        <f>E1060</f>
        <v>J2a2a~</v>
      </c>
      <c r="M7038" s="1"/>
      <c r="N7038" s="1" t="s">
        <v>10869</v>
      </c>
      <c r="O7038" s="114">
        <v>1.4304632E7</v>
      </c>
      <c r="P7038" s="114">
        <v>1.2183926E7</v>
      </c>
      <c r="Q7038" s="1" t="s">
        <v>2501</v>
      </c>
      <c r="S7038" s="1"/>
      <c r="T7038" s="1"/>
      <c r="U7038" s="1"/>
      <c r="V7038" s="1"/>
      <c r="W7038" s="1"/>
      <c r="X7038" s="1"/>
      <c r="Y7038" s="1"/>
      <c r="AA7038" s="102"/>
      <c r="AB7038" s="1"/>
      <c r="AC7038" s="1"/>
      <c r="AD7038" s="1"/>
      <c r="AE7038" s="1"/>
      <c r="AF7038" s="1"/>
      <c r="AG7038" s="1"/>
    </row>
    <row r="7039" ht="15.75" customHeight="1">
      <c r="A7039" s="1"/>
      <c r="B7039" s="1"/>
      <c r="C7039" s="1"/>
      <c r="D7039" s="1"/>
      <c r="E7039" s="1"/>
      <c r="F7039" s="1"/>
      <c r="G7039" s="1"/>
      <c r="H7039" s="1"/>
      <c r="I7039" s="1"/>
      <c r="J7039" s="1"/>
      <c r="K7039" s="1" t="s">
        <v>10870</v>
      </c>
      <c r="L7039" s="125" t="str">
        <f>E1060</f>
        <v>J2a2a~</v>
      </c>
      <c r="M7039" s="1"/>
      <c r="N7039" s="1" t="s">
        <v>10871</v>
      </c>
      <c r="O7039" s="114">
        <v>1.5725159E7</v>
      </c>
      <c r="P7039" s="114">
        <v>1.3613279E7</v>
      </c>
      <c r="Q7039" s="1" t="s">
        <v>2454</v>
      </c>
      <c r="S7039" s="1"/>
      <c r="T7039" s="1"/>
      <c r="U7039" s="1"/>
      <c r="V7039" s="1"/>
      <c r="W7039" s="1"/>
      <c r="X7039" s="1"/>
      <c r="Y7039" s="1"/>
      <c r="AA7039" s="102"/>
      <c r="AB7039" s="1"/>
      <c r="AC7039" s="1"/>
      <c r="AD7039" s="1"/>
      <c r="AE7039" s="1"/>
      <c r="AF7039" s="1"/>
      <c r="AG7039" s="1"/>
    </row>
    <row r="7040" ht="15.75" customHeight="1">
      <c r="A7040" s="1"/>
      <c r="B7040" s="1"/>
      <c r="C7040" s="1"/>
      <c r="D7040" s="1"/>
      <c r="E7040" s="1"/>
      <c r="F7040" s="1"/>
      <c r="G7040" s="1"/>
      <c r="H7040" s="1"/>
      <c r="I7040" s="1"/>
      <c r="J7040" s="1"/>
      <c r="K7040" s="102" t="s">
        <v>10872</v>
      </c>
      <c r="L7040" s="125" t="str">
        <f>E1060</f>
        <v>J2a2a~</v>
      </c>
      <c r="M7040" s="102"/>
      <c r="N7040" s="1" t="s">
        <v>10873</v>
      </c>
      <c r="O7040" s="114">
        <v>1.7162943E7</v>
      </c>
      <c r="P7040" s="105">
        <v>1.5051063E7</v>
      </c>
      <c r="Q7040" s="102" t="s">
        <v>2533</v>
      </c>
      <c r="S7040" s="1"/>
      <c r="T7040" s="1"/>
      <c r="U7040" s="1"/>
      <c r="V7040" s="1"/>
      <c r="W7040" s="1"/>
      <c r="X7040" s="1"/>
      <c r="Y7040" s="1"/>
      <c r="AA7040" s="102"/>
      <c r="AB7040" s="1"/>
      <c r="AC7040" s="1"/>
      <c r="AD7040" s="1"/>
      <c r="AE7040" s="1"/>
      <c r="AF7040" s="1"/>
      <c r="AG7040" s="1"/>
    </row>
    <row r="7041" ht="15.75" customHeight="1">
      <c r="A7041" s="1"/>
      <c r="B7041" s="1"/>
      <c r="C7041" s="1"/>
      <c r="D7041" s="1"/>
      <c r="E7041" s="1"/>
      <c r="F7041" s="1"/>
      <c r="G7041" s="1"/>
      <c r="H7041" s="1"/>
      <c r="I7041" s="1"/>
      <c r="J7041" s="1"/>
      <c r="K7041" s="102" t="s">
        <v>10874</v>
      </c>
      <c r="L7041" s="125" t="str">
        <f>E1060</f>
        <v>J2a2a~</v>
      </c>
      <c r="M7041" s="102"/>
      <c r="N7041" s="1"/>
      <c r="O7041" s="114">
        <v>1.9564175E7</v>
      </c>
      <c r="P7041" s="105">
        <v>1.7452295E7</v>
      </c>
      <c r="Q7041" s="102" t="s">
        <v>2576</v>
      </c>
      <c r="S7041" s="1"/>
      <c r="T7041" s="1"/>
      <c r="U7041" s="1"/>
      <c r="V7041" s="1"/>
      <c r="W7041" s="1"/>
      <c r="X7041" s="1"/>
      <c r="Y7041" s="1"/>
      <c r="AA7041" s="102"/>
      <c r="AB7041" s="1"/>
      <c r="AC7041" s="1"/>
      <c r="AD7041" s="1"/>
      <c r="AE7041" s="1"/>
      <c r="AF7041" s="1"/>
      <c r="AG7041" s="1"/>
    </row>
    <row r="7042" ht="15.75" customHeight="1">
      <c r="A7042" s="1"/>
      <c r="B7042" s="1"/>
      <c r="C7042" s="1"/>
      <c r="D7042" s="1"/>
      <c r="E7042" s="1"/>
      <c r="F7042" s="1"/>
      <c r="G7042" s="1"/>
      <c r="H7042" s="1"/>
      <c r="I7042" s="1"/>
      <c r="J7042" s="1"/>
      <c r="K7042" s="102" t="s">
        <v>10875</v>
      </c>
      <c r="L7042" s="125" t="str">
        <f>E1060</f>
        <v>J2a2a~</v>
      </c>
      <c r="M7042" s="102"/>
      <c r="N7042" s="1" t="s">
        <v>10876</v>
      </c>
      <c r="O7042" s="114">
        <v>7967353.0</v>
      </c>
      <c r="P7042" s="105">
        <v>8099312.0</v>
      </c>
      <c r="Q7042" s="102" t="s">
        <v>2501</v>
      </c>
      <c r="S7042" s="1"/>
      <c r="T7042" s="1"/>
      <c r="U7042" s="1"/>
      <c r="V7042" s="1"/>
      <c r="W7042" s="1"/>
      <c r="X7042" s="1"/>
      <c r="Y7042" s="1"/>
      <c r="AA7042" s="102"/>
      <c r="AB7042" s="1"/>
      <c r="AC7042" s="1"/>
      <c r="AD7042" s="1"/>
      <c r="AE7042" s="1"/>
      <c r="AF7042" s="1"/>
      <c r="AG7042" s="1"/>
    </row>
    <row r="7043" ht="15.75" customHeight="1">
      <c r="A7043" s="1"/>
      <c r="B7043" s="1"/>
      <c r="C7043" s="1"/>
      <c r="D7043" s="1"/>
      <c r="E7043" s="1"/>
      <c r="F7043" s="1"/>
      <c r="G7043" s="1"/>
      <c r="H7043" s="1"/>
      <c r="I7043" s="1"/>
      <c r="J7043" s="1"/>
      <c r="K7043" s="1" t="s">
        <v>2087</v>
      </c>
      <c r="L7043" s="1" t="str">
        <f>F1061</f>
        <v>J2a2a1~</v>
      </c>
      <c r="M7043" s="1"/>
      <c r="N7043" s="1" t="s">
        <v>10877</v>
      </c>
      <c r="O7043" s="114">
        <v>2.3808533E7</v>
      </c>
      <c r="P7043" s="114">
        <v>2.1646647E7</v>
      </c>
      <c r="Q7043" s="1" t="s">
        <v>2529</v>
      </c>
      <c r="S7043" s="1"/>
      <c r="T7043" s="1"/>
      <c r="U7043" s="1"/>
      <c r="V7043" s="1"/>
      <c r="W7043" s="1"/>
      <c r="X7043" s="1"/>
      <c r="Y7043" s="1"/>
      <c r="AA7043" s="102"/>
      <c r="AB7043" s="1"/>
      <c r="AC7043" s="1"/>
      <c r="AD7043" s="1"/>
      <c r="AE7043" s="1"/>
      <c r="AF7043" s="1"/>
      <c r="AG7043" s="1"/>
    </row>
    <row r="7044" ht="15.75" customHeight="1">
      <c r="A7044" s="1"/>
      <c r="B7044" s="1"/>
      <c r="C7044" s="1"/>
      <c r="D7044" s="1"/>
      <c r="E7044" s="1"/>
      <c r="F7044" s="1"/>
      <c r="G7044" s="1"/>
      <c r="H7044" s="1"/>
      <c r="I7044" s="1"/>
      <c r="J7044" s="1"/>
      <c r="K7044" s="1" t="s">
        <v>2089</v>
      </c>
      <c r="L7044" s="1" t="str">
        <f>G1062</f>
        <v>J2a2a1a~</v>
      </c>
      <c r="M7044" s="1"/>
      <c r="N7044" s="1" t="s">
        <v>10878</v>
      </c>
      <c r="O7044" s="114">
        <v>6881091.0</v>
      </c>
      <c r="P7044" s="114">
        <v>7013050.0</v>
      </c>
      <c r="Q7044" s="1" t="s">
        <v>2468</v>
      </c>
      <c r="S7044" s="1"/>
      <c r="T7044" s="1"/>
      <c r="U7044" s="1"/>
      <c r="V7044" s="1"/>
      <c r="W7044" s="1"/>
      <c r="X7044" s="1"/>
      <c r="Y7044" s="1"/>
      <c r="AA7044" s="102"/>
      <c r="AB7044" s="1"/>
      <c r="AC7044" s="1"/>
      <c r="AD7044" s="1"/>
      <c r="AE7044" s="1"/>
      <c r="AF7044" s="1"/>
      <c r="AG7044" s="1"/>
    </row>
    <row r="7045" ht="15.75" customHeight="1">
      <c r="A7045" s="1"/>
      <c r="B7045" s="1"/>
      <c r="C7045" s="1"/>
      <c r="D7045" s="1"/>
      <c r="E7045" s="1"/>
      <c r="F7045" s="1"/>
      <c r="G7045" s="1"/>
      <c r="H7045" s="1"/>
      <c r="I7045" s="1"/>
      <c r="J7045" s="1"/>
      <c r="K7045" s="1" t="s">
        <v>2091</v>
      </c>
      <c r="L7045" s="1" t="str">
        <f>H1063</f>
        <v>J2a2a1a1~</v>
      </c>
      <c r="M7045" s="1"/>
      <c r="N7045" s="1" t="s">
        <v>10879</v>
      </c>
      <c r="O7045" s="114">
        <v>2.3364445E7</v>
      </c>
      <c r="P7045" s="114">
        <v>2.1202559E7</v>
      </c>
      <c r="Q7045" s="1" t="s">
        <v>2533</v>
      </c>
      <c r="S7045" s="1"/>
      <c r="T7045" s="1"/>
      <c r="U7045" s="1"/>
      <c r="V7045" s="1"/>
      <c r="W7045" s="1"/>
      <c r="X7045" s="1"/>
      <c r="Y7045" s="1"/>
      <c r="AA7045" s="102"/>
      <c r="AB7045" s="1"/>
      <c r="AC7045" s="1"/>
      <c r="AD7045" s="1"/>
      <c r="AE7045" s="1"/>
      <c r="AF7045" s="1"/>
      <c r="AG7045" s="1"/>
    </row>
    <row r="7046" ht="15.75" customHeight="1">
      <c r="A7046" s="1"/>
      <c r="B7046" s="1"/>
      <c r="C7046" s="1"/>
      <c r="D7046" s="1"/>
      <c r="E7046" s="1"/>
      <c r="F7046" s="1"/>
      <c r="G7046" s="1"/>
      <c r="H7046" s="1"/>
      <c r="I7046" s="1"/>
      <c r="J7046" s="1"/>
      <c r="K7046" s="42" t="s">
        <v>2093</v>
      </c>
      <c r="L7046" t="str">
        <f>I1064</f>
        <v>J2a2a1a1a~</v>
      </c>
      <c r="N7046" s="108" t="s">
        <v>10880</v>
      </c>
      <c r="O7046" s="108">
        <v>1.5664232E7</v>
      </c>
      <c r="P7046" s="42">
        <v>1.3552352E7</v>
      </c>
      <c r="Q7046" s="42" t="s">
        <v>2501</v>
      </c>
      <c r="S7046" s="1"/>
      <c r="T7046" s="1"/>
      <c r="U7046" s="1"/>
      <c r="V7046" s="1"/>
      <c r="W7046" s="1"/>
      <c r="X7046" s="1"/>
      <c r="Y7046" s="1"/>
      <c r="AA7046" s="102"/>
      <c r="AB7046" s="1"/>
      <c r="AC7046" s="1"/>
      <c r="AD7046" s="1"/>
      <c r="AE7046" s="1"/>
      <c r="AF7046" s="1"/>
      <c r="AG7046" s="1"/>
    </row>
    <row r="7047" ht="15.75" customHeight="1">
      <c r="A7047" s="1"/>
      <c r="B7047" s="1"/>
      <c r="C7047" s="1"/>
      <c r="D7047" s="1"/>
      <c r="E7047" s="1"/>
      <c r="F7047" s="1"/>
      <c r="G7047" s="1"/>
      <c r="H7047" s="1"/>
      <c r="I7047" s="1"/>
      <c r="J7047" s="1"/>
      <c r="K7047" s="42" t="s">
        <v>2095</v>
      </c>
      <c r="L7047" t="str">
        <f>J1065</f>
        <v>J2a2a1a1a1~</v>
      </c>
      <c r="O7047" s="108">
        <v>1.46334E7</v>
      </c>
      <c r="P7047" s="42">
        <v>1.2521469E7</v>
      </c>
      <c r="Q7047" s="42" t="s">
        <v>2576</v>
      </c>
      <c r="S7047" s="1"/>
      <c r="T7047" s="1"/>
      <c r="U7047" s="1"/>
      <c r="V7047" s="1"/>
      <c r="W7047" s="1"/>
      <c r="X7047" s="1"/>
      <c r="Y7047" s="1"/>
      <c r="AA7047" s="102"/>
      <c r="AB7047" s="1"/>
      <c r="AC7047" s="1"/>
      <c r="AD7047" s="1"/>
      <c r="AE7047" s="1"/>
      <c r="AF7047" s="1"/>
      <c r="AG7047" s="1"/>
    </row>
    <row r="7048" ht="15.75" customHeight="1">
      <c r="A7048" s="1"/>
      <c r="B7048" s="1"/>
      <c r="C7048" s="1"/>
      <c r="D7048" s="1"/>
      <c r="E7048" s="1"/>
      <c r="F7048" s="1"/>
      <c r="G7048" s="1"/>
      <c r="H7048" s="1"/>
      <c r="I7048" s="1"/>
      <c r="J7048" s="1"/>
      <c r="K7048" s="42" t="s">
        <v>2097</v>
      </c>
      <c r="L7048" t="str">
        <f>K1066</f>
        <v>J2a2a1a1a1a~</v>
      </c>
      <c r="O7048" s="108">
        <v>2.1858409E7</v>
      </c>
      <c r="P7048" s="42">
        <v>1.9696523E7</v>
      </c>
      <c r="Q7048" s="42" t="s">
        <v>2529</v>
      </c>
      <c r="S7048" s="1"/>
      <c r="T7048" s="1"/>
      <c r="U7048" s="1"/>
      <c r="V7048" s="1"/>
      <c r="W7048" s="1"/>
      <c r="X7048" s="1"/>
      <c r="Y7048" s="1"/>
      <c r="AA7048" s="102"/>
      <c r="AB7048" s="1"/>
      <c r="AC7048" s="1"/>
      <c r="AD7048" s="1"/>
      <c r="AE7048" s="1"/>
      <c r="AF7048" s="1"/>
      <c r="AG7048" s="1"/>
    </row>
    <row r="7049" ht="15.75" customHeight="1">
      <c r="A7049" s="1"/>
      <c r="B7049" s="1"/>
      <c r="C7049" s="1"/>
      <c r="D7049" s="1"/>
      <c r="E7049" s="1"/>
      <c r="F7049" s="1"/>
      <c r="G7049" s="1"/>
      <c r="H7049" s="1"/>
      <c r="I7049" s="1"/>
      <c r="J7049" s="1"/>
      <c r="K7049" s="42" t="s">
        <v>2099</v>
      </c>
      <c r="L7049" t="str">
        <f>L1067</f>
        <v>J2a2a1a1a1a1~</v>
      </c>
      <c r="O7049" s="108">
        <v>1.6611295E7</v>
      </c>
      <c r="P7049" s="42">
        <v>1.4499415E7</v>
      </c>
      <c r="Q7049" s="42" t="s">
        <v>2576</v>
      </c>
      <c r="S7049" s="1"/>
      <c r="T7049" s="1"/>
      <c r="U7049" s="1"/>
      <c r="V7049" s="1"/>
      <c r="W7049" s="1"/>
      <c r="X7049" s="1"/>
      <c r="Y7049" s="1"/>
      <c r="AA7049" s="102"/>
      <c r="AB7049" s="1"/>
      <c r="AC7049" s="1"/>
      <c r="AD7049" s="1"/>
      <c r="AE7049" s="1"/>
      <c r="AF7049" s="1"/>
      <c r="AG7049" s="1"/>
    </row>
    <row r="7050" ht="15.75" customHeight="1">
      <c r="A7050" s="1"/>
      <c r="B7050" s="1"/>
      <c r="C7050" s="1"/>
      <c r="D7050" s="1"/>
      <c r="E7050" s="1"/>
      <c r="F7050" s="1"/>
      <c r="G7050" s="1"/>
      <c r="H7050" s="1"/>
      <c r="I7050" s="1"/>
      <c r="J7050" s="1"/>
      <c r="K7050" s="102" t="s">
        <v>10881</v>
      </c>
      <c r="L7050" s="102" t="str">
        <f>J1068</f>
        <v>J2a2a1a1a2</v>
      </c>
      <c r="M7050" s="102" t="s">
        <v>10882</v>
      </c>
      <c r="N7050" s="102" t="s">
        <v>10883</v>
      </c>
      <c r="O7050" s="105">
        <v>2881377.0</v>
      </c>
      <c r="P7050" s="105">
        <v>3013336.0</v>
      </c>
      <c r="Q7050" s="102" t="s">
        <v>2439</v>
      </c>
      <c r="S7050" s="1"/>
      <c r="T7050" s="1"/>
      <c r="U7050" s="1"/>
      <c r="V7050" s="1"/>
      <c r="W7050" s="1"/>
      <c r="X7050" s="1"/>
      <c r="Y7050" s="1"/>
      <c r="AA7050" s="102"/>
      <c r="AB7050" s="1"/>
      <c r="AC7050" s="1"/>
      <c r="AD7050" s="1"/>
      <c r="AE7050" s="1"/>
      <c r="AF7050" s="1"/>
      <c r="AG7050" s="1"/>
    </row>
    <row r="7051" ht="15.75" customHeight="1">
      <c r="A7051" s="1"/>
      <c r="B7051" s="1"/>
      <c r="C7051" s="1"/>
      <c r="D7051" s="1"/>
      <c r="E7051" s="1"/>
      <c r="F7051" s="1"/>
      <c r="G7051" s="1"/>
      <c r="H7051" s="1"/>
      <c r="I7051" s="1"/>
      <c r="J7051" s="1"/>
      <c r="K7051" s="102" t="s">
        <v>10882</v>
      </c>
      <c r="L7051" s="102" t="str">
        <f>J1068</f>
        <v>J2a2a1a1a2</v>
      </c>
      <c r="M7051" s="102" t="s">
        <v>10881</v>
      </c>
      <c r="N7051" s="102" t="s">
        <v>10883</v>
      </c>
      <c r="O7051" s="105">
        <v>2881377.0</v>
      </c>
      <c r="P7051" s="105">
        <v>3013336.0</v>
      </c>
      <c r="Q7051" s="102" t="s">
        <v>2439</v>
      </c>
      <c r="S7051" s="1"/>
      <c r="T7051" s="1"/>
      <c r="U7051" s="1"/>
      <c r="V7051" s="1"/>
      <c r="W7051" s="1"/>
      <c r="X7051" s="1"/>
      <c r="Y7051" s="1"/>
      <c r="AA7051" s="102"/>
      <c r="AB7051" s="1"/>
      <c r="AC7051" s="1"/>
      <c r="AD7051" s="1"/>
      <c r="AE7051" s="1"/>
      <c r="AF7051" s="1"/>
      <c r="AG7051" s="1"/>
    </row>
    <row r="7052" ht="15.75" customHeight="1">
      <c r="A7052" s="1"/>
      <c r="B7052" s="1"/>
      <c r="C7052" s="1"/>
      <c r="D7052" s="1"/>
      <c r="E7052" s="1"/>
      <c r="F7052" s="1"/>
      <c r="G7052" s="1"/>
      <c r="H7052" s="1"/>
      <c r="I7052" s="1"/>
      <c r="J7052" s="1"/>
      <c r="K7052" s="42" t="s">
        <v>2103</v>
      </c>
      <c r="L7052" t="str">
        <f>K1069</f>
        <v>J2a2a1a1a2a~</v>
      </c>
      <c r="N7052" s="108" t="s">
        <v>10884</v>
      </c>
      <c r="O7052" s="108">
        <v>1.7274024E7</v>
      </c>
      <c r="P7052" s="42">
        <v>1.5162144E7</v>
      </c>
      <c r="Q7052" s="42" t="s">
        <v>2446</v>
      </c>
      <c r="S7052" s="1"/>
      <c r="T7052" s="1"/>
      <c r="U7052" s="1"/>
      <c r="V7052" s="1"/>
      <c r="W7052" s="1"/>
      <c r="X7052" s="1"/>
      <c r="Y7052" s="1"/>
      <c r="AA7052" s="102"/>
      <c r="AB7052" s="1"/>
      <c r="AC7052" s="1"/>
      <c r="AD7052" s="1"/>
      <c r="AE7052" s="1"/>
      <c r="AF7052" s="1"/>
      <c r="AG7052" s="1"/>
    </row>
    <row r="7053" ht="15.75" customHeight="1">
      <c r="A7053" s="1"/>
      <c r="B7053" s="1"/>
      <c r="C7053" s="1"/>
      <c r="D7053" s="1"/>
      <c r="E7053" s="1"/>
      <c r="F7053" s="1"/>
      <c r="G7053" s="1"/>
      <c r="H7053" s="1"/>
      <c r="I7053" s="1"/>
      <c r="J7053" s="1"/>
      <c r="K7053" s="42" t="s">
        <v>2105</v>
      </c>
      <c r="L7053" t="str">
        <f>L1070</f>
        <v>J2a2a1a1a2a1~</v>
      </c>
      <c r="N7053" s="108" t="s">
        <v>10885</v>
      </c>
      <c r="O7053" s="108">
        <v>1.4354304E7</v>
      </c>
      <c r="P7053" s="42">
        <v>1.2233599E7</v>
      </c>
      <c r="Q7053" s="42" t="s">
        <v>2501</v>
      </c>
      <c r="S7053" s="1"/>
      <c r="T7053" s="1"/>
      <c r="U7053" s="1"/>
      <c r="V7053" s="1"/>
      <c r="W7053" s="1"/>
      <c r="X7053" s="1"/>
      <c r="Y7053" s="1"/>
      <c r="AA7053" s="102"/>
      <c r="AB7053" s="1"/>
      <c r="AC7053" s="1"/>
      <c r="AD7053" s="1"/>
      <c r="AE7053" s="1"/>
      <c r="AF7053" s="1"/>
      <c r="AG7053" s="1"/>
    </row>
    <row r="7054" ht="15.75" customHeight="1">
      <c r="A7054" s="1"/>
      <c r="B7054" s="1"/>
      <c r="C7054" s="1"/>
      <c r="D7054" s="1"/>
      <c r="E7054" s="1"/>
      <c r="F7054" s="1"/>
      <c r="G7054" s="1"/>
      <c r="H7054" s="1"/>
      <c r="I7054" s="1"/>
      <c r="J7054" s="1"/>
      <c r="K7054" s="42" t="s">
        <v>2107</v>
      </c>
      <c r="L7054" t="str">
        <f>M1071</f>
        <v>J2a2a1a1a2a1a~</v>
      </c>
      <c r="O7054" s="108">
        <v>9392297.0</v>
      </c>
      <c r="P7054" s="42">
        <v>9554688.0</v>
      </c>
      <c r="Q7054" s="42" t="s">
        <v>2529</v>
      </c>
      <c r="S7054" s="1"/>
      <c r="T7054" s="1"/>
      <c r="U7054" s="1"/>
      <c r="V7054" s="1"/>
      <c r="W7054" s="1"/>
      <c r="X7054" s="1"/>
      <c r="Y7054" s="1"/>
      <c r="AA7054" s="102"/>
      <c r="AB7054" s="1"/>
      <c r="AC7054" s="1"/>
      <c r="AD7054" s="1"/>
      <c r="AE7054" s="1"/>
      <c r="AF7054" s="1"/>
      <c r="AG7054" s="1"/>
    </row>
    <row r="7055" ht="15.75" customHeight="1">
      <c r="A7055" s="1"/>
      <c r="B7055" s="1"/>
      <c r="C7055" s="1"/>
      <c r="D7055" s="1"/>
      <c r="E7055" s="1"/>
      <c r="F7055" s="1"/>
      <c r="G7055" s="1"/>
      <c r="H7055" s="1"/>
      <c r="I7055" s="1"/>
      <c r="J7055" s="1"/>
      <c r="K7055" s="42" t="s">
        <v>2109</v>
      </c>
      <c r="L7055" t="str">
        <f>K1072</f>
        <v>J2a2a1a1a2b~</v>
      </c>
      <c r="O7055" s="108">
        <v>7368875.0</v>
      </c>
      <c r="P7055" s="42">
        <v>7500834.0</v>
      </c>
      <c r="Q7055" s="42" t="s">
        <v>2501</v>
      </c>
      <c r="S7055" s="1"/>
      <c r="T7055" s="1"/>
      <c r="U7055" s="1"/>
      <c r="V7055" s="1"/>
      <c r="W7055" s="1"/>
      <c r="X7055" s="1"/>
      <c r="Y7055" s="1"/>
      <c r="AA7055" s="102"/>
      <c r="AB7055" s="1"/>
      <c r="AC7055" s="1"/>
      <c r="AD7055" s="1"/>
      <c r="AE7055" s="1"/>
      <c r="AF7055" s="1"/>
      <c r="AG7055" s="1"/>
    </row>
    <row r="7056" ht="15.75" customHeight="1">
      <c r="A7056" s="1"/>
      <c r="B7056" s="1"/>
      <c r="C7056" s="1"/>
      <c r="D7056" s="1"/>
      <c r="E7056" s="1"/>
      <c r="F7056" s="1"/>
      <c r="G7056" s="1"/>
      <c r="H7056" s="1"/>
      <c r="I7056" s="1"/>
      <c r="J7056" s="1"/>
      <c r="K7056" s="102" t="s">
        <v>2111</v>
      </c>
      <c r="L7056" s="102" t="str">
        <f>L1073</f>
        <v>J2a2a1a1a2b1</v>
      </c>
      <c r="M7056" s="102"/>
      <c r="N7056" s="102" t="s">
        <v>10886</v>
      </c>
      <c r="O7056" s="105">
        <v>2.1878699E7</v>
      </c>
      <c r="P7056" s="105">
        <v>1.9716813E7</v>
      </c>
      <c r="Q7056" s="102" t="s">
        <v>2576</v>
      </c>
      <c r="S7056" s="1"/>
      <c r="T7056" s="1"/>
      <c r="U7056" s="1"/>
      <c r="V7056" s="1"/>
      <c r="W7056" s="1"/>
      <c r="X7056" s="1"/>
      <c r="Y7056" s="1"/>
      <c r="AA7056" s="102"/>
      <c r="AB7056" s="1"/>
      <c r="AC7056" s="1"/>
      <c r="AD7056" s="1"/>
      <c r="AE7056" s="1"/>
      <c r="AF7056" s="1"/>
      <c r="AG7056" s="1"/>
    </row>
    <row r="7057" ht="15.75" customHeight="1">
      <c r="A7057" s="1"/>
      <c r="B7057" s="1"/>
      <c r="C7057" s="1"/>
      <c r="D7057" s="1"/>
      <c r="E7057" s="1"/>
      <c r="F7057" s="1"/>
      <c r="G7057" s="1"/>
      <c r="H7057" s="1"/>
      <c r="I7057" s="1"/>
      <c r="J7057" s="1"/>
      <c r="K7057" s="42" t="s">
        <v>2113</v>
      </c>
      <c r="L7057" t="str">
        <f>M1074</f>
        <v>J2a2a1a1a2b1a~</v>
      </c>
      <c r="O7057" s="108">
        <v>2.3973521E7</v>
      </c>
      <c r="P7057" s="42">
        <v>2.1827374E7</v>
      </c>
      <c r="Q7057" s="42" t="s">
        <v>2439</v>
      </c>
      <c r="S7057" s="1"/>
      <c r="T7057" s="1"/>
      <c r="U7057" s="1"/>
      <c r="V7057" s="1"/>
      <c r="W7057" s="1"/>
      <c r="X7057" s="1"/>
      <c r="Y7057" s="1"/>
      <c r="AA7057" s="102"/>
      <c r="AB7057" s="1"/>
      <c r="AC7057" s="1"/>
      <c r="AD7057" s="1"/>
      <c r="AE7057" s="1"/>
      <c r="AF7057" s="1"/>
      <c r="AG7057" s="1"/>
    </row>
    <row r="7058" ht="15.75" customHeight="1">
      <c r="A7058" s="1"/>
      <c r="B7058" s="1"/>
      <c r="C7058" s="1"/>
      <c r="D7058" s="1"/>
      <c r="E7058" s="1"/>
      <c r="F7058" s="1"/>
      <c r="G7058" s="1"/>
      <c r="H7058" s="1"/>
      <c r="I7058" s="1"/>
      <c r="J7058" s="1"/>
      <c r="K7058" s="42" t="s">
        <v>2115</v>
      </c>
      <c r="L7058" t="str">
        <f>L1075</f>
        <v>J2a2a1a1a2b2~</v>
      </c>
      <c r="O7058" s="108">
        <v>1.4863445E7</v>
      </c>
      <c r="P7058" s="42">
        <v>1.2751511E7</v>
      </c>
      <c r="Q7058" s="42" t="s">
        <v>2454</v>
      </c>
      <c r="S7058" s="1"/>
      <c r="T7058" s="1"/>
      <c r="U7058" s="1"/>
      <c r="V7058" s="1"/>
      <c r="W7058" s="1"/>
      <c r="X7058" s="1"/>
      <c r="Y7058" s="1"/>
      <c r="AA7058" s="102"/>
      <c r="AB7058" s="1"/>
      <c r="AC7058" s="1"/>
      <c r="AD7058" s="1"/>
      <c r="AE7058" s="1"/>
      <c r="AF7058" s="1"/>
      <c r="AG7058" s="1"/>
    </row>
    <row r="7059" ht="15.75" customHeight="1">
      <c r="A7059" s="1"/>
      <c r="B7059" s="1"/>
      <c r="C7059" s="1"/>
      <c r="D7059" s="1"/>
      <c r="E7059" s="1"/>
      <c r="F7059" s="1"/>
      <c r="G7059" s="1"/>
      <c r="H7059" s="1"/>
      <c r="I7059" s="1"/>
      <c r="J7059" s="1"/>
      <c r="K7059" s="102" t="s">
        <v>10887</v>
      </c>
      <c r="L7059" s="102" t="str">
        <f>C1076</f>
        <v>J2b</v>
      </c>
      <c r="M7059" s="102"/>
      <c r="N7059" s="102" t="s">
        <v>10888</v>
      </c>
      <c r="O7059" s="105">
        <v>7583480.0</v>
      </c>
      <c r="P7059" s="105">
        <v>7715439.0</v>
      </c>
      <c r="Q7059" s="102" t="s">
        <v>2446</v>
      </c>
      <c r="S7059" s="1"/>
      <c r="T7059" s="1"/>
      <c r="U7059" s="1"/>
      <c r="V7059" s="1"/>
      <c r="W7059" s="1"/>
      <c r="X7059" s="1"/>
      <c r="Y7059" s="1"/>
      <c r="AA7059" s="102"/>
      <c r="AB7059" s="1"/>
      <c r="AC7059" s="1"/>
      <c r="AD7059" s="1"/>
      <c r="AE7059" s="1"/>
      <c r="AF7059" s="1"/>
      <c r="AG7059" s="1"/>
    </row>
    <row r="7060" ht="15.75" customHeight="1">
      <c r="A7060" s="1"/>
      <c r="B7060" s="1"/>
      <c r="C7060" s="1"/>
      <c r="D7060" s="1"/>
      <c r="E7060" s="1"/>
      <c r="F7060" s="1"/>
      <c r="G7060" s="1"/>
      <c r="H7060" s="1"/>
      <c r="I7060" s="1"/>
      <c r="J7060" s="1"/>
      <c r="K7060" s="102" t="s">
        <v>10889</v>
      </c>
      <c r="L7060" s="102" t="str">
        <f>C1076</f>
        <v>J2b</v>
      </c>
      <c r="M7060" s="102" t="s">
        <v>10890</v>
      </c>
      <c r="N7060" s="102" t="s">
        <v>10891</v>
      </c>
      <c r="O7060" s="105">
        <v>6784968.0</v>
      </c>
      <c r="P7060" s="105">
        <v>6916927.0</v>
      </c>
      <c r="Q7060" s="102" t="s">
        <v>2533</v>
      </c>
      <c r="S7060" s="1"/>
      <c r="T7060" s="1"/>
      <c r="U7060" s="1"/>
      <c r="V7060" s="1"/>
      <c r="W7060" s="1"/>
      <c r="X7060" s="1"/>
      <c r="Y7060" s="1"/>
      <c r="AA7060" s="102"/>
      <c r="AB7060" s="1"/>
      <c r="AC7060" s="1"/>
      <c r="AD7060" s="1"/>
      <c r="AE7060" s="1"/>
      <c r="AF7060" s="1"/>
      <c r="AG7060" s="1"/>
    </row>
    <row r="7061" ht="15.75" customHeight="1">
      <c r="A7061" s="1"/>
      <c r="B7061" s="1"/>
      <c r="C7061" s="1"/>
      <c r="D7061" s="1"/>
      <c r="E7061" s="1"/>
      <c r="F7061" s="1"/>
      <c r="G7061" s="1"/>
      <c r="H7061" s="1"/>
      <c r="I7061" s="1"/>
      <c r="J7061" s="1"/>
      <c r="K7061" s="102" t="s">
        <v>10892</v>
      </c>
      <c r="L7061" s="102" t="str">
        <f>C1076</f>
        <v>J2b</v>
      </c>
      <c r="M7061" s="102" t="s">
        <v>10893</v>
      </c>
      <c r="N7061" s="102" t="s">
        <v>10891</v>
      </c>
      <c r="O7061" s="105">
        <v>6784968.0</v>
      </c>
      <c r="P7061" s="105">
        <v>6916927.0</v>
      </c>
      <c r="Q7061" s="102" t="s">
        <v>2533</v>
      </c>
      <c r="S7061" s="1"/>
      <c r="T7061" s="1"/>
      <c r="U7061" s="1"/>
      <c r="V7061" s="1"/>
      <c r="W7061" s="1"/>
      <c r="X7061" s="1"/>
      <c r="Y7061" s="1"/>
      <c r="AA7061" s="102"/>
      <c r="AB7061" s="1"/>
      <c r="AC7061" s="1"/>
      <c r="AD7061" s="1"/>
      <c r="AE7061" s="1"/>
      <c r="AF7061" s="1"/>
      <c r="AG7061" s="1"/>
    </row>
    <row r="7062" ht="15.75" customHeight="1">
      <c r="A7062" s="1"/>
      <c r="B7062" s="1"/>
      <c r="C7062" s="1"/>
      <c r="D7062" s="1"/>
      <c r="E7062" s="1"/>
      <c r="F7062" s="1"/>
      <c r="G7062" s="1"/>
      <c r="H7062" s="1"/>
      <c r="I7062" s="1"/>
      <c r="J7062" s="1"/>
      <c r="K7062" s="102" t="s">
        <v>10894</v>
      </c>
      <c r="L7062" s="102" t="str">
        <f>C1076</f>
        <v>J2b</v>
      </c>
      <c r="M7062" s="102" t="s">
        <v>10895</v>
      </c>
      <c r="N7062" s="102" t="s">
        <v>10891</v>
      </c>
      <c r="O7062" s="105">
        <v>6784968.0</v>
      </c>
      <c r="P7062" s="105">
        <v>6916927.0</v>
      </c>
      <c r="Q7062" s="102" t="s">
        <v>2533</v>
      </c>
      <c r="S7062" s="1"/>
      <c r="T7062" s="1"/>
      <c r="U7062" s="1"/>
      <c r="V7062" s="1"/>
      <c r="W7062" s="1"/>
      <c r="X7062" s="1"/>
      <c r="Y7062" s="1"/>
      <c r="AA7062" s="102"/>
      <c r="AB7062" s="1"/>
      <c r="AC7062" s="1"/>
      <c r="AD7062" s="1"/>
      <c r="AE7062" s="1"/>
      <c r="AF7062" s="1"/>
      <c r="AG7062" s="1"/>
    </row>
    <row r="7063" ht="15.75" customHeight="1">
      <c r="A7063" s="1"/>
      <c r="B7063" s="1"/>
      <c r="C7063" s="1"/>
      <c r="D7063" s="1"/>
      <c r="E7063" s="1"/>
      <c r="F7063" s="1"/>
      <c r="G7063" s="1"/>
      <c r="H7063" s="1"/>
      <c r="I7063" s="1"/>
      <c r="J7063" s="1"/>
      <c r="K7063" s="102" t="s">
        <v>10896</v>
      </c>
      <c r="L7063" s="102" t="str">
        <f>C1076</f>
        <v>J2b</v>
      </c>
      <c r="M7063" s="102" t="s">
        <v>10897</v>
      </c>
      <c r="N7063" s="102" t="s">
        <v>10898</v>
      </c>
      <c r="O7063" s="105">
        <v>7021095.0</v>
      </c>
      <c r="P7063" s="105">
        <v>7153054.0</v>
      </c>
      <c r="Q7063" s="102" t="s">
        <v>2501</v>
      </c>
      <c r="S7063" s="1"/>
      <c r="T7063" s="1"/>
      <c r="U7063" s="1"/>
      <c r="V7063" s="1"/>
      <c r="W7063" s="1"/>
      <c r="X7063" s="1"/>
      <c r="Y7063" s="1"/>
      <c r="AA7063" s="102"/>
      <c r="AB7063" s="1"/>
      <c r="AC7063" s="1"/>
      <c r="AD7063" s="1"/>
      <c r="AE7063" s="1"/>
      <c r="AF7063" s="1"/>
      <c r="AG7063" s="1"/>
    </row>
    <row r="7064" ht="15.75" customHeight="1">
      <c r="A7064" s="1"/>
      <c r="B7064" s="1"/>
      <c r="C7064" s="1"/>
      <c r="D7064" s="1"/>
      <c r="E7064" s="1"/>
      <c r="F7064" s="1"/>
      <c r="G7064" s="1"/>
      <c r="H7064" s="1"/>
      <c r="I7064" s="1"/>
      <c r="J7064" s="1"/>
      <c r="K7064" s="102" t="s">
        <v>10897</v>
      </c>
      <c r="L7064" s="102" t="str">
        <f>C1076</f>
        <v>J2b</v>
      </c>
      <c r="M7064" s="102" t="s">
        <v>10896</v>
      </c>
      <c r="N7064" s="102" t="s">
        <v>10898</v>
      </c>
      <c r="O7064" s="105">
        <v>7021095.0</v>
      </c>
      <c r="P7064" s="105">
        <v>7153054.0</v>
      </c>
      <c r="Q7064" s="102" t="s">
        <v>2501</v>
      </c>
      <c r="S7064" s="1"/>
      <c r="T7064" s="1"/>
      <c r="U7064" s="1"/>
      <c r="V7064" s="1"/>
      <c r="W7064" s="1"/>
      <c r="X7064" s="1"/>
      <c r="Y7064" s="1"/>
      <c r="AA7064" s="102"/>
      <c r="AB7064" s="1"/>
      <c r="AC7064" s="1"/>
      <c r="AD7064" s="1"/>
      <c r="AE7064" s="1"/>
      <c r="AF7064" s="1"/>
      <c r="AG7064" s="1"/>
    </row>
    <row r="7065" ht="15.75" customHeight="1">
      <c r="A7065" s="1"/>
      <c r="B7065" s="1"/>
      <c r="C7065" s="1"/>
      <c r="D7065" s="1"/>
      <c r="E7065" s="1"/>
      <c r="F7065" s="1"/>
      <c r="G7065" s="1"/>
      <c r="H7065" s="1"/>
      <c r="I7065" s="1"/>
      <c r="J7065" s="1"/>
      <c r="K7065" s="102" t="s">
        <v>10899</v>
      </c>
      <c r="L7065" s="102" t="str">
        <f>C1076</f>
        <v>J2b</v>
      </c>
      <c r="M7065" s="102"/>
      <c r="N7065" s="102" t="s">
        <v>10900</v>
      </c>
      <c r="O7065" s="105">
        <v>7263532.0</v>
      </c>
      <c r="P7065" s="105">
        <v>7395491.0</v>
      </c>
      <c r="Q7065" s="102" t="s">
        <v>2501</v>
      </c>
      <c r="S7065" s="1"/>
      <c r="T7065" s="1"/>
      <c r="U7065" s="1"/>
      <c r="V7065" s="1"/>
      <c r="W7065" s="1"/>
      <c r="X7065" s="1"/>
      <c r="Y7065" s="1"/>
      <c r="AA7065" s="102"/>
      <c r="AB7065" s="1"/>
      <c r="AC7065" s="1"/>
      <c r="AD7065" s="1"/>
      <c r="AE7065" s="1"/>
      <c r="AF7065" s="1"/>
      <c r="AG7065" s="1"/>
    </row>
    <row r="7066" ht="15.75" customHeight="1">
      <c r="A7066" s="1"/>
      <c r="B7066" s="1"/>
      <c r="C7066" s="1"/>
      <c r="D7066" s="1"/>
      <c r="E7066" s="1"/>
      <c r="F7066" s="1"/>
      <c r="G7066" s="1"/>
      <c r="H7066" s="1"/>
      <c r="I7066" s="1"/>
      <c r="J7066" s="1"/>
      <c r="K7066" s="102" t="s">
        <v>10901</v>
      </c>
      <c r="L7066" s="102" t="str">
        <f>C1076</f>
        <v>J2b</v>
      </c>
      <c r="M7066" s="102" t="s">
        <v>10902</v>
      </c>
      <c r="N7066" s="102" t="s">
        <v>10903</v>
      </c>
      <c r="O7066" s="105">
        <v>7421505.0</v>
      </c>
      <c r="P7066" s="105">
        <v>7553464.0</v>
      </c>
      <c r="Q7066" s="102" t="s">
        <v>2501</v>
      </c>
      <c r="S7066" s="1"/>
      <c r="T7066" s="1"/>
      <c r="U7066" s="1"/>
      <c r="V7066" s="1"/>
      <c r="W7066" s="1"/>
      <c r="X7066" s="1"/>
      <c r="Y7066" s="1"/>
      <c r="AA7066" s="102"/>
      <c r="AB7066" s="1"/>
      <c r="AC7066" s="1"/>
      <c r="AD7066" s="1"/>
      <c r="AE7066" s="1"/>
      <c r="AF7066" s="1"/>
      <c r="AG7066" s="1"/>
    </row>
    <row r="7067" ht="15.75" customHeight="1">
      <c r="A7067" s="1"/>
      <c r="B7067" s="1"/>
      <c r="C7067" s="1"/>
      <c r="D7067" s="1"/>
      <c r="E7067" s="1"/>
      <c r="F7067" s="1"/>
      <c r="G7067" s="1"/>
      <c r="H7067" s="1"/>
      <c r="I7067" s="1"/>
      <c r="J7067" s="1"/>
      <c r="K7067" s="102" t="s">
        <v>10902</v>
      </c>
      <c r="L7067" s="102" t="str">
        <f>C1076</f>
        <v>J2b</v>
      </c>
      <c r="M7067" s="102" t="s">
        <v>10901</v>
      </c>
      <c r="N7067" s="102" t="s">
        <v>10903</v>
      </c>
      <c r="O7067" s="105">
        <v>7421505.0</v>
      </c>
      <c r="P7067" s="105">
        <v>7553464.0</v>
      </c>
      <c r="Q7067" s="102" t="s">
        <v>2501</v>
      </c>
      <c r="S7067" s="1"/>
      <c r="T7067" s="1"/>
      <c r="U7067" s="1"/>
      <c r="V7067" s="1"/>
      <c r="W7067" s="1"/>
      <c r="X7067" s="1"/>
      <c r="Y7067" s="1"/>
      <c r="AA7067" s="102"/>
      <c r="AB7067" s="1"/>
      <c r="AC7067" s="1"/>
      <c r="AD7067" s="1"/>
      <c r="AE7067" s="1"/>
      <c r="AF7067" s="1"/>
      <c r="AG7067" s="1"/>
    </row>
    <row r="7068" ht="15.75" customHeight="1">
      <c r="A7068" s="1"/>
      <c r="B7068" s="1"/>
      <c r="C7068" s="1"/>
      <c r="D7068" s="1"/>
      <c r="E7068" s="1"/>
      <c r="F7068" s="1"/>
      <c r="G7068" s="1"/>
      <c r="H7068" s="1"/>
      <c r="I7068" s="1"/>
      <c r="J7068" s="1"/>
      <c r="K7068" s="102" t="s">
        <v>10904</v>
      </c>
      <c r="L7068" s="102" t="str">
        <f>C1076</f>
        <v>J2b</v>
      </c>
      <c r="M7068" s="102" t="s">
        <v>10905</v>
      </c>
      <c r="N7068" s="102" t="s">
        <v>10906</v>
      </c>
      <c r="O7068" s="105">
        <v>1.4372696E7</v>
      </c>
      <c r="P7068" s="105">
        <v>1.2251992E7</v>
      </c>
      <c r="Q7068" s="102" t="s">
        <v>2423</v>
      </c>
      <c r="S7068" s="1"/>
      <c r="T7068" s="1"/>
      <c r="U7068" s="1"/>
      <c r="V7068" s="1"/>
      <c r="W7068" s="1"/>
      <c r="X7068" s="1"/>
      <c r="Y7068" s="1"/>
      <c r="AA7068" s="102"/>
      <c r="AB7068" s="1"/>
      <c r="AC7068" s="1"/>
      <c r="AD7068" s="1"/>
      <c r="AE7068" s="1"/>
      <c r="AF7068" s="1"/>
      <c r="AG7068" s="1"/>
    </row>
    <row r="7069" ht="15.75" customHeight="1">
      <c r="A7069" s="1"/>
      <c r="B7069" s="1"/>
      <c r="C7069" s="1"/>
      <c r="D7069" s="1"/>
      <c r="E7069" s="1"/>
      <c r="F7069" s="1"/>
      <c r="G7069" s="1"/>
      <c r="H7069" s="1"/>
      <c r="I7069" s="1"/>
      <c r="J7069" s="1"/>
      <c r="K7069" s="102" t="s">
        <v>10905</v>
      </c>
      <c r="L7069" s="102" t="str">
        <f>C1076</f>
        <v>J2b</v>
      </c>
      <c r="M7069" s="102" t="s">
        <v>10904</v>
      </c>
      <c r="N7069" s="102" t="s">
        <v>10906</v>
      </c>
      <c r="O7069" s="105">
        <v>1.4372696E7</v>
      </c>
      <c r="P7069" s="105">
        <v>1.2251992E7</v>
      </c>
      <c r="Q7069" s="102" t="s">
        <v>2423</v>
      </c>
      <c r="S7069" s="1"/>
      <c r="T7069" s="1"/>
      <c r="U7069" s="1"/>
      <c r="V7069" s="1"/>
      <c r="W7069" s="1"/>
      <c r="X7069" s="1"/>
      <c r="Y7069" s="1"/>
      <c r="AA7069" s="102"/>
      <c r="AB7069" s="1"/>
      <c r="AC7069" s="1"/>
      <c r="AD7069" s="1"/>
      <c r="AE7069" s="1"/>
      <c r="AF7069" s="1"/>
      <c r="AG7069" s="1"/>
    </row>
    <row r="7070" ht="15.75" customHeight="1">
      <c r="A7070" s="1"/>
      <c r="B7070" s="1"/>
      <c r="C7070" s="1"/>
      <c r="D7070" s="1"/>
      <c r="E7070" s="1"/>
      <c r="F7070" s="1"/>
      <c r="G7070" s="1"/>
      <c r="H7070" s="1"/>
      <c r="I7070" s="1"/>
      <c r="J7070" s="1"/>
      <c r="K7070" s="102" t="s">
        <v>10907</v>
      </c>
      <c r="L7070" s="102" t="str">
        <f>C1076</f>
        <v>J2b</v>
      </c>
      <c r="M7070" s="102" t="s">
        <v>10908</v>
      </c>
      <c r="N7070" s="102" t="s">
        <v>10909</v>
      </c>
      <c r="O7070" s="105">
        <v>1.439372E7</v>
      </c>
      <c r="P7070" s="105">
        <v>1.2273016E7</v>
      </c>
      <c r="Q7070" s="102" t="s">
        <v>2514</v>
      </c>
      <c r="S7070" s="1"/>
      <c r="T7070" s="1"/>
      <c r="U7070" s="1"/>
      <c r="V7070" s="1"/>
      <c r="W7070" s="1"/>
      <c r="X7070" s="1"/>
      <c r="Y7070" s="1"/>
      <c r="AA7070" s="102" t="s">
        <v>10910</v>
      </c>
      <c r="AB7070" s="1"/>
      <c r="AC7070" s="1"/>
      <c r="AD7070" s="1"/>
      <c r="AE7070" s="1"/>
      <c r="AF7070" s="1"/>
      <c r="AG7070" s="1"/>
    </row>
    <row r="7071" ht="15.75" customHeight="1">
      <c r="A7071" s="1"/>
      <c r="B7071" s="1"/>
      <c r="C7071" s="1"/>
      <c r="D7071" s="1"/>
      <c r="E7071" s="1"/>
      <c r="F7071" s="1"/>
      <c r="G7071" s="1"/>
      <c r="H7071" s="1"/>
      <c r="I7071" s="1"/>
      <c r="J7071" s="1"/>
      <c r="K7071" s="102" t="s">
        <v>10908</v>
      </c>
      <c r="L7071" s="102" t="str">
        <f>C1076</f>
        <v>J2b</v>
      </c>
      <c r="M7071" s="102" t="s">
        <v>10907</v>
      </c>
      <c r="N7071" s="102" t="s">
        <v>10909</v>
      </c>
      <c r="O7071" s="105">
        <v>1.439372E7</v>
      </c>
      <c r="P7071" s="105">
        <v>1.2273016E7</v>
      </c>
      <c r="Q7071" s="102" t="s">
        <v>2514</v>
      </c>
      <c r="S7071" s="1"/>
      <c r="T7071" s="1"/>
      <c r="U7071" s="1"/>
      <c r="V7071" s="1"/>
      <c r="W7071" s="1"/>
      <c r="X7071" s="1"/>
      <c r="Y7071" s="1"/>
      <c r="AA7071" s="102"/>
      <c r="AB7071" s="1"/>
      <c r="AC7071" s="1"/>
      <c r="AD7071" s="1"/>
      <c r="AE7071" s="1"/>
      <c r="AF7071" s="1"/>
      <c r="AG7071" s="1"/>
    </row>
    <row r="7072" ht="15.75" customHeight="1">
      <c r="A7072" s="1"/>
      <c r="B7072" s="1"/>
      <c r="C7072" s="1"/>
      <c r="D7072" s="1"/>
      <c r="E7072" s="1"/>
      <c r="F7072" s="1"/>
      <c r="G7072" s="1"/>
      <c r="H7072" s="1"/>
      <c r="I7072" s="1"/>
      <c r="J7072" s="1"/>
      <c r="K7072" s="102" t="s">
        <v>10911</v>
      </c>
      <c r="L7072" s="102" t="str">
        <f>C1076</f>
        <v>J2b</v>
      </c>
      <c r="M7072" s="102" t="s">
        <v>10912</v>
      </c>
      <c r="N7072" s="102" t="s">
        <v>10913</v>
      </c>
      <c r="O7072" s="105">
        <v>1.5265393E7</v>
      </c>
      <c r="P7072" s="105">
        <v>1.3153482E7</v>
      </c>
      <c r="Q7072" s="102" t="s">
        <v>2576</v>
      </c>
      <c r="S7072" s="1"/>
      <c r="T7072" s="1"/>
      <c r="U7072" s="1"/>
      <c r="V7072" s="1"/>
      <c r="W7072" s="1"/>
      <c r="X7072" s="1"/>
      <c r="Y7072" s="1"/>
      <c r="AA7072" s="102" t="s">
        <v>10914</v>
      </c>
      <c r="AB7072" s="1"/>
      <c r="AC7072" s="1"/>
      <c r="AD7072" s="1"/>
      <c r="AE7072" s="1"/>
      <c r="AF7072" s="1"/>
      <c r="AG7072" s="1"/>
    </row>
    <row r="7073" ht="15.75" customHeight="1">
      <c r="A7073" s="1"/>
      <c r="B7073" s="1"/>
      <c r="C7073" s="1"/>
      <c r="D7073" s="1"/>
      <c r="E7073" s="1"/>
      <c r="F7073" s="1"/>
      <c r="G7073" s="1"/>
      <c r="H7073" s="1"/>
      <c r="I7073" s="1"/>
      <c r="J7073" s="1"/>
      <c r="K7073" s="102" t="s">
        <v>10912</v>
      </c>
      <c r="L7073" s="102" t="str">
        <f>C1076</f>
        <v>J2b</v>
      </c>
      <c r="M7073" s="102" t="s">
        <v>10911</v>
      </c>
      <c r="N7073" s="102" t="s">
        <v>10913</v>
      </c>
      <c r="O7073" s="105">
        <v>1.5265393E7</v>
      </c>
      <c r="P7073" s="105">
        <v>1.3153482E7</v>
      </c>
      <c r="Q7073" s="102" t="s">
        <v>2576</v>
      </c>
      <c r="S7073" s="1"/>
      <c r="T7073" s="1"/>
      <c r="U7073" s="1"/>
      <c r="V7073" s="1"/>
      <c r="W7073" s="1"/>
      <c r="X7073" s="1"/>
      <c r="Y7073" s="1"/>
      <c r="AA7073" s="102"/>
      <c r="AB7073" s="1"/>
      <c r="AC7073" s="1"/>
      <c r="AD7073" s="1"/>
      <c r="AE7073" s="1"/>
      <c r="AF7073" s="1"/>
      <c r="AG7073" s="1"/>
    </row>
    <row r="7074" ht="15.75" customHeight="1">
      <c r="A7074" s="1"/>
      <c r="B7074" s="1"/>
      <c r="C7074" s="1"/>
      <c r="D7074" s="1"/>
      <c r="E7074" s="1"/>
      <c r="F7074" s="1"/>
      <c r="G7074" s="1"/>
      <c r="H7074" s="1"/>
      <c r="I7074" s="1"/>
      <c r="J7074" s="1"/>
      <c r="K7074" s="102" t="s">
        <v>10915</v>
      </c>
      <c r="L7074" s="102" t="str">
        <f>C1076</f>
        <v>J2b</v>
      </c>
      <c r="M7074" s="102" t="s">
        <v>10916</v>
      </c>
      <c r="N7074" s="102" t="s">
        <v>10917</v>
      </c>
      <c r="O7074" s="105">
        <v>1.5610489E7</v>
      </c>
      <c r="P7074" s="105">
        <v>1.3498609E7</v>
      </c>
      <c r="Q7074" s="102" t="s">
        <v>2439</v>
      </c>
      <c r="S7074" s="1"/>
      <c r="T7074" s="1"/>
      <c r="U7074" s="1"/>
      <c r="V7074" s="1"/>
      <c r="W7074" s="1"/>
      <c r="X7074" s="1"/>
      <c r="Y7074" s="1"/>
      <c r="AA7074" s="102"/>
      <c r="AB7074" s="1"/>
      <c r="AC7074" s="1"/>
      <c r="AD7074" s="1"/>
      <c r="AE7074" s="1"/>
      <c r="AF7074" s="1"/>
      <c r="AG7074" s="1"/>
    </row>
    <row r="7075" ht="15.75" customHeight="1">
      <c r="A7075" s="1"/>
      <c r="B7075" s="1"/>
      <c r="C7075" s="1"/>
      <c r="D7075" s="1"/>
      <c r="E7075" s="1"/>
      <c r="F7075" s="1"/>
      <c r="G7075" s="1"/>
      <c r="H7075" s="1"/>
      <c r="I7075" s="1"/>
      <c r="J7075" s="1"/>
      <c r="K7075" s="102" t="s">
        <v>10918</v>
      </c>
      <c r="L7075" s="102" t="str">
        <f>C1076</f>
        <v>J2b</v>
      </c>
      <c r="M7075" s="102" t="s">
        <v>10919</v>
      </c>
      <c r="N7075" s="102" t="s">
        <v>10917</v>
      </c>
      <c r="O7075" s="105">
        <v>1.5610489E7</v>
      </c>
      <c r="P7075" s="105">
        <v>1.3498609E7</v>
      </c>
      <c r="Q7075" s="102" t="s">
        <v>2439</v>
      </c>
      <c r="S7075" s="1"/>
      <c r="T7075" s="1"/>
      <c r="U7075" s="1"/>
      <c r="V7075" s="1"/>
      <c r="W7075" s="1"/>
      <c r="X7075" s="1"/>
      <c r="Y7075" s="1"/>
      <c r="AA7075" s="102"/>
      <c r="AB7075" s="1"/>
      <c r="AC7075" s="1"/>
      <c r="AD7075" s="1"/>
      <c r="AE7075" s="1"/>
      <c r="AF7075" s="1"/>
      <c r="AG7075" s="1"/>
    </row>
    <row r="7076" ht="15.75" customHeight="1">
      <c r="A7076" s="1"/>
      <c r="B7076" s="1"/>
      <c r="C7076" s="1"/>
      <c r="D7076" s="1"/>
      <c r="E7076" s="1"/>
      <c r="F7076" s="1"/>
      <c r="G7076" s="1"/>
      <c r="H7076" s="1"/>
      <c r="I7076" s="1"/>
      <c r="J7076" s="1"/>
      <c r="K7076" s="102" t="s">
        <v>10920</v>
      </c>
      <c r="L7076" s="102" t="str">
        <f>C1076</f>
        <v>J2b</v>
      </c>
      <c r="M7076" s="102" t="s">
        <v>10921</v>
      </c>
      <c r="N7076" s="102" t="s">
        <v>10917</v>
      </c>
      <c r="O7076" s="105">
        <v>1.5610489E7</v>
      </c>
      <c r="P7076" s="105">
        <v>1.3498609E7</v>
      </c>
      <c r="Q7076" s="102" t="s">
        <v>2439</v>
      </c>
      <c r="S7076" s="1"/>
      <c r="T7076" s="1"/>
      <c r="U7076" s="1"/>
      <c r="V7076" s="1"/>
      <c r="W7076" s="1"/>
      <c r="X7076" s="1"/>
      <c r="Y7076" s="1"/>
      <c r="AA7076" s="102"/>
      <c r="AB7076" s="1"/>
      <c r="AC7076" s="1"/>
      <c r="AD7076" s="1"/>
      <c r="AE7076" s="1"/>
      <c r="AF7076" s="1"/>
      <c r="AG7076" s="1"/>
    </row>
    <row r="7077" ht="15.75" customHeight="1">
      <c r="A7077" s="1"/>
      <c r="B7077" s="1"/>
      <c r="C7077" s="1"/>
      <c r="D7077" s="1"/>
      <c r="E7077" s="1"/>
      <c r="F7077" s="1"/>
      <c r="G7077" s="1"/>
      <c r="H7077" s="1"/>
      <c r="I7077" s="1"/>
      <c r="J7077" s="1"/>
      <c r="K7077" s="102" t="s">
        <v>10922</v>
      </c>
      <c r="L7077" s="102" t="str">
        <f>C1076</f>
        <v>J2b</v>
      </c>
      <c r="M7077" s="102" t="s">
        <v>10923</v>
      </c>
      <c r="N7077" s="102" t="s">
        <v>10924</v>
      </c>
      <c r="O7077" s="105">
        <v>1.5633872E7</v>
      </c>
      <c r="P7077" s="105">
        <v>1.3521992E7</v>
      </c>
      <c r="Q7077" s="102" t="s">
        <v>2514</v>
      </c>
      <c r="S7077" s="1"/>
      <c r="T7077" s="1"/>
      <c r="U7077" s="1"/>
      <c r="V7077" s="1"/>
      <c r="W7077" s="1"/>
      <c r="X7077" s="1"/>
      <c r="Y7077" s="1"/>
      <c r="AA7077" s="102"/>
      <c r="AB7077" s="1"/>
      <c r="AC7077" s="1"/>
      <c r="AD7077" s="1"/>
      <c r="AE7077" s="1"/>
      <c r="AF7077" s="1"/>
      <c r="AG7077" s="1"/>
    </row>
    <row r="7078" ht="15.75" customHeight="1">
      <c r="A7078" s="1"/>
      <c r="B7078" s="1"/>
      <c r="C7078" s="1"/>
      <c r="D7078" s="1"/>
      <c r="E7078" s="1"/>
      <c r="F7078" s="1"/>
      <c r="G7078" s="1"/>
      <c r="H7078" s="1"/>
      <c r="I7078" s="1"/>
      <c r="J7078" s="1"/>
      <c r="K7078" s="102" t="s">
        <v>10925</v>
      </c>
      <c r="L7078" s="102" t="str">
        <f>C1076</f>
        <v>J2b</v>
      </c>
      <c r="M7078" s="102" t="s">
        <v>10926</v>
      </c>
      <c r="N7078" s="102" t="s">
        <v>10924</v>
      </c>
      <c r="O7078" s="105">
        <v>1.5633872E7</v>
      </c>
      <c r="P7078" s="105">
        <v>1.3521992E7</v>
      </c>
      <c r="Q7078" s="102" t="s">
        <v>2514</v>
      </c>
      <c r="S7078" s="1"/>
      <c r="T7078" s="1"/>
      <c r="U7078" s="1"/>
      <c r="V7078" s="1"/>
      <c r="W7078" s="1"/>
      <c r="X7078" s="1"/>
      <c r="Y7078" s="1"/>
      <c r="AA7078" s="102"/>
      <c r="AB7078" s="1"/>
      <c r="AC7078" s="1"/>
      <c r="AD7078" s="1"/>
      <c r="AE7078" s="1"/>
      <c r="AF7078" s="1"/>
      <c r="AG7078" s="1"/>
    </row>
    <row r="7079" ht="15.75" customHeight="1">
      <c r="A7079" s="1"/>
      <c r="B7079" s="1"/>
      <c r="C7079" s="1"/>
      <c r="D7079" s="1"/>
      <c r="E7079" s="1"/>
      <c r="F7079" s="1"/>
      <c r="G7079" s="1"/>
      <c r="H7079" s="1"/>
      <c r="I7079" s="1"/>
      <c r="J7079" s="1"/>
      <c r="K7079" s="102" t="s">
        <v>10927</v>
      </c>
      <c r="L7079" s="102" t="str">
        <f>C1076</f>
        <v>J2b</v>
      </c>
      <c r="M7079" s="102" t="s">
        <v>10928</v>
      </c>
      <c r="N7079" s="102" t="s">
        <v>10924</v>
      </c>
      <c r="O7079" s="105">
        <v>1.5633872E7</v>
      </c>
      <c r="P7079" s="105">
        <v>1.3521992E7</v>
      </c>
      <c r="Q7079" s="102" t="s">
        <v>2514</v>
      </c>
      <c r="S7079" s="1"/>
      <c r="T7079" s="1"/>
      <c r="U7079" s="1"/>
      <c r="V7079" s="1"/>
      <c r="W7079" s="1"/>
      <c r="X7079" s="1"/>
      <c r="Y7079" s="1"/>
      <c r="AA7079" s="102"/>
      <c r="AB7079" s="1"/>
      <c r="AC7079" s="1"/>
      <c r="AD7079" s="1"/>
      <c r="AE7079" s="1"/>
      <c r="AF7079" s="1"/>
      <c r="AG7079" s="1"/>
    </row>
    <row r="7080" ht="15.75" customHeight="1">
      <c r="A7080" s="1"/>
      <c r="B7080" s="1"/>
      <c r="C7080" s="1"/>
      <c r="D7080" s="1"/>
      <c r="E7080" s="1"/>
      <c r="F7080" s="1"/>
      <c r="G7080" s="1"/>
      <c r="H7080" s="1"/>
      <c r="I7080" s="1"/>
      <c r="J7080" s="1"/>
      <c r="K7080" s="102" t="s">
        <v>10929</v>
      </c>
      <c r="L7080" s="102" t="str">
        <f>C1076</f>
        <v>J2b</v>
      </c>
      <c r="M7080" s="102" t="s">
        <v>10930</v>
      </c>
      <c r="N7080" s="102" t="s">
        <v>10931</v>
      </c>
      <c r="O7080" s="105">
        <v>1.6576198E7</v>
      </c>
      <c r="P7080" s="105">
        <v>1.4464318E7</v>
      </c>
      <c r="Q7080" s="102" t="s">
        <v>2439</v>
      </c>
      <c r="S7080" s="1"/>
      <c r="T7080" s="1"/>
      <c r="U7080" s="1"/>
      <c r="V7080" s="1"/>
      <c r="W7080" s="1"/>
      <c r="X7080" s="1"/>
      <c r="Y7080" s="1"/>
      <c r="AA7080" s="102"/>
      <c r="AB7080" s="1"/>
      <c r="AC7080" s="1"/>
      <c r="AD7080" s="1"/>
      <c r="AE7080" s="1"/>
      <c r="AF7080" s="1"/>
      <c r="AG7080" s="1"/>
    </row>
    <row r="7081" ht="15.75" customHeight="1">
      <c r="A7081" s="1"/>
      <c r="B7081" s="1"/>
      <c r="C7081" s="1"/>
      <c r="D7081" s="1"/>
      <c r="E7081" s="1"/>
      <c r="F7081" s="1"/>
      <c r="G7081" s="1"/>
      <c r="H7081" s="1"/>
      <c r="I7081" s="1"/>
      <c r="J7081" s="1"/>
      <c r="K7081" s="102" t="s">
        <v>10930</v>
      </c>
      <c r="L7081" s="102" t="str">
        <f>C1076</f>
        <v>J2b</v>
      </c>
      <c r="M7081" s="102" t="s">
        <v>10929</v>
      </c>
      <c r="N7081" s="102" t="s">
        <v>10931</v>
      </c>
      <c r="O7081" s="105">
        <v>1.6576198E7</v>
      </c>
      <c r="P7081" s="105">
        <v>1.4464318E7</v>
      </c>
      <c r="Q7081" s="102" t="s">
        <v>2439</v>
      </c>
      <c r="S7081" s="1"/>
      <c r="T7081" s="1"/>
      <c r="U7081" s="1"/>
      <c r="V7081" s="1"/>
      <c r="W7081" s="1"/>
      <c r="X7081" s="1"/>
      <c r="Y7081" s="1"/>
      <c r="AA7081" s="102"/>
      <c r="AB7081" s="1"/>
      <c r="AC7081" s="1"/>
      <c r="AD7081" s="1"/>
      <c r="AE7081" s="1"/>
      <c r="AF7081" s="1"/>
      <c r="AG7081" s="1"/>
    </row>
    <row r="7082" ht="15.75" customHeight="1">
      <c r="A7082" s="1"/>
      <c r="B7082" s="1"/>
      <c r="C7082" s="1"/>
      <c r="D7082" s="1"/>
      <c r="E7082" s="1"/>
      <c r="F7082" s="1"/>
      <c r="G7082" s="1"/>
      <c r="H7082" s="1"/>
      <c r="I7082" s="1"/>
      <c r="J7082" s="1"/>
      <c r="K7082" s="102" t="s">
        <v>10932</v>
      </c>
      <c r="L7082" s="102" t="str">
        <f>C1076</f>
        <v>J2b</v>
      </c>
      <c r="M7082" s="102" t="s">
        <v>10933</v>
      </c>
      <c r="N7082" s="102" t="s">
        <v>10934</v>
      </c>
      <c r="O7082" s="105">
        <v>1.6929767E7</v>
      </c>
      <c r="P7082" s="105">
        <v>1.4817887E7</v>
      </c>
      <c r="Q7082" s="102" t="s">
        <v>2514</v>
      </c>
      <c r="S7082" s="1"/>
      <c r="T7082" s="1"/>
      <c r="U7082" s="1"/>
      <c r="V7082" s="1"/>
      <c r="W7082" s="1"/>
      <c r="X7082" s="1"/>
      <c r="Y7082" s="1"/>
      <c r="AA7082" s="102"/>
      <c r="AB7082" s="1"/>
      <c r="AC7082" s="1"/>
      <c r="AD7082" s="1"/>
      <c r="AE7082" s="1"/>
      <c r="AF7082" s="1"/>
      <c r="AG7082" s="1"/>
    </row>
    <row r="7083" ht="15.75" customHeight="1">
      <c r="A7083" s="1"/>
      <c r="B7083" s="1"/>
      <c r="C7083" s="1"/>
      <c r="D7083" s="1"/>
      <c r="E7083" s="1"/>
      <c r="F7083" s="1"/>
      <c r="G7083" s="1"/>
      <c r="H7083" s="1"/>
      <c r="I7083" s="1"/>
      <c r="J7083" s="1"/>
      <c r="K7083" s="102" t="s">
        <v>10935</v>
      </c>
      <c r="L7083" s="102" t="str">
        <f>C1076</f>
        <v>J2b</v>
      </c>
      <c r="M7083" s="102" t="s">
        <v>10936</v>
      </c>
      <c r="N7083" s="102" t="s">
        <v>10934</v>
      </c>
      <c r="O7083" s="105">
        <v>1.6929767E7</v>
      </c>
      <c r="P7083" s="105">
        <v>1.4817887E7</v>
      </c>
      <c r="Q7083" s="102" t="s">
        <v>2514</v>
      </c>
      <c r="S7083" s="1"/>
      <c r="T7083" s="1"/>
      <c r="U7083" s="1"/>
      <c r="V7083" s="1"/>
      <c r="W7083" s="1"/>
      <c r="X7083" s="1"/>
      <c r="Y7083" s="1"/>
      <c r="AA7083" s="102"/>
      <c r="AB7083" s="1"/>
      <c r="AC7083" s="1"/>
      <c r="AD7083" s="1"/>
      <c r="AE7083" s="1"/>
      <c r="AF7083" s="1"/>
      <c r="AG7083" s="1"/>
    </row>
    <row r="7084" ht="15.75" customHeight="1">
      <c r="A7084" s="1"/>
      <c r="B7084" s="1"/>
      <c r="C7084" s="1"/>
      <c r="D7084" s="1"/>
      <c r="E7084" s="1"/>
      <c r="F7084" s="1"/>
      <c r="G7084" s="1"/>
      <c r="H7084" s="1"/>
      <c r="I7084" s="1"/>
      <c r="J7084" s="1"/>
      <c r="K7084" s="102" t="s">
        <v>10937</v>
      </c>
      <c r="L7084" s="102" t="str">
        <f>C1076</f>
        <v>J2b</v>
      </c>
      <c r="M7084" s="102" t="s">
        <v>10938</v>
      </c>
      <c r="N7084" s="102" t="s">
        <v>10934</v>
      </c>
      <c r="O7084" s="105">
        <v>1.6929767E7</v>
      </c>
      <c r="P7084" s="105">
        <v>1.4817887E7</v>
      </c>
      <c r="Q7084" s="102" t="s">
        <v>2514</v>
      </c>
      <c r="S7084" s="1"/>
      <c r="T7084" s="1"/>
      <c r="U7084" s="1"/>
      <c r="V7084" s="1"/>
      <c r="W7084" s="1"/>
      <c r="X7084" s="1"/>
      <c r="Y7084" s="1"/>
      <c r="AA7084" s="102"/>
      <c r="AB7084" s="1"/>
      <c r="AC7084" s="1"/>
      <c r="AD7084" s="1"/>
      <c r="AE7084" s="1"/>
      <c r="AF7084" s="1"/>
      <c r="AG7084" s="1"/>
    </row>
    <row r="7085" ht="15.75" customHeight="1">
      <c r="A7085" s="1"/>
      <c r="B7085" s="1"/>
      <c r="C7085" s="1"/>
      <c r="D7085" s="1"/>
      <c r="E7085" s="1"/>
      <c r="F7085" s="1"/>
      <c r="G7085" s="1"/>
      <c r="H7085" s="1"/>
      <c r="I7085" s="1"/>
      <c r="J7085" s="1"/>
      <c r="K7085" s="102" t="s">
        <v>10939</v>
      </c>
      <c r="L7085" s="102" t="str">
        <f>C1076</f>
        <v>J2b</v>
      </c>
      <c r="M7085" s="102"/>
      <c r="N7085" s="102" t="s">
        <v>10940</v>
      </c>
      <c r="O7085" s="105">
        <v>1.7473561E7</v>
      </c>
      <c r="P7085" s="105">
        <v>1.5361681E7</v>
      </c>
      <c r="Q7085" s="102" t="s">
        <v>2468</v>
      </c>
      <c r="S7085" s="1"/>
      <c r="T7085" s="1"/>
      <c r="U7085" s="1"/>
      <c r="V7085" s="1"/>
      <c r="W7085" s="1"/>
      <c r="X7085" s="1"/>
      <c r="Y7085" s="1"/>
      <c r="AA7085" s="102"/>
      <c r="AB7085" s="1"/>
      <c r="AC7085" s="1"/>
      <c r="AD7085" s="1"/>
      <c r="AE7085" s="1"/>
      <c r="AF7085" s="1"/>
      <c r="AG7085" s="1"/>
    </row>
    <row r="7086" ht="15.75" customHeight="1">
      <c r="A7086" s="1"/>
      <c r="B7086" s="1"/>
      <c r="C7086" s="1"/>
      <c r="D7086" s="1"/>
      <c r="E7086" s="1"/>
      <c r="F7086" s="1"/>
      <c r="G7086" s="1"/>
      <c r="H7086" s="1"/>
      <c r="I7086" s="1"/>
      <c r="J7086" s="1"/>
      <c r="K7086" s="102" t="s">
        <v>10941</v>
      </c>
      <c r="L7086" s="102" t="str">
        <f>C1076</f>
        <v>J2b</v>
      </c>
      <c r="M7086" s="102"/>
      <c r="N7086" s="102" t="s">
        <v>10942</v>
      </c>
      <c r="O7086" s="105">
        <v>1.7544087E7</v>
      </c>
      <c r="P7086" s="105">
        <v>1.5432207E7</v>
      </c>
      <c r="Q7086" s="102" t="s">
        <v>2514</v>
      </c>
      <c r="S7086" s="1"/>
      <c r="T7086" s="1"/>
      <c r="U7086" s="1"/>
      <c r="V7086" s="1"/>
      <c r="W7086" s="1"/>
      <c r="X7086" s="1"/>
      <c r="Y7086" s="1"/>
      <c r="AA7086" s="102"/>
      <c r="AB7086" s="1"/>
      <c r="AC7086" s="1"/>
      <c r="AD7086" s="1"/>
      <c r="AE7086" s="1"/>
      <c r="AF7086" s="1"/>
      <c r="AG7086" s="1"/>
    </row>
    <row r="7087" ht="15.75" customHeight="1">
      <c r="A7087" s="1"/>
      <c r="B7087" s="1"/>
      <c r="C7087" s="1"/>
      <c r="D7087" s="1"/>
      <c r="E7087" s="1"/>
      <c r="F7087" s="1"/>
      <c r="G7087" s="1"/>
      <c r="H7087" s="1"/>
      <c r="I7087" s="1"/>
      <c r="J7087" s="1"/>
      <c r="K7087" s="102" t="s">
        <v>10943</v>
      </c>
      <c r="L7087" s="102" t="str">
        <f>C1076</f>
        <v>J2b</v>
      </c>
      <c r="M7087" s="102" t="s">
        <v>10944</v>
      </c>
      <c r="N7087" s="102" t="s">
        <v>10945</v>
      </c>
      <c r="O7087" s="105">
        <v>1.7930928E7</v>
      </c>
      <c r="P7087" s="105">
        <v>1.5819048E7</v>
      </c>
      <c r="Q7087" s="102" t="s">
        <v>2529</v>
      </c>
      <c r="S7087" s="1"/>
      <c r="T7087" s="1"/>
      <c r="U7087" s="1"/>
      <c r="V7087" s="1"/>
      <c r="W7087" s="1"/>
      <c r="X7087" s="1"/>
      <c r="Y7087" s="1"/>
      <c r="AA7087" s="102"/>
      <c r="AB7087" s="1"/>
      <c r="AC7087" s="1"/>
      <c r="AD7087" s="1"/>
      <c r="AE7087" s="1"/>
      <c r="AF7087" s="1"/>
      <c r="AG7087" s="1"/>
    </row>
    <row r="7088" ht="15.75" customHeight="1">
      <c r="A7088" s="1"/>
      <c r="B7088" s="1"/>
      <c r="C7088" s="1"/>
      <c r="D7088" s="1"/>
      <c r="E7088" s="1"/>
      <c r="F7088" s="1"/>
      <c r="G7088" s="1"/>
      <c r="H7088" s="1"/>
      <c r="I7088" s="1"/>
      <c r="J7088" s="1"/>
      <c r="K7088" s="102" t="s">
        <v>10946</v>
      </c>
      <c r="L7088" s="102" t="str">
        <f>C1076</f>
        <v>J2b</v>
      </c>
      <c r="M7088" s="102" t="s">
        <v>10947</v>
      </c>
      <c r="N7088" s="102" t="s">
        <v>10945</v>
      </c>
      <c r="O7088" s="105">
        <v>1.7930928E7</v>
      </c>
      <c r="P7088" s="105">
        <v>1.5819048E7</v>
      </c>
      <c r="Q7088" s="102" t="s">
        <v>2529</v>
      </c>
      <c r="S7088" s="1"/>
      <c r="T7088" s="1"/>
      <c r="U7088" s="1"/>
      <c r="V7088" s="1"/>
      <c r="W7088" s="1"/>
      <c r="X7088" s="1"/>
      <c r="Y7088" s="1"/>
      <c r="AA7088" s="102"/>
      <c r="AB7088" s="1"/>
      <c r="AC7088" s="1"/>
      <c r="AD7088" s="1"/>
      <c r="AE7088" s="1"/>
      <c r="AF7088" s="1"/>
      <c r="AG7088" s="1"/>
    </row>
    <row r="7089" ht="15.75" customHeight="1">
      <c r="A7089" s="1"/>
      <c r="B7089" s="1"/>
      <c r="C7089" s="1"/>
      <c r="D7089" s="1"/>
      <c r="E7089" s="1"/>
      <c r="F7089" s="1"/>
      <c r="G7089" s="1"/>
      <c r="H7089" s="1"/>
      <c r="I7089" s="1"/>
      <c r="J7089" s="1"/>
      <c r="K7089" s="102" t="s">
        <v>10948</v>
      </c>
      <c r="L7089" s="102" t="str">
        <f>C1076</f>
        <v>J2b</v>
      </c>
      <c r="M7089" s="102" t="s">
        <v>10949</v>
      </c>
      <c r="N7089" s="102" t="s">
        <v>10945</v>
      </c>
      <c r="O7089" s="105">
        <v>1.7930928E7</v>
      </c>
      <c r="P7089" s="105">
        <v>1.5819048E7</v>
      </c>
      <c r="Q7089" s="102" t="s">
        <v>2529</v>
      </c>
      <c r="S7089" s="1"/>
      <c r="T7089" s="1"/>
      <c r="U7089" s="1"/>
      <c r="V7089" s="1"/>
      <c r="W7089" s="1"/>
      <c r="X7089" s="1"/>
      <c r="Y7089" s="1"/>
      <c r="AA7089" s="102"/>
      <c r="AB7089" s="1"/>
      <c r="AC7089" s="1"/>
      <c r="AD7089" s="1"/>
      <c r="AE7089" s="1"/>
      <c r="AF7089" s="1"/>
      <c r="AG7089" s="1"/>
    </row>
    <row r="7090" ht="15.75" customHeight="1">
      <c r="A7090" s="1"/>
      <c r="B7090" s="1"/>
      <c r="C7090" s="1"/>
      <c r="D7090" s="1"/>
      <c r="E7090" s="1"/>
      <c r="F7090" s="1"/>
      <c r="G7090" s="1"/>
      <c r="H7090" s="1"/>
      <c r="I7090" s="1"/>
      <c r="J7090" s="1"/>
      <c r="K7090" s="102" t="s">
        <v>10950</v>
      </c>
      <c r="L7090" s="102" t="str">
        <f>C1076</f>
        <v>J2b</v>
      </c>
      <c r="M7090" s="102" t="s">
        <v>10951</v>
      </c>
      <c r="N7090" s="102" t="s">
        <v>10952</v>
      </c>
      <c r="O7090" s="105">
        <v>1.8607739E7</v>
      </c>
      <c r="P7090" s="105">
        <v>1.6495859E7</v>
      </c>
      <c r="Q7090" s="102" t="s">
        <v>2468</v>
      </c>
      <c r="S7090" s="1"/>
      <c r="T7090" s="1"/>
      <c r="U7090" s="1"/>
      <c r="V7090" s="1"/>
      <c r="W7090" s="1"/>
      <c r="X7090" s="1"/>
      <c r="Y7090" s="1"/>
      <c r="AA7090" s="102"/>
      <c r="AB7090" s="1"/>
      <c r="AC7090" s="1"/>
      <c r="AD7090" s="1"/>
      <c r="AE7090" s="1"/>
      <c r="AF7090" s="1"/>
      <c r="AG7090" s="1"/>
    </row>
    <row r="7091" ht="15.75" customHeight="1">
      <c r="A7091" s="1"/>
      <c r="B7091" s="1"/>
      <c r="C7091" s="1"/>
      <c r="D7091" s="1"/>
      <c r="E7091" s="1"/>
      <c r="F7091" s="1"/>
      <c r="G7091" s="1"/>
      <c r="H7091" s="1"/>
      <c r="I7091" s="1"/>
      <c r="J7091" s="1"/>
      <c r="K7091" s="102" t="s">
        <v>10951</v>
      </c>
      <c r="L7091" s="102" t="str">
        <f>C1076</f>
        <v>J2b</v>
      </c>
      <c r="M7091" s="102" t="s">
        <v>10950</v>
      </c>
      <c r="N7091" s="102" t="s">
        <v>10952</v>
      </c>
      <c r="O7091" s="105">
        <v>1.8607739E7</v>
      </c>
      <c r="P7091" s="105">
        <v>1.6495859E7</v>
      </c>
      <c r="Q7091" s="102" t="s">
        <v>2468</v>
      </c>
      <c r="S7091" s="1"/>
      <c r="T7091" s="1"/>
      <c r="U7091" s="1"/>
      <c r="V7091" s="1"/>
      <c r="W7091" s="1"/>
      <c r="X7091" s="1"/>
      <c r="Y7091" s="1"/>
      <c r="AA7091" s="102"/>
      <c r="AB7091" s="1"/>
      <c r="AC7091" s="1"/>
      <c r="AD7091" s="1"/>
      <c r="AE7091" s="1"/>
      <c r="AF7091" s="1"/>
      <c r="AG7091" s="1"/>
    </row>
    <row r="7092" ht="15.75" customHeight="1">
      <c r="A7092" s="1"/>
      <c r="B7092" s="1"/>
      <c r="C7092" s="1"/>
      <c r="D7092" s="1"/>
      <c r="E7092" s="1"/>
      <c r="F7092" s="1"/>
      <c r="G7092" s="1"/>
      <c r="H7092" s="1"/>
      <c r="I7092" s="1"/>
      <c r="J7092" s="1"/>
      <c r="K7092" s="102" t="s">
        <v>10953</v>
      </c>
      <c r="L7092" s="102" t="str">
        <f>C1076</f>
        <v>J2b</v>
      </c>
      <c r="M7092" s="102" t="s">
        <v>10954</v>
      </c>
      <c r="N7092" s="102" t="s">
        <v>10955</v>
      </c>
      <c r="O7092" s="105">
        <v>1.876063E7</v>
      </c>
      <c r="P7092" s="105">
        <v>1.664875E7</v>
      </c>
      <c r="Q7092" s="102" t="s">
        <v>2439</v>
      </c>
      <c r="S7092" s="1"/>
      <c r="T7092" s="1"/>
      <c r="U7092" s="1"/>
      <c r="V7092" s="1"/>
      <c r="W7092" s="1"/>
      <c r="X7092" s="1"/>
      <c r="Y7092" s="1"/>
      <c r="AA7092" s="102"/>
      <c r="AB7092" s="1"/>
      <c r="AC7092" s="1"/>
      <c r="AD7092" s="1"/>
      <c r="AE7092" s="1"/>
      <c r="AF7092" s="1"/>
      <c r="AG7092" s="1"/>
    </row>
    <row r="7093" ht="15.75" customHeight="1">
      <c r="A7093" s="1"/>
      <c r="B7093" s="1"/>
      <c r="C7093" s="1"/>
      <c r="D7093" s="1"/>
      <c r="E7093" s="1"/>
      <c r="F7093" s="1"/>
      <c r="G7093" s="1"/>
      <c r="H7093" s="1"/>
      <c r="I7093" s="1"/>
      <c r="J7093" s="1"/>
      <c r="K7093" s="102" t="s">
        <v>10954</v>
      </c>
      <c r="L7093" s="102" t="str">
        <f>C1076</f>
        <v>J2b</v>
      </c>
      <c r="M7093" s="102" t="s">
        <v>10953</v>
      </c>
      <c r="N7093" s="102" t="s">
        <v>10955</v>
      </c>
      <c r="O7093" s="105">
        <v>1.876063E7</v>
      </c>
      <c r="P7093" s="105">
        <v>1.664875E7</v>
      </c>
      <c r="Q7093" s="102" t="s">
        <v>2439</v>
      </c>
      <c r="S7093" s="1"/>
      <c r="T7093" s="1"/>
      <c r="U7093" s="1"/>
      <c r="V7093" s="1"/>
      <c r="W7093" s="1"/>
      <c r="X7093" s="1"/>
      <c r="Y7093" s="1"/>
      <c r="AA7093" s="102"/>
      <c r="AB7093" s="1"/>
      <c r="AC7093" s="1"/>
      <c r="AD7093" s="1"/>
      <c r="AE7093" s="1"/>
      <c r="AF7093" s="1"/>
      <c r="AG7093" s="1"/>
    </row>
    <row r="7094" ht="15.75" customHeight="1">
      <c r="A7094" s="1"/>
      <c r="B7094" s="1"/>
      <c r="C7094" s="1"/>
      <c r="D7094" s="1"/>
      <c r="E7094" s="1"/>
      <c r="F7094" s="1"/>
      <c r="G7094" s="1"/>
      <c r="H7094" s="1"/>
      <c r="I7094" s="1"/>
      <c r="J7094" s="1"/>
      <c r="K7094" s="102" t="s">
        <v>10956</v>
      </c>
      <c r="L7094" s="102" t="str">
        <f>C1076</f>
        <v>J2b</v>
      </c>
      <c r="M7094" s="102" t="s">
        <v>10957</v>
      </c>
      <c r="N7094" s="102" t="s">
        <v>10958</v>
      </c>
      <c r="O7094" s="105">
        <v>1.9207428E7</v>
      </c>
      <c r="P7094" s="105">
        <v>1.7095548E7</v>
      </c>
      <c r="Q7094" s="102" t="s">
        <v>2501</v>
      </c>
      <c r="S7094" s="1"/>
      <c r="T7094" s="1"/>
      <c r="U7094" s="1"/>
      <c r="V7094" s="1"/>
      <c r="W7094" s="1"/>
      <c r="X7094" s="1"/>
      <c r="Y7094" s="1"/>
      <c r="AA7094" s="102"/>
      <c r="AB7094" s="1"/>
      <c r="AC7094" s="1"/>
      <c r="AD7094" s="1"/>
      <c r="AE7094" s="1"/>
      <c r="AF7094" s="1"/>
      <c r="AG7094" s="1"/>
    </row>
    <row r="7095" ht="15.75" customHeight="1">
      <c r="A7095" s="1"/>
      <c r="B7095" s="1"/>
      <c r="C7095" s="1"/>
      <c r="D7095" s="1"/>
      <c r="E7095" s="1"/>
      <c r="F7095" s="1"/>
      <c r="G7095" s="1"/>
      <c r="H7095" s="1"/>
      <c r="I7095" s="1"/>
      <c r="J7095" s="1"/>
      <c r="K7095" s="102" t="s">
        <v>10957</v>
      </c>
      <c r="L7095" s="102" t="str">
        <f>C1076</f>
        <v>J2b</v>
      </c>
      <c r="M7095" s="102" t="s">
        <v>10956</v>
      </c>
      <c r="N7095" s="102" t="s">
        <v>10958</v>
      </c>
      <c r="O7095" s="105">
        <v>1.9207428E7</v>
      </c>
      <c r="P7095" s="105">
        <v>1.7095548E7</v>
      </c>
      <c r="Q7095" s="102" t="s">
        <v>2501</v>
      </c>
      <c r="S7095" s="1"/>
      <c r="T7095" s="1"/>
      <c r="U7095" s="1"/>
      <c r="V7095" s="1"/>
      <c r="W7095" s="1"/>
      <c r="X7095" s="1"/>
      <c r="Y7095" s="1"/>
      <c r="AA7095" s="102"/>
      <c r="AB7095" s="1"/>
      <c r="AC7095" s="1"/>
      <c r="AD7095" s="1"/>
      <c r="AE7095" s="1"/>
      <c r="AF7095" s="1"/>
      <c r="AG7095" s="1"/>
    </row>
    <row r="7096" ht="15.75" customHeight="1">
      <c r="A7096" s="1"/>
      <c r="B7096" s="1"/>
      <c r="C7096" s="1"/>
      <c r="D7096" s="1"/>
      <c r="E7096" s="1"/>
      <c r="F7096" s="1"/>
      <c r="G7096" s="1"/>
      <c r="H7096" s="1"/>
      <c r="I7096" s="1"/>
      <c r="J7096" s="1"/>
      <c r="K7096" s="102" t="s">
        <v>10959</v>
      </c>
      <c r="L7096" s="102" t="str">
        <f>C1076</f>
        <v>J2b</v>
      </c>
      <c r="M7096" s="102" t="s">
        <v>10960</v>
      </c>
      <c r="N7096" s="102" t="s">
        <v>10961</v>
      </c>
      <c r="O7096" s="105">
        <v>2.2685319E7</v>
      </c>
      <c r="P7096" s="105">
        <v>2.0523433E7</v>
      </c>
      <c r="Q7096" s="102" t="s">
        <v>2529</v>
      </c>
      <c r="S7096" s="1"/>
      <c r="T7096" s="1"/>
      <c r="U7096" s="1"/>
      <c r="V7096" s="1"/>
      <c r="W7096" s="1"/>
      <c r="X7096" s="1"/>
      <c r="Y7096" s="1"/>
      <c r="AA7096" s="102"/>
      <c r="AB7096" s="1"/>
      <c r="AC7096" s="1"/>
      <c r="AD7096" s="1"/>
      <c r="AE7096" s="1"/>
      <c r="AF7096" s="1"/>
      <c r="AG7096" s="1"/>
    </row>
    <row r="7097" ht="15.75" customHeight="1">
      <c r="A7097" s="1"/>
      <c r="B7097" s="1"/>
      <c r="C7097" s="1"/>
      <c r="D7097" s="1"/>
      <c r="E7097" s="1"/>
      <c r="F7097" s="1"/>
      <c r="G7097" s="1"/>
      <c r="H7097" s="1"/>
      <c r="I7097" s="1"/>
      <c r="J7097" s="1"/>
      <c r="K7097" s="102" t="s">
        <v>10960</v>
      </c>
      <c r="L7097" s="102" t="str">
        <f>C1076</f>
        <v>J2b</v>
      </c>
      <c r="M7097" s="102" t="s">
        <v>10959</v>
      </c>
      <c r="N7097" s="102" t="s">
        <v>10961</v>
      </c>
      <c r="O7097" s="105">
        <v>2.2685319E7</v>
      </c>
      <c r="P7097" s="105">
        <v>2.0523433E7</v>
      </c>
      <c r="Q7097" s="102" t="s">
        <v>2529</v>
      </c>
      <c r="S7097" s="1"/>
      <c r="T7097" s="1"/>
      <c r="U7097" s="1"/>
      <c r="V7097" s="1"/>
      <c r="W7097" s="1"/>
      <c r="X7097" s="1"/>
      <c r="Y7097" s="1"/>
      <c r="AA7097" s="102"/>
      <c r="AB7097" s="1"/>
      <c r="AC7097" s="1"/>
      <c r="AD7097" s="1"/>
      <c r="AE7097" s="1"/>
      <c r="AF7097" s="1"/>
      <c r="AG7097" s="1"/>
    </row>
    <row r="7098" ht="15.75" customHeight="1">
      <c r="A7098" s="1"/>
      <c r="B7098" s="1"/>
      <c r="C7098" s="1"/>
      <c r="D7098" s="1"/>
      <c r="E7098" s="1"/>
      <c r="F7098" s="1"/>
      <c r="G7098" s="1"/>
      <c r="H7098" s="1"/>
      <c r="I7098" s="1"/>
      <c r="J7098" s="1"/>
      <c r="K7098" s="102" t="s">
        <v>10962</v>
      </c>
      <c r="L7098" s="102" t="str">
        <f>C1076</f>
        <v>J2b</v>
      </c>
      <c r="M7098" s="102"/>
      <c r="N7098" s="102" t="s">
        <v>10963</v>
      </c>
      <c r="O7098" s="105">
        <v>2.3071159E7</v>
      </c>
      <c r="P7098" s="105">
        <v>2.0909273E7</v>
      </c>
      <c r="Q7098" s="102" t="s">
        <v>2439</v>
      </c>
      <c r="S7098" s="1"/>
      <c r="T7098" s="1"/>
      <c r="U7098" s="1"/>
      <c r="V7098" s="1"/>
      <c r="W7098" s="1"/>
      <c r="X7098" s="1"/>
      <c r="Y7098" s="1"/>
      <c r="AA7098" s="102"/>
      <c r="AB7098" s="1"/>
      <c r="AC7098" s="1"/>
      <c r="AD7098" s="1"/>
      <c r="AE7098" s="1"/>
      <c r="AF7098" s="1"/>
      <c r="AG7098" s="1"/>
    </row>
    <row r="7099" ht="15.75" customHeight="1">
      <c r="A7099" s="1"/>
      <c r="B7099" s="1"/>
      <c r="C7099" s="1"/>
      <c r="D7099" s="1"/>
      <c r="E7099" s="1"/>
      <c r="F7099" s="1"/>
      <c r="G7099" s="1"/>
      <c r="H7099" s="1"/>
      <c r="I7099" s="1"/>
      <c r="J7099" s="1"/>
      <c r="K7099" s="102" t="s">
        <v>10964</v>
      </c>
      <c r="L7099" s="102" t="str">
        <f>C1076</f>
        <v>J2b</v>
      </c>
      <c r="M7099" s="102"/>
      <c r="N7099" s="102" t="s">
        <v>10965</v>
      </c>
      <c r="O7099" s="105">
        <v>2.3211146E7</v>
      </c>
      <c r="P7099" s="105">
        <v>2.104926E7</v>
      </c>
      <c r="Q7099" s="102" t="s">
        <v>2439</v>
      </c>
      <c r="S7099" s="1"/>
      <c r="T7099" s="1"/>
      <c r="U7099" s="1"/>
      <c r="V7099" s="1"/>
      <c r="W7099" s="1"/>
      <c r="X7099" s="1"/>
      <c r="Y7099" s="1"/>
      <c r="AA7099" s="102"/>
      <c r="AB7099" s="1"/>
      <c r="AC7099" s="1"/>
      <c r="AD7099" s="1"/>
      <c r="AE7099" s="1"/>
      <c r="AF7099" s="1"/>
      <c r="AG7099" s="1"/>
    </row>
    <row r="7100" ht="15.75" customHeight="1">
      <c r="A7100" s="1"/>
      <c r="B7100" s="1"/>
      <c r="C7100" s="1"/>
      <c r="D7100" s="1"/>
      <c r="E7100" s="1"/>
      <c r="F7100" s="1"/>
      <c r="G7100" s="1"/>
      <c r="H7100" s="1"/>
      <c r="I7100" s="1"/>
      <c r="J7100" s="1"/>
      <c r="K7100" s="102" t="s">
        <v>10966</v>
      </c>
      <c r="L7100" s="102" t="str">
        <f>C1076</f>
        <v>J2b</v>
      </c>
      <c r="M7100" s="102" t="s">
        <v>10967</v>
      </c>
      <c r="N7100" s="102" t="s">
        <v>10968</v>
      </c>
      <c r="O7100" s="105">
        <v>8032311.0</v>
      </c>
      <c r="P7100" s="105">
        <v>8164270.0</v>
      </c>
      <c r="Q7100" s="102" t="s">
        <v>2439</v>
      </c>
      <c r="S7100" s="1"/>
      <c r="T7100" s="1"/>
      <c r="U7100" s="1"/>
      <c r="V7100" s="1"/>
      <c r="W7100" s="1"/>
      <c r="X7100" s="1"/>
      <c r="Y7100" s="1"/>
      <c r="AA7100" s="102"/>
      <c r="AB7100" s="1"/>
      <c r="AC7100" s="1"/>
      <c r="AD7100" s="1"/>
      <c r="AE7100" s="1"/>
      <c r="AF7100" s="1"/>
      <c r="AG7100" s="1"/>
    </row>
    <row r="7101" ht="15.75" customHeight="1">
      <c r="A7101" s="1"/>
      <c r="B7101" s="1"/>
      <c r="C7101" s="1"/>
      <c r="D7101" s="1"/>
      <c r="E7101" s="1"/>
      <c r="F7101" s="1"/>
      <c r="G7101" s="1"/>
      <c r="H7101" s="1"/>
      <c r="I7101" s="1"/>
      <c r="J7101" s="1"/>
      <c r="K7101" s="102" t="s">
        <v>10967</v>
      </c>
      <c r="L7101" s="102" t="str">
        <f>C1076</f>
        <v>J2b</v>
      </c>
      <c r="M7101" s="102" t="s">
        <v>10966</v>
      </c>
      <c r="N7101" s="102" t="s">
        <v>10968</v>
      </c>
      <c r="O7101" s="105">
        <v>8032311.0</v>
      </c>
      <c r="P7101" s="105">
        <v>8164270.0</v>
      </c>
      <c r="Q7101" s="102" t="s">
        <v>2439</v>
      </c>
      <c r="S7101" s="1"/>
      <c r="T7101" s="1"/>
      <c r="U7101" s="1"/>
      <c r="V7101" s="1"/>
      <c r="W7101" s="1"/>
      <c r="X7101" s="1"/>
      <c r="Y7101" s="1"/>
      <c r="AA7101" s="102"/>
      <c r="AB7101" s="1"/>
      <c r="AC7101" s="1"/>
      <c r="AD7101" s="1"/>
      <c r="AE7101" s="1"/>
      <c r="AF7101" s="1"/>
      <c r="AG7101" s="1"/>
    </row>
    <row r="7102" ht="15.75" customHeight="1">
      <c r="A7102" s="1"/>
      <c r="B7102" s="1"/>
      <c r="C7102" s="1"/>
      <c r="D7102" s="1"/>
      <c r="E7102" s="1"/>
      <c r="F7102" s="1"/>
      <c r="G7102" s="1"/>
      <c r="H7102" s="1"/>
      <c r="I7102" s="1"/>
      <c r="J7102" s="1"/>
      <c r="K7102" s="102" t="s">
        <v>10969</v>
      </c>
      <c r="L7102" s="102" t="str">
        <f>C1076</f>
        <v>J2b</v>
      </c>
      <c r="M7102" s="102" t="s">
        <v>10970</v>
      </c>
      <c r="N7102" s="102" t="s">
        <v>10971</v>
      </c>
      <c r="O7102" s="105">
        <v>1.8549361E7</v>
      </c>
      <c r="P7102" s="105">
        <v>1.6437481E7</v>
      </c>
      <c r="Q7102" s="102" t="s">
        <v>2439</v>
      </c>
      <c r="S7102" s="1"/>
      <c r="T7102" s="1"/>
      <c r="U7102" s="1"/>
      <c r="V7102" s="1"/>
      <c r="W7102" s="1"/>
      <c r="X7102" s="1"/>
      <c r="Y7102" s="1"/>
      <c r="AA7102" s="102"/>
      <c r="AB7102" s="1"/>
      <c r="AC7102" s="1"/>
      <c r="AD7102" s="1"/>
      <c r="AE7102" s="1"/>
      <c r="AF7102" s="1"/>
      <c r="AG7102" s="1"/>
    </row>
    <row r="7103" ht="15.75" customHeight="1">
      <c r="A7103" s="1"/>
      <c r="B7103" s="1"/>
      <c r="C7103" s="1"/>
      <c r="D7103" s="1"/>
      <c r="E7103" s="1"/>
      <c r="F7103" s="1"/>
      <c r="G7103" s="1"/>
      <c r="H7103" s="1"/>
      <c r="I7103" s="1"/>
      <c r="J7103" s="1"/>
      <c r="K7103" s="102" t="s">
        <v>10970</v>
      </c>
      <c r="L7103" s="102" t="str">
        <f>C1076</f>
        <v>J2b</v>
      </c>
      <c r="M7103" s="102" t="s">
        <v>10969</v>
      </c>
      <c r="N7103" s="102" t="s">
        <v>10971</v>
      </c>
      <c r="O7103" s="105">
        <v>1.8549361E7</v>
      </c>
      <c r="P7103" s="105">
        <v>1.6437481E7</v>
      </c>
      <c r="Q7103" s="102" t="s">
        <v>2439</v>
      </c>
      <c r="S7103" s="1"/>
      <c r="T7103" s="1"/>
      <c r="U7103" s="1"/>
      <c r="V7103" s="1"/>
      <c r="W7103" s="1"/>
      <c r="X7103" s="1"/>
      <c r="Y7103" s="1"/>
      <c r="AA7103" s="102"/>
      <c r="AB7103" s="1"/>
      <c r="AC7103" s="1"/>
      <c r="AD7103" s="1"/>
      <c r="AE7103" s="1"/>
      <c r="AF7103" s="1"/>
      <c r="AG7103" s="1"/>
    </row>
    <row r="7104" ht="15.75" customHeight="1">
      <c r="A7104" s="1"/>
      <c r="B7104" s="1"/>
      <c r="C7104" s="1"/>
      <c r="D7104" s="1"/>
      <c r="E7104" s="1"/>
      <c r="F7104" s="1"/>
      <c r="G7104" s="1"/>
      <c r="H7104" s="1"/>
      <c r="I7104" s="1"/>
      <c r="J7104" s="1"/>
      <c r="K7104" s="102" t="s">
        <v>10972</v>
      </c>
      <c r="L7104" s="102" t="str">
        <f>C1076</f>
        <v>J2b</v>
      </c>
      <c r="M7104" s="102"/>
      <c r="N7104" s="102" t="s">
        <v>10973</v>
      </c>
      <c r="O7104" s="105">
        <v>5359116.0</v>
      </c>
      <c r="P7104" s="105">
        <v>5491075.0</v>
      </c>
      <c r="Q7104" s="102" t="s">
        <v>2501</v>
      </c>
      <c r="S7104" s="1"/>
      <c r="T7104" s="1"/>
      <c r="U7104" s="1"/>
      <c r="V7104" s="1"/>
      <c r="W7104" s="1"/>
      <c r="X7104" s="1"/>
      <c r="Y7104" s="1"/>
      <c r="AA7104" s="102"/>
      <c r="AB7104" s="1"/>
      <c r="AC7104" s="1"/>
      <c r="AD7104" s="1"/>
      <c r="AE7104" s="1"/>
      <c r="AF7104" s="1"/>
      <c r="AG7104" s="1"/>
    </row>
    <row r="7105" ht="15.75" customHeight="1">
      <c r="A7105" s="1"/>
      <c r="B7105" s="1"/>
      <c r="C7105" s="1"/>
      <c r="D7105" s="1"/>
      <c r="E7105" s="1"/>
      <c r="F7105" s="1"/>
      <c r="G7105" s="1"/>
      <c r="H7105" s="1"/>
      <c r="I7105" s="1"/>
      <c r="J7105" s="1"/>
      <c r="K7105" s="102" t="s">
        <v>10974</v>
      </c>
      <c r="L7105" s="102" t="str">
        <f>C1076</f>
        <v>J2b</v>
      </c>
      <c r="M7105" s="102" t="s">
        <v>10975</v>
      </c>
      <c r="N7105" s="102" t="s">
        <v>10976</v>
      </c>
      <c r="O7105" s="105">
        <v>1.9431608E7</v>
      </c>
      <c r="P7105" s="105">
        <v>1.7319728E7</v>
      </c>
      <c r="Q7105" s="102" t="s">
        <v>2423</v>
      </c>
      <c r="S7105" s="1"/>
      <c r="T7105" s="1"/>
      <c r="U7105" s="1"/>
      <c r="V7105" s="1"/>
      <c r="W7105" s="1"/>
      <c r="X7105" s="1"/>
      <c r="Y7105" s="1"/>
      <c r="AA7105" s="102"/>
      <c r="AB7105" s="1"/>
      <c r="AC7105" s="1"/>
      <c r="AD7105" s="1"/>
      <c r="AE7105" s="1"/>
      <c r="AF7105" s="1"/>
      <c r="AG7105" s="1"/>
    </row>
    <row r="7106" ht="15.75" customHeight="1">
      <c r="A7106" s="1"/>
      <c r="B7106" s="1"/>
      <c r="C7106" s="1"/>
      <c r="D7106" s="1"/>
      <c r="E7106" s="1"/>
      <c r="F7106" s="1"/>
      <c r="G7106" s="1"/>
      <c r="H7106" s="1"/>
      <c r="I7106" s="1"/>
      <c r="J7106" s="1"/>
      <c r="K7106" s="102" t="s">
        <v>10977</v>
      </c>
      <c r="L7106" s="102" t="str">
        <f>C1076</f>
        <v>J2b</v>
      </c>
      <c r="M7106" s="102" t="s">
        <v>10978</v>
      </c>
      <c r="N7106" s="102" t="s">
        <v>10976</v>
      </c>
      <c r="O7106" s="105">
        <v>1.9431608E7</v>
      </c>
      <c r="P7106" s="105">
        <v>1.7319728E7</v>
      </c>
      <c r="Q7106" s="102" t="s">
        <v>2423</v>
      </c>
      <c r="S7106" s="1"/>
      <c r="T7106" s="1"/>
      <c r="U7106" s="1"/>
      <c r="V7106" s="1"/>
      <c r="W7106" s="1"/>
      <c r="X7106" s="1"/>
      <c r="Y7106" s="1"/>
      <c r="AA7106" s="102"/>
      <c r="AB7106" s="1"/>
      <c r="AC7106" s="1"/>
      <c r="AD7106" s="1"/>
      <c r="AE7106" s="1"/>
      <c r="AF7106" s="1"/>
      <c r="AG7106" s="1"/>
    </row>
    <row r="7107" ht="15.75" customHeight="1">
      <c r="A7107" s="1"/>
      <c r="B7107" s="1"/>
      <c r="C7107" s="1"/>
      <c r="D7107" s="1"/>
      <c r="E7107" s="1"/>
      <c r="F7107" s="1"/>
      <c r="G7107" s="1"/>
      <c r="H7107" s="1"/>
      <c r="I7107" s="1"/>
      <c r="J7107" s="1"/>
      <c r="K7107" s="102" t="s">
        <v>10979</v>
      </c>
      <c r="L7107" s="102" t="str">
        <f>C1076</f>
        <v>J2b</v>
      </c>
      <c r="M7107" s="102" t="s">
        <v>10980</v>
      </c>
      <c r="N7107" s="102" t="s">
        <v>10976</v>
      </c>
      <c r="O7107" s="105">
        <v>1.9431608E7</v>
      </c>
      <c r="P7107" s="105">
        <v>1.7319728E7</v>
      </c>
      <c r="Q7107" s="102" t="s">
        <v>2423</v>
      </c>
      <c r="S7107" s="1"/>
      <c r="T7107" s="1"/>
      <c r="U7107" s="1"/>
      <c r="V7107" s="1"/>
      <c r="W7107" s="1"/>
      <c r="X7107" s="1"/>
      <c r="Y7107" s="1"/>
      <c r="AA7107" s="102"/>
      <c r="AB7107" s="1"/>
      <c r="AC7107" s="1"/>
      <c r="AD7107" s="1"/>
      <c r="AE7107" s="1"/>
      <c r="AF7107" s="1"/>
      <c r="AG7107" s="1"/>
    </row>
    <row r="7108" ht="15.75" customHeight="1">
      <c r="A7108" s="1"/>
      <c r="B7108" s="1"/>
      <c r="C7108" s="1"/>
      <c r="D7108" s="1"/>
      <c r="E7108" s="1"/>
      <c r="F7108" s="1"/>
      <c r="G7108" s="1"/>
      <c r="H7108" s="1"/>
      <c r="I7108" s="1"/>
      <c r="J7108" s="1"/>
      <c r="K7108" s="102" t="s">
        <v>10981</v>
      </c>
      <c r="L7108" s="102" t="str">
        <f>C1076</f>
        <v>J2b</v>
      </c>
      <c r="M7108" s="102" t="s">
        <v>10982</v>
      </c>
      <c r="N7108" s="102" t="s">
        <v>10976</v>
      </c>
      <c r="O7108" s="105">
        <v>1.9431608E7</v>
      </c>
      <c r="P7108" s="105">
        <v>1.7319728E7</v>
      </c>
      <c r="Q7108" s="102" t="s">
        <v>2423</v>
      </c>
      <c r="S7108" s="1"/>
      <c r="T7108" s="1"/>
      <c r="U7108" s="1"/>
      <c r="V7108" s="1"/>
      <c r="W7108" s="1"/>
      <c r="X7108" s="1"/>
      <c r="Y7108" s="1"/>
      <c r="AA7108" s="102"/>
      <c r="AB7108" s="1"/>
      <c r="AC7108" s="1"/>
      <c r="AD7108" s="1"/>
      <c r="AE7108" s="1"/>
      <c r="AF7108" s="1"/>
      <c r="AG7108" s="1"/>
    </row>
    <row r="7109" ht="15.75" customHeight="1">
      <c r="A7109" s="1"/>
      <c r="B7109" s="1"/>
      <c r="C7109" s="1"/>
      <c r="D7109" s="1"/>
      <c r="E7109" s="1"/>
      <c r="F7109" s="1"/>
      <c r="G7109" s="1"/>
      <c r="H7109" s="1"/>
      <c r="I7109" s="1"/>
      <c r="J7109" s="1"/>
      <c r="K7109" s="102" t="s">
        <v>10983</v>
      </c>
      <c r="L7109" s="102" t="str">
        <f>C1076</f>
        <v>J2b</v>
      </c>
      <c r="M7109" s="102"/>
      <c r="N7109" s="102" t="s">
        <v>10984</v>
      </c>
      <c r="O7109" s="105">
        <v>2.1926112E7</v>
      </c>
      <c r="P7109" s="105">
        <v>1.9764226E7</v>
      </c>
      <c r="Q7109" s="102" t="s">
        <v>2576</v>
      </c>
      <c r="S7109" s="1"/>
      <c r="T7109" s="1"/>
      <c r="U7109" s="1"/>
      <c r="V7109" s="1"/>
      <c r="W7109" s="1"/>
      <c r="X7109" s="1"/>
      <c r="Y7109" s="1"/>
      <c r="AA7109" s="102"/>
      <c r="AB7109" s="1"/>
      <c r="AC7109" s="1"/>
      <c r="AD7109" s="1"/>
      <c r="AE7109" s="1"/>
      <c r="AF7109" s="1"/>
      <c r="AG7109" s="1"/>
    </row>
    <row r="7110" ht="15.75" customHeight="1">
      <c r="A7110" s="1"/>
      <c r="B7110" s="1"/>
      <c r="C7110" s="1"/>
      <c r="D7110" s="1"/>
      <c r="E7110" s="1"/>
      <c r="F7110" s="1"/>
      <c r="G7110" s="1"/>
      <c r="H7110" s="1"/>
      <c r="I7110" s="1"/>
      <c r="J7110" s="1"/>
      <c r="K7110" s="102" t="s">
        <v>10985</v>
      </c>
      <c r="L7110" s="102" t="str">
        <f>C1076</f>
        <v>J2b</v>
      </c>
      <c r="M7110" s="102"/>
      <c r="N7110" s="102" t="s">
        <v>10986</v>
      </c>
      <c r="O7110" s="105">
        <v>1.5436316E7</v>
      </c>
      <c r="P7110" s="105">
        <v>1.3324436E7</v>
      </c>
      <c r="Q7110" s="102" t="s">
        <v>2439</v>
      </c>
      <c r="S7110" s="1"/>
      <c r="T7110" s="1"/>
      <c r="U7110" s="1"/>
      <c r="V7110" s="1"/>
      <c r="W7110" s="1"/>
      <c r="X7110" s="1"/>
      <c r="Y7110" s="1"/>
      <c r="AA7110" s="102"/>
      <c r="AB7110" s="1"/>
      <c r="AC7110" s="1"/>
      <c r="AD7110" s="1"/>
      <c r="AE7110" s="1"/>
      <c r="AF7110" s="1"/>
      <c r="AG7110" s="1"/>
    </row>
    <row r="7111" ht="15.75" customHeight="1">
      <c r="A7111" s="1"/>
      <c r="B7111" s="1"/>
      <c r="C7111" s="1"/>
      <c r="D7111" s="1"/>
      <c r="E7111" s="1"/>
      <c r="F7111" s="1"/>
      <c r="G7111" s="1"/>
      <c r="H7111" s="1"/>
      <c r="I7111" s="1"/>
      <c r="J7111" s="1"/>
      <c r="K7111" s="102" t="s">
        <v>10987</v>
      </c>
      <c r="L7111" s="102" t="str">
        <f>C1076</f>
        <v>J2b</v>
      </c>
      <c r="M7111" s="102" t="s">
        <v>10988</v>
      </c>
      <c r="N7111" s="102" t="s">
        <v>10989</v>
      </c>
      <c r="O7111" s="105">
        <v>2.2753079E7</v>
      </c>
      <c r="P7111" s="105">
        <v>2.0591193E7</v>
      </c>
      <c r="Q7111" s="102" t="s">
        <v>2423</v>
      </c>
      <c r="S7111" s="1"/>
      <c r="T7111" s="1"/>
      <c r="U7111" s="1"/>
      <c r="V7111" s="1"/>
      <c r="W7111" s="1"/>
      <c r="X7111" s="1"/>
      <c r="Y7111" s="1"/>
      <c r="AA7111" s="102"/>
      <c r="AB7111" s="1"/>
      <c r="AC7111" s="1"/>
      <c r="AD7111" s="1"/>
      <c r="AE7111" s="1"/>
      <c r="AF7111" s="1"/>
      <c r="AG7111" s="1"/>
    </row>
    <row r="7112" ht="15.75" customHeight="1">
      <c r="A7112" s="1"/>
      <c r="B7112" s="1"/>
      <c r="C7112" s="1"/>
      <c r="D7112" s="1"/>
      <c r="E7112" s="1"/>
      <c r="F7112" s="1"/>
      <c r="G7112" s="1"/>
      <c r="H7112" s="1"/>
      <c r="I7112" s="1"/>
      <c r="J7112" s="1"/>
      <c r="K7112" s="102" t="s">
        <v>10988</v>
      </c>
      <c r="L7112" s="102" t="str">
        <f>C1076</f>
        <v>J2b</v>
      </c>
      <c r="M7112" s="102" t="s">
        <v>10987</v>
      </c>
      <c r="N7112" s="102" t="s">
        <v>10989</v>
      </c>
      <c r="O7112" s="105">
        <v>2.2753079E7</v>
      </c>
      <c r="P7112" s="105">
        <v>2.0591193E7</v>
      </c>
      <c r="Q7112" s="102" t="s">
        <v>2423</v>
      </c>
      <c r="S7112" s="1"/>
      <c r="T7112" s="1"/>
      <c r="U7112" s="1"/>
      <c r="V7112" s="1"/>
      <c r="W7112" s="1"/>
      <c r="X7112" s="1"/>
      <c r="Y7112" s="1"/>
      <c r="AA7112" s="102"/>
      <c r="AB7112" s="1"/>
      <c r="AC7112" s="1"/>
      <c r="AD7112" s="1"/>
      <c r="AE7112" s="1"/>
      <c r="AF7112" s="1"/>
      <c r="AG7112" s="1"/>
    </row>
    <row r="7113" ht="15.75" customHeight="1">
      <c r="A7113" s="1"/>
      <c r="B7113" s="1"/>
      <c r="C7113" s="1"/>
      <c r="D7113" s="1"/>
      <c r="E7113" s="1"/>
      <c r="F7113" s="1"/>
      <c r="G7113" s="1"/>
      <c r="H7113" s="1"/>
      <c r="I7113" s="1"/>
      <c r="J7113" s="1"/>
      <c r="K7113" s="102" t="s">
        <v>10990</v>
      </c>
      <c r="L7113" s="102" t="str">
        <f>C1076</f>
        <v>J2b</v>
      </c>
      <c r="M7113" s="102" t="s">
        <v>10991</v>
      </c>
      <c r="N7113" s="102" t="s">
        <v>10992</v>
      </c>
      <c r="O7113" s="105">
        <v>8243066.0</v>
      </c>
      <c r="P7113" s="105">
        <v>8375025.0</v>
      </c>
      <c r="Q7113" s="102" t="s">
        <v>2514</v>
      </c>
      <c r="S7113" s="1"/>
      <c r="T7113" s="1"/>
      <c r="U7113" s="1"/>
      <c r="V7113" s="1"/>
      <c r="W7113" s="1"/>
      <c r="X7113" s="1"/>
      <c r="Y7113" s="1"/>
      <c r="AA7113" s="102"/>
      <c r="AB7113" s="1"/>
      <c r="AC7113" s="1"/>
      <c r="AD7113" s="1"/>
      <c r="AE7113" s="1"/>
      <c r="AF7113" s="1"/>
      <c r="AG7113" s="1"/>
    </row>
    <row r="7114" ht="15.75" customHeight="1">
      <c r="A7114" s="1"/>
      <c r="B7114" s="1"/>
      <c r="C7114" s="1"/>
      <c r="D7114" s="1"/>
      <c r="E7114" s="1"/>
      <c r="F7114" s="1"/>
      <c r="G7114" s="1"/>
      <c r="H7114" s="1"/>
      <c r="I7114" s="1"/>
      <c r="J7114" s="1"/>
      <c r="K7114" s="102" t="s">
        <v>10991</v>
      </c>
      <c r="L7114" s="102" t="str">
        <f>C1076</f>
        <v>J2b</v>
      </c>
      <c r="M7114" s="102" t="s">
        <v>10990</v>
      </c>
      <c r="N7114" s="102" t="s">
        <v>10992</v>
      </c>
      <c r="O7114" s="105">
        <v>8243066.0</v>
      </c>
      <c r="P7114" s="105">
        <v>8375025.0</v>
      </c>
      <c r="Q7114" s="102" t="s">
        <v>2514</v>
      </c>
      <c r="S7114" s="1"/>
      <c r="T7114" s="1"/>
      <c r="U7114" s="1"/>
      <c r="V7114" s="1"/>
      <c r="W7114" s="1"/>
      <c r="X7114" s="1"/>
      <c r="Y7114" s="1"/>
      <c r="AA7114" s="102"/>
      <c r="AB7114" s="1"/>
      <c r="AC7114" s="1"/>
      <c r="AD7114" s="1"/>
      <c r="AE7114" s="1"/>
      <c r="AF7114" s="1"/>
      <c r="AG7114" s="1"/>
    </row>
    <row r="7115" ht="15.75" customHeight="1">
      <c r="A7115" s="1"/>
      <c r="B7115" s="1"/>
      <c r="C7115" s="1"/>
      <c r="D7115" s="1"/>
      <c r="E7115" s="1"/>
      <c r="F7115" s="1"/>
      <c r="G7115" s="1"/>
      <c r="H7115" s="1"/>
      <c r="I7115" s="1"/>
      <c r="J7115" s="1"/>
      <c r="K7115" s="102" t="s">
        <v>10993</v>
      </c>
      <c r="L7115" s="102" t="str">
        <f>C1076</f>
        <v>J2b</v>
      </c>
      <c r="M7115" s="102" t="s">
        <v>10994</v>
      </c>
      <c r="N7115" s="102" t="s">
        <v>10995</v>
      </c>
      <c r="O7115" s="105">
        <v>1.9289205E7</v>
      </c>
      <c r="P7115" s="105">
        <v>1.7177325E7</v>
      </c>
      <c r="Q7115" s="102" t="s">
        <v>2501</v>
      </c>
      <c r="S7115" s="1"/>
      <c r="T7115" s="1"/>
      <c r="U7115" s="1"/>
      <c r="V7115" s="1"/>
      <c r="W7115" s="1"/>
      <c r="X7115" s="1"/>
      <c r="Y7115" s="1"/>
      <c r="AA7115" s="102"/>
      <c r="AB7115" s="1"/>
      <c r="AC7115" s="1"/>
      <c r="AD7115" s="1"/>
      <c r="AE7115" s="1"/>
      <c r="AF7115" s="1"/>
      <c r="AG7115" s="1"/>
    </row>
    <row r="7116" ht="15.75" customHeight="1">
      <c r="A7116" s="1"/>
      <c r="B7116" s="1"/>
      <c r="C7116" s="1"/>
      <c r="D7116" s="1"/>
      <c r="E7116" s="1"/>
      <c r="F7116" s="1"/>
      <c r="G7116" s="1"/>
      <c r="H7116" s="1"/>
      <c r="I7116" s="1"/>
      <c r="J7116" s="1"/>
      <c r="K7116" s="102" t="s">
        <v>10994</v>
      </c>
      <c r="L7116" s="102" t="str">
        <f>C1076</f>
        <v>J2b</v>
      </c>
      <c r="M7116" s="102" t="s">
        <v>10993</v>
      </c>
      <c r="N7116" s="102" t="s">
        <v>10995</v>
      </c>
      <c r="O7116" s="105">
        <v>1.9289205E7</v>
      </c>
      <c r="P7116" s="105">
        <v>1.7177325E7</v>
      </c>
      <c r="Q7116" s="102" t="s">
        <v>2501</v>
      </c>
      <c r="S7116" s="1"/>
      <c r="T7116" s="1"/>
      <c r="U7116" s="1"/>
      <c r="V7116" s="1"/>
      <c r="W7116" s="1"/>
      <c r="X7116" s="1"/>
      <c r="Y7116" s="1"/>
      <c r="AA7116" s="102"/>
      <c r="AB7116" s="1"/>
      <c r="AC7116" s="1"/>
      <c r="AD7116" s="1"/>
      <c r="AE7116" s="1"/>
      <c r="AF7116" s="1"/>
      <c r="AG7116" s="1"/>
    </row>
    <row r="7117" ht="15.75" customHeight="1">
      <c r="A7117" s="1"/>
      <c r="B7117" s="1"/>
      <c r="C7117" s="1"/>
      <c r="D7117" s="1"/>
      <c r="E7117" s="1"/>
      <c r="F7117" s="1"/>
      <c r="G7117" s="1"/>
      <c r="H7117" s="1"/>
      <c r="I7117" s="1"/>
      <c r="J7117" s="1"/>
      <c r="K7117" s="102" t="s">
        <v>10996</v>
      </c>
      <c r="L7117" s="102" t="str">
        <f>C1076</f>
        <v>J2b</v>
      </c>
      <c r="M7117" s="102" t="s">
        <v>10997</v>
      </c>
      <c r="N7117" s="102" t="s">
        <v>10998</v>
      </c>
      <c r="O7117" s="105">
        <v>2722516.0</v>
      </c>
      <c r="P7117" s="105">
        <v>2854475.0</v>
      </c>
      <c r="Q7117" s="102" t="s">
        <v>2501</v>
      </c>
      <c r="S7117" s="1"/>
      <c r="T7117" s="1"/>
      <c r="U7117" s="1"/>
      <c r="V7117" s="1"/>
      <c r="W7117" s="1"/>
      <c r="X7117" s="1"/>
      <c r="Y7117" s="1"/>
      <c r="AA7117" s="102"/>
      <c r="AB7117" s="1"/>
      <c r="AC7117" s="1"/>
      <c r="AD7117" s="1"/>
      <c r="AE7117" s="1"/>
      <c r="AF7117" s="1"/>
      <c r="AG7117" s="1"/>
    </row>
    <row r="7118" ht="15.75" customHeight="1">
      <c r="A7118" s="1"/>
      <c r="B7118" s="1"/>
      <c r="C7118" s="1"/>
      <c r="D7118" s="1"/>
      <c r="E7118" s="1"/>
      <c r="F7118" s="1"/>
      <c r="G7118" s="1"/>
      <c r="H7118" s="1"/>
      <c r="I7118" s="1"/>
      <c r="J7118" s="1"/>
      <c r="K7118" s="102" t="s">
        <v>10997</v>
      </c>
      <c r="L7118" s="102" t="str">
        <f>C1076</f>
        <v>J2b</v>
      </c>
      <c r="M7118" s="102" t="s">
        <v>10996</v>
      </c>
      <c r="N7118" s="102" t="s">
        <v>10998</v>
      </c>
      <c r="O7118" s="105">
        <v>2722516.0</v>
      </c>
      <c r="P7118" s="105">
        <v>2854475.0</v>
      </c>
      <c r="Q7118" s="102" t="s">
        <v>2501</v>
      </c>
      <c r="S7118" s="1"/>
      <c r="T7118" s="1"/>
      <c r="U7118" s="1"/>
      <c r="V7118" s="1"/>
      <c r="W7118" s="1"/>
      <c r="X7118" s="1"/>
      <c r="Y7118" s="1"/>
      <c r="AA7118" s="102"/>
      <c r="AB7118" s="1"/>
      <c r="AC7118" s="1"/>
      <c r="AD7118" s="1"/>
      <c r="AE7118" s="1"/>
      <c r="AF7118" s="1"/>
      <c r="AG7118" s="1"/>
    </row>
    <row r="7119" ht="15.75" customHeight="1">
      <c r="A7119" s="1"/>
      <c r="B7119" s="1"/>
      <c r="C7119" s="1"/>
      <c r="D7119" s="1"/>
      <c r="E7119" s="1"/>
      <c r="F7119" s="1"/>
      <c r="G7119" s="1"/>
      <c r="H7119" s="1"/>
      <c r="I7119" s="1"/>
      <c r="J7119" s="1"/>
      <c r="K7119" s="102" t="s">
        <v>10999</v>
      </c>
      <c r="L7119" s="102" t="str">
        <f>C1076</f>
        <v>J2b</v>
      </c>
      <c r="M7119" s="102" t="s">
        <v>11000</v>
      </c>
      <c r="N7119" s="102" t="s">
        <v>11001</v>
      </c>
      <c r="O7119" s="105">
        <v>7679426.0</v>
      </c>
      <c r="P7119" s="105">
        <v>7811385.0</v>
      </c>
      <c r="Q7119" s="102" t="s">
        <v>2439</v>
      </c>
      <c r="S7119" s="1"/>
      <c r="T7119" s="1"/>
      <c r="U7119" s="1"/>
      <c r="V7119" s="1"/>
      <c r="W7119" s="1"/>
      <c r="X7119" s="1"/>
      <c r="Y7119" s="1"/>
      <c r="AA7119" s="102"/>
      <c r="AB7119" s="1"/>
      <c r="AC7119" s="1"/>
      <c r="AD7119" s="1"/>
      <c r="AE7119" s="1"/>
      <c r="AF7119" s="1"/>
      <c r="AG7119" s="1"/>
    </row>
    <row r="7120" ht="15.75" customHeight="1">
      <c r="A7120" s="1"/>
      <c r="B7120" s="1"/>
      <c r="C7120" s="1"/>
      <c r="D7120" s="1"/>
      <c r="E7120" s="1"/>
      <c r="F7120" s="1"/>
      <c r="G7120" s="1"/>
      <c r="H7120" s="1"/>
      <c r="I7120" s="1"/>
      <c r="J7120" s="1"/>
      <c r="K7120" s="102" t="s">
        <v>11000</v>
      </c>
      <c r="L7120" s="102" t="str">
        <f>C1076</f>
        <v>J2b</v>
      </c>
      <c r="M7120" s="102" t="s">
        <v>10999</v>
      </c>
      <c r="N7120" s="102" t="s">
        <v>11001</v>
      </c>
      <c r="O7120" s="105">
        <v>7679426.0</v>
      </c>
      <c r="P7120" s="105">
        <v>7811385.0</v>
      </c>
      <c r="Q7120" s="102" t="s">
        <v>2439</v>
      </c>
      <c r="S7120" s="1"/>
      <c r="T7120" s="1"/>
      <c r="U7120" s="1"/>
      <c r="V7120" s="1"/>
      <c r="W7120" s="1"/>
      <c r="X7120" s="1"/>
      <c r="Y7120" s="1"/>
      <c r="AA7120" s="102" t="s">
        <v>11002</v>
      </c>
      <c r="AB7120" s="1"/>
      <c r="AC7120" s="1"/>
      <c r="AD7120" s="1"/>
      <c r="AE7120" s="1"/>
      <c r="AF7120" s="1"/>
      <c r="AG7120" s="1"/>
    </row>
    <row r="7121" ht="15.75" customHeight="1">
      <c r="A7121" s="1"/>
      <c r="B7121" s="1"/>
      <c r="C7121" s="1"/>
      <c r="D7121" s="1"/>
      <c r="E7121" s="1"/>
      <c r="F7121" s="1"/>
      <c r="G7121" s="1"/>
      <c r="H7121" s="1"/>
      <c r="I7121" s="1"/>
      <c r="J7121" s="1"/>
      <c r="K7121" s="102" t="s">
        <v>11003</v>
      </c>
      <c r="L7121" s="102" t="str">
        <f>C1076</f>
        <v>J2b</v>
      </c>
      <c r="M7121" s="102"/>
      <c r="N7121" s="102" t="s">
        <v>11004</v>
      </c>
      <c r="O7121" s="105">
        <v>8402747.0</v>
      </c>
      <c r="P7121" s="105">
        <v>8534706.0</v>
      </c>
      <c r="Q7121" s="102" t="s">
        <v>2439</v>
      </c>
      <c r="S7121" s="1"/>
      <c r="T7121" s="1"/>
      <c r="U7121" s="1"/>
      <c r="V7121" s="1"/>
      <c r="W7121" s="1"/>
      <c r="X7121" s="1"/>
      <c r="Y7121" s="1"/>
      <c r="AA7121" s="102"/>
      <c r="AB7121" s="1"/>
      <c r="AC7121" s="1"/>
      <c r="AD7121" s="1"/>
      <c r="AE7121" s="1"/>
      <c r="AF7121" s="1"/>
      <c r="AG7121" s="1"/>
    </row>
    <row r="7122" ht="15.75" customHeight="1">
      <c r="A7122" s="1"/>
      <c r="B7122" s="1"/>
      <c r="C7122" s="1"/>
      <c r="D7122" s="1"/>
      <c r="E7122" s="1"/>
      <c r="F7122" s="1"/>
      <c r="G7122" s="1"/>
      <c r="H7122" s="1"/>
      <c r="I7122" s="1"/>
      <c r="J7122" s="1"/>
      <c r="K7122" s="102" t="s">
        <v>11005</v>
      </c>
      <c r="L7122" s="102" t="str">
        <f>C1076</f>
        <v>J2b</v>
      </c>
      <c r="M7122" s="102" t="s">
        <v>11006</v>
      </c>
      <c r="N7122" s="102" t="s">
        <v>11007</v>
      </c>
      <c r="O7122" s="105">
        <v>1.4461729E7</v>
      </c>
      <c r="P7122" s="105">
        <v>1.2341002E7</v>
      </c>
      <c r="Q7122" s="102" t="s">
        <v>2439</v>
      </c>
      <c r="S7122" s="1"/>
      <c r="T7122" s="1"/>
      <c r="U7122" s="1"/>
      <c r="V7122" s="1"/>
      <c r="W7122" s="1"/>
      <c r="X7122" s="1"/>
      <c r="Y7122" s="1"/>
      <c r="AA7122" s="102"/>
      <c r="AB7122" s="1"/>
      <c r="AC7122" s="1"/>
      <c r="AD7122" s="1"/>
      <c r="AE7122" s="1"/>
      <c r="AF7122" s="1"/>
      <c r="AG7122" s="1"/>
    </row>
    <row r="7123" ht="15.75" customHeight="1">
      <c r="A7123" s="1"/>
      <c r="B7123" s="1"/>
      <c r="C7123" s="1"/>
      <c r="D7123" s="1"/>
      <c r="E7123" s="1"/>
      <c r="F7123" s="1"/>
      <c r="G7123" s="1"/>
      <c r="H7123" s="1"/>
      <c r="I7123" s="1"/>
      <c r="J7123" s="1"/>
      <c r="K7123" s="102" t="s">
        <v>11006</v>
      </c>
      <c r="L7123" s="102" t="str">
        <f>C1076</f>
        <v>J2b</v>
      </c>
      <c r="M7123" s="102" t="s">
        <v>11005</v>
      </c>
      <c r="N7123" s="102" t="s">
        <v>11007</v>
      </c>
      <c r="O7123" s="105">
        <v>1.4461729E7</v>
      </c>
      <c r="P7123" s="105">
        <v>1.2341002E7</v>
      </c>
      <c r="Q7123" s="102" t="s">
        <v>2439</v>
      </c>
      <c r="S7123" s="1"/>
      <c r="T7123" s="1"/>
      <c r="U7123" s="1"/>
      <c r="V7123" s="1"/>
      <c r="W7123" s="1"/>
      <c r="X7123" s="1"/>
      <c r="Y7123" s="1"/>
      <c r="AA7123" s="102"/>
      <c r="AB7123" s="1"/>
      <c r="AC7123" s="1"/>
      <c r="AD7123" s="1"/>
      <c r="AE7123" s="1"/>
      <c r="AF7123" s="1"/>
      <c r="AG7123" s="1"/>
    </row>
    <row r="7124" ht="15.75" customHeight="1">
      <c r="A7124" s="1"/>
      <c r="B7124" s="1"/>
      <c r="C7124" s="1"/>
      <c r="D7124" s="1"/>
      <c r="E7124" s="1"/>
      <c r="F7124" s="1"/>
      <c r="G7124" s="1"/>
      <c r="H7124" s="1"/>
      <c r="I7124" s="1"/>
      <c r="J7124" s="1"/>
      <c r="K7124" s="102" t="s">
        <v>11008</v>
      </c>
      <c r="L7124" s="102" t="str">
        <f>C1076</f>
        <v>J2b</v>
      </c>
      <c r="M7124" s="102" t="s">
        <v>11009</v>
      </c>
      <c r="N7124" s="102" t="s">
        <v>11010</v>
      </c>
      <c r="O7124" s="105">
        <v>1.9552607E7</v>
      </c>
      <c r="P7124" s="105">
        <v>1.7440727E7</v>
      </c>
      <c r="Q7124" s="102" t="s">
        <v>2501</v>
      </c>
      <c r="S7124" s="1"/>
      <c r="T7124" s="1"/>
      <c r="U7124" s="1"/>
      <c r="V7124" s="1"/>
      <c r="W7124" s="1"/>
      <c r="X7124" s="1"/>
      <c r="Y7124" s="1"/>
      <c r="AA7124" s="102"/>
      <c r="AB7124" s="1"/>
      <c r="AC7124" s="1"/>
      <c r="AD7124" s="1"/>
      <c r="AE7124" s="1"/>
      <c r="AF7124" s="1"/>
      <c r="AG7124" s="1"/>
    </row>
    <row r="7125" ht="15.75" customHeight="1">
      <c r="A7125" s="1"/>
      <c r="B7125" s="1"/>
      <c r="C7125" s="1"/>
      <c r="D7125" s="1"/>
      <c r="E7125" s="1"/>
      <c r="F7125" s="1"/>
      <c r="G7125" s="1"/>
      <c r="H7125" s="1"/>
      <c r="I7125" s="1"/>
      <c r="J7125" s="1"/>
      <c r="K7125" s="102" t="s">
        <v>11009</v>
      </c>
      <c r="L7125" s="102" t="str">
        <f>C1076</f>
        <v>J2b</v>
      </c>
      <c r="M7125" s="102" t="s">
        <v>11008</v>
      </c>
      <c r="N7125" s="102" t="s">
        <v>11010</v>
      </c>
      <c r="O7125" s="105">
        <v>1.9552607E7</v>
      </c>
      <c r="P7125" s="105">
        <v>1.7440727E7</v>
      </c>
      <c r="Q7125" s="102" t="s">
        <v>2501</v>
      </c>
      <c r="S7125" s="1"/>
      <c r="T7125" s="1"/>
      <c r="U7125" s="1"/>
      <c r="V7125" s="1"/>
      <c r="W7125" s="1"/>
      <c r="X7125" s="1"/>
      <c r="Y7125" s="1"/>
      <c r="AA7125" s="102"/>
      <c r="AB7125" s="1"/>
      <c r="AC7125" s="1"/>
      <c r="AD7125" s="1"/>
      <c r="AE7125" s="1"/>
      <c r="AF7125" s="1"/>
      <c r="AG7125" s="1"/>
    </row>
    <row r="7126" ht="15.75" customHeight="1">
      <c r="A7126" s="1"/>
      <c r="B7126" s="1"/>
      <c r="C7126" s="1"/>
      <c r="D7126" s="1"/>
      <c r="E7126" s="1"/>
      <c r="F7126" s="1"/>
      <c r="G7126" s="1"/>
      <c r="H7126" s="1"/>
      <c r="I7126" s="1"/>
      <c r="J7126" s="1"/>
      <c r="K7126" s="102" t="s">
        <v>11011</v>
      </c>
      <c r="L7126" s="102" t="str">
        <f>C1076</f>
        <v>J2b</v>
      </c>
      <c r="M7126" s="102" t="s">
        <v>11012</v>
      </c>
      <c r="N7126" s="102" t="s">
        <v>11013</v>
      </c>
      <c r="O7126" s="105">
        <v>7886967.0</v>
      </c>
      <c r="P7126" s="105">
        <v>8018926.0</v>
      </c>
      <c r="Q7126" s="102" t="s">
        <v>2501</v>
      </c>
      <c r="S7126" s="1"/>
      <c r="T7126" s="1"/>
      <c r="U7126" s="1"/>
      <c r="V7126" s="1"/>
      <c r="W7126" s="1"/>
      <c r="X7126" s="1"/>
      <c r="Y7126" s="1"/>
      <c r="AA7126" s="102"/>
      <c r="AB7126" s="1"/>
      <c r="AC7126" s="1"/>
      <c r="AD7126" s="1"/>
      <c r="AE7126" s="1"/>
      <c r="AF7126" s="1"/>
      <c r="AG7126" s="1"/>
    </row>
    <row r="7127" ht="15.75" customHeight="1">
      <c r="A7127" s="1"/>
      <c r="B7127" s="1"/>
      <c r="C7127" s="1"/>
      <c r="D7127" s="1"/>
      <c r="E7127" s="1"/>
      <c r="F7127" s="1"/>
      <c r="G7127" s="1"/>
      <c r="H7127" s="1"/>
      <c r="I7127" s="1"/>
      <c r="J7127" s="1"/>
      <c r="K7127" s="102" t="s">
        <v>11012</v>
      </c>
      <c r="L7127" s="102" t="str">
        <f>C1076</f>
        <v>J2b</v>
      </c>
      <c r="M7127" s="102" t="s">
        <v>11011</v>
      </c>
      <c r="N7127" s="102" t="s">
        <v>11013</v>
      </c>
      <c r="O7127" s="105">
        <v>7886967.0</v>
      </c>
      <c r="P7127" s="105">
        <v>8018926.0</v>
      </c>
      <c r="Q7127" s="102" t="s">
        <v>2501</v>
      </c>
      <c r="S7127" s="1"/>
      <c r="T7127" s="1"/>
      <c r="U7127" s="1"/>
      <c r="V7127" s="1"/>
      <c r="W7127" s="1"/>
      <c r="X7127" s="1"/>
      <c r="Y7127" s="1"/>
      <c r="AA7127" s="102"/>
      <c r="AB7127" s="1"/>
      <c r="AC7127" s="1"/>
      <c r="AD7127" s="1"/>
      <c r="AE7127" s="1"/>
      <c r="AF7127" s="1"/>
      <c r="AG7127" s="1"/>
    </row>
    <row r="7128" ht="15.75" customHeight="1">
      <c r="A7128" s="1"/>
      <c r="B7128" s="1"/>
      <c r="C7128" s="1"/>
      <c r="D7128" s="1"/>
      <c r="E7128" s="1"/>
      <c r="F7128" s="1"/>
      <c r="G7128" s="1"/>
      <c r="H7128" s="1"/>
      <c r="I7128" s="1"/>
      <c r="J7128" s="1"/>
      <c r="K7128" s="102" t="s">
        <v>11014</v>
      </c>
      <c r="L7128" s="102" t="str">
        <f>C1076</f>
        <v>J2b</v>
      </c>
      <c r="M7128" s="102" t="s">
        <v>11015</v>
      </c>
      <c r="N7128" s="102" t="s">
        <v>11016</v>
      </c>
      <c r="O7128" s="105">
        <v>1.9255153E7</v>
      </c>
      <c r="P7128" s="105">
        <v>1.7143273E7</v>
      </c>
      <c r="Q7128" s="102" t="s">
        <v>2563</v>
      </c>
      <c r="S7128" s="1"/>
      <c r="T7128" s="1"/>
      <c r="U7128" s="1"/>
      <c r="V7128" s="1"/>
      <c r="W7128" s="1"/>
      <c r="X7128" s="1"/>
      <c r="Y7128" s="1"/>
      <c r="AA7128" s="102"/>
      <c r="AB7128" s="1"/>
      <c r="AC7128" s="1"/>
      <c r="AD7128" s="1"/>
      <c r="AE7128" s="1"/>
      <c r="AF7128" s="1"/>
      <c r="AG7128" s="1"/>
    </row>
    <row r="7129" ht="15.75" customHeight="1">
      <c r="A7129" s="1"/>
      <c r="B7129" s="1"/>
      <c r="C7129" s="1"/>
      <c r="D7129" s="1"/>
      <c r="E7129" s="1"/>
      <c r="F7129" s="1"/>
      <c r="G7129" s="1"/>
      <c r="H7129" s="1"/>
      <c r="I7129" s="1"/>
      <c r="J7129" s="1"/>
      <c r="K7129" s="102" t="s">
        <v>11015</v>
      </c>
      <c r="L7129" s="102" t="str">
        <f>C1076</f>
        <v>J2b</v>
      </c>
      <c r="M7129" s="102" t="s">
        <v>11014</v>
      </c>
      <c r="N7129" s="102" t="s">
        <v>11016</v>
      </c>
      <c r="O7129" s="105">
        <v>1.9255153E7</v>
      </c>
      <c r="P7129" s="105">
        <v>1.7143273E7</v>
      </c>
      <c r="Q7129" s="102" t="s">
        <v>2563</v>
      </c>
      <c r="S7129" s="1"/>
      <c r="T7129" s="1"/>
      <c r="U7129" s="1"/>
      <c r="V7129" s="1"/>
      <c r="W7129" s="1"/>
      <c r="X7129" s="1"/>
      <c r="Y7129" s="1"/>
      <c r="AA7129" s="102"/>
      <c r="AB7129" s="1"/>
      <c r="AC7129" s="1"/>
      <c r="AD7129" s="1"/>
      <c r="AE7129" s="1"/>
      <c r="AF7129" s="1"/>
      <c r="AG7129" s="1"/>
    </row>
    <row r="7130" ht="15.75" customHeight="1">
      <c r="A7130" s="1"/>
      <c r="B7130" s="1"/>
      <c r="C7130" s="1"/>
      <c r="D7130" s="1"/>
      <c r="E7130" s="1"/>
      <c r="F7130" s="1"/>
      <c r="G7130" s="1"/>
      <c r="H7130" s="1"/>
      <c r="I7130" s="1"/>
      <c r="J7130" s="1"/>
      <c r="K7130" s="102" t="s">
        <v>11017</v>
      </c>
      <c r="L7130" s="102" t="str">
        <f>C1076</f>
        <v>J2b</v>
      </c>
      <c r="M7130" s="102"/>
      <c r="N7130" s="102" t="s">
        <v>11018</v>
      </c>
      <c r="O7130" s="105">
        <v>2.200115E7</v>
      </c>
      <c r="P7130" s="105">
        <v>1.9839264E7</v>
      </c>
      <c r="Q7130" s="102" t="s">
        <v>2446</v>
      </c>
      <c r="S7130" s="1"/>
      <c r="T7130" s="1"/>
      <c r="U7130" s="1"/>
      <c r="V7130" s="1"/>
      <c r="W7130" s="1"/>
      <c r="X7130" s="1"/>
      <c r="Y7130" s="1"/>
      <c r="AA7130" s="102"/>
      <c r="AB7130" s="1"/>
      <c r="AC7130" s="1"/>
      <c r="AD7130" s="1"/>
      <c r="AE7130" s="1"/>
      <c r="AF7130" s="1"/>
      <c r="AG7130" s="1"/>
    </row>
    <row r="7131" ht="15.75" customHeight="1">
      <c r="A7131" s="1"/>
      <c r="B7131" s="1"/>
      <c r="C7131" s="1"/>
      <c r="D7131" s="1"/>
      <c r="E7131" s="1"/>
      <c r="F7131" s="1"/>
      <c r="G7131" s="1"/>
      <c r="H7131" s="1"/>
      <c r="I7131" s="1"/>
      <c r="J7131" s="1"/>
      <c r="K7131" s="102" t="s">
        <v>11019</v>
      </c>
      <c r="L7131" s="102" t="str">
        <f>C1076</f>
        <v>J2b</v>
      </c>
      <c r="M7131" s="106" t="s">
        <v>11020</v>
      </c>
      <c r="N7131" s="102" t="s">
        <v>11021</v>
      </c>
      <c r="O7131" s="105">
        <v>7673963.0</v>
      </c>
      <c r="P7131" s="105">
        <v>7805922.0</v>
      </c>
      <c r="Q7131" s="102" t="s">
        <v>2501</v>
      </c>
      <c r="S7131" s="1"/>
      <c r="T7131" s="1"/>
      <c r="U7131" s="1"/>
      <c r="V7131" s="1"/>
      <c r="W7131" s="1"/>
      <c r="X7131" s="1"/>
      <c r="Y7131" s="1"/>
      <c r="AA7131" s="102"/>
      <c r="AB7131" s="1"/>
      <c r="AC7131" s="1"/>
      <c r="AD7131" s="1"/>
      <c r="AE7131" s="1"/>
      <c r="AF7131" s="1"/>
      <c r="AG7131" s="1"/>
    </row>
    <row r="7132" ht="15.75" customHeight="1">
      <c r="A7132" s="1"/>
      <c r="B7132" s="1"/>
      <c r="C7132" s="1"/>
      <c r="D7132" s="1"/>
      <c r="E7132" s="1"/>
      <c r="F7132" s="1"/>
      <c r="G7132" s="1"/>
      <c r="H7132" s="1"/>
      <c r="I7132" s="1"/>
      <c r="J7132" s="1"/>
      <c r="K7132" s="106" t="s">
        <v>11020</v>
      </c>
      <c r="L7132" s="102" t="str">
        <f>C1076</f>
        <v>J2b</v>
      </c>
      <c r="M7132" s="102" t="s">
        <v>11019</v>
      </c>
      <c r="N7132" s="102" t="s">
        <v>11021</v>
      </c>
      <c r="O7132" s="105">
        <v>7673963.0</v>
      </c>
      <c r="P7132" s="105">
        <v>7805922.0</v>
      </c>
      <c r="Q7132" s="102" t="s">
        <v>2501</v>
      </c>
      <c r="S7132" s="1"/>
      <c r="T7132" s="1"/>
      <c r="U7132" s="1"/>
      <c r="V7132" s="1"/>
      <c r="W7132" s="1"/>
      <c r="X7132" s="1"/>
      <c r="Y7132" s="1"/>
      <c r="AA7132" s="102"/>
      <c r="AB7132" s="1"/>
      <c r="AC7132" s="1"/>
      <c r="AD7132" s="1"/>
      <c r="AE7132" s="1"/>
      <c r="AF7132" s="1"/>
      <c r="AG7132" s="1"/>
    </row>
    <row r="7133" ht="15.75" customHeight="1">
      <c r="A7133" s="1"/>
      <c r="B7133" s="1"/>
      <c r="C7133" s="1"/>
      <c r="D7133" s="1"/>
      <c r="E7133" s="1"/>
      <c r="F7133" s="1"/>
      <c r="G7133" s="1"/>
      <c r="H7133" s="1"/>
      <c r="I7133" s="1"/>
      <c r="J7133" s="1"/>
      <c r="K7133" s="102" t="s">
        <v>11022</v>
      </c>
      <c r="L7133" s="102" t="str">
        <f>C1076</f>
        <v>J2b</v>
      </c>
      <c r="M7133" s="102" t="s">
        <v>11023</v>
      </c>
      <c r="N7133" s="102" t="s">
        <v>11024</v>
      </c>
      <c r="O7133" s="105">
        <v>6696263.0</v>
      </c>
      <c r="P7133" s="105">
        <v>6828222.0</v>
      </c>
      <c r="Q7133" s="102" t="s">
        <v>2439</v>
      </c>
      <c r="S7133" s="1"/>
      <c r="T7133" s="1"/>
      <c r="U7133" s="1"/>
      <c r="V7133" s="1"/>
      <c r="W7133" s="1"/>
      <c r="X7133" s="1"/>
      <c r="Y7133" s="1"/>
      <c r="AA7133" s="102"/>
      <c r="AB7133" s="1"/>
      <c r="AC7133" s="1"/>
      <c r="AD7133" s="1"/>
      <c r="AE7133" s="1"/>
      <c r="AF7133" s="1"/>
      <c r="AG7133" s="1"/>
    </row>
    <row r="7134" ht="15.75" customHeight="1">
      <c r="A7134" s="1"/>
      <c r="B7134" s="1"/>
      <c r="C7134" s="1"/>
      <c r="D7134" s="1"/>
      <c r="E7134" s="1"/>
      <c r="F7134" s="1"/>
      <c r="G7134" s="1"/>
      <c r="H7134" s="1"/>
      <c r="I7134" s="1"/>
      <c r="J7134" s="1"/>
      <c r="K7134" s="102" t="s">
        <v>11023</v>
      </c>
      <c r="L7134" s="102" t="str">
        <f>C1076</f>
        <v>J2b</v>
      </c>
      <c r="M7134" s="102" t="s">
        <v>11022</v>
      </c>
      <c r="N7134" s="102" t="s">
        <v>11024</v>
      </c>
      <c r="O7134" s="105">
        <v>6696263.0</v>
      </c>
      <c r="P7134" s="105">
        <v>6828222.0</v>
      </c>
      <c r="Q7134" s="102" t="s">
        <v>2439</v>
      </c>
      <c r="S7134" s="1"/>
      <c r="T7134" s="1"/>
      <c r="U7134" s="1"/>
      <c r="V7134" s="1"/>
      <c r="W7134" s="1"/>
      <c r="X7134" s="1"/>
      <c r="Y7134" s="1"/>
      <c r="AA7134" s="102"/>
      <c r="AB7134" s="1"/>
      <c r="AC7134" s="1"/>
      <c r="AD7134" s="1"/>
      <c r="AE7134" s="1"/>
      <c r="AF7134" s="1"/>
      <c r="AG7134" s="1"/>
    </row>
    <row r="7135" ht="15.75" customHeight="1">
      <c r="A7135" s="1"/>
      <c r="B7135" s="1"/>
      <c r="C7135" s="1"/>
      <c r="D7135" s="1"/>
      <c r="E7135" s="1"/>
      <c r="F7135" s="1"/>
      <c r="G7135" s="1"/>
      <c r="H7135" s="1"/>
      <c r="I7135" s="1"/>
      <c r="J7135" s="1"/>
      <c r="K7135" s="102" t="s">
        <v>11025</v>
      </c>
      <c r="L7135" s="102" t="str">
        <f>C1076</f>
        <v>J2b</v>
      </c>
      <c r="M7135" s="102" t="s">
        <v>11026</v>
      </c>
      <c r="N7135" s="102" t="s">
        <v>11027</v>
      </c>
      <c r="O7135" s="105">
        <v>2.2677464E7</v>
      </c>
      <c r="P7135" s="105">
        <v>2.0515578E7</v>
      </c>
      <c r="Q7135" s="102" t="s">
        <v>2533</v>
      </c>
      <c r="S7135" s="1"/>
      <c r="T7135" s="1"/>
      <c r="U7135" s="1"/>
      <c r="V7135" s="1"/>
      <c r="W7135" s="1"/>
      <c r="X7135" s="1"/>
      <c r="Y7135" s="1"/>
      <c r="AA7135" s="102"/>
      <c r="AB7135" s="1"/>
      <c r="AC7135" s="1"/>
      <c r="AD7135" s="1"/>
      <c r="AE7135" s="1"/>
      <c r="AF7135" s="1"/>
      <c r="AG7135" s="1"/>
    </row>
    <row r="7136" ht="15.75" customHeight="1">
      <c r="A7136" s="1"/>
      <c r="B7136" s="1"/>
      <c r="C7136" s="1"/>
      <c r="D7136" s="1"/>
      <c r="E7136" s="1"/>
      <c r="F7136" s="1"/>
      <c r="G7136" s="1"/>
      <c r="H7136" s="1"/>
      <c r="I7136" s="1"/>
      <c r="J7136" s="1"/>
      <c r="K7136" s="102" t="s">
        <v>11026</v>
      </c>
      <c r="L7136" s="102" t="str">
        <f>C1076</f>
        <v>J2b</v>
      </c>
      <c r="M7136" s="102" t="s">
        <v>11025</v>
      </c>
      <c r="N7136" s="102" t="s">
        <v>11027</v>
      </c>
      <c r="O7136" s="105">
        <v>2.2677464E7</v>
      </c>
      <c r="P7136" s="105">
        <v>2.0515578E7</v>
      </c>
      <c r="Q7136" s="102" t="s">
        <v>2533</v>
      </c>
      <c r="S7136" s="1"/>
      <c r="T7136" s="1"/>
      <c r="U7136" s="1"/>
      <c r="V7136" s="1"/>
      <c r="W7136" s="1"/>
      <c r="X7136" s="1"/>
      <c r="Y7136" s="1"/>
      <c r="AA7136" s="102"/>
      <c r="AB7136" s="1"/>
      <c r="AC7136" s="1"/>
      <c r="AD7136" s="1"/>
      <c r="AE7136" s="1"/>
      <c r="AF7136" s="1"/>
      <c r="AG7136" s="1"/>
    </row>
    <row r="7137" ht="15.75" customHeight="1">
      <c r="A7137" s="1"/>
      <c r="B7137" s="1"/>
      <c r="C7137" s="1"/>
      <c r="D7137" s="1"/>
      <c r="E7137" s="1"/>
      <c r="F7137" s="1"/>
      <c r="G7137" s="1"/>
      <c r="H7137" s="1"/>
      <c r="I7137" s="1"/>
      <c r="J7137" s="1"/>
      <c r="K7137" s="102" t="s">
        <v>11028</v>
      </c>
      <c r="L7137" s="102" t="str">
        <f>C1076</f>
        <v>J2b</v>
      </c>
      <c r="M7137" s="102" t="s">
        <v>11029</v>
      </c>
      <c r="N7137" s="102" t="s">
        <v>11030</v>
      </c>
      <c r="O7137" s="105">
        <v>2.1292004E7</v>
      </c>
      <c r="P7137" s="105">
        <v>1.9130118E7</v>
      </c>
      <c r="Q7137" s="102" t="s">
        <v>2439</v>
      </c>
      <c r="S7137" s="1"/>
      <c r="T7137" s="1"/>
      <c r="U7137" s="1"/>
      <c r="V7137" s="1"/>
      <c r="W7137" s="1"/>
      <c r="X7137" s="1"/>
      <c r="Y7137" s="1"/>
      <c r="AA7137" s="102"/>
      <c r="AB7137" s="1"/>
      <c r="AC7137" s="1"/>
      <c r="AD7137" s="1"/>
      <c r="AE7137" s="1"/>
      <c r="AF7137" s="1"/>
      <c r="AG7137" s="1"/>
    </row>
    <row r="7138" ht="15.75" customHeight="1">
      <c r="A7138" s="1"/>
      <c r="B7138" s="1"/>
      <c r="C7138" s="1"/>
      <c r="D7138" s="1"/>
      <c r="E7138" s="1"/>
      <c r="F7138" s="1"/>
      <c r="G7138" s="1"/>
      <c r="H7138" s="1"/>
      <c r="I7138" s="1"/>
      <c r="J7138" s="1"/>
      <c r="K7138" s="102" t="s">
        <v>11029</v>
      </c>
      <c r="L7138" s="102" t="str">
        <f>C1076</f>
        <v>J2b</v>
      </c>
      <c r="M7138" s="102" t="s">
        <v>11028</v>
      </c>
      <c r="N7138" s="102" t="s">
        <v>11030</v>
      </c>
      <c r="O7138" s="105">
        <v>2.1292004E7</v>
      </c>
      <c r="P7138" s="105">
        <v>1.9130118E7</v>
      </c>
      <c r="Q7138" s="102" t="s">
        <v>2439</v>
      </c>
      <c r="S7138" s="1"/>
      <c r="T7138" s="1"/>
      <c r="U7138" s="1"/>
      <c r="V7138" s="1"/>
      <c r="W7138" s="1"/>
      <c r="X7138" s="1"/>
      <c r="Y7138" s="1"/>
      <c r="AA7138" s="102"/>
      <c r="AB7138" s="1"/>
      <c r="AC7138" s="1"/>
      <c r="AD7138" s="1"/>
      <c r="AE7138" s="1"/>
      <c r="AF7138" s="1"/>
      <c r="AG7138" s="1"/>
    </row>
    <row r="7139" ht="15.75" customHeight="1">
      <c r="A7139" s="1"/>
      <c r="B7139" s="1"/>
      <c r="C7139" s="1"/>
      <c r="D7139" s="1"/>
      <c r="E7139" s="1"/>
      <c r="F7139" s="1"/>
      <c r="G7139" s="1"/>
      <c r="H7139" s="1"/>
      <c r="I7139" s="1"/>
      <c r="J7139" s="1"/>
      <c r="K7139" s="102" t="s">
        <v>11031</v>
      </c>
      <c r="L7139" s="102" t="str">
        <f>C1076</f>
        <v>J2b</v>
      </c>
      <c r="M7139" s="102" t="s">
        <v>11032</v>
      </c>
      <c r="N7139" s="102" t="s">
        <v>11033</v>
      </c>
      <c r="O7139" s="105">
        <v>2.2898741E7</v>
      </c>
      <c r="P7139" s="105">
        <v>2.0736855E7</v>
      </c>
      <c r="Q7139" s="102" t="s">
        <v>2454</v>
      </c>
      <c r="S7139" s="1"/>
      <c r="T7139" s="1"/>
      <c r="U7139" s="1"/>
      <c r="V7139" s="1"/>
      <c r="W7139" s="1"/>
      <c r="X7139" s="1"/>
      <c r="Y7139" s="1"/>
      <c r="AA7139" s="102"/>
      <c r="AB7139" s="1"/>
      <c r="AC7139" s="1"/>
      <c r="AD7139" s="1"/>
      <c r="AE7139" s="1"/>
      <c r="AF7139" s="1"/>
      <c r="AG7139" s="1"/>
    </row>
    <row r="7140" ht="15.75" customHeight="1">
      <c r="A7140" s="1"/>
      <c r="B7140" s="1"/>
      <c r="C7140" s="1"/>
      <c r="D7140" s="1"/>
      <c r="E7140" s="1"/>
      <c r="F7140" s="1"/>
      <c r="G7140" s="1"/>
      <c r="H7140" s="1"/>
      <c r="I7140" s="1"/>
      <c r="J7140" s="1"/>
      <c r="K7140" s="102" t="s">
        <v>11032</v>
      </c>
      <c r="L7140" s="102" t="str">
        <f>C1076</f>
        <v>J2b</v>
      </c>
      <c r="M7140" s="102" t="s">
        <v>11031</v>
      </c>
      <c r="N7140" s="102" t="s">
        <v>11033</v>
      </c>
      <c r="O7140" s="105">
        <v>2.2898741E7</v>
      </c>
      <c r="P7140" s="105">
        <v>2.0736855E7</v>
      </c>
      <c r="Q7140" s="102" t="s">
        <v>2454</v>
      </c>
      <c r="S7140" s="1"/>
      <c r="T7140" s="1"/>
      <c r="U7140" s="1"/>
      <c r="V7140" s="1"/>
      <c r="W7140" s="1"/>
      <c r="X7140" s="1"/>
      <c r="Y7140" s="1"/>
      <c r="AA7140" s="102"/>
      <c r="AB7140" s="1"/>
      <c r="AC7140" s="1"/>
      <c r="AD7140" s="1"/>
      <c r="AE7140" s="1"/>
      <c r="AF7140" s="1"/>
      <c r="AG7140" s="1"/>
    </row>
    <row r="7141" ht="15.75" customHeight="1">
      <c r="A7141" s="1"/>
      <c r="B7141" s="1"/>
      <c r="C7141" s="1"/>
      <c r="D7141" s="1"/>
      <c r="E7141" s="1"/>
      <c r="F7141" s="1"/>
      <c r="G7141" s="1"/>
      <c r="H7141" s="1"/>
      <c r="I7141" s="1"/>
      <c r="J7141" s="1"/>
      <c r="K7141" s="102" t="s">
        <v>11034</v>
      </c>
      <c r="L7141" s="102" t="str">
        <f>C1076</f>
        <v>J2b</v>
      </c>
      <c r="M7141" s="102" t="s">
        <v>11035</v>
      </c>
      <c r="N7141" s="102" t="s">
        <v>11036</v>
      </c>
      <c r="O7141" s="105">
        <v>2.3404653E7</v>
      </c>
      <c r="P7141" s="105">
        <v>2.1242767E7</v>
      </c>
      <c r="Q7141" s="102" t="s">
        <v>2576</v>
      </c>
      <c r="S7141" s="1"/>
      <c r="T7141" s="1"/>
      <c r="U7141" s="1"/>
      <c r="V7141" s="1"/>
      <c r="W7141" s="1"/>
      <c r="X7141" s="1"/>
      <c r="Y7141" s="1"/>
      <c r="AA7141" s="102"/>
      <c r="AB7141" s="1"/>
      <c r="AC7141" s="1"/>
      <c r="AD7141" s="1"/>
      <c r="AE7141" s="1"/>
      <c r="AF7141" s="1"/>
      <c r="AG7141" s="1"/>
    </row>
    <row r="7142" ht="15.75" customHeight="1">
      <c r="A7142" s="1"/>
      <c r="B7142" s="1"/>
      <c r="C7142" s="1"/>
      <c r="D7142" s="1"/>
      <c r="E7142" s="1"/>
      <c r="F7142" s="1"/>
      <c r="G7142" s="1"/>
      <c r="H7142" s="1"/>
      <c r="I7142" s="1"/>
      <c r="J7142" s="1"/>
      <c r="K7142" s="102" t="s">
        <v>11035</v>
      </c>
      <c r="L7142" s="102" t="str">
        <f>C1076</f>
        <v>J2b</v>
      </c>
      <c r="M7142" s="102" t="s">
        <v>11034</v>
      </c>
      <c r="N7142" s="102" t="s">
        <v>11036</v>
      </c>
      <c r="O7142" s="105">
        <v>2.3404653E7</v>
      </c>
      <c r="P7142" s="105">
        <v>2.1242767E7</v>
      </c>
      <c r="Q7142" s="102" t="s">
        <v>2576</v>
      </c>
      <c r="S7142" s="1"/>
      <c r="T7142" s="1"/>
      <c r="U7142" s="1"/>
      <c r="V7142" s="1"/>
      <c r="W7142" s="1"/>
      <c r="X7142" s="1"/>
      <c r="Y7142" s="1"/>
      <c r="AA7142" s="102"/>
      <c r="AB7142" s="1"/>
      <c r="AC7142" s="1"/>
      <c r="AD7142" s="1"/>
      <c r="AE7142" s="1"/>
      <c r="AF7142" s="1"/>
      <c r="AG7142" s="1"/>
    </row>
    <row r="7143" ht="15.75" customHeight="1">
      <c r="A7143" s="1"/>
      <c r="B7143" s="1"/>
      <c r="C7143" s="1"/>
      <c r="D7143" s="1"/>
      <c r="E7143" s="1"/>
      <c r="F7143" s="1"/>
      <c r="G7143" s="1"/>
      <c r="H7143" s="1"/>
      <c r="I7143" s="1"/>
      <c r="J7143" s="1"/>
      <c r="K7143" s="102" t="s">
        <v>11037</v>
      </c>
      <c r="L7143" s="102" t="str">
        <f>C1076</f>
        <v>J2b</v>
      </c>
      <c r="M7143" s="102" t="s">
        <v>11038</v>
      </c>
      <c r="N7143" s="102" t="s">
        <v>11039</v>
      </c>
      <c r="O7143" s="105">
        <v>2.3585991E7</v>
      </c>
      <c r="P7143" s="105">
        <v>2.1424105E7</v>
      </c>
      <c r="Q7143" s="102" t="s">
        <v>2529</v>
      </c>
      <c r="S7143" s="1"/>
      <c r="T7143" s="1"/>
      <c r="U7143" s="1"/>
      <c r="V7143" s="1"/>
      <c r="W7143" s="1"/>
      <c r="X7143" s="1"/>
      <c r="Y7143" s="1"/>
      <c r="AA7143" s="102"/>
      <c r="AB7143" s="1"/>
      <c r="AC7143" s="1"/>
      <c r="AD7143" s="1"/>
      <c r="AE7143" s="1"/>
      <c r="AF7143" s="1"/>
      <c r="AG7143" s="1"/>
    </row>
    <row r="7144" ht="15.75" customHeight="1">
      <c r="A7144" s="1"/>
      <c r="B7144" s="1"/>
      <c r="C7144" s="1"/>
      <c r="D7144" s="1"/>
      <c r="E7144" s="1"/>
      <c r="F7144" s="1"/>
      <c r="G7144" s="1"/>
      <c r="H7144" s="1"/>
      <c r="I7144" s="1"/>
      <c r="J7144" s="1"/>
      <c r="K7144" s="102" t="s">
        <v>11038</v>
      </c>
      <c r="L7144" s="102" t="str">
        <f>C1076</f>
        <v>J2b</v>
      </c>
      <c r="M7144" s="102" t="s">
        <v>11037</v>
      </c>
      <c r="N7144" s="102" t="s">
        <v>11039</v>
      </c>
      <c r="O7144" s="105">
        <v>2.3585991E7</v>
      </c>
      <c r="P7144" s="105">
        <v>2.1424105E7</v>
      </c>
      <c r="Q7144" s="102" t="s">
        <v>2529</v>
      </c>
      <c r="S7144" s="1"/>
      <c r="T7144" s="1"/>
      <c r="U7144" s="1"/>
      <c r="V7144" s="1"/>
      <c r="W7144" s="1"/>
      <c r="X7144" s="1"/>
      <c r="Y7144" s="1"/>
      <c r="AA7144" s="102"/>
      <c r="AB7144" s="1"/>
      <c r="AC7144" s="1"/>
      <c r="AD7144" s="1"/>
      <c r="AE7144" s="1"/>
      <c r="AF7144" s="1"/>
      <c r="AG7144" s="1"/>
    </row>
    <row r="7145" ht="15.75" customHeight="1">
      <c r="A7145" s="1"/>
      <c r="B7145" s="1"/>
      <c r="C7145" s="1"/>
      <c r="D7145" s="1"/>
      <c r="E7145" s="1"/>
      <c r="F7145" s="1"/>
      <c r="G7145" s="1"/>
      <c r="H7145" s="1"/>
      <c r="I7145" s="1"/>
      <c r="J7145" s="1"/>
      <c r="K7145" s="102" t="s">
        <v>11040</v>
      </c>
      <c r="L7145" s="102" t="str">
        <f>C1076</f>
        <v>J2b</v>
      </c>
      <c r="M7145" s="102" t="s">
        <v>11041</v>
      </c>
      <c r="N7145" s="102" t="s">
        <v>11042</v>
      </c>
      <c r="O7145" s="105">
        <v>1.4067311E7</v>
      </c>
      <c r="P7145" s="105">
        <v>1.1946605E7</v>
      </c>
      <c r="Q7145" s="102" t="s">
        <v>2501</v>
      </c>
      <c r="S7145" s="1"/>
      <c r="T7145" s="1"/>
      <c r="U7145" s="1"/>
      <c r="V7145" s="1"/>
      <c r="W7145" s="1"/>
      <c r="X7145" s="1"/>
      <c r="Y7145" s="1"/>
      <c r="AA7145" s="102"/>
      <c r="AB7145" s="1"/>
      <c r="AC7145" s="1"/>
      <c r="AD7145" s="1"/>
      <c r="AE7145" s="1"/>
      <c r="AF7145" s="1"/>
      <c r="AG7145" s="1"/>
    </row>
    <row r="7146" ht="15.75" customHeight="1">
      <c r="A7146" s="1"/>
      <c r="B7146" s="1"/>
      <c r="C7146" s="1"/>
      <c r="D7146" s="1"/>
      <c r="E7146" s="1"/>
      <c r="F7146" s="1"/>
      <c r="G7146" s="1"/>
      <c r="H7146" s="1"/>
      <c r="I7146" s="1"/>
      <c r="J7146" s="1"/>
      <c r="K7146" s="102" t="s">
        <v>11041</v>
      </c>
      <c r="L7146" s="102" t="str">
        <f>C1076</f>
        <v>J2b</v>
      </c>
      <c r="M7146" s="102" t="s">
        <v>11040</v>
      </c>
      <c r="N7146" s="102" t="s">
        <v>11042</v>
      </c>
      <c r="O7146" s="105">
        <v>1.4067311E7</v>
      </c>
      <c r="P7146" s="105">
        <v>1.1946605E7</v>
      </c>
      <c r="Q7146" s="102" t="s">
        <v>2501</v>
      </c>
      <c r="S7146" s="1"/>
      <c r="T7146" s="1"/>
      <c r="U7146" s="1"/>
      <c r="V7146" s="1"/>
      <c r="W7146" s="1"/>
      <c r="X7146" s="1"/>
      <c r="Y7146" s="1"/>
      <c r="AA7146" s="102"/>
      <c r="AB7146" s="1"/>
      <c r="AC7146" s="1"/>
      <c r="AD7146" s="1"/>
      <c r="AE7146" s="1"/>
      <c r="AF7146" s="1"/>
      <c r="AG7146" s="1"/>
    </row>
    <row r="7147" ht="15.75" customHeight="1">
      <c r="A7147" s="1"/>
      <c r="B7147" s="1"/>
      <c r="C7147" s="1"/>
      <c r="D7147" s="1"/>
      <c r="E7147" s="1"/>
      <c r="F7147" s="1"/>
      <c r="G7147" s="1"/>
      <c r="H7147" s="1"/>
      <c r="I7147" s="1"/>
      <c r="J7147" s="1"/>
      <c r="K7147" s="102" t="s">
        <v>11043</v>
      </c>
      <c r="L7147" s="102" t="str">
        <f>C1076</f>
        <v>J2b</v>
      </c>
      <c r="M7147" s="102" t="s">
        <v>11044</v>
      </c>
      <c r="N7147" s="102" t="s">
        <v>11045</v>
      </c>
      <c r="O7147" s="105">
        <v>2.1506572E7</v>
      </c>
      <c r="P7147" s="105">
        <v>1.9344686E7</v>
      </c>
      <c r="Q7147" s="102" t="s">
        <v>2454</v>
      </c>
      <c r="S7147" s="1"/>
      <c r="T7147" s="1"/>
      <c r="U7147" s="1"/>
      <c r="V7147" s="1"/>
      <c r="W7147" s="1"/>
      <c r="X7147" s="1"/>
      <c r="Y7147" s="1"/>
      <c r="AA7147" s="102"/>
      <c r="AB7147" s="1"/>
      <c r="AC7147" s="1"/>
      <c r="AD7147" s="1"/>
      <c r="AE7147" s="1"/>
      <c r="AF7147" s="1"/>
      <c r="AG7147" s="1"/>
    </row>
    <row r="7148" ht="15.75" customHeight="1">
      <c r="A7148" s="1"/>
      <c r="B7148" s="1"/>
      <c r="C7148" s="1"/>
      <c r="D7148" s="1"/>
      <c r="E7148" s="1"/>
      <c r="F7148" s="1"/>
      <c r="G7148" s="1"/>
      <c r="H7148" s="1"/>
      <c r="I7148" s="1"/>
      <c r="J7148" s="1"/>
      <c r="K7148" s="102" t="s">
        <v>11044</v>
      </c>
      <c r="L7148" s="102" t="str">
        <f>C1076</f>
        <v>J2b</v>
      </c>
      <c r="M7148" s="102" t="s">
        <v>11043</v>
      </c>
      <c r="N7148" s="102" t="s">
        <v>11045</v>
      </c>
      <c r="O7148" s="105">
        <v>2.1506572E7</v>
      </c>
      <c r="P7148" s="105">
        <v>1.9344686E7</v>
      </c>
      <c r="Q7148" s="102" t="s">
        <v>2454</v>
      </c>
      <c r="S7148" s="1"/>
      <c r="T7148" s="1"/>
      <c r="U7148" s="1"/>
      <c r="V7148" s="1"/>
      <c r="W7148" s="1"/>
      <c r="X7148" s="1"/>
      <c r="Y7148" s="1"/>
      <c r="AA7148" s="102"/>
      <c r="AB7148" s="1"/>
      <c r="AC7148" s="1"/>
      <c r="AD7148" s="1"/>
      <c r="AE7148" s="1"/>
      <c r="AF7148" s="1"/>
      <c r="AG7148" s="1"/>
    </row>
    <row r="7149" ht="15.75" customHeight="1">
      <c r="A7149" s="1"/>
      <c r="B7149" s="1"/>
      <c r="C7149" s="1"/>
      <c r="D7149" s="1"/>
      <c r="E7149" s="1"/>
      <c r="F7149" s="1"/>
      <c r="G7149" s="1"/>
      <c r="H7149" s="1"/>
      <c r="I7149" s="1"/>
      <c r="J7149" s="1"/>
      <c r="K7149" s="102" t="s">
        <v>11046</v>
      </c>
      <c r="L7149" s="102" t="str">
        <f>C1076</f>
        <v>J2b</v>
      </c>
      <c r="M7149" s="102" t="s">
        <v>11047</v>
      </c>
      <c r="N7149" s="102" t="s">
        <v>11048</v>
      </c>
      <c r="O7149" s="105">
        <v>7657888.0</v>
      </c>
      <c r="P7149" s="105">
        <v>7789847.0</v>
      </c>
      <c r="Q7149" s="102" t="s">
        <v>2468</v>
      </c>
      <c r="S7149" s="1"/>
      <c r="T7149" s="1"/>
      <c r="U7149" s="1"/>
      <c r="V7149" s="1"/>
      <c r="W7149" s="1"/>
      <c r="X7149" s="1"/>
      <c r="Y7149" s="1"/>
      <c r="AA7149" s="102"/>
      <c r="AB7149" s="1"/>
      <c r="AC7149" s="1"/>
      <c r="AD7149" s="1"/>
      <c r="AE7149" s="1"/>
      <c r="AF7149" s="1"/>
      <c r="AG7149" s="1"/>
    </row>
    <row r="7150" ht="15.75" customHeight="1">
      <c r="A7150" s="1"/>
      <c r="B7150" s="1"/>
      <c r="C7150" s="1"/>
      <c r="D7150" s="1"/>
      <c r="E7150" s="1"/>
      <c r="F7150" s="1"/>
      <c r="G7150" s="1"/>
      <c r="H7150" s="1"/>
      <c r="I7150" s="1"/>
      <c r="J7150" s="1"/>
      <c r="K7150" s="102" t="s">
        <v>11047</v>
      </c>
      <c r="L7150" s="102" t="str">
        <f>C1076</f>
        <v>J2b</v>
      </c>
      <c r="M7150" s="102" t="s">
        <v>11046</v>
      </c>
      <c r="N7150" s="102" t="s">
        <v>11048</v>
      </c>
      <c r="O7150" s="105">
        <v>7657888.0</v>
      </c>
      <c r="P7150" s="105">
        <v>7789847.0</v>
      </c>
      <c r="Q7150" s="102" t="s">
        <v>2468</v>
      </c>
      <c r="S7150" s="1"/>
      <c r="T7150" s="1"/>
      <c r="U7150" s="1"/>
      <c r="V7150" s="1"/>
      <c r="W7150" s="1"/>
      <c r="X7150" s="1"/>
      <c r="Y7150" s="1"/>
      <c r="AA7150" s="102"/>
      <c r="AB7150" s="1"/>
      <c r="AC7150" s="1"/>
      <c r="AD7150" s="1"/>
      <c r="AE7150" s="1"/>
      <c r="AF7150" s="1"/>
      <c r="AG7150" s="1"/>
    </row>
    <row r="7151" ht="15.75" customHeight="1">
      <c r="A7151" s="1"/>
      <c r="B7151" s="1"/>
      <c r="C7151" s="1"/>
      <c r="D7151" s="1"/>
      <c r="E7151" s="1"/>
      <c r="F7151" s="1"/>
      <c r="G7151" s="1"/>
      <c r="H7151" s="1"/>
      <c r="I7151" s="1"/>
      <c r="J7151" s="1"/>
      <c r="K7151" s="102" t="s">
        <v>11049</v>
      </c>
      <c r="L7151" s="102" t="str">
        <f>C1076</f>
        <v>J2b</v>
      </c>
      <c r="M7151" s="102" t="s">
        <v>11050</v>
      </c>
      <c r="N7151" s="102" t="s">
        <v>11051</v>
      </c>
      <c r="O7151" s="105">
        <v>8355167.0</v>
      </c>
      <c r="P7151" s="105">
        <v>8487126.0</v>
      </c>
      <c r="Q7151" s="102" t="s">
        <v>2533</v>
      </c>
      <c r="S7151" s="1"/>
      <c r="T7151" s="1"/>
      <c r="U7151" s="1"/>
      <c r="V7151" s="1"/>
      <c r="W7151" s="1"/>
      <c r="X7151" s="1"/>
      <c r="Y7151" s="1"/>
      <c r="AA7151" s="102"/>
      <c r="AB7151" s="1"/>
      <c r="AC7151" s="1"/>
      <c r="AD7151" s="1"/>
      <c r="AE7151" s="1"/>
      <c r="AF7151" s="1"/>
      <c r="AG7151" s="1"/>
    </row>
    <row r="7152" ht="15.75" customHeight="1">
      <c r="A7152" s="1"/>
      <c r="B7152" s="1"/>
      <c r="C7152" s="1"/>
      <c r="D7152" s="1"/>
      <c r="E7152" s="1"/>
      <c r="F7152" s="1"/>
      <c r="G7152" s="1"/>
      <c r="H7152" s="1"/>
      <c r="I7152" s="1"/>
      <c r="J7152" s="1"/>
      <c r="K7152" s="102" t="s">
        <v>11050</v>
      </c>
      <c r="L7152" s="102" t="str">
        <f>C1076</f>
        <v>J2b</v>
      </c>
      <c r="M7152" s="102" t="s">
        <v>11049</v>
      </c>
      <c r="N7152" s="102" t="s">
        <v>11051</v>
      </c>
      <c r="O7152" s="105">
        <v>8355167.0</v>
      </c>
      <c r="P7152" s="105">
        <v>8487126.0</v>
      </c>
      <c r="Q7152" s="102" t="s">
        <v>2533</v>
      </c>
      <c r="S7152" s="1"/>
      <c r="T7152" s="1"/>
      <c r="U7152" s="1"/>
      <c r="V7152" s="1"/>
      <c r="W7152" s="1"/>
      <c r="X7152" s="1"/>
      <c r="Y7152" s="1"/>
      <c r="AA7152" s="102"/>
      <c r="AB7152" s="1"/>
      <c r="AC7152" s="1"/>
      <c r="AD7152" s="1"/>
      <c r="AE7152" s="1"/>
      <c r="AF7152" s="1"/>
      <c r="AG7152" s="1"/>
    </row>
    <row r="7153" ht="15.75" customHeight="1">
      <c r="A7153" s="1"/>
      <c r="B7153" s="1"/>
      <c r="C7153" s="1"/>
      <c r="D7153" s="1"/>
      <c r="E7153" s="1"/>
      <c r="F7153" s="1"/>
      <c r="G7153" s="1"/>
      <c r="H7153" s="1"/>
      <c r="I7153" s="1"/>
      <c r="J7153" s="1"/>
      <c r="K7153" s="102" t="s">
        <v>11052</v>
      </c>
      <c r="L7153" s="102" t="str">
        <f>C1076</f>
        <v>J2b</v>
      </c>
      <c r="M7153" s="102" t="s">
        <v>11053</v>
      </c>
      <c r="N7153" s="102" t="s">
        <v>11054</v>
      </c>
      <c r="O7153" s="105">
        <v>8492777.0</v>
      </c>
      <c r="P7153" s="105">
        <v>8624736.0</v>
      </c>
      <c r="Q7153" s="102" t="s">
        <v>2514</v>
      </c>
      <c r="S7153" s="1"/>
      <c r="T7153" s="1"/>
      <c r="U7153" s="1"/>
      <c r="V7153" s="1"/>
      <c r="W7153" s="1"/>
      <c r="X7153" s="1"/>
      <c r="Y7153" s="1"/>
      <c r="AA7153" s="102"/>
      <c r="AB7153" s="1"/>
      <c r="AC7153" s="1"/>
      <c r="AD7153" s="1"/>
      <c r="AE7153" s="1"/>
      <c r="AF7153" s="1"/>
      <c r="AG7153" s="1"/>
    </row>
    <row r="7154" ht="15.75" customHeight="1">
      <c r="A7154" s="1"/>
      <c r="B7154" s="1"/>
      <c r="C7154" s="1"/>
      <c r="D7154" s="1"/>
      <c r="E7154" s="1"/>
      <c r="F7154" s="1"/>
      <c r="G7154" s="1"/>
      <c r="H7154" s="1"/>
      <c r="I7154" s="1"/>
      <c r="J7154" s="1"/>
      <c r="K7154" s="102" t="s">
        <v>11053</v>
      </c>
      <c r="L7154" s="102" t="str">
        <f>C1076</f>
        <v>J2b</v>
      </c>
      <c r="M7154" s="102" t="s">
        <v>11052</v>
      </c>
      <c r="N7154" s="102" t="s">
        <v>11054</v>
      </c>
      <c r="O7154" s="105">
        <v>8492777.0</v>
      </c>
      <c r="P7154" s="105">
        <v>8624736.0</v>
      </c>
      <c r="Q7154" s="102" t="s">
        <v>2514</v>
      </c>
      <c r="S7154" s="1"/>
      <c r="T7154" s="1"/>
      <c r="U7154" s="1"/>
      <c r="V7154" s="1"/>
      <c r="W7154" s="1"/>
      <c r="X7154" s="1"/>
      <c r="Y7154" s="1"/>
      <c r="AA7154" s="102"/>
      <c r="AB7154" s="1"/>
      <c r="AC7154" s="1"/>
      <c r="AD7154" s="1"/>
      <c r="AE7154" s="1"/>
      <c r="AF7154" s="1"/>
      <c r="AG7154" s="1"/>
    </row>
    <row r="7155" ht="15.75" customHeight="1">
      <c r="A7155" s="1"/>
      <c r="B7155" s="1"/>
      <c r="C7155" s="1"/>
      <c r="D7155" s="1"/>
      <c r="E7155" s="1"/>
      <c r="F7155" s="1"/>
      <c r="G7155" s="1"/>
      <c r="H7155" s="1"/>
      <c r="I7155" s="1"/>
      <c r="J7155" s="1"/>
      <c r="K7155" s="102" t="s">
        <v>11055</v>
      </c>
      <c r="L7155" s="102" t="str">
        <f>C1076</f>
        <v>J2b</v>
      </c>
      <c r="M7155" s="102" t="s">
        <v>11056</v>
      </c>
      <c r="N7155" s="102" t="s">
        <v>11057</v>
      </c>
      <c r="O7155" s="105">
        <v>1.7995747E7</v>
      </c>
      <c r="P7155" s="105">
        <v>1.5883867E7</v>
      </c>
      <c r="Q7155" s="102" t="s">
        <v>2501</v>
      </c>
      <c r="S7155" s="1"/>
      <c r="T7155" s="1"/>
      <c r="U7155" s="1"/>
      <c r="V7155" s="1"/>
      <c r="W7155" s="1"/>
      <c r="X7155" s="1"/>
      <c r="Y7155" s="1"/>
      <c r="AA7155" s="102"/>
      <c r="AB7155" s="1"/>
      <c r="AC7155" s="1"/>
      <c r="AD7155" s="1"/>
      <c r="AE7155" s="1"/>
      <c r="AF7155" s="1"/>
      <c r="AG7155" s="1"/>
    </row>
    <row r="7156" ht="15.75" customHeight="1">
      <c r="A7156" s="1"/>
      <c r="B7156" s="1"/>
      <c r="C7156" s="1"/>
      <c r="D7156" s="1"/>
      <c r="E7156" s="1"/>
      <c r="F7156" s="1"/>
      <c r="G7156" s="1"/>
      <c r="H7156" s="1"/>
      <c r="I7156" s="1"/>
      <c r="J7156" s="1"/>
      <c r="K7156" s="102" t="s">
        <v>11056</v>
      </c>
      <c r="L7156" s="102" t="str">
        <f>C1076</f>
        <v>J2b</v>
      </c>
      <c r="M7156" s="102" t="s">
        <v>11055</v>
      </c>
      <c r="N7156" s="102" t="s">
        <v>11057</v>
      </c>
      <c r="O7156" s="105">
        <v>1.7995747E7</v>
      </c>
      <c r="P7156" s="105">
        <v>1.5883867E7</v>
      </c>
      <c r="Q7156" s="102" t="s">
        <v>2501</v>
      </c>
      <c r="S7156" s="1"/>
      <c r="T7156" s="1"/>
      <c r="U7156" s="1"/>
      <c r="V7156" s="1"/>
      <c r="W7156" s="1"/>
      <c r="X7156" s="1"/>
      <c r="Y7156" s="1"/>
      <c r="AA7156" s="102"/>
      <c r="AB7156" s="1"/>
      <c r="AC7156" s="1"/>
      <c r="AD7156" s="1"/>
      <c r="AE7156" s="1"/>
      <c r="AF7156" s="1"/>
      <c r="AG7156" s="1"/>
    </row>
    <row r="7157" ht="15.75" customHeight="1">
      <c r="A7157" s="1"/>
      <c r="B7157" s="1"/>
      <c r="C7157" s="1"/>
      <c r="D7157" s="1"/>
      <c r="E7157" s="1"/>
      <c r="F7157" s="1"/>
      <c r="G7157" s="1"/>
      <c r="H7157" s="1"/>
      <c r="I7157" s="1"/>
      <c r="J7157" s="1"/>
      <c r="K7157" s="102" t="s">
        <v>11058</v>
      </c>
      <c r="L7157" s="102" t="str">
        <f>C1076</f>
        <v>J2b</v>
      </c>
      <c r="M7157" s="102" t="s">
        <v>11059</v>
      </c>
      <c r="N7157" s="102" t="s">
        <v>11060</v>
      </c>
      <c r="O7157" s="105">
        <v>2.1184663E7</v>
      </c>
      <c r="P7157" s="105">
        <v>1.9022777E7</v>
      </c>
      <c r="Q7157" s="102" t="s">
        <v>2529</v>
      </c>
      <c r="S7157" s="1"/>
      <c r="T7157" s="1"/>
      <c r="U7157" s="1"/>
      <c r="V7157" s="1"/>
      <c r="W7157" s="1"/>
      <c r="X7157" s="1"/>
      <c r="Y7157" s="1"/>
      <c r="AA7157" s="102"/>
      <c r="AB7157" s="1"/>
      <c r="AC7157" s="1"/>
      <c r="AD7157" s="1"/>
      <c r="AE7157" s="1"/>
      <c r="AF7157" s="1"/>
      <c r="AG7157" s="1"/>
    </row>
    <row r="7158" ht="15.75" customHeight="1">
      <c r="A7158" s="1"/>
      <c r="B7158" s="1"/>
      <c r="C7158" s="1"/>
      <c r="D7158" s="1"/>
      <c r="E7158" s="1"/>
      <c r="F7158" s="1"/>
      <c r="G7158" s="1"/>
      <c r="H7158" s="1"/>
      <c r="I7158" s="1"/>
      <c r="J7158" s="1"/>
      <c r="K7158" s="102" t="s">
        <v>11059</v>
      </c>
      <c r="L7158" s="102" t="str">
        <f>C1076</f>
        <v>J2b</v>
      </c>
      <c r="M7158" s="102" t="s">
        <v>11058</v>
      </c>
      <c r="N7158" s="102" t="s">
        <v>11060</v>
      </c>
      <c r="O7158" s="105">
        <v>2.1184663E7</v>
      </c>
      <c r="P7158" s="105">
        <v>1.9022777E7</v>
      </c>
      <c r="Q7158" s="102" t="s">
        <v>2529</v>
      </c>
      <c r="S7158" s="1"/>
      <c r="T7158" s="1"/>
      <c r="U7158" s="1"/>
      <c r="V7158" s="1"/>
      <c r="W7158" s="1"/>
      <c r="X7158" s="1"/>
      <c r="Y7158" s="1"/>
      <c r="AA7158" s="102"/>
      <c r="AB7158" s="1"/>
      <c r="AC7158" s="1"/>
      <c r="AD7158" s="1"/>
      <c r="AE7158" s="1"/>
      <c r="AF7158" s="1"/>
      <c r="AG7158" s="1"/>
    </row>
    <row r="7159" ht="15.75" customHeight="1">
      <c r="A7159" s="1"/>
      <c r="B7159" s="1"/>
      <c r="C7159" s="1"/>
      <c r="D7159" s="1"/>
      <c r="E7159" s="1"/>
      <c r="F7159" s="1"/>
      <c r="G7159" s="1"/>
      <c r="H7159" s="1"/>
      <c r="I7159" s="1"/>
      <c r="J7159" s="1"/>
      <c r="K7159" s="102" t="s">
        <v>11061</v>
      </c>
      <c r="L7159" s="102" t="str">
        <f>C1076</f>
        <v>J2b</v>
      </c>
      <c r="M7159" s="102" t="s">
        <v>11062</v>
      </c>
      <c r="N7159" s="102" t="s">
        <v>11063</v>
      </c>
      <c r="O7159" s="105">
        <v>8432768.0</v>
      </c>
      <c r="P7159" s="105">
        <v>8564727.0</v>
      </c>
      <c r="Q7159" s="102" t="s">
        <v>2439</v>
      </c>
      <c r="S7159" s="1"/>
      <c r="T7159" s="1"/>
      <c r="U7159" s="1"/>
      <c r="V7159" s="1"/>
      <c r="W7159" s="1"/>
      <c r="X7159" s="1"/>
      <c r="Y7159" s="1"/>
      <c r="AA7159" s="102"/>
      <c r="AB7159" s="1"/>
      <c r="AC7159" s="1"/>
      <c r="AD7159" s="1"/>
      <c r="AE7159" s="1"/>
      <c r="AF7159" s="1"/>
      <c r="AG7159" s="1"/>
    </row>
    <row r="7160" ht="15.75" customHeight="1">
      <c r="A7160" s="1"/>
      <c r="B7160" s="1"/>
      <c r="C7160" s="1"/>
      <c r="D7160" s="1"/>
      <c r="E7160" s="1"/>
      <c r="F7160" s="1"/>
      <c r="G7160" s="1"/>
      <c r="H7160" s="1"/>
      <c r="I7160" s="1"/>
      <c r="J7160" s="1"/>
      <c r="K7160" s="102" t="s">
        <v>11062</v>
      </c>
      <c r="L7160" s="102" t="str">
        <f>C1076</f>
        <v>J2b</v>
      </c>
      <c r="M7160" s="102" t="s">
        <v>11061</v>
      </c>
      <c r="N7160" s="102" t="s">
        <v>11063</v>
      </c>
      <c r="O7160" s="105">
        <v>8432768.0</v>
      </c>
      <c r="P7160" s="105">
        <v>8564727.0</v>
      </c>
      <c r="Q7160" s="102" t="s">
        <v>2439</v>
      </c>
      <c r="S7160" s="1"/>
      <c r="T7160" s="1"/>
      <c r="U7160" s="1"/>
      <c r="V7160" s="1"/>
      <c r="W7160" s="1"/>
      <c r="X7160" s="1"/>
      <c r="Y7160" s="1"/>
      <c r="AA7160" s="102"/>
      <c r="AB7160" s="1"/>
      <c r="AC7160" s="1"/>
      <c r="AD7160" s="1"/>
      <c r="AE7160" s="1"/>
      <c r="AF7160" s="1"/>
      <c r="AG7160" s="1"/>
    </row>
    <row r="7161" ht="15.75" customHeight="1">
      <c r="A7161" s="1"/>
      <c r="B7161" s="1"/>
      <c r="C7161" s="1"/>
      <c r="D7161" s="1"/>
      <c r="E7161" s="1"/>
      <c r="F7161" s="1"/>
      <c r="G7161" s="1"/>
      <c r="H7161" s="1"/>
      <c r="I7161" s="1"/>
      <c r="J7161" s="1"/>
      <c r="K7161" s="102" t="s">
        <v>11064</v>
      </c>
      <c r="L7161" s="102" t="str">
        <f>C1076</f>
        <v>J2b</v>
      </c>
      <c r="M7161" s="102"/>
      <c r="N7161" s="102" t="s">
        <v>11065</v>
      </c>
      <c r="O7161" s="105">
        <v>2871685.0</v>
      </c>
      <c r="P7161" s="105">
        <v>3003644.0</v>
      </c>
      <c r="Q7161" s="102" t="s">
        <v>2529</v>
      </c>
      <c r="S7161" s="1"/>
      <c r="T7161" s="1"/>
      <c r="U7161" s="1"/>
      <c r="V7161" s="1"/>
      <c r="W7161" s="1"/>
      <c r="X7161" s="1"/>
      <c r="Y7161" s="1"/>
      <c r="AA7161" s="102"/>
      <c r="AB7161" s="1"/>
      <c r="AC7161" s="1"/>
      <c r="AD7161" s="1"/>
      <c r="AE7161" s="1"/>
      <c r="AF7161" s="1"/>
      <c r="AG7161" s="1"/>
    </row>
    <row r="7162" ht="15.75" customHeight="1">
      <c r="A7162" s="1"/>
      <c r="B7162" s="1"/>
      <c r="C7162" s="1"/>
      <c r="D7162" s="1"/>
      <c r="E7162" s="1"/>
      <c r="F7162" s="1"/>
      <c r="G7162" s="1"/>
      <c r="H7162" s="1"/>
      <c r="I7162" s="1"/>
      <c r="J7162" s="1"/>
      <c r="K7162" s="102" t="s">
        <v>11066</v>
      </c>
      <c r="L7162" s="102" t="str">
        <f>C1076</f>
        <v>J2b</v>
      </c>
      <c r="M7162" s="102"/>
      <c r="N7162" s="102" t="s">
        <v>11067</v>
      </c>
      <c r="O7162" s="105">
        <v>6757694.0</v>
      </c>
      <c r="P7162" s="105">
        <v>6889653.0</v>
      </c>
      <c r="Q7162" s="102" t="s">
        <v>2468</v>
      </c>
      <c r="S7162" s="1"/>
      <c r="T7162" s="1"/>
      <c r="U7162" s="1"/>
      <c r="V7162" s="1"/>
      <c r="W7162" s="1"/>
      <c r="X7162" s="1"/>
      <c r="Y7162" s="1"/>
      <c r="AA7162" s="102"/>
      <c r="AB7162" s="1"/>
      <c r="AC7162" s="1"/>
      <c r="AD7162" s="1"/>
      <c r="AE7162" s="1"/>
      <c r="AF7162" s="1"/>
      <c r="AG7162" s="1"/>
    </row>
    <row r="7163" ht="15.75" customHeight="1">
      <c r="A7163" s="1"/>
      <c r="B7163" s="1"/>
      <c r="C7163" s="1"/>
      <c r="D7163" s="1"/>
      <c r="E7163" s="1"/>
      <c r="F7163" s="1"/>
      <c r="G7163" s="1"/>
      <c r="H7163" s="1"/>
      <c r="I7163" s="1"/>
      <c r="J7163" s="1"/>
      <c r="K7163" s="102" t="s">
        <v>11068</v>
      </c>
      <c r="L7163" s="102" t="str">
        <f>C1076</f>
        <v>J2b</v>
      </c>
      <c r="M7163" s="102"/>
      <c r="N7163" s="102" t="s">
        <v>11069</v>
      </c>
      <c r="O7163" s="105">
        <v>6929590.0</v>
      </c>
      <c r="P7163" s="105">
        <v>7061549.0</v>
      </c>
      <c r="Q7163" s="102" t="s">
        <v>2514</v>
      </c>
      <c r="S7163" s="1"/>
      <c r="T7163" s="1"/>
      <c r="U7163" s="1"/>
      <c r="V7163" s="1"/>
      <c r="W7163" s="1"/>
      <c r="X7163" s="1"/>
      <c r="Y7163" s="1"/>
      <c r="AA7163" s="102"/>
      <c r="AB7163" s="1"/>
      <c r="AC7163" s="1"/>
      <c r="AD7163" s="1"/>
      <c r="AE7163" s="1"/>
      <c r="AF7163" s="1"/>
      <c r="AG7163" s="1"/>
    </row>
    <row r="7164" ht="15.75" customHeight="1">
      <c r="A7164" s="1"/>
      <c r="B7164" s="1"/>
      <c r="C7164" s="1"/>
      <c r="D7164" s="1"/>
      <c r="E7164" s="1"/>
      <c r="F7164" s="1"/>
      <c r="G7164" s="1"/>
      <c r="H7164" s="1"/>
      <c r="I7164" s="1"/>
      <c r="J7164" s="1"/>
      <c r="K7164" s="102" t="s">
        <v>11070</v>
      </c>
      <c r="L7164" s="102" t="str">
        <f>C1076</f>
        <v>J2b</v>
      </c>
      <c r="M7164" s="102"/>
      <c r="N7164" s="102" t="s">
        <v>11071</v>
      </c>
      <c r="O7164" s="105">
        <v>7843144.0</v>
      </c>
      <c r="P7164" s="105">
        <v>7975103.0</v>
      </c>
      <c r="Q7164" s="102" t="s">
        <v>2576</v>
      </c>
      <c r="S7164" s="1"/>
      <c r="T7164" s="1"/>
      <c r="U7164" s="1"/>
      <c r="V7164" s="1"/>
      <c r="W7164" s="1"/>
      <c r="X7164" s="1"/>
      <c r="Y7164" s="1"/>
      <c r="AA7164" s="102"/>
      <c r="AB7164" s="1"/>
      <c r="AC7164" s="1"/>
      <c r="AD7164" s="1"/>
      <c r="AE7164" s="1"/>
      <c r="AF7164" s="1"/>
      <c r="AG7164" s="1"/>
    </row>
    <row r="7165" ht="15.75" customHeight="1">
      <c r="A7165" s="1"/>
      <c r="B7165" s="1"/>
      <c r="C7165" s="1"/>
      <c r="D7165" s="1"/>
      <c r="E7165" s="1"/>
      <c r="F7165" s="1"/>
      <c r="G7165" s="1"/>
      <c r="H7165" s="1"/>
      <c r="I7165" s="1"/>
      <c r="J7165" s="1"/>
      <c r="K7165" s="102" t="s">
        <v>11072</v>
      </c>
      <c r="L7165" s="102" t="str">
        <f>C1076</f>
        <v>J2b</v>
      </c>
      <c r="M7165" s="102"/>
      <c r="N7165" s="102" t="s">
        <v>11073</v>
      </c>
      <c r="O7165" s="105">
        <v>1.4897758E7</v>
      </c>
      <c r="P7165" s="105">
        <v>1.2785824E7</v>
      </c>
      <c r="Q7165" s="102" t="s">
        <v>2501</v>
      </c>
      <c r="S7165" s="1"/>
      <c r="T7165" s="1"/>
      <c r="U7165" s="1"/>
      <c r="V7165" s="1"/>
      <c r="W7165" s="1"/>
      <c r="X7165" s="1"/>
      <c r="Y7165" s="1"/>
      <c r="AA7165" s="102"/>
      <c r="AB7165" s="1"/>
      <c r="AC7165" s="1"/>
      <c r="AD7165" s="1"/>
      <c r="AE7165" s="1"/>
      <c r="AF7165" s="1"/>
      <c r="AG7165" s="1"/>
    </row>
    <row r="7166" ht="15.75" customHeight="1">
      <c r="A7166" s="1"/>
      <c r="B7166" s="1"/>
      <c r="C7166" s="1"/>
      <c r="D7166" s="1"/>
      <c r="E7166" s="1"/>
      <c r="F7166" s="1"/>
      <c r="G7166" s="1"/>
      <c r="H7166" s="1"/>
      <c r="I7166" s="1"/>
      <c r="J7166" s="1"/>
      <c r="K7166" s="102" t="s">
        <v>11074</v>
      </c>
      <c r="L7166" s="102" t="str">
        <f>C1076</f>
        <v>J2b</v>
      </c>
      <c r="M7166" s="102"/>
      <c r="N7166" s="102" t="s">
        <v>11075</v>
      </c>
      <c r="O7166" s="105">
        <v>1.5288201E7</v>
      </c>
      <c r="P7166" s="105">
        <v>1.31763E7</v>
      </c>
      <c r="Q7166" s="102" t="s">
        <v>2439</v>
      </c>
      <c r="S7166" s="1"/>
      <c r="T7166" s="1"/>
      <c r="U7166" s="1"/>
      <c r="V7166" s="1"/>
      <c r="W7166" s="1"/>
      <c r="X7166" s="1"/>
      <c r="Y7166" s="1"/>
      <c r="AA7166" s="102"/>
      <c r="AB7166" s="1"/>
      <c r="AC7166" s="1"/>
      <c r="AD7166" s="1"/>
      <c r="AE7166" s="1"/>
      <c r="AF7166" s="1"/>
      <c r="AG7166" s="1"/>
    </row>
    <row r="7167" ht="15.75" customHeight="1">
      <c r="A7167" s="1"/>
      <c r="B7167" s="1"/>
      <c r="C7167" s="1"/>
      <c r="D7167" s="1"/>
      <c r="E7167" s="1"/>
      <c r="F7167" s="1"/>
      <c r="G7167" s="1"/>
      <c r="H7167" s="1"/>
      <c r="I7167" s="1"/>
      <c r="J7167" s="1"/>
      <c r="K7167" s="102" t="s">
        <v>11076</v>
      </c>
      <c r="L7167" s="102" t="str">
        <f>C1076</f>
        <v>J2b</v>
      </c>
      <c r="M7167" s="102"/>
      <c r="N7167" s="102" t="s">
        <v>11077</v>
      </c>
      <c r="O7167" s="105">
        <v>1.5423678E7</v>
      </c>
      <c r="P7167" s="105">
        <v>1.3311798E7</v>
      </c>
      <c r="Q7167" s="102" t="s">
        <v>2423</v>
      </c>
      <c r="S7167" s="1"/>
      <c r="T7167" s="1"/>
      <c r="U7167" s="1"/>
      <c r="V7167" s="1"/>
      <c r="W7167" s="1"/>
      <c r="X7167" s="1"/>
      <c r="Y7167" s="1"/>
      <c r="AA7167" s="102"/>
      <c r="AB7167" s="1"/>
      <c r="AC7167" s="1"/>
      <c r="AD7167" s="1"/>
      <c r="AE7167" s="1"/>
      <c r="AF7167" s="1"/>
      <c r="AG7167" s="1"/>
    </row>
    <row r="7168" ht="15.75" customHeight="1">
      <c r="A7168" s="1"/>
      <c r="B7168" s="1"/>
      <c r="C7168" s="1"/>
      <c r="D7168" s="1"/>
      <c r="E7168" s="1"/>
      <c r="F7168" s="1"/>
      <c r="G7168" s="1"/>
      <c r="H7168" s="1"/>
      <c r="I7168" s="1"/>
      <c r="J7168" s="1"/>
      <c r="K7168" s="102" t="s">
        <v>11078</v>
      </c>
      <c r="L7168" s="102" t="str">
        <f>C1076</f>
        <v>J2b</v>
      </c>
      <c r="M7168" s="102"/>
      <c r="N7168" s="102" t="s">
        <v>11079</v>
      </c>
      <c r="O7168" s="105">
        <v>1.5740097E7</v>
      </c>
      <c r="P7168" s="105">
        <v>1.3628217E7</v>
      </c>
      <c r="Q7168" s="102" t="s">
        <v>2533</v>
      </c>
      <c r="S7168" s="1"/>
      <c r="T7168" s="1"/>
      <c r="U7168" s="1"/>
      <c r="V7168" s="1"/>
      <c r="W7168" s="1"/>
      <c r="X7168" s="1"/>
      <c r="Y7168" s="1"/>
      <c r="AA7168" s="102"/>
      <c r="AB7168" s="1"/>
      <c r="AC7168" s="1"/>
      <c r="AD7168" s="1"/>
      <c r="AE7168" s="1"/>
      <c r="AF7168" s="1"/>
      <c r="AG7168" s="1"/>
    </row>
    <row r="7169" ht="15.75" customHeight="1">
      <c r="A7169" s="1"/>
      <c r="B7169" s="1"/>
      <c r="C7169" s="1"/>
      <c r="D7169" s="1"/>
      <c r="E7169" s="1"/>
      <c r="F7169" s="1"/>
      <c r="G7169" s="1"/>
      <c r="H7169" s="1"/>
      <c r="I7169" s="1"/>
      <c r="J7169" s="1"/>
      <c r="K7169" s="102" t="s">
        <v>11080</v>
      </c>
      <c r="L7169" s="102" t="str">
        <f>C1076</f>
        <v>J2b</v>
      </c>
      <c r="M7169" s="102"/>
      <c r="N7169" s="102" t="s">
        <v>11081</v>
      </c>
      <c r="O7169" s="105">
        <v>1.6271535E7</v>
      </c>
      <c r="P7169" s="105">
        <v>1.4159655E7</v>
      </c>
      <c r="Q7169" s="102" t="s">
        <v>2468</v>
      </c>
      <c r="S7169" s="1"/>
      <c r="T7169" s="1"/>
      <c r="U7169" s="1"/>
      <c r="V7169" s="1"/>
      <c r="W7169" s="1"/>
      <c r="X7169" s="1"/>
      <c r="Y7169" s="1"/>
      <c r="AA7169" s="102"/>
      <c r="AB7169" s="1"/>
      <c r="AC7169" s="1"/>
      <c r="AD7169" s="1"/>
      <c r="AE7169" s="1"/>
      <c r="AF7169" s="1"/>
      <c r="AG7169" s="1"/>
    </row>
    <row r="7170" ht="15.75" customHeight="1">
      <c r="A7170" s="1"/>
      <c r="B7170" s="1"/>
      <c r="C7170" s="1"/>
      <c r="D7170" s="1"/>
      <c r="E7170" s="1"/>
      <c r="F7170" s="1"/>
      <c r="G7170" s="1"/>
      <c r="H7170" s="1"/>
      <c r="I7170" s="1"/>
      <c r="J7170" s="1"/>
      <c r="K7170" s="102" t="s">
        <v>11082</v>
      </c>
      <c r="L7170" s="102" t="str">
        <f>C1076</f>
        <v>J2b</v>
      </c>
      <c r="M7170" s="102" t="s">
        <v>11083</v>
      </c>
      <c r="N7170" s="102" t="s">
        <v>11084</v>
      </c>
      <c r="O7170" s="105">
        <v>1.6726617E7</v>
      </c>
      <c r="P7170" s="105">
        <v>1.4614737E7</v>
      </c>
      <c r="Q7170" s="102" t="s">
        <v>2468</v>
      </c>
      <c r="S7170" s="1"/>
      <c r="T7170" s="1"/>
      <c r="U7170" s="1"/>
      <c r="V7170" s="1"/>
      <c r="W7170" s="1"/>
      <c r="X7170" s="1"/>
      <c r="Y7170" s="1"/>
      <c r="AA7170" s="102"/>
      <c r="AB7170" s="1"/>
      <c r="AC7170" s="1"/>
      <c r="AD7170" s="1"/>
      <c r="AE7170" s="1"/>
      <c r="AF7170" s="1"/>
      <c r="AG7170" s="1"/>
    </row>
    <row r="7171" ht="15.75" customHeight="1">
      <c r="A7171" s="1"/>
      <c r="B7171" s="1"/>
      <c r="C7171" s="1"/>
      <c r="D7171" s="1"/>
      <c r="E7171" s="1"/>
      <c r="F7171" s="1"/>
      <c r="G7171" s="1"/>
      <c r="H7171" s="1"/>
      <c r="I7171" s="1"/>
      <c r="J7171" s="1"/>
      <c r="K7171" s="102" t="s">
        <v>11083</v>
      </c>
      <c r="L7171" s="102" t="str">
        <f>C1076</f>
        <v>J2b</v>
      </c>
      <c r="M7171" s="102" t="s">
        <v>11082</v>
      </c>
      <c r="N7171" s="102" t="s">
        <v>11084</v>
      </c>
      <c r="O7171" s="105">
        <v>1.6726617E7</v>
      </c>
      <c r="P7171" s="105">
        <v>1.4614737E7</v>
      </c>
      <c r="Q7171" s="102" t="s">
        <v>2468</v>
      </c>
      <c r="S7171" s="1"/>
      <c r="T7171" s="1"/>
      <c r="U7171" s="1"/>
      <c r="V7171" s="1"/>
      <c r="W7171" s="1"/>
      <c r="X7171" s="1"/>
      <c r="Y7171" s="1"/>
      <c r="AA7171" s="102"/>
      <c r="AB7171" s="1"/>
      <c r="AC7171" s="1"/>
      <c r="AD7171" s="1"/>
      <c r="AE7171" s="1"/>
      <c r="AF7171" s="1"/>
      <c r="AG7171" s="1"/>
    </row>
    <row r="7172" ht="15.75" customHeight="1">
      <c r="A7172" s="1"/>
      <c r="B7172" s="1"/>
      <c r="C7172" s="1"/>
      <c r="D7172" s="1"/>
      <c r="E7172" s="1"/>
      <c r="F7172" s="1"/>
      <c r="G7172" s="1"/>
      <c r="H7172" s="1"/>
      <c r="I7172" s="1"/>
      <c r="J7172" s="1"/>
      <c r="K7172" s="102" t="s">
        <v>11085</v>
      </c>
      <c r="L7172" s="102" t="str">
        <f>C1076</f>
        <v>J2b</v>
      </c>
      <c r="M7172" s="102"/>
      <c r="N7172" s="102" t="s">
        <v>11086</v>
      </c>
      <c r="O7172" s="105">
        <v>1.7729237E7</v>
      </c>
      <c r="P7172" s="105">
        <v>1.5617357E7</v>
      </c>
      <c r="Q7172" s="102" t="s">
        <v>2439</v>
      </c>
      <c r="S7172" s="1"/>
      <c r="T7172" s="1"/>
      <c r="U7172" s="1"/>
      <c r="V7172" s="1"/>
      <c r="W7172" s="1"/>
      <c r="X7172" s="1"/>
      <c r="Y7172" s="1"/>
      <c r="AA7172" s="102"/>
      <c r="AB7172" s="1"/>
      <c r="AC7172" s="1"/>
      <c r="AD7172" s="1"/>
      <c r="AE7172" s="1"/>
      <c r="AF7172" s="1"/>
      <c r="AG7172" s="1"/>
    </row>
    <row r="7173" ht="15.75" customHeight="1">
      <c r="A7173" s="1"/>
      <c r="B7173" s="1"/>
      <c r="C7173" s="1"/>
      <c r="D7173" s="1"/>
      <c r="E7173" s="1"/>
      <c r="F7173" s="1"/>
      <c r="G7173" s="1"/>
      <c r="H7173" s="1"/>
      <c r="I7173" s="1"/>
      <c r="J7173" s="1"/>
      <c r="K7173" s="102" t="s">
        <v>11087</v>
      </c>
      <c r="L7173" s="102" t="str">
        <f>C1076</f>
        <v>J2b</v>
      </c>
      <c r="M7173" s="102"/>
      <c r="N7173" s="102" t="s">
        <v>11088</v>
      </c>
      <c r="O7173" s="105">
        <v>1.9325597E7</v>
      </c>
      <c r="P7173" s="105">
        <v>1.7213717E7</v>
      </c>
      <c r="Q7173" s="102" t="s">
        <v>2468</v>
      </c>
      <c r="S7173" s="1"/>
      <c r="T7173" s="1"/>
      <c r="U7173" s="1"/>
      <c r="V7173" s="1"/>
      <c r="W7173" s="1"/>
      <c r="X7173" s="1"/>
      <c r="Y7173" s="1"/>
      <c r="AA7173" s="102"/>
      <c r="AB7173" s="1"/>
      <c r="AC7173" s="1"/>
      <c r="AD7173" s="1"/>
      <c r="AE7173" s="1"/>
      <c r="AF7173" s="1"/>
      <c r="AG7173" s="1"/>
    </row>
    <row r="7174" ht="15.75" customHeight="1">
      <c r="A7174" s="1"/>
      <c r="B7174" s="1"/>
      <c r="C7174" s="1"/>
      <c r="D7174" s="1"/>
      <c r="E7174" s="1"/>
      <c r="F7174" s="1"/>
      <c r="G7174" s="1"/>
      <c r="H7174" s="1"/>
      <c r="I7174" s="1"/>
      <c r="J7174" s="1"/>
      <c r="K7174" s="102" t="s">
        <v>11089</v>
      </c>
      <c r="L7174" s="102" t="str">
        <f>C1076</f>
        <v>J2b</v>
      </c>
      <c r="M7174" s="102"/>
      <c r="N7174" s="102" t="s">
        <v>11090</v>
      </c>
      <c r="O7174" s="105">
        <v>2.1089289E7</v>
      </c>
      <c r="P7174" s="105">
        <v>1.8927403E7</v>
      </c>
      <c r="Q7174" s="102" t="s">
        <v>2529</v>
      </c>
      <c r="S7174" s="1"/>
      <c r="T7174" s="1"/>
      <c r="U7174" s="1"/>
      <c r="V7174" s="1"/>
      <c r="W7174" s="1"/>
      <c r="X7174" s="1"/>
      <c r="Y7174" s="1"/>
      <c r="AA7174" s="102"/>
      <c r="AB7174" s="1"/>
      <c r="AC7174" s="1"/>
      <c r="AD7174" s="1"/>
      <c r="AE7174" s="1"/>
      <c r="AF7174" s="1"/>
      <c r="AG7174" s="1"/>
    </row>
    <row r="7175" ht="15.75" customHeight="1">
      <c r="A7175" s="1"/>
      <c r="B7175" s="1"/>
      <c r="C7175" s="1"/>
      <c r="D7175" s="1"/>
      <c r="E7175" s="1"/>
      <c r="F7175" s="1"/>
      <c r="G7175" s="1"/>
      <c r="H7175" s="1"/>
      <c r="I7175" s="1"/>
      <c r="J7175" s="1"/>
      <c r="K7175" s="102" t="s">
        <v>11091</v>
      </c>
      <c r="L7175" s="102" t="str">
        <f>C1076</f>
        <v>J2b</v>
      </c>
      <c r="M7175" s="102"/>
      <c r="N7175" s="102" t="s">
        <v>11092</v>
      </c>
      <c r="O7175" s="105">
        <v>2.1395638E7</v>
      </c>
      <c r="P7175" s="105">
        <v>1.9233752E7</v>
      </c>
      <c r="Q7175" s="102" t="s">
        <v>2446</v>
      </c>
      <c r="S7175" s="1"/>
      <c r="T7175" s="1"/>
      <c r="U7175" s="1"/>
      <c r="V7175" s="1"/>
      <c r="W7175" s="1"/>
      <c r="X7175" s="1"/>
      <c r="Y7175" s="1"/>
      <c r="AA7175" s="102"/>
      <c r="AB7175" s="1"/>
      <c r="AC7175" s="1"/>
      <c r="AD7175" s="1"/>
      <c r="AE7175" s="1"/>
      <c r="AF7175" s="1"/>
      <c r="AG7175" s="1"/>
    </row>
    <row r="7176" ht="15.75" customHeight="1">
      <c r="A7176" s="1"/>
      <c r="B7176" s="1"/>
      <c r="C7176" s="1"/>
      <c r="D7176" s="1"/>
      <c r="E7176" s="1"/>
      <c r="F7176" s="1"/>
      <c r="G7176" s="1"/>
      <c r="H7176" s="1"/>
      <c r="I7176" s="1"/>
      <c r="J7176" s="1"/>
      <c r="K7176" s="102" t="s">
        <v>11093</v>
      </c>
      <c r="L7176" s="102" t="str">
        <f>C1076</f>
        <v>J2b</v>
      </c>
      <c r="M7176" s="102"/>
      <c r="N7176" s="102" t="s">
        <v>11094</v>
      </c>
      <c r="O7176" s="105">
        <v>2.1583372E7</v>
      </c>
      <c r="P7176" s="105">
        <v>1.9421486E7</v>
      </c>
      <c r="Q7176" s="102" t="s">
        <v>2501</v>
      </c>
      <c r="S7176" s="1"/>
      <c r="T7176" s="1"/>
      <c r="U7176" s="1"/>
      <c r="V7176" s="1"/>
      <c r="W7176" s="1"/>
      <c r="X7176" s="1"/>
      <c r="Y7176" s="1"/>
      <c r="AA7176" s="102"/>
      <c r="AB7176" s="1"/>
      <c r="AC7176" s="1"/>
      <c r="AD7176" s="1"/>
      <c r="AE7176" s="1"/>
      <c r="AF7176" s="1"/>
      <c r="AG7176" s="1"/>
    </row>
    <row r="7177" ht="15.75" customHeight="1">
      <c r="A7177" s="1"/>
      <c r="B7177" s="1"/>
      <c r="C7177" s="1"/>
      <c r="D7177" s="1"/>
      <c r="E7177" s="1"/>
      <c r="F7177" s="1"/>
      <c r="G7177" s="1"/>
      <c r="H7177" s="1"/>
      <c r="I7177" s="1"/>
      <c r="J7177" s="1"/>
      <c r="K7177" s="102" t="s">
        <v>11095</v>
      </c>
      <c r="L7177" s="102" t="str">
        <f>C1076</f>
        <v>J2b</v>
      </c>
      <c r="M7177" s="102"/>
      <c r="N7177" s="102" t="s">
        <v>11096</v>
      </c>
      <c r="O7177" s="105">
        <v>2.1595359E7</v>
      </c>
      <c r="P7177" s="105">
        <v>1.9433473E7</v>
      </c>
      <c r="Q7177" s="102" t="s">
        <v>2514</v>
      </c>
      <c r="S7177" s="1"/>
      <c r="T7177" s="1"/>
      <c r="U7177" s="1"/>
      <c r="V7177" s="1"/>
      <c r="W7177" s="1"/>
      <c r="X7177" s="1"/>
      <c r="Y7177" s="1"/>
      <c r="AA7177" s="102"/>
      <c r="AB7177" s="1"/>
      <c r="AC7177" s="1"/>
      <c r="AD7177" s="1"/>
      <c r="AE7177" s="1"/>
      <c r="AF7177" s="1"/>
      <c r="AG7177" s="1"/>
    </row>
    <row r="7178" ht="15.75" customHeight="1">
      <c r="A7178" s="1"/>
      <c r="B7178" s="1"/>
      <c r="C7178" s="1"/>
      <c r="D7178" s="1"/>
      <c r="E7178" s="1"/>
      <c r="F7178" s="1"/>
      <c r="G7178" s="1"/>
      <c r="H7178" s="1"/>
      <c r="I7178" s="1"/>
      <c r="J7178" s="1"/>
      <c r="K7178" s="102" t="s">
        <v>11097</v>
      </c>
      <c r="L7178" s="102" t="str">
        <f>C1076</f>
        <v>J2b</v>
      </c>
      <c r="M7178" s="102"/>
      <c r="N7178" s="102" t="s">
        <v>11098</v>
      </c>
      <c r="O7178" s="105">
        <v>2.2610044E7</v>
      </c>
      <c r="P7178" s="105">
        <v>2.0448158E7</v>
      </c>
      <c r="Q7178" s="102" t="s">
        <v>2563</v>
      </c>
      <c r="S7178" s="1"/>
      <c r="T7178" s="1"/>
      <c r="U7178" s="1"/>
      <c r="V7178" s="1"/>
      <c r="W7178" s="1"/>
      <c r="X7178" s="1"/>
      <c r="Y7178" s="1"/>
      <c r="AA7178" s="102"/>
      <c r="AB7178" s="1"/>
      <c r="AC7178" s="1"/>
      <c r="AD7178" s="1"/>
      <c r="AE7178" s="1"/>
      <c r="AF7178" s="1"/>
      <c r="AG7178" s="1"/>
    </row>
    <row r="7179" ht="15.75" customHeight="1">
      <c r="A7179" s="1"/>
      <c r="B7179" s="1"/>
      <c r="C7179" s="1"/>
      <c r="D7179" s="1"/>
      <c r="E7179" s="1"/>
      <c r="F7179" s="1"/>
      <c r="G7179" s="1"/>
      <c r="H7179" s="1"/>
      <c r="I7179" s="1"/>
      <c r="J7179" s="1"/>
      <c r="K7179" s="102" t="s">
        <v>11099</v>
      </c>
      <c r="L7179" s="102" t="str">
        <f>C1076</f>
        <v>J2b</v>
      </c>
      <c r="M7179" s="102"/>
      <c r="N7179" s="102" t="s">
        <v>11100</v>
      </c>
      <c r="O7179" s="105">
        <v>2.3047369E7</v>
      </c>
      <c r="P7179" s="105">
        <v>2.0885483E7</v>
      </c>
      <c r="Q7179" s="102" t="s">
        <v>2432</v>
      </c>
      <c r="S7179" s="1"/>
      <c r="T7179" s="1"/>
      <c r="U7179" s="1"/>
      <c r="V7179" s="1"/>
      <c r="W7179" s="1"/>
      <c r="X7179" s="1"/>
      <c r="Y7179" s="1"/>
      <c r="AA7179" s="102"/>
      <c r="AB7179" s="1"/>
      <c r="AC7179" s="1"/>
      <c r="AD7179" s="1"/>
      <c r="AE7179" s="1"/>
      <c r="AF7179" s="1"/>
      <c r="AG7179" s="1"/>
    </row>
    <row r="7180" ht="15.75" customHeight="1">
      <c r="A7180" s="1"/>
      <c r="B7180" s="1"/>
      <c r="C7180" s="1"/>
      <c r="D7180" s="1"/>
      <c r="E7180" s="1"/>
      <c r="F7180" s="1"/>
      <c r="G7180" s="1"/>
      <c r="H7180" s="1"/>
      <c r="I7180" s="1"/>
      <c r="J7180" s="1"/>
      <c r="K7180" s="102" t="s">
        <v>11101</v>
      </c>
      <c r="L7180" s="102" t="str">
        <f>C1076</f>
        <v>J2b</v>
      </c>
      <c r="M7180" s="102"/>
      <c r="N7180" s="102" t="s">
        <v>11102</v>
      </c>
      <c r="O7180" s="105">
        <v>2.3270482E7</v>
      </c>
      <c r="P7180" s="105">
        <v>2.1108596E7</v>
      </c>
      <c r="Q7180" s="102" t="s">
        <v>2454</v>
      </c>
      <c r="S7180" s="1"/>
      <c r="T7180" s="1"/>
      <c r="U7180" s="1"/>
      <c r="V7180" s="1"/>
      <c r="W7180" s="1"/>
      <c r="X7180" s="1"/>
      <c r="Y7180" s="1"/>
      <c r="AA7180" s="102"/>
      <c r="AB7180" s="1"/>
      <c r="AC7180" s="1"/>
      <c r="AD7180" s="1"/>
      <c r="AE7180" s="1"/>
      <c r="AF7180" s="1"/>
      <c r="AG7180" s="1"/>
    </row>
    <row r="7181" ht="15.75" customHeight="1">
      <c r="A7181" s="1"/>
      <c r="B7181" s="1"/>
      <c r="C7181" s="1"/>
      <c r="D7181" s="1"/>
      <c r="E7181" s="1"/>
      <c r="F7181" s="1"/>
      <c r="G7181" s="1"/>
      <c r="H7181" s="1"/>
      <c r="I7181" s="1"/>
      <c r="J7181" s="1"/>
      <c r="K7181" s="102" t="s">
        <v>11103</v>
      </c>
      <c r="L7181" s="102" t="str">
        <f>C1076</f>
        <v>J2b</v>
      </c>
      <c r="M7181" s="102"/>
      <c r="N7181" s="102" t="s">
        <v>11104</v>
      </c>
      <c r="O7181" s="105">
        <v>2.3552355E7</v>
      </c>
      <c r="P7181" s="105">
        <v>2.1390469E7</v>
      </c>
      <c r="Q7181" s="102" t="s">
        <v>2446</v>
      </c>
      <c r="S7181" s="1"/>
      <c r="T7181" s="1"/>
      <c r="U7181" s="1"/>
      <c r="V7181" s="1"/>
      <c r="W7181" s="1"/>
      <c r="X7181" s="1"/>
      <c r="Y7181" s="1"/>
      <c r="AA7181" s="102"/>
      <c r="AB7181" s="1"/>
      <c r="AC7181" s="1"/>
      <c r="AD7181" s="1"/>
      <c r="AE7181" s="1"/>
      <c r="AF7181" s="1"/>
      <c r="AG7181" s="1"/>
    </row>
    <row r="7182" ht="15.75" customHeight="1">
      <c r="A7182" s="1"/>
      <c r="B7182" s="1"/>
      <c r="C7182" s="1"/>
      <c r="D7182" s="1"/>
      <c r="E7182" s="1"/>
      <c r="F7182" s="1"/>
      <c r="G7182" s="1"/>
      <c r="H7182" s="1"/>
      <c r="I7182" s="1"/>
      <c r="J7182" s="1"/>
      <c r="K7182" s="102" t="s">
        <v>11105</v>
      </c>
      <c r="L7182" s="102" t="str">
        <f>C1076</f>
        <v>J2b</v>
      </c>
      <c r="M7182" s="102"/>
      <c r="N7182" s="102" t="s">
        <v>11106</v>
      </c>
      <c r="O7182" s="105">
        <v>1.7165326E7</v>
      </c>
      <c r="P7182" s="105">
        <v>1.5053446E7</v>
      </c>
      <c r="Q7182" s="102" t="s">
        <v>2439</v>
      </c>
      <c r="S7182" s="1"/>
      <c r="T7182" s="1"/>
      <c r="U7182" s="1"/>
      <c r="V7182" s="1"/>
      <c r="W7182" s="1"/>
      <c r="X7182" s="1"/>
      <c r="Y7182" s="1"/>
      <c r="AA7182" s="102"/>
      <c r="AB7182" s="1"/>
      <c r="AC7182" s="1"/>
      <c r="AD7182" s="1"/>
      <c r="AE7182" s="1"/>
      <c r="AF7182" s="1"/>
      <c r="AG7182" s="1"/>
    </row>
    <row r="7183" ht="15.75" customHeight="1">
      <c r="A7183" s="1"/>
      <c r="B7183" s="1"/>
      <c r="C7183" s="1"/>
      <c r="D7183" s="1"/>
      <c r="E7183" s="1"/>
      <c r="F7183" s="1"/>
      <c r="G7183" s="1"/>
      <c r="H7183" s="1"/>
      <c r="I7183" s="1"/>
      <c r="J7183" s="1"/>
      <c r="K7183" s="102" t="s">
        <v>11107</v>
      </c>
      <c r="L7183" s="102" t="str">
        <f>C1076</f>
        <v>J2b</v>
      </c>
      <c r="M7183" s="102"/>
      <c r="N7183" s="102" t="s">
        <v>11108</v>
      </c>
      <c r="O7183" s="105">
        <v>2.0832639E7</v>
      </c>
      <c r="P7183" s="105">
        <v>1.8670753E7</v>
      </c>
      <c r="Q7183" s="102" t="s">
        <v>2501</v>
      </c>
      <c r="S7183" s="1"/>
      <c r="T7183" s="1"/>
      <c r="U7183" s="1"/>
      <c r="V7183" s="1"/>
      <c r="W7183" s="1"/>
      <c r="X7183" s="1"/>
      <c r="Y7183" s="1"/>
      <c r="AA7183" s="102"/>
      <c r="AB7183" s="1"/>
      <c r="AC7183" s="1"/>
      <c r="AD7183" s="1"/>
      <c r="AE7183" s="1"/>
      <c r="AF7183" s="1"/>
      <c r="AG7183" s="1"/>
    </row>
    <row r="7184" ht="15.75" customHeight="1">
      <c r="A7184" s="1"/>
      <c r="B7184" s="1"/>
      <c r="C7184" s="1"/>
      <c r="D7184" s="1"/>
      <c r="E7184" s="1"/>
      <c r="F7184" s="1"/>
      <c r="G7184" s="1"/>
      <c r="H7184" s="1"/>
      <c r="I7184" s="1"/>
      <c r="J7184" s="1"/>
      <c r="K7184" s="102" t="s">
        <v>11109</v>
      </c>
      <c r="L7184" s="102" t="str">
        <f>C1076</f>
        <v>J2b</v>
      </c>
      <c r="M7184" s="102"/>
      <c r="N7184" s="102" t="s">
        <v>11110</v>
      </c>
      <c r="O7184" s="105">
        <v>2.166938E7</v>
      </c>
      <c r="P7184" s="105">
        <v>1.9507494E7</v>
      </c>
      <c r="Q7184" s="102" t="s">
        <v>2468</v>
      </c>
      <c r="S7184" s="1"/>
      <c r="T7184" s="1"/>
      <c r="U7184" s="1"/>
      <c r="V7184" s="1"/>
      <c r="W7184" s="1"/>
      <c r="X7184" s="1"/>
      <c r="Y7184" s="1"/>
      <c r="AA7184" s="102"/>
      <c r="AB7184" s="1"/>
      <c r="AC7184" s="1"/>
      <c r="AD7184" s="1"/>
      <c r="AE7184" s="1"/>
      <c r="AF7184" s="1"/>
      <c r="AG7184" s="1"/>
    </row>
    <row r="7185" ht="15.75" customHeight="1">
      <c r="A7185" s="1"/>
      <c r="B7185" s="1"/>
      <c r="C7185" s="1"/>
      <c r="D7185" s="1"/>
      <c r="E7185" s="1"/>
      <c r="F7185" s="1"/>
      <c r="G7185" s="1"/>
      <c r="H7185" s="1"/>
      <c r="I7185" s="1"/>
      <c r="J7185" s="1"/>
      <c r="K7185" s="102" t="s">
        <v>11111</v>
      </c>
      <c r="L7185" s="102" t="str">
        <f>C1076</f>
        <v>J2b</v>
      </c>
      <c r="M7185" s="102"/>
      <c r="N7185" s="102" t="s">
        <v>11112</v>
      </c>
      <c r="O7185" s="105">
        <v>8409406.0</v>
      </c>
      <c r="P7185" s="105">
        <v>8541365.0</v>
      </c>
      <c r="Q7185" s="102" t="s">
        <v>2454</v>
      </c>
      <c r="S7185" s="1"/>
      <c r="T7185" s="1"/>
      <c r="U7185" s="1"/>
      <c r="V7185" s="1"/>
      <c r="W7185" s="1"/>
      <c r="X7185" s="1"/>
      <c r="Y7185" s="1"/>
      <c r="AA7185" s="102"/>
      <c r="AB7185" s="1"/>
      <c r="AC7185" s="1"/>
      <c r="AD7185" s="1"/>
      <c r="AE7185" s="1"/>
      <c r="AF7185" s="1"/>
      <c r="AG7185" s="1"/>
    </row>
    <row r="7186" ht="15.75" customHeight="1">
      <c r="A7186" s="1"/>
      <c r="B7186" s="1"/>
      <c r="C7186" s="1"/>
      <c r="D7186" s="1"/>
      <c r="E7186" s="1"/>
      <c r="F7186" s="1"/>
      <c r="G7186" s="1"/>
      <c r="H7186" s="1"/>
      <c r="I7186" s="1"/>
      <c r="J7186" s="1"/>
      <c r="K7186" s="102" t="s">
        <v>11113</v>
      </c>
      <c r="L7186" s="102" t="str">
        <f>C1076</f>
        <v>J2b</v>
      </c>
      <c r="M7186" s="102"/>
      <c r="N7186" s="102" t="s">
        <v>11114</v>
      </c>
      <c r="O7186" s="105">
        <v>9893139.0</v>
      </c>
      <c r="P7186" s="105">
        <v>1.005553E7</v>
      </c>
      <c r="Q7186" s="102" t="s">
        <v>2576</v>
      </c>
      <c r="S7186" s="1"/>
      <c r="T7186" s="1"/>
      <c r="U7186" s="1"/>
      <c r="V7186" s="1"/>
      <c r="W7186" s="1"/>
      <c r="X7186" s="1"/>
      <c r="Y7186" s="1"/>
      <c r="AA7186" s="102"/>
      <c r="AB7186" s="1"/>
      <c r="AC7186" s="1"/>
      <c r="AD7186" s="1"/>
      <c r="AE7186" s="1"/>
      <c r="AF7186" s="1"/>
      <c r="AG7186" s="1"/>
    </row>
    <row r="7187" ht="15.75" customHeight="1">
      <c r="A7187" s="1"/>
      <c r="B7187" s="1"/>
      <c r="C7187" s="1"/>
      <c r="D7187" s="1"/>
      <c r="E7187" s="1"/>
      <c r="F7187" s="1"/>
      <c r="G7187" s="1"/>
      <c r="H7187" s="1"/>
      <c r="I7187" s="1"/>
      <c r="J7187" s="1"/>
      <c r="K7187" s="102" t="s">
        <v>11115</v>
      </c>
      <c r="L7187" s="102" t="str">
        <f>C1076</f>
        <v>J2b</v>
      </c>
      <c r="M7187" s="102"/>
      <c r="N7187" s="102" t="s">
        <v>11116</v>
      </c>
      <c r="O7187" s="105">
        <v>1.3683429E7</v>
      </c>
      <c r="P7187" s="105">
        <v>1.1527753E7</v>
      </c>
      <c r="Q7187" s="102" t="s">
        <v>2501</v>
      </c>
      <c r="S7187" s="1"/>
      <c r="T7187" s="1"/>
      <c r="U7187" s="1"/>
      <c r="V7187" s="1"/>
      <c r="W7187" s="1"/>
      <c r="X7187" s="1"/>
      <c r="Y7187" s="1"/>
      <c r="AA7187" s="102"/>
      <c r="AB7187" s="1"/>
      <c r="AC7187" s="1"/>
      <c r="AD7187" s="1"/>
      <c r="AE7187" s="1"/>
      <c r="AF7187" s="1"/>
      <c r="AG7187" s="1"/>
    </row>
    <row r="7188" ht="15.75" customHeight="1">
      <c r="A7188" s="1"/>
      <c r="B7188" s="1"/>
      <c r="C7188" s="1"/>
      <c r="D7188" s="1"/>
      <c r="E7188" s="1"/>
      <c r="F7188" s="1"/>
      <c r="G7188" s="1"/>
      <c r="H7188" s="1"/>
      <c r="I7188" s="1"/>
      <c r="J7188" s="1"/>
      <c r="K7188" s="102" t="s">
        <v>11117</v>
      </c>
      <c r="L7188" s="102" t="str">
        <f>C1076</f>
        <v>J2b</v>
      </c>
      <c r="M7188" s="102"/>
      <c r="N7188" s="102" t="s">
        <v>11118</v>
      </c>
      <c r="O7188" s="105">
        <v>2.4441079E7</v>
      </c>
      <c r="P7188" s="105">
        <v>2.2294932E7</v>
      </c>
      <c r="Q7188" s="102" t="s">
        <v>2439</v>
      </c>
      <c r="S7188" s="1"/>
      <c r="T7188" s="1"/>
      <c r="U7188" s="1"/>
      <c r="V7188" s="1"/>
      <c r="W7188" s="1"/>
      <c r="X7188" s="1"/>
      <c r="Y7188" s="1"/>
      <c r="AA7188" s="102"/>
      <c r="AB7188" s="1"/>
      <c r="AC7188" s="1"/>
      <c r="AD7188" s="1"/>
      <c r="AE7188" s="1"/>
      <c r="AF7188" s="1"/>
      <c r="AG7188" s="1"/>
    </row>
    <row r="7189" ht="15.75" customHeight="1">
      <c r="A7189" s="1"/>
      <c r="B7189" s="1"/>
      <c r="C7189" s="1"/>
      <c r="D7189" s="1"/>
      <c r="E7189" s="1"/>
      <c r="F7189" s="1"/>
      <c r="G7189" s="1"/>
      <c r="H7189" s="1"/>
      <c r="I7189" s="1"/>
      <c r="J7189" s="1"/>
      <c r="K7189" s="102" t="s">
        <v>11119</v>
      </c>
      <c r="L7189" s="102" t="str">
        <f>C1076</f>
        <v>J2b</v>
      </c>
      <c r="M7189" s="102" t="s">
        <v>11120</v>
      </c>
      <c r="N7189" s="102" t="s">
        <v>11121</v>
      </c>
      <c r="O7189" s="105">
        <v>2904842.0</v>
      </c>
      <c r="P7189" s="105">
        <v>3036801.0</v>
      </c>
      <c r="Q7189" s="102" t="s">
        <v>2468</v>
      </c>
      <c r="S7189" s="1"/>
      <c r="T7189" s="1"/>
      <c r="U7189" s="1"/>
      <c r="V7189" s="1"/>
      <c r="W7189" s="1"/>
      <c r="X7189" s="1"/>
      <c r="Y7189" s="1"/>
      <c r="AA7189" s="102"/>
      <c r="AB7189" s="1"/>
      <c r="AC7189" s="1"/>
      <c r="AD7189" s="1"/>
      <c r="AE7189" s="1"/>
      <c r="AF7189" s="1"/>
      <c r="AG7189" s="1"/>
    </row>
    <row r="7190" ht="15.75" customHeight="1">
      <c r="A7190" s="1"/>
      <c r="B7190" s="1"/>
      <c r="C7190" s="1"/>
      <c r="D7190" s="1"/>
      <c r="E7190" s="1"/>
      <c r="F7190" s="1"/>
      <c r="G7190" s="1"/>
      <c r="H7190" s="1"/>
      <c r="I7190" s="1"/>
      <c r="J7190" s="1"/>
      <c r="K7190" s="102" t="s">
        <v>11120</v>
      </c>
      <c r="L7190" s="102" t="str">
        <f>C1076</f>
        <v>J2b</v>
      </c>
      <c r="M7190" s="102" t="s">
        <v>11119</v>
      </c>
      <c r="N7190" s="102" t="s">
        <v>11121</v>
      </c>
      <c r="O7190" s="105">
        <v>2904842.0</v>
      </c>
      <c r="P7190" s="105">
        <v>3036801.0</v>
      </c>
      <c r="Q7190" s="102" t="s">
        <v>2468</v>
      </c>
      <c r="S7190" s="1"/>
      <c r="T7190" s="1"/>
      <c r="U7190" s="1"/>
      <c r="V7190" s="1"/>
      <c r="W7190" s="1"/>
      <c r="X7190" s="1"/>
      <c r="Y7190" s="1"/>
      <c r="AA7190" s="102"/>
      <c r="AB7190" s="1"/>
      <c r="AC7190" s="1"/>
      <c r="AD7190" s="1"/>
      <c r="AE7190" s="1"/>
      <c r="AF7190" s="1"/>
      <c r="AG7190" s="1"/>
    </row>
    <row r="7191" ht="15.75" customHeight="1">
      <c r="A7191" s="1"/>
      <c r="B7191" s="1"/>
      <c r="C7191" s="1"/>
      <c r="D7191" s="1"/>
      <c r="E7191" s="1"/>
      <c r="F7191" s="1"/>
      <c r="G7191" s="1"/>
      <c r="H7191" s="1"/>
      <c r="I7191" s="1"/>
      <c r="J7191" s="1"/>
      <c r="K7191" s="102" t="s">
        <v>11122</v>
      </c>
      <c r="L7191" s="102" t="str">
        <f>C1076</f>
        <v>J2b</v>
      </c>
      <c r="M7191" s="102"/>
      <c r="N7191" s="102" t="s">
        <v>11123</v>
      </c>
      <c r="O7191" s="105">
        <v>2.3525689E7</v>
      </c>
      <c r="P7191" s="105">
        <v>2.1363803E7</v>
      </c>
      <c r="Q7191" s="102" t="s">
        <v>2501</v>
      </c>
      <c r="S7191" s="1"/>
      <c r="T7191" s="1"/>
      <c r="U7191" s="1"/>
      <c r="V7191" s="1"/>
      <c r="W7191" s="1"/>
      <c r="X7191" s="1"/>
      <c r="Y7191" s="1"/>
      <c r="AA7191" s="102"/>
      <c r="AB7191" s="1"/>
      <c r="AC7191" s="1"/>
      <c r="AD7191" s="1"/>
      <c r="AE7191" s="1"/>
      <c r="AF7191" s="1"/>
      <c r="AG7191" s="1"/>
    </row>
    <row r="7192" ht="15.75" customHeight="1">
      <c r="A7192" s="1"/>
      <c r="B7192" s="1"/>
      <c r="C7192" s="1"/>
      <c r="D7192" s="1"/>
      <c r="E7192" s="1"/>
      <c r="F7192" s="1"/>
      <c r="G7192" s="1"/>
      <c r="H7192" s="1"/>
      <c r="I7192" s="1"/>
      <c r="J7192" s="1"/>
      <c r="K7192" s="102" t="s">
        <v>11124</v>
      </c>
      <c r="L7192" s="102" t="str">
        <f>C1076</f>
        <v>J2b</v>
      </c>
      <c r="M7192" s="102"/>
      <c r="N7192" s="102" t="s">
        <v>11125</v>
      </c>
      <c r="O7192" s="105">
        <v>1.8423298E7</v>
      </c>
      <c r="P7192" s="105">
        <v>1.6311418E7</v>
      </c>
      <c r="Q7192" s="102" t="s">
        <v>2423</v>
      </c>
      <c r="S7192" s="1"/>
      <c r="T7192" s="1"/>
      <c r="U7192" s="1"/>
      <c r="V7192" s="1"/>
      <c r="W7192" s="1"/>
      <c r="X7192" s="1"/>
      <c r="Y7192" s="1"/>
      <c r="AA7192" s="102"/>
      <c r="AB7192" s="1"/>
      <c r="AC7192" s="1"/>
      <c r="AD7192" s="1"/>
      <c r="AE7192" s="1"/>
      <c r="AF7192" s="1"/>
      <c r="AG7192" s="1"/>
    </row>
    <row r="7193" ht="15.75" customHeight="1">
      <c r="A7193" s="1"/>
      <c r="B7193" s="1"/>
      <c r="C7193" s="1"/>
      <c r="D7193" s="1"/>
      <c r="E7193" s="1"/>
      <c r="F7193" s="1"/>
      <c r="G7193" s="1"/>
      <c r="H7193" s="1"/>
      <c r="I7193" s="1"/>
      <c r="J7193" s="1"/>
      <c r="K7193" s="102" t="s">
        <v>11126</v>
      </c>
      <c r="L7193" s="102" t="str">
        <f>C1076</f>
        <v>J2b</v>
      </c>
      <c r="M7193" s="102"/>
      <c r="N7193" s="102" t="s">
        <v>11127</v>
      </c>
      <c r="O7193" s="105">
        <v>2.2561485E7</v>
      </c>
      <c r="P7193" s="105">
        <v>2.0399599E7</v>
      </c>
      <c r="Q7193" s="102" t="s">
        <v>2533</v>
      </c>
      <c r="S7193" s="1"/>
      <c r="T7193" s="1"/>
      <c r="U7193" s="1"/>
      <c r="V7193" s="1"/>
      <c r="W7193" s="1"/>
      <c r="X7193" s="1"/>
      <c r="Y7193" s="1"/>
      <c r="AA7193" s="102"/>
      <c r="AB7193" s="1"/>
      <c r="AC7193" s="1"/>
      <c r="AD7193" s="1"/>
      <c r="AE7193" s="1"/>
      <c r="AF7193" s="1"/>
      <c r="AG7193" s="1"/>
    </row>
    <row r="7194" ht="15.75" customHeight="1">
      <c r="A7194" s="1"/>
      <c r="B7194" s="1"/>
      <c r="C7194" s="1"/>
      <c r="D7194" s="1"/>
      <c r="E7194" s="1"/>
      <c r="F7194" s="1"/>
      <c r="G7194" s="1"/>
      <c r="H7194" s="1"/>
      <c r="I7194" s="1"/>
      <c r="J7194" s="1"/>
      <c r="K7194" s="102" t="s">
        <v>11128</v>
      </c>
      <c r="L7194" s="102" t="str">
        <f>C1076</f>
        <v>J2b</v>
      </c>
      <c r="M7194" s="102"/>
      <c r="N7194" s="102" t="s">
        <v>11129</v>
      </c>
      <c r="O7194" s="105">
        <v>2.3971345E7</v>
      </c>
      <c r="P7194" s="105">
        <v>2.1825198E7</v>
      </c>
      <c r="Q7194" s="102" t="s">
        <v>2533</v>
      </c>
      <c r="S7194" s="1"/>
      <c r="T7194" s="1"/>
      <c r="U7194" s="1"/>
      <c r="V7194" s="1"/>
      <c r="W7194" s="1"/>
      <c r="X7194" s="1"/>
      <c r="Y7194" s="1"/>
      <c r="AA7194" s="102"/>
      <c r="AB7194" s="1"/>
      <c r="AC7194" s="1"/>
      <c r="AD7194" s="1"/>
      <c r="AE7194" s="1"/>
      <c r="AF7194" s="1"/>
      <c r="AG7194" s="1"/>
    </row>
    <row r="7195" ht="15.75" customHeight="1">
      <c r="A7195" s="1"/>
      <c r="B7195" s="1"/>
      <c r="C7195" s="1"/>
      <c r="D7195" s="1"/>
      <c r="E7195" s="1"/>
      <c r="F7195" s="1"/>
      <c r="G7195" s="1"/>
      <c r="H7195" s="1"/>
      <c r="I7195" s="1"/>
      <c r="J7195" s="1"/>
      <c r="K7195" s="102" t="s">
        <v>11130</v>
      </c>
      <c r="L7195" s="102" t="str">
        <f>C1076</f>
        <v>J2b</v>
      </c>
      <c r="M7195" s="102"/>
      <c r="N7195" s="102" t="s">
        <v>11131</v>
      </c>
      <c r="O7195" s="105">
        <v>8527247.0</v>
      </c>
      <c r="P7195" s="105">
        <v>8659206.0</v>
      </c>
      <c r="Q7195" s="102" t="s">
        <v>2439</v>
      </c>
      <c r="S7195" s="1"/>
      <c r="T7195" s="1"/>
      <c r="U7195" s="1"/>
      <c r="V7195" s="1"/>
      <c r="W7195" s="1"/>
      <c r="X7195" s="1"/>
      <c r="Y7195" s="1"/>
      <c r="AA7195" s="102"/>
      <c r="AB7195" s="1"/>
      <c r="AC7195" s="1"/>
      <c r="AD7195" s="1"/>
      <c r="AE7195" s="1"/>
      <c r="AF7195" s="1"/>
      <c r="AG7195" s="1"/>
    </row>
    <row r="7196" ht="15.75" customHeight="1">
      <c r="A7196" s="1"/>
      <c r="B7196" s="1"/>
      <c r="C7196" s="1"/>
      <c r="D7196" s="1"/>
      <c r="E7196" s="1"/>
      <c r="F7196" s="1"/>
      <c r="G7196" s="1"/>
      <c r="H7196" s="1"/>
      <c r="I7196" s="1"/>
      <c r="J7196" s="1"/>
      <c r="K7196" s="102" t="s">
        <v>11132</v>
      </c>
      <c r="L7196" s="102" t="str">
        <f>C1076</f>
        <v>J2b</v>
      </c>
      <c r="M7196" s="102"/>
      <c r="N7196" s="102" t="s">
        <v>11133</v>
      </c>
      <c r="O7196" s="105">
        <v>9138901.0</v>
      </c>
      <c r="P7196" s="105">
        <v>9301292.0</v>
      </c>
      <c r="Q7196" s="102" t="s">
        <v>2501</v>
      </c>
      <c r="S7196" s="1"/>
      <c r="T7196" s="1"/>
      <c r="U7196" s="1"/>
      <c r="V7196" s="1"/>
      <c r="W7196" s="1"/>
      <c r="X7196" s="1"/>
      <c r="Y7196" s="1"/>
      <c r="AA7196" s="102"/>
      <c r="AB7196" s="1"/>
      <c r="AC7196" s="1"/>
      <c r="AD7196" s="1"/>
      <c r="AE7196" s="1"/>
      <c r="AF7196" s="1"/>
      <c r="AG7196" s="1"/>
    </row>
    <row r="7197" ht="15.75" customHeight="1">
      <c r="A7197" s="1"/>
      <c r="B7197" s="1"/>
      <c r="C7197" s="1"/>
      <c r="D7197" s="1"/>
      <c r="E7197" s="1"/>
      <c r="F7197" s="1"/>
      <c r="G7197" s="1"/>
      <c r="H7197" s="1"/>
      <c r="I7197" s="1"/>
      <c r="J7197" s="1"/>
      <c r="K7197" s="102" t="s">
        <v>11134</v>
      </c>
      <c r="L7197" s="102" t="str">
        <f>C1076</f>
        <v>J2b</v>
      </c>
      <c r="M7197" s="102"/>
      <c r="N7197" s="102" t="s">
        <v>11135</v>
      </c>
      <c r="O7197" s="105">
        <v>2.164792E7</v>
      </c>
      <c r="P7197" s="105">
        <v>1.9486034E7</v>
      </c>
      <c r="Q7197" s="102" t="s">
        <v>2432</v>
      </c>
      <c r="S7197" s="1"/>
      <c r="T7197" s="1"/>
      <c r="U7197" s="1"/>
      <c r="V7197" s="1"/>
      <c r="W7197" s="1"/>
      <c r="X7197" s="1"/>
      <c r="Y7197" s="1"/>
      <c r="AA7197" s="102"/>
      <c r="AB7197" s="1"/>
      <c r="AC7197" s="1"/>
      <c r="AD7197" s="1"/>
      <c r="AE7197" s="1"/>
      <c r="AF7197" s="1"/>
      <c r="AG7197" s="1"/>
    </row>
    <row r="7198" ht="15.75" customHeight="1">
      <c r="A7198" s="1"/>
      <c r="B7198" s="1"/>
      <c r="C7198" s="1"/>
      <c r="D7198" s="1"/>
      <c r="E7198" s="1"/>
      <c r="F7198" s="1"/>
      <c r="G7198" s="1"/>
      <c r="H7198" s="1"/>
      <c r="I7198" s="1"/>
      <c r="J7198" s="1"/>
      <c r="K7198" s="102" t="s">
        <v>11136</v>
      </c>
      <c r="L7198" s="102" t="str">
        <f>C1076</f>
        <v>J2b</v>
      </c>
      <c r="M7198" s="102"/>
      <c r="N7198" s="102" t="s">
        <v>11137</v>
      </c>
      <c r="O7198" s="105">
        <v>2.1974407E7</v>
      </c>
      <c r="P7198" s="105">
        <v>1.9812521E7</v>
      </c>
      <c r="Q7198" s="102" t="s">
        <v>2514</v>
      </c>
      <c r="S7198" s="1"/>
      <c r="T7198" s="1"/>
      <c r="U7198" s="1"/>
      <c r="V7198" s="1"/>
      <c r="W7198" s="1"/>
      <c r="X7198" s="1"/>
      <c r="Y7198" s="1"/>
      <c r="AA7198" s="102"/>
      <c r="AB7198" s="1"/>
      <c r="AC7198" s="1"/>
      <c r="AD7198" s="1"/>
      <c r="AE7198" s="1"/>
      <c r="AF7198" s="1"/>
      <c r="AG7198" s="1"/>
    </row>
    <row r="7199" ht="15.75" customHeight="1">
      <c r="A7199" s="1"/>
      <c r="B7199" s="1"/>
      <c r="C7199" s="1"/>
      <c r="D7199" s="1"/>
      <c r="E7199" s="1"/>
      <c r="F7199" s="1"/>
      <c r="G7199" s="1"/>
      <c r="H7199" s="1"/>
      <c r="I7199" s="1"/>
      <c r="J7199" s="1"/>
      <c r="K7199" s="102" t="s">
        <v>11138</v>
      </c>
      <c r="L7199" s="102" t="str">
        <f>C1076</f>
        <v>J2b</v>
      </c>
      <c r="M7199" s="102"/>
      <c r="N7199" s="102" t="s">
        <v>11139</v>
      </c>
      <c r="O7199" s="105">
        <v>2.2189147E7</v>
      </c>
      <c r="P7199" s="105">
        <v>2.0027261E7</v>
      </c>
      <c r="Q7199" s="102" t="s">
        <v>2439</v>
      </c>
      <c r="S7199" s="1"/>
      <c r="T7199" s="1"/>
      <c r="U7199" s="1"/>
      <c r="V7199" s="1"/>
      <c r="W7199" s="1"/>
      <c r="X7199" s="1"/>
      <c r="Y7199" s="1"/>
      <c r="AA7199" s="102"/>
      <c r="AB7199" s="1"/>
      <c r="AC7199" s="1"/>
      <c r="AD7199" s="1"/>
      <c r="AE7199" s="1"/>
      <c r="AF7199" s="1"/>
      <c r="AG7199" s="1"/>
    </row>
    <row r="7200" ht="15.75" customHeight="1">
      <c r="A7200" s="1"/>
      <c r="B7200" s="1"/>
      <c r="C7200" s="1"/>
      <c r="D7200" s="1"/>
      <c r="E7200" s="1"/>
      <c r="F7200" s="1"/>
      <c r="G7200" s="1"/>
      <c r="H7200" s="1"/>
      <c r="I7200" s="1"/>
      <c r="J7200" s="1"/>
      <c r="K7200" s="102" t="s">
        <v>11140</v>
      </c>
      <c r="L7200" s="102" t="str">
        <f>C1076</f>
        <v>J2b</v>
      </c>
      <c r="M7200" s="102"/>
      <c r="N7200" s="102" t="s">
        <v>11141</v>
      </c>
      <c r="O7200" s="105">
        <v>2.2193674E7</v>
      </c>
      <c r="P7200" s="105">
        <v>2.0031788E7</v>
      </c>
      <c r="Q7200" s="102" t="s">
        <v>2439</v>
      </c>
      <c r="S7200" s="1"/>
      <c r="T7200" s="1"/>
      <c r="U7200" s="1"/>
      <c r="V7200" s="1"/>
      <c r="W7200" s="1"/>
      <c r="X7200" s="1"/>
      <c r="Y7200" s="1"/>
      <c r="AA7200" s="102"/>
      <c r="AB7200" s="1"/>
      <c r="AC7200" s="1"/>
      <c r="AD7200" s="1"/>
      <c r="AE7200" s="1"/>
      <c r="AF7200" s="1"/>
      <c r="AG7200" s="1"/>
    </row>
    <row r="7201" ht="15.75" customHeight="1">
      <c r="A7201" s="1"/>
      <c r="B7201" s="1"/>
      <c r="C7201" s="1"/>
      <c r="D7201" s="1"/>
      <c r="E7201" s="1"/>
      <c r="F7201" s="1"/>
      <c r="G7201" s="1"/>
      <c r="H7201" s="1"/>
      <c r="I7201" s="1"/>
      <c r="J7201" s="1"/>
      <c r="K7201" s="102" t="s">
        <v>11142</v>
      </c>
      <c r="L7201" s="102" t="str">
        <f>C1076</f>
        <v>J2b</v>
      </c>
      <c r="M7201" s="102"/>
      <c r="N7201" s="102" t="s">
        <v>11143</v>
      </c>
      <c r="O7201" s="105">
        <v>2.3231624E7</v>
      </c>
      <c r="P7201" s="105">
        <v>2.1069738E7</v>
      </c>
      <c r="Q7201" s="102" t="s">
        <v>2563</v>
      </c>
      <c r="S7201" s="1"/>
      <c r="T7201" s="1"/>
      <c r="U7201" s="1"/>
      <c r="V7201" s="1"/>
      <c r="W7201" s="1"/>
      <c r="X7201" s="1"/>
      <c r="Y7201" s="1"/>
      <c r="AA7201" s="102"/>
      <c r="AB7201" s="1"/>
      <c r="AC7201" s="1"/>
      <c r="AD7201" s="1"/>
      <c r="AE7201" s="1"/>
      <c r="AF7201" s="1"/>
      <c r="AG7201" s="1"/>
    </row>
    <row r="7202" ht="15.75" customHeight="1">
      <c r="A7202" s="1"/>
      <c r="B7202" s="1"/>
      <c r="C7202" s="1"/>
      <c r="D7202" s="1"/>
      <c r="E7202" s="1"/>
      <c r="F7202" s="1"/>
      <c r="G7202" s="1"/>
      <c r="H7202" s="1"/>
      <c r="I7202" s="1"/>
      <c r="J7202" s="1"/>
      <c r="K7202" s="102" t="s">
        <v>11144</v>
      </c>
      <c r="L7202" s="102" t="str">
        <f>C1076</f>
        <v>J2b</v>
      </c>
      <c r="M7202" s="102"/>
      <c r="N7202" s="102" t="s">
        <v>11145</v>
      </c>
      <c r="O7202" s="105">
        <v>7591101.0</v>
      </c>
      <c r="P7202" s="105">
        <v>7723060.0</v>
      </c>
      <c r="Q7202" s="102" t="s">
        <v>2439</v>
      </c>
      <c r="S7202" s="1"/>
      <c r="T7202" s="1"/>
      <c r="U7202" s="1"/>
      <c r="V7202" s="1"/>
      <c r="W7202" s="1"/>
      <c r="X7202" s="1"/>
      <c r="Y7202" s="1"/>
      <c r="AA7202" s="102"/>
      <c r="AB7202" s="1"/>
      <c r="AC7202" s="1"/>
      <c r="AD7202" s="1"/>
      <c r="AE7202" s="1"/>
      <c r="AF7202" s="1"/>
      <c r="AG7202" s="1"/>
    </row>
    <row r="7203" ht="15.75" customHeight="1">
      <c r="A7203" s="1"/>
      <c r="B7203" s="1"/>
      <c r="C7203" s="1"/>
      <c r="D7203" s="1"/>
      <c r="E7203" s="1"/>
      <c r="F7203" s="1"/>
      <c r="G7203" s="1"/>
      <c r="H7203" s="1"/>
      <c r="I7203" s="1"/>
      <c r="J7203" s="1"/>
      <c r="K7203" s="102" t="s">
        <v>11146</v>
      </c>
      <c r="L7203" s="102" t="str">
        <f>C1076</f>
        <v>J2b</v>
      </c>
      <c r="M7203" s="102"/>
      <c r="N7203" s="102" t="s">
        <v>11147</v>
      </c>
      <c r="O7203" s="105">
        <v>1.3454332E7</v>
      </c>
      <c r="P7203" s="105">
        <v>1.1298656E7</v>
      </c>
      <c r="Q7203" s="102" t="s">
        <v>2501</v>
      </c>
      <c r="S7203" s="1"/>
      <c r="T7203" s="1"/>
      <c r="U7203" s="1"/>
      <c r="V7203" s="1"/>
      <c r="W7203" s="1"/>
      <c r="X7203" s="1"/>
      <c r="Y7203" s="1"/>
      <c r="AA7203" s="102"/>
      <c r="AB7203" s="1"/>
      <c r="AC7203" s="1"/>
      <c r="AD7203" s="1"/>
      <c r="AE7203" s="1"/>
      <c r="AF7203" s="1"/>
      <c r="AG7203" s="1"/>
    </row>
    <row r="7204" ht="15.75" customHeight="1">
      <c r="A7204" s="1"/>
      <c r="B7204" s="1"/>
      <c r="C7204" s="1"/>
      <c r="D7204" s="1"/>
      <c r="E7204" s="1"/>
      <c r="F7204" s="1"/>
      <c r="G7204" s="1"/>
      <c r="H7204" s="1"/>
      <c r="I7204" s="1"/>
      <c r="J7204" s="1"/>
      <c r="K7204" s="102" t="s">
        <v>11148</v>
      </c>
      <c r="L7204" s="102" t="str">
        <f>C1076</f>
        <v>J2b</v>
      </c>
      <c r="M7204" s="102"/>
      <c r="N7204" s="102" t="s">
        <v>11149</v>
      </c>
      <c r="O7204" s="105">
        <v>1.3596756E7</v>
      </c>
      <c r="P7204" s="105">
        <v>1.144108E7</v>
      </c>
      <c r="Q7204" s="102" t="s">
        <v>2501</v>
      </c>
      <c r="S7204" s="1"/>
      <c r="T7204" s="1"/>
      <c r="U7204" s="1"/>
      <c r="V7204" s="1"/>
      <c r="W7204" s="1"/>
      <c r="X7204" s="1"/>
      <c r="Y7204" s="1"/>
      <c r="AA7204" s="102"/>
      <c r="AB7204" s="1"/>
      <c r="AC7204" s="1"/>
      <c r="AD7204" s="1"/>
      <c r="AE7204" s="1"/>
      <c r="AF7204" s="1"/>
      <c r="AG7204" s="1"/>
    </row>
    <row r="7205" ht="15.75" customHeight="1">
      <c r="A7205" s="1"/>
      <c r="B7205" s="1"/>
      <c r="C7205" s="1"/>
      <c r="D7205" s="1"/>
      <c r="E7205" s="1"/>
      <c r="F7205" s="1"/>
      <c r="G7205" s="1"/>
      <c r="H7205" s="1"/>
      <c r="I7205" s="1"/>
      <c r="J7205" s="1"/>
      <c r="K7205" s="102" t="s">
        <v>11150</v>
      </c>
      <c r="L7205" s="102" t="str">
        <f>C1076</f>
        <v>J2b</v>
      </c>
      <c r="M7205" s="102"/>
      <c r="N7205" s="102" t="s">
        <v>11151</v>
      </c>
      <c r="O7205" s="105">
        <v>1.3679934E7</v>
      </c>
      <c r="P7205" s="105">
        <v>1.1524258E7</v>
      </c>
      <c r="Q7205" s="102" t="s">
        <v>2468</v>
      </c>
      <c r="S7205" s="1"/>
      <c r="T7205" s="1"/>
      <c r="U7205" s="1"/>
      <c r="V7205" s="1"/>
      <c r="W7205" s="1"/>
      <c r="X7205" s="1"/>
      <c r="Y7205" s="1"/>
      <c r="AA7205" s="102"/>
      <c r="AB7205" s="1"/>
      <c r="AC7205" s="1"/>
      <c r="AD7205" s="1"/>
      <c r="AE7205" s="1"/>
      <c r="AF7205" s="1"/>
      <c r="AG7205" s="1"/>
    </row>
    <row r="7206" ht="15.75" customHeight="1">
      <c r="A7206" s="1"/>
      <c r="B7206" s="1"/>
      <c r="C7206" s="1"/>
      <c r="D7206" s="1"/>
      <c r="E7206" s="1"/>
      <c r="F7206" s="1"/>
      <c r="G7206" s="1"/>
      <c r="H7206" s="1"/>
      <c r="I7206" s="1"/>
      <c r="J7206" s="1"/>
      <c r="K7206" s="102" t="s">
        <v>11152</v>
      </c>
      <c r="L7206" s="102" t="str">
        <f>C1076</f>
        <v>J2b</v>
      </c>
      <c r="M7206" s="102"/>
      <c r="N7206" s="102" t="s">
        <v>11153</v>
      </c>
      <c r="O7206" s="105">
        <v>2.1337979E7</v>
      </c>
      <c r="P7206" s="105">
        <v>1.9176093E7</v>
      </c>
      <c r="Q7206" s="102" t="s">
        <v>2533</v>
      </c>
      <c r="S7206" s="1"/>
      <c r="T7206" s="1"/>
      <c r="U7206" s="1"/>
      <c r="V7206" s="1"/>
      <c r="W7206" s="1"/>
      <c r="X7206" s="1"/>
      <c r="Y7206" s="1"/>
      <c r="AA7206" s="102"/>
      <c r="AB7206" s="1"/>
      <c r="AC7206" s="1"/>
      <c r="AD7206" s="1"/>
      <c r="AE7206" s="1"/>
      <c r="AF7206" s="1"/>
      <c r="AG7206" s="1"/>
    </row>
    <row r="7207" ht="15.75" customHeight="1">
      <c r="A7207" s="1"/>
      <c r="B7207" s="1"/>
      <c r="C7207" s="1"/>
      <c r="D7207" s="1"/>
      <c r="E7207" s="1"/>
      <c r="F7207" s="1"/>
      <c r="G7207" s="1"/>
      <c r="H7207" s="1"/>
      <c r="I7207" s="1"/>
      <c r="J7207" s="1"/>
      <c r="K7207" s="102" t="s">
        <v>11154</v>
      </c>
      <c r="L7207" s="102" t="str">
        <f>C1076</f>
        <v>J2b</v>
      </c>
      <c r="M7207" s="102"/>
      <c r="N7207" s="102" t="s">
        <v>11155</v>
      </c>
      <c r="O7207" s="105">
        <v>2.168754E7</v>
      </c>
      <c r="P7207" s="105">
        <v>1.9525654E7</v>
      </c>
      <c r="Q7207" s="102" t="s">
        <v>2501</v>
      </c>
      <c r="S7207" s="1"/>
      <c r="T7207" s="1"/>
      <c r="U7207" s="1"/>
      <c r="V7207" s="1"/>
      <c r="W7207" s="1"/>
      <c r="X7207" s="1"/>
      <c r="Y7207" s="1"/>
      <c r="AA7207" s="102"/>
      <c r="AB7207" s="1"/>
      <c r="AC7207" s="1"/>
      <c r="AD7207" s="1"/>
      <c r="AE7207" s="1"/>
      <c r="AF7207" s="1"/>
      <c r="AG7207" s="1"/>
    </row>
    <row r="7208" ht="15.75" customHeight="1">
      <c r="A7208" s="1"/>
      <c r="B7208" s="1"/>
      <c r="C7208" s="1"/>
      <c r="D7208" s="1"/>
      <c r="E7208" s="1"/>
      <c r="F7208" s="1"/>
      <c r="G7208" s="1"/>
      <c r="H7208" s="1"/>
      <c r="I7208" s="1"/>
      <c r="J7208" s="1"/>
      <c r="K7208" s="102" t="s">
        <v>11156</v>
      </c>
      <c r="L7208" s="102" t="str">
        <f>C1076</f>
        <v>J2b</v>
      </c>
      <c r="M7208" s="102"/>
      <c r="N7208" s="102" t="s">
        <v>11157</v>
      </c>
      <c r="O7208" s="105">
        <v>2.86626E7</v>
      </c>
      <c r="P7208" s="105">
        <v>2.6516453E7</v>
      </c>
      <c r="Q7208" s="102" t="s">
        <v>2454</v>
      </c>
      <c r="S7208" s="1"/>
      <c r="T7208" s="1"/>
      <c r="U7208" s="1"/>
      <c r="V7208" s="1"/>
      <c r="W7208" s="1"/>
      <c r="X7208" s="1"/>
      <c r="Y7208" s="1"/>
      <c r="AA7208" s="102"/>
      <c r="AB7208" s="1"/>
      <c r="AC7208" s="1"/>
      <c r="AD7208" s="1"/>
      <c r="AE7208" s="1"/>
      <c r="AF7208" s="1"/>
      <c r="AG7208" s="1"/>
    </row>
    <row r="7209" ht="15.75" customHeight="1">
      <c r="A7209" s="1"/>
      <c r="B7209" s="1"/>
      <c r="C7209" s="1"/>
      <c r="D7209" s="1"/>
      <c r="E7209" s="1"/>
      <c r="F7209" s="1"/>
      <c r="G7209" s="1"/>
      <c r="H7209" s="1"/>
      <c r="I7209" s="1"/>
      <c r="J7209" s="1"/>
      <c r="K7209" s="102" t="s">
        <v>11158</v>
      </c>
      <c r="L7209" s="102" t="str">
        <f t="shared" ref="L7209:L7210" si="188">C1076</f>
        <v>J2b</v>
      </c>
      <c r="M7209" s="102"/>
      <c r="N7209" s="102" t="s">
        <v>11159</v>
      </c>
      <c r="O7209" s="105">
        <v>2.1574099E7</v>
      </c>
      <c r="P7209" s="105">
        <v>1.9412213E7</v>
      </c>
      <c r="Q7209" s="102" t="s">
        <v>2529</v>
      </c>
      <c r="S7209" s="1"/>
      <c r="T7209" s="1"/>
      <c r="U7209" s="1"/>
      <c r="V7209" s="1"/>
      <c r="W7209" s="1"/>
      <c r="X7209" s="1"/>
      <c r="Y7209" s="1"/>
      <c r="AA7209" s="102"/>
      <c r="AB7209" s="1"/>
      <c r="AC7209" s="1"/>
      <c r="AD7209" s="1"/>
      <c r="AE7209" s="1"/>
      <c r="AF7209" s="1"/>
      <c r="AG7209" s="1"/>
    </row>
    <row r="7210" ht="15.75" customHeight="1">
      <c r="A7210" s="1"/>
      <c r="B7210" s="1"/>
      <c r="C7210" s="1"/>
      <c r="D7210" s="1"/>
      <c r="E7210" s="1"/>
      <c r="F7210" s="1"/>
      <c r="G7210" s="1"/>
      <c r="H7210" s="1"/>
      <c r="I7210" s="1"/>
      <c r="J7210" s="1"/>
      <c r="K7210" s="102" t="s">
        <v>11160</v>
      </c>
      <c r="L7210" s="102" t="str">
        <f t="shared" si="188"/>
        <v>J2b~</v>
      </c>
      <c r="M7210" s="102" t="s">
        <v>11161</v>
      </c>
      <c r="N7210" s="102" t="s">
        <v>11162</v>
      </c>
      <c r="O7210" s="105">
        <v>7087320.0</v>
      </c>
      <c r="P7210" s="105">
        <v>7219279.0</v>
      </c>
      <c r="Q7210" s="102" t="s">
        <v>2576</v>
      </c>
      <c r="S7210" s="1"/>
      <c r="T7210" s="1"/>
      <c r="U7210" s="1"/>
      <c r="V7210" s="1"/>
      <c r="W7210" s="1"/>
      <c r="X7210" s="1"/>
      <c r="Y7210" s="1"/>
      <c r="AA7210" s="102"/>
      <c r="AB7210" s="1"/>
      <c r="AC7210" s="1"/>
      <c r="AD7210" s="1"/>
      <c r="AE7210" s="1"/>
      <c r="AF7210" s="1"/>
      <c r="AG7210" s="1"/>
    </row>
    <row r="7211" ht="15.75" customHeight="1">
      <c r="A7211" s="1"/>
      <c r="B7211" s="1"/>
      <c r="C7211" s="1"/>
      <c r="D7211" s="1"/>
      <c r="E7211" s="1"/>
      <c r="F7211" s="1"/>
      <c r="G7211" s="1"/>
      <c r="H7211" s="1"/>
      <c r="I7211" s="1"/>
      <c r="J7211" s="1"/>
      <c r="K7211" s="102" t="s">
        <v>11163</v>
      </c>
      <c r="L7211" s="102" t="str">
        <f>C1077</f>
        <v>J2b~</v>
      </c>
      <c r="M7211" s="102" t="s">
        <v>11164</v>
      </c>
      <c r="N7211" s="102" t="s">
        <v>11162</v>
      </c>
      <c r="O7211" s="105">
        <v>7087320.0</v>
      </c>
      <c r="P7211" s="105">
        <v>7219279.0</v>
      </c>
      <c r="Q7211" s="102" t="s">
        <v>2576</v>
      </c>
      <c r="S7211" s="1"/>
      <c r="T7211" s="1"/>
      <c r="U7211" s="1"/>
      <c r="V7211" s="1"/>
      <c r="W7211" s="1"/>
      <c r="X7211" s="1"/>
      <c r="Y7211" s="1"/>
      <c r="AA7211" s="102"/>
      <c r="AB7211" s="1"/>
      <c r="AC7211" s="1"/>
      <c r="AD7211" s="1"/>
      <c r="AE7211" s="1"/>
      <c r="AF7211" s="1"/>
      <c r="AG7211" s="1"/>
    </row>
    <row r="7212" ht="15.75" customHeight="1">
      <c r="A7212" s="1"/>
      <c r="B7212" s="1"/>
      <c r="C7212" s="1"/>
      <c r="D7212" s="1"/>
      <c r="E7212" s="1"/>
      <c r="F7212" s="1"/>
      <c r="G7212" s="1"/>
      <c r="H7212" s="1"/>
      <c r="I7212" s="1"/>
      <c r="J7212" s="1"/>
      <c r="K7212" s="102" t="s">
        <v>11165</v>
      </c>
      <c r="L7212" s="102" t="str">
        <f>C1077</f>
        <v>J2b~</v>
      </c>
      <c r="M7212" s="102" t="s">
        <v>11166</v>
      </c>
      <c r="N7212" s="102" t="s">
        <v>11162</v>
      </c>
      <c r="O7212" s="105">
        <v>7087320.0</v>
      </c>
      <c r="P7212" s="105">
        <v>7219279.0</v>
      </c>
      <c r="Q7212" s="102" t="s">
        <v>2576</v>
      </c>
      <c r="S7212" s="1"/>
      <c r="T7212" s="1"/>
      <c r="U7212" s="1"/>
      <c r="V7212" s="1"/>
      <c r="W7212" s="1"/>
      <c r="X7212" s="1"/>
      <c r="Y7212" s="1"/>
      <c r="AA7212" s="102"/>
      <c r="AB7212" s="1"/>
      <c r="AC7212" s="1"/>
      <c r="AD7212" s="1"/>
      <c r="AE7212" s="1"/>
      <c r="AF7212" s="1"/>
      <c r="AG7212" s="1"/>
    </row>
    <row r="7213" ht="15.75" customHeight="1">
      <c r="A7213" s="1"/>
      <c r="B7213" s="1"/>
      <c r="C7213" s="1"/>
      <c r="D7213" s="1"/>
      <c r="E7213" s="1"/>
      <c r="F7213" s="1"/>
      <c r="G7213" s="1"/>
      <c r="H7213" s="1"/>
      <c r="I7213" s="1"/>
      <c r="J7213" s="1"/>
      <c r="K7213" s="102" t="s">
        <v>11167</v>
      </c>
      <c r="L7213" s="102" t="str">
        <f>C1077</f>
        <v>J2b~</v>
      </c>
      <c r="M7213" s="102" t="s">
        <v>11168</v>
      </c>
      <c r="N7213" s="102" t="s">
        <v>11169</v>
      </c>
      <c r="O7213" s="105">
        <v>7356698.0</v>
      </c>
      <c r="P7213" s="105">
        <v>7488657.0</v>
      </c>
      <c r="Q7213" s="102" t="s">
        <v>2576</v>
      </c>
      <c r="S7213" s="1"/>
      <c r="T7213" s="1"/>
      <c r="U7213" s="1"/>
      <c r="V7213" s="1"/>
      <c r="W7213" s="1"/>
      <c r="X7213" s="1"/>
      <c r="Y7213" s="1"/>
      <c r="AA7213" s="102"/>
      <c r="AB7213" s="1"/>
      <c r="AC7213" s="1"/>
      <c r="AD7213" s="1"/>
      <c r="AE7213" s="1"/>
      <c r="AF7213" s="1"/>
      <c r="AG7213" s="1"/>
    </row>
    <row r="7214" ht="15.75" customHeight="1">
      <c r="A7214" s="1"/>
      <c r="B7214" s="1"/>
      <c r="C7214" s="1"/>
      <c r="D7214" s="1"/>
      <c r="E7214" s="1"/>
      <c r="F7214" s="1"/>
      <c r="G7214" s="1"/>
      <c r="H7214" s="1"/>
      <c r="I7214" s="1"/>
      <c r="J7214" s="1"/>
      <c r="K7214" s="102" t="s">
        <v>11170</v>
      </c>
      <c r="L7214" s="102" t="str">
        <f>C1077</f>
        <v>J2b~</v>
      </c>
      <c r="M7214" s="102" t="s">
        <v>11171</v>
      </c>
      <c r="N7214" s="102" t="s">
        <v>11169</v>
      </c>
      <c r="O7214" s="105">
        <v>7356698.0</v>
      </c>
      <c r="P7214" s="105">
        <v>7488657.0</v>
      </c>
      <c r="Q7214" s="102" t="s">
        <v>2576</v>
      </c>
      <c r="S7214" s="1"/>
      <c r="T7214" s="1"/>
      <c r="U7214" s="1"/>
      <c r="V7214" s="1"/>
      <c r="W7214" s="1"/>
      <c r="X7214" s="1"/>
      <c r="Y7214" s="1"/>
      <c r="AA7214" s="102"/>
      <c r="AB7214" s="1"/>
      <c r="AC7214" s="1"/>
      <c r="AD7214" s="1"/>
      <c r="AE7214" s="1"/>
      <c r="AF7214" s="1"/>
      <c r="AG7214" s="1"/>
    </row>
    <row r="7215" ht="15.75" customHeight="1">
      <c r="A7215" s="1"/>
      <c r="B7215" s="1"/>
      <c r="C7215" s="1"/>
      <c r="D7215" s="1"/>
      <c r="E7215" s="1"/>
      <c r="F7215" s="1"/>
      <c r="G7215" s="1"/>
      <c r="H7215" s="1"/>
      <c r="I7215" s="1"/>
      <c r="J7215" s="1"/>
      <c r="K7215" s="102" t="s">
        <v>11172</v>
      </c>
      <c r="L7215" s="102" t="str">
        <f>C1077</f>
        <v>J2b~</v>
      </c>
      <c r="M7215" s="102" t="s">
        <v>11173</v>
      </c>
      <c r="N7215" s="102" t="s">
        <v>11169</v>
      </c>
      <c r="O7215" s="105">
        <v>7356698.0</v>
      </c>
      <c r="P7215" s="105">
        <v>7488657.0</v>
      </c>
      <c r="Q7215" s="102" t="s">
        <v>2576</v>
      </c>
      <c r="S7215" s="1"/>
      <c r="T7215" s="1"/>
      <c r="U7215" s="1"/>
      <c r="V7215" s="1"/>
      <c r="W7215" s="1"/>
      <c r="X7215" s="1"/>
      <c r="Y7215" s="1"/>
      <c r="AA7215" s="102"/>
      <c r="AB7215" s="1"/>
      <c r="AC7215" s="1"/>
      <c r="AD7215" s="1"/>
      <c r="AE7215" s="1"/>
      <c r="AF7215" s="1"/>
      <c r="AG7215" s="1"/>
    </row>
    <row r="7216" ht="15.75" customHeight="1">
      <c r="A7216" s="1"/>
      <c r="B7216" s="1"/>
      <c r="C7216" s="1"/>
      <c r="D7216" s="1"/>
      <c r="E7216" s="1"/>
      <c r="F7216" s="1"/>
      <c r="G7216" s="1"/>
      <c r="H7216" s="1"/>
      <c r="I7216" s="1"/>
      <c r="J7216" s="1"/>
      <c r="K7216" s="102" t="s">
        <v>11174</v>
      </c>
      <c r="L7216" s="102" t="str">
        <f>C1077</f>
        <v>J2b~</v>
      </c>
      <c r="M7216" s="102" t="s">
        <v>11175</v>
      </c>
      <c r="N7216" s="102" t="s">
        <v>11176</v>
      </c>
      <c r="O7216" s="105">
        <v>1.7411874E7</v>
      </c>
      <c r="P7216" s="105">
        <v>1.5299994E7</v>
      </c>
      <c r="Q7216" s="102" t="s">
        <v>2514</v>
      </c>
      <c r="S7216" s="1"/>
      <c r="T7216" s="1"/>
      <c r="U7216" s="1"/>
      <c r="V7216" s="1"/>
      <c r="W7216" s="1"/>
      <c r="X7216" s="1"/>
      <c r="Y7216" s="1"/>
      <c r="AA7216" s="102"/>
      <c r="AB7216" s="1"/>
      <c r="AC7216" s="1"/>
      <c r="AD7216" s="1"/>
      <c r="AE7216" s="1"/>
      <c r="AF7216" s="1"/>
      <c r="AG7216" s="1"/>
    </row>
    <row r="7217" ht="15.75" customHeight="1">
      <c r="A7217" s="1"/>
      <c r="B7217" s="1"/>
      <c r="C7217" s="1"/>
      <c r="D7217" s="1"/>
      <c r="E7217" s="1"/>
      <c r="F7217" s="1"/>
      <c r="G7217" s="1"/>
      <c r="H7217" s="1"/>
      <c r="I7217" s="1"/>
      <c r="J7217" s="1"/>
      <c r="K7217" s="102" t="s">
        <v>11175</v>
      </c>
      <c r="L7217" s="102" t="str">
        <f>C1077</f>
        <v>J2b~</v>
      </c>
      <c r="M7217" s="102" t="s">
        <v>11174</v>
      </c>
      <c r="N7217" s="102" t="s">
        <v>11177</v>
      </c>
      <c r="O7217" s="105">
        <v>1.6652684E7</v>
      </c>
      <c r="P7217" s="105">
        <v>1.4540804E7</v>
      </c>
      <c r="Q7217" s="102" t="s">
        <v>2501</v>
      </c>
      <c r="S7217" s="1"/>
      <c r="T7217" s="1"/>
      <c r="U7217" s="1"/>
      <c r="V7217" s="1"/>
      <c r="W7217" s="1"/>
      <c r="X7217" s="1"/>
      <c r="Y7217" s="1"/>
      <c r="AA7217" s="102"/>
      <c r="AB7217" s="1"/>
      <c r="AC7217" s="1"/>
      <c r="AD7217" s="1"/>
      <c r="AE7217" s="1"/>
      <c r="AF7217" s="1"/>
      <c r="AG7217" s="1"/>
    </row>
    <row r="7218" ht="15.75" customHeight="1">
      <c r="A7218" s="1"/>
      <c r="B7218" s="1"/>
      <c r="C7218" s="1"/>
      <c r="D7218" s="1"/>
      <c r="E7218" s="1"/>
      <c r="F7218" s="1"/>
      <c r="G7218" s="1"/>
      <c r="H7218" s="1"/>
      <c r="I7218" s="1"/>
      <c r="J7218" s="1"/>
      <c r="K7218" s="102" t="s">
        <v>11178</v>
      </c>
      <c r="L7218" s="102" t="str">
        <f>C1077</f>
        <v>J2b~</v>
      </c>
      <c r="M7218" s="102" t="s">
        <v>11179</v>
      </c>
      <c r="N7218" s="102" t="s">
        <v>11180</v>
      </c>
      <c r="O7218" s="105">
        <v>1.6847801E7</v>
      </c>
      <c r="P7218" s="105">
        <v>1.4735921E7</v>
      </c>
      <c r="Q7218" s="102" t="s">
        <v>2446</v>
      </c>
      <c r="S7218" s="1"/>
      <c r="T7218" s="1"/>
      <c r="U7218" s="1"/>
      <c r="V7218" s="1"/>
      <c r="W7218" s="1"/>
      <c r="X7218" s="1"/>
      <c r="Y7218" s="1"/>
      <c r="AA7218" s="102"/>
      <c r="AB7218" s="1"/>
      <c r="AC7218" s="1"/>
      <c r="AD7218" s="1"/>
      <c r="AE7218" s="1"/>
      <c r="AF7218" s="1"/>
      <c r="AG7218" s="1"/>
    </row>
    <row r="7219" ht="15.75" customHeight="1">
      <c r="A7219" s="1"/>
      <c r="B7219" s="1"/>
      <c r="C7219" s="1"/>
      <c r="D7219" s="1"/>
      <c r="E7219" s="1"/>
      <c r="F7219" s="1"/>
      <c r="G7219" s="1"/>
      <c r="H7219" s="1"/>
      <c r="I7219" s="1"/>
      <c r="J7219" s="1"/>
      <c r="K7219" s="102" t="s">
        <v>11179</v>
      </c>
      <c r="L7219" s="102" t="str">
        <f>C1077</f>
        <v>J2b~</v>
      </c>
      <c r="M7219" s="102" t="s">
        <v>11178</v>
      </c>
      <c r="N7219" s="102" t="s">
        <v>11180</v>
      </c>
      <c r="O7219" s="105">
        <v>1.6847801E7</v>
      </c>
      <c r="P7219" s="105">
        <v>1.4735921E7</v>
      </c>
      <c r="Q7219" s="102" t="s">
        <v>2446</v>
      </c>
      <c r="S7219" s="1"/>
      <c r="T7219" s="1"/>
      <c r="U7219" s="1"/>
      <c r="V7219" s="1"/>
      <c r="W7219" s="1"/>
      <c r="X7219" s="1"/>
      <c r="Y7219" s="1"/>
      <c r="AA7219" s="102"/>
      <c r="AB7219" s="1"/>
      <c r="AC7219" s="1"/>
      <c r="AD7219" s="1"/>
      <c r="AE7219" s="1"/>
      <c r="AF7219" s="1"/>
      <c r="AG7219" s="1"/>
    </row>
    <row r="7220" ht="15.75" customHeight="1">
      <c r="A7220" s="1"/>
      <c r="B7220" s="1"/>
      <c r="C7220" s="1"/>
      <c r="D7220" s="1"/>
      <c r="E7220" s="1"/>
      <c r="F7220" s="1"/>
      <c r="G7220" s="1"/>
      <c r="H7220" s="1"/>
      <c r="I7220" s="1"/>
      <c r="J7220" s="1"/>
      <c r="K7220" s="102" t="s">
        <v>11181</v>
      </c>
      <c r="L7220" s="102" t="str">
        <f>C1077</f>
        <v>J2b~</v>
      </c>
      <c r="M7220" s="102"/>
      <c r="N7220" s="102" t="s">
        <v>11182</v>
      </c>
      <c r="O7220" s="105">
        <v>1.7678214E7</v>
      </c>
      <c r="P7220" s="105">
        <v>1.5566334E7</v>
      </c>
      <c r="Q7220" s="102" t="s">
        <v>2439</v>
      </c>
      <c r="S7220" s="1"/>
      <c r="T7220" s="1"/>
      <c r="U7220" s="1"/>
      <c r="V7220" s="1"/>
      <c r="W7220" s="1"/>
      <c r="X7220" s="1"/>
      <c r="Y7220" s="1"/>
      <c r="AA7220" s="102"/>
      <c r="AB7220" s="1"/>
      <c r="AC7220" s="1"/>
      <c r="AD7220" s="1"/>
      <c r="AE7220" s="1"/>
      <c r="AF7220" s="1"/>
      <c r="AG7220" s="1"/>
    </row>
    <row r="7221" ht="15.75" customHeight="1">
      <c r="A7221" s="1"/>
      <c r="B7221" s="1"/>
      <c r="C7221" s="1"/>
      <c r="D7221" s="1"/>
      <c r="E7221" s="1"/>
      <c r="F7221" s="1"/>
      <c r="G7221" s="1"/>
      <c r="H7221" s="1"/>
      <c r="I7221" s="1"/>
      <c r="J7221" s="1"/>
      <c r="K7221" s="102" t="s">
        <v>11183</v>
      </c>
      <c r="L7221" s="102" t="str">
        <f>C1077</f>
        <v>J2b~</v>
      </c>
      <c r="M7221" s="102" t="s">
        <v>11184</v>
      </c>
      <c r="N7221" s="102" t="s">
        <v>11185</v>
      </c>
      <c r="O7221" s="105">
        <v>1.7709008E7</v>
      </c>
      <c r="P7221" s="105">
        <v>1.5597128E7</v>
      </c>
      <c r="Q7221" s="102" t="s">
        <v>2514</v>
      </c>
      <c r="S7221" s="1"/>
      <c r="T7221" s="1"/>
      <c r="U7221" s="1"/>
      <c r="V7221" s="1"/>
      <c r="W7221" s="1"/>
      <c r="X7221" s="1"/>
      <c r="Y7221" s="1"/>
      <c r="AA7221" s="102"/>
      <c r="AB7221" s="1"/>
      <c r="AC7221" s="1"/>
      <c r="AD7221" s="1"/>
      <c r="AE7221" s="1"/>
      <c r="AF7221" s="1"/>
      <c r="AG7221" s="1"/>
    </row>
    <row r="7222" ht="15.75" customHeight="1">
      <c r="A7222" s="1"/>
      <c r="B7222" s="1"/>
      <c r="C7222" s="1"/>
      <c r="D7222" s="1"/>
      <c r="E7222" s="1"/>
      <c r="F7222" s="1"/>
      <c r="G7222" s="1"/>
      <c r="H7222" s="1"/>
      <c r="I7222" s="1"/>
      <c r="J7222" s="1"/>
      <c r="K7222" s="102" t="s">
        <v>11184</v>
      </c>
      <c r="L7222" s="102" t="str">
        <f>C1077</f>
        <v>J2b~</v>
      </c>
      <c r="M7222" s="102" t="s">
        <v>11183</v>
      </c>
      <c r="N7222" s="102" t="s">
        <v>11185</v>
      </c>
      <c r="O7222" s="105">
        <v>1.7709008E7</v>
      </c>
      <c r="P7222" s="105">
        <v>1.5597128E7</v>
      </c>
      <c r="Q7222" s="102" t="s">
        <v>2514</v>
      </c>
      <c r="S7222" s="1"/>
      <c r="T7222" s="1"/>
      <c r="U7222" s="1"/>
      <c r="V7222" s="1"/>
      <c r="W7222" s="1"/>
      <c r="X7222" s="1"/>
      <c r="Y7222" s="1"/>
      <c r="AA7222" s="102"/>
      <c r="AB7222" s="1"/>
      <c r="AC7222" s="1"/>
      <c r="AD7222" s="1"/>
      <c r="AE7222" s="1"/>
      <c r="AF7222" s="1"/>
      <c r="AG7222" s="1"/>
    </row>
    <row r="7223" ht="15.75" customHeight="1">
      <c r="A7223" s="1"/>
      <c r="B7223" s="1"/>
      <c r="C7223" s="1"/>
      <c r="D7223" s="1"/>
      <c r="E7223" s="1"/>
      <c r="F7223" s="1"/>
      <c r="G7223" s="1"/>
      <c r="H7223" s="1"/>
      <c r="I7223" s="1"/>
      <c r="J7223" s="1"/>
      <c r="K7223" s="102" t="s">
        <v>11186</v>
      </c>
      <c r="L7223" s="102" t="str">
        <f>C1077</f>
        <v>J2b~</v>
      </c>
      <c r="M7223" s="102"/>
      <c r="N7223" s="102" t="s">
        <v>11187</v>
      </c>
      <c r="O7223" s="105">
        <v>1.7833978E7</v>
      </c>
      <c r="P7223" s="105">
        <v>1.5722098E7</v>
      </c>
      <c r="Q7223" s="102" t="s">
        <v>2439</v>
      </c>
      <c r="S7223" s="1"/>
      <c r="T7223" s="1"/>
      <c r="U7223" s="1"/>
      <c r="V7223" s="1"/>
      <c r="W7223" s="1"/>
      <c r="X7223" s="1"/>
      <c r="Y7223" s="1"/>
      <c r="AA7223" s="102"/>
      <c r="AB7223" s="1"/>
      <c r="AC7223" s="1"/>
      <c r="AD7223" s="1"/>
      <c r="AE7223" s="1"/>
      <c r="AF7223" s="1"/>
      <c r="AG7223" s="1"/>
    </row>
    <row r="7224" ht="15.75" customHeight="1">
      <c r="A7224" s="1"/>
      <c r="B7224" s="1"/>
      <c r="C7224" s="1"/>
      <c r="D7224" s="1"/>
      <c r="E7224" s="1"/>
      <c r="F7224" s="1"/>
      <c r="G7224" s="1"/>
      <c r="H7224" s="1"/>
      <c r="I7224" s="1"/>
      <c r="J7224" s="1"/>
      <c r="K7224" s="102" t="s">
        <v>11188</v>
      </c>
      <c r="L7224" s="102" t="str">
        <f>C1077</f>
        <v>J2b~</v>
      </c>
      <c r="M7224" s="102"/>
      <c r="N7224" s="102" t="s">
        <v>11189</v>
      </c>
      <c r="O7224" s="105">
        <v>2.2804321E7</v>
      </c>
      <c r="P7224" s="105">
        <v>2.0642435E7</v>
      </c>
      <c r="Q7224" s="102" t="s">
        <v>2468</v>
      </c>
      <c r="S7224" s="1"/>
      <c r="T7224" s="1"/>
      <c r="U7224" s="1"/>
      <c r="V7224" s="1"/>
      <c r="W7224" s="1"/>
      <c r="X7224" s="1"/>
      <c r="Y7224" s="1"/>
      <c r="AA7224" s="102"/>
      <c r="AB7224" s="1"/>
      <c r="AC7224" s="1"/>
      <c r="AD7224" s="1"/>
      <c r="AE7224" s="1"/>
      <c r="AF7224" s="1"/>
      <c r="AG7224" s="1"/>
    </row>
    <row r="7225" ht="15.75" customHeight="1">
      <c r="A7225" s="1"/>
      <c r="B7225" s="1"/>
      <c r="C7225" s="1"/>
      <c r="D7225" s="1"/>
      <c r="E7225" s="1"/>
      <c r="F7225" s="1"/>
      <c r="G7225" s="1"/>
      <c r="H7225" s="1"/>
      <c r="I7225" s="1"/>
      <c r="J7225" s="1"/>
      <c r="K7225" s="102" t="s">
        <v>11190</v>
      </c>
      <c r="L7225" s="102" t="str">
        <f>C1077</f>
        <v>J2b~</v>
      </c>
      <c r="M7225" s="102"/>
      <c r="N7225" s="102" t="s">
        <v>11191</v>
      </c>
      <c r="O7225" s="105">
        <v>2.3372231E7</v>
      </c>
      <c r="P7225" s="105">
        <v>2.1210345E7</v>
      </c>
      <c r="Q7225" s="102" t="s">
        <v>2454</v>
      </c>
      <c r="S7225" s="1"/>
      <c r="T7225" s="1"/>
      <c r="U7225" s="1"/>
      <c r="V7225" s="1"/>
      <c r="W7225" s="1"/>
      <c r="X7225" s="1"/>
      <c r="Y7225" s="1"/>
      <c r="AA7225" s="102"/>
      <c r="AB7225" s="1"/>
      <c r="AC7225" s="1"/>
      <c r="AD7225" s="1"/>
      <c r="AE7225" s="1"/>
      <c r="AF7225" s="1"/>
      <c r="AG7225" s="1"/>
    </row>
    <row r="7226" ht="15.75" customHeight="1">
      <c r="A7226" s="1"/>
      <c r="B7226" s="1"/>
      <c r="C7226" s="1"/>
      <c r="D7226" s="1"/>
      <c r="E7226" s="1"/>
      <c r="F7226" s="1"/>
      <c r="G7226" s="1"/>
      <c r="H7226" s="1"/>
      <c r="I7226" s="1"/>
      <c r="J7226" s="1"/>
      <c r="K7226" s="102" t="s">
        <v>11192</v>
      </c>
      <c r="L7226" s="102" t="str">
        <f>C1077</f>
        <v>J2b~</v>
      </c>
      <c r="M7226" s="102" t="s">
        <v>11193</v>
      </c>
      <c r="N7226" s="102" t="s">
        <v>11194</v>
      </c>
      <c r="O7226" s="105">
        <v>8535159.0</v>
      </c>
      <c r="P7226" s="105">
        <v>8667118.0</v>
      </c>
      <c r="Q7226" s="102" t="s">
        <v>2439</v>
      </c>
      <c r="S7226" s="1"/>
      <c r="T7226" s="1"/>
      <c r="U7226" s="1"/>
      <c r="V7226" s="1"/>
      <c r="W7226" s="1"/>
      <c r="X7226" s="1"/>
      <c r="Y7226" s="1"/>
      <c r="AA7226" s="102"/>
      <c r="AB7226" s="1"/>
      <c r="AC7226" s="1"/>
      <c r="AD7226" s="1"/>
      <c r="AE7226" s="1"/>
      <c r="AF7226" s="1"/>
      <c r="AG7226" s="1"/>
    </row>
    <row r="7227" ht="15.75" customHeight="1">
      <c r="A7227" s="1"/>
      <c r="B7227" s="1"/>
      <c r="C7227" s="1"/>
      <c r="D7227" s="1"/>
      <c r="E7227" s="1"/>
      <c r="F7227" s="1"/>
      <c r="G7227" s="1"/>
      <c r="H7227" s="1"/>
      <c r="I7227" s="1"/>
      <c r="J7227" s="1"/>
      <c r="K7227" s="102" t="s">
        <v>11193</v>
      </c>
      <c r="L7227" s="102" t="str">
        <f>C1077</f>
        <v>J2b~</v>
      </c>
      <c r="M7227" s="102" t="s">
        <v>11192</v>
      </c>
      <c r="N7227" s="102" t="s">
        <v>11194</v>
      </c>
      <c r="O7227" s="105">
        <v>8535159.0</v>
      </c>
      <c r="P7227" s="105">
        <v>8667118.0</v>
      </c>
      <c r="Q7227" s="102" t="s">
        <v>2439</v>
      </c>
      <c r="S7227" s="1"/>
      <c r="T7227" s="1"/>
      <c r="U7227" s="1"/>
      <c r="V7227" s="1"/>
      <c r="W7227" s="1"/>
      <c r="X7227" s="1"/>
      <c r="Y7227" s="1"/>
      <c r="AA7227" s="102"/>
      <c r="AB7227" s="1"/>
      <c r="AC7227" s="1"/>
      <c r="AD7227" s="1"/>
      <c r="AE7227" s="1"/>
      <c r="AF7227" s="1"/>
      <c r="AG7227" s="1"/>
    </row>
    <row r="7228" ht="15.75" customHeight="1">
      <c r="A7228" s="1"/>
      <c r="B7228" s="1"/>
      <c r="C7228" s="1"/>
      <c r="D7228" s="1"/>
      <c r="E7228" s="1"/>
      <c r="F7228" s="1"/>
      <c r="G7228" s="1"/>
      <c r="H7228" s="1"/>
      <c r="I7228" s="1"/>
      <c r="J7228" s="1"/>
      <c r="K7228" s="102" t="s">
        <v>11195</v>
      </c>
      <c r="L7228" s="102" t="str">
        <f>C1077</f>
        <v>J2b~</v>
      </c>
      <c r="M7228" s="102" t="s">
        <v>11196</v>
      </c>
      <c r="N7228" s="102" t="s">
        <v>11197</v>
      </c>
      <c r="O7228" s="105">
        <v>1.6362315E7</v>
      </c>
      <c r="P7228" s="105">
        <v>1.4250435E7</v>
      </c>
      <c r="Q7228" s="102" t="s">
        <v>2529</v>
      </c>
      <c r="S7228" s="1"/>
      <c r="T7228" s="1"/>
      <c r="U7228" s="1"/>
      <c r="V7228" s="1"/>
      <c r="W7228" s="1"/>
      <c r="X7228" s="1"/>
      <c r="Y7228" s="1"/>
      <c r="AA7228" s="102"/>
      <c r="AB7228" s="1"/>
      <c r="AC7228" s="1"/>
      <c r="AD7228" s="1"/>
      <c r="AE7228" s="1"/>
      <c r="AF7228" s="1"/>
      <c r="AG7228" s="1"/>
    </row>
    <row r="7229" ht="15.75" customHeight="1">
      <c r="A7229" s="1"/>
      <c r="B7229" s="1"/>
      <c r="C7229" s="1"/>
      <c r="D7229" s="1"/>
      <c r="E7229" s="1"/>
      <c r="F7229" s="1"/>
      <c r="G7229" s="1"/>
      <c r="H7229" s="1"/>
      <c r="I7229" s="1"/>
      <c r="J7229" s="1"/>
      <c r="K7229" s="102" t="s">
        <v>11196</v>
      </c>
      <c r="L7229" s="102" t="str">
        <f>C1077</f>
        <v>J2b~</v>
      </c>
      <c r="M7229" s="102" t="s">
        <v>11195</v>
      </c>
      <c r="N7229" s="102" t="s">
        <v>11197</v>
      </c>
      <c r="O7229" s="105">
        <v>1.6362315E7</v>
      </c>
      <c r="P7229" s="105">
        <v>1.4250435E7</v>
      </c>
      <c r="Q7229" s="102" t="s">
        <v>2529</v>
      </c>
      <c r="S7229" s="1"/>
      <c r="T7229" s="1"/>
      <c r="U7229" s="1"/>
      <c r="V7229" s="1"/>
      <c r="W7229" s="1"/>
      <c r="X7229" s="1"/>
      <c r="Y7229" s="1"/>
      <c r="AA7229" s="102"/>
      <c r="AB7229" s="1"/>
      <c r="AC7229" s="1"/>
      <c r="AD7229" s="1"/>
      <c r="AE7229" s="1"/>
      <c r="AF7229" s="1"/>
      <c r="AG7229" s="1"/>
    </row>
    <row r="7230" ht="15.75" customHeight="1">
      <c r="A7230" s="1"/>
      <c r="B7230" s="1"/>
      <c r="C7230" s="1"/>
      <c r="D7230" s="1"/>
      <c r="E7230" s="1"/>
      <c r="F7230" s="1"/>
      <c r="G7230" s="1"/>
      <c r="H7230" s="1"/>
      <c r="I7230" s="1"/>
      <c r="J7230" s="1"/>
      <c r="K7230" s="102" t="s">
        <v>11198</v>
      </c>
      <c r="L7230" s="102" t="str">
        <f>C1077</f>
        <v>J2b~</v>
      </c>
      <c r="M7230" s="102" t="s">
        <v>11199</v>
      </c>
      <c r="N7230" s="102" t="s">
        <v>11200</v>
      </c>
      <c r="O7230" s="105">
        <v>1.7997207E7</v>
      </c>
      <c r="P7230" s="105">
        <v>1.5885327E7</v>
      </c>
      <c r="Q7230" s="102" t="s">
        <v>2576</v>
      </c>
      <c r="S7230" s="1"/>
      <c r="T7230" s="1"/>
      <c r="U7230" s="1"/>
      <c r="V7230" s="1"/>
      <c r="W7230" s="1"/>
      <c r="X7230" s="1"/>
      <c r="Y7230" s="1"/>
      <c r="AA7230" s="102"/>
      <c r="AB7230" s="1"/>
      <c r="AC7230" s="1"/>
      <c r="AD7230" s="1"/>
      <c r="AE7230" s="1"/>
      <c r="AF7230" s="1"/>
      <c r="AG7230" s="1"/>
    </row>
    <row r="7231" ht="15.75" customHeight="1">
      <c r="A7231" s="1"/>
      <c r="B7231" s="1"/>
      <c r="C7231" s="1"/>
      <c r="D7231" s="1"/>
      <c r="E7231" s="1"/>
      <c r="F7231" s="1"/>
      <c r="G7231" s="1"/>
      <c r="H7231" s="1"/>
      <c r="I7231" s="1"/>
      <c r="J7231" s="1"/>
      <c r="K7231" s="102" t="s">
        <v>11199</v>
      </c>
      <c r="L7231" s="102" t="str">
        <f>C1077</f>
        <v>J2b~</v>
      </c>
      <c r="M7231" s="102" t="s">
        <v>11198</v>
      </c>
      <c r="N7231" s="102" t="s">
        <v>11200</v>
      </c>
      <c r="O7231" s="105">
        <v>1.7997207E7</v>
      </c>
      <c r="P7231" s="105">
        <v>1.5885327E7</v>
      </c>
      <c r="Q7231" s="102" t="s">
        <v>2576</v>
      </c>
      <c r="S7231" s="1"/>
      <c r="T7231" s="1"/>
      <c r="U7231" s="1"/>
      <c r="V7231" s="1"/>
      <c r="W7231" s="1"/>
      <c r="X7231" s="1"/>
      <c r="Y7231" s="1"/>
      <c r="AA7231" s="102"/>
      <c r="AB7231" s="1"/>
      <c r="AC7231" s="1"/>
      <c r="AD7231" s="1"/>
      <c r="AE7231" s="1"/>
      <c r="AF7231" s="1"/>
      <c r="AG7231" s="1"/>
    </row>
    <row r="7232" ht="15.75" customHeight="1">
      <c r="A7232" s="1"/>
      <c r="B7232" s="1"/>
      <c r="C7232" s="1"/>
      <c r="D7232" s="1"/>
      <c r="E7232" s="1"/>
      <c r="F7232" s="1"/>
      <c r="G7232" s="1"/>
      <c r="H7232" s="1"/>
      <c r="I7232" s="1"/>
      <c r="J7232" s="1"/>
      <c r="K7232" s="102" t="s">
        <v>11201</v>
      </c>
      <c r="L7232" s="102" t="str">
        <f>C1077</f>
        <v>J2b~</v>
      </c>
      <c r="M7232" s="102"/>
      <c r="N7232" s="102" t="s">
        <v>11202</v>
      </c>
      <c r="O7232" s="105">
        <v>2.1068407E7</v>
      </c>
      <c r="P7232" s="105">
        <v>1.8906521E7</v>
      </c>
      <c r="Q7232" s="102" t="s">
        <v>2501</v>
      </c>
      <c r="S7232" s="1"/>
      <c r="T7232" s="1"/>
      <c r="U7232" s="1"/>
      <c r="V7232" s="1"/>
      <c r="W7232" s="1"/>
      <c r="X7232" s="1"/>
      <c r="Y7232" s="1"/>
      <c r="AA7232" s="102"/>
      <c r="AB7232" s="1"/>
      <c r="AC7232" s="1"/>
      <c r="AD7232" s="1"/>
      <c r="AE7232" s="1"/>
      <c r="AF7232" s="1"/>
      <c r="AG7232" s="1"/>
    </row>
    <row r="7233" ht="15.75" customHeight="1">
      <c r="A7233" s="1"/>
      <c r="B7233" s="1"/>
      <c r="C7233" s="1"/>
      <c r="D7233" s="1"/>
      <c r="E7233" s="1"/>
      <c r="F7233" s="1"/>
      <c r="G7233" s="1"/>
      <c r="H7233" s="1"/>
      <c r="I7233" s="1"/>
      <c r="J7233" s="1"/>
      <c r="K7233" s="102" t="s">
        <v>11203</v>
      </c>
      <c r="L7233" s="102" t="str">
        <f>C1077</f>
        <v>J2b~</v>
      </c>
      <c r="M7233" s="102"/>
      <c r="N7233" s="102" t="s">
        <v>11204</v>
      </c>
      <c r="O7233" s="105">
        <v>1.5373775E7</v>
      </c>
      <c r="P7233" s="105">
        <v>1.3261895E7</v>
      </c>
      <c r="Q7233" s="102" t="s">
        <v>2529</v>
      </c>
      <c r="S7233" s="1"/>
      <c r="T7233" s="1"/>
      <c r="U7233" s="1"/>
      <c r="V7233" s="1"/>
      <c r="W7233" s="1"/>
      <c r="X7233" s="1"/>
      <c r="Y7233" s="1"/>
      <c r="AA7233" s="102"/>
      <c r="AB7233" s="1"/>
      <c r="AC7233" s="1"/>
      <c r="AD7233" s="1"/>
      <c r="AE7233" s="1"/>
      <c r="AF7233" s="1"/>
      <c r="AG7233" s="1"/>
    </row>
    <row r="7234" ht="15.75" customHeight="1">
      <c r="A7234" s="1"/>
      <c r="B7234" s="1"/>
      <c r="C7234" s="1"/>
      <c r="D7234" s="1"/>
      <c r="E7234" s="1"/>
      <c r="F7234" s="1"/>
      <c r="G7234" s="1"/>
      <c r="H7234" s="1"/>
      <c r="I7234" s="1"/>
      <c r="J7234" s="1"/>
      <c r="K7234" s="102" t="s">
        <v>11205</v>
      </c>
      <c r="L7234" s="102" t="str">
        <f>C1077</f>
        <v>J2b~</v>
      </c>
      <c r="M7234" s="102"/>
      <c r="N7234" s="102" t="s">
        <v>11206</v>
      </c>
      <c r="O7234" s="105">
        <v>1.6318403E7</v>
      </c>
      <c r="P7234" s="105">
        <v>1.4206523E7</v>
      </c>
      <c r="Q7234" s="102" t="s">
        <v>2468</v>
      </c>
      <c r="S7234" s="1"/>
      <c r="T7234" s="1"/>
      <c r="U7234" s="1"/>
      <c r="V7234" s="1"/>
      <c r="W7234" s="1"/>
      <c r="X7234" s="1"/>
      <c r="Y7234" s="1"/>
      <c r="AA7234" s="102"/>
      <c r="AB7234" s="1"/>
      <c r="AC7234" s="1"/>
      <c r="AD7234" s="1"/>
      <c r="AE7234" s="1"/>
      <c r="AF7234" s="1"/>
      <c r="AG7234" s="1"/>
    </row>
    <row r="7235" ht="15.75" customHeight="1">
      <c r="A7235" s="1"/>
      <c r="B7235" s="1"/>
      <c r="C7235" s="1"/>
      <c r="D7235" s="1"/>
      <c r="E7235" s="1"/>
      <c r="F7235" s="1"/>
      <c r="G7235" s="1"/>
      <c r="H7235" s="1"/>
      <c r="I7235" s="1"/>
      <c r="J7235" s="1"/>
      <c r="K7235" s="102" t="s">
        <v>11207</v>
      </c>
      <c r="L7235" s="102" t="str">
        <f>C1077</f>
        <v>J2b~</v>
      </c>
      <c r="M7235" s="102"/>
      <c r="N7235" s="102" t="s">
        <v>11208</v>
      </c>
      <c r="O7235" s="105">
        <v>2.4436474E7</v>
      </c>
      <c r="P7235" s="105">
        <v>2.2290327E7</v>
      </c>
      <c r="Q7235" s="102" t="s">
        <v>2454</v>
      </c>
      <c r="S7235" s="1"/>
      <c r="T7235" s="1"/>
      <c r="U7235" s="1"/>
      <c r="V7235" s="1"/>
      <c r="W7235" s="1"/>
      <c r="X7235" s="1"/>
      <c r="Y7235" s="1"/>
      <c r="AA7235" s="102"/>
      <c r="AB7235" s="1"/>
      <c r="AC7235" s="1"/>
      <c r="AD7235" s="1"/>
      <c r="AE7235" s="1"/>
      <c r="AF7235" s="1"/>
      <c r="AG7235" s="1"/>
    </row>
    <row r="7236" ht="15.75" customHeight="1">
      <c r="A7236" s="1"/>
      <c r="B7236" s="1"/>
      <c r="C7236" s="1"/>
      <c r="D7236" s="1"/>
      <c r="E7236" s="1"/>
      <c r="F7236" s="1"/>
      <c r="G7236" s="1"/>
      <c r="H7236" s="1"/>
      <c r="I7236" s="1"/>
      <c r="J7236" s="1"/>
      <c r="K7236" s="102" t="s">
        <v>11209</v>
      </c>
      <c r="L7236" s="102" t="str">
        <f>C1077</f>
        <v>J2b~</v>
      </c>
      <c r="M7236" s="102"/>
      <c r="N7236" s="102" t="s">
        <v>11210</v>
      </c>
      <c r="O7236" s="105">
        <v>2.2528425E7</v>
      </c>
      <c r="P7236" s="105">
        <v>2.0366539E7</v>
      </c>
      <c r="Q7236" s="102" t="s">
        <v>2423</v>
      </c>
      <c r="S7236" s="1"/>
      <c r="T7236" s="1"/>
      <c r="U7236" s="1"/>
      <c r="V7236" s="1"/>
      <c r="W7236" s="1"/>
      <c r="X7236" s="1"/>
      <c r="Y7236" s="1"/>
      <c r="AA7236" s="102"/>
      <c r="AB7236" s="1"/>
      <c r="AC7236" s="1"/>
      <c r="AD7236" s="1"/>
      <c r="AE7236" s="1"/>
      <c r="AF7236" s="1"/>
      <c r="AG7236" s="1"/>
    </row>
    <row r="7237" ht="15.75" customHeight="1">
      <c r="A7237" s="1"/>
      <c r="B7237" s="1"/>
      <c r="C7237" s="1"/>
      <c r="D7237" s="1"/>
      <c r="E7237" s="1"/>
      <c r="F7237" s="1"/>
      <c r="G7237" s="1"/>
      <c r="H7237" s="1"/>
      <c r="I7237" s="1"/>
      <c r="J7237" s="1"/>
      <c r="K7237" s="102" t="s">
        <v>11211</v>
      </c>
      <c r="L7237" s="102" t="str">
        <f>C1077</f>
        <v>J2b~</v>
      </c>
      <c r="M7237" s="102"/>
      <c r="N7237" s="102" t="s">
        <v>11212</v>
      </c>
      <c r="O7237" s="105">
        <v>2.149535E7</v>
      </c>
      <c r="P7237" s="105">
        <v>1.9333464E7</v>
      </c>
      <c r="Q7237" s="102" t="s">
        <v>2423</v>
      </c>
      <c r="S7237" s="1"/>
      <c r="T7237" s="1"/>
      <c r="U7237" s="1"/>
      <c r="V7237" s="1"/>
      <c r="W7237" s="1"/>
      <c r="X7237" s="1"/>
      <c r="Y7237" s="1"/>
      <c r="AA7237" s="102"/>
      <c r="AB7237" s="1"/>
      <c r="AC7237" s="1"/>
      <c r="AD7237" s="1"/>
      <c r="AE7237" s="1"/>
      <c r="AF7237" s="1"/>
      <c r="AG7237" s="1"/>
    </row>
    <row r="7238" ht="15.75" customHeight="1">
      <c r="A7238" s="1"/>
      <c r="B7238" s="1"/>
      <c r="C7238" s="1"/>
      <c r="D7238" s="1"/>
      <c r="E7238" s="1"/>
      <c r="F7238" s="1"/>
      <c r="G7238" s="1"/>
      <c r="H7238" s="1"/>
      <c r="I7238" s="1"/>
      <c r="J7238" s="1"/>
      <c r="K7238" s="102" t="s">
        <v>11213</v>
      </c>
      <c r="L7238" s="102" t="str">
        <f>D1078</f>
        <v>J2b1</v>
      </c>
      <c r="M7238" s="102"/>
      <c r="N7238" s="102" t="s">
        <v>11214</v>
      </c>
      <c r="O7238" s="105">
        <v>1.5587509E7</v>
      </c>
      <c r="P7238" s="105">
        <v>1.3475629E7</v>
      </c>
      <c r="Q7238" s="102" t="s">
        <v>2454</v>
      </c>
      <c r="S7238" s="1"/>
      <c r="T7238" s="1"/>
      <c r="U7238" s="1"/>
      <c r="V7238" s="1"/>
      <c r="W7238" s="1"/>
      <c r="X7238" s="1"/>
      <c r="Y7238" s="1"/>
      <c r="AA7238" s="102"/>
      <c r="AB7238" s="1"/>
      <c r="AC7238" s="1"/>
      <c r="AD7238" s="1"/>
      <c r="AE7238" s="1"/>
      <c r="AF7238" s="1"/>
      <c r="AG7238" s="1"/>
    </row>
    <row r="7239" ht="15.75" customHeight="1">
      <c r="A7239" s="1"/>
      <c r="B7239" s="1"/>
      <c r="C7239" s="1"/>
      <c r="D7239" s="1"/>
      <c r="E7239" s="1"/>
      <c r="F7239" s="1"/>
      <c r="G7239" s="1"/>
      <c r="H7239" s="1"/>
      <c r="I7239" s="1"/>
      <c r="J7239" s="1"/>
      <c r="K7239" s="102" t="s">
        <v>11215</v>
      </c>
      <c r="L7239" s="102" t="str">
        <f>D1078</f>
        <v>J2b1</v>
      </c>
      <c r="M7239" s="102"/>
      <c r="N7239" s="102" t="s">
        <v>11216</v>
      </c>
      <c r="O7239" s="105">
        <v>6795563.0</v>
      </c>
      <c r="P7239" s="105">
        <v>6927522.0</v>
      </c>
      <c r="Q7239" s="102" t="s">
        <v>2439</v>
      </c>
      <c r="S7239" s="1"/>
      <c r="T7239" s="1"/>
      <c r="U7239" s="1"/>
      <c r="V7239" s="1"/>
      <c r="W7239" s="1"/>
      <c r="X7239" s="1"/>
      <c r="Y7239" s="1"/>
      <c r="AA7239" s="102"/>
      <c r="AB7239" s="1"/>
      <c r="AC7239" s="1"/>
      <c r="AD7239" s="1"/>
      <c r="AE7239" s="1"/>
      <c r="AF7239" s="1"/>
      <c r="AG7239" s="1"/>
    </row>
    <row r="7240" ht="15.75" customHeight="1">
      <c r="A7240" s="1"/>
      <c r="B7240" s="1"/>
      <c r="C7240" s="1"/>
      <c r="D7240" s="1"/>
      <c r="E7240" s="1"/>
      <c r="F7240" s="1"/>
      <c r="G7240" s="1"/>
      <c r="H7240" s="1"/>
      <c r="I7240" s="1"/>
      <c r="J7240" s="1"/>
      <c r="K7240" s="102" t="s">
        <v>11217</v>
      </c>
      <c r="L7240" s="102" t="str">
        <f>D1078</f>
        <v>J2b1</v>
      </c>
      <c r="M7240" s="102"/>
      <c r="N7240" s="102" t="s">
        <v>11218</v>
      </c>
      <c r="O7240" s="105">
        <v>6844984.0</v>
      </c>
      <c r="P7240" s="105">
        <v>6976943.0</v>
      </c>
      <c r="Q7240" s="102" t="s">
        <v>2446</v>
      </c>
      <c r="S7240" s="1"/>
      <c r="T7240" s="1"/>
      <c r="U7240" s="1"/>
      <c r="V7240" s="1"/>
      <c r="W7240" s="1"/>
      <c r="X7240" s="1"/>
      <c r="Y7240" s="1"/>
      <c r="AA7240" s="102"/>
      <c r="AB7240" s="1"/>
      <c r="AC7240" s="1"/>
      <c r="AD7240" s="1"/>
      <c r="AE7240" s="1"/>
      <c r="AF7240" s="1"/>
      <c r="AG7240" s="1"/>
    </row>
    <row r="7241" ht="15.75" customHeight="1">
      <c r="A7241" s="1"/>
      <c r="B7241" s="1"/>
      <c r="C7241" s="1"/>
      <c r="D7241" s="1"/>
      <c r="E7241" s="1"/>
      <c r="F7241" s="1"/>
      <c r="G7241" s="1"/>
      <c r="H7241" s="1"/>
      <c r="I7241" s="1"/>
      <c r="J7241" s="1"/>
      <c r="K7241" s="102" t="s">
        <v>11219</v>
      </c>
      <c r="L7241" s="102" t="str">
        <f>D1078</f>
        <v>J2b1</v>
      </c>
      <c r="M7241" s="102"/>
      <c r="N7241" s="102" t="s">
        <v>11220</v>
      </c>
      <c r="O7241" s="105">
        <v>7308226.0</v>
      </c>
      <c r="P7241" s="105">
        <v>7440185.0</v>
      </c>
      <c r="Q7241" s="102" t="s">
        <v>2501</v>
      </c>
      <c r="S7241" s="1"/>
      <c r="T7241" s="1"/>
      <c r="U7241" s="1"/>
      <c r="V7241" s="1"/>
      <c r="W7241" s="1"/>
      <c r="X7241" s="1"/>
      <c r="Y7241" s="1"/>
      <c r="AA7241" s="102"/>
      <c r="AB7241" s="1"/>
      <c r="AC7241" s="1"/>
      <c r="AD7241" s="1"/>
      <c r="AE7241" s="1"/>
      <c r="AF7241" s="1"/>
      <c r="AG7241" s="1"/>
    </row>
    <row r="7242" ht="15.75" customHeight="1">
      <c r="A7242" s="1"/>
      <c r="B7242" s="1"/>
      <c r="C7242" s="1"/>
      <c r="D7242" s="1"/>
      <c r="E7242" s="1"/>
      <c r="F7242" s="1"/>
      <c r="G7242" s="1"/>
      <c r="H7242" s="1"/>
      <c r="I7242" s="1"/>
      <c r="J7242" s="1"/>
      <c r="K7242" s="102" t="s">
        <v>11221</v>
      </c>
      <c r="L7242" s="102" t="str">
        <f>D1078</f>
        <v>J2b1</v>
      </c>
      <c r="M7242" s="102"/>
      <c r="N7242" s="102" t="s">
        <v>11222</v>
      </c>
      <c r="O7242" s="105">
        <v>1.4822341E7</v>
      </c>
      <c r="P7242" s="105">
        <v>1.2710408E7</v>
      </c>
      <c r="Q7242" s="102" t="s">
        <v>2529</v>
      </c>
      <c r="S7242" s="1"/>
      <c r="T7242" s="1"/>
      <c r="U7242" s="1"/>
      <c r="V7242" s="1"/>
      <c r="W7242" s="1"/>
      <c r="X7242" s="1"/>
      <c r="Y7242" s="1"/>
      <c r="AA7242" s="102"/>
      <c r="AB7242" s="1"/>
      <c r="AC7242" s="1"/>
      <c r="AD7242" s="1"/>
      <c r="AE7242" s="1"/>
      <c r="AF7242" s="1"/>
      <c r="AG7242" s="1"/>
    </row>
    <row r="7243" ht="15.75" customHeight="1">
      <c r="A7243" s="1"/>
      <c r="B7243" s="1"/>
      <c r="C7243" s="1"/>
      <c r="D7243" s="1"/>
      <c r="E7243" s="1"/>
      <c r="F7243" s="1"/>
      <c r="G7243" s="1"/>
      <c r="H7243" s="1"/>
      <c r="I7243" s="1"/>
      <c r="J7243" s="1"/>
      <c r="K7243" s="102" t="s">
        <v>11223</v>
      </c>
      <c r="L7243" s="102" t="str">
        <f>D1078</f>
        <v>J2b1</v>
      </c>
      <c r="M7243" s="102"/>
      <c r="N7243" s="102" t="s">
        <v>11224</v>
      </c>
      <c r="O7243" s="105">
        <v>1.5127519E7</v>
      </c>
      <c r="P7243" s="105">
        <v>1.3015606E7</v>
      </c>
      <c r="Q7243" s="102" t="s">
        <v>2454</v>
      </c>
      <c r="S7243" s="1"/>
      <c r="T7243" s="1"/>
      <c r="U7243" s="1"/>
      <c r="V7243" s="1"/>
      <c r="W7243" s="1"/>
      <c r="X7243" s="1"/>
      <c r="Y7243" s="1"/>
      <c r="AA7243" s="102"/>
      <c r="AB7243" s="1"/>
      <c r="AC7243" s="1"/>
      <c r="AD7243" s="1"/>
      <c r="AE7243" s="1"/>
      <c r="AF7243" s="1"/>
      <c r="AG7243" s="1"/>
    </row>
    <row r="7244" ht="15.75" customHeight="1">
      <c r="A7244" s="1"/>
      <c r="B7244" s="1"/>
      <c r="C7244" s="1"/>
      <c r="D7244" s="1"/>
      <c r="E7244" s="1"/>
      <c r="F7244" s="1"/>
      <c r="G7244" s="1"/>
      <c r="H7244" s="1"/>
      <c r="I7244" s="1"/>
      <c r="J7244" s="1"/>
      <c r="K7244" s="102" t="s">
        <v>11225</v>
      </c>
      <c r="L7244" s="102" t="str">
        <f>D1078</f>
        <v>J2b1</v>
      </c>
      <c r="M7244" s="102"/>
      <c r="N7244" s="102" t="s">
        <v>11226</v>
      </c>
      <c r="O7244" s="105">
        <v>1.5197944E7</v>
      </c>
      <c r="P7244" s="105">
        <v>1.308603E7</v>
      </c>
      <c r="Q7244" s="102" t="s">
        <v>2439</v>
      </c>
      <c r="S7244" s="1"/>
      <c r="T7244" s="1"/>
      <c r="U7244" s="1"/>
      <c r="V7244" s="1"/>
      <c r="W7244" s="1"/>
      <c r="X7244" s="1"/>
      <c r="Y7244" s="1"/>
      <c r="AA7244" s="102"/>
      <c r="AB7244" s="1"/>
      <c r="AC7244" s="1"/>
      <c r="AD7244" s="1"/>
      <c r="AE7244" s="1"/>
      <c r="AF7244" s="1"/>
      <c r="AG7244" s="1"/>
    </row>
    <row r="7245" ht="15.75" customHeight="1">
      <c r="A7245" s="1"/>
      <c r="B7245" s="1"/>
      <c r="C7245" s="1"/>
      <c r="D7245" s="1"/>
      <c r="E7245" s="1"/>
      <c r="F7245" s="1"/>
      <c r="G7245" s="1"/>
      <c r="H7245" s="1"/>
      <c r="I7245" s="1"/>
      <c r="J7245" s="1"/>
      <c r="K7245" s="102" t="s">
        <v>11227</v>
      </c>
      <c r="L7245" s="102" t="str">
        <f>D1078</f>
        <v>J2b1</v>
      </c>
      <c r="M7245" s="102"/>
      <c r="N7245" s="102" t="s">
        <v>11228</v>
      </c>
      <c r="O7245" s="105">
        <v>1.5216701E7</v>
      </c>
      <c r="P7245" s="105">
        <v>1.3104787E7</v>
      </c>
      <c r="Q7245" s="102" t="s">
        <v>2423</v>
      </c>
      <c r="S7245" s="1"/>
      <c r="T7245" s="1"/>
      <c r="U7245" s="1"/>
      <c r="V7245" s="1"/>
      <c r="W7245" s="1"/>
      <c r="X7245" s="1"/>
      <c r="Y7245" s="1"/>
      <c r="AA7245" s="102"/>
      <c r="AB7245" s="1"/>
      <c r="AC7245" s="1"/>
      <c r="AD7245" s="1"/>
      <c r="AE7245" s="1"/>
      <c r="AF7245" s="1"/>
      <c r="AG7245" s="1"/>
    </row>
    <row r="7246" ht="15.75" customHeight="1">
      <c r="A7246" s="1"/>
      <c r="B7246" s="1"/>
      <c r="C7246" s="1"/>
      <c r="D7246" s="1"/>
      <c r="E7246" s="1"/>
      <c r="F7246" s="1"/>
      <c r="G7246" s="1"/>
      <c r="H7246" s="1"/>
      <c r="I7246" s="1"/>
      <c r="J7246" s="1"/>
      <c r="K7246" s="102" t="s">
        <v>11229</v>
      </c>
      <c r="L7246" s="102" t="str">
        <f>D1078</f>
        <v>J2b1</v>
      </c>
      <c r="M7246" s="102"/>
      <c r="N7246" s="102" t="s">
        <v>11230</v>
      </c>
      <c r="O7246" s="105">
        <v>1.590027E7</v>
      </c>
      <c r="P7246" s="105">
        <v>1.378839E7</v>
      </c>
      <c r="Q7246" s="102" t="s">
        <v>2439</v>
      </c>
      <c r="S7246" s="1"/>
      <c r="T7246" s="1"/>
      <c r="U7246" s="1"/>
      <c r="V7246" s="1"/>
      <c r="W7246" s="1"/>
      <c r="X7246" s="1"/>
      <c r="Y7246" s="1"/>
      <c r="AA7246" s="102" t="s">
        <v>11231</v>
      </c>
      <c r="AB7246" s="1"/>
      <c r="AC7246" s="1"/>
      <c r="AD7246" s="1"/>
      <c r="AE7246" s="1"/>
      <c r="AF7246" s="1"/>
      <c r="AG7246" s="1"/>
    </row>
    <row r="7247" ht="15.75" customHeight="1">
      <c r="A7247" s="1"/>
      <c r="B7247" s="1"/>
      <c r="C7247" s="1"/>
      <c r="D7247" s="1"/>
      <c r="E7247" s="1"/>
      <c r="F7247" s="1"/>
      <c r="G7247" s="1"/>
      <c r="H7247" s="1"/>
      <c r="I7247" s="1"/>
      <c r="J7247" s="1"/>
      <c r="K7247" s="102" t="s">
        <v>11232</v>
      </c>
      <c r="L7247" s="102" t="str">
        <f>D1078</f>
        <v>J2b1</v>
      </c>
      <c r="M7247" s="102"/>
      <c r="N7247" s="102" t="s">
        <v>11233</v>
      </c>
      <c r="O7247" s="105">
        <v>1.729555E7</v>
      </c>
      <c r="P7247" s="105">
        <v>1.518367E7</v>
      </c>
      <c r="Q7247" s="102" t="s">
        <v>2468</v>
      </c>
      <c r="S7247" s="1"/>
      <c r="T7247" s="1"/>
      <c r="U7247" s="1"/>
      <c r="V7247" s="1"/>
      <c r="W7247" s="1"/>
      <c r="X7247" s="1"/>
      <c r="Y7247" s="1"/>
      <c r="AA7247" s="102"/>
      <c r="AB7247" s="1"/>
      <c r="AC7247" s="1"/>
      <c r="AD7247" s="1"/>
      <c r="AE7247" s="1"/>
      <c r="AF7247" s="1"/>
      <c r="AG7247" s="1"/>
    </row>
    <row r="7248" ht="15.75" customHeight="1">
      <c r="A7248" s="1"/>
      <c r="B7248" s="1"/>
      <c r="C7248" s="1"/>
      <c r="D7248" s="1"/>
      <c r="E7248" s="1"/>
      <c r="F7248" s="1"/>
      <c r="G7248" s="1"/>
      <c r="H7248" s="1"/>
      <c r="I7248" s="1"/>
      <c r="J7248" s="1"/>
      <c r="K7248" s="102" t="s">
        <v>11234</v>
      </c>
      <c r="L7248" s="102" t="str">
        <f>D1078</f>
        <v>J2b1</v>
      </c>
      <c r="M7248" s="102"/>
      <c r="N7248" s="102" t="s">
        <v>11235</v>
      </c>
      <c r="O7248" s="105">
        <v>1.7816466E7</v>
      </c>
      <c r="P7248" s="105">
        <v>1.5704586E7</v>
      </c>
      <c r="Q7248" s="102" t="s">
        <v>2439</v>
      </c>
      <c r="S7248" s="1"/>
      <c r="T7248" s="1"/>
      <c r="U7248" s="1"/>
      <c r="V7248" s="1"/>
      <c r="W7248" s="1"/>
      <c r="X7248" s="1"/>
      <c r="Y7248" s="1"/>
      <c r="AA7248" s="102"/>
      <c r="AB7248" s="1"/>
      <c r="AC7248" s="1"/>
      <c r="AD7248" s="1"/>
      <c r="AE7248" s="1"/>
      <c r="AF7248" s="1"/>
      <c r="AG7248" s="1"/>
    </row>
    <row r="7249" ht="15.75" customHeight="1">
      <c r="A7249" s="1"/>
      <c r="B7249" s="1"/>
      <c r="C7249" s="1"/>
      <c r="D7249" s="1"/>
      <c r="E7249" s="1"/>
      <c r="F7249" s="1"/>
      <c r="G7249" s="1"/>
      <c r="H7249" s="1"/>
      <c r="I7249" s="1"/>
      <c r="J7249" s="1"/>
      <c r="K7249" s="102" t="s">
        <v>11236</v>
      </c>
      <c r="L7249" s="102" t="str">
        <f>D1078</f>
        <v>J2b1</v>
      </c>
      <c r="M7249" s="102" t="s">
        <v>11237</v>
      </c>
      <c r="N7249" s="102" t="s">
        <v>11238</v>
      </c>
      <c r="O7249" s="105">
        <v>2.273472E7</v>
      </c>
      <c r="P7249" s="105">
        <v>2.0572834E7</v>
      </c>
      <c r="Q7249" s="102" t="s">
        <v>2468</v>
      </c>
      <c r="S7249" s="1"/>
      <c r="T7249" s="1"/>
      <c r="U7249" s="1"/>
      <c r="V7249" s="1"/>
      <c r="W7249" s="1"/>
      <c r="X7249" s="1"/>
      <c r="Y7249" s="1"/>
      <c r="AA7249" s="102"/>
      <c r="AB7249" s="1"/>
      <c r="AC7249" s="1"/>
      <c r="AD7249" s="1"/>
      <c r="AE7249" s="1"/>
      <c r="AF7249" s="1"/>
      <c r="AG7249" s="1"/>
    </row>
    <row r="7250" ht="15.75" customHeight="1">
      <c r="A7250" s="1"/>
      <c r="B7250" s="1"/>
      <c r="C7250" s="1"/>
      <c r="D7250" s="1"/>
      <c r="E7250" s="1"/>
      <c r="F7250" s="1"/>
      <c r="G7250" s="1"/>
      <c r="H7250" s="1"/>
      <c r="I7250" s="1"/>
      <c r="J7250" s="1"/>
      <c r="K7250" s="102" t="s">
        <v>11237</v>
      </c>
      <c r="L7250" s="102" t="str">
        <f>D1078</f>
        <v>J2b1</v>
      </c>
      <c r="M7250" s="102" t="s">
        <v>11236</v>
      </c>
      <c r="N7250" s="102" t="s">
        <v>11238</v>
      </c>
      <c r="O7250" s="105">
        <v>2.273472E7</v>
      </c>
      <c r="P7250" s="105">
        <v>2.0572834E7</v>
      </c>
      <c r="Q7250" s="102" t="s">
        <v>2468</v>
      </c>
      <c r="S7250" s="1"/>
      <c r="T7250" s="1"/>
      <c r="U7250" s="1"/>
      <c r="V7250" s="1"/>
      <c r="W7250" s="1"/>
      <c r="X7250" s="1"/>
      <c r="Y7250" s="1"/>
      <c r="AA7250" s="102"/>
      <c r="AB7250" s="1"/>
      <c r="AC7250" s="1"/>
      <c r="AD7250" s="1"/>
      <c r="AE7250" s="1"/>
      <c r="AF7250" s="1"/>
      <c r="AG7250" s="1"/>
    </row>
    <row r="7251" ht="15.75" customHeight="1">
      <c r="A7251" s="1"/>
      <c r="B7251" s="1"/>
      <c r="C7251" s="1"/>
      <c r="D7251" s="1"/>
      <c r="E7251" s="1"/>
      <c r="F7251" s="1"/>
      <c r="G7251" s="1"/>
      <c r="H7251" s="1"/>
      <c r="I7251" s="1"/>
      <c r="J7251" s="1"/>
      <c r="K7251" s="102" t="s">
        <v>11239</v>
      </c>
      <c r="L7251" s="102" t="str">
        <f>D1078</f>
        <v>J2b1</v>
      </c>
      <c r="M7251" s="102"/>
      <c r="N7251" s="102" t="s">
        <v>11240</v>
      </c>
      <c r="O7251" s="105">
        <v>2.3064137E7</v>
      </c>
      <c r="P7251" s="105">
        <v>2.0902251E7</v>
      </c>
      <c r="Q7251" s="102" t="s">
        <v>2468</v>
      </c>
      <c r="S7251" s="1"/>
      <c r="T7251" s="1"/>
      <c r="U7251" s="1"/>
      <c r="V7251" s="1"/>
      <c r="W7251" s="1"/>
      <c r="X7251" s="1"/>
      <c r="Y7251" s="1"/>
      <c r="AA7251" s="102" t="s">
        <v>11241</v>
      </c>
      <c r="AB7251" s="1"/>
      <c r="AC7251" s="1"/>
      <c r="AD7251" s="1"/>
      <c r="AE7251" s="1"/>
      <c r="AF7251" s="1"/>
      <c r="AG7251" s="1"/>
    </row>
    <row r="7252" ht="15.75" customHeight="1">
      <c r="A7252" s="1"/>
      <c r="B7252" s="1"/>
      <c r="C7252" s="1"/>
      <c r="D7252" s="1"/>
      <c r="E7252" s="1"/>
      <c r="F7252" s="1"/>
      <c r="G7252" s="1"/>
      <c r="H7252" s="1"/>
      <c r="I7252" s="1"/>
      <c r="J7252" s="1"/>
      <c r="K7252" s="102" t="s">
        <v>11242</v>
      </c>
      <c r="L7252" s="102" t="str">
        <f>D1078</f>
        <v>J2b1</v>
      </c>
      <c r="M7252" s="102"/>
      <c r="N7252" s="102" t="s">
        <v>11243</v>
      </c>
      <c r="O7252" s="105">
        <v>7604736.0</v>
      </c>
      <c r="P7252" s="105">
        <v>7736695.0</v>
      </c>
      <c r="Q7252" s="102" t="s">
        <v>2529</v>
      </c>
      <c r="S7252" s="1"/>
      <c r="T7252" s="1"/>
      <c r="U7252" s="1"/>
      <c r="V7252" s="1"/>
      <c r="W7252" s="1"/>
      <c r="X7252" s="1"/>
      <c r="Y7252" s="1"/>
      <c r="AA7252" s="102"/>
      <c r="AB7252" s="1"/>
      <c r="AC7252" s="1"/>
      <c r="AD7252" s="1"/>
      <c r="AE7252" s="1"/>
      <c r="AF7252" s="1"/>
      <c r="AG7252" s="1"/>
    </row>
    <row r="7253" ht="15.75" customHeight="1">
      <c r="A7253" s="1"/>
      <c r="B7253" s="1"/>
      <c r="C7253" s="1"/>
      <c r="D7253" s="1"/>
      <c r="E7253" s="1"/>
      <c r="F7253" s="1"/>
      <c r="G7253" s="1"/>
      <c r="H7253" s="1"/>
      <c r="I7253" s="1"/>
      <c r="J7253" s="1"/>
      <c r="K7253" s="102" t="s">
        <v>11244</v>
      </c>
      <c r="L7253" s="102" t="str">
        <f>D1078</f>
        <v>J2b1</v>
      </c>
      <c r="M7253" s="102"/>
      <c r="N7253" s="102" t="s">
        <v>11245</v>
      </c>
      <c r="O7253" s="105">
        <v>8491998.0</v>
      </c>
      <c r="P7253" s="105">
        <v>8623957.0</v>
      </c>
      <c r="Q7253" s="102" t="s">
        <v>2501</v>
      </c>
      <c r="S7253" s="1"/>
      <c r="T7253" s="1"/>
      <c r="U7253" s="1"/>
      <c r="V7253" s="1"/>
      <c r="W7253" s="1"/>
      <c r="X7253" s="1"/>
      <c r="Y7253" s="1"/>
      <c r="AA7253" s="102"/>
      <c r="AB7253" s="1"/>
      <c r="AC7253" s="1"/>
      <c r="AD7253" s="1"/>
      <c r="AE7253" s="1"/>
      <c r="AF7253" s="1"/>
      <c r="AG7253" s="1"/>
    </row>
    <row r="7254" ht="15.75" customHeight="1">
      <c r="A7254" s="1"/>
      <c r="B7254" s="1"/>
      <c r="C7254" s="1"/>
      <c r="D7254" s="1"/>
      <c r="E7254" s="1"/>
      <c r="F7254" s="1"/>
      <c r="G7254" s="1"/>
      <c r="H7254" s="1"/>
      <c r="I7254" s="1"/>
      <c r="J7254" s="1"/>
      <c r="K7254" s="102" t="s">
        <v>11246</v>
      </c>
      <c r="L7254" s="102" t="str">
        <f>D1078</f>
        <v>J2b1</v>
      </c>
      <c r="M7254" s="102"/>
      <c r="N7254" s="102" t="s">
        <v>11247</v>
      </c>
      <c r="O7254" s="105">
        <v>7844023.0</v>
      </c>
      <c r="P7254" s="105">
        <v>7975982.0</v>
      </c>
      <c r="Q7254" s="102" t="s">
        <v>2529</v>
      </c>
      <c r="S7254" s="1"/>
      <c r="T7254" s="1"/>
      <c r="U7254" s="1"/>
      <c r="V7254" s="1"/>
      <c r="W7254" s="1"/>
      <c r="X7254" s="1"/>
      <c r="Y7254" s="1"/>
      <c r="AA7254" s="102"/>
      <c r="AB7254" s="1"/>
      <c r="AC7254" s="1"/>
      <c r="AD7254" s="1"/>
      <c r="AE7254" s="1"/>
      <c r="AF7254" s="1"/>
      <c r="AG7254" s="1"/>
    </row>
    <row r="7255" ht="15.75" customHeight="1">
      <c r="A7255" s="1"/>
      <c r="B7255" s="1"/>
      <c r="C7255" s="1"/>
      <c r="D7255" s="1"/>
      <c r="E7255" s="1"/>
      <c r="F7255" s="1"/>
      <c r="G7255" s="1"/>
      <c r="H7255" s="1"/>
      <c r="I7255" s="1"/>
      <c r="J7255" s="1"/>
      <c r="K7255" s="102" t="s">
        <v>11248</v>
      </c>
      <c r="L7255" s="102" t="str">
        <f>D1078</f>
        <v>J2b1</v>
      </c>
      <c r="M7255" s="102"/>
      <c r="N7255" s="102" t="s">
        <v>11249</v>
      </c>
      <c r="O7255" s="105">
        <v>1.4771925E7</v>
      </c>
      <c r="P7255" s="105">
        <v>1.2659994E7</v>
      </c>
      <c r="Q7255" s="102" t="s">
        <v>2439</v>
      </c>
      <c r="S7255" s="1"/>
      <c r="T7255" s="1"/>
      <c r="U7255" s="1"/>
      <c r="V7255" s="1"/>
      <c r="W7255" s="1"/>
      <c r="X7255" s="1"/>
      <c r="Y7255" s="1"/>
      <c r="AA7255" s="102"/>
      <c r="AB7255" s="1"/>
      <c r="AC7255" s="1"/>
      <c r="AD7255" s="1"/>
      <c r="AE7255" s="1"/>
      <c r="AF7255" s="1"/>
      <c r="AG7255" s="1"/>
    </row>
    <row r="7256" ht="15.75" customHeight="1">
      <c r="A7256" s="1"/>
      <c r="B7256" s="1"/>
      <c r="C7256" s="1"/>
      <c r="D7256" s="1"/>
      <c r="E7256" s="1"/>
      <c r="F7256" s="1"/>
      <c r="G7256" s="1"/>
      <c r="H7256" s="1"/>
      <c r="I7256" s="1"/>
      <c r="J7256" s="1"/>
      <c r="K7256" s="102" t="s">
        <v>11250</v>
      </c>
      <c r="L7256" s="102" t="str">
        <f>D1078</f>
        <v>J2b1</v>
      </c>
      <c r="M7256" s="102"/>
      <c r="N7256" s="102" t="s">
        <v>11251</v>
      </c>
      <c r="O7256" s="105">
        <v>2.1777517E7</v>
      </c>
      <c r="P7256" s="105">
        <v>1.9615631E7</v>
      </c>
      <c r="Q7256" s="102" t="s">
        <v>2468</v>
      </c>
      <c r="S7256" s="1"/>
      <c r="T7256" s="1"/>
      <c r="U7256" s="1"/>
      <c r="V7256" s="1"/>
      <c r="W7256" s="1"/>
      <c r="X7256" s="1"/>
      <c r="Y7256" s="1"/>
      <c r="AA7256" s="102"/>
      <c r="AB7256" s="1"/>
      <c r="AC7256" s="1"/>
      <c r="AD7256" s="1"/>
      <c r="AE7256" s="1"/>
      <c r="AF7256" s="1"/>
      <c r="AG7256" s="1"/>
    </row>
    <row r="7257" ht="15.75" customHeight="1">
      <c r="A7257" s="1"/>
      <c r="B7257" s="1"/>
      <c r="C7257" s="1"/>
      <c r="D7257" s="1"/>
      <c r="E7257" s="1"/>
      <c r="F7257" s="1"/>
      <c r="G7257" s="1"/>
      <c r="H7257" s="1"/>
      <c r="I7257" s="1"/>
      <c r="J7257" s="1"/>
      <c r="K7257" s="102" t="s">
        <v>11252</v>
      </c>
      <c r="L7257" s="102" t="str">
        <f>D1078</f>
        <v>J2b1</v>
      </c>
      <c r="M7257" s="102"/>
      <c r="N7257" s="102" t="s">
        <v>11253</v>
      </c>
      <c r="O7257" s="105">
        <v>2.1857161E7</v>
      </c>
      <c r="P7257" s="105">
        <v>1.9695275E7</v>
      </c>
      <c r="Q7257" s="102" t="s">
        <v>2432</v>
      </c>
      <c r="S7257" s="1"/>
      <c r="T7257" s="1"/>
      <c r="U7257" s="1"/>
      <c r="V7257" s="1"/>
      <c r="W7257" s="1"/>
      <c r="X7257" s="1"/>
      <c r="Y7257" s="1"/>
      <c r="AA7257" s="102"/>
      <c r="AB7257" s="1"/>
      <c r="AC7257" s="1"/>
      <c r="AD7257" s="1"/>
      <c r="AE7257" s="1"/>
      <c r="AF7257" s="1"/>
      <c r="AG7257" s="1"/>
    </row>
    <row r="7258" ht="15.75" customHeight="1">
      <c r="A7258" s="1"/>
      <c r="B7258" s="1"/>
      <c r="C7258" s="1"/>
      <c r="D7258" s="1"/>
      <c r="E7258" s="1"/>
      <c r="F7258" s="1"/>
      <c r="G7258" s="1"/>
      <c r="H7258" s="1"/>
      <c r="I7258" s="1"/>
      <c r="J7258" s="1"/>
      <c r="K7258" s="102" t="s">
        <v>11254</v>
      </c>
      <c r="L7258" s="102" t="str">
        <f>D1078</f>
        <v>J2b1</v>
      </c>
      <c r="M7258" s="102"/>
      <c r="N7258" s="102"/>
      <c r="O7258" s="105">
        <v>1.6435397E7</v>
      </c>
      <c r="P7258" s="105">
        <v>1.4323517E7</v>
      </c>
      <c r="Q7258" s="106" t="s">
        <v>2439</v>
      </c>
      <c r="S7258" s="1"/>
      <c r="T7258" s="1"/>
      <c r="U7258" s="1"/>
      <c r="V7258" s="1"/>
      <c r="W7258" s="1"/>
      <c r="X7258" s="1"/>
      <c r="Y7258" s="1"/>
      <c r="AA7258" s="102"/>
      <c r="AB7258" s="1"/>
      <c r="AC7258" s="1"/>
      <c r="AD7258" s="1"/>
      <c r="AE7258" s="1"/>
      <c r="AF7258" s="1"/>
      <c r="AG7258" s="1"/>
    </row>
    <row r="7259" ht="15.75" customHeight="1">
      <c r="A7259" s="1"/>
      <c r="B7259" s="1"/>
      <c r="C7259" s="1"/>
      <c r="D7259" s="1"/>
      <c r="E7259" s="1"/>
      <c r="F7259" s="1"/>
      <c r="G7259" s="1"/>
      <c r="H7259" s="1"/>
      <c r="I7259" s="1"/>
      <c r="J7259" s="1"/>
      <c r="K7259" s="102" t="s">
        <v>11255</v>
      </c>
      <c r="L7259" s="102" t="str">
        <f>D1078</f>
        <v>J2b1</v>
      </c>
      <c r="M7259" s="102"/>
      <c r="N7259" s="102" t="s">
        <v>11256</v>
      </c>
      <c r="O7259" s="105">
        <v>2.1507668E7</v>
      </c>
      <c r="P7259" s="105">
        <v>1.9345782E7</v>
      </c>
      <c r="Q7259" s="102" t="s">
        <v>2423</v>
      </c>
      <c r="S7259" s="1"/>
      <c r="T7259" s="1"/>
      <c r="U7259" s="1"/>
      <c r="V7259" s="1"/>
      <c r="W7259" s="1"/>
      <c r="X7259" s="1"/>
      <c r="Y7259" s="1"/>
      <c r="AA7259" s="102"/>
      <c r="AB7259" s="1"/>
      <c r="AC7259" s="1"/>
      <c r="AD7259" s="1"/>
      <c r="AE7259" s="1"/>
      <c r="AF7259" s="1"/>
      <c r="AG7259" s="1"/>
    </row>
    <row r="7260" ht="15.75" customHeight="1">
      <c r="A7260" s="1"/>
      <c r="B7260" s="1"/>
      <c r="C7260" s="1"/>
      <c r="D7260" s="1"/>
      <c r="E7260" s="1"/>
      <c r="F7260" s="1"/>
      <c r="G7260" s="1"/>
      <c r="H7260" s="1"/>
      <c r="I7260" s="1"/>
      <c r="J7260" s="1"/>
      <c r="K7260" s="102" t="s">
        <v>11257</v>
      </c>
      <c r="L7260" s="102" t="str">
        <f>D1078</f>
        <v>J2b1</v>
      </c>
      <c r="M7260" s="102"/>
      <c r="N7260" s="102" t="s">
        <v>11258</v>
      </c>
      <c r="O7260" s="105">
        <v>8850425.0</v>
      </c>
      <c r="P7260" s="105">
        <v>8982384.0</v>
      </c>
      <c r="Q7260" s="102" t="s">
        <v>2501</v>
      </c>
      <c r="S7260" s="1"/>
      <c r="T7260" s="1"/>
      <c r="U7260" s="1"/>
      <c r="V7260" s="1"/>
      <c r="W7260" s="1"/>
      <c r="X7260" s="1"/>
      <c r="Y7260" s="1"/>
      <c r="AA7260" s="102"/>
      <c r="AB7260" s="1"/>
      <c r="AC7260" s="1"/>
      <c r="AD7260" s="1"/>
      <c r="AE7260" s="1"/>
      <c r="AF7260" s="1"/>
      <c r="AG7260" s="1"/>
    </row>
    <row r="7261" ht="15.75" customHeight="1">
      <c r="A7261" s="1"/>
      <c r="B7261" s="1"/>
      <c r="C7261" s="1"/>
      <c r="D7261" s="1"/>
      <c r="E7261" s="1"/>
      <c r="F7261" s="1"/>
      <c r="G7261" s="1"/>
      <c r="H7261" s="1"/>
      <c r="I7261" s="1"/>
      <c r="J7261" s="1"/>
      <c r="K7261" s="102" t="s">
        <v>11259</v>
      </c>
      <c r="L7261" s="102" t="str">
        <f>D1078</f>
        <v>J2b1</v>
      </c>
      <c r="M7261" s="102"/>
      <c r="N7261" s="102" t="s">
        <v>11260</v>
      </c>
      <c r="O7261" s="105">
        <v>2.3131051E7</v>
      </c>
      <c r="P7261" s="105">
        <v>2.0969165E7</v>
      </c>
      <c r="Q7261" s="102" t="s">
        <v>2501</v>
      </c>
      <c r="S7261" s="1"/>
      <c r="T7261" s="1"/>
      <c r="U7261" s="1"/>
      <c r="V7261" s="1"/>
      <c r="W7261" s="1"/>
      <c r="X7261" s="1"/>
      <c r="Y7261" s="1"/>
      <c r="AA7261" s="102"/>
      <c r="AB7261" s="1"/>
      <c r="AC7261" s="1"/>
      <c r="AD7261" s="1"/>
      <c r="AE7261" s="1"/>
      <c r="AF7261" s="1"/>
      <c r="AG7261" s="1"/>
    </row>
    <row r="7262" ht="15.75" customHeight="1">
      <c r="A7262" s="1"/>
      <c r="B7262" s="1"/>
      <c r="C7262" s="1"/>
      <c r="D7262" s="1"/>
      <c r="E7262" s="1"/>
      <c r="F7262" s="1"/>
      <c r="G7262" s="1"/>
      <c r="H7262" s="1"/>
      <c r="I7262" s="1"/>
      <c r="J7262" s="1"/>
      <c r="K7262" s="102" t="s">
        <v>11261</v>
      </c>
      <c r="L7262" s="102" t="str">
        <f>D1078</f>
        <v>J2b1</v>
      </c>
      <c r="M7262" s="102"/>
      <c r="N7262" s="102" t="s">
        <v>11262</v>
      </c>
      <c r="O7262" s="105">
        <v>1.7348061E7</v>
      </c>
      <c r="P7262" s="105">
        <v>1.5236181E7</v>
      </c>
      <c r="Q7262" s="102" t="s">
        <v>2529</v>
      </c>
      <c r="S7262" s="1"/>
      <c r="T7262" s="1"/>
      <c r="U7262" s="1"/>
      <c r="V7262" s="1"/>
      <c r="W7262" s="1"/>
      <c r="X7262" s="1"/>
      <c r="Y7262" s="1"/>
      <c r="AA7262" s="102"/>
      <c r="AB7262" s="1"/>
      <c r="AC7262" s="1"/>
      <c r="AD7262" s="1"/>
      <c r="AE7262" s="1"/>
      <c r="AF7262" s="1"/>
      <c r="AG7262" s="1"/>
    </row>
    <row r="7263" ht="15.75" customHeight="1">
      <c r="A7263" s="1"/>
      <c r="B7263" s="1"/>
      <c r="C7263" s="1"/>
      <c r="D7263" s="1"/>
      <c r="E7263" s="1"/>
      <c r="F7263" s="1"/>
      <c r="G7263" s="1"/>
      <c r="H7263" s="1"/>
      <c r="I7263" s="1"/>
      <c r="J7263" s="1"/>
      <c r="K7263" s="102" t="s">
        <v>11263</v>
      </c>
      <c r="L7263" s="102" t="str">
        <f>D1078</f>
        <v>J2b1</v>
      </c>
      <c r="M7263" s="102"/>
      <c r="N7263" s="102" t="s">
        <v>11264</v>
      </c>
      <c r="O7263" s="105">
        <v>8675266.0</v>
      </c>
      <c r="P7263" s="105">
        <v>8807225.0</v>
      </c>
      <c r="Q7263" s="102" t="s">
        <v>2439</v>
      </c>
      <c r="S7263" s="1"/>
      <c r="T7263" s="1"/>
      <c r="U7263" s="1"/>
      <c r="V7263" s="1"/>
      <c r="W7263" s="1"/>
      <c r="X7263" s="1"/>
      <c r="Y7263" s="1"/>
      <c r="AA7263" s="102"/>
      <c r="AB7263" s="1"/>
      <c r="AC7263" s="1"/>
      <c r="AD7263" s="1"/>
      <c r="AE7263" s="1"/>
      <c r="AF7263" s="1"/>
      <c r="AG7263" s="1"/>
    </row>
    <row r="7264" ht="15.75" customHeight="1">
      <c r="A7264" s="1"/>
      <c r="B7264" s="1"/>
      <c r="C7264" s="1"/>
      <c r="D7264" s="1"/>
      <c r="E7264" s="1"/>
      <c r="F7264" s="1"/>
      <c r="G7264" s="1"/>
      <c r="H7264" s="1"/>
      <c r="I7264" s="1"/>
      <c r="J7264" s="1"/>
      <c r="K7264" s="102" t="s">
        <v>11265</v>
      </c>
      <c r="L7264" s="102" t="str">
        <f>D1078</f>
        <v>J2b1</v>
      </c>
      <c r="M7264" s="102"/>
      <c r="N7264" s="102" t="s">
        <v>11266</v>
      </c>
      <c r="O7264" s="105">
        <v>2903922.0</v>
      </c>
      <c r="P7264" s="105">
        <v>3035881.0</v>
      </c>
      <c r="Q7264" s="102" t="s">
        <v>2529</v>
      </c>
      <c r="S7264" s="1"/>
      <c r="T7264" s="1"/>
      <c r="U7264" s="1"/>
      <c r="V7264" s="1"/>
      <c r="W7264" s="1"/>
      <c r="X7264" s="1"/>
      <c r="Y7264" s="1"/>
      <c r="AA7264" s="102"/>
      <c r="AB7264" s="1"/>
      <c r="AC7264" s="1"/>
      <c r="AD7264" s="1"/>
      <c r="AE7264" s="1"/>
      <c r="AF7264" s="1"/>
      <c r="AG7264" s="1"/>
    </row>
    <row r="7265" ht="15.75" customHeight="1">
      <c r="A7265" s="1"/>
      <c r="B7265" s="1"/>
      <c r="C7265" s="1"/>
      <c r="D7265" s="1"/>
      <c r="E7265" s="1"/>
      <c r="F7265" s="1"/>
      <c r="G7265" s="1"/>
      <c r="H7265" s="1"/>
      <c r="I7265" s="1"/>
      <c r="J7265" s="1"/>
      <c r="K7265" s="102" t="s">
        <v>11267</v>
      </c>
      <c r="L7265" s="102" t="str">
        <f>D1078</f>
        <v>J2b1</v>
      </c>
      <c r="M7265" s="102"/>
      <c r="N7265" s="102" t="s">
        <v>11268</v>
      </c>
      <c r="O7265" s="105">
        <v>9865249.0</v>
      </c>
      <c r="P7265" s="105">
        <v>1.002764E7</v>
      </c>
      <c r="Q7265" s="102" t="s">
        <v>2501</v>
      </c>
      <c r="S7265" s="1"/>
      <c r="T7265" s="1"/>
      <c r="U7265" s="1"/>
      <c r="V7265" s="1"/>
      <c r="W7265" s="1"/>
      <c r="X7265" s="1"/>
      <c r="Y7265" s="1"/>
      <c r="AA7265" s="102"/>
      <c r="AB7265" s="1"/>
      <c r="AC7265" s="1"/>
      <c r="AD7265" s="1"/>
      <c r="AE7265" s="1"/>
      <c r="AF7265" s="1"/>
      <c r="AG7265" s="1"/>
    </row>
    <row r="7266" ht="15.75" customHeight="1">
      <c r="A7266" s="1"/>
      <c r="B7266" s="1"/>
      <c r="C7266" s="1"/>
      <c r="D7266" s="1"/>
      <c r="E7266" s="1"/>
      <c r="F7266" s="1"/>
      <c r="G7266" s="1"/>
      <c r="H7266" s="1"/>
      <c r="I7266" s="1"/>
      <c r="J7266" s="1"/>
      <c r="K7266" s="102" t="s">
        <v>11269</v>
      </c>
      <c r="L7266" s="102" t="str">
        <f>D1078</f>
        <v>J2b1</v>
      </c>
      <c r="M7266" s="102"/>
      <c r="N7266" s="102" t="s">
        <v>11270</v>
      </c>
      <c r="O7266" s="105">
        <v>9084785.0</v>
      </c>
      <c r="P7266" s="105">
        <v>9247176.0</v>
      </c>
      <c r="Q7266" s="102" t="s">
        <v>2576</v>
      </c>
      <c r="S7266" s="1"/>
      <c r="T7266" s="1"/>
      <c r="U7266" s="1"/>
      <c r="V7266" s="1"/>
      <c r="W7266" s="1"/>
      <c r="X7266" s="1"/>
      <c r="Y7266" s="1"/>
      <c r="AA7266" s="102"/>
      <c r="AB7266" s="1"/>
      <c r="AC7266" s="1"/>
      <c r="AD7266" s="1"/>
      <c r="AE7266" s="1"/>
      <c r="AF7266" s="1"/>
      <c r="AG7266" s="1"/>
    </row>
    <row r="7267" ht="15.75" customHeight="1">
      <c r="A7267" s="1"/>
      <c r="B7267" s="1"/>
      <c r="C7267" s="1"/>
      <c r="D7267" s="1"/>
      <c r="E7267" s="1"/>
      <c r="F7267" s="1"/>
      <c r="G7267" s="1"/>
      <c r="H7267" s="1"/>
      <c r="I7267" s="1"/>
      <c r="J7267" s="1"/>
      <c r="K7267" s="102" t="s">
        <v>11271</v>
      </c>
      <c r="L7267" s="102" t="str">
        <f>D1078</f>
        <v>J2b1</v>
      </c>
      <c r="M7267" s="102"/>
      <c r="N7267" s="102" t="s">
        <v>11272</v>
      </c>
      <c r="O7267" s="105">
        <v>7975150.0</v>
      </c>
      <c r="P7267" s="105">
        <v>8107109.0</v>
      </c>
      <c r="Q7267" s="102" t="s">
        <v>2468</v>
      </c>
      <c r="S7267" s="1"/>
      <c r="T7267" s="1"/>
      <c r="U7267" s="1"/>
      <c r="V7267" s="1"/>
      <c r="W7267" s="1"/>
      <c r="X7267" s="1"/>
      <c r="Y7267" s="1"/>
      <c r="AA7267" s="102"/>
      <c r="AB7267" s="1"/>
      <c r="AC7267" s="1"/>
      <c r="AD7267" s="1"/>
      <c r="AE7267" s="1"/>
      <c r="AF7267" s="1"/>
      <c r="AG7267" s="1"/>
    </row>
    <row r="7268" ht="15.75" customHeight="1">
      <c r="A7268" s="1"/>
      <c r="B7268" s="1"/>
      <c r="C7268" s="1"/>
      <c r="D7268" s="1"/>
      <c r="E7268" s="1"/>
      <c r="F7268" s="1"/>
      <c r="G7268" s="1"/>
      <c r="H7268" s="1"/>
      <c r="I7268" s="1"/>
      <c r="J7268" s="1"/>
      <c r="K7268" s="102" t="s">
        <v>11273</v>
      </c>
      <c r="L7268" s="102" t="str">
        <f>D1078</f>
        <v>J2b1</v>
      </c>
      <c r="M7268" s="102"/>
      <c r="N7268" s="102" t="s">
        <v>11274</v>
      </c>
      <c r="O7268" s="105">
        <v>2788565.0</v>
      </c>
      <c r="P7268" s="105">
        <v>2920524.0</v>
      </c>
      <c r="Q7268" s="102" t="s">
        <v>2439</v>
      </c>
      <c r="S7268" s="1"/>
      <c r="T7268" s="1"/>
      <c r="U7268" s="1"/>
      <c r="V7268" s="1"/>
      <c r="W7268" s="1"/>
      <c r="X7268" s="1"/>
      <c r="Y7268" s="1"/>
      <c r="AA7268" s="102"/>
      <c r="AB7268" s="1"/>
      <c r="AC7268" s="1"/>
      <c r="AD7268" s="1"/>
      <c r="AE7268" s="1"/>
      <c r="AF7268" s="1"/>
      <c r="AG7268" s="1"/>
    </row>
    <row r="7269" ht="15.75" customHeight="1">
      <c r="A7269" s="1"/>
      <c r="B7269" s="1"/>
      <c r="C7269" s="1"/>
      <c r="D7269" s="1"/>
      <c r="E7269" s="1"/>
      <c r="F7269" s="1"/>
      <c r="G7269" s="1"/>
      <c r="H7269" s="1"/>
      <c r="I7269" s="1"/>
      <c r="J7269" s="1"/>
      <c r="K7269" s="102" t="s">
        <v>11275</v>
      </c>
      <c r="L7269" s="102" t="str">
        <f>D1078</f>
        <v>J2b1</v>
      </c>
      <c r="M7269" s="102"/>
      <c r="N7269" s="102" t="s">
        <v>11276</v>
      </c>
      <c r="O7269" s="105">
        <v>8333752.0</v>
      </c>
      <c r="P7269" s="105">
        <v>8465711.0</v>
      </c>
      <c r="Q7269" s="102" t="s">
        <v>2563</v>
      </c>
      <c r="S7269" s="1"/>
      <c r="T7269" s="1"/>
      <c r="U7269" s="1"/>
      <c r="V7269" s="1"/>
      <c r="W7269" s="1"/>
      <c r="X7269" s="1"/>
      <c r="Y7269" s="1"/>
      <c r="AA7269" s="102"/>
      <c r="AB7269" s="1"/>
      <c r="AC7269" s="1"/>
      <c r="AD7269" s="1"/>
      <c r="AE7269" s="1"/>
      <c r="AF7269" s="1"/>
      <c r="AG7269" s="1"/>
    </row>
    <row r="7270" ht="15.75" customHeight="1">
      <c r="A7270" s="1"/>
      <c r="B7270" s="1"/>
      <c r="C7270" s="1"/>
      <c r="D7270" s="1"/>
      <c r="E7270" s="1"/>
      <c r="F7270" s="1"/>
      <c r="G7270" s="1"/>
      <c r="H7270" s="1"/>
      <c r="I7270" s="1"/>
      <c r="J7270" s="1"/>
      <c r="K7270" s="102" t="s">
        <v>11277</v>
      </c>
      <c r="L7270" s="102" t="str">
        <f>D1078</f>
        <v>J2b1</v>
      </c>
      <c r="M7270" s="102"/>
      <c r="N7270" s="102" t="s">
        <v>11278</v>
      </c>
      <c r="O7270" s="105">
        <v>1.4722795E7</v>
      </c>
      <c r="P7270" s="105">
        <v>1.2610863E7</v>
      </c>
      <c r="Q7270" s="102" t="s">
        <v>2468</v>
      </c>
      <c r="S7270" s="1"/>
      <c r="T7270" s="1"/>
      <c r="U7270" s="1"/>
      <c r="V7270" s="1"/>
      <c r="W7270" s="1"/>
      <c r="X7270" s="1"/>
      <c r="Y7270" s="1"/>
      <c r="AA7270" s="102"/>
      <c r="AB7270" s="1"/>
      <c r="AC7270" s="1"/>
      <c r="AD7270" s="1"/>
      <c r="AE7270" s="1"/>
      <c r="AF7270" s="1"/>
      <c r="AG7270" s="1"/>
    </row>
    <row r="7271" ht="15.75" customHeight="1">
      <c r="A7271" s="1"/>
      <c r="B7271" s="1"/>
      <c r="C7271" s="1"/>
      <c r="D7271" s="1"/>
      <c r="E7271" s="1"/>
      <c r="F7271" s="1"/>
      <c r="G7271" s="1"/>
      <c r="H7271" s="1"/>
      <c r="I7271" s="1"/>
      <c r="J7271" s="1"/>
      <c r="K7271" s="102" t="s">
        <v>11279</v>
      </c>
      <c r="L7271" s="102" t="str">
        <f>D1078</f>
        <v>J2b1</v>
      </c>
      <c r="M7271" s="102"/>
      <c r="N7271" s="102" t="s">
        <v>11280</v>
      </c>
      <c r="O7271" s="105">
        <v>2.1569683E7</v>
      </c>
      <c r="P7271" s="105">
        <v>1.9407797E7</v>
      </c>
      <c r="Q7271" s="102" t="s">
        <v>2423</v>
      </c>
      <c r="S7271" s="1"/>
      <c r="T7271" s="1"/>
      <c r="U7271" s="1"/>
      <c r="V7271" s="1"/>
      <c r="W7271" s="1"/>
      <c r="X7271" s="1"/>
      <c r="Y7271" s="1"/>
      <c r="AA7271" s="102"/>
      <c r="AB7271" s="1"/>
      <c r="AC7271" s="1"/>
      <c r="AD7271" s="1"/>
      <c r="AE7271" s="1"/>
      <c r="AF7271" s="1"/>
      <c r="AG7271" s="1"/>
    </row>
    <row r="7272" ht="15.75" customHeight="1">
      <c r="A7272" s="1"/>
      <c r="B7272" s="1"/>
      <c r="C7272" s="1"/>
      <c r="D7272" s="1"/>
      <c r="E7272" s="1"/>
      <c r="F7272" s="1"/>
      <c r="G7272" s="1"/>
      <c r="H7272" s="1"/>
      <c r="I7272" s="1"/>
      <c r="J7272" s="1"/>
      <c r="K7272" s="102" t="s">
        <v>11281</v>
      </c>
      <c r="L7272" s="102" t="str">
        <f>D1078</f>
        <v>J2b1</v>
      </c>
      <c r="M7272" s="102"/>
      <c r="N7272" s="102" t="s">
        <v>11282</v>
      </c>
      <c r="O7272" s="105">
        <v>2.1544794E7</v>
      </c>
      <c r="P7272" s="105">
        <v>1.9382908E7</v>
      </c>
      <c r="Q7272" s="102" t="s">
        <v>2468</v>
      </c>
      <c r="S7272" s="1"/>
      <c r="T7272" s="1"/>
      <c r="U7272" s="1"/>
      <c r="V7272" s="1"/>
      <c r="W7272" s="1"/>
      <c r="X7272" s="1"/>
      <c r="Y7272" s="1"/>
      <c r="AA7272" s="102"/>
      <c r="AB7272" s="1"/>
      <c r="AC7272" s="1"/>
      <c r="AD7272" s="1"/>
      <c r="AE7272" s="1"/>
      <c r="AF7272" s="1"/>
      <c r="AG7272" s="1"/>
    </row>
    <row r="7273" ht="15.75" customHeight="1">
      <c r="A7273" s="1"/>
      <c r="B7273" s="1"/>
      <c r="C7273" s="1"/>
      <c r="D7273" s="1"/>
      <c r="E7273" s="1"/>
      <c r="F7273" s="1"/>
      <c r="G7273" s="1"/>
      <c r="H7273" s="1"/>
      <c r="I7273" s="1"/>
      <c r="J7273" s="1"/>
      <c r="K7273" s="102" t="s">
        <v>11283</v>
      </c>
      <c r="L7273" s="102" t="str">
        <f>D1078</f>
        <v>J2b1</v>
      </c>
      <c r="M7273" s="102"/>
      <c r="N7273" s="102" t="s">
        <v>11284</v>
      </c>
      <c r="O7273" s="105">
        <v>2.3963077E7</v>
      </c>
      <c r="P7273" s="105">
        <v>2.181693E7</v>
      </c>
      <c r="Q7273" s="102" t="s">
        <v>2501</v>
      </c>
      <c r="S7273" s="1"/>
      <c r="T7273" s="1"/>
      <c r="U7273" s="1"/>
      <c r="V7273" s="1"/>
      <c r="W7273" s="1"/>
      <c r="X7273" s="1"/>
      <c r="Y7273" s="1"/>
      <c r="AA7273" s="102"/>
      <c r="AB7273" s="1"/>
      <c r="AC7273" s="1"/>
      <c r="AD7273" s="1"/>
      <c r="AE7273" s="1"/>
      <c r="AF7273" s="1"/>
      <c r="AG7273" s="1"/>
    </row>
    <row r="7274" ht="15.75" customHeight="1">
      <c r="A7274" s="1"/>
      <c r="B7274" s="1"/>
      <c r="C7274" s="1"/>
      <c r="D7274" s="1"/>
      <c r="E7274" s="1"/>
      <c r="F7274" s="1"/>
      <c r="G7274" s="1"/>
      <c r="H7274" s="1"/>
      <c r="I7274" s="1"/>
      <c r="J7274" s="1"/>
      <c r="K7274" s="102" t="s">
        <v>11285</v>
      </c>
      <c r="L7274" s="102" t="str">
        <f>D1078</f>
        <v>J2b1</v>
      </c>
      <c r="M7274" s="102"/>
      <c r="N7274" s="102" t="s">
        <v>11286</v>
      </c>
      <c r="O7274" s="105">
        <v>2.3808852E7</v>
      </c>
      <c r="P7274" s="105">
        <v>2.1646966E7</v>
      </c>
      <c r="Q7274" s="102" t="s">
        <v>2529</v>
      </c>
      <c r="S7274" s="1"/>
      <c r="T7274" s="1"/>
      <c r="U7274" s="1"/>
      <c r="V7274" s="1"/>
      <c r="W7274" s="1"/>
      <c r="X7274" s="1"/>
      <c r="Y7274" s="1"/>
      <c r="AA7274" s="102"/>
      <c r="AB7274" s="1"/>
      <c r="AC7274" s="1"/>
      <c r="AD7274" s="1"/>
      <c r="AE7274" s="1"/>
      <c r="AF7274" s="1"/>
      <c r="AG7274" s="1"/>
    </row>
    <row r="7275" ht="15.75" customHeight="1">
      <c r="A7275" s="1"/>
      <c r="B7275" s="1"/>
      <c r="C7275" s="1"/>
      <c r="D7275" s="1"/>
      <c r="E7275" s="1"/>
      <c r="F7275" s="1"/>
      <c r="G7275" s="1"/>
      <c r="H7275" s="1"/>
      <c r="I7275" s="1"/>
      <c r="J7275" s="1"/>
      <c r="K7275" s="102" t="s">
        <v>11287</v>
      </c>
      <c r="L7275" s="102" t="str">
        <f>D1078</f>
        <v>J2b1</v>
      </c>
      <c r="M7275" s="102"/>
      <c r="N7275" s="102" t="s">
        <v>11288</v>
      </c>
      <c r="O7275" s="105">
        <v>2.357458E7</v>
      </c>
      <c r="P7275" s="105">
        <v>2.1412694E7</v>
      </c>
      <c r="Q7275" s="102" t="s">
        <v>2563</v>
      </c>
      <c r="S7275" s="1"/>
      <c r="T7275" s="1"/>
      <c r="U7275" s="1"/>
      <c r="V7275" s="1"/>
      <c r="W7275" s="1"/>
      <c r="X7275" s="1"/>
      <c r="Y7275" s="1"/>
      <c r="AA7275" s="102"/>
      <c r="AB7275" s="1"/>
      <c r="AC7275" s="1"/>
      <c r="AD7275" s="1"/>
      <c r="AE7275" s="1"/>
      <c r="AF7275" s="1"/>
      <c r="AG7275" s="1"/>
    </row>
    <row r="7276" ht="15.75" customHeight="1">
      <c r="A7276" s="1"/>
      <c r="B7276" s="1"/>
      <c r="C7276" s="1"/>
      <c r="D7276" s="1"/>
      <c r="E7276" s="1"/>
      <c r="F7276" s="1"/>
      <c r="G7276" s="1"/>
      <c r="H7276" s="1"/>
      <c r="I7276" s="1"/>
      <c r="J7276" s="1"/>
      <c r="K7276" s="102" t="s">
        <v>11289</v>
      </c>
      <c r="L7276" s="102" t="str">
        <f>D1078</f>
        <v>J2b1</v>
      </c>
      <c r="M7276" s="102"/>
      <c r="N7276" s="102" t="s">
        <v>11290</v>
      </c>
      <c r="O7276" s="105">
        <v>9846835.0</v>
      </c>
      <c r="P7276" s="105">
        <v>1.0009226E7</v>
      </c>
      <c r="Q7276" s="102" t="s">
        <v>2439</v>
      </c>
      <c r="S7276" s="1"/>
      <c r="T7276" s="1"/>
      <c r="U7276" s="1"/>
      <c r="V7276" s="1"/>
      <c r="W7276" s="1"/>
      <c r="X7276" s="1"/>
      <c r="Y7276" s="1"/>
      <c r="AA7276" s="102"/>
      <c r="AB7276" s="1"/>
      <c r="AC7276" s="1"/>
      <c r="AD7276" s="1"/>
      <c r="AE7276" s="1"/>
      <c r="AF7276" s="1"/>
      <c r="AG7276" s="1"/>
    </row>
    <row r="7277" ht="15.75" customHeight="1">
      <c r="A7277" s="1"/>
      <c r="B7277" s="1"/>
      <c r="C7277" s="1"/>
      <c r="D7277" s="1"/>
      <c r="E7277" s="1"/>
      <c r="F7277" s="1"/>
      <c r="G7277" s="1"/>
      <c r="H7277" s="1"/>
      <c r="I7277" s="1"/>
      <c r="J7277" s="1"/>
      <c r="K7277" s="102" t="s">
        <v>11291</v>
      </c>
      <c r="L7277" s="102" t="str">
        <f>D1078</f>
        <v>J2b1</v>
      </c>
      <c r="M7277" s="102"/>
      <c r="N7277" s="102" t="s">
        <v>11292</v>
      </c>
      <c r="O7277" s="105">
        <v>2.2189193E7</v>
      </c>
      <c r="P7277" s="105">
        <v>2.0027307E7</v>
      </c>
      <c r="Q7277" s="102" t="s">
        <v>2439</v>
      </c>
      <c r="S7277" s="1"/>
      <c r="T7277" s="1"/>
      <c r="U7277" s="1"/>
      <c r="V7277" s="1"/>
      <c r="W7277" s="1"/>
      <c r="X7277" s="1"/>
      <c r="Y7277" s="1"/>
      <c r="AA7277" s="102"/>
      <c r="AB7277" s="1"/>
      <c r="AC7277" s="1"/>
      <c r="AD7277" s="1"/>
      <c r="AE7277" s="1"/>
      <c r="AF7277" s="1"/>
      <c r="AG7277" s="1"/>
    </row>
    <row r="7278" ht="15.75" customHeight="1">
      <c r="A7278" s="1"/>
      <c r="B7278" s="1"/>
      <c r="C7278" s="1"/>
      <c r="D7278" s="1"/>
      <c r="E7278" s="1"/>
      <c r="F7278" s="1"/>
      <c r="G7278" s="1"/>
      <c r="H7278" s="1"/>
      <c r="I7278" s="1"/>
      <c r="J7278" s="1"/>
      <c r="K7278" s="102" t="s">
        <v>11293</v>
      </c>
      <c r="L7278" s="102" t="str">
        <f>D1078</f>
        <v>J2b1</v>
      </c>
      <c r="M7278" s="102"/>
      <c r="N7278" s="102"/>
      <c r="O7278" s="105">
        <v>2.1839486E7</v>
      </c>
      <c r="P7278" s="105">
        <v>1.96776E7</v>
      </c>
      <c r="Q7278" s="102" t="s">
        <v>2501</v>
      </c>
      <c r="S7278" s="1"/>
      <c r="T7278" s="1"/>
      <c r="U7278" s="1"/>
      <c r="V7278" s="1"/>
      <c r="W7278" s="1"/>
      <c r="X7278" s="1"/>
      <c r="Y7278" s="1"/>
      <c r="AA7278" s="102"/>
      <c r="AB7278" s="1"/>
      <c r="AC7278" s="1"/>
      <c r="AD7278" s="1"/>
      <c r="AE7278" s="1"/>
      <c r="AF7278" s="1"/>
      <c r="AG7278" s="1"/>
    </row>
    <row r="7279" ht="15.75" customHeight="1">
      <c r="A7279" s="1"/>
      <c r="B7279" s="1"/>
      <c r="C7279" s="1"/>
      <c r="D7279" s="1"/>
      <c r="E7279" s="1"/>
      <c r="F7279" s="1"/>
      <c r="G7279" s="1"/>
      <c r="H7279" s="1"/>
      <c r="I7279" s="1"/>
      <c r="J7279" s="1"/>
      <c r="K7279" s="102" t="s">
        <v>11294</v>
      </c>
      <c r="L7279" s="102" t="str">
        <f>D1078</f>
        <v>J2b1</v>
      </c>
      <c r="M7279" s="102"/>
      <c r="N7279" s="102" t="s">
        <v>11295</v>
      </c>
      <c r="O7279" s="105">
        <v>8858289.0</v>
      </c>
      <c r="P7279" s="105">
        <v>8990248.0</v>
      </c>
      <c r="Q7279" s="102" t="s">
        <v>2533</v>
      </c>
      <c r="S7279" s="1"/>
      <c r="T7279" s="1"/>
      <c r="U7279" s="1"/>
      <c r="V7279" s="1"/>
      <c r="W7279" s="1"/>
      <c r="X7279" s="1"/>
      <c r="Y7279" s="1"/>
      <c r="AA7279" s="102"/>
      <c r="AB7279" s="1"/>
      <c r="AC7279" s="1"/>
      <c r="AD7279" s="1"/>
      <c r="AE7279" s="1"/>
      <c r="AF7279" s="1"/>
      <c r="AG7279" s="1"/>
    </row>
    <row r="7280" ht="15.75" customHeight="1">
      <c r="A7280" s="1"/>
      <c r="B7280" s="1"/>
      <c r="C7280" s="1"/>
      <c r="D7280" s="1"/>
      <c r="E7280" s="1"/>
      <c r="F7280" s="1"/>
      <c r="G7280" s="1"/>
      <c r="H7280" s="1"/>
      <c r="I7280" s="1"/>
      <c r="J7280" s="1"/>
      <c r="K7280" s="102" t="s">
        <v>11296</v>
      </c>
      <c r="L7280" s="102" t="str">
        <f>D1078</f>
        <v>J2b1</v>
      </c>
      <c r="M7280" s="102"/>
      <c r="N7280" s="102" t="s">
        <v>11297</v>
      </c>
      <c r="O7280" s="105">
        <v>8709112.0</v>
      </c>
      <c r="P7280" s="105">
        <v>8841071.0</v>
      </c>
      <c r="Q7280" s="102" t="s">
        <v>2439</v>
      </c>
      <c r="S7280" s="1"/>
      <c r="T7280" s="1"/>
      <c r="U7280" s="1"/>
      <c r="V7280" s="1"/>
      <c r="W7280" s="1"/>
      <c r="X7280" s="1"/>
      <c r="Y7280" s="1"/>
      <c r="AA7280" s="102"/>
      <c r="AB7280" s="1"/>
      <c r="AC7280" s="1"/>
      <c r="AD7280" s="1"/>
      <c r="AE7280" s="1"/>
      <c r="AF7280" s="1"/>
      <c r="AG7280" s="1"/>
    </row>
    <row r="7281" ht="15.75" customHeight="1">
      <c r="A7281" s="1"/>
      <c r="B7281" s="1"/>
      <c r="C7281" s="1"/>
      <c r="D7281" s="1"/>
      <c r="E7281" s="1"/>
      <c r="F7281" s="1"/>
      <c r="G7281" s="1"/>
      <c r="H7281" s="1"/>
      <c r="I7281" s="1"/>
      <c r="J7281" s="1"/>
      <c r="K7281" s="102" t="s">
        <v>11298</v>
      </c>
      <c r="L7281" s="102" t="str">
        <f>D1078</f>
        <v>J2b1</v>
      </c>
      <c r="M7281" s="102"/>
      <c r="N7281" s="102" t="s">
        <v>11299</v>
      </c>
      <c r="O7281" s="105">
        <v>8452783.0</v>
      </c>
      <c r="P7281" s="105">
        <v>8584742.0</v>
      </c>
      <c r="Q7281" s="102" t="s">
        <v>2514</v>
      </c>
      <c r="S7281" s="1"/>
      <c r="T7281" s="1"/>
      <c r="U7281" s="1"/>
      <c r="V7281" s="1"/>
      <c r="W7281" s="1"/>
      <c r="X7281" s="1"/>
      <c r="Y7281" s="1"/>
      <c r="AA7281" s="102"/>
      <c r="AB7281" s="1"/>
      <c r="AC7281" s="1"/>
      <c r="AD7281" s="1"/>
      <c r="AE7281" s="1"/>
      <c r="AF7281" s="1"/>
      <c r="AG7281" s="1"/>
    </row>
    <row r="7282" ht="15.75" customHeight="1">
      <c r="A7282" s="1"/>
      <c r="B7282" s="1"/>
      <c r="C7282" s="1"/>
      <c r="D7282" s="1"/>
      <c r="E7282" s="1"/>
      <c r="F7282" s="1"/>
      <c r="G7282" s="1"/>
      <c r="H7282" s="1"/>
      <c r="I7282" s="1"/>
      <c r="J7282" s="1"/>
      <c r="K7282" s="106" t="s">
        <v>11300</v>
      </c>
      <c r="L7282" s="102" t="str">
        <f>D1078</f>
        <v>J2b1</v>
      </c>
      <c r="M7282" s="102"/>
      <c r="N7282" s="102"/>
      <c r="O7282" s="104">
        <v>8425847.0</v>
      </c>
      <c r="P7282" s="111">
        <v>8557806.0</v>
      </c>
      <c r="Q7282" s="112" t="s">
        <v>2468</v>
      </c>
      <c r="S7282" s="1"/>
      <c r="T7282" s="1"/>
      <c r="U7282" s="1"/>
      <c r="V7282" s="1"/>
      <c r="W7282" s="1"/>
      <c r="X7282" s="1"/>
      <c r="Y7282" s="1"/>
      <c r="AA7282" s="102"/>
      <c r="AB7282" s="1"/>
      <c r="AC7282" s="1"/>
      <c r="AD7282" s="1"/>
      <c r="AE7282" s="1"/>
      <c r="AF7282" s="1"/>
      <c r="AG7282" s="1"/>
    </row>
    <row r="7283" ht="15.75" customHeight="1">
      <c r="A7283" s="1"/>
      <c r="B7283" s="1"/>
      <c r="C7283" s="1"/>
      <c r="D7283" s="1"/>
      <c r="E7283" s="1"/>
      <c r="F7283" s="1"/>
      <c r="G7283" s="1"/>
      <c r="H7283" s="1"/>
      <c r="I7283" s="1"/>
      <c r="J7283" s="1"/>
      <c r="K7283" s="102" t="s">
        <v>11301</v>
      </c>
      <c r="L7283" s="102" t="str">
        <f>D1078</f>
        <v>J2b1</v>
      </c>
      <c r="M7283" s="102"/>
      <c r="N7283" s="102" t="s">
        <v>11302</v>
      </c>
      <c r="O7283" s="105">
        <v>8203555.0</v>
      </c>
      <c r="P7283" s="105">
        <v>8335514.0</v>
      </c>
      <c r="Q7283" s="102" t="s">
        <v>2514</v>
      </c>
      <c r="S7283" s="1"/>
      <c r="T7283" s="1"/>
      <c r="U7283" s="1"/>
      <c r="V7283" s="1"/>
      <c r="W7283" s="1"/>
      <c r="X7283" s="1"/>
      <c r="Y7283" s="1"/>
      <c r="AA7283" s="102"/>
      <c r="AB7283" s="1"/>
      <c r="AC7283" s="1"/>
      <c r="AD7283" s="1"/>
      <c r="AE7283" s="1"/>
      <c r="AF7283" s="1"/>
      <c r="AG7283" s="1"/>
    </row>
    <row r="7284" ht="15.75" customHeight="1">
      <c r="A7284" s="1"/>
      <c r="B7284" s="1"/>
      <c r="C7284" s="1"/>
      <c r="D7284" s="1"/>
      <c r="E7284" s="1"/>
      <c r="F7284" s="1"/>
      <c r="G7284" s="1"/>
      <c r="H7284" s="1"/>
      <c r="I7284" s="1"/>
      <c r="J7284" s="1"/>
      <c r="K7284" s="102" t="s">
        <v>11303</v>
      </c>
      <c r="L7284" s="102" t="str">
        <f>D1078</f>
        <v>J2b1</v>
      </c>
      <c r="M7284" s="102"/>
      <c r="N7284" s="102" t="s">
        <v>11304</v>
      </c>
      <c r="O7284" s="105">
        <v>8193207.0</v>
      </c>
      <c r="P7284" s="105">
        <v>8325166.0</v>
      </c>
      <c r="Q7284" s="102" t="s">
        <v>2501</v>
      </c>
      <c r="S7284" s="1"/>
      <c r="T7284" s="1"/>
      <c r="U7284" s="1"/>
      <c r="V7284" s="1"/>
      <c r="W7284" s="1"/>
      <c r="X7284" s="1"/>
      <c r="Y7284" s="1"/>
      <c r="AA7284" s="102"/>
      <c r="AB7284" s="1"/>
      <c r="AC7284" s="1"/>
      <c r="AD7284" s="1"/>
      <c r="AE7284" s="1"/>
      <c r="AF7284" s="1"/>
      <c r="AG7284" s="1"/>
    </row>
    <row r="7285" ht="15.75" customHeight="1">
      <c r="A7285" s="1"/>
      <c r="B7285" s="1"/>
      <c r="C7285" s="1"/>
      <c r="D7285" s="1"/>
      <c r="E7285" s="1"/>
      <c r="F7285" s="1"/>
      <c r="G7285" s="1"/>
      <c r="H7285" s="1"/>
      <c r="I7285" s="1"/>
      <c r="J7285" s="1"/>
      <c r="K7285" s="102" t="s">
        <v>11305</v>
      </c>
      <c r="L7285" s="102" t="str">
        <f>D1078</f>
        <v>J2b1</v>
      </c>
      <c r="M7285" s="102"/>
      <c r="N7285" s="102" t="s">
        <v>11306</v>
      </c>
      <c r="O7285" s="105">
        <v>8181475.0</v>
      </c>
      <c r="P7285" s="105">
        <v>8313434.0</v>
      </c>
      <c r="Q7285" s="102" t="s">
        <v>2468</v>
      </c>
      <c r="S7285" s="1"/>
      <c r="T7285" s="1"/>
      <c r="U7285" s="1"/>
      <c r="V7285" s="1"/>
      <c r="W7285" s="1"/>
      <c r="X7285" s="1"/>
      <c r="Y7285" s="1"/>
      <c r="AA7285" s="102"/>
      <c r="AB7285" s="1"/>
      <c r="AC7285" s="1"/>
      <c r="AD7285" s="1"/>
      <c r="AE7285" s="1"/>
      <c r="AF7285" s="1"/>
      <c r="AG7285" s="1"/>
    </row>
    <row r="7286" ht="15.75" customHeight="1">
      <c r="A7286" s="1"/>
      <c r="B7286" s="1"/>
      <c r="C7286" s="1"/>
      <c r="D7286" s="1"/>
      <c r="E7286" s="1"/>
      <c r="F7286" s="1"/>
      <c r="G7286" s="1"/>
      <c r="H7286" s="1"/>
      <c r="I7286" s="1"/>
      <c r="J7286" s="1"/>
      <c r="K7286" s="102" t="s">
        <v>11307</v>
      </c>
      <c r="L7286" s="102" t="str">
        <f>D1078</f>
        <v>J2b1</v>
      </c>
      <c r="M7286" s="102"/>
      <c r="N7286" s="102" t="s">
        <v>11308</v>
      </c>
      <c r="O7286" s="105">
        <v>8059228.0</v>
      </c>
      <c r="P7286" s="105">
        <v>8191187.0</v>
      </c>
      <c r="Q7286" s="102" t="s">
        <v>2439</v>
      </c>
      <c r="S7286" s="1"/>
      <c r="T7286" s="1"/>
      <c r="U7286" s="1"/>
      <c r="V7286" s="1"/>
      <c r="W7286" s="1"/>
      <c r="X7286" s="1"/>
      <c r="Y7286" s="1"/>
      <c r="AA7286" s="102"/>
      <c r="AB7286" s="1"/>
      <c r="AC7286" s="1"/>
      <c r="AD7286" s="1"/>
      <c r="AE7286" s="1"/>
      <c r="AF7286" s="1"/>
      <c r="AG7286" s="1"/>
    </row>
    <row r="7287" ht="15.75" customHeight="1">
      <c r="A7287" s="1"/>
      <c r="B7287" s="1"/>
      <c r="C7287" s="1"/>
      <c r="D7287" s="1"/>
      <c r="E7287" s="1"/>
      <c r="F7287" s="1"/>
      <c r="G7287" s="1"/>
      <c r="H7287" s="1"/>
      <c r="I7287" s="1"/>
      <c r="J7287" s="1"/>
      <c r="K7287" s="102" t="s">
        <v>11309</v>
      </c>
      <c r="L7287" s="102" t="str">
        <f>D1078</f>
        <v>J2b1</v>
      </c>
      <c r="M7287" s="102"/>
      <c r="N7287" s="102" t="s">
        <v>11310</v>
      </c>
      <c r="O7287" s="105">
        <v>2730419.0</v>
      </c>
      <c r="P7287" s="105">
        <v>2862378.0</v>
      </c>
      <c r="Q7287" s="102" t="s">
        <v>2439</v>
      </c>
      <c r="S7287" s="1"/>
      <c r="T7287" s="1"/>
      <c r="U7287" s="1"/>
      <c r="V7287" s="1"/>
      <c r="W7287" s="1"/>
      <c r="X7287" s="1"/>
      <c r="Y7287" s="1"/>
      <c r="AA7287" s="102"/>
      <c r="AB7287" s="1"/>
      <c r="AC7287" s="1"/>
      <c r="AD7287" s="1"/>
      <c r="AE7287" s="1"/>
      <c r="AF7287" s="1"/>
      <c r="AG7287" s="1"/>
    </row>
    <row r="7288" ht="15.75" customHeight="1">
      <c r="A7288" s="1"/>
      <c r="B7288" s="1"/>
      <c r="C7288" s="1"/>
      <c r="D7288" s="1"/>
      <c r="E7288" s="1"/>
      <c r="F7288" s="1"/>
      <c r="G7288" s="1"/>
      <c r="H7288" s="1"/>
      <c r="I7288" s="1"/>
      <c r="J7288" s="1"/>
      <c r="K7288" s="102" t="s">
        <v>11311</v>
      </c>
      <c r="L7288" s="102" t="str">
        <f>D1078</f>
        <v>J2b1</v>
      </c>
      <c r="M7288" s="102"/>
      <c r="N7288" s="102"/>
      <c r="O7288" s="105">
        <v>7518040.0</v>
      </c>
      <c r="P7288" s="105">
        <v>7649999.0</v>
      </c>
      <c r="Q7288" s="102" t="s">
        <v>2446</v>
      </c>
      <c r="S7288" s="1"/>
      <c r="T7288" s="1"/>
      <c r="U7288" s="1"/>
      <c r="V7288" s="1"/>
      <c r="W7288" s="1"/>
      <c r="X7288" s="1"/>
      <c r="Y7288" s="1"/>
      <c r="AA7288" s="102"/>
      <c r="AB7288" s="1"/>
      <c r="AC7288" s="1"/>
      <c r="AD7288" s="1"/>
      <c r="AE7288" s="1"/>
      <c r="AF7288" s="1"/>
      <c r="AG7288" s="1"/>
    </row>
    <row r="7289" ht="15.75" customHeight="1">
      <c r="A7289" s="1"/>
      <c r="B7289" s="1"/>
      <c r="C7289" s="1"/>
      <c r="D7289" s="1"/>
      <c r="E7289" s="1"/>
      <c r="F7289" s="1"/>
      <c r="G7289" s="1"/>
      <c r="H7289" s="1"/>
      <c r="I7289" s="1"/>
      <c r="J7289" s="1"/>
      <c r="K7289" s="102" t="s">
        <v>11312</v>
      </c>
      <c r="L7289" s="102" t="str">
        <f>D1078</f>
        <v>J2b1</v>
      </c>
      <c r="M7289" s="102" t="s">
        <v>11313</v>
      </c>
      <c r="N7289" s="102" t="s">
        <v>11314</v>
      </c>
      <c r="O7289" s="105">
        <v>7763676.0</v>
      </c>
      <c r="P7289" s="105">
        <v>7895635.0</v>
      </c>
      <c r="Q7289" s="102" t="s">
        <v>2576</v>
      </c>
      <c r="S7289" s="1"/>
      <c r="T7289" s="1"/>
      <c r="U7289" s="1"/>
      <c r="V7289" s="1"/>
      <c r="W7289" s="1"/>
      <c r="X7289" s="1"/>
      <c r="Y7289" s="1"/>
      <c r="AA7289" s="102"/>
      <c r="AB7289" s="1"/>
      <c r="AC7289" s="1"/>
      <c r="AD7289" s="1"/>
      <c r="AE7289" s="1"/>
      <c r="AF7289" s="1"/>
      <c r="AG7289" s="1"/>
    </row>
    <row r="7290" ht="15.75" customHeight="1">
      <c r="A7290" s="1"/>
      <c r="B7290" s="1"/>
      <c r="C7290" s="1"/>
      <c r="D7290" s="1"/>
      <c r="E7290" s="1"/>
      <c r="F7290" s="1"/>
      <c r="G7290" s="1"/>
      <c r="H7290" s="1"/>
      <c r="I7290" s="1"/>
      <c r="J7290" s="1"/>
      <c r="K7290" s="102" t="s">
        <v>11313</v>
      </c>
      <c r="L7290" s="102" t="str">
        <f>D1078</f>
        <v>J2b1</v>
      </c>
      <c r="M7290" s="102" t="s">
        <v>11312</v>
      </c>
      <c r="N7290" s="102" t="s">
        <v>11314</v>
      </c>
      <c r="O7290" s="105">
        <v>7763676.0</v>
      </c>
      <c r="P7290" s="105">
        <v>7895635.0</v>
      </c>
      <c r="Q7290" s="102" t="s">
        <v>2576</v>
      </c>
      <c r="S7290" s="1"/>
      <c r="T7290" s="1"/>
      <c r="U7290" s="1"/>
      <c r="V7290" s="1"/>
      <c r="W7290" s="1"/>
      <c r="X7290" s="1"/>
      <c r="Y7290" s="1"/>
      <c r="AA7290" s="102"/>
      <c r="AB7290" s="1"/>
      <c r="AC7290" s="1"/>
      <c r="AD7290" s="1"/>
      <c r="AE7290" s="1"/>
      <c r="AF7290" s="1"/>
      <c r="AG7290" s="1"/>
    </row>
    <row r="7291" ht="15.75" customHeight="1">
      <c r="A7291" s="1"/>
      <c r="B7291" s="1"/>
      <c r="C7291" s="1"/>
      <c r="D7291" s="1"/>
      <c r="E7291" s="1"/>
      <c r="F7291" s="1"/>
      <c r="G7291" s="1"/>
      <c r="H7291" s="1"/>
      <c r="I7291" s="1"/>
      <c r="J7291" s="1"/>
      <c r="K7291" s="102" t="s">
        <v>11315</v>
      </c>
      <c r="L7291" s="102" t="str">
        <f>D1078</f>
        <v>J2b1</v>
      </c>
      <c r="M7291" s="102"/>
      <c r="N7291" s="102" t="s">
        <v>11316</v>
      </c>
      <c r="O7291" s="105">
        <v>7869092.0</v>
      </c>
      <c r="P7291" s="105">
        <v>8001051.0</v>
      </c>
      <c r="Q7291" s="102" t="s">
        <v>2439</v>
      </c>
      <c r="S7291" s="1"/>
      <c r="T7291" s="1"/>
      <c r="U7291" s="1"/>
      <c r="V7291" s="1"/>
      <c r="W7291" s="1"/>
      <c r="X7291" s="1"/>
      <c r="Y7291" s="1"/>
      <c r="AA7291" s="102"/>
      <c r="AB7291" s="1"/>
      <c r="AC7291" s="1"/>
      <c r="AD7291" s="1"/>
      <c r="AE7291" s="1"/>
      <c r="AF7291" s="1"/>
      <c r="AG7291" s="1"/>
    </row>
    <row r="7292" ht="15.75" customHeight="1">
      <c r="A7292" s="1"/>
      <c r="B7292" s="1"/>
      <c r="C7292" s="1"/>
      <c r="D7292" s="1"/>
      <c r="E7292" s="1"/>
      <c r="F7292" s="1"/>
      <c r="G7292" s="1"/>
      <c r="H7292" s="1"/>
      <c r="I7292" s="1"/>
      <c r="J7292" s="1"/>
      <c r="K7292" s="102" t="s">
        <v>11317</v>
      </c>
      <c r="L7292" s="102" t="str">
        <f>D1078</f>
        <v>J2b1</v>
      </c>
      <c r="M7292" s="102"/>
      <c r="N7292" s="102" t="s">
        <v>11318</v>
      </c>
      <c r="O7292" s="105">
        <v>9915737.0</v>
      </c>
      <c r="P7292" s="105">
        <v>1.0078128E7</v>
      </c>
      <c r="Q7292" s="102" t="s">
        <v>2423</v>
      </c>
      <c r="S7292" s="1"/>
      <c r="T7292" s="1"/>
      <c r="U7292" s="1"/>
      <c r="V7292" s="1"/>
      <c r="W7292" s="1"/>
      <c r="X7292" s="1"/>
      <c r="Y7292" s="1"/>
      <c r="AA7292" s="102"/>
      <c r="AB7292" s="1"/>
      <c r="AC7292" s="1"/>
      <c r="AD7292" s="1"/>
      <c r="AE7292" s="1"/>
      <c r="AF7292" s="1"/>
      <c r="AG7292" s="1"/>
    </row>
    <row r="7293" ht="15.75" customHeight="1">
      <c r="A7293" s="1"/>
      <c r="B7293" s="1"/>
      <c r="C7293" s="1"/>
      <c r="D7293" s="1"/>
      <c r="E7293" s="1"/>
      <c r="F7293" s="1"/>
      <c r="G7293" s="1"/>
      <c r="H7293" s="1"/>
      <c r="I7293" s="1"/>
      <c r="J7293" s="1"/>
      <c r="K7293" s="102" t="s">
        <v>11319</v>
      </c>
      <c r="L7293" s="102" t="str">
        <f>D1078</f>
        <v>J2b1</v>
      </c>
      <c r="M7293" s="102"/>
      <c r="N7293" s="102" t="s">
        <v>11320</v>
      </c>
      <c r="O7293" s="105">
        <v>2.4446892E7</v>
      </c>
      <c r="P7293" s="105">
        <v>2.2300745E7</v>
      </c>
      <c r="Q7293" s="102" t="s">
        <v>2454</v>
      </c>
      <c r="S7293" s="1"/>
      <c r="T7293" s="1"/>
      <c r="U7293" s="1"/>
      <c r="V7293" s="1"/>
      <c r="W7293" s="1"/>
      <c r="X7293" s="1"/>
      <c r="Y7293" s="1"/>
      <c r="AA7293" s="102"/>
      <c r="AB7293" s="1"/>
      <c r="AC7293" s="1"/>
      <c r="AD7293" s="1"/>
      <c r="AE7293" s="1"/>
      <c r="AF7293" s="1"/>
      <c r="AG7293" s="1"/>
    </row>
    <row r="7294" ht="15.75" customHeight="1">
      <c r="A7294" s="1"/>
      <c r="B7294" s="1"/>
      <c r="C7294" s="1"/>
      <c r="D7294" s="1"/>
      <c r="E7294" s="1"/>
      <c r="F7294" s="1"/>
      <c r="G7294" s="1"/>
      <c r="H7294" s="1"/>
      <c r="I7294" s="1"/>
      <c r="J7294" s="1"/>
      <c r="K7294" s="102" t="s">
        <v>11321</v>
      </c>
      <c r="L7294" s="102" t="str">
        <f>D1078</f>
        <v>J2b1</v>
      </c>
      <c r="M7294" s="102"/>
      <c r="N7294" s="102" t="s">
        <v>11322</v>
      </c>
      <c r="O7294" s="105">
        <v>6761978.0</v>
      </c>
      <c r="P7294" s="105">
        <v>6893937.0</v>
      </c>
      <c r="Q7294" s="102" t="s">
        <v>2501</v>
      </c>
      <c r="S7294" s="1"/>
      <c r="T7294" s="1"/>
      <c r="U7294" s="1"/>
      <c r="V7294" s="1"/>
      <c r="W7294" s="1"/>
      <c r="X7294" s="1"/>
      <c r="Y7294" s="1"/>
      <c r="AA7294" s="102"/>
      <c r="AB7294" s="1"/>
      <c r="AC7294" s="1"/>
      <c r="AD7294" s="1"/>
      <c r="AE7294" s="1"/>
      <c r="AF7294" s="1"/>
      <c r="AG7294" s="1"/>
    </row>
    <row r="7295" ht="15.75" customHeight="1">
      <c r="A7295" s="1"/>
      <c r="B7295" s="1"/>
      <c r="C7295" s="1"/>
      <c r="D7295" s="1"/>
      <c r="E7295" s="1"/>
      <c r="F7295" s="1"/>
      <c r="G7295" s="1"/>
      <c r="H7295" s="1"/>
      <c r="I7295" s="1"/>
      <c r="J7295" s="1"/>
      <c r="K7295" s="102" t="s">
        <v>11323</v>
      </c>
      <c r="L7295" s="102" t="str">
        <f>D1078</f>
        <v>J2b1</v>
      </c>
      <c r="M7295" s="102"/>
      <c r="N7295" s="102" t="s">
        <v>11324</v>
      </c>
      <c r="O7295" s="105">
        <v>1.4073956E7</v>
      </c>
      <c r="P7295" s="105">
        <v>1.195325E7</v>
      </c>
      <c r="Q7295" s="102" t="s">
        <v>2576</v>
      </c>
      <c r="S7295" s="1"/>
      <c r="T7295" s="1"/>
      <c r="U7295" s="1"/>
      <c r="V7295" s="1"/>
      <c r="W7295" s="1"/>
      <c r="X7295" s="1"/>
      <c r="Y7295" s="1"/>
      <c r="AA7295" s="102"/>
      <c r="AB7295" s="1"/>
      <c r="AC7295" s="1"/>
      <c r="AD7295" s="1"/>
      <c r="AE7295" s="1"/>
      <c r="AF7295" s="1"/>
      <c r="AG7295" s="1"/>
    </row>
    <row r="7296" ht="15.75" customHeight="1">
      <c r="A7296" s="1"/>
      <c r="B7296" s="1"/>
      <c r="C7296" s="1"/>
      <c r="D7296" s="1"/>
      <c r="E7296" s="1"/>
      <c r="F7296" s="1"/>
      <c r="G7296" s="1"/>
      <c r="H7296" s="1"/>
      <c r="I7296" s="1"/>
      <c r="J7296" s="1"/>
      <c r="K7296" s="102" t="s">
        <v>11325</v>
      </c>
      <c r="L7296" s="102" t="str">
        <f>D1078</f>
        <v>J2b1</v>
      </c>
      <c r="M7296" s="102"/>
      <c r="N7296" s="102" t="s">
        <v>11326</v>
      </c>
      <c r="O7296" s="105">
        <v>1.4137063E7</v>
      </c>
      <c r="P7296" s="105">
        <v>1.2016357E7</v>
      </c>
      <c r="Q7296" s="102" t="s">
        <v>2468</v>
      </c>
      <c r="S7296" s="1"/>
      <c r="T7296" s="1"/>
      <c r="U7296" s="1"/>
      <c r="V7296" s="1"/>
      <c r="W7296" s="1"/>
      <c r="X7296" s="1"/>
      <c r="Y7296" s="1"/>
      <c r="AA7296" s="102"/>
      <c r="AB7296" s="1"/>
      <c r="AC7296" s="1"/>
      <c r="AD7296" s="1"/>
      <c r="AE7296" s="1"/>
      <c r="AF7296" s="1"/>
      <c r="AG7296" s="1"/>
    </row>
    <row r="7297" ht="15.75" customHeight="1">
      <c r="A7297" s="1"/>
      <c r="B7297" s="1"/>
      <c r="C7297" s="1"/>
      <c r="D7297" s="1"/>
      <c r="E7297" s="1"/>
      <c r="F7297" s="1"/>
      <c r="G7297" s="1"/>
      <c r="H7297" s="1"/>
      <c r="I7297" s="1"/>
      <c r="J7297" s="1"/>
      <c r="K7297" s="102" t="s">
        <v>11327</v>
      </c>
      <c r="L7297" s="102" t="str">
        <f>D1078</f>
        <v>J2b1</v>
      </c>
      <c r="M7297" s="102"/>
      <c r="N7297" s="102" t="s">
        <v>11328</v>
      </c>
      <c r="O7297" s="105">
        <v>1.4178291E7</v>
      </c>
      <c r="P7297" s="105">
        <v>1.2057585E7</v>
      </c>
      <c r="Q7297" s="102" t="s">
        <v>2533</v>
      </c>
      <c r="S7297" s="1"/>
      <c r="T7297" s="1"/>
      <c r="U7297" s="1"/>
      <c r="V7297" s="1"/>
      <c r="W7297" s="1"/>
      <c r="X7297" s="1"/>
      <c r="Y7297" s="1"/>
      <c r="AA7297" s="102"/>
      <c r="AB7297" s="1"/>
      <c r="AC7297" s="1"/>
      <c r="AD7297" s="1"/>
      <c r="AE7297" s="1"/>
      <c r="AF7297" s="1"/>
      <c r="AG7297" s="1"/>
    </row>
    <row r="7298" ht="15.75" customHeight="1">
      <c r="A7298" s="1"/>
      <c r="B7298" s="1"/>
      <c r="C7298" s="1"/>
      <c r="D7298" s="1"/>
      <c r="E7298" s="1"/>
      <c r="F7298" s="1"/>
      <c r="G7298" s="1"/>
      <c r="H7298" s="1"/>
      <c r="I7298" s="1"/>
      <c r="J7298" s="1"/>
      <c r="K7298" s="102" t="s">
        <v>11329</v>
      </c>
      <c r="L7298" s="102" t="str">
        <f>D1078</f>
        <v>J2b1</v>
      </c>
      <c r="M7298" s="102"/>
      <c r="N7298" s="102" t="s">
        <v>11330</v>
      </c>
      <c r="O7298" s="105">
        <v>1.4178714E7</v>
      </c>
      <c r="P7298" s="105">
        <v>1.2058008E7</v>
      </c>
      <c r="Q7298" s="102" t="s">
        <v>2446</v>
      </c>
      <c r="S7298" s="1"/>
      <c r="T7298" s="1"/>
      <c r="U7298" s="1"/>
      <c r="V7298" s="1"/>
      <c r="W7298" s="1"/>
      <c r="X7298" s="1"/>
      <c r="Y7298" s="1"/>
      <c r="AA7298" s="102"/>
      <c r="AB7298" s="1"/>
      <c r="AC7298" s="1"/>
      <c r="AD7298" s="1"/>
      <c r="AE7298" s="1"/>
      <c r="AF7298" s="1"/>
      <c r="AG7298" s="1"/>
    </row>
    <row r="7299" ht="15.75" customHeight="1">
      <c r="A7299" s="1"/>
      <c r="B7299" s="1"/>
      <c r="C7299" s="1"/>
      <c r="D7299" s="1"/>
      <c r="E7299" s="1"/>
      <c r="F7299" s="1"/>
      <c r="G7299" s="1"/>
      <c r="H7299" s="1"/>
      <c r="I7299" s="1"/>
      <c r="J7299" s="1"/>
      <c r="K7299" s="102" t="s">
        <v>11331</v>
      </c>
      <c r="L7299" s="102" t="str">
        <f>D1078</f>
        <v>J2b1</v>
      </c>
      <c r="M7299" s="102"/>
      <c r="N7299" s="102" t="s">
        <v>11332</v>
      </c>
      <c r="O7299" s="105">
        <v>1.4249387E7</v>
      </c>
      <c r="P7299" s="105">
        <v>1.2128681E7</v>
      </c>
      <c r="Q7299" s="102" t="s">
        <v>2501</v>
      </c>
      <c r="S7299" s="1"/>
      <c r="T7299" s="1"/>
      <c r="U7299" s="1"/>
      <c r="V7299" s="1"/>
      <c r="W7299" s="1"/>
      <c r="X7299" s="1"/>
      <c r="Y7299" s="1"/>
      <c r="AA7299" s="102"/>
      <c r="AB7299" s="1"/>
      <c r="AC7299" s="1"/>
      <c r="AD7299" s="1"/>
      <c r="AE7299" s="1"/>
      <c r="AF7299" s="1"/>
      <c r="AG7299" s="1"/>
    </row>
    <row r="7300" ht="15.75" customHeight="1">
      <c r="A7300" s="1"/>
      <c r="B7300" s="1"/>
      <c r="C7300" s="1"/>
      <c r="D7300" s="1"/>
      <c r="E7300" s="1"/>
      <c r="F7300" s="1"/>
      <c r="G7300" s="1"/>
      <c r="H7300" s="1"/>
      <c r="I7300" s="1"/>
      <c r="J7300" s="1"/>
      <c r="K7300" s="102" t="s">
        <v>11333</v>
      </c>
      <c r="L7300" s="102" t="str">
        <f>D1078</f>
        <v>J2b1</v>
      </c>
      <c r="M7300" s="102"/>
      <c r="N7300" s="102" t="s">
        <v>11334</v>
      </c>
      <c r="O7300" s="105">
        <v>1.4493787E7</v>
      </c>
      <c r="P7300" s="105">
        <v>1.2381984E7</v>
      </c>
      <c r="Q7300" s="102" t="s">
        <v>2439</v>
      </c>
      <c r="S7300" s="1"/>
      <c r="T7300" s="1"/>
      <c r="U7300" s="1"/>
      <c r="V7300" s="1"/>
      <c r="W7300" s="1"/>
      <c r="X7300" s="1"/>
      <c r="Y7300" s="1"/>
      <c r="AA7300" s="102"/>
      <c r="AB7300" s="1"/>
      <c r="AC7300" s="1"/>
      <c r="AD7300" s="1"/>
      <c r="AE7300" s="1"/>
      <c r="AF7300" s="1"/>
      <c r="AG7300" s="1"/>
    </row>
    <row r="7301" ht="15.75" customHeight="1">
      <c r="A7301" s="1"/>
      <c r="B7301" s="1"/>
      <c r="C7301" s="1"/>
      <c r="D7301" s="1"/>
      <c r="E7301" s="1"/>
      <c r="F7301" s="1"/>
      <c r="G7301" s="1"/>
      <c r="H7301" s="1"/>
      <c r="I7301" s="1"/>
      <c r="J7301" s="1"/>
      <c r="K7301" s="102" t="s">
        <v>11335</v>
      </c>
      <c r="L7301" s="102" t="str">
        <f>D1078</f>
        <v>J2b1</v>
      </c>
      <c r="M7301" s="102"/>
      <c r="N7301" s="102" t="s">
        <v>11336</v>
      </c>
      <c r="O7301" s="105">
        <v>1.5123573E7</v>
      </c>
      <c r="P7301" s="105">
        <v>1.301166E7</v>
      </c>
      <c r="Q7301" s="102" t="s">
        <v>2454</v>
      </c>
      <c r="S7301" s="1"/>
      <c r="T7301" s="1"/>
      <c r="U7301" s="1"/>
      <c r="V7301" s="1"/>
      <c r="W7301" s="1"/>
      <c r="X7301" s="1"/>
      <c r="Y7301" s="1"/>
      <c r="AA7301" s="102"/>
      <c r="AB7301" s="1"/>
      <c r="AC7301" s="1"/>
      <c r="AD7301" s="1"/>
      <c r="AE7301" s="1"/>
      <c r="AF7301" s="1"/>
      <c r="AG7301" s="1"/>
    </row>
    <row r="7302" ht="15.75" customHeight="1">
      <c r="A7302" s="1"/>
      <c r="B7302" s="1"/>
      <c r="C7302" s="1"/>
      <c r="D7302" s="1"/>
      <c r="E7302" s="1"/>
      <c r="F7302" s="1"/>
      <c r="G7302" s="1"/>
      <c r="H7302" s="1"/>
      <c r="I7302" s="1"/>
      <c r="J7302" s="1"/>
      <c r="K7302" s="102" t="s">
        <v>11337</v>
      </c>
      <c r="L7302" s="102" t="str">
        <f>D1078</f>
        <v>J2b1</v>
      </c>
      <c r="M7302" s="102"/>
      <c r="N7302" s="102" t="s">
        <v>11338</v>
      </c>
      <c r="O7302" s="105">
        <v>1.6650768E7</v>
      </c>
      <c r="P7302" s="105">
        <v>1.4538888E7</v>
      </c>
      <c r="Q7302" s="102" t="s">
        <v>2533</v>
      </c>
      <c r="S7302" s="1"/>
      <c r="T7302" s="1"/>
      <c r="U7302" s="1"/>
      <c r="V7302" s="1"/>
      <c r="W7302" s="1"/>
      <c r="X7302" s="1"/>
      <c r="Y7302" s="1"/>
      <c r="AA7302" s="102"/>
      <c r="AB7302" s="1"/>
      <c r="AC7302" s="1"/>
      <c r="AD7302" s="1"/>
      <c r="AE7302" s="1"/>
      <c r="AF7302" s="1"/>
      <c r="AG7302" s="1"/>
    </row>
    <row r="7303" ht="15.75" customHeight="1">
      <c r="A7303" s="1"/>
      <c r="B7303" s="1"/>
      <c r="C7303" s="1"/>
      <c r="D7303" s="1"/>
      <c r="E7303" s="1"/>
      <c r="F7303" s="1"/>
      <c r="G7303" s="1"/>
      <c r="H7303" s="1"/>
      <c r="I7303" s="1"/>
      <c r="J7303" s="1"/>
      <c r="K7303" s="102" t="s">
        <v>11339</v>
      </c>
      <c r="L7303" s="102" t="str">
        <f>D1078</f>
        <v>J2b1</v>
      </c>
      <c r="M7303" s="102"/>
      <c r="N7303" s="102" t="s">
        <v>11340</v>
      </c>
      <c r="O7303" s="105">
        <v>1.6871968E7</v>
      </c>
      <c r="P7303" s="105">
        <v>1.4760088E7</v>
      </c>
      <c r="Q7303" s="102" t="s">
        <v>2439</v>
      </c>
      <c r="S7303" s="1"/>
      <c r="T7303" s="1"/>
      <c r="U7303" s="1"/>
      <c r="V7303" s="1"/>
      <c r="W7303" s="1"/>
      <c r="X7303" s="1"/>
      <c r="Y7303" s="1"/>
      <c r="AA7303" s="102"/>
      <c r="AB7303" s="1"/>
      <c r="AC7303" s="1"/>
      <c r="AD7303" s="1"/>
      <c r="AE7303" s="1"/>
      <c r="AF7303" s="1"/>
      <c r="AG7303" s="1"/>
    </row>
    <row r="7304" ht="15.75" customHeight="1">
      <c r="A7304" s="1"/>
      <c r="B7304" s="1"/>
      <c r="C7304" s="1"/>
      <c r="D7304" s="1"/>
      <c r="E7304" s="1"/>
      <c r="F7304" s="1"/>
      <c r="G7304" s="1"/>
      <c r="H7304" s="1"/>
      <c r="I7304" s="1"/>
      <c r="J7304" s="1"/>
      <c r="K7304" s="102" t="s">
        <v>11341</v>
      </c>
      <c r="L7304" s="102" t="str">
        <f>D1078</f>
        <v>J2b1</v>
      </c>
      <c r="M7304" s="102"/>
      <c r="N7304" s="102" t="s">
        <v>11342</v>
      </c>
      <c r="O7304" s="105">
        <v>1.7297024E7</v>
      </c>
      <c r="P7304" s="105">
        <v>1.5185144E7</v>
      </c>
      <c r="Q7304" s="102" t="s">
        <v>2468</v>
      </c>
      <c r="S7304" s="1"/>
      <c r="T7304" s="1"/>
      <c r="U7304" s="1"/>
      <c r="V7304" s="1"/>
      <c r="W7304" s="1"/>
      <c r="X7304" s="1"/>
      <c r="Y7304" s="1"/>
      <c r="AA7304" s="102"/>
      <c r="AB7304" s="1"/>
      <c r="AC7304" s="1"/>
      <c r="AD7304" s="1"/>
      <c r="AE7304" s="1"/>
      <c r="AF7304" s="1"/>
      <c r="AG7304" s="1"/>
    </row>
    <row r="7305" ht="15.75" customHeight="1">
      <c r="A7305" s="1"/>
      <c r="B7305" s="1"/>
      <c r="C7305" s="1"/>
      <c r="D7305" s="1"/>
      <c r="E7305" s="1"/>
      <c r="F7305" s="1"/>
      <c r="G7305" s="1"/>
      <c r="H7305" s="1"/>
      <c r="I7305" s="1"/>
      <c r="J7305" s="1"/>
      <c r="K7305" s="102" t="s">
        <v>11343</v>
      </c>
      <c r="L7305" s="102" t="str">
        <f>D1078</f>
        <v>J2b1</v>
      </c>
      <c r="M7305" s="102"/>
      <c r="N7305" s="102" t="s">
        <v>11344</v>
      </c>
      <c r="O7305" s="105">
        <v>1.7920515E7</v>
      </c>
      <c r="P7305" s="105">
        <v>1.5808635E7</v>
      </c>
      <c r="Q7305" s="102" t="s">
        <v>2439</v>
      </c>
      <c r="S7305" s="1"/>
      <c r="T7305" s="1"/>
      <c r="U7305" s="1"/>
      <c r="V7305" s="1"/>
      <c r="W7305" s="1"/>
      <c r="X7305" s="1"/>
      <c r="Y7305" s="1"/>
      <c r="AA7305" s="102"/>
      <c r="AB7305" s="1"/>
      <c r="AC7305" s="1"/>
      <c r="AD7305" s="1"/>
      <c r="AE7305" s="1"/>
      <c r="AF7305" s="1"/>
      <c r="AG7305" s="1"/>
    </row>
    <row r="7306" ht="15.75" customHeight="1">
      <c r="A7306" s="1"/>
      <c r="B7306" s="1"/>
      <c r="C7306" s="1"/>
      <c r="D7306" s="1"/>
      <c r="E7306" s="1"/>
      <c r="F7306" s="1"/>
      <c r="G7306" s="1"/>
      <c r="H7306" s="1"/>
      <c r="I7306" s="1"/>
      <c r="J7306" s="1"/>
      <c r="K7306" s="102" t="s">
        <v>11345</v>
      </c>
      <c r="L7306" s="102" t="str">
        <f>D1078</f>
        <v>J2b1</v>
      </c>
      <c r="M7306" s="102"/>
      <c r="N7306" s="102" t="s">
        <v>11346</v>
      </c>
      <c r="O7306" s="105">
        <v>1.7972497E7</v>
      </c>
      <c r="P7306" s="105">
        <v>1.5860617E7</v>
      </c>
      <c r="Q7306" s="102" t="s">
        <v>2468</v>
      </c>
      <c r="S7306" s="1"/>
      <c r="T7306" s="1"/>
      <c r="U7306" s="1"/>
      <c r="V7306" s="1"/>
      <c r="W7306" s="1"/>
      <c r="X7306" s="1"/>
      <c r="Y7306" s="1"/>
      <c r="AA7306" s="102"/>
      <c r="AB7306" s="1"/>
      <c r="AC7306" s="1"/>
      <c r="AD7306" s="1"/>
      <c r="AE7306" s="1"/>
      <c r="AF7306" s="1"/>
      <c r="AG7306" s="1"/>
    </row>
    <row r="7307" ht="15.75" customHeight="1">
      <c r="A7307" s="1"/>
      <c r="B7307" s="1"/>
      <c r="C7307" s="1"/>
      <c r="D7307" s="1"/>
      <c r="E7307" s="1"/>
      <c r="F7307" s="1"/>
      <c r="G7307" s="1"/>
      <c r="H7307" s="1"/>
      <c r="I7307" s="1"/>
      <c r="J7307" s="1"/>
      <c r="K7307" s="102" t="s">
        <v>11347</v>
      </c>
      <c r="L7307" s="102" t="str">
        <f>D1078</f>
        <v>J2b1</v>
      </c>
      <c r="M7307" s="102"/>
      <c r="N7307" s="102" t="s">
        <v>11348</v>
      </c>
      <c r="O7307" s="105">
        <v>1.7983183E7</v>
      </c>
      <c r="P7307" s="105">
        <v>1.5871303E7</v>
      </c>
      <c r="Q7307" s="102" t="s">
        <v>2439</v>
      </c>
      <c r="S7307" s="1"/>
      <c r="T7307" s="1"/>
      <c r="U7307" s="1"/>
      <c r="V7307" s="1"/>
      <c r="W7307" s="1"/>
      <c r="X7307" s="1"/>
      <c r="Y7307" s="1"/>
      <c r="AA7307" s="102"/>
      <c r="AB7307" s="1"/>
      <c r="AC7307" s="1"/>
      <c r="AD7307" s="1"/>
      <c r="AE7307" s="1"/>
      <c r="AF7307" s="1"/>
      <c r="AG7307" s="1"/>
    </row>
    <row r="7308" ht="15.75" customHeight="1">
      <c r="A7308" s="1"/>
      <c r="B7308" s="1"/>
      <c r="C7308" s="1"/>
      <c r="D7308" s="1"/>
      <c r="E7308" s="1"/>
      <c r="F7308" s="1"/>
      <c r="G7308" s="1"/>
      <c r="H7308" s="1"/>
      <c r="I7308" s="1"/>
      <c r="J7308" s="1"/>
      <c r="K7308" s="102" t="s">
        <v>11349</v>
      </c>
      <c r="L7308" s="102" t="str">
        <f>D1078</f>
        <v>J2b1</v>
      </c>
      <c r="M7308" s="102"/>
      <c r="N7308" s="102" t="s">
        <v>11350</v>
      </c>
      <c r="O7308" s="105">
        <v>1.8083935E7</v>
      </c>
      <c r="P7308" s="105">
        <v>1.5972055E7</v>
      </c>
      <c r="Q7308" s="102" t="s">
        <v>2501</v>
      </c>
      <c r="S7308" s="1"/>
      <c r="T7308" s="1"/>
      <c r="U7308" s="1"/>
      <c r="V7308" s="1"/>
      <c r="W7308" s="1"/>
      <c r="X7308" s="1"/>
      <c r="Y7308" s="1"/>
      <c r="AA7308" s="102"/>
      <c r="AB7308" s="1"/>
      <c r="AC7308" s="1"/>
      <c r="AD7308" s="1"/>
      <c r="AE7308" s="1"/>
      <c r="AF7308" s="1"/>
      <c r="AG7308" s="1"/>
    </row>
    <row r="7309" ht="15.75" customHeight="1">
      <c r="A7309" s="1"/>
      <c r="B7309" s="1"/>
      <c r="C7309" s="1"/>
      <c r="D7309" s="1"/>
      <c r="E7309" s="1"/>
      <c r="F7309" s="1"/>
      <c r="G7309" s="1"/>
      <c r="H7309" s="1"/>
      <c r="I7309" s="1"/>
      <c r="J7309" s="1"/>
      <c r="K7309" s="102" t="s">
        <v>11351</v>
      </c>
      <c r="L7309" s="102" t="str">
        <f>D1078</f>
        <v>J2b1</v>
      </c>
      <c r="M7309" s="102"/>
      <c r="N7309" s="102" t="s">
        <v>11352</v>
      </c>
      <c r="O7309" s="105">
        <v>1.8160999E7</v>
      </c>
      <c r="P7309" s="105">
        <v>1.6049119E7</v>
      </c>
      <c r="Q7309" s="102" t="s">
        <v>2468</v>
      </c>
      <c r="S7309" s="1"/>
      <c r="T7309" s="1"/>
      <c r="U7309" s="1"/>
      <c r="V7309" s="1"/>
      <c r="W7309" s="1"/>
      <c r="X7309" s="1"/>
      <c r="Y7309" s="1"/>
      <c r="AA7309" s="102"/>
      <c r="AB7309" s="1"/>
      <c r="AC7309" s="1"/>
      <c r="AD7309" s="1"/>
      <c r="AE7309" s="1"/>
      <c r="AF7309" s="1"/>
      <c r="AG7309" s="1"/>
    </row>
    <row r="7310" ht="15.75" customHeight="1">
      <c r="A7310" s="1"/>
      <c r="B7310" s="1"/>
      <c r="C7310" s="1"/>
      <c r="D7310" s="1"/>
      <c r="E7310" s="1"/>
      <c r="F7310" s="1"/>
      <c r="G7310" s="1"/>
      <c r="H7310" s="1"/>
      <c r="I7310" s="1"/>
      <c r="J7310" s="1"/>
      <c r="K7310" s="102" t="s">
        <v>11353</v>
      </c>
      <c r="L7310" s="102" t="str">
        <f>D1078</f>
        <v>J2b1</v>
      </c>
      <c r="M7310" s="102"/>
      <c r="N7310" s="102" t="s">
        <v>11354</v>
      </c>
      <c r="O7310" s="105">
        <v>2.1178859E7</v>
      </c>
      <c r="P7310" s="105">
        <v>1.9016973E7</v>
      </c>
      <c r="Q7310" s="102" t="s">
        <v>2468</v>
      </c>
      <c r="S7310" s="1"/>
      <c r="T7310" s="1"/>
      <c r="U7310" s="1"/>
      <c r="V7310" s="1"/>
      <c r="W7310" s="1"/>
      <c r="X7310" s="1"/>
      <c r="Y7310" s="1"/>
      <c r="AA7310" s="102"/>
      <c r="AB7310" s="1"/>
      <c r="AC7310" s="1"/>
      <c r="AD7310" s="1"/>
      <c r="AE7310" s="1"/>
      <c r="AF7310" s="1"/>
      <c r="AG7310" s="1"/>
    </row>
    <row r="7311" ht="15.75" customHeight="1">
      <c r="A7311" s="1"/>
      <c r="B7311" s="1"/>
      <c r="C7311" s="1"/>
      <c r="D7311" s="1"/>
      <c r="E7311" s="1"/>
      <c r="F7311" s="1"/>
      <c r="G7311" s="1"/>
      <c r="H7311" s="1"/>
      <c r="I7311" s="1"/>
      <c r="J7311" s="1"/>
      <c r="K7311" s="102" t="s">
        <v>11355</v>
      </c>
      <c r="L7311" s="102" t="str">
        <f>D1078</f>
        <v>J2b1</v>
      </c>
      <c r="M7311" s="102"/>
      <c r="N7311" s="102" t="s">
        <v>11356</v>
      </c>
      <c r="O7311" s="105">
        <v>2.1364637E7</v>
      </c>
      <c r="P7311" s="105">
        <v>1.9202751E7</v>
      </c>
      <c r="Q7311" s="102" t="s">
        <v>2529</v>
      </c>
      <c r="S7311" s="1"/>
      <c r="T7311" s="1"/>
      <c r="U7311" s="1"/>
      <c r="V7311" s="1"/>
      <c r="W7311" s="1"/>
      <c r="X7311" s="1"/>
      <c r="Y7311" s="1"/>
      <c r="AA7311" s="102"/>
      <c r="AB7311" s="1"/>
      <c r="AC7311" s="1"/>
      <c r="AD7311" s="1"/>
      <c r="AE7311" s="1"/>
      <c r="AF7311" s="1"/>
      <c r="AG7311" s="1"/>
    </row>
    <row r="7312" ht="15.75" customHeight="1">
      <c r="A7312" s="1"/>
      <c r="B7312" s="1"/>
      <c r="C7312" s="1"/>
      <c r="D7312" s="1"/>
      <c r="E7312" s="1"/>
      <c r="F7312" s="1"/>
      <c r="G7312" s="1"/>
      <c r="H7312" s="1"/>
      <c r="I7312" s="1"/>
      <c r="J7312" s="1"/>
      <c r="K7312" s="102" t="s">
        <v>11357</v>
      </c>
      <c r="L7312" s="102" t="str">
        <f>D1078</f>
        <v>J2b1</v>
      </c>
      <c r="M7312" s="102"/>
      <c r="N7312" s="102" t="s">
        <v>11358</v>
      </c>
      <c r="O7312" s="105">
        <v>2.1544124E7</v>
      </c>
      <c r="P7312" s="105">
        <v>1.9382238E7</v>
      </c>
      <c r="Q7312" s="102" t="s">
        <v>2529</v>
      </c>
      <c r="S7312" s="1"/>
      <c r="T7312" s="1"/>
      <c r="U7312" s="1"/>
      <c r="V7312" s="1"/>
      <c r="W7312" s="1"/>
      <c r="X7312" s="1"/>
      <c r="Y7312" s="1"/>
      <c r="AA7312" s="102"/>
      <c r="AB7312" s="1"/>
      <c r="AC7312" s="1"/>
      <c r="AD7312" s="1"/>
      <c r="AE7312" s="1"/>
      <c r="AF7312" s="1"/>
      <c r="AG7312" s="1"/>
    </row>
    <row r="7313" ht="15.75" customHeight="1">
      <c r="A7313" s="1"/>
      <c r="B7313" s="1"/>
      <c r="C7313" s="1"/>
      <c r="D7313" s="1"/>
      <c r="E7313" s="1"/>
      <c r="F7313" s="1"/>
      <c r="G7313" s="1"/>
      <c r="H7313" s="1"/>
      <c r="I7313" s="1"/>
      <c r="J7313" s="1"/>
      <c r="K7313" s="102" t="s">
        <v>11359</v>
      </c>
      <c r="L7313" s="102" t="str">
        <f>D1078</f>
        <v>J2b1</v>
      </c>
      <c r="M7313" s="102"/>
      <c r="N7313" s="102" t="s">
        <v>11360</v>
      </c>
      <c r="O7313" s="105">
        <v>2.1691673E7</v>
      </c>
      <c r="P7313" s="105">
        <v>1.9529787E7</v>
      </c>
      <c r="Q7313" s="102" t="s">
        <v>2501</v>
      </c>
      <c r="S7313" s="1"/>
      <c r="T7313" s="1"/>
      <c r="U7313" s="1"/>
      <c r="V7313" s="1"/>
      <c r="W7313" s="1"/>
      <c r="X7313" s="1"/>
      <c r="Y7313" s="1"/>
      <c r="AA7313" s="102"/>
      <c r="AB7313" s="1"/>
      <c r="AC7313" s="1"/>
      <c r="AD7313" s="1"/>
      <c r="AE7313" s="1"/>
      <c r="AF7313" s="1"/>
      <c r="AG7313" s="1"/>
    </row>
    <row r="7314" ht="15.75" customHeight="1">
      <c r="A7314" s="1"/>
      <c r="B7314" s="1"/>
      <c r="C7314" s="1"/>
      <c r="D7314" s="1"/>
      <c r="E7314" s="1"/>
      <c r="F7314" s="1"/>
      <c r="G7314" s="1"/>
      <c r="H7314" s="1"/>
      <c r="I7314" s="1"/>
      <c r="J7314" s="1"/>
      <c r="K7314" s="102" t="s">
        <v>11361</v>
      </c>
      <c r="L7314" s="102" t="str">
        <f>D1078</f>
        <v>J2b1</v>
      </c>
      <c r="M7314" s="102"/>
      <c r="N7314" s="102" t="s">
        <v>11362</v>
      </c>
      <c r="O7314" s="105">
        <v>2.2007004E7</v>
      </c>
      <c r="P7314" s="105">
        <v>1.9845118E7</v>
      </c>
      <c r="Q7314" s="102" t="s">
        <v>2468</v>
      </c>
      <c r="S7314" s="1"/>
      <c r="T7314" s="1"/>
      <c r="U7314" s="1"/>
      <c r="V7314" s="1"/>
      <c r="W7314" s="1"/>
      <c r="X7314" s="1"/>
      <c r="Y7314" s="1"/>
      <c r="AA7314" s="102"/>
      <c r="AB7314" s="1"/>
      <c r="AC7314" s="1"/>
      <c r="AD7314" s="1"/>
      <c r="AE7314" s="1"/>
      <c r="AF7314" s="1"/>
      <c r="AG7314" s="1"/>
    </row>
    <row r="7315" ht="15.75" customHeight="1">
      <c r="A7315" s="1"/>
      <c r="B7315" s="1"/>
      <c r="C7315" s="1"/>
      <c r="D7315" s="1"/>
      <c r="E7315" s="1"/>
      <c r="F7315" s="1"/>
      <c r="G7315" s="1"/>
      <c r="H7315" s="1"/>
      <c r="I7315" s="1"/>
      <c r="J7315" s="1"/>
      <c r="K7315" s="102" t="s">
        <v>11363</v>
      </c>
      <c r="L7315" s="102" t="str">
        <f>D1078</f>
        <v>J2b1</v>
      </c>
      <c r="M7315" s="102"/>
      <c r="N7315" s="102" t="s">
        <v>11364</v>
      </c>
      <c r="O7315" s="105">
        <v>2.2593727E7</v>
      </c>
      <c r="P7315" s="105">
        <v>2.0431841E7</v>
      </c>
      <c r="Q7315" s="102" t="s">
        <v>2423</v>
      </c>
      <c r="S7315" s="1"/>
      <c r="T7315" s="1"/>
      <c r="U7315" s="1"/>
      <c r="V7315" s="1"/>
      <c r="W7315" s="1"/>
      <c r="X7315" s="1"/>
      <c r="Y7315" s="1"/>
      <c r="AA7315" s="102"/>
      <c r="AB7315" s="1"/>
      <c r="AC7315" s="1"/>
      <c r="AD7315" s="1"/>
      <c r="AE7315" s="1"/>
      <c r="AF7315" s="1"/>
      <c r="AG7315" s="1"/>
    </row>
    <row r="7316" ht="15.75" customHeight="1">
      <c r="A7316" s="1"/>
      <c r="B7316" s="1"/>
      <c r="C7316" s="1"/>
      <c r="D7316" s="1"/>
      <c r="E7316" s="1"/>
      <c r="F7316" s="1"/>
      <c r="G7316" s="1"/>
      <c r="H7316" s="1"/>
      <c r="I7316" s="1"/>
      <c r="J7316" s="1"/>
      <c r="K7316" s="102" t="s">
        <v>11365</v>
      </c>
      <c r="L7316" s="102" t="str">
        <f>D1078</f>
        <v>J2b1</v>
      </c>
      <c r="M7316" s="102"/>
      <c r="N7316" s="102" t="s">
        <v>11366</v>
      </c>
      <c r="O7316" s="105">
        <v>2.2670079E7</v>
      </c>
      <c r="P7316" s="105">
        <v>2.0508193E7</v>
      </c>
      <c r="Q7316" s="102" t="s">
        <v>2468</v>
      </c>
      <c r="S7316" s="1"/>
      <c r="T7316" s="1"/>
      <c r="U7316" s="1"/>
      <c r="V7316" s="1"/>
      <c r="W7316" s="1"/>
      <c r="X7316" s="1"/>
      <c r="Y7316" s="1"/>
      <c r="AA7316" s="102"/>
      <c r="AB7316" s="1"/>
      <c r="AC7316" s="1"/>
      <c r="AD7316" s="1"/>
      <c r="AE7316" s="1"/>
      <c r="AF7316" s="1"/>
      <c r="AG7316" s="1"/>
    </row>
    <row r="7317" ht="15.75" customHeight="1">
      <c r="A7317" s="1"/>
      <c r="B7317" s="1"/>
      <c r="C7317" s="1"/>
      <c r="D7317" s="1"/>
      <c r="E7317" s="1"/>
      <c r="F7317" s="1"/>
      <c r="G7317" s="1"/>
      <c r="H7317" s="1"/>
      <c r="I7317" s="1"/>
      <c r="J7317" s="1"/>
      <c r="K7317" s="102" t="s">
        <v>11367</v>
      </c>
      <c r="L7317" s="102" t="str">
        <f>D1078</f>
        <v>J2b1</v>
      </c>
      <c r="M7317" s="102"/>
      <c r="N7317" s="102" t="s">
        <v>11368</v>
      </c>
      <c r="O7317" s="105">
        <v>2.3093441E7</v>
      </c>
      <c r="P7317" s="105">
        <v>2.0931555E7</v>
      </c>
      <c r="Q7317" s="102" t="s">
        <v>2423</v>
      </c>
      <c r="S7317" s="1"/>
      <c r="T7317" s="1"/>
      <c r="U7317" s="1"/>
      <c r="V7317" s="1"/>
      <c r="W7317" s="1"/>
      <c r="X7317" s="1"/>
      <c r="Y7317" s="1"/>
      <c r="AA7317" s="102"/>
      <c r="AB7317" s="1"/>
      <c r="AC7317" s="1"/>
      <c r="AD7317" s="1"/>
      <c r="AE7317" s="1"/>
      <c r="AF7317" s="1"/>
      <c r="AG7317" s="1"/>
    </row>
    <row r="7318" ht="15.75" customHeight="1">
      <c r="A7318" s="1"/>
      <c r="B7318" s="1"/>
      <c r="C7318" s="1"/>
      <c r="D7318" s="1"/>
      <c r="E7318" s="1"/>
      <c r="F7318" s="1"/>
      <c r="G7318" s="1"/>
      <c r="H7318" s="1"/>
      <c r="I7318" s="1"/>
      <c r="J7318" s="1"/>
      <c r="K7318" s="102" t="s">
        <v>11369</v>
      </c>
      <c r="L7318" s="102" t="str">
        <f>D1078</f>
        <v>J2b1</v>
      </c>
      <c r="M7318" s="102"/>
      <c r="N7318" s="102" t="s">
        <v>11370</v>
      </c>
      <c r="O7318" s="105">
        <v>2.3197176E7</v>
      </c>
      <c r="P7318" s="105">
        <v>2.103529E7</v>
      </c>
      <c r="Q7318" s="102" t="s">
        <v>2514</v>
      </c>
      <c r="S7318" s="1"/>
      <c r="T7318" s="1"/>
      <c r="U7318" s="1"/>
      <c r="V7318" s="1"/>
      <c r="W7318" s="1"/>
      <c r="X7318" s="1"/>
      <c r="Y7318" s="1"/>
      <c r="AA7318" s="102"/>
      <c r="AB7318" s="1"/>
      <c r="AC7318" s="1"/>
      <c r="AD7318" s="1"/>
      <c r="AE7318" s="1"/>
      <c r="AF7318" s="1"/>
      <c r="AG7318" s="1"/>
    </row>
    <row r="7319" ht="15.75" customHeight="1">
      <c r="A7319" s="1"/>
      <c r="B7319" s="1"/>
      <c r="C7319" s="1"/>
      <c r="D7319" s="1"/>
      <c r="E7319" s="1"/>
      <c r="F7319" s="1"/>
      <c r="G7319" s="1"/>
      <c r="H7319" s="1"/>
      <c r="I7319" s="1"/>
      <c r="J7319" s="1"/>
      <c r="K7319" s="102" t="s">
        <v>11371</v>
      </c>
      <c r="L7319" s="102" t="str">
        <f>D1078</f>
        <v>J2b1</v>
      </c>
      <c r="M7319" s="102"/>
      <c r="N7319" s="102" t="s">
        <v>11372</v>
      </c>
      <c r="O7319" s="105">
        <v>2.3436447E7</v>
      </c>
      <c r="P7319" s="105">
        <v>2.1274561E7</v>
      </c>
      <c r="Q7319" s="102" t="s">
        <v>2439</v>
      </c>
      <c r="S7319" s="1"/>
      <c r="T7319" s="1"/>
      <c r="U7319" s="1"/>
      <c r="V7319" s="1"/>
      <c r="W7319" s="1"/>
      <c r="X7319" s="1"/>
      <c r="Y7319" s="1"/>
      <c r="AA7319" s="102"/>
      <c r="AB7319" s="1"/>
      <c r="AC7319" s="1"/>
      <c r="AD7319" s="1"/>
      <c r="AE7319" s="1"/>
      <c r="AF7319" s="1"/>
      <c r="AG7319" s="1"/>
    </row>
    <row r="7320" ht="15.75" customHeight="1">
      <c r="A7320" s="1"/>
      <c r="B7320" s="1"/>
      <c r="C7320" s="1"/>
      <c r="D7320" s="1"/>
      <c r="E7320" s="1"/>
      <c r="F7320" s="1"/>
      <c r="G7320" s="1"/>
      <c r="H7320" s="1"/>
      <c r="I7320" s="1"/>
      <c r="J7320" s="1"/>
      <c r="K7320" s="102" t="s">
        <v>11373</v>
      </c>
      <c r="L7320" s="102" t="str">
        <f>D1078</f>
        <v>J2b1</v>
      </c>
      <c r="M7320" s="102"/>
      <c r="N7320" s="102" t="s">
        <v>11374</v>
      </c>
      <c r="O7320" s="105">
        <v>2.3471983E7</v>
      </c>
      <c r="P7320" s="105">
        <v>2.1310097E7</v>
      </c>
      <c r="Q7320" s="102" t="s">
        <v>2563</v>
      </c>
      <c r="S7320" s="1"/>
      <c r="T7320" s="1"/>
      <c r="U7320" s="1"/>
      <c r="V7320" s="1"/>
      <c r="W7320" s="1"/>
      <c r="X7320" s="1"/>
      <c r="Y7320" s="1"/>
      <c r="AA7320" s="102"/>
      <c r="AB7320" s="1"/>
      <c r="AC7320" s="1"/>
      <c r="AD7320" s="1"/>
      <c r="AE7320" s="1"/>
      <c r="AF7320" s="1"/>
      <c r="AG7320" s="1"/>
    </row>
    <row r="7321" ht="15.75" customHeight="1">
      <c r="A7321" s="1"/>
      <c r="B7321" s="1"/>
      <c r="C7321" s="1"/>
      <c r="D7321" s="1"/>
      <c r="E7321" s="1"/>
      <c r="F7321" s="1"/>
      <c r="G7321" s="1"/>
      <c r="H7321" s="1"/>
      <c r="I7321" s="1"/>
      <c r="J7321" s="1"/>
      <c r="K7321" s="102" t="s">
        <v>11375</v>
      </c>
      <c r="L7321" s="102" t="str">
        <f>D1078</f>
        <v>J2b1</v>
      </c>
      <c r="M7321" s="102"/>
      <c r="N7321" s="102" t="s">
        <v>11376</v>
      </c>
      <c r="O7321" s="105">
        <v>7647202.0</v>
      </c>
      <c r="P7321" s="105">
        <v>7779161.0</v>
      </c>
      <c r="Q7321" s="102" t="s">
        <v>2529</v>
      </c>
      <c r="S7321" s="1"/>
      <c r="T7321" s="1"/>
      <c r="U7321" s="1"/>
      <c r="V7321" s="1"/>
      <c r="W7321" s="1"/>
      <c r="X7321" s="1"/>
      <c r="Y7321" s="1"/>
      <c r="AA7321" s="102"/>
      <c r="AB7321" s="1"/>
      <c r="AC7321" s="1"/>
      <c r="AD7321" s="1"/>
      <c r="AE7321" s="1"/>
      <c r="AF7321" s="1"/>
      <c r="AG7321" s="1"/>
    </row>
    <row r="7322" ht="15.75" customHeight="1">
      <c r="A7322" s="1"/>
      <c r="B7322" s="1"/>
      <c r="C7322" s="1"/>
      <c r="D7322" s="1"/>
      <c r="E7322" s="1"/>
      <c r="F7322" s="1"/>
      <c r="G7322" s="1"/>
      <c r="H7322" s="1"/>
      <c r="I7322" s="1"/>
      <c r="J7322" s="1"/>
      <c r="K7322" s="102" t="s">
        <v>11377</v>
      </c>
      <c r="L7322" s="102" t="str">
        <f t="shared" ref="L7322:L7323" si="189">D1078</f>
        <v>J2b1</v>
      </c>
      <c r="M7322" s="102"/>
      <c r="N7322" s="102"/>
      <c r="O7322" s="105">
        <v>1.3132613E7</v>
      </c>
      <c r="P7322" s="105">
        <v>1.0622099E7</v>
      </c>
      <c r="Q7322" s="102" t="s">
        <v>2439</v>
      </c>
      <c r="S7322" s="1"/>
      <c r="T7322" s="1"/>
      <c r="U7322" s="1"/>
      <c r="V7322" s="1"/>
      <c r="W7322" s="1"/>
      <c r="X7322" s="1"/>
      <c r="Y7322" s="1"/>
      <c r="AA7322" s="102"/>
      <c r="AB7322" s="1"/>
      <c r="AC7322" s="1"/>
      <c r="AD7322" s="1"/>
      <c r="AE7322" s="1"/>
      <c r="AF7322" s="1"/>
      <c r="AG7322" s="1"/>
    </row>
    <row r="7323" ht="15.75" customHeight="1">
      <c r="A7323" s="1"/>
      <c r="B7323" s="1"/>
      <c r="C7323" s="1"/>
      <c r="D7323" s="1"/>
      <c r="E7323" s="1"/>
      <c r="F7323" s="1"/>
      <c r="G7323" s="1"/>
      <c r="H7323" s="1"/>
      <c r="I7323" s="1"/>
      <c r="J7323" s="1"/>
      <c r="K7323" s="102" t="s">
        <v>11378</v>
      </c>
      <c r="L7323" s="102" t="str">
        <f t="shared" si="189"/>
        <v>J2b1~</v>
      </c>
      <c r="M7323" s="102"/>
      <c r="N7323" s="102" t="s">
        <v>11379</v>
      </c>
      <c r="O7323" s="105">
        <v>1.8675779E7</v>
      </c>
      <c r="P7323" s="105">
        <v>1.6563899E7</v>
      </c>
      <c r="Q7323" s="102" t="s">
        <v>2529</v>
      </c>
      <c r="S7323" s="1"/>
      <c r="T7323" s="1"/>
      <c r="U7323" s="1"/>
      <c r="V7323" s="1"/>
      <c r="W7323" s="1"/>
      <c r="X7323" s="1"/>
      <c r="Y7323" s="1"/>
      <c r="AA7323" s="102"/>
      <c r="AB7323" s="1"/>
      <c r="AC7323" s="1"/>
      <c r="AD7323" s="1"/>
      <c r="AE7323" s="1"/>
      <c r="AF7323" s="1"/>
      <c r="AG7323" s="1"/>
    </row>
    <row r="7324" ht="15.75" customHeight="1">
      <c r="A7324" s="1"/>
      <c r="B7324" s="1"/>
      <c r="C7324" s="1"/>
      <c r="D7324" s="1"/>
      <c r="E7324" s="1"/>
      <c r="F7324" s="1"/>
      <c r="G7324" s="1"/>
      <c r="H7324" s="1"/>
      <c r="I7324" s="1"/>
      <c r="J7324" s="1"/>
      <c r="K7324" s="102" t="s">
        <v>11380</v>
      </c>
      <c r="L7324" s="102" t="str">
        <f>D1079</f>
        <v>J2b1~</v>
      </c>
      <c r="M7324" s="102"/>
      <c r="N7324" s="102" t="s">
        <v>11381</v>
      </c>
      <c r="O7324" s="105">
        <v>1.9113984E7</v>
      </c>
      <c r="P7324" s="105">
        <v>1.7002104E7</v>
      </c>
      <c r="Q7324" s="102" t="s">
        <v>2439</v>
      </c>
      <c r="S7324" s="1"/>
      <c r="T7324" s="1"/>
      <c r="U7324" s="1"/>
      <c r="V7324" s="1"/>
      <c r="W7324" s="1"/>
      <c r="X7324" s="1"/>
      <c r="Y7324" s="1"/>
      <c r="AA7324" s="102"/>
      <c r="AB7324" s="1"/>
      <c r="AC7324" s="1"/>
      <c r="AD7324" s="1"/>
      <c r="AE7324" s="1"/>
      <c r="AF7324" s="1"/>
      <c r="AG7324" s="1"/>
    </row>
    <row r="7325" ht="15.75" customHeight="1">
      <c r="A7325" s="1"/>
      <c r="B7325" s="1"/>
      <c r="C7325" s="1"/>
      <c r="D7325" s="1"/>
      <c r="E7325" s="1"/>
      <c r="F7325" s="1"/>
      <c r="G7325" s="1"/>
      <c r="H7325" s="1"/>
      <c r="I7325" s="1"/>
      <c r="J7325" s="1"/>
      <c r="K7325" s="102" t="s">
        <v>11382</v>
      </c>
      <c r="L7325" s="102" t="str">
        <f>D1079</f>
        <v>J2b1~</v>
      </c>
      <c r="M7325" s="102"/>
      <c r="N7325" s="102" t="s">
        <v>11383</v>
      </c>
      <c r="O7325" s="105">
        <v>2.2697786E7</v>
      </c>
      <c r="P7325" s="105">
        <v>2.05359E7</v>
      </c>
      <c r="Q7325" s="102" t="s">
        <v>2501</v>
      </c>
      <c r="S7325" s="1"/>
      <c r="T7325" s="1"/>
      <c r="U7325" s="1"/>
      <c r="V7325" s="1"/>
      <c r="W7325" s="1"/>
      <c r="X7325" s="1"/>
      <c r="Y7325" s="1"/>
      <c r="AA7325" s="102"/>
      <c r="AB7325" s="1"/>
      <c r="AC7325" s="1"/>
      <c r="AD7325" s="1"/>
      <c r="AE7325" s="1"/>
      <c r="AF7325" s="1"/>
      <c r="AG7325" s="1"/>
    </row>
    <row r="7326" ht="15.75" customHeight="1">
      <c r="A7326" s="1"/>
      <c r="B7326" s="1"/>
      <c r="C7326" s="1"/>
      <c r="D7326" s="1"/>
      <c r="E7326" s="1"/>
      <c r="F7326" s="1"/>
      <c r="G7326" s="1"/>
      <c r="H7326" s="1"/>
      <c r="I7326" s="1"/>
      <c r="J7326" s="1"/>
      <c r="K7326" s="102" t="s">
        <v>11384</v>
      </c>
      <c r="L7326" s="102" t="str">
        <f>D1079</f>
        <v>J2b1~</v>
      </c>
      <c r="M7326" s="102"/>
      <c r="N7326" s="102" t="s">
        <v>11385</v>
      </c>
      <c r="O7326" s="105">
        <v>2.29384E7</v>
      </c>
      <c r="P7326" s="105">
        <v>2.0776514E7</v>
      </c>
      <c r="Q7326" s="102" t="s">
        <v>2514</v>
      </c>
      <c r="S7326" s="1"/>
      <c r="T7326" s="1"/>
      <c r="U7326" s="1"/>
      <c r="V7326" s="1"/>
      <c r="W7326" s="1"/>
      <c r="X7326" s="1"/>
      <c r="Y7326" s="1"/>
      <c r="AA7326" s="102"/>
      <c r="AB7326" s="1"/>
      <c r="AC7326" s="1"/>
      <c r="AD7326" s="1"/>
      <c r="AE7326" s="1"/>
      <c r="AF7326" s="1"/>
      <c r="AG7326" s="1"/>
    </row>
    <row r="7327" ht="15.75" customHeight="1">
      <c r="A7327" s="1"/>
      <c r="B7327" s="1"/>
      <c r="C7327" s="1"/>
      <c r="D7327" s="1"/>
      <c r="E7327" s="1"/>
      <c r="F7327" s="1"/>
      <c r="G7327" s="1"/>
      <c r="H7327" s="1"/>
      <c r="I7327" s="1"/>
      <c r="J7327" s="1"/>
      <c r="K7327" s="102" t="s">
        <v>11386</v>
      </c>
      <c r="L7327" s="102" t="str">
        <f>D1079</f>
        <v>J2b1~</v>
      </c>
      <c r="M7327" s="102"/>
      <c r="N7327" s="102" t="s">
        <v>11387</v>
      </c>
      <c r="O7327" s="105">
        <v>1.8083249E7</v>
      </c>
      <c r="P7327" s="105">
        <v>1.5971369E7</v>
      </c>
      <c r="Q7327" s="102" t="s">
        <v>2468</v>
      </c>
      <c r="S7327" s="1"/>
      <c r="T7327" s="1"/>
      <c r="U7327" s="1"/>
      <c r="V7327" s="1"/>
      <c r="W7327" s="1"/>
      <c r="X7327" s="1"/>
      <c r="Y7327" s="1"/>
      <c r="AA7327" s="102"/>
      <c r="AB7327" s="1"/>
      <c r="AC7327" s="1"/>
      <c r="AD7327" s="1"/>
      <c r="AE7327" s="1"/>
      <c r="AF7327" s="1"/>
      <c r="AG7327" s="1"/>
    </row>
    <row r="7328" ht="15.75" customHeight="1">
      <c r="A7328" s="1"/>
      <c r="B7328" s="1"/>
      <c r="C7328" s="1"/>
      <c r="D7328" s="1"/>
      <c r="E7328" s="1"/>
      <c r="F7328" s="1"/>
      <c r="G7328" s="1"/>
      <c r="H7328" s="1"/>
      <c r="I7328" s="1"/>
      <c r="J7328" s="1"/>
      <c r="K7328" s="102" t="s">
        <v>11388</v>
      </c>
      <c r="L7328" s="102" t="str">
        <f>D1079</f>
        <v>J2b1~</v>
      </c>
      <c r="M7328" s="102"/>
      <c r="N7328" s="102" t="s">
        <v>11389</v>
      </c>
      <c r="O7328" s="105">
        <v>1.4083214E7</v>
      </c>
      <c r="P7328" s="105">
        <v>1.1962508E7</v>
      </c>
      <c r="Q7328" s="102" t="s">
        <v>2501</v>
      </c>
      <c r="S7328" s="1"/>
      <c r="T7328" s="1"/>
      <c r="U7328" s="1"/>
      <c r="V7328" s="1"/>
      <c r="W7328" s="1"/>
      <c r="X7328" s="1"/>
      <c r="Y7328" s="1"/>
      <c r="AA7328" s="102"/>
      <c r="AB7328" s="1"/>
      <c r="AC7328" s="1"/>
      <c r="AD7328" s="1"/>
      <c r="AE7328" s="1"/>
      <c r="AF7328" s="1"/>
      <c r="AG7328" s="1"/>
    </row>
    <row r="7329" ht="15.75" customHeight="1">
      <c r="A7329" s="1"/>
      <c r="B7329" s="1"/>
      <c r="C7329" s="1"/>
      <c r="D7329" s="1"/>
      <c r="E7329" s="1"/>
      <c r="F7329" s="1"/>
      <c r="G7329" s="1"/>
      <c r="H7329" s="1"/>
      <c r="I7329" s="1"/>
      <c r="J7329" s="1"/>
      <c r="K7329" s="102" t="s">
        <v>11390</v>
      </c>
      <c r="L7329" s="102" t="str">
        <f>D1079</f>
        <v>J2b1~</v>
      </c>
      <c r="M7329" s="102"/>
      <c r="N7329" s="102" t="s">
        <v>11391</v>
      </c>
      <c r="O7329" s="105">
        <v>9442891.0</v>
      </c>
      <c r="P7329" s="105">
        <v>9605282.0</v>
      </c>
      <c r="Q7329" s="102" t="s">
        <v>2501</v>
      </c>
      <c r="S7329" s="1"/>
      <c r="T7329" s="1"/>
      <c r="U7329" s="1"/>
      <c r="V7329" s="1"/>
      <c r="W7329" s="1"/>
      <c r="X7329" s="1"/>
      <c r="Y7329" s="1"/>
      <c r="AA7329" s="102"/>
      <c r="AB7329" s="1"/>
      <c r="AC7329" s="1"/>
      <c r="AD7329" s="1"/>
      <c r="AE7329" s="1"/>
      <c r="AF7329" s="1"/>
      <c r="AG7329" s="1"/>
    </row>
    <row r="7330" ht="15.75" customHeight="1">
      <c r="A7330" s="1"/>
      <c r="B7330" s="1"/>
      <c r="C7330" s="1"/>
      <c r="D7330" s="1"/>
      <c r="E7330" s="1"/>
      <c r="F7330" s="1"/>
      <c r="G7330" s="1"/>
      <c r="H7330" s="1"/>
      <c r="I7330" s="1"/>
      <c r="J7330" s="1"/>
      <c r="K7330" s="102" t="s">
        <v>11392</v>
      </c>
      <c r="L7330" s="102" t="str">
        <f>D1079</f>
        <v>J2b1~</v>
      </c>
      <c r="M7330" s="102"/>
      <c r="N7330" s="102" t="s">
        <v>11393</v>
      </c>
      <c r="O7330" s="105">
        <v>8893031.0</v>
      </c>
      <c r="P7330" s="105">
        <v>9024990.0</v>
      </c>
      <c r="Q7330" s="102" t="s">
        <v>2454</v>
      </c>
      <c r="S7330" s="1"/>
      <c r="T7330" s="1"/>
      <c r="U7330" s="1"/>
      <c r="V7330" s="1"/>
      <c r="W7330" s="1"/>
      <c r="X7330" s="1"/>
      <c r="Y7330" s="1"/>
      <c r="AA7330" s="102"/>
      <c r="AB7330" s="1"/>
      <c r="AC7330" s="1"/>
      <c r="AD7330" s="1"/>
      <c r="AE7330" s="1"/>
      <c r="AF7330" s="1"/>
      <c r="AG7330" s="1"/>
    </row>
    <row r="7331" ht="15.75" customHeight="1">
      <c r="A7331" s="1"/>
      <c r="B7331" s="1"/>
      <c r="C7331" s="1"/>
      <c r="D7331" s="1"/>
      <c r="E7331" s="1"/>
      <c r="F7331" s="1"/>
      <c r="G7331" s="1"/>
      <c r="H7331" s="1"/>
      <c r="I7331" s="1"/>
      <c r="J7331" s="1"/>
      <c r="K7331" s="102" t="s">
        <v>11394</v>
      </c>
      <c r="L7331" s="102" t="str">
        <f>D1079</f>
        <v>J2b1~</v>
      </c>
      <c r="M7331" s="102"/>
      <c r="N7331" s="102" t="s">
        <v>11395</v>
      </c>
      <c r="O7331" s="105">
        <v>8314932.0</v>
      </c>
      <c r="P7331" s="105">
        <v>8446891.0</v>
      </c>
      <c r="Q7331" s="102" t="s">
        <v>2432</v>
      </c>
      <c r="S7331" s="1"/>
      <c r="T7331" s="1"/>
      <c r="U7331" s="1"/>
      <c r="V7331" s="1"/>
      <c r="W7331" s="1"/>
      <c r="X7331" s="1"/>
      <c r="Y7331" s="1"/>
      <c r="AA7331" s="102"/>
      <c r="AB7331" s="1"/>
      <c r="AC7331" s="1"/>
      <c r="AD7331" s="1"/>
      <c r="AE7331" s="1"/>
      <c r="AF7331" s="1"/>
      <c r="AG7331" s="1"/>
    </row>
    <row r="7332" ht="15.75" customHeight="1">
      <c r="A7332" s="1"/>
      <c r="B7332" s="1"/>
      <c r="C7332" s="1"/>
      <c r="D7332" s="1"/>
      <c r="E7332" s="1"/>
      <c r="F7332" s="1"/>
      <c r="G7332" s="1"/>
      <c r="H7332" s="1"/>
      <c r="I7332" s="1"/>
      <c r="J7332" s="1"/>
      <c r="K7332" s="102" t="s">
        <v>11396</v>
      </c>
      <c r="L7332" s="102" t="str">
        <f>D1079</f>
        <v>J2b1~</v>
      </c>
      <c r="M7332" s="102"/>
      <c r="N7332" s="102" t="s">
        <v>11397</v>
      </c>
      <c r="O7332" s="105">
        <v>1.5224253E7</v>
      </c>
      <c r="P7332" s="105">
        <v>1.3112339E7</v>
      </c>
      <c r="Q7332" s="102" t="s">
        <v>2529</v>
      </c>
      <c r="S7332" s="1"/>
      <c r="T7332" s="1"/>
      <c r="U7332" s="1"/>
      <c r="V7332" s="1"/>
      <c r="W7332" s="1"/>
      <c r="X7332" s="1"/>
      <c r="Y7332" s="1"/>
      <c r="AA7332" s="102"/>
      <c r="AB7332" s="1"/>
      <c r="AC7332" s="1"/>
      <c r="AD7332" s="1"/>
      <c r="AE7332" s="1"/>
      <c r="AF7332" s="1"/>
      <c r="AG7332" s="1"/>
    </row>
    <row r="7333" ht="15.75" customHeight="1">
      <c r="A7333" s="1"/>
      <c r="B7333" s="1"/>
      <c r="C7333" s="1"/>
      <c r="D7333" s="1"/>
      <c r="E7333" s="1"/>
      <c r="F7333" s="1"/>
      <c r="G7333" s="1"/>
      <c r="H7333" s="1"/>
      <c r="I7333" s="1"/>
      <c r="J7333" s="1"/>
      <c r="K7333" s="102" t="s">
        <v>11398</v>
      </c>
      <c r="L7333" s="102" t="str">
        <f>D1079</f>
        <v>J2b1~</v>
      </c>
      <c r="M7333" s="102"/>
      <c r="N7333" s="102" t="s">
        <v>11399</v>
      </c>
      <c r="O7333" s="105">
        <v>1.7050431E7</v>
      </c>
      <c r="P7333" s="105">
        <v>1.4938551E7</v>
      </c>
      <c r="Q7333" s="102" t="s">
        <v>2423</v>
      </c>
      <c r="S7333" s="1"/>
      <c r="T7333" s="1"/>
      <c r="U7333" s="1"/>
      <c r="V7333" s="1"/>
      <c r="W7333" s="1"/>
      <c r="X7333" s="1"/>
      <c r="Y7333" s="1"/>
      <c r="AA7333" s="102"/>
      <c r="AB7333" s="1"/>
      <c r="AC7333" s="1"/>
      <c r="AD7333" s="1"/>
      <c r="AE7333" s="1"/>
      <c r="AF7333" s="1"/>
      <c r="AG7333" s="1"/>
    </row>
    <row r="7334" ht="15.75" customHeight="1">
      <c r="A7334" s="1"/>
      <c r="B7334" s="1"/>
      <c r="C7334" s="1"/>
      <c r="D7334" s="1"/>
      <c r="E7334" s="1"/>
      <c r="F7334" s="1"/>
      <c r="G7334" s="1"/>
      <c r="H7334" s="1"/>
      <c r="I7334" s="1"/>
      <c r="J7334" s="1"/>
      <c r="K7334" s="102" t="s">
        <v>11400</v>
      </c>
      <c r="L7334" s="102" t="str">
        <f>E1080</f>
        <v>J2b1a~</v>
      </c>
      <c r="M7334" s="102"/>
      <c r="N7334" s="102"/>
      <c r="O7334" s="105">
        <v>6837046.0</v>
      </c>
      <c r="P7334" s="105">
        <v>6969005.0</v>
      </c>
      <c r="Q7334" s="102" t="s">
        <v>2439</v>
      </c>
      <c r="S7334" s="1"/>
      <c r="T7334" s="1"/>
      <c r="U7334" s="1"/>
      <c r="V7334" s="1"/>
      <c r="W7334" s="1"/>
      <c r="X7334" s="1"/>
      <c r="Y7334" s="1"/>
      <c r="AA7334" s="102"/>
      <c r="AB7334" s="1"/>
      <c r="AC7334" s="1"/>
      <c r="AD7334" s="1"/>
      <c r="AE7334" s="1"/>
      <c r="AF7334" s="1"/>
      <c r="AG7334" s="1"/>
    </row>
    <row r="7335" ht="15.75" customHeight="1">
      <c r="A7335" s="1"/>
      <c r="B7335" s="1"/>
      <c r="C7335" s="1"/>
      <c r="D7335" s="1"/>
      <c r="E7335" s="1"/>
      <c r="F7335" s="1"/>
      <c r="G7335" s="1"/>
      <c r="H7335" s="1"/>
      <c r="I7335" s="1"/>
      <c r="J7335" s="1"/>
      <c r="K7335" s="102" t="s">
        <v>11401</v>
      </c>
      <c r="L7335" s="102" t="str">
        <f>E1080</f>
        <v>J2b1a~</v>
      </c>
      <c r="M7335" s="102"/>
      <c r="N7335" s="102" t="s">
        <v>11402</v>
      </c>
      <c r="O7335" s="105">
        <v>1.918083E7</v>
      </c>
      <c r="P7335" s="105">
        <v>1.706895E7</v>
      </c>
      <c r="Q7335" s="102" t="s">
        <v>2454</v>
      </c>
      <c r="S7335" s="1"/>
      <c r="T7335" s="1"/>
      <c r="U7335" s="1"/>
      <c r="V7335" s="1"/>
      <c r="W7335" s="1"/>
      <c r="X7335" s="1"/>
      <c r="Y7335" s="1"/>
      <c r="AA7335" s="102"/>
      <c r="AB7335" s="1"/>
      <c r="AC7335" s="1"/>
      <c r="AD7335" s="1"/>
      <c r="AE7335" s="1"/>
      <c r="AF7335" s="1"/>
      <c r="AG7335" s="1"/>
    </row>
    <row r="7336" ht="15.75" customHeight="1">
      <c r="A7336" s="1"/>
      <c r="B7336" s="1"/>
      <c r="C7336" s="1"/>
      <c r="D7336" s="1"/>
      <c r="E7336" s="1"/>
      <c r="F7336" s="1"/>
      <c r="G7336" s="1"/>
      <c r="H7336" s="1"/>
      <c r="I7336" s="1"/>
      <c r="J7336" s="1"/>
      <c r="K7336" s="102" t="s">
        <v>11403</v>
      </c>
      <c r="L7336" s="102" t="str">
        <f>E1080</f>
        <v>J2b1a~</v>
      </c>
      <c r="M7336" s="102"/>
      <c r="N7336" s="102"/>
      <c r="O7336" s="105">
        <v>2752465.0</v>
      </c>
      <c r="P7336" s="105">
        <v>2884424.0</v>
      </c>
      <c r="Q7336" s="102" t="s">
        <v>2501</v>
      </c>
      <c r="S7336" s="1"/>
      <c r="T7336" s="1"/>
      <c r="U7336" s="1"/>
      <c r="V7336" s="1"/>
      <c r="W7336" s="1"/>
      <c r="X7336" s="1"/>
      <c r="Y7336" s="1"/>
      <c r="AA7336" s="102"/>
      <c r="AB7336" s="1"/>
      <c r="AC7336" s="1"/>
      <c r="AD7336" s="1"/>
      <c r="AE7336" s="1"/>
      <c r="AF7336" s="1"/>
      <c r="AG7336" s="1"/>
    </row>
    <row r="7337" ht="15.75" customHeight="1">
      <c r="A7337" s="1"/>
      <c r="B7337" s="1"/>
      <c r="C7337" s="1"/>
      <c r="D7337" s="1"/>
      <c r="E7337" s="1"/>
      <c r="F7337" s="1"/>
      <c r="G7337" s="1"/>
      <c r="H7337" s="1"/>
      <c r="I7337" s="1"/>
      <c r="J7337" s="1"/>
      <c r="K7337" s="102" t="s">
        <v>11404</v>
      </c>
      <c r="L7337" s="102" t="str">
        <f>E1080</f>
        <v>J2b1a~</v>
      </c>
      <c r="M7337" s="102"/>
      <c r="N7337" s="102"/>
      <c r="O7337" s="105">
        <v>7084082.0</v>
      </c>
      <c r="P7337" s="105">
        <v>7216041.0</v>
      </c>
      <c r="Q7337" s="102" t="s">
        <v>2446</v>
      </c>
      <c r="S7337" s="1"/>
      <c r="T7337" s="1"/>
      <c r="U7337" s="1"/>
      <c r="V7337" s="1"/>
      <c r="W7337" s="1"/>
      <c r="X7337" s="1"/>
      <c r="Y7337" s="1"/>
      <c r="AA7337" s="102"/>
      <c r="AB7337" s="1"/>
      <c r="AC7337" s="1"/>
      <c r="AD7337" s="1"/>
      <c r="AE7337" s="1"/>
      <c r="AF7337" s="1"/>
      <c r="AG7337" s="1"/>
    </row>
    <row r="7338" ht="15.75" customHeight="1">
      <c r="A7338" s="1"/>
      <c r="B7338" s="1"/>
      <c r="C7338" s="1"/>
      <c r="D7338" s="1"/>
      <c r="E7338" s="1"/>
      <c r="F7338" s="1"/>
      <c r="G7338" s="1"/>
      <c r="H7338" s="1"/>
      <c r="I7338" s="1"/>
      <c r="J7338" s="1"/>
      <c r="K7338" s="102" t="s">
        <v>11405</v>
      </c>
      <c r="L7338" s="102" t="str">
        <f>E1080</f>
        <v>J2b1a~</v>
      </c>
      <c r="M7338" s="102"/>
      <c r="N7338" s="102"/>
      <c r="O7338" s="105">
        <v>7700993.0</v>
      </c>
      <c r="P7338" s="105">
        <v>7832952.0</v>
      </c>
      <c r="Q7338" s="102" t="s">
        <v>2501</v>
      </c>
      <c r="S7338" s="1"/>
      <c r="T7338" s="1"/>
      <c r="U7338" s="1"/>
      <c r="V7338" s="1"/>
      <c r="W7338" s="1"/>
      <c r="X7338" s="1"/>
      <c r="Y7338" s="1"/>
      <c r="AA7338" s="102"/>
      <c r="AB7338" s="1"/>
      <c r="AC7338" s="1"/>
      <c r="AD7338" s="1"/>
      <c r="AE7338" s="1"/>
      <c r="AF7338" s="1"/>
      <c r="AG7338" s="1"/>
    </row>
    <row r="7339" ht="15.75" customHeight="1">
      <c r="A7339" s="1"/>
      <c r="B7339" s="1"/>
      <c r="C7339" s="1"/>
      <c r="D7339" s="1"/>
      <c r="E7339" s="1"/>
      <c r="F7339" s="1"/>
      <c r="G7339" s="1"/>
      <c r="H7339" s="1"/>
      <c r="I7339" s="1"/>
      <c r="J7339" s="1"/>
      <c r="K7339" s="102" t="s">
        <v>11406</v>
      </c>
      <c r="L7339" s="102" t="str">
        <f>E1080</f>
        <v>J2b1a~</v>
      </c>
      <c r="M7339" s="102"/>
      <c r="N7339" s="102"/>
      <c r="O7339" s="105">
        <v>8205152.0</v>
      </c>
      <c r="P7339" s="105">
        <v>8337111.0</v>
      </c>
      <c r="Q7339" s="102" t="s">
        <v>2514</v>
      </c>
      <c r="S7339" s="1"/>
      <c r="T7339" s="1"/>
      <c r="U7339" s="1"/>
      <c r="V7339" s="1"/>
      <c r="W7339" s="1"/>
      <c r="X7339" s="1"/>
      <c r="Y7339" s="1"/>
      <c r="AA7339" s="102"/>
      <c r="AB7339" s="1"/>
      <c r="AC7339" s="1"/>
      <c r="AD7339" s="1"/>
      <c r="AE7339" s="1"/>
      <c r="AF7339" s="1"/>
      <c r="AG7339" s="1"/>
    </row>
    <row r="7340" ht="15.75" customHeight="1">
      <c r="A7340" s="1"/>
      <c r="B7340" s="1"/>
      <c r="C7340" s="1"/>
      <c r="D7340" s="1"/>
      <c r="E7340" s="1"/>
      <c r="F7340" s="1"/>
      <c r="G7340" s="1"/>
      <c r="H7340" s="1"/>
      <c r="I7340" s="1"/>
      <c r="J7340" s="1"/>
      <c r="K7340" s="102" t="s">
        <v>11407</v>
      </c>
      <c r="L7340" s="102" t="str">
        <f>E1080</f>
        <v>J2b1a~</v>
      </c>
      <c r="M7340" s="102"/>
      <c r="N7340" s="102"/>
      <c r="O7340" s="105">
        <v>8443700.0</v>
      </c>
      <c r="P7340" s="105">
        <v>8575659.0</v>
      </c>
      <c r="Q7340" s="102" t="s">
        <v>2454</v>
      </c>
      <c r="S7340" s="1"/>
      <c r="T7340" s="1"/>
      <c r="U7340" s="1"/>
      <c r="V7340" s="1"/>
      <c r="W7340" s="1"/>
      <c r="X7340" s="1"/>
      <c r="Y7340" s="1"/>
      <c r="AA7340" s="102"/>
      <c r="AB7340" s="1"/>
      <c r="AC7340" s="1"/>
      <c r="AD7340" s="1"/>
      <c r="AE7340" s="1"/>
      <c r="AF7340" s="1"/>
      <c r="AG7340" s="1"/>
    </row>
    <row r="7341" ht="15.75" customHeight="1">
      <c r="A7341" s="1"/>
      <c r="B7341" s="1"/>
      <c r="C7341" s="1"/>
      <c r="D7341" s="1"/>
      <c r="E7341" s="1"/>
      <c r="F7341" s="1"/>
      <c r="G7341" s="1"/>
      <c r="H7341" s="1"/>
      <c r="I7341" s="1"/>
      <c r="J7341" s="1"/>
      <c r="K7341" s="102" t="s">
        <v>11408</v>
      </c>
      <c r="L7341" s="102" t="str">
        <f>E1080</f>
        <v>J2b1a~</v>
      </c>
      <c r="M7341" s="102"/>
      <c r="N7341" s="102"/>
      <c r="O7341" s="105">
        <v>1.4077502E7</v>
      </c>
      <c r="P7341" s="105">
        <v>1.1956796E7</v>
      </c>
      <c r="Q7341" s="102" t="s">
        <v>2501</v>
      </c>
      <c r="S7341" s="1"/>
      <c r="T7341" s="1"/>
      <c r="U7341" s="1"/>
      <c r="V7341" s="1"/>
      <c r="W7341" s="1"/>
      <c r="X7341" s="1"/>
      <c r="Y7341" s="1"/>
      <c r="AA7341" s="102"/>
      <c r="AB7341" s="1"/>
      <c r="AC7341" s="1"/>
      <c r="AD7341" s="1"/>
      <c r="AE7341" s="1"/>
      <c r="AF7341" s="1"/>
      <c r="AG7341" s="1"/>
    </row>
    <row r="7342" ht="15.75" customHeight="1">
      <c r="A7342" s="1"/>
      <c r="B7342" s="1"/>
      <c r="C7342" s="1"/>
      <c r="D7342" s="1"/>
      <c r="E7342" s="1"/>
      <c r="F7342" s="1"/>
      <c r="G7342" s="1"/>
      <c r="H7342" s="1"/>
      <c r="I7342" s="1"/>
      <c r="J7342" s="1"/>
      <c r="K7342" s="102" t="s">
        <v>11409</v>
      </c>
      <c r="L7342" s="102" t="str">
        <f>E1080</f>
        <v>J2b1a~</v>
      </c>
      <c r="M7342" s="102"/>
      <c r="N7342" s="102" t="s">
        <v>11410</v>
      </c>
      <c r="O7342" s="105">
        <v>1.4151255E7</v>
      </c>
      <c r="P7342" s="105">
        <v>1.2030549E7</v>
      </c>
      <c r="Q7342" s="102" t="s">
        <v>2446</v>
      </c>
      <c r="S7342" s="1"/>
      <c r="T7342" s="1"/>
      <c r="U7342" s="1"/>
      <c r="V7342" s="1"/>
      <c r="W7342" s="1"/>
      <c r="X7342" s="1"/>
      <c r="Y7342" s="1"/>
      <c r="AA7342" s="102"/>
      <c r="AB7342" s="1"/>
      <c r="AC7342" s="1"/>
      <c r="AD7342" s="1"/>
      <c r="AE7342" s="1"/>
      <c r="AF7342" s="1"/>
      <c r="AG7342" s="1"/>
    </row>
    <row r="7343" ht="15.75" customHeight="1">
      <c r="A7343" s="1"/>
      <c r="B7343" s="1"/>
      <c r="C7343" s="1"/>
      <c r="D7343" s="1"/>
      <c r="E7343" s="1"/>
      <c r="F7343" s="1"/>
      <c r="G7343" s="1"/>
      <c r="H7343" s="1"/>
      <c r="I7343" s="1"/>
      <c r="J7343" s="1"/>
      <c r="K7343" s="102" t="s">
        <v>11411</v>
      </c>
      <c r="L7343" s="102" t="str">
        <f>E1080</f>
        <v>J2b1a~</v>
      </c>
      <c r="M7343" s="102"/>
      <c r="N7343" s="102"/>
      <c r="O7343" s="105">
        <v>1.5491364E7</v>
      </c>
      <c r="P7343" s="105">
        <v>1.3379484E7</v>
      </c>
      <c r="Q7343" s="102" t="s">
        <v>2468</v>
      </c>
      <c r="S7343" s="1"/>
      <c r="T7343" s="1"/>
      <c r="U7343" s="1"/>
      <c r="V7343" s="1"/>
      <c r="W7343" s="1"/>
      <c r="X7343" s="1"/>
      <c r="Y7343" s="1"/>
      <c r="AA7343" s="102"/>
      <c r="AB7343" s="1"/>
      <c r="AC7343" s="1"/>
      <c r="AD7343" s="1"/>
      <c r="AE7343" s="1"/>
      <c r="AF7343" s="1"/>
      <c r="AG7343" s="1"/>
    </row>
    <row r="7344" ht="15.75" customHeight="1">
      <c r="A7344" s="1"/>
      <c r="B7344" s="1"/>
      <c r="C7344" s="1"/>
      <c r="D7344" s="1"/>
      <c r="E7344" s="1"/>
      <c r="F7344" s="1"/>
      <c r="G7344" s="1"/>
      <c r="H7344" s="1"/>
      <c r="I7344" s="1"/>
      <c r="J7344" s="1"/>
      <c r="K7344" s="102" t="s">
        <v>11412</v>
      </c>
      <c r="L7344" s="102" t="str">
        <f>E1080</f>
        <v>J2b1a~</v>
      </c>
      <c r="M7344" s="102"/>
      <c r="N7344" s="102" t="s">
        <v>11413</v>
      </c>
      <c r="O7344" s="105">
        <v>1.5993722E7</v>
      </c>
      <c r="P7344" s="105">
        <v>1.3881842E7</v>
      </c>
      <c r="Q7344" s="102" t="s">
        <v>2468</v>
      </c>
      <c r="S7344" s="1"/>
      <c r="T7344" s="1"/>
      <c r="U7344" s="1"/>
      <c r="V7344" s="1"/>
      <c r="W7344" s="1"/>
      <c r="X7344" s="1"/>
      <c r="Y7344" s="1"/>
      <c r="AA7344" s="102"/>
      <c r="AB7344" s="1"/>
      <c r="AC7344" s="1"/>
      <c r="AD7344" s="1"/>
      <c r="AE7344" s="1"/>
      <c r="AF7344" s="1"/>
      <c r="AG7344" s="1"/>
    </row>
    <row r="7345" ht="15.75" customHeight="1">
      <c r="A7345" s="1"/>
      <c r="B7345" s="1"/>
      <c r="C7345" s="1"/>
      <c r="D7345" s="1"/>
      <c r="E7345" s="1"/>
      <c r="F7345" s="1"/>
      <c r="G7345" s="1"/>
      <c r="H7345" s="1"/>
      <c r="I7345" s="1"/>
      <c r="J7345" s="1"/>
      <c r="K7345" s="102" t="s">
        <v>11414</v>
      </c>
      <c r="L7345" s="102" t="str">
        <f>E1080</f>
        <v>J2b1a~</v>
      </c>
      <c r="M7345" s="102"/>
      <c r="N7345" s="102"/>
      <c r="O7345" s="105">
        <v>1.6202009E7</v>
      </c>
      <c r="P7345" s="105">
        <v>1.4090129E7</v>
      </c>
      <c r="Q7345" s="102" t="s">
        <v>2529</v>
      </c>
      <c r="S7345" s="1"/>
      <c r="T7345" s="1"/>
      <c r="U7345" s="1"/>
      <c r="V7345" s="1"/>
      <c r="W7345" s="1"/>
      <c r="X7345" s="1"/>
      <c r="Y7345" s="1"/>
      <c r="AA7345" s="102"/>
      <c r="AB7345" s="1"/>
      <c r="AC7345" s="1"/>
      <c r="AD7345" s="1"/>
      <c r="AE7345" s="1"/>
      <c r="AF7345" s="1"/>
      <c r="AG7345" s="1"/>
    </row>
    <row r="7346" ht="15.75" customHeight="1">
      <c r="A7346" s="1"/>
      <c r="B7346" s="1"/>
      <c r="C7346" s="1"/>
      <c r="D7346" s="1"/>
      <c r="E7346" s="1"/>
      <c r="F7346" s="1"/>
      <c r="G7346" s="1"/>
      <c r="H7346" s="1"/>
      <c r="I7346" s="1"/>
      <c r="J7346" s="1"/>
      <c r="K7346" s="102" t="s">
        <v>11415</v>
      </c>
      <c r="L7346" s="102" t="str">
        <f>E1080</f>
        <v>J2b1a~</v>
      </c>
      <c r="M7346" s="102"/>
      <c r="N7346" s="102" t="s">
        <v>11416</v>
      </c>
      <c r="O7346" s="105">
        <v>1.7097651E7</v>
      </c>
      <c r="P7346" s="105">
        <v>1.4985771E7</v>
      </c>
      <c r="Q7346" s="102" t="s">
        <v>2529</v>
      </c>
      <c r="S7346" s="1"/>
      <c r="T7346" s="1"/>
      <c r="U7346" s="1"/>
      <c r="V7346" s="1"/>
      <c r="W7346" s="1"/>
      <c r="X7346" s="1"/>
      <c r="Y7346" s="1"/>
      <c r="AA7346" s="102"/>
      <c r="AB7346" s="1"/>
      <c r="AC7346" s="1"/>
      <c r="AD7346" s="1"/>
      <c r="AE7346" s="1"/>
      <c r="AF7346" s="1"/>
      <c r="AG7346" s="1"/>
    </row>
    <row r="7347" ht="15.75" customHeight="1">
      <c r="A7347" s="1"/>
      <c r="B7347" s="1"/>
      <c r="C7347" s="1"/>
      <c r="D7347" s="1"/>
      <c r="E7347" s="1"/>
      <c r="F7347" s="1"/>
      <c r="G7347" s="1"/>
      <c r="H7347" s="1"/>
      <c r="I7347" s="1"/>
      <c r="J7347" s="1"/>
      <c r="K7347" s="102" t="s">
        <v>11417</v>
      </c>
      <c r="L7347" s="102" t="str">
        <f>E1080</f>
        <v>J2b1a~</v>
      </c>
      <c r="M7347" s="102"/>
      <c r="N7347" s="102" t="s">
        <v>11418</v>
      </c>
      <c r="O7347" s="105">
        <v>1.763394E7</v>
      </c>
      <c r="P7347" s="105">
        <v>1.552206E7</v>
      </c>
      <c r="Q7347" s="102" t="s">
        <v>2432</v>
      </c>
      <c r="S7347" s="1"/>
      <c r="T7347" s="1"/>
      <c r="U7347" s="1"/>
      <c r="V7347" s="1"/>
      <c r="W7347" s="1"/>
      <c r="X7347" s="1"/>
      <c r="Y7347" s="1"/>
      <c r="AA7347" s="102"/>
      <c r="AB7347" s="1"/>
      <c r="AC7347" s="1"/>
      <c r="AD7347" s="1"/>
      <c r="AE7347" s="1"/>
      <c r="AF7347" s="1"/>
      <c r="AG7347" s="1"/>
    </row>
    <row r="7348" ht="15.75" customHeight="1">
      <c r="A7348" s="1"/>
      <c r="B7348" s="1"/>
      <c r="C7348" s="1"/>
      <c r="D7348" s="1"/>
      <c r="E7348" s="1"/>
      <c r="F7348" s="1"/>
      <c r="G7348" s="1"/>
      <c r="H7348" s="1"/>
      <c r="I7348" s="1"/>
      <c r="J7348" s="1"/>
      <c r="K7348" s="102" t="s">
        <v>11419</v>
      </c>
      <c r="L7348" s="102" t="str">
        <f>E1080</f>
        <v>J2b1a~</v>
      </c>
      <c r="M7348" s="102"/>
      <c r="N7348" s="102"/>
      <c r="O7348" s="105">
        <v>1.7702319E7</v>
      </c>
      <c r="P7348" s="105">
        <v>1.5590439E7</v>
      </c>
      <c r="Q7348" s="102" t="s">
        <v>2533</v>
      </c>
      <c r="S7348" s="1"/>
      <c r="T7348" s="1"/>
      <c r="U7348" s="1"/>
      <c r="V7348" s="1"/>
      <c r="W7348" s="1"/>
      <c r="X7348" s="1"/>
      <c r="Y7348" s="1"/>
      <c r="AA7348" s="102"/>
      <c r="AB7348" s="1"/>
      <c r="AC7348" s="1"/>
      <c r="AD7348" s="1"/>
      <c r="AE7348" s="1"/>
      <c r="AF7348" s="1"/>
      <c r="AG7348" s="1"/>
    </row>
    <row r="7349" ht="15.75" customHeight="1">
      <c r="A7349" s="1"/>
      <c r="B7349" s="1"/>
      <c r="C7349" s="1"/>
      <c r="D7349" s="1"/>
      <c r="E7349" s="1"/>
      <c r="F7349" s="1"/>
      <c r="G7349" s="1"/>
      <c r="H7349" s="1"/>
      <c r="I7349" s="1"/>
      <c r="J7349" s="1"/>
      <c r="K7349" s="102" t="s">
        <v>11420</v>
      </c>
      <c r="L7349" s="102" t="str">
        <f>E1080</f>
        <v>J2b1a~</v>
      </c>
      <c r="M7349" s="102"/>
      <c r="N7349" s="102" t="s">
        <v>11421</v>
      </c>
      <c r="O7349" s="105">
        <v>1.7875003E7</v>
      </c>
      <c r="P7349" s="105">
        <v>1.5763123E7</v>
      </c>
      <c r="Q7349" s="102" t="s">
        <v>2432</v>
      </c>
      <c r="S7349" s="1"/>
      <c r="T7349" s="1"/>
      <c r="U7349" s="1"/>
      <c r="V7349" s="1"/>
      <c r="W7349" s="1"/>
      <c r="X7349" s="1"/>
      <c r="Y7349" s="1"/>
      <c r="AA7349" s="102"/>
      <c r="AB7349" s="1"/>
      <c r="AC7349" s="1"/>
      <c r="AD7349" s="1"/>
      <c r="AE7349" s="1"/>
      <c r="AF7349" s="1"/>
      <c r="AG7349" s="1"/>
    </row>
    <row r="7350" ht="15.75" customHeight="1">
      <c r="A7350" s="1"/>
      <c r="B7350" s="1"/>
      <c r="C7350" s="1"/>
      <c r="D7350" s="1"/>
      <c r="E7350" s="1"/>
      <c r="F7350" s="1"/>
      <c r="G7350" s="1"/>
      <c r="H7350" s="1"/>
      <c r="I7350" s="1"/>
      <c r="J7350" s="1"/>
      <c r="K7350" s="102" t="s">
        <v>11422</v>
      </c>
      <c r="L7350" s="102" t="str">
        <f>E1080</f>
        <v>J2b1a~</v>
      </c>
      <c r="M7350" s="102"/>
      <c r="N7350" s="102"/>
      <c r="O7350" s="105">
        <v>1.8182453E7</v>
      </c>
      <c r="P7350" s="105">
        <v>1.6070573E7</v>
      </c>
      <c r="Q7350" s="102" t="s">
        <v>2446</v>
      </c>
      <c r="S7350" s="1"/>
      <c r="T7350" s="1"/>
      <c r="U7350" s="1"/>
      <c r="V7350" s="1"/>
      <c r="W7350" s="1"/>
      <c r="X7350" s="1"/>
      <c r="Y7350" s="1"/>
      <c r="AA7350" s="102"/>
      <c r="AB7350" s="1"/>
      <c r="AC7350" s="1"/>
      <c r="AD7350" s="1"/>
      <c r="AE7350" s="1"/>
      <c r="AF7350" s="1"/>
      <c r="AG7350" s="1"/>
    </row>
    <row r="7351" ht="15.75" customHeight="1">
      <c r="A7351" s="1"/>
      <c r="B7351" s="1"/>
      <c r="C7351" s="1"/>
      <c r="D7351" s="1"/>
      <c r="E7351" s="1"/>
      <c r="F7351" s="1"/>
      <c r="G7351" s="1"/>
      <c r="H7351" s="1"/>
      <c r="I7351" s="1"/>
      <c r="J7351" s="1"/>
      <c r="K7351" s="102" t="s">
        <v>11423</v>
      </c>
      <c r="L7351" s="102" t="str">
        <f>E1080</f>
        <v>J2b1a~</v>
      </c>
      <c r="M7351" s="102"/>
      <c r="N7351" s="102" t="s">
        <v>11424</v>
      </c>
      <c r="O7351" s="105">
        <v>1.8591943E7</v>
      </c>
      <c r="P7351" s="105">
        <v>1.6480063E7</v>
      </c>
      <c r="Q7351" s="102" t="s">
        <v>2432</v>
      </c>
      <c r="S7351" s="1"/>
      <c r="T7351" s="1"/>
      <c r="U7351" s="1"/>
      <c r="V7351" s="1"/>
      <c r="W7351" s="1"/>
      <c r="X7351" s="1"/>
      <c r="Y7351" s="1"/>
      <c r="AA7351" s="102"/>
      <c r="AB7351" s="1"/>
      <c r="AC7351" s="1"/>
      <c r="AD7351" s="1"/>
      <c r="AE7351" s="1"/>
      <c r="AF7351" s="1"/>
      <c r="AG7351" s="1"/>
    </row>
    <row r="7352" ht="15.75" customHeight="1">
      <c r="A7352" s="1"/>
      <c r="B7352" s="1"/>
      <c r="C7352" s="1"/>
      <c r="D7352" s="1"/>
      <c r="E7352" s="1"/>
      <c r="F7352" s="1"/>
      <c r="G7352" s="1"/>
      <c r="H7352" s="1"/>
      <c r="I7352" s="1"/>
      <c r="J7352" s="1"/>
      <c r="K7352" s="102" t="s">
        <v>11425</v>
      </c>
      <c r="L7352" s="102" t="str">
        <f>E1080</f>
        <v>J2b1a~</v>
      </c>
      <c r="M7352" s="102"/>
      <c r="N7352" s="102"/>
      <c r="O7352" s="105">
        <v>1.9010838E7</v>
      </c>
      <c r="P7352" s="105">
        <v>1.6898958E7</v>
      </c>
      <c r="Q7352" s="102" t="s">
        <v>2501</v>
      </c>
      <c r="S7352" s="1"/>
      <c r="T7352" s="1"/>
      <c r="U7352" s="1"/>
      <c r="V7352" s="1"/>
      <c r="W7352" s="1"/>
      <c r="X7352" s="1"/>
      <c r="Y7352" s="1"/>
      <c r="AA7352" s="102"/>
      <c r="AB7352" s="1"/>
      <c r="AC7352" s="1"/>
      <c r="AD7352" s="1"/>
      <c r="AE7352" s="1"/>
      <c r="AF7352" s="1"/>
      <c r="AG7352" s="1"/>
    </row>
    <row r="7353" ht="15.75" customHeight="1">
      <c r="A7353" s="1"/>
      <c r="B7353" s="1"/>
      <c r="C7353" s="1"/>
      <c r="D7353" s="1"/>
      <c r="E7353" s="1"/>
      <c r="F7353" s="1"/>
      <c r="G7353" s="1"/>
      <c r="H7353" s="1"/>
      <c r="I7353" s="1"/>
      <c r="J7353" s="1"/>
      <c r="K7353" s="102" t="s">
        <v>11426</v>
      </c>
      <c r="L7353" s="102" t="str">
        <f>E1080</f>
        <v>J2b1a~</v>
      </c>
      <c r="M7353" s="102"/>
      <c r="N7353" s="102"/>
      <c r="O7353" s="105">
        <v>1.9247016E7</v>
      </c>
      <c r="P7353" s="105">
        <v>1.7135136E7</v>
      </c>
      <c r="Q7353" s="102" t="s">
        <v>2576</v>
      </c>
      <c r="S7353" s="1"/>
      <c r="T7353" s="1"/>
      <c r="U7353" s="1"/>
      <c r="V7353" s="1"/>
      <c r="W7353" s="1"/>
      <c r="X7353" s="1"/>
      <c r="Y7353" s="1"/>
      <c r="AA7353" s="102"/>
      <c r="AB7353" s="1"/>
      <c r="AC7353" s="1"/>
      <c r="AD7353" s="1"/>
      <c r="AE7353" s="1"/>
      <c r="AF7353" s="1"/>
      <c r="AG7353" s="1"/>
    </row>
    <row r="7354" ht="15.75" customHeight="1">
      <c r="A7354" s="1"/>
      <c r="B7354" s="1"/>
      <c r="C7354" s="1"/>
      <c r="D7354" s="1"/>
      <c r="E7354" s="1"/>
      <c r="F7354" s="1"/>
      <c r="G7354" s="1"/>
      <c r="H7354" s="1"/>
      <c r="I7354" s="1"/>
      <c r="J7354" s="1"/>
      <c r="K7354" s="102" t="s">
        <v>11427</v>
      </c>
      <c r="L7354" s="102" t="str">
        <f>E1080</f>
        <v>J2b1a~</v>
      </c>
      <c r="M7354" s="102"/>
      <c r="N7354" s="102"/>
      <c r="O7354" s="105">
        <v>2.1660572E7</v>
      </c>
      <c r="P7354" s="105">
        <v>1.9498686E7</v>
      </c>
      <c r="Q7354" s="102" t="s">
        <v>2501</v>
      </c>
      <c r="S7354" s="1"/>
      <c r="T7354" s="1"/>
      <c r="U7354" s="1"/>
      <c r="V7354" s="1"/>
      <c r="W7354" s="1"/>
      <c r="X7354" s="1"/>
      <c r="Y7354" s="1"/>
      <c r="AA7354" s="102"/>
      <c r="AB7354" s="1"/>
      <c r="AC7354" s="1"/>
      <c r="AD7354" s="1"/>
      <c r="AE7354" s="1"/>
      <c r="AF7354" s="1"/>
      <c r="AG7354" s="1"/>
    </row>
    <row r="7355" ht="15.75" customHeight="1">
      <c r="A7355" s="1"/>
      <c r="B7355" s="1"/>
      <c r="C7355" s="1"/>
      <c r="D7355" s="1"/>
      <c r="E7355" s="1"/>
      <c r="F7355" s="1"/>
      <c r="G7355" s="1"/>
      <c r="H7355" s="1"/>
      <c r="I7355" s="1"/>
      <c r="J7355" s="1"/>
      <c r="K7355" s="102" t="s">
        <v>11428</v>
      </c>
      <c r="L7355" s="102" t="str">
        <f>E1080</f>
        <v>J2b1a~</v>
      </c>
      <c r="M7355" s="102"/>
      <c r="N7355" s="102"/>
      <c r="O7355" s="105">
        <v>2.2971168E7</v>
      </c>
      <c r="P7355" s="105">
        <v>2.0809282E7</v>
      </c>
      <c r="Q7355" s="102" t="s">
        <v>2563</v>
      </c>
      <c r="S7355" s="1"/>
      <c r="T7355" s="1"/>
      <c r="U7355" s="1"/>
      <c r="V7355" s="1"/>
      <c r="W7355" s="1"/>
      <c r="X7355" s="1"/>
      <c r="Y7355" s="1"/>
      <c r="AA7355" s="102"/>
      <c r="AB7355" s="1"/>
      <c r="AC7355" s="1"/>
      <c r="AD7355" s="1"/>
      <c r="AE7355" s="1"/>
      <c r="AF7355" s="1"/>
      <c r="AG7355" s="1"/>
    </row>
    <row r="7356" ht="15.75" customHeight="1">
      <c r="A7356" s="1"/>
      <c r="B7356" s="1"/>
      <c r="C7356" s="1"/>
      <c r="D7356" s="1"/>
      <c r="E7356" s="1"/>
      <c r="F7356" s="1"/>
      <c r="G7356" s="1"/>
      <c r="H7356" s="1"/>
      <c r="I7356" s="1"/>
      <c r="J7356" s="1"/>
      <c r="K7356" s="102" t="s">
        <v>11429</v>
      </c>
      <c r="L7356" s="102" t="str">
        <f>E1080</f>
        <v>J2b1a~</v>
      </c>
      <c r="M7356" s="102"/>
      <c r="N7356" s="102" t="s">
        <v>11430</v>
      </c>
      <c r="O7356" s="105">
        <v>2.449653E7</v>
      </c>
      <c r="P7356" s="105">
        <v>2.2350383E7</v>
      </c>
      <c r="Q7356" s="102" t="s">
        <v>2423</v>
      </c>
      <c r="S7356" s="1"/>
      <c r="T7356" s="1"/>
      <c r="U7356" s="1"/>
      <c r="V7356" s="1"/>
      <c r="W7356" s="1"/>
      <c r="X7356" s="1"/>
      <c r="Y7356" s="1"/>
      <c r="AA7356" s="102"/>
      <c r="AB7356" s="1"/>
      <c r="AC7356" s="1"/>
      <c r="AD7356" s="1"/>
      <c r="AE7356" s="1"/>
      <c r="AF7356" s="1"/>
      <c r="AG7356" s="1"/>
    </row>
    <row r="7357" ht="15.75" customHeight="1">
      <c r="A7357" s="1"/>
      <c r="B7357" s="1"/>
      <c r="C7357" s="1"/>
      <c r="D7357" s="1"/>
      <c r="E7357" s="1"/>
      <c r="F7357" s="1"/>
      <c r="G7357" s="1"/>
      <c r="H7357" s="1"/>
      <c r="I7357" s="1"/>
      <c r="J7357" s="1"/>
      <c r="K7357" s="102" t="s">
        <v>11431</v>
      </c>
      <c r="L7357" s="102" t="str">
        <f>E1080</f>
        <v>J2b1a~</v>
      </c>
      <c r="M7357" s="102"/>
      <c r="N7357" s="102"/>
      <c r="O7357" s="105">
        <v>1.3813696E7</v>
      </c>
      <c r="P7357" s="105">
        <v>1.169299E7</v>
      </c>
      <c r="Q7357" s="102" t="s">
        <v>2514</v>
      </c>
      <c r="S7357" s="1"/>
      <c r="T7357" s="1"/>
      <c r="U7357" s="1"/>
      <c r="V7357" s="1"/>
      <c r="W7357" s="1"/>
      <c r="X7357" s="1"/>
      <c r="Y7357" s="1"/>
      <c r="AA7357" s="102"/>
      <c r="AB7357" s="1"/>
      <c r="AC7357" s="1"/>
      <c r="AD7357" s="1"/>
      <c r="AE7357" s="1"/>
      <c r="AF7357" s="1"/>
      <c r="AG7357" s="1"/>
    </row>
    <row r="7358" ht="15.75" customHeight="1">
      <c r="A7358" s="1"/>
      <c r="B7358" s="1"/>
      <c r="C7358" s="1"/>
      <c r="D7358" s="1"/>
      <c r="E7358" s="1"/>
      <c r="F7358" s="1"/>
      <c r="G7358" s="1"/>
      <c r="H7358" s="1"/>
      <c r="I7358" s="1"/>
      <c r="J7358" s="1"/>
      <c r="K7358" s="102" t="s">
        <v>11432</v>
      </c>
      <c r="L7358" s="102" t="str">
        <f>E1080</f>
        <v>J2b1a~</v>
      </c>
      <c r="M7358" s="102"/>
      <c r="N7358" s="102"/>
      <c r="O7358" s="105">
        <v>2.4376724E7</v>
      </c>
      <c r="P7358" s="105">
        <v>2.2230577E7</v>
      </c>
      <c r="Q7358" s="102" t="s">
        <v>2501</v>
      </c>
      <c r="S7358" s="1"/>
      <c r="T7358" s="1"/>
      <c r="U7358" s="1"/>
      <c r="V7358" s="1"/>
      <c r="W7358" s="1"/>
      <c r="X7358" s="1"/>
      <c r="Y7358" s="1"/>
      <c r="AA7358" s="102"/>
      <c r="AB7358" s="1"/>
      <c r="AC7358" s="1"/>
      <c r="AD7358" s="1"/>
      <c r="AE7358" s="1"/>
      <c r="AF7358" s="1"/>
      <c r="AG7358" s="1"/>
    </row>
    <row r="7359" ht="15.75" customHeight="1">
      <c r="A7359" s="1"/>
      <c r="B7359" s="1"/>
      <c r="C7359" s="1"/>
      <c r="D7359" s="1"/>
      <c r="E7359" s="1"/>
      <c r="F7359" s="1"/>
      <c r="G7359" s="1"/>
      <c r="H7359" s="1"/>
      <c r="I7359" s="1"/>
      <c r="J7359" s="1"/>
      <c r="K7359" s="102" t="s">
        <v>11433</v>
      </c>
      <c r="L7359" s="102" t="str">
        <f>E1080</f>
        <v>J2b1a~</v>
      </c>
      <c r="M7359" s="102"/>
      <c r="N7359" s="102"/>
      <c r="O7359" s="105">
        <v>2.259956E7</v>
      </c>
      <c r="P7359" s="105">
        <v>2.0437674E7</v>
      </c>
      <c r="Q7359" s="102" t="s">
        <v>2501</v>
      </c>
      <c r="S7359" s="1"/>
      <c r="T7359" s="1"/>
      <c r="U7359" s="1"/>
      <c r="V7359" s="1"/>
      <c r="W7359" s="1"/>
      <c r="X7359" s="1"/>
      <c r="Y7359" s="1"/>
      <c r="AA7359" s="102"/>
      <c r="AB7359" s="1"/>
      <c r="AC7359" s="1"/>
      <c r="AD7359" s="1"/>
      <c r="AE7359" s="1"/>
      <c r="AF7359" s="1"/>
      <c r="AG7359" s="1"/>
    </row>
    <row r="7360" ht="15.75" customHeight="1">
      <c r="A7360" s="1"/>
      <c r="B7360" s="1"/>
      <c r="C7360" s="1"/>
      <c r="D7360" s="1"/>
      <c r="E7360" s="1"/>
      <c r="F7360" s="1"/>
      <c r="G7360" s="1"/>
      <c r="H7360" s="1"/>
      <c r="I7360" s="1"/>
      <c r="J7360" s="1"/>
      <c r="K7360" s="102" t="s">
        <v>11434</v>
      </c>
      <c r="L7360" s="102" t="str">
        <f>E1080</f>
        <v>J2b1a~</v>
      </c>
      <c r="M7360" s="102"/>
      <c r="N7360" s="102"/>
      <c r="O7360" s="105">
        <v>2.305999E7</v>
      </c>
      <c r="P7360" s="105">
        <v>2.0898104E7</v>
      </c>
      <c r="Q7360" s="102" t="s">
        <v>2576</v>
      </c>
      <c r="S7360" s="1"/>
      <c r="T7360" s="1"/>
      <c r="U7360" s="1"/>
      <c r="V7360" s="1"/>
      <c r="W7360" s="1"/>
      <c r="X7360" s="1"/>
      <c r="Y7360" s="1"/>
      <c r="AA7360" s="102"/>
      <c r="AB7360" s="1"/>
      <c r="AC7360" s="1"/>
      <c r="AD7360" s="1"/>
      <c r="AE7360" s="1"/>
      <c r="AF7360" s="1"/>
      <c r="AG7360" s="1"/>
    </row>
    <row r="7361" ht="15.75" customHeight="1">
      <c r="A7361" s="1"/>
      <c r="B7361" s="1"/>
      <c r="C7361" s="1"/>
      <c r="D7361" s="1"/>
      <c r="E7361" s="1"/>
      <c r="F7361" s="1"/>
      <c r="G7361" s="1"/>
      <c r="H7361" s="1"/>
      <c r="I7361" s="1"/>
      <c r="J7361" s="1"/>
      <c r="K7361" s="102" t="s">
        <v>11435</v>
      </c>
      <c r="L7361" s="102" t="str">
        <f>E1080</f>
        <v>J2b1a~</v>
      </c>
      <c r="M7361" s="102"/>
      <c r="N7361" s="102"/>
      <c r="O7361" s="105">
        <v>9886646.0</v>
      </c>
      <c r="P7361" s="105">
        <v>1.0049037E7</v>
      </c>
      <c r="Q7361" s="102" t="s">
        <v>2514</v>
      </c>
      <c r="S7361" s="1"/>
      <c r="T7361" s="1"/>
      <c r="U7361" s="1"/>
      <c r="V7361" s="1"/>
      <c r="W7361" s="1"/>
      <c r="X7361" s="1"/>
      <c r="Y7361" s="1"/>
      <c r="AA7361" s="102"/>
      <c r="AB7361" s="1"/>
      <c r="AC7361" s="1"/>
      <c r="AD7361" s="1"/>
      <c r="AE7361" s="1"/>
      <c r="AF7361" s="1"/>
      <c r="AG7361" s="1"/>
    </row>
    <row r="7362" ht="15.75" customHeight="1">
      <c r="A7362" s="1"/>
      <c r="B7362" s="1"/>
      <c r="C7362" s="1"/>
      <c r="D7362" s="1"/>
      <c r="E7362" s="1"/>
      <c r="F7362" s="1"/>
      <c r="G7362" s="1"/>
      <c r="H7362" s="1"/>
      <c r="I7362" s="1"/>
      <c r="J7362" s="1"/>
      <c r="K7362" s="102" t="s">
        <v>11436</v>
      </c>
      <c r="L7362" s="102" t="str">
        <f>E1080</f>
        <v>J2b1a~</v>
      </c>
      <c r="M7362" s="102"/>
      <c r="N7362" s="102"/>
      <c r="O7362" s="105">
        <v>8400371.0</v>
      </c>
      <c r="P7362" s="105">
        <v>8532330.0</v>
      </c>
      <c r="Q7362" s="102" t="s">
        <v>2439</v>
      </c>
      <c r="S7362" s="1"/>
      <c r="T7362" s="1"/>
      <c r="U7362" s="1"/>
      <c r="V7362" s="1"/>
      <c r="W7362" s="1"/>
      <c r="X7362" s="1"/>
      <c r="Y7362" s="1"/>
      <c r="AA7362" s="102"/>
      <c r="AB7362" s="1"/>
      <c r="AC7362" s="1"/>
      <c r="AD7362" s="1"/>
      <c r="AE7362" s="1"/>
      <c r="AF7362" s="1"/>
      <c r="AG7362" s="1"/>
    </row>
    <row r="7363" ht="15.75" customHeight="1">
      <c r="A7363" s="1"/>
      <c r="B7363" s="1"/>
      <c r="C7363" s="1"/>
      <c r="D7363" s="1"/>
      <c r="E7363" s="1"/>
      <c r="F7363" s="1"/>
      <c r="G7363" s="1"/>
      <c r="H7363" s="1"/>
      <c r="I7363" s="1"/>
      <c r="J7363" s="1"/>
      <c r="K7363" s="102" t="s">
        <v>11437</v>
      </c>
      <c r="L7363" s="102" t="str">
        <f>E1080</f>
        <v>J2b1a~</v>
      </c>
      <c r="M7363" s="102"/>
      <c r="N7363" s="102"/>
      <c r="O7363" s="105">
        <v>2.1611695E7</v>
      </c>
      <c r="P7363" s="105">
        <v>1.9449809E7</v>
      </c>
      <c r="Q7363" s="102" t="s">
        <v>2501</v>
      </c>
      <c r="S7363" s="1"/>
      <c r="T7363" s="1"/>
      <c r="U7363" s="1"/>
      <c r="V7363" s="1"/>
      <c r="W7363" s="1"/>
      <c r="X7363" s="1"/>
      <c r="Y7363" s="1"/>
      <c r="AA7363" s="102"/>
      <c r="AB7363" s="1"/>
      <c r="AC7363" s="1"/>
      <c r="AD7363" s="1"/>
      <c r="AE7363" s="1"/>
      <c r="AF7363" s="1"/>
      <c r="AG7363" s="1"/>
    </row>
    <row r="7364" ht="15.75" customHeight="1">
      <c r="A7364" s="1"/>
      <c r="B7364" s="1"/>
      <c r="C7364" s="1"/>
      <c r="D7364" s="1"/>
      <c r="E7364" s="1"/>
      <c r="F7364" s="1"/>
      <c r="G7364" s="1"/>
      <c r="H7364" s="1"/>
      <c r="I7364" s="1"/>
      <c r="J7364" s="1"/>
      <c r="K7364" s="102" t="s">
        <v>11438</v>
      </c>
      <c r="L7364" s="102" t="str">
        <f>F1081</f>
        <v>J2b1a1~</v>
      </c>
      <c r="M7364" s="102"/>
      <c r="N7364" s="102"/>
      <c r="O7364" s="105">
        <v>1.6945658E7</v>
      </c>
      <c r="P7364" s="105">
        <v>1.4833778E7</v>
      </c>
      <c r="Q7364" s="102" t="s">
        <v>2439</v>
      </c>
      <c r="S7364" s="1"/>
      <c r="T7364" s="1"/>
      <c r="U7364" s="1"/>
      <c r="V7364" s="1"/>
      <c r="W7364" s="1"/>
      <c r="X7364" s="1"/>
      <c r="Y7364" s="1"/>
      <c r="AA7364" s="102"/>
      <c r="AB7364" s="1"/>
      <c r="AC7364" s="1"/>
      <c r="AD7364" s="1"/>
      <c r="AE7364" s="1"/>
      <c r="AF7364" s="1"/>
      <c r="AG7364" s="1"/>
    </row>
    <row r="7365" ht="15.75" customHeight="1">
      <c r="A7365" s="1"/>
      <c r="B7365" s="1"/>
      <c r="C7365" s="1"/>
      <c r="D7365" s="1"/>
      <c r="E7365" s="1"/>
      <c r="F7365" s="1"/>
      <c r="G7365" s="1"/>
      <c r="H7365" s="1"/>
      <c r="I7365" s="1"/>
      <c r="J7365" s="1"/>
      <c r="K7365" s="102" t="s">
        <v>11439</v>
      </c>
      <c r="L7365" s="102" t="str">
        <f>F1081</f>
        <v>J2b1a1~</v>
      </c>
      <c r="M7365" s="102"/>
      <c r="N7365" s="102"/>
      <c r="O7365" s="105">
        <v>1.8873654E7</v>
      </c>
      <c r="P7365" s="105">
        <v>1.6761774E7</v>
      </c>
      <c r="Q7365" s="102" t="s">
        <v>2423</v>
      </c>
      <c r="S7365" s="1"/>
      <c r="T7365" s="1"/>
      <c r="U7365" s="1"/>
      <c r="V7365" s="1"/>
      <c r="W7365" s="1"/>
      <c r="X7365" s="1"/>
      <c r="Y7365" s="1"/>
      <c r="AA7365" s="102"/>
      <c r="AB7365" s="1"/>
      <c r="AC7365" s="1"/>
      <c r="AD7365" s="1"/>
      <c r="AE7365" s="1"/>
      <c r="AF7365" s="1"/>
      <c r="AG7365" s="1"/>
    </row>
    <row r="7366" ht="15.75" customHeight="1">
      <c r="A7366" s="1"/>
      <c r="B7366" s="1"/>
      <c r="C7366" s="1"/>
      <c r="D7366" s="1"/>
      <c r="E7366" s="1"/>
      <c r="F7366" s="1"/>
      <c r="G7366" s="1"/>
      <c r="H7366" s="1"/>
      <c r="I7366" s="1"/>
      <c r="J7366" s="1"/>
      <c r="K7366" s="102" t="s">
        <v>11440</v>
      </c>
      <c r="L7366" s="102" t="str">
        <f t="shared" ref="L7366:L7367" si="190">F1081</f>
        <v>J2b1a1~</v>
      </c>
      <c r="M7366" s="102"/>
      <c r="N7366" s="102"/>
      <c r="O7366" s="105">
        <v>2.2992087E7</v>
      </c>
      <c r="P7366" s="105">
        <v>2.0830201E7</v>
      </c>
      <c r="Q7366" s="102" t="s">
        <v>2439</v>
      </c>
      <c r="S7366" s="1"/>
      <c r="T7366" s="1"/>
      <c r="U7366" s="1"/>
      <c r="V7366" s="1"/>
      <c r="W7366" s="1"/>
      <c r="X7366" s="1"/>
      <c r="Y7366" s="1"/>
      <c r="AA7366" s="102"/>
      <c r="AB7366" s="1"/>
      <c r="AC7366" s="1"/>
      <c r="AD7366" s="1"/>
      <c r="AE7366" s="1"/>
      <c r="AF7366" s="1"/>
      <c r="AG7366" s="1"/>
    </row>
    <row r="7367" ht="15.75" customHeight="1">
      <c r="A7367" s="1"/>
      <c r="B7367" s="1"/>
      <c r="C7367" s="1"/>
      <c r="D7367" s="1"/>
      <c r="E7367" s="1"/>
      <c r="F7367" s="1"/>
      <c r="G7367" s="1"/>
      <c r="H7367" s="1"/>
      <c r="I7367" s="1"/>
      <c r="J7367" s="1"/>
      <c r="K7367" s="102" t="s">
        <v>11441</v>
      </c>
      <c r="L7367" s="102" t="str">
        <f t="shared" si="190"/>
        <v>J2b1a2~</v>
      </c>
      <c r="M7367" s="102"/>
      <c r="N7367" s="102" t="s">
        <v>11442</v>
      </c>
      <c r="O7367" s="105">
        <v>1.4284001E7</v>
      </c>
      <c r="P7367" s="105">
        <v>1.2163295E7</v>
      </c>
      <c r="Q7367" s="102" t="s">
        <v>2563</v>
      </c>
      <c r="S7367" s="1"/>
      <c r="T7367" s="1"/>
      <c r="U7367" s="1"/>
      <c r="V7367" s="1"/>
      <c r="W7367" s="1"/>
      <c r="X7367" s="1"/>
      <c r="Y7367" s="1"/>
      <c r="AA7367" s="102"/>
      <c r="AB7367" s="1"/>
      <c r="AC7367" s="1"/>
      <c r="AD7367" s="1"/>
      <c r="AE7367" s="1"/>
      <c r="AF7367" s="1"/>
      <c r="AG7367" s="1"/>
    </row>
    <row r="7368" ht="15.75" customHeight="1">
      <c r="A7368" s="1"/>
      <c r="B7368" s="1"/>
      <c r="C7368" s="1"/>
      <c r="D7368" s="1"/>
      <c r="E7368" s="1"/>
      <c r="F7368" s="1"/>
      <c r="G7368" s="1"/>
      <c r="H7368" s="1"/>
      <c r="I7368" s="1"/>
      <c r="J7368" s="1"/>
      <c r="K7368" s="102" t="s">
        <v>11443</v>
      </c>
      <c r="L7368" s="102" t="str">
        <f>F1082</f>
        <v>J2b1a2~</v>
      </c>
      <c r="M7368" s="102"/>
      <c r="N7368" s="102" t="s">
        <v>11444</v>
      </c>
      <c r="O7368" s="105">
        <v>1.6775884E7</v>
      </c>
      <c r="P7368" s="105">
        <v>1.4664004E7</v>
      </c>
      <c r="Q7368" s="102" t="s">
        <v>2468</v>
      </c>
      <c r="S7368" s="1"/>
      <c r="T7368" s="1"/>
      <c r="U7368" s="1"/>
      <c r="V7368" s="1"/>
      <c r="W7368" s="1"/>
      <c r="X7368" s="1"/>
      <c r="Y7368" s="1"/>
      <c r="AA7368" s="102"/>
      <c r="AB7368" s="1"/>
      <c r="AC7368" s="1"/>
      <c r="AD7368" s="1"/>
      <c r="AE7368" s="1"/>
      <c r="AF7368" s="1"/>
      <c r="AG7368" s="1"/>
    </row>
    <row r="7369" ht="15.75" customHeight="1">
      <c r="A7369" s="1"/>
      <c r="B7369" s="1"/>
      <c r="C7369" s="1"/>
      <c r="D7369" s="1"/>
      <c r="E7369" s="1"/>
      <c r="F7369" s="1"/>
      <c r="G7369" s="1"/>
      <c r="H7369" s="1"/>
      <c r="I7369" s="1"/>
      <c r="J7369" s="1"/>
      <c r="K7369" s="102" t="s">
        <v>11445</v>
      </c>
      <c r="L7369" s="102" t="str">
        <f>F1082</f>
        <v>J2b1a2~</v>
      </c>
      <c r="M7369" s="102"/>
      <c r="N7369" s="102" t="s">
        <v>11446</v>
      </c>
      <c r="O7369" s="105">
        <v>1.6988225E7</v>
      </c>
      <c r="P7369" s="105">
        <v>1.4876345E7</v>
      </c>
      <c r="Q7369" s="102" t="s">
        <v>2563</v>
      </c>
      <c r="S7369" s="1"/>
      <c r="T7369" s="1"/>
      <c r="U7369" s="1"/>
      <c r="V7369" s="1"/>
      <c r="W7369" s="1"/>
      <c r="X7369" s="1"/>
      <c r="Y7369" s="1"/>
      <c r="AA7369" s="102"/>
      <c r="AB7369" s="1"/>
      <c r="AC7369" s="1"/>
      <c r="AD7369" s="1"/>
      <c r="AE7369" s="1"/>
      <c r="AF7369" s="1"/>
      <c r="AG7369" s="1"/>
    </row>
    <row r="7370" ht="15.75" customHeight="1">
      <c r="A7370" s="1"/>
      <c r="B7370" s="1"/>
      <c r="C7370" s="1"/>
      <c r="D7370" s="1"/>
      <c r="E7370" s="1"/>
      <c r="F7370" s="1"/>
      <c r="G7370" s="1"/>
      <c r="H7370" s="1"/>
      <c r="I7370" s="1"/>
      <c r="J7370" s="1"/>
      <c r="K7370" s="102" t="s">
        <v>2131</v>
      </c>
      <c r="L7370" s="102" t="str">
        <f>E1083</f>
        <v>J2b1b~</v>
      </c>
      <c r="M7370" s="102"/>
      <c r="N7370" s="102" t="s">
        <v>11447</v>
      </c>
      <c r="O7370" s="105">
        <v>1.4136163E7</v>
      </c>
      <c r="P7370" s="105">
        <v>1.2015457E7</v>
      </c>
      <c r="Q7370" s="102" t="s">
        <v>2446</v>
      </c>
      <c r="S7370" s="1"/>
      <c r="T7370" s="1"/>
      <c r="U7370" s="1"/>
      <c r="V7370" s="1"/>
      <c r="W7370" s="1"/>
      <c r="X7370" s="1"/>
      <c r="Y7370" s="1"/>
      <c r="AA7370" s="102"/>
      <c r="AB7370" s="1"/>
      <c r="AC7370" s="1"/>
      <c r="AD7370" s="1"/>
      <c r="AE7370" s="1"/>
      <c r="AF7370" s="1"/>
      <c r="AG7370" s="1"/>
    </row>
    <row r="7371" ht="15.75" customHeight="1">
      <c r="A7371" s="1"/>
      <c r="B7371" s="1"/>
      <c r="C7371" s="1"/>
      <c r="D7371" s="1"/>
      <c r="E7371" s="1"/>
      <c r="F7371" s="1"/>
      <c r="G7371" s="1"/>
      <c r="H7371" s="1"/>
      <c r="I7371" s="1"/>
      <c r="J7371" s="1"/>
      <c r="K7371" s="102" t="s">
        <v>11448</v>
      </c>
      <c r="L7371" s="102" t="str">
        <f>F1084</f>
        <v>J2b1b1~</v>
      </c>
      <c r="M7371" s="102"/>
      <c r="N7371" s="102" t="s">
        <v>11449</v>
      </c>
      <c r="O7371" s="105">
        <v>1.6214089E7</v>
      </c>
      <c r="P7371" s="105">
        <v>1.4102209E7</v>
      </c>
      <c r="Q7371" s="102" t="s">
        <v>2439</v>
      </c>
      <c r="S7371" s="1"/>
      <c r="T7371" s="1"/>
      <c r="U7371" s="1"/>
      <c r="V7371" s="1"/>
      <c r="W7371" s="1"/>
      <c r="X7371" s="1"/>
      <c r="Y7371" s="1"/>
      <c r="AA7371" s="102"/>
      <c r="AB7371" s="1"/>
      <c r="AC7371" s="1"/>
      <c r="AD7371" s="1"/>
      <c r="AE7371" s="1"/>
      <c r="AF7371" s="1"/>
      <c r="AG7371" s="1"/>
    </row>
    <row r="7372" ht="15.75" customHeight="1">
      <c r="A7372" s="1"/>
      <c r="B7372" s="1"/>
      <c r="C7372" s="1"/>
      <c r="D7372" s="1"/>
      <c r="E7372" s="1"/>
      <c r="F7372" s="1"/>
      <c r="G7372" s="1"/>
      <c r="H7372" s="1"/>
      <c r="I7372" s="1"/>
      <c r="J7372" s="1"/>
      <c r="K7372" s="102" t="s">
        <v>11450</v>
      </c>
      <c r="L7372" s="102" t="str">
        <f>F1084</f>
        <v>J2b1b1~</v>
      </c>
      <c r="M7372" s="102"/>
      <c r="N7372" s="102" t="s">
        <v>11451</v>
      </c>
      <c r="O7372" s="105">
        <v>1.7126239E7</v>
      </c>
      <c r="P7372" s="105">
        <v>1.5014359E7</v>
      </c>
      <c r="Q7372" s="102" t="s">
        <v>2446</v>
      </c>
      <c r="S7372" s="1"/>
      <c r="T7372" s="1"/>
      <c r="U7372" s="1"/>
      <c r="V7372" s="1"/>
      <c r="W7372" s="1"/>
      <c r="X7372" s="1"/>
      <c r="Y7372" s="1"/>
      <c r="AA7372" s="102"/>
      <c r="AB7372" s="1"/>
      <c r="AC7372" s="1"/>
      <c r="AD7372" s="1"/>
      <c r="AE7372" s="1"/>
      <c r="AF7372" s="1"/>
      <c r="AG7372" s="1"/>
    </row>
    <row r="7373" ht="15.75" customHeight="1">
      <c r="A7373" s="1"/>
      <c r="B7373" s="1"/>
      <c r="C7373" s="1"/>
      <c r="D7373" s="1"/>
      <c r="E7373" s="1"/>
      <c r="F7373" s="1"/>
      <c r="G7373" s="1"/>
      <c r="H7373" s="1"/>
      <c r="I7373" s="1"/>
      <c r="J7373" s="1"/>
      <c r="K7373" s="102" t="s">
        <v>11452</v>
      </c>
      <c r="L7373" s="102" t="str">
        <f>F1084</f>
        <v>J2b1b1~</v>
      </c>
      <c r="M7373" s="102"/>
      <c r="N7373" s="102" t="s">
        <v>11453</v>
      </c>
      <c r="O7373" s="105">
        <v>1.9311571E7</v>
      </c>
      <c r="P7373" s="105">
        <v>1.7199691E7</v>
      </c>
      <c r="Q7373" s="102" t="s">
        <v>2529</v>
      </c>
      <c r="S7373" s="1"/>
      <c r="T7373" s="1"/>
      <c r="U7373" s="1"/>
      <c r="V7373" s="1"/>
      <c r="W7373" s="1"/>
      <c r="X7373" s="1"/>
      <c r="Y7373" s="1"/>
      <c r="AA7373" s="102"/>
      <c r="AB7373" s="1"/>
      <c r="AC7373" s="1"/>
      <c r="AD7373" s="1"/>
      <c r="AE7373" s="1"/>
      <c r="AF7373" s="1"/>
      <c r="AG7373" s="1"/>
    </row>
    <row r="7374" ht="15.75" customHeight="1">
      <c r="A7374" s="1"/>
      <c r="B7374" s="1"/>
      <c r="C7374" s="1"/>
      <c r="D7374" s="1"/>
      <c r="E7374" s="1"/>
      <c r="F7374" s="1"/>
      <c r="G7374" s="1"/>
      <c r="H7374" s="1"/>
      <c r="I7374" s="1"/>
      <c r="J7374" s="1"/>
      <c r="K7374" s="102" t="s">
        <v>11454</v>
      </c>
      <c r="L7374" s="102" t="str">
        <f>F1084</f>
        <v>J2b1b1~</v>
      </c>
      <c r="M7374" s="102"/>
      <c r="N7374" s="102" t="s">
        <v>11455</v>
      </c>
      <c r="O7374" s="105">
        <v>2.2875636E7</v>
      </c>
      <c r="P7374" s="105">
        <v>2.071375E7</v>
      </c>
      <c r="Q7374" s="102" t="s">
        <v>2439</v>
      </c>
      <c r="S7374" s="1"/>
      <c r="T7374" s="1"/>
      <c r="U7374" s="1"/>
      <c r="V7374" s="1"/>
      <c r="W7374" s="1"/>
      <c r="X7374" s="1"/>
      <c r="Y7374" s="1"/>
      <c r="AA7374" s="102"/>
      <c r="AB7374" s="1"/>
      <c r="AC7374" s="1"/>
      <c r="AD7374" s="1"/>
      <c r="AE7374" s="1"/>
      <c r="AF7374" s="1"/>
      <c r="AG7374" s="1"/>
    </row>
    <row r="7375" ht="15.75" customHeight="1">
      <c r="A7375" s="1"/>
      <c r="B7375" s="1"/>
      <c r="C7375" s="1"/>
      <c r="D7375" s="1"/>
      <c r="E7375" s="1"/>
      <c r="F7375" s="1"/>
      <c r="G7375" s="1"/>
      <c r="H7375" s="1"/>
      <c r="I7375" s="1"/>
      <c r="J7375" s="1"/>
      <c r="K7375" s="102" t="s">
        <v>11456</v>
      </c>
      <c r="L7375" s="102" t="str">
        <f>F1084</f>
        <v>J2b1b1~</v>
      </c>
      <c r="M7375" s="102"/>
      <c r="N7375" s="102" t="s">
        <v>11457</v>
      </c>
      <c r="O7375" s="105">
        <v>1.6341539E7</v>
      </c>
      <c r="P7375" s="105">
        <v>1.4229659E7</v>
      </c>
      <c r="Q7375" s="102" t="s">
        <v>2468</v>
      </c>
      <c r="S7375" s="1"/>
      <c r="T7375" s="1"/>
      <c r="U7375" s="1"/>
      <c r="V7375" s="1"/>
      <c r="W7375" s="1"/>
      <c r="X7375" s="1"/>
      <c r="Y7375" s="1"/>
      <c r="AA7375" s="102"/>
      <c r="AB7375" s="1"/>
      <c r="AC7375" s="1"/>
      <c r="AD7375" s="1"/>
      <c r="AE7375" s="1"/>
      <c r="AF7375" s="1"/>
      <c r="AG7375" s="1"/>
    </row>
    <row r="7376" ht="15.75" customHeight="1">
      <c r="A7376" s="1"/>
      <c r="B7376" s="1"/>
      <c r="C7376" s="1"/>
      <c r="D7376" s="1"/>
      <c r="E7376" s="1"/>
      <c r="F7376" s="1"/>
      <c r="G7376" s="1"/>
      <c r="H7376" s="1"/>
      <c r="I7376" s="1"/>
      <c r="J7376" s="1"/>
      <c r="K7376" s="102" t="s">
        <v>11458</v>
      </c>
      <c r="L7376" s="102" t="str">
        <f>F1084</f>
        <v>J2b1b1~</v>
      </c>
      <c r="M7376" s="102"/>
      <c r="N7376" s="102" t="s">
        <v>11459</v>
      </c>
      <c r="O7376" s="105">
        <v>8540917.0</v>
      </c>
      <c r="P7376" s="105">
        <v>8672876.0</v>
      </c>
      <c r="Q7376" s="102" t="s">
        <v>2529</v>
      </c>
      <c r="S7376" s="1"/>
      <c r="T7376" s="1"/>
      <c r="U7376" s="1"/>
      <c r="V7376" s="1"/>
      <c r="W7376" s="1"/>
      <c r="X7376" s="1"/>
      <c r="Y7376" s="1"/>
      <c r="AA7376" s="102"/>
      <c r="AB7376" s="1"/>
      <c r="AC7376" s="1"/>
      <c r="AD7376" s="1"/>
      <c r="AE7376" s="1"/>
      <c r="AF7376" s="1"/>
      <c r="AG7376" s="1"/>
    </row>
    <row r="7377" ht="15.75" customHeight="1">
      <c r="A7377" s="1"/>
      <c r="B7377" s="1"/>
      <c r="C7377" s="1"/>
      <c r="D7377" s="1"/>
      <c r="E7377" s="1"/>
      <c r="F7377" s="1"/>
      <c r="G7377" s="1"/>
      <c r="H7377" s="1"/>
      <c r="I7377" s="1"/>
      <c r="J7377" s="1"/>
      <c r="K7377" s="102" t="s">
        <v>11460</v>
      </c>
      <c r="L7377" s="102" t="str">
        <f>F1084</f>
        <v>J2b1b1~</v>
      </c>
      <c r="M7377" s="102"/>
      <c r="N7377" s="102"/>
      <c r="O7377" s="105">
        <v>1.4593938E7</v>
      </c>
      <c r="P7377" s="105">
        <v>1.2482138E7</v>
      </c>
      <c r="Q7377" s="102" t="s">
        <v>2529</v>
      </c>
      <c r="S7377" s="1"/>
      <c r="T7377" s="1"/>
      <c r="U7377" s="1"/>
      <c r="V7377" s="1"/>
      <c r="W7377" s="1"/>
      <c r="X7377" s="1"/>
      <c r="Y7377" s="1"/>
      <c r="AA7377" s="102"/>
      <c r="AB7377" s="1"/>
      <c r="AC7377" s="1"/>
      <c r="AD7377" s="1"/>
      <c r="AE7377" s="1"/>
      <c r="AF7377" s="1"/>
      <c r="AG7377" s="1"/>
    </row>
    <row r="7378" ht="15.75" customHeight="1">
      <c r="A7378" s="1"/>
      <c r="B7378" s="1"/>
      <c r="C7378" s="1"/>
      <c r="D7378" s="1"/>
      <c r="E7378" s="1"/>
      <c r="F7378" s="1"/>
      <c r="G7378" s="1"/>
      <c r="H7378" s="1"/>
      <c r="I7378" s="1"/>
      <c r="J7378" s="1"/>
      <c r="K7378" s="102" t="s">
        <v>11461</v>
      </c>
      <c r="L7378" s="102" t="str">
        <f>F1084</f>
        <v>J2b1b1~</v>
      </c>
      <c r="M7378" s="102"/>
      <c r="N7378" s="102"/>
      <c r="O7378" s="105">
        <v>2.0835535E7</v>
      </c>
      <c r="P7378" s="105">
        <v>1.8673649E7</v>
      </c>
      <c r="Q7378" s="102" t="s">
        <v>2576</v>
      </c>
      <c r="S7378" s="1"/>
      <c r="T7378" s="1"/>
      <c r="U7378" s="1"/>
      <c r="V7378" s="1"/>
      <c r="W7378" s="1"/>
      <c r="X7378" s="1"/>
      <c r="Y7378" s="1"/>
      <c r="AA7378" s="102"/>
      <c r="AB7378" s="1"/>
      <c r="AC7378" s="1"/>
      <c r="AD7378" s="1"/>
      <c r="AE7378" s="1"/>
      <c r="AF7378" s="1"/>
      <c r="AG7378" s="1"/>
    </row>
    <row r="7379" ht="15.75" customHeight="1">
      <c r="A7379" s="1"/>
      <c r="B7379" s="1"/>
      <c r="C7379" s="1"/>
      <c r="D7379" s="1"/>
      <c r="E7379" s="1"/>
      <c r="F7379" s="1"/>
      <c r="G7379" s="1"/>
      <c r="H7379" s="1"/>
      <c r="I7379" s="1"/>
      <c r="J7379" s="1"/>
      <c r="K7379" s="102" t="s">
        <v>11462</v>
      </c>
      <c r="L7379" s="102" t="str">
        <f>F1084</f>
        <v>J2b1b1~</v>
      </c>
      <c r="M7379" s="102"/>
      <c r="N7379" s="102" t="s">
        <v>11463</v>
      </c>
      <c r="O7379" s="105">
        <v>2.2081463E7</v>
      </c>
      <c r="P7379" s="105">
        <v>1.9919577E7</v>
      </c>
      <c r="Q7379" s="102" t="s">
        <v>2439</v>
      </c>
      <c r="S7379" s="1"/>
      <c r="T7379" s="1"/>
      <c r="U7379" s="1"/>
      <c r="V7379" s="1"/>
      <c r="W7379" s="1"/>
      <c r="X7379" s="1"/>
      <c r="Y7379" s="1"/>
      <c r="AA7379" s="102"/>
      <c r="AB7379" s="1"/>
      <c r="AC7379" s="1"/>
      <c r="AD7379" s="1"/>
      <c r="AE7379" s="1"/>
      <c r="AF7379" s="1"/>
      <c r="AG7379" s="1"/>
    </row>
    <row r="7380" ht="15.75" customHeight="1">
      <c r="A7380" s="1"/>
      <c r="B7380" s="1"/>
      <c r="C7380" s="1"/>
      <c r="D7380" s="1"/>
      <c r="E7380" s="1"/>
      <c r="F7380" s="1"/>
      <c r="G7380" s="1"/>
      <c r="H7380" s="1"/>
      <c r="I7380" s="1"/>
      <c r="J7380" s="1"/>
      <c r="K7380" s="102" t="s">
        <v>11464</v>
      </c>
      <c r="L7380" s="102" t="str">
        <f>F1084</f>
        <v>J2b1b1~</v>
      </c>
      <c r="M7380" s="102"/>
      <c r="N7380" s="102" t="s">
        <v>11465</v>
      </c>
      <c r="O7380" s="105">
        <v>1.7241976E7</v>
      </c>
      <c r="P7380" s="105">
        <v>1.5130096E7</v>
      </c>
      <c r="Q7380" s="102" t="s">
        <v>2439</v>
      </c>
      <c r="S7380" s="1"/>
      <c r="T7380" s="1"/>
      <c r="U7380" s="1"/>
      <c r="V7380" s="1"/>
      <c r="W7380" s="1"/>
      <c r="X7380" s="1"/>
      <c r="Y7380" s="1"/>
      <c r="AA7380" s="102"/>
      <c r="AB7380" s="1"/>
      <c r="AC7380" s="1"/>
      <c r="AD7380" s="1"/>
      <c r="AE7380" s="1"/>
      <c r="AF7380" s="1"/>
      <c r="AG7380" s="1"/>
    </row>
    <row r="7381" ht="15.75" customHeight="1">
      <c r="A7381" s="1"/>
      <c r="B7381" s="1"/>
      <c r="C7381" s="1"/>
      <c r="D7381" s="1"/>
      <c r="E7381" s="1"/>
      <c r="F7381" s="1"/>
      <c r="G7381" s="1"/>
      <c r="H7381" s="1"/>
      <c r="I7381" s="1"/>
      <c r="J7381" s="1"/>
      <c r="K7381" s="102" t="s">
        <v>11466</v>
      </c>
      <c r="L7381" s="102" t="str">
        <f>F1084</f>
        <v>J2b1b1~</v>
      </c>
      <c r="M7381" s="102"/>
      <c r="N7381" s="102" t="s">
        <v>11467</v>
      </c>
      <c r="O7381" s="105">
        <v>7395505.0</v>
      </c>
      <c r="P7381" s="105">
        <v>7527464.0</v>
      </c>
      <c r="Q7381" s="102" t="s">
        <v>2439</v>
      </c>
      <c r="S7381" s="1"/>
      <c r="T7381" s="1"/>
      <c r="U7381" s="1"/>
      <c r="V7381" s="1"/>
      <c r="W7381" s="1"/>
      <c r="X7381" s="1"/>
      <c r="Y7381" s="1"/>
      <c r="AA7381" s="102"/>
      <c r="AB7381" s="1"/>
      <c r="AC7381" s="1"/>
      <c r="AD7381" s="1"/>
      <c r="AE7381" s="1"/>
      <c r="AF7381" s="1"/>
      <c r="AG7381" s="1"/>
    </row>
    <row r="7382" ht="15.75" customHeight="1">
      <c r="A7382" s="1"/>
      <c r="B7382" s="1"/>
      <c r="C7382" s="1"/>
      <c r="D7382" s="1"/>
      <c r="E7382" s="1"/>
      <c r="F7382" s="1"/>
      <c r="G7382" s="1"/>
      <c r="H7382" s="1"/>
      <c r="I7382" s="1"/>
      <c r="J7382" s="1"/>
      <c r="K7382" s="102" t="s">
        <v>11468</v>
      </c>
      <c r="L7382" s="102" t="str">
        <f>F1084</f>
        <v>J2b1b1~</v>
      </c>
      <c r="M7382" s="102"/>
      <c r="N7382" s="102" t="s">
        <v>11469</v>
      </c>
      <c r="O7382" s="105">
        <v>7542914.0</v>
      </c>
      <c r="P7382" s="105">
        <v>7674873.0</v>
      </c>
      <c r="Q7382" s="102" t="s">
        <v>2468</v>
      </c>
      <c r="S7382" s="1"/>
      <c r="T7382" s="1"/>
      <c r="U7382" s="1"/>
      <c r="V7382" s="1"/>
      <c r="W7382" s="1"/>
      <c r="X7382" s="1"/>
      <c r="Y7382" s="1"/>
      <c r="AA7382" s="102"/>
      <c r="AB7382" s="1"/>
      <c r="AC7382" s="1"/>
      <c r="AD7382" s="1"/>
      <c r="AE7382" s="1"/>
      <c r="AF7382" s="1"/>
      <c r="AG7382" s="1"/>
    </row>
    <row r="7383" ht="15.75" customHeight="1">
      <c r="A7383" s="1"/>
      <c r="B7383" s="1"/>
      <c r="C7383" s="1"/>
      <c r="D7383" s="1"/>
      <c r="E7383" s="1"/>
      <c r="F7383" s="1"/>
      <c r="G7383" s="1"/>
      <c r="H7383" s="1"/>
      <c r="I7383" s="1"/>
      <c r="J7383" s="1"/>
      <c r="K7383" s="102" t="s">
        <v>11470</v>
      </c>
      <c r="L7383" s="102" t="str">
        <f>F1084</f>
        <v>J2b1b1~</v>
      </c>
      <c r="M7383" s="102"/>
      <c r="N7383" s="102"/>
      <c r="O7383" s="105">
        <v>8099608.0</v>
      </c>
      <c r="P7383" s="105">
        <v>8231567.0</v>
      </c>
      <c r="Q7383" s="102" t="s">
        <v>2432</v>
      </c>
      <c r="S7383" s="1"/>
      <c r="T7383" s="1"/>
      <c r="U7383" s="1"/>
      <c r="V7383" s="1"/>
      <c r="W7383" s="1"/>
      <c r="X7383" s="1"/>
      <c r="Y7383" s="1"/>
      <c r="AA7383" s="102"/>
      <c r="AB7383" s="1"/>
      <c r="AC7383" s="1"/>
      <c r="AD7383" s="1"/>
      <c r="AE7383" s="1"/>
      <c r="AF7383" s="1"/>
      <c r="AG7383" s="1"/>
    </row>
    <row r="7384" ht="15.75" customHeight="1">
      <c r="A7384" s="1"/>
      <c r="B7384" s="1"/>
      <c r="C7384" s="1"/>
      <c r="D7384" s="1"/>
      <c r="E7384" s="1"/>
      <c r="F7384" s="1"/>
      <c r="G7384" s="1"/>
      <c r="H7384" s="1"/>
      <c r="I7384" s="1"/>
      <c r="J7384" s="1"/>
      <c r="K7384" s="102" t="s">
        <v>11471</v>
      </c>
      <c r="L7384" s="102" t="str">
        <f>F1084</f>
        <v>J2b1b1~</v>
      </c>
      <c r="M7384" s="102"/>
      <c r="N7384" s="102" t="s">
        <v>11472</v>
      </c>
      <c r="O7384" s="105">
        <v>8352913.0</v>
      </c>
      <c r="P7384" s="105">
        <v>8484872.0</v>
      </c>
      <c r="Q7384" s="102" t="s">
        <v>2501</v>
      </c>
      <c r="S7384" s="1"/>
      <c r="T7384" s="1"/>
      <c r="U7384" s="1"/>
      <c r="V7384" s="1"/>
      <c r="W7384" s="1"/>
      <c r="X7384" s="1"/>
      <c r="Y7384" s="1"/>
      <c r="AA7384" s="102"/>
      <c r="AB7384" s="1"/>
      <c r="AC7384" s="1"/>
      <c r="AD7384" s="1"/>
      <c r="AE7384" s="1"/>
      <c r="AF7384" s="1"/>
      <c r="AG7384" s="1"/>
    </row>
    <row r="7385" ht="15.75" customHeight="1">
      <c r="A7385" s="1"/>
      <c r="B7385" s="1"/>
      <c r="C7385" s="1"/>
      <c r="D7385" s="1"/>
      <c r="E7385" s="1"/>
      <c r="F7385" s="1"/>
      <c r="G7385" s="1"/>
      <c r="H7385" s="1"/>
      <c r="I7385" s="1"/>
      <c r="J7385" s="1"/>
      <c r="K7385" s="102" t="s">
        <v>11473</v>
      </c>
      <c r="L7385" s="102" t="str">
        <f t="shared" ref="L7385:L7386" si="191">F1084</f>
        <v>J2b1b1~</v>
      </c>
      <c r="M7385" s="102"/>
      <c r="N7385" s="102" t="s">
        <v>11474</v>
      </c>
      <c r="O7385" s="105">
        <v>8589228.0</v>
      </c>
      <c r="P7385" s="105">
        <v>8721187.0</v>
      </c>
      <c r="Q7385" s="102" t="s">
        <v>2501</v>
      </c>
      <c r="S7385" s="1"/>
      <c r="T7385" s="1"/>
      <c r="U7385" s="1"/>
      <c r="V7385" s="1"/>
      <c r="W7385" s="1"/>
      <c r="X7385" s="1"/>
      <c r="Y7385" s="1"/>
      <c r="AA7385" s="102"/>
      <c r="AB7385" s="1"/>
      <c r="AC7385" s="1"/>
      <c r="AD7385" s="1"/>
      <c r="AE7385" s="1"/>
      <c r="AF7385" s="1"/>
      <c r="AG7385" s="1"/>
    </row>
    <row r="7386" ht="15.75" customHeight="1">
      <c r="A7386" s="1"/>
      <c r="B7386" s="1"/>
      <c r="C7386" s="1"/>
      <c r="D7386" s="1"/>
      <c r="E7386" s="1"/>
      <c r="F7386" s="1"/>
      <c r="G7386" s="1"/>
      <c r="H7386" s="1"/>
      <c r="I7386" s="1"/>
      <c r="J7386" s="1"/>
      <c r="K7386" s="102" t="s">
        <v>11475</v>
      </c>
      <c r="L7386" s="102" t="str">
        <f t="shared" si="191"/>
        <v>J2b1b2~</v>
      </c>
      <c r="M7386" s="102"/>
      <c r="N7386" s="102" t="s">
        <v>11476</v>
      </c>
      <c r="O7386" s="105">
        <v>7073204.0</v>
      </c>
      <c r="P7386" s="105">
        <v>7205163.0</v>
      </c>
      <c r="Q7386" s="102" t="s">
        <v>2468</v>
      </c>
      <c r="S7386" s="1"/>
      <c r="T7386" s="1"/>
      <c r="U7386" s="1"/>
      <c r="V7386" s="1"/>
      <c r="W7386" s="1"/>
      <c r="X7386" s="1"/>
      <c r="Y7386" s="1"/>
      <c r="AA7386" s="102"/>
      <c r="AB7386" s="1"/>
      <c r="AC7386" s="1"/>
      <c r="AD7386" s="1"/>
      <c r="AE7386" s="1"/>
      <c r="AF7386" s="1"/>
      <c r="AG7386" s="1"/>
    </row>
    <row r="7387" ht="15.75" customHeight="1">
      <c r="A7387" s="1"/>
      <c r="B7387" s="1"/>
      <c r="C7387" s="1"/>
      <c r="D7387" s="1"/>
      <c r="E7387" s="1"/>
      <c r="F7387" s="1"/>
      <c r="G7387" s="1"/>
      <c r="H7387" s="1"/>
      <c r="I7387" s="1"/>
      <c r="J7387" s="1"/>
      <c r="K7387" s="102" t="s">
        <v>11477</v>
      </c>
      <c r="L7387" s="102" t="str">
        <f>F1085</f>
        <v>J2b1b2~</v>
      </c>
      <c r="M7387" s="102"/>
      <c r="N7387" s="102" t="s">
        <v>11478</v>
      </c>
      <c r="O7387" s="105">
        <v>1.4695249E7</v>
      </c>
      <c r="P7387" s="105">
        <v>1.2583315E7</v>
      </c>
      <c r="Q7387" s="102" t="s">
        <v>2501</v>
      </c>
      <c r="S7387" s="1"/>
      <c r="T7387" s="1"/>
      <c r="U7387" s="1"/>
      <c r="V7387" s="1"/>
      <c r="W7387" s="1"/>
      <c r="X7387" s="1"/>
      <c r="Y7387" s="1"/>
      <c r="AA7387" s="102"/>
      <c r="AB7387" s="1"/>
      <c r="AC7387" s="1"/>
      <c r="AD7387" s="1"/>
      <c r="AE7387" s="1"/>
      <c r="AF7387" s="1"/>
      <c r="AG7387" s="1"/>
    </row>
    <row r="7388" ht="15.75" customHeight="1">
      <c r="A7388" s="1"/>
      <c r="B7388" s="1"/>
      <c r="C7388" s="1"/>
      <c r="D7388" s="1"/>
      <c r="E7388" s="1"/>
      <c r="F7388" s="1"/>
      <c r="G7388" s="1"/>
      <c r="H7388" s="1"/>
      <c r="I7388" s="1"/>
      <c r="J7388" s="1"/>
      <c r="K7388" s="102" t="s">
        <v>11479</v>
      </c>
      <c r="L7388" s="102" t="str">
        <f>F1085</f>
        <v>J2b1b2~</v>
      </c>
      <c r="M7388" s="102"/>
      <c r="N7388" s="102"/>
      <c r="O7388" s="105">
        <v>1.5300714E7</v>
      </c>
      <c r="P7388" s="105">
        <v>1.3188813E7</v>
      </c>
      <c r="Q7388" s="102" t="s">
        <v>2501</v>
      </c>
      <c r="S7388" s="1"/>
      <c r="T7388" s="1"/>
      <c r="U7388" s="1"/>
      <c r="V7388" s="1"/>
      <c r="W7388" s="1"/>
      <c r="X7388" s="1"/>
      <c r="Y7388" s="1"/>
      <c r="AA7388" s="102"/>
      <c r="AB7388" s="1"/>
      <c r="AC7388" s="1"/>
      <c r="AD7388" s="1"/>
      <c r="AE7388" s="1"/>
      <c r="AF7388" s="1"/>
      <c r="AG7388" s="1"/>
    </row>
    <row r="7389" ht="15.75" customHeight="1">
      <c r="A7389" s="1"/>
      <c r="B7389" s="1"/>
      <c r="C7389" s="1"/>
      <c r="D7389" s="1"/>
      <c r="E7389" s="1"/>
      <c r="F7389" s="1"/>
      <c r="G7389" s="1"/>
      <c r="H7389" s="1"/>
      <c r="I7389" s="1"/>
      <c r="J7389" s="1"/>
      <c r="K7389" s="102" t="s">
        <v>11480</v>
      </c>
      <c r="L7389" s="102" t="str">
        <f>F1085</f>
        <v>J2b1b2~</v>
      </c>
      <c r="M7389" s="102"/>
      <c r="N7389" s="102" t="s">
        <v>11481</v>
      </c>
      <c r="O7389" s="105">
        <v>1.8055484E7</v>
      </c>
      <c r="P7389" s="105">
        <v>1.5943604E7</v>
      </c>
      <c r="Q7389" s="102" t="s">
        <v>2563</v>
      </c>
      <c r="S7389" s="1"/>
      <c r="T7389" s="1"/>
      <c r="U7389" s="1"/>
      <c r="V7389" s="1"/>
      <c r="W7389" s="1"/>
      <c r="X7389" s="1"/>
      <c r="Y7389" s="1"/>
      <c r="AA7389" s="102"/>
      <c r="AB7389" s="1"/>
      <c r="AC7389" s="1"/>
      <c r="AD7389" s="1"/>
      <c r="AE7389" s="1"/>
      <c r="AF7389" s="1"/>
      <c r="AG7389" s="1"/>
    </row>
    <row r="7390" ht="15.75" customHeight="1">
      <c r="A7390" s="1"/>
      <c r="B7390" s="1"/>
      <c r="C7390" s="1"/>
      <c r="D7390" s="1"/>
      <c r="E7390" s="1"/>
      <c r="F7390" s="1"/>
      <c r="G7390" s="1"/>
      <c r="H7390" s="1"/>
      <c r="I7390" s="1"/>
      <c r="J7390" s="1"/>
      <c r="K7390" s="102" t="s">
        <v>11482</v>
      </c>
      <c r="L7390" s="102" t="str">
        <f>F1085</f>
        <v>J2b1b2~</v>
      </c>
      <c r="M7390" s="102"/>
      <c r="N7390" s="102" t="s">
        <v>11483</v>
      </c>
      <c r="O7390" s="105">
        <v>2.1273543E7</v>
      </c>
      <c r="P7390" s="105">
        <v>1.9111657E7</v>
      </c>
      <c r="Q7390" s="102" t="s">
        <v>2446</v>
      </c>
      <c r="S7390" s="1"/>
      <c r="T7390" s="1"/>
      <c r="U7390" s="1"/>
      <c r="V7390" s="1"/>
      <c r="W7390" s="1"/>
      <c r="X7390" s="1"/>
      <c r="Y7390" s="1"/>
      <c r="AA7390" s="102"/>
      <c r="AB7390" s="1"/>
      <c r="AC7390" s="1"/>
      <c r="AD7390" s="1"/>
      <c r="AE7390" s="1"/>
      <c r="AF7390" s="1"/>
      <c r="AG7390" s="1"/>
    </row>
    <row r="7391" ht="15.75" customHeight="1">
      <c r="A7391" s="1"/>
      <c r="B7391" s="1"/>
      <c r="C7391" s="1"/>
      <c r="D7391" s="1"/>
      <c r="E7391" s="1"/>
      <c r="F7391" s="1"/>
      <c r="G7391" s="1"/>
      <c r="H7391" s="1"/>
      <c r="I7391" s="1"/>
      <c r="J7391" s="1"/>
      <c r="K7391" s="102" t="s">
        <v>11484</v>
      </c>
      <c r="L7391" s="102" t="str">
        <f>G1086</f>
        <v>J2b1b2a~</v>
      </c>
      <c r="M7391" s="102"/>
      <c r="N7391" s="102"/>
      <c r="O7391" s="105">
        <v>1.9248045E7</v>
      </c>
      <c r="P7391" s="105">
        <v>1.7136165E7</v>
      </c>
      <c r="Q7391" s="102" t="s">
        <v>2563</v>
      </c>
      <c r="S7391" s="1"/>
      <c r="T7391" s="1"/>
      <c r="U7391" s="1"/>
      <c r="V7391" s="1"/>
      <c r="W7391" s="1"/>
      <c r="X7391" s="1"/>
      <c r="Y7391" s="1"/>
      <c r="AA7391" s="102"/>
      <c r="AB7391" s="1"/>
      <c r="AC7391" s="1"/>
      <c r="AD7391" s="1"/>
      <c r="AE7391" s="1"/>
      <c r="AF7391" s="1"/>
      <c r="AG7391" s="1"/>
    </row>
    <row r="7392" ht="15.75" customHeight="1">
      <c r="A7392" s="1"/>
      <c r="B7392" s="1"/>
      <c r="C7392" s="1"/>
      <c r="D7392" s="1"/>
      <c r="E7392" s="1"/>
      <c r="F7392" s="1"/>
      <c r="G7392" s="1"/>
      <c r="H7392" s="1"/>
      <c r="I7392" s="1"/>
      <c r="J7392" s="1"/>
      <c r="K7392" s="102" t="s">
        <v>11485</v>
      </c>
      <c r="L7392" s="102" t="str">
        <f>G1086</f>
        <v>J2b1b2a~</v>
      </c>
      <c r="M7392" s="102"/>
      <c r="N7392" s="102"/>
      <c r="O7392" s="105">
        <v>1.4309089E7</v>
      </c>
      <c r="P7392" s="105">
        <v>1.2188383E7</v>
      </c>
      <c r="Q7392" s="102" t="s">
        <v>2533</v>
      </c>
      <c r="S7392" s="1"/>
      <c r="T7392" s="1"/>
      <c r="U7392" s="1"/>
      <c r="V7392" s="1"/>
      <c r="W7392" s="1"/>
      <c r="X7392" s="1"/>
      <c r="Y7392" s="1"/>
      <c r="AA7392" s="102"/>
      <c r="AB7392" s="1"/>
      <c r="AC7392" s="1"/>
      <c r="AD7392" s="1"/>
      <c r="AE7392" s="1"/>
      <c r="AF7392" s="1"/>
      <c r="AG7392" s="1"/>
    </row>
    <row r="7393" ht="15.75" customHeight="1">
      <c r="A7393" s="1"/>
      <c r="B7393" s="1"/>
      <c r="C7393" s="1"/>
      <c r="D7393" s="1"/>
      <c r="E7393" s="1"/>
      <c r="F7393" s="1"/>
      <c r="G7393" s="1"/>
      <c r="H7393" s="1"/>
      <c r="I7393" s="1"/>
      <c r="J7393" s="1"/>
      <c r="K7393" s="102" t="s">
        <v>11486</v>
      </c>
      <c r="L7393" s="102" t="str">
        <f>G1086</f>
        <v>J2b1b2a~</v>
      </c>
      <c r="M7393" s="102"/>
      <c r="N7393" s="102"/>
      <c r="O7393" s="105">
        <v>1.7857403E7</v>
      </c>
      <c r="P7393" s="105">
        <v>1.5745523E7</v>
      </c>
      <c r="Q7393" s="102" t="s">
        <v>2439</v>
      </c>
      <c r="S7393" s="1"/>
      <c r="T7393" s="1"/>
      <c r="U7393" s="1"/>
      <c r="V7393" s="1"/>
      <c r="W7393" s="1"/>
      <c r="X7393" s="1"/>
      <c r="Y7393" s="1"/>
      <c r="AA7393" s="102"/>
      <c r="AB7393" s="1"/>
      <c r="AC7393" s="1"/>
      <c r="AD7393" s="1"/>
      <c r="AE7393" s="1"/>
      <c r="AF7393" s="1"/>
      <c r="AG7393" s="1"/>
    </row>
    <row r="7394" ht="15.75" customHeight="1">
      <c r="A7394" s="1"/>
      <c r="B7394" s="1"/>
      <c r="C7394" s="1"/>
      <c r="D7394" s="1"/>
      <c r="E7394" s="1"/>
      <c r="F7394" s="1"/>
      <c r="G7394" s="1"/>
      <c r="H7394" s="1"/>
      <c r="I7394" s="1"/>
      <c r="J7394" s="1"/>
      <c r="K7394" s="102" t="s">
        <v>11487</v>
      </c>
      <c r="L7394" s="102" t="str">
        <f>G1086</f>
        <v>J2b1b2a~</v>
      </c>
      <c r="M7394" s="102"/>
      <c r="N7394" s="102"/>
      <c r="O7394" s="105">
        <v>6837227.0</v>
      </c>
      <c r="P7394" s="105">
        <v>6969186.0</v>
      </c>
      <c r="Q7394" s="102" t="s">
        <v>2529</v>
      </c>
      <c r="S7394" s="1"/>
      <c r="T7394" s="1"/>
      <c r="U7394" s="1"/>
      <c r="V7394" s="1"/>
      <c r="W7394" s="1"/>
      <c r="X7394" s="1"/>
      <c r="Y7394" s="1"/>
      <c r="AA7394" s="102"/>
      <c r="AB7394" s="1"/>
      <c r="AC7394" s="1"/>
      <c r="AD7394" s="1"/>
      <c r="AE7394" s="1"/>
      <c r="AF7394" s="1"/>
      <c r="AG7394" s="1"/>
    </row>
    <row r="7395" ht="15.75" customHeight="1">
      <c r="A7395" s="1"/>
      <c r="B7395" s="1"/>
      <c r="C7395" s="1"/>
      <c r="D7395" s="1"/>
      <c r="E7395" s="1"/>
      <c r="F7395" s="1"/>
      <c r="G7395" s="1"/>
      <c r="H7395" s="1"/>
      <c r="I7395" s="1"/>
      <c r="J7395" s="1"/>
      <c r="K7395" s="102" t="s">
        <v>11488</v>
      </c>
      <c r="L7395" s="102" t="str">
        <f>G1086</f>
        <v>J2b1b2a~</v>
      </c>
      <c r="M7395" s="102"/>
      <c r="N7395" s="102"/>
      <c r="O7395" s="105">
        <v>2.3240156E7</v>
      </c>
      <c r="P7395" s="105">
        <v>2.107827E7</v>
      </c>
      <c r="Q7395" s="102" t="s">
        <v>2501</v>
      </c>
      <c r="S7395" s="1"/>
      <c r="T7395" s="1"/>
      <c r="U7395" s="1"/>
      <c r="V7395" s="1"/>
      <c r="W7395" s="1"/>
      <c r="X7395" s="1"/>
      <c r="Y7395" s="1"/>
      <c r="AA7395" s="102"/>
      <c r="AB7395" s="1"/>
      <c r="AC7395" s="1"/>
      <c r="AD7395" s="1"/>
      <c r="AE7395" s="1"/>
      <c r="AF7395" s="1"/>
      <c r="AG7395" s="1"/>
    </row>
    <row r="7396" ht="15.75" customHeight="1">
      <c r="A7396" s="1"/>
      <c r="B7396" s="1"/>
      <c r="C7396" s="1"/>
      <c r="D7396" s="1"/>
      <c r="E7396" s="1"/>
      <c r="F7396" s="1"/>
      <c r="G7396" s="1"/>
      <c r="H7396" s="1"/>
      <c r="I7396" s="1"/>
      <c r="J7396" s="1"/>
      <c r="K7396" s="102" t="s">
        <v>11489</v>
      </c>
      <c r="L7396" s="102" t="str">
        <f>G1086</f>
        <v>J2b1b2a~</v>
      </c>
      <c r="M7396" s="102"/>
      <c r="N7396" s="102"/>
      <c r="O7396" s="105">
        <v>2.1284148E7</v>
      </c>
      <c r="P7396" s="105">
        <v>1.9122262E7</v>
      </c>
      <c r="Q7396" s="102" t="s">
        <v>2454</v>
      </c>
      <c r="S7396" s="1"/>
      <c r="T7396" s="1"/>
      <c r="U7396" s="1"/>
      <c r="V7396" s="1"/>
      <c r="W7396" s="1"/>
      <c r="X7396" s="1"/>
      <c r="Y7396" s="1"/>
      <c r="AA7396" s="102"/>
      <c r="AB7396" s="1"/>
      <c r="AC7396" s="1"/>
      <c r="AD7396" s="1"/>
      <c r="AE7396" s="1"/>
      <c r="AF7396" s="1"/>
      <c r="AG7396" s="1"/>
    </row>
    <row r="7397" ht="15.75" customHeight="1">
      <c r="A7397" s="1"/>
      <c r="B7397" s="1"/>
      <c r="C7397" s="1"/>
      <c r="D7397" s="1"/>
      <c r="E7397" s="1"/>
      <c r="F7397" s="1"/>
      <c r="G7397" s="1"/>
      <c r="H7397" s="1"/>
      <c r="I7397" s="1"/>
      <c r="J7397" s="1"/>
      <c r="K7397" s="102" t="s">
        <v>11490</v>
      </c>
      <c r="L7397" s="102" t="str">
        <f>G1086</f>
        <v>J2b1b2a~</v>
      </c>
      <c r="M7397" s="102"/>
      <c r="N7397" s="102"/>
      <c r="O7397" s="105">
        <v>1.436362E7</v>
      </c>
      <c r="P7397" s="105">
        <v>1.2242915E7</v>
      </c>
      <c r="Q7397" s="102" t="s">
        <v>2576</v>
      </c>
      <c r="S7397" s="1"/>
      <c r="T7397" s="1"/>
      <c r="U7397" s="1"/>
      <c r="V7397" s="1"/>
      <c r="W7397" s="1"/>
      <c r="X7397" s="1"/>
      <c r="Y7397" s="1"/>
      <c r="AA7397" s="102"/>
      <c r="AB7397" s="1"/>
      <c r="AC7397" s="1"/>
      <c r="AD7397" s="1"/>
      <c r="AE7397" s="1"/>
      <c r="AF7397" s="1"/>
      <c r="AG7397" s="1"/>
    </row>
    <row r="7398" ht="15.75" customHeight="1">
      <c r="A7398" s="1"/>
      <c r="B7398" s="1"/>
      <c r="C7398" s="1"/>
      <c r="D7398" s="1"/>
      <c r="E7398" s="1"/>
      <c r="F7398" s="1"/>
      <c r="G7398" s="1"/>
      <c r="H7398" s="1"/>
      <c r="I7398" s="1"/>
      <c r="J7398" s="1"/>
      <c r="K7398" s="102" t="s">
        <v>11491</v>
      </c>
      <c r="L7398" s="102" t="str">
        <f>G1086</f>
        <v>J2b1b2a~</v>
      </c>
      <c r="M7398" s="102"/>
      <c r="N7398" s="102"/>
      <c r="O7398" s="105">
        <v>2854888.0</v>
      </c>
      <c r="P7398" s="105">
        <v>2986847.0</v>
      </c>
      <c r="Q7398" s="102" t="s">
        <v>2501</v>
      </c>
      <c r="S7398" s="1"/>
      <c r="T7398" s="1"/>
      <c r="U7398" s="1"/>
      <c r="V7398" s="1"/>
      <c r="W7398" s="1"/>
      <c r="X7398" s="1"/>
      <c r="Y7398" s="1"/>
      <c r="AA7398" s="102"/>
      <c r="AB7398" s="1"/>
      <c r="AC7398" s="1"/>
      <c r="AD7398" s="1"/>
      <c r="AE7398" s="1"/>
      <c r="AF7398" s="1"/>
      <c r="AG7398" s="1"/>
    </row>
    <row r="7399" ht="15.75" customHeight="1">
      <c r="A7399" s="1"/>
      <c r="B7399" s="1"/>
      <c r="C7399" s="1"/>
      <c r="D7399" s="1"/>
      <c r="E7399" s="1"/>
      <c r="F7399" s="1"/>
      <c r="G7399" s="1"/>
      <c r="H7399" s="1"/>
      <c r="I7399" s="1"/>
      <c r="J7399" s="1"/>
      <c r="K7399" s="102" t="s">
        <v>11492</v>
      </c>
      <c r="L7399" s="102" t="str">
        <f>G1086</f>
        <v>J2b1b2a~</v>
      </c>
      <c r="M7399" s="102"/>
      <c r="N7399" s="102"/>
      <c r="O7399" s="105">
        <v>1.8788229E7</v>
      </c>
      <c r="P7399" s="105">
        <v>1.6676349E7</v>
      </c>
      <c r="Q7399" s="102" t="s">
        <v>2576</v>
      </c>
      <c r="S7399" s="1"/>
      <c r="T7399" s="1"/>
      <c r="U7399" s="1"/>
      <c r="V7399" s="1"/>
      <c r="W7399" s="1"/>
      <c r="X7399" s="1"/>
      <c r="Y7399" s="1"/>
      <c r="AA7399" s="102"/>
      <c r="AB7399" s="1"/>
      <c r="AC7399" s="1"/>
      <c r="AD7399" s="1"/>
      <c r="AE7399" s="1"/>
      <c r="AF7399" s="1"/>
      <c r="AG7399" s="1"/>
    </row>
    <row r="7400" ht="15.75" customHeight="1">
      <c r="A7400" s="1"/>
      <c r="B7400" s="1"/>
      <c r="C7400" s="1"/>
      <c r="D7400" s="1"/>
      <c r="E7400" s="1"/>
      <c r="F7400" s="1"/>
      <c r="G7400" s="1"/>
      <c r="H7400" s="1"/>
      <c r="I7400" s="1"/>
      <c r="J7400" s="1"/>
      <c r="K7400" s="102" t="s">
        <v>11493</v>
      </c>
      <c r="L7400" s="102" t="str">
        <f>G1086</f>
        <v>J2b1b2a~</v>
      </c>
      <c r="M7400" s="102"/>
      <c r="N7400" s="102"/>
      <c r="O7400" s="105">
        <v>2.1099157E7</v>
      </c>
      <c r="P7400" s="105">
        <v>1.8937271E7</v>
      </c>
      <c r="Q7400" s="102" t="s">
        <v>2468</v>
      </c>
      <c r="S7400" s="1"/>
      <c r="T7400" s="1"/>
      <c r="U7400" s="1"/>
      <c r="V7400" s="1"/>
      <c r="W7400" s="1"/>
      <c r="X7400" s="1"/>
      <c r="Y7400" s="1"/>
      <c r="AA7400" s="102"/>
      <c r="AB7400" s="1"/>
      <c r="AC7400" s="1"/>
      <c r="AD7400" s="1"/>
      <c r="AE7400" s="1"/>
      <c r="AF7400" s="1"/>
      <c r="AG7400" s="1"/>
    </row>
    <row r="7401" ht="15.75" customHeight="1">
      <c r="A7401" s="1"/>
      <c r="B7401" s="1"/>
      <c r="C7401" s="1"/>
      <c r="D7401" s="1"/>
      <c r="E7401" s="1"/>
      <c r="F7401" s="1"/>
      <c r="G7401" s="1"/>
      <c r="H7401" s="1"/>
      <c r="I7401" s="1"/>
      <c r="J7401" s="1"/>
      <c r="K7401" s="102" t="s">
        <v>11494</v>
      </c>
      <c r="L7401" s="102" t="str">
        <f>G1086</f>
        <v>J2b1b2a~</v>
      </c>
      <c r="M7401" s="102"/>
      <c r="N7401" s="102"/>
      <c r="O7401" s="105">
        <v>1.7913449E7</v>
      </c>
      <c r="P7401" s="105">
        <v>1.5801569E7</v>
      </c>
      <c r="Q7401" s="102" t="s">
        <v>2439</v>
      </c>
      <c r="S7401" s="1"/>
      <c r="T7401" s="1"/>
      <c r="U7401" s="1"/>
      <c r="V7401" s="1"/>
      <c r="W7401" s="1"/>
      <c r="X7401" s="1"/>
      <c r="Y7401" s="1"/>
      <c r="AA7401" s="102"/>
      <c r="AB7401" s="1"/>
      <c r="AC7401" s="1"/>
      <c r="AD7401" s="1"/>
      <c r="AE7401" s="1"/>
      <c r="AF7401" s="1"/>
      <c r="AG7401" s="1"/>
    </row>
    <row r="7402" ht="15.75" customHeight="1">
      <c r="A7402" s="1"/>
      <c r="B7402" s="1"/>
      <c r="C7402" s="1"/>
      <c r="D7402" s="1"/>
      <c r="E7402" s="1"/>
      <c r="F7402" s="1"/>
      <c r="G7402" s="1"/>
      <c r="H7402" s="1"/>
      <c r="I7402" s="1"/>
      <c r="J7402" s="1"/>
      <c r="K7402" s="102" t="s">
        <v>11495</v>
      </c>
      <c r="L7402" s="102" t="str">
        <f>G1086</f>
        <v>J2b1b2a~</v>
      </c>
      <c r="M7402" s="102"/>
      <c r="N7402" s="102"/>
      <c r="O7402" s="105">
        <v>1.8575627E7</v>
      </c>
      <c r="P7402" s="105">
        <v>1.6463747E7</v>
      </c>
      <c r="Q7402" s="102" t="s">
        <v>2501</v>
      </c>
      <c r="S7402" s="1"/>
      <c r="T7402" s="1"/>
      <c r="U7402" s="1"/>
      <c r="V7402" s="1"/>
      <c r="W7402" s="1"/>
      <c r="X7402" s="1"/>
      <c r="Y7402" s="1"/>
      <c r="AA7402" s="102"/>
      <c r="AB7402" s="1"/>
      <c r="AC7402" s="1"/>
      <c r="AD7402" s="1"/>
      <c r="AE7402" s="1"/>
      <c r="AF7402" s="1"/>
      <c r="AG7402" s="1"/>
    </row>
    <row r="7403" ht="15.75" customHeight="1">
      <c r="A7403" s="1"/>
      <c r="B7403" s="1"/>
      <c r="C7403" s="1"/>
      <c r="D7403" s="1"/>
      <c r="E7403" s="1"/>
      <c r="F7403" s="1"/>
      <c r="G7403" s="1"/>
      <c r="H7403" s="1"/>
      <c r="I7403" s="1"/>
      <c r="J7403" s="1"/>
      <c r="K7403" s="102" t="s">
        <v>11496</v>
      </c>
      <c r="L7403" s="102" t="str">
        <f>G1086</f>
        <v>J2b1b2a~</v>
      </c>
      <c r="M7403" s="102"/>
      <c r="N7403" s="102"/>
      <c r="O7403" s="105">
        <v>1.8614912E7</v>
      </c>
      <c r="P7403" s="105">
        <v>1.6503032E7</v>
      </c>
      <c r="Q7403" s="102" t="s">
        <v>2423</v>
      </c>
      <c r="S7403" s="1"/>
      <c r="T7403" s="1"/>
      <c r="U7403" s="1"/>
      <c r="V7403" s="1"/>
      <c r="W7403" s="1"/>
      <c r="X7403" s="1"/>
      <c r="Y7403" s="1"/>
      <c r="AA7403" s="102"/>
      <c r="AB7403" s="1"/>
      <c r="AC7403" s="1"/>
      <c r="AD7403" s="1"/>
      <c r="AE7403" s="1"/>
      <c r="AF7403" s="1"/>
      <c r="AG7403" s="1"/>
    </row>
    <row r="7404" ht="15.75" customHeight="1">
      <c r="A7404" s="1"/>
      <c r="B7404" s="1"/>
      <c r="C7404" s="1"/>
      <c r="D7404" s="1"/>
      <c r="E7404" s="1"/>
      <c r="F7404" s="1"/>
      <c r="G7404" s="1"/>
      <c r="H7404" s="1"/>
      <c r="I7404" s="1"/>
      <c r="J7404" s="1"/>
      <c r="K7404" s="102" t="s">
        <v>11497</v>
      </c>
      <c r="L7404" s="102" t="str">
        <f>G1086</f>
        <v>J2b1b2a~</v>
      </c>
      <c r="M7404" s="102"/>
      <c r="N7404" s="102"/>
      <c r="O7404" s="105">
        <v>2.2973326E7</v>
      </c>
      <c r="P7404" s="105">
        <v>2.081144E7</v>
      </c>
      <c r="Q7404" s="102" t="s">
        <v>2454</v>
      </c>
      <c r="S7404" s="1"/>
      <c r="T7404" s="1"/>
      <c r="U7404" s="1"/>
      <c r="V7404" s="1"/>
      <c r="W7404" s="1"/>
      <c r="X7404" s="1"/>
      <c r="Y7404" s="1"/>
      <c r="AA7404" s="102"/>
      <c r="AB7404" s="1"/>
      <c r="AC7404" s="1"/>
      <c r="AD7404" s="1"/>
      <c r="AE7404" s="1"/>
      <c r="AF7404" s="1"/>
      <c r="AG7404" s="1"/>
    </row>
    <row r="7405" ht="15.75" customHeight="1">
      <c r="A7405" s="1"/>
      <c r="B7405" s="1"/>
      <c r="C7405" s="1"/>
      <c r="D7405" s="1"/>
      <c r="E7405" s="1"/>
      <c r="F7405" s="1"/>
      <c r="G7405" s="1"/>
      <c r="H7405" s="1"/>
      <c r="I7405" s="1"/>
      <c r="J7405" s="1"/>
      <c r="K7405" s="102" t="s">
        <v>11498</v>
      </c>
      <c r="L7405" s="102" t="str">
        <f>G1086</f>
        <v>J2b1b2a~</v>
      </c>
      <c r="M7405" s="102"/>
      <c r="N7405" s="102"/>
      <c r="O7405" s="105">
        <v>2.1373311E7</v>
      </c>
      <c r="P7405" s="105">
        <v>1.9211425E7</v>
      </c>
      <c r="Q7405" s="102" t="s">
        <v>2501</v>
      </c>
      <c r="S7405" s="1"/>
      <c r="T7405" s="1"/>
      <c r="U7405" s="1"/>
      <c r="V7405" s="1"/>
      <c r="W7405" s="1"/>
      <c r="X7405" s="1"/>
      <c r="Y7405" s="1"/>
      <c r="AA7405" s="102"/>
      <c r="AB7405" s="1"/>
      <c r="AC7405" s="1"/>
      <c r="AD7405" s="1"/>
      <c r="AE7405" s="1"/>
      <c r="AF7405" s="1"/>
      <c r="AG7405" s="1"/>
    </row>
    <row r="7406" ht="15.75" customHeight="1">
      <c r="A7406" s="1"/>
      <c r="B7406" s="1"/>
      <c r="C7406" s="1"/>
      <c r="D7406" s="1"/>
      <c r="E7406" s="1"/>
      <c r="F7406" s="1"/>
      <c r="G7406" s="1"/>
      <c r="H7406" s="1"/>
      <c r="I7406" s="1"/>
      <c r="J7406" s="1"/>
      <c r="K7406" s="102" t="s">
        <v>11499</v>
      </c>
      <c r="L7406" s="102" t="str">
        <f>G1086</f>
        <v>J2b1b2a~</v>
      </c>
      <c r="M7406" s="102"/>
      <c r="N7406" s="102"/>
      <c r="O7406" s="105">
        <v>2887241.0</v>
      </c>
      <c r="P7406" s="105">
        <v>3019200.0</v>
      </c>
      <c r="Q7406" s="102" t="s">
        <v>2514</v>
      </c>
      <c r="S7406" s="1"/>
      <c r="T7406" s="1"/>
      <c r="U7406" s="1"/>
      <c r="V7406" s="1"/>
      <c r="W7406" s="1"/>
      <c r="X7406" s="1"/>
      <c r="Y7406" s="1"/>
      <c r="AA7406" s="102"/>
      <c r="AB7406" s="1"/>
      <c r="AC7406" s="1"/>
      <c r="AD7406" s="1"/>
      <c r="AE7406" s="1"/>
      <c r="AF7406" s="1"/>
      <c r="AG7406" s="1"/>
    </row>
    <row r="7407" ht="15.75" customHeight="1">
      <c r="A7407" s="1"/>
      <c r="B7407" s="1"/>
      <c r="C7407" s="1"/>
      <c r="D7407" s="1"/>
      <c r="E7407" s="1"/>
      <c r="F7407" s="1"/>
      <c r="G7407" s="1"/>
      <c r="H7407" s="1"/>
      <c r="I7407" s="1"/>
      <c r="J7407" s="1"/>
      <c r="K7407" s="102" t="s">
        <v>11500</v>
      </c>
      <c r="L7407" s="102" t="str">
        <f>G1086</f>
        <v>J2b1b2a~</v>
      </c>
      <c r="M7407" s="102"/>
      <c r="N7407" s="102"/>
      <c r="O7407" s="105">
        <v>6883589.0</v>
      </c>
      <c r="P7407" s="105">
        <v>7015548.0</v>
      </c>
      <c r="Q7407" s="102" t="s">
        <v>2501</v>
      </c>
      <c r="S7407" s="1"/>
      <c r="T7407" s="1"/>
      <c r="U7407" s="1"/>
      <c r="V7407" s="1"/>
      <c r="W7407" s="1"/>
      <c r="X7407" s="1"/>
      <c r="Y7407" s="1"/>
      <c r="AA7407" s="102"/>
      <c r="AB7407" s="1"/>
      <c r="AC7407" s="1"/>
      <c r="AD7407" s="1"/>
      <c r="AE7407" s="1"/>
      <c r="AF7407" s="1"/>
      <c r="AG7407" s="1"/>
    </row>
    <row r="7408" ht="15.75" customHeight="1">
      <c r="A7408" s="1"/>
      <c r="B7408" s="1"/>
      <c r="C7408" s="1"/>
      <c r="D7408" s="1"/>
      <c r="E7408" s="1"/>
      <c r="F7408" s="1"/>
      <c r="G7408" s="1"/>
      <c r="H7408" s="1"/>
      <c r="I7408" s="1"/>
      <c r="J7408" s="1"/>
      <c r="K7408" s="102" t="s">
        <v>11501</v>
      </c>
      <c r="L7408" s="102" t="str">
        <f>G1086</f>
        <v>J2b1b2a~</v>
      </c>
      <c r="M7408" s="102"/>
      <c r="N7408" s="102"/>
      <c r="O7408" s="105">
        <v>6964972.0</v>
      </c>
      <c r="P7408" s="105">
        <v>7096931.0</v>
      </c>
      <c r="Q7408" s="102" t="s">
        <v>2501</v>
      </c>
      <c r="S7408" s="1"/>
      <c r="T7408" s="1"/>
      <c r="U7408" s="1"/>
      <c r="V7408" s="1"/>
      <c r="W7408" s="1"/>
      <c r="X7408" s="1"/>
      <c r="Y7408" s="1"/>
      <c r="AA7408" s="102"/>
      <c r="AB7408" s="1"/>
      <c r="AC7408" s="1"/>
      <c r="AD7408" s="1"/>
      <c r="AE7408" s="1"/>
      <c r="AF7408" s="1"/>
      <c r="AG7408" s="1"/>
    </row>
    <row r="7409" ht="15.75" customHeight="1">
      <c r="A7409" s="1"/>
      <c r="B7409" s="1"/>
      <c r="C7409" s="1"/>
      <c r="D7409" s="1"/>
      <c r="E7409" s="1"/>
      <c r="F7409" s="1"/>
      <c r="G7409" s="1"/>
      <c r="H7409" s="1"/>
      <c r="I7409" s="1"/>
      <c r="J7409" s="1"/>
      <c r="K7409" s="102" t="s">
        <v>11502</v>
      </c>
      <c r="L7409" s="102" t="str">
        <f>G1086</f>
        <v>J2b1b2a~</v>
      </c>
      <c r="M7409" s="102"/>
      <c r="N7409" s="102"/>
      <c r="O7409" s="105">
        <v>7185053.0</v>
      </c>
      <c r="P7409" s="105">
        <v>7317012.0</v>
      </c>
      <c r="Q7409" s="102" t="s">
        <v>2468</v>
      </c>
      <c r="S7409" s="1"/>
      <c r="T7409" s="1"/>
      <c r="U7409" s="1"/>
      <c r="V7409" s="1"/>
      <c r="W7409" s="1"/>
      <c r="X7409" s="1"/>
      <c r="Y7409" s="1"/>
      <c r="AA7409" s="102"/>
      <c r="AB7409" s="1"/>
      <c r="AC7409" s="1"/>
      <c r="AD7409" s="1"/>
      <c r="AE7409" s="1"/>
      <c r="AF7409" s="1"/>
      <c r="AG7409" s="1"/>
    </row>
    <row r="7410" ht="15.75" customHeight="1">
      <c r="A7410" s="1"/>
      <c r="B7410" s="1"/>
      <c r="C7410" s="1"/>
      <c r="D7410" s="1"/>
      <c r="E7410" s="1"/>
      <c r="F7410" s="1"/>
      <c r="G7410" s="1"/>
      <c r="H7410" s="1"/>
      <c r="I7410" s="1"/>
      <c r="J7410" s="1"/>
      <c r="K7410" s="102" t="s">
        <v>11503</v>
      </c>
      <c r="L7410" s="102" t="str">
        <f>G1086</f>
        <v>J2b1b2a~</v>
      </c>
      <c r="M7410" s="106" t="s">
        <v>11504</v>
      </c>
      <c r="N7410" s="102" t="s">
        <v>11505</v>
      </c>
      <c r="O7410" s="105">
        <v>7213663.0</v>
      </c>
      <c r="P7410" s="105">
        <v>7345622.0</v>
      </c>
      <c r="Q7410" s="102" t="s">
        <v>2468</v>
      </c>
      <c r="S7410" s="1"/>
      <c r="T7410" s="1"/>
      <c r="U7410" s="1"/>
      <c r="V7410" s="1"/>
      <c r="W7410" s="1"/>
      <c r="X7410" s="1"/>
      <c r="Y7410" s="1"/>
      <c r="AA7410" s="102"/>
      <c r="AB7410" s="1"/>
      <c r="AC7410" s="1"/>
      <c r="AD7410" s="1"/>
      <c r="AE7410" s="1"/>
      <c r="AF7410" s="1"/>
      <c r="AG7410" s="1"/>
    </row>
    <row r="7411" ht="15.75" customHeight="1">
      <c r="A7411" s="1"/>
      <c r="B7411" s="1"/>
      <c r="C7411" s="1"/>
      <c r="D7411" s="1"/>
      <c r="E7411" s="1"/>
      <c r="F7411" s="1"/>
      <c r="G7411" s="1"/>
      <c r="H7411" s="1"/>
      <c r="I7411" s="1"/>
      <c r="J7411" s="1"/>
      <c r="K7411" s="106" t="s">
        <v>11504</v>
      </c>
      <c r="L7411" s="102" t="str">
        <f>G1086</f>
        <v>J2b1b2a~</v>
      </c>
      <c r="M7411" s="102" t="s">
        <v>11503</v>
      </c>
      <c r="N7411" s="102" t="s">
        <v>11505</v>
      </c>
      <c r="O7411" s="105">
        <v>7213663.0</v>
      </c>
      <c r="P7411" s="105">
        <v>7345622.0</v>
      </c>
      <c r="Q7411" s="102" t="s">
        <v>2468</v>
      </c>
      <c r="S7411" s="1"/>
      <c r="T7411" s="1"/>
      <c r="U7411" s="1"/>
      <c r="V7411" s="1"/>
      <c r="W7411" s="1"/>
      <c r="X7411" s="1"/>
      <c r="Y7411" s="1"/>
      <c r="AA7411" s="102"/>
      <c r="AB7411" s="1"/>
      <c r="AC7411" s="1"/>
      <c r="AD7411" s="1"/>
      <c r="AE7411" s="1"/>
      <c r="AF7411" s="1"/>
      <c r="AG7411" s="1"/>
    </row>
    <row r="7412" ht="15.75" customHeight="1">
      <c r="A7412" s="1"/>
      <c r="B7412" s="1"/>
      <c r="C7412" s="1"/>
      <c r="D7412" s="1"/>
      <c r="E7412" s="1"/>
      <c r="F7412" s="1"/>
      <c r="G7412" s="1"/>
      <c r="H7412" s="1"/>
      <c r="I7412" s="1"/>
      <c r="J7412" s="1"/>
      <c r="K7412" s="102" t="s">
        <v>11506</v>
      </c>
      <c r="L7412" s="102" t="str">
        <f>G1086</f>
        <v>J2b1b2a~</v>
      </c>
      <c r="M7412" s="102"/>
      <c r="N7412" s="102"/>
      <c r="O7412" s="105">
        <v>7300293.0</v>
      </c>
      <c r="P7412" s="105">
        <v>7432252.0</v>
      </c>
      <c r="Q7412" s="102" t="s">
        <v>2501</v>
      </c>
      <c r="S7412" s="1"/>
      <c r="T7412" s="1"/>
      <c r="U7412" s="1"/>
      <c r="V7412" s="1"/>
      <c r="W7412" s="1"/>
      <c r="X7412" s="1"/>
      <c r="Y7412" s="1"/>
      <c r="AA7412" s="102"/>
      <c r="AB7412" s="1"/>
      <c r="AC7412" s="1"/>
      <c r="AD7412" s="1"/>
      <c r="AE7412" s="1"/>
      <c r="AF7412" s="1"/>
      <c r="AG7412" s="1"/>
    </row>
    <row r="7413" ht="15.75" customHeight="1">
      <c r="A7413" s="1"/>
      <c r="B7413" s="1"/>
      <c r="C7413" s="1"/>
      <c r="D7413" s="1"/>
      <c r="E7413" s="1"/>
      <c r="F7413" s="1"/>
      <c r="G7413" s="1"/>
      <c r="H7413" s="1"/>
      <c r="I7413" s="1"/>
      <c r="J7413" s="1"/>
      <c r="K7413" s="102" t="s">
        <v>11507</v>
      </c>
      <c r="L7413" s="102" t="str">
        <f>G1086</f>
        <v>J2b1b2a~</v>
      </c>
      <c r="M7413" s="102"/>
      <c r="N7413" s="102"/>
      <c r="O7413" s="105">
        <v>1.4382411E7</v>
      </c>
      <c r="P7413" s="105">
        <v>1.2261707E7</v>
      </c>
      <c r="Q7413" s="102" t="s">
        <v>2439</v>
      </c>
      <c r="S7413" s="1"/>
      <c r="T7413" s="1"/>
      <c r="U7413" s="1"/>
      <c r="V7413" s="1"/>
      <c r="W7413" s="1"/>
      <c r="X7413" s="1"/>
      <c r="Y7413" s="1"/>
      <c r="AA7413" s="102"/>
      <c r="AB7413" s="1"/>
      <c r="AC7413" s="1"/>
      <c r="AD7413" s="1"/>
      <c r="AE7413" s="1"/>
      <c r="AF7413" s="1"/>
      <c r="AG7413" s="1"/>
    </row>
    <row r="7414" ht="15.75" customHeight="1">
      <c r="A7414" s="1"/>
      <c r="B7414" s="1"/>
      <c r="C7414" s="1"/>
      <c r="D7414" s="1"/>
      <c r="E7414" s="1"/>
      <c r="F7414" s="1"/>
      <c r="G7414" s="1"/>
      <c r="H7414" s="1"/>
      <c r="I7414" s="1"/>
      <c r="J7414" s="1"/>
      <c r="K7414" s="102" t="s">
        <v>11508</v>
      </c>
      <c r="L7414" s="102" t="str">
        <f>G1086</f>
        <v>J2b1b2a~</v>
      </c>
      <c r="M7414" s="102"/>
      <c r="N7414" s="102"/>
      <c r="O7414" s="105">
        <v>1.4544545E7</v>
      </c>
      <c r="P7414" s="105">
        <v>1.2432746E7</v>
      </c>
      <c r="Q7414" s="102" t="s">
        <v>2439</v>
      </c>
      <c r="S7414" s="1"/>
      <c r="T7414" s="1"/>
      <c r="U7414" s="1"/>
      <c r="V7414" s="1"/>
      <c r="W7414" s="1"/>
      <c r="X7414" s="1"/>
      <c r="Y7414" s="1"/>
      <c r="AA7414" s="102"/>
      <c r="AB7414" s="1"/>
      <c r="AC7414" s="1"/>
      <c r="AD7414" s="1"/>
      <c r="AE7414" s="1"/>
      <c r="AF7414" s="1"/>
      <c r="AG7414" s="1"/>
    </row>
    <row r="7415" ht="15.75" customHeight="1">
      <c r="A7415" s="1"/>
      <c r="B7415" s="1"/>
      <c r="C7415" s="1"/>
      <c r="D7415" s="1"/>
      <c r="E7415" s="1"/>
      <c r="F7415" s="1"/>
      <c r="G7415" s="1"/>
      <c r="H7415" s="1"/>
      <c r="I7415" s="1"/>
      <c r="J7415" s="1"/>
      <c r="K7415" s="102" t="s">
        <v>11509</v>
      </c>
      <c r="L7415" s="102" t="str">
        <f>G1086</f>
        <v>J2b1b2a~</v>
      </c>
      <c r="M7415" s="102"/>
      <c r="N7415" s="102"/>
      <c r="O7415" s="105">
        <v>1.4746266E7</v>
      </c>
      <c r="P7415" s="105">
        <v>1.2634335E7</v>
      </c>
      <c r="Q7415" s="102" t="s">
        <v>2468</v>
      </c>
      <c r="S7415" s="1"/>
      <c r="T7415" s="1"/>
      <c r="U7415" s="1"/>
      <c r="V7415" s="1"/>
      <c r="W7415" s="1"/>
      <c r="X7415" s="1"/>
      <c r="Y7415" s="1"/>
      <c r="AA7415" s="102"/>
      <c r="AB7415" s="1"/>
      <c r="AC7415" s="1"/>
      <c r="AD7415" s="1"/>
      <c r="AE7415" s="1"/>
      <c r="AF7415" s="1"/>
      <c r="AG7415" s="1"/>
    </row>
    <row r="7416" ht="15.75" customHeight="1">
      <c r="A7416" s="1"/>
      <c r="B7416" s="1"/>
      <c r="C7416" s="1"/>
      <c r="D7416" s="1"/>
      <c r="E7416" s="1"/>
      <c r="F7416" s="1"/>
      <c r="G7416" s="1"/>
      <c r="H7416" s="1"/>
      <c r="I7416" s="1"/>
      <c r="J7416" s="1"/>
      <c r="K7416" s="102" t="s">
        <v>11510</v>
      </c>
      <c r="L7416" s="102" t="str">
        <f>G1086</f>
        <v>J2b1b2a~</v>
      </c>
      <c r="M7416" s="102"/>
      <c r="N7416" s="102"/>
      <c r="O7416" s="105">
        <v>1.5354337E7</v>
      </c>
      <c r="P7416" s="105">
        <v>1.3242456E7</v>
      </c>
      <c r="Q7416" s="102" t="s">
        <v>2533</v>
      </c>
      <c r="S7416" s="1"/>
      <c r="T7416" s="1"/>
      <c r="U7416" s="1"/>
      <c r="V7416" s="1"/>
      <c r="W7416" s="1"/>
      <c r="X7416" s="1"/>
      <c r="Y7416" s="1"/>
      <c r="AA7416" s="102"/>
      <c r="AB7416" s="1"/>
      <c r="AC7416" s="1"/>
      <c r="AD7416" s="1"/>
      <c r="AE7416" s="1"/>
      <c r="AF7416" s="1"/>
      <c r="AG7416" s="1"/>
    </row>
    <row r="7417" ht="15.75" customHeight="1">
      <c r="A7417" s="1"/>
      <c r="B7417" s="1"/>
      <c r="C7417" s="1"/>
      <c r="D7417" s="1"/>
      <c r="E7417" s="1"/>
      <c r="F7417" s="1"/>
      <c r="G7417" s="1"/>
      <c r="H7417" s="1"/>
      <c r="I7417" s="1"/>
      <c r="J7417" s="1"/>
      <c r="K7417" s="102" t="s">
        <v>11511</v>
      </c>
      <c r="L7417" s="102" t="str">
        <f>G1086</f>
        <v>J2b1b2a~</v>
      </c>
      <c r="M7417" s="102"/>
      <c r="N7417" s="102"/>
      <c r="O7417" s="105">
        <v>1.5684541E7</v>
      </c>
      <c r="P7417" s="105">
        <v>1.3572661E7</v>
      </c>
      <c r="Q7417" s="102" t="s">
        <v>2468</v>
      </c>
      <c r="S7417" s="1"/>
      <c r="T7417" s="1"/>
      <c r="U7417" s="1"/>
      <c r="V7417" s="1"/>
      <c r="W7417" s="1"/>
      <c r="X7417" s="1"/>
      <c r="Y7417" s="1"/>
      <c r="AA7417" s="102"/>
      <c r="AB7417" s="1"/>
      <c r="AC7417" s="1"/>
      <c r="AD7417" s="1"/>
      <c r="AE7417" s="1"/>
      <c r="AF7417" s="1"/>
      <c r="AG7417" s="1"/>
    </row>
    <row r="7418" ht="15.75" customHeight="1">
      <c r="A7418" s="1"/>
      <c r="B7418" s="1"/>
      <c r="C7418" s="1"/>
      <c r="D7418" s="1"/>
      <c r="E7418" s="1"/>
      <c r="F7418" s="1"/>
      <c r="G7418" s="1"/>
      <c r="H7418" s="1"/>
      <c r="I7418" s="1"/>
      <c r="J7418" s="1"/>
      <c r="K7418" s="102" t="s">
        <v>11512</v>
      </c>
      <c r="L7418" s="102" t="str">
        <f>G1086</f>
        <v>J2b1b2a~</v>
      </c>
      <c r="M7418" s="102"/>
      <c r="N7418" s="102"/>
      <c r="O7418" s="105">
        <v>1.6058187E7</v>
      </c>
      <c r="P7418" s="105">
        <v>1.3946307E7</v>
      </c>
      <c r="Q7418" s="102" t="s">
        <v>2533</v>
      </c>
      <c r="S7418" s="1"/>
      <c r="T7418" s="1"/>
      <c r="U7418" s="1"/>
      <c r="V7418" s="1"/>
      <c r="W7418" s="1"/>
      <c r="X7418" s="1"/>
      <c r="Y7418" s="1"/>
      <c r="AA7418" s="102"/>
      <c r="AB7418" s="1"/>
      <c r="AC7418" s="1"/>
      <c r="AD7418" s="1"/>
      <c r="AE7418" s="1"/>
      <c r="AF7418" s="1"/>
      <c r="AG7418" s="1"/>
    </row>
    <row r="7419" ht="15.75" customHeight="1">
      <c r="A7419" s="1"/>
      <c r="B7419" s="1"/>
      <c r="C7419" s="1"/>
      <c r="D7419" s="1"/>
      <c r="E7419" s="1"/>
      <c r="F7419" s="1"/>
      <c r="G7419" s="1"/>
      <c r="H7419" s="1"/>
      <c r="I7419" s="1"/>
      <c r="J7419" s="1"/>
      <c r="K7419" s="102" t="s">
        <v>11513</v>
      </c>
      <c r="L7419" s="102" t="str">
        <f>G1086</f>
        <v>J2b1b2a~</v>
      </c>
      <c r="M7419" s="102"/>
      <c r="N7419" s="102"/>
      <c r="O7419" s="105">
        <v>1.6269044E7</v>
      </c>
      <c r="P7419" s="105">
        <v>1.4157164E7</v>
      </c>
      <c r="Q7419" s="102" t="s">
        <v>2439</v>
      </c>
      <c r="S7419" s="1"/>
      <c r="T7419" s="1"/>
      <c r="U7419" s="1"/>
      <c r="V7419" s="1"/>
      <c r="W7419" s="1"/>
      <c r="X7419" s="1"/>
      <c r="Y7419" s="1"/>
      <c r="AA7419" s="102"/>
      <c r="AB7419" s="1"/>
      <c r="AC7419" s="1"/>
      <c r="AD7419" s="1"/>
      <c r="AE7419" s="1"/>
      <c r="AF7419" s="1"/>
      <c r="AG7419" s="1"/>
    </row>
    <row r="7420" ht="15.75" customHeight="1">
      <c r="A7420" s="1"/>
      <c r="B7420" s="1"/>
      <c r="C7420" s="1"/>
      <c r="D7420" s="1"/>
      <c r="E7420" s="1"/>
      <c r="F7420" s="1"/>
      <c r="G7420" s="1"/>
      <c r="H7420" s="1"/>
      <c r="I7420" s="1"/>
      <c r="J7420" s="1"/>
      <c r="K7420" s="102" t="s">
        <v>11514</v>
      </c>
      <c r="L7420" s="102" t="str">
        <f>G1086</f>
        <v>J2b1b2a~</v>
      </c>
      <c r="M7420" s="102"/>
      <c r="N7420" s="102"/>
      <c r="O7420" s="105">
        <v>1.6431974E7</v>
      </c>
      <c r="P7420" s="105">
        <v>1.4320094E7</v>
      </c>
      <c r="Q7420" s="102" t="s">
        <v>2432</v>
      </c>
      <c r="S7420" s="1"/>
      <c r="T7420" s="1"/>
      <c r="U7420" s="1"/>
      <c r="V7420" s="1"/>
      <c r="W7420" s="1"/>
      <c r="X7420" s="1"/>
      <c r="Y7420" s="1"/>
      <c r="AA7420" s="102"/>
      <c r="AB7420" s="1"/>
      <c r="AC7420" s="1"/>
      <c r="AD7420" s="1"/>
      <c r="AE7420" s="1"/>
      <c r="AF7420" s="1"/>
      <c r="AG7420" s="1"/>
    </row>
    <row r="7421" ht="15.75" customHeight="1">
      <c r="A7421" s="1"/>
      <c r="B7421" s="1"/>
      <c r="C7421" s="1"/>
      <c r="D7421" s="1"/>
      <c r="E7421" s="1"/>
      <c r="F7421" s="1"/>
      <c r="G7421" s="1"/>
      <c r="H7421" s="1"/>
      <c r="I7421" s="1"/>
      <c r="J7421" s="1"/>
      <c r="K7421" s="102" t="s">
        <v>11515</v>
      </c>
      <c r="L7421" s="102" t="str">
        <f>G1086</f>
        <v>J2b1b2a~</v>
      </c>
      <c r="M7421" s="102"/>
      <c r="N7421" s="102"/>
      <c r="O7421" s="105">
        <v>1.7453597E7</v>
      </c>
      <c r="P7421" s="105">
        <v>1.5341717E7</v>
      </c>
      <c r="Q7421" s="102" t="s">
        <v>2439</v>
      </c>
      <c r="S7421" s="1"/>
      <c r="T7421" s="1"/>
      <c r="U7421" s="1"/>
      <c r="V7421" s="1"/>
      <c r="W7421" s="1"/>
      <c r="X7421" s="1"/>
      <c r="Y7421" s="1"/>
      <c r="AA7421" s="102"/>
      <c r="AB7421" s="1"/>
      <c r="AC7421" s="1"/>
      <c r="AD7421" s="1"/>
      <c r="AE7421" s="1"/>
      <c r="AF7421" s="1"/>
      <c r="AG7421" s="1"/>
    </row>
    <row r="7422" ht="15.75" customHeight="1">
      <c r="A7422" s="1"/>
      <c r="B7422" s="1"/>
      <c r="C7422" s="1"/>
      <c r="D7422" s="1"/>
      <c r="E7422" s="1"/>
      <c r="F7422" s="1"/>
      <c r="G7422" s="1"/>
      <c r="H7422" s="1"/>
      <c r="I7422" s="1"/>
      <c r="J7422" s="1"/>
      <c r="K7422" s="102" t="s">
        <v>11516</v>
      </c>
      <c r="L7422" s="102" t="str">
        <f>G1086</f>
        <v>J2b1b2a~</v>
      </c>
      <c r="M7422" s="102"/>
      <c r="N7422" s="102"/>
      <c r="O7422" s="105">
        <v>1.7466694E7</v>
      </c>
      <c r="P7422" s="105">
        <v>1.5354814E7</v>
      </c>
      <c r="Q7422" s="102" t="s">
        <v>2439</v>
      </c>
      <c r="S7422" s="1"/>
      <c r="T7422" s="1"/>
      <c r="U7422" s="1"/>
      <c r="V7422" s="1"/>
      <c r="W7422" s="1"/>
      <c r="X7422" s="1"/>
      <c r="Y7422" s="1"/>
      <c r="AA7422" s="102"/>
      <c r="AB7422" s="1"/>
      <c r="AC7422" s="1"/>
      <c r="AD7422" s="1"/>
      <c r="AE7422" s="1"/>
      <c r="AF7422" s="1"/>
      <c r="AG7422" s="1"/>
    </row>
    <row r="7423" ht="15.75" customHeight="1">
      <c r="A7423" s="1"/>
      <c r="B7423" s="1"/>
      <c r="C7423" s="1"/>
      <c r="D7423" s="1"/>
      <c r="E7423" s="1"/>
      <c r="F7423" s="1"/>
      <c r="G7423" s="1"/>
      <c r="H7423" s="1"/>
      <c r="I7423" s="1"/>
      <c r="J7423" s="1"/>
      <c r="K7423" s="102" t="s">
        <v>11517</v>
      </c>
      <c r="L7423" s="102" t="str">
        <f>G1086</f>
        <v>J2b1b2a~</v>
      </c>
      <c r="M7423" s="102"/>
      <c r="N7423" s="102"/>
      <c r="O7423" s="105">
        <v>1.8186975E7</v>
      </c>
      <c r="P7423" s="105">
        <v>1.6075095E7</v>
      </c>
      <c r="Q7423" s="102" t="s">
        <v>2514</v>
      </c>
      <c r="S7423" s="1"/>
      <c r="T7423" s="1"/>
      <c r="U7423" s="1"/>
      <c r="V7423" s="1"/>
      <c r="W7423" s="1"/>
      <c r="X7423" s="1"/>
      <c r="Y7423" s="1"/>
      <c r="AA7423" s="102"/>
      <c r="AB7423" s="1"/>
      <c r="AC7423" s="1"/>
      <c r="AD7423" s="1"/>
      <c r="AE7423" s="1"/>
      <c r="AF7423" s="1"/>
      <c r="AG7423" s="1"/>
    </row>
    <row r="7424" ht="15.75" customHeight="1">
      <c r="A7424" s="1"/>
      <c r="B7424" s="1"/>
      <c r="C7424" s="1"/>
      <c r="D7424" s="1"/>
      <c r="E7424" s="1"/>
      <c r="F7424" s="1"/>
      <c r="G7424" s="1"/>
      <c r="H7424" s="1"/>
      <c r="I7424" s="1"/>
      <c r="J7424" s="1"/>
      <c r="K7424" s="102" t="s">
        <v>11518</v>
      </c>
      <c r="L7424" s="102" t="str">
        <f>G1086</f>
        <v>J2b1b2a~</v>
      </c>
      <c r="M7424" s="102"/>
      <c r="N7424" s="102" t="s">
        <v>11519</v>
      </c>
      <c r="O7424" s="105">
        <v>1.8698335E7</v>
      </c>
      <c r="P7424" s="105">
        <v>1.6586455E7</v>
      </c>
      <c r="Q7424" s="102" t="s">
        <v>2454</v>
      </c>
      <c r="S7424" s="1"/>
      <c r="T7424" s="1"/>
      <c r="U7424" s="1"/>
      <c r="V7424" s="1"/>
      <c r="W7424" s="1"/>
      <c r="X7424" s="1"/>
      <c r="Y7424" s="1"/>
      <c r="AA7424" s="102"/>
      <c r="AB7424" s="1"/>
      <c r="AC7424" s="1"/>
      <c r="AD7424" s="1"/>
      <c r="AE7424" s="1"/>
      <c r="AF7424" s="1"/>
      <c r="AG7424" s="1"/>
    </row>
    <row r="7425" ht="15.75" customHeight="1">
      <c r="A7425" s="1"/>
      <c r="B7425" s="1"/>
      <c r="C7425" s="1"/>
      <c r="D7425" s="1"/>
      <c r="E7425" s="1"/>
      <c r="F7425" s="1"/>
      <c r="G7425" s="1"/>
      <c r="H7425" s="1"/>
      <c r="I7425" s="1"/>
      <c r="J7425" s="1"/>
      <c r="K7425" s="102" t="s">
        <v>11520</v>
      </c>
      <c r="L7425" s="102" t="str">
        <f>G1086</f>
        <v>J2b1b2a~</v>
      </c>
      <c r="M7425" s="102"/>
      <c r="N7425" s="102"/>
      <c r="O7425" s="105">
        <v>1.919069E7</v>
      </c>
      <c r="P7425" s="105">
        <v>1.707881E7</v>
      </c>
      <c r="Q7425" s="102" t="s">
        <v>2439</v>
      </c>
      <c r="S7425" s="1"/>
      <c r="T7425" s="1"/>
      <c r="U7425" s="1"/>
      <c r="V7425" s="1"/>
      <c r="W7425" s="1"/>
      <c r="X7425" s="1"/>
      <c r="Y7425" s="1"/>
      <c r="AA7425" s="102"/>
      <c r="AB7425" s="1"/>
      <c r="AC7425" s="1"/>
      <c r="AD7425" s="1"/>
      <c r="AE7425" s="1"/>
      <c r="AF7425" s="1"/>
      <c r="AG7425" s="1"/>
    </row>
    <row r="7426" ht="15.75" customHeight="1">
      <c r="A7426" s="1"/>
      <c r="B7426" s="1"/>
      <c r="C7426" s="1"/>
      <c r="D7426" s="1"/>
      <c r="E7426" s="1"/>
      <c r="F7426" s="1"/>
      <c r="G7426" s="1"/>
      <c r="H7426" s="1"/>
      <c r="I7426" s="1"/>
      <c r="J7426" s="1"/>
      <c r="K7426" s="102" t="s">
        <v>11521</v>
      </c>
      <c r="L7426" s="102" t="str">
        <f>G1086</f>
        <v>J2b1b2a~</v>
      </c>
      <c r="M7426" s="102"/>
      <c r="N7426" s="102"/>
      <c r="O7426" s="105">
        <v>2.1599407E7</v>
      </c>
      <c r="P7426" s="105">
        <v>1.9437521E7</v>
      </c>
      <c r="Q7426" s="102" t="s">
        <v>2439</v>
      </c>
      <c r="S7426" s="1"/>
      <c r="T7426" s="1"/>
      <c r="U7426" s="1"/>
      <c r="V7426" s="1"/>
      <c r="W7426" s="1"/>
      <c r="X7426" s="1"/>
      <c r="Y7426" s="1"/>
      <c r="AA7426" s="102"/>
      <c r="AB7426" s="1"/>
      <c r="AC7426" s="1"/>
      <c r="AD7426" s="1"/>
      <c r="AE7426" s="1"/>
      <c r="AF7426" s="1"/>
      <c r="AG7426" s="1"/>
    </row>
    <row r="7427" ht="15.75" customHeight="1">
      <c r="A7427" s="1"/>
      <c r="B7427" s="1"/>
      <c r="C7427" s="1"/>
      <c r="D7427" s="1"/>
      <c r="E7427" s="1"/>
      <c r="F7427" s="1"/>
      <c r="G7427" s="1"/>
      <c r="H7427" s="1"/>
      <c r="I7427" s="1"/>
      <c r="J7427" s="1"/>
      <c r="K7427" s="102" t="s">
        <v>11522</v>
      </c>
      <c r="L7427" s="102" t="str">
        <f>G1086</f>
        <v>J2b1b2a~</v>
      </c>
      <c r="M7427" s="102"/>
      <c r="N7427" s="102"/>
      <c r="O7427" s="105">
        <v>2.1609907E7</v>
      </c>
      <c r="P7427" s="105">
        <v>1.9448021E7</v>
      </c>
      <c r="Q7427" s="102" t="s">
        <v>2533</v>
      </c>
      <c r="S7427" s="1"/>
      <c r="T7427" s="1"/>
      <c r="U7427" s="1"/>
      <c r="V7427" s="1"/>
      <c r="W7427" s="1"/>
      <c r="X7427" s="1"/>
      <c r="Y7427" s="1"/>
      <c r="AA7427" s="102"/>
      <c r="AB7427" s="1"/>
      <c r="AC7427" s="1"/>
      <c r="AD7427" s="1"/>
      <c r="AE7427" s="1"/>
      <c r="AF7427" s="1"/>
      <c r="AG7427" s="1"/>
    </row>
    <row r="7428" ht="15.75" customHeight="1">
      <c r="A7428" s="1"/>
      <c r="B7428" s="1"/>
      <c r="C7428" s="1"/>
      <c r="D7428" s="1"/>
      <c r="E7428" s="1"/>
      <c r="F7428" s="1"/>
      <c r="G7428" s="1"/>
      <c r="H7428" s="1"/>
      <c r="I7428" s="1"/>
      <c r="J7428" s="1"/>
      <c r="K7428" s="102" t="s">
        <v>11523</v>
      </c>
      <c r="L7428" s="102" t="str">
        <f>G1086</f>
        <v>J2b1b2a~</v>
      </c>
      <c r="M7428" s="102"/>
      <c r="N7428" s="102"/>
      <c r="O7428" s="105">
        <v>2.2783319E7</v>
      </c>
      <c r="P7428" s="105">
        <v>2.0621433E7</v>
      </c>
      <c r="Q7428" s="102" t="s">
        <v>2501</v>
      </c>
      <c r="S7428" s="1"/>
      <c r="T7428" s="1"/>
      <c r="U7428" s="1"/>
      <c r="V7428" s="1"/>
      <c r="W7428" s="1"/>
      <c r="X7428" s="1"/>
      <c r="Y7428" s="1"/>
      <c r="AA7428" s="102"/>
      <c r="AB7428" s="1"/>
      <c r="AC7428" s="1"/>
      <c r="AD7428" s="1"/>
      <c r="AE7428" s="1"/>
      <c r="AF7428" s="1"/>
      <c r="AG7428" s="1"/>
    </row>
    <row r="7429" ht="15.75" customHeight="1">
      <c r="A7429" s="1"/>
      <c r="B7429" s="1"/>
      <c r="C7429" s="1"/>
      <c r="D7429" s="1"/>
      <c r="E7429" s="1"/>
      <c r="F7429" s="1"/>
      <c r="G7429" s="1"/>
      <c r="H7429" s="1"/>
      <c r="I7429" s="1"/>
      <c r="J7429" s="1"/>
      <c r="K7429" s="102" t="s">
        <v>11524</v>
      </c>
      <c r="L7429" s="102" t="str">
        <f>G1086</f>
        <v>J2b1b2a~</v>
      </c>
      <c r="M7429" s="102"/>
      <c r="N7429" s="102"/>
      <c r="O7429" s="105">
        <v>2.3084895E7</v>
      </c>
      <c r="P7429" s="105">
        <v>2.0923009E7</v>
      </c>
      <c r="Q7429" s="102" t="s">
        <v>2533</v>
      </c>
      <c r="S7429" s="1"/>
      <c r="T7429" s="1"/>
      <c r="U7429" s="1"/>
      <c r="V7429" s="1"/>
      <c r="W7429" s="1"/>
      <c r="X7429" s="1"/>
      <c r="Y7429" s="1"/>
      <c r="AA7429" s="102"/>
      <c r="AB7429" s="1"/>
      <c r="AC7429" s="1"/>
      <c r="AD7429" s="1"/>
      <c r="AE7429" s="1"/>
      <c r="AF7429" s="1"/>
      <c r="AG7429" s="1"/>
    </row>
    <row r="7430" ht="15.75" customHeight="1">
      <c r="A7430" s="1"/>
      <c r="B7430" s="1"/>
      <c r="C7430" s="1"/>
      <c r="D7430" s="1"/>
      <c r="E7430" s="1"/>
      <c r="F7430" s="1"/>
      <c r="G7430" s="1"/>
      <c r="H7430" s="1"/>
      <c r="I7430" s="1"/>
      <c r="J7430" s="1"/>
      <c r="K7430" s="102" t="s">
        <v>11525</v>
      </c>
      <c r="L7430" s="102" t="str">
        <f>G1086</f>
        <v>J2b1b2a~</v>
      </c>
      <c r="M7430" s="102"/>
      <c r="N7430" s="102"/>
      <c r="O7430" s="105">
        <v>2.3087005E7</v>
      </c>
      <c r="P7430" s="105">
        <v>2.0925119E7</v>
      </c>
      <c r="Q7430" s="102" t="s">
        <v>2446</v>
      </c>
      <c r="S7430" s="1"/>
      <c r="T7430" s="1"/>
      <c r="U7430" s="1"/>
      <c r="V7430" s="1"/>
      <c r="W7430" s="1"/>
      <c r="X7430" s="1"/>
      <c r="Y7430" s="1"/>
      <c r="AA7430" s="102"/>
      <c r="AB7430" s="1"/>
      <c r="AC7430" s="1"/>
      <c r="AD7430" s="1"/>
      <c r="AE7430" s="1"/>
      <c r="AF7430" s="1"/>
      <c r="AG7430" s="1"/>
    </row>
    <row r="7431" ht="15.75" customHeight="1">
      <c r="A7431" s="1"/>
      <c r="B7431" s="1"/>
      <c r="C7431" s="1"/>
      <c r="D7431" s="1"/>
      <c r="E7431" s="1"/>
      <c r="F7431" s="1"/>
      <c r="G7431" s="1"/>
      <c r="H7431" s="1"/>
      <c r="I7431" s="1"/>
      <c r="J7431" s="1"/>
      <c r="K7431" s="102" t="s">
        <v>11526</v>
      </c>
      <c r="L7431" s="102" t="str">
        <f>G1086</f>
        <v>J2b1b2a~</v>
      </c>
      <c r="M7431" s="102"/>
      <c r="N7431" s="102"/>
      <c r="O7431" s="105">
        <v>2.2584801E7</v>
      </c>
      <c r="P7431" s="105">
        <v>2.0422915E7</v>
      </c>
      <c r="Q7431" s="102" t="s">
        <v>2446</v>
      </c>
      <c r="S7431" s="1"/>
      <c r="T7431" s="1"/>
      <c r="U7431" s="1"/>
      <c r="V7431" s="1"/>
      <c r="W7431" s="1"/>
      <c r="X7431" s="1"/>
      <c r="Y7431" s="1"/>
      <c r="AA7431" s="102"/>
      <c r="AB7431" s="1"/>
      <c r="AC7431" s="1"/>
      <c r="AD7431" s="1"/>
      <c r="AE7431" s="1"/>
      <c r="AF7431" s="1"/>
      <c r="AG7431" s="1"/>
    </row>
    <row r="7432" ht="15.75" customHeight="1">
      <c r="A7432" s="1"/>
      <c r="B7432" s="1"/>
      <c r="C7432" s="1"/>
      <c r="D7432" s="1"/>
      <c r="E7432" s="1"/>
      <c r="F7432" s="1"/>
      <c r="G7432" s="1"/>
      <c r="H7432" s="1"/>
      <c r="I7432" s="1"/>
      <c r="J7432" s="1"/>
      <c r="K7432" s="102" t="s">
        <v>11527</v>
      </c>
      <c r="L7432" s="102" t="str">
        <f>D1087</f>
        <v>J2b2~</v>
      </c>
      <c r="M7432" s="102" t="s">
        <v>11528</v>
      </c>
      <c r="N7432" s="102" t="s">
        <v>11529</v>
      </c>
      <c r="O7432" s="105">
        <v>1.4393681E7</v>
      </c>
      <c r="P7432" s="105">
        <v>1.2272977E7</v>
      </c>
      <c r="Q7432" s="102" t="s">
        <v>2533</v>
      </c>
      <c r="S7432" s="1"/>
      <c r="T7432" s="1"/>
      <c r="U7432" s="1"/>
      <c r="V7432" s="1"/>
      <c r="W7432" s="1"/>
      <c r="X7432" s="1"/>
      <c r="Y7432" s="1"/>
      <c r="AA7432" s="102"/>
      <c r="AB7432" s="1"/>
      <c r="AC7432" s="1"/>
      <c r="AD7432" s="1"/>
      <c r="AE7432" s="1"/>
      <c r="AF7432" s="1"/>
      <c r="AG7432" s="1"/>
    </row>
    <row r="7433" ht="15.75" customHeight="1">
      <c r="A7433" s="1"/>
      <c r="B7433" s="1"/>
      <c r="C7433" s="1"/>
      <c r="D7433" s="1"/>
      <c r="E7433" s="1"/>
      <c r="F7433" s="1"/>
      <c r="G7433" s="1"/>
      <c r="H7433" s="1"/>
      <c r="I7433" s="1"/>
      <c r="J7433" s="1"/>
      <c r="K7433" s="102" t="s">
        <v>11528</v>
      </c>
      <c r="L7433" s="102" t="str">
        <f>D1087</f>
        <v>J2b2~</v>
      </c>
      <c r="M7433" s="102" t="s">
        <v>11527</v>
      </c>
      <c r="N7433" s="102" t="s">
        <v>11529</v>
      </c>
      <c r="O7433" s="105">
        <v>1.4393681E7</v>
      </c>
      <c r="P7433" s="105">
        <v>1.2272977E7</v>
      </c>
      <c r="Q7433" s="102" t="s">
        <v>2533</v>
      </c>
      <c r="S7433" s="1"/>
      <c r="T7433" s="1"/>
      <c r="U7433" s="1"/>
      <c r="V7433" s="1"/>
      <c r="W7433" s="1"/>
      <c r="X7433" s="1"/>
      <c r="Y7433" s="1"/>
      <c r="AA7433" s="102"/>
      <c r="AB7433" s="1"/>
      <c r="AC7433" s="1"/>
      <c r="AD7433" s="1"/>
      <c r="AE7433" s="1"/>
      <c r="AF7433" s="1"/>
      <c r="AG7433" s="1"/>
    </row>
    <row r="7434" ht="15.75" customHeight="1">
      <c r="A7434" s="1"/>
      <c r="B7434" s="1"/>
      <c r="C7434" s="1"/>
      <c r="D7434" s="1"/>
      <c r="E7434" s="1"/>
      <c r="F7434" s="1"/>
      <c r="G7434" s="1"/>
      <c r="H7434" s="1"/>
      <c r="I7434" s="1"/>
      <c r="J7434" s="1"/>
      <c r="K7434" s="102" t="s">
        <v>11530</v>
      </c>
      <c r="L7434" s="102" t="str">
        <f>D1087</f>
        <v>J2b2~</v>
      </c>
      <c r="M7434" s="102" t="s">
        <v>11531</v>
      </c>
      <c r="N7434" s="102" t="s">
        <v>11532</v>
      </c>
      <c r="O7434" s="105">
        <v>2.3074527E7</v>
      </c>
      <c r="P7434" s="105">
        <v>2.0912641E7</v>
      </c>
      <c r="Q7434" s="102" t="s">
        <v>2439</v>
      </c>
      <c r="S7434" s="1"/>
      <c r="T7434" s="1"/>
      <c r="U7434" s="1"/>
      <c r="V7434" s="1"/>
      <c r="W7434" s="1"/>
      <c r="X7434" s="1"/>
      <c r="Y7434" s="1"/>
      <c r="AA7434" s="102"/>
      <c r="AB7434" s="1"/>
      <c r="AC7434" s="1"/>
      <c r="AD7434" s="1"/>
      <c r="AE7434" s="1"/>
      <c r="AF7434" s="1"/>
      <c r="AG7434" s="1"/>
    </row>
    <row r="7435" ht="15.75" customHeight="1">
      <c r="A7435" s="1"/>
      <c r="B7435" s="1"/>
      <c r="C7435" s="1"/>
      <c r="D7435" s="1"/>
      <c r="E7435" s="1"/>
      <c r="F7435" s="1"/>
      <c r="G7435" s="1"/>
      <c r="H7435" s="1"/>
      <c r="I7435" s="1"/>
      <c r="J7435" s="1"/>
      <c r="K7435" s="102" t="s">
        <v>11531</v>
      </c>
      <c r="L7435" s="102" t="str">
        <f>D1087</f>
        <v>J2b2~</v>
      </c>
      <c r="M7435" s="102" t="s">
        <v>11530</v>
      </c>
      <c r="N7435" s="102" t="s">
        <v>11532</v>
      </c>
      <c r="O7435" s="105">
        <v>2.3074527E7</v>
      </c>
      <c r="P7435" s="105">
        <v>2.0912641E7</v>
      </c>
      <c r="Q7435" s="102" t="s">
        <v>2439</v>
      </c>
      <c r="S7435" s="1"/>
      <c r="T7435" s="1"/>
      <c r="U7435" s="1"/>
      <c r="V7435" s="1"/>
      <c r="W7435" s="1"/>
      <c r="X7435" s="1"/>
      <c r="Y7435" s="1"/>
      <c r="AA7435" s="102"/>
      <c r="AB7435" s="1"/>
      <c r="AC7435" s="1"/>
      <c r="AD7435" s="1"/>
      <c r="AE7435" s="1"/>
      <c r="AF7435" s="1"/>
      <c r="AG7435" s="1"/>
    </row>
    <row r="7436" ht="15.75" customHeight="1">
      <c r="A7436" s="1"/>
      <c r="B7436" s="1"/>
      <c r="C7436" s="1"/>
      <c r="D7436" s="1"/>
      <c r="E7436" s="1"/>
      <c r="F7436" s="1"/>
      <c r="G7436" s="1"/>
      <c r="H7436" s="1"/>
      <c r="I7436" s="1"/>
      <c r="J7436" s="1"/>
      <c r="K7436" s="102" t="s">
        <v>11533</v>
      </c>
      <c r="L7436" s="102" t="str">
        <f>D1087</f>
        <v>J2b2~</v>
      </c>
      <c r="M7436" s="102"/>
      <c r="N7436" s="102" t="s">
        <v>11534</v>
      </c>
      <c r="O7436" s="105">
        <v>1.6328869E7</v>
      </c>
      <c r="P7436" s="105">
        <v>1.4216989E7</v>
      </c>
      <c r="Q7436" s="102" t="s">
        <v>2432</v>
      </c>
      <c r="S7436" s="1"/>
      <c r="T7436" s="1"/>
      <c r="U7436" s="1"/>
      <c r="V7436" s="1"/>
      <c r="W7436" s="1"/>
      <c r="X7436" s="1"/>
      <c r="Y7436" s="1"/>
      <c r="AA7436" s="102"/>
      <c r="AB7436" s="1"/>
      <c r="AC7436" s="1"/>
      <c r="AD7436" s="1"/>
      <c r="AE7436" s="1"/>
      <c r="AF7436" s="1"/>
      <c r="AG7436" s="1"/>
    </row>
    <row r="7437" ht="15.75" customHeight="1">
      <c r="A7437" s="1"/>
      <c r="B7437" s="1"/>
      <c r="C7437" s="1"/>
      <c r="D7437" s="1"/>
      <c r="E7437" s="1"/>
      <c r="F7437" s="1"/>
      <c r="G7437" s="1"/>
      <c r="H7437" s="1"/>
      <c r="I7437" s="1"/>
      <c r="J7437" s="1"/>
      <c r="K7437" s="102" t="s">
        <v>2141</v>
      </c>
      <c r="L7437" s="102" t="str">
        <f t="shared" ref="L7437:L7438" si="192">E1088</f>
        <v>J2b2a</v>
      </c>
      <c r="M7437" s="102"/>
      <c r="N7437" s="102" t="s">
        <v>11535</v>
      </c>
      <c r="O7437" s="105">
        <v>1.5018459E7</v>
      </c>
      <c r="P7437" s="105">
        <v>1.2906548E7</v>
      </c>
      <c r="Q7437" s="102" t="s">
        <v>2439</v>
      </c>
      <c r="S7437" s="1"/>
      <c r="T7437" s="1"/>
      <c r="U7437" s="1"/>
      <c r="V7437" s="1"/>
      <c r="W7437" s="1"/>
      <c r="X7437" s="1"/>
      <c r="Y7437" s="1"/>
      <c r="AA7437" s="102"/>
      <c r="AB7437" s="1"/>
      <c r="AC7437" s="1"/>
      <c r="AD7437" s="1"/>
      <c r="AE7437" s="1"/>
      <c r="AF7437" s="1"/>
      <c r="AG7437" s="1"/>
    </row>
    <row r="7438" ht="15.75" customHeight="1">
      <c r="A7438" s="1"/>
      <c r="B7438" s="1"/>
      <c r="C7438" s="1"/>
      <c r="D7438" s="1"/>
      <c r="E7438" s="1"/>
      <c r="F7438" s="1"/>
      <c r="G7438" s="1"/>
      <c r="H7438" s="1"/>
      <c r="I7438" s="1"/>
      <c r="J7438" s="1"/>
      <c r="K7438" s="102" t="s">
        <v>11536</v>
      </c>
      <c r="L7438" s="102" t="str">
        <f t="shared" si="192"/>
        <v>J2b2a~</v>
      </c>
      <c r="M7438" s="102" t="s">
        <v>11537</v>
      </c>
      <c r="N7438" s="102" t="s">
        <v>11538</v>
      </c>
      <c r="O7438" s="105">
        <v>1.6938812E7</v>
      </c>
      <c r="P7438" s="105">
        <v>1.4826932E7</v>
      </c>
      <c r="Q7438" s="102" t="s">
        <v>2432</v>
      </c>
      <c r="S7438" s="1"/>
      <c r="T7438" s="1"/>
      <c r="U7438" s="1"/>
      <c r="V7438" s="1"/>
      <c r="W7438" s="1"/>
      <c r="X7438" s="1"/>
      <c r="Y7438" s="1"/>
      <c r="AA7438" s="102"/>
      <c r="AB7438" s="1"/>
      <c r="AC7438" s="1"/>
      <c r="AD7438" s="1"/>
      <c r="AE7438" s="1"/>
      <c r="AF7438" s="1"/>
      <c r="AG7438" s="1"/>
    </row>
    <row r="7439" ht="15.75" customHeight="1">
      <c r="A7439" s="1"/>
      <c r="B7439" s="1"/>
      <c r="C7439" s="1"/>
      <c r="D7439" s="1"/>
      <c r="E7439" s="1"/>
      <c r="F7439" s="1"/>
      <c r="G7439" s="1"/>
      <c r="H7439" s="1"/>
      <c r="I7439" s="1"/>
      <c r="J7439" s="1"/>
      <c r="K7439" s="102" t="s">
        <v>11539</v>
      </c>
      <c r="L7439" s="102" t="str">
        <f>E1089</f>
        <v>J2b2a~</v>
      </c>
      <c r="M7439" s="102" t="s">
        <v>11540</v>
      </c>
      <c r="N7439" s="102" t="s">
        <v>11538</v>
      </c>
      <c r="O7439" s="105">
        <v>1.6938812E7</v>
      </c>
      <c r="P7439" s="105">
        <v>1.4826932E7</v>
      </c>
      <c r="Q7439" s="102" t="s">
        <v>2432</v>
      </c>
      <c r="S7439" s="1"/>
      <c r="T7439" s="1"/>
      <c r="U7439" s="1"/>
      <c r="V7439" s="1"/>
      <c r="W7439" s="1"/>
      <c r="X7439" s="1"/>
      <c r="Y7439" s="1"/>
      <c r="AA7439" s="102"/>
      <c r="AB7439" s="1"/>
      <c r="AC7439" s="1"/>
      <c r="AD7439" s="1"/>
      <c r="AE7439" s="1"/>
      <c r="AF7439" s="1"/>
      <c r="AG7439" s="1"/>
    </row>
    <row r="7440" ht="15.75" customHeight="1">
      <c r="A7440" s="1"/>
      <c r="B7440" s="1"/>
      <c r="C7440" s="1"/>
      <c r="D7440" s="1"/>
      <c r="E7440" s="1"/>
      <c r="F7440" s="1"/>
      <c r="G7440" s="1"/>
      <c r="H7440" s="1"/>
      <c r="I7440" s="1"/>
      <c r="J7440" s="1"/>
      <c r="K7440" s="102" t="s">
        <v>11541</v>
      </c>
      <c r="L7440" s="102" t="str">
        <f>E1089</f>
        <v>J2b2a~</v>
      </c>
      <c r="M7440" s="102" t="s">
        <v>11542</v>
      </c>
      <c r="N7440" s="102" t="s">
        <v>11538</v>
      </c>
      <c r="O7440" s="105">
        <v>1.6938812E7</v>
      </c>
      <c r="P7440" s="105">
        <v>1.4826932E7</v>
      </c>
      <c r="Q7440" s="102" t="s">
        <v>2432</v>
      </c>
      <c r="S7440" s="1"/>
      <c r="T7440" s="1"/>
      <c r="U7440" s="1"/>
      <c r="V7440" s="1"/>
      <c r="W7440" s="1"/>
      <c r="X7440" s="1"/>
      <c r="Y7440" s="1"/>
      <c r="AA7440" s="102"/>
      <c r="AB7440" s="1"/>
      <c r="AC7440" s="1"/>
      <c r="AD7440" s="1"/>
      <c r="AE7440" s="1"/>
      <c r="AF7440" s="1"/>
      <c r="AG7440" s="1"/>
    </row>
    <row r="7441" ht="15.75" customHeight="1">
      <c r="A7441" s="1"/>
      <c r="B7441" s="1"/>
      <c r="C7441" s="1"/>
      <c r="D7441" s="1"/>
      <c r="E7441" s="1"/>
      <c r="F7441" s="1"/>
      <c r="G7441" s="1"/>
      <c r="H7441" s="1"/>
      <c r="I7441" s="1"/>
      <c r="J7441" s="1"/>
      <c r="K7441" s="102" t="s">
        <v>11543</v>
      </c>
      <c r="L7441" s="102" t="str">
        <f>E1089</f>
        <v>J2b2a~</v>
      </c>
      <c r="M7441" s="102" t="s">
        <v>11544</v>
      </c>
      <c r="N7441" s="102" t="s">
        <v>11538</v>
      </c>
      <c r="O7441" s="105">
        <v>1.6938812E7</v>
      </c>
      <c r="P7441" s="105">
        <v>1.4826932E7</v>
      </c>
      <c r="Q7441" s="102" t="s">
        <v>2432</v>
      </c>
      <c r="S7441" s="1"/>
      <c r="T7441" s="1"/>
      <c r="U7441" s="1"/>
      <c r="V7441" s="1"/>
      <c r="W7441" s="1"/>
      <c r="X7441" s="1"/>
      <c r="Y7441" s="1"/>
      <c r="AA7441" s="102"/>
      <c r="AB7441" s="1"/>
      <c r="AC7441" s="1"/>
      <c r="AD7441" s="1"/>
      <c r="AE7441" s="1"/>
      <c r="AF7441" s="1"/>
      <c r="AG7441" s="1"/>
    </row>
    <row r="7442" ht="15.75" customHeight="1">
      <c r="A7442" s="1"/>
      <c r="B7442" s="1"/>
      <c r="C7442" s="1"/>
      <c r="D7442" s="1"/>
      <c r="E7442" s="1"/>
      <c r="F7442" s="1"/>
      <c r="G7442" s="1"/>
      <c r="H7442" s="1"/>
      <c r="I7442" s="1"/>
      <c r="J7442" s="1"/>
      <c r="K7442" s="102" t="s">
        <v>11545</v>
      </c>
      <c r="L7442" s="102" t="str">
        <f>E1089</f>
        <v>J2b2a~</v>
      </c>
      <c r="M7442" s="102" t="s">
        <v>11546</v>
      </c>
      <c r="N7442" s="102" t="s">
        <v>11547</v>
      </c>
      <c r="O7442" s="105">
        <v>1.7519176E7</v>
      </c>
      <c r="P7442" s="105">
        <v>1.5407296E7</v>
      </c>
      <c r="Q7442" s="102" t="s">
        <v>2446</v>
      </c>
      <c r="S7442" s="1"/>
      <c r="T7442" s="1"/>
      <c r="U7442" s="1"/>
      <c r="V7442" s="1"/>
      <c r="W7442" s="1"/>
      <c r="X7442" s="1"/>
      <c r="Y7442" s="1"/>
      <c r="AA7442" s="102"/>
      <c r="AB7442" s="1"/>
      <c r="AC7442" s="1"/>
      <c r="AD7442" s="1"/>
      <c r="AE7442" s="1"/>
      <c r="AF7442" s="1"/>
      <c r="AG7442" s="1"/>
    </row>
    <row r="7443" ht="15.75" customHeight="1">
      <c r="A7443" s="1"/>
      <c r="B7443" s="1"/>
      <c r="C7443" s="1"/>
      <c r="D7443" s="1"/>
      <c r="E7443" s="1"/>
      <c r="F7443" s="1"/>
      <c r="G7443" s="1"/>
      <c r="H7443" s="1"/>
      <c r="I7443" s="1"/>
      <c r="J7443" s="1"/>
      <c r="K7443" s="102" t="s">
        <v>11546</v>
      </c>
      <c r="L7443" s="102" t="str">
        <f>E1089</f>
        <v>J2b2a~</v>
      </c>
      <c r="M7443" s="102" t="s">
        <v>11545</v>
      </c>
      <c r="N7443" s="102" t="s">
        <v>11547</v>
      </c>
      <c r="O7443" s="105">
        <v>1.7519176E7</v>
      </c>
      <c r="P7443" s="105">
        <v>1.5407296E7</v>
      </c>
      <c r="Q7443" s="102" t="s">
        <v>2446</v>
      </c>
      <c r="S7443" s="1"/>
      <c r="T7443" s="1"/>
      <c r="U7443" s="1"/>
      <c r="V7443" s="1"/>
      <c r="W7443" s="1"/>
      <c r="X7443" s="1"/>
      <c r="Y7443" s="1"/>
      <c r="AA7443" s="102"/>
      <c r="AB7443" s="1"/>
      <c r="AC7443" s="1"/>
      <c r="AD7443" s="1"/>
      <c r="AE7443" s="1"/>
      <c r="AF7443" s="1"/>
      <c r="AG7443" s="1"/>
    </row>
    <row r="7444" ht="15.75" customHeight="1">
      <c r="A7444" s="1"/>
      <c r="B7444" s="1"/>
      <c r="C7444" s="1"/>
      <c r="D7444" s="1"/>
      <c r="E7444" s="1"/>
      <c r="F7444" s="1"/>
      <c r="G7444" s="1"/>
      <c r="H7444" s="1"/>
      <c r="I7444" s="1"/>
      <c r="J7444" s="1"/>
      <c r="K7444" s="102" t="s">
        <v>11548</v>
      </c>
      <c r="L7444" s="102" t="str">
        <f>E1089</f>
        <v>J2b2a~</v>
      </c>
      <c r="M7444" s="102" t="s">
        <v>11549</v>
      </c>
      <c r="N7444" s="102" t="s">
        <v>11550</v>
      </c>
      <c r="O7444" s="105">
        <v>1.8541283E7</v>
      </c>
      <c r="P7444" s="105">
        <v>1.6429403E7</v>
      </c>
      <c r="Q7444" s="102" t="s">
        <v>2533</v>
      </c>
      <c r="S7444" s="1"/>
      <c r="T7444" s="1"/>
      <c r="U7444" s="1"/>
      <c r="V7444" s="1"/>
      <c r="W7444" s="1"/>
      <c r="X7444" s="1"/>
      <c r="Y7444" s="1"/>
      <c r="AA7444" s="102" t="s">
        <v>11551</v>
      </c>
      <c r="AB7444" s="1"/>
      <c r="AC7444" s="1"/>
      <c r="AD7444" s="1"/>
      <c r="AE7444" s="1"/>
      <c r="AF7444" s="1"/>
      <c r="AG7444" s="1"/>
    </row>
    <row r="7445" ht="15.75" customHeight="1">
      <c r="A7445" s="1"/>
      <c r="B7445" s="1"/>
      <c r="C7445" s="1"/>
      <c r="D7445" s="1"/>
      <c r="E7445" s="1"/>
      <c r="F7445" s="1"/>
      <c r="G7445" s="1"/>
      <c r="H7445" s="1"/>
      <c r="I7445" s="1"/>
      <c r="J7445" s="1"/>
      <c r="K7445" s="102" t="s">
        <v>11552</v>
      </c>
      <c r="L7445" s="102" t="str">
        <f>E1089</f>
        <v>J2b2a~</v>
      </c>
      <c r="M7445" s="102" t="s">
        <v>11553</v>
      </c>
      <c r="N7445" s="102" t="s">
        <v>11550</v>
      </c>
      <c r="O7445" s="105">
        <v>1.8541283E7</v>
      </c>
      <c r="P7445" s="105">
        <v>1.6429403E7</v>
      </c>
      <c r="Q7445" s="102" t="s">
        <v>2533</v>
      </c>
      <c r="S7445" s="1"/>
      <c r="T7445" s="1"/>
      <c r="U7445" s="1"/>
      <c r="V7445" s="1"/>
      <c r="W7445" s="1"/>
      <c r="X7445" s="1"/>
      <c r="Y7445" s="1"/>
      <c r="AA7445" s="102" t="s">
        <v>11554</v>
      </c>
      <c r="AB7445" s="1"/>
      <c r="AC7445" s="1"/>
      <c r="AD7445" s="1"/>
      <c r="AE7445" s="1"/>
      <c r="AF7445" s="1"/>
      <c r="AG7445" s="1"/>
    </row>
    <row r="7446" ht="15.75" customHeight="1">
      <c r="A7446" s="1"/>
      <c r="B7446" s="1"/>
      <c r="C7446" s="1"/>
      <c r="D7446" s="1"/>
      <c r="E7446" s="1"/>
      <c r="F7446" s="1"/>
      <c r="G7446" s="1"/>
      <c r="H7446" s="1"/>
      <c r="I7446" s="1"/>
      <c r="J7446" s="1"/>
      <c r="K7446" s="102" t="s">
        <v>11555</v>
      </c>
      <c r="L7446" s="102" t="str">
        <f>E1089</f>
        <v>J2b2a~</v>
      </c>
      <c r="M7446" s="102" t="s">
        <v>11556</v>
      </c>
      <c r="N7446" s="102" t="s">
        <v>11550</v>
      </c>
      <c r="O7446" s="105">
        <v>1.8541283E7</v>
      </c>
      <c r="P7446" s="105">
        <v>1.6429403E7</v>
      </c>
      <c r="Q7446" s="102" t="s">
        <v>2533</v>
      </c>
      <c r="S7446" s="1"/>
      <c r="T7446" s="1"/>
      <c r="U7446" s="1"/>
      <c r="V7446" s="1"/>
      <c r="W7446" s="1"/>
      <c r="X7446" s="1"/>
      <c r="Y7446" s="1"/>
      <c r="AA7446" s="102"/>
      <c r="AB7446" s="1"/>
      <c r="AC7446" s="1"/>
      <c r="AD7446" s="1"/>
      <c r="AE7446" s="1"/>
      <c r="AF7446" s="1"/>
      <c r="AG7446" s="1"/>
    </row>
    <row r="7447" ht="15.75" customHeight="1">
      <c r="A7447" s="1"/>
      <c r="B7447" s="1"/>
      <c r="C7447" s="1"/>
      <c r="D7447" s="1"/>
      <c r="E7447" s="1"/>
      <c r="F7447" s="1"/>
      <c r="G7447" s="1"/>
      <c r="H7447" s="1"/>
      <c r="I7447" s="1"/>
      <c r="J7447" s="1"/>
      <c r="K7447" s="102" t="s">
        <v>11557</v>
      </c>
      <c r="L7447" s="102" t="str">
        <f>E1089</f>
        <v>J2b2a~</v>
      </c>
      <c r="M7447" s="102" t="s">
        <v>11558</v>
      </c>
      <c r="N7447" s="102" t="s">
        <v>11559</v>
      </c>
      <c r="O7447" s="105">
        <v>1.5623601E7</v>
      </c>
      <c r="P7447" s="105">
        <v>1.3511721E7</v>
      </c>
      <c r="Q7447" s="102" t="s">
        <v>2423</v>
      </c>
      <c r="S7447" s="1"/>
      <c r="T7447" s="1"/>
      <c r="U7447" s="1"/>
      <c r="V7447" s="1"/>
      <c r="W7447" s="1"/>
      <c r="X7447" s="1"/>
      <c r="Y7447" s="1"/>
      <c r="AA7447" s="102"/>
      <c r="AB7447" s="1"/>
      <c r="AC7447" s="1"/>
      <c r="AD7447" s="1"/>
      <c r="AE7447" s="1"/>
      <c r="AF7447" s="1"/>
      <c r="AG7447" s="1"/>
    </row>
    <row r="7448" ht="15.75" customHeight="1">
      <c r="A7448" s="1"/>
      <c r="B7448" s="1"/>
      <c r="C7448" s="1"/>
      <c r="D7448" s="1"/>
      <c r="E7448" s="1"/>
      <c r="F7448" s="1"/>
      <c r="G7448" s="1"/>
      <c r="H7448" s="1"/>
      <c r="I7448" s="1"/>
      <c r="J7448" s="1"/>
      <c r="K7448" s="102" t="s">
        <v>11560</v>
      </c>
      <c r="L7448" s="102" t="str">
        <f>E1089</f>
        <v>J2b2a~</v>
      </c>
      <c r="M7448" s="102" t="s">
        <v>11561</v>
      </c>
      <c r="N7448" s="102" t="s">
        <v>11559</v>
      </c>
      <c r="O7448" s="105">
        <v>1.5623601E7</v>
      </c>
      <c r="P7448" s="105">
        <v>1.3511721E7</v>
      </c>
      <c r="Q7448" s="102" t="s">
        <v>2423</v>
      </c>
      <c r="S7448" s="1"/>
      <c r="T7448" s="1"/>
      <c r="U7448" s="1"/>
      <c r="V7448" s="1"/>
      <c r="W7448" s="1"/>
      <c r="X7448" s="1"/>
      <c r="Y7448" s="1"/>
      <c r="AA7448" s="102"/>
      <c r="AB7448" s="1"/>
      <c r="AC7448" s="1"/>
      <c r="AD7448" s="1"/>
      <c r="AE7448" s="1"/>
      <c r="AF7448" s="1"/>
      <c r="AG7448" s="1"/>
    </row>
    <row r="7449" ht="15.75" customHeight="1">
      <c r="A7449" s="1"/>
      <c r="B7449" s="1"/>
      <c r="C7449" s="1"/>
      <c r="D7449" s="1"/>
      <c r="E7449" s="1"/>
      <c r="F7449" s="1"/>
      <c r="G7449" s="1"/>
      <c r="H7449" s="1"/>
      <c r="I7449" s="1"/>
      <c r="J7449" s="1"/>
      <c r="K7449" s="102" t="s">
        <v>11562</v>
      </c>
      <c r="L7449" s="102" t="str">
        <f>E1089</f>
        <v>J2b2a~</v>
      </c>
      <c r="M7449" s="102" t="s">
        <v>11563</v>
      </c>
      <c r="N7449" s="102" t="s">
        <v>11559</v>
      </c>
      <c r="O7449" s="105">
        <v>1.5623601E7</v>
      </c>
      <c r="P7449" s="105">
        <v>1.3511721E7</v>
      </c>
      <c r="Q7449" s="102" t="s">
        <v>2423</v>
      </c>
      <c r="S7449" s="1"/>
      <c r="T7449" s="1"/>
      <c r="U7449" s="1"/>
      <c r="V7449" s="1"/>
      <c r="W7449" s="1"/>
      <c r="X7449" s="1"/>
      <c r="Y7449" s="1"/>
      <c r="AA7449" s="102"/>
      <c r="AB7449" s="1"/>
      <c r="AC7449" s="1"/>
      <c r="AD7449" s="1"/>
      <c r="AE7449" s="1"/>
      <c r="AF7449" s="1"/>
      <c r="AG7449" s="1"/>
    </row>
    <row r="7450" ht="15.75" customHeight="1">
      <c r="A7450" s="1"/>
      <c r="B7450" s="1"/>
      <c r="C7450" s="1"/>
      <c r="D7450" s="1"/>
      <c r="E7450" s="1"/>
      <c r="F7450" s="1"/>
      <c r="G7450" s="1"/>
      <c r="H7450" s="1"/>
      <c r="I7450" s="1"/>
      <c r="J7450" s="1"/>
      <c r="K7450" s="102" t="s">
        <v>11564</v>
      </c>
      <c r="L7450" s="102" t="str">
        <f>E1089</f>
        <v>J2b2a~</v>
      </c>
      <c r="M7450" s="102" t="s">
        <v>11565</v>
      </c>
      <c r="N7450" s="102" t="s">
        <v>11566</v>
      </c>
      <c r="O7450" s="105">
        <v>1.5635257E7</v>
      </c>
      <c r="P7450" s="105">
        <v>1.3523377E7</v>
      </c>
      <c r="Q7450" s="102" t="s">
        <v>2501</v>
      </c>
      <c r="S7450" s="1"/>
      <c r="T7450" s="1"/>
      <c r="U7450" s="1"/>
      <c r="V7450" s="1"/>
      <c r="W7450" s="1"/>
      <c r="X7450" s="1"/>
      <c r="Y7450" s="1"/>
      <c r="AA7450" s="102"/>
      <c r="AB7450" s="1"/>
      <c r="AC7450" s="1"/>
      <c r="AD7450" s="1"/>
      <c r="AE7450" s="1"/>
      <c r="AF7450" s="1"/>
      <c r="AG7450" s="1"/>
    </row>
    <row r="7451" ht="15.75" customHeight="1">
      <c r="A7451" s="1"/>
      <c r="B7451" s="1"/>
      <c r="C7451" s="1"/>
      <c r="D7451" s="1"/>
      <c r="E7451" s="1"/>
      <c r="F7451" s="1"/>
      <c r="G7451" s="1"/>
      <c r="H7451" s="1"/>
      <c r="I7451" s="1"/>
      <c r="J7451" s="1"/>
      <c r="K7451" s="102" t="s">
        <v>11567</v>
      </c>
      <c r="L7451" s="102" t="str">
        <f>E1089</f>
        <v>J2b2a~</v>
      </c>
      <c r="M7451" s="102" t="s">
        <v>11568</v>
      </c>
      <c r="N7451" s="102" t="s">
        <v>11566</v>
      </c>
      <c r="O7451" s="105">
        <v>1.5635257E7</v>
      </c>
      <c r="P7451" s="105">
        <v>1.3523377E7</v>
      </c>
      <c r="Q7451" s="102" t="s">
        <v>2501</v>
      </c>
      <c r="S7451" s="1"/>
      <c r="T7451" s="1"/>
      <c r="U7451" s="1"/>
      <c r="V7451" s="1"/>
      <c r="W7451" s="1"/>
      <c r="X7451" s="1"/>
      <c r="Y7451" s="1"/>
      <c r="AA7451" s="102"/>
      <c r="AB7451" s="1"/>
      <c r="AC7451" s="1"/>
      <c r="AD7451" s="1"/>
      <c r="AE7451" s="1"/>
      <c r="AF7451" s="1"/>
      <c r="AG7451" s="1"/>
    </row>
    <row r="7452" ht="15.75" customHeight="1">
      <c r="A7452" s="1"/>
      <c r="B7452" s="1"/>
      <c r="C7452" s="1"/>
      <c r="D7452" s="1"/>
      <c r="E7452" s="1"/>
      <c r="F7452" s="1"/>
      <c r="G7452" s="1"/>
      <c r="H7452" s="1"/>
      <c r="I7452" s="1"/>
      <c r="J7452" s="1"/>
      <c r="K7452" s="102" t="s">
        <v>11569</v>
      </c>
      <c r="L7452" s="102" t="str">
        <f>E1089</f>
        <v>J2b2a~</v>
      </c>
      <c r="M7452" s="102" t="s">
        <v>11570</v>
      </c>
      <c r="N7452" s="102" t="s">
        <v>11566</v>
      </c>
      <c r="O7452" s="105">
        <v>1.5635257E7</v>
      </c>
      <c r="P7452" s="105">
        <v>1.3523377E7</v>
      </c>
      <c r="Q7452" s="102" t="s">
        <v>2501</v>
      </c>
      <c r="S7452" s="1"/>
      <c r="T7452" s="1"/>
      <c r="U7452" s="1"/>
      <c r="V7452" s="1"/>
      <c r="W7452" s="1"/>
      <c r="X7452" s="1"/>
      <c r="Y7452" s="1"/>
      <c r="AA7452" s="102"/>
      <c r="AB7452" s="1"/>
      <c r="AC7452" s="1"/>
      <c r="AD7452" s="1"/>
      <c r="AE7452" s="1"/>
      <c r="AF7452" s="1"/>
      <c r="AG7452" s="1"/>
    </row>
    <row r="7453" ht="15.75" customHeight="1">
      <c r="A7453" s="1"/>
      <c r="B7453" s="1"/>
      <c r="C7453" s="1"/>
      <c r="D7453" s="1"/>
      <c r="E7453" s="1"/>
      <c r="F7453" s="1"/>
      <c r="G7453" s="1"/>
      <c r="H7453" s="1"/>
      <c r="I7453" s="1"/>
      <c r="J7453" s="1"/>
      <c r="K7453" s="102" t="s">
        <v>11571</v>
      </c>
      <c r="L7453" s="102" t="str">
        <f>E1089</f>
        <v>J2b2a~</v>
      </c>
      <c r="M7453" s="102" t="s">
        <v>11572</v>
      </c>
      <c r="N7453" s="102" t="s">
        <v>11573</v>
      </c>
      <c r="O7453" s="105">
        <v>1.6198737E7</v>
      </c>
      <c r="P7453" s="105">
        <v>1.4086857E7</v>
      </c>
      <c r="Q7453" s="102" t="s">
        <v>2501</v>
      </c>
      <c r="S7453" s="1"/>
      <c r="T7453" s="1"/>
      <c r="U7453" s="1"/>
      <c r="V7453" s="1"/>
      <c r="W7453" s="1"/>
      <c r="X7453" s="1"/>
      <c r="Y7453" s="1"/>
      <c r="AA7453" s="102"/>
      <c r="AB7453" s="1"/>
      <c r="AC7453" s="1"/>
      <c r="AD7453" s="1"/>
      <c r="AE7453" s="1"/>
      <c r="AF7453" s="1"/>
      <c r="AG7453" s="1"/>
    </row>
    <row r="7454" ht="15.75" customHeight="1">
      <c r="A7454" s="1"/>
      <c r="B7454" s="1"/>
      <c r="C7454" s="1"/>
      <c r="D7454" s="1"/>
      <c r="E7454" s="1"/>
      <c r="F7454" s="1"/>
      <c r="G7454" s="1"/>
      <c r="H7454" s="1"/>
      <c r="I7454" s="1"/>
      <c r="J7454" s="1"/>
      <c r="K7454" s="102" t="s">
        <v>11574</v>
      </c>
      <c r="L7454" s="102" t="str">
        <f>E1089</f>
        <v>J2b2a~</v>
      </c>
      <c r="M7454" s="102" t="s">
        <v>11575</v>
      </c>
      <c r="N7454" s="102" t="s">
        <v>11573</v>
      </c>
      <c r="O7454" s="105">
        <v>1.6198737E7</v>
      </c>
      <c r="P7454" s="105">
        <v>1.4086857E7</v>
      </c>
      <c r="Q7454" s="102" t="s">
        <v>2501</v>
      </c>
      <c r="S7454" s="1"/>
      <c r="T7454" s="1"/>
      <c r="U7454" s="1"/>
      <c r="V7454" s="1"/>
      <c r="W7454" s="1"/>
      <c r="X7454" s="1"/>
      <c r="Y7454" s="1"/>
      <c r="AA7454" s="102"/>
      <c r="AB7454" s="1"/>
      <c r="AC7454" s="1"/>
      <c r="AD7454" s="1"/>
      <c r="AE7454" s="1"/>
      <c r="AF7454" s="1"/>
      <c r="AG7454" s="1"/>
    </row>
    <row r="7455" ht="15.75" customHeight="1">
      <c r="A7455" s="1"/>
      <c r="B7455" s="1"/>
      <c r="C7455" s="1"/>
      <c r="D7455" s="1"/>
      <c r="E7455" s="1"/>
      <c r="F7455" s="1"/>
      <c r="G7455" s="1"/>
      <c r="H7455" s="1"/>
      <c r="I7455" s="1"/>
      <c r="J7455" s="1"/>
      <c r="K7455" s="102" t="s">
        <v>11576</v>
      </c>
      <c r="L7455" s="102" t="str">
        <f>E1089</f>
        <v>J2b2a~</v>
      </c>
      <c r="M7455" s="102" t="s">
        <v>11577</v>
      </c>
      <c r="N7455" s="102" t="s">
        <v>11573</v>
      </c>
      <c r="O7455" s="105">
        <v>1.6198737E7</v>
      </c>
      <c r="P7455" s="105">
        <v>1.4086857E7</v>
      </c>
      <c r="Q7455" s="102" t="s">
        <v>2501</v>
      </c>
      <c r="S7455" s="1"/>
      <c r="T7455" s="1"/>
      <c r="U7455" s="1"/>
      <c r="V7455" s="1"/>
      <c r="W7455" s="1"/>
      <c r="X7455" s="1"/>
      <c r="Y7455" s="1"/>
      <c r="AA7455" s="102"/>
      <c r="AB7455" s="1"/>
      <c r="AC7455" s="1"/>
      <c r="AD7455" s="1"/>
      <c r="AE7455" s="1"/>
      <c r="AF7455" s="1"/>
      <c r="AG7455" s="1"/>
    </row>
    <row r="7456" ht="15.75" customHeight="1">
      <c r="A7456" s="1"/>
      <c r="B7456" s="1"/>
      <c r="C7456" s="1"/>
      <c r="D7456" s="1"/>
      <c r="E7456" s="1"/>
      <c r="F7456" s="1"/>
      <c r="G7456" s="1"/>
      <c r="H7456" s="1"/>
      <c r="I7456" s="1"/>
      <c r="J7456" s="1"/>
      <c r="K7456" s="102" t="s">
        <v>11578</v>
      </c>
      <c r="L7456" s="102" t="str">
        <f>E1089</f>
        <v>J2b2a~</v>
      </c>
      <c r="M7456" s="102" t="s">
        <v>11579</v>
      </c>
      <c r="N7456" s="102" t="s">
        <v>11580</v>
      </c>
      <c r="O7456" s="105">
        <v>1.6481311E7</v>
      </c>
      <c r="P7456" s="105">
        <v>1.4369431E7</v>
      </c>
      <c r="Q7456" s="102" t="s">
        <v>2501</v>
      </c>
      <c r="S7456" s="1"/>
      <c r="T7456" s="1"/>
      <c r="U7456" s="1"/>
      <c r="V7456" s="1"/>
      <c r="W7456" s="1"/>
      <c r="X7456" s="1"/>
      <c r="Y7456" s="1"/>
      <c r="AA7456" s="102"/>
      <c r="AB7456" s="1"/>
      <c r="AC7456" s="1"/>
      <c r="AD7456" s="1"/>
      <c r="AE7456" s="1"/>
      <c r="AF7456" s="1"/>
      <c r="AG7456" s="1"/>
    </row>
    <row r="7457" ht="15.75" customHeight="1">
      <c r="A7457" s="1"/>
      <c r="B7457" s="1"/>
      <c r="C7457" s="1"/>
      <c r="D7457" s="1"/>
      <c r="E7457" s="1"/>
      <c r="F7457" s="1"/>
      <c r="G7457" s="1"/>
      <c r="H7457" s="1"/>
      <c r="I7457" s="1"/>
      <c r="J7457" s="1"/>
      <c r="K7457" s="102" t="s">
        <v>11581</v>
      </c>
      <c r="L7457" s="102" t="str">
        <f>E1089</f>
        <v>J2b2a~</v>
      </c>
      <c r="M7457" s="102" t="s">
        <v>11582</v>
      </c>
      <c r="N7457" s="102" t="s">
        <v>11580</v>
      </c>
      <c r="O7457" s="105">
        <v>1.6481311E7</v>
      </c>
      <c r="P7457" s="105">
        <v>1.4369431E7</v>
      </c>
      <c r="Q7457" s="102" t="s">
        <v>2501</v>
      </c>
      <c r="S7457" s="1"/>
      <c r="T7457" s="1"/>
      <c r="U7457" s="1"/>
      <c r="V7457" s="1"/>
      <c r="W7457" s="1"/>
      <c r="X7457" s="1"/>
      <c r="Y7457" s="1"/>
      <c r="AA7457" s="102"/>
      <c r="AB7457" s="1"/>
      <c r="AC7457" s="1"/>
      <c r="AD7457" s="1"/>
      <c r="AE7457" s="1"/>
      <c r="AF7457" s="1"/>
      <c r="AG7457" s="1"/>
    </row>
    <row r="7458" ht="15.75" customHeight="1">
      <c r="A7458" s="1"/>
      <c r="B7458" s="1"/>
      <c r="C7458" s="1"/>
      <c r="D7458" s="1"/>
      <c r="E7458" s="1"/>
      <c r="F7458" s="1"/>
      <c r="G7458" s="1"/>
      <c r="H7458" s="1"/>
      <c r="I7458" s="1"/>
      <c r="J7458" s="1"/>
      <c r="K7458" s="102" t="s">
        <v>11583</v>
      </c>
      <c r="L7458" s="102" t="str">
        <f>E1089</f>
        <v>J2b2a~</v>
      </c>
      <c r="M7458" s="102" t="s">
        <v>11584</v>
      </c>
      <c r="N7458" s="102" t="s">
        <v>11580</v>
      </c>
      <c r="O7458" s="105">
        <v>1.6481311E7</v>
      </c>
      <c r="P7458" s="105">
        <v>1.4369431E7</v>
      </c>
      <c r="Q7458" s="102" t="s">
        <v>2501</v>
      </c>
      <c r="S7458" s="1"/>
      <c r="T7458" s="1"/>
      <c r="U7458" s="1"/>
      <c r="V7458" s="1"/>
      <c r="W7458" s="1"/>
      <c r="X7458" s="1"/>
      <c r="Y7458" s="1"/>
      <c r="AA7458" s="102"/>
      <c r="AB7458" s="1"/>
      <c r="AC7458" s="1"/>
      <c r="AD7458" s="1"/>
      <c r="AE7458" s="1"/>
      <c r="AF7458" s="1"/>
      <c r="AG7458" s="1"/>
    </row>
    <row r="7459" ht="15.75" customHeight="1">
      <c r="A7459" s="1"/>
      <c r="B7459" s="1"/>
      <c r="C7459" s="1"/>
      <c r="D7459" s="1"/>
      <c r="E7459" s="1"/>
      <c r="F7459" s="1"/>
      <c r="G7459" s="1"/>
      <c r="H7459" s="1"/>
      <c r="I7459" s="1"/>
      <c r="J7459" s="1"/>
      <c r="K7459" s="102" t="s">
        <v>11585</v>
      </c>
      <c r="L7459" s="102" t="str">
        <f>E1089</f>
        <v>J2b2a~</v>
      </c>
      <c r="M7459" s="102" t="s">
        <v>11586</v>
      </c>
      <c r="N7459" s="102" t="s">
        <v>11587</v>
      </c>
      <c r="O7459" s="105">
        <v>1.6725162E7</v>
      </c>
      <c r="P7459" s="105">
        <v>1.4613282E7</v>
      </c>
      <c r="Q7459" s="102" t="s">
        <v>2501</v>
      </c>
      <c r="S7459" s="1"/>
      <c r="T7459" s="1"/>
      <c r="U7459" s="1"/>
      <c r="V7459" s="1"/>
      <c r="W7459" s="1"/>
      <c r="X7459" s="1"/>
      <c r="Y7459" s="1"/>
      <c r="AA7459" s="102"/>
      <c r="AB7459" s="1"/>
      <c r="AC7459" s="1"/>
      <c r="AD7459" s="1"/>
      <c r="AE7459" s="1"/>
      <c r="AF7459" s="1"/>
      <c r="AG7459" s="1"/>
    </row>
    <row r="7460" ht="15.75" customHeight="1">
      <c r="A7460" s="1"/>
      <c r="B7460" s="1"/>
      <c r="C7460" s="1"/>
      <c r="D7460" s="1"/>
      <c r="E7460" s="1"/>
      <c r="F7460" s="1"/>
      <c r="G7460" s="1"/>
      <c r="H7460" s="1"/>
      <c r="I7460" s="1"/>
      <c r="J7460" s="1"/>
      <c r="K7460" s="102" t="s">
        <v>11586</v>
      </c>
      <c r="L7460" s="102" t="str">
        <f>E1089</f>
        <v>J2b2a~</v>
      </c>
      <c r="M7460" s="102" t="s">
        <v>11585</v>
      </c>
      <c r="N7460" s="102" t="s">
        <v>11587</v>
      </c>
      <c r="O7460" s="105">
        <v>1.6725162E7</v>
      </c>
      <c r="P7460" s="105">
        <v>1.4613282E7</v>
      </c>
      <c r="Q7460" s="102" t="s">
        <v>2501</v>
      </c>
      <c r="S7460" s="1"/>
      <c r="T7460" s="1"/>
      <c r="U7460" s="1"/>
      <c r="V7460" s="1"/>
      <c r="W7460" s="1"/>
      <c r="X7460" s="1"/>
      <c r="Y7460" s="1"/>
      <c r="AA7460" s="102"/>
      <c r="AB7460" s="1"/>
      <c r="AC7460" s="1"/>
      <c r="AD7460" s="1"/>
      <c r="AE7460" s="1"/>
      <c r="AF7460" s="1"/>
      <c r="AG7460" s="1"/>
    </row>
    <row r="7461" ht="15.75" customHeight="1">
      <c r="A7461" s="1"/>
      <c r="B7461" s="1"/>
      <c r="C7461" s="1"/>
      <c r="D7461" s="1"/>
      <c r="E7461" s="1"/>
      <c r="F7461" s="1"/>
      <c r="G7461" s="1"/>
      <c r="H7461" s="1"/>
      <c r="I7461" s="1"/>
      <c r="J7461" s="1"/>
      <c r="K7461" s="102" t="s">
        <v>11588</v>
      </c>
      <c r="L7461" s="102" t="str">
        <f>E1089</f>
        <v>J2b2a~</v>
      </c>
      <c r="M7461" s="102" t="s">
        <v>11589</v>
      </c>
      <c r="N7461" s="102" t="s">
        <v>11590</v>
      </c>
      <c r="O7461" s="105">
        <v>1.6946013E7</v>
      </c>
      <c r="P7461" s="105">
        <v>1.4834133E7</v>
      </c>
      <c r="Q7461" s="102" t="s">
        <v>2501</v>
      </c>
      <c r="S7461" s="1"/>
      <c r="T7461" s="1"/>
      <c r="U7461" s="1"/>
      <c r="V7461" s="1"/>
      <c r="W7461" s="1"/>
      <c r="X7461" s="1"/>
      <c r="Y7461" s="1"/>
      <c r="AA7461" s="102"/>
      <c r="AB7461" s="1"/>
      <c r="AC7461" s="1"/>
      <c r="AD7461" s="1"/>
      <c r="AE7461" s="1"/>
      <c r="AF7461" s="1"/>
      <c r="AG7461" s="1"/>
    </row>
    <row r="7462" ht="15.75" customHeight="1">
      <c r="A7462" s="1"/>
      <c r="B7462" s="1"/>
      <c r="C7462" s="1"/>
      <c r="D7462" s="1"/>
      <c r="E7462" s="1"/>
      <c r="F7462" s="1"/>
      <c r="G7462" s="1"/>
      <c r="H7462" s="1"/>
      <c r="I7462" s="1"/>
      <c r="J7462" s="1"/>
      <c r="K7462" s="102" t="s">
        <v>11589</v>
      </c>
      <c r="L7462" s="102" t="str">
        <f>E1089</f>
        <v>J2b2a~</v>
      </c>
      <c r="M7462" s="102" t="s">
        <v>11588</v>
      </c>
      <c r="N7462" s="102" t="s">
        <v>11590</v>
      </c>
      <c r="O7462" s="105">
        <v>1.6946013E7</v>
      </c>
      <c r="P7462" s="105">
        <v>1.4834133E7</v>
      </c>
      <c r="Q7462" s="102" t="s">
        <v>2501</v>
      </c>
      <c r="S7462" s="1"/>
      <c r="T7462" s="1"/>
      <c r="U7462" s="1"/>
      <c r="V7462" s="1"/>
      <c r="W7462" s="1"/>
      <c r="X7462" s="1"/>
      <c r="Y7462" s="1"/>
      <c r="AA7462" s="102"/>
      <c r="AB7462" s="1"/>
      <c r="AC7462" s="1"/>
      <c r="AD7462" s="1"/>
      <c r="AE7462" s="1"/>
      <c r="AF7462" s="1"/>
      <c r="AG7462" s="1"/>
    </row>
    <row r="7463" ht="15.75" customHeight="1">
      <c r="A7463" s="1"/>
      <c r="B7463" s="1"/>
      <c r="C7463" s="1"/>
      <c r="D7463" s="1"/>
      <c r="E7463" s="1"/>
      <c r="F7463" s="1"/>
      <c r="G7463" s="1"/>
      <c r="H7463" s="1"/>
      <c r="I7463" s="1"/>
      <c r="J7463" s="1"/>
      <c r="K7463" s="102" t="s">
        <v>11591</v>
      </c>
      <c r="L7463" s="102" t="str">
        <f>E1089</f>
        <v>J2b2a~</v>
      </c>
      <c r="M7463" s="102" t="s">
        <v>11592</v>
      </c>
      <c r="N7463" s="102" t="s">
        <v>11593</v>
      </c>
      <c r="O7463" s="105">
        <v>1.7182213E7</v>
      </c>
      <c r="P7463" s="105">
        <v>1.5070333E7</v>
      </c>
      <c r="Q7463" s="102" t="s">
        <v>2501</v>
      </c>
      <c r="S7463" s="1"/>
      <c r="T7463" s="1"/>
      <c r="U7463" s="1"/>
      <c r="V7463" s="1"/>
      <c r="W7463" s="1"/>
      <c r="X7463" s="1"/>
      <c r="Y7463" s="1"/>
      <c r="AA7463" s="102"/>
      <c r="AB7463" s="1"/>
      <c r="AC7463" s="1"/>
      <c r="AD7463" s="1"/>
      <c r="AE7463" s="1"/>
      <c r="AF7463" s="1"/>
      <c r="AG7463" s="1"/>
    </row>
    <row r="7464" ht="15.75" customHeight="1">
      <c r="A7464" s="1"/>
      <c r="B7464" s="1"/>
      <c r="C7464" s="1"/>
      <c r="D7464" s="1"/>
      <c r="E7464" s="1"/>
      <c r="F7464" s="1"/>
      <c r="G7464" s="1"/>
      <c r="H7464" s="1"/>
      <c r="I7464" s="1"/>
      <c r="J7464" s="1"/>
      <c r="K7464" s="102" t="s">
        <v>11592</v>
      </c>
      <c r="L7464" s="102" t="str">
        <f>E1089</f>
        <v>J2b2a~</v>
      </c>
      <c r="M7464" s="102" t="s">
        <v>11591</v>
      </c>
      <c r="N7464" s="102" t="s">
        <v>11593</v>
      </c>
      <c r="O7464" s="105">
        <v>1.7182213E7</v>
      </c>
      <c r="P7464" s="105">
        <v>1.5070333E7</v>
      </c>
      <c r="Q7464" s="102" t="s">
        <v>2501</v>
      </c>
      <c r="S7464" s="1"/>
      <c r="T7464" s="1"/>
      <c r="U7464" s="1"/>
      <c r="V7464" s="1"/>
      <c r="W7464" s="1"/>
      <c r="X7464" s="1"/>
      <c r="Y7464" s="1"/>
      <c r="AA7464" s="102"/>
      <c r="AB7464" s="1"/>
      <c r="AC7464" s="1"/>
      <c r="AD7464" s="1"/>
      <c r="AE7464" s="1"/>
      <c r="AF7464" s="1"/>
      <c r="AG7464" s="1"/>
    </row>
    <row r="7465" ht="15.75" customHeight="1">
      <c r="A7465" s="1"/>
      <c r="B7465" s="1"/>
      <c r="C7465" s="1"/>
      <c r="D7465" s="1"/>
      <c r="E7465" s="1"/>
      <c r="F7465" s="1"/>
      <c r="G7465" s="1"/>
      <c r="H7465" s="1"/>
      <c r="I7465" s="1"/>
      <c r="J7465" s="1"/>
      <c r="K7465" s="102" t="s">
        <v>11594</v>
      </c>
      <c r="L7465" s="102" t="str">
        <f>E1089</f>
        <v>J2b2a~</v>
      </c>
      <c r="M7465" s="102" t="s">
        <v>11595</v>
      </c>
      <c r="N7465" s="102" t="s">
        <v>11596</v>
      </c>
      <c r="O7465" s="105">
        <v>1.7411756E7</v>
      </c>
      <c r="P7465" s="105">
        <v>1.5299876E7</v>
      </c>
      <c r="Q7465" s="102" t="s">
        <v>2501</v>
      </c>
      <c r="S7465" s="1"/>
      <c r="T7465" s="1"/>
      <c r="U7465" s="1"/>
      <c r="V7465" s="1"/>
      <c r="W7465" s="1"/>
      <c r="X7465" s="1"/>
      <c r="Y7465" s="1"/>
      <c r="AA7465" s="102"/>
      <c r="AB7465" s="1"/>
      <c r="AC7465" s="1"/>
      <c r="AD7465" s="1"/>
      <c r="AE7465" s="1"/>
      <c r="AF7465" s="1"/>
      <c r="AG7465" s="1"/>
    </row>
    <row r="7466" ht="15.75" customHeight="1">
      <c r="A7466" s="1"/>
      <c r="B7466" s="1"/>
      <c r="C7466" s="1"/>
      <c r="D7466" s="1"/>
      <c r="E7466" s="1"/>
      <c r="F7466" s="1"/>
      <c r="G7466" s="1"/>
      <c r="H7466" s="1"/>
      <c r="I7466" s="1"/>
      <c r="J7466" s="1"/>
      <c r="K7466" s="102" t="s">
        <v>11595</v>
      </c>
      <c r="L7466" s="102" t="str">
        <f>E1089</f>
        <v>J2b2a~</v>
      </c>
      <c r="M7466" s="102" t="s">
        <v>11594</v>
      </c>
      <c r="N7466" s="102" t="s">
        <v>11596</v>
      </c>
      <c r="O7466" s="105">
        <v>1.7411756E7</v>
      </c>
      <c r="P7466" s="105">
        <v>1.5299876E7</v>
      </c>
      <c r="Q7466" s="102" t="s">
        <v>2501</v>
      </c>
      <c r="S7466" s="1"/>
      <c r="T7466" s="1"/>
      <c r="U7466" s="1"/>
      <c r="V7466" s="1"/>
      <c r="W7466" s="1"/>
      <c r="X7466" s="1"/>
      <c r="Y7466" s="1"/>
      <c r="AA7466" s="102"/>
      <c r="AB7466" s="1"/>
      <c r="AC7466" s="1"/>
      <c r="AD7466" s="1"/>
      <c r="AE7466" s="1"/>
      <c r="AF7466" s="1"/>
      <c r="AG7466" s="1"/>
    </row>
    <row r="7467" ht="15.75" customHeight="1">
      <c r="A7467" s="1"/>
      <c r="B7467" s="1"/>
      <c r="C7467" s="1"/>
      <c r="D7467" s="1"/>
      <c r="E7467" s="1"/>
      <c r="F7467" s="1"/>
      <c r="G7467" s="1"/>
      <c r="H7467" s="1"/>
      <c r="I7467" s="1"/>
      <c r="J7467" s="1"/>
      <c r="K7467" s="102" t="s">
        <v>11597</v>
      </c>
      <c r="L7467" s="102" t="str">
        <f>E1089</f>
        <v>J2b2a~</v>
      </c>
      <c r="M7467" s="102" t="s">
        <v>11598</v>
      </c>
      <c r="N7467" s="102" t="s">
        <v>11599</v>
      </c>
      <c r="O7467" s="105">
        <v>1.7413026E7</v>
      </c>
      <c r="P7467" s="105">
        <v>1.5301146E7</v>
      </c>
      <c r="Q7467" s="102" t="s">
        <v>2501</v>
      </c>
      <c r="S7467" s="1"/>
      <c r="T7467" s="1"/>
      <c r="U7467" s="1"/>
      <c r="V7467" s="1"/>
      <c r="W7467" s="1"/>
      <c r="X7467" s="1"/>
      <c r="Y7467" s="1"/>
      <c r="AA7467" s="102"/>
      <c r="AB7467" s="1"/>
      <c r="AC7467" s="1"/>
      <c r="AD7467" s="1"/>
      <c r="AE7467" s="1"/>
      <c r="AF7467" s="1"/>
      <c r="AG7467" s="1"/>
    </row>
    <row r="7468" ht="15.75" customHeight="1">
      <c r="A7468" s="1"/>
      <c r="B7468" s="1"/>
      <c r="C7468" s="1"/>
      <c r="D7468" s="1"/>
      <c r="E7468" s="1"/>
      <c r="F7468" s="1"/>
      <c r="G7468" s="1"/>
      <c r="H7468" s="1"/>
      <c r="I7468" s="1"/>
      <c r="J7468" s="1"/>
      <c r="K7468" s="102" t="s">
        <v>11598</v>
      </c>
      <c r="L7468" s="102" t="str">
        <f>E1089</f>
        <v>J2b2a~</v>
      </c>
      <c r="M7468" s="102" t="s">
        <v>11597</v>
      </c>
      <c r="N7468" s="102" t="s">
        <v>11599</v>
      </c>
      <c r="O7468" s="105">
        <v>1.7413026E7</v>
      </c>
      <c r="P7468" s="105">
        <v>1.5301146E7</v>
      </c>
      <c r="Q7468" s="102" t="s">
        <v>2501</v>
      </c>
      <c r="S7468" s="1"/>
      <c r="T7468" s="1"/>
      <c r="U7468" s="1"/>
      <c r="V7468" s="1"/>
      <c r="W7468" s="1"/>
      <c r="X7468" s="1"/>
      <c r="Y7468" s="1"/>
      <c r="AA7468" s="102"/>
      <c r="AB7468" s="1"/>
      <c r="AC7468" s="1"/>
      <c r="AD7468" s="1"/>
      <c r="AE7468" s="1"/>
      <c r="AF7468" s="1"/>
      <c r="AG7468" s="1"/>
    </row>
    <row r="7469" ht="15.75" customHeight="1">
      <c r="A7469" s="1"/>
      <c r="B7469" s="1"/>
      <c r="C7469" s="1"/>
      <c r="D7469" s="1"/>
      <c r="E7469" s="1"/>
      <c r="F7469" s="1"/>
      <c r="G7469" s="1"/>
      <c r="H7469" s="1"/>
      <c r="I7469" s="1"/>
      <c r="J7469" s="1"/>
      <c r="K7469" s="102" t="s">
        <v>11600</v>
      </c>
      <c r="L7469" s="102" t="str">
        <f>E1089</f>
        <v>J2b2a~</v>
      </c>
      <c r="M7469" s="102" t="s">
        <v>11601</v>
      </c>
      <c r="N7469" s="102" t="s">
        <v>11602</v>
      </c>
      <c r="O7469" s="105">
        <v>1.8869426E7</v>
      </c>
      <c r="P7469" s="105">
        <v>1.6757546E7</v>
      </c>
      <c r="Q7469" s="102" t="s">
        <v>2501</v>
      </c>
      <c r="S7469" s="1"/>
      <c r="T7469" s="1"/>
      <c r="U7469" s="1"/>
      <c r="V7469" s="1"/>
      <c r="W7469" s="1"/>
      <c r="X7469" s="1"/>
      <c r="Y7469" s="1"/>
      <c r="AA7469" s="102"/>
      <c r="AB7469" s="1"/>
      <c r="AC7469" s="1"/>
      <c r="AD7469" s="1"/>
      <c r="AE7469" s="1"/>
      <c r="AF7469" s="1"/>
      <c r="AG7469" s="1"/>
    </row>
    <row r="7470" ht="15.75" customHeight="1">
      <c r="A7470" s="1"/>
      <c r="B7470" s="1"/>
      <c r="C7470" s="1"/>
      <c r="D7470" s="1"/>
      <c r="E7470" s="1"/>
      <c r="F7470" s="1"/>
      <c r="G7470" s="1"/>
      <c r="H7470" s="1"/>
      <c r="I7470" s="1"/>
      <c r="J7470" s="1"/>
      <c r="K7470" s="102" t="s">
        <v>11603</v>
      </c>
      <c r="L7470" s="102" t="str">
        <f>E1089</f>
        <v>J2b2a~</v>
      </c>
      <c r="M7470" s="102" t="s">
        <v>11604</v>
      </c>
      <c r="N7470" s="102" t="s">
        <v>11602</v>
      </c>
      <c r="O7470" s="105">
        <v>1.8869426E7</v>
      </c>
      <c r="P7470" s="105">
        <v>1.6757546E7</v>
      </c>
      <c r="Q7470" s="102" t="s">
        <v>2501</v>
      </c>
      <c r="S7470" s="1"/>
      <c r="T7470" s="1"/>
      <c r="U7470" s="1"/>
      <c r="V7470" s="1"/>
      <c r="W7470" s="1"/>
      <c r="X7470" s="1"/>
      <c r="Y7470" s="1"/>
      <c r="AA7470" s="102"/>
      <c r="AB7470" s="1"/>
      <c r="AC7470" s="1"/>
      <c r="AD7470" s="1"/>
      <c r="AE7470" s="1"/>
      <c r="AF7470" s="1"/>
      <c r="AG7470" s="1"/>
    </row>
    <row r="7471" ht="15.75" customHeight="1">
      <c r="A7471" s="1"/>
      <c r="B7471" s="1"/>
      <c r="C7471" s="1"/>
      <c r="D7471" s="1"/>
      <c r="E7471" s="1"/>
      <c r="F7471" s="1"/>
      <c r="G7471" s="1"/>
      <c r="H7471" s="1"/>
      <c r="I7471" s="1"/>
      <c r="J7471" s="1"/>
      <c r="K7471" s="102" t="s">
        <v>11605</v>
      </c>
      <c r="L7471" s="102" t="str">
        <f>E1089</f>
        <v>J2b2a~</v>
      </c>
      <c r="M7471" s="102" t="s">
        <v>11606</v>
      </c>
      <c r="N7471" s="102" t="s">
        <v>11602</v>
      </c>
      <c r="O7471" s="105">
        <v>1.8869426E7</v>
      </c>
      <c r="P7471" s="105">
        <v>1.6757546E7</v>
      </c>
      <c r="Q7471" s="102" t="s">
        <v>2501</v>
      </c>
      <c r="S7471" s="1"/>
      <c r="T7471" s="1"/>
      <c r="U7471" s="1"/>
      <c r="V7471" s="1"/>
      <c r="W7471" s="1"/>
      <c r="X7471" s="1"/>
      <c r="Y7471" s="1"/>
      <c r="AA7471" s="102"/>
      <c r="AB7471" s="1"/>
      <c r="AC7471" s="1"/>
      <c r="AD7471" s="1"/>
      <c r="AE7471" s="1"/>
      <c r="AF7471" s="1"/>
      <c r="AG7471" s="1"/>
    </row>
    <row r="7472" ht="15.75" customHeight="1">
      <c r="A7472" s="1"/>
      <c r="B7472" s="1"/>
      <c r="C7472" s="1"/>
      <c r="D7472" s="1"/>
      <c r="E7472" s="1"/>
      <c r="F7472" s="1"/>
      <c r="G7472" s="1"/>
      <c r="H7472" s="1"/>
      <c r="I7472" s="1"/>
      <c r="J7472" s="1"/>
      <c r="K7472" s="102" t="s">
        <v>11607</v>
      </c>
      <c r="L7472" s="102" t="str">
        <f>E1089</f>
        <v>J2b2a~</v>
      </c>
      <c r="M7472" s="106" t="s">
        <v>11608</v>
      </c>
      <c r="N7472" s="102" t="s">
        <v>11609</v>
      </c>
      <c r="O7472" s="105">
        <v>2.1301614E7</v>
      </c>
      <c r="P7472" s="105">
        <v>1.9139728E7</v>
      </c>
      <c r="Q7472" s="102" t="s">
        <v>2529</v>
      </c>
      <c r="S7472" s="1"/>
      <c r="T7472" s="1"/>
      <c r="U7472" s="1"/>
      <c r="V7472" s="1"/>
      <c r="W7472" s="1"/>
      <c r="X7472" s="1"/>
      <c r="Y7472" s="1"/>
      <c r="AA7472" s="102"/>
      <c r="AB7472" s="1"/>
      <c r="AC7472" s="1"/>
      <c r="AD7472" s="1"/>
      <c r="AE7472" s="1"/>
      <c r="AF7472" s="1"/>
      <c r="AG7472" s="1"/>
    </row>
    <row r="7473" ht="15.75" customHeight="1">
      <c r="A7473" s="1"/>
      <c r="B7473" s="1"/>
      <c r="C7473" s="1"/>
      <c r="D7473" s="1"/>
      <c r="E7473" s="1"/>
      <c r="F7473" s="1"/>
      <c r="G7473" s="1"/>
      <c r="H7473" s="1"/>
      <c r="I7473" s="1"/>
      <c r="J7473" s="1"/>
      <c r="K7473" s="106" t="s">
        <v>11608</v>
      </c>
      <c r="L7473" s="102" t="str">
        <f>E1089</f>
        <v>J2b2a~</v>
      </c>
      <c r="M7473" s="102" t="s">
        <v>11607</v>
      </c>
      <c r="N7473" s="102" t="s">
        <v>11609</v>
      </c>
      <c r="O7473" s="105">
        <v>2.1301614E7</v>
      </c>
      <c r="P7473" s="105">
        <v>1.9139728E7</v>
      </c>
      <c r="Q7473" s="102" t="s">
        <v>2529</v>
      </c>
      <c r="S7473" s="1"/>
      <c r="T7473" s="1"/>
      <c r="U7473" s="1"/>
      <c r="V7473" s="1"/>
      <c r="W7473" s="1"/>
      <c r="X7473" s="1"/>
      <c r="Y7473" s="1"/>
      <c r="AA7473" s="102"/>
      <c r="AB7473" s="1"/>
      <c r="AC7473" s="1"/>
      <c r="AD7473" s="1"/>
      <c r="AE7473" s="1"/>
      <c r="AF7473" s="1"/>
      <c r="AG7473" s="1"/>
    </row>
    <row r="7474" ht="15.75" customHeight="1">
      <c r="A7474" s="1"/>
      <c r="B7474" s="1"/>
      <c r="C7474" s="1"/>
      <c r="D7474" s="1"/>
      <c r="E7474" s="1"/>
      <c r="F7474" s="1"/>
      <c r="G7474" s="1"/>
      <c r="H7474" s="1"/>
      <c r="I7474" s="1"/>
      <c r="J7474" s="1"/>
      <c r="K7474" s="102" t="s">
        <v>11610</v>
      </c>
      <c r="L7474" s="102" t="str">
        <f>E1089</f>
        <v>J2b2a~</v>
      </c>
      <c r="M7474" s="102" t="s">
        <v>11611</v>
      </c>
      <c r="N7474" s="102" t="s">
        <v>11612</v>
      </c>
      <c r="O7474" s="105">
        <v>2.1509244E7</v>
      </c>
      <c r="P7474" s="105">
        <v>1.9347358E7</v>
      </c>
      <c r="Q7474" s="102" t="s">
        <v>2576</v>
      </c>
      <c r="S7474" s="1"/>
      <c r="T7474" s="1"/>
      <c r="U7474" s="1"/>
      <c r="V7474" s="1"/>
      <c r="W7474" s="1"/>
      <c r="X7474" s="1"/>
      <c r="Y7474" s="1"/>
      <c r="AA7474" s="102" t="s">
        <v>11613</v>
      </c>
      <c r="AB7474" s="1"/>
      <c r="AC7474" s="1"/>
      <c r="AD7474" s="1"/>
      <c r="AE7474" s="1"/>
      <c r="AF7474" s="1"/>
      <c r="AG7474" s="1"/>
    </row>
    <row r="7475" ht="15.75" customHeight="1">
      <c r="A7475" s="1"/>
      <c r="B7475" s="1"/>
      <c r="C7475" s="1"/>
      <c r="D7475" s="1"/>
      <c r="E7475" s="1"/>
      <c r="F7475" s="1"/>
      <c r="G7475" s="1"/>
      <c r="H7475" s="1"/>
      <c r="I7475" s="1"/>
      <c r="J7475" s="1"/>
      <c r="K7475" s="102" t="s">
        <v>11611</v>
      </c>
      <c r="L7475" s="102" t="str">
        <f>E1089</f>
        <v>J2b2a~</v>
      </c>
      <c r="M7475" s="102" t="s">
        <v>11610</v>
      </c>
      <c r="N7475" s="102" t="s">
        <v>11612</v>
      </c>
      <c r="O7475" s="105">
        <v>2.1509244E7</v>
      </c>
      <c r="P7475" s="105">
        <v>1.9347358E7</v>
      </c>
      <c r="Q7475" s="102" t="s">
        <v>2576</v>
      </c>
      <c r="S7475" s="1"/>
      <c r="T7475" s="1"/>
      <c r="U7475" s="1"/>
      <c r="V7475" s="1"/>
      <c r="W7475" s="1"/>
      <c r="X7475" s="1"/>
      <c r="Y7475" s="1"/>
      <c r="AA7475" s="102"/>
      <c r="AB7475" s="1"/>
      <c r="AC7475" s="1"/>
      <c r="AD7475" s="1"/>
      <c r="AE7475" s="1"/>
      <c r="AF7475" s="1"/>
      <c r="AG7475" s="1"/>
    </row>
    <row r="7476" ht="15.75" customHeight="1">
      <c r="A7476" s="1"/>
      <c r="B7476" s="1"/>
      <c r="C7476" s="1"/>
      <c r="D7476" s="1"/>
      <c r="E7476" s="1"/>
      <c r="F7476" s="1"/>
      <c r="G7476" s="1"/>
      <c r="H7476" s="1"/>
      <c r="I7476" s="1"/>
      <c r="J7476" s="1"/>
      <c r="K7476" s="102" t="s">
        <v>11614</v>
      </c>
      <c r="L7476" s="102" t="str">
        <f>E1089</f>
        <v>J2b2a~</v>
      </c>
      <c r="M7476" s="102" t="s">
        <v>11615</v>
      </c>
      <c r="N7476" s="102" t="s">
        <v>11616</v>
      </c>
      <c r="O7476" s="105">
        <v>2.151193E7</v>
      </c>
      <c r="P7476" s="105">
        <v>1.9350044E7</v>
      </c>
      <c r="Q7476" s="102" t="s">
        <v>2468</v>
      </c>
      <c r="S7476" s="1"/>
      <c r="T7476" s="1"/>
      <c r="U7476" s="1"/>
      <c r="V7476" s="1"/>
      <c r="W7476" s="1"/>
      <c r="X7476" s="1"/>
      <c r="Y7476" s="1"/>
      <c r="AA7476" s="102"/>
      <c r="AB7476" s="1"/>
      <c r="AC7476" s="1"/>
      <c r="AD7476" s="1"/>
      <c r="AE7476" s="1"/>
      <c r="AF7476" s="1"/>
      <c r="AG7476" s="1"/>
    </row>
    <row r="7477" ht="15.75" customHeight="1">
      <c r="A7477" s="1"/>
      <c r="B7477" s="1"/>
      <c r="C7477" s="1"/>
      <c r="D7477" s="1"/>
      <c r="E7477" s="1"/>
      <c r="F7477" s="1"/>
      <c r="G7477" s="1"/>
      <c r="H7477" s="1"/>
      <c r="I7477" s="1"/>
      <c r="J7477" s="1"/>
      <c r="K7477" s="102" t="s">
        <v>11615</v>
      </c>
      <c r="L7477" s="102" t="str">
        <f>E1089</f>
        <v>J2b2a~</v>
      </c>
      <c r="M7477" s="102" t="s">
        <v>11614</v>
      </c>
      <c r="N7477" s="102" t="s">
        <v>11616</v>
      </c>
      <c r="O7477" s="105">
        <v>2.151193E7</v>
      </c>
      <c r="P7477" s="105">
        <v>1.9350044E7</v>
      </c>
      <c r="Q7477" s="102" t="s">
        <v>2468</v>
      </c>
      <c r="S7477" s="1"/>
      <c r="T7477" s="1"/>
      <c r="U7477" s="1"/>
      <c r="V7477" s="1"/>
      <c r="W7477" s="1"/>
      <c r="X7477" s="1"/>
      <c r="Y7477" s="1"/>
      <c r="AA7477" s="102"/>
      <c r="AB7477" s="1"/>
      <c r="AC7477" s="1"/>
      <c r="AD7477" s="1"/>
      <c r="AE7477" s="1"/>
      <c r="AF7477" s="1"/>
      <c r="AG7477" s="1"/>
    </row>
    <row r="7478" ht="15.75" customHeight="1">
      <c r="A7478" s="1"/>
      <c r="B7478" s="1"/>
      <c r="C7478" s="1"/>
      <c r="D7478" s="1"/>
      <c r="E7478" s="1"/>
      <c r="F7478" s="1"/>
      <c r="G7478" s="1"/>
      <c r="H7478" s="1"/>
      <c r="I7478" s="1"/>
      <c r="J7478" s="1"/>
      <c r="K7478" s="102" t="s">
        <v>11617</v>
      </c>
      <c r="L7478" s="102" t="str">
        <f>E1089</f>
        <v>J2b2a~</v>
      </c>
      <c r="M7478" s="102" t="s">
        <v>11618</v>
      </c>
      <c r="N7478" s="102" t="s">
        <v>11619</v>
      </c>
      <c r="O7478" s="105">
        <v>2.1608912E7</v>
      </c>
      <c r="P7478" s="105">
        <v>1.9447026E7</v>
      </c>
      <c r="Q7478" s="102" t="s">
        <v>2468</v>
      </c>
      <c r="S7478" s="1"/>
      <c r="T7478" s="1"/>
      <c r="U7478" s="1"/>
      <c r="V7478" s="1"/>
      <c r="W7478" s="1"/>
      <c r="X7478" s="1"/>
      <c r="Y7478" s="1"/>
      <c r="AA7478" s="102"/>
      <c r="AB7478" s="1"/>
      <c r="AC7478" s="1"/>
      <c r="AD7478" s="1"/>
      <c r="AE7478" s="1"/>
      <c r="AF7478" s="1"/>
      <c r="AG7478" s="1"/>
    </row>
    <row r="7479" ht="15.75" customHeight="1">
      <c r="A7479" s="1"/>
      <c r="B7479" s="1"/>
      <c r="C7479" s="1"/>
      <c r="D7479" s="1"/>
      <c r="E7479" s="1"/>
      <c r="F7479" s="1"/>
      <c r="G7479" s="1"/>
      <c r="H7479" s="1"/>
      <c r="I7479" s="1"/>
      <c r="J7479" s="1"/>
      <c r="K7479" s="102" t="s">
        <v>11618</v>
      </c>
      <c r="L7479" s="102" t="str">
        <f>E1089</f>
        <v>J2b2a~</v>
      </c>
      <c r="M7479" s="102" t="s">
        <v>11617</v>
      </c>
      <c r="N7479" s="102" t="s">
        <v>11619</v>
      </c>
      <c r="O7479" s="105">
        <v>2.1608912E7</v>
      </c>
      <c r="P7479" s="105">
        <v>1.9447026E7</v>
      </c>
      <c r="Q7479" s="102" t="s">
        <v>2468</v>
      </c>
      <c r="S7479" s="1"/>
      <c r="T7479" s="1"/>
      <c r="U7479" s="1"/>
      <c r="V7479" s="1"/>
      <c r="W7479" s="1"/>
      <c r="X7479" s="1"/>
      <c r="Y7479" s="1"/>
      <c r="AA7479" s="102"/>
      <c r="AB7479" s="1"/>
      <c r="AC7479" s="1"/>
      <c r="AD7479" s="1"/>
      <c r="AE7479" s="1"/>
      <c r="AF7479" s="1"/>
      <c r="AG7479" s="1"/>
    </row>
    <row r="7480" ht="15.75" customHeight="1">
      <c r="A7480" s="1"/>
      <c r="B7480" s="1"/>
      <c r="C7480" s="1"/>
      <c r="D7480" s="1"/>
      <c r="E7480" s="1"/>
      <c r="F7480" s="1"/>
      <c r="G7480" s="1"/>
      <c r="H7480" s="1"/>
      <c r="I7480" s="1"/>
      <c r="J7480" s="1"/>
      <c r="K7480" s="102" t="s">
        <v>11620</v>
      </c>
      <c r="L7480" s="102" t="str">
        <f>E1089</f>
        <v>J2b2a~</v>
      </c>
      <c r="M7480" s="102" t="s">
        <v>11621</v>
      </c>
      <c r="N7480" s="102" t="s">
        <v>11622</v>
      </c>
      <c r="O7480" s="105">
        <v>2.1720207E7</v>
      </c>
      <c r="P7480" s="105">
        <v>1.9558321E7</v>
      </c>
      <c r="Q7480" s="102" t="s">
        <v>2468</v>
      </c>
      <c r="S7480" s="1"/>
      <c r="T7480" s="1"/>
      <c r="U7480" s="1"/>
      <c r="V7480" s="1"/>
      <c r="W7480" s="1"/>
      <c r="X7480" s="1"/>
      <c r="Y7480" s="1"/>
      <c r="AA7480" s="102"/>
      <c r="AB7480" s="1"/>
      <c r="AC7480" s="1"/>
      <c r="AD7480" s="1"/>
      <c r="AE7480" s="1"/>
      <c r="AF7480" s="1"/>
      <c r="AG7480" s="1"/>
    </row>
    <row r="7481" ht="15.75" customHeight="1">
      <c r="A7481" s="1"/>
      <c r="B7481" s="1"/>
      <c r="C7481" s="1"/>
      <c r="D7481" s="1"/>
      <c r="E7481" s="1"/>
      <c r="F7481" s="1"/>
      <c r="G7481" s="1"/>
      <c r="H7481" s="1"/>
      <c r="I7481" s="1"/>
      <c r="J7481" s="1"/>
      <c r="K7481" s="102" t="s">
        <v>11623</v>
      </c>
      <c r="L7481" s="102" t="str">
        <f>E1089</f>
        <v>J2b2a~</v>
      </c>
      <c r="M7481" s="102" t="s">
        <v>11624</v>
      </c>
      <c r="N7481" s="102" t="s">
        <v>11622</v>
      </c>
      <c r="O7481" s="105">
        <v>2.1720207E7</v>
      </c>
      <c r="P7481" s="105">
        <v>1.9558321E7</v>
      </c>
      <c r="Q7481" s="102" t="s">
        <v>2468</v>
      </c>
      <c r="S7481" s="1"/>
      <c r="T7481" s="1"/>
      <c r="U7481" s="1"/>
      <c r="V7481" s="1"/>
      <c r="W7481" s="1"/>
      <c r="X7481" s="1"/>
      <c r="Y7481" s="1"/>
      <c r="AA7481" s="102"/>
      <c r="AB7481" s="1"/>
      <c r="AC7481" s="1"/>
      <c r="AD7481" s="1"/>
      <c r="AE7481" s="1"/>
      <c r="AF7481" s="1"/>
      <c r="AG7481" s="1"/>
    </row>
    <row r="7482" ht="15.75" customHeight="1">
      <c r="A7482" s="1"/>
      <c r="B7482" s="1"/>
      <c r="C7482" s="1"/>
      <c r="D7482" s="1"/>
      <c r="E7482" s="1"/>
      <c r="F7482" s="1"/>
      <c r="G7482" s="1"/>
      <c r="H7482" s="1"/>
      <c r="I7482" s="1"/>
      <c r="J7482" s="1"/>
      <c r="K7482" s="102" t="s">
        <v>11625</v>
      </c>
      <c r="L7482" s="102" t="str">
        <f>E1089</f>
        <v>J2b2a~</v>
      </c>
      <c r="M7482" s="102" t="s">
        <v>11626</v>
      </c>
      <c r="N7482" s="102" t="s">
        <v>11622</v>
      </c>
      <c r="O7482" s="105">
        <v>2.1720207E7</v>
      </c>
      <c r="P7482" s="105">
        <v>1.9558321E7</v>
      </c>
      <c r="Q7482" s="102" t="s">
        <v>2468</v>
      </c>
      <c r="S7482" s="1"/>
      <c r="T7482" s="1"/>
      <c r="U7482" s="1"/>
      <c r="V7482" s="1"/>
      <c r="W7482" s="1"/>
      <c r="X7482" s="1"/>
      <c r="Y7482" s="1"/>
      <c r="AA7482" s="102"/>
      <c r="AB7482" s="1"/>
      <c r="AC7482" s="1"/>
      <c r="AD7482" s="1"/>
      <c r="AE7482" s="1"/>
      <c r="AF7482" s="1"/>
      <c r="AG7482" s="1"/>
    </row>
    <row r="7483" ht="15.75" customHeight="1">
      <c r="A7483" s="1"/>
      <c r="B7483" s="1"/>
      <c r="C7483" s="1"/>
      <c r="D7483" s="1"/>
      <c r="E7483" s="1"/>
      <c r="F7483" s="1"/>
      <c r="G7483" s="1"/>
      <c r="H7483" s="1"/>
      <c r="I7483" s="1"/>
      <c r="J7483" s="1"/>
      <c r="K7483" s="102" t="s">
        <v>11627</v>
      </c>
      <c r="L7483" s="102" t="str">
        <f>E1089</f>
        <v>J2b2a~</v>
      </c>
      <c r="M7483" s="102" t="s">
        <v>11628</v>
      </c>
      <c r="N7483" s="102" t="s">
        <v>11629</v>
      </c>
      <c r="O7483" s="105">
        <v>2.3069174E7</v>
      </c>
      <c r="P7483" s="105">
        <v>2.0907288E7</v>
      </c>
      <c r="Q7483" s="102" t="s">
        <v>2454</v>
      </c>
      <c r="S7483" s="1"/>
      <c r="T7483" s="1"/>
      <c r="U7483" s="1"/>
      <c r="V7483" s="1"/>
      <c r="W7483" s="1"/>
      <c r="X7483" s="1"/>
      <c r="Y7483" s="1"/>
      <c r="AA7483" s="102"/>
      <c r="AB7483" s="1"/>
      <c r="AC7483" s="1"/>
      <c r="AD7483" s="1"/>
      <c r="AE7483" s="1"/>
      <c r="AF7483" s="1"/>
      <c r="AG7483" s="1"/>
    </row>
    <row r="7484" ht="15.75" customHeight="1">
      <c r="A7484" s="1"/>
      <c r="B7484" s="1"/>
      <c r="C7484" s="1"/>
      <c r="D7484" s="1"/>
      <c r="E7484" s="1"/>
      <c r="F7484" s="1"/>
      <c r="G7484" s="1"/>
      <c r="H7484" s="1"/>
      <c r="I7484" s="1"/>
      <c r="J7484" s="1"/>
      <c r="K7484" s="102" t="s">
        <v>11628</v>
      </c>
      <c r="L7484" s="102" t="str">
        <f>E1089</f>
        <v>J2b2a~</v>
      </c>
      <c r="M7484" s="102" t="s">
        <v>11627</v>
      </c>
      <c r="N7484" s="102" t="s">
        <v>11629</v>
      </c>
      <c r="O7484" s="105">
        <v>2.3069174E7</v>
      </c>
      <c r="P7484" s="105">
        <v>2.0907288E7</v>
      </c>
      <c r="Q7484" s="102" t="s">
        <v>2454</v>
      </c>
      <c r="S7484" s="1"/>
      <c r="T7484" s="1"/>
      <c r="U7484" s="1"/>
      <c r="V7484" s="1"/>
      <c r="W7484" s="1"/>
      <c r="X7484" s="1"/>
      <c r="Y7484" s="1"/>
      <c r="AA7484" s="102"/>
      <c r="AB7484" s="1"/>
      <c r="AC7484" s="1"/>
      <c r="AD7484" s="1"/>
      <c r="AE7484" s="1"/>
      <c r="AF7484" s="1"/>
      <c r="AG7484" s="1"/>
    </row>
    <row r="7485" ht="15.75" customHeight="1">
      <c r="A7485" s="1"/>
      <c r="B7485" s="1"/>
      <c r="C7485" s="1"/>
      <c r="D7485" s="1"/>
      <c r="E7485" s="1"/>
      <c r="F7485" s="1"/>
      <c r="G7485" s="1"/>
      <c r="H7485" s="1"/>
      <c r="I7485" s="1"/>
      <c r="J7485" s="1"/>
      <c r="K7485" s="102" t="s">
        <v>11630</v>
      </c>
      <c r="L7485" s="102" t="str">
        <f>E1089</f>
        <v>J2b2a~</v>
      </c>
      <c r="M7485" s="102" t="s">
        <v>11631</v>
      </c>
      <c r="N7485" s="102" t="s">
        <v>11632</v>
      </c>
      <c r="O7485" s="105">
        <v>6888387.0</v>
      </c>
      <c r="P7485" s="105">
        <v>7020346.0</v>
      </c>
      <c r="Q7485" s="102" t="s">
        <v>2501</v>
      </c>
      <c r="S7485" s="1"/>
      <c r="T7485" s="1"/>
      <c r="U7485" s="1"/>
      <c r="V7485" s="1"/>
      <c r="W7485" s="1"/>
      <c r="X7485" s="1"/>
      <c r="Y7485" s="1"/>
      <c r="AA7485" s="102"/>
      <c r="AB7485" s="1"/>
      <c r="AC7485" s="1"/>
      <c r="AD7485" s="1"/>
      <c r="AE7485" s="1"/>
      <c r="AF7485" s="1"/>
      <c r="AG7485" s="1"/>
    </row>
    <row r="7486" ht="15.75" customHeight="1">
      <c r="A7486" s="1"/>
      <c r="B7486" s="1"/>
      <c r="C7486" s="1"/>
      <c r="D7486" s="1"/>
      <c r="E7486" s="1"/>
      <c r="F7486" s="1"/>
      <c r="G7486" s="1"/>
      <c r="H7486" s="1"/>
      <c r="I7486" s="1"/>
      <c r="J7486" s="1"/>
      <c r="K7486" s="102" t="s">
        <v>11631</v>
      </c>
      <c r="L7486" s="102" t="str">
        <f>E1089</f>
        <v>J2b2a~</v>
      </c>
      <c r="M7486" s="102" t="s">
        <v>11630</v>
      </c>
      <c r="N7486" s="102" t="s">
        <v>11632</v>
      </c>
      <c r="O7486" s="105">
        <v>6888387.0</v>
      </c>
      <c r="P7486" s="105">
        <v>7020346.0</v>
      </c>
      <c r="Q7486" s="102" t="s">
        <v>2501</v>
      </c>
      <c r="S7486" s="1"/>
      <c r="T7486" s="1"/>
      <c r="U7486" s="1"/>
      <c r="V7486" s="1"/>
      <c r="W7486" s="1"/>
      <c r="X7486" s="1"/>
      <c r="Y7486" s="1"/>
      <c r="AA7486" s="102"/>
      <c r="AB7486" s="1"/>
      <c r="AC7486" s="1"/>
      <c r="AD7486" s="1"/>
      <c r="AE7486" s="1"/>
      <c r="AF7486" s="1"/>
      <c r="AG7486" s="1"/>
    </row>
    <row r="7487" ht="15.75" customHeight="1">
      <c r="A7487" s="1"/>
      <c r="B7487" s="1"/>
      <c r="C7487" s="1"/>
      <c r="D7487" s="1"/>
      <c r="E7487" s="1"/>
      <c r="F7487" s="1"/>
      <c r="G7487" s="1"/>
      <c r="H7487" s="1"/>
      <c r="I7487" s="1"/>
      <c r="J7487" s="1"/>
      <c r="K7487" s="102" t="s">
        <v>11633</v>
      </c>
      <c r="L7487" s="102" t="str">
        <f>E1089</f>
        <v>J2b2a~</v>
      </c>
      <c r="M7487" s="102" t="s">
        <v>11634</v>
      </c>
      <c r="N7487" s="102" t="s">
        <v>11635</v>
      </c>
      <c r="O7487" s="105">
        <v>7130289.0</v>
      </c>
      <c r="P7487" s="105">
        <v>7262248.0</v>
      </c>
      <c r="Q7487" s="102" t="s">
        <v>2576</v>
      </c>
      <c r="S7487" s="1"/>
      <c r="T7487" s="1"/>
      <c r="U7487" s="1"/>
      <c r="V7487" s="1"/>
      <c r="W7487" s="1"/>
      <c r="X7487" s="1"/>
      <c r="Y7487" s="1"/>
      <c r="AA7487" s="102"/>
      <c r="AB7487" s="1"/>
      <c r="AC7487" s="1"/>
      <c r="AD7487" s="1"/>
      <c r="AE7487" s="1"/>
      <c r="AF7487" s="1"/>
      <c r="AG7487" s="1"/>
    </row>
    <row r="7488" ht="15.75" customHeight="1">
      <c r="A7488" s="1"/>
      <c r="B7488" s="1"/>
      <c r="C7488" s="1"/>
      <c r="D7488" s="1"/>
      <c r="E7488" s="1"/>
      <c r="F7488" s="1"/>
      <c r="G7488" s="1"/>
      <c r="H7488" s="1"/>
      <c r="I7488" s="1"/>
      <c r="J7488" s="1"/>
      <c r="K7488" s="102" t="s">
        <v>11634</v>
      </c>
      <c r="L7488" s="102" t="str">
        <f>E1089</f>
        <v>J2b2a~</v>
      </c>
      <c r="M7488" s="102" t="s">
        <v>11633</v>
      </c>
      <c r="N7488" s="102" t="s">
        <v>11635</v>
      </c>
      <c r="O7488" s="105">
        <v>7130289.0</v>
      </c>
      <c r="P7488" s="105">
        <v>7262248.0</v>
      </c>
      <c r="Q7488" s="102" t="s">
        <v>2576</v>
      </c>
      <c r="S7488" s="1"/>
      <c r="T7488" s="1"/>
      <c r="U7488" s="1"/>
      <c r="V7488" s="1"/>
      <c r="W7488" s="1"/>
      <c r="X7488" s="1"/>
      <c r="Y7488" s="1"/>
      <c r="AA7488" s="102"/>
      <c r="AB7488" s="1"/>
      <c r="AC7488" s="1"/>
      <c r="AD7488" s="1"/>
      <c r="AE7488" s="1"/>
      <c r="AF7488" s="1"/>
      <c r="AG7488" s="1"/>
    </row>
    <row r="7489" ht="15.75" customHeight="1">
      <c r="A7489" s="1"/>
      <c r="B7489" s="1"/>
      <c r="C7489" s="1"/>
      <c r="D7489" s="1"/>
      <c r="E7489" s="1"/>
      <c r="F7489" s="1"/>
      <c r="G7489" s="1"/>
      <c r="H7489" s="1"/>
      <c r="I7489" s="1"/>
      <c r="J7489" s="1"/>
      <c r="K7489" s="102" t="s">
        <v>11636</v>
      </c>
      <c r="L7489" s="102" t="str">
        <f>E1089</f>
        <v>J2b2a~</v>
      </c>
      <c r="M7489" s="102" t="s">
        <v>11637</v>
      </c>
      <c r="N7489" s="102" t="s">
        <v>11638</v>
      </c>
      <c r="O7489" s="105">
        <v>1.789962E7</v>
      </c>
      <c r="P7489" s="105">
        <v>1.578774E7</v>
      </c>
      <c r="Q7489" s="102" t="s">
        <v>2529</v>
      </c>
      <c r="S7489" s="1"/>
      <c r="T7489" s="1"/>
      <c r="U7489" s="1"/>
      <c r="V7489" s="1"/>
      <c r="W7489" s="1"/>
      <c r="X7489" s="1"/>
      <c r="Y7489" s="1"/>
      <c r="AA7489" s="102"/>
      <c r="AB7489" s="1"/>
      <c r="AC7489" s="1"/>
      <c r="AD7489" s="1"/>
      <c r="AE7489" s="1"/>
      <c r="AF7489" s="1"/>
      <c r="AG7489" s="1"/>
    </row>
    <row r="7490" ht="15.75" customHeight="1">
      <c r="A7490" s="1"/>
      <c r="B7490" s="1"/>
      <c r="C7490" s="1"/>
      <c r="D7490" s="1"/>
      <c r="E7490" s="1"/>
      <c r="F7490" s="1"/>
      <c r="G7490" s="1"/>
      <c r="H7490" s="1"/>
      <c r="I7490" s="1"/>
      <c r="J7490" s="1"/>
      <c r="K7490" s="102" t="s">
        <v>11637</v>
      </c>
      <c r="L7490" s="102" t="str">
        <f>E1089</f>
        <v>J2b2a~</v>
      </c>
      <c r="M7490" s="102" t="s">
        <v>11636</v>
      </c>
      <c r="N7490" s="102" t="s">
        <v>11638</v>
      </c>
      <c r="O7490" s="105">
        <v>1.789962E7</v>
      </c>
      <c r="P7490" s="105">
        <v>1.578774E7</v>
      </c>
      <c r="Q7490" s="102" t="s">
        <v>2529</v>
      </c>
      <c r="S7490" s="1"/>
      <c r="T7490" s="1"/>
      <c r="U7490" s="1"/>
      <c r="V7490" s="1"/>
      <c r="W7490" s="1"/>
      <c r="X7490" s="1"/>
      <c r="Y7490" s="1"/>
      <c r="AA7490" s="102"/>
      <c r="AB7490" s="1"/>
      <c r="AC7490" s="1"/>
      <c r="AD7490" s="1"/>
      <c r="AE7490" s="1"/>
      <c r="AF7490" s="1"/>
      <c r="AG7490" s="1"/>
    </row>
    <row r="7491" ht="15.75" customHeight="1">
      <c r="A7491" s="1"/>
      <c r="B7491" s="1"/>
      <c r="C7491" s="1"/>
      <c r="D7491" s="1"/>
      <c r="E7491" s="1"/>
      <c r="F7491" s="1"/>
      <c r="G7491" s="1"/>
      <c r="H7491" s="1"/>
      <c r="I7491" s="1"/>
      <c r="J7491" s="1"/>
      <c r="K7491" s="102" t="s">
        <v>11639</v>
      </c>
      <c r="L7491" s="102" t="str">
        <f>E1089</f>
        <v>J2b2a~</v>
      </c>
      <c r="M7491" s="102" t="s">
        <v>11640</v>
      </c>
      <c r="N7491" s="102" t="s">
        <v>11641</v>
      </c>
      <c r="O7491" s="105">
        <v>1.3199999E7</v>
      </c>
      <c r="P7491" s="105">
        <v>1.1044323E7</v>
      </c>
      <c r="Q7491" s="102" t="s">
        <v>2446</v>
      </c>
      <c r="S7491" s="1"/>
      <c r="T7491" s="1"/>
      <c r="U7491" s="1"/>
      <c r="V7491" s="1"/>
      <c r="W7491" s="1"/>
      <c r="X7491" s="1"/>
      <c r="Y7491" s="1"/>
      <c r="AA7491" s="102"/>
      <c r="AB7491" s="1"/>
      <c r="AC7491" s="1"/>
      <c r="AD7491" s="1"/>
      <c r="AE7491" s="1"/>
      <c r="AF7491" s="1"/>
      <c r="AG7491" s="1"/>
    </row>
    <row r="7492" ht="15.75" customHeight="1">
      <c r="A7492" s="1"/>
      <c r="B7492" s="1"/>
      <c r="C7492" s="1"/>
      <c r="D7492" s="1"/>
      <c r="E7492" s="1"/>
      <c r="F7492" s="1"/>
      <c r="G7492" s="1"/>
      <c r="H7492" s="1"/>
      <c r="I7492" s="1"/>
      <c r="J7492" s="1"/>
      <c r="K7492" s="102" t="s">
        <v>11640</v>
      </c>
      <c r="L7492" s="102" t="str">
        <f>E1089</f>
        <v>J2b2a~</v>
      </c>
      <c r="M7492" s="102" t="s">
        <v>11639</v>
      </c>
      <c r="N7492" s="102" t="s">
        <v>11641</v>
      </c>
      <c r="O7492" s="105">
        <v>1.3199999E7</v>
      </c>
      <c r="P7492" s="105">
        <v>1.1044323E7</v>
      </c>
      <c r="Q7492" s="102" t="s">
        <v>2446</v>
      </c>
      <c r="S7492" s="1"/>
      <c r="T7492" s="1"/>
      <c r="U7492" s="1"/>
      <c r="V7492" s="1"/>
      <c r="W7492" s="1"/>
      <c r="X7492" s="1"/>
      <c r="Y7492" s="1"/>
      <c r="AA7492" s="102"/>
      <c r="AB7492" s="1"/>
      <c r="AC7492" s="1"/>
      <c r="AD7492" s="1"/>
      <c r="AE7492" s="1"/>
      <c r="AF7492" s="1"/>
      <c r="AG7492" s="1"/>
    </row>
    <row r="7493" ht="15.75" customHeight="1">
      <c r="A7493" s="1"/>
      <c r="B7493" s="1"/>
      <c r="C7493" s="1"/>
      <c r="D7493" s="1"/>
      <c r="E7493" s="1"/>
      <c r="F7493" s="1"/>
      <c r="G7493" s="1"/>
      <c r="H7493" s="1"/>
      <c r="I7493" s="1"/>
      <c r="J7493" s="1"/>
      <c r="K7493" s="102" t="s">
        <v>11642</v>
      </c>
      <c r="L7493" s="102" t="str">
        <f>E1089</f>
        <v>J2b2a~</v>
      </c>
      <c r="M7493" s="102" t="s">
        <v>11643</v>
      </c>
      <c r="N7493" s="102" t="s">
        <v>11644</v>
      </c>
      <c r="O7493" s="105">
        <v>8560750.0</v>
      </c>
      <c r="P7493" s="105">
        <v>8692709.0</v>
      </c>
      <c r="Q7493" s="102" t="s">
        <v>2439</v>
      </c>
      <c r="S7493" s="1"/>
      <c r="T7493" s="1"/>
      <c r="U7493" s="1"/>
      <c r="V7493" s="1"/>
      <c r="W7493" s="1"/>
      <c r="X7493" s="1"/>
      <c r="Y7493" s="1"/>
      <c r="AA7493" s="102"/>
      <c r="AB7493" s="1"/>
      <c r="AC7493" s="1"/>
      <c r="AD7493" s="1"/>
      <c r="AE7493" s="1"/>
      <c r="AF7493" s="1"/>
      <c r="AG7493" s="1"/>
    </row>
    <row r="7494" ht="15.75" customHeight="1">
      <c r="A7494" s="1"/>
      <c r="B7494" s="1"/>
      <c r="C7494" s="1"/>
      <c r="D7494" s="1"/>
      <c r="E7494" s="1"/>
      <c r="F7494" s="1"/>
      <c r="G7494" s="1"/>
      <c r="H7494" s="1"/>
      <c r="I7494" s="1"/>
      <c r="J7494" s="1"/>
      <c r="K7494" s="102" t="s">
        <v>11643</v>
      </c>
      <c r="L7494" s="102" t="str">
        <f>E1089</f>
        <v>J2b2a~</v>
      </c>
      <c r="M7494" s="102" t="s">
        <v>11642</v>
      </c>
      <c r="N7494" s="102" t="s">
        <v>11644</v>
      </c>
      <c r="O7494" s="105">
        <v>8560750.0</v>
      </c>
      <c r="P7494" s="105">
        <v>8692709.0</v>
      </c>
      <c r="Q7494" s="102" t="s">
        <v>2439</v>
      </c>
      <c r="S7494" s="1"/>
      <c r="T7494" s="1"/>
      <c r="U7494" s="1"/>
      <c r="V7494" s="1"/>
      <c r="W7494" s="1"/>
      <c r="X7494" s="1"/>
      <c r="Y7494" s="1"/>
      <c r="AA7494" s="102"/>
      <c r="AB7494" s="1"/>
      <c r="AC7494" s="1"/>
      <c r="AD7494" s="1"/>
      <c r="AE7494" s="1"/>
      <c r="AF7494" s="1"/>
      <c r="AG7494" s="1"/>
    </row>
    <row r="7495" ht="15.75" customHeight="1">
      <c r="A7495" s="1"/>
      <c r="B7495" s="1"/>
      <c r="C7495" s="1"/>
      <c r="D7495" s="1"/>
      <c r="E7495" s="1"/>
      <c r="F7495" s="1"/>
      <c r="G7495" s="1"/>
      <c r="H7495" s="1"/>
      <c r="I7495" s="1"/>
      <c r="J7495" s="1"/>
      <c r="K7495" s="102" t="s">
        <v>11645</v>
      </c>
      <c r="L7495" s="102" t="str">
        <f>E1089</f>
        <v>J2b2a~</v>
      </c>
      <c r="M7495" s="102" t="s">
        <v>11646</v>
      </c>
      <c r="N7495" s="102" t="s">
        <v>11647</v>
      </c>
      <c r="O7495" s="105">
        <v>2.3634809E7</v>
      </c>
      <c r="P7495" s="105">
        <v>2.1472923E7</v>
      </c>
      <c r="Q7495" s="102" t="s">
        <v>2514</v>
      </c>
      <c r="S7495" s="1"/>
      <c r="T7495" s="1"/>
      <c r="U7495" s="1"/>
      <c r="V7495" s="1"/>
      <c r="W7495" s="1"/>
      <c r="X7495" s="1"/>
      <c r="Y7495" s="1"/>
      <c r="AA7495" s="102"/>
      <c r="AB7495" s="1"/>
      <c r="AC7495" s="1"/>
      <c r="AD7495" s="1"/>
      <c r="AE7495" s="1"/>
      <c r="AF7495" s="1"/>
      <c r="AG7495" s="1"/>
    </row>
    <row r="7496" ht="15.75" customHeight="1">
      <c r="A7496" s="1"/>
      <c r="B7496" s="1"/>
      <c r="C7496" s="1"/>
      <c r="D7496" s="1"/>
      <c r="E7496" s="1"/>
      <c r="F7496" s="1"/>
      <c r="G7496" s="1"/>
      <c r="H7496" s="1"/>
      <c r="I7496" s="1"/>
      <c r="J7496" s="1"/>
      <c r="K7496" s="102" t="s">
        <v>11646</v>
      </c>
      <c r="L7496" s="102" t="str">
        <f>E1089</f>
        <v>J2b2a~</v>
      </c>
      <c r="M7496" s="102" t="s">
        <v>11645</v>
      </c>
      <c r="N7496" s="102" t="s">
        <v>11647</v>
      </c>
      <c r="O7496" s="105">
        <v>2.3634809E7</v>
      </c>
      <c r="P7496" s="105">
        <v>2.1472923E7</v>
      </c>
      <c r="Q7496" s="102" t="s">
        <v>2514</v>
      </c>
      <c r="S7496" s="1"/>
      <c r="T7496" s="1"/>
      <c r="U7496" s="1"/>
      <c r="V7496" s="1"/>
      <c r="W7496" s="1"/>
      <c r="X7496" s="1"/>
      <c r="Y7496" s="1"/>
      <c r="AA7496" s="102"/>
      <c r="AB7496" s="1"/>
      <c r="AC7496" s="1"/>
      <c r="AD7496" s="1"/>
      <c r="AE7496" s="1"/>
      <c r="AF7496" s="1"/>
      <c r="AG7496" s="1"/>
    </row>
    <row r="7497" ht="15.75" customHeight="1">
      <c r="A7497" s="1"/>
      <c r="B7497" s="1"/>
      <c r="C7497" s="1"/>
      <c r="D7497" s="1"/>
      <c r="E7497" s="1"/>
      <c r="F7497" s="1"/>
      <c r="G7497" s="1"/>
      <c r="H7497" s="1"/>
      <c r="I7497" s="1"/>
      <c r="J7497" s="1"/>
      <c r="K7497" s="102" t="s">
        <v>11648</v>
      </c>
      <c r="L7497" s="102" t="str">
        <f>E1089</f>
        <v>J2b2a~</v>
      </c>
      <c r="M7497" s="102"/>
      <c r="N7497" s="102" t="s">
        <v>11649</v>
      </c>
      <c r="O7497" s="105">
        <v>7661809.0</v>
      </c>
      <c r="P7497" s="105">
        <v>7793768.0</v>
      </c>
      <c r="Q7497" s="102" t="s">
        <v>2533</v>
      </c>
      <c r="S7497" s="1"/>
      <c r="T7497" s="1"/>
      <c r="U7497" s="1"/>
      <c r="V7497" s="1"/>
      <c r="W7497" s="1"/>
      <c r="X7497" s="1"/>
      <c r="Y7497" s="1"/>
      <c r="AA7497" s="102"/>
      <c r="AB7497" s="1"/>
      <c r="AC7497" s="1"/>
      <c r="AD7497" s="1"/>
      <c r="AE7497" s="1"/>
      <c r="AF7497" s="1"/>
      <c r="AG7497" s="1"/>
    </row>
    <row r="7498" ht="15.75" customHeight="1">
      <c r="A7498" s="1"/>
      <c r="B7498" s="1"/>
      <c r="C7498" s="1"/>
      <c r="D7498" s="1"/>
      <c r="E7498" s="1"/>
      <c r="F7498" s="1"/>
      <c r="G7498" s="1"/>
      <c r="H7498" s="1"/>
      <c r="I7498" s="1"/>
      <c r="J7498" s="1"/>
      <c r="K7498" s="102" t="s">
        <v>11650</v>
      </c>
      <c r="L7498" s="102" t="str">
        <f>E1089</f>
        <v>J2b2a~</v>
      </c>
      <c r="M7498" s="102"/>
      <c r="N7498" s="102" t="s">
        <v>11651</v>
      </c>
      <c r="O7498" s="105">
        <v>8910489.0</v>
      </c>
      <c r="P7498" s="105">
        <v>9042448.0</v>
      </c>
      <c r="Q7498" s="102" t="s">
        <v>2468</v>
      </c>
      <c r="S7498" s="1"/>
      <c r="T7498" s="1"/>
      <c r="U7498" s="1"/>
      <c r="V7498" s="1"/>
      <c r="W7498" s="1"/>
      <c r="X7498" s="1"/>
      <c r="Y7498" s="1"/>
      <c r="AA7498" s="102"/>
      <c r="AB7498" s="1"/>
      <c r="AC7498" s="1"/>
      <c r="AD7498" s="1"/>
      <c r="AE7498" s="1"/>
      <c r="AF7498" s="1"/>
      <c r="AG7498" s="1"/>
    </row>
    <row r="7499" ht="15.75" customHeight="1">
      <c r="A7499" s="1"/>
      <c r="B7499" s="1"/>
      <c r="C7499" s="1"/>
      <c r="D7499" s="1"/>
      <c r="E7499" s="1"/>
      <c r="F7499" s="1"/>
      <c r="G7499" s="1"/>
      <c r="H7499" s="1"/>
      <c r="I7499" s="1"/>
      <c r="J7499" s="1"/>
      <c r="K7499" s="102" t="s">
        <v>11652</v>
      </c>
      <c r="L7499" s="102" t="str">
        <f>E1089</f>
        <v>J2b2a~</v>
      </c>
      <c r="M7499" s="102"/>
      <c r="N7499" s="102" t="s">
        <v>11653</v>
      </c>
      <c r="O7499" s="105">
        <v>1.6535337E7</v>
      </c>
      <c r="P7499" s="105">
        <v>1.4423457E7</v>
      </c>
      <c r="Q7499" s="102" t="s">
        <v>2501</v>
      </c>
      <c r="S7499" s="1"/>
      <c r="T7499" s="1"/>
      <c r="U7499" s="1"/>
      <c r="V7499" s="1"/>
      <c r="W7499" s="1"/>
      <c r="X7499" s="1"/>
      <c r="Y7499" s="1"/>
      <c r="AA7499" s="102"/>
      <c r="AB7499" s="1"/>
      <c r="AC7499" s="1"/>
      <c r="AD7499" s="1"/>
      <c r="AE7499" s="1"/>
      <c r="AF7499" s="1"/>
      <c r="AG7499" s="1"/>
    </row>
    <row r="7500" ht="15.75" customHeight="1">
      <c r="A7500" s="1"/>
      <c r="B7500" s="1"/>
      <c r="C7500" s="1"/>
      <c r="D7500" s="1"/>
      <c r="E7500" s="1"/>
      <c r="F7500" s="1"/>
      <c r="G7500" s="1"/>
      <c r="H7500" s="1"/>
      <c r="I7500" s="1"/>
      <c r="J7500" s="1"/>
      <c r="K7500" s="102" t="s">
        <v>11654</v>
      </c>
      <c r="L7500" s="102" t="str">
        <f>E1089</f>
        <v>J2b2a~</v>
      </c>
      <c r="M7500" s="102"/>
      <c r="N7500" s="102" t="s">
        <v>11655</v>
      </c>
      <c r="O7500" s="105">
        <v>1.7740884E7</v>
      </c>
      <c r="P7500" s="105">
        <v>1.5629004E7</v>
      </c>
      <c r="Q7500" s="102" t="s">
        <v>2439</v>
      </c>
      <c r="S7500" s="1"/>
      <c r="T7500" s="1"/>
      <c r="U7500" s="1"/>
      <c r="V7500" s="1"/>
      <c r="W7500" s="1"/>
      <c r="X7500" s="1"/>
      <c r="Y7500" s="1"/>
      <c r="AA7500" s="102"/>
      <c r="AB7500" s="1"/>
      <c r="AC7500" s="1"/>
      <c r="AD7500" s="1"/>
      <c r="AE7500" s="1"/>
      <c r="AF7500" s="1"/>
      <c r="AG7500" s="1"/>
    </row>
    <row r="7501" ht="15.75" customHeight="1">
      <c r="A7501" s="1"/>
      <c r="B7501" s="1"/>
      <c r="C7501" s="1"/>
      <c r="D7501" s="1"/>
      <c r="E7501" s="1"/>
      <c r="F7501" s="1"/>
      <c r="G7501" s="1"/>
      <c r="H7501" s="1"/>
      <c r="I7501" s="1"/>
      <c r="J7501" s="1"/>
      <c r="K7501" s="102" t="s">
        <v>11656</v>
      </c>
      <c r="L7501" s="102" t="str">
        <f>E1089</f>
        <v>J2b2a~</v>
      </c>
      <c r="M7501" s="102"/>
      <c r="N7501" s="102" t="s">
        <v>11657</v>
      </c>
      <c r="O7501" s="105">
        <v>1.367557E7</v>
      </c>
      <c r="P7501" s="105">
        <v>1.1519894E7</v>
      </c>
      <c r="Q7501" s="102" t="s">
        <v>2468</v>
      </c>
      <c r="S7501" s="1"/>
      <c r="T7501" s="1"/>
      <c r="U7501" s="1"/>
      <c r="V7501" s="1"/>
      <c r="W7501" s="1"/>
      <c r="X7501" s="1"/>
      <c r="Y7501" s="1"/>
      <c r="AA7501" s="102"/>
      <c r="AB7501" s="1"/>
      <c r="AC7501" s="1"/>
      <c r="AD7501" s="1"/>
      <c r="AE7501" s="1"/>
      <c r="AF7501" s="1"/>
      <c r="AG7501" s="1"/>
    </row>
    <row r="7502" ht="15.75" customHeight="1">
      <c r="A7502" s="1"/>
      <c r="B7502" s="1"/>
      <c r="C7502" s="1"/>
      <c r="D7502" s="1"/>
      <c r="E7502" s="1"/>
      <c r="F7502" s="1"/>
      <c r="G7502" s="1"/>
      <c r="H7502" s="1"/>
      <c r="I7502" s="1"/>
      <c r="J7502" s="1"/>
      <c r="K7502" s="102" t="s">
        <v>11658</v>
      </c>
      <c r="L7502" s="102" t="str">
        <f>E1089</f>
        <v>J2b2a~</v>
      </c>
      <c r="M7502" s="102"/>
      <c r="N7502" s="102" t="s">
        <v>11659</v>
      </c>
      <c r="O7502" s="105">
        <v>9990070.0</v>
      </c>
      <c r="P7502" s="105">
        <v>1.0152461E7</v>
      </c>
      <c r="Q7502" s="102" t="s">
        <v>2514</v>
      </c>
      <c r="S7502" s="1"/>
      <c r="T7502" s="1"/>
      <c r="U7502" s="1"/>
      <c r="V7502" s="1"/>
      <c r="W7502" s="1"/>
      <c r="X7502" s="1"/>
      <c r="Y7502" s="1"/>
      <c r="AA7502" s="102"/>
      <c r="AB7502" s="1"/>
      <c r="AC7502" s="1"/>
      <c r="AD7502" s="1"/>
      <c r="AE7502" s="1"/>
      <c r="AF7502" s="1"/>
      <c r="AG7502" s="1"/>
    </row>
    <row r="7503" ht="15.75" customHeight="1">
      <c r="A7503" s="1"/>
      <c r="B7503" s="1"/>
      <c r="C7503" s="1"/>
      <c r="D7503" s="1"/>
      <c r="E7503" s="1"/>
      <c r="F7503" s="1"/>
      <c r="G7503" s="1"/>
      <c r="H7503" s="1"/>
      <c r="I7503" s="1"/>
      <c r="J7503" s="1"/>
      <c r="K7503" s="102" t="s">
        <v>11660</v>
      </c>
      <c r="L7503" s="102" t="str">
        <f>E1089</f>
        <v>J2b2a~</v>
      </c>
      <c r="M7503" s="102"/>
      <c r="N7503" s="102" t="s">
        <v>11661</v>
      </c>
      <c r="O7503" s="105">
        <v>2.3554757E7</v>
      </c>
      <c r="P7503" s="105">
        <v>2.1392871E7</v>
      </c>
      <c r="Q7503" s="102" t="s">
        <v>2446</v>
      </c>
      <c r="S7503" s="1"/>
      <c r="T7503" s="1"/>
      <c r="U7503" s="1"/>
      <c r="V7503" s="1"/>
      <c r="W7503" s="1"/>
      <c r="X7503" s="1"/>
      <c r="Y7503" s="1"/>
      <c r="AA7503" s="102"/>
      <c r="AB7503" s="1"/>
      <c r="AC7503" s="1"/>
      <c r="AD7503" s="1"/>
      <c r="AE7503" s="1"/>
      <c r="AF7503" s="1"/>
      <c r="AG7503" s="1"/>
    </row>
    <row r="7504" ht="15.75" customHeight="1">
      <c r="A7504" s="1"/>
      <c r="B7504" s="1"/>
      <c r="C7504" s="1"/>
      <c r="D7504" s="1"/>
      <c r="E7504" s="1"/>
      <c r="F7504" s="1"/>
      <c r="G7504" s="1"/>
      <c r="H7504" s="1"/>
      <c r="I7504" s="1"/>
      <c r="J7504" s="1"/>
      <c r="K7504" s="102" t="s">
        <v>11662</v>
      </c>
      <c r="L7504" s="102" t="str">
        <f>F1090</f>
        <v>J2b2a1</v>
      </c>
      <c r="M7504" s="102"/>
      <c r="N7504" s="102" t="s">
        <v>11663</v>
      </c>
      <c r="O7504" s="105">
        <v>6932663.0</v>
      </c>
      <c r="P7504" s="105">
        <v>7064622.0</v>
      </c>
      <c r="Q7504" s="102" t="s">
        <v>2514</v>
      </c>
      <c r="S7504" s="1"/>
      <c r="T7504" s="1"/>
      <c r="U7504" s="1"/>
      <c r="V7504" s="1"/>
      <c r="W7504" s="1"/>
      <c r="X7504" s="1"/>
      <c r="Y7504" s="1"/>
      <c r="AA7504" s="102"/>
      <c r="AB7504" s="1"/>
      <c r="AC7504" s="1"/>
      <c r="AD7504" s="1"/>
      <c r="AE7504" s="1"/>
      <c r="AF7504" s="1"/>
      <c r="AG7504" s="1"/>
    </row>
    <row r="7505" ht="15.75" customHeight="1">
      <c r="A7505" s="1"/>
      <c r="B7505" s="1"/>
      <c r="C7505" s="1"/>
      <c r="D7505" s="1"/>
      <c r="E7505" s="1"/>
      <c r="F7505" s="1"/>
      <c r="G7505" s="1"/>
      <c r="H7505" s="1"/>
      <c r="I7505" s="1"/>
      <c r="J7505" s="1"/>
      <c r="K7505" s="102" t="s">
        <v>11664</v>
      </c>
      <c r="L7505" s="102" t="str">
        <f>F1090</f>
        <v>J2b2a1</v>
      </c>
      <c r="M7505" s="102" t="s">
        <v>11665</v>
      </c>
      <c r="N7505" s="102" t="s">
        <v>11666</v>
      </c>
      <c r="O7505" s="105">
        <v>2.1676805E7</v>
      </c>
      <c r="P7505" s="105">
        <v>1.9514919E7</v>
      </c>
      <c r="Q7505" s="102" t="s">
        <v>2439</v>
      </c>
      <c r="S7505" s="1"/>
      <c r="T7505" s="1"/>
      <c r="U7505" s="1"/>
      <c r="V7505" s="1"/>
      <c r="W7505" s="1"/>
      <c r="X7505" s="1"/>
      <c r="Y7505" s="1"/>
      <c r="AA7505" s="102"/>
      <c r="AB7505" s="1"/>
      <c r="AC7505" s="1"/>
      <c r="AD7505" s="1"/>
      <c r="AE7505" s="1"/>
      <c r="AF7505" s="1"/>
      <c r="AG7505" s="1"/>
    </row>
    <row r="7506" ht="15.75" customHeight="1">
      <c r="A7506" s="1"/>
      <c r="B7506" s="1"/>
      <c r="C7506" s="1"/>
      <c r="D7506" s="1"/>
      <c r="E7506" s="1"/>
      <c r="F7506" s="1"/>
      <c r="G7506" s="1"/>
      <c r="H7506" s="1"/>
      <c r="I7506" s="1"/>
      <c r="J7506" s="1"/>
      <c r="K7506" s="102" t="s">
        <v>11667</v>
      </c>
      <c r="L7506" s="102" t="str">
        <f>F1090</f>
        <v>J2b2a1</v>
      </c>
      <c r="M7506" s="102" t="s">
        <v>11668</v>
      </c>
      <c r="N7506" s="102" t="s">
        <v>11666</v>
      </c>
      <c r="O7506" s="105">
        <v>2.1676805E7</v>
      </c>
      <c r="P7506" s="105">
        <v>1.9514919E7</v>
      </c>
      <c r="Q7506" s="102" t="s">
        <v>2439</v>
      </c>
      <c r="S7506" s="1"/>
      <c r="T7506" s="1"/>
      <c r="U7506" s="1"/>
      <c r="V7506" s="1"/>
      <c r="W7506" s="1"/>
      <c r="X7506" s="1"/>
      <c r="Y7506" s="1"/>
      <c r="AA7506" s="102"/>
      <c r="AB7506" s="1"/>
      <c r="AC7506" s="1"/>
      <c r="AD7506" s="1"/>
      <c r="AE7506" s="1"/>
      <c r="AF7506" s="1"/>
      <c r="AG7506" s="1"/>
    </row>
    <row r="7507" ht="15.75" customHeight="1">
      <c r="A7507" s="1"/>
      <c r="B7507" s="1"/>
      <c r="C7507" s="1"/>
      <c r="D7507" s="1"/>
      <c r="E7507" s="1"/>
      <c r="F7507" s="1"/>
      <c r="G7507" s="1"/>
      <c r="H7507" s="1"/>
      <c r="I7507" s="1"/>
      <c r="J7507" s="1"/>
      <c r="K7507" s="102" t="s">
        <v>11669</v>
      </c>
      <c r="L7507" s="102" t="str">
        <f>F1090</f>
        <v>J2b2a1</v>
      </c>
      <c r="M7507" s="102" t="s">
        <v>11670</v>
      </c>
      <c r="N7507" s="102" t="s">
        <v>11666</v>
      </c>
      <c r="O7507" s="105">
        <v>2.1676805E7</v>
      </c>
      <c r="P7507" s="105">
        <v>1.9514919E7</v>
      </c>
      <c r="Q7507" s="102" t="s">
        <v>2439</v>
      </c>
      <c r="S7507" s="1"/>
      <c r="T7507" s="1"/>
      <c r="U7507" s="1"/>
      <c r="V7507" s="1"/>
      <c r="W7507" s="1"/>
      <c r="X7507" s="1"/>
      <c r="Y7507" s="1"/>
      <c r="AA7507" s="102"/>
      <c r="AB7507" s="1"/>
      <c r="AC7507" s="1"/>
      <c r="AD7507" s="1"/>
      <c r="AE7507" s="1"/>
      <c r="AF7507" s="1"/>
      <c r="AG7507" s="1"/>
    </row>
    <row r="7508" ht="15.75" customHeight="1">
      <c r="A7508" s="1"/>
      <c r="B7508" s="1"/>
      <c r="C7508" s="1"/>
      <c r="D7508" s="1"/>
      <c r="E7508" s="1"/>
      <c r="F7508" s="1"/>
      <c r="G7508" s="1"/>
      <c r="H7508" s="1"/>
      <c r="I7508" s="1"/>
      <c r="J7508" s="1"/>
      <c r="K7508" s="102" t="s">
        <v>11671</v>
      </c>
      <c r="L7508" s="102" t="str">
        <f>F1090</f>
        <v>J2b2a1</v>
      </c>
      <c r="M7508" s="102" t="s">
        <v>11672</v>
      </c>
      <c r="N7508" s="102" t="s">
        <v>11666</v>
      </c>
      <c r="O7508" s="105">
        <v>2.1676805E7</v>
      </c>
      <c r="P7508" s="105">
        <v>1.9514919E7</v>
      </c>
      <c r="Q7508" s="102" t="s">
        <v>2439</v>
      </c>
      <c r="S7508" s="1"/>
      <c r="T7508" s="1"/>
      <c r="U7508" s="1"/>
      <c r="V7508" s="1"/>
      <c r="W7508" s="1"/>
      <c r="X7508" s="1"/>
      <c r="Y7508" s="1"/>
      <c r="AA7508" s="102"/>
      <c r="AB7508" s="1"/>
      <c r="AC7508" s="1"/>
      <c r="AD7508" s="1"/>
      <c r="AE7508" s="1"/>
      <c r="AF7508" s="1"/>
      <c r="AG7508" s="1"/>
    </row>
    <row r="7509" ht="15.75" customHeight="1">
      <c r="A7509" s="1"/>
      <c r="B7509" s="1"/>
      <c r="C7509" s="1"/>
      <c r="D7509" s="1"/>
      <c r="E7509" s="1"/>
      <c r="F7509" s="1"/>
      <c r="G7509" s="1"/>
      <c r="H7509" s="1"/>
      <c r="I7509" s="1"/>
      <c r="J7509" s="1"/>
      <c r="K7509" s="102" t="s">
        <v>11673</v>
      </c>
      <c r="L7509" s="102" t="str">
        <f>F1090</f>
        <v>J2b2a1</v>
      </c>
      <c r="M7509" s="102" t="s">
        <v>11674</v>
      </c>
      <c r="N7509" s="102" t="s">
        <v>11675</v>
      </c>
      <c r="O7509" s="105">
        <v>1.4726626E7</v>
      </c>
      <c r="P7509" s="105">
        <v>1.2614694E7</v>
      </c>
      <c r="Q7509" s="102" t="s">
        <v>2439</v>
      </c>
      <c r="S7509" s="1"/>
      <c r="T7509" s="1"/>
      <c r="U7509" s="1"/>
      <c r="V7509" s="1"/>
      <c r="W7509" s="1"/>
      <c r="X7509" s="1"/>
      <c r="Y7509" s="1"/>
      <c r="AA7509" s="102"/>
      <c r="AB7509" s="1"/>
      <c r="AC7509" s="1"/>
      <c r="AD7509" s="1"/>
      <c r="AE7509" s="1"/>
      <c r="AF7509" s="1"/>
      <c r="AG7509" s="1"/>
    </row>
    <row r="7510" ht="15.75" customHeight="1">
      <c r="A7510" s="1"/>
      <c r="B7510" s="1"/>
      <c r="C7510" s="1"/>
      <c r="D7510" s="1"/>
      <c r="E7510" s="1"/>
      <c r="F7510" s="1"/>
      <c r="G7510" s="1"/>
      <c r="H7510" s="1"/>
      <c r="I7510" s="1"/>
      <c r="J7510" s="1"/>
      <c r="K7510" s="102" t="s">
        <v>11676</v>
      </c>
      <c r="L7510" s="102" t="str">
        <f>F1090</f>
        <v>J2b2a1</v>
      </c>
      <c r="M7510" s="102" t="s">
        <v>11677</v>
      </c>
      <c r="N7510" s="102" t="s">
        <v>11675</v>
      </c>
      <c r="O7510" s="105">
        <v>1.4726626E7</v>
      </c>
      <c r="P7510" s="105">
        <v>1.2614694E7</v>
      </c>
      <c r="Q7510" s="102" t="s">
        <v>2439</v>
      </c>
      <c r="S7510" s="1"/>
      <c r="T7510" s="1"/>
      <c r="U7510" s="1"/>
      <c r="V7510" s="1"/>
      <c r="W7510" s="1"/>
      <c r="X7510" s="1"/>
      <c r="Y7510" s="1"/>
      <c r="AA7510" s="102"/>
      <c r="AB7510" s="1"/>
      <c r="AC7510" s="1"/>
      <c r="AD7510" s="1"/>
      <c r="AE7510" s="1"/>
      <c r="AF7510" s="1"/>
      <c r="AG7510" s="1"/>
    </row>
    <row r="7511" ht="15.75" customHeight="1">
      <c r="A7511" s="1"/>
      <c r="B7511" s="1"/>
      <c r="C7511" s="1"/>
      <c r="D7511" s="1"/>
      <c r="E7511" s="1"/>
      <c r="F7511" s="1"/>
      <c r="G7511" s="1"/>
      <c r="H7511" s="1"/>
      <c r="I7511" s="1"/>
      <c r="J7511" s="1"/>
      <c r="K7511" s="102" t="s">
        <v>11678</v>
      </c>
      <c r="L7511" s="102" t="str">
        <f>F1090</f>
        <v>J2b2a1</v>
      </c>
      <c r="M7511" s="102" t="s">
        <v>11679</v>
      </c>
      <c r="N7511" s="102" t="s">
        <v>11675</v>
      </c>
      <c r="O7511" s="105">
        <v>1.4726626E7</v>
      </c>
      <c r="P7511" s="105">
        <v>1.2614694E7</v>
      </c>
      <c r="Q7511" s="102" t="s">
        <v>2439</v>
      </c>
      <c r="S7511" s="1"/>
      <c r="T7511" s="1"/>
      <c r="U7511" s="1"/>
      <c r="V7511" s="1"/>
      <c r="W7511" s="1"/>
      <c r="X7511" s="1"/>
      <c r="Y7511" s="1"/>
      <c r="AA7511" s="102"/>
      <c r="AB7511" s="1"/>
      <c r="AC7511" s="1"/>
      <c r="AD7511" s="1"/>
      <c r="AE7511" s="1"/>
      <c r="AF7511" s="1"/>
      <c r="AG7511" s="1"/>
    </row>
    <row r="7512" ht="15.75" customHeight="1">
      <c r="A7512" s="1"/>
      <c r="B7512" s="1"/>
      <c r="C7512" s="1"/>
      <c r="D7512" s="1"/>
      <c r="E7512" s="1"/>
      <c r="F7512" s="1"/>
      <c r="G7512" s="1"/>
      <c r="H7512" s="1"/>
      <c r="I7512" s="1"/>
      <c r="J7512" s="1"/>
      <c r="K7512" s="102" t="s">
        <v>11680</v>
      </c>
      <c r="L7512" s="102" t="str">
        <f>F1090</f>
        <v>J2b2a1</v>
      </c>
      <c r="M7512" s="102" t="s">
        <v>11681</v>
      </c>
      <c r="N7512" s="102" t="s">
        <v>4417</v>
      </c>
      <c r="O7512" s="105">
        <v>1.5711053E7</v>
      </c>
      <c r="P7512" s="105">
        <v>1.3599173E7</v>
      </c>
      <c r="Q7512" s="102" t="s">
        <v>2439</v>
      </c>
      <c r="S7512" s="1"/>
      <c r="T7512" s="1"/>
      <c r="U7512" s="1"/>
      <c r="V7512" s="1"/>
      <c r="W7512" s="1"/>
      <c r="X7512" s="1"/>
      <c r="Y7512" s="1"/>
      <c r="AA7512" s="102"/>
      <c r="AB7512" s="1"/>
      <c r="AC7512" s="1"/>
      <c r="AD7512" s="1"/>
      <c r="AE7512" s="1"/>
      <c r="AF7512" s="1"/>
      <c r="AG7512" s="1"/>
    </row>
    <row r="7513" ht="15.75" customHeight="1">
      <c r="A7513" s="1"/>
      <c r="B7513" s="1"/>
      <c r="C7513" s="1"/>
      <c r="D7513" s="1"/>
      <c r="E7513" s="1"/>
      <c r="F7513" s="1"/>
      <c r="G7513" s="1"/>
      <c r="H7513" s="1"/>
      <c r="I7513" s="1"/>
      <c r="J7513" s="1"/>
      <c r="K7513" s="102" t="s">
        <v>11682</v>
      </c>
      <c r="L7513" s="102" t="str">
        <f>F1090</f>
        <v>J2b2a1</v>
      </c>
      <c r="M7513" s="102" t="s">
        <v>11683</v>
      </c>
      <c r="N7513" s="102" t="s">
        <v>4417</v>
      </c>
      <c r="O7513" s="105">
        <v>1.5711053E7</v>
      </c>
      <c r="P7513" s="105">
        <v>1.3599173E7</v>
      </c>
      <c r="Q7513" s="102" t="s">
        <v>2439</v>
      </c>
      <c r="S7513" s="1"/>
      <c r="T7513" s="1"/>
      <c r="U7513" s="1"/>
      <c r="V7513" s="1"/>
      <c r="W7513" s="1"/>
      <c r="X7513" s="1"/>
      <c r="Y7513" s="1"/>
      <c r="AA7513" s="102"/>
      <c r="AB7513" s="1"/>
      <c r="AC7513" s="1"/>
      <c r="AD7513" s="1"/>
      <c r="AE7513" s="1"/>
      <c r="AF7513" s="1"/>
      <c r="AG7513" s="1"/>
    </row>
    <row r="7514" ht="15.75" customHeight="1">
      <c r="A7514" s="1"/>
      <c r="B7514" s="1"/>
      <c r="C7514" s="1"/>
      <c r="D7514" s="1"/>
      <c r="E7514" s="1"/>
      <c r="F7514" s="1"/>
      <c r="G7514" s="1"/>
      <c r="H7514" s="1"/>
      <c r="I7514" s="1"/>
      <c r="J7514" s="1"/>
      <c r="K7514" s="102" t="s">
        <v>11684</v>
      </c>
      <c r="L7514" s="102" t="str">
        <f>F1090</f>
        <v>J2b2a1</v>
      </c>
      <c r="M7514" s="102" t="s">
        <v>11685</v>
      </c>
      <c r="N7514" s="102" t="s">
        <v>4417</v>
      </c>
      <c r="O7514" s="105">
        <v>1.5711053E7</v>
      </c>
      <c r="P7514" s="105">
        <v>1.3599173E7</v>
      </c>
      <c r="Q7514" s="102" t="s">
        <v>2439</v>
      </c>
      <c r="S7514" s="1"/>
      <c r="T7514" s="1"/>
      <c r="U7514" s="1"/>
      <c r="V7514" s="1"/>
      <c r="W7514" s="1"/>
      <c r="X7514" s="1"/>
      <c r="Y7514" s="1"/>
      <c r="AA7514" s="102"/>
      <c r="AB7514" s="1"/>
      <c r="AC7514" s="1"/>
      <c r="AD7514" s="1"/>
      <c r="AE7514" s="1"/>
      <c r="AF7514" s="1"/>
      <c r="AG7514" s="1"/>
    </row>
    <row r="7515" ht="15.75" customHeight="1">
      <c r="A7515" s="1"/>
      <c r="B7515" s="1"/>
      <c r="C7515" s="1"/>
      <c r="D7515" s="1"/>
      <c r="E7515" s="1"/>
      <c r="F7515" s="1"/>
      <c r="G7515" s="1"/>
      <c r="H7515" s="1"/>
      <c r="I7515" s="1"/>
      <c r="J7515" s="1"/>
      <c r="K7515" s="102" t="s">
        <v>11686</v>
      </c>
      <c r="L7515" s="102" t="str">
        <f>F1090</f>
        <v>J2b2a1</v>
      </c>
      <c r="M7515" s="102" t="s">
        <v>11687</v>
      </c>
      <c r="N7515" s="102" t="s">
        <v>4417</v>
      </c>
      <c r="O7515" s="105">
        <v>1.5711053E7</v>
      </c>
      <c r="P7515" s="105">
        <v>1.3599173E7</v>
      </c>
      <c r="Q7515" s="102" t="s">
        <v>2439</v>
      </c>
      <c r="S7515" s="1"/>
      <c r="T7515" s="1"/>
      <c r="U7515" s="1"/>
      <c r="V7515" s="1"/>
      <c r="W7515" s="1"/>
      <c r="X7515" s="1"/>
      <c r="Y7515" s="1"/>
      <c r="AA7515" s="102"/>
      <c r="AB7515" s="1"/>
      <c r="AC7515" s="1"/>
      <c r="AD7515" s="1"/>
      <c r="AE7515" s="1"/>
      <c r="AF7515" s="1"/>
      <c r="AG7515" s="1"/>
    </row>
    <row r="7516" ht="15.75" customHeight="1">
      <c r="A7516" s="1"/>
      <c r="B7516" s="1"/>
      <c r="C7516" s="1"/>
      <c r="D7516" s="1"/>
      <c r="E7516" s="1"/>
      <c r="F7516" s="1"/>
      <c r="G7516" s="1"/>
      <c r="H7516" s="1"/>
      <c r="I7516" s="1"/>
      <c r="J7516" s="1"/>
      <c r="K7516" s="102" t="s">
        <v>11688</v>
      </c>
      <c r="L7516" s="102" t="str">
        <f>F1090</f>
        <v>J2b2a1</v>
      </c>
      <c r="M7516" s="102" t="s">
        <v>11689</v>
      </c>
      <c r="N7516" s="102" t="s">
        <v>11690</v>
      </c>
      <c r="O7516" s="105">
        <v>1.6242262E7</v>
      </c>
      <c r="P7516" s="105">
        <v>1.4130382E7</v>
      </c>
      <c r="Q7516" s="102" t="s">
        <v>2533</v>
      </c>
      <c r="S7516" s="1"/>
      <c r="T7516" s="1"/>
      <c r="U7516" s="1"/>
      <c r="V7516" s="1"/>
      <c r="W7516" s="1"/>
      <c r="X7516" s="1"/>
      <c r="Y7516" s="1"/>
      <c r="AA7516" s="102"/>
      <c r="AB7516" s="1"/>
      <c r="AC7516" s="1"/>
      <c r="AD7516" s="1"/>
      <c r="AE7516" s="1"/>
      <c r="AF7516" s="1"/>
      <c r="AG7516" s="1"/>
    </row>
    <row r="7517" ht="15.75" customHeight="1">
      <c r="A7517" s="1"/>
      <c r="B7517" s="1"/>
      <c r="C7517" s="1"/>
      <c r="D7517" s="1"/>
      <c r="E7517" s="1"/>
      <c r="F7517" s="1"/>
      <c r="G7517" s="1"/>
      <c r="H7517" s="1"/>
      <c r="I7517" s="1"/>
      <c r="J7517" s="1"/>
      <c r="K7517" s="102" t="s">
        <v>11691</v>
      </c>
      <c r="L7517" s="102" t="str">
        <f>F1090</f>
        <v>J2b2a1</v>
      </c>
      <c r="M7517" s="102" t="s">
        <v>11692</v>
      </c>
      <c r="N7517" s="102" t="s">
        <v>11690</v>
      </c>
      <c r="O7517" s="105">
        <v>1.6242262E7</v>
      </c>
      <c r="P7517" s="105">
        <v>1.4130382E7</v>
      </c>
      <c r="Q7517" s="102" t="s">
        <v>2533</v>
      </c>
      <c r="S7517" s="1"/>
      <c r="T7517" s="1"/>
      <c r="U7517" s="1"/>
      <c r="V7517" s="1"/>
      <c r="W7517" s="1"/>
      <c r="X7517" s="1"/>
      <c r="Y7517" s="1"/>
      <c r="AA7517" s="102"/>
      <c r="AB7517" s="1"/>
      <c r="AC7517" s="1"/>
      <c r="AD7517" s="1"/>
      <c r="AE7517" s="1"/>
      <c r="AF7517" s="1"/>
      <c r="AG7517" s="1"/>
    </row>
    <row r="7518" ht="15.75" customHeight="1">
      <c r="A7518" s="1"/>
      <c r="B7518" s="1"/>
      <c r="C7518" s="1"/>
      <c r="D7518" s="1"/>
      <c r="E7518" s="1"/>
      <c r="F7518" s="1"/>
      <c r="G7518" s="1"/>
      <c r="H7518" s="1"/>
      <c r="I7518" s="1"/>
      <c r="J7518" s="1"/>
      <c r="K7518" s="102" t="s">
        <v>11693</v>
      </c>
      <c r="L7518" s="102" t="str">
        <f>F1090</f>
        <v>J2b2a1</v>
      </c>
      <c r="M7518" s="102" t="s">
        <v>11694</v>
      </c>
      <c r="N7518" s="102" t="s">
        <v>11690</v>
      </c>
      <c r="O7518" s="105">
        <v>1.6242262E7</v>
      </c>
      <c r="P7518" s="105">
        <v>1.4130382E7</v>
      </c>
      <c r="Q7518" s="102" t="s">
        <v>2533</v>
      </c>
      <c r="S7518" s="1"/>
      <c r="T7518" s="1"/>
      <c r="U7518" s="1"/>
      <c r="V7518" s="1"/>
      <c r="W7518" s="1"/>
      <c r="X7518" s="1"/>
      <c r="Y7518" s="1"/>
      <c r="AA7518" s="102"/>
      <c r="AB7518" s="1"/>
      <c r="AC7518" s="1"/>
      <c r="AD7518" s="1"/>
      <c r="AE7518" s="1"/>
      <c r="AF7518" s="1"/>
      <c r="AG7518" s="1"/>
    </row>
    <row r="7519" ht="15.75" customHeight="1">
      <c r="A7519" s="1"/>
      <c r="B7519" s="1"/>
      <c r="C7519" s="1"/>
      <c r="D7519" s="1"/>
      <c r="E7519" s="1"/>
      <c r="F7519" s="1"/>
      <c r="G7519" s="1"/>
      <c r="H7519" s="1"/>
      <c r="I7519" s="1"/>
      <c r="J7519" s="1"/>
      <c r="K7519" s="102" t="s">
        <v>11695</v>
      </c>
      <c r="L7519" s="102" t="str">
        <f>F1090</f>
        <v>J2b2a1</v>
      </c>
      <c r="M7519" s="102" t="s">
        <v>11696</v>
      </c>
      <c r="N7519" s="102" t="s">
        <v>11690</v>
      </c>
      <c r="O7519" s="105">
        <v>1.6242262E7</v>
      </c>
      <c r="P7519" s="105">
        <v>1.4130382E7</v>
      </c>
      <c r="Q7519" s="102" t="s">
        <v>2533</v>
      </c>
      <c r="S7519" s="1"/>
      <c r="T7519" s="1"/>
      <c r="U7519" s="1"/>
      <c r="V7519" s="1"/>
      <c r="W7519" s="1"/>
      <c r="X7519" s="1"/>
      <c r="Y7519" s="1"/>
      <c r="AA7519" s="102"/>
      <c r="AB7519" s="1"/>
      <c r="AC7519" s="1"/>
      <c r="AD7519" s="1"/>
      <c r="AE7519" s="1"/>
      <c r="AF7519" s="1"/>
      <c r="AG7519" s="1"/>
    </row>
    <row r="7520" ht="15.75" customHeight="1">
      <c r="A7520" s="1"/>
      <c r="B7520" s="1"/>
      <c r="C7520" s="1"/>
      <c r="D7520" s="1"/>
      <c r="E7520" s="1"/>
      <c r="F7520" s="1"/>
      <c r="G7520" s="1"/>
      <c r="H7520" s="1"/>
      <c r="I7520" s="1"/>
      <c r="J7520" s="1"/>
      <c r="K7520" s="102" t="s">
        <v>11697</v>
      </c>
      <c r="L7520" s="102" t="str">
        <f>F1090</f>
        <v>J2b2a1</v>
      </c>
      <c r="M7520" s="106" t="s">
        <v>11698</v>
      </c>
      <c r="N7520" s="102" t="s">
        <v>11699</v>
      </c>
      <c r="O7520" s="105">
        <v>1.641499E7</v>
      </c>
      <c r="P7520" s="105">
        <v>1.430311E7</v>
      </c>
      <c r="Q7520" s="102" t="s">
        <v>2576</v>
      </c>
      <c r="S7520" s="1"/>
      <c r="T7520" s="1"/>
      <c r="U7520" s="1"/>
      <c r="V7520" s="1"/>
      <c r="W7520" s="1"/>
      <c r="X7520" s="1"/>
      <c r="Y7520" s="1"/>
      <c r="AA7520" s="102"/>
      <c r="AB7520" s="1"/>
      <c r="AC7520" s="1"/>
      <c r="AD7520" s="1"/>
      <c r="AE7520" s="1"/>
      <c r="AF7520" s="1"/>
      <c r="AG7520" s="1"/>
    </row>
    <row r="7521" ht="15.75" customHeight="1">
      <c r="A7521" s="1"/>
      <c r="B7521" s="1"/>
      <c r="C7521" s="1"/>
      <c r="D7521" s="1"/>
      <c r="E7521" s="1"/>
      <c r="F7521" s="1"/>
      <c r="G7521" s="1"/>
      <c r="H7521" s="1"/>
      <c r="I7521" s="1"/>
      <c r="J7521" s="1"/>
      <c r="K7521" s="102" t="s">
        <v>11700</v>
      </c>
      <c r="L7521" s="102" t="str">
        <f>F1090</f>
        <v>J2b2a1</v>
      </c>
      <c r="M7521" s="106" t="s">
        <v>11701</v>
      </c>
      <c r="N7521" s="102" t="s">
        <v>11699</v>
      </c>
      <c r="O7521" s="105">
        <v>1.641499E7</v>
      </c>
      <c r="P7521" s="105">
        <v>1.430311E7</v>
      </c>
      <c r="Q7521" s="102" t="s">
        <v>2576</v>
      </c>
      <c r="S7521" s="1"/>
      <c r="T7521" s="1"/>
      <c r="U7521" s="1"/>
      <c r="V7521" s="1"/>
      <c r="W7521" s="1"/>
      <c r="X7521" s="1"/>
      <c r="Y7521" s="1"/>
      <c r="AA7521" s="102"/>
      <c r="AB7521" s="1"/>
      <c r="AC7521" s="1"/>
      <c r="AD7521" s="1"/>
      <c r="AE7521" s="1"/>
      <c r="AF7521" s="1"/>
      <c r="AG7521" s="1"/>
    </row>
    <row r="7522" ht="15.75" customHeight="1">
      <c r="A7522" s="1"/>
      <c r="B7522" s="1"/>
      <c r="C7522" s="1"/>
      <c r="D7522" s="1"/>
      <c r="E7522" s="1"/>
      <c r="F7522" s="1"/>
      <c r="G7522" s="1"/>
      <c r="H7522" s="1"/>
      <c r="I7522" s="1"/>
      <c r="J7522" s="1"/>
      <c r="K7522" s="102" t="s">
        <v>11702</v>
      </c>
      <c r="L7522" s="102" t="str">
        <f>F1090</f>
        <v>J2b2a1</v>
      </c>
      <c r="M7522" s="106" t="s">
        <v>11703</v>
      </c>
      <c r="N7522" s="102" t="s">
        <v>11699</v>
      </c>
      <c r="O7522" s="105">
        <v>1.641499E7</v>
      </c>
      <c r="P7522" s="105">
        <v>1.430311E7</v>
      </c>
      <c r="Q7522" s="102" t="s">
        <v>2576</v>
      </c>
      <c r="S7522" s="1"/>
      <c r="T7522" s="1"/>
      <c r="U7522" s="1"/>
      <c r="V7522" s="1"/>
      <c r="W7522" s="1"/>
      <c r="X7522" s="1"/>
      <c r="Y7522" s="1"/>
      <c r="AA7522" s="102"/>
      <c r="AB7522" s="1"/>
      <c r="AC7522" s="1"/>
      <c r="AD7522" s="1"/>
      <c r="AE7522" s="1"/>
      <c r="AF7522" s="1"/>
      <c r="AG7522" s="1"/>
    </row>
    <row r="7523" ht="15.75" customHeight="1">
      <c r="A7523" s="1"/>
      <c r="B7523" s="1"/>
      <c r="C7523" s="1"/>
      <c r="D7523" s="1"/>
      <c r="E7523" s="1"/>
      <c r="F7523" s="1"/>
      <c r="G7523" s="1"/>
      <c r="H7523" s="1"/>
      <c r="I7523" s="1"/>
      <c r="J7523" s="1"/>
      <c r="K7523" s="102" t="s">
        <v>11704</v>
      </c>
      <c r="L7523" s="102" t="str">
        <f>F1090</f>
        <v>J2b2a1</v>
      </c>
      <c r="M7523" s="106" t="s">
        <v>11705</v>
      </c>
      <c r="N7523" s="102" t="s">
        <v>11699</v>
      </c>
      <c r="O7523" s="105">
        <v>1.641499E7</v>
      </c>
      <c r="P7523" s="105">
        <v>1.430311E7</v>
      </c>
      <c r="Q7523" s="102" t="s">
        <v>2576</v>
      </c>
      <c r="S7523" s="1"/>
      <c r="T7523" s="1"/>
      <c r="U7523" s="1"/>
      <c r="V7523" s="1"/>
      <c r="W7523" s="1"/>
      <c r="X7523" s="1"/>
      <c r="Y7523" s="1"/>
      <c r="AA7523" s="102"/>
      <c r="AB7523" s="1"/>
      <c r="AC7523" s="1"/>
      <c r="AD7523" s="1"/>
      <c r="AE7523" s="1"/>
      <c r="AF7523" s="1"/>
      <c r="AG7523" s="1"/>
    </row>
    <row r="7524" ht="15.75" customHeight="1">
      <c r="A7524" s="1"/>
      <c r="B7524" s="1"/>
      <c r="C7524" s="1"/>
      <c r="D7524" s="1"/>
      <c r="E7524" s="1"/>
      <c r="F7524" s="1"/>
      <c r="G7524" s="1"/>
      <c r="H7524" s="1"/>
      <c r="I7524" s="1"/>
      <c r="J7524" s="1"/>
      <c r="K7524" s="102" t="s">
        <v>11706</v>
      </c>
      <c r="L7524" s="102" t="str">
        <f>F1090</f>
        <v>J2b2a1</v>
      </c>
      <c r="M7524" s="102" t="s">
        <v>11707</v>
      </c>
      <c r="N7524" s="102" t="s">
        <v>11708</v>
      </c>
      <c r="O7524" s="105">
        <v>1.642912E7</v>
      </c>
      <c r="P7524" s="105">
        <v>1.431724E7</v>
      </c>
      <c r="Q7524" s="102" t="s">
        <v>2439</v>
      </c>
      <c r="S7524" s="1"/>
      <c r="T7524" s="1"/>
      <c r="U7524" s="1"/>
      <c r="V7524" s="1"/>
      <c r="W7524" s="1"/>
      <c r="X7524" s="1"/>
      <c r="Y7524" s="1"/>
      <c r="AA7524" s="102"/>
      <c r="AB7524" s="1"/>
      <c r="AC7524" s="1"/>
      <c r="AD7524" s="1"/>
      <c r="AE7524" s="1"/>
      <c r="AF7524" s="1"/>
      <c r="AG7524" s="1"/>
    </row>
    <row r="7525" ht="15.75" customHeight="1">
      <c r="A7525" s="1"/>
      <c r="B7525" s="1"/>
      <c r="C7525" s="1"/>
      <c r="D7525" s="1"/>
      <c r="E7525" s="1"/>
      <c r="F7525" s="1"/>
      <c r="G7525" s="1"/>
      <c r="H7525" s="1"/>
      <c r="I7525" s="1"/>
      <c r="J7525" s="1"/>
      <c r="K7525" s="102" t="s">
        <v>11709</v>
      </c>
      <c r="L7525" s="102" t="str">
        <f>F1090</f>
        <v>J2b2a1</v>
      </c>
      <c r="M7525" s="102" t="s">
        <v>11710</v>
      </c>
      <c r="N7525" s="102" t="s">
        <v>11708</v>
      </c>
      <c r="O7525" s="105">
        <v>1.642912E7</v>
      </c>
      <c r="P7525" s="105">
        <v>1.431724E7</v>
      </c>
      <c r="Q7525" s="102" t="s">
        <v>2439</v>
      </c>
      <c r="S7525" s="1"/>
      <c r="T7525" s="1"/>
      <c r="U7525" s="1"/>
      <c r="V7525" s="1"/>
      <c r="W7525" s="1"/>
      <c r="X7525" s="1"/>
      <c r="Y7525" s="1"/>
      <c r="AA7525" s="102"/>
      <c r="AB7525" s="1"/>
      <c r="AC7525" s="1"/>
      <c r="AD7525" s="1"/>
      <c r="AE7525" s="1"/>
      <c r="AF7525" s="1"/>
      <c r="AG7525" s="1"/>
    </row>
    <row r="7526" ht="15.75" customHeight="1">
      <c r="A7526" s="1"/>
      <c r="B7526" s="1"/>
      <c r="C7526" s="1"/>
      <c r="D7526" s="1"/>
      <c r="E7526" s="1"/>
      <c r="F7526" s="1"/>
      <c r="G7526" s="1"/>
      <c r="H7526" s="1"/>
      <c r="I7526" s="1"/>
      <c r="J7526" s="1"/>
      <c r="K7526" s="102" t="s">
        <v>11711</v>
      </c>
      <c r="L7526" s="102" t="str">
        <f>F1090</f>
        <v>J2b2a1</v>
      </c>
      <c r="M7526" s="102" t="s">
        <v>11712</v>
      </c>
      <c r="N7526" s="102" t="s">
        <v>11708</v>
      </c>
      <c r="O7526" s="105">
        <v>1.642912E7</v>
      </c>
      <c r="P7526" s="105">
        <v>1.431724E7</v>
      </c>
      <c r="Q7526" s="102" t="s">
        <v>2439</v>
      </c>
      <c r="S7526" s="1"/>
      <c r="T7526" s="1"/>
      <c r="U7526" s="1"/>
      <c r="V7526" s="1"/>
      <c r="W7526" s="1"/>
      <c r="X7526" s="1"/>
      <c r="Y7526" s="1"/>
      <c r="AA7526" s="102"/>
      <c r="AB7526" s="1"/>
      <c r="AC7526" s="1"/>
      <c r="AD7526" s="1"/>
      <c r="AE7526" s="1"/>
      <c r="AF7526" s="1"/>
      <c r="AG7526" s="1"/>
    </row>
    <row r="7527" ht="15.75" customHeight="1">
      <c r="A7527" s="1"/>
      <c r="B7527" s="1"/>
      <c r="C7527" s="1"/>
      <c r="D7527" s="1"/>
      <c r="E7527" s="1"/>
      <c r="F7527" s="1"/>
      <c r="G7527" s="1"/>
      <c r="H7527" s="1"/>
      <c r="I7527" s="1"/>
      <c r="J7527" s="1"/>
      <c r="K7527" s="102" t="s">
        <v>11713</v>
      </c>
      <c r="L7527" s="102" t="str">
        <f>F1090</f>
        <v>J2b2a1</v>
      </c>
      <c r="M7527" s="102" t="s">
        <v>11714</v>
      </c>
      <c r="N7527" s="102" t="s">
        <v>11708</v>
      </c>
      <c r="O7527" s="105">
        <v>1.642912E7</v>
      </c>
      <c r="P7527" s="105">
        <v>1.431724E7</v>
      </c>
      <c r="Q7527" s="102" t="s">
        <v>2439</v>
      </c>
      <c r="S7527" s="1"/>
      <c r="T7527" s="1"/>
      <c r="U7527" s="1"/>
      <c r="V7527" s="1"/>
      <c r="W7527" s="1"/>
      <c r="X7527" s="1"/>
      <c r="Y7527" s="1"/>
      <c r="AA7527" s="102"/>
      <c r="AB7527" s="1"/>
      <c r="AC7527" s="1"/>
      <c r="AD7527" s="1"/>
      <c r="AE7527" s="1"/>
      <c r="AF7527" s="1"/>
      <c r="AG7527" s="1"/>
    </row>
    <row r="7528" ht="15.75" customHeight="1">
      <c r="A7528" s="1"/>
      <c r="B7528" s="1"/>
      <c r="C7528" s="1"/>
      <c r="D7528" s="1"/>
      <c r="E7528" s="1"/>
      <c r="F7528" s="1"/>
      <c r="G7528" s="1"/>
      <c r="H7528" s="1"/>
      <c r="I7528" s="1"/>
      <c r="J7528" s="1"/>
      <c r="K7528" s="102" t="s">
        <v>11715</v>
      </c>
      <c r="L7528" s="102" t="str">
        <f>F1090</f>
        <v>J2b2a1</v>
      </c>
      <c r="M7528" s="106" t="s">
        <v>11716</v>
      </c>
      <c r="N7528" s="102" t="s">
        <v>11717</v>
      </c>
      <c r="O7528" s="105">
        <v>1.6621493E7</v>
      </c>
      <c r="P7528" s="105">
        <v>1.4509613E7</v>
      </c>
      <c r="Q7528" s="102" t="s">
        <v>2501</v>
      </c>
      <c r="S7528" s="1"/>
      <c r="T7528" s="1"/>
      <c r="U7528" s="1"/>
      <c r="V7528" s="1"/>
      <c r="W7528" s="1"/>
      <c r="X7528" s="1"/>
      <c r="Y7528" s="1"/>
      <c r="AA7528" s="102"/>
      <c r="AB7528" s="1"/>
      <c r="AC7528" s="1"/>
      <c r="AD7528" s="1"/>
      <c r="AE7528" s="1"/>
      <c r="AF7528" s="1"/>
      <c r="AG7528" s="1"/>
    </row>
    <row r="7529" ht="15.75" customHeight="1">
      <c r="A7529" s="1"/>
      <c r="B7529" s="1"/>
      <c r="C7529" s="1"/>
      <c r="D7529" s="1"/>
      <c r="E7529" s="1"/>
      <c r="F7529" s="1"/>
      <c r="G7529" s="1"/>
      <c r="H7529" s="1"/>
      <c r="I7529" s="1"/>
      <c r="J7529" s="1"/>
      <c r="K7529" s="102" t="s">
        <v>11718</v>
      </c>
      <c r="L7529" s="102" t="str">
        <f>F1090</f>
        <v>J2b2a1</v>
      </c>
      <c r="M7529" s="106" t="s">
        <v>11719</v>
      </c>
      <c r="N7529" s="102" t="s">
        <v>11717</v>
      </c>
      <c r="O7529" s="105">
        <v>1.6621493E7</v>
      </c>
      <c r="P7529" s="105">
        <v>1.4509613E7</v>
      </c>
      <c r="Q7529" s="102" t="s">
        <v>2501</v>
      </c>
      <c r="S7529" s="1"/>
      <c r="T7529" s="1"/>
      <c r="U7529" s="1"/>
      <c r="V7529" s="1"/>
      <c r="W7529" s="1"/>
      <c r="X7529" s="1"/>
      <c r="Y7529" s="1"/>
      <c r="AA7529" s="102"/>
      <c r="AB7529" s="1"/>
      <c r="AC7529" s="1"/>
      <c r="AD7529" s="1"/>
      <c r="AE7529" s="1"/>
      <c r="AF7529" s="1"/>
      <c r="AG7529" s="1"/>
    </row>
    <row r="7530" ht="15.75" customHeight="1">
      <c r="A7530" s="1"/>
      <c r="B7530" s="1"/>
      <c r="C7530" s="1"/>
      <c r="D7530" s="1"/>
      <c r="E7530" s="1"/>
      <c r="F7530" s="1"/>
      <c r="G7530" s="1"/>
      <c r="H7530" s="1"/>
      <c r="I7530" s="1"/>
      <c r="J7530" s="1"/>
      <c r="K7530" s="106" t="s">
        <v>11720</v>
      </c>
      <c r="L7530" s="102" t="str">
        <f>F1090</f>
        <v>J2b2a1</v>
      </c>
      <c r="M7530" s="102" t="s">
        <v>11721</v>
      </c>
      <c r="N7530" s="102" t="s">
        <v>11717</v>
      </c>
      <c r="O7530" s="105">
        <v>1.6621493E7</v>
      </c>
      <c r="P7530" s="105">
        <v>1.4509613E7</v>
      </c>
      <c r="Q7530" s="102" t="s">
        <v>2501</v>
      </c>
      <c r="S7530" s="1"/>
      <c r="T7530" s="1"/>
      <c r="U7530" s="1"/>
      <c r="V7530" s="1"/>
      <c r="W7530" s="1"/>
      <c r="X7530" s="1"/>
      <c r="Y7530" s="1"/>
      <c r="AA7530" s="102"/>
      <c r="AB7530" s="1"/>
      <c r="AC7530" s="1"/>
      <c r="AD7530" s="1"/>
      <c r="AE7530" s="1"/>
      <c r="AF7530" s="1"/>
      <c r="AG7530" s="1"/>
    </row>
    <row r="7531" ht="15.75" customHeight="1">
      <c r="A7531" s="1"/>
      <c r="B7531" s="1"/>
      <c r="C7531" s="1"/>
      <c r="D7531" s="1"/>
      <c r="E7531" s="1"/>
      <c r="F7531" s="1"/>
      <c r="G7531" s="1"/>
      <c r="H7531" s="1"/>
      <c r="I7531" s="1"/>
      <c r="J7531" s="1"/>
      <c r="K7531" s="102" t="s">
        <v>11722</v>
      </c>
      <c r="L7531" s="102" t="str">
        <f>F1090</f>
        <v>J2b2a1</v>
      </c>
      <c r="M7531" s="106" t="s">
        <v>11723</v>
      </c>
      <c r="N7531" s="102" t="s">
        <v>11717</v>
      </c>
      <c r="O7531" s="105">
        <v>1.6621493E7</v>
      </c>
      <c r="P7531" s="105">
        <v>1.4509613E7</v>
      </c>
      <c r="Q7531" s="102" t="s">
        <v>2501</v>
      </c>
      <c r="S7531" s="1"/>
      <c r="T7531" s="1"/>
      <c r="U7531" s="1"/>
      <c r="V7531" s="1"/>
      <c r="W7531" s="1"/>
      <c r="X7531" s="1"/>
      <c r="Y7531" s="1"/>
      <c r="AA7531" s="102"/>
      <c r="AB7531" s="1"/>
      <c r="AC7531" s="1"/>
      <c r="AD7531" s="1"/>
      <c r="AE7531" s="1"/>
      <c r="AF7531" s="1"/>
      <c r="AG7531" s="1"/>
    </row>
    <row r="7532" ht="15.75" customHeight="1">
      <c r="A7532" s="1"/>
      <c r="B7532" s="1"/>
      <c r="C7532" s="1"/>
      <c r="D7532" s="1"/>
      <c r="E7532" s="1"/>
      <c r="F7532" s="1"/>
      <c r="G7532" s="1"/>
      <c r="H7532" s="1"/>
      <c r="I7532" s="1"/>
      <c r="J7532" s="1"/>
      <c r="K7532" s="102" t="s">
        <v>11724</v>
      </c>
      <c r="L7532" s="102" t="str">
        <f>F1090</f>
        <v>J2b2a1</v>
      </c>
      <c r="M7532" s="106" t="s">
        <v>11725</v>
      </c>
      <c r="N7532" s="102" t="s">
        <v>11717</v>
      </c>
      <c r="O7532" s="105">
        <v>1.6621493E7</v>
      </c>
      <c r="P7532" s="105">
        <v>1.4509613E7</v>
      </c>
      <c r="Q7532" s="102" t="s">
        <v>2501</v>
      </c>
      <c r="S7532" s="1"/>
      <c r="T7532" s="1"/>
      <c r="U7532" s="1"/>
      <c r="V7532" s="1"/>
      <c r="W7532" s="1"/>
      <c r="X7532" s="1"/>
      <c r="Y7532" s="1"/>
      <c r="AA7532" s="102"/>
      <c r="AB7532" s="1"/>
      <c r="AC7532" s="1"/>
      <c r="AD7532" s="1"/>
      <c r="AE7532" s="1"/>
      <c r="AF7532" s="1"/>
      <c r="AG7532" s="1"/>
    </row>
    <row r="7533" ht="15.75" customHeight="1">
      <c r="A7533" s="1"/>
      <c r="B7533" s="1"/>
      <c r="C7533" s="1"/>
      <c r="D7533" s="1"/>
      <c r="E7533" s="1"/>
      <c r="F7533" s="1"/>
      <c r="G7533" s="1"/>
      <c r="H7533" s="1"/>
      <c r="I7533" s="1"/>
      <c r="J7533" s="1"/>
      <c r="K7533" s="102" t="s">
        <v>11726</v>
      </c>
      <c r="L7533" s="102" t="str">
        <f>F1090</f>
        <v>J2b2a1</v>
      </c>
      <c r="M7533" s="102" t="s">
        <v>11727</v>
      </c>
      <c r="N7533" s="102" t="s">
        <v>11728</v>
      </c>
      <c r="O7533" s="105">
        <v>1.6698437E7</v>
      </c>
      <c r="P7533" s="105">
        <v>1.4586557E7</v>
      </c>
      <c r="Q7533" s="102" t="s">
        <v>2501</v>
      </c>
      <c r="S7533" s="1"/>
      <c r="T7533" s="1"/>
      <c r="U7533" s="1"/>
      <c r="V7533" s="1"/>
      <c r="W7533" s="1"/>
      <c r="X7533" s="1"/>
      <c r="Y7533" s="1"/>
      <c r="AA7533" s="102"/>
      <c r="AB7533" s="1"/>
      <c r="AC7533" s="1"/>
      <c r="AD7533" s="1"/>
      <c r="AE7533" s="1"/>
      <c r="AF7533" s="1"/>
      <c r="AG7533" s="1"/>
    </row>
    <row r="7534" ht="15.75" customHeight="1">
      <c r="A7534" s="1"/>
      <c r="B7534" s="1"/>
      <c r="C7534" s="1"/>
      <c r="D7534" s="1"/>
      <c r="E7534" s="1"/>
      <c r="F7534" s="1"/>
      <c r="G7534" s="1"/>
      <c r="H7534" s="1"/>
      <c r="I7534" s="1"/>
      <c r="J7534" s="1"/>
      <c r="K7534" s="102" t="s">
        <v>11729</v>
      </c>
      <c r="L7534" s="102" t="str">
        <f>F1090</f>
        <v>J2b2a1</v>
      </c>
      <c r="M7534" s="102" t="s">
        <v>11730</v>
      </c>
      <c r="N7534" s="102" t="s">
        <v>11728</v>
      </c>
      <c r="O7534" s="105">
        <v>1.6698437E7</v>
      </c>
      <c r="P7534" s="105">
        <v>1.4586557E7</v>
      </c>
      <c r="Q7534" s="102" t="s">
        <v>2501</v>
      </c>
      <c r="S7534" s="1"/>
      <c r="T7534" s="1"/>
      <c r="U7534" s="1"/>
      <c r="V7534" s="1"/>
      <c r="W7534" s="1"/>
      <c r="X7534" s="1"/>
      <c r="Y7534" s="1"/>
      <c r="AA7534" s="102"/>
      <c r="AB7534" s="1"/>
      <c r="AC7534" s="1"/>
      <c r="AD7534" s="1"/>
      <c r="AE7534" s="1"/>
      <c r="AF7534" s="1"/>
      <c r="AG7534" s="1"/>
    </row>
    <row r="7535" ht="15.75" customHeight="1">
      <c r="A7535" s="1"/>
      <c r="B7535" s="1"/>
      <c r="C7535" s="1"/>
      <c r="D7535" s="1"/>
      <c r="E7535" s="1"/>
      <c r="F7535" s="1"/>
      <c r="G7535" s="1"/>
      <c r="H7535" s="1"/>
      <c r="I7535" s="1"/>
      <c r="J7535" s="1"/>
      <c r="K7535" s="102" t="s">
        <v>11731</v>
      </c>
      <c r="L7535" s="102" t="str">
        <f>F1090</f>
        <v>J2b2a1</v>
      </c>
      <c r="M7535" s="102" t="s">
        <v>11732</v>
      </c>
      <c r="N7535" s="102" t="s">
        <v>11728</v>
      </c>
      <c r="O7535" s="105">
        <v>1.6698437E7</v>
      </c>
      <c r="P7535" s="105">
        <v>1.4586557E7</v>
      </c>
      <c r="Q7535" s="102" t="s">
        <v>2501</v>
      </c>
      <c r="S7535" s="1"/>
      <c r="T7535" s="1"/>
      <c r="U7535" s="1"/>
      <c r="V7535" s="1"/>
      <c r="W7535" s="1"/>
      <c r="X7535" s="1"/>
      <c r="Y7535" s="1"/>
      <c r="AA7535" s="102"/>
      <c r="AB7535" s="1"/>
      <c r="AC7535" s="1"/>
      <c r="AD7535" s="1"/>
      <c r="AE7535" s="1"/>
      <c r="AF7535" s="1"/>
      <c r="AG7535" s="1"/>
    </row>
    <row r="7536" ht="15.75" customHeight="1">
      <c r="A7536" s="1"/>
      <c r="B7536" s="1"/>
      <c r="C7536" s="1"/>
      <c r="D7536" s="1"/>
      <c r="E7536" s="1"/>
      <c r="F7536" s="1"/>
      <c r="G7536" s="1"/>
      <c r="H7536" s="1"/>
      <c r="I7536" s="1"/>
      <c r="J7536" s="1"/>
      <c r="K7536" s="102" t="s">
        <v>11733</v>
      </c>
      <c r="L7536" s="102" t="str">
        <f>F1090</f>
        <v>J2b2a1</v>
      </c>
      <c r="M7536" s="102" t="s">
        <v>11734</v>
      </c>
      <c r="N7536" s="102" t="s">
        <v>11735</v>
      </c>
      <c r="O7536" s="105">
        <v>1.7244458E7</v>
      </c>
      <c r="P7536" s="105">
        <v>1.5132578E7</v>
      </c>
      <c r="Q7536" s="102" t="s">
        <v>2529</v>
      </c>
      <c r="S7536" s="1"/>
      <c r="T7536" s="1"/>
      <c r="U7536" s="1"/>
      <c r="V7536" s="1"/>
      <c r="W7536" s="1"/>
      <c r="X7536" s="1"/>
      <c r="Y7536" s="1"/>
      <c r="AA7536" s="102"/>
      <c r="AB7536" s="1"/>
      <c r="AC7536" s="1"/>
      <c r="AD7536" s="1"/>
      <c r="AE7536" s="1"/>
      <c r="AF7536" s="1"/>
      <c r="AG7536" s="1"/>
    </row>
    <row r="7537" ht="15.75" customHeight="1">
      <c r="A7537" s="1"/>
      <c r="B7537" s="1"/>
      <c r="C7537" s="1"/>
      <c r="D7537" s="1"/>
      <c r="E7537" s="1"/>
      <c r="F7537" s="1"/>
      <c r="G7537" s="1"/>
      <c r="H7537" s="1"/>
      <c r="I7537" s="1"/>
      <c r="J7537" s="1"/>
      <c r="K7537" s="102" t="s">
        <v>11736</v>
      </c>
      <c r="L7537" s="102" t="str">
        <f>F1090</f>
        <v>J2b2a1</v>
      </c>
      <c r="M7537" s="102" t="s">
        <v>11737</v>
      </c>
      <c r="N7537" s="102" t="s">
        <v>11735</v>
      </c>
      <c r="O7537" s="105">
        <v>1.7244458E7</v>
      </c>
      <c r="P7537" s="105">
        <v>1.5132578E7</v>
      </c>
      <c r="Q7537" s="102" t="s">
        <v>2529</v>
      </c>
      <c r="S7537" s="1"/>
      <c r="T7537" s="1"/>
      <c r="U7537" s="1"/>
      <c r="V7537" s="1"/>
      <c r="W7537" s="1"/>
      <c r="X7537" s="1"/>
      <c r="Y7537" s="1"/>
      <c r="AA7537" s="102"/>
      <c r="AB7537" s="1"/>
      <c r="AC7537" s="1"/>
      <c r="AD7537" s="1"/>
      <c r="AE7537" s="1"/>
      <c r="AF7537" s="1"/>
      <c r="AG7537" s="1"/>
    </row>
    <row r="7538" ht="15.75" customHeight="1">
      <c r="A7538" s="1"/>
      <c r="B7538" s="1"/>
      <c r="C7538" s="1"/>
      <c r="D7538" s="1"/>
      <c r="E7538" s="1"/>
      <c r="F7538" s="1"/>
      <c r="G7538" s="1"/>
      <c r="H7538" s="1"/>
      <c r="I7538" s="1"/>
      <c r="J7538" s="1"/>
      <c r="K7538" s="102" t="s">
        <v>11738</v>
      </c>
      <c r="L7538" s="102" t="str">
        <f>F1090</f>
        <v>J2b2a1</v>
      </c>
      <c r="M7538" s="102" t="s">
        <v>11739</v>
      </c>
      <c r="N7538" s="102" t="s">
        <v>11735</v>
      </c>
      <c r="O7538" s="105">
        <v>1.7244458E7</v>
      </c>
      <c r="P7538" s="105">
        <v>1.5132578E7</v>
      </c>
      <c r="Q7538" s="102" t="s">
        <v>2529</v>
      </c>
      <c r="S7538" s="1"/>
      <c r="T7538" s="1"/>
      <c r="U7538" s="1"/>
      <c r="V7538" s="1"/>
      <c r="W7538" s="1"/>
      <c r="X7538" s="1"/>
      <c r="Y7538" s="1"/>
      <c r="AA7538" s="102"/>
      <c r="AB7538" s="1"/>
      <c r="AC7538" s="1"/>
      <c r="AD7538" s="1"/>
      <c r="AE7538" s="1"/>
      <c r="AF7538" s="1"/>
      <c r="AG7538" s="1"/>
    </row>
    <row r="7539" ht="15.75" customHeight="1">
      <c r="A7539" s="1"/>
      <c r="B7539" s="1"/>
      <c r="C7539" s="1"/>
      <c r="D7539" s="1"/>
      <c r="E7539" s="1"/>
      <c r="F7539" s="1"/>
      <c r="G7539" s="1"/>
      <c r="H7539" s="1"/>
      <c r="I7539" s="1"/>
      <c r="J7539" s="1"/>
      <c r="K7539" s="102" t="s">
        <v>11740</v>
      </c>
      <c r="L7539" s="102" t="str">
        <f>F1090</f>
        <v>J2b2a1</v>
      </c>
      <c r="M7539" s="102" t="s">
        <v>11741</v>
      </c>
      <c r="N7539" s="102" t="s">
        <v>11742</v>
      </c>
      <c r="O7539" s="105">
        <v>1.7450089E7</v>
      </c>
      <c r="P7539" s="105">
        <v>1.5338209E7</v>
      </c>
      <c r="Q7539" s="102" t="s">
        <v>2468</v>
      </c>
      <c r="S7539" s="1"/>
      <c r="T7539" s="1"/>
      <c r="U7539" s="1"/>
      <c r="V7539" s="1"/>
      <c r="W7539" s="1"/>
      <c r="X7539" s="1"/>
      <c r="Y7539" s="1"/>
      <c r="AA7539" s="102"/>
      <c r="AB7539" s="1"/>
      <c r="AC7539" s="1"/>
      <c r="AD7539" s="1"/>
      <c r="AE7539" s="1"/>
      <c r="AF7539" s="1"/>
      <c r="AG7539" s="1"/>
    </row>
    <row r="7540" ht="15.75" customHeight="1">
      <c r="A7540" s="1"/>
      <c r="B7540" s="1"/>
      <c r="C7540" s="1"/>
      <c r="D7540" s="1"/>
      <c r="E7540" s="1"/>
      <c r="F7540" s="1"/>
      <c r="G7540" s="1"/>
      <c r="H7540" s="1"/>
      <c r="I7540" s="1"/>
      <c r="J7540" s="1"/>
      <c r="K7540" s="102" t="s">
        <v>11743</v>
      </c>
      <c r="L7540" s="102" t="str">
        <f>F1090</f>
        <v>J2b2a1</v>
      </c>
      <c r="M7540" s="102" t="s">
        <v>11744</v>
      </c>
      <c r="N7540" s="102" t="s">
        <v>11742</v>
      </c>
      <c r="O7540" s="105">
        <v>1.7450089E7</v>
      </c>
      <c r="P7540" s="105">
        <v>1.5338209E7</v>
      </c>
      <c r="Q7540" s="102" t="s">
        <v>2468</v>
      </c>
      <c r="S7540" s="1"/>
      <c r="T7540" s="1"/>
      <c r="U7540" s="1"/>
      <c r="V7540" s="1"/>
      <c r="W7540" s="1"/>
      <c r="X7540" s="1"/>
      <c r="Y7540" s="1"/>
      <c r="AA7540" s="102"/>
      <c r="AB7540" s="1"/>
      <c r="AC7540" s="1"/>
      <c r="AD7540" s="1"/>
      <c r="AE7540" s="1"/>
      <c r="AF7540" s="1"/>
      <c r="AG7540" s="1"/>
    </row>
    <row r="7541" ht="15.75" customHeight="1">
      <c r="A7541" s="1"/>
      <c r="B7541" s="1"/>
      <c r="C7541" s="1"/>
      <c r="D7541" s="1"/>
      <c r="E7541" s="1"/>
      <c r="F7541" s="1"/>
      <c r="G7541" s="1"/>
      <c r="H7541" s="1"/>
      <c r="I7541" s="1"/>
      <c r="J7541" s="1"/>
      <c r="K7541" s="102" t="s">
        <v>11745</v>
      </c>
      <c r="L7541" s="102" t="str">
        <f>F1090</f>
        <v>J2b2a1</v>
      </c>
      <c r="M7541" s="102" t="s">
        <v>11746</v>
      </c>
      <c r="N7541" s="102" t="s">
        <v>11742</v>
      </c>
      <c r="O7541" s="105">
        <v>1.7450089E7</v>
      </c>
      <c r="P7541" s="105">
        <v>1.5338209E7</v>
      </c>
      <c r="Q7541" s="102" t="s">
        <v>2468</v>
      </c>
      <c r="S7541" s="1"/>
      <c r="T7541" s="1"/>
      <c r="U7541" s="1"/>
      <c r="V7541" s="1"/>
      <c r="W7541" s="1"/>
      <c r="X7541" s="1"/>
      <c r="Y7541" s="1"/>
      <c r="AA7541" s="102"/>
      <c r="AB7541" s="1"/>
      <c r="AC7541" s="1"/>
      <c r="AD7541" s="1"/>
      <c r="AE7541" s="1"/>
      <c r="AF7541" s="1"/>
      <c r="AG7541" s="1"/>
    </row>
    <row r="7542" ht="15.75" customHeight="1">
      <c r="A7542" s="1"/>
      <c r="B7542" s="1"/>
      <c r="C7542" s="1"/>
      <c r="D7542" s="1"/>
      <c r="E7542" s="1"/>
      <c r="F7542" s="1"/>
      <c r="G7542" s="1"/>
      <c r="H7542" s="1"/>
      <c r="I7542" s="1"/>
      <c r="J7542" s="1"/>
      <c r="K7542" s="102" t="s">
        <v>11747</v>
      </c>
      <c r="L7542" s="102" t="str">
        <f>F1090</f>
        <v>J2b2a1</v>
      </c>
      <c r="M7542" s="102" t="s">
        <v>11748</v>
      </c>
      <c r="N7542" s="102" t="s">
        <v>11742</v>
      </c>
      <c r="O7542" s="105">
        <v>1.7450089E7</v>
      </c>
      <c r="P7542" s="105">
        <v>1.5338209E7</v>
      </c>
      <c r="Q7542" s="102" t="s">
        <v>2468</v>
      </c>
      <c r="S7542" s="1"/>
      <c r="T7542" s="1"/>
      <c r="U7542" s="1"/>
      <c r="V7542" s="1"/>
      <c r="W7542" s="1"/>
      <c r="X7542" s="1"/>
      <c r="Y7542" s="1"/>
      <c r="AA7542" s="102"/>
      <c r="AB7542" s="1"/>
      <c r="AC7542" s="1"/>
      <c r="AD7542" s="1"/>
      <c r="AE7542" s="1"/>
      <c r="AF7542" s="1"/>
      <c r="AG7542" s="1"/>
    </row>
    <row r="7543" ht="15.75" customHeight="1">
      <c r="A7543" s="1"/>
      <c r="B7543" s="1"/>
      <c r="C7543" s="1"/>
      <c r="D7543" s="1"/>
      <c r="E7543" s="1"/>
      <c r="F7543" s="1"/>
      <c r="G7543" s="1"/>
      <c r="H7543" s="1"/>
      <c r="I7543" s="1"/>
      <c r="J7543" s="1"/>
      <c r="K7543" s="102" t="s">
        <v>11749</v>
      </c>
      <c r="L7543" s="102" t="str">
        <f>F1090</f>
        <v>J2b2a1</v>
      </c>
      <c r="M7543" s="102" t="s">
        <v>11750</v>
      </c>
      <c r="N7543" s="102" t="s">
        <v>11751</v>
      </c>
      <c r="O7543" s="105">
        <v>1.7509602E7</v>
      </c>
      <c r="P7543" s="105">
        <v>1.5397722E7</v>
      </c>
      <c r="Q7543" s="102" t="s">
        <v>2439</v>
      </c>
      <c r="S7543" s="1"/>
      <c r="T7543" s="1"/>
      <c r="U7543" s="1"/>
      <c r="V7543" s="1"/>
      <c r="W7543" s="1"/>
      <c r="X7543" s="1"/>
      <c r="Y7543" s="1"/>
      <c r="AA7543" s="102"/>
      <c r="AB7543" s="1"/>
      <c r="AC7543" s="1"/>
      <c r="AD7543" s="1"/>
      <c r="AE7543" s="1"/>
      <c r="AF7543" s="1"/>
      <c r="AG7543" s="1"/>
    </row>
    <row r="7544" ht="15.75" customHeight="1">
      <c r="A7544" s="1"/>
      <c r="B7544" s="1"/>
      <c r="C7544" s="1"/>
      <c r="D7544" s="1"/>
      <c r="E7544" s="1"/>
      <c r="F7544" s="1"/>
      <c r="G7544" s="1"/>
      <c r="H7544" s="1"/>
      <c r="I7544" s="1"/>
      <c r="J7544" s="1"/>
      <c r="K7544" s="102" t="s">
        <v>11752</v>
      </c>
      <c r="L7544" s="102" t="str">
        <f>F1090</f>
        <v>J2b2a1</v>
      </c>
      <c r="M7544" s="102" t="s">
        <v>11753</v>
      </c>
      <c r="N7544" s="102" t="s">
        <v>11751</v>
      </c>
      <c r="O7544" s="105">
        <v>1.7509602E7</v>
      </c>
      <c r="P7544" s="105">
        <v>1.5397722E7</v>
      </c>
      <c r="Q7544" s="102" t="s">
        <v>2439</v>
      </c>
      <c r="S7544" s="1"/>
      <c r="T7544" s="1"/>
      <c r="U7544" s="1"/>
      <c r="V7544" s="1"/>
      <c r="W7544" s="1"/>
      <c r="X7544" s="1"/>
      <c r="Y7544" s="1"/>
      <c r="AA7544" s="102"/>
      <c r="AB7544" s="1"/>
      <c r="AC7544" s="1"/>
      <c r="AD7544" s="1"/>
      <c r="AE7544" s="1"/>
      <c r="AF7544" s="1"/>
      <c r="AG7544" s="1"/>
    </row>
    <row r="7545" ht="15.75" customHeight="1">
      <c r="A7545" s="1"/>
      <c r="B7545" s="1"/>
      <c r="C7545" s="1"/>
      <c r="D7545" s="1"/>
      <c r="E7545" s="1"/>
      <c r="F7545" s="1"/>
      <c r="G7545" s="1"/>
      <c r="H7545" s="1"/>
      <c r="I7545" s="1"/>
      <c r="J7545" s="1"/>
      <c r="K7545" s="102" t="s">
        <v>11754</v>
      </c>
      <c r="L7545" s="102" t="str">
        <f>F1090</f>
        <v>J2b2a1</v>
      </c>
      <c r="M7545" s="102" t="s">
        <v>11755</v>
      </c>
      <c r="N7545" s="102" t="s">
        <v>11751</v>
      </c>
      <c r="O7545" s="105">
        <v>1.7509602E7</v>
      </c>
      <c r="P7545" s="105">
        <v>1.5397722E7</v>
      </c>
      <c r="Q7545" s="102" t="s">
        <v>2439</v>
      </c>
      <c r="S7545" s="1"/>
      <c r="T7545" s="1"/>
      <c r="U7545" s="1"/>
      <c r="V7545" s="1"/>
      <c r="W7545" s="1"/>
      <c r="X7545" s="1"/>
      <c r="Y7545" s="1"/>
      <c r="AA7545" s="102"/>
      <c r="AB7545" s="1"/>
      <c r="AC7545" s="1"/>
      <c r="AD7545" s="1"/>
      <c r="AE7545" s="1"/>
      <c r="AF7545" s="1"/>
      <c r="AG7545" s="1"/>
    </row>
    <row r="7546" ht="15.75" customHeight="1">
      <c r="A7546" s="1"/>
      <c r="B7546" s="1"/>
      <c r="C7546" s="1"/>
      <c r="D7546" s="1"/>
      <c r="E7546" s="1"/>
      <c r="F7546" s="1"/>
      <c r="G7546" s="1"/>
      <c r="H7546" s="1"/>
      <c r="I7546" s="1"/>
      <c r="J7546" s="1"/>
      <c r="K7546" s="102" t="s">
        <v>11756</v>
      </c>
      <c r="L7546" s="102" t="str">
        <f>F1090</f>
        <v>J2b2a1</v>
      </c>
      <c r="M7546" s="102" t="s">
        <v>11757</v>
      </c>
      <c r="N7546" s="102" t="s">
        <v>11758</v>
      </c>
      <c r="O7546" s="105">
        <v>1.8706994E7</v>
      </c>
      <c r="P7546" s="105">
        <v>1.6595114E7</v>
      </c>
      <c r="Q7546" s="102" t="s">
        <v>2501</v>
      </c>
      <c r="S7546" s="1"/>
      <c r="T7546" s="1"/>
      <c r="U7546" s="1"/>
      <c r="V7546" s="1"/>
      <c r="W7546" s="1"/>
      <c r="X7546" s="1"/>
      <c r="Y7546" s="1"/>
      <c r="AA7546" s="102"/>
      <c r="AB7546" s="1"/>
      <c r="AC7546" s="1"/>
      <c r="AD7546" s="1"/>
      <c r="AE7546" s="1"/>
      <c r="AF7546" s="1"/>
      <c r="AG7546" s="1"/>
    </row>
    <row r="7547" ht="15.75" customHeight="1">
      <c r="A7547" s="1"/>
      <c r="B7547" s="1"/>
      <c r="C7547" s="1"/>
      <c r="D7547" s="1"/>
      <c r="E7547" s="1"/>
      <c r="F7547" s="1"/>
      <c r="G7547" s="1"/>
      <c r="H7547" s="1"/>
      <c r="I7547" s="1"/>
      <c r="J7547" s="1"/>
      <c r="K7547" s="102" t="s">
        <v>11759</v>
      </c>
      <c r="L7547" s="102" t="str">
        <f>F1090</f>
        <v>J2b2a1</v>
      </c>
      <c r="M7547" s="102" t="s">
        <v>11760</v>
      </c>
      <c r="N7547" s="102" t="s">
        <v>11758</v>
      </c>
      <c r="O7547" s="105">
        <v>1.8706994E7</v>
      </c>
      <c r="P7547" s="105">
        <v>1.6595114E7</v>
      </c>
      <c r="Q7547" s="102" t="s">
        <v>2501</v>
      </c>
      <c r="S7547" s="1"/>
      <c r="T7547" s="1"/>
      <c r="U7547" s="1"/>
      <c r="V7547" s="1"/>
      <c r="W7547" s="1"/>
      <c r="X7547" s="1"/>
      <c r="Y7547" s="1"/>
      <c r="AA7547" s="102"/>
      <c r="AB7547" s="1"/>
      <c r="AC7547" s="1"/>
      <c r="AD7547" s="1"/>
      <c r="AE7547" s="1"/>
      <c r="AF7547" s="1"/>
      <c r="AG7547" s="1"/>
    </row>
    <row r="7548" ht="15.75" customHeight="1">
      <c r="A7548" s="1"/>
      <c r="B7548" s="1"/>
      <c r="C7548" s="1"/>
      <c r="D7548" s="1"/>
      <c r="E7548" s="1"/>
      <c r="F7548" s="1"/>
      <c r="G7548" s="1"/>
      <c r="H7548" s="1"/>
      <c r="I7548" s="1"/>
      <c r="J7548" s="1"/>
      <c r="K7548" s="102" t="s">
        <v>11761</v>
      </c>
      <c r="L7548" s="102" t="str">
        <f>F1090</f>
        <v>J2b2a1</v>
      </c>
      <c r="M7548" s="102" t="s">
        <v>11762</v>
      </c>
      <c r="N7548" s="102" t="s">
        <v>11758</v>
      </c>
      <c r="O7548" s="105">
        <v>1.8706994E7</v>
      </c>
      <c r="P7548" s="105">
        <v>1.6595114E7</v>
      </c>
      <c r="Q7548" s="102" t="s">
        <v>2501</v>
      </c>
      <c r="S7548" s="1"/>
      <c r="T7548" s="1"/>
      <c r="U7548" s="1"/>
      <c r="V7548" s="1"/>
      <c r="W7548" s="1"/>
      <c r="X7548" s="1"/>
      <c r="Y7548" s="1"/>
      <c r="AA7548" s="102"/>
      <c r="AB7548" s="1"/>
      <c r="AC7548" s="1"/>
      <c r="AD7548" s="1"/>
      <c r="AE7548" s="1"/>
      <c r="AF7548" s="1"/>
      <c r="AG7548" s="1"/>
    </row>
    <row r="7549" ht="15.75" customHeight="1">
      <c r="A7549" s="1"/>
      <c r="B7549" s="1"/>
      <c r="C7549" s="1"/>
      <c r="D7549" s="1"/>
      <c r="E7549" s="1"/>
      <c r="F7549" s="1"/>
      <c r="G7549" s="1"/>
      <c r="H7549" s="1"/>
      <c r="I7549" s="1"/>
      <c r="J7549" s="1"/>
      <c r="K7549" s="102" t="s">
        <v>11763</v>
      </c>
      <c r="L7549" s="102" t="str">
        <f>F1090</f>
        <v>J2b2a1</v>
      </c>
      <c r="M7549" s="102" t="s">
        <v>11764</v>
      </c>
      <c r="N7549" s="102" t="s">
        <v>11758</v>
      </c>
      <c r="O7549" s="105">
        <v>1.8706994E7</v>
      </c>
      <c r="P7549" s="105">
        <v>1.6595114E7</v>
      </c>
      <c r="Q7549" s="102" t="s">
        <v>2501</v>
      </c>
      <c r="S7549" s="1"/>
      <c r="T7549" s="1"/>
      <c r="U7549" s="1"/>
      <c r="V7549" s="1"/>
      <c r="W7549" s="1"/>
      <c r="X7549" s="1"/>
      <c r="Y7549" s="1"/>
      <c r="AA7549" s="102"/>
      <c r="AB7549" s="1"/>
      <c r="AC7549" s="1"/>
      <c r="AD7549" s="1"/>
      <c r="AE7549" s="1"/>
      <c r="AF7549" s="1"/>
      <c r="AG7549" s="1"/>
    </row>
    <row r="7550" ht="15.75" customHeight="1">
      <c r="A7550" s="1"/>
      <c r="B7550" s="1"/>
      <c r="C7550" s="1"/>
      <c r="D7550" s="1"/>
      <c r="E7550" s="1"/>
      <c r="F7550" s="1"/>
      <c r="G7550" s="1"/>
      <c r="H7550" s="1"/>
      <c r="I7550" s="1"/>
      <c r="J7550" s="1"/>
      <c r="K7550" s="102" t="s">
        <v>11765</v>
      </c>
      <c r="L7550" s="102" t="str">
        <f>F1090</f>
        <v>J2b2a1</v>
      </c>
      <c r="M7550" s="102" t="s">
        <v>11766</v>
      </c>
      <c r="N7550" s="102" t="s">
        <v>11767</v>
      </c>
      <c r="O7550" s="105">
        <v>1.8817203E7</v>
      </c>
      <c r="P7550" s="105">
        <v>1.6705323E7</v>
      </c>
      <c r="Q7550" s="102" t="s">
        <v>2563</v>
      </c>
      <c r="S7550" s="1"/>
      <c r="T7550" s="1"/>
      <c r="U7550" s="1"/>
      <c r="V7550" s="1"/>
      <c r="W7550" s="1"/>
      <c r="X7550" s="1"/>
      <c r="Y7550" s="1"/>
      <c r="AA7550" s="102"/>
      <c r="AB7550" s="1"/>
      <c r="AC7550" s="1"/>
      <c r="AD7550" s="1"/>
      <c r="AE7550" s="1"/>
      <c r="AF7550" s="1"/>
      <c r="AG7550" s="1"/>
    </row>
    <row r="7551" ht="15.75" customHeight="1">
      <c r="A7551" s="1"/>
      <c r="B7551" s="1"/>
      <c r="C7551" s="1"/>
      <c r="D7551" s="1"/>
      <c r="E7551" s="1"/>
      <c r="F7551" s="1"/>
      <c r="G7551" s="1"/>
      <c r="H7551" s="1"/>
      <c r="I7551" s="1"/>
      <c r="J7551" s="1"/>
      <c r="K7551" s="102" t="s">
        <v>11768</v>
      </c>
      <c r="L7551" s="102" t="str">
        <f>F1090</f>
        <v>J2b2a1</v>
      </c>
      <c r="M7551" s="102" t="s">
        <v>11769</v>
      </c>
      <c r="N7551" s="102" t="s">
        <v>11767</v>
      </c>
      <c r="O7551" s="105">
        <v>1.8817203E7</v>
      </c>
      <c r="P7551" s="105">
        <v>1.6705323E7</v>
      </c>
      <c r="Q7551" s="102" t="s">
        <v>2563</v>
      </c>
      <c r="S7551" s="1"/>
      <c r="T7551" s="1"/>
      <c r="U7551" s="1"/>
      <c r="V7551" s="1"/>
      <c r="W7551" s="1"/>
      <c r="X7551" s="1"/>
      <c r="Y7551" s="1"/>
      <c r="AA7551" s="102"/>
      <c r="AB7551" s="1"/>
      <c r="AC7551" s="1"/>
      <c r="AD7551" s="1"/>
      <c r="AE7551" s="1"/>
      <c r="AF7551" s="1"/>
      <c r="AG7551" s="1"/>
    </row>
    <row r="7552" ht="15.75" customHeight="1">
      <c r="A7552" s="1"/>
      <c r="B7552" s="1"/>
      <c r="C7552" s="1"/>
      <c r="D7552" s="1"/>
      <c r="E7552" s="1"/>
      <c r="F7552" s="1"/>
      <c r="G7552" s="1"/>
      <c r="H7552" s="1"/>
      <c r="I7552" s="1"/>
      <c r="J7552" s="1"/>
      <c r="K7552" s="102" t="s">
        <v>11770</v>
      </c>
      <c r="L7552" s="102" t="str">
        <f>F1090</f>
        <v>J2b2a1</v>
      </c>
      <c r="M7552" s="102" t="s">
        <v>11771</v>
      </c>
      <c r="N7552" s="102" t="s">
        <v>11767</v>
      </c>
      <c r="O7552" s="105">
        <v>1.8817203E7</v>
      </c>
      <c r="P7552" s="105">
        <v>1.6705323E7</v>
      </c>
      <c r="Q7552" s="102" t="s">
        <v>2563</v>
      </c>
      <c r="S7552" s="1"/>
      <c r="T7552" s="1"/>
      <c r="U7552" s="1"/>
      <c r="V7552" s="1"/>
      <c r="W7552" s="1"/>
      <c r="X7552" s="1"/>
      <c r="Y7552" s="1"/>
      <c r="AA7552" s="102"/>
      <c r="AB7552" s="1"/>
      <c r="AC7552" s="1"/>
      <c r="AD7552" s="1"/>
      <c r="AE7552" s="1"/>
      <c r="AF7552" s="1"/>
      <c r="AG7552" s="1"/>
    </row>
    <row r="7553" ht="15.75" customHeight="1">
      <c r="A7553" s="1"/>
      <c r="B7553" s="1"/>
      <c r="C7553" s="1"/>
      <c r="D7553" s="1"/>
      <c r="E7553" s="1"/>
      <c r="F7553" s="1"/>
      <c r="G7553" s="1"/>
      <c r="H7553" s="1"/>
      <c r="I7553" s="1"/>
      <c r="J7553" s="1"/>
      <c r="K7553" s="102" t="s">
        <v>11772</v>
      </c>
      <c r="L7553" s="102" t="str">
        <f>F1090</f>
        <v>J2b2a1</v>
      </c>
      <c r="M7553" s="102" t="s">
        <v>11773</v>
      </c>
      <c r="N7553" s="102" t="s">
        <v>11767</v>
      </c>
      <c r="O7553" s="105">
        <v>1.8817203E7</v>
      </c>
      <c r="P7553" s="105">
        <v>1.6705323E7</v>
      </c>
      <c r="Q7553" s="102" t="s">
        <v>2563</v>
      </c>
      <c r="S7553" s="1"/>
      <c r="T7553" s="1"/>
      <c r="U7553" s="1"/>
      <c r="V7553" s="1"/>
      <c r="W7553" s="1"/>
      <c r="X7553" s="1"/>
      <c r="Y7553" s="1"/>
      <c r="AA7553" s="102"/>
      <c r="AB7553" s="1"/>
      <c r="AC7553" s="1"/>
      <c r="AD7553" s="1"/>
      <c r="AE7553" s="1"/>
      <c r="AF7553" s="1"/>
      <c r="AG7553" s="1"/>
    </row>
    <row r="7554" ht="15.75" customHeight="1">
      <c r="A7554" s="1"/>
      <c r="B7554" s="1"/>
      <c r="C7554" s="1"/>
      <c r="D7554" s="1"/>
      <c r="E7554" s="1"/>
      <c r="F7554" s="1"/>
      <c r="G7554" s="1"/>
      <c r="H7554" s="1"/>
      <c r="I7554" s="1"/>
      <c r="J7554" s="1"/>
      <c r="K7554" s="102" t="s">
        <v>11774</v>
      </c>
      <c r="L7554" s="102" t="str">
        <f>F1090</f>
        <v>J2b2a1</v>
      </c>
      <c r="M7554" s="102" t="s">
        <v>11775</v>
      </c>
      <c r="N7554" s="102" t="s">
        <v>11776</v>
      </c>
      <c r="O7554" s="105">
        <v>1.9295619E7</v>
      </c>
      <c r="P7554" s="105">
        <v>1.7183739E7</v>
      </c>
      <c r="Q7554" s="102" t="s">
        <v>2576</v>
      </c>
      <c r="S7554" s="1"/>
      <c r="T7554" s="1"/>
      <c r="U7554" s="1"/>
      <c r="V7554" s="1"/>
      <c r="W7554" s="1"/>
      <c r="X7554" s="1"/>
      <c r="Y7554" s="1"/>
      <c r="AA7554" s="102"/>
      <c r="AB7554" s="1"/>
      <c r="AC7554" s="1"/>
      <c r="AD7554" s="1"/>
      <c r="AE7554" s="1"/>
      <c r="AF7554" s="1"/>
      <c r="AG7554" s="1"/>
    </row>
    <row r="7555" ht="15.75" customHeight="1">
      <c r="A7555" s="1"/>
      <c r="B7555" s="1"/>
      <c r="C7555" s="1"/>
      <c r="D7555" s="1"/>
      <c r="E7555" s="1"/>
      <c r="F7555" s="1"/>
      <c r="G7555" s="1"/>
      <c r="H7555" s="1"/>
      <c r="I7555" s="1"/>
      <c r="J7555" s="1"/>
      <c r="K7555" s="102" t="s">
        <v>11777</v>
      </c>
      <c r="L7555" s="102" t="str">
        <f>F1090</f>
        <v>J2b2a1</v>
      </c>
      <c r="M7555" s="102" t="s">
        <v>11778</v>
      </c>
      <c r="N7555" s="102" t="s">
        <v>11776</v>
      </c>
      <c r="O7555" s="105">
        <v>1.9295619E7</v>
      </c>
      <c r="P7555" s="105">
        <v>1.7183739E7</v>
      </c>
      <c r="Q7555" s="102" t="s">
        <v>2576</v>
      </c>
      <c r="S7555" s="1"/>
      <c r="T7555" s="1"/>
      <c r="U7555" s="1"/>
      <c r="V7555" s="1"/>
      <c r="W7555" s="1"/>
      <c r="X7555" s="1"/>
      <c r="Y7555" s="1"/>
      <c r="AA7555" s="102"/>
      <c r="AB7555" s="1"/>
      <c r="AC7555" s="1"/>
      <c r="AD7555" s="1"/>
      <c r="AE7555" s="1"/>
      <c r="AF7555" s="1"/>
      <c r="AG7555" s="1"/>
    </row>
    <row r="7556" ht="15.75" customHeight="1">
      <c r="A7556" s="1"/>
      <c r="B7556" s="1"/>
      <c r="C7556" s="1"/>
      <c r="D7556" s="1"/>
      <c r="E7556" s="1"/>
      <c r="F7556" s="1"/>
      <c r="G7556" s="1"/>
      <c r="H7556" s="1"/>
      <c r="I7556" s="1"/>
      <c r="J7556" s="1"/>
      <c r="K7556" s="102" t="s">
        <v>11779</v>
      </c>
      <c r="L7556" s="102" t="str">
        <f>F1090</f>
        <v>J2b2a1</v>
      </c>
      <c r="M7556" s="102" t="s">
        <v>11780</v>
      </c>
      <c r="N7556" s="102" t="s">
        <v>11776</v>
      </c>
      <c r="O7556" s="105">
        <v>1.9295619E7</v>
      </c>
      <c r="P7556" s="105">
        <v>1.7183739E7</v>
      </c>
      <c r="Q7556" s="102" t="s">
        <v>2576</v>
      </c>
      <c r="S7556" s="1"/>
      <c r="T7556" s="1"/>
      <c r="U7556" s="1"/>
      <c r="V7556" s="1"/>
      <c r="W7556" s="1"/>
      <c r="X7556" s="1"/>
      <c r="Y7556" s="1"/>
      <c r="AA7556" s="102"/>
      <c r="AB7556" s="1"/>
      <c r="AC7556" s="1"/>
      <c r="AD7556" s="1"/>
      <c r="AE7556" s="1"/>
      <c r="AF7556" s="1"/>
      <c r="AG7556" s="1"/>
    </row>
    <row r="7557" ht="15.75" customHeight="1">
      <c r="A7557" s="1"/>
      <c r="B7557" s="1"/>
      <c r="C7557" s="1"/>
      <c r="D7557" s="1"/>
      <c r="E7557" s="1"/>
      <c r="F7557" s="1"/>
      <c r="G7557" s="1"/>
      <c r="H7557" s="1"/>
      <c r="I7557" s="1"/>
      <c r="J7557" s="1"/>
      <c r="K7557" s="102" t="s">
        <v>11781</v>
      </c>
      <c r="L7557" s="102" t="str">
        <f>F1090</f>
        <v>J2b2a1</v>
      </c>
      <c r="M7557" s="102" t="s">
        <v>11782</v>
      </c>
      <c r="N7557" s="102" t="s">
        <v>11783</v>
      </c>
      <c r="O7557" s="105">
        <v>1.9368128E7</v>
      </c>
      <c r="P7557" s="105">
        <v>1.7256248E7</v>
      </c>
      <c r="Q7557" s="102" t="s">
        <v>2423</v>
      </c>
      <c r="S7557" s="1"/>
      <c r="T7557" s="1"/>
      <c r="U7557" s="1"/>
      <c r="V7557" s="1"/>
      <c r="W7557" s="1"/>
      <c r="X7557" s="1"/>
      <c r="Y7557" s="1"/>
      <c r="AA7557" s="102"/>
      <c r="AB7557" s="1"/>
      <c r="AC7557" s="1"/>
      <c r="AD7557" s="1"/>
      <c r="AE7557" s="1"/>
      <c r="AF7557" s="1"/>
      <c r="AG7557" s="1"/>
    </row>
    <row r="7558" ht="15.75" customHeight="1">
      <c r="A7558" s="1"/>
      <c r="B7558" s="1"/>
      <c r="C7558" s="1"/>
      <c r="D7558" s="1"/>
      <c r="E7558" s="1"/>
      <c r="F7558" s="1"/>
      <c r="G7558" s="1"/>
      <c r="H7558" s="1"/>
      <c r="I7558" s="1"/>
      <c r="J7558" s="1"/>
      <c r="K7558" s="102" t="s">
        <v>11784</v>
      </c>
      <c r="L7558" s="102" t="str">
        <f>F1090</f>
        <v>J2b2a1</v>
      </c>
      <c r="M7558" s="102" t="s">
        <v>11785</v>
      </c>
      <c r="N7558" s="102" t="s">
        <v>11783</v>
      </c>
      <c r="O7558" s="105">
        <v>1.9368128E7</v>
      </c>
      <c r="P7558" s="105">
        <v>1.7256248E7</v>
      </c>
      <c r="Q7558" s="102" t="s">
        <v>2423</v>
      </c>
      <c r="S7558" s="1"/>
      <c r="T7558" s="1"/>
      <c r="U7558" s="1"/>
      <c r="V7558" s="1"/>
      <c r="W7558" s="1"/>
      <c r="X7558" s="1"/>
      <c r="Y7558" s="1"/>
      <c r="AA7558" s="102"/>
      <c r="AB7558" s="1"/>
      <c r="AC7558" s="1"/>
      <c r="AD7558" s="1"/>
      <c r="AE7558" s="1"/>
      <c r="AF7558" s="1"/>
      <c r="AG7558" s="1"/>
    </row>
    <row r="7559" ht="15.75" customHeight="1">
      <c r="A7559" s="1"/>
      <c r="B7559" s="1"/>
      <c r="C7559" s="1"/>
      <c r="D7559" s="1"/>
      <c r="E7559" s="1"/>
      <c r="F7559" s="1"/>
      <c r="G7559" s="1"/>
      <c r="H7559" s="1"/>
      <c r="I7559" s="1"/>
      <c r="J7559" s="1"/>
      <c r="K7559" s="102" t="s">
        <v>11786</v>
      </c>
      <c r="L7559" s="102" t="str">
        <f>F1090</f>
        <v>J2b2a1</v>
      </c>
      <c r="M7559" s="102" t="s">
        <v>11787</v>
      </c>
      <c r="N7559" s="102" t="s">
        <v>11783</v>
      </c>
      <c r="O7559" s="105">
        <v>1.9368128E7</v>
      </c>
      <c r="P7559" s="105">
        <v>1.7256248E7</v>
      </c>
      <c r="Q7559" s="102" t="s">
        <v>2423</v>
      </c>
      <c r="S7559" s="1"/>
      <c r="T7559" s="1"/>
      <c r="U7559" s="1"/>
      <c r="V7559" s="1"/>
      <c r="W7559" s="1"/>
      <c r="X7559" s="1"/>
      <c r="Y7559" s="1"/>
      <c r="AA7559" s="102"/>
      <c r="AB7559" s="1"/>
      <c r="AC7559" s="1"/>
      <c r="AD7559" s="1"/>
      <c r="AE7559" s="1"/>
      <c r="AF7559" s="1"/>
      <c r="AG7559" s="1"/>
    </row>
    <row r="7560" ht="15.75" customHeight="1">
      <c r="A7560" s="1"/>
      <c r="B7560" s="1"/>
      <c r="C7560" s="1"/>
      <c r="D7560" s="1"/>
      <c r="E7560" s="1"/>
      <c r="F7560" s="1"/>
      <c r="G7560" s="1"/>
      <c r="H7560" s="1"/>
      <c r="I7560" s="1"/>
      <c r="J7560" s="1"/>
      <c r="K7560" s="102" t="s">
        <v>11788</v>
      </c>
      <c r="L7560" s="102" t="str">
        <f>F1090</f>
        <v>J2b2a1</v>
      </c>
      <c r="M7560" s="102" t="s">
        <v>11789</v>
      </c>
      <c r="N7560" s="102" t="s">
        <v>11790</v>
      </c>
      <c r="O7560" s="105">
        <v>1.9407996E7</v>
      </c>
      <c r="P7560" s="105">
        <v>1.7296116E7</v>
      </c>
      <c r="Q7560" s="102" t="s">
        <v>2563</v>
      </c>
      <c r="S7560" s="1"/>
      <c r="T7560" s="1"/>
      <c r="U7560" s="1"/>
      <c r="V7560" s="1"/>
      <c r="W7560" s="1"/>
      <c r="X7560" s="1"/>
      <c r="Y7560" s="1"/>
      <c r="AA7560" s="102"/>
      <c r="AB7560" s="1"/>
      <c r="AC7560" s="1"/>
      <c r="AD7560" s="1"/>
      <c r="AE7560" s="1"/>
      <c r="AF7560" s="1"/>
      <c r="AG7560" s="1"/>
    </row>
    <row r="7561" ht="15.75" customHeight="1">
      <c r="A7561" s="1"/>
      <c r="B7561" s="1"/>
      <c r="C7561" s="1"/>
      <c r="D7561" s="1"/>
      <c r="E7561" s="1"/>
      <c r="F7561" s="1"/>
      <c r="G7561" s="1"/>
      <c r="H7561" s="1"/>
      <c r="I7561" s="1"/>
      <c r="J7561" s="1"/>
      <c r="K7561" s="102" t="s">
        <v>11791</v>
      </c>
      <c r="L7561" s="102" t="str">
        <f>F1090</f>
        <v>J2b2a1</v>
      </c>
      <c r="M7561" s="102" t="s">
        <v>11792</v>
      </c>
      <c r="N7561" s="102" t="s">
        <v>11790</v>
      </c>
      <c r="O7561" s="105">
        <v>1.9407996E7</v>
      </c>
      <c r="P7561" s="105">
        <v>1.7296116E7</v>
      </c>
      <c r="Q7561" s="102" t="s">
        <v>2563</v>
      </c>
      <c r="S7561" s="1"/>
      <c r="T7561" s="1"/>
      <c r="U7561" s="1"/>
      <c r="V7561" s="1"/>
      <c r="W7561" s="1"/>
      <c r="X7561" s="1"/>
      <c r="Y7561" s="1"/>
      <c r="AA7561" s="102"/>
      <c r="AB7561" s="1"/>
      <c r="AC7561" s="1"/>
      <c r="AD7561" s="1"/>
      <c r="AE7561" s="1"/>
      <c r="AF7561" s="1"/>
      <c r="AG7561" s="1"/>
    </row>
    <row r="7562" ht="15.75" customHeight="1">
      <c r="A7562" s="1"/>
      <c r="B7562" s="1"/>
      <c r="C7562" s="1"/>
      <c r="D7562" s="1"/>
      <c r="E7562" s="1"/>
      <c r="F7562" s="1"/>
      <c r="G7562" s="1"/>
      <c r="H7562" s="1"/>
      <c r="I7562" s="1"/>
      <c r="J7562" s="1"/>
      <c r="K7562" s="102" t="s">
        <v>11793</v>
      </c>
      <c r="L7562" s="102" t="str">
        <f>F1090</f>
        <v>J2b2a1</v>
      </c>
      <c r="M7562" s="102" t="s">
        <v>11794</v>
      </c>
      <c r="N7562" s="102" t="s">
        <v>11790</v>
      </c>
      <c r="O7562" s="105">
        <v>1.9407996E7</v>
      </c>
      <c r="P7562" s="105">
        <v>1.7296116E7</v>
      </c>
      <c r="Q7562" s="102" t="s">
        <v>2563</v>
      </c>
      <c r="S7562" s="1"/>
      <c r="T7562" s="1"/>
      <c r="U7562" s="1"/>
      <c r="V7562" s="1"/>
      <c r="W7562" s="1"/>
      <c r="X7562" s="1"/>
      <c r="Y7562" s="1"/>
      <c r="AA7562" s="102"/>
      <c r="AB7562" s="1"/>
      <c r="AC7562" s="1"/>
      <c r="AD7562" s="1"/>
      <c r="AE7562" s="1"/>
      <c r="AF7562" s="1"/>
      <c r="AG7562" s="1"/>
    </row>
    <row r="7563" ht="15.75" customHeight="1">
      <c r="A7563" s="1"/>
      <c r="B7563" s="1"/>
      <c r="C7563" s="1"/>
      <c r="D7563" s="1"/>
      <c r="E7563" s="1"/>
      <c r="F7563" s="1"/>
      <c r="G7563" s="1"/>
      <c r="H7563" s="1"/>
      <c r="I7563" s="1"/>
      <c r="J7563" s="1"/>
      <c r="K7563" s="102" t="s">
        <v>11795</v>
      </c>
      <c r="L7563" s="102" t="str">
        <f>F1090</f>
        <v>J2b2a1</v>
      </c>
      <c r="M7563" s="102" t="s">
        <v>11796</v>
      </c>
      <c r="N7563" s="102" t="s">
        <v>11797</v>
      </c>
      <c r="O7563" s="105">
        <v>2.1372334E7</v>
      </c>
      <c r="P7563" s="105">
        <v>1.9210448E7</v>
      </c>
      <c r="Q7563" s="102" t="s">
        <v>2529</v>
      </c>
      <c r="S7563" s="1"/>
      <c r="T7563" s="1"/>
      <c r="U7563" s="1"/>
      <c r="V7563" s="1"/>
      <c r="W7563" s="1"/>
      <c r="X7563" s="1"/>
      <c r="Y7563" s="1"/>
      <c r="AA7563" s="102"/>
      <c r="AB7563" s="1"/>
      <c r="AC7563" s="1"/>
      <c r="AD7563" s="1"/>
      <c r="AE7563" s="1"/>
      <c r="AF7563" s="1"/>
      <c r="AG7563" s="1"/>
    </row>
    <row r="7564" ht="15.75" customHeight="1">
      <c r="A7564" s="1"/>
      <c r="B7564" s="1"/>
      <c r="C7564" s="1"/>
      <c r="D7564" s="1"/>
      <c r="E7564" s="1"/>
      <c r="F7564" s="1"/>
      <c r="G7564" s="1"/>
      <c r="H7564" s="1"/>
      <c r="I7564" s="1"/>
      <c r="J7564" s="1"/>
      <c r="K7564" s="102" t="s">
        <v>11798</v>
      </c>
      <c r="L7564" s="102" t="str">
        <f>F1090</f>
        <v>J2b2a1</v>
      </c>
      <c r="M7564" s="102" t="s">
        <v>11799</v>
      </c>
      <c r="N7564" s="102" t="s">
        <v>11797</v>
      </c>
      <c r="O7564" s="105">
        <v>2.1372334E7</v>
      </c>
      <c r="P7564" s="105">
        <v>1.9210448E7</v>
      </c>
      <c r="Q7564" s="102" t="s">
        <v>2529</v>
      </c>
      <c r="S7564" s="1"/>
      <c r="T7564" s="1"/>
      <c r="U7564" s="1"/>
      <c r="V7564" s="1"/>
      <c r="W7564" s="1"/>
      <c r="X7564" s="1"/>
      <c r="Y7564" s="1"/>
      <c r="AA7564" s="102"/>
      <c r="AB7564" s="1"/>
      <c r="AC7564" s="1"/>
      <c r="AD7564" s="1"/>
      <c r="AE7564" s="1"/>
      <c r="AF7564" s="1"/>
      <c r="AG7564" s="1"/>
    </row>
    <row r="7565" ht="15.75" customHeight="1">
      <c r="A7565" s="1"/>
      <c r="B7565" s="1"/>
      <c r="C7565" s="1"/>
      <c r="D7565" s="1"/>
      <c r="E7565" s="1"/>
      <c r="F7565" s="1"/>
      <c r="G7565" s="1"/>
      <c r="H7565" s="1"/>
      <c r="I7565" s="1"/>
      <c r="J7565" s="1"/>
      <c r="K7565" s="102" t="s">
        <v>11800</v>
      </c>
      <c r="L7565" s="102" t="str">
        <f>F1090</f>
        <v>J2b2a1</v>
      </c>
      <c r="M7565" s="102" t="s">
        <v>11801</v>
      </c>
      <c r="N7565" s="102" t="s">
        <v>11797</v>
      </c>
      <c r="O7565" s="105">
        <v>2.1372334E7</v>
      </c>
      <c r="P7565" s="105">
        <v>1.9210448E7</v>
      </c>
      <c r="Q7565" s="102" t="s">
        <v>2529</v>
      </c>
      <c r="S7565" s="1"/>
      <c r="T7565" s="1"/>
      <c r="U7565" s="1"/>
      <c r="V7565" s="1"/>
      <c r="W7565" s="1"/>
      <c r="X7565" s="1"/>
      <c r="Y7565" s="1"/>
      <c r="AA7565" s="102"/>
      <c r="AB7565" s="1"/>
      <c r="AC7565" s="1"/>
      <c r="AD7565" s="1"/>
      <c r="AE7565" s="1"/>
      <c r="AF7565" s="1"/>
      <c r="AG7565" s="1"/>
    </row>
    <row r="7566" ht="15.75" customHeight="1">
      <c r="A7566" s="1"/>
      <c r="B7566" s="1"/>
      <c r="C7566" s="1"/>
      <c r="D7566" s="1"/>
      <c r="E7566" s="1"/>
      <c r="F7566" s="1"/>
      <c r="G7566" s="1"/>
      <c r="H7566" s="1"/>
      <c r="I7566" s="1"/>
      <c r="J7566" s="1"/>
      <c r="K7566" s="102" t="s">
        <v>11802</v>
      </c>
      <c r="L7566" s="102" t="str">
        <f>F1090</f>
        <v>J2b2a1</v>
      </c>
      <c r="M7566" s="102" t="s">
        <v>11803</v>
      </c>
      <c r="N7566" s="102" t="s">
        <v>11804</v>
      </c>
      <c r="O7566" s="105">
        <v>2.1468869E7</v>
      </c>
      <c r="P7566" s="105">
        <v>1.9306983E7</v>
      </c>
      <c r="Q7566" s="102" t="s">
        <v>2439</v>
      </c>
      <c r="S7566" s="1"/>
      <c r="T7566" s="1"/>
      <c r="U7566" s="1"/>
      <c r="V7566" s="1"/>
      <c r="W7566" s="1"/>
      <c r="X7566" s="1"/>
      <c r="Y7566" s="1"/>
      <c r="AA7566" s="102"/>
      <c r="AB7566" s="1"/>
      <c r="AC7566" s="1"/>
      <c r="AD7566" s="1"/>
      <c r="AE7566" s="1"/>
      <c r="AF7566" s="1"/>
      <c r="AG7566" s="1"/>
    </row>
    <row r="7567" ht="15.75" customHeight="1">
      <c r="A7567" s="1"/>
      <c r="B7567" s="1"/>
      <c r="C7567" s="1"/>
      <c r="D7567" s="1"/>
      <c r="E7567" s="1"/>
      <c r="F7567" s="1"/>
      <c r="G7567" s="1"/>
      <c r="H7567" s="1"/>
      <c r="I7567" s="1"/>
      <c r="J7567" s="1"/>
      <c r="K7567" s="102" t="s">
        <v>11805</v>
      </c>
      <c r="L7567" s="102" t="str">
        <f>F1090</f>
        <v>J2b2a1</v>
      </c>
      <c r="M7567" s="102" t="s">
        <v>11806</v>
      </c>
      <c r="N7567" s="102" t="s">
        <v>11804</v>
      </c>
      <c r="O7567" s="105">
        <v>2.1468869E7</v>
      </c>
      <c r="P7567" s="105">
        <v>1.9306983E7</v>
      </c>
      <c r="Q7567" s="102" t="s">
        <v>2439</v>
      </c>
      <c r="S7567" s="1"/>
      <c r="T7567" s="1"/>
      <c r="U7567" s="1"/>
      <c r="V7567" s="1"/>
      <c r="W7567" s="1"/>
      <c r="X7567" s="1"/>
      <c r="Y7567" s="1"/>
      <c r="AA7567" s="102"/>
      <c r="AB7567" s="1"/>
      <c r="AC7567" s="1"/>
      <c r="AD7567" s="1"/>
      <c r="AE7567" s="1"/>
      <c r="AF7567" s="1"/>
      <c r="AG7567" s="1"/>
    </row>
    <row r="7568" ht="15.75" customHeight="1">
      <c r="A7568" s="1"/>
      <c r="B7568" s="1"/>
      <c r="C7568" s="1"/>
      <c r="D7568" s="1"/>
      <c r="E7568" s="1"/>
      <c r="F7568" s="1"/>
      <c r="G7568" s="1"/>
      <c r="H7568" s="1"/>
      <c r="I7568" s="1"/>
      <c r="J7568" s="1"/>
      <c r="K7568" s="102" t="s">
        <v>11807</v>
      </c>
      <c r="L7568" s="102" t="str">
        <f>F1090</f>
        <v>J2b2a1</v>
      </c>
      <c r="M7568" s="102" t="s">
        <v>11808</v>
      </c>
      <c r="N7568" s="102" t="s">
        <v>11804</v>
      </c>
      <c r="O7568" s="105">
        <v>2.1468869E7</v>
      </c>
      <c r="P7568" s="105">
        <v>1.9306983E7</v>
      </c>
      <c r="Q7568" s="102" t="s">
        <v>2439</v>
      </c>
      <c r="S7568" s="1"/>
      <c r="T7568" s="1"/>
      <c r="U7568" s="1"/>
      <c r="V7568" s="1"/>
      <c r="W7568" s="1"/>
      <c r="X7568" s="1"/>
      <c r="Y7568" s="1"/>
      <c r="AA7568" s="102"/>
      <c r="AB7568" s="1"/>
      <c r="AC7568" s="1"/>
      <c r="AD7568" s="1"/>
      <c r="AE7568" s="1"/>
      <c r="AF7568" s="1"/>
      <c r="AG7568" s="1"/>
    </row>
    <row r="7569" ht="15.75" customHeight="1">
      <c r="A7569" s="1"/>
      <c r="B7569" s="1"/>
      <c r="C7569" s="1"/>
      <c r="D7569" s="1"/>
      <c r="E7569" s="1"/>
      <c r="F7569" s="1"/>
      <c r="G7569" s="1"/>
      <c r="H7569" s="1"/>
      <c r="I7569" s="1"/>
      <c r="J7569" s="1"/>
      <c r="K7569" s="102" t="s">
        <v>11809</v>
      </c>
      <c r="L7569" s="102" t="str">
        <f>F1090</f>
        <v>J2b2a1</v>
      </c>
      <c r="M7569" s="102" t="s">
        <v>11810</v>
      </c>
      <c r="N7569" s="102" t="s">
        <v>11811</v>
      </c>
      <c r="O7569" s="105">
        <v>2.1826477E7</v>
      </c>
      <c r="P7569" s="105">
        <v>1.9664591E7</v>
      </c>
      <c r="Q7569" s="102" t="s">
        <v>2529</v>
      </c>
      <c r="S7569" s="1"/>
      <c r="T7569" s="1"/>
      <c r="U7569" s="1"/>
      <c r="V7569" s="1"/>
      <c r="W7569" s="1"/>
      <c r="X7569" s="1"/>
      <c r="Y7569" s="1"/>
      <c r="AA7569" s="102"/>
      <c r="AB7569" s="1"/>
      <c r="AC7569" s="1"/>
      <c r="AD7569" s="1"/>
      <c r="AE7569" s="1"/>
      <c r="AF7569" s="1"/>
      <c r="AG7569" s="1"/>
    </row>
    <row r="7570" ht="15.75" customHeight="1">
      <c r="A7570" s="1"/>
      <c r="B7570" s="1"/>
      <c r="C7570" s="1"/>
      <c r="D7570" s="1"/>
      <c r="E7570" s="1"/>
      <c r="F7570" s="1"/>
      <c r="G7570" s="1"/>
      <c r="H7570" s="1"/>
      <c r="I7570" s="1"/>
      <c r="J7570" s="1"/>
      <c r="K7570" s="102" t="s">
        <v>11812</v>
      </c>
      <c r="L7570" s="102" t="str">
        <f>F1090</f>
        <v>J2b2a1</v>
      </c>
      <c r="M7570" s="102" t="s">
        <v>11813</v>
      </c>
      <c r="N7570" s="102" t="s">
        <v>11811</v>
      </c>
      <c r="O7570" s="105">
        <v>2.1826477E7</v>
      </c>
      <c r="P7570" s="105">
        <v>1.9664591E7</v>
      </c>
      <c r="Q7570" s="102" t="s">
        <v>2529</v>
      </c>
      <c r="S7570" s="1"/>
      <c r="T7570" s="1"/>
      <c r="U7570" s="1"/>
      <c r="V7570" s="1"/>
      <c r="W7570" s="1"/>
      <c r="X7570" s="1"/>
      <c r="Y7570" s="1"/>
      <c r="AA7570" s="102"/>
      <c r="AB7570" s="1"/>
      <c r="AC7570" s="1"/>
      <c r="AD7570" s="1"/>
      <c r="AE7570" s="1"/>
      <c r="AF7570" s="1"/>
      <c r="AG7570" s="1"/>
    </row>
    <row r="7571" ht="15.75" customHeight="1">
      <c r="A7571" s="1"/>
      <c r="B7571" s="1"/>
      <c r="C7571" s="1"/>
      <c r="D7571" s="1"/>
      <c r="E7571" s="1"/>
      <c r="F7571" s="1"/>
      <c r="G7571" s="1"/>
      <c r="H7571" s="1"/>
      <c r="I7571" s="1"/>
      <c r="J7571" s="1"/>
      <c r="K7571" s="102" t="s">
        <v>11814</v>
      </c>
      <c r="L7571" s="102" t="str">
        <f>F1090</f>
        <v>J2b2a1</v>
      </c>
      <c r="M7571" s="102" t="s">
        <v>11815</v>
      </c>
      <c r="N7571" s="102" t="s">
        <v>11811</v>
      </c>
      <c r="O7571" s="105">
        <v>2.1826477E7</v>
      </c>
      <c r="P7571" s="105">
        <v>1.9664591E7</v>
      </c>
      <c r="Q7571" s="102" t="s">
        <v>2529</v>
      </c>
      <c r="S7571" s="1"/>
      <c r="T7571" s="1"/>
      <c r="U7571" s="1"/>
      <c r="V7571" s="1"/>
      <c r="W7571" s="1"/>
      <c r="X7571" s="1"/>
      <c r="Y7571" s="1"/>
      <c r="AA7571" s="102"/>
      <c r="AB7571" s="1"/>
      <c r="AC7571" s="1"/>
      <c r="AD7571" s="1"/>
      <c r="AE7571" s="1"/>
      <c r="AF7571" s="1"/>
      <c r="AG7571" s="1"/>
    </row>
    <row r="7572" ht="15.75" customHeight="1">
      <c r="A7572" s="1"/>
      <c r="B7572" s="1"/>
      <c r="C7572" s="1"/>
      <c r="D7572" s="1"/>
      <c r="E7572" s="1"/>
      <c r="F7572" s="1"/>
      <c r="G7572" s="1"/>
      <c r="H7572" s="1"/>
      <c r="I7572" s="1"/>
      <c r="J7572" s="1"/>
      <c r="K7572" s="102" t="s">
        <v>11816</v>
      </c>
      <c r="L7572" s="102" t="str">
        <f>F1090</f>
        <v>J2b2a1</v>
      </c>
      <c r="M7572" s="102" t="s">
        <v>11817</v>
      </c>
      <c r="N7572" s="102" t="s">
        <v>11811</v>
      </c>
      <c r="O7572" s="105">
        <v>2.1826477E7</v>
      </c>
      <c r="P7572" s="105">
        <v>1.9664591E7</v>
      </c>
      <c r="Q7572" s="102" t="s">
        <v>2529</v>
      </c>
      <c r="S7572" s="1"/>
      <c r="T7572" s="1"/>
      <c r="U7572" s="1"/>
      <c r="V7572" s="1"/>
      <c r="W7572" s="1"/>
      <c r="X7572" s="1"/>
      <c r="Y7572" s="1"/>
      <c r="AA7572" s="102"/>
      <c r="AB7572" s="1"/>
      <c r="AC7572" s="1"/>
      <c r="AD7572" s="1"/>
      <c r="AE7572" s="1"/>
      <c r="AF7572" s="1"/>
      <c r="AG7572" s="1"/>
    </row>
    <row r="7573" ht="15.75" customHeight="1">
      <c r="A7573" s="1"/>
      <c r="B7573" s="1"/>
      <c r="C7573" s="1"/>
      <c r="D7573" s="1"/>
      <c r="E7573" s="1"/>
      <c r="F7573" s="1"/>
      <c r="G7573" s="1"/>
      <c r="H7573" s="1"/>
      <c r="I7573" s="1"/>
      <c r="J7573" s="1"/>
      <c r="K7573" s="102" t="s">
        <v>11818</v>
      </c>
      <c r="L7573" s="102" t="str">
        <f>F1090</f>
        <v>J2b2a1</v>
      </c>
      <c r="M7573" s="106" t="s">
        <v>11819</v>
      </c>
      <c r="N7573" s="102" t="s">
        <v>11820</v>
      </c>
      <c r="O7573" s="105">
        <v>2.1864316E7</v>
      </c>
      <c r="P7573" s="105">
        <v>1.970243E7</v>
      </c>
      <c r="Q7573" s="102" t="s">
        <v>2501</v>
      </c>
      <c r="S7573" s="1"/>
      <c r="T7573" s="1"/>
      <c r="U7573" s="1"/>
      <c r="V7573" s="1"/>
      <c r="W7573" s="1"/>
      <c r="X7573" s="1"/>
      <c r="Y7573" s="1"/>
      <c r="AA7573" s="102"/>
      <c r="AB7573" s="1"/>
      <c r="AC7573" s="1"/>
      <c r="AD7573" s="1"/>
      <c r="AE7573" s="1"/>
      <c r="AF7573" s="1"/>
      <c r="AG7573" s="1"/>
    </row>
    <row r="7574" ht="15.75" customHeight="1">
      <c r="A7574" s="1"/>
      <c r="B7574" s="1"/>
      <c r="C7574" s="1"/>
      <c r="D7574" s="1"/>
      <c r="E7574" s="1"/>
      <c r="F7574" s="1"/>
      <c r="G7574" s="1"/>
      <c r="H7574" s="1"/>
      <c r="I7574" s="1"/>
      <c r="J7574" s="1"/>
      <c r="K7574" s="102" t="s">
        <v>11821</v>
      </c>
      <c r="L7574" s="102" t="str">
        <f>F1090</f>
        <v>J2b2a1</v>
      </c>
      <c r="M7574" s="106" t="s">
        <v>11822</v>
      </c>
      <c r="N7574" s="102" t="s">
        <v>11820</v>
      </c>
      <c r="O7574" s="105">
        <v>2.1864316E7</v>
      </c>
      <c r="P7574" s="105">
        <v>1.970243E7</v>
      </c>
      <c r="Q7574" s="102" t="s">
        <v>2501</v>
      </c>
      <c r="S7574" s="1"/>
      <c r="T7574" s="1"/>
      <c r="U7574" s="1"/>
      <c r="V7574" s="1"/>
      <c r="W7574" s="1"/>
      <c r="X7574" s="1"/>
      <c r="Y7574" s="1"/>
      <c r="AA7574" s="102"/>
      <c r="AB7574" s="1"/>
      <c r="AC7574" s="1"/>
      <c r="AD7574" s="1"/>
      <c r="AE7574" s="1"/>
      <c r="AF7574" s="1"/>
      <c r="AG7574" s="1"/>
    </row>
    <row r="7575" ht="15.75" customHeight="1">
      <c r="A7575" s="1"/>
      <c r="B7575" s="1"/>
      <c r="C7575" s="1"/>
      <c r="D7575" s="1"/>
      <c r="E7575" s="1"/>
      <c r="F7575" s="1"/>
      <c r="G7575" s="1"/>
      <c r="H7575" s="1"/>
      <c r="I7575" s="1"/>
      <c r="J7575" s="1"/>
      <c r="K7575" s="102" t="s">
        <v>11823</v>
      </c>
      <c r="L7575" s="102" t="str">
        <f>F1090</f>
        <v>J2b2a1</v>
      </c>
      <c r="M7575" s="106" t="s">
        <v>11824</v>
      </c>
      <c r="N7575" s="102" t="s">
        <v>11820</v>
      </c>
      <c r="O7575" s="105">
        <v>2.1864316E7</v>
      </c>
      <c r="P7575" s="105">
        <v>1.970243E7</v>
      </c>
      <c r="Q7575" s="102" t="s">
        <v>2501</v>
      </c>
      <c r="S7575" s="1"/>
      <c r="T7575" s="1"/>
      <c r="U7575" s="1"/>
      <c r="V7575" s="1"/>
      <c r="W7575" s="1"/>
      <c r="X7575" s="1"/>
      <c r="Y7575" s="1"/>
      <c r="AA7575" s="102"/>
      <c r="AB7575" s="1"/>
      <c r="AC7575" s="1"/>
      <c r="AD7575" s="1"/>
      <c r="AE7575" s="1"/>
      <c r="AF7575" s="1"/>
      <c r="AG7575" s="1"/>
    </row>
    <row r="7576" ht="15.75" customHeight="1">
      <c r="A7576" s="1"/>
      <c r="B7576" s="1"/>
      <c r="C7576" s="1"/>
      <c r="D7576" s="1"/>
      <c r="E7576" s="1"/>
      <c r="F7576" s="1"/>
      <c r="G7576" s="1"/>
      <c r="H7576" s="1"/>
      <c r="I7576" s="1"/>
      <c r="J7576" s="1"/>
      <c r="K7576" s="106" t="s">
        <v>11825</v>
      </c>
      <c r="L7576" s="102" t="str">
        <f>F1090</f>
        <v>J2b2a1</v>
      </c>
      <c r="M7576" s="102" t="s">
        <v>11826</v>
      </c>
      <c r="N7576" s="102" t="s">
        <v>11820</v>
      </c>
      <c r="O7576" s="105">
        <v>2.1864316E7</v>
      </c>
      <c r="P7576" s="105">
        <v>1.970243E7</v>
      </c>
      <c r="Q7576" s="102" t="s">
        <v>2501</v>
      </c>
      <c r="S7576" s="1"/>
      <c r="T7576" s="1"/>
      <c r="U7576" s="1"/>
      <c r="V7576" s="1"/>
      <c r="W7576" s="1"/>
      <c r="X7576" s="1"/>
      <c r="Y7576" s="1"/>
      <c r="AA7576" s="102"/>
      <c r="AB7576" s="1"/>
      <c r="AC7576" s="1"/>
      <c r="AD7576" s="1"/>
      <c r="AE7576" s="1"/>
      <c r="AF7576" s="1"/>
      <c r="AG7576" s="1"/>
    </row>
    <row r="7577" ht="15.75" customHeight="1">
      <c r="A7577" s="1"/>
      <c r="B7577" s="1"/>
      <c r="C7577" s="1"/>
      <c r="D7577" s="1"/>
      <c r="E7577" s="1"/>
      <c r="F7577" s="1"/>
      <c r="G7577" s="1"/>
      <c r="H7577" s="1"/>
      <c r="I7577" s="1"/>
      <c r="J7577" s="1"/>
      <c r="K7577" s="102" t="s">
        <v>11827</v>
      </c>
      <c r="L7577" s="102" t="str">
        <f>F1090</f>
        <v>J2b2a1</v>
      </c>
      <c r="M7577" s="106" t="s">
        <v>11828</v>
      </c>
      <c r="N7577" s="102" t="s">
        <v>11829</v>
      </c>
      <c r="O7577" s="105">
        <v>2.2120354E7</v>
      </c>
      <c r="P7577" s="105">
        <v>1.9958468E7</v>
      </c>
      <c r="Q7577" s="102" t="s">
        <v>2439</v>
      </c>
      <c r="S7577" s="1"/>
      <c r="T7577" s="1"/>
      <c r="U7577" s="1"/>
      <c r="V7577" s="1"/>
      <c r="W7577" s="1"/>
      <c r="X7577" s="1"/>
      <c r="Y7577" s="1"/>
      <c r="AA7577" s="102"/>
      <c r="AB7577" s="1"/>
      <c r="AC7577" s="1"/>
      <c r="AD7577" s="1"/>
      <c r="AE7577" s="1"/>
      <c r="AF7577" s="1"/>
      <c r="AG7577" s="1"/>
    </row>
    <row r="7578" ht="15.75" customHeight="1">
      <c r="A7578" s="1"/>
      <c r="B7578" s="1"/>
      <c r="C7578" s="1"/>
      <c r="D7578" s="1"/>
      <c r="E7578" s="1"/>
      <c r="F7578" s="1"/>
      <c r="G7578" s="1"/>
      <c r="H7578" s="1"/>
      <c r="I7578" s="1"/>
      <c r="J7578" s="1"/>
      <c r="K7578" s="106" t="s">
        <v>11830</v>
      </c>
      <c r="L7578" s="102" t="str">
        <f>F1090</f>
        <v>J2b2a1</v>
      </c>
      <c r="M7578" s="102" t="s">
        <v>11831</v>
      </c>
      <c r="N7578" s="102" t="s">
        <v>11829</v>
      </c>
      <c r="O7578" s="105">
        <v>2.2120354E7</v>
      </c>
      <c r="P7578" s="105">
        <v>1.9958468E7</v>
      </c>
      <c r="Q7578" s="102" t="s">
        <v>2439</v>
      </c>
      <c r="S7578" s="1"/>
      <c r="T7578" s="1"/>
      <c r="U7578" s="1"/>
      <c r="V7578" s="1"/>
      <c r="W7578" s="1"/>
      <c r="X7578" s="1"/>
      <c r="Y7578" s="1"/>
      <c r="AA7578" s="102"/>
      <c r="AB7578" s="1"/>
      <c r="AC7578" s="1"/>
      <c r="AD7578" s="1"/>
      <c r="AE7578" s="1"/>
      <c r="AF7578" s="1"/>
      <c r="AG7578" s="1"/>
    </row>
    <row r="7579" ht="15.75" customHeight="1">
      <c r="A7579" s="1"/>
      <c r="B7579" s="1"/>
      <c r="C7579" s="1"/>
      <c r="D7579" s="1"/>
      <c r="E7579" s="1"/>
      <c r="F7579" s="1"/>
      <c r="G7579" s="1"/>
      <c r="H7579" s="1"/>
      <c r="I7579" s="1"/>
      <c r="J7579" s="1"/>
      <c r="K7579" s="102" t="s">
        <v>11832</v>
      </c>
      <c r="L7579" s="102" t="str">
        <f>F1090</f>
        <v>J2b2a1</v>
      </c>
      <c r="M7579" s="106" t="s">
        <v>11833</v>
      </c>
      <c r="N7579" s="102" t="s">
        <v>11829</v>
      </c>
      <c r="O7579" s="105">
        <v>2.2120354E7</v>
      </c>
      <c r="P7579" s="105">
        <v>1.9958468E7</v>
      </c>
      <c r="Q7579" s="102" t="s">
        <v>2439</v>
      </c>
      <c r="S7579" s="1"/>
      <c r="T7579" s="1"/>
      <c r="U7579" s="1"/>
      <c r="V7579" s="1"/>
      <c r="W7579" s="1"/>
      <c r="X7579" s="1"/>
      <c r="Y7579" s="1"/>
      <c r="AA7579" s="102"/>
      <c r="AB7579" s="1"/>
      <c r="AC7579" s="1"/>
      <c r="AD7579" s="1"/>
      <c r="AE7579" s="1"/>
      <c r="AF7579" s="1"/>
      <c r="AG7579" s="1"/>
    </row>
    <row r="7580" ht="15.75" customHeight="1">
      <c r="A7580" s="1"/>
      <c r="B7580" s="1"/>
      <c r="C7580" s="1"/>
      <c r="D7580" s="1"/>
      <c r="E7580" s="1"/>
      <c r="F7580" s="1"/>
      <c r="G7580" s="1"/>
      <c r="H7580" s="1"/>
      <c r="I7580" s="1"/>
      <c r="J7580" s="1"/>
      <c r="K7580" s="102" t="s">
        <v>11834</v>
      </c>
      <c r="L7580" s="102" t="str">
        <f>F1090</f>
        <v>J2b2a1</v>
      </c>
      <c r="M7580" s="102" t="s">
        <v>11835</v>
      </c>
      <c r="N7580" s="102" t="s">
        <v>11836</v>
      </c>
      <c r="O7580" s="105">
        <v>2.3125894E7</v>
      </c>
      <c r="P7580" s="105">
        <v>2.0964008E7</v>
      </c>
      <c r="Q7580" s="102" t="s">
        <v>2529</v>
      </c>
      <c r="S7580" s="1"/>
      <c r="T7580" s="1"/>
      <c r="U7580" s="1"/>
      <c r="V7580" s="1"/>
      <c r="W7580" s="1"/>
      <c r="X7580" s="1"/>
      <c r="Y7580" s="1"/>
      <c r="AA7580" s="102"/>
      <c r="AB7580" s="1"/>
      <c r="AC7580" s="1"/>
      <c r="AD7580" s="1"/>
      <c r="AE7580" s="1"/>
      <c r="AF7580" s="1"/>
      <c r="AG7580" s="1"/>
    </row>
    <row r="7581" ht="15.75" customHeight="1">
      <c r="A7581" s="1"/>
      <c r="B7581" s="1"/>
      <c r="C7581" s="1"/>
      <c r="D7581" s="1"/>
      <c r="E7581" s="1"/>
      <c r="F7581" s="1"/>
      <c r="G7581" s="1"/>
      <c r="H7581" s="1"/>
      <c r="I7581" s="1"/>
      <c r="J7581" s="1"/>
      <c r="K7581" s="102" t="s">
        <v>11837</v>
      </c>
      <c r="L7581" s="102" t="str">
        <f>F1090</f>
        <v>J2b2a1</v>
      </c>
      <c r="M7581" s="102" t="s">
        <v>11838</v>
      </c>
      <c r="N7581" s="102" t="s">
        <v>11836</v>
      </c>
      <c r="O7581" s="105">
        <v>2.3125894E7</v>
      </c>
      <c r="P7581" s="105">
        <v>2.0964008E7</v>
      </c>
      <c r="Q7581" s="102" t="s">
        <v>2529</v>
      </c>
      <c r="S7581" s="1"/>
      <c r="T7581" s="1"/>
      <c r="U7581" s="1"/>
      <c r="V7581" s="1"/>
      <c r="W7581" s="1"/>
      <c r="X7581" s="1"/>
      <c r="Y7581" s="1"/>
      <c r="AA7581" s="102"/>
      <c r="AB7581" s="1"/>
      <c r="AC7581" s="1"/>
      <c r="AD7581" s="1"/>
      <c r="AE7581" s="1"/>
      <c r="AF7581" s="1"/>
      <c r="AG7581" s="1"/>
    </row>
    <row r="7582" ht="15.75" customHeight="1">
      <c r="A7582" s="1"/>
      <c r="B7582" s="1"/>
      <c r="C7582" s="1"/>
      <c r="D7582" s="1"/>
      <c r="E7582" s="1"/>
      <c r="F7582" s="1"/>
      <c r="G7582" s="1"/>
      <c r="H7582" s="1"/>
      <c r="I7582" s="1"/>
      <c r="J7582" s="1"/>
      <c r="K7582" s="102" t="s">
        <v>11839</v>
      </c>
      <c r="L7582" s="102" t="str">
        <f>F1090</f>
        <v>J2b2a1</v>
      </c>
      <c r="M7582" s="102" t="s">
        <v>11840</v>
      </c>
      <c r="N7582" s="102" t="s">
        <v>11836</v>
      </c>
      <c r="O7582" s="105">
        <v>2.3125894E7</v>
      </c>
      <c r="P7582" s="105">
        <v>2.0964008E7</v>
      </c>
      <c r="Q7582" s="102" t="s">
        <v>2529</v>
      </c>
      <c r="S7582" s="1"/>
      <c r="T7582" s="1"/>
      <c r="U7582" s="1"/>
      <c r="V7582" s="1"/>
      <c r="W7582" s="1"/>
      <c r="X7582" s="1"/>
      <c r="Y7582" s="1"/>
      <c r="AA7582" s="102"/>
      <c r="AB7582" s="1"/>
      <c r="AC7582" s="1"/>
      <c r="AD7582" s="1"/>
      <c r="AE7582" s="1"/>
      <c r="AF7582" s="1"/>
      <c r="AG7582" s="1"/>
    </row>
    <row r="7583" ht="15.75" customHeight="1">
      <c r="A7583" s="1"/>
      <c r="B7583" s="1"/>
      <c r="C7583" s="1"/>
      <c r="D7583" s="1"/>
      <c r="E7583" s="1"/>
      <c r="F7583" s="1"/>
      <c r="G7583" s="1"/>
      <c r="H7583" s="1"/>
      <c r="I7583" s="1"/>
      <c r="J7583" s="1"/>
      <c r="K7583" s="102" t="s">
        <v>11841</v>
      </c>
      <c r="L7583" s="102" t="str">
        <f>F1090</f>
        <v>J2b2a1</v>
      </c>
      <c r="M7583" s="102" t="s">
        <v>11842</v>
      </c>
      <c r="N7583" s="102" t="s">
        <v>11843</v>
      </c>
      <c r="O7583" s="105">
        <v>2.3263853E7</v>
      </c>
      <c r="P7583" s="105">
        <v>2.1101967E7</v>
      </c>
      <c r="Q7583" s="102" t="s">
        <v>2501</v>
      </c>
      <c r="S7583" s="1"/>
      <c r="T7583" s="1"/>
      <c r="U7583" s="1"/>
      <c r="V7583" s="1"/>
      <c r="W7583" s="1"/>
      <c r="X7583" s="1"/>
      <c r="Y7583" s="1"/>
      <c r="AA7583" s="102"/>
      <c r="AB7583" s="1"/>
      <c r="AC7583" s="1"/>
      <c r="AD7583" s="1"/>
      <c r="AE7583" s="1"/>
      <c r="AF7583" s="1"/>
      <c r="AG7583" s="1"/>
    </row>
    <row r="7584" ht="15.75" customHeight="1">
      <c r="A7584" s="1"/>
      <c r="B7584" s="1"/>
      <c r="C7584" s="1"/>
      <c r="D7584" s="1"/>
      <c r="E7584" s="1"/>
      <c r="F7584" s="1"/>
      <c r="G7584" s="1"/>
      <c r="H7584" s="1"/>
      <c r="I7584" s="1"/>
      <c r="J7584" s="1"/>
      <c r="K7584" s="102" t="s">
        <v>11844</v>
      </c>
      <c r="L7584" s="102" t="str">
        <f>F1090</f>
        <v>J2b2a1</v>
      </c>
      <c r="M7584" s="102" t="s">
        <v>11845</v>
      </c>
      <c r="N7584" s="102" t="s">
        <v>11843</v>
      </c>
      <c r="O7584" s="105">
        <v>2.3263853E7</v>
      </c>
      <c r="P7584" s="105">
        <v>2.1101967E7</v>
      </c>
      <c r="Q7584" s="102" t="s">
        <v>2501</v>
      </c>
      <c r="S7584" s="1"/>
      <c r="T7584" s="1"/>
      <c r="U7584" s="1"/>
      <c r="V7584" s="1"/>
      <c r="W7584" s="1"/>
      <c r="X7584" s="1"/>
      <c r="Y7584" s="1"/>
      <c r="AA7584" s="102"/>
      <c r="AB7584" s="1"/>
      <c r="AC7584" s="1"/>
      <c r="AD7584" s="1"/>
      <c r="AE7584" s="1"/>
      <c r="AF7584" s="1"/>
      <c r="AG7584" s="1"/>
    </row>
    <row r="7585" ht="15.75" customHeight="1">
      <c r="A7585" s="1"/>
      <c r="B7585" s="1"/>
      <c r="C7585" s="1"/>
      <c r="D7585" s="1"/>
      <c r="E7585" s="1"/>
      <c r="F7585" s="1"/>
      <c r="G7585" s="1"/>
      <c r="H7585" s="1"/>
      <c r="I7585" s="1"/>
      <c r="J7585" s="1"/>
      <c r="K7585" s="102" t="s">
        <v>11846</v>
      </c>
      <c r="L7585" s="102" t="str">
        <f>F1090</f>
        <v>J2b2a1</v>
      </c>
      <c r="M7585" s="102" t="s">
        <v>11847</v>
      </c>
      <c r="N7585" s="102" t="s">
        <v>11843</v>
      </c>
      <c r="O7585" s="105">
        <v>2.3263853E7</v>
      </c>
      <c r="P7585" s="105">
        <v>2.1101967E7</v>
      </c>
      <c r="Q7585" s="102" t="s">
        <v>2501</v>
      </c>
      <c r="S7585" s="1"/>
      <c r="T7585" s="1"/>
      <c r="U7585" s="1"/>
      <c r="V7585" s="1"/>
      <c r="W7585" s="1"/>
      <c r="X7585" s="1"/>
      <c r="Y7585" s="1"/>
      <c r="AA7585" s="102"/>
      <c r="AB7585" s="1"/>
      <c r="AC7585" s="1"/>
      <c r="AD7585" s="1"/>
      <c r="AE7585" s="1"/>
      <c r="AF7585" s="1"/>
      <c r="AG7585" s="1"/>
    </row>
    <row r="7586" ht="15.75" customHeight="1">
      <c r="A7586" s="1"/>
      <c r="B7586" s="1"/>
      <c r="C7586" s="1"/>
      <c r="D7586" s="1"/>
      <c r="E7586" s="1"/>
      <c r="F7586" s="1"/>
      <c r="G7586" s="1"/>
      <c r="H7586" s="1"/>
      <c r="I7586" s="1"/>
      <c r="J7586" s="1"/>
      <c r="K7586" s="102" t="s">
        <v>11848</v>
      </c>
      <c r="L7586" s="102" t="str">
        <f>F1090</f>
        <v>J2b2a1</v>
      </c>
      <c r="M7586" s="102" t="s">
        <v>11849</v>
      </c>
      <c r="N7586" s="102" t="s">
        <v>11843</v>
      </c>
      <c r="O7586" s="105">
        <v>2.3263853E7</v>
      </c>
      <c r="P7586" s="105">
        <v>2.1101967E7</v>
      </c>
      <c r="Q7586" s="102" t="s">
        <v>2501</v>
      </c>
      <c r="S7586" s="1"/>
      <c r="T7586" s="1"/>
      <c r="U7586" s="1"/>
      <c r="V7586" s="1"/>
      <c r="W7586" s="1"/>
      <c r="X7586" s="1"/>
      <c r="Y7586" s="1"/>
      <c r="AA7586" s="102"/>
      <c r="AB7586" s="1"/>
      <c r="AC7586" s="1"/>
      <c r="AD7586" s="1"/>
      <c r="AE7586" s="1"/>
      <c r="AF7586" s="1"/>
      <c r="AG7586" s="1"/>
    </row>
    <row r="7587" ht="15.75" customHeight="1">
      <c r="A7587" s="1"/>
      <c r="B7587" s="1"/>
      <c r="C7587" s="1"/>
      <c r="D7587" s="1"/>
      <c r="E7587" s="1"/>
      <c r="F7587" s="1"/>
      <c r="G7587" s="1"/>
      <c r="H7587" s="1"/>
      <c r="I7587" s="1"/>
      <c r="J7587" s="1"/>
      <c r="K7587" s="102" t="s">
        <v>11850</v>
      </c>
      <c r="L7587" s="102" t="str">
        <f>F1090</f>
        <v>J2b2a1</v>
      </c>
      <c r="M7587" s="102" t="s">
        <v>11851</v>
      </c>
      <c r="N7587" s="102" t="s">
        <v>11852</v>
      </c>
      <c r="O7587" s="105">
        <v>2784289.0</v>
      </c>
      <c r="P7587" s="105">
        <v>2916248.0</v>
      </c>
      <c r="Q7587" s="102" t="s">
        <v>2501</v>
      </c>
      <c r="S7587" s="1"/>
      <c r="T7587" s="1"/>
      <c r="U7587" s="1"/>
      <c r="V7587" s="1"/>
      <c r="W7587" s="1"/>
      <c r="X7587" s="1"/>
      <c r="Y7587" s="1"/>
      <c r="AA7587" s="102"/>
      <c r="AB7587" s="1"/>
      <c r="AC7587" s="1"/>
      <c r="AD7587" s="1"/>
      <c r="AE7587" s="1"/>
      <c r="AF7587" s="1"/>
      <c r="AG7587" s="1"/>
    </row>
    <row r="7588" ht="15.75" customHeight="1">
      <c r="A7588" s="1"/>
      <c r="B7588" s="1"/>
      <c r="C7588" s="1"/>
      <c r="D7588" s="1"/>
      <c r="E7588" s="1"/>
      <c r="F7588" s="1"/>
      <c r="G7588" s="1"/>
      <c r="H7588" s="1"/>
      <c r="I7588" s="1"/>
      <c r="J7588" s="1"/>
      <c r="K7588" s="102" t="s">
        <v>11853</v>
      </c>
      <c r="L7588" s="102" t="str">
        <f>F1090</f>
        <v>J2b2a1</v>
      </c>
      <c r="M7588" s="102" t="s">
        <v>11854</v>
      </c>
      <c r="N7588" s="102" t="s">
        <v>11852</v>
      </c>
      <c r="O7588" s="105">
        <v>2784289.0</v>
      </c>
      <c r="P7588" s="105">
        <v>2916248.0</v>
      </c>
      <c r="Q7588" s="102" t="s">
        <v>2501</v>
      </c>
      <c r="S7588" s="1"/>
      <c r="T7588" s="1"/>
      <c r="U7588" s="1"/>
      <c r="V7588" s="1"/>
      <c r="W7588" s="1"/>
      <c r="X7588" s="1"/>
      <c r="Y7588" s="1"/>
      <c r="AA7588" s="102"/>
      <c r="AB7588" s="1"/>
      <c r="AC7588" s="1"/>
      <c r="AD7588" s="1"/>
      <c r="AE7588" s="1"/>
      <c r="AF7588" s="1"/>
      <c r="AG7588" s="1"/>
    </row>
    <row r="7589" ht="15.75" customHeight="1">
      <c r="A7589" s="1"/>
      <c r="B7589" s="1"/>
      <c r="C7589" s="1"/>
      <c r="D7589" s="1"/>
      <c r="E7589" s="1"/>
      <c r="F7589" s="1"/>
      <c r="G7589" s="1"/>
      <c r="H7589" s="1"/>
      <c r="I7589" s="1"/>
      <c r="J7589" s="1"/>
      <c r="K7589" s="102" t="s">
        <v>11855</v>
      </c>
      <c r="L7589" s="102" t="str">
        <f>F1090</f>
        <v>J2b2a1</v>
      </c>
      <c r="M7589" s="102" t="s">
        <v>11856</v>
      </c>
      <c r="N7589" s="102" t="s">
        <v>11852</v>
      </c>
      <c r="O7589" s="105">
        <v>2784289.0</v>
      </c>
      <c r="P7589" s="105">
        <v>2916248.0</v>
      </c>
      <c r="Q7589" s="102" t="s">
        <v>2501</v>
      </c>
      <c r="S7589" s="1"/>
      <c r="T7589" s="1"/>
      <c r="U7589" s="1"/>
      <c r="V7589" s="1"/>
      <c r="W7589" s="1"/>
      <c r="X7589" s="1"/>
      <c r="Y7589" s="1"/>
      <c r="AA7589" s="102"/>
      <c r="AB7589" s="1"/>
      <c r="AC7589" s="1"/>
      <c r="AD7589" s="1"/>
      <c r="AE7589" s="1"/>
      <c r="AF7589" s="1"/>
      <c r="AG7589" s="1"/>
    </row>
    <row r="7590" ht="15.75" customHeight="1">
      <c r="A7590" s="1"/>
      <c r="B7590" s="1"/>
      <c r="C7590" s="1"/>
      <c r="D7590" s="1"/>
      <c r="E7590" s="1"/>
      <c r="F7590" s="1"/>
      <c r="G7590" s="1"/>
      <c r="H7590" s="1"/>
      <c r="I7590" s="1"/>
      <c r="J7590" s="1"/>
      <c r="K7590" s="102" t="s">
        <v>11857</v>
      </c>
      <c r="L7590" s="102" t="str">
        <f>F1090</f>
        <v>J2b2a1</v>
      </c>
      <c r="M7590" s="102" t="s">
        <v>11858</v>
      </c>
      <c r="N7590" s="102" t="s">
        <v>11852</v>
      </c>
      <c r="O7590" s="105">
        <v>2784289.0</v>
      </c>
      <c r="P7590" s="105">
        <v>2916248.0</v>
      </c>
      <c r="Q7590" s="102" t="s">
        <v>2501</v>
      </c>
      <c r="S7590" s="1"/>
      <c r="T7590" s="1"/>
      <c r="U7590" s="1"/>
      <c r="V7590" s="1"/>
      <c r="W7590" s="1"/>
      <c r="X7590" s="1"/>
      <c r="Y7590" s="1"/>
      <c r="AA7590" s="102"/>
      <c r="AB7590" s="1"/>
      <c r="AC7590" s="1"/>
      <c r="AD7590" s="1"/>
      <c r="AE7590" s="1"/>
      <c r="AF7590" s="1"/>
      <c r="AG7590" s="1"/>
    </row>
    <row r="7591" ht="15.75" customHeight="1">
      <c r="A7591" s="1"/>
      <c r="B7591" s="1"/>
      <c r="C7591" s="1"/>
      <c r="D7591" s="1"/>
      <c r="E7591" s="1"/>
      <c r="F7591" s="1"/>
      <c r="G7591" s="1"/>
      <c r="H7591" s="1"/>
      <c r="I7591" s="1"/>
      <c r="J7591" s="1"/>
      <c r="K7591" s="102" t="s">
        <v>11859</v>
      </c>
      <c r="L7591" s="102" t="str">
        <f>F1090</f>
        <v>J2b2a1</v>
      </c>
      <c r="M7591" s="102" t="s">
        <v>11860</v>
      </c>
      <c r="N7591" s="102" t="s">
        <v>11861</v>
      </c>
      <c r="O7591" s="105">
        <v>6941876.0</v>
      </c>
      <c r="P7591" s="105">
        <v>7073835.0</v>
      </c>
      <c r="Q7591" s="102" t="s">
        <v>2529</v>
      </c>
      <c r="S7591" s="1"/>
      <c r="T7591" s="1"/>
      <c r="U7591" s="1"/>
      <c r="V7591" s="1"/>
      <c r="W7591" s="1"/>
      <c r="X7591" s="1"/>
      <c r="Y7591" s="1"/>
      <c r="AA7591" s="102"/>
      <c r="AB7591" s="1"/>
      <c r="AC7591" s="1"/>
      <c r="AD7591" s="1"/>
      <c r="AE7591" s="1"/>
      <c r="AF7591" s="1"/>
      <c r="AG7591" s="1"/>
    </row>
    <row r="7592" ht="15.75" customHeight="1">
      <c r="A7592" s="1"/>
      <c r="B7592" s="1"/>
      <c r="C7592" s="1"/>
      <c r="D7592" s="1"/>
      <c r="E7592" s="1"/>
      <c r="F7592" s="1"/>
      <c r="G7592" s="1"/>
      <c r="H7592" s="1"/>
      <c r="I7592" s="1"/>
      <c r="J7592" s="1"/>
      <c r="K7592" s="102" t="s">
        <v>11862</v>
      </c>
      <c r="L7592" s="102" t="str">
        <f>F1090</f>
        <v>J2b2a1</v>
      </c>
      <c r="M7592" s="102" t="s">
        <v>11863</v>
      </c>
      <c r="N7592" s="102" t="s">
        <v>11861</v>
      </c>
      <c r="O7592" s="105">
        <v>6941876.0</v>
      </c>
      <c r="P7592" s="105">
        <v>7073835.0</v>
      </c>
      <c r="Q7592" s="102" t="s">
        <v>2529</v>
      </c>
      <c r="S7592" s="1"/>
      <c r="T7592" s="1"/>
      <c r="U7592" s="1"/>
      <c r="V7592" s="1"/>
      <c r="W7592" s="1"/>
      <c r="X7592" s="1"/>
      <c r="Y7592" s="1"/>
      <c r="AA7592" s="102"/>
      <c r="AB7592" s="1"/>
      <c r="AC7592" s="1"/>
      <c r="AD7592" s="1"/>
      <c r="AE7592" s="1"/>
      <c r="AF7592" s="1"/>
      <c r="AG7592" s="1"/>
    </row>
    <row r="7593" ht="15.75" customHeight="1">
      <c r="A7593" s="1"/>
      <c r="B7593" s="1"/>
      <c r="C7593" s="1"/>
      <c r="D7593" s="1"/>
      <c r="E7593" s="1"/>
      <c r="F7593" s="1"/>
      <c r="G7593" s="1"/>
      <c r="H7593" s="1"/>
      <c r="I7593" s="1"/>
      <c r="J7593" s="1"/>
      <c r="K7593" s="102" t="s">
        <v>11864</v>
      </c>
      <c r="L7593" s="102" t="str">
        <f>F1090</f>
        <v>J2b2a1</v>
      </c>
      <c r="M7593" s="102" t="s">
        <v>11865</v>
      </c>
      <c r="N7593" s="102" t="s">
        <v>11861</v>
      </c>
      <c r="O7593" s="105">
        <v>6941876.0</v>
      </c>
      <c r="P7593" s="105">
        <v>7073835.0</v>
      </c>
      <c r="Q7593" s="102" t="s">
        <v>2529</v>
      </c>
      <c r="S7593" s="1"/>
      <c r="T7593" s="1"/>
      <c r="U7593" s="1"/>
      <c r="V7593" s="1"/>
      <c r="W7593" s="1"/>
      <c r="X7593" s="1"/>
      <c r="Y7593" s="1"/>
      <c r="AA7593" s="102"/>
      <c r="AB7593" s="1"/>
      <c r="AC7593" s="1"/>
      <c r="AD7593" s="1"/>
      <c r="AE7593" s="1"/>
      <c r="AF7593" s="1"/>
      <c r="AG7593" s="1"/>
    </row>
    <row r="7594" ht="15.75" customHeight="1">
      <c r="A7594" s="1"/>
      <c r="B7594" s="1"/>
      <c r="C7594" s="1"/>
      <c r="D7594" s="1"/>
      <c r="E7594" s="1"/>
      <c r="F7594" s="1"/>
      <c r="G7594" s="1"/>
      <c r="H7594" s="1"/>
      <c r="I7594" s="1"/>
      <c r="J7594" s="1"/>
      <c r="K7594" s="102" t="s">
        <v>11866</v>
      </c>
      <c r="L7594" s="102" t="str">
        <f>F1090</f>
        <v>J2b2a1</v>
      </c>
      <c r="M7594" s="102" t="s">
        <v>11867</v>
      </c>
      <c r="N7594" s="102" t="s">
        <v>11868</v>
      </c>
      <c r="O7594" s="105">
        <v>1.9258842E7</v>
      </c>
      <c r="P7594" s="105">
        <v>1.7146962E7</v>
      </c>
      <c r="Q7594" s="102" t="s">
        <v>2439</v>
      </c>
      <c r="S7594" s="1"/>
      <c r="T7594" s="1"/>
      <c r="U7594" s="1"/>
      <c r="V7594" s="1"/>
      <c r="W7594" s="1"/>
      <c r="X7594" s="1"/>
      <c r="Y7594" s="1"/>
      <c r="AA7594" s="102"/>
      <c r="AB7594" s="1"/>
      <c r="AC7594" s="1"/>
      <c r="AD7594" s="1"/>
      <c r="AE7594" s="1"/>
      <c r="AF7594" s="1"/>
      <c r="AG7594" s="1"/>
    </row>
    <row r="7595" ht="15.75" customHeight="1">
      <c r="A7595" s="1"/>
      <c r="B7595" s="1"/>
      <c r="C7595" s="1"/>
      <c r="D7595" s="1"/>
      <c r="E7595" s="1"/>
      <c r="F7595" s="1"/>
      <c r="G7595" s="1"/>
      <c r="H7595" s="1"/>
      <c r="I7595" s="1"/>
      <c r="J7595" s="1"/>
      <c r="K7595" s="102" t="s">
        <v>11867</v>
      </c>
      <c r="L7595" s="102" t="str">
        <f>F1090</f>
        <v>J2b2a1</v>
      </c>
      <c r="M7595" s="102" t="s">
        <v>11866</v>
      </c>
      <c r="N7595" s="102" t="s">
        <v>11868</v>
      </c>
      <c r="O7595" s="105">
        <v>1.9258842E7</v>
      </c>
      <c r="P7595" s="105">
        <v>1.7146962E7</v>
      </c>
      <c r="Q7595" s="102" t="s">
        <v>2439</v>
      </c>
      <c r="S7595" s="1"/>
      <c r="T7595" s="1"/>
      <c r="U7595" s="1"/>
      <c r="V7595" s="1"/>
      <c r="W7595" s="1"/>
      <c r="X7595" s="1"/>
      <c r="Y7595" s="1"/>
      <c r="AA7595" s="102"/>
      <c r="AB7595" s="1"/>
      <c r="AC7595" s="1"/>
      <c r="AD7595" s="1"/>
      <c r="AE7595" s="1"/>
      <c r="AF7595" s="1"/>
      <c r="AG7595" s="1"/>
    </row>
    <row r="7596" ht="15.75" customHeight="1">
      <c r="A7596" s="1"/>
      <c r="B7596" s="1"/>
      <c r="C7596" s="1"/>
      <c r="D7596" s="1"/>
      <c r="E7596" s="1"/>
      <c r="F7596" s="1"/>
      <c r="G7596" s="1"/>
      <c r="H7596" s="1"/>
      <c r="I7596" s="1"/>
      <c r="J7596" s="1"/>
      <c r="K7596" s="102" t="s">
        <v>11869</v>
      </c>
      <c r="L7596" s="102" t="str">
        <f>F1090</f>
        <v>J2b2a1</v>
      </c>
      <c r="M7596" s="102"/>
      <c r="N7596" s="102" t="s">
        <v>11870</v>
      </c>
      <c r="O7596" s="105">
        <v>7808275.0</v>
      </c>
      <c r="P7596" s="105">
        <v>7940234.0</v>
      </c>
      <c r="Q7596" s="102" t="s">
        <v>2468</v>
      </c>
      <c r="S7596" s="1"/>
      <c r="T7596" s="1"/>
      <c r="U7596" s="1"/>
      <c r="V7596" s="1"/>
      <c r="W7596" s="1"/>
      <c r="X7596" s="1"/>
      <c r="Y7596" s="1"/>
      <c r="AA7596" s="102"/>
      <c r="AB7596" s="1"/>
      <c r="AC7596" s="1"/>
      <c r="AD7596" s="1"/>
      <c r="AE7596" s="1"/>
      <c r="AF7596" s="1"/>
      <c r="AG7596" s="1"/>
    </row>
    <row r="7597" ht="15.75" customHeight="1">
      <c r="A7597" s="1"/>
      <c r="B7597" s="1"/>
      <c r="C7597" s="1"/>
      <c r="D7597" s="1"/>
      <c r="E7597" s="1"/>
      <c r="F7597" s="1"/>
      <c r="G7597" s="1"/>
      <c r="H7597" s="1"/>
      <c r="I7597" s="1"/>
      <c r="J7597" s="1"/>
      <c r="K7597" s="102" t="s">
        <v>11871</v>
      </c>
      <c r="L7597" s="102" t="str">
        <f>F1090</f>
        <v>J2b2a1</v>
      </c>
      <c r="M7597" s="102"/>
      <c r="N7597" s="102" t="s">
        <v>11872</v>
      </c>
      <c r="O7597" s="105">
        <v>7812658.0</v>
      </c>
      <c r="P7597" s="105">
        <v>7944617.0</v>
      </c>
      <c r="Q7597" s="102" t="s">
        <v>2533</v>
      </c>
      <c r="S7597" s="1"/>
      <c r="T7597" s="1"/>
      <c r="U7597" s="1"/>
      <c r="V7597" s="1"/>
      <c r="W7597" s="1"/>
      <c r="X7597" s="1"/>
      <c r="Y7597" s="1"/>
      <c r="AA7597" s="102"/>
      <c r="AB7597" s="1"/>
      <c r="AC7597" s="1"/>
      <c r="AD7597" s="1"/>
      <c r="AE7597" s="1"/>
      <c r="AF7597" s="1"/>
      <c r="AG7597" s="1"/>
    </row>
    <row r="7598" ht="15.75" customHeight="1">
      <c r="A7598" s="1"/>
      <c r="B7598" s="1"/>
      <c r="C7598" s="1"/>
      <c r="D7598" s="1"/>
      <c r="E7598" s="1"/>
      <c r="F7598" s="1"/>
      <c r="G7598" s="1"/>
      <c r="H7598" s="1"/>
      <c r="I7598" s="1"/>
      <c r="J7598" s="1"/>
      <c r="K7598" s="102" t="s">
        <v>11873</v>
      </c>
      <c r="L7598" s="102" t="str">
        <f>F1090</f>
        <v>J2b2a1</v>
      </c>
      <c r="M7598" s="102"/>
      <c r="N7598" s="102" t="s">
        <v>11874</v>
      </c>
      <c r="O7598" s="105">
        <v>7941643.0</v>
      </c>
      <c r="P7598" s="105">
        <v>8073602.0</v>
      </c>
      <c r="Q7598" s="102" t="s">
        <v>2439</v>
      </c>
      <c r="S7598" s="1"/>
      <c r="T7598" s="1"/>
      <c r="U7598" s="1"/>
      <c r="V7598" s="1"/>
      <c r="W7598" s="1"/>
      <c r="X7598" s="1"/>
      <c r="Y7598" s="1"/>
      <c r="AA7598" s="102"/>
      <c r="AB7598" s="1"/>
      <c r="AC7598" s="1"/>
      <c r="AD7598" s="1"/>
      <c r="AE7598" s="1"/>
      <c r="AF7598" s="1"/>
      <c r="AG7598" s="1"/>
    </row>
    <row r="7599" ht="15.75" customHeight="1">
      <c r="A7599" s="1"/>
      <c r="B7599" s="1"/>
      <c r="C7599" s="1"/>
      <c r="D7599" s="1"/>
      <c r="E7599" s="1"/>
      <c r="F7599" s="1"/>
      <c r="G7599" s="1"/>
      <c r="H7599" s="1"/>
      <c r="I7599" s="1"/>
      <c r="J7599" s="1"/>
      <c r="K7599" s="102" t="s">
        <v>11875</v>
      </c>
      <c r="L7599" s="102" t="str">
        <f>F1090</f>
        <v>J2b2a1</v>
      </c>
      <c r="M7599" s="102"/>
      <c r="N7599" s="102" t="s">
        <v>11876</v>
      </c>
      <c r="O7599" s="105">
        <v>8828274.0</v>
      </c>
      <c r="P7599" s="105">
        <v>8960233.0</v>
      </c>
      <c r="Q7599" s="102" t="s">
        <v>2468</v>
      </c>
      <c r="S7599" s="1"/>
      <c r="T7599" s="1"/>
      <c r="U7599" s="1"/>
      <c r="V7599" s="1"/>
      <c r="W7599" s="1"/>
      <c r="X7599" s="1"/>
      <c r="Y7599" s="1"/>
      <c r="AA7599" s="102"/>
      <c r="AB7599" s="1"/>
      <c r="AC7599" s="1"/>
      <c r="AD7599" s="1"/>
      <c r="AE7599" s="1"/>
      <c r="AF7599" s="1"/>
      <c r="AG7599" s="1"/>
    </row>
    <row r="7600" ht="15.75" customHeight="1">
      <c r="A7600" s="1"/>
      <c r="B7600" s="1"/>
      <c r="C7600" s="1"/>
      <c r="D7600" s="1"/>
      <c r="E7600" s="1"/>
      <c r="F7600" s="1"/>
      <c r="G7600" s="1"/>
      <c r="H7600" s="1"/>
      <c r="I7600" s="1"/>
      <c r="J7600" s="1"/>
      <c r="K7600" s="102" t="s">
        <v>11877</v>
      </c>
      <c r="L7600" s="102" t="str">
        <f>F1090</f>
        <v>J2b2a1</v>
      </c>
      <c r="M7600" s="102"/>
      <c r="N7600" s="102" t="s">
        <v>11878</v>
      </c>
      <c r="O7600" s="105">
        <v>9824578.0</v>
      </c>
      <c r="P7600" s="105">
        <v>9986969.0</v>
      </c>
      <c r="Q7600" s="102" t="s">
        <v>2529</v>
      </c>
      <c r="S7600" s="1"/>
      <c r="T7600" s="1"/>
      <c r="U7600" s="1"/>
      <c r="V7600" s="1"/>
      <c r="W7600" s="1"/>
      <c r="X7600" s="1"/>
      <c r="Y7600" s="1"/>
      <c r="AA7600" s="102"/>
      <c r="AB7600" s="1"/>
      <c r="AC7600" s="1"/>
      <c r="AD7600" s="1"/>
      <c r="AE7600" s="1"/>
      <c r="AF7600" s="1"/>
      <c r="AG7600" s="1"/>
    </row>
    <row r="7601" ht="15.75" customHeight="1">
      <c r="A7601" s="1"/>
      <c r="B7601" s="1"/>
      <c r="C7601" s="1"/>
      <c r="D7601" s="1"/>
      <c r="E7601" s="1"/>
      <c r="F7601" s="1"/>
      <c r="G7601" s="1"/>
      <c r="H7601" s="1"/>
      <c r="I7601" s="1"/>
      <c r="J7601" s="1"/>
      <c r="K7601" s="102" t="s">
        <v>11879</v>
      </c>
      <c r="L7601" s="102" t="str">
        <f>F1090</f>
        <v>J2b2a1</v>
      </c>
      <c r="M7601" s="102"/>
      <c r="N7601" s="102" t="s">
        <v>11880</v>
      </c>
      <c r="O7601" s="105">
        <v>9963578.0</v>
      </c>
      <c r="P7601" s="105">
        <v>1.0125969E7</v>
      </c>
      <c r="Q7601" s="102" t="s">
        <v>2468</v>
      </c>
      <c r="S7601" s="1"/>
      <c r="T7601" s="1"/>
      <c r="U7601" s="1"/>
      <c r="V7601" s="1"/>
      <c r="W7601" s="1"/>
      <c r="X7601" s="1"/>
      <c r="Y7601" s="1"/>
      <c r="AA7601" s="102"/>
      <c r="AB7601" s="1"/>
      <c r="AC7601" s="1"/>
      <c r="AD7601" s="1"/>
      <c r="AE7601" s="1"/>
      <c r="AF7601" s="1"/>
      <c r="AG7601" s="1"/>
    </row>
    <row r="7602" ht="15.75" customHeight="1">
      <c r="A7602" s="1"/>
      <c r="B7602" s="1"/>
      <c r="C7602" s="1"/>
      <c r="D7602" s="1"/>
      <c r="E7602" s="1"/>
      <c r="F7602" s="1"/>
      <c r="G7602" s="1"/>
      <c r="H7602" s="1"/>
      <c r="I7602" s="1"/>
      <c r="J7602" s="1"/>
      <c r="K7602" s="102" t="s">
        <v>11881</v>
      </c>
      <c r="L7602" s="102" t="str">
        <f>F1090</f>
        <v>J2b2a1</v>
      </c>
      <c r="M7602" s="102"/>
      <c r="N7602" s="102" t="s">
        <v>11882</v>
      </c>
      <c r="O7602" s="105">
        <v>9940382.0</v>
      </c>
      <c r="P7602" s="105">
        <v>1.0102773E7</v>
      </c>
      <c r="Q7602" s="102" t="s">
        <v>2468</v>
      </c>
      <c r="S7602" s="1"/>
      <c r="T7602" s="1"/>
      <c r="U7602" s="1"/>
      <c r="V7602" s="1"/>
      <c r="W7602" s="1"/>
      <c r="X7602" s="1"/>
      <c r="Y7602" s="1"/>
      <c r="AA7602" s="102"/>
      <c r="AB7602" s="1"/>
      <c r="AC7602" s="1"/>
      <c r="AD7602" s="1"/>
      <c r="AE7602" s="1"/>
      <c r="AF7602" s="1"/>
      <c r="AG7602" s="1"/>
    </row>
    <row r="7603" ht="15.75" customHeight="1">
      <c r="A7603" s="1"/>
      <c r="B7603" s="1"/>
      <c r="C7603" s="1"/>
      <c r="D7603" s="1"/>
      <c r="E7603" s="1"/>
      <c r="F7603" s="1"/>
      <c r="G7603" s="1"/>
      <c r="H7603" s="1"/>
      <c r="I7603" s="1"/>
      <c r="J7603" s="1"/>
      <c r="K7603" s="102" t="s">
        <v>11883</v>
      </c>
      <c r="L7603" s="102" t="str">
        <f>F1090</f>
        <v>J2b2a1</v>
      </c>
      <c r="M7603" s="102"/>
      <c r="N7603" s="102" t="s">
        <v>11884</v>
      </c>
      <c r="O7603" s="105">
        <v>9166383.0</v>
      </c>
      <c r="P7603" s="105">
        <v>9328774.0</v>
      </c>
      <c r="Q7603" s="102" t="s">
        <v>2529</v>
      </c>
      <c r="S7603" s="1"/>
      <c r="T7603" s="1"/>
      <c r="U7603" s="1"/>
      <c r="V7603" s="1"/>
      <c r="W7603" s="1"/>
      <c r="X7603" s="1"/>
      <c r="Y7603" s="1"/>
      <c r="AA7603" s="102"/>
      <c r="AB7603" s="1"/>
      <c r="AC7603" s="1"/>
      <c r="AD7603" s="1"/>
      <c r="AE7603" s="1"/>
      <c r="AF7603" s="1"/>
      <c r="AG7603" s="1"/>
    </row>
    <row r="7604" ht="15.75" customHeight="1">
      <c r="A7604" s="1"/>
      <c r="B7604" s="1"/>
      <c r="C7604" s="1"/>
      <c r="D7604" s="1"/>
      <c r="E7604" s="1"/>
      <c r="F7604" s="1"/>
      <c r="G7604" s="1"/>
      <c r="H7604" s="1"/>
      <c r="I7604" s="1"/>
      <c r="J7604" s="1"/>
      <c r="K7604" s="102" t="s">
        <v>11885</v>
      </c>
      <c r="L7604" s="102" t="str">
        <f t="shared" ref="L7604:L7605" si="193">F1090</f>
        <v>J2b2a1</v>
      </c>
      <c r="M7604" s="102"/>
      <c r="N7604" s="102" t="s">
        <v>11886</v>
      </c>
      <c r="O7604" s="105">
        <v>2.3961272E7</v>
      </c>
      <c r="P7604" s="105">
        <v>2.1815125E7</v>
      </c>
      <c r="Q7604" s="102" t="s">
        <v>2446</v>
      </c>
      <c r="S7604" s="1"/>
      <c r="T7604" s="1"/>
      <c r="U7604" s="1"/>
      <c r="V7604" s="1"/>
      <c r="W7604" s="1"/>
      <c r="X7604" s="1"/>
      <c r="Y7604" s="1"/>
      <c r="AA7604" s="102"/>
      <c r="AB7604" s="1"/>
      <c r="AC7604" s="1"/>
      <c r="AD7604" s="1"/>
      <c r="AE7604" s="1"/>
      <c r="AF7604" s="1"/>
      <c r="AG7604" s="1"/>
    </row>
    <row r="7605" ht="15.75" customHeight="1">
      <c r="A7605" s="1"/>
      <c r="B7605" s="1"/>
      <c r="C7605" s="1"/>
      <c r="D7605" s="1"/>
      <c r="E7605" s="1"/>
      <c r="F7605" s="1"/>
      <c r="G7605" s="1"/>
      <c r="H7605" s="1"/>
      <c r="I7605" s="1"/>
      <c r="J7605" s="1"/>
      <c r="K7605" s="102" t="s">
        <v>2147</v>
      </c>
      <c r="L7605" s="102" t="str">
        <f t="shared" si="193"/>
        <v>J2b2a1~</v>
      </c>
      <c r="M7605" s="102"/>
      <c r="N7605" s="102" t="s">
        <v>11887</v>
      </c>
      <c r="O7605" s="105">
        <v>7203813.0</v>
      </c>
      <c r="P7605" s="105">
        <v>7335772.0</v>
      </c>
      <c r="Q7605" s="102" t="s">
        <v>2529</v>
      </c>
      <c r="S7605" s="1"/>
      <c r="T7605" s="1"/>
      <c r="U7605" s="1"/>
      <c r="V7605" s="1"/>
      <c r="W7605" s="1"/>
      <c r="X7605" s="1"/>
      <c r="Y7605" s="1"/>
      <c r="AA7605" s="102"/>
      <c r="AB7605" s="1"/>
      <c r="AC7605" s="1"/>
      <c r="AD7605" s="1"/>
      <c r="AE7605" s="1"/>
      <c r="AF7605" s="1"/>
      <c r="AG7605" s="1"/>
    </row>
    <row r="7606" ht="15.75" customHeight="1">
      <c r="A7606" s="1"/>
      <c r="B7606" s="1"/>
      <c r="C7606" s="1"/>
      <c r="D7606" s="1"/>
      <c r="E7606" s="1"/>
      <c r="F7606" s="1"/>
      <c r="G7606" s="1"/>
      <c r="H7606" s="1"/>
      <c r="I7606" s="1"/>
      <c r="J7606" s="1"/>
      <c r="K7606" s="102" t="s">
        <v>11888</v>
      </c>
      <c r="L7606" s="102" t="str">
        <f>G1092</f>
        <v>J2b2a1a~</v>
      </c>
      <c r="M7606" s="102" t="s">
        <v>11889</v>
      </c>
      <c r="N7606" s="102" t="s">
        <v>11890</v>
      </c>
      <c r="O7606" s="105">
        <v>1.6514373E7</v>
      </c>
      <c r="P7606" s="105">
        <v>1.4402493E7</v>
      </c>
      <c r="Q7606" s="102" t="s">
        <v>2533</v>
      </c>
      <c r="S7606" s="1"/>
      <c r="T7606" s="1"/>
      <c r="U7606" s="1"/>
      <c r="V7606" s="1"/>
      <c r="W7606" s="1"/>
      <c r="X7606" s="1"/>
      <c r="Y7606" s="1"/>
      <c r="AA7606" s="102"/>
      <c r="AB7606" s="1"/>
      <c r="AC7606" s="1"/>
      <c r="AD7606" s="1"/>
      <c r="AE7606" s="1"/>
      <c r="AF7606" s="1"/>
      <c r="AG7606" s="1"/>
    </row>
    <row r="7607" ht="15.75" customHeight="1">
      <c r="A7607" s="1"/>
      <c r="B7607" s="1"/>
      <c r="C7607" s="1"/>
      <c r="D7607" s="1"/>
      <c r="E7607" s="1"/>
      <c r="F7607" s="1"/>
      <c r="G7607" s="1"/>
      <c r="H7607" s="1"/>
      <c r="I7607" s="1"/>
      <c r="J7607" s="1"/>
      <c r="K7607" s="102" t="s">
        <v>11891</v>
      </c>
      <c r="L7607" s="102" t="str">
        <f>G1092</f>
        <v>J2b2a1a~</v>
      </c>
      <c r="M7607" s="102" t="s">
        <v>11892</v>
      </c>
      <c r="N7607" s="102" t="s">
        <v>11890</v>
      </c>
      <c r="O7607" s="105">
        <v>1.6514373E7</v>
      </c>
      <c r="P7607" s="105">
        <v>1.4402493E7</v>
      </c>
      <c r="Q7607" s="102" t="s">
        <v>2533</v>
      </c>
      <c r="S7607" s="1"/>
      <c r="T7607" s="1"/>
      <c r="U7607" s="1"/>
      <c r="V7607" s="1"/>
      <c r="W7607" s="1"/>
      <c r="X7607" s="1"/>
      <c r="Y7607" s="1"/>
      <c r="AA7607" s="102"/>
      <c r="AB7607" s="1"/>
      <c r="AC7607" s="1"/>
      <c r="AD7607" s="1"/>
      <c r="AE7607" s="1"/>
      <c r="AF7607" s="1"/>
      <c r="AG7607" s="1"/>
    </row>
    <row r="7608" ht="15.75" customHeight="1">
      <c r="A7608" s="1"/>
      <c r="B7608" s="1"/>
      <c r="C7608" s="1"/>
      <c r="D7608" s="1"/>
      <c r="E7608" s="1"/>
      <c r="F7608" s="1"/>
      <c r="G7608" s="1"/>
      <c r="H7608" s="1"/>
      <c r="I7608" s="1"/>
      <c r="J7608" s="1"/>
      <c r="K7608" s="102" t="s">
        <v>11893</v>
      </c>
      <c r="L7608" s="102" t="str">
        <f>G1092</f>
        <v>J2b2a1a~</v>
      </c>
      <c r="M7608" s="102" t="s">
        <v>11894</v>
      </c>
      <c r="N7608" s="102" t="s">
        <v>11890</v>
      </c>
      <c r="O7608" s="105">
        <v>1.6514373E7</v>
      </c>
      <c r="P7608" s="105">
        <v>1.4402493E7</v>
      </c>
      <c r="Q7608" s="102" t="s">
        <v>2533</v>
      </c>
      <c r="S7608" s="1"/>
      <c r="T7608" s="1"/>
      <c r="U7608" s="1"/>
      <c r="V7608" s="1"/>
      <c r="W7608" s="1"/>
      <c r="X7608" s="1"/>
      <c r="Y7608" s="1"/>
      <c r="AA7608" s="102"/>
      <c r="AB7608" s="1"/>
      <c r="AC7608" s="1"/>
      <c r="AD7608" s="1"/>
      <c r="AE7608" s="1"/>
      <c r="AF7608" s="1"/>
      <c r="AG7608" s="1"/>
    </row>
    <row r="7609" ht="15.75" customHeight="1">
      <c r="A7609" s="1"/>
      <c r="B7609" s="1"/>
      <c r="C7609" s="1"/>
      <c r="D7609" s="1"/>
      <c r="E7609" s="1"/>
      <c r="F7609" s="1"/>
      <c r="G7609" s="1"/>
      <c r="H7609" s="1"/>
      <c r="I7609" s="1"/>
      <c r="J7609" s="1"/>
      <c r="K7609" s="102" t="s">
        <v>11895</v>
      </c>
      <c r="L7609" s="102" t="str">
        <f>G1092</f>
        <v>J2b2a1a~</v>
      </c>
      <c r="M7609" s="102" t="s">
        <v>11896</v>
      </c>
      <c r="N7609" s="102"/>
      <c r="O7609" s="105">
        <v>2.3129657E7</v>
      </c>
      <c r="P7609" s="105">
        <v>2.0967771E7</v>
      </c>
      <c r="Q7609" s="102" t="s">
        <v>2454</v>
      </c>
      <c r="S7609" s="1"/>
      <c r="T7609" s="1"/>
      <c r="U7609" s="1"/>
      <c r="V7609" s="1"/>
      <c r="W7609" s="1"/>
      <c r="X7609" s="1"/>
      <c r="Y7609" s="1"/>
      <c r="AA7609" s="102"/>
      <c r="AB7609" s="1"/>
      <c r="AC7609" s="1"/>
      <c r="AD7609" s="1"/>
      <c r="AE7609" s="1"/>
      <c r="AF7609" s="1"/>
      <c r="AG7609" s="1"/>
    </row>
    <row r="7610" ht="15.75" customHeight="1">
      <c r="A7610" s="1"/>
      <c r="B7610" s="1"/>
      <c r="C7610" s="1"/>
      <c r="D7610" s="1"/>
      <c r="E7610" s="1"/>
      <c r="F7610" s="1"/>
      <c r="G7610" s="1"/>
      <c r="H7610" s="1"/>
      <c r="I7610" s="1"/>
      <c r="J7610" s="1"/>
      <c r="K7610" s="102" t="s">
        <v>11897</v>
      </c>
      <c r="L7610" s="102" t="str">
        <f>G1092</f>
        <v>J2b2a1a~</v>
      </c>
      <c r="M7610" s="102" t="s">
        <v>11898</v>
      </c>
      <c r="N7610" s="102"/>
      <c r="O7610" s="105">
        <v>2.3129657E7</v>
      </c>
      <c r="P7610" s="105">
        <v>2.0967771E7</v>
      </c>
      <c r="Q7610" s="102" t="s">
        <v>2454</v>
      </c>
      <c r="S7610" s="1"/>
      <c r="T7610" s="1"/>
      <c r="U7610" s="1"/>
      <c r="V7610" s="1"/>
      <c r="W7610" s="1"/>
      <c r="X7610" s="1"/>
      <c r="Y7610" s="1"/>
      <c r="AA7610" s="102"/>
      <c r="AB7610" s="1"/>
      <c r="AC7610" s="1"/>
      <c r="AD7610" s="1"/>
      <c r="AE7610" s="1"/>
      <c r="AF7610" s="1"/>
      <c r="AG7610" s="1"/>
    </row>
    <row r="7611" ht="15.75" customHeight="1">
      <c r="A7611" s="1"/>
      <c r="B7611" s="1"/>
      <c r="C7611" s="1"/>
      <c r="D7611" s="1"/>
      <c r="E7611" s="1"/>
      <c r="F7611" s="1"/>
      <c r="G7611" s="1"/>
      <c r="H7611" s="1"/>
      <c r="I7611" s="1"/>
      <c r="J7611" s="1"/>
      <c r="K7611" s="102" t="s">
        <v>11899</v>
      </c>
      <c r="L7611" s="102" t="str">
        <f>G1092</f>
        <v>J2b2a1a~</v>
      </c>
      <c r="M7611" s="102" t="s">
        <v>11900</v>
      </c>
      <c r="N7611" s="102"/>
      <c r="O7611" s="105">
        <v>2.3129657E7</v>
      </c>
      <c r="P7611" s="105">
        <v>2.0967771E7</v>
      </c>
      <c r="Q7611" s="102" t="s">
        <v>2454</v>
      </c>
      <c r="S7611" s="1"/>
      <c r="T7611" s="1"/>
      <c r="U7611" s="1"/>
      <c r="V7611" s="1"/>
      <c r="W7611" s="1"/>
      <c r="X7611" s="1"/>
      <c r="Y7611" s="1"/>
      <c r="AA7611" s="102"/>
      <c r="AB7611" s="1"/>
      <c r="AC7611" s="1"/>
      <c r="AD7611" s="1"/>
      <c r="AE7611" s="1"/>
      <c r="AF7611" s="1"/>
      <c r="AG7611" s="1"/>
    </row>
    <row r="7612" ht="15.75" customHeight="1">
      <c r="A7612" s="1"/>
      <c r="B7612" s="1"/>
      <c r="C7612" s="1"/>
      <c r="D7612" s="1"/>
      <c r="E7612" s="1"/>
      <c r="F7612" s="1"/>
      <c r="G7612" s="1"/>
      <c r="H7612" s="1"/>
      <c r="I7612" s="1"/>
      <c r="J7612" s="1"/>
      <c r="K7612" s="102" t="s">
        <v>11901</v>
      </c>
      <c r="L7612" s="102" t="str">
        <f>G1092</f>
        <v>J2b2a1a~</v>
      </c>
      <c r="M7612" s="102"/>
      <c r="N7612" s="102" t="s">
        <v>11902</v>
      </c>
      <c r="O7612" s="105">
        <v>8299211.0</v>
      </c>
      <c r="P7612" s="105">
        <v>8431170.0</v>
      </c>
      <c r="Q7612" s="102" t="s">
        <v>2533</v>
      </c>
      <c r="S7612" s="1"/>
      <c r="T7612" s="1"/>
      <c r="U7612" s="1"/>
      <c r="V7612" s="1"/>
      <c r="W7612" s="1"/>
      <c r="X7612" s="1"/>
      <c r="Y7612" s="1"/>
      <c r="AA7612" s="102"/>
      <c r="AB7612" s="1"/>
      <c r="AC7612" s="1"/>
      <c r="AD7612" s="1"/>
      <c r="AE7612" s="1"/>
      <c r="AF7612" s="1"/>
      <c r="AG7612" s="1"/>
    </row>
    <row r="7613" ht="15.75" customHeight="1">
      <c r="A7613" s="1"/>
      <c r="B7613" s="1"/>
      <c r="C7613" s="1"/>
      <c r="D7613" s="1"/>
      <c r="E7613" s="1"/>
      <c r="F7613" s="1"/>
      <c r="G7613" s="1"/>
      <c r="H7613" s="1"/>
      <c r="I7613" s="1"/>
      <c r="J7613" s="1"/>
      <c r="K7613" s="102" t="s">
        <v>2151</v>
      </c>
      <c r="L7613" s="102" t="str">
        <f>H1093</f>
        <v>J2b2a1a1~</v>
      </c>
      <c r="M7613" s="102"/>
      <c r="N7613" s="102" t="s">
        <v>11903</v>
      </c>
      <c r="O7613" s="105">
        <v>8107571.0</v>
      </c>
      <c r="P7613" s="105">
        <v>8239530.0</v>
      </c>
      <c r="Q7613" s="102" t="s">
        <v>2563</v>
      </c>
      <c r="S7613" s="1"/>
      <c r="T7613" s="1"/>
      <c r="U7613" s="1"/>
      <c r="V7613" s="1"/>
      <c r="W7613" s="1"/>
      <c r="X7613" s="1"/>
      <c r="Y7613" s="1"/>
      <c r="AA7613" s="102"/>
      <c r="AB7613" s="1"/>
      <c r="AC7613" s="1"/>
      <c r="AD7613" s="1"/>
      <c r="AE7613" s="1"/>
      <c r="AF7613" s="1"/>
      <c r="AG7613" s="1"/>
    </row>
    <row r="7614" ht="15.75" customHeight="1">
      <c r="A7614" s="1"/>
      <c r="B7614" s="1"/>
      <c r="C7614" s="1"/>
      <c r="D7614" s="1"/>
      <c r="E7614" s="1"/>
      <c r="F7614" s="1"/>
      <c r="G7614" s="1"/>
      <c r="H7614" s="1"/>
      <c r="I7614" s="1"/>
      <c r="J7614" s="1"/>
      <c r="K7614" s="102" t="s">
        <v>11904</v>
      </c>
      <c r="L7614" s="102" t="str">
        <f>I1094</f>
        <v>J2b2a1a1a~</v>
      </c>
      <c r="M7614" s="102" t="s">
        <v>11905</v>
      </c>
      <c r="N7614" s="102" t="s">
        <v>11906</v>
      </c>
      <c r="O7614" s="105">
        <v>1.5600518E7</v>
      </c>
      <c r="P7614" s="105">
        <v>1.3488638E7</v>
      </c>
      <c r="Q7614" s="102" t="s">
        <v>2501</v>
      </c>
      <c r="S7614" s="1"/>
      <c r="T7614" s="1"/>
      <c r="U7614" s="1"/>
      <c r="V7614" s="1"/>
      <c r="W7614" s="1"/>
      <c r="X7614" s="1"/>
      <c r="Y7614" s="1"/>
      <c r="AA7614" s="102"/>
      <c r="AB7614" s="1"/>
      <c r="AC7614" s="1"/>
      <c r="AD7614" s="1"/>
      <c r="AE7614" s="1"/>
      <c r="AF7614" s="1"/>
      <c r="AG7614" s="1"/>
    </row>
    <row r="7615" ht="15.75" customHeight="1">
      <c r="A7615" s="1"/>
      <c r="B7615" s="1"/>
      <c r="C7615" s="1"/>
      <c r="D7615" s="1"/>
      <c r="E7615" s="1"/>
      <c r="F7615" s="1"/>
      <c r="G7615" s="1"/>
      <c r="H7615" s="1"/>
      <c r="I7615" s="1"/>
      <c r="J7615" s="1"/>
      <c r="K7615" s="102" t="s">
        <v>11907</v>
      </c>
      <c r="L7615" s="102" t="str">
        <f>I1094</f>
        <v>J2b2a1a1a~</v>
      </c>
      <c r="M7615" s="102" t="s">
        <v>11908</v>
      </c>
      <c r="N7615" s="102" t="s">
        <v>11906</v>
      </c>
      <c r="O7615" s="105">
        <v>1.5600518E7</v>
      </c>
      <c r="P7615" s="105">
        <v>1.3488638E7</v>
      </c>
      <c r="Q7615" s="102" t="s">
        <v>2501</v>
      </c>
      <c r="S7615" s="1"/>
      <c r="T7615" s="1"/>
      <c r="U7615" s="1"/>
      <c r="V7615" s="1"/>
      <c r="W7615" s="1"/>
      <c r="X7615" s="1"/>
      <c r="Y7615" s="1"/>
      <c r="AA7615" s="102"/>
      <c r="AB7615" s="1"/>
      <c r="AC7615" s="1"/>
      <c r="AD7615" s="1"/>
      <c r="AE7615" s="1"/>
      <c r="AF7615" s="1"/>
      <c r="AG7615" s="1"/>
    </row>
    <row r="7616" ht="15.75" customHeight="1">
      <c r="A7616" s="1"/>
      <c r="B7616" s="1"/>
      <c r="C7616" s="1"/>
      <c r="D7616" s="1"/>
      <c r="E7616" s="1"/>
      <c r="F7616" s="1"/>
      <c r="G7616" s="1"/>
      <c r="H7616" s="1"/>
      <c r="I7616" s="1"/>
      <c r="J7616" s="1"/>
      <c r="K7616" s="102" t="s">
        <v>11909</v>
      </c>
      <c r="L7616" s="102" t="str">
        <f>I1094</f>
        <v>J2b2a1a1a~</v>
      </c>
      <c r="M7616" s="102" t="s">
        <v>11910</v>
      </c>
      <c r="N7616" s="102" t="s">
        <v>11906</v>
      </c>
      <c r="O7616" s="105">
        <v>1.5600518E7</v>
      </c>
      <c r="P7616" s="105">
        <v>1.3488638E7</v>
      </c>
      <c r="Q7616" s="102" t="s">
        <v>2501</v>
      </c>
      <c r="S7616" s="1"/>
      <c r="T7616" s="1"/>
      <c r="U7616" s="1"/>
      <c r="V7616" s="1"/>
      <c r="W7616" s="1"/>
      <c r="X7616" s="1"/>
      <c r="Y7616" s="1"/>
      <c r="AA7616" s="102"/>
      <c r="AB7616" s="1"/>
      <c r="AC7616" s="1"/>
      <c r="AD7616" s="1"/>
      <c r="AE7616" s="1"/>
      <c r="AF7616" s="1"/>
      <c r="AG7616" s="1"/>
    </row>
    <row r="7617" ht="15.75" customHeight="1">
      <c r="A7617" s="1"/>
      <c r="B7617" s="1"/>
      <c r="C7617" s="1"/>
      <c r="D7617" s="1"/>
      <c r="E7617" s="1"/>
      <c r="F7617" s="1"/>
      <c r="G7617" s="1"/>
      <c r="H7617" s="1"/>
      <c r="I7617" s="1"/>
      <c r="J7617" s="1"/>
      <c r="K7617" s="102" t="s">
        <v>11911</v>
      </c>
      <c r="L7617" s="102" t="str">
        <f>I1094</f>
        <v>J2b2a1a1a~</v>
      </c>
      <c r="M7617" s="102" t="s">
        <v>11912</v>
      </c>
      <c r="N7617" s="102" t="s">
        <v>11913</v>
      </c>
      <c r="O7617" s="105">
        <v>1.7621598E7</v>
      </c>
      <c r="P7617" s="105">
        <v>1.5509718E7</v>
      </c>
      <c r="Q7617" s="102" t="s">
        <v>2468</v>
      </c>
      <c r="S7617" s="1"/>
      <c r="T7617" s="1"/>
      <c r="U7617" s="1"/>
      <c r="V7617" s="1"/>
      <c r="W7617" s="1"/>
      <c r="X7617" s="1"/>
      <c r="Y7617" s="1"/>
      <c r="AA7617" s="102"/>
      <c r="AB7617" s="1"/>
      <c r="AC7617" s="1"/>
      <c r="AD7617" s="1"/>
      <c r="AE7617" s="1"/>
      <c r="AF7617" s="1"/>
      <c r="AG7617" s="1"/>
    </row>
    <row r="7618" ht="15.75" customHeight="1">
      <c r="A7618" s="1"/>
      <c r="B7618" s="1"/>
      <c r="C7618" s="1"/>
      <c r="D7618" s="1"/>
      <c r="E7618" s="1"/>
      <c r="F7618" s="1"/>
      <c r="G7618" s="1"/>
      <c r="H7618" s="1"/>
      <c r="I7618" s="1"/>
      <c r="J7618" s="1"/>
      <c r="K7618" s="102" t="s">
        <v>11914</v>
      </c>
      <c r="L7618" s="102" t="str">
        <f>I1094</f>
        <v>J2b2a1a1a~</v>
      </c>
      <c r="M7618" s="102" t="s">
        <v>11915</v>
      </c>
      <c r="N7618" s="102" t="s">
        <v>11913</v>
      </c>
      <c r="O7618" s="105">
        <v>1.7621598E7</v>
      </c>
      <c r="P7618" s="105">
        <v>1.5509718E7</v>
      </c>
      <c r="Q7618" s="102" t="s">
        <v>2468</v>
      </c>
      <c r="S7618" s="1"/>
      <c r="T7618" s="1"/>
      <c r="U7618" s="1"/>
      <c r="V7618" s="1"/>
      <c r="W7618" s="1"/>
      <c r="X7618" s="1"/>
      <c r="Y7618" s="1"/>
      <c r="AA7618" s="102"/>
      <c r="AB7618" s="1"/>
      <c r="AC7618" s="1"/>
      <c r="AD7618" s="1"/>
      <c r="AE7618" s="1"/>
      <c r="AF7618" s="1"/>
      <c r="AG7618" s="1"/>
    </row>
    <row r="7619" ht="15.75" customHeight="1">
      <c r="A7619" s="1"/>
      <c r="B7619" s="1"/>
      <c r="C7619" s="1"/>
      <c r="D7619" s="1"/>
      <c r="E7619" s="1"/>
      <c r="F7619" s="1"/>
      <c r="G7619" s="1"/>
      <c r="H7619" s="1"/>
      <c r="I7619" s="1"/>
      <c r="J7619" s="1"/>
      <c r="K7619" s="102" t="s">
        <v>11916</v>
      </c>
      <c r="L7619" s="102" t="str">
        <f>I1094</f>
        <v>J2b2a1a1a~</v>
      </c>
      <c r="M7619" s="102" t="s">
        <v>11917</v>
      </c>
      <c r="N7619" s="102" t="s">
        <v>11913</v>
      </c>
      <c r="O7619" s="105">
        <v>1.7621598E7</v>
      </c>
      <c r="P7619" s="105">
        <v>1.5509718E7</v>
      </c>
      <c r="Q7619" s="102" t="s">
        <v>2468</v>
      </c>
      <c r="S7619" s="1"/>
      <c r="T7619" s="1"/>
      <c r="U7619" s="1"/>
      <c r="V7619" s="1"/>
      <c r="W7619" s="1"/>
      <c r="X7619" s="1"/>
      <c r="Y7619" s="1"/>
      <c r="AA7619" s="102"/>
      <c r="AB7619" s="1"/>
      <c r="AC7619" s="1"/>
      <c r="AD7619" s="1"/>
      <c r="AE7619" s="1"/>
      <c r="AF7619" s="1"/>
      <c r="AG7619" s="1"/>
    </row>
    <row r="7620" ht="15.75" customHeight="1">
      <c r="A7620" s="1"/>
      <c r="B7620" s="1"/>
      <c r="C7620" s="1"/>
      <c r="D7620" s="1"/>
      <c r="E7620" s="1"/>
      <c r="F7620" s="1"/>
      <c r="G7620" s="1"/>
      <c r="H7620" s="1"/>
      <c r="I7620" s="1"/>
      <c r="J7620" s="1"/>
      <c r="K7620" s="102" t="s">
        <v>11918</v>
      </c>
      <c r="L7620" s="102" t="str">
        <f>I1094</f>
        <v>J2b2a1a1a~</v>
      </c>
      <c r="M7620" s="102" t="s">
        <v>11919</v>
      </c>
      <c r="N7620" s="102" t="s">
        <v>11913</v>
      </c>
      <c r="O7620" s="105">
        <v>1.7621598E7</v>
      </c>
      <c r="P7620" s="105">
        <v>1.5509718E7</v>
      </c>
      <c r="Q7620" s="102" t="s">
        <v>2468</v>
      </c>
      <c r="S7620" s="1"/>
      <c r="T7620" s="1"/>
      <c r="U7620" s="1"/>
      <c r="V7620" s="1"/>
      <c r="W7620" s="1"/>
      <c r="X7620" s="1"/>
      <c r="Y7620" s="1"/>
      <c r="AA7620" s="102"/>
      <c r="AB7620" s="1"/>
      <c r="AC7620" s="1"/>
      <c r="AD7620" s="1"/>
      <c r="AE7620" s="1"/>
      <c r="AF7620" s="1"/>
      <c r="AG7620" s="1"/>
    </row>
    <row r="7621" ht="15.75" customHeight="1">
      <c r="A7621" s="1"/>
      <c r="B7621" s="1"/>
      <c r="C7621" s="1"/>
      <c r="D7621" s="1"/>
      <c r="E7621" s="1"/>
      <c r="F7621" s="1"/>
      <c r="G7621" s="1"/>
      <c r="H7621" s="1"/>
      <c r="I7621" s="1"/>
      <c r="J7621" s="1"/>
      <c r="K7621" s="102" t="s">
        <v>11920</v>
      </c>
      <c r="L7621" s="102" t="str">
        <f>I1094</f>
        <v>J2b2a1a1a~</v>
      </c>
      <c r="M7621" s="102" t="s">
        <v>11921</v>
      </c>
      <c r="N7621" s="102" t="s">
        <v>11922</v>
      </c>
      <c r="O7621" s="105">
        <v>1.9236096E7</v>
      </c>
      <c r="P7621" s="105">
        <v>1.7124216E7</v>
      </c>
      <c r="Q7621" s="102" t="s">
        <v>2576</v>
      </c>
      <c r="S7621" s="1"/>
      <c r="T7621" s="1"/>
      <c r="U7621" s="1"/>
      <c r="V7621" s="1"/>
      <c r="W7621" s="1"/>
      <c r="X7621" s="1"/>
      <c r="Y7621" s="1"/>
      <c r="AA7621" s="102"/>
      <c r="AB7621" s="1"/>
      <c r="AC7621" s="1"/>
      <c r="AD7621" s="1"/>
      <c r="AE7621" s="1"/>
      <c r="AF7621" s="1"/>
      <c r="AG7621" s="1"/>
    </row>
    <row r="7622" ht="15.75" customHeight="1">
      <c r="A7622" s="1"/>
      <c r="B7622" s="1"/>
      <c r="C7622" s="1"/>
      <c r="D7622" s="1"/>
      <c r="E7622" s="1"/>
      <c r="F7622" s="1"/>
      <c r="G7622" s="1"/>
      <c r="H7622" s="1"/>
      <c r="I7622" s="1"/>
      <c r="J7622" s="1"/>
      <c r="K7622" s="102" t="s">
        <v>11923</v>
      </c>
      <c r="L7622" s="102" t="str">
        <f>I1094</f>
        <v>J2b2a1a1a~</v>
      </c>
      <c r="M7622" s="102" t="s">
        <v>11924</v>
      </c>
      <c r="N7622" s="102" t="s">
        <v>11922</v>
      </c>
      <c r="O7622" s="105">
        <v>1.9236096E7</v>
      </c>
      <c r="P7622" s="105">
        <v>1.7124216E7</v>
      </c>
      <c r="Q7622" s="102" t="s">
        <v>2576</v>
      </c>
      <c r="S7622" s="1"/>
      <c r="T7622" s="1"/>
      <c r="U7622" s="1"/>
      <c r="V7622" s="1"/>
      <c r="W7622" s="1"/>
      <c r="X7622" s="1"/>
      <c r="Y7622" s="1"/>
      <c r="AA7622" s="102"/>
      <c r="AB7622" s="1"/>
      <c r="AC7622" s="1"/>
      <c r="AD7622" s="1"/>
      <c r="AE7622" s="1"/>
      <c r="AF7622" s="1"/>
      <c r="AG7622" s="1"/>
    </row>
    <row r="7623" ht="15.75" customHeight="1">
      <c r="A7623" s="1"/>
      <c r="B7623" s="1"/>
      <c r="C7623" s="1"/>
      <c r="D7623" s="1"/>
      <c r="E7623" s="1"/>
      <c r="F7623" s="1"/>
      <c r="G7623" s="1"/>
      <c r="H7623" s="1"/>
      <c r="I7623" s="1"/>
      <c r="J7623" s="1"/>
      <c r="K7623" s="102" t="s">
        <v>11925</v>
      </c>
      <c r="L7623" s="102" t="str">
        <f>I1094</f>
        <v>J2b2a1a1a~</v>
      </c>
      <c r="M7623" s="102" t="s">
        <v>11926</v>
      </c>
      <c r="N7623" s="102" t="s">
        <v>11922</v>
      </c>
      <c r="O7623" s="105">
        <v>1.9236096E7</v>
      </c>
      <c r="P7623" s="105">
        <v>1.7124216E7</v>
      </c>
      <c r="Q7623" s="102" t="s">
        <v>2576</v>
      </c>
      <c r="S7623" s="1"/>
      <c r="T7623" s="1"/>
      <c r="U7623" s="1"/>
      <c r="V7623" s="1"/>
      <c r="W7623" s="1"/>
      <c r="X7623" s="1"/>
      <c r="Y7623" s="1"/>
      <c r="AA7623" s="102"/>
      <c r="AB7623" s="1"/>
      <c r="AC7623" s="1"/>
      <c r="AD7623" s="1"/>
      <c r="AE7623" s="1"/>
      <c r="AF7623" s="1"/>
      <c r="AG7623" s="1"/>
    </row>
    <row r="7624" ht="15.75" customHeight="1">
      <c r="A7624" s="1"/>
      <c r="B7624" s="1"/>
      <c r="C7624" s="1"/>
      <c r="D7624" s="1"/>
      <c r="E7624" s="1"/>
      <c r="F7624" s="1"/>
      <c r="G7624" s="1"/>
      <c r="H7624" s="1"/>
      <c r="I7624" s="1"/>
      <c r="J7624" s="1"/>
      <c r="K7624" s="102" t="s">
        <v>11927</v>
      </c>
      <c r="L7624" s="102" t="str">
        <f>I1094</f>
        <v>J2b2a1a1a~</v>
      </c>
      <c r="M7624" s="106" t="s">
        <v>11928</v>
      </c>
      <c r="N7624" s="102" t="s">
        <v>11929</v>
      </c>
      <c r="O7624" s="105">
        <v>1.9293712E7</v>
      </c>
      <c r="P7624" s="105">
        <v>1.7181832E7</v>
      </c>
      <c r="Q7624" s="102" t="s">
        <v>2501</v>
      </c>
      <c r="S7624" s="1"/>
      <c r="T7624" s="1"/>
      <c r="U7624" s="1"/>
      <c r="V7624" s="1"/>
      <c r="W7624" s="1"/>
      <c r="X7624" s="1"/>
      <c r="Y7624" s="1"/>
      <c r="AA7624" s="102"/>
      <c r="AB7624" s="1"/>
      <c r="AC7624" s="1"/>
      <c r="AD7624" s="1"/>
      <c r="AE7624" s="1"/>
      <c r="AF7624" s="1"/>
      <c r="AG7624" s="1"/>
    </row>
    <row r="7625" ht="15.75" customHeight="1">
      <c r="A7625" s="1"/>
      <c r="B7625" s="1"/>
      <c r="C7625" s="1"/>
      <c r="D7625" s="1"/>
      <c r="E7625" s="1"/>
      <c r="F7625" s="1"/>
      <c r="G7625" s="1"/>
      <c r="H7625" s="1"/>
      <c r="I7625" s="1"/>
      <c r="J7625" s="1"/>
      <c r="K7625" s="106" t="s">
        <v>11930</v>
      </c>
      <c r="L7625" s="102" t="str">
        <f>I1094</f>
        <v>J2b2a1a1a~</v>
      </c>
      <c r="M7625" s="102" t="s">
        <v>11931</v>
      </c>
      <c r="N7625" s="102" t="s">
        <v>11929</v>
      </c>
      <c r="O7625" s="105">
        <v>1.9293712E7</v>
      </c>
      <c r="P7625" s="105">
        <v>1.7181832E7</v>
      </c>
      <c r="Q7625" s="102" t="s">
        <v>2501</v>
      </c>
      <c r="S7625" s="1"/>
      <c r="T7625" s="1"/>
      <c r="U7625" s="1"/>
      <c r="V7625" s="1"/>
      <c r="W7625" s="1"/>
      <c r="X7625" s="1"/>
      <c r="Y7625" s="1"/>
      <c r="AA7625" s="102"/>
      <c r="AB7625" s="1"/>
      <c r="AC7625" s="1"/>
      <c r="AD7625" s="1"/>
      <c r="AE7625" s="1"/>
      <c r="AF7625" s="1"/>
      <c r="AG7625" s="1"/>
    </row>
    <row r="7626" ht="15.75" customHeight="1">
      <c r="A7626" s="1"/>
      <c r="B7626" s="1"/>
      <c r="C7626" s="1"/>
      <c r="D7626" s="1"/>
      <c r="E7626" s="1"/>
      <c r="F7626" s="1"/>
      <c r="G7626" s="1"/>
      <c r="H7626" s="1"/>
      <c r="I7626" s="1"/>
      <c r="J7626" s="1"/>
      <c r="K7626" s="102" t="s">
        <v>11932</v>
      </c>
      <c r="L7626" s="102" t="str">
        <f>I1094</f>
        <v>J2b2a1a1a~</v>
      </c>
      <c r="M7626" s="106" t="s">
        <v>11933</v>
      </c>
      <c r="N7626" s="102" t="s">
        <v>11929</v>
      </c>
      <c r="O7626" s="105">
        <v>1.9293712E7</v>
      </c>
      <c r="P7626" s="105">
        <v>1.7181832E7</v>
      </c>
      <c r="Q7626" s="102" t="s">
        <v>2501</v>
      </c>
      <c r="S7626" s="1"/>
      <c r="T7626" s="1"/>
      <c r="U7626" s="1"/>
      <c r="V7626" s="1"/>
      <c r="W7626" s="1"/>
      <c r="X7626" s="1"/>
      <c r="Y7626" s="1"/>
      <c r="AA7626" s="102"/>
      <c r="AB7626" s="1"/>
      <c r="AC7626" s="1"/>
      <c r="AD7626" s="1"/>
      <c r="AE7626" s="1"/>
      <c r="AF7626" s="1"/>
      <c r="AG7626" s="1"/>
    </row>
    <row r="7627" ht="15.75" customHeight="1">
      <c r="A7627" s="1"/>
      <c r="B7627" s="1"/>
      <c r="C7627" s="1"/>
      <c r="D7627" s="1"/>
      <c r="E7627" s="1"/>
      <c r="F7627" s="1"/>
      <c r="G7627" s="1"/>
      <c r="H7627" s="1"/>
      <c r="I7627" s="1"/>
      <c r="J7627" s="1"/>
      <c r="K7627" s="102" t="s">
        <v>11934</v>
      </c>
      <c r="L7627" s="102" t="str">
        <f>I1094</f>
        <v>J2b2a1a1a~</v>
      </c>
      <c r="M7627" s="102" t="s">
        <v>11935</v>
      </c>
      <c r="N7627" s="102" t="s">
        <v>11936</v>
      </c>
      <c r="O7627" s="105">
        <v>2.3336526E7</v>
      </c>
      <c r="P7627" s="105">
        <v>2.117464E7</v>
      </c>
      <c r="Q7627" s="102" t="s">
        <v>2501</v>
      </c>
      <c r="S7627" s="1"/>
      <c r="T7627" s="1"/>
      <c r="U7627" s="1"/>
      <c r="V7627" s="1"/>
      <c r="W7627" s="1"/>
      <c r="X7627" s="1"/>
      <c r="Y7627" s="1"/>
      <c r="AA7627" s="102"/>
      <c r="AB7627" s="1"/>
      <c r="AC7627" s="1"/>
      <c r="AD7627" s="1"/>
      <c r="AE7627" s="1"/>
      <c r="AF7627" s="1"/>
      <c r="AG7627" s="1"/>
    </row>
    <row r="7628" ht="15.75" customHeight="1">
      <c r="A7628" s="1"/>
      <c r="B7628" s="1"/>
      <c r="C7628" s="1"/>
      <c r="D7628" s="1"/>
      <c r="E7628" s="1"/>
      <c r="F7628" s="1"/>
      <c r="G7628" s="1"/>
      <c r="H7628" s="1"/>
      <c r="I7628" s="1"/>
      <c r="J7628" s="1"/>
      <c r="K7628" s="102" t="s">
        <v>11937</v>
      </c>
      <c r="L7628" s="102" t="str">
        <f>I1094</f>
        <v>J2b2a1a1a~</v>
      </c>
      <c r="M7628" s="102" t="s">
        <v>11938</v>
      </c>
      <c r="N7628" s="102" t="s">
        <v>11936</v>
      </c>
      <c r="O7628" s="105">
        <v>2.3336526E7</v>
      </c>
      <c r="P7628" s="105">
        <v>2.117464E7</v>
      </c>
      <c r="Q7628" s="102" t="s">
        <v>2501</v>
      </c>
      <c r="S7628" s="1"/>
      <c r="T7628" s="1"/>
      <c r="U7628" s="1"/>
      <c r="V7628" s="1"/>
      <c r="W7628" s="1"/>
      <c r="X7628" s="1"/>
      <c r="Y7628" s="1"/>
      <c r="AA7628" s="102"/>
      <c r="AB7628" s="1"/>
      <c r="AC7628" s="1"/>
      <c r="AD7628" s="1"/>
      <c r="AE7628" s="1"/>
      <c r="AF7628" s="1"/>
      <c r="AG7628" s="1"/>
    </row>
    <row r="7629" ht="15.75" customHeight="1">
      <c r="A7629" s="1"/>
      <c r="B7629" s="1"/>
      <c r="C7629" s="1"/>
      <c r="D7629" s="1"/>
      <c r="E7629" s="1"/>
      <c r="F7629" s="1"/>
      <c r="G7629" s="1"/>
      <c r="H7629" s="1"/>
      <c r="I7629" s="1"/>
      <c r="J7629" s="1"/>
      <c r="K7629" s="102" t="s">
        <v>11939</v>
      </c>
      <c r="L7629" s="102" t="str">
        <f>I1094</f>
        <v>J2b2a1a1a~</v>
      </c>
      <c r="M7629" s="102" t="s">
        <v>11940</v>
      </c>
      <c r="N7629" s="102" t="s">
        <v>11936</v>
      </c>
      <c r="O7629" s="105">
        <v>2.3336526E7</v>
      </c>
      <c r="P7629" s="105">
        <v>2.117464E7</v>
      </c>
      <c r="Q7629" s="102" t="s">
        <v>2501</v>
      </c>
      <c r="S7629" s="1"/>
      <c r="T7629" s="1"/>
      <c r="U7629" s="1"/>
      <c r="V7629" s="1"/>
      <c r="W7629" s="1"/>
      <c r="X7629" s="1"/>
      <c r="Y7629" s="1"/>
      <c r="AA7629" s="102"/>
      <c r="AB7629" s="1"/>
      <c r="AC7629" s="1"/>
      <c r="AD7629" s="1"/>
      <c r="AE7629" s="1"/>
      <c r="AF7629" s="1"/>
      <c r="AG7629" s="1"/>
    </row>
    <row r="7630" ht="15.75" customHeight="1">
      <c r="A7630" s="1"/>
      <c r="B7630" s="1"/>
      <c r="C7630" s="1"/>
      <c r="D7630" s="1"/>
      <c r="E7630" s="1"/>
      <c r="F7630" s="1"/>
      <c r="G7630" s="1"/>
      <c r="H7630" s="1"/>
      <c r="I7630" s="1"/>
      <c r="J7630" s="1"/>
      <c r="K7630" s="102" t="s">
        <v>11941</v>
      </c>
      <c r="L7630" s="102" t="str">
        <f>I1094</f>
        <v>J2b2a1a1a~</v>
      </c>
      <c r="M7630" s="102" t="s">
        <v>11942</v>
      </c>
      <c r="N7630" s="102" t="s">
        <v>11943</v>
      </c>
      <c r="O7630" s="105">
        <v>7154510.0</v>
      </c>
      <c r="P7630" s="105">
        <v>7286469.0</v>
      </c>
      <c r="Q7630" s="102" t="s">
        <v>2529</v>
      </c>
      <c r="S7630" s="1"/>
      <c r="T7630" s="1"/>
      <c r="U7630" s="1"/>
      <c r="V7630" s="1"/>
      <c r="W7630" s="1"/>
      <c r="X7630" s="1"/>
      <c r="Y7630" s="1"/>
      <c r="AA7630" s="102"/>
      <c r="AB7630" s="1"/>
      <c r="AC7630" s="1"/>
      <c r="AD7630" s="1"/>
      <c r="AE7630" s="1"/>
      <c r="AF7630" s="1"/>
      <c r="AG7630" s="1"/>
    </row>
    <row r="7631" ht="15.75" customHeight="1">
      <c r="A7631" s="1"/>
      <c r="B7631" s="1"/>
      <c r="C7631" s="1"/>
      <c r="D7631" s="1"/>
      <c r="E7631" s="1"/>
      <c r="F7631" s="1"/>
      <c r="G7631" s="1"/>
      <c r="H7631" s="1"/>
      <c r="I7631" s="1"/>
      <c r="J7631" s="1"/>
      <c r="K7631" s="102" t="s">
        <v>11944</v>
      </c>
      <c r="L7631" s="102" t="str">
        <f>I1094</f>
        <v>J2b2a1a1a~</v>
      </c>
      <c r="M7631" s="102" t="s">
        <v>11945</v>
      </c>
      <c r="N7631" s="102" t="s">
        <v>11943</v>
      </c>
      <c r="O7631" s="105">
        <v>7154510.0</v>
      </c>
      <c r="P7631" s="105">
        <v>7286469.0</v>
      </c>
      <c r="Q7631" s="102" t="s">
        <v>2529</v>
      </c>
      <c r="S7631" s="1"/>
      <c r="T7631" s="1"/>
      <c r="U7631" s="1"/>
      <c r="V7631" s="1"/>
      <c r="W7631" s="1"/>
      <c r="X7631" s="1"/>
      <c r="Y7631" s="1"/>
      <c r="AA7631" s="102"/>
      <c r="AB7631" s="1"/>
      <c r="AC7631" s="1"/>
      <c r="AD7631" s="1"/>
      <c r="AE7631" s="1"/>
      <c r="AF7631" s="1"/>
      <c r="AG7631" s="1"/>
    </row>
    <row r="7632" ht="15.75" customHeight="1">
      <c r="A7632" s="1"/>
      <c r="B7632" s="1"/>
      <c r="C7632" s="1"/>
      <c r="D7632" s="1"/>
      <c r="E7632" s="1"/>
      <c r="F7632" s="1"/>
      <c r="G7632" s="1"/>
      <c r="H7632" s="1"/>
      <c r="I7632" s="1"/>
      <c r="J7632" s="1"/>
      <c r="K7632" s="102" t="s">
        <v>11946</v>
      </c>
      <c r="L7632" s="102" t="str">
        <f>I1094</f>
        <v>J2b2a1a1a~</v>
      </c>
      <c r="M7632" s="102" t="s">
        <v>11947</v>
      </c>
      <c r="N7632" s="102" t="s">
        <v>11943</v>
      </c>
      <c r="O7632" s="105">
        <v>7154510.0</v>
      </c>
      <c r="P7632" s="105">
        <v>7286469.0</v>
      </c>
      <c r="Q7632" s="102" t="s">
        <v>2529</v>
      </c>
      <c r="S7632" s="1"/>
      <c r="T7632" s="1"/>
      <c r="U7632" s="1"/>
      <c r="V7632" s="1"/>
      <c r="W7632" s="1"/>
      <c r="X7632" s="1"/>
      <c r="Y7632" s="1"/>
      <c r="AA7632" s="102"/>
      <c r="AB7632" s="1"/>
      <c r="AC7632" s="1"/>
      <c r="AD7632" s="1"/>
      <c r="AE7632" s="1"/>
      <c r="AF7632" s="1"/>
      <c r="AG7632" s="1"/>
    </row>
    <row r="7633" ht="15.75" customHeight="1">
      <c r="A7633" s="1"/>
      <c r="B7633" s="1"/>
      <c r="C7633" s="1"/>
      <c r="D7633" s="1"/>
      <c r="E7633" s="1"/>
      <c r="F7633" s="1"/>
      <c r="G7633" s="1"/>
      <c r="H7633" s="1"/>
      <c r="I7633" s="1"/>
      <c r="J7633" s="1"/>
      <c r="K7633" s="102" t="s">
        <v>11948</v>
      </c>
      <c r="L7633" s="102" t="str">
        <f>I1094</f>
        <v>J2b2a1a1a~</v>
      </c>
      <c r="M7633" s="102"/>
      <c r="N7633" s="102"/>
      <c r="O7633" s="105">
        <v>2.438797E7</v>
      </c>
      <c r="P7633" s="105">
        <v>2.2241823E7</v>
      </c>
      <c r="Q7633" s="102" t="s">
        <v>2423</v>
      </c>
      <c r="S7633" s="1"/>
      <c r="T7633" s="1"/>
      <c r="U7633" s="1"/>
      <c r="V7633" s="1"/>
      <c r="W7633" s="1"/>
      <c r="X7633" s="1"/>
      <c r="Y7633" s="1"/>
      <c r="AA7633" s="102"/>
      <c r="AB7633" s="1"/>
      <c r="AC7633" s="1"/>
      <c r="AD7633" s="1"/>
      <c r="AE7633" s="1"/>
      <c r="AF7633" s="1"/>
      <c r="AG7633" s="1"/>
    </row>
    <row r="7634" ht="15.75" customHeight="1">
      <c r="A7634" s="1"/>
      <c r="B7634" s="1"/>
      <c r="C7634" s="1"/>
      <c r="D7634" s="1"/>
      <c r="E7634" s="1"/>
      <c r="F7634" s="1"/>
      <c r="G7634" s="1"/>
      <c r="H7634" s="1"/>
      <c r="I7634" s="1"/>
      <c r="J7634" s="1"/>
      <c r="K7634" s="102" t="s">
        <v>11949</v>
      </c>
      <c r="L7634" s="102" t="str">
        <f>I1094</f>
        <v>J2b2a1a1a~</v>
      </c>
      <c r="M7634" s="102"/>
      <c r="N7634" s="102" t="s">
        <v>11950</v>
      </c>
      <c r="O7634" s="105">
        <v>1.8391511E7</v>
      </c>
      <c r="P7634" s="105">
        <v>1.6279631E7</v>
      </c>
      <c r="Q7634" s="102" t="s">
        <v>2576</v>
      </c>
      <c r="S7634" s="1"/>
      <c r="T7634" s="1"/>
      <c r="U7634" s="1"/>
      <c r="V7634" s="1"/>
      <c r="W7634" s="1"/>
      <c r="X7634" s="1"/>
      <c r="Y7634" s="1"/>
      <c r="AA7634" s="102"/>
      <c r="AB7634" s="1"/>
      <c r="AC7634" s="1"/>
      <c r="AD7634" s="1"/>
      <c r="AE7634" s="1"/>
      <c r="AF7634" s="1"/>
      <c r="AG7634" s="1"/>
    </row>
    <row r="7635" ht="15.75" customHeight="1">
      <c r="A7635" s="1"/>
      <c r="B7635" s="1"/>
      <c r="C7635" s="1"/>
      <c r="D7635" s="1"/>
      <c r="E7635" s="1"/>
      <c r="F7635" s="1"/>
      <c r="G7635" s="1"/>
      <c r="H7635" s="1"/>
      <c r="I7635" s="1"/>
      <c r="J7635" s="1"/>
      <c r="K7635" s="102" t="s">
        <v>2155</v>
      </c>
      <c r="L7635" s="102" t="str">
        <f>J1095</f>
        <v>J2b2a1a1a1~</v>
      </c>
      <c r="M7635" s="102"/>
      <c r="N7635" s="102" t="s">
        <v>11951</v>
      </c>
      <c r="O7635" s="105">
        <v>9872899.0</v>
      </c>
      <c r="P7635" s="105">
        <v>1.003529E7</v>
      </c>
      <c r="Q7635" s="102" t="s">
        <v>2439</v>
      </c>
      <c r="S7635" s="1"/>
      <c r="T7635" s="1"/>
      <c r="U7635" s="1"/>
      <c r="V7635" s="1"/>
      <c r="W7635" s="1"/>
      <c r="X7635" s="1"/>
      <c r="Y7635" s="1"/>
      <c r="AA7635" s="102"/>
      <c r="AB7635" s="1"/>
      <c r="AC7635" s="1"/>
      <c r="AD7635" s="1"/>
      <c r="AE7635" s="1"/>
      <c r="AF7635" s="1"/>
      <c r="AG7635" s="1"/>
    </row>
    <row r="7636" ht="15.75" customHeight="1">
      <c r="A7636" s="1"/>
      <c r="B7636" s="1"/>
      <c r="C7636" s="1"/>
      <c r="D7636" s="1"/>
      <c r="E7636" s="1"/>
      <c r="F7636" s="1"/>
      <c r="G7636" s="1"/>
      <c r="H7636" s="1"/>
      <c r="I7636" s="1"/>
      <c r="J7636" s="1"/>
      <c r="K7636" s="102" t="s">
        <v>11952</v>
      </c>
      <c r="L7636" s="102" t="str">
        <f>K1096</f>
        <v>J2b2a1a1a1a~</v>
      </c>
      <c r="M7636" s="102" t="s">
        <v>11953</v>
      </c>
      <c r="N7636" s="102" t="s">
        <v>11954</v>
      </c>
      <c r="O7636" s="105">
        <v>1.6851019E7</v>
      </c>
      <c r="P7636" s="105">
        <v>1.4739139E7</v>
      </c>
      <c r="Q7636" s="102" t="s">
        <v>2576</v>
      </c>
      <c r="S7636" s="1"/>
      <c r="T7636" s="1"/>
      <c r="U7636" s="1"/>
      <c r="V7636" s="1"/>
      <c r="W7636" s="1"/>
      <c r="X7636" s="1"/>
      <c r="Y7636" s="1"/>
      <c r="AA7636" s="102"/>
      <c r="AB7636" s="1"/>
      <c r="AC7636" s="1"/>
      <c r="AD7636" s="1"/>
      <c r="AE7636" s="1"/>
      <c r="AF7636" s="1"/>
      <c r="AG7636" s="1"/>
    </row>
    <row r="7637" ht="15.75" customHeight="1">
      <c r="A7637" s="1"/>
      <c r="B7637" s="1"/>
      <c r="C7637" s="1"/>
      <c r="D7637" s="1"/>
      <c r="E7637" s="1"/>
      <c r="F7637" s="1"/>
      <c r="G7637" s="1"/>
      <c r="H7637" s="1"/>
      <c r="I7637" s="1"/>
      <c r="J7637" s="1"/>
      <c r="K7637" s="102" t="s">
        <v>11953</v>
      </c>
      <c r="L7637" s="102" t="str">
        <f>K1096</f>
        <v>J2b2a1a1a1a~</v>
      </c>
      <c r="M7637" s="102" t="s">
        <v>11952</v>
      </c>
      <c r="N7637" s="102" t="s">
        <v>11954</v>
      </c>
      <c r="O7637" s="105">
        <v>1.6851019E7</v>
      </c>
      <c r="P7637" s="105">
        <v>1.4739139E7</v>
      </c>
      <c r="Q7637" s="102" t="s">
        <v>2576</v>
      </c>
      <c r="S7637" s="1"/>
      <c r="T7637" s="1"/>
      <c r="U7637" s="1"/>
      <c r="V7637" s="1"/>
      <c r="W7637" s="1"/>
      <c r="X7637" s="1"/>
      <c r="Y7637" s="1"/>
      <c r="AA7637" s="102"/>
      <c r="AB7637" s="1"/>
      <c r="AC7637" s="1"/>
      <c r="AD7637" s="1"/>
      <c r="AE7637" s="1"/>
      <c r="AF7637" s="1"/>
      <c r="AG7637" s="1"/>
    </row>
    <row r="7638" ht="15.75" customHeight="1">
      <c r="A7638" s="1"/>
      <c r="B7638" s="1"/>
      <c r="C7638" s="1"/>
      <c r="D7638" s="1"/>
      <c r="E7638" s="1"/>
      <c r="F7638" s="1"/>
      <c r="G7638" s="1"/>
      <c r="H7638" s="1"/>
      <c r="I7638" s="1"/>
      <c r="J7638" s="1"/>
      <c r="K7638" s="102" t="s">
        <v>11955</v>
      </c>
      <c r="L7638" s="102" t="str">
        <f>K1096</f>
        <v>J2b2a1a1a1a~</v>
      </c>
      <c r="M7638" s="102" t="s">
        <v>11956</v>
      </c>
      <c r="N7638" s="102" t="s">
        <v>11957</v>
      </c>
      <c r="O7638" s="105">
        <v>2.86098E7</v>
      </c>
      <c r="P7638" s="105">
        <v>2.6463653E7</v>
      </c>
      <c r="Q7638" s="102" t="s">
        <v>2563</v>
      </c>
      <c r="S7638" s="1"/>
      <c r="T7638" s="1"/>
      <c r="U7638" s="1"/>
      <c r="V7638" s="1"/>
      <c r="W7638" s="1"/>
      <c r="X7638" s="1"/>
      <c r="Y7638" s="1"/>
      <c r="AA7638" s="102"/>
      <c r="AB7638" s="1"/>
      <c r="AC7638" s="1"/>
      <c r="AD7638" s="1"/>
      <c r="AE7638" s="1"/>
      <c r="AF7638" s="1"/>
      <c r="AG7638" s="1"/>
    </row>
    <row r="7639" ht="15.75" customHeight="1">
      <c r="A7639" s="1"/>
      <c r="B7639" s="1"/>
      <c r="C7639" s="1"/>
      <c r="D7639" s="1"/>
      <c r="E7639" s="1"/>
      <c r="F7639" s="1"/>
      <c r="G7639" s="1"/>
      <c r="H7639" s="1"/>
      <c r="I7639" s="1"/>
      <c r="J7639" s="1"/>
      <c r="K7639" s="102" t="s">
        <v>11956</v>
      </c>
      <c r="L7639" s="102" t="str">
        <f>K1096</f>
        <v>J2b2a1a1a1a~</v>
      </c>
      <c r="M7639" s="102" t="s">
        <v>11955</v>
      </c>
      <c r="N7639" s="102" t="s">
        <v>11957</v>
      </c>
      <c r="O7639" s="105">
        <v>2.86098E7</v>
      </c>
      <c r="P7639" s="105">
        <v>2.6463653E7</v>
      </c>
      <c r="Q7639" s="102" t="s">
        <v>2563</v>
      </c>
      <c r="S7639" s="1"/>
      <c r="T7639" s="1"/>
      <c r="U7639" s="1"/>
      <c r="V7639" s="1"/>
      <c r="W7639" s="1"/>
      <c r="X7639" s="1"/>
      <c r="Y7639" s="1"/>
      <c r="AA7639" s="102"/>
      <c r="AB7639" s="1"/>
      <c r="AC7639" s="1"/>
      <c r="AD7639" s="1"/>
      <c r="AE7639" s="1"/>
      <c r="AF7639" s="1"/>
      <c r="AG7639" s="1"/>
    </row>
    <row r="7640" ht="15.75" customHeight="1">
      <c r="A7640" s="1"/>
      <c r="B7640" s="1"/>
      <c r="C7640" s="1"/>
      <c r="D7640" s="1"/>
      <c r="E7640" s="1"/>
      <c r="F7640" s="1"/>
      <c r="G7640" s="1"/>
      <c r="H7640" s="1"/>
      <c r="I7640" s="1"/>
      <c r="J7640" s="1"/>
      <c r="K7640" s="102" t="s">
        <v>11958</v>
      </c>
      <c r="L7640" s="102" t="str">
        <f>L1097</f>
        <v>J2b2a1a1a1a1</v>
      </c>
      <c r="M7640" s="102" t="s">
        <v>11959</v>
      </c>
      <c r="N7640" s="102" t="s">
        <v>11960</v>
      </c>
      <c r="O7640" s="105">
        <v>1.8606313E7</v>
      </c>
      <c r="P7640" s="105">
        <v>1.6494433E7</v>
      </c>
      <c r="Q7640" s="102" t="s">
        <v>2563</v>
      </c>
      <c r="S7640" s="1"/>
      <c r="T7640" s="1"/>
      <c r="U7640" s="1"/>
      <c r="V7640" s="1"/>
      <c r="W7640" s="1"/>
      <c r="X7640" s="1"/>
      <c r="Y7640" s="1"/>
      <c r="AA7640" s="102"/>
      <c r="AB7640" s="1"/>
      <c r="AC7640" s="1"/>
      <c r="AD7640" s="1"/>
      <c r="AE7640" s="1"/>
      <c r="AF7640" s="1"/>
      <c r="AG7640" s="1"/>
    </row>
    <row r="7641" ht="15.75" customHeight="1">
      <c r="A7641" s="1"/>
      <c r="B7641" s="1"/>
      <c r="C7641" s="1"/>
      <c r="D7641" s="1"/>
      <c r="E7641" s="1"/>
      <c r="F7641" s="1"/>
      <c r="G7641" s="1"/>
      <c r="H7641" s="1"/>
      <c r="I7641" s="1"/>
      <c r="J7641" s="1"/>
      <c r="K7641" s="102" t="s">
        <v>11961</v>
      </c>
      <c r="L7641" s="102" t="str">
        <f>L1097</f>
        <v>J2b2a1a1a1a1</v>
      </c>
      <c r="M7641" s="102" t="s">
        <v>11962</v>
      </c>
      <c r="N7641" s="102" t="s">
        <v>11960</v>
      </c>
      <c r="O7641" s="105">
        <v>1.8606313E7</v>
      </c>
      <c r="P7641" s="105">
        <v>1.6494433E7</v>
      </c>
      <c r="Q7641" s="102" t="s">
        <v>2563</v>
      </c>
      <c r="S7641" s="1"/>
      <c r="T7641" s="1"/>
      <c r="U7641" s="1"/>
      <c r="V7641" s="1"/>
      <c r="W7641" s="1"/>
      <c r="X7641" s="1"/>
      <c r="Y7641" s="1"/>
      <c r="AA7641" s="102"/>
      <c r="AB7641" s="1"/>
      <c r="AC7641" s="1"/>
      <c r="AD7641" s="1"/>
      <c r="AE7641" s="1"/>
      <c r="AF7641" s="1"/>
      <c r="AG7641" s="1"/>
    </row>
    <row r="7642" ht="15.75" customHeight="1">
      <c r="A7642" s="1"/>
      <c r="B7642" s="1"/>
      <c r="C7642" s="1"/>
      <c r="D7642" s="1"/>
      <c r="E7642" s="1"/>
      <c r="F7642" s="1"/>
      <c r="G7642" s="1"/>
      <c r="H7642" s="1"/>
      <c r="I7642" s="1"/>
      <c r="J7642" s="1"/>
      <c r="K7642" s="102" t="s">
        <v>11963</v>
      </c>
      <c r="L7642" s="102" t="str">
        <f>L1097</f>
        <v>J2b2a1a1a1a1</v>
      </c>
      <c r="M7642" s="102" t="s">
        <v>11964</v>
      </c>
      <c r="N7642" s="102" t="s">
        <v>11960</v>
      </c>
      <c r="O7642" s="105">
        <v>1.8606313E7</v>
      </c>
      <c r="P7642" s="105">
        <v>1.6494433E7</v>
      </c>
      <c r="Q7642" s="102" t="s">
        <v>2563</v>
      </c>
      <c r="S7642" s="1"/>
      <c r="T7642" s="1"/>
      <c r="U7642" s="1"/>
      <c r="V7642" s="1"/>
      <c r="W7642" s="1"/>
      <c r="X7642" s="1"/>
      <c r="Y7642" s="1"/>
      <c r="AA7642" s="102"/>
      <c r="AB7642" s="1"/>
      <c r="AC7642" s="1"/>
      <c r="AD7642" s="1"/>
      <c r="AE7642" s="1"/>
      <c r="AF7642" s="1"/>
      <c r="AG7642" s="1"/>
    </row>
    <row r="7643" ht="15.75" customHeight="1">
      <c r="A7643" s="1"/>
      <c r="B7643" s="1"/>
      <c r="C7643" s="1"/>
      <c r="D7643" s="1"/>
      <c r="E7643" s="1"/>
      <c r="F7643" s="1"/>
      <c r="G7643" s="1"/>
      <c r="H7643" s="1"/>
      <c r="I7643" s="1"/>
      <c r="J7643" s="1"/>
      <c r="K7643" s="102" t="s">
        <v>11965</v>
      </c>
      <c r="L7643" s="102" t="str">
        <f>M1098</f>
        <v>J2b2a1a1a1a1a</v>
      </c>
      <c r="M7643" s="102"/>
      <c r="N7643" s="102" t="s">
        <v>11966</v>
      </c>
      <c r="O7643" s="105">
        <v>2.1490912E7</v>
      </c>
      <c r="P7643" s="105">
        <v>1.9329026E7</v>
      </c>
      <c r="Q7643" s="102" t="s">
        <v>2454</v>
      </c>
      <c r="S7643" s="1"/>
      <c r="T7643" s="1"/>
      <c r="U7643" s="1"/>
      <c r="V7643" s="1"/>
      <c r="W7643" s="1"/>
      <c r="X7643" s="1"/>
      <c r="Y7643" s="1"/>
      <c r="AA7643" s="102"/>
      <c r="AB7643" s="1"/>
      <c r="AC7643" s="1"/>
      <c r="AD7643" s="1"/>
      <c r="AE7643" s="1"/>
      <c r="AF7643" s="1"/>
      <c r="AG7643" s="1"/>
    </row>
    <row r="7644" ht="15.75" customHeight="1">
      <c r="A7644" s="1"/>
      <c r="B7644" s="1"/>
      <c r="C7644" s="1"/>
      <c r="D7644" s="1"/>
      <c r="E7644" s="1"/>
      <c r="F7644" s="1"/>
      <c r="G7644" s="1"/>
      <c r="H7644" s="1"/>
      <c r="I7644" s="1"/>
      <c r="J7644" s="1"/>
      <c r="K7644" s="102" t="s">
        <v>11967</v>
      </c>
      <c r="L7644" s="102" t="str">
        <f>M1098</f>
        <v>J2b2a1a1a1a1a</v>
      </c>
      <c r="M7644" s="102"/>
      <c r="N7644" s="102" t="s">
        <v>11968</v>
      </c>
      <c r="O7644" s="105">
        <v>2.2204451E7</v>
      </c>
      <c r="P7644" s="105">
        <v>2.0042565E7</v>
      </c>
      <c r="Q7644" s="102" t="s">
        <v>2501</v>
      </c>
      <c r="S7644" s="1"/>
      <c r="T7644" s="1"/>
      <c r="U7644" s="1"/>
      <c r="V7644" s="1"/>
      <c r="W7644" s="1"/>
      <c r="X7644" s="1"/>
      <c r="Y7644" s="1"/>
      <c r="AA7644" s="102"/>
      <c r="AB7644" s="1"/>
      <c r="AC7644" s="1"/>
      <c r="AD7644" s="1"/>
      <c r="AE7644" s="1"/>
      <c r="AF7644" s="1"/>
      <c r="AG7644" s="1"/>
    </row>
    <row r="7645" ht="15.75" customHeight="1">
      <c r="A7645" s="1"/>
      <c r="B7645" s="1"/>
      <c r="C7645" s="1"/>
      <c r="D7645" s="1"/>
      <c r="E7645" s="1"/>
      <c r="F7645" s="1"/>
      <c r="G7645" s="1"/>
      <c r="H7645" s="1"/>
      <c r="I7645" s="1"/>
      <c r="J7645" s="1"/>
      <c r="K7645" s="102" t="s">
        <v>11969</v>
      </c>
      <c r="L7645" s="102" t="str">
        <f>N1099</f>
        <v>J2b2a1a1a1a1a1~</v>
      </c>
      <c r="M7645" s="102" t="s">
        <v>11970</v>
      </c>
      <c r="N7645" s="102" t="s">
        <v>11971</v>
      </c>
      <c r="O7645" s="105">
        <v>7333543.0</v>
      </c>
      <c r="P7645" s="105">
        <v>7465502.0</v>
      </c>
      <c r="Q7645" s="102" t="s">
        <v>2501</v>
      </c>
      <c r="S7645" s="1"/>
      <c r="T7645" s="1"/>
      <c r="U7645" s="1"/>
      <c r="V7645" s="1"/>
      <c r="W7645" s="1"/>
      <c r="X7645" s="1"/>
      <c r="Y7645" s="1"/>
      <c r="AA7645" s="102"/>
      <c r="AB7645" s="1"/>
      <c r="AC7645" s="1"/>
      <c r="AD7645" s="1"/>
      <c r="AE7645" s="1"/>
      <c r="AF7645" s="1"/>
      <c r="AG7645" s="1"/>
    </row>
    <row r="7646" ht="15.75" customHeight="1">
      <c r="A7646" s="1"/>
      <c r="B7646" s="1"/>
      <c r="C7646" s="1"/>
      <c r="D7646" s="1"/>
      <c r="E7646" s="1"/>
      <c r="F7646" s="1"/>
      <c r="G7646" s="1"/>
      <c r="H7646" s="1"/>
      <c r="I7646" s="1"/>
      <c r="J7646" s="1"/>
      <c r="K7646" s="102" t="s">
        <v>11970</v>
      </c>
      <c r="L7646" s="102" t="str">
        <f>N1099</f>
        <v>J2b2a1a1a1a1a1~</v>
      </c>
      <c r="M7646" s="102" t="s">
        <v>11969</v>
      </c>
      <c r="N7646" s="102" t="s">
        <v>11971</v>
      </c>
      <c r="O7646" s="105">
        <v>7333543.0</v>
      </c>
      <c r="P7646" s="105">
        <v>7465502.0</v>
      </c>
      <c r="Q7646" s="102" t="s">
        <v>2501</v>
      </c>
      <c r="S7646" s="1"/>
      <c r="T7646" s="1"/>
      <c r="U7646" s="1"/>
      <c r="V7646" s="1"/>
      <c r="W7646" s="1"/>
      <c r="X7646" s="1"/>
      <c r="Y7646" s="1"/>
      <c r="AA7646" s="102"/>
      <c r="AB7646" s="1"/>
      <c r="AC7646" s="1"/>
      <c r="AD7646" s="1"/>
      <c r="AE7646" s="1"/>
      <c r="AF7646" s="1"/>
      <c r="AG7646" s="1"/>
    </row>
    <row r="7647" ht="15.75" customHeight="1">
      <c r="A7647" s="1"/>
      <c r="B7647" s="1"/>
      <c r="C7647" s="1"/>
      <c r="D7647" s="1"/>
      <c r="E7647" s="1"/>
      <c r="F7647" s="1"/>
      <c r="G7647" s="1"/>
      <c r="H7647" s="1"/>
      <c r="I7647" s="1"/>
      <c r="J7647" s="1"/>
      <c r="K7647" s="102" t="s">
        <v>11972</v>
      </c>
      <c r="L7647" s="102" t="str">
        <f>O1100</f>
        <v>J2b2a1a1a1a1a1a</v>
      </c>
      <c r="M7647" s="102"/>
      <c r="N7647" s="102" t="s">
        <v>11973</v>
      </c>
      <c r="O7647" s="105">
        <v>2819161.0</v>
      </c>
      <c r="P7647" s="105">
        <v>2951120.0</v>
      </c>
      <c r="Q7647" s="102" t="s">
        <v>2439</v>
      </c>
      <c r="S7647" s="1"/>
      <c r="T7647" s="1"/>
      <c r="U7647" s="1"/>
      <c r="V7647" s="1"/>
      <c r="W7647" s="1"/>
      <c r="X7647" s="1"/>
      <c r="Y7647" s="1"/>
      <c r="AA7647" s="102"/>
      <c r="AB7647" s="1"/>
      <c r="AC7647" s="1"/>
      <c r="AD7647" s="1"/>
      <c r="AE7647" s="1"/>
      <c r="AF7647" s="1"/>
      <c r="AG7647" s="1"/>
    </row>
    <row r="7648" ht="15.75" customHeight="1">
      <c r="A7648" s="1"/>
      <c r="B7648" s="1"/>
      <c r="C7648" s="1"/>
      <c r="D7648" s="1"/>
      <c r="E7648" s="1"/>
      <c r="F7648" s="1"/>
      <c r="G7648" s="1"/>
      <c r="H7648" s="1"/>
      <c r="I7648" s="1"/>
      <c r="J7648" s="1"/>
      <c r="K7648" s="102" t="s">
        <v>11974</v>
      </c>
      <c r="L7648" s="102" t="str">
        <f t="shared" ref="L7648:L7649" si="194">O1100</f>
        <v>J2b2a1a1a1a1a1a</v>
      </c>
      <c r="M7648" s="102"/>
      <c r="N7648" s="102" t="s">
        <v>11975</v>
      </c>
      <c r="O7648" s="105">
        <v>1.74362E7</v>
      </c>
      <c r="P7648" s="105">
        <v>1.532432E7</v>
      </c>
      <c r="Q7648" s="102" t="s">
        <v>2423</v>
      </c>
      <c r="S7648" s="1"/>
      <c r="T7648" s="1"/>
      <c r="U7648" s="1"/>
      <c r="V7648" s="1"/>
      <c r="W7648" s="1"/>
      <c r="X7648" s="1"/>
      <c r="Y7648" s="1"/>
      <c r="AA7648" s="102"/>
      <c r="AB7648" s="1"/>
      <c r="AC7648" s="1"/>
      <c r="AD7648" s="1"/>
      <c r="AE7648" s="1"/>
      <c r="AF7648" s="1"/>
      <c r="AG7648" s="1"/>
    </row>
    <row r="7649" ht="15.75" customHeight="1">
      <c r="A7649" s="1"/>
      <c r="B7649" s="1"/>
      <c r="C7649" s="1"/>
      <c r="D7649" s="1"/>
      <c r="E7649" s="1"/>
      <c r="F7649" s="1"/>
      <c r="G7649" s="1"/>
      <c r="H7649" s="1"/>
      <c r="I7649" s="1"/>
      <c r="J7649" s="1"/>
      <c r="K7649" s="102" t="s">
        <v>11976</v>
      </c>
      <c r="L7649" s="102" t="str">
        <f t="shared" si="194"/>
        <v>J2b2a1a1a1a1a1a~</v>
      </c>
      <c r="M7649" s="102" t="s">
        <v>11977</v>
      </c>
      <c r="N7649" s="102" t="s">
        <v>11978</v>
      </c>
      <c r="O7649" s="105">
        <v>1.4183821E7</v>
      </c>
      <c r="P7649" s="105">
        <v>1.2063115E7</v>
      </c>
      <c r="Q7649" s="102" t="s">
        <v>2454</v>
      </c>
      <c r="S7649" s="1"/>
      <c r="T7649" s="1"/>
      <c r="U7649" s="1"/>
      <c r="V7649" s="1"/>
      <c r="W7649" s="1"/>
      <c r="X7649" s="1"/>
      <c r="Y7649" s="1"/>
      <c r="AA7649" s="102"/>
      <c r="AB7649" s="1"/>
      <c r="AC7649" s="1"/>
      <c r="AD7649" s="1"/>
      <c r="AE7649" s="1"/>
      <c r="AF7649" s="1"/>
      <c r="AG7649" s="1"/>
    </row>
    <row r="7650" ht="15.75" customHeight="1">
      <c r="A7650" s="1"/>
      <c r="B7650" s="1"/>
      <c r="C7650" s="1"/>
      <c r="D7650" s="1"/>
      <c r="E7650" s="1"/>
      <c r="F7650" s="1"/>
      <c r="G7650" s="1"/>
      <c r="H7650" s="1"/>
      <c r="I7650" s="1"/>
      <c r="J7650" s="1"/>
      <c r="K7650" s="102" t="s">
        <v>11977</v>
      </c>
      <c r="L7650" s="102" t="str">
        <f>O1101</f>
        <v>J2b2a1a1a1a1a1a~</v>
      </c>
      <c r="M7650" s="102" t="s">
        <v>11976</v>
      </c>
      <c r="N7650" s="102" t="s">
        <v>11978</v>
      </c>
      <c r="O7650" s="105">
        <v>1.4183821E7</v>
      </c>
      <c r="P7650" s="105">
        <v>1.2063115E7</v>
      </c>
      <c r="Q7650" s="102" t="s">
        <v>2454</v>
      </c>
      <c r="S7650" s="1"/>
      <c r="T7650" s="1"/>
      <c r="U7650" s="1"/>
      <c r="V7650" s="1"/>
      <c r="W7650" s="1"/>
      <c r="X7650" s="1"/>
      <c r="Y7650" s="1"/>
      <c r="AA7650" s="102"/>
      <c r="AB7650" s="1"/>
      <c r="AC7650" s="1"/>
      <c r="AD7650" s="1"/>
      <c r="AE7650" s="1"/>
      <c r="AF7650" s="1"/>
      <c r="AG7650" s="1"/>
    </row>
    <row r="7651" ht="15.75" customHeight="1">
      <c r="A7651" s="1"/>
      <c r="B7651" s="1"/>
      <c r="C7651" s="1"/>
      <c r="D7651" s="1"/>
      <c r="E7651" s="1"/>
      <c r="F7651" s="1"/>
      <c r="G7651" s="1"/>
      <c r="H7651" s="1"/>
      <c r="I7651" s="1"/>
      <c r="J7651" s="1"/>
      <c r="K7651" s="102" t="s">
        <v>11979</v>
      </c>
      <c r="L7651" s="102" t="str">
        <f>O1101</f>
        <v>J2b2a1a1a1a1a1a~</v>
      </c>
      <c r="M7651" s="102"/>
      <c r="N7651" s="102" t="s">
        <v>11980</v>
      </c>
      <c r="O7651" s="105">
        <v>2.2781207E7</v>
      </c>
      <c r="P7651" s="105">
        <v>2.0619321E7</v>
      </c>
      <c r="Q7651" s="102" t="s">
        <v>2533</v>
      </c>
      <c r="S7651" s="1"/>
      <c r="T7651" s="1"/>
      <c r="U7651" s="1"/>
      <c r="V7651" s="1"/>
      <c r="W7651" s="1"/>
      <c r="X7651" s="1"/>
      <c r="Y7651" s="1"/>
      <c r="AA7651" s="102"/>
      <c r="AB7651" s="1"/>
      <c r="AC7651" s="1"/>
      <c r="AD7651" s="1"/>
      <c r="AE7651" s="1"/>
      <c r="AF7651" s="1"/>
      <c r="AG7651" s="1"/>
    </row>
    <row r="7652" ht="15.75" customHeight="1">
      <c r="A7652" s="1"/>
      <c r="B7652" s="1"/>
      <c r="C7652" s="1"/>
      <c r="D7652" s="1"/>
      <c r="E7652" s="1"/>
      <c r="F7652" s="1"/>
      <c r="G7652" s="1"/>
      <c r="H7652" s="1"/>
      <c r="I7652" s="1"/>
      <c r="J7652" s="1"/>
      <c r="K7652" s="102" t="s">
        <v>11981</v>
      </c>
      <c r="L7652" s="102" t="str">
        <f>O1101</f>
        <v>J2b2a1a1a1a1a1a~</v>
      </c>
      <c r="M7652" s="102"/>
      <c r="N7652" s="102" t="s">
        <v>11982</v>
      </c>
      <c r="O7652" s="105">
        <v>6850619.0</v>
      </c>
      <c r="P7652" s="105">
        <v>6982578.0</v>
      </c>
      <c r="Q7652" s="102" t="s">
        <v>2468</v>
      </c>
      <c r="S7652" s="1"/>
      <c r="T7652" s="1"/>
      <c r="U7652" s="1"/>
      <c r="V7652" s="1"/>
      <c r="W7652" s="1"/>
      <c r="X7652" s="1"/>
      <c r="Y7652" s="1"/>
      <c r="AA7652" s="102"/>
      <c r="AB7652" s="1"/>
      <c r="AC7652" s="1"/>
      <c r="AD7652" s="1"/>
      <c r="AE7652" s="1"/>
      <c r="AF7652" s="1"/>
      <c r="AG7652" s="1"/>
    </row>
    <row r="7653" ht="15.75" customHeight="1">
      <c r="A7653" s="1"/>
      <c r="B7653" s="1"/>
      <c r="C7653" s="1"/>
      <c r="D7653" s="1"/>
      <c r="E7653" s="1"/>
      <c r="F7653" s="1"/>
      <c r="G7653" s="1"/>
      <c r="H7653" s="1"/>
      <c r="I7653" s="1"/>
      <c r="J7653" s="1"/>
      <c r="K7653" s="102" t="s">
        <v>11983</v>
      </c>
      <c r="L7653" s="102" t="str">
        <f>O1101</f>
        <v>J2b2a1a1a1a1a1a~</v>
      </c>
      <c r="M7653" s="102"/>
      <c r="N7653" s="102" t="s">
        <v>11984</v>
      </c>
      <c r="O7653" s="105">
        <v>1.925456E7</v>
      </c>
      <c r="P7653" s="105">
        <v>1.714268E7</v>
      </c>
      <c r="Q7653" s="102" t="s">
        <v>2446</v>
      </c>
      <c r="S7653" s="1"/>
      <c r="T7653" s="1"/>
      <c r="U7653" s="1"/>
      <c r="V7653" s="1"/>
      <c r="W7653" s="1"/>
      <c r="X7653" s="1"/>
      <c r="Y7653" s="1"/>
      <c r="AA7653" s="102"/>
      <c r="AB7653" s="1"/>
      <c r="AC7653" s="1"/>
      <c r="AD7653" s="1"/>
      <c r="AE7653" s="1"/>
      <c r="AF7653" s="1"/>
      <c r="AG7653" s="1"/>
    </row>
    <row r="7654" ht="15.75" customHeight="1">
      <c r="A7654" s="1"/>
      <c r="B7654" s="1"/>
      <c r="C7654" s="1"/>
      <c r="D7654" s="1"/>
      <c r="E7654" s="1"/>
      <c r="F7654" s="1"/>
      <c r="G7654" s="1"/>
      <c r="H7654" s="1"/>
      <c r="I7654" s="1"/>
      <c r="J7654" s="1"/>
      <c r="K7654" s="102" t="s">
        <v>11985</v>
      </c>
      <c r="L7654" s="102" t="str">
        <f>P1102</f>
        <v>J2b2a1a1a1a1a1a1~</v>
      </c>
      <c r="M7654" s="102" t="s">
        <v>11986</v>
      </c>
      <c r="N7654" s="102" t="s">
        <v>11987</v>
      </c>
      <c r="O7654" s="105">
        <v>1.8628092E7</v>
      </c>
      <c r="P7654" s="105">
        <v>1.6516212E7</v>
      </c>
      <c r="Q7654" s="102" t="s">
        <v>2529</v>
      </c>
      <c r="S7654" s="1"/>
      <c r="T7654" s="1"/>
      <c r="U7654" s="1"/>
      <c r="V7654" s="1"/>
      <c r="W7654" s="1"/>
      <c r="X7654" s="1"/>
      <c r="Y7654" s="1"/>
      <c r="AA7654" s="102"/>
      <c r="AB7654" s="1"/>
      <c r="AC7654" s="1"/>
      <c r="AD7654" s="1"/>
      <c r="AE7654" s="1"/>
      <c r="AF7654" s="1"/>
      <c r="AG7654" s="1"/>
    </row>
    <row r="7655" ht="15.75" customHeight="1">
      <c r="A7655" s="1"/>
      <c r="B7655" s="1"/>
      <c r="C7655" s="1"/>
      <c r="D7655" s="1"/>
      <c r="E7655" s="1"/>
      <c r="F7655" s="1"/>
      <c r="G7655" s="1"/>
      <c r="H7655" s="1"/>
      <c r="I7655" s="1"/>
      <c r="J7655" s="1"/>
      <c r="K7655" s="102" t="s">
        <v>11986</v>
      </c>
      <c r="L7655" s="102" t="str">
        <f>P1102</f>
        <v>J2b2a1a1a1a1a1a1~</v>
      </c>
      <c r="M7655" s="102" t="s">
        <v>11985</v>
      </c>
      <c r="N7655" s="102" t="s">
        <v>11987</v>
      </c>
      <c r="O7655" s="105">
        <v>1.8628092E7</v>
      </c>
      <c r="P7655" s="105">
        <v>1.6516212E7</v>
      </c>
      <c r="Q7655" s="102" t="s">
        <v>2529</v>
      </c>
      <c r="S7655" s="1"/>
      <c r="T7655" s="1"/>
      <c r="U7655" s="1"/>
      <c r="V7655" s="1"/>
      <c r="W7655" s="1"/>
      <c r="X7655" s="1"/>
      <c r="Y7655" s="1"/>
      <c r="AA7655" s="102"/>
      <c r="AB7655" s="1"/>
      <c r="AC7655" s="1"/>
      <c r="AD7655" s="1"/>
      <c r="AE7655" s="1"/>
      <c r="AF7655" s="1"/>
      <c r="AG7655" s="1"/>
    </row>
    <row r="7656" ht="15.75" customHeight="1">
      <c r="A7656" s="1"/>
      <c r="B7656" s="1"/>
      <c r="C7656" s="1"/>
      <c r="D7656" s="1"/>
      <c r="E7656" s="1"/>
      <c r="F7656" s="1"/>
      <c r="G7656" s="1"/>
      <c r="H7656" s="1"/>
      <c r="I7656" s="1"/>
      <c r="J7656" s="1"/>
      <c r="K7656" s="102" t="s">
        <v>11988</v>
      </c>
      <c r="L7656" s="102" t="str">
        <f>P1102</f>
        <v>J2b2a1a1a1a1a1a1~</v>
      </c>
      <c r="M7656" s="102" t="s">
        <v>11989</v>
      </c>
      <c r="N7656" s="102" t="s">
        <v>11990</v>
      </c>
      <c r="O7656" s="105">
        <v>1.8628155E7</v>
      </c>
      <c r="P7656" s="105">
        <v>1.6516275E7</v>
      </c>
      <c r="Q7656" s="102" t="s">
        <v>2439</v>
      </c>
      <c r="S7656" s="1"/>
      <c r="T7656" s="1"/>
      <c r="U7656" s="1"/>
      <c r="V7656" s="1"/>
      <c r="W7656" s="1"/>
      <c r="X7656" s="1"/>
      <c r="Y7656" s="1"/>
      <c r="AA7656" s="102"/>
      <c r="AB7656" s="1"/>
      <c r="AC7656" s="1"/>
      <c r="AD7656" s="1"/>
      <c r="AE7656" s="1"/>
      <c r="AF7656" s="1"/>
      <c r="AG7656" s="1"/>
    </row>
    <row r="7657" ht="15.75" customHeight="1">
      <c r="A7657" s="1"/>
      <c r="B7657" s="1"/>
      <c r="C7657" s="1"/>
      <c r="D7657" s="1"/>
      <c r="E7657" s="1"/>
      <c r="F7657" s="1"/>
      <c r="G7657" s="1"/>
      <c r="H7657" s="1"/>
      <c r="I7657" s="1"/>
      <c r="J7657" s="1"/>
      <c r="K7657" s="102" t="s">
        <v>11989</v>
      </c>
      <c r="L7657" s="102" t="str">
        <f>P1102</f>
        <v>J2b2a1a1a1a1a1a1~</v>
      </c>
      <c r="M7657" s="102" t="s">
        <v>11988</v>
      </c>
      <c r="N7657" s="102" t="s">
        <v>11990</v>
      </c>
      <c r="O7657" s="105">
        <v>1.8628155E7</v>
      </c>
      <c r="P7657" s="105">
        <v>1.6516275E7</v>
      </c>
      <c r="Q7657" s="102" t="s">
        <v>2439</v>
      </c>
      <c r="S7657" s="1"/>
      <c r="T7657" s="1"/>
      <c r="U7657" s="1"/>
      <c r="V7657" s="1"/>
      <c r="W7657" s="1"/>
      <c r="X7657" s="1"/>
      <c r="Y7657" s="1"/>
      <c r="AA7657" s="102"/>
      <c r="AB7657" s="1"/>
      <c r="AC7657" s="1"/>
      <c r="AD7657" s="1"/>
      <c r="AE7657" s="1"/>
      <c r="AF7657" s="1"/>
      <c r="AG7657" s="1"/>
    </row>
    <row r="7658" ht="15.75" customHeight="1">
      <c r="A7658" s="1"/>
      <c r="B7658" s="1"/>
      <c r="C7658" s="1"/>
      <c r="D7658" s="1"/>
      <c r="E7658" s="1"/>
      <c r="F7658" s="1"/>
      <c r="G7658" s="1"/>
      <c r="H7658" s="1"/>
      <c r="I7658" s="1"/>
      <c r="J7658" s="1"/>
      <c r="K7658" s="102" t="s">
        <v>11991</v>
      </c>
      <c r="L7658" s="102" t="str">
        <f>P1102</f>
        <v>J2b2a1a1a1a1a1a1~</v>
      </c>
      <c r="M7658" s="102"/>
      <c r="N7658" s="102" t="s">
        <v>11992</v>
      </c>
      <c r="O7658" s="105">
        <v>1.9559251E7</v>
      </c>
      <c r="P7658" s="105">
        <v>1.7447371E7</v>
      </c>
      <c r="Q7658" s="102" t="s">
        <v>2501</v>
      </c>
      <c r="S7658" s="1"/>
      <c r="T7658" s="1"/>
      <c r="U7658" s="1"/>
      <c r="V7658" s="1"/>
      <c r="W7658" s="1"/>
      <c r="X7658" s="1"/>
      <c r="Y7658" s="1"/>
      <c r="AA7658" s="102"/>
      <c r="AB7658" s="1"/>
      <c r="AC7658" s="1"/>
      <c r="AD7658" s="1"/>
      <c r="AE7658" s="1"/>
      <c r="AF7658" s="1"/>
      <c r="AG7658" s="1"/>
    </row>
    <row r="7659" ht="15.75" customHeight="1">
      <c r="A7659" s="1"/>
      <c r="B7659" s="1"/>
      <c r="C7659" s="1"/>
      <c r="D7659" s="1"/>
      <c r="E7659" s="1"/>
      <c r="F7659" s="1"/>
      <c r="G7659" s="1"/>
      <c r="H7659" s="1"/>
      <c r="I7659" s="1"/>
      <c r="J7659" s="1"/>
      <c r="K7659" s="102" t="s">
        <v>11993</v>
      </c>
      <c r="L7659" s="102" t="str">
        <f>Q1103</f>
        <v>J2b2a1a1a1a1a1a1a~</v>
      </c>
      <c r="M7659" s="102"/>
      <c r="N7659" s="102" t="s">
        <v>11994</v>
      </c>
      <c r="O7659" s="105">
        <v>1.4983036E7</v>
      </c>
      <c r="P7659" s="105">
        <v>1.2871104E7</v>
      </c>
      <c r="Q7659" s="102" t="s">
        <v>2501</v>
      </c>
      <c r="S7659" s="1"/>
      <c r="T7659" s="1"/>
      <c r="U7659" s="1"/>
      <c r="V7659" s="1"/>
      <c r="W7659" s="1"/>
      <c r="X7659" s="1"/>
      <c r="Y7659" s="1"/>
      <c r="AA7659" s="102"/>
      <c r="AB7659" s="1"/>
      <c r="AC7659" s="1"/>
      <c r="AD7659" s="1"/>
      <c r="AE7659" s="1"/>
      <c r="AF7659" s="1"/>
      <c r="AG7659" s="1"/>
    </row>
    <row r="7660" ht="15.75" customHeight="1">
      <c r="A7660" s="1"/>
      <c r="B7660" s="1"/>
      <c r="C7660" s="1"/>
      <c r="D7660" s="1"/>
      <c r="E7660" s="1"/>
      <c r="F7660" s="1"/>
      <c r="G7660" s="1"/>
      <c r="H7660" s="1"/>
      <c r="I7660" s="1"/>
      <c r="J7660" s="1"/>
      <c r="K7660" s="102" t="s">
        <v>11995</v>
      </c>
      <c r="L7660" s="102" t="str">
        <f>Q1103</f>
        <v>J2b2a1a1a1a1a1a1a~</v>
      </c>
      <c r="M7660" s="102"/>
      <c r="N7660" s="102" t="s">
        <v>11996</v>
      </c>
      <c r="O7660" s="105">
        <v>1.5327359E7</v>
      </c>
      <c r="P7660" s="105">
        <v>1.3215477E7</v>
      </c>
      <c r="Q7660" s="102" t="s">
        <v>2501</v>
      </c>
      <c r="S7660" s="1"/>
      <c r="T7660" s="1"/>
      <c r="U7660" s="1"/>
      <c r="V7660" s="1"/>
      <c r="W7660" s="1"/>
      <c r="X7660" s="1"/>
      <c r="Y7660" s="1"/>
      <c r="AA7660" s="102"/>
      <c r="AB7660" s="1"/>
      <c r="AC7660" s="1"/>
      <c r="AD7660" s="1"/>
      <c r="AE7660" s="1"/>
      <c r="AF7660" s="1"/>
      <c r="AG7660" s="1"/>
    </row>
    <row r="7661" ht="15.75" customHeight="1">
      <c r="A7661" s="1"/>
      <c r="B7661" s="1"/>
      <c r="C7661" s="1"/>
      <c r="D7661" s="1"/>
      <c r="E7661" s="1"/>
      <c r="F7661" s="1"/>
      <c r="G7661" s="1"/>
      <c r="H7661" s="1"/>
      <c r="I7661" s="1"/>
      <c r="J7661" s="1"/>
      <c r="K7661" s="102" t="s">
        <v>11997</v>
      </c>
      <c r="L7661" s="102" t="str">
        <f>Q1103</f>
        <v>J2b2a1a1a1a1a1a1a~</v>
      </c>
      <c r="M7661" s="102"/>
      <c r="N7661" s="102" t="s">
        <v>11998</v>
      </c>
      <c r="O7661" s="105">
        <v>1.587264E7</v>
      </c>
      <c r="P7661" s="105">
        <v>1.376076E7</v>
      </c>
      <c r="Q7661" s="102" t="s">
        <v>2529</v>
      </c>
      <c r="S7661" s="1"/>
      <c r="T7661" s="1"/>
      <c r="U7661" s="1"/>
      <c r="V7661" s="1"/>
      <c r="W7661" s="1"/>
      <c r="X7661" s="1"/>
      <c r="Y7661" s="1"/>
      <c r="AA7661" s="102"/>
      <c r="AB7661" s="1"/>
      <c r="AC7661" s="1"/>
      <c r="AD7661" s="1"/>
      <c r="AE7661" s="1"/>
      <c r="AF7661" s="1"/>
      <c r="AG7661" s="1"/>
    </row>
    <row r="7662" ht="15.75" customHeight="1">
      <c r="A7662" s="1"/>
      <c r="B7662" s="1"/>
      <c r="C7662" s="1"/>
      <c r="D7662" s="1"/>
      <c r="E7662" s="1"/>
      <c r="F7662" s="1"/>
      <c r="G7662" s="1"/>
      <c r="H7662" s="1"/>
      <c r="I7662" s="1"/>
      <c r="J7662" s="1"/>
      <c r="K7662" s="102" t="s">
        <v>11999</v>
      </c>
      <c r="L7662" s="102" t="str">
        <f>Q1103</f>
        <v>J2b2a1a1a1a1a1a1a~</v>
      </c>
      <c r="M7662" s="102"/>
      <c r="N7662" s="102" t="s">
        <v>12000</v>
      </c>
      <c r="O7662" s="105">
        <v>1.6419727E7</v>
      </c>
      <c r="P7662" s="105">
        <v>1.4307847E7</v>
      </c>
      <c r="Q7662" s="102" t="s">
        <v>2454</v>
      </c>
      <c r="S7662" s="1"/>
      <c r="T7662" s="1"/>
      <c r="U7662" s="1"/>
      <c r="V7662" s="1"/>
      <c r="W7662" s="1"/>
      <c r="X7662" s="1"/>
      <c r="Y7662" s="1"/>
      <c r="AA7662" s="102"/>
      <c r="AB7662" s="1"/>
      <c r="AC7662" s="1"/>
      <c r="AD7662" s="1"/>
      <c r="AE7662" s="1"/>
      <c r="AF7662" s="1"/>
      <c r="AG7662" s="1"/>
    </row>
    <row r="7663" ht="15.75" customHeight="1">
      <c r="A7663" s="1"/>
      <c r="B7663" s="1"/>
      <c r="C7663" s="1"/>
      <c r="D7663" s="1"/>
      <c r="E7663" s="1"/>
      <c r="F7663" s="1"/>
      <c r="G7663" s="1"/>
      <c r="H7663" s="1"/>
      <c r="I7663" s="1"/>
      <c r="J7663" s="1"/>
      <c r="K7663" s="102" t="s">
        <v>12001</v>
      </c>
      <c r="L7663" s="102" t="str">
        <f>Q1103</f>
        <v>J2b2a1a1a1a1a1a1a~</v>
      </c>
      <c r="M7663" s="102"/>
      <c r="N7663" s="102" t="s">
        <v>12002</v>
      </c>
      <c r="O7663" s="105">
        <v>1.6825702E7</v>
      </c>
      <c r="P7663" s="105">
        <v>1.4713822E7</v>
      </c>
      <c r="Q7663" s="102" t="s">
        <v>2529</v>
      </c>
      <c r="S7663" s="1"/>
      <c r="T7663" s="1"/>
      <c r="U7663" s="1"/>
      <c r="V7663" s="1"/>
      <c r="W7663" s="1"/>
      <c r="X7663" s="1"/>
      <c r="Y7663" s="1"/>
      <c r="AA7663" s="102"/>
      <c r="AB7663" s="1"/>
      <c r="AC7663" s="1"/>
      <c r="AD7663" s="1"/>
      <c r="AE7663" s="1"/>
      <c r="AF7663" s="1"/>
      <c r="AG7663" s="1"/>
    </row>
    <row r="7664" ht="15.75" customHeight="1">
      <c r="A7664" s="1"/>
      <c r="B7664" s="1"/>
      <c r="C7664" s="1"/>
      <c r="D7664" s="1"/>
      <c r="E7664" s="1"/>
      <c r="F7664" s="1"/>
      <c r="G7664" s="1"/>
      <c r="H7664" s="1"/>
      <c r="I7664" s="1"/>
      <c r="J7664" s="1"/>
      <c r="K7664" s="102" t="s">
        <v>12003</v>
      </c>
      <c r="L7664" s="102" t="str">
        <f t="shared" ref="L7664:L7665" si="195">Q1103</f>
        <v>J2b2a1a1a1a1a1a1a~</v>
      </c>
      <c r="M7664" s="102"/>
      <c r="N7664" s="102" t="s">
        <v>12004</v>
      </c>
      <c r="O7664" s="105">
        <v>1.8198342E7</v>
      </c>
      <c r="P7664" s="105">
        <v>1.6086462E7</v>
      </c>
      <c r="Q7664" s="102" t="s">
        <v>2529</v>
      </c>
      <c r="S7664" s="1"/>
      <c r="T7664" s="1"/>
      <c r="U7664" s="1"/>
      <c r="V7664" s="1"/>
      <c r="W7664" s="1"/>
      <c r="X7664" s="1"/>
      <c r="Y7664" s="1"/>
      <c r="AA7664" s="102"/>
      <c r="AB7664" s="1"/>
      <c r="AC7664" s="1"/>
      <c r="AD7664" s="1"/>
      <c r="AE7664" s="1"/>
      <c r="AF7664" s="1"/>
      <c r="AG7664" s="1"/>
    </row>
    <row r="7665" ht="15.75" customHeight="1">
      <c r="A7665" s="1"/>
      <c r="B7665" s="1"/>
      <c r="C7665" s="1"/>
      <c r="D7665" s="1"/>
      <c r="E7665" s="1"/>
      <c r="F7665" s="1"/>
      <c r="G7665" s="1"/>
      <c r="H7665" s="1"/>
      <c r="I7665" s="1"/>
      <c r="J7665" s="1"/>
      <c r="K7665" s="102" t="s">
        <v>2173</v>
      </c>
      <c r="L7665" s="102" t="str">
        <f t="shared" si="195"/>
        <v>J2b2a1a1a1a1a1a1b~</v>
      </c>
      <c r="M7665" s="102"/>
      <c r="N7665" s="102"/>
      <c r="O7665" s="105">
        <v>2.2859492E7</v>
      </c>
      <c r="P7665" s="105">
        <v>2.0697606E7</v>
      </c>
      <c r="Q7665" s="102" t="s">
        <v>2454</v>
      </c>
      <c r="S7665" s="1"/>
      <c r="T7665" s="1"/>
      <c r="U7665" s="1"/>
      <c r="V7665" s="1"/>
      <c r="W7665" s="1"/>
      <c r="X7665" s="1"/>
      <c r="Y7665" s="1"/>
      <c r="AA7665" s="102"/>
      <c r="AB7665" s="1"/>
      <c r="AC7665" s="1"/>
      <c r="AD7665" s="1"/>
      <c r="AE7665" s="1"/>
      <c r="AF7665" s="1"/>
      <c r="AG7665" s="1"/>
    </row>
    <row r="7666" ht="15.75" customHeight="1">
      <c r="A7666" s="1"/>
      <c r="B7666" s="1"/>
      <c r="C7666" s="1"/>
      <c r="D7666" s="1"/>
      <c r="E7666" s="1"/>
      <c r="F7666" s="1"/>
      <c r="G7666" s="1"/>
      <c r="H7666" s="1"/>
      <c r="I7666" s="1"/>
      <c r="J7666" s="1"/>
      <c r="K7666" s="102" t="s">
        <v>12005</v>
      </c>
      <c r="L7666" s="102" t="str">
        <f>R1105</f>
        <v>J2b2a1a1a1a1a1a1b1~</v>
      </c>
      <c r="M7666" s="102"/>
      <c r="N7666" s="102"/>
      <c r="O7666" s="105">
        <v>7747982.0</v>
      </c>
      <c r="P7666" s="105">
        <v>7879941.0</v>
      </c>
      <c r="Q7666" s="102" t="s">
        <v>2439</v>
      </c>
      <c r="S7666" s="1"/>
      <c r="T7666" s="1"/>
      <c r="U7666" s="1"/>
      <c r="V7666" s="1"/>
      <c r="W7666" s="1"/>
      <c r="X7666" s="1"/>
      <c r="Y7666" s="1"/>
      <c r="AA7666" s="102"/>
      <c r="AB7666" s="1"/>
      <c r="AC7666" s="1"/>
      <c r="AD7666" s="1"/>
      <c r="AE7666" s="1"/>
      <c r="AF7666" s="1"/>
      <c r="AG7666" s="1"/>
    </row>
    <row r="7667" ht="15.75" customHeight="1">
      <c r="A7667" s="1"/>
      <c r="B7667" s="1"/>
      <c r="C7667" s="1"/>
      <c r="D7667" s="1"/>
      <c r="E7667" s="1"/>
      <c r="F7667" s="1"/>
      <c r="G7667" s="1"/>
      <c r="H7667" s="1"/>
      <c r="I7667" s="1"/>
      <c r="J7667" s="1"/>
      <c r="K7667" s="102" t="s">
        <v>12006</v>
      </c>
      <c r="L7667" s="102" t="str">
        <f>R1105</f>
        <v>J2b2a1a1a1a1a1a1b1~</v>
      </c>
      <c r="M7667" s="102"/>
      <c r="N7667" s="102"/>
      <c r="O7667" s="105">
        <v>8477871.0</v>
      </c>
      <c r="P7667" s="105">
        <v>8609830.0</v>
      </c>
      <c r="Q7667" s="102" t="s">
        <v>2533</v>
      </c>
      <c r="S7667" s="1"/>
      <c r="T7667" s="1"/>
      <c r="U7667" s="1"/>
      <c r="V7667" s="1"/>
      <c r="W7667" s="1"/>
      <c r="X7667" s="1"/>
      <c r="Y7667" s="1"/>
      <c r="AA7667" s="102"/>
      <c r="AB7667" s="1"/>
      <c r="AC7667" s="1"/>
      <c r="AD7667" s="1"/>
      <c r="AE7667" s="1"/>
      <c r="AF7667" s="1"/>
      <c r="AG7667" s="1"/>
    </row>
    <row r="7668" ht="15.75" customHeight="1">
      <c r="A7668" s="1"/>
      <c r="B7668" s="1"/>
      <c r="C7668" s="1"/>
      <c r="D7668" s="1"/>
      <c r="E7668" s="1"/>
      <c r="F7668" s="1"/>
      <c r="G7668" s="1"/>
      <c r="H7668" s="1"/>
      <c r="I7668" s="1"/>
      <c r="J7668" s="1"/>
      <c r="K7668" s="102" t="s">
        <v>12007</v>
      </c>
      <c r="L7668" s="102" t="str">
        <f>R1105</f>
        <v>J2b2a1a1a1a1a1a1b1~</v>
      </c>
      <c r="M7668" s="102"/>
      <c r="N7668" s="102"/>
      <c r="O7668" s="105">
        <v>1.6906044E7</v>
      </c>
      <c r="P7668" s="105">
        <v>1.4794164E7</v>
      </c>
      <c r="Q7668" s="102" t="s">
        <v>2454</v>
      </c>
      <c r="S7668" s="1"/>
      <c r="T7668" s="1"/>
      <c r="U7668" s="1"/>
      <c r="V7668" s="1"/>
      <c r="W7668" s="1"/>
      <c r="X7668" s="1"/>
      <c r="Y7668" s="1"/>
      <c r="AA7668" s="102"/>
      <c r="AB7668" s="1"/>
      <c r="AC7668" s="1"/>
      <c r="AD7668" s="1"/>
      <c r="AE7668" s="1"/>
      <c r="AF7668" s="1"/>
      <c r="AG7668" s="1"/>
    </row>
    <row r="7669" ht="15.75" customHeight="1">
      <c r="A7669" s="1"/>
      <c r="B7669" s="1"/>
      <c r="C7669" s="1"/>
      <c r="D7669" s="1"/>
      <c r="E7669" s="1"/>
      <c r="F7669" s="1"/>
      <c r="G7669" s="1"/>
      <c r="H7669" s="1"/>
      <c r="I7669" s="1"/>
      <c r="J7669" s="1"/>
      <c r="K7669" s="102" t="s">
        <v>12008</v>
      </c>
      <c r="L7669" s="102" t="str">
        <f>R1105</f>
        <v>J2b2a1a1a1a1a1a1b1~</v>
      </c>
      <c r="M7669" s="102"/>
      <c r="N7669" s="102"/>
      <c r="O7669" s="105">
        <v>1.9261067E7</v>
      </c>
      <c r="P7669" s="105">
        <v>1.7149187E7</v>
      </c>
      <c r="Q7669" s="102" t="s">
        <v>2529</v>
      </c>
      <c r="S7669" s="1"/>
      <c r="T7669" s="1"/>
      <c r="U7669" s="1"/>
      <c r="V7669" s="1"/>
      <c r="W7669" s="1"/>
      <c r="X7669" s="1"/>
      <c r="Y7669" s="1"/>
      <c r="AA7669" s="102"/>
      <c r="AB7669" s="1"/>
      <c r="AC7669" s="1"/>
      <c r="AD7669" s="1"/>
      <c r="AE7669" s="1"/>
      <c r="AF7669" s="1"/>
      <c r="AG7669" s="1"/>
    </row>
    <row r="7670" ht="15.75" customHeight="1">
      <c r="A7670" s="1"/>
      <c r="B7670" s="1"/>
      <c r="C7670" s="1"/>
      <c r="D7670" s="1"/>
      <c r="E7670" s="1"/>
      <c r="F7670" s="1"/>
      <c r="G7670" s="1"/>
      <c r="H7670" s="1"/>
      <c r="I7670" s="1"/>
      <c r="J7670" s="1"/>
      <c r="K7670" s="102" t="s">
        <v>12009</v>
      </c>
      <c r="L7670" s="102" t="str">
        <f>R1105</f>
        <v>J2b2a1a1a1a1a1a1b1~</v>
      </c>
      <c r="M7670" s="102"/>
      <c r="N7670" s="102"/>
      <c r="O7670" s="105">
        <v>2.1342427E7</v>
      </c>
      <c r="P7670" s="105">
        <v>1.9180541E7</v>
      </c>
      <c r="Q7670" s="102" t="s">
        <v>2501</v>
      </c>
      <c r="S7670" s="1"/>
      <c r="T7670" s="1"/>
      <c r="U7670" s="1"/>
      <c r="V7670" s="1"/>
      <c r="W7670" s="1"/>
      <c r="X7670" s="1"/>
      <c r="Y7670" s="1"/>
      <c r="AA7670" s="102"/>
      <c r="AB7670" s="1"/>
      <c r="AC7670" s="1"/>
      <c r="AD7670" s="1"/>
      <c r="AE7670" s="1"/>
      <c r="AF7670" s="1"/>
      <c r="AG7670" s="1"/>
    </row>
    <row r="7671" ht="15.75" customHeight="1">
      <c r="A7671" s="1"/>
      <c r="B7671" s="1"/>
      <c r="C7671" s="1"/>
      <c r="D7671" s="1"/>
      <c r="E7671" s="1"/>
      <c r="F7671" s="1"/>
      <c r="G7671" s="1"/>
      <c r="H7671" s="1"/>
      <c r="I7671" s="1"/>
      <c r="J7671" s="1"/>
      <c r="K7671" s="102" t="s">
        <v>12010</v>
      </c>
      <c r="L7671" s="102" t="str">
        <f>R1105</f>
        <v>J2b2a1a1a1a1a1a1b1~</v>
      </c>
      <c r="M7671" s="102"/>
      <c r="N7671" s="102"/>
      <c r="O7671" s="105">
        <v>1.3848052E7</v>
      </c>
      <c r="P7671" s="105">
        <v>1.1727346E7</v>
      </c>
      <c r="Q7671" s="102" t="s">
        <v>2529</v>
      </c>
      <c r="S7671" s="1"/>
      <c r="T7671" s="1"/>
      <c r="U7671" s="1"/>
      <c r="V7671" s="1"/>
      <c r="W7671" s="1"/>
      <c r="X7671" s="1"/>
      <c r="Y7671" s="1"/>
      <c r="AA7671" s="102"/>
      <c r="AB7671" s="1"/>
      <c r="AC7671" s="1"/>
      <c r="AD7671" s="1"/>
      <c r="AE7671" s="1"/>
      <c r="AF7671" s="1"/>
      <c r="AG7671" s="1"/>
    </row>
    <row r="7672" ht="15.75" customHeight="1">
      <c r="A7672" s="1"/>
      <c r="B7672" s="1"/>
      <c r="C7672" s="1"/>
      <c r="D7672" s="1"/>
      <c r="E7672" s="1"/>
      <c r="F7672" s="1"/>
      <c r="G7672" s="1"/>
      <c r="H7672" s="1"/>
      <c r="I7672" s="1"/>
      <c r="J7672" s="1"/>
      <c r="K7672" s="102" t="s">
        <v>12011</v>
      </c>
      <c r="L7672" s="102" t="str">
        <f t="shared" ref="L7672:L7673" si="196">R1105</f>
        <v>J2b2a1a1a1a1a1a1b1~</v>
      </c>
      <c r="M7672" s="102"/>
      <c r="N7672" s="102"/>
      <c r="O7672" s="105">
        <v>1.7412676E7</v>
      </c>
      <c r="P7672" s="105">
        <v>1.5300796E7</v>
      </c>
      <c r="Q7672" s="102" t="s">
        <v>2439</v>
      </c>
      <c r="S7672" s="1"/>
      <c r="T7672" s="1"/>
      <c r="U7672" s="1"/>
      <c r="V7672" s="1"/>
      <c r="W7672" s="1"/>
      <c r="X7672" s="1"/>
      <c r="Y7672" s="1"/>
      <c r="AA7672" s="102"/>
      <c r="AB7672" s="1"/>
      <c r="AC7672" s="1"/>
      <c r="AD7672" s="1"/>
      <c r="AE7672" s="1"/>
      <c r="AF7672" s="1"/>
      <c r="AG7672" s="1"/>
    </row>
    <row r="7673" ht="15.75" customHeight="1">
      <c r="A7673" s="1"/>
      <c r="B7673" s="1"/>
      <c r="C7673" s="1"/>
      <c r="D7673" s="1"/>
      <c r="E7673" s="1"/>
      <c r="F7673" s="1"/>
      <c r="G7673" s="1"/>
      <c r="H7673" s="1"/>
      <c r="I7673" s="1"/>
      <c r="J7673" s="1"/>
      <c r="K7673" s="102" t="s">
        <v>12012</v>
      </c>
      <c r="L7673" s="102" t="str">
        <f t="shared" si="196"/>
        <v>J2b2a1a1a1a1a1a1b2~</v>
      </c>
      <c r="M7673" s="102"/>
      <c r="N7673" s="102"/>
      <c r="O7673" s="105">
        <v>1.9164846E7</v>
      </c>
      <c r="P7673" s="105">
        <v>1.7052966E7</v>
      </c>
      <c r="Q7673" s="102" t="s">
        <v>2501</v>
      </c>
      <c r="S7673" s="1"/>
      <c r="T7673" s="1"/>
      <c r="U7673" s="1"/>
      <c r="V7673" s="1"/>
      <c r="W7673" s="1"/>
      <c r="X7673" s="1"/>
      <c r="Y7673" s="1"/>
      <c r="AA7673" s="102"/>
      <c r="AB7673" s="1"/>
      <c r="AC7673" s="1"/>
      <c r="AD7673" s="1"/>
      <c r="AE7673" s="1"/>
      <c r="AF7673" s="1"/>
      <c r="AG7673" s="1"/>
    </row>
    <row r="7674" ht="15.75" customHeight="1">
      <c r="A7674" s="1"/>
      <c r="B7674" s="1"/>
      <c r="C7674" s="1"/>
      <c r="D7674" s="1"/>
      <c r="E7674" s="1"/>
      <c r="F7674" s="1"/>
      <c r="G7674" s="1"/>
      <c r="H7674" s="1"/>
      <c r="I7674" s="1"/>
      <c r="J7674" s="1"/>
      <c r="K7674" s="102" t="s">
        <v>12013</v>
      </c>
      <c r="L7674" s="102" t="str">
        <f>R1106</f>
        <v>J2b2a1a1a1a1a1a1b2~</v>
      </c>
      <c r="M7674" s="102"/>
      <c r="N7674" s="102"/>
      <c r="O7674" s="105">
        <v>7020431.0</v>
      </c>
      <c r="P7674" s="105">
        <v>7152390.0</v>
      </c>
      <c r="Q7674" s="102" t="s">
        <v>2439</v>
      </c>
      <c r="S7674" s="1"/>
      <c r="T7674" s="1"/>
      <c r="U7674" s="1"/>
      <c r="V7674" s="1"/>
      <c r="W7674" s="1"/>
      <c r="X7674" s="1"/>
      <c r="Y7674" s="1"/>
      <c r="AA7674" s="102"/>
      <c r="AB7674" s="1"/>
      <c r="AC7674" s="1"/>
      <c r="AD7674" s="1"/>
      <c r="AE7674" s="1"/>
      <c r="AF7674" s="1"/>
      <c r="AG7674" s="1"/>
    </row>
    <row r="7675" ht="15.75" customHeight="1">
      <c r="A7675" s="1"/>
      <c r="B7675" s="1"/>
      <c r="C7675" s="1"/>
      <c r="D7675" s="1"/>
      <c r="E7675" s="1"/>
      <c r="F7675" s="1"/>
      <c r="G7675" s="1"/>
      <c r="H7675" s="1"/>
      <c r="I7675" s="1"/>
      <c r="J7675" s="1"/>
      <c r="K7675" s="102" t="s">
        <v>12014</v>
      </c>
      <c r="L7675" s="102" t="str">
        <f>R1106</f>
        <v>J2b2a1a1a1a1a1a1b2~</v>
      </c>
      <c r="M7675" s="102"/>
      <c r="N7675" s="102"/>
      <c r="O7675" s="105">
        <v>1.5469306E7</v>
      </c>
      <c r="P7675" s="105">
        <v>1.3357426E7</v>
      </c>
      <c r="Q7675" s="102" t="s">
        <v>2439</v>
      </c>
      <c r="S7675" s="1"/>
      <c r="T7675" s="1"/>
      <c r="U7675" s="1"/>
      <c r="V7675" s="1"/>
      <c r="W7675" s="1"/>
      <c r="X7675" s="1"/>
      <c r="Y7675" s="1"/>
      <c r="AA7675" s="102"/>
      <c r="AB7675" s="1"/>
      <c r="AC7675" s="1"/>
      <c r="AD7675" s="1"/>
      <c r="AE7675" s="1"/>
      <c r="AF7675" s="1"/>
      <c r="AG7675" s="1"/>
    </row>
    <row r="7676" ht="15.75" customHeight="1">
      <c r="A7676" s="1"/>
      <c r="B7676" s="1"/>
      <c r="C7676" s="1"/>
      <c r="D7676" s="1"/>
      <c r="E7676" s="1"/>
      <c r="F7676" s="1"/>
      <c r="G7676" s="1"/>
      <c r="H7676" s="1"/>
      <c r="I7676" s="1"/>
      <c r="J7676" s="1"/>
      <c r="K7676" s="102" t="s">
        <v>12015</v>
      </c>
      <c r="L7676" s="102" t="str">
        <f>R1106</f>
        <v>J2b2a1a1a1a1a1a1b2~</v>
      </c>
      <c r="M7676" s="102"/>
      <c r="N7676" s="102"/>
      <c r="O7676" s="105">
        <v>2.111811E7</v>
      </c>
      <c r="P7676" s="105">
        <v>1.8956224E7</v>
      </c>
      <c r="Q7676" s="102" t="s">
        <v>2501</v>
      </c>
      <c r="S7676" s="1"/>
      <c r="T7676" s="1"/>
      <c r="U7676" s="1"/>
      <c r="V7676" s="1"/>
      <c r="W7676" s="1"/>
      <c r="X7676" s="1"/>
      <c r="Y7676" s="1"/>
      <c r="AA7676" s="102"/>
      <c r="AB7676" s="1"/>
      <c r="AC7676" s="1"/>
      <c r="AD7676" s="1"/>
      <c r="AE7676" s="1"/>
      <c r="AF7676" s="1"/>
      <c r="AG7676" s="1"/>
    </row>
    <row r="7677" ht="15.75" customHeight="1">
      <c r="A7677" s="1"/>
      <c r="B7677" s="1"/>
      <c r="C7677" s="1"/>
      <c r="D7677" s="1"/>
      <c r="E7677" s="1"/>
      <c r="F7677" s="1"/>
      <c r="G7677" s="1"/>
      <c r="H7677" s="1"/>
      <c r="I7677" s="1"/>
      <c r="J7677" s="1"/>
      <c r="K7677" s="102" t="s">
        <v>12016</v>
      </c>
      <c r="L7677" s="102" t="str">
        <f>R1106</f>
        <v>J2b2a1a1a1a1a1a1b2~</v>
      </c>
      <c r="M7677" s="102"/>
      <c r="N7677" s="102"/>
      <c r="O7677" s="105">
        <v>2888228.0</v>
      </c>
      <c r="P7677" s="105">
        <v>3020187.0</v>
      </c>
      <c r="Q7677" s="102" t="s">
        <v>2514</v>
      </c>
      <c r="S7677" s="1"/>
      <c r="T7677" s="1"/>
      <c r="U7677" s="1"/>
      <c r="V7677" s="1"/>
      <c r="W7677" s="1"/>
      <c r="X7677" s="1"/>
      <c r="Y7677" s="1"/>
      <c r="AA7677" s="102"/>
      <c r="AB7677" s="1"/>
      <c r="AC7677" s="1"/>
      <c r="AD7677" s="1"/>
      <c r="AE7677" s="1"/>
      <c r="AF7677" s="1"/>
      <c r="AG7677" s="1"/>
    </row>
    <row r="7678" ht="15.75" customHeight="1">
      <c r="A7678" s="1"/>
      <c r="B7678" s="1"/>
      <c r="C7678" s="1"/>
      <c r="D7678" s="1"/>
      <c r="E7678" s="1"/>
      <c r="F7678" s="1"/>
      <c r="G7678" s="1"/>
      <c r="H7678" s="1"/>
      <c r="I7678" s="1"/>
      <c r="J7678" s="1"/>
      <c r="K7678" s="102" t="s">
        <v>12017</v>
      </c>
      <c r="L7678" s="102" t="str">
        <f>R1106</f>
        <v>J2b2a1a1a1a1a1a1b2~</v>
      </c>
      <c r="M7678" s="102"/>
      <c r="N7678" s="102"/>
      <c r="O7678" s="105">
        <v>1.5861104E7</v>
      </c>
      <c r="P7678" s="105">
        <v>1.3749224E7</v>
      </c>
      <c r="Q7678" s="102" t="s">
        <v>2501</v>
      </c>
      <c r="S7678" s="1"/>
      <c r="T7678" s="1"/>
      <c r="U7678" s="1"/>
      <c r="V7678" s="1"/>
      <c r="W7678" s="1"/>
      <c r="X7678" s="1"/>
      <c r="Y7678" s="1"/>
      <c r="AA7678" s="102"/>
      <c r="AB7678" s="1"/>
      <c r="AC7678" s="1"/>
      <c r="AD7678" s="1"/>
      <c r="AE7678" s="1"/>
      <c r="AF7678" s="1"/>
      <c r="AG7678" s="1"/>
    </row>
    <row r="7679" ht="15.75" customHeight="1">
      <c r="A7679" s="1"/>
      <c r="B7679" s="1"/>
      <c r="C7679" s="1"/>
      <c r="D7679" s="1"/>
      <c r="E7679" s="1"/>
      <c r="F7679" s="1"/>
      <c r="G7679" s="1"/>
      <c r="H7679" s="1"/>
      <c r="I7679" s="1"/>
      <c r="J7679" s="1"/>
      <c r="K7679" s="102" t="s">
        <v>12018</v>
      </c>
      <c r="L7679" s="102" t="str">
        <f>R1106</f>
        <v>J2b2a1a1a1a1a1a1b2~</v>
      </c>
      <c r="M7679" s="102"/>
      <c r="N7679" s="102"/>
      <c r="O7679" s="105">
        <v>1.8181116E7</v>
      </c>
      <c r="P7679" s="105">
        <v>1.6069236E7</v>
      </c>
      <c r="Q7679" s="102" t="s">
        <v>2439</v>
      </c>
      <c r="S7679" s="1"/>
      <c r="T7679" s="1"/>
      <c r="U7679" s="1"/>
      <c r="V7679" s="1"/>
      <c r="W7679" s="1"/>
      <c r="X7679" s="1"/>
      <c r="Y7679" s="1"/>
      <c r="AA7679" s="102"/>
      <c r="AB7679" s="1"/>
      <c r="AC7679" s="1"/>
      <c r="AD7679" s="1"/>
      <c r="AE7679" s="1"/>
      <c r="AF7679" s="1"/>
      <c r="AG7679" s="1"/>
    </row>
    <row r="7680" ht="15.75" customHeight="1">
      <c r="A7680" s="1"/>
      <c r="B7680" s="1"/>
      <c r="C7680" s="1"/>
      <c r="D7680" s="1"/>
      <c r="E7680" s="1"/>
      <c r="F7680" s="1"/>
      <c r="G7680" s="1"/>
      <c r="H7680" s="1"/>
      <c r="I7680" s="1"/>
      <c r="J7680" s="1"/>
      <c r="K7680" s="102" t="s">
        <v>12019</v>
      </c>
      <c r="L7680" s="102" t="str">
        <f>R1106</f>
        <v>J2b2a1a1a1a1a1a1b2~</v>
      </c>
      <c r="M7680" s="102"/>
      <c r="N7680" s="102"/>
      <c r="O7680" s="105">
        <v>1.9347476E7</v>
      </c>
      <c r="P7680" s="105">
        <v>1.7235596E7</v>
      </c>
      <c r="Q7680" s="102" t="s">
        <v>2529</v>
      </c>
      <c r="S7680" s="1"/>
      <c r="T7680" s="1"/>
      <c r="U7680" s="1"/>
      <c r="V7680" s="1"/>
      <c r="W7680" s="1"/>
      <c r="X7680" s="1"/>
      <c r="Y7680" s="1"/>
      <c r="AA7680" s="102"/>
      <c r="AB7680" s="1"/>
      <c r="AC7680" s="1"/>
      <c r="AD7680" s="1"/>
      <c r="AE7680" s="1"/>
      <c r="AF7680" s="1"/>
      <c r="AG7680" s="1"/>
    </row>
    <row r="7681" ht="15.75" customHeight="1">
      <c r="A7681" s="1"/>
      <c r="B7681" s="1"/>
      <c r="C7681" s="1"/>
      <c r="D7681" s="1"/>
      <c r="E7681" s="1"/>
      <c r="F7681" s="1"/>
      <c r="G7681" s="1"/>
      <c r="H7681" s="1"/>
      <c r="I7681" s="1"/>
      <c r="J7681" s="1"/>
      <c r="K7681" s="102" t="s">
        <v>12020</v>
      </c>
      <c r="L7681" s="102" t="str">
        <f>R1106</f>
        <v>J2b2a1a1a1a1a1a1b2~</v>
      </c>
      <c r="M7681" s="102"/>
      <c r="N7681" s="102"/>
      <c r="O7681" s="105">
        <v>2.2822756E7</v>
      </c>
      <c r="P7681" s="105">
        <v>2.066087E7</v>
      </c>
      <c r="Q7681" s="102" t="s">
        <v>2423</v>
      </c>
      <c r="S7681" s="1"/>
      <c r="T7681" s="1"/>
      <c r="U7681" s="1"/>
      <c r="V7681" s="1"/>
      <c r="W7681" s="1"/>
      <c r="X7681" s="1"/>
      <c r="Y7681" s="1"/>
      <c r="AA7681" s="102"/>
      <c r="AB7681" s="1"/>
      <c r="AC7681" s="1"/>
      <c r="AD7681" s="1"/>
      <c r="AE7681" s="1"/>
      <c r="AF7681" s="1"/>
      <c r="AG7681" s="1"/>
    </row>
    <row r="7682" ht="15.75" customHeight="1">
      <c r="A7682" s="1"/>
      <c r="B7682" s="1"/>
      <c r="C7682" s="1"/>
      <c r="D7682" s="1"/>
      <c r="E7682" s="1"/>
      <c r="F7682" s="1"/>
      <c r="G7682" s="1"/>
      <c r="H7682" s="1"/>
      <c r="I7682" s="1"/>
      <c r="J7682" s="1"/>
      <c r="K7682" s="102" t="s">
        <v>12021</v>
      </c>
      <c r="L7682" s="102" t="str">
        <f>R1106</f>
        <v>J2b2a1a1a1a1a1a1b2~</v>
      </c>
      <c r="M7682" s="102"/>
      <c r="N7682" s="102"/>
      <c r="O7682" s="105">
        <v>2.3208718E7</v>
      </c>
      <c r="P7682" s="105">
        <v>2.1046832E7</v>
      </c>
      <c r="Q7682" s="102" t="s">
        <v>2501</v>
      </c>
      <c r="S7682" s="1"/>
      <c r="T7682" s="1"/>
      <c r="U7682" s="1"/>
      <c r="V7682" s="1"/>
      <c r="W7682" s="1"/>
      <c r="X7682" s="1"/>
      <c r="Y7682" s="1"/>
      <c r="AA7682" s="102"/>
      <c r="AB7682" s="1"/>
      <c r="AC7682" s="1"/>
      <c r="AD7682" s="1"/>
      <c r="AE7682" s="1"/>
      <c r="AF7682" s="1"/>
      <c r="AG7682" s="1"/>
    </row>
    <row r="7683" ht="15.75" customHeight="1">
      <c r="A7683" s="1"/>
      <c r="B7683" s="1"/>
      <c r="C7683" s="1"/>
      <c r="D7683" s="1"/>
      <c r="E7683" s="1"/>
      <c r="F7683" s="1"/>
      <c r="G7683" s="1"/>
      <c r="H7683" s="1"/>
      <c r="I7683" s="1"/>
      <c r="J7683" s="1"/>
      <c r="K7683" s="102" t="s">
        <v>12022</v>
      </c>
      <c r="L7683" s="102" t="str">
        <f>R1106</f>
        <v>J2b2a1a1a1a1a1a1b2~</v>
      </c>
      <c r="M7683" s="102"/>
      <c r="N7683" s="102"/>
      <c r="O7683" s="105">
        <v>1.3993071E7</v>
      </c>
      <c r="P7683" s="105">
        <v>1.1872365E7</v>
      </c>
      <c r="Q7683" s="102" t="s">
        <v>2529</v>
      </c>
      <c r="S7683" s="1"/>
      <c r="T7683" s="1"/>
      <c r="U7683" s="1"/>
      <c r="V7683" s="1"/>
      <c r="W7683" s="1"/>
      <c r="X7683" s="1"/>
      <c r="Y7683" s="1"/>
      <c r="AA7683" s="102"/>
      <c r="AB7683" s="1"/>
      <c r="AC7683" s="1"/>
      <c r="AD7683" s="1"/>
      <c r="AE7683" s="1"/>
      <c r="AF7683" s="1"/>
      <c r="AG7683" s="1"/>
    </row>
    <row r="7684" ht="15.75" customHeight="1">
      <c r="A7684" s="1"/>
      <c r="B7684" s="1"/>
      <c r="C7684" s="1"/>
      <c r="D7684" s="1"/>
      <c r="E7684" s="1"/>
      <c r="F7684" s="1"/>
      <c r="G7684" s="1"/>
      <c r="H7684" s="1"/>
      <c r="I7684" s="1"/>
      <c r="J7684" s="1"/>
      <c r="K7684" s="102" t="s">
        <v>12023</v>
      </c>
      <c r="L7684" s="102" t="str">
        <f>R1106</f>
        <v>J2b2a1a1a1a1a1a1b2~</v>
      </c>
      <c r="M7684" s="102"/>
      <c r="N7684" s="102"/>
      <c r="O7684" s="105">
        <v>8631825.0</v>
      </c>
      <c r="P7684" s="105">
        <v>8763784.0</v>
      </c>
      <c r="Q7684" s="102" t="s">
        <v>2501</v>
      </c>
      <c r="S7684" s="1"/>
      <c r="T7684" s="1"/>
      <c r="U7684" s="1"/>
      <c r="V7684" s="1"/>
      <c r="W7684" s="1"/>
      <c r="X7684" s="1"/>
      <c r="Y7684" s="1"/>
      <c r="AA7684" s="102"/>
      <c r="AB7684" s="1"/>
      <c r="AC7684" s="1"/>
      <c r="AD7684" s="1"/>
      <c r="AE7684" s="1"/>
      <c r="AF7684" s="1"/>
      <c r="AG7684" s="1"/>
    </row>
    <row r="7685" ht="15.75" customHeight="1">
      <c r="A7685" s="1"/>
      <c r="B7685" s="1"/>
      <c r="C7685" s="1"/>
      <c r="D7685" s="1"/>
      <c r="E7685" s="1"/>
      <c r="F7685" s="1"/>
      <c r="G7685" s="1"/>
      <c r="H7685" s="1"/>
      <c r="I7685" s="1"/>
      <c r="J7685" s="1"/>
      <c r="K7685" s="102" t="s">
        <v>12024</v>
      </c>
      <c r="L7685" s="102" t="str">
        <f>R1106</f>
        <v>J2b2a1a1a1a1a1a1b2~</v>
      </c>
      <c r="M7685" s="102"/>
      <c r="N7685" s="102"/>
      <c r="O7685" s="105">
        <v>1.7670573E7</v>
      </c>
      <c r="P7685" s="105">
        <v>1.5558693E7</v>
      </c>
      <c r="Q7685" s="102" t="s">
        <v>2468</v>
      </c>
      <c r="S7685" s="1"/>
      <c r="T7685" s="1"/>
      <c r="U7685" s="1"/>
      <c r="V7685" s="1"/>
      <c r="W7685" s="1"/>
      <c r="X7685" s="1"/>
      <c r="Y7685" s="1"/>
      <c r="AA7685" s="102"/>
      <c r="AB7685" s="1"/>
      <c r="AC7685" s="1"/>
      <c r="AD7685" s="1"/>
      <c r="AE7685" s="1"/>
      <c r="AF7685" s="1"/>
      <c r="AG7685" s="1"/>
    </row>
    <row r="7686" ht="15.75" customHeight="1">
      <c r="A7686" s="1"/>
      <c r="B7686" s="1"/>
      <c r="C7686" s="1"/>
      <c r="D7686" s="1"/>
      <c r="E7686" s="1"/>
      <c r="F7686" s="1"/>
      <c r="G7686" s="1"/>
      <c r="H7686" s="1"/>
      <c r="I7686" s="1"/>
      <c r="J7686" s="1"/>
      <c r="K7686" s="102" t="s">
        <v>12025</v>
      </c>
      <c r="L7686" s="102" t="str">
        <f>R1106</f>
        <v>J2b2a1a1a1a1a1a1b2~</v>
      </c>
      <c r="M7686" s="102"/>
      <c r="N7686" s="102"/>
      <c r="O7686" s="105">
        <v>1.8076822E7</v>
      </c>
      <c r="P7686" s="105">
        <v>1.5964942E7</v>
      </c>
      <c r="Q7686" s="102" t="s">
        <v>2501</v>
      </c>
      <c r="S7686" s="1"/>
      <c r="T7686" s="1"/>
      <c r="U7686" s="1"/>
      <c r="V7686" s="1"/>
      <c r="W7686" s="1"/>
      <c r="X7686" s="1"/>
      <c r="Y7686" s="1"/>
      <c r="AA7686" s="102"/>
      <c r="AB7686" s="1"/>
      <c r="AC7686" s="1"/>
      <c r="AD7686" s="1"/>
      <c r="AE7686" s="1"/>
      <c r="AF7686" s="1"/>
      <c r="AG7686" s="1"/>
    </row>
    <row r="7687" ht="15.75" customHeight="1">
      <c r="A7687" s="1"/>
      <c r="B7687" s="1"/>
      <c r="C7687" s="1"/>
      <c r="D7687" s="1"/>
      <c r="E7687" s="1"/>
      <c r="F7687" s="1"/>
      <c r="G7687" s="1"/>
      <c r="H7687" s="1"/>
      <c r="I7687" s="1"/>
      <c r="J7687" s="1"/>
      <c r="K7687" s="102" t="s">
        <v>12026</v>
      </c>
      <c r="L7687" s="102" t="str">
        <f>R1106</f>
        <v>J2b2a1a1a1a1a1a1b2~</v>
      </c>
      <c r="M7687" s="102"/>
      <c r="N7687" s="102"/>
      <c r="O7687" s="105">
        <v>2.3607119E7</v>
      </c>
      <c r="P7687" s="105">
        <v>2.1445233E7</v>
      </c>
      <c r="Q7687" s="102" t="s">
        <v>2468</v>
      </c>
      <c r="S7687" s="1"/>
      <c r="T7687" s="1"/>
      <c r="U7687" s="1"/>
      <c r="V7687" s="1"/>
      <c r="W7687" s="1"/>
      <c r="X7687" s="1"/>
      <c r="Y7687" s="1"/>
      <c r="AA7687" s="102"/>
      <c r="AB7687" s="1"/>
      <c r="AC7687" s="1"/>
      <c r="AD7687" s="1"/>
      <c r="AE7687" s="1"/>
      <c r="AF7687" s="1"/>
      <c r="AG7687" s="1"/>
    </row>
    <row r="7688" ht="15.75" customHeight="1">
      <c r="A7688" s="1"/>
      <c r="B7688" s="1"/>
      <c r="C7688" s="1"/>
      <c r="D7688" s="1"/>
      <c r="E7688" s="1"/>
      <c r="F7688" s="1"/>
      <c r="G7688" s="1"/>
      <c r="H7688" s="1"/>
      <c r="I7688" s="1"/>
      <c r="J7688" s="1"/>
      <c r="K7688" s="102" t="s">
        <v>12027</v>
      </c>
      <c r="L7688" s="102" t="str">
        <f>R1106</f>
        <v>J2b2a1a1a1a1a1a1b2~</v>
      </c>
      <c r="M7688" s="102"/>
      <c r="N7688" s="102"/>
      <c r="O7688" s="105">
        <v>1.9143262E7</v>
      </c>
      <c r="P7688" s="105">
        <v>1.7031382E7</v>
      </c>
      <c r="Q7688" s="102" t="s">
        <v>2533</v>
      </c>
      <c r="S7688" s="1"/>
      <c r="T7688" s="1"/>
      <c r="U7688" s="1"/>
      <c r="V7688" s="1"/>
      <c r="W7688" s="1"/>
      <c r="X7688" s="1"/>
      <c r="Y7688" s="1"/>
      <c r="AA7688" s="102"/>
      <c r="AB7688" s="1"/>
      <c r="AC7688" s="1"/>
      <c r="AD7688" s="1"/>
      <c r="AE7688" s="1"/>
      <c r="AF7688" s="1"/>
      <c r="AG7688" s="1"/>
    </row>
    <row r="7689" ht="15.75" customHeight="1">
      <c r="A7689" s="1"/>
      <c r="B7689" s="1"/>
      <c r="C7689" s="1"/>
      <c r="D7689" s="1"/>
      <c r="E7689" s="1"/>
      <c r="F7689" s="1"/>
      <c r="G7689" s="1"/>
      <c r="H7689" s="1"/>
      <c r="I7689" s="1"/>
      <c r="J7689" s="1"/>
      <c r="K7689" s="102" t="s">
        <v>12028</v>
      </c>
      <c r="L7689" s="102" t="str">
        <f>R1106</f>
        <v>J2b2a1a1a1a1a1a1b2~</v>
      </c>
      <c r="M7689" s="102"/>
      <c r="N7689" s="102"/>
      <c r="O7689" s="105">
        <v>1.3807261E7</v>
      </c>
      <c r="P7689" s="105">
        <v>1.1686555E7</v>
      </c>
      <c r="Q7689" s="102" t="s">
        <v>2529</v>
      </c>
      <c r="S7689" s="1"/>
      <c r="T7689" s="1"/>
      <c r="U7689" s="1"/>
      <c r="V7689" s="1"/>
      <c r="W7689" s="1"/>
      <c r="X7689" s="1"/>
      <c r="Y7689" s="1"/>
      <c r="AA7689" s="102"/>
      <c r="AB7689" s="1"/>
      <c r="AC7689" s="1"/>
      <c r="AD7689" s="1"/>
      <c r="AE7689" s="1"/>
      <c r="AF7689" s="1"/>
      <c r="AG7689" s="1"/>
    </row>
    <row r="7690" ht="15.75" customHeight="1">
      <c r="A7690" s="1"/>
      <c r="B7690" s="1"/>
      <c r="C7690" s="1"/>
      <c r="D7690" s="1"/>
      <c r="E7690" s="1"/>
      <c r="F7690" s="1"/>
      <c r="G7690" s="1"/>
      <c r="H7690" s="1"/>
      <c r="I7690" s="1"/>
      <c r="J7690" s="1"/>
      <c r="K7690" s="102" t="s">
        <v>12029</v>
      </c>
      <c r="L7690" s="102" t="str">
        <f>R1106</f>
        <v>J2b2a1a1a1a1a1a1b2~</v>
      </c>
      <c r="M7690" s="102"/>
      <c r="N7690" s="102"/>
      <c r="O7690" s="105">
        <v>1.7722529E7</v>
      </c>
      <c r="P7690" s="105">
        <v>1.5610649E7</v>
      </c>
      <c r="Q7690" s="102" t="s">
        <v>2501</v>
      </c>
      <c r="S7690" s="1"/>
      <c r="T7690" s="1"/>
      <c r="U7690" s="1"/>
      <c r="V7690" s="1"/>
      <c r="W7690" s="1"/>
      <c r="X7690" s="1"/>
      <c r="Y7690" s="1"/>
      <c r="AA7690" s="102"/>
      <c r="AB7690" s="1"/>
      <c r="AC7690" s="1"/>
      <c r="AD7690" s="1"/>
      <c r="AE7690" s="1"/>
      <c r="AF7690" s="1"/>
      <c r="AG7690" s="1"/>
    </row>
    <row r="7691" ht="15.75" customHeight="1">
      <c r="A7691" s="1"/>
      <c r="B7691" s="1"/>
      <c r="C7691" s="1"/>
      <c r="D7691" s="1"/>
      <c r="E7691" s="1"/>
      <c r="F7691" s="1"/>
      <c r="G7691" s="1"/>
      <c r="H7691" s="1"/>
      <c r="I7691" s="1"/>
      <c r="J7691" s="1"/>
      <c r="K7691" s="102" t="s">
        <v>12030</v>
      </c>
      <c r="L7691" s="102" t="str">
        <f>R1106</f>
        <v>J2b2a1a1a1a1a1a1b2~</v>
      </c>
      <c r="M7691" s="102"/>
      <c r="N7691" s="102" t="s">
        <v>4149</v>
      </c>
      <c r="O7691" s="105">
        <v>1.9141229E7</v>
      </c>
      <c r="P7691" s="105">
        <v>1.7029349E7</v>
      </c>
      <c r="Q7691" s="102" t="s">
        <v>2501</v>
      </c>
      <c r="S7691" s="1"/>
      <c r="T7691" s="1"/>
      <c r="U7691" s="1"/>
      <c r="V7691" s="1"/>
      <c r="W7691" s="1"/>
      <c r="X7691" s="1"/>
      <c r="Y7691" s="1"/>
      <c r="AA7691" s="102"/>
      <c r="AB7691" s="1"/>
      <c r="AC7691" s="1"/>
      <c r="AD7691" s="1"/>
      <c r="AE7691" s="1"/>
      <c r="AF7691" s="1"/>
      <c r="AG7691" s="1"/>
    </row>
    <row r="7692" ht="15.75" customHeight="1">
      <c r="A7692" s="1"/>
      <c r="B7692" s="1"/>
      <c r="C7692" s="1"/>
      <c r="D7692" s="1"/>
      <c r="E7692" s="1"/>
      <c r="F7692" s="1"/>
      <c r="G7692" s="1"/>
      <c r="H7692" s="1"/>
      <c r="I7692" s="1"/>
      <c r="J7692" s="1"/>
      <c r="K7692" s="102" t="s">
        <v>12031</v>
      </c>
      <c r="L7692" s="102" t="str">
        <f>S1107</f>
        <v>J2b2a1a1a1a1a1a1b2a~</v>
      </c>
      <c r="M7692" s="102"/>
      <c r="N7692" s="102" t="s">
        <v>12032</v>
      </c>
      <c r="O7692" s="105">
        <v>1.4154616E7</v>
      </c>
      <c r="P7692" s="105">
        <v>1.203391E7</v>
      </c>
      <c r="Q7692" s="102" t="s">
        <v>2501</v>
      </c>
      <c r="S7692" s="1"/>
      <c r="T7692" s="1"/>
      <c r="U7692" s="1"/>
      <c r="V7692" s="1"/>
      <c r="W7692" s="1"/>
      <c r="X7692" s="1"/>
      <c r="Y7692" s="1"/>
      <c r="AA7692" s="102"/>
      <c r="AB7692" s="1"/>
      <c r="AC7692" s="1"/>
      <c r="AD7692" s="1"/>
      <c r="AE7692" s="1"/>
      <c r="AF7692" s="1"/>
      <c r="AG7692" s="1"/>
    </row>
    <row r="7693" ht="15.75" customHeight="1">
      <c r="A7693" s="1"/>
      <c r="B7693" s="1"/>
      <c r="C7693" s="1"/>
      <c r="D7693" s="1"/>
      <c r="E7693" s="1"/>
      <c r="F7693" s="1"/>
      <c r="G7693" s="1"/>
      <c r="H7693" s="1"/>
      <c r="I7693" s="1"/>
      <c r="J7693" s="1"/>
      <c r="K7693" s="102" t="s">
        <v>12033</v>
      </c>
      <c r="L7693" s="102" t="str">
        <f>S1107</f>
        <v>J2b2a1a1a1a1a1a1b2a~</v>
      </c>
      <c r="M7693" s="102"/>
      <c r="N7693" s="102"/>
      <c r="O7693" s="105">
        <v>8377040.0</v>
      </c>
      <c r="P7693" s="105">
        <v>8508999.0</v>
      </c>
      <c r="Q7693" s="102" t="s">
        <v>2533</v>
      </c>
      <c r="S7693" s="1"/>
      <c r="T7693" s="1"/>
      <c r="U7693" s="1"/>
      <c r="V7693" s="1"/>
      <c r="W7693" s="1"/>
      <c r="X7693" s="1"/>
      <c r="Y7693" s="1"/>
      <c r="AA7693" s="102"/>
      <c r="AB7693" s="1"/>
      <c r="AC7693" s="1"/>
      <c r="AD7693" s="1"/>
      <c r="AE7693" s="1"/>
      <c r="AF7693" s="1"/>
      <c r="AG7693" s="1"/>
    </row>
    <row r="7694" ht="15.75" customHeight="1">
      <c r="A7694" s="1"/>
      <c r="B7694" s="1"/>
      <c r="C7694" s="1"/>
      <c r="D7694" s="1"/>
      <c r="E7694" s="1"/>
      <c r="F7694" s="1"/>
      <c r="G7694" s="1"/>
      <c r="H7694" s="1"/>
      <c r="I7694" s="1"/>
      <c r="J7694" s="1"/>
      <c r="K7694" s="102" t="s">
        <v>12034</v>
      </c>
      <c r="L7694" s="102" t="str">
        <f>S1107</f>
        <v>J2b2a1a1a1a1a1a1b2a~</v>
      </c>
      <c r="M7694" s="102"/>
      <c r="N7694" s="102"/>
      <c r="O7694" s="105">
        <v>1.4599347E7</v>
      </c>
      <c r="P7694" s="105">
        <v>1.2487547E7</v>
      </c>
      <c r="Q7694" s="102" t="s">
        <v>2501</v>
      </c>
      <c r="S7694" s="1"/>
      <c r="T7694" s="1"/>
      <c r="U7694" s="1"/>
      <c r="V7694" s="1"/>
      <c r="W7694" s="1"/>
      <c r="X7694" s="1"/>
      <c r="Y7694" s="1"/>
      <c r="AA7694" s="102"/>
      <c r="AB7694" s="1"/>
      <c r="AC7694" s="1"/>
      <c r="AD7694" s="1"/>
      <c r="AE7694" s="1"/>
      <c r="AF7694" s="1"/>
      <c r="AG7694" s="1"/>
    </row>
    <row r="7695" ht="15.75" customHeight="1">
      <c r="A7695" s="1"/>
      <c r="B7695" s="1"/>
      <c r="C7695" s="1"/>
      <c r="D7695" s="1"/>
      <c r="E7695" s="1"/>
      <c r="F7695" s="1"/>
      <c r="G7695" s="1"/>
      <c r="H7695" s="1"/>
      <c r="I7695" s="1"/>
      <c r="J7695" s="1"/>
      <c r="K7695" s="102" t="s">
        <v>12035</v>
      </c>
      <c r="L7695" s="102" t="str">
        <f>S1107</f>
        <v>J2b2a1a1a1a1a1a1b2a~</v>
      </c>
      <c r="M7695" s="102"/>
      <c r="N7695" s="102"/>
      <c r="O7695" s="105">
        <v>2.3623692E7</v>
      </c>
      <c r="P7695" s="105">
        <v>2.1461806E7</v>
      </c>
      <c r="Q7695" s="102" t="s">
        <v>2529</v>
      </c>
      <c r="S7695" s="1"/>
      <c r="T7695" s="1"/>
      <c r="U7695" s="1"/>
      <c r="V7695" s="1"/>
      <c r="W7695" s="1"/>
      <c r="X7695" s="1"/>
      <c r="Y7695" s="1"/>
      <c r="AA7695" s="102"/>
      <c r="AB7695" s="1"/>
      <c r="AC7695" s="1"/>
      <c r="AD7695" s="1"/>
      <c r="AE7695" s="1"/>
      <c r="AF7695" s="1"/>
      <c r="AG7695" s="1"/>
    </row>
    <row r="7696" ht="15.75" customHeight="1">
      <c r="A7696" s="1"/>
      <c r="B7696" s="1"/>
      <c r="C7696" s="1"/>
      <c r="D7696" s="1"/>
      <c r="E7696" s="1"/>
      <c r="F7696" s="1"/>
      <c r="G7696" s="1"/>
      <c r="H7696" s="1"/>
      <c r="I7696" s="1"/>
      <c r="J7696" s="1"/>
      <c r="K7696" s="102" t="s">
        <v>12036</v>
      </c>
      <c r="L7696" s="102" t="str">
        <f>S1107</f>
        <v>J2b2a1a1a1a1a1a1b2a~</v>
      </c>
      <c r="M7696" s="102"/>
      <c r="N7696" s="102"/>
      <c r="O7696" s="105">
        <v>7696777.0</v>
      </c>
      <c r="P7696" s="105">
        <v>7828736.0</v>
      </c>
      <c r="Q7696" s="102" t="s">
        <v>2533</v>
      </c>
      <c r="S7696" s="1"/>
      <c r="T7696" s="1"/>
      <c r="U7696" s="1"/>
      <c r="V7696" s="1"/>
      <c r="W7696" s="1"/>
      <c r="X7696" s="1"/>
      <c r="Y7696" s="1"/>
      <c r="AA7696" s="102"/>
      <c r="AB7696" s="1"/>
      <c r="AC7696" s="1"/>
      <c r="AD7696" s="1"/>
      <c r="AE7696" s="1"/>
      <c r="AF7696" s="1"/>
      <c r="AG7696" s="1"/>
    </row>
    <row r="7697" ht="15.75" customHeight="1">
      <c r="A7697" s="1"/>
      <c r="B7697" s="1"/>
      <c r="C7697" s="1"/>
      <c r="D7697" s="1"/>
      <c r="E7697" s="1"/>
      <c r="F7697" s="1"/>
      <c r="G7697" s="1"/>
      <c r="H7697" s="1"/>
      <c r="I7697" s="1"/>
      <c r="J7697" s="1"/>
      <c r="K7697" s="102" t="s">
        <v>2181</v>
      </c>
      <c r="L7697" s="102" t="str">
        <f t="shared" ref="L7697:L7700" si="197">Q1108</f>
        <v>J2b2a1a1a1a1a1a1c~</v>
      </c>
      <c r="M7697" s="102"/>
      <c r="N7697" s="102" t="s">
        <v>12037</v>
      </c>
      <c r="O7697" s="105">
        <v>1.4276923E7</v>
      </c>
      <c r="P7697" s="105">
        <v>1.2156217E7</v>
      </c>
      <c r="Q7697" s="102" t="s">
        <v>2501</v>
      </c>
      <c r="S7697" s="1"/>
      <c r="T7697" s="1"/>
      <c r="U7697" s="1"/>
      <c r="V7697" s="1"/>
      <c r="W7697" s="1"/>
      <c r="X7697" s="1"/>
      <c r="Y7697" s="1"/>
      <c r="AA7697" s="102"/>
      <c r="AB7697" s="1"/>
      <c r="AC7697" s="1"/>
      <c r="AD7697" s="1"/>
      <c r="AE7697" s="1"/>
      <c r="AF7697" s="1"/>
      <c r="AG7697" s="1"/>
    </row>
    <row r="7698" ht="15.75" customHeight="1">
      <c r="A7698" s="1"/>
      <c r="B7698" s="1"/>
      <c r="C7698" s="1"/>
      <c r="D7698" s="1"/>
      <c r="E7698" s="1"/>
      <c r="F7698" s="1"/>
      <c r="G7698" s="1"/>
      <c r="H7698" s="1"/>
      <c r="I7698" s="1"/>
      <c r="J7698" s="1"/>
      <c r="K7698" s="102" t="s">
        <v>2183</v>
      </c>
      <c r="L7698" s="102" t="str">
        <f t="shared" si="197"/>
        <v>J2b2a1a1a1a1a1a1d~</v>
      </c>
      <c r="M7698" s="102"/>
      <c r="N7698" s="102"/>
      <c r="O7698" s="105">
        <v>1.4149831E7</v>
      </c>
      <c r="P7698" s="105">
        <v>1.2029125E7</v>
      </c>
      <c r="Q7698" s="102" t="s">
        <v>2501</v>
      </c>
      <c r="S7698" s="1"/>
      <c r="T7698" s="1"/>
      <c r="U7698" s="1"/>
      <c r="V7698" s="1"/>
      <c r="W7698" s="1"/>
      <c r="X7698" s="1"/>
      <c r="Y7698" s="1"/>
      <c r="AA7698" s="102"/>
      <c r="AB7698" s="1"/>
      <c r="AC7698" s="1"/>
      <c r="AD7698" s="1"/>
      <c r="AE7698" s="1"/>
      <c r="AF7698" s="1"/>
      <c r="AG7698" s="1"/>
    </row>
    <row r="7699" ht="15.75" customHeight="1">
      <c r="A7699" s="1"/>
      <c r="B7699" s="1"/>
      <c r="C7699" s="1"/>
      <c r="D7699" s="1"/>
      <c r="E7699" s="1"/>
      <c r="F7699" s="1"/>
      <c r="G7699" s="1"/>
      <c r="H7699" s="1"/>
      <c r="I7699" s="1"/>
      <c r="J7699" s="1"/>
      <c r="K7699" s="102" t="s">
        <v>2185</v>
      </c>
      <c r="L7699" s="102" t="str">
        <f t="shared" si="197"/>
        <v>J2b2a1a1a1a1a1a1e~</v>
      </c>
      <c r="M7699" s="102"/>
      <c r="N7699" s="102" t="s">
        <v>12038</v>
      </c>
      <c r="O7699" s="105">
        <v>2.3254948E7</v>
      </c>
      <c r="P7699" s="105">
        <v>2.1093062E7</v>
      </c>
      <c r="Q7699" s="102" t="s">
        <v>2501</v>
      </c>
      <c r="S7699" s="1"/>
      <c r="T7699" s="1"/>
      <c r="U7699" s="1"/>
      <c r="V7699" s="1"/>
      <c r="W7699" s="1"/>
      <c r="X7699" s="1"/>
      <c r="Y7699" s="1"/>
      <c r="AA7699" s="102"/>
      <c r="AB7699" s="1"/>
      <c r="AC7699" s="1"/>
      <c r="AD7699" s="1"/>
      <c r="AE7699" s="1"/>
      <c r="AF7699" s="1"/>
      <c r="AG7699" s="1"/>
    </row>
    <row r="7700" ht="15.75" customHeight="1">
      <c r="A7700" s="1"/>
      <c r="B7700" s="1"/>
      <c r="C7700" s="1"/>
      <c r="D7700" s="1"/>
      <c r="E7700" s="1"/>
      <c r="F7700" s="1"/>
      <c r="G7700" s="1"/>
      <c r="H7700" s="1"/>
      <c r="I7700" s="1"/>
      <c r="J7700" s="1"/>
      <c r="K7700" s="102" t="s">
        <v>2187</v>
      </c>
      <c r="L7700" s="102" t="str">
        <f t="shared" si="197"/>
        <v>J2b2a1a1a1a1a1a1f~</v>
      </c>
      <c r="M7700" s="102"/>
      <c r="N7700" s="102"/>
      <c r="O7700" s="105">
        <v>2.3970087E7</v>
      </c>
      <c r="P7700" s="105">
        <v>2.182394E7</v>
      </c>
      <c r="Q7700" s="102" t="s">
        <v>2501</v>
      </c>
      <c r="S7700" s="1"/>
      <c r="T7700" s="1"/>
      <c r="U7700" s="1"/>
      <c r="V7700" s="1"/>
      <c r="W7700" s="1"/>
      <c r="X7700" s="1"/>
      <c r="Y7700" s="1"/>
      <c r="AA7700" s="102"/>
      <c r="AB7700" s="1"/>
      <c r="AC7700" s="1"/>
      <c r="AD7700" s="1"/>
      <c r="AE7700" s="1"/>
      <c r="AF7700" s="1"/>
      <c r="AG7700" s="1"/>
    </row>
    <row r="7701" ht="15.75" customHeight="1">
      <c r="A7701" s="1"/>
      <c r="B7701" s="1"/>
      <c r="C7701" s="1"/>
      <c r="D7701" s="1"/>
      <c r="E7701" s="1"/>
      <c r="F7701" s="1"/>
      <c r="G7701" s="1"/>
      <c r="H7701" s="1"/>
      <c r="I7701" s="1"/>
      <c r="J7701" s="1"/>
      <c r="K7701" s="102" t="s">
        <v>12039</v>
      </c>
      <c r="L7701" s="102" t="str">
        <f>R1112</f>
        <v>J2b2a1a1a1a1a1a1f1~</v>
      </c>
      <c r="M7701" s="102"/>
      <c r="N7701" s="102"/>
      <c r="O7701" s="105">
        <v>1.4744859E7</v>
      </c>
      <c r="P7701" s="105">
        <v>1.2632928E7</v>
      </c>
      <c r="Q7701" s="102" t="s">
        <v>2563</v>
      </c>
      <c r="S7701" s="1"/>
      <c r="T7701" s="1"/>
      <c r="U7701" s="1"/>
      <c r="V7701" s="1"/>
      <c r="W7701" s="1"/>
      <c r="X7701" s="1"/>
      <c r="Y7701" s="1"/>
      <c r="AA7701" s="102"/>
      <c r="AB7701" s="1"/>
      <c r="AC7701" s="1"/>
      <c r="AD7701" s="1"/>
      <c r="AE7701" s="1"/>
      <c r="AF7701" s="1"/>
      <c r="AG7701" s="1"/>
    </row>
    <row r="7702" ht="15.75" customHeight="1">
      <c r="A7702" s="1"/>
      <c r="B7702" s="1"/>
      <c r="C7702" s="1"/>
      <c r="D7702" s="1"/>
      <c r="E7702" s="1"/>
      <c r="F7702" s="1"/>
      <c r="G7702" s="1"/>
      <c r="H7702" s="1"/>
      <c r="I7702" s="1"/>
      <c r="J7702" s="1"/>
      <c r="K7702" s="102" t="s">
        <v>12040</v>
      </c>
      <c r="L7702" s="102" t="str">
        <f>R1112</f>
        <v>J2b2a1a1a1a1a1a1f1~</v>
      </c>
      <c r="M7702" s="102"/>
      <c r="N7702" s="102"/>
      <c r="O7702" s="105">
        <v>1.8764017E7</v>
      </c>
      <c r="P7702" s="105">
        <v>1.6652137E7</v>
      </c>
      <c r="Q7702" s="102" t="s">
        <v>2432</v>
      </c>
      <c r="S7702" s="1"/>
      <c r="T7702" s="1"/>
      <c r="U7702" s="1"/>
      <c r="V7702" s="1"/>
      <c r="W7702" s="1"/>
      <c r="X7702" s="1"/>
      <c r="Y7702" s="1"/>
      <c r="AA7702" s="102"/>
      <c r="AB7702" s="1"/>
      <c r="AC7702" s="1"/>
      <c r="AD7702" s="1"/>
      <c r="AE7702" s="1"/>
      <c r="AF7702" s="1"/>
      <c r="AG7702" s="1"/>
    </row>
    <row r="7703" ht="15.75" customHeight="1">
      <c r="A7703" s="1"/>
      <c r="B7703" s="1"/>
      <c r="C7703" s="1"/>
      <c r="D7703" s="1"/>
      <c r="E7703" s="1"/>
      <c r="F7703" s="1"/>
      <c r="G7703" s="1"/>
      <c r="H7703" s="1"/>
      <c r="I7703" s="1"/>
      <c r="J7703" s="1"/>
      <c r="K7703" s="102" t="s">
        <v>12041</v>
      </c>
      <c r="L7703" s="102" t="str">
        <f>R1112</f>
        <v>J2b2a1a1a1a1a1a1f1~</v>
      </c>
      <c r="M7703" s="102"/>
      <c r="N7703" s="102"/>
      <c r="O7703" s="105">
        <v>1.9139632E7</v>
      </c>
      <c r="P7703" s="105">
        <v>1.7027752E7</v>
      </c>
      <c r="Q7703" s="102" t="s">
        <v>2439</v>
      </c>
      <c r="S7703" s="1"/>
      <c r="T7703" s="1"/>
      <c r="U7703" s="1"/>
      <c r="V7703" s="1"/>
      <c r="W7703" s="1"/>
      <c r="X7703" s="1"/>
      <c r="Y7703" s="1"/>
      <c r="AA7703" s="102"/>
      <c r="AB7703" s="1"/>
      <c r="AC7703" s="1"/>
      <c r="AD7703" s="1"/>
      <c r="AE7703" s="1"/>
      <c r="AF7703" s="1"/>
      <c r="AG7703" s="1"/>
    </row>
    <row r="7704" ht="15.75" customHeight="1">
      <c r="A7704" s="1"/>
      <c r="B7704" s="1"/>
      <c r="C7704" s="1"/>
      <c r="D7704" s="1"/>
      <c r="E7704" s="1"/>
      <c r="F7704" s="1"/>
      <c r="G7704" s="1"/>
      <c r="H7704" s="1"/>
      <c r="I7704" s="1"/>
      <c r="J7704" s="1"/>
      <c r="K7704" s="102" t="s">
        <v>12042</v>
      </c>
      <c r="L7704" s="102" t="str">
        <f>R1112</f>
        <v>J2b2a1a1a1a1a1a1f1~</v>
      </c>
      <c r="M7704" s="102"/>
      <c r="N7704" s="102"/>
      <c r="O7704" s="105">
        <v>2.150878E7</v>
      </c>
      <c r="P7704" s="105">
        <v>1.9346894E7</v>
      </c>
      <c r="Q7704" s="102" t="s">
        <v>2468</v>
      </c>
      <c r="S7704" s="1"/>
      <c r="T7704" s="1"/>
      <c r="U7704" s="1"/>
      <c r="V7704" s="1"/>
      <c r="W7704" s="1"/>
      <c r="X7704" s="1"/>
      <c r="Y7704" s="1"/>
      <c r="AA7704" s="102"/>
      <c r="AB7704" s="1"/>
      <c r="AC7704" s="1"/>
      <c r="AD7704" s="1"/>
      <c r="AE7704" s="1"/>
      <c r="AF7704" s="1"/>
      <c r="AG7704" s="1"/>
    </row>
    <row r="7705" ht="15.75" customHeight="1">
      <c r="A7705" s="1"/>
      <c r="B7705" s="1"/>
      <c r="C7705" s="1"/>
      <c r="D7705" s="1"/>
      <c r="E7705" s="1"/>
      <c r="F7705" s="1"/>
      <c r="G7705" s="1"/>
      <c r="H7705" s="1"/>
      <c r="I7705" s="1"/>
      <c r="J7705" s="1"/>
      <c r="K7705" s="102" t="s">
        <v>12043</v>
      </c>
      <c r="L7705" s="102" t="str">
        <f>R1112</f>
        <v>J2b2a1a1a1a1a1a1f1~</v>
      </c>
      <c r="M7705" s="102"/>
      <c r="N7705" s="102"/>
      <c r="O7705" s="105">
        <v>2.1521652E7</v>
      </c>
      <c r="P7705" s="105">
        <v>1.9359766E7</v>
      </c>
      <c r="Q7705" s="102" t="s">
        <v>2468</v>
      </c>
      <c r="S7705" s="1"/>
      <c r="T7705" s="1"/>
      <c r="U7705" s="1"/>
      <c r="V7705" s="1"/>
      <c r="W7705" s="1"/>
      <c r="X7705" s="1"/>
      <c r="Y7705" s="1"/>
      <c r="AA7705" s="102"/>
      <c r="AB7705" s="1"/>
      <c r="AC7705" s="1"/>
      <c r="AD7705" s="1"/>
      <c r="AE7705" s="1"/>
      <c r="AF7705" s="1"/>
      <c r="AG7705" s="1"/>
    </row>
    <row r="7706" ht="15.75" customHeight="1">
      <c r="A7706" s="1"/>
      <c r="B7706" s="1"/>
      <c r="C7706" s="1"/>
      <c r="D7706" s="1"/>
      <c r="E7706" s="1"/>
      <c r="F7706" s="1"/>
      <c r="G7706" s="1"/>
      <c r="H7706" s="1"/>
      <c r="I7706" s="1"/>
      <c r="J7706" s="1"/>
      <c r="K7706" s="102" t="s">
        <v>12044</v>
      </c>
      <c r="L7706" s="102" t="str">
        <f>R1112</f>
        <v>J2b2a1a1a1a1a1a1f1~</v>
      </c>
      <c r="M7706" s="102"/>
      <c r="N7706" s="102"/>
      <c r="O7706" s="105">
        <v>2.1813182E7</v>
      </c>
      <c r="P7706" s="105">
        <v>1.9651296E7</v>
      </c>
      <c r="Q7706" s="102" t="s">
        <v>2446</v>
      </c>
      <c r="S7706" s="1"/>
      <c r="T7706" s="1"/>
      <c r="U7706" s="1"/>
      <c r="V7706" s="1"/>
      <c r="W7706" s="1"/>
      <c r="X7706" s="1"/>
      <c r="Y7706" s="1"/>
      <c r="AA7706" s="102"/>
      <c r="AB7706" s="1"/>
      <c r="AC7706" s="1"/>
      <c r="AD7706" s="1"/>
      <c r="AE7706" s="1"/>
      <c r="AF7706" s="1"/>
      <c r="AG7706" s="1"/>
    </row>
    <row r="7707" ht="15.75" customHeight="1">
      <c r="A7707" s="1"/>
      <c r="B7707" s="1"/>
      <c r="C7707" s="1"/>
      <c r="D7707" s="1"/>
      <c r="E7707" s="1"/>
      <c r="F7707" s="1"/>
      <c r="G7707" s="1"/>
      <c r="H7707" s="1"/>
      <c r="I7707" s="1"/>
      <c r="J7707" s="1"/>
      <c r="K7707" s="102" t="s">
        <v>12045</v>
      </c>
      <c r="L7707" s="102" t="str">
        <f>R1112</f>
        <v>J2b2a1a1a1a1a1a1f1~</v>
      </c>
      <c r="M7707" s="102"/>
      <c r="N7707" s="102"/>
      <c r="O7707" s="105">
        <v>7166706.0</v>
      </c>
      <c r="P7707" s="105">
        <v>7298665.0</v>
      </c>
      <c r="Q7707" s="102" t="s">
        <v>2439</v>
      </c>
      <c r="S7707" s="1"/>
      <c r="T7707" s="1"/>
      <c r="U7707" s="1"/>
      <c r="V7707" s="1"/>
      <c r="W7707" s="1"/>
      <c r="X7707" s="1"/>
      <c r="Y7707" s="1"/>
      <c r="AA7707" s="102"/>
      <c r="AB7707" s="1"/>
      <c r="AC7707" s="1"/>
      <c r="AD7707" s="1"/>
      <c r="AE7707" s="1"/>
      <c r="AF7707" s="1"/>
      <c r="AG7707" s="1"/>
    </row>
    <row r="7708" ht="15.75" customHeight="1">
      <c r="A7708" s="1"/>
      <c r="B7708" s="1"/>
      <c r="C7708" s="1"/>
      <c r="D7708" s="1"/>
      <c r="E7708" s="1"/>
      <c r="F7708" s="1"/>
      <c r="G7708" s="1"/>
      <c r="H7708" s="1"/>
      <c r="I7708" s="1"/>
      <c r="J7708" s="1"/>
      <c r="K7708" s="102" t="s">
        <v>12046</v>
      </c>
      <c r="L7708" s="102" t="str">
        <f>S1113</f>
        <v>J2b2a1a1a1a1a1a1f1a~</v>
      </c>
      <c r="M7708" s="102"/>
      <c r="N7708" s="102"/>
      <c r="O7708" s="105">
        <v>1.4820693E7</v>
      </c>
      <c r="P7708" s="105">
        <v>1.270876E7</v>
      </c>
      <c r="Q7708" s="102" t="s">
        <v>2454</v>
      </c>
      <c r="S7708" s="1"/>
      <c r="T7708" s="1"/>
      <c r="U7708" s="1"/>
      <c r="V7708" s="1"/>
      <c r="W7708" s="1"/>
      <c r="X7708" s="1"/>
      <c r="Y7708" s="1"/>
      <c r="AA7708" s="102"/>
      <c r="AB7708" s="1"/>
      <c r="AC7708" s="1"/>
      <c r="AD7708" s="1"/>
      <c r="AE7708" s="1"/>
      <c r="AF7708" s="1"/>
      <c r="AG7708" s="1"/>
    </row>
    <row r="7709" ht="15.75" customHeight="1">
      <c r="A7709" s="1"/>
      <c r="B7709" s="1"/>
      <c r="C7709" s="1"/>
      <c r="D7709" s="1"/>
      <c r="E7709" s="1"/>
      <c r="F7709" s="1"/>
      <c r="G7709" s="1"/>
      <c r="H7709" s="1"/>
      <c r="I7709" s="1"/>
      <c r="J7709" s="1"/>
      <c r="K7709" s="102" t="s">
        <v>12047</v>
      </c>
      <c r="L7709" s="102" t="str">
        <f>S1113</f>
        <v>J2b2a1a1a1a1a1a1f1a~</v>
      </c>
      <c r="M7709" s="102"/>
      <c r="N7709" s="102"/>
      <c r="O7709" s="105">
        <v>1.943948E7</v>
      </c>
      <c r="P7709" s="105">
        <v>1.73276E7</v>
      </c>
      <c r="Q7709" s="102" t="s">
        <v>2439</v>
      </c>
      <c r="S7709" s="1"/>
      <c r="T7709" s="1"/>
      <c r="U7709" s="1"/>
      <c r="V7709" s="1"/>
      <c r="W7709" s="1"/>
      <c r="X7709" s="1"/>
      <c r="Y7709" s="1"/>
      <c r="AA7709" s="102"/>
      <c r="AB7709" s="1"/>
      <c r="AC7709" s="1"/>
      <c r="AD7709" s="1"/>
      <c r="AE7709" s="1"/>
      <c r="AF7709" s="1"/>
      <c r="AG7709" s="1"/>
    </row>
    <row r="7710" ht="15.75" customHeight="1">
      <c r="A7710" s="1"/>
      <c r="B7710" s="1"/>
      <c r="C7710" s="1"/>
      <c r="D7710" s="1"/>
      <c r="E7710" s="1"/>
      <c r="F7710" s="1"/>
      <c r="G7710" s="1"/>
      <c r="H7710" s="1"/>
      <c r="I7710" s="1"/>
      <c r="J7710" s="1"/>
      <c r="K7710" s="102" t="s">
        <v>12048</v>
      </c>
      <c r="L7710" s="102" t="str">
        <f>S1113</f>
        <v>J2b2a1a1a1a1a1a1f1a~</v>
      </c>
      <c r="M7710" s="102"/>
      <c r="N7710" s="102"/>
      <c r="O7710" s="105">
        <v>1.6324185E7</v>
      </c>
      <c r="P7710" s="105">
        <v>1.4212305E7</v>
      </c>
      <c r="Q7710" s="102" t="s">
        <v>2423</v>
      </c>
      <c r="S7710" s="1"/>
      <c r="T7710" s="1"/>
      <c r="U7710" s="1"/>
      <c r="V7710" s="1"/>
      <c r="W7710" s="1"/>
      <c r="X7710" s="1"/>
      <c r="Y7710" s="1"/>
      <c r="AA7710" s="102"/>
      <c r="AB7710" s="1"/>
      <c r="AC7710" s="1"/>
      <c r="AD7710" s="1"/>
      <c r="AE7710" s="1"/>
      <c r="AF7710" s="1"/>
      <c r="AG7710" s="1"/>
    </row>
    <row r="7711" ht="15.75" customHeight="1">
      <c r="A7711" s="1"/>
      <c r="B7711" s="1"/>
      <c r="C7711" s="1"/>
      <c r="D7711" s="1"/>
      <c r="E7711" s="1"/>
      <c r="F7711" s="1"/>
      <c r="G7711" s="1"/>
      <c r="H7711" s="1"/>
      <c r="I7711" s="1"/>
      <c r="J7711" s="1"/>
      <c r="K7711" s="102" t="s">
        <v>12049</v>
      </c>
      <c r="L7711" s="102" t="str">
        <f t="shared" ref="L7711:L7712" si="198">S1113</f>
        <v>J2b2a1a1a1a1a1a1f1a~</v>
      </c>
      <c r="M7711" s="102"/>
      <c r="N7711" s="102"/>
      <c r="O7711" s="105">
        <v>2.309712E7</v>
      </c>
      <c r="P7711" s="105">
        <v>2.0935234E7</v>
      </c>
      <c r="Q7711" s="102" t="s">
        <v>2533</v>
      </c>
      <c r="S7711" s="1"/>
      <c r="T7711" s="1"/>
      <c r="U7711" s="1"/>
      <c r="V7711" s="1"/>
      <c r="W7711" s="1"/>
      <c r="X7711" s="1"/>
      <c r="Y7711" s="1"/>
      <c r="AA7711" s="102"/>
      <c r="AB7711" s="1"/>
      <c r="AC7711" s="1"/>
      <c r="AD7711" s="1"/>
      <c r="AE7711" s="1"/>
      <c r="AF7711" s="1"/>
      <c r="AG7711" s="1"/>
    </row>
    <row r="7712" ht="15.75" customHeight="1">
      <c r="A7712" s="1"/>
      <c r="B7712" s="1"/>
      <c r="C7712" s="1"/>
      <c r="D7712" s="1"/>
      <c r="E7712" s="1"/>
      <c r="F7712" s="1"/>
      <c r="G7712" s="1"/>
      <c r="H7712" s="1"/>
      <c r="I7712" s="1"/>
      <c r="J7712" s="1"/>
      <c r="K7712" s="102" t="s">
        <v>2193</v>
      </c>
      <c r="L7712" s="102" t="str">
        <f t="shared" si="198"/>
        <v>J2b2a1a1a1a1a1a1f1b~</v>
      </c>
      <c r="M7712" s="102"/>
      <c r="N7712" s="102"/>
      <c r="O7712" s="105">
        <v>1.5903299E7</v>
      </c>
      <c r="P7712" s="105">
        <v>1.3791419E7</v>
      </c>
      <c r="Q7712" s="102" t="s">
        <v>2514</v>
      </c>
      <c r="S7712" s="1"/>
      <c r="T7712" s="1"/>
      <c r="U7712" s="1"/>
      <c r="V7712" s="1"/>
      <c r="W7712" s="1"/>
      <c r="X7712" s="1"/>
      <c r="Y7712" s="1"/>
      <c r="AA7712" s="102"/>
      <c r="AB7712" s="1"/>
      <c r="AC7712" s="1"/>
      <c r="AD7712" s="1"/>
      <c r="AE7712" s="1"/>
      <c r="AF7712" s="1"/>
      <c r="AG7712" s="1"/>
    </row>
    <row r="7713" ht="15.75" customHeight="1">
      <c r="A7713" s="1"/>
      <c r="B7713" s="1"/>
      <c r="C7713" s="1"/>
      <c r="D7713" s="1"/>
      <c r="E7713" s="1"/>
      <c r="F7713" s="1"/>
      <c r="G7713" s="1"/>
      <c r="H7713" s="1"/>
      <c r="I7713" s="1"/>
      <c r="J7713" s="1"/>
      <c r="K7713" s="102" t="s">
        <v>12050</v>
      </c>
      <c r="L7713" s="102" t="str">
        <f>T1115</f>
        <v>J2b2a1a1a1a1a1a1f1b1~</v>
      </c>
      <c r="M7713" s="102"/>
      <c r="N7713" s="102"/>
      <c r="O7713" s="105">
        <v>1.7411235E7</v>
      </c>
      <c r="P7713" s="105">
        <v>1.5299355E7</v>
      </c>
      <c r="Q7713" s="102" t="s">
        <v>2533</v>
      </c>
      <c r="S7713" s="1"/>
      <c r="T7713" s="1"/>
      <c r="U7713" s="1"/>
      <c r="V7713" s="1"/>
      <c r="W7713" s="1"/>
      <c r="X7713" s="1"/>
      <c r="Y7713" s="1"/>
      <c r="AA7713" s="102"/>
      <c r="AB7713" s="1"/>
      <c r="AC7713" s="1"/>
      <c r="AD7713" s="1"/>
      <c r="AE7713" s="1"/>
      <c r="AF7713" s="1"/>
      <c r="AG7713" s="1"/>
    </row>
    <row r="7714" ht="15.75" customHeight="1">
      <c r="A7714" s="1"/>
      <c r="B7714" s="1"/>
      <c r="C7714" s="1"/>
      <c r="D7714" s="1"/>
      <c r="E7714" s="1"/>
      <c r="F7714" s="1"/>
      <c r="G7714" s="1"/>
      <c r="H7714" s="1"/>
      <c r="I7714" s="1"/>
      <c r="J7714" s="1"/>
      <c r="K7714" s="102" t="s">
        <v>12051</v>
      </c>
      <c r="L7714" s="102" t="str">
        <f>T1115</f>
        <v>J2b2a1a1a1a1a1a1f1b1~</v>
      </c>
      <c r="M7714" s="102"/>
      <c r="N7714" s="102"/>
      <c r="O7714" s="105">
        <v>2.1361876E7</v>
      </c>
      <c r="P7714" s="105">
        <v>1.919999E7</v>
      </c>
      <c r="Q7714" s="102" t="s">
        <v>2514</v>
      </c>
      <c r="S7714" s="1"/>
      <c r="T7714" s="1"/>
      <c r="U7714" s="1"/>
      <c r="V7714" s="1"/>
      <c r="W7714" s="1"/>
      <c r="X7714" s="1"/>
      <c r="Y7714" s="1"/>
      <c r="AA7714" s="102"/>
      <c r="AB7714" s="1"/>
      <c r="AC7714" s="1"/>
      <c r="AD7714" s="1"/>
      <c r="AE7714" s="1"/>
      <c r="AF7714" s="1"/>
      <c r="AG7714" s="1"/>
    </row>
    <row r="7715" ht="15.75" customHeight="1">
      <c r="A7715" s="1"/>
      <c r="B7715" s="1"/>
      <c r="C7715" s="1"/>
      <c r="D7715" s="1"/>
      <c r="E7715" s="1"/>
      <c r="F7715" s="1"/>
      <c r="G7715" s="1"/>
      <c r="H7715" s="1"/>
      <c r="I7715" s="1"/>
      <c r="J7715" s="1"/>
      <c r="K7715" s="102" t="s">
        <v>12052</v>
      </c>
      <c r="L7715" s="102" t="str">
        <f>T1115</f>
        <v>J2b2a1a1a1a1a1a1f1b1~</v>
      </c>
      <c r="M7715" s="102"/>
      <c r="N7715" s="102"/>
      <c r="O7715" s="105">
        <v>2.1511227E7</v>
      </c>
      <c r="P7715" s="105">
        <v>1.9349341E7</v>
      </c>
      <c r="Q7715" s="102" t="s">
        <v>2432</v>
      </c>
      <c r="S7715" s="1"/>
      <c r="T7715" s="1"/>
      <c r="U7715" s="1"/>
      <c r="V7715" s="1"/>
      <c r="W7715" s="1"/>
      <c r="X7715" s="1"/>
      <c r="Y7715" s="1"/>
      <c r="AA7715" s="102"/>
      <c r="AB7715" s="1"/>
      <c r="AC7715" s="1"/>
      <c r="AD7715" s="1"/>
      <c r="AE7715" s="1"/>
      <c r="AF7715" s="1"/>
      <c r="AG7715" s="1"/>
    </row>
    <row r="7716" ht="15.75" customHeight="1">
      <c r="A7716" s="1"/>
      <c r="B7716" s="1"/>
      <c r="C7716" s="1"/>
      <c r="D7716" s="1"/>
      <c r="E7716" s="1"/>
      <c r="F7716" s="1"/>
      <c r="G7716" s="1"/>
      <c r="H7716" s="1"/>
      <c r="I7716" s="1"/>
      <c r="J7716" s="1"/>
      <c r="K7716" s="102" t="s">
        <v>2197</v>
      </c>
      <c r="L7716" s="102" t="str">
        <f>U1116</f>
        <v>J2b2a1a1a1a1a1a1f1b1a~</v>
      </c>
      <c r="M7716" s="102"/>
      <c r="N7716" s="102"/>
      <c r="O7716" s="105">
        <v>7228013.0</v>
      </c>
      <c r="P7716" s="105">
        <v>7359972.0</v>
      </c>
      <c r="Q7716" s="102" t="s">
        <v>2439</v>
      </c>
      <c r="S7716" s="1"/>
      <c r="T7716" s="1"/>
      <c r="U7716" s="1"/>
      <c r="V7716" s="1"/>
      <c r="W7716" s="1"/>
      <c r="X7716" s="1"/>
      <c r="Y7716" s="1"/>
      <c r="AA7716" s="102"/>
      <c r="AB7716" s="1"/>
      <c r="AC7716" s="1"/>
      <c r="AD7716" s="1"/>
      <c r="AE7716" s="1"/>
      <c r="AF7716" s="1"/>
      <c r="AG7716" s="1"/>
    </row>
    <row r="7717" ht="15.75" customHeight="1">
      <c r="A7717" s="1"/>
      <c r="B7717" s="1"/>
      <c r="C7717" s="1"/>
      <c r="D7717" s="1"/>
      <c r="E7717" s="1"/>
      <c r="F7717" s="1"/>
      <c r="G7717" s="1"/>
      <c r="H7717" s="1"/>
      <c r="I7717" s="1"/>
      <c r="J7717" s="1"/>
      <c r="K7717" s="102" t="s">
        <v>2199</v>
      </c>
      <c r="L7717" s="102" t="str">
        <f>V1117</f>
        <v>J2b2a1a1a1a1a1a1f1b1a1~</v>
      </c>
      <c r="M7717" s="102"/>
      <c r="N7717" s="102"/>
      <c r="O7717" s="105">
        <v>6699265.0</v>
      </c>
      <c r="P7717" s="105">
        <v>6831224.0</v>
      </c>
      <c r="Q7717" s="102" t="s">
        <v>2468</v>
      </c>
      <c r="S7717" s="1"/>
      <c r="T7717" s="1"/>
      <c r="U7717" s="1"/>
      <c r="V7717" s="1"/>
      <c r="W7717" s="1"/>
      <c r="X7717" s="1"/>
      <c r="Y7717" s="1"/>
      <c r="AA7717" s="102"/>
      <c r="AB7717" s="1"/>
      <c r="AC7717" s="1"/>
      <c r="AD7717" s="1"/>
      <c r="AE7717" s="1"/>
      <c r="AF7717" s="1"/>
      <c r="AG7717" s="1"/>
    </row>
    <row r="7718" ht="15.75" customHeight="1">
      <c r="A7718" s="1"/>
      <c r="B7718" s="1"/>
      <c r="C7718" s="1"/>
      <c r="D7718" s="1"/>
      <c r="E7718" s="1"/>
      <c r="F7718" s="1"/>
      <c r="G7718" s="1"/>
      <c r="H7718" s="1"/>
      <c r="I7718" s="1"/>
      <c r="J7718" s="1"/>
      <c r="K7718" s="102" t="s">
        <v>11969</v>
      </c>
      <c r="L7718" s="102" t="str">
        <f>O1118</f>
        <v>J2b2a1a1a1a1a1b~</v>
      </c>
      <c r="M7718" s="102" t="s">
        <v>11970</v>
      </c>
      <c r="N7718" s="102" t="s">
        <v>11971</v>
      </c>
      <c r="O7718" s="105">
        <v>7333543.0</v>
      </c>
      <c r="P7718" s="105">
        <v>7465502.0</v>
      </c>
      <c r="Q7718" s="102" t="s">
        <v>2501</v>
      </c>
      <c r="S7718" s="1"/>
      <c r="T7718" s="1"/>
      <c r="U7718" s="1"/>
      <c r="V7718" s="1"/>
      <c r="W7718" s="1"/>
      <c r="X7718" s="1"/>
      <c r="Y7718" s="1"/>
      <c r="AA7718" s="102"/>
      <c r="AB7718" s="1"/>
      <c r="AC7718" s="1"/>
      <c r="AD7718" s="1"/>
      <c r="AE7718" s="1"/>
      <c r="AF7718" s="1"/>
      <c r="AG7718" s="1"/>
    </row>
    <row r="7719" ht="15.75" customHeight="1">
      <c r="A7719" s="1"/>
      <c r="B7719" s="1"/>
      <c r="C7719" s="1"/>
      <c r="D7719" s="1"/>
      <c r="E7719" s="1"/>
      <c r="F7719" s="1"/>
      <c r="G7719" s="1"/>
      <c r="H7719" s="1"/>
      <c r="I7719" s="1"/>
      <c r="J7719" s="1"/>
      <c r="K7719" s="102" t="s">
        <v>11970</v>
      </c>
      <c r="L7719" s="102" t="str">
        <f>O1118</f>
        <v>J2b2a1a1a1a1a1b~</v>
      </c>
      <c r="M7719" s="102" t="s">
        <v>11969</v>
      </c>
      <c r="N7719" s="102" t="s">
        <v>11971</v>
      </c>
      <c r="O7719" s="105">
        <v>7333543.0</v>
      </c>
      <c r="P7719" s="105">
        <v>7465502.0</v>
      </c>
      <c r="Q7719" s="102" t="s">
        <v>2501</v>
      </c>
      <c r="S7719" s="1"/>
      <c r="T7719" s="1"/>
      <c r="U7719" s="1"/>
      <c r="V7719" s="1"/>
      <c r="W7719" s="1"/>
      <c r="X7719" s="1"/>
      <c r="Y7719" s="1"/>
      <c r="AA7719" s="102"/>
      <c r="AB7719" s="1"/>
      <c r="AC7719" s="1"/>
      <c r="AD7719" s="1"/>
      <c r="AE7719" s="1"/>
      <c r="AF7719" s="1"/>
      <c r="AG7719" s="1"/>
    </row>
    <row r="7720" ht="15.75" customHeight="1">
      <c r="A7720" s="1"/>
      <c r="B7720" s="1"/>
      <c r="C7720" s="1"/>
      <c r="D7720" s="1"/>
      <c r="E7720" s="1"/>
      <c r="F7720" s="1"/>
      <c r="G7720" s="1"/>
      <c r="H7720" s="1"/>
      <c r="I7720" s="1"/>
      <c r="J7720" s="1"/>
      <c r="K7720" s="102" t="s">
        <v>12053</v>
      </c>
      <c r="L7720" s="102" t="str">
        <f>O1118</f>
        <v>J2b2a1a1a1a1a1b~</v>
      </c>
      <c r="M7720" s="102"/>
      <c r="N7720" s="102" t="s">
        <v>12054</v>
      </c>
      <c r="O7720" s="105">
        <v>9085016.0</v>
      </c>
      <c r="P7720" s="105">
        <v>9247407.0</v>
      </c>
      <c r="Q7720" s="102" t="s">
        <v>2533</v>
      </c>
      <c r="S7720" s="1"/>
      <c r="T7720" s="1"/>
      <c r="U7720" s="1"/>
      <c r="V7720" s="1"/>
      <c r="W7720" s="1"/>
      <c r="X7720" s="1"/>
      <c r="Y7720" s="1"/>
      <c r="AA7720" s="102"/>
      <c r="AB7720" s="1"/>
      <c r="AC7720" s="1"/>
      <c r="AD7720" s="1"/>
      <c r="AE7720" s="1"/>
      <c r="AF7720" s="1"/>
      <c r="AG7720" s="1"/>
    </row>
    <row r="7721" ht="15.75" customHeight="1">
      <c r="A7721" s="1"/>
      <c r="B7721" s="1"/>
      <c r="C7721" s="1"/>
      <c r="D7721" s="1"/>
      <c r="E7721" s="1"/>
      <c r="F7721" s="1"/>
      <c r="G7721" s="1"/>
      <c r="H7721" s="1"/>
      <c r="I7721" s="1"/>
      <c r="J7721" s="1"/>
      <c r="K7721" s="102" t="s">
        <v>12055</v>
      </c>
      <c r="L7721" s="102" t="str">
        <f>P1119</f>
        <v>J2b2a1a1a1a1a1b1~</v>
      </c>
      <c r="M7721" s="102"/>
      <c r="N7721" s="102" t="s">
        <v>12056</v>
      </c>
      <c r="O7721" s="105">
        <v>2.2954062E7</v>
      </c>
      <c r="P7721" s="105">
        <v>2.0792176E7</v>
      </c>
      <c r="Q7721" s="102" t="s">
        <v>2529</v>
      </c>
      <c r="S7721" s="1"/>
      <c r="T7721" s="1"/>
      <c r="U7721" s="1"/>
      <c r="V7721" s="1"/>
      <c r="W7721" s="1"/>
      <c r="X7721" s="1"/>
      <c r="Y7721" s="1"/>
      <c r="AA7721" s="102"/>
      <c r="AB7721" s="1"/>
      <c r="AC7721" s="1"/>
      <c r="AD7721" s="1"/>
      <c r="AE7721" s="1"/>
      <c r="AF7721" s="1"/>
      <c r="AG7721" s="1"/>
    </row>
    <row r="7722" ht="15.75" customHeight="1">
      <c r="A7722" s="1"/>
      <c r="B7722" s="1"/>
      <c r="C7722" s="1"/>
      <c r="D7722" s="1"/>
      <c r="E7722" s="1"/>
      <c r="F7722" s="1"/>
      <c r="G7722" s="1"/>
      <c r="H7722" s="1"/>
      <c r="I7722" s="1"/>
      <c r="J7722" s="1"/>
      <c r="K7722" s="102" t="s">
        <v>2205</v>
      </c>
      <c r="L7722" s="102" t="str">
        <f>Q1120</f>
        <v>J2b2a1a1a1a1a1b1a~</v>
      </c>
      <c r="M7722" s="102"/>
      <c r="N7722" s="102" t="s">
        <v>12057</v>
      </c>
      <c r="O7722" s="105">
        <v>1.6335912E7</v>
      </c>
      <c r="P7722" s="105">
        <v>1.4224032E7</v>
      </c>
      <c r="Q7722" s="102" t="s">
        <v>2529</v>
      </c>
      <c r="S7722" s="1"/>
      <c r="T7722" s="1"/>
      <c r="U7722" s="1"/>
      <c r="V7722" s="1"/>
      <c r="W7722" s="1"/>
      <c r="X7722" s="1"/>
      <c r="Y7722" s="1"/>
      <c r="AA7722" s="102"/>
      <c r="AB7722" s="1"/>
      <c r="AC7722" s="1"/>
      <c r="AD7722" s="1"/>
      <c r="AE7722" s="1"/>
      <c r="AF7722" s="1"/>
      <c r="AG7722" s="1"/>
    </row>
    <row r="7723" ht="15.75" customHeight="1">
      <c r="A7723" s="1"/>
      <c r="B7723" s="1"/>
      <c r="C7723" s="1"/>
      <c r="D7723" s="1"/>
      <c r="E7723" s="1"/>
      <c r="F7723" s="1"/>
      <c r="G7723" s="1"/>
      <c r="H7723" s="1"/>
      <c r="I7723" s="1"/>
      <c r="J7723" s="1"/>
      <c r="K7723" s="102" t="s">
        <v>12058</v>
      </c>
      <c r="L7723" s="102" t="str">
        <f>O1121</f>
        <v>J2b2a1a1a1a1a1c~</v>
      </c>
      <c r="M7723" s="102"/>
      <c r="N7723" s="102"/>
      <c r="O7723" s="105">
        <v>2.1441331E7</v>
      </c>
      <c r="P7723" s="105">
        <v>1.9279445E7</v>
      </c>
      <c r="Q7723" s="102" t="s">
        <v>2529</v>
      </c>
      <c r="S7723" s="1"/>
      <c r="T7723" s="1"/>
      <c r="U7723" s="1"/>
      <c r="V7723" s="1"/>
      <c r="W7723" s="1"/>
      <c r="X7723" s="1"/>
      <c r="Y7723" s="1"/>
      <c r="AA7723" s="102"/>
      <c r="AB7723" s="1"/>
      <c r="AC7723" s="1"/>
      <c r="AD7723" s="1"/>
      <c r="AE7723" s="1"/>
      <c r="AF7723" s="1"/>
      <c r="AG7723" s="1"/>
    </row>
    <row r="7724" ht="15.75" customHeight="1">
      <c r="A7724" s="1"/>
      <c r="B7724" s="1"/>
      <c r="C7724" s="1"/>
      <c r="D7724" s="1"/>
      <c r="E7724" s="1"/>
      <c r="F7724" s="1"/>
      <c r="G7724" s="1"/>
      <c r="H7724" s="1"/>
      <c r="I7724" s="1"/>
      <c r="J7724" s="1"/>
      <c r="K7724" s="102" t="s">
        <v>12059</v>
      </c>
      <c r="L7724" s="102" t="str">
        <f>O1121</f>
        <v>J2b2a1a1a1a1a1c~</v>
      </c>
      <c r="M7724" s="102"/>
      <c r="N7724" s="102"/>
      <c r="O7724" s="105">
        <v>1.5506345E7</v>
      </c>
      <c r="P7724" s="105">
        <v>1.3394465E7</v>
      </c>
      <c r="Q7724" s="102" t="s">
        <v>2576</v>
      </c>
      <c r="S7724" s="1"/>
      <c r="T7724" s="1"/>
      <c r="U7724" s="1"/>
      <c r="V7724" s="1"/>
      <c r="W7724" s="1"/>
      <c r="X7724" s="1"/>
      <c r="Y7724" s="1"/>
      <c r="AA7724" s="102"/>
      <c r="AB7724" s="1"/>
      <c r="AC7724" s="1"/>
      <c r="AD7724" s="1"/>
      <c r="AE7724" s="1"/>
      <c r="AF7724" s="1"/>
      <c r="AG7724" s="1"/>
    </row>
    <row r="7725" ht="15.75" customHeight="1">
      <c r="A7725" s="1"/>
      <c r="B7725" s="1"/>
      <c r="C7725" s="1"/>
      <c r="D7725" s="1"/>
      <c r="E7725" s="1"/>
      <c r="F7725" s="1"/>
      <c r="G7725" s="1"/>
      <c r="H7725" s="1"/>
      <c r="I7725" s="1"/>
      <c r="J7725" s="1"/>
      <c r="K7725" s="102" t="s">
        <v>12060</v>
      </c>
      <c r="L7725" s="102" t="str">
        <f>N1122</f>
        <v>J2b2a1a1a1a1a2~</v>
      </c>
      <c r="M7725" s="102"/>
      <c r="N7725" s="102" t="s">
        <v>12061</v>
      </c>
      <c r="O7725" s="105">
        <v>2767729.0</v>
      </c>
      <c r="P7725" s="105">
        <v>2899688.0</v>
      </c>
      <c r="Q7725" s="102" t="s">
        <v>2439</v>
      </c>
      <c r="S7725" s="1"/>
      <c r="T7725" s="1"/>
      <c r="U7725" s="1"/>
      <c r="V7725" s="1"/>
      <c r="W7725" s="1"/>
      <c r="X7725" s="1"/>
      <c r="Y7725" s="1"/>
      <c r="AA7725" s="102"/>
      <c r="AB7725" s="1"/>
      <c r="AC7725" s="1"/>
      <c r="AD7725" s="1"/>
      <c r="AE7725" s="1"/>
      <c r="AF7725" s="1"/>
      <c r="AG7725" s="1"/>
    </row>
    <row r="7726" ht="15.75" customHeight="1">
      <c r="A7726" s="1"/>
      <c r="B7726" s="1"/>
      <c r="C7726" s="1"/>
      <c r="D7726" s="1"/>
      <c r="E7726" s="1"/>
      <c r="F7726" s="1"/>
      <c r="G7726" s="1"/>
      <c r="H7726" s="1"/>
      <c r="I7726" s="1"/>
      <c r="J7726" s="1"/>
      <c r="K7726" s="102" t="s">
        <v>12062</v>
      </c>
      <c r="L7726" s="102" t="str">
        <f>N1122</f>
        <v>J2b2a1a1a1a1a2~</v>
      </c>
      <c r="M7726" s="102"/>
      <c r="N7726" s="102" t="s">
        <v>12063</v>
      </c>
      <c r="O7726" s="105">
        <v>1.4294268E7</v>
      </c>
      <c r="P7726" s="105">
        <v>1.2173562E7</v>
      </c>
      <c r="Q7726" s="102" t="s">
        <v>2439</v>
      </c>
      <c r="S7726" s="1"/>
      <c r="T7726" s="1"/>
      <c r="U7726" s="1"/>
      <c r="V7726" s="1"/>
      <c r="W7726" s="1"/>
      <c r="X7726" s="1"/>
      <c r="Y7726" s="1"/>
      <c r="AA7726" s="102"/>
      <c r="AB7726" s="1"/>
      <c r="AC7726" s="1"/>
      <c r="AD7726" s="1"/>
      <c r="AE7726" s="1"/>
      <c r="AF7726" s="1"/>
      <c r="AG7726" s="1"/>
    </row>
    <row r="7727" ht="15.75" customHeight="1">
      <c r="A7727" s="1"/>
      <c r="B7727" s="1"/>
      <c r="C7727" s="1"/>
      <c r="D7727" s="1"/>
      <c r="E7727" s="1"/>
      <c r="F7727" s="1"/>
      <c r="G7727" s="1"/>
      <c r="H7727" s="1"/>
      <c r="I7727" s="1"/>
      <c r="J7727" s="1"/>
      <c r="K7727" s="102" t="s">
        <v>12064</v>
      </c>
      <c r="L7727" s="102" t="str">
        <f>O1123</f>
        <v>J2b2a1a1a1a1a2a~</v>
      </c>
      <c r="M7727" s="102"/>
      <c r="N7727" s="102" t="s">
        <v>12065</v>
      </c>
      <c r="O7727" s="105">
        <v>1.5258129E7</v>
      </c>
      <c r="P7727" s="105">
        <v>1.3146213E7</v>
      </c>
      <c r="Q7727" s="102" t="s">
        <v>2501</v>
      </c>
      <c r="S7727" s="1"/>
      <c r="T7727" s="1"/>
      <c r="U7727" s="1"/>
      <c r="V7727" s="1"/>
      <c r="W7727" s="1"/>
      <c r="X7727" s="1"/>
      <c r="Y7727" s="1"/>
      <c r="AA7727" s="102"/>
      <c r="AB7727" s="1"/>
      <c r="AC7727" s="1"/>
      <c r="AD7727" s="1"/>
      <c r="AE7727" s="1"/>
      <c r="AF7727" s="1"/>
      <c r="AG7727" s="1"/>
    </row>
    <row r="7728" ht="15.75" customHeight="1">
      <c r="A7728" s="1"/>
      <c r="B7728" s="1"/>
      <c r="C7728" s="1"/>
      <c r="D7728" s="1"/>
      <c r="E7728" s="1"/>
      <c r="F7728" s="1"/>
      <c r="G7728" s="1"/>
      <c r="H7728" s="1"/>
      <c r="I7728" s="1"/>
      <c r="J7728" s="1"/>
      <c r="K7728" s="102" t="s">
        <v>12066</v>
      </c>
      <c r="L7728" s="102" t="str">
        <f>O1123</f>
        <v>J2b2a1a1a1a1a2a~</v>
      </c>
      <c r="M7728" s="102"/>
      <c r="N7728" s="102" t="s">
        <v>12067</v>
      </c>
      <c r="O7728" s="105">
        <v>1.8202484E7</v>
      </c>
      <c r="P7728" s="105">
        <v>1.6090604E7</v>
      </c>
      <c r="Q7728" s="102" t="s">
        <v>2468</v>
      </c>
      <c r="S7728" s="1"/>
      <c r="T7728" s="1"/>
      <c r="U7728" s="1"/>
      <c r="V7728" s="1"/>
      <c r="W7728" s="1"/>
      <c r="X7728" s="1"/>
      <c r="Y7728" s="1"/>
      <c r="AA7728" s="102"/>
      <c r="AB7728" s="1"/>
      <c r="AC7728" s="1"/>
      <c r="AD7728" s="1"/>
      <c r="AE7728" s="1"/>
      <c r="AF7728" s="1"/>
      <c r="AG7728" s="1"/>
    </row>
    <row r="7729" ht="15.75" customHeight="1">
      <c r="A7729" s="1"/>
      <c r="B7729" s="1"/>
      <c r="C7729" s="1"/>
      <c r="D7729" s="1"/>
      <c r="E7729" s="1"/>
      <c r="F7729" s="1"/>
      <c r="G7729" s="1"/>
      <c r="H7729" s="1"/>
      <c r="I7729" s="1"/>
      <c r="J7729" s="1"/>
      <c r="K7729" s="102" t="s">
        <v>12068</v>
      </c>
      <c r="L7729" s="102" t="str">
        <f>O1123</f>
        <v>J2b2a1a1a1a1a2a~</v>
      </c>
      <c r="M7729" s="102"/>
      <c r="N7729" s="102"/>
      <c r="O7729" s="105">
        <v>1.8804053E7</v>
      </c>
      <c r="P7729" s="105">
        <v>1.6692173E7</v>
      </c>
      <c r="Q7729" s="106" t="s">
        <v>2468</v>
      </c>
      <c r="S7729" s="1"/>
      <c r="T7729" s="1"/>
      <c r="U7729" s="1"/>
      <c r="V7729" s="1"/>
      <c r="W7729" s="1"/>
      <c r="X7729" s="1"/>
      <c r="Y7729" s="1"/>
      <c r="AA7729" s="102"/>
      <c r="AB7729" s="1"/>
      <c r="AC7729" s="1"/>
      <c r="AD7729" s="1"/>
      <c r="AE7729" s="1"/>
      <c r="AF7729" s="1"/>
      <c r="AG7729" s="1"/>
    </row>
    <row r="7730" ht="15.75" customHeight="1">
      <c r="A7730" s="1"/>
      <c r="B7730" s="1"/>
      <c r="C7730" s="1"/>
      <c r="D7730" s="1"/>
      <c r="E7730" s="1"/>
      <c r="F7730" s="1"/>
      <c r="G7730" s="1"/>
      <c r="H7730" s="1"/>
      <c r="I7730" s="1"/>
      <c r="J7730" s="1"/>
      <c r="K7730" s="102" t="s">
        <v>12069</v>
      </c>
      <c r="L7730" s="102" t="str">
        <f>O1123</f>
        <v>J2b2a1a1a1a1a2a~</v>
      </c>
      <c r="M7730" s="102"/>
      <c r="N7730" s="102" t="s">
        <v>12070</v>
      </c>
      <c r="O7730" s="105">
        <v>2.2119564E7</v>
      </c>
      <c r="P7730" s="105">
        <v>1.9957678E7</v>
      </c>
      <c r="Q7730" s="102" t="s">
        <v>2501</v>
      </c>
      <c r="S7730" s="1"/>
      <c r="T7730" s="1"/>
      <c r="U7730" s="1"/>
      <c r="V7730" s="1"/>
      <c r="W7730" s="1"/>
      <c r="X7730" s="1"/>
      <c r="Y7730" s="1"/>
      <c r="AA7730" s="102"/>
      <c r="AB7730" s="1"/>
      <c r="AC7730" s="1"/>
      <c r="AD7730" s="1"/>
      <c r="AE7730" s="1"/>
      <c r="AF7730" s="1"/>
      <c r="AG7730" s="1"/>
    </row>
    <row r="7731" ht="15.75" customHeight="1">
      <c r="A7731" s="1"/>
      <c r="B7731" s="1"/>
      <c r="C7731" s="1"/>
      <c r="D7731" s="1"/>
      <c r="E7731" s="1"/>
      <c r="F7731" s="1"/>
      <c r="G7731" s="1"/>
      <c r="H7731" s="1"/>
      <c r="I7731" s="1"/>
      <c r="J7731" s="1"/>
      <c r="K7731" s="102" t="s">
        <v>12071</v>
      </c>
      <c r="L7731" s="102" t="str">
        <f>O1123</f>
        <v>J2b2a1a1a1a1a2a~</v>
      </c>
      <c r="M7731" s="102"/>
      <c r="N7731" s="102" t="s">
        <v>12072</v>
      </c>
      <c r="O7731" s="105">
        <v>2.3057469E7</v>
      </c>
      <c r="P7731" s="105">
        <v>2.0895583E7</v>
      </c>
      <c r="Q7731" s="102" t="s">
        <v>2501</v>
      </c>
      <c r="S7731" s="1"/>
      <c r="T7731" s="1"/>
      <c r="U7731" s="1"/>
      <c r="V7731" s="1"/>
      <c r="W7731" s="1"/>
      <c r="X7731" s="1"/>
      <c r="Y7731" s="1"/>
      <c r="AA7731" s="102"/>
      <c r="AB7731" s="1"/>
      <c r="AC7731" s="1"/>
      <c r="AD7731" s="1"/>
      <c r="AE7731" s="1"/>
      <c r="AF7731" s="1"/>
      <c r="AG7731" s="1"/>
    </row>
    <row r="7732" ht="15.75" customHeight="1">
      <c r="A7732" s="1"/>
      <c r="B7732" s="1"/>
      <c r="C7732" s="1"/>
      <c r="D7732" s="1"/>
      <c r="E7732" s="1"/>
      <c r="F7732" s="1"/>
      <c r="G7732" s="1"/>
      <c r="H7732" s="1"/>
      <c r="I7732" s="1"/>
      <c r="J7732" s="1"/>
      <c r="K7732" s="102" t="s">
        <v>12073</v>
      </c>
      <c r="L7732" s="102" t="str">
        <f>O1123</f>
        <v>J2b2a1a1a1a1a2a~</v>
      </c>
      <c r="M7732" s="102"/>
      <c r="N7732" s="102" t="s">
        <v>12074</v>
      </c>
      <c r="O7732" s="105">
        <v>8347980.0</v>
      </c>
      <c r="P7732" s="105">
        <v>8479939.0</v>
      </c>
      <c r="Q7732" s="102" t="s">
        <v>2439</v>
      </c>
      <c r="S7732" s="1"/>
      <c r="T7732" s="1"/>
      <c r="U7732" s="1"/>
      <c r="V7732" s="1"/>
      <c r="W7732" s="1"/>
      <c r="X7732" s="1"/>
      <c r="Y7732" s="1"/>
      <c r="AA7732" s="102"/>
      <c r="AB7732" s="1"/>
      <c r="AC7732" s="1"/>
      <c r="AD7732" s="1"/>
      <c r="AE7732" s="1"/>
      <c r="AF7732" s="1"/>
      <c r="AG7732" s="1"/>
    </row>
    <row r="7733" ht="15.75" customHeight="1">
      <c r="A7733" s="1"/>
      <c r="B7733" s="1"/>
      <c r="C7733" s="1"/>
      <c r="D7733" s="1"/>
      <c r="E7733" s="1"/>
      <c r="F7733" s="1"/>
      <c r="G7733" s="1"/>
      <c r="H7733" s="1"/>
      <c r="I7733" s="1"/>
      <c r="J7733" s="1"/>
      <c r="K7733" s="102" t="s">
        <v>12075</v>
      </c>
      <c r="L7733" s="102" t="str">
        <f>O1123</f>
        <v>J2b2a1a1a1a1a2a~</v>
      </c>
      <c r="M7733" s="102"/>
      <c r="N7733" s="102" t="s">
        <v>12076</v>
      </c>
      <c r="O7733" s="105">
        <v>1.4685864E7</v>
      </c>
      <c r="P7733" s="105">
        <v>1.257393E7</v>
      </c>
      <c r="Q7733" s="102" t="s">
        <v>2501</v>
      </c>
      <c r="S7733" s="1"/>
      <c r="T7733" s="1"/>
      <c r="U7733" s="1"/>
      <c r="V7733" s="1"/>
      <c r="W7733" s="1"/>
      <c r="X7733" s="1"/>
      <c r="Y7733" s="1"/>
      <c r="AA7733" s="102"/>
      <c r="AB7733" s="1"/>
      <c r="AC7733" s="1"/>
      <c r="AD7733" s="1"/>
      <c r="AE7733" s="1"/>
      <c r="AF7733" s="1"/>
      <c r="AG7733" s="1"/>
    </row>
    <row r="7734" ht="15.75" customHeight="1">
      <c r="A7734" s="1"/>
      <c r="B7734" s="1"/>
      <c r="C7734" s="1"/>
      <c r="D7734" s="1"/>
      <c r="E7734" s="1"/>
      <c r="F7734" s="1"/>
      <c r="G7734" s="1"/>
      <c r="H7734" s="1"/>
      <c r="I7734" s="1"/>
      <c r="J7734" s="1"/>
      <c r="K7734" s="102" t="s">
        <v>12077</v>
      </c>
      <c r="L7734" s="102" t="str">
        <f>O1123</f>
        <v>J2b2a1a1a1a1a2a~</v>
      </c>
      <c r="M7734" s="102"/>
      <c r="N7734" s="102" t="s">
        <v>12078</v>
      </c>
      <c r="O7734" s="105">
        <v>1.4794005E7</v>
      </c>
      <c r="P7734" s="105">
        <v>1.2682076E7</v>
      </c>
      <c r="Q7734" s="102" t="s">
        <v>2501</v>
      </c>
      <c r="S7734" s="1"/>
      <c r="T7734" s="1"/>
      <c r="U7734" s="1"/>
      <c r="V7734" s="1"/>
      <c r="W7734" s="1"/>
      <c r="X7734" s="1"/>
      <c r="Y7734" s="1"/>
      <c r="AA7734" s="102"/>
      <c r="AB7734" s="1"/>
      <c r="AC7734" s="1"/>
      <c r="AD7734" s="1"/>
      <c r="AE7734" s="1"/>
      <c r="AF7734" s="1"/>
      <c r="AG7734" s="1"/>
    </row>
    <row r="7735" ht="15.75" customHeight="1">
      <c r="A7735" s="1"/>
      <c r="B7735" s="1"/>
      <c r="C7735" s="1"/>
      <c r="D7735" s="1"/>
      <c r="E7735" s="1"/>
      <c r="F7735" s="1"/>
      <c r="G7735" s="1"/>
      <c r="H7735" s="1"/>
      <c r="I7735" s="1"/>
      <c r="J7735" s="1"/>
      <c r="K7735" s="102" t="s">
        <v>12079</v>
      </c>
      <c r="L7735" s="102" t="str">
        <f>O1123</f>
        <v>J2b2a1a1a1a1a2a~</v>
      </c>
      <c r="M7735" s="102"/>
      <c r="N7735" s="102" t="s">
        <v>12080</v>
      </c>
      <c r="O7735" s="105">
        <v>1.9213339E7</v>
      </c>
      <c r="P7735" s="105">
        <v>1.7101459E7</v>
      </c>
      <c r="Q7735" s="102" t="s">
        <v>2439</v>
      </c>
      <c r="S7735" s="1"/>
      <c r="T7735" s="1"/>
      <c r="U7735" s="1"/>
      <c r="V7735" s="1"/>
      <c r="W7735" s="1"/>
      <c r="X7735" s="1"/>
      <c r="Y7735" s="1"/>
      <c r="AA7735" s="102"/>
      <c r="AB7735" s="1"/>
      <c r="AC7735" s="1"/>
      <c r="AD7735" s="1"/>
      <c r="AE7735" s="1"/>
      <c r="AF7735" s="1"/>
      <c r="AG7735" s="1"/>
    </row>
    <row r="7736" ht="15.75" customHeight="1">
      <c r="A7736" s="1"/>
      <c r="B7736" s="1"/>
      <c r="C7736" s="1"/>
      <c r="D7736" s="1"/>
      <c r="E7736" s="1"/>
      <c r="F7736" s="1"/>
      <c r="G7736" s="1"/>
      <c r="H7736" s="1"/>
      <c r="I7736" s="1"/>
      <c r="J7736" s="1"/>
      <c r="K7736" s="102" t="s">
        <v>12081</v>
      </c>
      <c r="L7736" s="102" t="str">
        <f>P1124</f>
        <v>J2b2a1a1a1a1a2a1~</v>
      </c>
      <c r="M7736" s="102" t="s">
        <v>12082</v>
      </c>
      <c r="N7736" s="102" t="s">
        <v>12083</v>
      </c>
      <c r="O7736" s="105">
        <v>1.8175815E7</v>
      </c>
      <c r="P7736" s="105">
        <v>1.6063935E7</v>
      </c>
      <c r="Q7736" s="102" t="s">
        <v>2439</v>
      </c>
      <c r="S7736" s="1"/>
      <c r="T7736" s="1"/>
      <c r="U7736" s="1"/>
      <c r="V7736" s="1"/>
      <c r="W7736" s="1"/>
      <c r="X7736" s="1"/>
      <c r="Y7736" s="1"/>
      <c r="AA7736" s="102"/>
      <c r="AB7736" s="1"/>
      <c r="AC7736" s="1"/>
      <c r="AD7736" s="1"/>
      <c r="AE7736" s="1"/>
      <c r="AF7736" s="1"/>
      <c r="AG7736" s="1"/>
    </row>
    <row r="7737" ht="15.75" customHeight="1">
      <c r="A7737" s="1"/>
      <c r="B7737" s="1"/>
      <c r="C7737" s="1"/>
      <c r="D7737" s="1"/>
      <c r="E7737" s="1"/>
      <c r="F7737" s="1"/>
      <c r="G7737" s="1"/>
      <c r="H7737" s="1"/>
      <c r="I7737" s="1"/>
      <c r="J7737" s="1"/>
      <c r="K7737" s="102" t="s">
        <v>12082</v>
      </c>
      <c r="L7737" s="102" t="str">
        <f>P1124</f>
        <v>J2b2a1a1a1a1a2a1~</v>
      </c>
      <c r="M7737" s="102" t="s">
        <v>12081</v>
      </c>
      <c r="N7737" s="102" t="s">
        <v>12083</v>
      </c>
      <c r="O7737" s="105">
        <v>1.8175815E7</v>
      </c>
      <c r="P7737" s="105">
        <v>1.6063935E7</v>
      </c>
      <c r="Q7737" s="102" t="s">
        <v>2439</v>
      </c>
      <c r="S7737" s="1"/>
      <c r="T7737" s="1"/>
      <c r="U7737" s="1"/>
      <c r="V7737" s="1"/>
      <c r="W7737" s="1"/>
      <c r="X7737" s="1"/>
      <c r="Y7737" s="1"/>
      <c r="AA7737" s="102"/>
      <c r="AB7737" s="1"/>
      <c r="AC7737" s="1"/>
      <c r="AD7737" s="1"/>
      <c r="AE7737" s="1"/>
      <c r="AF7737" s="1"/>
      <c r="AG7737" s="1"/>
    </row>
    <row r="7738" ht="15.75" customHeight="1">
      <c r="A7738" s="1"/>
      <c r="B7738" s="1"/>
      <c r="C7738" s="1"/>
      <c r="D7738" s="1"/>
      <c r="E7738" s="1"/>
      <c r="F7738" s="1"/>
      <c r="G7738" s="1"/>
      <c r="H7738" s="1"/>
      <c r="I7738" s="1"/>
      <c r="J7738" s="1"/>
      <c r="K7738" s="102" t="s">
        <v>12084</v>
      </c>
      <c r="L7738" s="102" t="str">
        <f>P1124</f>
        <v>J2b2a1a1a1a1a2a1~</v>
      </c>
      <c r="M7738" s="102"/>
      <c r="N7738" s="102"/>
      <c r="O7738" s="105">
        <v>8574095.0</v>
      </c>
      <c r="P7738" s="105">
        <v>8706054.0</v>
      </c>
      <c r="Q7738" s="102" t="s">
        <v>2439</v>
      </c>
      <c r="S7738" s="1"/>
      <c r="T7738" s="1"/>
      <c r="U7738" s="1"/>
      <c r="V7738" s="1"/>
      <c r="W7738" s="1"/>
      <c r="X7738" s="1"/>
      <c r="Y7738" s="1"/>
      <c r="AA7738" s="102"/>
      <c r="AB7738" s="1"/>
      <c r="AC7738" s="1"/>
      <c r="AD7738" s="1"/>
      <c r="AE7738" s="1"/>
      <c r="AF7738" s="1"/>
      <c r="AG7738" s="1"/>
    </row>
    <row r="7739" ht="15.75" customHeight="1">
      <c r="A7739" s="1"/>
      <c r="B7739" s="1"/>
      <c r="C7739" s="1"/>
      <c r="D7739" s="1"/>
      <c r="E7739" s="1"/>
      <c r="F7739" s="1"/>
      <c r="G7739" s="1"/>
      <c r="H7739" s="1"/>
      <c r="I7739" s="1"/>
      <c r="J7739" s="1"/>
      <c r="K7739" s="102" t="s">
        <v>12085</v>
      </c>
      <c r="L7739" s="102" t="str">
        <f>P1124</f>
        <v>J2b2a1a1a1a1a2a1~</v>
      </c>
      <c r="M7739" s="102"/>
      <c r="N7739" s="102"/>
      <c r="O7739" s="105">
        <v>8607439.0</v>
      </c>
      <c r="P7739" s="105">
        <v>8739398.0</v>
      </c>
      <c r="Q7739" s="102" t="s">
        <v>2439</v>
      </c>
      <c r="S7739" s="1"/>
      <c r="T7739" s="1"/>
      <c r="U7739" s="1"/>
      <c r="V7739" s="1"/>
      <c r="W7739" s="1"/>
      <c r="X7739" s="1"/>
      <c r="Y7739" s="1"/>
      <c r="AA7739" s="102"/>
      <c r="AB7739" s="1"/>
      <c r="AC7739" s="1"/>
      <c r="AD7739" s="1"/>
      <c r="AE7739" s="1"/>
      <c r="AF7739" s="1"/>
      <c r="AG7739" s="1"/>
    </row>
    <row r="7740" ht="15.75" customHeight="1">
      <c r="A7740" s="1"/>
      <c r="B7740" s="1"/>
      <c r="C7740" s="1"/>
      <c r="D7740" s="1"/>
      <c r="E7740" s="1"/>
      <c r="F7740" s="1"/>
      <c r="G7740" s="1"/>
      <c r="H7740" s="1"/>
      <c r="I7740" s="1"/>
      <c r="J7740" s="1"/>
      <c r="K7740" s="102" t="s">
        <v>12086</v>
      </c>
      <c r="L7740" s="102" t="str">
        <f>P1124</f>
        <v>J2b2a1a1a1a1a2a1~</v>
      </c>
      <c r="M7740" s="102"/>
      <c r="N7740" s="102"/>
      <c r="O7740" s="105">
        <v>1.4519468E7</v>
      </c>
      <c r="P7740" s="105">
        <v>1.2407669E7</v>
      </c>
      <c r="Q7740" s="102" t="s">
        <v>2501</v>
      </c>
      <c r="S7740" s="1"/>
      <c r="T7740" s="1"/>
      <c r="U7740" s="1"/>
      <c r="V7740" s="1"/>
      <c r="W7740" s="1"/>
      <c r="X7740" s="1"/>
      <c r="Y7740" s="1"/>
      <c r="AA7740" s="102"/>
      <c r="AB7740" s="1"/>
      <c r="AC7740" s="1"/>
      <c r="AD7740" s="1"/>
      <c r="AE7740" s="1"/>
      <c r="AF7740" s="1"/>
      <c r="AG7740" s="1"/>
    </row>
    <row r="7741" ht="15.75" customHeight="1">
      <c r="A7741" s="1"/>
      <c r="B7741" s="1"/>
      <c r="C7741" s="1"/>
      <c r="D7741" s="1"/>
      <c r="E7741" s="1"/>
      <c r="F7741" s="1"/>
      <c r="G7741" s="1"/>
      <c r="H7741" s="1"/>
      <c r="I7741" s="1"/>
      <c r="J7741" s="1"/>
      <c r="K7741" s="102" t="s">
        <v>12087</v>
      </c>
      <c r="L7741" s="102" t="str">
        <f>P1124</f>
        <v>J2b2a1a1a1a1a2a1~</v>
      </c>
      <c r="M7741" s="102"/>
      <c r="N7741" s="102"/>
      <c r="O7741" s="105">
        <v>1.5537157E7</v>
      </c>
      <c r="P7741" s="105">
        <v>1.3425277E7</v>
      </c>
      <c r="Q7741" s="102" t="s">
        <v>2439</v>
      </c>
      <c r="S7741" s="1"/>
      <c r="T7741" s="1"/>
      <c r="U7741" s="1"/>
      <c r="V7741" s="1"/>
      <c r="W7741" s="1"/>
      <c r="X7741" s="1"/>
      <c r="Y7741" s="1"/>
      <c r="AA7741" s="102"/>
      <c r="AB7741" s="1"/>
      <c r="AC7741" s="1"/>
      <c r="AD7741" s="1"/>
      <c r="AE7741" s="1"/>
      <c r="AF7741" s="1"/>
      <c r="AG7741" s="1"/>
    </row>
    <row r="7742" ht="15.75" customHeight="1">
      <c r="A7742" s="1"/>
      <c r="B7742" s="1"/>
      <c r="C7742" s="1"/>
      <c r="D7742" s="1"/>
      <c r="E7742" s="1"/>
      <c r="F7742" s="1"/>
      <c r="G7742" s="1"/>
      <c r="H7742" s="1"/>
      <c r="I7742" s="1"/>
      <c r="J7742" s="1"/>
      <c r="K7742" s="102" t="s">
        <v>12088</v>
      </c>
      <c r="L7742" s="102" t="str">
        <f>P1124</f>
        <v>J2b2a1a1a1a1a2a1~</v>
      </c>
      <c r="M7742" s="102"/>
      <c r="N7742" s="102"/>
      <c r="O7742" s="105">
        <v>1.6439028E7</v>
      </c>
      <c r="P7742" s="105">
        <v>1.4327148E7</v>
      </c>
      <c r="Q7742" s="102" t="s">
        <v>2533</v>
      </c>
      <c r="S7742" s="1"/>
      <c r="T7742" s="1"/>
      <c r="U7742" s="1"/>
      <c r="V7742" s="1"/>
      <c r="W7742" s="1"/>
      <c r="X7742" s="1"/>
      <c r="Y7742" s="1"/>
      <c r="AA7742" s="102"/>
      <c r="AB7742" s="1"/>
      <c r="AC7742" s="1"/>
      <c r="AD7742" s="1"/>
      <c r="AE7742" s="1"/>
      <c r="AF7742" s="1"/>
      <c r="AG7742" s="1"/>
    </row>
    <row r="7743" ht="15.75" customHeight="1">
      <c r="A7743" s="1"/>
      <c r="B7743" s="1"/>
      <c r="C7743" s="1"/>
      <c r="D7743" s="1"/>
      <c r="E7743" s="1"/>
      <c r="F7743" s="1"/>
      <c r="G7743" s="1"/>
      <c r="H7743" s="1"/>
      <c r="I7743" s="1"/>
      <c r="J7743" s="1"/>
      <c r="K7743" s="102" t="s">
        <v>12089</v>
      </c>
      <c r="L7743" s="102" t="str">
        <f>P1124</f>
        <v>J2b2a1a1a1a1a2a1~</v>
      </c>
      <c r="M7743" s="102"/>
      <c r="N7743" s="102"/>
      <c r="O7743" s="105">
        <v>1.7058356E7</v>
      </c>
      <c r="P7743" s="105">
        <v>1.4946476E7</v>
      </c>
      <c r="Q7743" s="102" t="s">
        <v>2576</v>
      </c>
      <c r="S7743" s="1"/>
      <c r="T7743" s="1"/>
      <c r="U7743" s="1"/>
      <c r="V7743" s="1"/>
      <c r="W7743" s="1"/>
      <c r="X7743" s="1"/>
      <c r="Y7743" s="1"/>
      <c r="AA7743" s="102"/>
      <c r="AB7743" s="1"/>
      <c r="AC7743" s="1"/>
      <c r="AD7743" s="1"/>
      <c r="AE7743" s="1"/>
      <c r="AF7743" s="1"/>
      <c r="AG7743" s="1"/>
    </row>
    <row r="7744" ht="15.75" customHeight="1">
      <c r="A7744" s="1"/>
      <c r="B7744" s="1"/>
      <c r="C7744" s="1"/>
      <c r="D7744" s="1"/>
      <c r="E7744" s="1"/>
      <c r="F7744" s="1"/>
      <c r="G7744" s="1"/>
      <c r="H7744" s="1"/>
      <c r="I7744" s="1"/>
      <c r="J7744" s="1"/>
      <c r="K7744" s="102" t="s">
        <v>12090</v>
      </c>
      <c r="L7744" s="102" t="str">
        <f>P1124</f>
        <v>J2b2a1a1a1a1a2a1~</v>
      </c>
      <c r="M7744" s="102"/>
      <c r="N7744" s="102"/>
      <c r="O7744" s="105">
        <v>1.8100405E7</v>
      </c>
      <c r="P7744" s="105">
        <v>1.5988525E7</v>
      </c>
      <c r="Q7744" s="102" t="s">
        <v>2514</v>
      </c>
      <c r="S7744" s="1"/>
      <c r="T7744" s="1"/>
      <c r="U7744" s="1"/>
      <c r="V7744" s="1"/>
      <c r="W7744" s="1"/>
      <c r="X7744" s="1"/>
      <c r="Y7744" s="1"/>
      <c r="AA7744" s="102"/>
      <c r="AB7744" s="1"/>
      <c r="AC7744" s="1"/>
      <c r="AD7744" s="1"/>
      <c r="AE7744" s="1"/>
      <c r="AF7744" s="1"/>
      <c r="AG7744" s="1"/>
    </row>
    <row r="7745" ht="15.75" customHeight="1">
      <c r="A7745" s="1"/>
      <c r="B7745" s="1"/>
      <c r="C7745" s="1"/>
      <c r="D7745" s="1"/>
      <c r="E7745" s="1"/>
      <c r="F7745" s="1"/>
      <c r="G7745" s="1"/>
      <c r="H7745" s="1"/>
      <c r="I7745" s="1"/>
      <c r="J7745" s="1"/>
      <c r="K7745" s="102" t="s">
        <v>12091</v>
      </c>
      <c r="L7745" s="102" t="str">
        <f>P1124</f>
        <v>J2b2a1a1a1a1a2a1~</v>
      </c>
      <c r="M7745" s="102"/>
      <c r="N7745" s="102"/>
      <c r="O7745" s="105">
        <v>1.8592975E7</v>
      </c>
      <c r="P7745" s="105">
        <v>1.6481095E7</v>
      </c>
      <c r="Q7745" s="102" t="s">
        <v>2446</v>
      </c>
      <c r="S7745" s="1"/>
      <c r="T7745" s="1"/>
      <c r="U7745" s="1"/>
      <c r="V7745" s="1"/>
      <c r="W7745" s="1"/>
      <c r="X7745" s="1"/>
      <c r="Y7745" s="1"/>
      <c r="AA7745" s="102"/>
      <c r="AB7745" s="1"/>
      <c r="AC7745" s="1"/>
      <c r="AD7745" s="1"/>
      <c r="AE7745" s="1"/>
      <c r="AF7745" s="1"/>
      <c r="AG7745" s="1"/>
    </row>
    <row r="7746" ht="15.75" customHeight="1">
      <c r="A7746" s="1"/>
      <c r="B7746" s="1"/>
      <c r="C7746" s="1"/>
      <c r="D7746" s="1"/>
      <c r="E7746" s="1"/>
      <c r="F7746" s="1"/>
      <c r="G7746" s="1"/>
      <c r="H7746" s="1"/>
      <c r="I7746" s="1"/>
      <c r="J7746" s="1"/>
      <c r="K7746" s="102" t="s">
        <v>12092</v>
      </c>
      <c r="L7746" s="102" t="str">
        <f>P1124</f>
        <v>J2b2a1a1a1a1a2a1~</v>
      </c>
      <c r="M7746" s="102"/>
      <c r="N7746" s="102"/>
      <c r="O7746" s="105">
        <v>1.8998648E7</v>
      </c>
      <c r="P7746" s="105">
        <v>1.6886768E7</v>
      </c>
      <c r="Q7746" s="102" t="s">
        <v>2501</v>
      </c>
      <c r="S7746" s="1"/>
      <c r="T7746" s="1"/>
      <c r="U7746" s="1"/>
      <c r="V7746" s="1"/>
      <c r="W7746" s="1"/>
      <c r="X7746" s="1"/>
      <c r="Y7746" s="1"/>
      <c r="AA7746" s="102"/>
      <c r="AB7746" s="1"/>
      <c r="AC7746" s="1"/>
      <c r="AD7746" s="1"/>
      <c r="AE7746" s="1"/>
      <c r="AF7746" s="1"/>
      <c r="AG7746" s="1"/>
    </row>
    <row r="7747" ht="15.75" customHeight="1">
      <c r="A7747" s="1"/>
      <c r="B7747" s="1"/>
      <c r="C7747" s="1"/>
      <c r="D7747" s="1"/>
      <c r="E7747" s="1"/>
      <c r="F7747" s="1"/>
      <c r="G7747" s="1"/>
      <c r="H7747" s="1"/>
      <c r="I7747" s="1"/>
      <c r="J7747" s="1"/>
      <c r="K7747" s="102" t="s">
        <v>12093</v>
      </c>
      <c r="L7747" s="102" t="str">
        <f>P1124</f>
        <v>J2b2a1a1a1a1a2a1~</v>
      </c>
      <c r="M7747" s="102"/>
      <c r="N7747" s="102"/>
      <c r="O7747" s="105">
        <v>2.1290299E7</v>
      </c>
      <c r="P7747" s="105">
        <v>1.9128413E7</v>
      </c>
      <c r="Q7747" s="102" t="s">
        <v>2533</v>
      </c>
      <c r="S7747" s="1"/>
      <c r="T7747" s="1"/>
      <c r="U7747" s="1"/>
      <c r="V7747" s="1"/>
      <c r="W7747" s="1"/>
      <c r="X7747" s="1"/>
      <c r="Y7747" s="1"/>
      <c r="AA7747" s="102"/>
      <c r="AB7747" s="1"/>
      <c r="AC7747" s="1"/>
      <c r="AD7747" s="1"/>
      <c r="AE7747" s="1"/>
      <c r="AF7747" s="1"/>
      <c r="AG7747" s="1"/>
    </row>
    <row r="7748" ht="15.75" customHeight="1">
      <c r="A7748" s="1"/>
      <c r="B7748" s="1"/>
      <c r="C7748" s="1"/>
      <c r="D7748" s="1"/>
      <c r="E7748" s="1"/>
      <c r="F7748" s="1"/>
      <c r="G7748" s="1"/>
      <c r="H7748" s="1"/>
      <c r="I7748" s="1"/>
      <c r="J7748" s="1"/>
      <c r="K7748" s="102" t="s">
        <v>12094</v>
      </c>
      <c r="L7748" s="102" t="str">
        <f>P1124</f>
        <v>J2b2a1a1a1a1a2a1~</v>
      </c>
      <c r="M7748" s="102"/>
      <c r="N7748" s="102"/>
      <c r="O7748" s="105">
        <v>2.1951183E7</v>
      </c>
      <c r="P7748" s="105">
        <v>1.9789297E7</v>
      </c>
      <c r="Q7748" s="102" t="s">
        <v>2529</v>
      </c>
      <c r="S7748" s="1"/>
      <c r="T7748" s="1"/>
      <c r="U7748" s="1"/>
      <c r="V7748" s="1"/>
      <c r="W7748" s="1"/>
      <c r="X7748" s="1"/>
      <c r="Y7748" s="1"/>
      <c r="AA7748" s="102"/>
      <c r="AB7748" s="1"/>
      <c r="AC7748" s="1"/>
      <c r="AD7748" s="1"/>
      <c r="AE7748" s="1"/>
      <c r="AF7748" s="1"/>
      <c r="AG7748" s="1"/>
    </row>
    <row r="7749" ht="15.75" customHeight="1">
      <c r="A7749" s="1"/>
      <c r="B7749" s="1"/>
      <c r="C7749" s="1"/>
      <c r="D7749" s="1"/>
      <c r="E7749" s="1"/>
      <c r="F7749" s="1"/>
      <c r="G7749" s="1"/>
      <c r="H7749" s="1"/>
      <c r="I7749" s="1"/>
      <c r="J7749" s="1"/>
      <c r="K7749" s="102" t="s">
        <v>12095</v>
      </c>
      <c r="L7749" s="102" t="str">
        <f>P1124</f>
        <v>J2b2a1a1a1a1a2a1~</v>
      </c>
      <c r="M7749" s="102"/>
      <c r="N7749" s="102"/>
      <c r="O7749" s="105">
        <v>2.2528331E7</v>
      </c>
      <c r="P7749" s="105">
        <v>2.0366445E7</v>
      </c>
      <c r="Q7749" s="102" t="s">
        <v>2563</v>
      </c>
      <c r="S7749" s="1"/>
      <c r="T7749" s="1"/>
      <c r="U7749" s="1"/>
      <c r="V7749" s="1"/>
      <c r="W7749" s="1"/>
      <c r="X7749" s="1"/>
      <c r="Y7749" s="1"/>
      <c r="AA7749" s="102"/>
      <c r="AB7749" s="1"/>
      <c r="AC7749" s="1"/>
      <c r="AD7749" s="1"/>
      <c r="AE7749" s="1"/>
      <c r="AF7749" s="1"/>
      <c r="AG7749" s="1"/>
    </row>
    <row r="7750" ht="15.75" customHeight="1">
      <c r="A7750" s="1"/>
      <c r="B7750" s="1"/>
      <c r="C7750" s="1"/>
      <c r="D7750" s="1"/>
      <c r="E7750" s="1"/>
      <c r="F7750" s="1"/>
      <c r="G7750" s="1"/>
      <c r="H7750" s="1"/>
      <c r="I7750" s="1"/>
      <c r="J7750" s="1"/>
      <c r="K7750" s="102" t="s">
        <v>12096</v>
      </c>
      <c r="L7750" s="102" t="str">
        <f>P1124</f>
        <v>J2b2a1a1a1a1a2a1~</v>
      </c>
      <c r="M7750" s="102"/>
      <c r="N7750" s="102"/>
      <c r="O7750" s="105">
        <v>2.3380489E7</v>
      </c>
      <c r="P7750" s="105">
        <v>2.1218603E7</v>
      </c>
      <c r="Q7750" s="102" t="s">
        <v>2446</v>
      </c>
      <c r="S7750" s="1"/>
      <c r="T7750" s="1"/>
      <c r="U7750" s="1"/>
      <c r="V7750" s="1"/>
      <c r="W7750" s="1"/>
      <c r="X7750" s="1"/>
      <c r="Y7750" s="1"/>
      <c r="AA7750" s="102"/>
      <c r="AB7750" s="1"/>
      <c r="AC7750" s="1"/>
      <c r="AD7750" s="1"/>
      <c r="AE7750" s="1"/>
      <c r="AF7750" s="1"/>
      <c r="AG7750" s="1"/>
    </row>
    <row r="7751" ht="15.75" customHeight="1">
      <c r="A7751" s="1"/>
      <c r="B7751" s="1"/>
      <c r="C7751" s="1"/>
      <c r="D7751" s="1"/>
      <c r="E7751" s="1"/>
      <c r="F7751" s="1"/>
      <c r="G7751" s="1"/>
      <c r="H7751" s="1"/>
      <c r="I7751" s="1"/>
      <c r="J7751" s="1"/>
      <c r="K7751" s="106" t="s">
        <v>12097</v>
      </c>
      <c r="L7751" s="102" t="str">
        <f>P1124</f>
        <v>J2b2a1a1a1a1a2a1~</v>
      </c>
      <c r="M7751" s="102"/>
      <c r="N7751" s="102"/>
      <c r="O7751" s="108">
        <v>1.8159892E7</v>
      </c>
      <c r="P7751" s="109">
        <v>1.6048012E7</v>
      </c>
      <c r="Q7751" s="106" t="s">
        <v>2439</v>
      </c>
      <c r="S7751" s="1"/>
      <c r="T7751" s="1"/>
      <c r="U7751" s="1"/>
      <c r="V7751" s="1"/>
      <c r="W7751" s="1"/>
      <c r="X7751" s="1"/>
      <c r="Y7751" s="1"/>
      <c r="AA7751" s="102"/>
      <c r="AB7751" s="1"/>
      <c r="AC7751" s="1"/>
      <c r="AD7751" s="1"/>
      <c r="AE7751" s="1"/>
      <c r="AF7751" s="1"/>
      <c r="AG7751" s="1"/>
    </row>
    <row r="7752" ht="15.75" customHeight="1">
      <c r="A7752" s="1"/>
      <c r="B7752" s="1"/>
      <c r="C7752" s="1"/>
      <c r="D7752" s="1"/>
      <c r="E7752" s="1"/>
      <c r="F7752" s="1"/>
      <c r="G7752" s="1"/>
      <c r="H7752" s="1"/>
      <c r="I7752" s="1"/>
      <c r="J7752" s="1"/>
      <c r="K7752" s="102" t="s">
        <v>12098</v>
      </c>
      <c r="L7752" s="102" t="str">
        <f>P1124</f>
        <v>J2b2a1a1a1a1a2a1~</v>
      </c>
      <c r="M7752" s="102"/>
      <c r="N7752" s="102"/>
      <c r="O7752" s="105">
        <v>2888150.0</v>
      </c>
      <c r="P7752" s="105">
        <v>3020109.0</v>
      </c>
      <c r="Q7752" s="102" t="s">
        <v>2514</v>
      </c>
      <c r="S7752" s="1"/>
      <c r="T7752" s="1"/>
      <c r="U7752" s="1"/>
      <c r="V7752" s="1"/>
      <c r="W7752" s="1"/>
      <c r="X7752" s="1"/>
      <c r="Y7752" s="1"/>
      <c r="AA7752" s="102"/>
      <c r="AB7752" s="1"/>
      <c r="AC7752" s="1"/>
      <c r="AD7752" s="1"/>
      <c r="AE7752" s="1"/>
      <c r="AF7752" s="1"/>
      <c r="AG7752" s="1"/>
    </row>
    <row r="7753" ht="15.75" customHeight="1">
      <c r="A7753" s="1"/>
      <c r="B7753" s="1"/>
      <c r="C7753" s="1"/>
      <c r="D7753" s="1"/>
      <c r="E7753" s="1"/>
      <c r="F7753" s="1"/>
      <c r="G7753" s="1"/>
      <c r="H7753" s="1"/>
      <c r="I7753" s="1"/>
      <c r="J7753" s="1"/>
      <c r="K7753" s="102" t="s">
        <v>12099</v>
      </c>
      <c r="L7753" s="102" t="str">
        <f>P1124</f>
        <v>J2b2a1a1a1a1a2a1~</v>
      </c>
      <c r="M7753" s="102"/>
      <c r="N7753" s="102"/>
      <c r="O7753" s="105">
        <v>8544910.0</v>
      </c>
      <c r="P7753" s="105">
        <v>8676869.0</v>
      </c>
      <c r="Q7753" s="102" t="s">
        <v>2529</v>
      </c>
      <c r="S7753" s="1"/>
      <c r="T7753" s="1"/>
      <c r="U7753" s="1"/>
      <c r="V7753" s="1"/>
      <c r="W7753" s="1"/>
      <c r="X7753" s="1"/>
      <c r="Y7753" s="1"/>
      <c r="AA7753" s="102"/>
      <c r="AB7753" s="1"/>
      <c r="AC7753" s="1"/>
      <c r="AD7753" s="1"/>
      <c r="AE7753" s="1"/>
      <c r="AF7753" s="1"/>
      <c r="AG7753" s="1"/>
    </row>
    <row r="7754" ht="15.75" customHeight="1">
      <c r="A7754" s="1"/>
      <c r="B7754" s="1"/>
      <c r="C7754" s="1"/>
      <c r="D7754" s="1"/>
      <c r="E7754" s="1"/>
      <c r="F7754" s="1"/>
      <c r="G7754" s="1"/>
      <c r="H7754" s="1"/>
      <c r="I7754" s="1"/>
      <c r="J7754" s="1"/>
      <c r="K7754" s="102" t="s">
        <v>12100</v>
      </c>
      <c r="L7754" s="102" t="str">
        <f t="shared" ref="L7754:L7755" si="199">P1124</f>
        <v>J2b2a1a1a1a1a2a1~</v>
      </c>
      <c r="M7754" s="102"/>
      <c r="N7754" s="102"/>
      <c r="O7754" s="105">
        <v>1.6338505E7</v>
      </c>
      <c r="P7754" s="105">
        <v>1.4226625E7</v>
      </c>
      <c r="Q7754" s="102" t="s">
        <v>2454</v>
      </c>
      <c r="S7754" s="1"/>
      <c r="T7754" s="1"/>
      <c r="U7754" s="1"/>
      <c r="V7754" s="1"/>
      <c r="W7754" s="1"/>
      <c r="X7754" s="1"/>
      <c r="Y7754" s="1"/>
      <c r="AA7754" s="102"/>
      <c r="AB7754" s="1"/>
      <c r="AC7754" s="1"/>
      <c r="AD7754" s="1"/>
      <c r="AE7754" s="1"/>
      <c r="AF7754" s="1"/>
      <c r="AG7754" s="1"/>
    </row>
    <row r="7755" ht="15.75" customHeight="1">
      <c r="A7755" s="1"/>
      <c r="B7755" s="1"/>
      <c r="C7755" s="1"/>
      <c r="D7755" s="1"/>
      <c r="E7755" s="1"/>
      <c r="F7755" s="1"/>
      <c r="G7755" s="1"/>
      <c r="H7755" s="1"/>
      <c r="I7755" s="1"/>
      <c r="J7755" s="1"/>
      <c r="K7755" s="102" t="s">
        <v>2215</v>
      </c>
      <c r="L7755" s="102" t="str">
        <f t="shared" si="199"/>
        <v>J2b2a1a1a1a1a2a2~</v>
      </c>
      <c r="M7755" s="102"/>
      <c r="N7755" s="102"/>
      <c r="O7755" s="105">
        <v>2.1505022E7</v>
      </c>
      <c r="P7755" s="105">
        <v>1.9343136E7</v>
      </c>
      <c r="Q7755" s="102" t="s">
        <v>2533</v>
      </c>
      <c r="S7755" s="1"/>
      <c r="T7755" s="1"/>
      <c r="U7755" s="1"/>
      <c r="V7755" s="1"/>
      <c r="W7755" s="1"/>
      <c r="X7755" s="1"/>
      <c r="Y7755" s="1"/>
      <c r="AA7755" s="102"/>
      <c r="AB7755" s="1"/>
      <c r="AC7755" s="1"/>
      <c r="AD7755" s="1"/>
      <c r="AE7755" s="1"/>
      <c r="AF7755" s="1"/>
      <c r="AG7755" s="1"/>
    </row>
    <row r="7756" ht="15.75" customHeight="1">
      <c r="A7756" s="1"/>
      <c r="B7756" s="1"/>
      <c r="C7756" s="1"/>
      <c r="D7756" s="1"/>
      <c r="E7756" s="1"/>
      <c r="F7756" s="1"/>
      <c r="G7756" s="1"/>
      <c r="H7756" s="1"/>
      <c r="I7756" s="1"/>
      <c r="J7756" s="1"/>
      <c r="K7756" s="102" t="s">
        <v>12101</v>
      </c>
      <c r="L7756" s="102" t="str">
        <f>M1126</f>
        <v>J2b2a1a1a1a1b~</v>
      </c>
      <c r="M7756" s="106" t="s">
        <v>12102</v>
      </c>
      <c r="N7756" s="102" t="s">
        <v>12103</v>
      </c>
      <c r="O7756" s="105">
        <v>8567995.0</v>
      </c>
      <c r="P7756" s="105">
        <v>8699954.0</v>
      </c>
      <c r="Q7756" s="102" t="s">
        <v>2439</v>
      </c>
      <c r="S7756" s="1"/>
      <c r="T7756" s="1"/>
      <c r="U7756" s="1"/>
      <c r="V7756" s="1"/>
      <c r="W7756" s="1"/>
      <c r="X7756" s="1"/>
      <c r="Y7756" s="1"/>
      <c r="AA7756" s="102"/>
      <c r="AB7756" s="1"/>
      <c r="AC7756" s="1"/>
      <c r="AD7756" s="1"/>
      <c r="AE7756" s="1"/>
      <c r="AF7756" s="1"/>
      <c r="AG7756" s="1"/>
    </row>
    <row r="7757" ht="15.75" customHeight="1">
      <c r="A7757" s="1"/>
      <c r="B7757" s="1"/>
      <c r="C7757" s="1"/>
      <c r="D7757" s="1"/>
      <c r="E7757" s="1"/>
      <c r="F7757" s="1"/>
      <c r="G7757" s="1"/>
      <c r="H7757" s="1"/>
      <c r="I7757" s="1"/>
      <c r="J7757" s="1"/>
      <c r="K7757" s="102" t="s">
        <v>12104</v>
      </c>
      <c r="L7757" s="102" t="str">
        <f>M1126</f>
        <v>J2b2a1a1a1a1b~</v>
      </c>
      <c r="M7757" s="106" t="s">
        <v>12105</v>
      </c>
      <c r="N7757" s="102" t="s">
        <v>12103</v>
      </c>
      <c r="O7757" s="105">
        <v>8567995.0</v>
      </c>
      <c r="P7757" s="105">
        <v>8699954.0</v>
      </c>
      <c r="Q7757" s="102" t="s">
        <v>2439</v>
      </c>
      <c r="S7757" s="1"/>
      <c r="T7757" s="1"/>
      <c r="U7757" s="1"/>
      <c r="V7757" s="1"/>
      <c r="W7757" s="1"/>
      <c r="X7757" s="1"/>
      <c r="Y7757" s="1"/>
      <c r="AA7757" s="102"/>
      <c r="AB7757" s="1"/>
      <c r="AC7757" s="1"/>
      <c r="AD7757" s="1"/>
      <c r="AE7757" s="1"/>
      <c r="AF7757" s="1"/>
      <c r="AG7757" s="1"/>
    </row>
    <row r="7758" ht="15.75" customHeight="1">
      <c r="A7758" s="1"/>
      <c r="B7758" s="1"/>
      <c r="C7758" s="1"/>
      <c r="D7758" s="1"/>
      <c r="E7758" s="1"/>
      <c r="F7758" s="1"/>
      <c r="G7758" s="1"/>
      <c r="H7758" s="1"/>
      <c r="I7758" s="1"/>
      <c r="J7758" s="1"/>
      <c r="K7758" s="106" t="s">
        <v>12106</v>
      </c>
      <c r="L7758" s="102" t="str">
        <f>M1126</f>
        <v>J2b2a1a1a1a1b~</v>
      </c>
      <c r="M7758" s="102" t="s">
        <v>12107</v>
      </c>
      <c r="N7758" s="102" t="s">
        <v>12103</v>
      </c>
      <c r="O7758" s="105">
        <v>8567995.0</v>
      </c>
      <c r="P7758" s="105">
        <v>8699954.0</v>
      </c>
      <c r="Q7758" s="102" t="s">
        <v>2439</v>
      </c>
      <c r="S7758" s="1"/>
      <c r="T7758" s="1"/>
      <c r="U7758" s="1"/>
      <c r="V7758" s="1"/>
      <c r="W7758" s="1"/>
      <c r="X7758" s="1"/>
      <c r="Y7758" s="1"/>
      <c r="AA7758" s="102"/>
      <c r="AB7758" s="1"/>
      <c r="AC7758" s="1"/>
      <c r="AD7758" s="1"/>
      <c r="AE7758" s="1"/>
      <c r="AF7758" s="1"/>
      <c r="AG7758" s="1"/>
    </row>
    <row r="7759" ht="15.75" customHeight="1">
      <c r="A7759" s="1"/>
      <c r="B7759" s="1"/>
      <c r="C7759" s="1"/>
      <c r="D7759" s="1"/>
      <c r="E7759" s="1"/>
      <c r="F7759" s="1"/>
      <c r="G7759" s="1"/>
      <c r="H7759" s="1"/>
      <c r="I7759" s="1"/>
      <c r="J7759" s="1"/>
      <c r="K7759" s="102" t="s">
        <v>12108</v>
      </c>
      <c r="L7759" s="102" t="str">
        <f>M1126</f>
        <v>J2b2a1a1a1a1b~</v>
      </c>
      <c r="M7759" s="102"/>
      <c r="N7759" s="102" t="s">
        <v>12109</v>
      </c>
      <c r="O7759" s="105">
        <v>1.6343184E7</v>
      </c>
      <c r="P7759" s="105">
        <v>1.4231304E7</v>
      </c>
      <c r="Q7759" s="102" t="s">
        <v>2563</v>
      </c>
      <c r="S7759" s="1"/>
      <c r="T7759" s="1"/>
      <c r="U7759" s="1"/>
      <c r="V7759" s="1"/>
      <c r="W7759" s="1"/>
      <c r="X7759" s="1"/>
      <c r="Y7759" s="1"/>
      <c r="AA7759" s="102"/>
      <c r="AB7759" s="1"/>
      <c r="AC7759" s="1"/>
      <c r="AD7759" s="1"/>
      <c r="AE7759" s="1"/>
      <c r="AF7759" s="1"/>
      <c r="AG7759" s="1"/>
    </row>
    <row r="7760" ht="15.75" customHeight="1">
      <c r="A7760" s="1"/>
      <c r="B7760" s="1"/>
      <c r="C7760" s="1"/>
      <c r="D7760" s="1"/>
      <c r="E7760" s="1"/>
      <c r="F7760" s="1"/>
      <c r="G7760" s="1"/>
      <c r="H7760" s="1"/>
      <c r="I7760" s="1"/>
      <c r="J7760" s="1"/>
      <c r="K7760" s="102" t="s">
        <v>12110</v>
      </c>
      <c r="L7760" s="102" t="str">
        <f>M1126</f>
        <v>J2b2a1a1a1a1b~</v>
      </c>
      <c r="M7760" s="102"/>
      <c r="N7760" s="102" t="s">
        <v>12111</v>
      </c>
      <c r="O7760" s="105">
        <v>1.6856337E7</v>
      </c>
      <c r="P7760" s="105">
        <v>1.4744457E7</v>
      </c>
      <c r="Q7760" s="102" t="s">
        <v>2529</v>
      </c>
      <c r="S7760" s="1"/>
      <c r="T7760" s="1"/>
      <c r="U7760" s="1"/>
      <c r="V7760" s="1"/>
      <c r="W7760" s="1"/>
      <c r="X7760" s="1"/>
      <c r="Y7760" s="1"/>
      <c r="AA7760" s="102"/>
      <c r="AB7760" s="1"/>
      <c r="AC7760" s="1"/>
      <c r="AD7760" s="1"/>
      <c r="AE7760" s="1"/>
      <c r="AF7760" s="1"/>
      <c r="AG7760" s="1"/>
    </row>
    <row r="7761" ht="15.75" customHeight="1">
      <c r="A7761" s="1"/>
      <c r="B7761" s="1"/>
      <c r="C7761" s="1"/>
      <c r="D7761" s="1"/>
      <c r="E7761" s="1"/>
      <c r="F7761" s="1"/>
      <c r="G7761" s="1"/>
      <c r="H7761" s="1"/>
      <c r="I7761" s="1"/>
      <c r="J7761" s="1"/>
      <c r="K7761" s="102" t="s">
        <v>12112</v>
      </c>
      <c r="L7761" s="102" t="str">
        <f>M1126</f>
        <v>J2b2a1a1a1a1b~</v>
      </c>
      <c r="M7761" s="102"/>
      <c r="N7761" s="102" t="s">
        <v>12113</v>
      </c>
      <c r="O7761" s="105">
        <v>1.7324931E7</v>
      </c>
      <c r="P7761" s="105">
        <v>1.5213051E7</v>
      </c>
      <c r="Q7761" s="102" t="s">
        <v>2576</v>
      </c>
      <c r="S7761" s="1"/>
      <c r="T7761" s="1"/>
      <c r="U7761" s="1"/>
      <c r="V7761" s="1"/>
      <c r="W7761" s="1"/>
      <c r="X7761" s="1"/>
      <c r="Y7761" s="1"/>
      <c r="AA7761" s="102"/>
      <c r="AB7761" s="1"/>
      <c r="AC7761" s="1"/>
      <c r="AD7761" s="1"/>
      <c r="AE7761" s="1"/>
      <c r="AF7761" s="1"/>
      <c r="AG7761" s="1"/>
    </row>
    <row r="7762" ht="15.75" customHeight="1">
      <c r="A7762" s="1"/>
      <c r="B7762" s="1"/>
      <c r="C7762" s="1"/>
      <c r="D7762" s="1"/>
      <c r="E7762" s="1"/>
      <c r="F7762" s="1"/>
      <c r="G7762" s="1"/>
      <c r="H7762" s="1"/>
      <c r="I7762" s="1"/>
      <c r="J7762" s="1"/>
      <c r="K7762" s="102" t="s">
        <v>12114</v>
      </c>
      <c r="L7762" s="102" t="str">
        <f>M1126</f>
        <v>J2b2a1a1a1a1b~</v>
      </c>
      <c r="M7762" s="102"/>
      <c r="N7762" s="102" t="s">
        <v>12115</v>
      </c>
      <c r="O7762" s="105">
        <v>1.7488688E7</v>
      </c>
      <c r="P7762" s="105">
        <v>1.5376808E7</v>
      </c>
      <c r="Q7762" s="102" t="s">
        <v>2439</v>
      </c>
      <c r="S7762" s="1"/>
      <c r="T7762" s="1"/>
      <c r="U7762" s="1"/>
      <c r="V7762" s="1"/>
      <c r="W7762" s="1"/>
      <c r="X7762" s="1"/>
      <c r="Y7762" s="1"/>
      <c r="AA7762" s="102"/>
      <c r="AB7762" s="1"/>
      <c r="AC7762" s="1"/>
      <c r="AD7762" s="1"/>
      <c r="AE7762" s="1"/>
      <c r="AF7762" s="1"/>
      <c r="AG7762" s="1"/>
    </row>
    <row r="7763" ht="15.75" customHeight="1">
      <c r="A7763" s="1"/>
      <c r="B7763" s="1"/>
      <c r="C7763" s="1"/>
      <c r="D7763" s="1"/>
      <c r="E7763" s="1"/>
      <c r="F7763" s="1"/>
      <c r="G7763" s="1"/>
      <c r="H7763" s="1"/>
      <c r="I7763" s="1"/>
      <c r="J7763" s="1"/>
      <c r="K7763" s="102" t="s">
        <v>12116</v>
      </c>
      <c r="L7763" s="102" t="str">
        <f>M1126</f>
        <v>J2b2a1a1a1a1b~</v>
      </c>
      <c r="M7763" s="102"/>
      <c r="N7763" s="102" t="s">
        <v>12117</v>
      </c>
      <c r="O7763" s="105">
        <v>1.7554863E7</v>
      </c>
      <c r="P7763" s="105">
        <v>1.5442983E7</v>
      </c>
      <c r="Q7763" s="102" t="s">
        <v>2529</v>
      </c>
      <c r="S7763" s="1"/>
      <c r="T7763" s="1"/>
      <c r="U7763" s="1"/>
      <c r="V7763" s="1"/>
      <c r="W7763" s="1"/>
      <c r="X7763" s="1"/>
      <c r="Y7763" s="1"/>
      <c r="AA7763" s="102"/>
      <c r="AB7763" s="1"/>
      <c r="AC7763" s="1"/>
      <c r="AD7763" s="1"/>
      <c r="AE7763" s="1"/>
      <c r="AF7763" s="1"/>
      <c r="AG7763" s="1"/>
    </row>
    <row r="7764" ht="15.75" customHeight="1">
      <c r="A7764" s="1"/>
      <c r="B7764" s="1"/>
      <c r="C7764" s="1"/>
      <c r="D7764" s="1"/>
      <c r="E7764" s="1"/>
      <c r="F7764" s="1"/>
      <c r="G7764" s="1"/>
      <c r="H7764" s="1"/>
      <c r="I7764" s="1"/>
      <c r="J7764" s="1"/>
      <c r="K7764" s="102" t="s">
        <v>12118</v>
      </c>
      <c r="L7764" s="102" t="str">
        <f>M1126</f>
        <v>J2b2a1a1a1a1b~</v>
      </c>
      <c r="M7764" s="102"/>
      <c r="N7764" s="102" t="s">
        <v>12119</v>
      </c>
      <c r="O7764" s="105">
        <v>1.9543413E7</v>
      </c>
      <c r="P7764" s="105">
        <v>1.7431533E7</v>
      </c>
      <c r="Q7764" s="102" t="s">
        <v>2533</v>
      </c>
      <c r="S7764" s="1"/>
      <c r="T7764" s="1"/>
      <c r="U7764" s="1"/>
      <c r="V7764" s="1"/>
      <c r="W7764" s="1"/>
      <c r="X7764" s="1"/>
      <c r="Y7764" s="1"/>
      <c r="AA7764" s="102"/>
      <c r="AB7764" s="1"/>
      <c r="AC7764" s="1"/>
      <c r="AD7764" s="1"/>
      <c r="AE7764" s="1"/>
      <c r="AF7764" s="1"/>
      <c r="AG7764" s="1"/>
    </row>
    <row r="7765" ht="15.75" customHeight="1">
      <c r="A7765" s="1"/>
      <c r="B7765" s="1"/>
      <c r="C7765" s="1"/>
      <c r="D7765" s="1"/>
      <c r="E7765" s="1"/>
      <c r="F7765" s="1"/>
      <c r="G7765" s="1"/>
      <c r="H7765" s="1"/>
      <c r="I7765" s="1"/>
      <c r="J7765" s="1"/>
      <c r="K7765" s="102" t="s">
        <v>12120</v>
      </c>
      <c r="L7765" s="102" t="str">
        <f>M1126</f>
        <v>J2b2a1a1a1a1b~</v>
      </c>
      <c r="M7765" s="102"/>
      <c r="N7765" s="102" t="s">
        <v>12121</v>
      </c>
      <c r="O7765" s="105">
        <v>2.1157694E7</v>
      </c>
      <c r="P7765" s="105">
        <v>1.8995808E7</v>
      </c>
      <c r="Q7765" s="102" t="s">
        <v>2432</v>
      </c>
      <c r="S7765" s="1"/>
      <c r="T7765" s="1"/>
      <c r="U7765" s="1"/>
      <c r="V7765" s="1"/>
      <c r="W7765" s="1"/>
      <c r="X7765" s="1"/>
      <c r="Y7765" s="1"/>
      <c r="AA7765" s="102"/>
      <c r="AB7765" s="1"/>
      <c r="AC7765" s="1"/>
      <c r="AD7765" s="1"/>
      <c r="AE7765" s="1"/>
      <c r="AF7765" s="1"/>
      <c r="AG7765" s="1"/>
    </row>
    <row r="7766" ht="15.75" customHeight="1">
      <c r="A7766" s="1"/>
      <c r="B7766" s="1"/>
      <c r="C7766" s="1"/>
      <c r="D7766" s="1"/>
      <c r="E7766" s="1"/>
      <c r="F7766" s="1"/>
      <c r="G7766" s="1"/>
      <c r="H7766" s="1"/>
      <c r="I7766" s="1"/>
      <c r="J7766" s="1"/>
      <c r="K7766" s="102" t="s">
        <v>12122</v>
      </c>
      <c r="L7766" s="102" t="str">
        <f>M1126</f>
        <v>J2b2a1a1a1a1b~</v>
      </c>
      <c r="M7766" s="102"/>
      <c r="N7766" s="102" t="s">
        <v>12123</v>
      </c>
      <c r="O7766" s="105">
        <v>2.165746E7</v>
      </c>
      <c r="P7766" s="105">
        <v>1.9495574E7</v>
      </c>
      <c r="Q7766" s="102" t="s">
        <v>2529</v>
      </c>
      <c r="S7766" s="1"/>
      <c r="T7766" s="1"/>
      <c r="U7766" s="1"/>
      <c r="V7766" s="1"/>
      <c r="W7766" s="1"/>
      <c r="X7766" s="1"/>
      <c r="Y7766" s="1"/>
      <c r="AA7766" s="102"/>
      <c r="AB7766" s="1"/>
      <c r="AC7766" s="1"/>
      <c r="AD7766" s="1"/>
      <c r="AE7766" s="1"/>
      <c r="AF7766" s="1"/>
      <c r="AG7766" s="1"/>
    </row>
    <row r="7767" ht="15.75" customHeight="1">
      <c r="A7767" s="1"/>
      <c r="B7767" s="1"/>
      <c r="C7767" s="1"/>
      <c r="D7767" s="1"/>
      <c r="E7767" s="1"/>
      <c r="F7767" s="1"/>
      <c r="G7767" s="1"/>
      <c r="H7767" s="1"/>
      <c r="I7767" s="1"/>
      <c r="J7767" s="1"/>
      <c r="K7767" s="102" t="s">
        <v>12124</v>
      </c>
      <c r="L7767" s="102" t="str">
        <f>M1126</f>
        <v>J2b2a1a1a1a1b~</v>
      </c>
      <c r="M7767" s="102"/>
      <c r="N7767" s="102"/>
      <c r="O7767" s="105">
        <v>1.6092431E7</v>
      </c>
      <c r="P7767" s="105">
        <v>1.3980551E7</v>
      </c>
      <c r="Q7767" s="102" t="s">
        <v>2529</v>
      </c>
      <c r="S7767" s="1"/>
      <c r="T7767" s="1"/>
      <c r="U7767" s="1"/>
      <c r="V7767" s="1"/>
      <c r="W7767" s="1"/>
      <c r="X7767" s="1"/>
      <c r="Y7767" s="1"/>
      <c r="AA7767" s="102"/>
      <c r="AB7767" s="1"/>
      <c r="AC7767" s="1"/>
      <c r="AD7767" s="1"/>
      <c r="AE7767" s="1"/>
      <c r="AF7767" s="1"/>
      <c r="AG7767" s="1"/>
    </row>
    <row r="7768" ht="15.75" customHeight="1">
      <c r="A7768" s="1"/>
      <c r="B7768" s="1"/>
      <c r="C7768" s="1"/>
      <c r="D7768" s="1"/>
      <c r="E7768" s="1"/>
      <c r="F7768" s="1"/>
      <c r="G7768" s="1"/>
      <c r="H7768" s="1"/>
      <c r="I7768" s="1"/>
      <c r="J7768" s="1"/>
      <c r="K7768" s="102" t="s">
        <v>12125</v>
      </c>
      <c r="L7768" s="102" t="str">
        <f>M1126</f>
        <v>J2b2a1a1a1a1b~</v>
      </c>
      <c r="M7768" s="102"/>
      <c r="N7768" s="102" t="s">
        <v>12126</v>
      </c>
      <c r="O7768" s="105">
        <v>7827964.0</v>
      </c>
      <c r="P7768" s="105">
        <v>7959923.0</v>
      </c>
      <c r="Q7768" s="102" t="s">
        <v>2468</v>
      </c>
      <c r="S7768" s="1"/>
      <c r="T7768" s="1"/>
      <c r="U7768" s="1"/>
      <c r="V7768" s="1"/>
      <c r="W7768" s="1"/>
      <c r="X7768" s="1"/>
      <c r="Y7768" s="1"/>
      <c r="AA7768" s="102"/>
      <c r="AB7768" s="1"/>
      <c r="AC7768" s="1"/>
      <c r="AD7768" s="1"/>
      <c r="AE7768" s="1"/>
      <c r="AF7768" s="1"/>
      <c r="AG7768" s="1"/>
    </row>
    <row r="7769" ht="15.75" customHeight="1">
      <c r="A7769" s="1"/>
      <c r="B7769" s="1"/>
      <c r="C7769" s="1"/>
      <c r="D7769" s="1"/>
      <c r="E7769" s="1"/>
      <c r="F7769" s="1"/>
      <c r="G7769" s="1"/>
      <c r="H7769" s="1"/>
      <c r="I7769" s="1"/>
      <c r="J7769" s="1"/>
      <c r="K7769" s="102" t="s">
        <v>12127</v>
      </c>
      <c r="L7769" s="102" t="str">
        <f>M1126</f>
        <v>J2b2a1a1a1a1b~</v>
      </c>
      <c r="M7769" s="102"/>
      <c r="N7769" s="102"/>
      <c r="O7769" s="105">
        <v>8446361.0</v>
      </c>
      <c r="P7769" s="105">
        <v>8578320.0</v>
      </c>
      <c r="Q7769" s="102" t="s">
        <v>2533</v>
      </c>
      <c r="S7769" s="1"/>
      <c r="T7769" s="1"/>
      <c r="U7769" s="1"/>
      <c r="V7769" s="1"/>
      <c r="W7769" s="1"/>
      <c r="X7769" s="1"/>
      <c r="Y7769" s="1"/>
      <c r="AA7769" s="102"/>
      <c r="AB7769" s="1"/>
      <c r="AC7769" s="1"/>
      <c r="AD7769" s="1"/>
      <c r="AE7769" s="1"/>
      <c r="AF7769" s="1"/>
      <c r="AG7769" s="1"/>
    </row>
    <row r="7770" ht="15.75" customHeight="1">
      <c r="A7770" s="1"/>
      <c r="B7770" s="1"/>
      <c r="C7770" s="1"/>
      <c r="D7770" s="1"/>
      <c r="E7770" s="1"/>
      <c r="F7770" s="1"/>
      <c r="G7770" s="1"/>
      <c r="H7770" s="1"/>
      <c r="I7770" s="1"/>
      <c r="J7770" s="1"/>
      <c r="K7770" s="102" t="s">
        <v>12128</v>
      </c>
      <c r="L7770" s="102" t="str">
        <f>M1126</f>
        <v>J2b2a1a1a1a1b~</v>
      </c>
      <c r="M7770" s="102"/>
      <c r="N7770" s="102" t="s">
        <v>12129</v>
      </c>
      <c r="O7770" s="105">
        <v>8482551.0</v>
      </c>
      <c r="P7770" s="105">
        <v>8614510.0</v>
      </c>
      <c r="Q7770" s="102" t="s">
        <v>2439</v>
      </c>
      <c r="S7770" s="1"/>
      <c r="T7770" s="1"/>
      <c r="U7770" s="1"/>
      <c r="V7770" s="1"/>
      <c r="W7770" s="1"/>
      <c r="X7770" s="1"/>
      <c r="Y7770" s="1"/>
      <c r="AA7770" s="102"/>
      <c r="AB7770" s="1"/>
      <c r="AC7770" s="1"/>
      <c r="AD7770" s="1"/>
      <c r="AE7770" s="1"/>
      <c r="AF7770" s="1"/>
      <c r="AG7770" s="1"/>
    </row>
    <row r="7771" ht="15.75" customHeight="1">
      <c r="A7771" s="1"/>
      <c r="B7771" s="1"/>
      <c r="C7771" s="1"/>
      <c r="D7771" s="1"/>
      <c r="E7771" s="1"/>
      <c r="F7771" s="1"/>
      <c r="G7771" s="1"/>
      <c r="H7771" s="1"/>
      <c r="I7771" s="1"/>
      <c r="J7771" s="1"/>
      <c r="K7771" s="102" t="s">
        <v>12130</v>
      </c>
      <c r="L7771" s="102" t="str">
        <f>M1126</f>
        <v>J2b2a1a1a1a1b~</v>
      </c>
      <c r="M7771" s="102"/>
      <c r="N7771" s="102"/>
      <c r="O7771" s="105">
        <v>8666176.0</v>
      </c>
      <c r="P7771" s="105">
        <v>8798135.0</v>
      </c>
      <c r="Q7771" s="102" t="s">
        <v>2439</v>
      </c>
      <c r="S7771" s="1"/>
      <c r="T7771" s="1"/>
      <c r="U7771" s="1"/>
      <c r="V7771" s="1"/>
      <c r="W7771" s="1"/>
      <c r="X7771" s="1"/>
      <c r="Y7771" s="1"/>
      <c r="AA7771" s="102"/>
      <c r="AB7771" s="1"/>
      <c r="AC7771" s="1"/>
      <c r="AD7771" s="1"/>
      <c r="AE7771" s="1"/>
      <c r="AF7771" s="1"/>
      <c r="AG7771" s="1"/>
    </row>
    <row r="7772" ht="15.75" customHeight="1">
      <c r="A7772" s="1"/>
      <c r="B7772" s="1"/>
      <c r="C7772" s="1"/>
      <c r="D7772" s="1"/>
      <c r="E7772" s="1"/>
      <c r="F7772" s="1"/>
      <c r="G7772" s="1"/>
      <c r="H7772" s="1"/>
      <c r="I7772" s="1"/>
      <c r="J7772" s="1"/>
      <c r="K7772" s="102" t="s">
        <v>12131</v>
      </c>
      <c r="L7772" s="102" t="str">
        <f>M1126</f>
        <v>J2b2a1a1a1a1b~</v>
      </c>
      <c r="M7772" s="102"/>
      <c r="N7772" s="102" t="s">
        <v>12132</v>
      </c>
      <c r="O7772" s="105">
        <v>2.1607118E7</v>
      </c>
      <c r="P7772" s="105">
        <v>1.9445232E7</v>
      </c>
      <c r="Q7772" s="102" t="s">
        <v>2529</v>
      </c>
      <c r="S7772" s="1"/>
      <c r="T7772" s="1"/>
      <c r="U7772" s="1"/>
      <c r="V7772" s="1"/>
      <c r="W7772" s="1"/>
      <c r="X7772" s="1"/>
      <c r="Y7772" s="1"/>
      <c r="AA7772" s="102"/>
      <c r="AB7772" s="1"/>
      <c r="AC7772" s="1"/>
      <c r="AD7772" s="1"/>
      <c r="AE7772" s="1"/>
      <c r="AF7772" s="1"/>
      <c r="AG7772" s="1"/>
    </row>
    <row r="7773" ht="15.75" customHeight="1">
      <c r="A7773" s="1"/>
      <c r="B7773" s="1"/>
      <c r="C7773" s="1"/>
      <c r="D7773" s="1"/>
      <c r="E7773" s="1"/>
      <c r="F7773" s="1"/>
      <c r="G7773" s="1"/>
      <c r="H7773" s="1"/>
      <c r="I7773" s="1"/>
      <c r="J7773" s="1"/>
      <c r="K7773" s="102" t="s">
        <v>12133</v>
      </c>
      <c r="L7773" s="102" t="str">
        <f>M1126</f>
        <v>J2b2a1a1a1a1b~</v>
      </c>
      <c r="M7773" s="102"/>
      <c r="N7773" s="102"/>
      <c r="O7773" s="105">
        <v>1.8403739E7</v>
      </c>
      <c r="P7773" s="105">
        <v>1.6291859E7</v>
      </c>
      <c r="Q7773" s="102" t="s">
        <v>2446</v>
      </c>
      <c r="S7773" s="1"/>
      <c r="T7773" s="1"/>
      <c r="U7773" s="1"/>
      <c r="V7773" s="1"/>
      <c r="W7773" s="1"/>
      <c r="X7773" s="1"/>
      <c r="Y7773" s="1"/>
      <c r="AA7773" s="102"/>
      <c r="AB7773" s="1"/>
      <c r="AC7773" s="1"/>
      <c r="AD7773" s="1"/>
      <c r="AE7773" s="1"/>
      <c r="AF7773" s="1"/>
      <c r="AG7773" s="1"/>
    </row>
    <row r="7774" ht="15.75" customHeight="1">
      <c r="A7774" s="1"/>
      <c r="B7774" s="1"/>
      <c r="C7774" s="1"/>
      <c r="D7774" s="1"/>
      <c r="E7774" s="1"/>
      <c r="F7774" s="1"/>
      <c r="G7774" s="1"/>
      <c r="H7774" s="1"/>
      <c r="I7774" s="1"/>
      <c r="J7774" s="1"/>
      <c r="K7774" s="102" t="s">
        <v>12134</v>
      </c>
      <c r="L7774" s="102" t="str">
        <f>N1127</f>
        <v>J2b2a1a1a1a1b1~</v>
      </c>
      <c r="M7774" s="102"/>
      <c r="N7774" s="102" t="s">
        <v>12135</v>
      </c>
      <c r="O7774" s="105">
        <v>1.4282124E7</v>
      </c>
      <c r="P7774" s="105">
        <v>1.2161418E7</v>
      </c>
      <c r="Q7774" s="102" t="s">
        <v>2501</v>
      </c>
      <c r="S7774" s="1"/>
      <c r="T7774" s="1"/>
      <c r="U7774" s="1"/>
      <c r="V7774" s="1"/>
      <c r="W7774" s="1"/>
      <c r="X7774" s="1"/>
      <c r="Y7774" s="1"/>
      <c r="AA7774" s="102"/>
      <c r="AB7774" s="1"/>
      <c r="AC7774" s="1"/>
      <c r="AD7774" s="1"/>
      <c r="AE7774" s="1"/>
      <c r="AF7774" s="1"/>
      <c r="AG7774" s="1"/>
    </row>
    <row r="7775" ht="15.75" customHeight="1">
      <c r="A7775" s="1"/>
      <c r="B7775" s="1"/>
      <c r="C7775" s="1"/>
      <c r="D7775" s="1"/>
      <c r="E7775" s="1"/>
      <c r="F7775" s="1"/>
      <c r="G7775" s="1"/>
      <c r="H7775" s="1"/>
      <c r="I7775" s="1"/>
      <c r="J7775" s="1"/>
      <c r="K7775" s="102" t="s">
        <v>12136</v>
      </c>
      <c r="L7775" s="102" t="str">
        <f>N1127</f>
        <v>J2b2a1a1a1a1b1~</v>
      </c>
      <c r="M7775" s="102"/>
      <c r="N7775" s="102" t="s">
        <v>12137</v>
      </c>
      <c r="O7775" s="105">
        <v>1.5537583E7</v>
      </c>
      <c r="P7775" s="105">
        <v>1.3425703E7</v>
      </c>
      <c r="Q7775" s="102" t="s">
        <v>2529</v>
      </c>
      <c r="S7775" s="1"/>
      <c r="T7775" s="1"/>
      <c r="U7775" s="1"/>
      <c r="V7775" s="1"/>
      <c r="W7775" s="1"/>
      <c r="X7775" s="1"/>
      <c r="Y7775" s="1"/>
      <c r="AA7775" s="102"/>
      <c r="AB7775" s="1"/>
      <c r="AC7775" s="1"/>
      <c r="AD7775" s="1"/>
      <c r="AE7775" s="1"/>
      <c r="AF7775" s="1"/>
      <c r="AG7775" s="1"/>
    </row>
    <row r="7776" ht="15.75" customHeight="1">
      <c r="A7776" s="1"/>
      <c r="B7776" s="1"/>
      <c r="C7776" s="1"/>
      <c r="D7776" s="1"/>
      <c r="E7776" s="1"/>
      <c r="F7776" s="1"/>
      <c r="G7776" s="1"/>
      <c r="H7776" s="1"/>
      <c r="I7776" s="1"/>
      <c r="J7776" s="1"/>
      <c r="K7776" s="102" t="s">
        <v>12138</v>
      </c>
      <c r="L7776" s="102" t="str">
        <f>N1127</f>
        <v>J2b2a1a1a1a1b1~</v>
      </c>
      <c r="M7776" s="102"/>
      <c r="N7776" s="102"/>
      <c r="O7776" s="105">
        <v>1.5770752E7</v>
      </c>
      <c r="P7776" s="105">
        <v>1.3658872E7</v>
      </c>
      <c r="Q7776" s="102" t="s">
        <v>2439</v>
      </c>
      <c r="S7776" s="1"/>
      <c r="T7776" s="1"/>
      <c r="U7776" s="1"/>
      <c r="V7776" s="1"/>
      <c r="W7776" s="1"/>
      <c r="X7776" s="1"/>
      <c r="Y7776" s="1"/>
      <c r="AA7776" s="102"/>
      <c r="AB7776" s="1"/>
      <c r="AC7776" s="1"/>
      <c r="AD7776" s="1"/>
      <c r="AE7776" s="1"/>
      <c r="AF7776" s="1"/>
      <c r="AG7776" s="1"/>
    </row>
    <row r="7777" ht="15.75" customHeight="1">
      <c r="A7777" s="1"/>
      <c r="B7777" s="1"/>
      <c r="C7777" s="1"/>
      <c r="D7777" s="1"/>
      <c r="E7777" s="1"/>
      <c r="F7777" s="1"/>
      <c r="G7777" s="1"/>
      <c r="H7777" s="1"/>
      <c r="I7777" s="1"/>
      <c r="J7777" s="1"/>
      <c r="K7777" s="102" t="s">
        <v>12139</v>
      </c>
      <c r="L7777" s="102" t="str">
        <f>N1127</f>
        <v>J2b2a1a1a1a1b1~</v>
      </c>
      <c r="M7777" s="102"/>
      <c r="N7777" s="102"/>
      <c r="O7777" s="105">
        <v>1.5350885E7</v>
      </c>
      <c r="P7777" s="105">
        <v>1.3239004E7</v>
      </c>
      <c r="Q7777" s="102" t="s">
        <v>2501</v>
      </c>
      <c r="S7777" s="1"/>
      <c r="T7777" s="1"/>
      <c r="U7777" s="1"/>
      <c r="V7777" s="1"/>
      <c r="W7777" s="1"/>
      <c r="X7777" s="1"/>
      <c r="Y7777" s="1"/>
      <c r="AA7777" s="102"/>
      <c r="AB7777" s="1"/>
      <c r="AC7777" s="1"/>
      <c r="AD7777" s="1"/>
      <c r="AE7777" s="1"/>
      <c r="AF7777" s="1"/>
      <c r="AG7777" s="1"/>
    </row>
    <row r="7778" ht="15.75" customHeight="1">
      <c r="A7778" s="1"/>
      <c r="B7778" s="1"/>
      <c r="C7778" s="1"/>
      <c r="D7778" s="1"/>
      <c r="E7778" s="1"/>
      <c r="F7778" s="1"/>
      <c r="G7778" s="1"/>
      <c r="H7778" s="1"/>
      <c r="I7778" s="1"/>
      <c r="J7778" s="1"/>
      <c r="K7778" s="102" t="s">
        <v>12140</v>
      </c>
      <c r="L7778" s="102" t="str">
        <f>N1127</f>
        <v>J2b2a1a1a1a1b1~</v>
      </c>
      <c r="M7778" s="102"/>
      <c r="N7778" s="102" t="s">
        <v>12141</v>
      </c>
      <c r="O7778" s="105">
        <v>1.6339207E7</v>
      </c>
      <c r="P7778" s="105">
        <v>1.4227327E7</v>
      </c>
      <c r="Q7778" s="102" t="s">
        <v>2454</v>
      </c>
      <c r="S7778" s="1"/>
      <c r="T7778" s="1"/>
      <c r="U7778" s="1"/>
      <c r="V7778" s="1"/>
      <c r="W7778" s="1"/>
      <c r="X7778" s="1"/>
      <c r="Y7778" s="1"/>
      <c r="AA7778" s="102"/>
      <c r="AB7778" s="1"/>
      <c r="AC7778" s="1"/>
      <c r="AD7778" s="1"/>
      <c r="AE7778" s="1"/>
      <c r="AF7778" s="1"/>
      <c r="AG7778" s="1"/>
    </row>
    <row r="7779" ht="15.75" customHeight="1">
      <c r="A7779" s="1"/>
      <c r="B7779" s="1"/>
      <c r="C7779" s="1"/>
      <c r="D7779" s="1"/>
      <c r="E7779" s="1"/>
      <c r="F7779" s="1"/>
      <c r="G7779" s="1"/>
      <c r="H7779" s="1"/>
      <c r="I7779" s="1"/>
      <c r="J7779" s="1"/>
      <c r="K7779" s="102" t="s">
        <v>12142</v>
      </c>
      <c r="L7779" s="102" t="str">
        <f>K1128</f>
        <v>J2b2a1a1a1b~</v>
      </c>
      <c r="M7779" s="102"/>
      <c r="N7779" s="102" t="s">
        <v>12143</v>
      </c>
      <c r="O7779" s="105">
        <v>1.5072752E7</v>
      </c>
      <c r="P7779" s="105">
        <v>1.2960842E7</v>
      </c>
      <c r="Q7779" s="102" t="s">
        <v>2501</v>
      </c>
      <c r="S7779" s="1"/>
      <c r="T7779" s="1"/>
      <c r="U7779" s="1"/>
      <c r="V7779" s="1"/>
      <c r="W7779" s="1"/>
      <c r="X7779" s="1"/>
      <c r="Y7779" s="1"/>
      <c r="AA7779" s="102"/>
      <c r="AB7779" s="1"/>
      <c r="AC7779" s="1"/>
      <c r="AD7779" s="1"/>
      <c r="AE7779" s="1"/>
      <c r="AF7779" s="1"/>
      <c r="AG7779" s="1"/>
    </row>
    <row r="7780" ht="15.75" customHeight="1">
      <c r="A7780" s="1"/>
      <c r="B7780" s="1"/>
      <c r="C7780" s="1"/>
      <c r="D7780" s="1"/>
      <c r="E7780" s="1"/>
      <c r="F7780" s="1"/>
      <c r="G7780" s="1"/>
      <c r="H7780" s="1"/>
      <c r="I7780" s="1"/>
      <c r="J7780" s="1"/>
      <c r="K7780" s="102" t="s">
        <v>12144</v>
      </c>
      <c r="L7780" s="102" t="str">
        <f>K1128</f>
        <v>J2b2a1a1a1b~</v>
      </c>
      <c r="M7780" s="102"/>
      <c r="N7780" s="102" t="s">
        <v>12145</v>
      </c>
      <c r="O7780" s="105">
        <v>1.8753091E7</v>
      </c>
      <c r="P7780" s="105">
        <v>1.6641211E7</v>
      </c>
      <c r="Q7780" s="102" t="s">
        <v>2501</v>
      </c>
      <c r="S7780" s="1"/>
      <c r="T7780" s="1"/>
      <c r="U7780" s="1"/>
      <c r="V7780" s="1"/>
      <c r="W7780" s="1"/>
      <c r="X7780" s="1"/>
      <c r="Y7780" s="1"/>
      <c r="AA7780" s="102"/>
      <c r="AB7780" s="1"/>
      <c r="AC7780" s="1"/>
      <c r="AD7780" s="1"/>
      <c r="AE7780" s="1"/>
      <c r="AF7780" s="1"/>
      <c r="AG7780" s="1"/>
    </row>
    <row r="7781" ht="15.75" customHeight="1">
      <c r="A7781" s="1"/>
      <c r="B7781" s="1"/>
      <c r="C7781" s="1"/>
      <c r="D7781" s="1"/>
      <c r="E7781" s="1"/>
      <c r="F7781" s="1"/>
      <c r="G7781" s="1"/>
      <c r="H7781" s="1"/>
      <c r="I7781" s="1"/>
      <c r="J7781" s="1"/>
      <c r="K7781" s="102" t="s">
        <v>12146</v>
      </c>
      <c r="L7781" s="102" t="str">
        <f>K1128</f>
        <v>J2b2a1a1a1b~</v>
      </c>
      <c r="M7781" s="102" t="s">
        <v>12147</v>
      </c>
      <c r="N7781" s="102"/>
      <c r="O7781" s="105">
        <v>8794308.0</v>
      </c>
      <c r="P7781" s="105">
        <v>8926267.0</v>
      </c>
      <c r="Q7781" s="102" t="s">
        <v>2514</v>
      </c>
      <c r="S7781" s="1"/>
      <c r="T7781" s="1"/>
      <c r="U7781" s="1"/>
      <c r="V7781" s="1"/>
      <c r="W7781" s="1"/>
      <c r="X7781" s="1"/>
      <c r="Y7781" s="1"/>
      <c r="AA7781" s="102"/>
      <c r="AB7781" s="1"/>
      <c r="AC7781" s="1"/>
      <c r="AD7781" s="1"/>
      <c r="AE7781" s="1"/>
      <c r="AF7781" s="1"/>
      <c r="AG7781" s="1"/>
    </row>
    <row r="7782" ht="15.75" customHeight="1">
      <c r="A7782" s="1"/>
      <c r="B7782" s="1"/>
      <c r="C7782" s="1"/>
      <c r="D7782" s="1"/>
      <c r="E7782" s="1"/>
      <c r="F7782" s="1"/>
      <c r="G7782" s="1"/>
      <c r="H7782" s="1"/>
      <c r="I7782" s="1"/>
      <c r="J7782" s="1"/>
      <c r="K7782" s="102" t="s">
        <v>12147</v>
      </c>
      <c r="L7782" s="102" t="str">
        <f>K1128</f>
        <v>J2b2a1a1a1b~</v>
      </c>
      <c r="M7782" s="102" t="s">
        <v>12146</v>
      </c>
      <c r="N7782" s="102"/>
      <c r="O7782" s="105">
        <v>8794308.0</v>
      </c>
      <c r="P7782" s="105">
        <v>8926267.0</v>
      </c>
      <c r="Q7782" s="102" t="s">
        <v>2514</v>
      </c>
      <c r="S7782" s="1"/>
      <c r="T7782" s="1"/>
      <c r="U7782" s="1"/>
      <c r="V7782" s="1"/>
      <c r="W7782" s="1"/>
      <c r="X7782" s="1"/>
      <c r="Y7782" s="1"/>
      <c r="AA7782" s="102"/>
      <c r="AB7782" s="1"/>
      <c r="AC7782" s="1"/>
      <c r="AD7782" s="1"/>
      <c r="AE7782" s="1"/>
      <c r="AF7782" s="1"/>
      <c r="AG7782" s="1"/>
    </row>
    <row r="7783" ht="15.75" customHeight="1">
      <c r="A7783" s="1"/>
      <c r="B7783" s="1"/>
      <c r="C7783" s="1"/>
      <c r="D7783" s="1"/>
      <c r="E7783" s="1"/>
      <c r="F7783" s="1"/>
      <c r="G7783" s="1"/>
      <c r="H7783" s="1"/>
      <c r="I7783" s="1"/>
      <c r="J7783" s="1"/>
      <c r="K7783" s="102" t="s">
        <v>12148</v>
      </c>
      <c r="L7783" s="102" t="str">
        <f>L1129</f>
        <v>J2b2a1a1a1b1~</v>
      </c>
      <c r="M7783" s="102"/>
      <c r="N7783" s="102" t="s">
        <v>12149</v>
      </c>
      <c r="O7783" s="105">
        <v>2.3429009E7</v>
      </c>
      <c r="P7783" s="105">
        <v>2.1267123E7</v>
      </c>
      <c r="Q7783" s="102" t="s">
        <v>2501</v>
      </c>
      <c r="S7783" s="1"/>
      <c r="T7783" s="1"/>
      <c r="U7783" s="1"/>
      <c r="V7783" s="1"/>
      <c r="W7783" s="1"/>
      <c r="X7783" s="1"/>
      <c r="Y7783" s="1"/>
      <c r="AA7783" s="102"/>
      <c r="AB7783" s="1"/>
      <c r="AC7783" s="1"/>
      <c r="AD7783" s="1"/>
      <c r="AE7783" s="1"/>
      <c r="AF7783" s="1"/>
      <c r="AG7783" s="1"/>
    </row>
    <row r="7784" ht="15.75" customHeight="1">
      <c r="A7784" s="1"/>
      <c r="B7784" s="1"/>
      <c r="C7784" s="1"/>
      <c r="D7784" s="1"/>
      <c r="E7784" s="1"/>
      <c r="F7784" s="1"/>
      <c r="G7784" s="1"/>
      <c r="H7784" s="1"/>
      <c r="I7784" s="1"/>
      <c r="J7784" s="1"/>
      <c r="K7784" s="102" t="s">
        <v>12150</v>
      </c>
      <c r="L7784" s="102" t="str">
        <f>L1129</f>
        <v>J2b2a1a1a1b1~</v>
      </c>
      <c r="M7784" s="102"/>
      <c r="N7784" s="102" t="s">
        <v>12151</v>
      </c>
      <c r="O7784" s="105">
        <v>8539814.0</v>
      </c>
      <c r="P7784" s="105">
        <v>8671773.0</v>
      </c>
      <c r="Q7784" s="102" t="s">
        <v>2576</v>
      </c>
      <c r="S7784" s="1"/>
      <c r="T7784" s="1"/>
      <c r="U7784" s="1"/>
      <c r="V7784" s="1"/>
      <c r="W7784" s="1"/>
      <c r="X7784" s="1"/>
      <c r="Y7784" s="1"/>
      <c r="AA7784" s="102"/>
      <c r="AB7784" s="1"/>
      <c r="AC7784" s="1"/>
      <c r="AD7784" s="1"/>
      <c r="AE7784" s="1"/>
      <c r="AF7784" s="1"/>
      <c r="AG7784" s="1"/>
    </row>
    <row r="7785" ht="15.75" customHeight="1">
      <c r="A7785" s="1"/>
      <c r="B7785" s="1"/>
      <c r="C7785" s="1"/>
      <c r="D7785" s="1"/>
      <c r="E7785" s="1"/>
      <c r="F7785" s="1"/>
      <c r="G7785" s="1"/>
      <c r="H7785" s="1"/>
      <c r="I7785" s="1"/>
      <c r="J7785" s="1"/>
      <c r="K7785" s="102" t="s">
        <v>2225</v>
      </c>
      <c r="L7785" s="102" t="str">
        <f>M1130</f>
        <v>J2b2a1a1a1b1a~</v>
      </c>
      <c r="M7785" s="102"/>
      <c r="N7785" s="102" t="s">
        <v>12152</v>
      </c>
      <c r="O7785" s="105">
        <v>1.6231183E7</v>
      </c>
      <c r="P7785" s="105">
        <v>1.4119303E7</v>
      </c>
      <c r="Q7785" s="102" t="s">
        <v>2529</v>
      </c>
      <c r="S7785" s="1"/>
      <c r="T7785" s="1"/>
      <c r="U7785" s="1"/>
      <c r="V7785" s="1"/>
      <c r="W7785" s="1"/>
      <c r="X7785" s="1"/>
      <c r="Y7785" s="1"/>
      <c r="AA7785" s="102"/>
      <c r="AB7785" s="1"/>
      <c r="AC7785" s="1"/>
      <c r="AD7785" s="1"/>
      <c r="AE7785" s="1"/>
      <c r="AF7785" s="1"/>
      <c r="AG7785" s="1"/>
    </row>
    <row r="7786" ht="15.75" customHeight="1">
      <c r="A7786" s="1"/>
      <c r="B7786" s="1"/>
      <c r="C7786" s="1"/>
      <c r="D7786" s="1"/>
      <c r="E7786" s="1"/>
      <c r="F7786" s="1"/>
      <c r="G7786" s="1"/>
      <c r="H7786" s="1"/>
      <c r="I7786" s="1"/>
      <c r="J7786" s="1"/>
      <c r="K7786" s="102" t="s">
        <v>12153</v>
      </c>
      <c r="L7786" s="102" t="str">
        <f>L1131</f>
        <v>J2b2a1a1a1b2~</v>
      </c>
      <c r="M7786" s="102"/>
      <c r="N7786" s="102" t="s">
        <v>12154</v>
      </c>
      <c r="O7786" s="105">
        <v>1.5059151E7</v>
      </c>
      <c r="P7786" s="105">
        <v>1.2947243E7</v>
      </c>
      <c r="Q7786" s="102" t="s">
        <v>2529</v>
      </c>
      <c r="S7786" s="1"/>
      <c r="T7786" s="1"/>
      <c r="U7786" s="1"/>
      <c r="V7786" s="1"/>
      <c r="W7786" s="1"/>
      <c r="X7786" s="1"/>
      <c r="Y7786" s="1"/>
      <c r="AA7786" s="102"/>
      <c r="AB7786" s="1"/>
      <c r="AC7786" s="1"/>
      <c r="AD7786" s="1"/>
      <c r="AE7786" s="1"/>
      <c r="AF7786" s="1"/>
      <c r="AG7786" s="1"/>
    </row>
    <row r="7787" ht="15.75" customHeight="1">
      <c r="A7787" s="1"/>
      <c r="B7787" s="1"/>
      <c r="C7787" s="1"/>
      <c r="D7787" s="1"/>
      <c r="E7787" s="1"/>
      <c r="F7787" s="1"/>
      <c r="G7787" s="1"/>
      <c r="H7787" s="1"/>
      <c r="I7787" s="1"/>
      <c r="J7787" s="1"/>
      <c r="K7787" s="102" t="s">
        <v>12155</v>
      </c>
      <c r="L7787" s="102" t="str">
        <f>L1131</f>
        <v>J2b2a1a1a1b2~</v>
      </c>
      <c r="M7787" s="102"/>
      <c r="N7787" s="102" t="s">
        <v>12156</v>
      </c>
      <c r="O7787" s="105">
        <v>1.5071212E7</v>
      </c>
      <c r="P7787" s="105">
        <v>1.2959303E7</v>
      </c>
      <c r="Q7787" s="102" t="s">
        <v>2454</v>
      </c>
      <c r="S7787" s="1"/>
      <c r="T7787" s="1"/>
      <c r="U7787" s="1"/>
      <c r="V7787" s="1"/>
      <c r="W7787" s="1"/>
      <c r="X7787" s="1"/>
      <c r="Y7787" s="1"/>
      <c r="AA7787" s="102"/>
      <c r="AB7787" s="1"/>
      <c r="AC7787" s="1"/>
      <c r="AD7787" s="1"/>
      <c r="AE7787" s="1"/>
      <c r="AF7787" s="1"/>
      <c r="AG7787" s="1"/>
    </row>
    <row r="7788" ht="15.75" customHeight="1">
      <c r="A7788" s="1"/>
      <c r="B7788" s="1"/>
      <c r="C7788" s="1"/>
      <c r="D7788" s="1"/>
      <c r="E7788" s="1"/>
      <c r="F7788" s="1"/>
      <c r="G7788" s="1"/>
      <c r="H7788" s="1"/>
      <c r="I7788" s="1"/>
      <c r="J7788" s="1"/>
      <c r="K7788" s="102" t="s">
        <v>12157</v>
      </c>
      <c r="L7788" s="102" t="str">
        <f>L1131</f>
        <v>J2b2a1a1a1b2~</v>
      </c>
      <c r="M7788" s="102"/>
      <c r="N7788" s="102" t="s">
        <v>12158</v>
      </c>
      <c r="O7788" s="105">
        <v>1.6553979E7</v>
      </c>
      <c r="P7788" s="105">
        <v>1.4442099E7</v>
      </c>
      <c r="Q7788" s="102" t="s">
        <v>2529</v>
      </c>
      <c r="S7788" s="1"/>
      <c r="T7788" s="1"/>
      <c r="U7788" s="1"/>
      <c r="V7788" s="1"/>
      <c r="W7788" s="1"/>
      <c r="X7788" s="1"/>
      <c r="Y7788" s="1"/>
      <c r="AA7788" s="102"/>
      <c r="AB7788" s="1"/>
      <c r="AC7788" s="1"/>
      <c r="AD7788" s="1"/>
      <c r="AE7788" s="1"/>
      <c r="AF7788" s="1"/>
      <c r="AG7788" s="1"/>
    </row>
    <row r="7789" ht="15.75" customHeight="1">
      <c r="A7789" s="1"/>
      <c r="B7789" s="1"/>
      <c r="C7789" s="1"/>
      <c r="D7789" s="1"/>
      <c r="E7789" s="1"/>
      <c r="F7789" s="1"/>
      <c r="G7789" s="1"/>
      <c r="H7789" s="1"/>
      <c r="I7789" s="1"/>
      <c r="J7789" s="1"/>
      <c r="K7789" s="102" t="s">
        <v>12159</v>
      </c>
      <c r="L7789" s="102" t="str">
        <f t="shared" ref="L7789:L7790" si="200">L1131</f>
        <v>J2b2a1a1a1b2~</v>
      </c>
      <c r="M7789" s="102"/>
      <c r="N7789" s="102" t="s">
        <v>12160</v>
      </c>
      <c r="O7789" s="105">
        <v>2.220416E7</v>
      </c>
      <c r="P7789" s="105">
        <v>2.0042274E7</v>
      </c>
      <c r="Q7789" s="102" t="s">
        <v>2533</v>
      </c>
      <c r="S7789" s="1"/>
      <c r="T7789" s="1"/>
      <c r="U7789" s="1"/>
      <c r="V7789" s="1"/>
      <c r="W7789" s="1"/>
      <c r="X7789" s="1"/>
      <c r="Y7789" s="1"/>
      <c r="AA7789" s="102"/>
      <c r="AB7789" s="1"/>
      <c r="AC7789" s="1"/>
      <c r="AD7789" s="1"/>
      <c r="AE7789" s="1"/>
      <c r="AF7789" s="1"/>
      <c r="AG7789" s="1"/>
    </row>
    <row r="7790" ht="15.75" customHeight="1">
      <c r="A7790" s="1"/>
      <c r="B7790" s="1"/>
      <c r="C7790" s="1"/>
      <c r="D7790" s="1"/>
      <c r="E7790" s="1"/>
      <c r="F7790" s="1"/>
      <c r="G7790" s="1"/>
      <c r="H7790" s="1"/>
      <c r="I7790" s="1"/>
      <c r="J7790" s="1"/>
      <c r="K7790" s="102" t="s">
        <v>12161</v>
      </c>
      <c r="L7790" s="102" t="str">
        <f t="shared" si="200"/>
        <v>J2b2a1a1a1b3~</v>
      </c>
      <c r="M7790" s="102"/>
      <c r="N7790" s="102" t="s">
        <v>12162</v>
      </c>
      <c r="O7790" s="105">
        <v>1.6718918E7</v>
      </c>
      <c r="P7790" s="105">
        <v>1.4607038E7</v>
      </c>
      <c r="Q7790" s="102" t="s">
        <v>2446</v>
      </c>
      <c r="S7790" s="1"/>
      <c r="T7790" s="1"/>
      <c r="U7790" s="1"/>
      <c r="V7790" s="1"/>
      <c r="W7790" s="1"/>
      <c r="X7790" s="1"/>
      <c r="Y7790" s="1"/>
      <c r="AA7790" s="102"/>
      <c r="AB7790" s="1"/>
      <c r="AC7790" s="1"/>
      <c r="AD7790" s="1"/>
      <c r="AE7790" s="1"/>
      <c r="AF7790" s="1"/>
      <c r="AG7790" s="1"/>
    </row>
    <row r="7791" ht="15.75" customHeight="1">
      <c r="A7791" s="1"/>
      <c r="B7791" s="1"/>
      <c r="C7791" s="1"/>
      <c r="D7791" s="1"/>
      <c r="E7791" s="1"/>
      <c r="F7791" s="1"/>
      <c r="G7791" s="1"/>
      <c r="H7791" s="1"/>
      <c r="I7791" s="1"/>
      <c r="J7791" s="1"/>
      <c r="K7791" s="102" t="s">
        <v>12163</v>
      </c>
      <c r="L7791" s="102" t="str">
        <f>L1132</f>
        <v>J2b2a1a1a1b3~</v>
      </c>
      <c r="M7791" s="102"/>
      <c r="N7791" s="102" t="s">
        <v>12164</v>
      </c>
      <c r="O7791" s="105">
        <v>2893654.0</v>
      </c>
      <c r="P7791" s="105">
        <v>3025613.0</v>
      </c>
      <c r="Q7791" s="102" t="s">
        <v>2468</v>
      </c>
      <c r="S7791" s="1"/>
      <c r="T7791" s="1"/>
      <c r="U7791" s="1"/>
      <c r="V7791" s="1"/>
      <c r="W7791" s="1"/>
      <c r="X7791" s="1"/>
      <c r="Y7791" s="1"/>
      <c r="AA7791" s="102"/>
      <c r="AB7791" s="1"/>
      <c r="AC7791" s="1"/>
      <c r="AD7791" s="1"/>
      <c r="AE7791" s="1"/>
      <c r="AF7791" s="1"/>
      <c r="AG7791" s="1"/>
    </row>
    <row r="7792" ht="15.75" customHeight="1">
      <c r="A7792" s="1"/>
      <c r="B7792" s="1"/>
      <c r="C7792" s="1"/>
      <c r="D7792" s="1"/>
      <c r="E7792" s="1"/>
      <c r="F7792" s="1"/>
      <c r="G7792" s="1"/>
      <c r="H7792" s="1"/>
      <c r="I7792" s="1"/>
      <c r="J7792" s="1"/>
      <c r="K7792" s="102" t="s">
        <v>12165</v>
      </c>
      <c r="L7792" s="102" t="str">
        <f>L1132</f>
        <v>J2b2a1a1a1b3~</v>
      </c>
      <c r="M7792" s="102"/>
      <c r="N7792" s="102" t="s">
        <v>12166</v>
      </c>
      <c r="O7792" s="105">
        <v>7738718.0</v>
      </c>
      <c r="P7792" s="105">
        <v>7870677.0</v>
      </c>
      <c r="Q7792" s="102" t="s">
        <v>2529</v>
      </c>
      <c r="S7792" s="1"/>
      <c r="T7792" s="1"/>
      <c r="U7792" s="1"/>
      <c r="V7792" s="1"/>
      <c r="W7792" s="1"/>
      <c r="X7792" s="1"/>
      <c r="Y7792" s="1"/>
      <c r="AA7792" s="102"/>
      <c r="AB7792" s="1"/>
      <c r="AC7792" s="1"/>
      <c r="AD7792" s="1"/>
      <c r="AE7792" s="1"/>
      <c r="AF7792" s="1"/>
      <c r="AG7792" s="1"/>
    </row>
    <row r="7793" ht="15.75" customHeight="1">
      <c r="A7793" s="1"/>
      <c r="B7793" s="1"/>
      <c r="C7793" s="1"/>
      <c r="D7793" s="1"/>
      <c r="E7793" s="1"/>
      <c r="F7793" s="1"/>
      <c r="G7793" s="1"/>
      <c r="H7793" s="1"/>
      <c r="I7793" s="1"/>
      <c r="J7793" s="1"/>
      <c r="K7793" s="102" t="s">
        <v>12167</v>
      </c>
      <c r="L7793" s="102" t="str">
        <f>L1132</f>
        <v>J2b2a1a1a1b3~</v>
      </c>
      <c r="M7793" s="102"/>
      <c r="N7793" s="102"/>
      <c r="O7793" s="105">
        <v>2.3588048E7</v>
      </c>
      <c r="P7793" s="105">
        <v>2.1426162E7</v>
      </c>
      <c r="Q7793" s="102" t="s">
        <v>2529</v>
      </c>
      <c r="S7793" s="1"/>
      <c r="T7793" s="1"/>
      <c r="U7793" s="1"/>
      <c r="V7793" s="1"/>
      <c r="W7793" s="1"/>
      <c r="X7793" s="1"/>
      <c r="Y7793" s="1"/>
      <c r="AA7793" s="102"/>
      <c r="AB7793" s="1"/>
      <c r="AC7793" s="1"/>
      <c r="AD7793" s="1"/>
      <c r="AE7793" s="1"/>
      <c r="AF7793" s="1"/>
      <c r="AG7793" s="1"/>
    </row>
    <row r="7794" ht="15.75" customHeight="1">
      <c r="A7794" s="1"/>
      <c r="B7794" s="1"/>
      <c r="C7794" s="1"/>
      <c r="D7794" s="1"/>
      <c r="E7794" s="1"/>
      <c r="F7794" s="1"/>
      <c r="G7794" s="1"/>
      <c r="H7794" s="1"/>
      <c r="I7794" s="1"/>
      <c r="J7794" s="1"/>
      <c r="K7794" s="102" t="s">
        <v>12168</v>
      </c>
      <c r="L7794" s="102" t="str">
        <f>M1133</f>
        <v>J2b2a1a1a1b3a~</v>
      </c>
      <c r="M7794" s="102"/>
      <c r="N7794" s="102" t="s">
        <v>12169</v>
      </c>
      <c r="O7794" s="105">
        <v>6773836.0</v>
      </c>
      <c r="P7794" s="105">
        <v>6905795.0</v>
      </c>
      <c r="Q7794" s="102" t="s">
        <v>2501</v>
      </c>
      <c r="S7794" s="1"/>
      <c r="T7794" s="1"/>
      <c r="U7794" s="1"/>
      <c r="V7794" s="1"/>
      <c r="W7794" s="1"/>
      <c r="X7794" s="1"/>
      <c r="Y7794" s="1"/>
      <c r="AA7794" s="102"/>
      <c r="AB7794" s="1"/>
      <c r="AC7794" s="1"/>
      <c r="AD7794" s="1"/>
      <c r="AE7794" s="1"/>
      <c r="AF7794" s="1"/>
      <c r="AG7794" s="1"/>
    </row>
    <row r="7795" ht="15.75" customHeight="1">
      <c r="A7795" s="1"/>
      <c r="B7795" s="1"/>
      <c r="C7795" s="1"/>
      <c r="D7795" s="1"/>
      <c r="E7795" s="1"/>
      <c r="F7795" s="1"/>
      <c r="G7795" s="1"/>
      <c r="H7795" s="1"/>
      <c r="I7795" s="1"/>
      <c r="J7795" s="1"/>
      <c r="K7795" s="102" t="s">
        <v>12170</v>
      </c>
      <c r="L7795" s="102" t="str">
        <f>M1133</f>
        <v>J2b2a1a1a1b3a~</v>
      </c>
      <c r="M7795" s="102"/>
      <c r="N7795" s="102"/>
      <c r="O7795" s="105">
        <v>1.4359765E7</v>
      </c>
      <c r="P7795" s="105">
        <v>1.223906E7</v>
      </c>
      <c r="Q7795" s="102" t="s">
        <v>2468</v>
      </c>
      <c r="S7795" s="1"/>
      <c r="T7795" s="1"/>
      <c r="U7795" s="1"/>
      <c r="V7795" s="1"/>
      <c r="W7795" s="1"/>
      <c r="X7795" s="1"/>
      <c r="Y7795" s="1"/>
      <c r="AA7795" s="102"/>
      <c r="AB7795" s="1"/>
      <c r="AC7795" s="1"/>
      <c r="AD7795" s="1"/>
      <c r="AE7795" s="1"/>
      <c r="AF7795" s="1"/>
      <c r="AG7795" s="1"/>
    </row>
    <row r="7796" ht="15.75" customHeight="1">
      <c r="A7796" s="1"/>
      <c r="B7796" s="1"/>
      <c r="C7796" s="1"/>
      <c r="D7796" s="1"/>
      <c r="E7796" s="1"/>
      <c r="F7796" s="1"/>
      <c r="G7796" s="1"/>
      <c r="H7796" s="1"/>
      <c r="I7796" s="1"/>
      <c r="J7796" s="1"/>
      <c r="K7796" s="102" t="s">
        <v>12171</v>
      </c>
      <c r="L7796" s="102" t="str">
        <f>M1133</f>
        <v>J2b2a1a1a1b3a~</v>
      </c>
      <c r="M7796" s="102"/>
      <c r="N7796" s="102"/>
      <c r="O7796" s="105">
        <v>1.6251545E7</v>
      </c>
      <c r="P7796" s="105">
        <v>1.4139665E7</v>
      </c>
      <c r="Q7796" s="102" t="s">
        <v>2446</v>
      </c>
      <c r="S7796" s="1"/>
      <c r="T7796" s="1"/>
      <c r="U7796" s="1"/>
      <c r="V7796" s="1"/>
      <c r="W7796" s="1"/>
      <c r="X7796" s="1"/>
      <c r="Y7796" s="1"/>
      <c r="AA7796" s="102"/>
      <c r="AB7796" s="1"/>
      <c r="AC7796" s="1"/>
      <c r="AD7796" s="1"/>
      <c r="AE7796" s="1"/>
      <c r="AF7796" s="1"/>
      <c r="AG7796" s="1"/>
    </row>
    <row r="7797" ht="15.75" customHeight="1">
      <c r="A7797" s="1"/>
      <c r="B7797" s="1"/>
      <c r="C7797" s="1"/>
      <c r="D7797" s="1"/>
      <c r="E7797" s="1"/>
      <c r="F7797" s="1"/>
      <c r="G7797" s="1"/>
      <c r="H7797" s="1"/>
      <c r="I7797" s="1"/>
      <c r="J7797" s="1"/>
      <c r="K7797" s="102" t="s">
        <v>12172</v>
      </c>
      <c r="L7797" s="102" t="str">
        <f>M1133</f>
        <v>J2b2a1a1a1b3a~</v>
      </c>
      <c r="M7797" s="102"/>
      <c r="N7797" s="102" t="s">
        <v>12173</v>
      </c>
      <c r="O7797" s="105">
        <v>7902008.0</v>
      </c>
      <c r="P7797" s="105">
        <v>8033967.0</v>
      </c>
      <c r="Q7797" s="102" t="s">
        <v>2529</v>
      </c>
      <c r="S7797" s="1"/>
      <c r="T7797" s="1"/>
      <c r="U7797" s="1"/>
      <c r="V7797" s="1"/>
      <c r="W7797" s="1"/>
      <c r="X7797" s="1"/>
      <c r="Y7797" s="1"/>
      <c r="AA7797" s="102"/>
      <c r="AB7797" s="1"/>
      <c r="AC7797" s="1"/>
      <c r="AD7797" s="1"/>
      <c r="AE7797" s="1"/>
      <c r="AF7797" s="1"/>
      <c r="AG7797" s="1"/>
    </row>
    <row r="7798" ht="15.75" customHeight="1">
      <c r="A7798" s="1"/>
      <c r="B7798" s="1"/>
      <c r="C7798" s="1"/>
      <c r="D7798" s="1"/>
      <c r="E7798" s="1"/>
      <c r="F7798" s="1"/>
      <c r="G7798" s="1"/>
      <c r="H7798" s="1"/>
      <c r="I7798" s="1"/>
      <c r="J7798" s="1"/>
      <c r="K7798" s="102" t="s">
        <v>12174</v>
      </c>
      <c r="L7798" s="102" t="str">
        <f>M1133</f>
        <v>J2b2a1a1a1b3a~</v>
      </c>
      <c r="M7798" s="102"/>
      <c r="N7798" s="102"/>
      <c r="O7798" s="105">
        <v>2.1654197E7</v>
      </c>
      <c r="P7798" s="105">
        <v>1.9492311E7</v>
      </c>
      <c r="Q7798" s="102" t="s">
        <v>2563</v>
      </c>
      <c r="S7798" s="1"/>
      <c r="T7798" s="1"/>
      <c r="U7798" s="1"/>
      <c r="V7798" s="1"/>
      <c r="W7798" s="1"/>
      <c r="X7798" s="1"/>
      <c r="Y7798" s="1"/>
      <c r="AA7798" s="102"/>
      <c r="AB7798" s="1"/>
      <c r="AC7798" s="1"/>
      <c r="AD7798" s="1"/>
      <c r="AE7798" s="1"/>
      <c r="AF7798" s="1"/>
      <c r="AG7798" s="1"/>
    </row>
    <row r="7799" ht="15.75" customHeight="1">
      <c r="A7799" s="1"/>
      <c r="B7799" s="1"/>
      <c r="C7799" s="1"/>
      <c r="D7799" s="1"/>
      <c r="E7799" s="1"/>
      <c r="F7799" s="1"/>
      <c r="G7799" s="1"/>
      <c r="H7799" s="1"/>
      <c r="I7799" s="1"/>
      <c r="J7799" s="1"/>
      <c r="K7799" s="102" t="s">
        <v>12175</v>
      </c>
      <c r="L7799" s="102" t="str">
        <f>M1133</f>
        <v>J2b2a1a1a1b3a~</v>
      </c>
      <c r="M7799" s="102"/>
      <c r="N7799" s="102"/>
      <c r="O7799" s="105">
        <v>1.8424831E7</v>
      </c>
      <c r="P7799" s="105">
        <v>1.6312951E7</v>
      </c>
      <c r="Q7799" s="102" t="s">
        <v>2501</v>
      </c>
      <c r="S7799" s="1"/>
      <c r="T7799" s="1"/>
      <c r="U7799" s="1"/>
      <c r="V7799" s="1"/>
      <c r="W7799" s="1"/>
      <c r="X7799" s="1"/>
      <c r="Y7799" s="1"/>
      <c r="AA7799" s="102"/>
      <c r="AB7799" s="1"/>
      <c r="AC7799" s="1"/>
      <c r="AD7799" s="1"/>
      <c r="AE7799" s="1"/>
      <c r="AF7799" s="1"/>
      <c r="AG7799" s="1"/>
    </row>
    <row r="7800" ht="15.75" customHeight="1">
      <c r="A7800" s="1"/>
      <c r="B7800" s="1"/>
      <c r="C7800" s="1"/>
      <c r="D7800" s="1"/>
      <c r="E7800" s="1"/>
      <c r="F7800" s="1"/>
      <c r="G7800" s="1"/>
      <c r="H7800" s="1"/>
      <c r="I7800" s="1"/>
      <c r="J7800" s="1"/>
      <c r="K7800" s="102" t="s">
        <v>12176</v>
      </c>
      <c r="L7800" s="102" t="str">
        <f>M1133</f>
        <v>J2b2a1a1a1b3a~</v>
      </c>
      <c r="M7800" s="102"/>
      <c r="N7800" s="102"/>
      <c r="O7800" s="105">
        <v>2.2030071E7</v>
      </c>
      <c r="P7800" s="105">
        <v>1.9868185E7</v>
      </c>
      <c r="Q7800" s="102" t="s">
        <v>2439</v>
      </c>
      <c r="S7800" s="1"/>
      <c r="T7800" s="1"/>
      <c r="U7800" s="1"/>
      <c r="V7800" s="1"/>
      <c r="W7800" s="1"/>
      <c r="X7800" s="1"/>
      <c r="Y7800" s="1"/>
      <c r="AA7800" s="102"/>
      <c r="AB7800" s="1"/>
      <c r="AC7800" s="1"/>
      <c r="AD7800" s="1"/>
      <c r="AE7800" s="1"/>
      <c r="AF7800" s="1"/>
      <c r="AG7800" s="1"/>
    </row>
    <row r="7801" ht="15.75" customHeight="1">
      <c r="A7801" s="1"/>
      <c r="B7801" s="1"/>
      <c r="C7801" s="1"/>
      <c r="D7801" s="1"/>
      <c r="E7801" s="1"/>
      <c r="F7801" s="1"/>
      <c r="G7801" s="1"/>
      <c r="H7801" s="1"/>
      <c r="I7801" s="1"/>
      <c r="J7801" s="1"/>
      <c r="K7801" s="102" t="s">
        <v>12177</v>
      </c>
      <c r="L7801" s="102" t="str">
        <f>M1133</f>
        <v>J2b2a1a1a1b3a~</v>
      </c>
      <c r="M7801" s="102"/>
      <c r="N7801" s="102"/>
      <c r="O7801" s="105">
        <v>7934024.0</v>
      </c>
      <c r="P7801" s="105">
        <v>8065983.0</v>
      </c>
      <c r="Q7801" s="102" t="s">
        <v>2423</v>
      </c>
      <c r="S7801" s="1"/>
      <c r="T7801" s="1"/>
      <c r="U7801" s="1"/>
      <c r="V7801" s="1"/>
      <c r="W7801" s="1"/>
      <c r="X7801" s="1"/>
      <c r="Y7801" s="1"/>
      <c r="AA7801" s="102"/>
      <c r="AB7801" s="1"/>
      <c r="AC7801" s="1"/>
      <c r="AD7801" s="1"/>
      <c r="AE7801" s="1"/>
      <c r="AF7801" s="1"/>
      <c r="AG7801" s="1"/>
    </row>
    <row r="7802" ht="15.75" customHeight="1">
      <c r="A7802" s="1"/>
      <c r="B7802" s="1"/>
      <c r="C7802" s="1"/>
      <c r="D7802" s="1"/>
      <c r="E7802" s="1"/>
      <c r="F7802" s="1"/>
      <c r="G7802" s="1"/>
      <c r="H7802" s="1"/>
      <c r="I7802" s="1"/>
      <c r="J7802" s="1"/>
      <c r="K7802" s="102" t="s">
        <v>12178</v>
      </c>
      <c r="L7802" s="102" t="str">
        <f t="shared" ref="L7802:L7803" si="201">M1133</f>
        <v>J2b2a1a1a1b3a~</v>
      </c>
      <c r="M7802" s="102"/>
      <c r="N7802" s="102"/>
      <c r="O7802" s="105">
        <v>9862525.0</v>
      </c>
      <c r="P7802" s="105">
        <v>1.0024916E7</v>
      </c>
      <c r="Q7802" s="102" t="s">
        <v>2468</v>
      </c>
      <c r="S7802" s="1"/>
      <c r="T7802" s="1"/>
      <c r="U7802" s="1"/>
      <c r="V7802" s="1"/>
      <c r="W7802" s="1"/>
      <c r="X7802" s="1"/>
      <c r="Y7802" s="1"/>
      <c r="AA7802" s="102"/>
      <c r="AB7802" s="1"/>
      <c r="AC7802" s="1"/>
      <c r="AD7802" s="1"/>
      <c r="AE7802" s="1"/>
      <c r="AF7802" s="1"/>
      <c r="AG7802" s="1"/>
    </row>
    <row r="7803" ht="15.75" customHeight="1">
      <c r="A7803" s="1"/>
      <c r="B7803" s="1"/>
      <c r="C7803" s="1"/>
      <c r="D7803" s="1"/>
      <c r="E7803" s="1"/>
      <c r="F7803" s="1"/>
      <c r="G7803" s="1"/>
      <c r="H7803" s="1"/>
      <c r="I7803" s="19" t="s">
        <v>13</v>
      </c>
      <c r="J7803" s="19" t="s">
        <v>13</v>
      </c>
      <c r="K7803" s="102" t="s">
        <v>12179</v>
      </c>
      <c r="L7803" s="102" t="str">
        <f t="shared" si="201"/>
        <v>J2b2a1a1a1b3b~</v>
      </c>
      <c r="M7803" s="102"/>
      <c r="N7803" s="102"/>
      <c r="O7803" s="105">
        <v>9523570.0</v>
      </c>
      <c r="P7803" s="105">
        <v>9685961.0</v>
      </c>
      <c r="Q7803" s="102" t="s">
        <v>2529</v>
      </c>
      <c r="S7803" s="1"/>
      <c r="T7803" s="1"/>
      <c r="U7803" s="1"/>
      <c r="V7803" s="1"/>
      <c r="W7803" s="1"/>
      <c r="X7803" s="1"/>
      <c r="Y7803" s="1"/>
      <c r="AA7803" s="102"/>
      <c r="AB7803" s="1"/>
      <c r="AC7803" s="1"/>
      <c r="AD7803" s="1"/>
      <c r="AE7803" s="1"/>
      <c r="AF7803" s="1"/>
      <c r="AG7803" s="1"/>
    </row>
    <row r="7804" ht="15.75" customHeight="1">
      <c r="A7804" s="1"/>
      <c r="B7804" s="1"/>
      <c r="C7804" s="1"/>
      <c r="D7804" s="1"/>
      <c r="E7804" s="1"/>
      <c r="F7804" s="1"/>
      <c r="G7804" s="1"/>
      <c r="H7804" s="1"/>
      <c r="I7804" s="1"/>
      <c r="J7804" s="1"/>
      <c r="K7804" s="102" t="s">
        <v>12180</v>
      </c>
      <c r="L7804" s="102" t="str">
        <f>M1134</f>
        <v>J2b2a1a1a1b3b~</v>
      </c>
      <c r="M7804" s="102"/>
      <c r="N7804" s="102"/>
      <c r="O7804" s="105">
        <v>1.7307969E7</v>
      </c>
      <c r="P7804" s="105">
        <v>1.5196089E7</v>
      </c>
      <c r="Q7804" s="102" t="s">
        <v>2529</v>
      </c>
      <c r="S7804" s="1"/>
      <c r="T7804" s="1"/>
      <c r="U7804" s="1"/>
      <c r="V7804" s="1"/>
      <c r="W7804" s="1"/>
      <c r="X7804" s="1"/>
      <c r="Y7804" s="1"/>
      <c r="AA7804" s="102"/>
      <c r="AB7804" s="1"/>
      <c r="AC7804" s="1"/>
      <c r="AD7804" s="1"/>
      <c r="AE7804" s="1"/>
      <c r="AF7804" s="1"/>
      <c r="AG7804" s="1"/>
    </row>
    <row r="7805" ht="15.75" customHeight="1">
      <c r="A7805" s="1"/>
      <c r="B7805" s="1"/>
      <c r="C7805" s="1"/>
      <c r="D7805" s="1"/>
      <c r="E7805" s="1"/>
      <c r="F7805" s="1"/>
      <c r="G7805" s="1"/>
      <c r="H7805" s="1"/>
      <c r="I7805" s="1"/>
      <c r="J7805" s="1"/>
      <c r="K7805" s="102" t="s">
        <v>12181</v>
      </c>
      <c r="L7805" s="102" t="str">
        <f>M1134</f>
        <v>J2b2a1a1a1b3b~</v>
      </c>
      <c r="M7805" s="102"/>
      <c r="N7805" s="102"/>
      <c r="O7805" s="105">
        <v>1.9008366E7</v>
      </c>
      <c r="P7805" s="105">
        <v>1.6896486E7</v>
      </c>
      <c r="Q7805" s="102" t="s">
        <v>2533</v>
      </c>
      <c r="S7805" s="1"/>
      <c r="T7805" s="1"/>
      <c r="U7805" s="1"/>
      <c r="V7805" s="1"/>
      <c r="W7805" s="1"/>
      <c r="X7805" s="1"/>
      <c r="Y7805" s="1"/>
      <c r="AA7805" s="102"/>
      <c r="AB7805" s="1"/>
      <c r="AC7805" s="1"/>
      <c r="AD7805" s="1"/>
      <c r="AE7805" s="1"/>
      <c r="AF7805" s="1"/>
      <c r="AG7805" s="1"/>
    </row>
    <row r="7806" ht="15.75" customHeight="1">
      <c r="A7806" s="1"/>
      <c r="B7806" s="1"/>
      <c r="C7806" s="1"/>
      <c r="D7806" s="1"/>
      <c r="E7806" s="1"/>
      <c r="F7806" s="1"/>
      <c r="G7806" s="1"/>
      <c r="H7806" s="1"/>
      <c r="I7806" s="1"/>
      <c r="J7806" s="1"/>
      <c r="K7806" s="102" t="s">
        <v>12182</v>
      </c>
      <c r="L7806" s="102" t="str">
        <f>M1134</f>
        <v>J2b2a1a1a1b3b~</v>
      </c>
      <c r="M7806" s="102"/>
      <c r="N7806" s="102"/>
      <c r="O7806" s="105">
        <v>1.924332E7</v>
      </c>
      <c r="P7806" s="105">
        <v>1.713144E7</v>
      </c>
      <c r="Q7806" s="102" t="s">
        <v>2576</v>
      </c>
      <c r="S7806" s="1"/>
      <c r="T7806" s="1"/>
      <c r="U7806" s="1"/>
      <c r="V7806" s="1"/>
      <c r="W7806" s="1"/>
      <c r="X7806" s="1"/>
      <c r="Y7806" s="1"/>
      <c r="AA7806" s="102"/>
      <c r="AB7806" s="1"/>
      <c r="AC7806" s="1"/>
      <c r="AD7806" s="1"/>
      <c r="AE7806" s="1"/>
      <c r="AF7806" s="1"/>
      <c r="AG7806" s="1"/>
    </row>
    <row r="7807" ht="15.75" customHeight="1">
      <c r="A7807" s="1"/>
      <c r="B7807" s="1"/>
      <c r="C7807" s="1"/>
      <c r="D7807" s="1"/>
      <c r="E7807" s="1"/>
      <c r="F7807" s="1"/>
      <c r="G7807" s="1"/>
      <c r="H7807" s="1"/>
      <c r="I7807" s="1"/>
      <c r="J7807" s="1"/>
      <c r="K7807" s="102" t="s">
        <v>12183</v>
      </c>
      <c r="L7807" s="102" t="str">
        <f>M1134</f>
        <v>J2b2a1a1a1b3b~</v>
      </c>
      <c r="M7807" s="102"/>
      <c r="N7807" s="102"/>
      <c r="O7807" s="105">
        <v>7549056.0</v>
      </c>
      <c r="P7807" s="105">
        <v>7681015.0</v>
      </c>
      <c r="Q7807" s="102" t="s">
        <v>2446</v>
      </c>
      <c r="S7807" s="1"/>
      <c r="T7807" s="1"/>
      <c r="U7807" s="1"/>
      <c r="V7807" s="1"/>
      <c r="W7807" s="1"/>
      <c r="X7807" s="1"/>
      <c r="Y7807" s="1"/>
      <c r="AA7807" s="102"/>
      <c r="AB7807" s="1"/>
      <c r="AC7807" s="1"/>
      <c r="AD7807" s="1"/>
      <c r="AE7807" s="1"/>
      <c r="AF7807" s="1"/>
      <c r="AG7807" s="1"/>
    </row>
    <row r="7808" ht="15.75" customHeight="1">
      <c r="A7808" s="1"/>
      <c r="B7808" s="1"/>
      <c r="C7808" s="1"/>
      <c r="D7808" s="1"/>
      <c r="E7808" s="1"/>
      <c r="F7808" s="1"/>
      <c r="G7808" s="1"/>
      <c r="H7808" s="1"/>
      <c r="I7808" s="1"/>
      <c r="J7808" s="1"/>
      <c r="K7808" s="102" t="s">
        <v>12184</v>
      </c>
      <c r="L7808" s="102" t="str">
        <f>M1134</f>
        <v>J2b2a1a1a1b3b~</v>
      </c>
      <c r="M7808" s="102"/>
      <c r="N7808" s="102"/>
      <c r="O7808" s="105">
        <v>1.6695744E7</v>
      </c>
      <c r="P7808" s="105">
        <v>1.4583864E7</v>
      </c>
      <c r="Q7808" s="102" t="s">
        <v>2423</v>
      </c>
      <c r="S7808" s="1"/>
      <c r="T7808" s="1"/>
      <c r="U7808" s="1"/>
      <c r="V7808" s="1"/>
      <c r="W7808" s="1"/>
      <c r="X7808" s="1"/>
      <c r="Y7808" s="1"/>
      <c r="AA7808" s="102"/>
      <c r="AB7808" s="1"/>
      <c r="AC7808" s="1"/>
      <c r="AD7808" s="1"/>
      <c r="AE7808" s="1"/>
      <c r="AF7808" s="1"/>
      <c r="AG7808" s="1"/>
    </row>
    <row r="7809" ht="15.75" customHeight="1">
      <c r="A7809" s="1"/>
      <c r="B7809" s="1"/>
      <c r="C7809" s="1"/>
      <c r="D7809" s="1"/>
      <c r="E7809" s="1"/>
      <c r="F7809" s="1"/>
      <c r="G7809" s="1"/>
      <c r="H7809" s="1"/>
      <c r="I7809" s="1"/>
      <c r="J7809" s="1"/>
      <c r="K7809" s="102" t="s">
        <v>12185</v>
      </c>
      <c r="L7809" s="102" t="str">
        <f>M1134</f>
        <v>J2b2a1a1a1b3b~</v>
      </c>
      <c r="M7809" s="102"/>
      <c r="N7809" s="102"/>
      <c r="O7809" s="105">
        <v>1.8729453E7</v>
      </c>
      <c r="P7809" s="105">
        <v>1.6617573E7</v>
      </c>
      <c r="Q7809" s="102" t="s">
        <v>2468</v>
      </c>
      <c r="S7809" s="1"/>
      <c r="T7809" s="1"/>
      <c r="U7809" s="1"/>
      <c r="V7809" s="1"/>
      <c r="W7809" s="1"/>
      <c r="X7809" s="1"/>
      <c r="Y7809" s="1"/>
      <c r="AA7809" s="102"/>
      <c r="AB7809" s="1"/>
      <c r="AC7809" s="1"/>
      <c r="AD7809" s="1"/>
      <c r="AE7809" s="1"/>
      <c r="AF7809" s="1"/>
      <c r="AG7809" s="1"/>
    </row>
    <row r="7810" ht="15.75" customHeight="1">
      <c r="A7810" s="1"/>
      <c r="B7810" s="1"/>
      <c r="C7810" s="1"/>
      <c r="D7810" s="1"/>
      <c r="E7810" s="1"/>
      <c r="F7810" s="1"/>
      <c r="G7810" s="1"/>
      <c r="H7810" s="1"/>
      <c r="I7810" s="1"/>
      <c r="J7810" s="1"/>
      <c r="K7810" s="102" t="s">
        <v>12186</v>
      </c>
      <c r="L7810" s="102" t="str">
        <f>M1134</f>
        <v>J2b2a1a1a1b3b~</v>
      </c>
      <c r="M7810" s="102"/>
      <c r="N7810" s="102"/>
      <c r="O7810" s="105">
        <v>2.1080443E7</v>
      </c>
      <c r="P7810" s="105">
        <v>1.8918557E7</v>
      </c>
      <c r="Q7810" s="102" t="s">
        <v>2468</v>
      </c>
      <c r="S7810" s="1"/>
      <c r="T7810" s="1"/>
      <c r="U7810" s="1"/>
      <c r="V7810" s="1"/>
      <c r="W7810" s="1"/>
      <c r="X7810" s="1"/>
      <c r="Y7810" s="1"/>
      <c r="AA7810" s="102"/>
      <c r="AB7810" s="1"/>
      <c r="AC7810" s="1"/>
      <c r="AD7810" s="1"/>
      <c r="AE7810" s="1"/>
      <c r="AF7810" s="1"/>
      <c r="AG7810" s="1"/>
    </row>
    <row r="7811" ht="15.75" customHeight="1">
      <c r="A7811" s="1"/>
      <c r="B7811" s="1"/>
      <c r="C7811" s="1"/>
      <c r="D7811" s="1"/>
      <c r="E7811" s="1"/>
      <c r="F7811" s="1"/>
      <c r="G7811" s="1"/>
      <c r="H7811" s="1"/>
      <c r="I7811" s="1"/>
      <c r="J7811" s="1"/>
      <c r="K7811" s="102" t="s">
        <v>12187</v>
      </c>
      <c r="L7811" s="102" t="str">
        <f>M1134</f>
        <v>J2b2a1a1a1b3b~</v>
      </c>
      <c r="M7811" s="102"/>
      <c r="N7811" s="102"/>
      <c r="O7811" s="105">
        <v>2.4368739E7</v>
      </c>
      <c r="P7811" s="105">
        <v>2.2222592E7</v>
      </c>
      <c r="Q7811" s="102" t="s">
        <v>2454</v>
      </c>
      <c r="S7811" s="1"/>
      <c r="T7811" s="1"/>
      <c r="U7811" s="1"/>
      <c r="V7811" s="1"/>
      <c r="W7811" s="1"/>
      <c r="X7811" s="1"/>
      <c r="Y7811" s="1"/>
      <c r="AA7811" s="102"/>
      <c r="AB7811" s="1"/>
      <c r="AC7811" s="1"/>
      <c r="AD7811" s="1"/>
      <c r="AE7811" s="1"/>
      <c r="AF7811" s="1"/>
      <c r="AG7811" s="1"/>
    </row>
    <row r="7812" ht="15.75" customHeight="1">
      <c r="A7812" s="1"/>
      <c r="B7812" s="1"/>
      <c r="C7812" s="1"/>
      <c r="D7812" s="1"/>
      <c r="E7812" s="1"/>
      <c r="F7812" s="1"/>
      <c r="G7812" s="1"/>
      <c r="H7812" s="1"/>
      <c r="I7812" s="1"/>
      <c r="J7812" s="1"/>
      <c r="K7812" s="102" t="s">
        <v>12188</v>
      </c>
      <c r="L7812" s="102" t="str">
        <f>M1134</f>
        <v>J2b2a1a1a1b3b~</v>
      </c>
      <c r="M7812" s="102"/>
      <c r="N7812" s="102"/>
      <c r="O7812" s="105">
        <v>8054050.0</v>
      </c>
      <c r="P7812" s="105">
        <v>8186009.0</v>
      </c>
      <c r="Q7812" s="102" t="s">
        <v>2529</v>
      </c>
      <c r="S7812" s="1"/>
      <c r="T7812" s="1"/>
      <c r="U7812" s="1"/>
      <c r="V7812" s="1"/>
      <c r="W7812" s="1"/>
      <c r="X7812" s="1"/>
      <c r="Y7812" s="1"/>
      <c r="AA7812" s="102"/>
      <c r="AB7812" s="1"/>
      <c r="AC7812" s="1"/>
      <c r="AD7812" s="1"/>
      <c r="AE7812" s="1"/>
      <c r="AF7812" s="1"/>
      <c r="AG7812" s="1"/>
    </row>
    <row r="7813" ht="15.75" customHeight="1">
      <c r="A7813" s="1"/>
      <c r="B7813" s="1"/>
      <c r="C7813" s="1"/>
      <c r="D7813" s="1"/>
      <c r="E7813" s="1"/>
      <c r="F7813" s="1"/>
      <c r="G7813" s="1"/>
      <c r="H7813" s="1"/>
      <c r="I7813" s="1"/>
      <c r="J7813" s="1"/>
      <c r="K7813" s="102" t="s">
        <v>12189</v>
      </c>
      <c r="L7813" s="102" t="str">
        <f>M1134</f>
        <v>J2b2a1a1a1b3b~</v>
      </c>
      <c r="M7813" s="102"/>
      <c r="N7813" s="102"/>
      <c r="O7813" s="105">
        <v>2.1893347E7</v>
      </c>
      <c r="P7813" s="105">
        <v>1.9731461E7</v>
      </c>
      <c r="Q7813" s="102" t="s">
        <v>2529</v>
      </c>
      <c r="S7813" s="1"/>
      <c r="T7813" s="1"/>
      <c r="U7813" s="1"/>
      <c r="V7813" s="1"/>
      <c r="W7813" s="1"/>
      <c r="X7813" s="1"/>
      <c r="Y7813" s="1"/>
      <c r="AA7813" s="102"/>
      <c r="AB7813" s="1"/>
      <c r="AC7813" s="1"/>
      <c r="AD7813" s="1"/>
      <c r="AE7813" s="1"/>
      <c r="AF7813" s="1"/>
      <c r="AG7813" s="1"/>
    </row>
    <row r="7814" ht="15.75" customHeight="1">
      <c r="A7814" s="1"/>
      <c r="B7814" s="1"/>
      <c r="C7814" s="1"/>
      <c r="D7814" s="1"/>
      <c r="E7814" s="1"/>
      <c r="F7814" s="1"/>
      <c r="G7814" s="1"/>
      <c r="H7814" s="1"/>
      <c r="I7814" s="1"/>
      <c r="J7814" s="1"/>
      <c r="K7814" s="102" t="s">
        <v>12190</v>
      </c>
      <c r="L7814" s="102" t="str">
        <f>M1134</f>
        <v>J2b2a1a1a1b3b~</v>
      </c>
      <c r="M7814" s="102"/>
      <c r="N7814" s="102"/>
      <c r="O7814" s="105">
        <v>8193055.0</v>
      </c>
      <c r="P7814" s="105">
        <v>8325014.0</v>
      </c>
      <c r="Q7814" s="102" t="s">
        <v>2529</v>
      </c>
      <c r="S7814" s="1"/>
      <c r="T7814" s="1"/>
      <c r="U7814" s="1"/>
      <c r="V7814" s="1"/>
      <c r="W7814" s="1"/>
      <c r="X7814" s="1"/>
      <c r="Y7814" s="1"/>
      <c r="AA7814" s="102"/>
      <c r="AB7814" s="1"/>
      <c r="AC7814" s="1"/>
      <c r="AD7814" s="1"/>
      <c r="AE7814" s="1"/>
      <c r="AF7814" s="1"/>
      <c r="AG7814" s="1"/>
    </row>
    <row r="7815" ht="15.75" customHeight="1">
      <c r="A7815" s="1"/>
      <c r="B7815" s="1"/>
      <c r="C7815" s="1"/>
      <c r="D7815" s="1"/>
      <c r="E7815" s="1"/>
      <c r="F7815" s="1"/>
      <c r="G7815" s="1"/>
      <c r="H7815" s="1"/>
      <c r="I7815" s="1"/>
      <c r="J7815" s="1"/>
      <c r="K7815" s="102" t="s">
        <v>12191</v>
      </c>
      <c r="L7815" s="102" t="str">
        <f t="shared" ref="L7815:L7816" si="202">M1134</f>
        <v>J2b2a1a1a1b3b~</v>
      </c>
      <c r="M7815" s="102"/>
      <c r="N7815" s="102"/>
      <c r="O7815" s="105">
        <v>7241853.0</v>
      </c>
      <c r="P7815" s="105">
        <v>7373812.0</v>
      </c>
      <c r="Q7815" s="102" t="s">
        <v>2501</v>
      </c>
      <c r="S7815" s="1"/>
      <c r="T7815" s="1"/>
      <c r="U7815" s="1"/>
      <c r="V7815" s="1"/>
      <c r="W7815" s="1"/>
      <c r="X7815" s="1"/>
      <c r="Y7815" s="1"/>
      <c r="AA7815" s="102"/>
      <c r="AB7815" s="1"/>
      <c r="AC7815" s="1"/>
      <c r="AD7815" s="1"/>
      <c r="AE7815" s="1"/>
      <c r="AF7815" s="1"/>
      <c r="AG7815" s="1"/>
    </row>
    <row r="7816" ht="15.75" customHeight="1">
      <c r="A7816" s="1"/>
      <c r="B7816" s="1"/>
      <c r="C7816" s="1"/>
      <c r="D7816" s="1"/>
      <c r="E7816" s="1"/>
      <c r="F7816" s="1"/>
      <c r="G7816" s="1"/>
      <c r="H7816" s="1"/>
      <c r="I7816" s="1"/>
      <c r="J7816" s="1"/>
      <c r="K7816" s="102" t="s">
        <v>12192</v>
      </c>
      <c r="L7816" s="102" t="str">
        <f t="shared" si="202"/>
        <v>J2b2a1a1a1b3c~</v>
      </c>
      <c r="M7816" s="102"/>
      <c r="N7816" s="102"/>
      <c r="O7816" s="105">
        <v>8442915.0</v>
      </c>
      <c r="P7816" s="105">
        <v>8574874.0</v>
      </c>
      <c r="Q7816" s="102" t="s">
        <v>2468</v>
      </c>
      <c r="S7816" s="1"/>
      <c r="T7816" s="1"/>
      <c r="U7816" s="1"/>
      <c r="V7816" s="1"/>
      <c r="W7816" s="1"/>
      <c r="X7816" s="1"/>
      <c r="Y7816" s="1"/>
      <c r="AA7816" s="102"/>
      <c r="AB7816" s="1"/>
      <c r="AC7816" s="1"/>
      <c r="AD7816" s="1"/>
      <c r="AE7816" s="1"/>
      <c r="AF7816" s="1"/>
      <c r="AG7816" s="1"/>
    </row>
    <row r="7817" ht="15.75" customHeight="1">
      <c r="A7817" s="1"/>
      <c r="B7817" s="1"/>
      <c r="C7817" s="1"/>
      <c r="D7817" s="1"/>
      <c r="E7817" s="1"/>
      <c r="F7817" s="1"/>
      <c r="G7817" s="1"/>
      <c r="H7817" s="1"/>
      <c r="I7817" s="1"/>
      <c r="J7817" s="1"/>
      <c r="K7817" s="102" t="s">
        <v>12193</v>
      </c>
      <c r="L7817" s="102" t="str">
        <f>M1135</f>
        <v>J2b2a1a1a1b3c~</v>
      </c>
      <c r="M7817" s="102"/>
      <c r="N7817" s="102"/>
      <c r="O7817" s="105">
        <v>8639938.0</v>
      </c>
      <c r="P7817" s="105">
        <v>8771897.0</v>
      </c>
      <c r="Q7817" s="102" t="s">
        <v>2514</v>
      </c>
      <c r="S7817" s="1"/>
      <c r="T7817" s="1"/>
      <c r="U7817" s="1"/>
      <c r="V7817" s="1"/>
      <c r="W7817" s="1"/>
      <c r="X7817" s="1"/>
      <c r="Y7817" s="1"/>
      <c r="AA7817" s="102"/>
      <c r="AB7817" s="1"/>
      <c r="AC7817" s="1"/>
      <c r="AD7817" s="1"/>
      <c r="AE7817" s="1"/>
      <c r="AF7817" s="1"/>
      <c r="AG7817" s="1"/>
    </row>
    <row r="7818" ht="15.75" customHeight="1">
      <c r="A7818" s="1"/>
      <c r="B7818" s="1"/>
      <c r="C7818" s="1"/>
      <c r="D7818" s="1"/>
      <c r="E7818" s="1"/>
      <c r="F7818" s="1"/>
      <c r="G7818" s="1"/>
      <c r="H7818" s="1"/>
      <c r="I7818" s="1"/>
      <c r="J7818" s="1"/>
      <c r="K7818" s="102" t="s">
        <v>12194</v>
      </c>
      <c r="L7818" s="102" t="str">
        <f>M1135</f>
        <v>J2b2a1a1a1b3c~</v>
      </c>
      <c r="M7818" s="102"/>
      <c r="N7818" s="102"/>
      <c r="O7818" s="105">
        <v>8766872.0</v>
      </c>
      <c r="P7818" s="105">
        <v>8898831.0</v>
      </c>
      <c r="Q7818" s="102" t="s">
        <v>2501</v>
      </c>
      <c r="S7818" s="1"/>
      <c r="T7818" s="1"/>
      <c r="U7818" s="1"/>
      <c r="V7818" s="1"/>
      <c r="W7818" s="1"/>
      <c r="X7818" s="1"/>
      <c r="Y7818" s="1"/>
      <c r="AA7818" s="102"/>
      <c r="AB7818" s="1"/>
      <c r="AC7818" s="1"/>
      <c r="AD7818" s="1"/>
      <c r="AE7818" s="1"/>
      <c r="AF7818" s="1"/>
      <c r="AG7818" s="1"/>
    </row>
    <row r="7819" ht="15.75" customHeight="1">
      <c r="A7819" s="1"/>
      <c r="B7819" s="1"/>
      <c r="C7819" s="1"/>
      <c r="D7819" s="1"/>
      <c r="E7819" s="1"/>
      <c r="F7819" s="1"/>
      <c r="G7819" s="1"/>
      <c r="H7819" s="1"/>
      <c r="I7819" s="1"/>
      <c r="J7819" s="1"/>
      <c r="K7819" s="102" t="s">
        <v>12195</v>
      </c>
      <c r="L7819" s="102" t="str">
        <f>M1135</f>
        <v>J2b2a1a1a1b3c~</v>
      </c>
      <c r="M7819" s="102"/>
      <c r="N7819" s="102"/>
      <c r="O7819" s="105">
        <v>1.4342034E7</v>
      </c>
      <c r="P7819" s="105">
        <v>1.2221329E7</v>
      </c>
      <c r="Q7819" s="102" t="s">
        <v>2501</v>
      </c>
      <c r="S7819" s="1"/>
      <c r="T7819" s="1"/>
      <c r="U7819" s="1"/>
      <c r="V7819" s="1"/>
      <c r="W7819" s="1"/>
      <c r="X7819" s="1"/>
      <c r="Y7819" s="1"/>
      <c r="AA7819" s="102"/>
      <c r="AB7819" s="1"/>
      <c r="AC7819" s="1"/>
      <c r="AD7819" s="1"/>
      <c r="AE7819" s="1"/>
      <c r="AF7819" s="1"/>
      <c r="AG7819" s="1"/>
    </row>
    <row r="7820" ht="15.75" customHeight="1">
      <c r="A7820" s="1"/>
      <c r="B7820" s="1"/>
      <c r="C7820" s="1"/>
      <c r="D7820" s="1"/>
      <c r="E7820" s="1"/>
      <c r="F7820" s="1"/>
      <c r="G7820" s="1"/>
      <c r="H7820" s="1"/>
      <c r="I7820" s="1"/>
      <c r="J7820" s="1"/>
      <c r="K7820" s="102" t="s">
        <v>12196</v>
      </c>
      <c r="L7820" s="102" t="str">
        <f>M1135</f>
        <v>J2b2a1a1a1b3c~</v>
      </c>
      <c r="M7820" s="102"/>
      <c r="N7820" s="102"/>
      <c r="O7820" s="105">
        <v>1.4465192E7</v>
      </c>
      <c r="P7820" s="105">
        <v>1.2344465E7</v>
      </c>
      <c r="Q7820" s="102" t="s">
        <v>2576</v>
      </c>
      <c r="S7820" s="1"/>
      <c r="T7820" s="1"/>
      <c r="U7820" s="1"/>
      <c r="V7820" s="1"/>
      <c r="W7820" s="1"/>
      <c r="X7820" s="1"/>
      <c r="Y7820" s="1"/>
      <c r="AA7820" s="102"/>
      <c r="AB7820" s="1"/>
      <c r="AC7820" s="1"/>
      <c r="AD7820" s="1"/>
      <c r="AE7820" s="1"/>
      <c r="AF7820" s="1"/>
      <c r="AG7820" s="1"/>
    </row>
    <row r="7821" ht="15.75" customHeight="1">
      <c r="A7821" s="1"/>
      <c r="B7821" s="1"/>
      <c r="C7821" s="1"/>
      <c r="D7821" s="1"/>
      <c r="E7821" s="1"/>
      <c r="F7821" s="1"/>
      <c r="G7821" s="1"/>
      <c r="H7821" s="1"/>
      <c r="I7821" s="1"/>
      <c r="J7821" s="1"/>
      <c r="K7821" s="102" t="s">
        <v>12197</v>
      </c>
      <c r="L7821" s="102" t="str">
        <f>M1135</f>
        <v>J2b2a1a1a1b3c~</v>
      </c>
      <c r="M7821" s="102"/>
      <c r="N7821" s="102"/>
      <c r="O7821" s="105">
        <v>1.447869E7</v>
      </c>
      <c r="P7821" s="105">
        <v>1.2357959E7</v>
      </c>
      <c r="Q7821" s="102" t="s">
        <v>2529</v>
      </c>
      <c r="S7821" s="1"/>
      <c r="T7821" s="1"/>
      <c r="U7821" s="1"/>
      <c r="V7821" s="1"/>
      <c r="W7821" s="1"/>
      <c r="X7821" s="1"/>
      <c r="Y7821" s="1"/>
      <c r="AA7821" s="102"/>
      <c r="AB7821" s="1"/>
      <c r="AC7821" s="1"/>
      <c r="AD7821" s="1"/>
      <c r="AE7821" s="1"/>
      <c r="AF7821" s="1"/>
      <c r="AG7821" s="1"/>
    </row>
    <row r="7822" ht="15.75" customHeight="1">
      <c r="A7822" s="1"/>
      <c r="B7822" s="1"/>
      <c r="C7822" s="1"/>
      <c r="D7822" s="1"/>
      <c r="E7822" s="1"/>
      <c r="F7822" s="1"/>
      <c r="G7822" s="1"/>
      <c r="H7822" s="1"/>
      <c r="I7822" s="1"/>
      <c r="J7822" s="1"/>
      <c r="K7822" s="102" t="s">
        <v>12198</v>
      </c>
      <c r="L7822" s="102" t="str">
        <f>M1135</f>
        <v>J2b2a1a1a1b3c~</v>
      </c>
      <c r="M7822" s="102"/>
      <c r="N7822" s="102"/>
      <c r="O7822" s="105">
        <v>1.5335794E7</v>
      </c>
      <c r="P7822" s="105">
        <v>1.3223912E7</v>
      </c>
      <c r="Q7822" s="102" t="s">
        <v>2439</v>
      </c>
      <c r="S7822" s="1"/>
      <c r="T7822" s="1"/>
      <c r="U7822" s="1"/>
      <c r="V7822" s="1"/>
      <c r="W7822" s="1"/>
      <c r="X7822" s="1"/>
      <c r="Y7822" s="1"/>
      <c r="AA7822" s="102"/>
      <c r="AB7822" s="1"/>
      <c r="AC7822" s="1"/>
      <c r="AD7822" s="1"/>
      <c r="AE7822" s="1"/>
      <c r="AF7822" s="1"/>
      <c r="AG7822" s="1"/>
    </row>
    <row r="7823" ht="15.75" customHeight="1">
      <c r="A7823" s="1"/>
      <c r="B7823" s="1"/>
      <c r="C7823" s="1"/>
      <c r="D7823" s="1"/>
      <c r="E7823" s="1"/>
      <c r="F7823" s="1"/>
      <c r="G7823" s="1"/>
      <c r="H7823" s="1"/>
      <c r="I7823" s="1"/>
      <c r="J7823" s="1"/>
      <c r="K7823" s="102" t="s">
        <v>12199</v>
      </c>
      <c r="L7823" s="102" t="str">
        <f>M1135</f>
        <v>J2b2a1a1a1b3c~</v>
      </c>
      <c r="M7823" s="102"/>
      <c r="N7823" s="102"/>
      <c r="O7823" s="105">
        <v>1.6846491E7</v>
      </c>
      <c r="P7823" s="105">
        <v>1.4734611E7</v>
      </c>
      <c r="Q7823" s="102" t="s">
        <v>2454</v>
      </c>
      <c r="S7823" s="1"/>
      <c r="T7823" s="1"/>
      <c r="U7823" s="1"/>
      <c r="V7823" s="1"/>
      <c r="W7823" s="1"/>
      <c r="X7823" s="1"/>
      <c r="Y7823" s="1"/>
      <c r="AA7823" s="102"/>
      <c r="AB7823" s="1"/>
      <c r="AC7823" s="1"/>
      <c r="AD7823" s="1"/>
      <c r="AE7823" s="1"/>
      <c r="AF7823" s="1"/>
      <c r="AG7823" s="1"/>
    </row>
    <row r="7824" ht="15.75" customHeight="1">
      <c r="A7824" s="1"/>
      <c r="B7824" s="1"/>
      <c r="C7824" s="1"/>
      <c r="D7824" s="1"/>
      <c r="E7824" s="1"/>
      <c r="F7824" s="1"/>
      <c r="G7824" s="1"/>
      <c r="H7824" s="1"/>
      <c r="I7824" s="1"/>
      <c r="J7824" s="1"/>
      <c r="K7824" s="102" t="s">
        <v>12200</v>
      </c>
      <c r="L7824" s="102" t="str">
        <f>M1135</f>
        <v>J2b2a1a1a1b3c~</v>
      </c>
      <c r="M7824" s="102"/>
      <c r="N7824" s="102"/>
      <c r="O7824" s="105">
        <v>1.8606436E7</v>
      </c>
      <c r="P7824" s="105">
        <v>1.6494556E7</v>
      </c>
      <c r="Q7824" s="102" t="s">
        <v>2529</v>
      </c>
      <c r="S7824" s="1"/>
      <c r="T7824" s="1"/>
      <c r="U7824" s="1"/>
      <c r="V7824" s="1"/>
      <c r="W7824" s="1"/>
      <c r="X7824" s="1"/>
      <c r="Y7824" s="1"/>
      <c r="AA7824" s="102"/>
      <c r="AB7824" s="1"/>
      <c r="AC7824" s="1"/>
      <c r="AD7824" s="1"/>
      <c r="AE7824" s="1"/>
      <c r="AF7824" s="1"/>
      <c r="AG7824" s="1"/>
    </row>
    <row r="7825" ht="15.75" customHeight="1">
      <c r="A7825" s="1"/>
      <c r="B7825" s="1"/>
      <c r="C7825" s="1"/>
      <c r="D7825" s="1"/>
      <c r="E7825" s="1"/>
      <c r="F7825" s="1"/>
      <c r="G7825" s="1"/>
      <c r="H7825" s="1"/>
      <c r="I7825" s="1"/>
      <c r="J7825" s="1"/>
      <c r="K7825" s="102" t="s">
        <v>12201</v>
      </c>
      <c r="L7825" s="102" t="str">
        <f>M1135</f>
        <v>J2b2a1a1a1b3c~</v>
      </c>
      <c r="M7825" s="102"/>
      <c r="N7825" s="102"/>
      <c r="O7825" s="105">
        <v>1.8667934E7</v>
      </c>
      <c r="P7825" s="105">
        <v>1.6556054E7</v>
      </c>
      <c r="Q7825" s="102" t="s">
        <v>2533</v>
      </c>
      <c r="S7825" s="1"/>
      <c r="T7825" s="1"/>
      <c r="U7825" s="1"/>
      <c r="V7825" s="1"/>
      <c r="W7825" s="1"/>
      <c r="X7825" s="1"/>
      <c r="Y7825" s="1"/>
      <c r="AA7825" s="102"/>
      <c r="AB7825" s="1"/>
      <c r="AC7825" s="1"/>
      <c r="AD7825" s="1"/>
      <c r="AE7825" s="1"/>
      <c r="AF7825" s="1"/>
      <c r="AG7825" s="1"/>
    </row>
    <row r="7826" ht="15.75" customHeight="1">
      <c r="A7826" s="1"/>
      <c r="B7826" s="1"/>
      <c r="C7826" s="1"/>
      <c r="D7826" s="1"/>
      <c r="E7826" s="1"/>
      <c r="F7826" s="1"/>
      <c r="G7826" s="1"/>
      <c r="H7826" s="1"/>
      <c r="I7826" s="1"/>
      <c r="J7826" s="1"/>
      <c r="K7826" s="102" t="s">
        <v>12202</v>
      </c>
      <c r="L7826" s="102" t="str">
        <f>M1135</f>
        <v>J2b2a1a1a1b3c~</v>
      </c>
      <c r="M7826" s="102"/>
      <c r="N7826" s="102"/>
      <c r="O7826" s="105">
        <v>1.8672133E7</v>
      </c>
      <c r="P7826" s="105">
        <v>1.6560253E7</v>
      </c>
      <c r="Q7826" s="102" t="s">
        <v>2439</v>
      </c>
      <c r="S7826" s="1"/>
      <c r="T7826" s="1"/>
      <c r="U7826" s="1"/>
      <c r="V7826" s="1"/>
      <c r="W7826" s="1"/>
      <c r="X7826" s="1"/>
      <c r="Y7826" s="1"/>
      <c r="AA7826" s="102"/>
      <c r="AB7826" s="1"/>
      <c r="AC7826" s="1"/>
      <c r="AD7826" s="1"/>
      <c r="AE7826" s="1"/>
      <c r="AF7826" s="1"/>
      <c r="AG7826" s="1"/>
    </row>
    <row r="7827" ht="15.75" customHeight="1">
      <c r="A7827" s="1"/>
      <c r="B7827" s="1"/>
      <c r="C7827" s="1"/>
      <c r="D7827" s="1"/>
      <c r="E7827" s="1"/>
      <c r="F7827" s="1"/>
      <c r="G7827" s="1"/>
      <c r="H7827" s="1"/>
      <c r="I7827" s="1"/>
      <c r="J7827" s="1"/>
      <c r="K7827" s="102" t="s">
        <v>12203</v>
      </c>
      <c r="L7827" s="102" t="str">
        <f>M1135</f>
        <v>J2b2a1a1a1b3c~</v>
      </c>
      <c r="M7827" s="102"/>
      <c r="N7827" s="102"/>
      <c r="O7827" s="105">
        <v>2.1037919E7</v>
      </c>
      <c r="P7827" s="105">
        <v>1.8876033E7</v>
      </c>
      <c r="Q7827" s="102" t="s">
        <v>2533</v>
      </c>
      <c r="S7827" s="1"/>
      <c r="T7827" s="1"/>
      <c r="U7827" s="1"/>
      <c r="V7827" s="1"/>
      <c r="W7827" s="1"/>
      <c r="X7827" s="1"/>
      <c r="Y7827" s="1"/>
      <c r="AA7827" s="102"/>
      <c r="AB7827" s="1"/>
      <c r="AC7827" s="1"/>
      <c r="AD7827" s="1"/>
      <c r="AE7827" s="1"/>
      <c r="AF7827" s="1"/>
      <c r="AG7827" s="1"/>
    </row>
    <row r="7828" ht="15.75" customHeight="1">
      <c r="A7828" s="1"/>
      <c r="B7828" s="1"/>
      <c r="C7828" s="1"/>
      <c r="D7828" s="1"/>
      <c r="E7828" s="1"/>
      <c r="F7828" s="1"/>
      <c r="G7828" s="1"/>
      <c r="H7828" s="1"/>
      <c r="I7828" s="1"/>
      <c r="J7828" s="1"/>
      <c r="K7828" s="102" t="s">
        <v>12204</v>
      </c>
      <c r="L7828" s="102" t="str">
        <f>M1135</f>
        <v>J2b2a1a1a1b3c~</v>
      </c>
      <c r="M7828" s="102"/>
      <c r="N7828" s="102"/>
      <c r="O7828" s="105">
        <v>2.1330686E7</v>
      </c>
      <c r="P7828" s="105">
        <v>1.91688E7</v>
      </c>
      <c r="Q7828" s="102" t="s">
        <v>2514</v>
      </c>
      <c r="S7828" s="1"/>
      <c r="T7828" s="1"/>
      <c r="U7828" s="1"/>
      <c r="V7828" s="1"/>
      <c r="W7828" s="1"/>
      <c r="X7828" s="1"/>
      <c r="Y7828" s="1"/>
      <c r="AA7828" s="102"/>
      <c r="AB7828" s="1"/>
      <c r="AC7828" s="1"/>
      <c r="AD7828" s="1"/>
      <c r="AE7828" s="1"/>
      <c r="AF7828" s="1"/>
      <c r="AG7828" s="1"/>
    </row>
    <row r="7829" ht="15.75" customHeight="1">
      <c r="A7829" s="1"/>
      <c r="B7829" s="1"/>
      <c r="C7829" s="1"/>
      <c r="D7829" s="1"/>
      <c r="E7829" s="1"/>
      <c r="F7829" s="1"/>
      <c r="G7829" s="1"/>
      <c r="H7829" s="1"/>
      <c r="I7829" s="1"/>
      <c r="J7829" s="1"/>
      <c r="K7829" s="102" t="s">
        <v>12205</v>
      </c>
      <c r="L7829" s="102" t="str">
        <f>M1135</f>
        <v>J2b2a1a1a1b3c~</v>
      </c>
      <c r="M7829" s="102"/>
      <c r="N7829" s="102"/>
      <c r="O7829" s="105">
        <v>2.1389968E7</v>
      </c>
      <c r="P7829" s="105">
        <v>1.9228082E7</v>
      </c>
      <c r="Q7829" s="102" t="s">
        <v>2446</v>
      </c>
      <c r="S7829" s="1"/>
      <c r="T7829" s="1"/>
      <c r="U7829" s="1"/>
      <c r="V7829" s="1"/>
      <c r="W7829" s="1"/>
      <c r="X7829" s="1"/>
      <c r="Y7829" s="1"/>
      <c r="AA7829" s="102"/>
      <c r="AB7829" s="1"/>
      <c r="AC7829" s="1"/>
      <c r="AD7829" s="1"/>
      <c r="AE7829" s="1"/>
      <c r="AF7829" s="1"/>
      <c r="AG7829" s="1"/>
    </row>
    <row r="7830" ht="15.75" customHeight="1">
      <c r="A7830" s="1"/>
      <c r="B7830" s="1"/>
      <c r="C7830" s="1"/>
      <c r="D7830" s="1"/>
      <c r="E7830" s="1"/>
      <c r="F7830" s="1"/>
      <c r="G7830" s="1"/>
      <c r="H7830" s="1"/>
      <c r="I7830" s="1"/>
      <c r="J7830" s="1"/>
      <c r="K7830" s="102" t="s">
        <v>12206</v>
      </c>
      <c r="L7830" s="102" t="str">
        <f>M1135</f>
        <v>J2b2a1a1a1b3c~</v>
      </c>
      <c r="M7830" s="102"/>
      <c r="N7830" s="102"/>
      <c r="O7830" s="105">
        <v>2.1666489E7</v>
      </c>
      <c r="P7830" s="105">
        <v>1.9504603E7</v>
      </c>
      <c r="Q7830" s="102" t="s">
        <v>2501</v>
      </c>
      <c r="S7830" s="1"/>
      <c r="T7830" s="1"/>
      <c r="U7830" s="1"/>
      <c r="V7830" s="1"/>
      <c r="W7830" s="1"/>
      <c r="X7830" s="1"/>
      <c r="Y7830" s="1"/>
      <c r="AA7830" s="102"/>
      <c r="AB7830" s="1"/>
      <c r="AC7830" s="1"/>
      <c r="AD7830" s="1"/>
      <c r="AE7830" s="1"/>
      <c r="AF7830" s="1"/>
      <c r="AG7830" s="1"/>
    </row>
    <row r="7831" ht="15.75" customHeight="1">
      <c r="A7831" s="1"/>
      <c r="B7831" s="1"/>
      <c r="C7831" s="1"/>
      <c r="D7831" s="1"/>
      <c r="E7831" s="1"/>
      <c r="F7831" s="1"/>
      <c r="G7831" s="1"/>
      <c r="H7831" s="1"/>
      <c r="I7831" s="1"/>
      <c r="J7831" s="1"/>
      <c r="K7831" s="102" t="s">
        <v>12207</v>
      </c>
      <c r="L7831" s="102" t="str">
        <f>M1135</f>
        <v>J2b2a1a1a1b3c~</v>
      </c>
      <c r="M7831" s="102"/>
      <c r="N7831" s="102"/>
      <c r="O7831" s="105">
        <v>8570678.0</v>
      </c>
      <c r="P7831" s="105">
        <v>8702637.0</v>
      </c>
      <c r="Q7831" s="102" t="s">
        <v>2423</v>
      </c>
      <c r="S7831" s="1"/>
      <c r="T7831" s="1"/>
      <c r="U7831" s="1"/>
      <c r="V7831" s="1"/>
      <c r="W7831" s="1"/>
      <c r="X7831" s="1"/>
      <c r="Y7831" s="1"/>
      <c r="AA7831" s="102"/>
      <c r="AB7831" s="1"/>
      <c r="AC7831" s="1"/>
      <c r="AD7831" s="1"/>
      <c r="AE7831" s="1"/>
      <c r="AF7831" s="1"/>
      <c r="AG7831" s="1"/>
    </row>
    <row r="7832" ht="15.75" customHeight="1">
      <c r="A7832" s="1"/>
      <c r="B7832" s="1"/>
      <c r="C7832" s="1"/>
      <c r="D7832" s="1"/>
      <c r="E7832" s="1"/>
      <c r="F7832" s="1"/>
      <c r="G7832" s="1"/>
      <c r="H7832" s="1"/>
      <c r="I7832" s="1"/>
      <c r="J7832" s="1"/>
      <c r="K7832" s="102" t="s">
        <v>12208</v>
      </c>
      <c r="L7832" s="102" t="str">
        <f>M1135</f>
        <v>J2b2a1a1a1b3c~</v>
      </c>
      <c r="M7832" s="102"/>
      <c r="N7832" s="102"/>
      <c r="O7832" s="105">
        <v>1.4637526E7</v>
      </c>
      <c r="P7832" s="105">
        <v>1.2525595E7</v>
      </c>
      <c r="Q7832" s="102" t="s">
        <v>2446</v>
      </c>
      <c r="S7832" s="1"/>
      <c r="T7832" s="1"/>
      <c r="U7832" s="1"/>
      <c r="V7832" s="1"/>
      <c r="W7832" s="1"/>
      <c r="X7832" s="1"/>
      <c r="Y7832" s="1"/>
      <c r="AA7832" s="102"/>
      <c r="AB7832" s="1"/>
      <c r="AC7832" s="1"/>
      <c r="AD7832" s="1"/>
      <c r="AE7832" s="1"/>
      <c r="AF7832" s="1"/>
      <c r="AG7832" s="1"/>
    </row>
    <row r="7833" ht="15.75" customHeight="1">
      <c r="A7833" s="1"/>
      <c r="B7833" s="1"/>
      <c r="C7833" s="1"/>
      <c r="D7833" s="1"/>
      <c r="E7833" s="1"/>
      <c r="F7833" s="1"/>
      <c r="G7833" s="1"/>
      <c r="H7833" s="1"/>
      <c r="I7833" s="1"/>
      <c r="J7833" s="1"/>
      <c r="K7833" s="102" t="s">
        <v>12209</v>
      </c>
      <c r="L7833" s="102" t="str">
        <f>M1135</f>
        <v>J2b2a1a1a1b3c~</v>
      </c>
      <c r="M7833" s="102"/>
      <c r="N7833" s="102"/>
      <c r="O7833" s="105">
        <v>9376019.0</v>
      </c>
      <c r="P7833" s="105">
        <v>9538410.0</v>
      </c>
      <c r="Q7833" s="102" t="s">
        <v>2439</v>
      </c>
      <c r="S7833" s="1"/>
      <c r="T7833" s="1"/>
      <c r="U7833" s="1"/>
      <c r="V7833" s="1"/>
      <c r="W7833" s="1"/>
      <c r="X7833" s="1"/>
      <c r="Y7833" s="1"/>
      <c r="AA7833" s="102"/>
      <c r="AB7833" s="1"/>
      <c r="AC7833" s="1"/>
      <c r="AD7833" s="1"/>
      <c r="AE7833" s="1"/>
      <c r="AF7833" s="1"/>
      <c r="AG7833" s="1"/>
    </row>
    <row r="7834" ht="15.75" customHeight="1">
      <c r="A7834" s="1"/>
      <c r="B7834" s="1"/>
      <c r="C7834" s="1"/>
      <c r="D7834" s="1"/>
      <c r="E7834" s="1"/>
      <c r="F7834" s="1"/>
      <c r="G7834" s="1"/>
      <c r="H7834" s="1"/>
      <c r="I7834" s="1"/>
      <c r="J7834" s="1"/>
      <c r="K7834" s="102" t="s">
        <v>12210</v>
      </c>
      <c r="L7834" s="102" t="str">
        <f>M1135</f>
        <v>J2b2a1a1a1b3c~</v>
      </c>
      <c r="M7834" s="102"/>
      <c r="N7834" s="102"/>
      <c r="O7834" s="105">
        <v>2.2514854E7</v>
      </c>
      <c r="P7834" s="105">
        <v>2.0352968E7</v>
      </c>
      <c r="Q7834" s="102" t="s">
        <v>2529</v>
      </c>
      <c r="S7834" s="1"/>
      <c r="T7834" s="1"/>
      <c r="U7834" s="1"/>
      <c r="V7834" s="1"/>
      <c r="W7834" s="1"/>
      <c r="X7834" s="1"/>
      <c r="Y7834" s="1"/>
      <c r="AA7834" s="102"/>
      <c r="AB7834" s="1"/>
      <c r="AC7834" s="1"/>
      <c r="AD7834" s="1"/>
      <c r="AE7834" s="1"/>
      <c r="AF7834" s="1"/>
      <c r="AG7834" s="1"/>
    </row>
    <row r="7835" ht="15.75" customHeight="1">
      <c r="A7835" s="1"/>
      <c r="B7835" s="1"/>
      <c r="C7835" s="1"/>
      <c r="D7835" s="1"/>
      <c r="E7835" s="1"/>
      <c r="F7835" s="1"/>
      <c r="G7835" s="1"/>
      <c r="H7835" s="1"/>
      <c r="I7835" s="1"/>
      <c r="J7835" s="1"/>
      <c r="K7835" s="102" t="s">
        <v>12211</v>
      </c>
      <c r="L7835" s="102" t="str">
        <f>M1135</f>
        <v>J2b2a1a1a1b3c~</v>
      </c>
      <c r="M7835" s="102"/>
      <c r="N7835" s="102"/>
      <c r="O7835" s="105">
        <v>1.702163E7</v>
      </c>
      <c r="P7835" s="105">
        <v>1.490975E7</v>
      </c>
      <c r="Q7835" s="102" t="s">
        <v>2576</v>
      </c>
      <c r="S7835" s="1"/>
      <c r="T7835" s="1"/>
      <c r="U7835" s="1"/>
      <c r="V7835" s="1"/>
      <c r="W7835" s="1"/>
      <c r="X7835" s="1"/>
      <c r="Y7835" s="1"/>
      <c r="AA7835" s="102"/>
      <c r="AB7835" s="1"/>
      <c r="AC7835" s="1"/>
      <c r="AD7835" s="1"/>
      <c r="AE7835" s="1"/>
      <c r="AF7835" s="1"/>
      <c r="AG7835" s="1"/>
    </row>
    <row r="7836" ht="15.75" customHeight="1">
      <c r="A7836" s="1"/>
      <c r="B7836" s="1"/>
      <c r="C7836" s="1"/>
      <c r="D7836" s="1"/>
      <c r="E7836" s="1"/>
      <c r="F7836" s="1"/>
      <c r="G7836" s="1"/>
      <c r="H7836" s="1"/>
      <c r="I7836" s="1"/>
      <c r="J7836" s="1"/>
      <c r="K7836" s="102" t="s">
        <v>12212</v>
      </c>
      <c r="L7836" s="102" t="str">
        <f>J1136</f>
        <v>J2b2a1a1a2~</v>
      </c>
      <c r="M7836" s="102"/>
      <c r="N7836" s="102"/>
      <c r="O7836" s="105">
        <v>7161817.0</v>
      </c>
      <c r="P7836" s="105">
        <v>7293776.0</v>
      </c>
      <c r="Q7836" s="102" t="s">
        <v>2501</v>
      </c>
      <c r="S7836" s="1"/>
      <c r="T7836" s="1"/>
      <c r="U7836" s="1"/>
      <c r="V7836" s="1"/>
      <c r="W7836" s="1"/>
      <c r="X7836" s="1"/>
      <c r="Y7836" s="1"/>
      <c r="AA7836" s="102"/>
      <c r="AB7836" s="1"/>
      <c r="AC7836" s="1"/>
      <c r="AD7836" s="1"/>
      <c r="AE7836" s="1"/>
      <c r="AF7836" s="1"/>
      <c r="AG7836" s="1"/>
    </row>
    <row r="7837" ht="15.75" customHeight="1">
      <c r="A7837" s="1"/>
      <c r="B7837" s="1"/>
      <c r="C7837" s="1"/>
      <c r="D7837" s="1"/>
      <c r="E7837" s="1"/>
      <c r="F7837" s="1"/>
      <c r="G7837" s="1"/>
      <c r="H7837" s="1"/>
      <c r="I7837" s="1"/>
      <c r="J7837" s="1"/>
      <c r="K7837" s="102" t="s">
        <v>12213</v>
      </c>
      <c r="L7837" s="102" t="str">
        <f>J1136</f>
        <v>J2b2a1a1a2~</v>
      </c>
      <c r="M7837" s="102"/>
      <c r="N7837" s="102" t="s">
        <v>12214</v>
      </c>
      <c r="O7837" s="105">
        <v>8482412.0</v>
      </c>
      <c r="P7837" s="105">
        <v>8614371.0</v>
      </c>
      <c r="Q7837" s="102" t="s">
        <v>2576</v>
      </c>
      <c r="S7837" s="1"/>
      <c r="T7837" s="1"/>
      <c r="U7837" s="1"/>
      <c r="V7837" s="1"/>
      <c r="W7837" s="1"/>
      <c r="X7837" s="1"/>
      <c r="Y7837" s="1"/>
      <c r="AA7837" s="102"/>
      <c r="AB7837" s="1"/>
      <c r="AC7837" s="1"/>
      <c r="AD7837" s="1"/>
      <c r="AE7837" s="1"/>
      <c r="AF7837" s="1"/>
      <c r="AG7837" s="1"/>
    </row>
    <row r="7838" ht="15.75" customHeight="1">
      <c r="A7838" s="1"/>
      <c r="B7838" s="1"/>
      <c r="C7838" s="1"/>
      <c r="D7838" s="1"/>
      <c r="E7838" s="1"/>
      <c r="F7838" s="1"/>
      <c r="G7838" s="1"/>
      <c r="H7838" s="1"/>
      <c r="I7838" s="1"/>
      <c r="J7838" s="1"/>
      <c r="K7838" s="102" t="s">
        <v>12215</v>
      </c>
      <c r="L7838" s="102" t="str">
        <f>J1136</f>
        <v>J2b2a1a1a2~</v>
      </c>
      <c r="M7838" s="102"/>
      <c r="N7838" s="102" t="s">
        <v>12216</v>
      </c>
      <c r="O7838" s="105">
        <v>1.4776143E7</v>
      </c>
      <c r="P7838" s="105">
        <v>1.2664212E7</v>
      </c>
      <c r="Q7838" s="102" t="s">
        <v>2439</v>
      </c>
      <c r="S7838" s="1"/>
      <c r="T7838" s="1"/>
      <c r="U7838" s="1"/>
      <c r="V7838" s="1"/>
      <c r="W7838" s="1"/>
      <c r="X7838" s="1"/>
      <c r="Y7838" s="1"/>
      <c r="AA7838" s="102"/>
      <c r="AB7838" s="1"/>
      <c r="AC7838" s="1"/>
      <c r="AD7838" s="1"/>
      <c r="AE7838" s="1"/>
      <c r="AF7838" s="1"/>
      <c r="AG7838" s="1"/>
    </row>
    <row r="7839" ht="15.75" customHeight="1">
      <c r="A7839" s="1"/>
      <c r="B7839" s="1"/>
      <c r="C7839" s="1"/>
      <c r="D7839" s="1"/>
      <c r="E7839" s="1"/>
      <c r="F7839" s="1"/>
      <c r="G7839" s="1"/>
      <c r="H7839" s="1"/>
      <c r="I7839" s="1"/>
      <c r="J7839" s="1"/>
      <c r="K7839" s="102" t="s">
        <v>12217</v>
      </c>
      <c r="L7839" s="102" t="str">
        <f>J1136</f>
        <v>J2b2a1a1a2~</v>
      </c>
      <c r="M7839" s="102"/>
      <c r="N7839" s="102" t="s">
        <v>12218</v>
      </c>
      <c r="O7839" s="105">
        <v>1.5824778E7</v>
      </c>
      <c r="P7839" s="105">
        <v>1.3712898E7</v>
      </c>
      <c r="Q7839" s="102" t="s">
        <v>2432</v>
      </c>
      <c r="S7839" s="1"/>
      <c r="T7839" s="1"/>
      <c r="U7839" s="1"/>
      <c r="V7839" s="1"/>
      <c r="W7839" s="1"/>
      <c r="X7839" s="1"/>
      <c r="Y7839" s="1"/>
      <c r="AA7839" s="102"/>
      <c r="AB7839" s="1"/>
      <c r="AC7839" s="1"/>
      <c r="AD7839" s="1"/>
      <c r="AE7839" s="1"/>
      <c r="AF7839" s="1"/>
      <c r="AG7839" s="1"/>
    </row>
    <row r="7840" ht="15.75" customHeight="1">
      <c r="A7840" s="1"/>
      <c r="B7840" s="1"/>
      <c r="C7840" s="1"/>
      <c r="D7840" s="1"/>
      <c r="E7840" s="1"/>
      <c r="F7840" s="1"/>
      <c r="G7840" s="1"/>
      <c r="H7840" s="1"/>
      <c r="I7840" s="1"/>
      <c r="J7840" s="1"/>
      <c r="K7840" s="102" t="s">
        <v>12219</v>
      </c>
      <c r="L7840" s="102" t="str">
        <f>J1136</f>
        <v>J2b2a1a1a2~</v>
      </c>
      <c r="M7840" s="102"/>
      <c r="N7840" s="102" t="s">
        <v>12220</v>
      </c>
      <c r="O7840" s="105">
        <v>2.1190414E7</v>
      </c>
      <c r="P7840" s="105">
        <v>1.9028528E7</v>
      </c>
      <c r="Q7840" s="102" t="s">
        <v>2439</v>
      </c>
      <c r="S7840" s="1"/>
      <c r="T7840" s="1"/>
      <c r="U7840" s="1"/>
      <c r="V7840" s="1"/>
      <c r="W7840" s="1"/>
      <c r="X7840" s="1"/>
      <c r="Y7840" s="1"/>
      <c r="AA7840" s="102"/>
      <c r="AB7840" s="1"/>
      <c r="AC7840" s="1"/>
      <c r="AD7840" s="1"/>
      <c r="AE7840" s="1"/>
      <c r="AF7840" s="1"/>
      <c r="AG7840" s="1"/>
    </row>
    <row r="7841" ht="15.75" customHeight="1">
      <c r="A7841" s="1"/>
      <c r="B7841" s="1"/>
      <c r="C7841" s="1"/>
      <c r="D7841" s="1"/>
      <c r="E7841" s="1"/>
      <c r="F7841" s="1"/>
      <c r="G7841" s="1"/>
      <c r="H7841" s="1"/>
      <c r="I7841" s="1"/>
      <c r="J7841" s="1"/>
      <c r="K7841" s="102" t="s">
        <v>12221</v>
      </c>
      <c r="L7841" s="102" t="str">
        <f>I1137</f>
        <v>J2b2a1a1b~</v>
      </c>
      <c r="M7841" s="102"/>
      <c r="N7841" s="102"/>
      <c r="O7841" s="105">
        <v>1.708075E7</v>
      </c>
      <c r="P7841" s="105">
        <v>1.496887E7</v>
      </c>
      <c r="Q7841" s="102" t="s">
        <v>2563</v>
      </c>
      <c r="S7841" s="1"/>
      <c r="T7841" s="1"/>
      <c r="U7841" s="1"/>
      <c r="V7841" s="1"/>
      <c r="W7841" s="1"/>
      <c r="X7841" s="1"/>
      <c r="Y7841" s="1"/>
      <c r="AA7841" s="102"/>
      <c r="AB7841" s="1"/>
      <c r="AC7841" s="1"/>
      <c r="AD7841" s="1"/>
      <c r="AE7841" s="1"/>
      <c r="AF7841" s="1"/>
      <c r="AG7841" s="1"/>
    </row>
    <row r="7842" ht="15.75" customHeight="1">
      <c r="A7842" s="1"/>
      <c r="B7842" s="1"/>
      <c r="C7842" s="1"/>
      <c r="D7842" s="1"/>
      <c r="E7842" s="1"/>
      <c r="F7842" s="1"/>
      <c r="G7842" s="1"/>
      <c r="H7842" s="1"/>
      <c r="I7842" s="1"/>
      <c r="J7842" s="1"/>
      <c r="K7842" s="102" t="s">
        <v>12222</v>
      </c>
      <c r="L7842" s="102" t="str">
        <f>I1137</f>
        <v>J2b2a1a1b~</v>
      </c>
      <c r="M7842" s="102"/>
      <c r="N7842" s="102"/>
      <c r="O7842" s="102">
        <v>1.8846524E7</v>
      </c>
      <c r="P7842" s="102">
        <v>1.6734644E7</v>
      </c>
      <c r="Q7842" s="102" t="s">
        <v>2439</v>
      </c>
      <c r="S7842" s="1"/>
      <c r="T7842" s="1"/>
      <c r="U7842" s="1"/>
      <c r="V7842" s="1"/>
      <c r="W7842" s="1"/>
      <c r="X7842" s="1"/>
      <c r="Y7842" s="1"/>
      <c r="AA7842" s="102"/>
      <c r="AB7842" s="1"/>
      <c r="AC7842" s="1"/>
      <c r="AD7842" s="1"/>
      <c r="AE7842" s="1"/>
      <c r="AF7842" s="1"/>
      <c r="AG7842" s="1"/>
    </row>
    <row r="7843" ht="15.75" customHeight="1">
      <c r="A7843" s="1"/>
      <c r="B7843" s="1"/>
      <c r="C7843" s="1"/>
      <c r="D7843" s="1"/>
      <c r="E7843" s="1"/>
      <c r="F7843" s="1"/>
      <c r="G7843" s="1"/>
      <c r="H7843" s="1"/>
      <c r="I7843" s="1"/>
      <c r="J7843" s="1"/>
      <c r="K7843" s="102" t="s">
        <v>12223</v>
      </c>
      <c r="L7843" s="102" t="str">
        <f>I1137</f>
        <v>J2b2a1a1b~</v>
      </c>
      <c r="M7843" s="102"/>
      <c r="N7843" s="102" t="s">
        <v>12224</v>
      </c>
      <c r="O7843" s="105">
        <v>1.8047329E7</v>
      </c>
      <c r="P7843" s="105">
        <v>1.5935449E7</v>
      </c>
      <c r="Q7843" s="102" t="s">
        <v>2432</v>
      </c>
      <c r="S7843" s="1"/>
      <c r="T7843" s="1"/>
      <c r="U7843" s="1"/>
      <c r="V7843" s="1"/>
      <c r="W7843" s="1"/>
      <c r="X7843" s="1"/>
      <c r="Y7843" s="1"/>
      <c r="AA7843" s="102"/>
      <c r="AB7843" s="1"/>
      <c r="AC7843" s="1"/>
      <c r="AD7843" s="1"/>
      <c r="AE7843" s="1"/>
      <c r="AF7843" s="1"/>
      <c r="AG7843" s="1"/>
    </row>
    <row r="7844" ht="15.75" customHeight="1">
      <c r="A7844" s="1"/>
      <c r="B7844" s="1"/>
      <c r="C7844" s="1"/>
      <c r="D7844" s="1"/>
      <c r="E7844" s="1"/>
      <c r="F7844" s="1"/>
      <c r="G7844" s="1"/>
      <c r="H7844" s="1"/>
      <c r="I7844" s="1"/>
      <c r="J7844" s="1"/>
      <c r="K7844" s="102" t="s">
        <v>12225</v>
      </c>
      <c r="L7844" s="102" t="str">
        <f>I1137</f>
        <v>J2b2a1a1b~</v>
      </c>
      <c r="M7844" s="102" t="s">
        <v>12226</v>
      </c>
      <c r="N7844" s="102" t="s">
        <v>12227</v>
      </c>
      <c r="O7844" s="105">
        <v>6720559.0</v>
      </c>
      <c r="P7844" s="105">
        <v>6852518.0</v>
      </c>
      <c r="Q7844" s="102" t="s">
        <v>2468</v>
      </c>
      <c r="S7844" s="1"/>
      <c r="T7844" s="1"/>
      <c r="U7844" s="1"/>
      <c r="V7844" s="1"/>
      <c r="W7844" s="1"/>
      <c r="X7844" s="1"/>
      <c r="Y7844" s="1"/>
      <c r="AA7844" s="102"/>
      <c r="AB7844" s="1"/>
      <c r="AC7844" s="1"/>
      <c r="AD7844" s="1"/>
      <c r="AE7844" s="1"/>
      <c r="AF7844" s="1"/>
      <c r="AG7844" s="1"/>
    </row>
    <row r="7845" ht="15.75" customHeight="1">
      <c r="A7845" s="1"/>
      <c r="B7845" s="1"/>
      <c r="C7845" s="1"/>
      <c r="D7845" s="1"/>
      <c r="E7845" s="1"/>
      <c r="F7845" s="1"/>
      <c r="G7845" s="1"/>
      <c r="H7845" s="1"/>
      <c r="I7845" s="1"/>
      <c r="J7845" s="1"/>
      <c r="K7845" s="102" t="s">
        <v>12226</v>
      </c>
      <c r="L7845" s="102" t="str">
        <f>I1137</f>
        <v>J2b2a1a1b~</v>
      </c>
      <c r="M7845" s="102" t="s">
        <v>12225</v>
      </c>
      <c r="N7845" s="102" t="s">
        <v>12227</v>
      </c>
      <c r="O7845" s="105">
        <v>6720559.0</v>
      </c>
      <c r="P7845" s="105">
        <v>6852518.0</v>
      </c>
      <c r="Q7845" s="102" t="s">
        <v>2468</v>
      </c>
      <c r="S7845" s="1"/>
      <c r="T7845" s="1"/>
      <c r="U7845" s="1"/>
      <c r="V7845" s="1"/>
      <c r="W7845" s="1"/>
      <c r="X7845" s="1"/>
      <c r="Y7845" s="1"/>
      <c r="AA7845" s="102"/>
      <c r="AB7845" s="1"/>
      <c r="AC7845" s="1"/>
      <c r="AD7845" s="1"/>
      <c r="AE7845" s="1"/>
      <c r="AF7845" s="1"/>
      <c r="AG7845" s="1"/>
    </row>
    <row r="7846" ht="15.75" customHeight="1">
      <c r="A7846" s="1"/>
      <c r="B7846" s="1"/>
      <c r="C7846" s="1"/>
      <c r="D7846" s="1"/>
      <c r="E7846" s="1"/>
      <c r="F7846" s="1"/>
      <c r="G7846" s="1"/>
      <c r="H7846" s="1"/>
      <c r="I7846" s="1"/>
      <c r="J7846" s="1"/>
      <c r="K7846" s="102" t="s">
        <v>12228</v>
      </c>
      <c r="L7846" s="102" t="str">
        <f>I1137</f>
        <v>J2b2a1a1b~</v>
      </c>
      <c r="M7846" s="102"/>
      <c r="N7846" s="102"/>
      <c r="O7846" s="105">
        <v>7167385.0</v>
      </c>
      <c r="P7846" s="105">
        <v>7299344.0</v>
      </c>
      <c r="Q7846" s="102" t="s">
        <v>2468</v>
      </c>
      <c r="S7846" s="1"/>
      <c r="T7846" s="1"/>
      <c r="U7846" s="1"/>
      <c r="V7846" s="1"/>
      <c r="W7846" s="1"/>
      <c r="X7846" s="1"/>
      <c r="Y7846" s="1"/>
      <c r="AA7846" s="102"/>
      <c r="AB7846" s="1"/>
      <c r="AC7846" s="1"/>
      <c r="AD7846" s="1"/>
      <c r="AE7846" s="1"/>
      <c r="AF7846" s="1"/>
      <c r="AG7846" s="1"/>
    </row>
    <row r="7847" ht="15.75" customHeight="1">
      <c r="A7847" s="1"/>
      <c r="B7847" s="1"/>
      <c r="C7847" s="1"/>
      <c r="D7847" s="1"/>
      <c r="E7847" s="1"/>
      <c r="F7847" s="1"/>
      <c r="G7847" s="1"/>
      <c r="H7847" s="1"/>
      <c r="I7847" s="1"/>
      <c r="J7847" s="1"/>
      <c r="K7847" s="102" t="s">
        <v>12229</v>
      </c>
      <c r="L7847" s="102" t="str">
        <f>I1137</f>
        <v>J2b2a1a1b~</v>
      </c>
      <c r="M7847" s="102"/>
      <c r="N7847" s="102"/>
      <c r="O7847" s="105">
        <v>7184445.0</v>
      </c>
      <c r="P7847" s="105">
        <v>7316404.0</v>
      </c>
      <c r="Q7847" s="102" t="s">
        <v>2501</v>
      </c>
      <c r="S7847" s="1"/>
      <c r="T7847" s="1"/>
      <c r="U7847" s="1"/>
      <c r="V7847" s="1"/>
      <c r="W7847" s="1"/>
      <c r="X7847" s="1"/>
      <c r="Y7847" s="1"/>
      <c r="AA7847" s="102"/>
      <c r="AB7847" s="1"/>
      <c r="AC7847" s="1"/>
      <c r="AD7847" s="1"/>
      <c r="AE7847" s="1"/>
      <c r="AF7847" s="1"/>
      <c r="AG7847" s="1"/>
    </row>
    <row r="7848" ht="15.75" customHeight="1">
      <c r="A7848" s="1"/>
      <c r="B7848" s="1"/>
      <c r="C7848" s="1"/>
      <c r="D7848" s="1"/>
      <c r="E7848" s="1"/>
      <c r="F7848" s="1"/>
      <c r="G7848" s="1"/>
      <c r="H7848" s="1"/>
      <c r="I7848" s="1"/>
      <c r="J7848" s="1"/>
      <c r="K7848" s="102" t="s">
        <v>12230</v>
      </c>
      <c r="L7848" s="102" t="str">
        <f>I1137</f>
        <v>J2b2a1a1b~</v>
      </c>
      <c r="M7848" s="102"/>
      <c r="N7848" s="102"/>
      <c r="O7848" s="105">
        <v>1.4006575E7</v>
      </c>
      <c r="P7848" s="105">
        <v>1.1885869E7</v>
      </c>
      <c r="Q7848" s="102" t="s">
        <v>2501</v>
      </c>
      <c r="S7848" s="1"/>
      <c r="T7848" s="1"/>
      <c r="U7848" s="1"/>
      <c r="V7848" s="1"/>
      <c r="W7848" s="1"/>
      <c r="X7848" s="1"/>
      <c r="Y7848" s="1"/>
      <c r="AA7848" s="102"/>
      <c r="AB7848" s="1"/>
      <c r="AC7848" s="1"/>
      <c r="AD7848" s="1"/>
      <c r="AE7848" s="1"/>
      <c r="AF7848" s="1"/>
      <c r="AG7848" s="1"/>
    </row>
    <row r="7849" ht="15.75" customHeight="1">
      <c r="A7849" s="1"/>
      <c r="B7849" s="1"/>
      <c r="C7849" s="1"/>
      <c r="D7849" s="1"/>
      <c r="E7849" s="1"/>
      <c r="F7849" s="1"/>
      <c r="G7849" s="1"/>
      <c r="H7849" s="1"/>
      <c r="I7849" s="1"/>
      <c r="J7849" s="1"/>
      <c r="K7849" s="102" t="s">
        <v>12231</v>
      </c>
      <c r="L7849" s="102" t="str">
        <f>I1137</f>
        <v>J2b2a1a1b~</v>
      </c>
      <c r="M7849" s="102"/>
      <c r="N7849" s="102"/>
      <c r="O7849" s="105">
        <v>1.4358968E7</v>
      </c>
      <c r="P7849" s="105">
        <v>1.2238263E7</v>
      </c>
      <c r="Q7849" s="102" t="s">
        <v>2439</v>
      </c>
      <c r="S7849" s="1"/>
      <c r="T7849" s="1"/>
      <c r="U7849" s="1"/>
      <c r="V7849" s="1"/>
      <c r="W7849" s="1"/>
      <c r="X7849" s="1"/>
      <c r="Y7849" s="1"/>
      <c r="AA7849" s="102"/>
      <c r="AB7849" s="1"/>
      <c r="AC7849" s="1"/>
      <c r="AD7849" s="1"/>
      <c r="AE7849" s="1"/>
      <c r="AF7849" s="1"/>
      <c r="AG7849" s="1"/>
    </row>
    <row r="7850" ht="15.75" customHeight="1">
      <c r="A7850" s="1"/>
      <c r="B7850" s="1"/>
      <c r="C7850" s="1"/>
      <c r="D7850" s="1"/>
      <c r="E7850" s="1"/>
      <c r="F7850" s="1"/>
      <c r="G7850" s="1"/>
      <c r="H7850" s="1"/>
      <c r="I7850" s="1"/>
      <c r="J7850" s="1"/>
      <c r="K7850" s="102" t="s">
        <v>12232</v>
      </c>
      <c r="L7850" s="102" t="str">
        <f>I1137</f>
        <v>J2b2a1a1b~</v>
      </c>
      <c r="M7850" s="102"/>
      <c r="N7850" s="102" t="s">
        <v>12233</v>
      </c>
      <c r="O7850" s="105">
        <v>1.4902231E7</v>
      </c>
      <c r="P7850" s="105">
        <v>1.2790298E7</v>
      </c>
      <c r="Q7850" s="102" t="s">
        <v>2501</v>
      </c>
      <c r="S7850" s="1"/>
      <c r="T7850" s="1"/>
      <c r="U7850" s="1"/>
      <c r="V7850" s="1"/>
      <c r="W7850" s="1"/>
      <c r="X7850" s="1"/>
      <c r="Y7850" s="1"/>
      <c r="AA7850" s="102"/>
      <c r="AB7850" s="1"/>
      <c r="AC7850" s="1"/>
      <c r="AD7850" s="1"/>
      <c r="AE7850" s="1"/>
      <c r="AF7850" s="1"/>
      <c r="AG7850" s="1"/>
    </row>
    <row r="7851" ht="15.75" customHeight="1">
      <c r="A7851" s="1"/>
      <c r="B7851" s="1"/>
      <c r="C7851" s="1"/>
      <c r="D7851" s="1"/>
      <c r="E7851" s="1"/>
      <c r="F7851" s="1"/>
      <c r="G7851" s="1"/>
      <c r="H7851" s="1"/>
      <c r="I7851" s="1"/>
      <c r="J7851" s="1"/>
      <c r="K7851" s="102" t="s">
        <v>12234</v>
      </c>
      <c r="L7851" s="102" t="str">
        <f>I1137</f>
        <v>J2b2a1a1b~</v>
      </c>
      <c r="M7851" s="102"/>
      <c r="N7851" s="102" t="s">
        <v>12235</v>
      </c>
      <c r="O7851" s="105">
        <v>1.5380618E7</v>
      </c>
      <c r="P7851" s="105">
        <v>1.3268738E7</v>
      </c>
      <c r="Q7851" s="102" t="s">
        <v>2446</v>
      </c>
      <c r="S7851" s="1"/>
      <c r="T7851" s="1"/>
      <c r="U7851" s="1"/>
      <c r="V7851" s="1"/>
      <c r="W7851" s="1"/>
      <c r="X7851" s="1"/>
      <c r="Y7851" s="1"/>
      <c r="AA7851" s="102"/>
      <c r="AB7851" s="1"/>
      <c r="AC7851" s="1"/>
      <c r="AD7851" s="1"/>
      <c r="AE7851" s="1"/>
      <c r="AF7851" s="1"/>
      <c r="AG7851" s="1"/>
    </row>
    <row r="7852" ht="15.75" customHeight="1">
      <c r="A7852" s="1"/>
      <c r="B7852" s="1"/>
      <c r="C7852" s="1"/>
      <c r="D7852" s="1"/>
      <c r="E7852" s="1"/>
      <c r="F7852" s="1"/>
      <c r="G7852" s="1"/>
      <c r="H7852" s="1"/>
      <c r="I7852" s="1"/>
      <c r="J7852" s="1"/>
      <c r="K7852" s="102" t="s">
        <v>12236</v>
      </c>
      <c r="L7852" s="102" t="str">
        <f>I1137</f>
        <v>J2b2a1a1b~</v>
      </c>
      <c r="M7852" s="102"/>
      <c r="N7852" s="102"/>
      <c r="O7852" s="105">
        <v>1.5849021E7</v>
      </c>
      <c r="P7852" s="105">
        <v>1.3737141E7</v>
      </c>
      <c r="Q7852" s="102" t="s">
        <v>2533</v>
      </c>
      <c r="S7852" s="1"/>
      <c r="T7852" s="1"/>
      <c r="U7852" s="1"/>
      <c r="V7852" s="1"/>
      <c r="W7852" s="1"/>
      <c r="X7852" s="1"/>
      <c r="Y7852" s="1"/>
      <c r="AA7852" s="102"/>
      <c r="AB7852" s="1"/>
      <c r="AC7852" s="1"/>
      <c r="AD7852" s="1"/>
      <c r="AE7852" s="1"/>
      <c r="AF7852" s="1"/>
      <c r="AG7852" s="1"/>
    </row>
    <row r="7853" ht="15.75" customHeight="1">
      <c r="A7853" s="1"/>
      <c r="B7853" s="1"/>
      <c r="C7853" s="1"/>
      <c r="D7853" s="1"/>
      <c r="E7853" s="1"/>
      <c r="F7853" s="1"/>
      <c r="G7853" s="1"/>
      <c r="H7853" s="1"/>
      <c r="I7853" s="1"/>
      <c r="J7853" s="1"/>
      <c r="K7853" s="102" t="s">
        <v>12237</v>
      </c>
      <c r="L7853" s="102" t="str">
        <f>I1137</f>
        <v>J2b2a1a1b~</v>
      </c>
      <c r="M7853" s="102"/>
      <c r="N7853" s="102"/>
      <c r="O7853" s="105">
        <v>1.5939764E7</v>
      </c>
      <c r="P7853" s="105">
        <v>1.3827884E7</v>
      </c>
      <c r="Q7853" s="102" t="s">
        <v>2446</v>
      </c>
      <c r="S7853" s="1"/>
      <c r="T7853" s="1"/>
      <c r="U7853" s="1"/>
      <c r="V7853" s="1"/>
      <c r="W7853" s="1"/>
      <c r="X7853" s="1"/>
      <c r="Y7853" s="1"/>
      <c r="AA7853" s="102"/>
      <c r="AB7853" s="1"/>
      <c r="AC7853" s="1"/>
      <c r="AD7853" s="1"/>
      <c r="AE7853" s="1"/>
      <c r="AF7853" s="1"/>
      <c r="AG7853" s="1"/>
    </row>
    <row r="7854" ht="15.75" customHeight="1">
      <c r="A7854" s="1"/>
      <c r="B7854" s="1"/>
      <c r="C7854" s="1"/>
      <c r="D7854" s="1"/>
      <c r="E7854" s="1"/>
      <c r="F7854" s="1"/>
      <c r="G7854" s="1"/>
      <c r="H7854" s="1"/>
      <c r="I7854" s="1"/>
      <c r="J7854" s="1"/>
      <c r="K7854" s="102" t="s">
        <v>12238</v>
      </c>
      <c r="L7854" s="102" t="str">
        <f>I1137</f>
        <v>J2b2a1a1b~</v>
      </c>
      <c r="M7854" s="102"/>
      <c r="N7854" s="102"/>
      <c r="O7854" s="105">
        <v>1.5978169E7</v>
      </c>
      <c r="P7854" s="105">
        <v>1.3866289E7</v>
      </c>
      <c r="Q7854" s="102" t="s">
        <v>2432</v>
      </c>
      <c r="S7854" s="1"/>
      <c r="T7854" s="1"/>
      <c r="U7854" s="1"/>
      <c r="V7854" s="1"/>
      <c r="W7854" s="1"/>
      <c r="X7854" s="1"/>
      <c r="Y7854" s="1"/>
      <c r="AA7854" s="102"/>
      <c r="AB7854" s="1"/>
      <c r="AC7854" s="1"/>
      <c r="AD7854" s="1"/>
      <c r="AE7854" s="1"/>
      <c r="AF7854" s="1"/>
      <c r="AG7854" s="1"/>
    </row>
    <row r="7855" ht="15.75" customHeight="1">
      <c r="A7855" s="1"/>
      <c r="B7855" s="1"/>
      <c r="C7855" s="1"/>
      <c r="D7855" s="1"/>
      <c r="E7855" s="1"/>
      <c r="F7855" s="1"/>
      <c r="G7855" s="1"/>
      <c r="H7855" s="1"/>
      <c r="I7855" s="1"/>
      <c r="J7855" s="1"/>
      <c r="K7855" s="102" t="s">
        <v>12239</v>
      </c>
      <c r="L7855" s="102" t="str">
        <f>I1137</f>
        <v>J2b2a1a1b~</v>
      </c>
      <c r="M7855" s="102" t="s">
        <v>12240</v>
      </c>
      <c r="N7855" s="102" t="s">
        <v>12241</v>
      </c>
      <c r="O7855" s="105">
        <v>1.6551357E7</v>
      </c>
      <c r="P7855" s="105">
        <v>1.4439477E7</v>
      </c>
      <c r="Q7855" s="102" t="s">
        <v>2501</v>
      </c>
      <c r="S7855" s="1"/>
      <c r="T7855" s="1"/>
      <c r="U7855" s="1"/>
      <c r="V7855" s="1"/>
      <c r="W7855" s="1"/>
      <c r="X7855" s="1"/>
      <c r="Y7855" s="1"/>
      <c r="AA7855" s="102"/>
      <c r="AB7855" s="1"/>
      <c r="AC7855" s="1"/>
      <c r="AD7855" s="1"/>
      <c r="AE7855" s="1"/>
      <c r="AF7855" s="1"/>
      <c r="AG7855" s="1"/>
    </row>
    <row r="7856" ht="15.75" customHeight="1">
      <c r="A7856" s="1"/>
      <c r="B7856" s="1"/>
      <c r="C7856" s="1"/>
      <c r="D7856" s="1"/>
      <c r="E7856" s="1"/>
      <c r="F7856" s="1"/>
      <c r="G7856" s="1"/>
      <c r="H7856" s="1"/>
      <c r="I7856" s="1"/>
      <c r="J7856" s="1"/>
      <c r="K7856" s="102" t="s">
        <v>12240</v>
      </c>
      <c r="L7856" s="102" t="str">
        <f>I1137</f>
        <v>J2b2a1a1b~</v>
      </c>
      <c r="M7856" s="102" t="s">
        <v>12239</v>
      </c>
      <c r="N7856" s="102" t="s">
        <v>12241</v>
      </c>
      <c r="O7856" s="105">
        <v>1.6551357E7</v>
      </c>
      <c r="P7856" s="105">
        <v>1.4439477E7</v>
      </c>
      <c r="Q7856" s="102" t="s">
        <v>2501</v>
      </c>
      <c r="S7856" s="1"/>
      <c r="T7856" s="1"/>
      <c r="U7856" s="1"/>
      <c r="V7856" s="1"/>
      <c r="W7856" s="1"/>
      <c r="X7856" s="1"/>
      <c r="Y7856" s="1"/>
      <c r="AA7856" s="102"/>
      <c r="AB7856" s="1"/>
      <c r="AC7856" s="1"/>
      <c r="AD7856" s="1"/>
      <c r="AE7856" s="1"/>
      <c r="AF7856" s="1"/>
      <c r="AG7856" s="1"/>
    </row>
    <row r="7857" ht="15.75" customHeight="1">
      <c r="A7857" s="1"/>
      <c r="B7857" s="1"/>
      <c r="C7857" s="1"/>
      <c r="D7857" s="1"/>
      <c r="E7857" s="1"/>
      <c r="F7857" s="1"/>
      <c r="G7857" s="1"/>
      <c r="H7857" s="1"/>
      <c r="I7857" s="1"/>
      <c r="J7857" s="1"/>
      <c r="K7857" s="102" t="s">
        <v>12242</v>
      </c>
      <c r="L7857" s="102" t="str">
        <f>I1137</f>
        <v>J2b2a1a1b~</v>
      </c>
      <c r="M7857" s="102"/>
      <c r="N7857" s="102" t="s">
        <v>12243</v>
      </c>
      <c r="O7857" s="105">
        <v>1.7122242E7</v>
      </c>
      <c r="P7857" s="105">
        <v>1.5010362E7</v>
      </c>
      <c r="Q7857" s="102" t="s">
        <v>2454</v>
      </c>
      <c r="S7857" s="1"/>
      <c r="T7857" s="1"/>
      <c r="U7857" s="1"/>
      <c r="V7857" s="1"/>
      <c r="W7857" s="1"/>
      <c r="X7857" s="1"/>
      <c r="Y7857" s="1"/>
      <c r="AA7857" s="102"/>
      <c r="AB7857" s="1"/>
      <c r="AC7857" s="1"/>
      <c r="AD7857" s="1"/>
      <c r="AE7857" s="1"/>
      <c r="AF7857" s="1"/>
      <c r="AG7857" s="1"/>
    </row>
    <row r="7858" ht="15.75" customHeight="1">
      <c r="A7858" s="1"/>
      <c r="B7858" s="1"/>
      <c r="C7858" s="1"/>
      <c r="D7858" s="1"/>
      <c r="E7858" s="1"/>
      <c r="F7858" s="1"/>
      <c r="G7858" s="1"/>
      <c r="H7858" s="1"/>
      <c r="I7858" s="1"/>
      <c r="J7858" s="1"/>
      <c r="K7858" s="102" t="s">
        <v>12244</v>
      </c>
      <c r="L7858" s="102" t="str">
        <f>I1137</f>
        <v>J2b2a1a1b~</v>
      </c>
      <c r="M7858" s="102"/>
      <c r="N7858" s="102"/>
      <c r="O7858" s="105">
        <v>1.7256543E7</v>
      </c>
      <c r="P7858" s="105">
        <v>1.5144663E7</v>
      </c>
      <c r="Q7858" s="102" t="s">
        <v>2468</v>
      </c>
      <c r="S7858" s="1"/>
      <c r="T7858" s="1"/>
      <c r="U7858" s="1"/>
      <c r="V7858" s="1"/>
      <c r="W7858" s="1"/>
      <c r="X7858" s="1"/>
      <c r="Y7858" s="1"/>
      <c r="AA7858" s="102"/>
      <c r="AB7858" s="1"/>
      <c r="AC7858" s="1"/>
      <c r="AD7858" s="1"/>
      <c r="AE7858" s="1"/>
      <c r="AF7858" s="1"/>
      <c r="AG7858" s="1"/>
    </row>
    <row r="7859" ht="15.75" customHeight="1">
      <c r="A7859" s="1"/>
      <c r="B7859" s="1"/>
      <c r="C7859" s="1"/>
      <c r="D7859" s="1"/>
      <c r="E7859" s="1"/>
      <c r="F7859" s="1"/>
      <c r="G7859" s="1"/>
      <c r="H7859" s="1"/>
      <c r="I7859" s="1"/>
      <c r="J7859" s="1"/>
      <c r="K7859" s="102" t="s">
        <v>12245</v>
      </c>
      <c r="L7859" s="102" t="str">
        <f>I1137</f>
        <v>J2b2a1a1b~</v>
      </c>
      <c r="M7859" s="102"/>
      <c r="N7859" s="102"/>
      <c r="O7859" s="105">
        <v>1.7301188E7</v>
      </c>
      <c r="P7859" s="105">
        <v>1.5189308E7</v>
      </c>
      <c r="Q7859" s="102" t="s">
        <v>2468</v>
      </c>
      <c r="S7859" s="1"/>
      <c r="T7859" s="1"/>
      <c r="U7859" s="1"/>
      <c r="V7859" s="1"/>
      <c r="W7859" s="1"/>
      <c r="X7859" s="1"/>
      <c r="Y7859" s="1"/>
      <c r="AA7859" s="102"/>
      <c r="AB7859" s="1"/>
      <c r="AC7859" s="1"/>
      <c r="AD7859" s="1"/>
      <c r="AE7859" s="1"/>
      <c r="AF7859" s="1"/>
      <c r="AG7859" s="1"/>
    </row>
    <row r="7860" ht="15.75" customHeight="1">
      <c r="A7860" s="1"/>
      <c r="B7860" s="1"/>
      <c r="C7860" s="1"/>
      <c r="D7860" s="1"/>
      <c r="E7860" s="1"/>
      <c r="F7860" s="1"/>
      <c r="G7860" s="1"/>
      <c r="H7860" s="1"/>
      <c r="I7860" s="1"/>
      <c r="J7860" s="1"/>
      <c r="K7860" s="102" t="s">
        <v>12246</v>
      </c>
      <c r="L7860" s="102" t="str">
        <f>I1137</f>
        <v>J2b2a1a1b~</v>
      </c>
      <c r="M7860" s="102"/>
      <c r="N7860" s="102" t="s">
        <v>12247</v>
      </c>
      <c r="O7860" s="105">
        <v>1.8215491E7</v>
      </c>
      <c r="P7860" s="105">
        <v>1.6103611E7</v>
      </c>
      <c r="Q7860" s="102" t="s">
        <v>2423</v>
      </c>
      <c r="S7860" s="1"/>
      <c r="T7860" s="1"/>
      <c r="U7860" s="1"/>
      <c r="V7860" s="1"/>
      <c r="W7860" s="1"/>
      <c r="X7860" s="1"/>
      <c r="Y7860" s="1"/>
      <c r="AA7860" s="102"/>
      <c r="AB7860" s="1"/>
      <c r="AC7860" s="1"/>
      <c r="AD7860" s="1"/>
      <c r="AE7860" s="1"/>
      <c r="AF7860" s="1"/>
      <c r="AG7860" s="1"/>
    </row>
    <row r="7861" ht="15.75" customHeight="1">
      <c r="A7861" s="1"/>
      <c r="B7861" s="1"/>
      <c r="C7861" s="1"/>
      <c r="D7861" s="1"/>
      <c r="E7861" s="1"/>
      <c r="F7861" s="1"/>
      <c r="G7861" s="1"/>
      <c r="H7861" s="1"/>
      <c r="I7861" s="1"/>
      <c r="J7861" s="1"/>
      <c r="K7861" s="102" t="s">
        <v>12248</v>
      </c>
      <c r="L7861" s="102" t="str">
        <f>I1137</f>
        <v>J2b2a1a1b~</v>
      </c>
      <c r="M7861" s="102"/>
      <c r="N7861" s="102"/>
      <c r="O7861" s="105">
        <v>1.8562556E7</v>
      </c>
      <c r="P7861" s="105">
        <v>1.6450676E7</v>
      </c>
      <c r="Q7861" s="102" t="s">
        <v>2439</v>
      </c>
      <c r="S7861" s="1"/>
      <c r="T7861" s="1"/>
      <c r="U7861" s="1"/>
      <c r="V7861" s="1"/>
      <c r="W7861" s="1"/>
      <c r="X7861" s="1"/>
      <c r="Y7861" s="1"/>
      <c r="AA7861" s="102"/>
      <c r="AB7861" s="1"/>
      <c r="AC7861" s="1"/>
      <c r="AD7861" s="1"/>
      <c r="AE7861" s="1"/>
      <c r="AF7861" s="1"/>
      <c r="AG7861" s="1"/>
    </row>
    <row r="7862" ht="15.75" customHeight="1">
      <c r="A7862" s="1"/>
      <c r="B7862" s="1"/>
      <c r="C7862" s="1"/>
      <c r="D7862" s="1"/>
      <c r="E7862" s="1"/>
      <c r="F7862" s="1"/>
      <c r="G7862" s="1"/>
      <c r="H7862" s="1"/>
      <c r="I7862" s="1"/>
      <c r="J7862" s="1"/>
      <c r="K7862" s="102" t="s">
        <v>12249</v>
      </c>
      <c r="L7862" s="102" t="str">
        <f>I1137</f>
        <v>J2b2a1a1b~</v>
      </c>
      <c r="M7862" s="102"/>
      <c r="N7862" s="102"/>
      <c r="O7862" s="105">
        <v>1.8645932E7</v>
      </c>
      <c r="P7862" s="105">
        <v>1.6534052E7</v>
      </c>
      <c r="Q7862" s="102" t="s">
        <v>2468</v>
      </c>
      <c r="S7862" s="1"/>
      <c r="T7862" s="1"/>
      <c r="U7862" s="1"/>
      <c r="V7862" s="1"/>
      <c r="W7862" s="1"/>
      <c r="X7862" s="1"/>
      <c r="Y7862" s="1"/>
      <c r="AA7862" s="102"/>
      <c r="AB7862" s="1"/>
      <c r="AC7862" s="1"/>
      <c r="AD7862" s="1"/>
      <c r="AE7862" s="1"/>
      <c r="AF7862" s="1"/>
      <c r="AG7862" s="1"/>
    </row>
    <row r="7863" ht="15.75" customHeight="1">
      <c r="A7863" s="1"/>
      <c r="B7863" s="1"/>
      <c r="C7863" s="1"/>
      <c r="D7863" s="1"/>
      <c r="E7863" s="1"/>
      <c r="F7863" s="1"/>
      <c r="G7863" s="1"/>
      <c r="H7863" s="1"/>
      <c r="I7863" s="1"/>
      <c r="J7863" s="1"/>
      <c r="K7863" s="102" t="s">
        <v>12250</v>
      </c>
      <c r="L7863" s="102" t="str">
        <f>I1137</f>
        <v>J2b2a1a1b~</v>
      </c>
      <c r="M7863" s="102" t="s">
        <v>12251</v>
      </c>
      <c r="N7863" s="102" t="s">
        <v>12252</v>
      </c>
      <c r="O7863" s="105">
        <v>1.8802161E7</v>
      </c>
      <c r="P7863" s="105">
        <v>1.6690281E7</v>
      </c>
      <c r="Q7863" s="102" t="s">
        <v>2468</v>
      </c>
      <c r="S7863" s="1"/>
      <c r="T7863" s="1"/>
      <c r="U7863" s="1"/>
      <c r="V7863" s="1"/>
      <c r="W7863" s="1"/>
      <c r="X7863" s="1"/>
      <c r="Y7863" s="1"/>
      <c r="AA7863" s="102"/>
      <c r="AB7863" s="1"/>
      <c r="AC7863" s="1"/>
      <c r="AD7863" s="1"/>
      <c r="AE7863" s="1"/>
      <c r="AF7863" s="1"/>
      <c r="AG7863" s="1"/>
    </row>
    <row r="7864" ht="15.75" customHeight="1">
      <c r="A7864" s="1"/>
      <c r="B7864" s="1"/>
      <c r="C7864" s="1"/>
      <c r="D7864" s="1"/>
      <c r="E7864" s="1"/>
      <c r="F7864" s="1"/>
      <c r="G7864" s="1"/>
      <c r="H7864" s="1"/>
      <c r="I7864" s="1"/>
      <c r="J7864" s="1"/>
      <c r="K7864" s="102" t="s">
        <v>12251</v>
      </c>
      <c r="L7864" s="102" t="str">
        <f>I1137</f>
        <v>J2b2a1a1b~</v>
      </c>
      <c r="M7864" s="102" t="s">
        <v>12250</v>
      </c>
      <c r="N7864" s="102" t="s">
        <v>12252</v>
      </c>
      <c r="O7864" s="105">
        <v>1.8802161E7</v>
      </c>
      <c r="P7864" s="105">
        <v>1.6690281E7</v>
      </c>
      <c r="Q7864" s="102" t="s">
        <v>2468</v>
      </c>
      <c r="S7864" s="1"/>
      <c r="T7864" s="1"/>
      <c r="U7864" s="1"/>
      <c r="V7864" s="1"/>
      <c r="W7864" s="1"/>
      <c r="X7864" s="1"/>
      <c r="Y7864" s="1"/>
      <c r="AA7864" s="102"/>
      <c r="AB7864" s="1"/>
      <c r="AC7864" s="1"/>
      <c r="AD7864" s="1"/>
      <c r="AE7864" s="1"/>
      <c r="AF7864" s="1"/>
      <c r="AG7864" s="1"/>
    </row>
    <row r="7865" ht="15.75" customHeight="1">
      <c r="A7865" s="1"/>
      <c r="B7865" s="1"/>
      <c r="C7865" s="1"/>
      <c r="D7865" s="1"/>
      <c r="E7865" s="1"/>
      <c r="F7865" s="1"/>
      <c r="G7865" s="1"/>
      <c r="H7865" s="1"/>
      <c r="I7865" s="1"/>
      <c r="J7865" s="1"/>
      <c r="K7865" s="102" t="s">
        <v>12253</v>
      </c>
      <c r="L7865" s="102" t="str">
        <f>I1137</f>
        <v>J2b2a1a1b~</v>
      </c>
      <c r="M7865" s="102"/>
      <c r="N7865" s="102" t="s">
        <v>12254</v>
      </c>
      <c r="O7865" s="105">
        <v>1.8827538E7</v>
      </c>
      <c r="P7865" s="105">
        <v>1.6715658E7</v>
      </c>
      <c r="Q7865" s="102" t="s">
        <v>2529</v>
      </c>
      <c r="S7865" s="1"/>
      <c r="T7865" s="1"/>
      <c r="U7865" s="1"/>
      <c r="V7865" s="1"/>
      <c r="W7865" s="1"/>
      <c r="X7865" s="1"/>
      <c r="Y7865" s="1"/>
      <c r="AA7865" s="102"/>
      <c r="AB7865" s="1"/>
      <c r="AC7865" s="1"/>
      <c r="AD7865" s="1"/>
      <c r="AE7865" s="1"/>
      <c r="AF7865" s="1"/>
      <c r="AG7865" s="1"/>
    </row>
    <row r="7866" ht="15.75" customHeight="1">
      <c r="A7866" s="1"/>
      <c r="B7866" s="1"/>
      <c r="C7866" s="1"/>
      <c r="D7866" s="1"/>
      <c r="E7866" s="1"/>
      <c r="F7866" s="1"/>
      <c r="G7866" s="1"/>
      <c r="H7866" s="1"/>
      <c r="I7866" s="1"/>
      <c r="J7866" s="1"/>
      <c r="K7866" s="102" t="s">
        <v>12255</v>
      </c>
      <c r="L7866" s="102" t="str">
        <f>I1137</f>
        <v>J2b2a1a1b~</v>
      </c>
      <c r="M7866" s="102"/>
      <c r="N7866" s="102"/>
      <c r="O7866" s="105">
        <v>1.8959952E7</v>
      </c>
      <c r="P7866" s="105">
        <v>1.6848072E7</v>
      </c>
      <c r="Q7866" s="102" t="s">
        <v>2468</v>
      </c>
      <c r="S7866" s="1"/>
      <c r="T7866" s="1"/>
      <c r="U7866" s="1"/>
      <c r="V7866" s="1"/>
      <c r="W7866" s="1"/>
      <c r="X7866" s="1"/>
      <c r="Y7866" s="1"/>
      <c r="AA7866" s="102"/>
      <c r="AB7866" s="1"/>
      <c r="AC7866" s="1"/>
      <c r="AD7866" s="1"/>
      <c r="AE7866" s="1"/>
      <c r="AF7866" s="1"/>
      <c r="AG7866" s="1"/>
    </row>
    <row r="7867" ht="15.75" customHeight="1">
      <c r="A7867" s="1"/>
      <c r="B7867" s="1"/>
      <c r="C7867" s="1"/>
      <c r="D7867" s="1"/>
      <c r="E7867" s="1"/>
      <c r="F7867" s="1"/>
      <c r="G7867" s="1"/>
      <c r="H7867" s="1"/>
      <c r="I7867" s="1"/>
      <c r="J7867" s="1"/>
      <c r="K7867" s="102" t="s">
        <v>12256</v>
      </c>
      <c r="L7867" s="102" t="str">
        <f>I1137</f>
        <v>J2b2a1a1b~</v>
      </c>
      <c r="M7867" s="102"/>
      <c r="N7867" s="102" t="s">
        <v>12257</v>
      </c>
      <c r="O7867" s="105">
        <v>1.9270971E7</v>
      </c>
      <c r="P7867" s="105">
        <v>1.7159091E7</v>
      </c>
      <c r="Q7867" s="102" t="s">
        <v>2468</v>
      </c>
      <c r="S7867" s="1"/>
      <c r="T7867" s="1"/>
      <c r="U7867" s="1"/>
      <c r="V7867" s="1"/>
      <c r="W7867" s="1"/>
      <c r="X7867" s="1"/>
      <c r="Y7867" s="1"/>
      <c r="AA7867" s="102"/>
      <c r="AB7867" s="1"/>
      <c r="AC7867" s="1"/>
      <c r="AD7867" s="1"/>
      <c r="AE7867" s="1"/>
      <c r="AF7867" s="1"/>
      <c r="AG7867" s="1"/>
    </row>
    <row r="7868" ht="15.75" customHeight="1">
      <c r="A7868" s="1"/>
      <c r="B7868" s="1"/>
      <c r="C7868" s="1"/>
      <c r="D7868" s="1"/>
      <c r="E7868" s="1"/>
      <c r="F7868" s="1"/>
      <c r="G7868" s="1"/>
      <c r="H7868" s="1"/>
      <c r="I7868" s="1"/>
      <c r="J7868" s="1"/>
      <c r="K7868" s="102" t="s">
        <v>12258</v>
      </c>
      <c r="L7868" s="102" t="str">
        <f>I1137</f>
        <v>J2b2a1a1b~</v>
      </c>
      <c r="M7868" s="102"/>
      <c r="N7868" s="102"/>
      <c r="O7868" s="105">
        <v>1.9497147E7</v>
      </c>
      <c r="P7868" s="105">
        <v>1.7385267E7</v>
      </c>
      <c r="Q7868" s="102" t="s">
        <v>2454</v>
      </c>
      <c r="S7868" s="1"/>
      <c r="T7868" s="1"/>
      <c r="U7868" s="1"/>
      <c r="V7868" s="1"/>
      <c r="W7868" s="1"/>
      <c r="X7868" s="1"/>
      <c r="Y7868" s="1"/>
      <c r="AA7868" s="102"/>
      <c r="AB7868" s="1"/>
      <c r="AC7868" s="1"/>
      <c r="AD7868" s="1"/>
      <c r="AE7868" s="1"/>
      <c r="AF7868" s="1"/>
      <c r="AG7868" s="1"/>
    </row>
    <row r="7869" ht="15.75" customHeight="1">
      <c r="A7869" s="1"/>
      <c r="B7869" s="1"/>
      <c r="C7869" s="1"/>
      <c r="D7869" s="1"/>
      <c r="E7869" s="1"/>
      <c r="F7869" s="1"/>
      <c r="G7869" s="1"/>
      <c r="H7869" s="1"/>
      <c r="I7869" s="1"/>
      <c r="J7869" s="1"/>
      <c r="K7869" s="102" t="s">
        <v>12259</v>
      </c>
      <c r="L7869" s="102" t="str">
        <f>I1137</f>
        <v>J2b2a1a1b~</v>
      </c>
      <c r="M7869" s="102" t="s">
        <v>12260</v>
      </c>
      <c r="N7869" s="102" t="s">
        <v>12261</v>
      </c>
      <c r="O7869" s="105">
        <v>2.1336575E7</v>
      </c>
      <c r="P7869" s="105">
        <v>1.9174689E7</v>
      </c>
      <c r="Q7869" s="102" t="s">
        <v>2468</v>
      </c>
      <c r="S7869" s="1"/>
      <c r="T7869" s="1"/>
      <c r="U7869" s="1"/>
      <c r="V7869" s="1"/>
      <c r="W7869" s="1"/>
      <c r="X7869" s="1"/>
      <c r="Y7869" s="1"/>
      <c r="AA7869" s="102"/>
      <c r="AB7869" s="1"/>
      <c r="AC7869" s="1"/>
      <c r="AD7869" s="1"/>
      <c r="AE7869" s="1"/>
      <c r="AF7869" s="1"/>
      <c r="AG7869" s="1"/>
    </row>
    <row r="7870" ht="15.75" customHeight="1">
      <c r="A7870" s="1"/>
      <c r="B7870" s="1"/>
      <c r="C7870" s="1"/>
      <c r="D7870" s="1"/>
      <c r="E7870" s="1"/>
      <c r="F7870" s="1"/>
      <c r="G7870" s="1"/>
      <c r="H7870" s="1"/>
      <c r="I7870" s="1"/>
      <c r="J7870" s="1"/>
      <c r="K7870" s="102" t="s">
        <v>12260</v>
      </c>
      <c r="L7870" s="102" t="str">
        <f>I1137</f>
        <v>J2b2a1a1b~</v>
      </c>
      <c r="M7870" s="102" t="s">
        <v>12259</v>
      </c>
      <c r="N7870" s="102" t="s">
        <v>12261</v>
      </c>
      <c r="O7870" s="105">
        <v>2.1336575E7</v>
      </c>
      <c r="P7870" s="105">
        <v>1.9174689E7</v>
      </c>
      <c r="Q7870" s="102" t="s">
        <v>2468</v>
      </c>
      <c r="S7870" s="1"/>
      <c r="T7870" s="1"/>
      <c r="U7870" s="1"/>
      <c r="V7870" s="1"/>
      <c r="W7870" s="1"/>
      <c r="X7870" s="1"/>
      <c r="Y7870" s="1"/>
      <c r="AA7870" s="102"/>
      <c r="AB7870" s="1"/>
      <c r="AC7870" s="1"/>
      <c r="AD7870" s="1"/>
      <c r="AE7870" s="1"/>
      <c r="AF7870" s="1"/>
      <c r="AG7870" s="1"/>
    </row>
    <row r="7871" ht="15.75" customHeight="1">
      <c r="A7871" s="1"/>
      <c r="B7871" s="1"/>
      <c r="C7871" s="1"/>
      <c r="D7871" s="1"/>
      <c r="E7871" s="1"/>
      <c r="F7871" s="1"/>
      <c r="G7871" s="1"/>
      <c r="H7871" s="1"/>
      <c r="I7871" s="1"/>
      <c r="J7871" s="1"/>
      <c r="K7871" s="102" t="s">
        <v>12262</v>
      </c>
      <c r="L7871" s="102" t="str">
        <f>I1137</f>
        <v>J2b2a1a1b~</v>
      </c>
      <c r="M7871" s="102" t="s">
        <v>12263</v>
      </c>
      <c r="N7871" s="102"/>
      <c r="O7871" s="105">
        <v>2.1822152E7</v>
      </c>
      <c r="P7871" s="105">
        <v>1.9660266E7</v>
      </c>
      <c r="Q7871" s="102" t="s">
        <v>2576</v>
      </c>
      <c r="S7871" s="1"/>
      <c r="T7871" s="1"/>
      <c r="U7871" s="1"/>
      <c r="V7871" s="1"/>
      <c r="W7871" s="1"/>
      <c r="X7871" s="1"/>
      <c r="Y7871" s="1"/>
      <c r="AA7871" s="102"/>
      <c r="AB7871" s="1"/>
      <c r="AC7871" s="1"/>
      <c r="AD7871" s="1"/>
      <c r="AE7871" s="1"/>
      <c r="AF7871" s="1"/>
      <c r="AG7871" s="1"/>
    </row>
    <row r="7872" ht="15.75" customHeight="1">
      <c r="A7872" s="1"/>
      <c r="B7872" s="1"/>
      <c r="C7872" s="1"/>
      <c r="D7872" s="1"/>
      <c r="E7872" s="1"/>
      <c r="F7872" s="1"/>
      <c r="G7872" s="1"/>
      <c r="H7872" s="1"/>
      <c r="I7872" s="1"/>
      <c r="J7872" s="1"/>
      <c r="K7872" s="102" t="s">
        <v>12263</v>
      </c>
      <c r="L7872" s="102" t="str">
        <f>I1137</f>
        <v>J2b2a1a1b~</v>
      </c>
      <c r="M7872" s="102" t="s">
        <v>12262</v>
      </c>
      <c r="N7872" s="102"/>
      <c r="O7872" s="105">
        <v>2.1822152E7</v>
      </c>
      <c r="P7872" s="105">
        <v>1.9660266E7</v>
      </c>
      <c r="Q7872" s="102" t="s">
        <v>2576</v>
      </c>
      <c r="S7872" s="1"/>
      <c r="T7872" s="1"/>
      <c r="U7872" s="1"/>
      <c r="V7872" s="1"/>
      <c r="W7872" s="1"/>
      <c r="X7872" s="1"/>
      <c r="Y7872" s="1"/>
      <c r="AA7872" s="102"/>
      <c r="AB7872" s="1"/>
      <c r="AC7872" s="1"/>
      <c r="AD7872" s="1"/>
      <c r="AE7872" s="1"/>
      <c r="AF7872" s="1"/>
      <c r="AG7872" s="1"/>
    </row>
    <row r="7873" ht="15.75" customHeight="1">
      <c r="A7873" s="1"/>
      <c r="B7873" s="1"/>
      <c r="C7873" s="1"/>
      <c r="D7873" s="1"/>
      <c r="E7873" s="1"/>
      <c r="F7873" s="1"/>
      <c r="G7873" s="1"/>
      <c r="H7873" s="1"/>
      <c r="I7873" s="1"/>
      <c r="J7873" s="1"/>
      <c r="K7873" s="102" t="s">
        <v>12264</v>
      </c>
      <c r="L7873" s="102" t="str">
        <f>I1137</f>
        <v>J2b2a1a1b~</v>
      </c>
      <c r="M7873" s="102"/>
      <c r="N7873" s="102"/>
      <c r="O7873" s="105">
        <v>2.2025908E7</v>
      </c>
      <c r="P7873" s="105">
        <v>1.9864022E7</v>
      </c>
      <c r="Q7873" s="102" t="s">
        <v>2501</v>
      </c>
      <c r="S7873" s="1"/>
      <c r="T7873" s="1"/>
      <c r="U7873" s="1"/>
      <c r="V7873" s="1"/>
      <c r="W7873" s="1"/>
      <c r="X7873" s="1"/>
      <c r="Y7873" s="1"/>
      <c r="AA7873" s="102"/>
      <c r="AB7873" s="1"/>
      <c r="AC7873" s="1"/>
      <c r="AD7873" s="1"/>
      <c r="AE7873" s="1"/>
      <c r="AF7873" s="1"/>
      <c r="AG7873" s="1"/>
    </row>
    <row r="7874" ht="15.75" customHeight="1">
      <c r="A7874" s="1"/>
      <c r="B7874" s="1"/>
      <c r="C7874" s="1"/>
      <c r="D7874" s="1"/>
      <c r="E7874" s="1"/>
      <c r="F7874" s="1"/>
      <c r="G7874" s="1"/>
      <c r="H7874" s="1"/>
      <c r="I7874" s="1"/>
      <c r="J7874" s="1"/>
      <c r="K7874" s="102" t="s">
        <v>12265</v>
      </c>
      <c r="L7874" s="102" t="str">
        <f>I1137</f>
        <v>J2b2a1a1b~</v>
      </c>
      <c r="M7874" s="102" t="s">
        <v>12266</v>
      </c>
      <c r="N7874" s="102" t="s">
        <v>12267</v>
      </c>
      <c r="O7874" s="105">
        <v>2.3249008E7</v>
      </c>
      <c r="P7874" s="105">
        <v>2.1087122E7</v>
      </c>
      <c r="Q7874" s="102" t="s">
        <v>2446</v>
      </c>
      <c r="S7874" s="1"/>
      <c r="T7874" s="1"/>
      <c r="U7874" s="1"/>
      <c r="V7874" s="1"/>
      <c r="W7874" s="1"/>
      <c r="X7874" s="1"/>
      <c r="Y7874" s="1"/>
      <c r="AA7874" s="102"/>
      <c r="AB7874" s="1"/>
      <c r="AC7874" s="1"/>
      <c r="AD7874" s="1"/>
      <c r="AE7874" s="1"/>
      <c r="AF7874" s="1"/>
      <c r="AG7874" s="1"/>
    </row>
    <row r="7875" ht="15.75" customHeight="1">
      <c r="A7875" s="1"/>
      <c r="B7875" s="1"/>
      <c r="C7875" s="1"/>
      <c r="D7875" s="1"/>
      <c r="E7875" s="1"/>
      <c r="F7875" s="1"/>
      <c r="G7875" s="1"/>
      <c r="H7875" s="1"/>
      <c r="I7875" s="1"/>
      <c r="J7875" s="1"/>
      <c r="K7875" s="102" t="s">
        <v>12266</v>
      </c>
      <c r="L7875" s="102" t="str">
        <f>I1137</f>
        <v>J2b2a1a1b~</v>
      </c>
      <c r="M7875" s="102" t="s">
        <v>12265</v>
      </c>
      <c r="N7875" s="102" t="s">
        <v>12267</v>
      </c>
      <c r="O7875" s="105">
        <v>2.3249008E7</v>
      </c>
      <c r="P7875" s="105">
        <v>2.1087122E7</v>
      </c>
      <c r="Q7875" s="102" t="s">
        <v>2446</v>
      </c>
      <c r="S7875" s="1"/>
      <c r="T7875" s="1"/>
      <c r="U7875" s="1"/>
      <c r="V7875" s="1"/>
      <c r="W7875" s="1"/>
      <c r="X7875" s="1"/>
      <c r="Y7875" s="1"/>
      <c r="AA7875" s="102"/>
      <c r="AB7875" s="1"/>
      <c r="AC7875" s="1"/>
      <c r="AD7875" s="1"/>
      <c r="AE7875" s="1"/>
      <c r="AF7875" s="1"/>
      <c r="AG7875" s="1"/>
    </row>
    <row r="7876" ht="15.75" customHeight="1">
      <c r="A7876" s="1"/>
      <c r="B7876" s="1"/>
      <c r="C7876" s="1"/>
      <c r="D7876" s="1"/>
      <c r="E7876" s="1"/>
      <c r="F7876" s="1"/>
      <c r="G7876" s="1"/>
      <c r="H7876" s="1"/>
      <c r="I7876" s="1"/>
      <c r="J7876" s="1"/>
      <c r="K7876" s="102" t="s">
        <v>12268</v>
      </c>
      <c r="L7876" s="102" t="str">
        <f>I1137</f>
        <v>J2b2a1a1b~</v>
      </c>
      <c r="M7876" s="102" t="s">
        <v>12269</v>
      </c>
      <c r="N7876" s="102" t="s">
        <v>12270</v>
      </c>
      <c r="O7876" s="105">
        <v>2.3249009E7</v>
      </c>
      <c r="P7876" s="105">
        <v>2.1087123E7</v>
      </c>
      <c r="Q7876" s="102" t="s">
        <v>2432</v>
      </c>
      <c r="S7876" s="1"/>
      <c r="T7876" s="1"/>
      <c r="U7876" s="1"/>
      <c r="V7876" s="1"/>
      <c r="W7876" s="1"/>
      <c r="X7876" s="1"/>
      <c r="Y7876" s="1"/>
      <c r="AA7876" s="102"/>
      <c r="AB7876" s="1"/>
      <c r="AC7876" s="1"/>
      <c r="AD7876" s="1"/>
      <c r="AE7876" s="1"/>
      <c r="AF7876" s="1"/>
      <c r="AG7876" s="1"/>
    </row>
    <row r="7877" ht="15.75" customHeight="1">
      <c r="A7877" s="1"/>
      <c r="B7877" s="1"/>
      <c r="C7877" s="1"/>
      <c r="D7877" s="1"/>
      <c r="E7877" s="1"/>
      <c r="F7877" s="1"/>
      <c r="G7877" s="1"/>
      <c r="H7877" s="1"/>
      <c r="I7877" s="1"/>
      <c r="J7877" s="1"/>
      <c r="K7877" s="102" t="s">
        <v>12269</v>
      </c>
      <c r="L7877" s="102" t="str">
        <f>I1137</f>
        <v>J2b2a1a1b~</v>
      </c>
      <c r="M7877" s="102" t="s">
        <v>12268</v>
      </c>
      <c r="N7877" s="102" t="s">
        <v>12270</v>
      </c>
      <c r="O7877" s="105">
        <v>2.3249009E7</v>
      </c>
      <c r="P7877" s="105">
        <v>2.1087123E7</v>
      </c>
      <c r="Q7877" s="102" t="s">
        <v>2432</v>
      </c>
      <c r="S7877" s="1"/>
      <c r="T7877" s="1"/>
      <c r="U7877" s="1"/>
      <c r="V7877" s="1"/>
      <c r="W7877" s="1"/>
      <c r="X7877" s="1"/>
      <c r="Y7877" s="1"/>
      <c r="AA7877" s="102"/>
      <c r="AB7877" s="1"/>
      <c r="AC7877" s="1"/>
      <c r="AD7877" s="1"/>
      <c r="AE7877" s="1"/>
      <c r="AF7877" s="1"/>
      <c r="AG7877" s="1"/>
    </row>
    <row r="7878" ht="15.75" customHeight="1">
      <c r="A7878" s="1"/>
      <c r="B7878" s="1"/>
      <c r="C7878" s="1"/>
      <c r="D7878" s="1"/>
      <c r="E7878" s="1"/>
      <c r="F7878" s="1"/>
      <c r="G7878" s="1"/>
      <c r="H7878" s="1"/>
      <c r="I7878" s="1"/>
      <c r="J7878" s="1"/>
      <c r="K7878" s="102" t="s">
        <v>12271</v>
      </c>
      <c r="L7878" s="102" t="str">
        <f>I1137</f>
        <v>J2b2a1a1b~</v>
      </c>
      <c r="M7878" s="102"/>
      <c r="N7878" s="102" t="s">
        <v>12272</v>
      </c>
      <c r="O7878" s="105">
        <v>2.3250874E7</v>
      </c>
      <c r="P7878" s="105">
        <v>2.1088988E7</v>
      </c>
      <c r="Q7878" s="102" t="s">
        <v>2439</v>
      </c>
      <c r="S7878" s="1"/>
      <c r="T7878" s="1"/>
      <c r="U7878" s="1"/>
      <c r="V7878" s="1"/>
      <c r="W7878" s="1"/>
      <c r="X7878" s="1"/>
      <c r="Y7878" s="1"/>
      <c r="AA7878" s="102"/>
      <c r="AB7878" s="1"/>
      <c r="AC7878" s="1"/>
      <c r="AD7878" s="1"/>
      <c r="AE7878" s="1"/>
      <c r="AF7878" s="1"/>
      <c r="AG7878" s="1"/>
    </row>
    <row r="7879" ht="15.75" customHeight="1">
      <c r="A7879" s="1"/>
      <c r="B7879" s="1"/>
      <c r="C7879" s="1"/>
      <c r="D7879" s="1"/>
      <c r="E7879" s="1"/>
      <c r="F7879" s="1"/>
      <c r="G7879" s="1"/>
      <c r="H7879" s="1"/>
      <c r="I7879" s="1"/>
      <c r="J7879" s="1"/>
      <c r="K7879" s="102" t="s">
        <v>12273</v>
      </c>
      <c r="L7879" s="102" t="str">
        <f>I1137</f>
        <v>J2b2a1a1b~</v>
      </c>
      <c r="M7879" s="102"/>
      <c r="N7879" s="102"/>
      <c r="O7879" s="105">
        <v>2.1033373E7</v>
      </c>
      <c r="P7879" s="105">
        <v>1.8871487E7</v>
      </c>
      <c r="Q7879" s="102" t="s">
        <v>2423</v>
      </c>
      <c r="S7879" s="1"/>
      <c r="T7879" s="1"/>
      <c r="U7879" s="1"/>
      <c r="V7879" s="1"/>
      <c r="W7879" s="1"/>
      <c r="X7879" s="1"/>
      <c r="Y7879" s="1"/>
      <c r="AA7879" s="102"/>
      <c r="AB7879" s="1"/>
      <c r="AC7879" s="1"/>
      <c r="AD7879" s="1"/>
      <c r="AE7879" s="1"/>
      <c r="AF7879" s="1"/>
      <c r="AG7879" s="1"/>
    </row>
    <row r="7880" ht="15.75" customHeight="1">
      <c r="A7880" s="1"/>
      <c r="B7880" s="1"/>
      <c r="C7880" s="1"/>
      <c r="D7880" s="1"/>
      <c r="E7880" s="1"/>
      <c r="F7880" s="1"/>
      <c r="G7880" s="1"/>
      <c r="H7880" s="1"/>
      <c r="I7880" s="1"/>
      <c r="J7880" s="1"/>
      <c r="K7880" s="102" t="s">
        <v>12274</v>
      </c>
      <c r="L7880" s="102" t="str">
        <f>J1138</f>
        <v>J2b2a1a1b1~</v>
      </c>
      <c r="M7880" s="102"/>
      <c r="N7880" s="102"/>
      <c r="O7880" s="105">
        <v>1.6559748E7</v>
      </c>
      <c r="P7880" s="105">
        <v>1.4447868E7</v>
      </c>
      <c r="Q7880" s="102" t="s">
        <v>2468</v>
      </c>
      <c r="S7880" s="1"/>
      <c r="T7880" s="1"/>
      <c r="U7880" s="1"/>
      <c r="V7880" s="1"/>
      <c r="W7880" s="1"/>
      <c r="X7880" s="1"/>
      <c r="Y7880" s="1"/>
      <c r="AA7880" s="102"/>
      <c r="AB7880" s="1"/>
      <c r="AC7880" s="1"/>
      <c r="AD7880" s="1"/>
      <c r="AE7880" s="1"/>
      <c r="AF7880" s="1"/>
      <c r="AG7880" s="1"/>
    </row>
    <row r="7881" ht="15.75" customHeight="1">
      <c r="A7881" s="1"/>
      <c r="B7881" s="1"/>
      <c r="C7881" s="1"/>
      <c r="D7881" s="1"/>
      <c r="E7881" s="1"/>
      <c r="F7881" s="1"/>
      <c r="G7881" s="1"/>
      <c r="H7881" s="1"/>
      <c r="I7881" s="1"/>
      <c r="J7881" s="1"/>
      <c r="K7881" s="102" t="s">
        <v>12275</v>
      </c>
      <c r="L7881" s="102" t="str">
        <f>J1138</f>
        <v>J2b2a1a1b1~</v>
      </c>
      <c r="M7881" s="102"/>
      <c r="N7881" s="102"/>
      <c r="O7881" s="105">
        <v>1.4667901E7</v>
      </c>
      <c r="P7881" s="105">
        <v>1.2555967E7</v>
      </c>
      <c r="Q7881" s="102" t="s">
        <v>2533</v>
      </c>
      <c r="S7881" s="1"/>
      <c r="T7881" s="1"/>
      <c r="U7881" s="1"/>
      <c r="V7881" s="1"/>
      <c r="W7881" s="1"/>
      <c r="X7881" s="1"/>
      <c r="Y7881" s="1"/>
      <c r="AA7881" s="102"/>
      <c r="AB7881" s="1"/>
      <c r="AC7881" s="1"/>
      <c r="AD7881" s="1"/>
      <c r="AE7881" s="1"/>
      <c r="AF7881" s="1"/>
      <c r="AG7881" s="1"/>
    </row>
    <row r="7882" ht="15.75" customHeight="1">
      <c r="A7882" s="1"/>
      <c r="B7882" s="1"/>
      <c r="C7882" s="1"/>
      <c r="D7882" s="1"/>
      <c r="E7882" s="1"/>
      <c r="F7882" s="1"/>
      <c r="G7882" s="1"/>
      <c r="H7882" s="1"/>
      <c r="I7882" s="1"/>
      <c r="J7882" s="1"/>
      <c r="K7882" s="102" t="s">
        <v>12276</v>
      </c>
      <c r="L7882" s="102" t="str">
        <f>J1138</f>
        <v>J2b2a1a1b1~</v>
      </c>
      <c r="M7882" s="102"/>
      <c r="N7882" s="102"/>
      <c r="O7882" s="105">
        <v>2.2524924E7</v>
      </c>
      <c r="P7882" s="105">
        <v>2.0363038E7</v>
      </c>
      <c r="Q7882" s="102" t="s">
        <v>2439</v>
      </c>
      <c r="S7882" s="1"/>
      <c r="T7882" s="1"/>
      <c r="U7882" s="1"/>
      <c r="V7882" s="1"/>
      <c r="W7882" s="1"/>
      <c r="X7882" s="1"/>
      <c r="Y7882" s="1"/>
      <c r="AA7882" s="102"/>
      <c r="AB7882" s="1"/>
      <c r="AC7882" s="1"/>
      <c r="AD7882" s="1"/>
      <c r="AE7882" s="1"/>
      <c r="AF7882" s="1"/>
      <c r="AG7882" s="1"/>
    </row>
    <row r="7883" ht="15.75" customHeight="1">
      <c r="A7883" s="1"/>
      <c r="B7883" s="1"/>
      <c r="C7883" s="1"/>
      <c r="D7883" s="1"/>
      <c r="E7883" s="1"/>
      <c r="F7883" s="1"/>
      <c r="G7883" s="1"/>
      <c r="H7883" s="1"/>
      <c r="I7883" s="1"/>
      <c r="J7883" s="1"/>
      <c r="K7883" s="102" t="s">
        <v>12277</v>
      </c>
      <c r="L7883" s="102" t="str">
        <f>K1139</f>
        <v>J2b2a1a1b1a~</v>
      </c>
      <c r="M7883" s="102"/>
      <c r="N7883" s="102" t="s">
        <v>12278</v>
      </c>
      <c r="O7883" s="105">
        <v>1.8235167E7</v>
      </c>
      <c r="P7883" s="105">
        <v>1.6123287E7</v>
      </c>
      <c r="Q7883" s="102" t="s">
        <v>2423</v>
      </c>
      <c r="S7883" s="1"/>
      <c r="T7883" s="1"/>
      <c r="U7883" s="1"/>
      <c r="V7883" s="1"/>
      <c r="W7883" s="1"/>
      <c r="X7883" s="1"/>
      <c r="Y7883" s="1"/>
      <c r="AA7883" s="102"/>
      <c r="AB7883" s="1"/>
      <c r="AC7883" s="1"/>
      <c r="AD7883" s="1"/>
      <c r="AE7883" s="1"/>
      <c r="AF7883" s="1"/>
      <c r="AG7883" s="1"/>
    </row>
    <row r="7884" ht="15.75" customHeight="1">
      <c r="A7884" s="1"/>
      <c r="B7884" s="1"/>
      <c r="C7884" s="1"/>
      <c r="D7884" s="1"/>
      <c r="E7884" s="1"/>
      <c r="F7884" s="1"/>
      <c r="G7884" s="1"/>
      <c r="H7884" s="1"/>
      <c r="I7884" s="1"/>
      <c r="J7884" s="1"/>
      <c r="K7884" s="102" t="s">
        <v>12279</v>
      </c>
      <c r="L7884" s="102" t="str">
        <f>K1139</f>
        <v>J2b2a1a1b1a~</v>
      </c>
      <c r="M7884" s="102"/>
      <c r="N7884" s="102"/>
      <c r="O7884" s="105">
        <v>1.5239498E7</v>
      </c>
      <c r="P7884" s="105">
        <v>1.3127584E7</v>
      </c>
      <c r="Q7884" s="102" t="s">
        <v>2501</v>
      </c>
      <c r="S7884" s="1"/>
      <c r="T7884" s="1"/>
      <c r="U7884" s="1"/>
      <c r="V7884" s="1"/>
      <c r="W7884" s="1"/>
      <c r="X7884" s="1"/>
      <c r="Y7884" s="1"/>
      <c r="AA7884" s="102"/>
      <c r="AB7884" s="1"/>
      <c r="AC7884" s="1"/>
      <c r="AD7884" s="1"/>
      <c r="AE7884" s="1"/>
      <c r="AF7884" s="1"/>
      <c r="AG7884" s="1"/>
    </row>
    <row r="7885" ht="15.75" customHeight="1">
      <c r="A7885" s="1"/>
      <c r="B7885" s="1"/>
      <c r="C7885" s="1"/>
      <c r="D7885" s="1"/>
      <c r="E7885" s="1"/>
      <c r="F7885" s="1"/>
      <c r="G7885" s="1"/>
      <c r="H7885" s="1"/>
      <c r="I7885" s="1"/>
      <c r="J7885" s="1"/>
      <c r="K7885" s="102" t="s">
        <v>12280</v>
      </c>
      <c r="L7885" s="102" t="str">
        <f>K1139</f>
        <v>J2b2a1a1b1a~</v>
      </c>
      <c r="M7885" s="102"/>
      <c r="N7885" s="102"/>
      <c r="O7885" s="105">
        <v>1.4546938E7</v>
      </c>
      <c r="P7885" s="105">
        <v>1.2435139E7</v>
      </c>
      <c r="Q7885" s="102" t="s">
        <v>2563</v>
      </c>
      <c r="S7885" s="1"/>
      <c r="T7885" s="1"/>
      <c r="U7885" s="1"/>
      <c r="V7885" s="1"/>
      <c r="W7885" s="1"/>
      <c r="X7885" s="1"/>
      <c r="Y7885" s="1"/>
      <c r="AA7885" s="102"/>
      <c r="AB7885" s="1"/>
      <c r="AC7885" s="1"/>
      <c r="AD7885" s="1"/>
      <c r="AE7885" s="1"/>
      <c r="AF7885" s="1"/>
      <c r="AG7885" s="1"/>
    </row>
    <row r="7886" ht="15.75" customHeight="1">
      <c r="A7886" s="1"/>
      <c r="B7886" s="1"/>
      <c r="C7886" s="1"/>
      <c r="D7886" s="1"/>
      <c r="E7886" s="1"/>
      <c r="F7886" s="1"/>
      <c r="G7886" s="1"/>
      <c r="H7886" s="1"/>
      <c r="I7886" s="1"/>
      <c r="J7886" s="1"/>
      <c r="K7886" s="102" t="s">
        <v>12281</v>
      </c>
      <c r="L7886" s="102" t="str">
        <f>H1140</f>
        <v>J2b2a1a2~</v>
      </c>
      <c r="M7886" s="102"/>
      <c r="N7886" s="102" t="s">
        <v>12282</v>
      </c>
      <c r="O7886" s="105">
        <v>1.7170256E7</v>
      </c>
      <c r="P7886" s="105">
        <v>1.5058376E7</v>
      </c>
      <c r="Q7886" s="102" t="s">
        <v>2501</v>
      </c>
      <c r="S7886" s="1"/>
      <c r="T7886" s="1"/>
      <c r="U7886" s="1"/>
      <c r="V7886" s="1"/>
      <c r="W7886" s="1"/>
      <c r="X7886" s="1"/>
      <c r="Y7886" s="1"/>
      <c r="AA7886" s="102"/>
      <c r="AB7886" s="1"/>
      <c r="AC7886" s="1"/>
      <c r="AD7886" s="1"/>
      <c r="AE7886" s="1"/>
      <c r="AF7886" s="1"/>
      <c r="AG7886" s="1"/>
    </row>
    <row r="7887" ht="15.75" customHeight="1">
      <c r="A7887" s="1"/>
      <c r="B7887" s="1"/>
      <c r="C7887" s="1"/>
      <c r="D7887" s="1"/>
      <c r="E7887" s="1"/>
      <c r="F7887" s="1"/>
      <c r="G7887" s="1"/>
      <c r="H7887" s="1"/>
      <c r="I7887" s="1"/>
      <c r="J7887" s="1"/>
      <c r="K7887" s="102" t="s">
        <v>12283</v>
      </c>
      <c r="L7887" s="102" t="str">
        <f>H1140</f>
        <v>J2b2a1a2~</v>
      </c>
      <c r="M7887" s="102"/>
      <c r="N7887" s="102"/>
      <c r="O7887" s="105">
        <v>2761925.0</v>
      </c>
      <c r="P7887" s="105">
        <v>2893884.0</v>
      </c>
      <c r="Q7887" s="102" t="s">
        <v>2529</v>
      </c>
      <c r="S7887" s="1"/>
      <c r="T7887" s="1"/>
      <c r="U7887" s="1"/>
      <c r="V7887" s="1"/>
      <c r="W7887" s="1"/>
      <c r="X7887" s="1"/>
      <c r="Y7887" s="1"/>
      <c r="AA7887" s="102"/>
      <c r="AB7887" s="1"/>
      <c r="AC7887" s="1"/>
      <c r="AD7887" s="1"/>
      <c r="AE7887" s="1"/>
      <c r="AF7887" s="1"/>
      <c r="AG7887" s="1"/>
    </row>
    <row r="7888" ht="15.75" customHeight="1">
      <c r="A7888" s="1"/>
      <c r="B7888" s="1"/>
      <c r="C7888" s="1"/>
      <c r="D7888" s="1"/>
      <c r="E7888" s="1"/>
      <c r="F7888" s="1"/>
      <c r="G7888" s="1"/>
      <c r="H7888" s="1"/>
      <c r="I7888" s="1"/>
      <c r="J7888" s="1"/>
      <c r="K7888" s="102" t="s">
        <v>12284</v>
      </c>
      <c r="L7888" s="102" t="str">
        <f>H1140</f>
        <v>J2b2a1a2~</v>
      </c>
      <c r="M7888" s="102"/>
      <c r="N7888" s="102"/>
      <c r="O7888" s="105">
        <v>2.1400907E7</v>
      </c>
      <c r="P7888" s="105">
        <v>1.9239021E7</v>
      </c>
      <c r="Q7888" s="102" t="s">
        <v>2439</v>
      </c>
      <c r="S7888" s="1"/>
      <c r="T7888" s="1"/>
      <c r="U7888" s="1"/>
      <c r="V7888" s="1"/>
      <c r="W7888" s="1"/>
      <c r="X7888" s="1"/>
      <c r="Y7888" s="1"/>
      <c r="AA7888" s="102"/>
      <c r="AB7888" s="1"/>
      <c r="AC7888" s="1"/>
      <c r="AD7888" s="1"/>
      <c r="AE7888" s="1"/>
      <c r="AF7888" s="1"/>
      <c r="AG7888" s="1"/>
    </row>
    <row r="7889" ht="15.75" customHeight="1">
      <c r="A7889" s="1"/>
      <c r="B7889" s="1"/>
      <c r="C7889" s="1"/>
      <c r="D7889" s="1"/>
      <c r="E7889" s="1"/>
      <c r="F7889" s="1"/>
      <c r="G7889" s="1"/>
      <c r="H7889" s="1"/>
      <c r="I7889" s="1"/>
      <c r="J7889" s="1"/>
      <c r="K7889" s="102" t="s">
        <v>12285</v>
      </c>
      <c r="L7889" s="102" t="str">
        <f>H1140</f>
        <v>J2b2a1a2~</v>
      </c>
      <c r="M7889" s="102"/>
      <c r="N7889" s="102"/>
      <c r="O7889" s="105">
        <v>2.1917281E7</v>
      </c>
      <c r="P7889" s="105">
        <v>1.9755395E7</v>
      </c>
      <c r="Q7889" s="102" t="s">
        <v>2468</v>
      </c>
      <c r="S7889" s="1"/>
      <c r="T7889" s="1"/>
      <c r="U7889" s="1"/>
      <c r="V7889" s="1"/>
      <c r="W7889" s="1"/>
      <c r="X7889" s="1"/>
      <c r="Y7889" s="1"/>
      <c r="AA7889" s="102"/>
      <c r="AB7889" s="1"/>
      <c r="AC7889" s="1"/>
      <c r="AD7889" s="1"/>
      <c r="AE7889" s="1"/>
      <c r="AF7889" s="1"/>
      <c r="AG7889" s="1"/>
    </row>
    <row r="7890" ht="15.75" customHeight="1">
      <c r="A7890" s="1"/>
      <c r="B7890" s="1"/>
      <c r="C7890" s="1"/>
      <c r="D7890" s="1"/>
      <c r="E7890" s="1"/>
      <c r="F7890" s="1"/>
      <c r="G7890" s="1"/>
      <c r="H7890" s="1"/>
      <c r="I7890" s="1"/>
      <c r="J7890" s="1"/>
      <c r="K7890" s="102" t="s">
        <v>12286</v>
      </c>
      <c r="L7890" s="102" t="str">
        <f>G1141</f>
        <v>J2b2a1b~</v>
      </c>
      <c r="M7890" s="102" t="s">
        <v>12287</v>
      </c>
      <c r="N7890" s="102" t="s">
        <v>12288</v>
      </c>
      <c r="O7890" s="105">
        <v>1.5411613E7</v>
      </c>
      <c r="P7890" s="105">
        <v>1.3299733E7</v>
      </c>
      <c r="Q7890" s="102" t="s">
        <v>2529</v>
      </c>
      <c r="S7890" s="1"/>
      <c r="T7890" s="1"/>
      <c r="U7890" s="1"/>
      <c r="V7890" s="1"/>
      <c r="W7890" s="1"/>
      <c r="X7890" s="1"/>
      <c r="Y7890" s="1"/>
      <c r="AA7890" s="102"/>
      <c r="AB7890" s="1"/>
      <c r="AC7890" s="1"/>
      <c r="AD7890" s="1"/>
      <c r="AE7890" s="1"/>
      <c r="AF7890" s="1"/>
      <c r="AG7890" s="1"/>
    </row>
    <row r="7891" ht="15.75" customHeight="1">
      <c r="A7891" s="1"/>
      <c r="B7891" s="1"/>
      <c r="C7891" s="1"/>
      <c r="D7891" s="1"/>
      <c r="E7891" s="1"/>
      <c r="F7891" s="1"/>
      <c r="G7891" s="1"/>
      <c r="H7891" s="1"/>
      <c r="I7891" s="1"/>
      <c r="J7891" s="1"/>
      <c r="K7891" s="102" t="s">
        <v>12287</v>
      </c>
      <c r="L7891" s="102" t="str">
        <f>G1141</f>
        <v>J2b2a1b~</v>
      </c>
      <c r="M7891" s="102" t="s">
        <v>12286</v>
      </c>
      <c r="N7891" s="102" t="s">
        <v>12288</v>
      </c>
      <c r="O7891" s="105">
        <v>1.5411613E7</v>
      </c>
      <c r="P7891" s="105">
        <v>1.3299733E7</v>
      </c>
      <c r="Q7891" s="102" t="s">
        <v>2529</v>
      </c>
      <c r="S7891" s="1"/>
      <c r="T7891" s="1"/>
      <c r="U7891" s="1"/>
      <c r="V7891" s="1"/>
      <c r="W7891" s="1"/>
      <c r="X7891" s="1"/>
      <c r="Y7891" s="1"/>
      <c r="AA7891" s="102"/>
      <c r="AB7891" s="1"/>
      <c r="AC7891" s="1"/>
      <c r="AD7891" s="1"/>
      <c r="AE7891" s="1"/>
      <c r="AF7891" s="1"/>
      <c r="AG7891" s="1"/>
    </row>
    <row r="7892" ht="15.75" customHeight="1">
      <c r="A7892" s="1"/>
      <c r="B7892" s="1"/>
      <c r="C7892" s="1"/>
      <c r="D7892" s="1"/>
      <c r="E7892" s="1"/>
      <c r="F7892" s="1"/>
      <c r="G7892" s="1"/>
      <c r="H7892" s="1"/>
      <c r="I7892" s="1"/>
      <c r="J7892" s="1"/>
      <c r="K7892" s="102" t="s">
        <v>12289</v>
      </c>
      <c r="L7892" s="102" t="str">
        <f>G1141</f>
        <v>J2b2a1b~</v>
      </c>
      <c r="M7892" s="102"/>
      <c r="N7892" s="102"/>
      <c r="O7892" s="105">
        <v>1.4078271E7</v>
      </c>
      <c r="P7892" s="105">
        <v>1.1957565E7</v>
      </c>
      <c r="Q7892" s="102" t="s">
        <v>2576</v>
      </c>
      <c r="S7892" s="1"/>
      <c r="T7892" s="1"/>
      <c r="U7892" s="1"/>
      <c r="V7892" s="1"/>
      <c r="W7892" s="1"/>
      <c r="X7892" s="1"/>
      <c r="Y7892" s="1"/>
      <c r="AA7892" s="102"/>
      <c r="AB7892" s="1"/>
      <c r="AC7892" s="1"/>
      <c r="AD7892" s="1"/>
      <c r="AE7892" s="1"/>
      <c r="AF7892" s="1"/>
      <c r="AG7892" s="1"/>
    </row>
    <row r="7893" ht="15.75" customHeight="1">
      <c r="A7893" s="1"/>
      <c r="B7893" s="1"/>
      <c r="C7893" s="1"/>
      <c r="D7893" s="1"/>
      <c r="E7893" s="1"/>
      <c r="F7893" s="1"/>
      <c r="G7893" s="1"/>
      <c r="H7893" s="1"/>
      <c r="I7893" s="1"/>
      <c r="J7893" s="1"/>
      <c r="K7893" s="102" t="s">
        <v>12290</v>
      </c>
      <c r="L7893" s="102" t="str">
        <f>G1141</f>
        <v>J2b2a1b~</v>
      </c>
      <c r="M7893" s="102"/>
      <c r="N7893" s="102"/>
      <c r="O7893" s="105">
        <v>1.4252171E7</v>
      </c>
      <c r="P7893" s="105">
        <v>1.2131465E7</v>
      </c>
      <c r="Q7893" s="102" t="s">
        <v>2501</v>
      </c>
      <c r="S7893" s="1"/>
      <c r="T7893" s="1"/>
      <c r="U7893" s="1"/>
      <c r="V7893" s="1"/>
      <c r="W7893" s="1"/>
      <c r="X7893" s="1"/>
      <c r="Y7893" s="1"/>
      <c r="AA7893" s="102"/>
      <c r="AB7893" s="1"/>
      <c r="AC7893" s="1"/>
      <c r="AD7893" s="1"/>
      <c r="AE7893" s="1"/>
      <c r="AF7893" s="1"/>
      <c r="AG7893" s="1"/>
    </row>
    <row r="7894" ht="15.75" customHeight="1">
      <c r="A7894" s="1"/>
      <c r="B7894" s="1"/>
      <c r="C7894" s="1"/>
      <c r="D7894" s="1"/>
      <c r="E7894" s="1"/>
      <c r="F7894" s="1"/>
      <c r="G7894" s="1"/>
      <c r="H7894" s="1"/>
      <c r="I7894" s="1"/>
      <c r="J7894" s="1"/>
      <c r="K7894" s="102" t="s">
        <v>12291</v>
      </c>
      <c r="L7894" s="102" t="str">
        <f>G1141</f>
        <v>J2b2a1b~</v>
      </c>
      <c r="M7894" s="102"/>
      <c r="N7894" s="102"/>
      <c r="O7894" s="105">
        <v>1.4266548E7</v>
      </c>
      <c r="P7894" s="105">
        <v>1.2145842E7</v>
      </c>
      <c r="Q7894" s="102" t="s">
        <v>2468</v>
      </c>
      <c r="S7894" s="1"/>
      <c r="T7894" s="1"/>
      <c r="U7894" s="1"/>
      <c r="V7894" s="1"/>
      <c r="W7894" s="1"/>
      <c r="X7894" s="1"/>
      <c r="Y7894" s="1"/>
      <c r="AA7894" s="102"/>
      <c r="AB7894" s="1"/>
      <c r="AC7894" s="1"/>
      <c r="AD7894" s="1"/>
      <c r="AE7894" s="1"/>
      <c r="AF7894" s="1"/>
      <c r="AG7894" s="1"/>
    </row>
    <row r="7895" ht="15.75" customHeight="1">
      <c r="A7895" s="1"/>
      <c r="B7895" s="1"/>
      <c r="C7895" s="1"/>
      <c r="D7895" s="1"/>
      <c r="E7895" s="1"/>
      <c r="F7895" s="1"/>
      <c r="G7895" s="1"/>
      <c r="H7895" s="1"/>
      <c r="I7895" s="1"/>
      <c r="J7895" s="1"/>
      <c r="K7895" s="102" t="s">
        <v>12292</v>
      </c>
      <c r="L7895" s="102" t="str">
        <f>G1141</f>
        <v>J2b2a1b~</v>
      </c>
      <c r="M7895" s="102"/>
      <c r="N7895" s="102" t="s">
        <v>12293</v>
      </c>
      <c r="O7895" s="105">
        <v>1.5338242E7</v>
      </c>
      <c r="P7895" s="105">
        <v>1.322636E7</v>
      </c>
      <c r="Q7895" s="102" t="s">
        <v>2468</v>
      </c>
      <c r="S7895" s="1"/>
      <c r="T7895" s="1"/>
      <c r="U7895" s="1"/>
      <c r="V7895" s="1"/>
      <c r="W7895" s="1"/>
      <c r="X7895" s="1"/>
      <c r="Y7895" s="1"/>
      <c r="AA7895" s="102"/>
      <c r="AB7895" s="1"/>
      <c r="AC7895" s="1"/>
      <c r="AD7895" s="1"/>
      <c r="AE7895" s="1"/>
      <c r="AF7895" s="1"/>
      <c r="AG7895" s="1"/>
    </row>
    <row r="7896" ht="15.75" customHeight="1">
      <c r="A7896" s="1"/>
      <c r="B7896" s="1"/>
      <c r="C7896" s="1"/>
      <c r="D7896" s="1"/>
      <c r="E7896" s="1"/>
      <c r="F7896" s="1"/>
      <c r="G7896" s="1"/>
      <c r="H7896" s="1"/>
      <c r="I7896" s="1"/>
      <c r="J7896" s="1"/>
      <c r="K7896" s="102" t="s">
        <v>12294</v>
      </c>
      <c r="L7896" s="102" t="str">
        <f>G1141</f>
        <v>J2b2a1b~</v>
      </c>
      <c r="M7896" s="102"/>
      <c r="N7896" s="102" t="s">
        <v>12295</v>
      </c>
      <c r="O7896" s="105">
        <v>1.5517964E7</v>
      </c>
      <c r="P7896" s="105">
        <v>1.3406084E7</v>
      </c>
      <c r="Q7896" s="102" t="s">
        <v>2529</v>
      </c>
      <c r="S7896" s="1"/>
      <c r="T7896" s="1"/>
      <c r="U7896" s="1"/>
      <c r="V7896" s="1"/>
      <c r="W7896" s="1"/>
      <c r="X7896" s="1"/>
      <c r="Y7896" s="1"/>
      <c r="AA7896" s="102"/>
      <c r="AB7896" s="1"/>
      <c r="AC7896" s="1"/>
      <c r="AD7896" s="1"/>
      <c r="AE7896" s="1"/>
      <c r="AF7896" s="1"/>
      <c r="AG7896" s="1"/>
    </row>
    <row r="7897" ht="15.75" customHeight="1">
      <c r="A7897" s="1"/>
      <c r="B7897" s="1"/>
      <c r="C7897" s="1"/>
      <c r="D7897" s="1"/>
      <c r="E7897" s="1"/>
      <c r="F7897" s="1"/>
      <c r="G7897" s="1"/>
      <c r="H7897" s="1"/>
      <c r="I7897" s="1"/>
      <c r="J7897" s="1"/>
      <c r="K7897" s="102" t="s">
        <v>12296</v>
      </c>
      <c r="L7897" s="102" t="str">
        <f>G1141</f>
        <v>J2b2a1b~</v>
      </c>
      <c r="M7897" s="102"/>
      <c r="N7897" s="102"/>
      <c r="O7897" s="105">
        <v>1.5645086E7</v>
      </c>
      <c r="P7897" s="105">
        <v>1.3533206E7</v>
      </c>
      <c r="Q7897" s="102" t="s">
        <v>2439</v>
      </c>
      <c r="S7897" s="1"/>
      <c r="T7897" s="1"/>
      <c r="U7897" s="1"/>
      <c r="V7897" s="1"/>
      <c r="W7897" s="1"/>
      <c r="X7897" s="1"/>
      <c r="Y7897" s="1"/>
      <c r="AA7897" s="102"/>
      <c r="AB7897" s="1"/>
      <c r="AC7897" s="1"/>
      <c r="AD7897" s="1"/>
      <c r="AE7897" s="1"/>
      <c r="AF7897" s="1"/>
      <c r="AG7897" s="1"/>
    </row>
    <row r="7898" ht="15.75" customHeight="1">
      <c r="A7898" s="1"/>
      <c r="B7898" s="1"/>
      <c r="C7898" s="1"/>
      <c r="D7898" s="1"/>
      <c r="E7898" s="1"/>
      <c r="F7898" s="1"/>
      <c r="G7898" s="1"/>
      <c r="H7898" s="1"/>
      <c r="I7898" s="1"/>
      <c r="J7898" s="1"/>
      <c r="K7898" s="102" t="s">
        <v>12297</v>
      </c>
      <c r="L7898" s="102" t="str">
        <f>G1141</f>
        <v>J2b2a1b~</v>
      </c>
      <c r="M7898" s="102"/>
      <c r="N7898" s="102" t="s">
        <v>12298</v>
      </c>
      <c r="O7898" s="105">
        <v>1.7297034E7</v>
      </c>
      <c r="P7898" s="105">
        <v>1.5185154E7</v>
      </c>
      <c r="Q7898" s="102" t="s">
        <v>2501</v>
      </c>
      <c r="S7898" s="1"/>
      <c r="T7898" s="1"/>
      <c r="U7898" s="1"/>
      <c r="V7898" s="1"/>
      <c r="W7898" s="1"/>
      <c r="X7898" s="1"/>
      <c r="Y7898" s="1"/>
      <c r="AA7898" s="102"/>
      <c r="AB7898" s="1"/>
      <c r="AC7898" s="1"/>
      <c r="AD7898" s="1"/>
      <c r="AE7898" s="1"/>
      <c r="AF7898" s="1"/>
      <c r="AG7898" s="1"/>
    </row>
    <row r="7899" ht="15.75" customHeight="1">
      <c r="A7899" s="1"/>
      <c r="B7899" s="1"/>
      <c r="C7899" s="1"/>
      <c r="D7899" s="1"/>
      <c r="E7899" s="1"/>
      <c r="F7899" s="1"/>
      <c r="G7899" s="1"/>
      <c r="H7899" s="1"/>
      <c r="I7899" s="1"/>
      <c r="J7899" s="1"/>
      <c r="K7899" s="102" t="s">
        <v>12299</v>
      </c>
      <c r="L7899" s="102" t="str">
        <f>G1141</f>
        <v>J2b2a1b~</v>
      </c>
      <c r="M7899" s="102"/>
      <c r="N7899" s="102"/>
      <c r="O7899" s="105">
        <v>1.7392407E7</v>
      </c>
      <c r="P7899" s="105">
        <v>1.5280527E7</v>
      </c>
      <c r="Q7899" s="102" t="s">
        <v>2446</v>
      </c>
      <c r="S7899" s="1"/>
      <c r="T7899" s="1"/>
      <c r="U7899" s="1"/>
      <c r="V7899" s="1"/>
      <c r="W7899" s="1"/>
      <c r="X7899" s="1"/>
      <c r="Y7899" s="1"/>
      <c r="AA7899" s="102"/>
      <c r="AB7899" s="1"/>
      <c r="AC7899" s="1"/>
      <c r="AD7899" s="1"/>
      <c r="AE7899" s="1"/>
      <c r="AF7899" s="1"/>
      <c r="AG7899" s="1"/>
    </row>
    <row r="7900" ht="15.75" customHeight="1">
      <c r="A7900" s="1"/>
      <c r="B7900" s="1"/>
      <c r="C7900" s="1"/>
      <c r="D7900" s="1"/>
      <c r="E7900" s="1"/>
      <c r="F7900" s="1"/>
      <c r="G7900" s="1"/>
      <c r="H7900" s="1"/>
      <c r="I7900" s="1"/>
      <c r="J7900" s="1"/>
      <c r="K7900" s="102" t="s">
        <v>12300</v>
      </c>
      <c r="L7900" s="102" t="str">
        <f>G1141</f>
        <v>J2b2a1b~</v>
      </c>
      <c r="M7900" s="102"/>
      <c r="N7900" s="102"/>
      <c r="O7900" s="109">
        <v>1.7948501E7</v>
      </c>
      <c r="P7900" s="105">
        <v>1.5836621E7</v>
      </c>
      <c r="Q7900" s="102" t="s">
        <v>2501</v>
      </c>
      <c r="S7900" s="1"/>
      <c r="T7900" s="1"/>
      <c r="U7900" s="1"/>
      <c r="V7900" s="1"/>
      <c r="W7900" s="1"/>
      <c r="X7900" s="1"/>
      <c r="Y7900" s="1"/>
      <c r="AA7900" s="102"/>
      <c r="AB7900" s="1"/>
      <c r="AC7900" s="1"/>
      <c r="AD7900" s="1"/>
      <c r="AE7900" s="1"/>
      <c r="AF7900" s="1"/>
      <c r="AG7900" s="1"/>
    </row>
    <row r="7901" ht="15.75" customHeight="1">
      <c r="A7901" s="1"/>
      <c r="B7901" s="1"/>
      <c r="C7901" s="1"/>
      <c r="D7901" s="1"/>
      <c r="E7901" s="1"/>
      <c r="F7901" s="1"/>
      <c r="G7901" s="1"/>
      <c r="H7901" s="1"/>
      <c r="I7901" s="1"/>
      <c r="J7901" s="1"/>
      <c r="K7901" s="102" t="s">
        <v>12301</v>
      </c>
      <c r="L7901" s="102" t="str">
        <f>G1141</f>
        <v>J2b2a1b~</v>
      </c>
      <c r="M7901" s="102"/>
      <c r="N7901" s="102"/>
      <c r="O7901" s="105">
        <v>1.8937825E7</v>
      </c>
      <c r="P7901" s="105">
        <v>1.6825945E7</v>
      </c>
      <c r="Q7901" s="102" t="s">
        <v>2454</v>
      </c>
      <c r="S7901" s="1"/>
      <c r="T7901" s="1"/>
      <c r="U7901" s="1"/>
      <c r="V7901" s="1"/>
      <c r="W7901" s="1"/>
      <c r="X7901" s="1"/>
      <c r="Y7901" s="1"/>
      <c r="AA7901" s="102"/>
      <c r="AB7901" s="1"/>
      <c r="AC7901" s="1"/>
      <c r="AD7901" s="1"/>
      <c r="AE7901" s="1"/>
      <c r="AF7901" s="1"/>
      <c r="AG7901" s="1"/>
    </row>
    <row r="7902" ht="15.75" customHeight="1">
      <c r="A7902" s="1"/>
      <c r="B7902" s="1"/>
      <c r="C7902" s="1"/>
      <c r="D7902" s="1"/>
      <c r="E7902" s="1"/>
      <c r="F7902" s="1"/>
      <c r="G7902" s="1"/>
      <c r="H7902" s="1"/>
      <c r="I7902" s="1"/>
      <c r="J7902" s="1"/>
      <c r="K7902" s="102" t="s">
        <v>12302</v>
      </c>
      <c r="L7902" s="102" t="str">
        <f>G1141</f>
        <v>J2b2a1b~</v>
      </c>
      <c r="M7902" s="102"/>
      <c r="N7902" s="102"/>
      <c r="O7902" s="105">
        <v>2.1142634E7</v>
      </c>
      <c r="P7902" s="105">
        <v>1.8980748E7</v>
      </c>
      <c r="Q7902" s="102" t="s">
        <v>2533</v>
      </c>
      <c r="S7902" s="1"/>
      <c r="T7902" s="1"/>
      <c r="U7902" s="1"/>
      <c r="V7902" s="1"/>
      <c r="W7902" s="1"/>
      <c r="X7902" s="1"/>
      <c r="Y7902" s="1"/>
      <c r="AA7902" s="102"/>
      <c r="AB7902" s="1"/>
      <c r="AC7902" s="1"/>
      <c r="AD7902" s="1"/>
      <c r="AE7902" s="1"/>
      <c r="AF7902" s="1"/>
      <c r="AG7902" s="1"/>
    </row>
    <row r="7903" ht="15.75" customHeight="1">
      <c r="A7903" s="1"/>
      <c r="B7903" s="1"/>
      <c r="C7903" s="1"/>
      <c r="D7903" s="1"/>
      <c r="E7903" s="1"/>
      <c r="F7903" s="1"/>
      <c r="G7903" s="1"/>
      <c r="H7903" s="1"/>
      <c r="I7903" s="1"/>
      <c r="J7903" s="1"/>
      <c r="K7903" s="102" t="s">
        <v>12303</v>
      </c>
      <c r="L7903" s="102" t="str">
        <f>G1141</f>
        <v>J2b2a1b~</v>
      </c>
      <c r="M7903" s="102"/>
      <c r="N7903" s="102"/>
      <c r="O7903" s="105">
        <v>2.1229894E7</v>
      </c>
      <c r="P7903" s="105">
        <v>1.9068008E7</v>
      </c>
      <c r="Q7903" s="102" t="s">
        <v>2514</v>
      </c>
      <c r="S7903" s="1"/>
      <c r="T7903" s="1"/>
      <c r="U7903" s="1"/>
      <c r="V7903" s="1"/>
      <c r="W7903" s="1"/>
      <c r="X7903" s="1"/>
      <c r="Y7903" s="1"/>
      <c r="AA7903" s="102"/>
      <c r="AB7903" s="1"/>
      <c r="AC7903" s="1"/>
      <c r="AD7903" s="1"/>
      <c r="AE7903" s="1"/>
      <c r="AF7903" s="1"/>
      <c r="AG7903" s="1"/>
    </row>
    <row r="7904" ht="15.75" customHeight="1">
      <c r="A7904" s="1"/>
      <c r="B7904" s="1"/>
      <c r="C7904" s="1"/>
      <c r="D7904" s="1"/>
      <c r="E7904" s="1"/>
      <c r="F7904" s="1"/>
      <c r="G7904" s="1"/>
      <c r="H7904" s="1"/>
      <c r="I7904" s="1"/>
      <c r="J7904" s="1"/>
      <c r="K7904" s="102" t="s">
        <v>12304</v>
      </c>
      <c r="L7904" s="102" t="str">
        <f>G1141</f>
        <v>J2b2a1b~</v>
      </c>
      <c r="M7904" s="102"/>
      <c r="N7904" s="102"/>
      <c r="O7904" s="105">
        <v>2.1788356E7</v>
      </c>
      <c r="P7904" s="105">
        <v>1.962647E7</v>
      </c>
      <c r="Q7904" s="102" t="s">
        <v>2446</v>
      </c>
      <c r="S7904" s="1"/>
      <c r="T7904" s="1"/>
      <c r="U7904" s="1"/>
      <c r="V7904" s="1"/>
      <c r="W7904" s="1"/>
      <c r="X7904" s="1"/>
      <c r="Y7904" s="1"/>
      <c r="AA7904" s="102"/>
      <c r="AB7904" s="1"/>
      <c r="AC7904" s="1"/>
      <c r="AD7904" s="1"/>
      <c r="AE7904" s="1"/>
      <c r="AF7904" s="1"/>
      <c r="AG7904" s="1"/>
    </row>
    <row r="7905" ht="15.75" customHeight="1">
      <c r="A7905" s="1"/>
      <c r="B7905" s="1"/>
      <c r="C7905" s="1"/>
      <c r="D7905" s="1"/>
      <c r="E7905" s="1"/>
      <c r="F7905" s="1"/>
      <c r="G7905" s="1"/>
      <c r="H7905" s="1"/>
      <c r="I7905" s="1"/>
      <c r="J7905" s="1"/>
      <c r="K7905" s="102" t="s">
        <v>12305</v>
      </c>
      <c r="L7905" s="102" t="str">
        <f>G1141</f>
        <v>J2b2a1b~</v>
      </c>
      <c r="M7905" s="102"/>
      <c r="N7905" s="102" t="s">
        <v>12306</v>
      </c>
      <c r="O7905" s="105">
        <v>2.1792231E7</v>
      </c>
      <c r="P7905" s="105">
        <v>1.9630345E7</v>
      </c>
      <c r="Q7905" s="102" t="s">
        <v>2501</v>
      </c>
      <c r="S7905" s="1"/>
      <c r="T7905" s="1"/>
      <c r="U7905" s="1"/>
      <c r="V7905" s="1"/>
      <c r="W7905" s="1"/>
      <c r="X7905" s="1"/>
      <c r="Y7905" s="1"/>
      <c r="AA7905" s="102"/>
      <c r="AB7905" s="1"/>
      <c r="AC7905" s="1"/>
      <c r="AD7905" s="1"/>
      <c r="AE7905" s="1"/>
      <c r="AF7905" s="1"/>
      <c r="AG7905" s="1"/>
    </row>
    <row r="7906" ht="15.75" customHeight="1">
      <c r="A7906" s="1"/>
      <c r="B7906" s="1"/>
      <c r="C7906" s="1"/>
      <c r="D7906" s="1"/>
      <c r="E7906" s="1"/>
      <c r="F7906" s="1"/>
      <c r="G7906" s="1"/>
      <c r="H7906" s="1"/>
      <c r="I7906" s="1"/>
      <c r="J7906" s="1"/>
      <c r="K7906" s="102" t="s">
        <v>12307</v>
      </c>
      <c r="L7906" s="102" t="str">
        <f>G1141</f>
        <v>J2b2a1b~</v>
      </c>
      <c r="M7906" s="102"/>
      <c r="N7906" s="102"/>
      <c r="O7906" s="105">
        <v>2.1820959E7</v>
      </c>
      <c r="P7906" s="105">
        <v>1.9659073E7</v>
      </c>
      <c r="Q7906" s="102" t="s">
        <v>2501</v>
      </c>
      <c r="S7906" s="1"/>
      <c r="T7906" s="1"/>
      <c r="U7906" s="1"/>
      <c r="V7906" s="1"/>
      <c r="W7906" s="1"/>
      <c r="X7906" s="1"/>
      <c r="Y7906" s="1"/>
      <c r="AA7906" s="102"/>
      <c r="AB7906" s="1"/>
      <c r="AC7906" s="1"/>
      <c r="AD7906" s="1"/>
      <c r="AE7906" s="1"/>
      <c r="AF7906" s="1"/>
      <c r="AG7906" s="1"/>
    </row>
    <row r="7907" ht="15.75" customHeight="1">
      <c r="A7907" s="1"/>
      <c r="B7907" s="1"/>
      <c r="C7907" s="1"/>
      <c r="D7907" s="1"/>
      <c r="E7907" s="1"/>
      <c r="F7907" s="1"/>
      <c r="G7907" s="1"/>
      <c r="H7907" s="1"/>
      <c r="I7907" s="1"/>
      <c r="J7907" s="1"/>
      <c r="K7907" s="102" t="s">
        <v>12308</v>
      </c>
      <c r="L7907" s="102" t="str">
        <f>G1141</f>
        <v>J2b2a1b~</v>
      </c>
      <c r="M7907" s="102"/>
      <c r="N7907" s="102"/>
      <c r="O7907" s="105">
        <v>2.3346778E7</v>
      </c>
      <c r="P7907" s="105">
        <v>2.1184892E7</v>
      </c>
      <c r="Q7907" s="102" t="s">
        <v>2446</v>
      </c>
      <c r="S7907" s="1"/>
      <c r="T7907" s="1"/>
      <c r="U7907" s="1"/>
      <c r="V7907" s="1"/>
      <c r="W7907" s="1"/>
      <c r="X7907" s="1"/>
      <c r="Y7907" s="1"/>
      <c r="AA7907" s="102"/>
      <c r="AB7907" s="1"/>
      <c r="AC7907" s="1"/>
      <c r="AD7907" s="1"/>
      <c r="AE7907" s="1"/>
      <c r="AF7907" s="1"/>
      <c r="AG7907" s="1"/>
    </row>
    <row r="7908" ht="15.75" customHeight="1">
      <c r="A7908" s="1"/>
      <c r="B7908" s="1"/>
      <c r="C7908" s="1"/>
      <c r="D7908" s="1"/>
      <c r="E7908" s="1"/>
      <c r="F7908" s="1"/>
      <c r="G7908" s="1"/>
      <c r="H7908" s="1"/>
      <c r="I7908" s="1"/>
      <c r="J7908" s="1"/>
      <c r="K7908" s="102" t="s">
        <v>12309</v>
      </c>
      <c r="L7908" s="102" t="str">
        <f>G1141</f>
        <v>J2b2a1b~</v>
      </c>
      <c r="M7908" s="102"/>
      <c r="N7908" s="102"/>
      <c r="O7908" s="105">
        <v>2.3367493E7</v>
      </c>
      <c r="P7908" s="105">
        <v>2.1205607E7</v>
      </c>
      <c r="Q7908" s="102" t="s">
        <v>2439</v>
      </c>
      <c r="S7908" s="1"/>
      <c r="T7908" s="1"/>
      <c r="U7908" s="1"/>
      <c r="V7908" s="1"/>
      <c r="W7908" s="1"/>
      <c r="X7908" s="1"/>
      <c r="Y7908" s="1"/>
      <c r="AA7908" s="102"/>
      <c r="AB7908" s="1"/>
      <c r="AC7908" s="1"/>
      <c r="AD7908" s="1"/>
      <c r="AE7908" s="1"/>
      <c r="AF7908" s="1"/>
      <c r="AG7908" s="1"/>
    </row>
    <row r="7909" ht="15.75" customHeight="1">
      <c r="A7909" s="1"/>
      <c r="B7909" s="1"/>
      <c r="C7909" s="1"/>
      <c r="D7909" s="1"/>
      <c r="E7909" s="1"/>
      <c r="F7909" s="1"/>
      <c r="G7909" s="1"/>
      <c r="H7909" s="1"/>
      <c r="I7909" s="1"/>
      <c r="J7909" s="1"/>
      <c r="K7909" s="102" t="s">
        <v>12310</v>
      </c>
      <c r="L7909" s="102" t="str">
        <f>F1142</f>
        <v>J2b2a2~</v>
      </c>
      <c r="M7909" s="102"/>
      <c r="N7909" s="102" t="s">
        <v>12311</v>
      </c>
      <c r="O7909" s="105">
        <v>2974935.0</v>
      </c>
      <c r="P7909" s="105">
        <v>3106894.0</v>
      </c>
      <c r="Q7909" s="102" t="s">
        <v>2454</v>
      </c>
      <c r="S7909" s="1"/>
      <c r="T7909" s="1"/>
      <c r="U7909" s="1"/>
      <c r="V7909" s="1"/>
      <c r="W7909" s="1"/>
      <c r="X7909" s="1"/>
      <c r="Y7909" s="1"/>
      <c r="AA7909" s="102"/>
      <c r="AB7909" s="1"/>
      <c r="AC7909" s="1"/>
      <c r="AD7909" s="1"/>
      <c r="AE7909" s="1"/>
      <c r="AF7909" s="1"/>
      <c r="AG7909" s="1"/>
    </row>
    <row r="7910" ht="15.75" customHeight="1">
      <c r="A7910" s="1"/>
      <c r="B7910" s="1"/>
      <c r="C7910" s="1"/>
      <c r="D7910" s="1"/>
      <c r="E7910" s="1"/>
      <c r="F7910" s="1"/>
      <c r="G7910" s="1"/>
      <c r="H7910" s="1"/>
      <c r="I7910" s="1"/>
      <c r="J7910" s="1"/>
      <c r="K7910" s="102" t="s">
        <v>12312</v>
      </c>
      <c r="L7910" s="102" t="str">
        <f>F1142</f>
        <v>J2b2a2~</v>
      </c>
      <c r="M7910" s="102"/>
      <c r="N7910" s="102" t="s">
        <v>12313</v>
      </c>
      <c r="O7910" s="105">
        <v>1.0048267E7</v>
      </c>
      <c r="P7910" s="105">
        <v>1.0210658E7</v>
      </c>
      <c r="Q7910" s="102" t="s">
        <v>2439</v>
      </c>
      <c r="S7910" s="1"/>
      <c r="T7910" s="1"/>
      <c r="U7910" s="1"/>
      <c r="V7910" s="1"/>
      <c r="W7910" s="1"/>
      <c r="X7910" s="1"/>
      <c r="Y7910" s="1"/>
      <c r="AA7910" s="102"/>
      <c r="AB7910" s="1"/>
      <c r="AC7910" s="1"/>
      <c r="AD7910" s="1"/>
      <c r="AE7910" s="1"/>
      <c r="AF7910" s="1"/>
      <c r="AG7910" s="1"/>
    </row>
    <row r="7911" ht="15.75" customHeight="1">
      <c r="A7911" s="1"/>
      <c r="B7911" s="1"/>
      <c r="C7911" s="1"/>
      <c r="D7911" s="1"/>
      <c r="E7911" s="1"/>
      <c r="F7911" s="1"/>
      <c r="G7911" s="1"/>
      <c r="H7911" s="1"/>
      <c r="I7911" s="1"/>
      <c r="J7911" s="1"/>
      <c r="K7911" s="102" t="s">
        <v>12314</v>
      </c>
      <c r="L7911" s="102" t="str">
        <f>F1142</f>
        <v>J2b2a2~</v>
      </c>
      <c r="M7911" s="102"/>
      <c r="N7911" s="102" t="s">
        <v>12315</v>
      </c>
      <c r="O7911" s="105">
        <v>1.6740982E7</v>
      </c>
      <c r="P7911" s="105">
        <v>1.4629102E7</v>
      </c>
      <c r="Q7911" s="102" t="s">
        <v>2454</v>
      </c>
      <c r="S7911" s="1"/>
      <c r="T7911" s="1"/>
      <c r="U7911" s="1"/>
      <c r="V7911" s="1"/>
      <c r="W7911" s="1"/>
      <c r="X7911" s="1"/>
      <c r="Y7911" s="1"/>
      <c r="AA7911" s="102"/>
      <c r="AB7911" s="1"/>
      <c r="AC7911" s="1"/>
      <c r="AD7911" s="1"/>
      <c r="AE7911" s="1"/>
      <c r="AF7911" s="1"/>
      <c r="AG7911" s="1"/>
    </row>
    <row r="7912" ht="15.75" customHeight="1">
      <c r="A7912" s="1"/>
      <c r="B7912" s="1"/>
      <c r="C7912" s="1"/>
      <c r="D7912" s="1"/>
      <c r="E7912" s="1"/>
      <c r="F7912" s="1"/>
      <c r="G7912" s="1"/>
      <c r="H7912" s="1"/>
      <c r="I7912" s="1"/>
      <c r="J7912" s="1"/>
      <c r="K7912" s="102" t="s">
        <v>12316</v>
      </c>
      <c r="L7912" s="102" t="str">
        <f>F1142</f>
        <v>J2b2a2~</v>
      </c>
      <c r="M7912" s="102" t="s">
        <v>12317</v>
      </c>
      <c r="N7912" s="102" t="s">
        <v>12318</v>
      </c>
      <c r="O7912" s="105">
        <v>7795639.0</v>
      </c>
      <c r="P7912" s="105">
        <v>7927598.0</v>
      </c>
      <c r="Q7912" s="102" t="s">
        <v>2529</v>
      </c>
      <c r="S7912" s="1"/>
      <c r="T7912" s="1"/>
      <c r="U7912" s="1"/>
      <c r="V7912" s="1"/>
      <c r="W7912" s="1"/>
      <c r="X7912" s="1"/>
      <c r="Y7912" s="1"/>
      <c r="AA7912" s="102"/>
      <c r="AB7912" s="1"/>
      <c r="AC7912" s="1"/>
      <c r="AD7912" s="1"/>
      <c r="AE7912" s="1"/>
      <c r="AF7912" s="1"/>
      <c r="AG7912" s="1"/>
    </row>
    <row r="7913" ht="15.75" customHeight="1">
      <c r="A7913" s="1"/>
      <c r="B7913" s="1"/>
      <c r="C7913" s="1"/>
      <c r="D7913" s="1"/>
      <c r="E7913" s="1"/>
      <c r="F7913" s="1"/>
      <c r="G7913" s="1"/>
      <c r="H7913" s="1"/>
      <c r="I7913" s="1"/>
      <c r="J7913" s="1"/>
      <c r="K7913" s="102" t="s">
        <v>12317</v>
      </c>
      <c r="L7913" s="102" t="str">
        <f>F1142</f>
        <v>J2b2a2~</v>
      </c>
      <c r="M7913" s="102" t="s">
        <v>12316</v>
      </c>
      <c r="N7913" s="102" t="s">
        <v>12318</v>
      </c>
      <c r="O7913" s="105">
        <v>7795639.0</v>
      </c>
      <c r="P7913" s="105">
        <v>7927598.0</v>
      </c>
      <c r="Q7913" s="102" t="s">
        <v>2529</v>
      </c>
      <c r="S7913" s="1"/>
      <c r="T7913" s="1"/>
      <c r="U7913" s="1"/>
      <c r="V7913" s="1"/>
      <c r="W7913" s="1"/>
      <c r="X7913" s="1"/>
      <c r="Y7913" s="1"/>
      <c r="AA7913" s="102"/>
      <c r="AB7913" s="1"/>
      <c r="AC7913" s="1"/>
      <c r="AD7913" s="1"/>
      <c r="AE7913" s="1"/>
      <c r="AF7913" s="1"/>
      <c r="AG7913" s="1"/>
    </row>
    <row r="7914" ht="15.75" customHeight="1">
      <c r="A7914" s="1"/>
      <c r="B7914" s="1"/>
      <c r="C7914" s="1"/>
      <c r="D7914" s="1"/>
      <c r="E7914" s="1"/>
      <c r="F7914" s="1"/>
      <c r="G7914" s="1"/>
      <c r="H7914" s="1"/>
      <c r="I7914" s="1"/>
      <c r="J7914" s="1"/>
      <c r="K7914" s="102" t="s">
        <v>12319</v>
      </c>
      <c r="L7914" s="102" t="str">
        <f>F1142</f>
        <v>J2b2a2~</v>
      </c>
      <c r="M7914" s="102"/>
      <c r="N7914" s="102" t="s">
        <v>12320</v>
      </c>
      <c r="O7914" s="105">
        <v>7508082.0</v>
      </c>
      <c r="P7914" s="105">
        <v>7640041.0</v>
      </c>
      <c r="Q7914" s="102" t="s">
        <v>2446</v>
      </c>
      <c r="S7914" s="1"/>
      <c r="T7914" s="1"/>
      <c r="U7914" s="1"/>
      <c r="V7914" s="1"/>
      <c r="W7914" s="1"/>
      <c r="X7914" s="1"/>
      <c r="Y7914" s="1"/>
      <c r="AA7914" s="102"/>
      <c r="AB7914" s="1"/>
      <c r="AC7914" s="1"/>
      <c r="AD7914" s="1"/>
      <c r="AE7914" s="1"/>
      <c r="AF7914" s="1"/>
      <c r="AG7914" s="1"/>
    </row>
    <row r="7915" ht="15.75" customHeight="1">
      <c r="A7915" s="1"/>
      <c r="B7915" s="1"/>
      <c r="C7915" s="1"/>
      <c r="D7915" s="1"/>
      <c r="E7915" s="1"/>
      <c r="F7915" s="1"/>
      <c r="G7915" s="1"/>
      <c r="H7915" s="1"/>
      <c r="I7915" s="1"/>
      <c r="J7915" s="1"/>
      <c r="K7915" s="102" t="s">
        <v>12321</v>
      </c>
      <c r="L7915" s="102" t="str">
        <f>F1142</f>
        <v>J2b2a2~</v>
      </c>
      <c r="M7915" s="102"/>
      <c r="N7915" s="102" t="s">
        <v>12322</v>
      </c>
      <c r="O7915" s="105">
        <v>8384461.0</v>
      </c>
      <c r="P7915" s="105">
        <v>8516420.0</v>
      </c>
      <c r="Q7915" s="102" t="s">
        <v>2501</v>
      </c>
      <c r="S7915" s="1"/>
      <c r="T7915" s="1"/>
      <c r="U7915" s="1"/>
      <c r="V7915" s="1"/>
      <c r="W7915" s="1"/>
      <c r="X7915" s="1"/>
      <c r="Y7915" s="1"/>
      <c r="AA7915" s="102"/>
      <c r="AB7915" s="1"/>
      <c r="AC7915" s="1"/>
      <c r="AD7915" s="1"/>
      <c r="AE7915" s="1"/>
      <c r="AF7915" s="1"/>
      <c r="AG7915" s="1"/>
    </row>
    <row r="7916" ht="15.75" customHeight="1">
      <c r="A7916" s="1"/>
      <c r="B7916" s="1"/>
      <c r="C7916" s="1"/>
      <c r="D7916" s="1"/>
      <c r="E7916" s="1"/>
      <c r="F7916" s="1"/>
      <c r="G7916" s="1"/>
      <c r="H7916" s="1"/>
      <c r="I7916" s="1"/>
      <c r="J7916" s="1"/>
      <c r="K7916" s="102" t="s">
        <v>12323</v>
      </c>
      <c r="L7916" s="102" t="str">
        <f>F1142</f>
        <v>J2b2a2~</v>
      </c>
      <c r="M7916" s="102"/>
      <c r="N7916" s="102" t="s">
        <v>12324</v>
      </c>
      <c r="O7916" s="105">
        <v>1.3848286E7</v>
      </c>
      <c r="P7916" s="105">
        <v>1.172758E7</v>
      </c>
      <c r="Q7916" s="102" t="s">
        <v>2501</v>
      </c>
      <c r="S7916" s="1"/>
      <c r="T7916" s="1"/>
      <c r="U7916" s="1"/>
      <c r="V7916" s="1"/>
      <c r="W7916" s="1"/>
      <c r="X7916" s="1"/>
      <c r="Y7916" s="1"/>
      <c r="AA7916" s="102"/>
      <c r="AB7916" s="1"/>
      <c r="AC7916" s="1"/>
      <c r="AD7916" s="1"/>
      <c r="AE7916" s="1"/>
      <c r="AF7916" s="1"/>
      <c r="AG7916" s="1"/>
    </row>
    <row r="7917" ht="15.75" customHeight="1">
      <c r="A7917" s="1"/>
      <c r="B7917" s="1"/>
      <c r="C7917" s="1"/>
      <c r="D7917" s="1"/>
      <c r="E7917" s="1"/>
      <c r="F7917" s="1"/>
      <c r="G7917" s="1"/>
      <c r="H7917" s="1"/>
      <c r="I7917" s="1"/>
      <c r="J7917" s="1"/>
      <c r="K7917" s="102" t="s">
        <v>12325</v>
      </c>
      <c r="L7917" s="102" t="str">
        <f>F1142</f>
        <v>J2b2a2~</v>
      </c>
      <c r="M7917" s="102"/>
      <c r="N7917" s="102" t="s">
        <v>12326</v>
      </c>
      <c r="O7917" s="105">
        <v>1.4660687E7</v>
      </c>
      <c r="P7917" s="105">
        <v>1.2548752E7</v>
      </c>
      <c r="Q7917" s="102" t="s">
        <v>2454</v>
      </c>
      <c r="S7917" s="1"/>
      <c r="T7917" s="1"/>
      <c r="U7917" s="1"/>
      <c r="V7917" s="1"/>
      <c r="W7917" s="1"/>
      <c r="X7917" s="1"/>
      <c r="Y7917" s="1"/>
      <c r="AA7917" s="102"/>
      <c r="AB7917" s="1"/>
      <c r="AC7917" s="1"/>
      <c r="AD7917" s="1"/>
      <c r="AE7917" s="1"/>
      <c r="AF7917" s="1"/>
      <c r="AG7917" s="1"/>
    </row>
    <row r="7918" ht="15.75" customHeight="1">
      <c r="A7918" s="1"/>
      <c r="B7918" s="1"/>
      <c r="C7918" s="1"/>
      <c r="D7918" s="1"/>
      <c r="E7918" s="1"/>
      <c r="F7918" s="1"/>
      <c r="G7918" s="1"/>
      <c r="H7918" s="1"/>
      <c r="I7918" s="1"/>
      <c r="J7918" s="1"/>
      <c r="K7918" s="102" t="s">
        <v>12327</v>
      </c>
      <c r="L7918" s="102" t="str">
        <f>F1142</f>
        <v>J2b2a2~</v>
      </c>
      <c r="M7918" s="102"/>
      <c r="N7918" s="102" t="s">
        <v>12328</v>
      </c>
      <c r="O7918" s="105">
        <v>2.1543115E7</v>
      </c>
      <c r="P7918" s="105">
        <v>1.9381229E7</v>
      </c>
      <c r="Q7918" s="102" t="s">
        <v>2468</v>
      </c>
      <c r="S7918" s="1"/>
      <c r="T7918" s="1"/>
      <c r="U7918" s="1"/>
      <c r="V7918" s="1"/>
      <c r="W7918" s="1"/>
      <c r="X7918" s="1"/>
      <c r="Y7918" s="1"/>
      <c r="AA7918" s="102"/>
      <c r="AB7918" s="1"/>
      <c r="AC7918" s="1"/>
      <c r="AD7918" s="1"/>
      <c r="AE7918" s="1"/>
      <c r="AF7918" s="1"/>
      <c r="AG7918" s="1"/>
    </row>
    <row r="7919" ht="15.75" customHeight="1">
      <c r="A7919" s="1"/>
      <c r="B7919" s="1"/>
      <c r="C7919" s="1"/>
      <c r="D7919" s="1"/>
      <c r="E7919" s="1"/>
      <c r="F7919" s="1"/>
      <c r="G7919" s="1"/>
      <c r="H7919" s="1"/>
      <c r="I7919" s="1"/>
      <c r="J7919" s="1"/>
      <c r="K7919" s="102" t="s">
        <v>12329</v>
      </c>
      <c r="L7919" s="102" t="str">
        <f>F1142</f>
        <v>J2b2a2~</v>
      </c>
      <c r="M7919" s="102"/>
      <c r="N7919" s="102" t="s">
        <v>12330</v>
      </c>
      <c r="O7919" s="105">
        <v>1.3991949E7</v>
      </c>
      <c r="P7919" s="105">
        <v>1.1871243E7</v>
      </c>
      <c r="Q7919" s="102" t="s">
        <v>2439</v>
      </c>
      <c r="S7919" s="1"/>
      <c r="T7919" s="1"/>
      <c r="U7919" s="1"/>
      <c r="V7919" s="1"/>
      <c r="W7919" s="1"/>
      <c r="X7919" s="1"/>
      <c r="Y7919" s="1"/>
      <c r="AA7919" s="102"/>
      <c r="AB7919" s="1"/>
      <c r="AC7919" s="1"/>
      <c r="AD7919" s="1"/>
      <c r="AE7919" s="1"/>
      <c r="AF7919" s="1"/>
      <c r="AG7919" s="1"/>
    </row>
    <row r="7920" ht="15.75" customHeight="1">
      <c r="A7920" s="1"/>
      <c r="B7920" s="1"/>
      <c r="C7920" s="1"/>
      <c r="D7920" s="1"/>
      <c r="E7920" s="1"/>
      <c r="F7920" s="1"/>
      <c r="G7920" s="1"/>
      <c r="H7920" s="1"/>
      <c r="I7920" s="1"/>
      <c r="J7920" s="1"/>
      <c r="K7920" s="102" t="s">
        <v>12331</v>
      </c>
      <c r="L7920" s="102" t="str">
        <f>F1142</f>
        <v>J2b2a2~</v>
      </c>
      <c r="M7920" s="102"/>
      <c r="N7920" s="102" t="s">
        <v>12332</v>
      </c>
      <c r="O7920" s="105">
        <v>1.6588449E7</v>
      </c>
      <c r="P7920" s="105">
        <v>1.4476569E7</v>
      </c>
      <c r="Q7920" s="102" t="s">
        <v>2533</v>
      </c>
      <c r="S7920" s="1"/>
      <c r="T7920" s="1"/>
      <c r="U7920" s="1"/>
      <c r="V7920" s="1"/>
      <c r="W7920" s="1"/>
      <c r="X7920" s="1"/>
      <c r="Y7920" s="1"/>
      <c r="AA7920" s="102"/>
      <c r="AB7920" s="1"/>
      <c r="AC7920" s="1"/>
      <c r="AD7920" s="1"/>
      <c r="AE7920" s="1"/>
      <c r="AF7920" s="1"/>
      <c r="AG7920" s="1"/>
    </row>
    <row r="7921" ht="15.75" customHeight="1">
      <c r="A7921" s="1"/>
      <c r="B7921" s="1"/>
      <c r="C7921" s="1"/>
      <c r="D7921" s="1"/>
      <c r="E7921" s="1"/>
      <c r="F7921" s="1"/>
      <c r="G7921" s="1"/>
      <c r="H7921" s="1"/>
      <c r="I7921" s="1"/>
      <c r="J7921" s="1"/>
      <c r="K7921" s="102" t="s">
        <v>12333</v>
      </c>
      <c r="L7921" s="102" t="str">
        <f>F1142</f>
        <v>J2b2a2~</v>
      </c>
      <c r="M7921" s="102"/>
      <c r="N7921" s="102" t="s">
        <v>12334</v>
      </c>
      <c r="O7921" s="105">
        <v>1.7414805E7</v>
      </c>
      <c r="P7921" s="105">
        <v>1.5302925E7</v>
      </c>
      <c r="Q7921" s="102" t="s">
        <v>2439</v>
      </c>
      <c r="S7921" s="1"/>
      <c r="T7921" s="1"/>
      <c r="U7921" s="1"/>
      <c r="V7921" s="1"/>
      <c r="W7921" s="1"/>
      <c r="X7921" s="1"/>
      <c r="Y7921" s="1"/>
      <c r="AA7921" s="102"/>
      <c r="AB7921" s="1"/>
      <c r="AC7921" s="1"/>
      <c r="AD7921" s="1"/>
      <c r="AE7921" s="1"/>
      <c r="AF7921" s="1"/>
      <c r="AG7921" s="1"/>
    </row>
    <row r="7922" ht="15.75" customHeight="1">
      <c r="A7922" s="1"/>
      <c r="B7922" s="1"/>
      <c r="C7922" s="1"/>
      <c r="D7922" s="1"/>
      <c r="E7922" s="1"/>
      <c r="F7922" s="1"/>
      <c r="G7922" s="1"/>
      <c r="H7922" s="1"/>
      <c r="I7922" s="1"/>
      <c r="J7922" s="1"/>
      <c r="K7922" s="102" t="s">
        <v>12335</v>
      </c>
      <c r="L7922" s="102" t="str">
        <f>F1142</f>
        <v>J2b2a2~</v>
      </c>
      <c r="M7922" s="102"/>
      <c r="N7922" s="102" t="s">
        <v>12336</v>
      </c>
      <c r="O7922" s="105">
        <v>2.1270253E7</v>
      </c>
      <c r="P7922" s="105">
        <v>1.9108367E7</v>
      </c>
      <c r="Q7922" s="102" t="s">
        <v>2454</v>
      </c>
      <c r="S7922" s="1"/>
      <c r="T7922" s="1"/>
      <c r="U7922" s="1"/>
      <c r="V7922" s="1"/>
      <c r="W7922" s="1"/>
      <c r="X7922" s="1"/>
      <c r="Y7922" s="1"/>
      <c r="AA7922" s="102"/>
      <c r="AB7922" s="1"/>
      <c r="AC7922" s="1"/>
      <c r="AD7922" s="1"/>
      <c r="AE7922" s="1"/>
      <c r="AF7922" s="1"/>
      <c r="AG7922" s="1"/>
    </row>
    <row r="7923" ht="15.75" customHeight="1">
      <c r="A7923" s="1"/>
      <c r="B7923" s="1"/>
      <c r="C7923" s="1"/>
      <c r="D7923" s="1"/>
      <c r="E7923" s="1"/>
      <c r="F7923" s="1"/>
      <c r="G7923" s="1"/>
      <c r="H7923" s="1"/>
      <c r="I7923" s="1"/>
      <c r="J7923" s="1"/>
      <c r="K7923" s="102" t="s">
        <v>12337</v>
      </c>
      <c r="L7923" s="102" t="str">
        <f>F1142</f>
        <v>J2b2a2~</v>
      </c>
      <c r="M7923" s="102"/>
      <c r="N7923" s="102" t="s">
        <v>12338</v>
      </c>
      <c r="O7923" s="105">
        <v>2.451342E7</v>
      </c>
      <c r="P7923" s="105">
        <v>2.2367273E7</v>
      </c>
      <c r="Q7923" s="102" t="s">
        <v>2563</v>
      </c>
      <c r="S7923" s="1"/>
      <c r="T7923" s="1"/>
      <c r="U7923" s="1"/>
      <c r="V7923" s="1"/>
      <c r="W7923" s="1"/>
      <c r="X7923" s="1"/>
      <c r="Y7923" s="1"/>
      <c r="AA7923" s="102"/>
      <c r="AB7923" s="1"/>
      <c r="AC7923" s="1"/>
      <c r="AD7923" s="1"/>
      <c r="AE7923" s="1"/>
      <c r="AF7923" s="1"/>
      <c r="AG7923" s="1"/>
    </row>
    <row r="7924" ht="15.75" customHeight="1">
      <c r="A7924" s="1"/>
      <c r="B7924" s="1"/>
      <c r="C7924" s="1"/>
      <c r="D7924" s="1"/>
      <c r="E7924" s="1"/>
      <c r="F7924" s="1"/>
      <c r="G7924" s="1"/>
      <c r="H7924" s="1"/>
      <c r="I7924" s="1"/>
      <c r="J7924" s="1"/>
      <c r="K7924" s="102" t="s">
        <v>12339</v>
      </c>
      <c r="L7924" s="102" t="str">
        <f>G1143</f>
        <v>J2b2a2a~</v>
      </c>
      <c r="M7924" s="102"/>
      <c r="N7924" s="102" t="s">
        <v>12340</v>
      </c>
      <c r="O7924" s="105">
        <v>1.6907497E7</v>
      </c>
      <c r="P7924" s="105">
        <v>1.4795617E7</v>
      </c>
      <c r="Q7924" s="102" t="s">
        <v>2576</v>
      </c>
      <c r="S7924" s="1"/>
      <c r="T7924" s="1"/>
      <c r="U7924" s="1"/>
      <c r="V7924" s="1"/>
      <c r="W7924" s="1"/>
      <c r="X7924" s="1"/>
      <c r="Y7924" s="1"/>
      <c r="AA7924" s="102"/>
      <c r="AB7924" s="1"/>
      <c r="AC7924" s="1"/>
      <c r="AD7924" s="1"/>
      <c r="AE7924" s="1"/>
      <c r="AF7924" s="1"/>
      <c r="AG7924" s="1"/>
    </row>
    <row r="7925" ht="15.75" customHeight="1">
      <c r="A7925" s="1"/>
      <c r="B7925" s="1"/>
      <c r="C7925" s="1"/>
      <c r="D7925" s="1"/>
      <c r="E7925" s="1"/>
      <c r="F7925" s="1"/>
      <c r="G7925" s="1"/>
      <c r="H7925" s="1"/>
      <c r="I7925" s="1"/>
      <c r="J7925" s="1"/>
      <c r="K7925" s="102" t="s">
        <v>12341</v>
      </c>
      <c r="L7925" s="102" t="str">
        <f>G1143</f>
        <v>J2b2a2a~</v>
      </c>
      <c r="M7925" s="102"/>
      <c r="N7925" s="102" t="s">
        <v>12342</v>
      </c>
      <c r="O7925" s="105">
        <v>1.8062654E7</v>
      </c>
      <c r="P7925" s="105">
        <v>1.5950774E7</v>
      </c>
      <c r="Q7925" s="102" t="s">
        <v>2529</v>
      </c>
      <c r="S7925" s="1"/>
      <c r="T7925" s="1"/>
      <c r="U7925" s="1"/>
      <c r="V7925" s="1"/>
      <c r="W7925" s="1"/>
      <c r="X7925" s="1"/>
      <c r="Y7925" s="1"/>
      <c r="AA7925" s="102"/>
      <c r="AB7925" s="1"/>
      <c r="AC7925" s="1"/>
      <c r="AD7925" s="1"/>
      <c r="AE7925" s="1"/>
      <c r="AF7925" s="1"/>
      <c r="AG7925" s="1"/>
    </row>
    <row r="7926" ht="15.75" customHeight="1">
      <c r="A7926" s="1"/>
      <c r="B7926" s="1"/>
      <c r="C7926" s="1"/>
      <c r="D7926" s="1"/>
      <c r="E7926" s="1"/>
      <c r="F7926" s="1"/>
      <c r="G7926" s="1"/>
      <c r="H7926" s="1"/>
      <c r="I7926" s="1"/>
      <c r="J7926" s="1"/>
      <c r="K7926" s="102" t="s">
        <v>12343</v>
      </c>
      <c r="L7926" s="102" t="str">
        <f>G1143</f>
        <v>J2b2a2a~</v>
      </c>
      <c r="M7926" s="102"/>
      <c r="N7926" s="102" t="s">
        <v>12344</v>
      </c>
      <c r="O7926" s="105">
        <v>9423568.0</v>
      </c>
      <c r="P7926" s="105">
        <v>9585959.0</v>
      </c>
      <c r="Q7926" s="102" t="s">
        <v>2563</v>
      </c>
      <c r="S7926" s="1"/>
      <c r="T7926" s="1"/>
      <c r="U7926" s="1"/>
      <c r="V7926" s="1"/>
      <c r="W7926" s="1"/>
      <c r="X7926" s="1"/>
      <c r="Y7926" s="1"/>
      <c r="AA7926" s="102"/>
      <c r="AB7926" s="1"/>
      <c r="AC7926" s="1"/>
      <c r="AD7926" s="1"/>
      <c r="AE7926" s="1"/>
      <c r="AF7926" s="1"/>
      <c r="AG7926" s="1"/>
    </row>
    <row r="7927" ht="15.75" customHeight="1">
      <c r="A7927" s="1"/>
      <c r="B7927" s="1"/>
      <c r="C7927" s="1"/>
      <c r="D7927" s="1"/>
      <c r="E7927" s="1"/>
      <c r="F7927" s="1"/>
      <c r="G7927" s="1"/>
      <c r="H7927" s="1"/>
      <c r="I7927" s="1"/>
      <c r="J7927" s="1"/>
      <c r="K7927" s="102" t="s">
        <v>12345</v>
      </c>
      <c r="L7927" s="102" t="str">
        <f>G1143</f>
        <v>J2b2a2a~</v>
      </c>
      <c r="M7927" s="102"/>
      <c r="N7927" s="102" t="s">
        <v>12346</v>
      </c>
      <c r="O7927" s="105">
        <v>1.5093106E7</v>
      </c>
      <c r="P7927" s="105">
        <v>1.2981194E7</v>
      </c>
      <c r="Q7927" s="102" t="s">
        <v>2529</v>
      </c>
      <c r="S7927" s="1"/>
      <c r="T7927" s="1"/>
      <c r="U7927" s="1"/>
      <c r="V7927" s="1"/>
      <c r="W7927" s="1"/>
      <c r="X7927" s="1"/>
      <c r="Y7927" s="1"/>
      <c r="AA7927" s="102"/>
      <c r="AB7927" s="1"/>
      <c r="AC7927" s="1"/>
      <c r="AD7927" s="1"/>
      <c r="AE7927" s="1"/>
      <c r="AF7927" s="1"/>
      <c r="AG7927" s="1"/>
    </row>
    <row r="7928" ht="15.75" customHeight="1">
      <c r="A7928" s="1"/>
      <c r="B7928" s="1"/>
      <c r="C7928" s="1"/>
      <c r="D7928" s="1"/>
      <c r="E7928" s="1"/>
      <c r="F7928" s="1"/>
      <c r="G7928" s="1"/>
      <c r="H7928" s="1"/>
      <c r="I7928" s="1"/>
      <c r="J7928" s="1"/>
      <c r="K7928" s="102" t="s">
        <v>12347</v>
      </c>
      <c r="L7928" s="102" t="str">
        <f>G1143</f>
        <v>J2b2a2a~</v>
      </c>
      <c r="M7928" s="102"/>
      <c r="N7928" s="102" t="s">
        <v>12348</v>
      </c>
      <c r="O7928" s="105">
        <v>2877875.0</v>
      </c>
      <c r="P7928" s="105">
        <v>3009834.0</v>
      </c>
      <c r="Q7928" s="102" t="s">
        <v>2501</v>
      </c>
      <c r="S7928" s="1"/>
      <c r="T7928" s="1"/>
      <c r="U7928" s="1"/>
      <c r="V7928" s="1"/>
      <c r="W7928" s="1"/>
      <c r="X7928" s="1"/>
      <c r="Y7928" s="1"/>
      <c r="AA7928" s="102"/>
      <c r="AB7928" s="1"/>
      <c r="AC7928" s="1"/>
      <c r="AD7928" s="1"/>
      <c r="AE7928" s="1"/>
      <c r="AF7928" s="1"/>
      <c r="AG7928" s="1"/>
    </row>
    <row r="7929" ht="15.75" customHeight="1">
      <c r="A7929" s="1"/>
      <c r="B7929" s="1"/>
      <c r="C7929" s="1"/>
      <c r="D7929" s="1"/>
      <c r="E7929" s="1"/>
      <c r="F7929" s="1"/>
      <c r="G7929" s="1"/>
      <c r="H7929" s="1"/>
      <c r="I7929" s="1"/>
      <c r="J7929" s="1"/>
      <c r="K7929" s="102" t="s">
        <v>12349</v>
      </c>
      <c r="L7929" s="102" t="str">
        <f>G1143</f>
        <v>J2b2a2a~</v>
      </c>
      <c r="M7929" s="102"/>
      <c r="N7929" s="102" t="s">
        <v>12350</v>
      </c>
      <c r="O7929" s="105">
        <v>7250791.0</v>
      </c>
      <c r="P7929" s="105">
        <v>7382750.0</v>
      </c>
      <c r="Q7929" s="102" t="s">
        <v>2439</v>
      </c>
      <c r="S7929" s="1"/>
      <c r="T7929" s="1"/>
      <c r="U7929" s="1"/>
      <c r="V7929" s="1"/>
      <c r="W7929" s="1"/>
      <c r="X7929" s="1"/>
      <c r="Y7929" s="1"/>
      <c r="AA7929" s="102"/>
      <c r="AB7929" s="1"/>
      <c r="AC7929" s="1"/>
      <c r="AD7929" s="1"/>
      <c r="AE7929" s="1"/>
      <c r="AF7929" s="1"/>
      <c r="AG7929" s="1"/>
    </row>
    <row r="7930" ht="15.75" customHeight="1">
      <c r="A7930" s="1"/>
      <c r="B7930" s="1"/>
      <c r="C7930" s="1"/>
      <c r="D7930" s="1"/>
      <c r="E7930" s="1"/>
      <c r="F7930" s="1"/>
      <c r="G7930" s="1"/>
      <c r="H7930" s="1"/>
      <c r="I7930" s="1"/>
      <c r="J7930" s="1"/>
      <c r="K7930" s="102" t="s">
        <v>12351</v>
      </c>
      <c r="L7930" s="102" t="str">
        <f>G1143</f>
        <v>J2b2a2a~</v>
      </c>
      <c r="M7930" s="102"/>
      <c r="N7930" s="102" t="s">
        <v>12352</v>
      </c>
      <c r="O7930" s="105">
        <v>7682928.0</v>
      </c>
      <c r="P7930" s="105">
        <v>7814887.0</v>
      </c>
      <c r="Q7930" s="102" t="s">
        <v>2446</v>
      </c>
      <c r="S7930" s="1"/>
      <c r="T7930" s="1"/>
      <c r="U7930" s="1"/>
      <c r="V7930" s="1"/>
      <c r="W7930" s="1"/>
      <c r="X7930" s="1"/>
      <c r="Y7930" s="1"/>
      <c r="AA7930" s="102"/>
      <c r="AB7930" s="1"/>
      <c r="AC7930" s="1"/>
      <c r="AD7930" s="1"/>
      <c r="AE7930" s="1"/>
      <c r="AF7930" s="1"/>
      <c r="AG7930" s="1"/>
    </row>
    <row r="7931" ht="15.75" customHeight="1">
      <c r="A7931" s="1"/>
      <c r="B7931" s="1"/>
      <c r="C7931" s="1"/>
      <c r="D7931" s="1"/>
      <c r="E7931" s="1"/>
      <c r="F7931" s="1"/>
      <c r="G7931" s="1"/>
      <c r="H7931" s="1"/>
      <c r="I7931" s="1"/>
      <c r="J7931" s="1"/>
      <c r="K7931" s="102" t="s">
        <v>12353</v>
      </c>
      <c r="L7931" s="102" t="str">
        <f>G1143</f>
        <v>J2b2a2a~</v>
      </c>
      <c r="M7931" s="102"/>
      <c r="N7931" s="102"/>
      <c r="O7931" s="105">
        <v>9929445.0</v>
      </c>
      <c r="P7931" s="105">
        <v>1.0091836E7</v>
      </c>
      <c r="Q7931" s="102" t="s">
        <v>2533</v>
      </c>
      <c r="S7931" s="1"/>
      <c r="T7931" s="1"/>
      <c r="U7931" s="1"/>
      <c r="V7931" s="1"/>
      <c r="W7931" s="1"/>
      <c r="X7931" s="1"/>
      <c r="Y7931" s="1"/>
      <c r="AA7931" s="102"/>
      <c r="AB7931" s="1"/>
      <c r="AC7931" s="1"/>
      <c r="AD7931" s="1"/>
      <c r="AE7931" s="1"/>
      <c r="AF7931" s="1"/>
      <c r="AG7931" s="1"/>
    </row>
    <row r="7932" ht="15.75" customHeight="1">
      <c r="A7932" s="1"/>
      <c r="B7932" s="1"/>
      <c r="C7932" s="1"/>
      <c r="D7932" s="1"/>
      <c r="E7932" s="1"/>
      <c r="F7932" s="1"/>
      <c r="G7932" s="1"/>
      <c r="H7932" s="1"/>
      <c r="I7932" s="1"/>
      <c r="J7932" s="1"/>
      <c r="K7932" s="102" t="s">
        <v>12354</v>
      </c>
      <c r="L7932" s="102" t="str">
        <f>G1143</f>
        <v>J2b2a2a~</v>
      </c>
      <c r="M7932" s="102"/>
      <c r="N7932" s="102" t="s">
        <v>12355</v>
      </c>
      <c r="O7932" s="105">
        <v>1.5962969E7</v>
      </c>
      <c r="P7932" s="105">
        <v>1.3851089E7</v>
      </c>
      <c r="Q7932" s="102" t="s">
        <v>2439</v>
      </c>
      <c r="S7932" s="1"/>
      <c r="T7932" s="1"/>
      <c r="U7932" s="1"/>
      <c r="V7932" s="1"/>
      <c r="W7932" s="1"/>
      <c r="X7932" s="1"/>
      <c r="Y7932" s="1"/>
      <c r="AA7932" s="102"/>
      <c r="AB7932" s="1"/>
      <c r="AC7932" s="1"/>
      <c r="AD7932" s="1"/>
      <c r="AE7932" s="1"/>
      <c r="AF7932" s="1"/>
      <c r="AG7932" s="1"/>
    </row>
    <row r="7933" ht="15.75" customHeight="1">
      <c r="A7933" s="1"/>
      <c r="B7933" s="1"/>
      <c r="C7933" s="1"/>
      <c r="D7933" s="1"/>
      <c r="E7933" s="1"/>
      <c r="F7933" s="1"/>
      <c r="G7933" s="1"/>
      <c r="H7933" s="1"/>
      <c r="I7933" s="1"/>
      <c r="J7933" s="1"/>
      <c r="K7933" s="102" t="s">
        <v>12356</v>
      </c>
      <c r="L7933" s="102" t="str">
        <f>G1143</f>
        <v>J2b2a2a~</v>
      </c>
      <c r="M7933" s="102"/>
      <c r="N7933" s="102" t="s">
        <v>12357</v>
      </c>
      <c r="O7933" s="105">
        <v>1.6241152E7</v>
      </c>
      <c r="P7933" s="105">
        <v>1.4129272E7</v>
      </c>
      <c r="Q7933" s="102" t="s">
        <v>2446</v>
      </c>
      <c r="S7933" s="1"/>
      <c r="T7933" s="1"/>
      <c r="U7933" s="1"/>
      <c r="V7933" s="1"/>
      <c r="W7933" s="1"/>
      <c r="X7933" s="1"/>
      <c r="Y7933" s="1"/>
      <c r="AA7933" s="102"/>
      <c r="AB7933" s="1"/>
      <c r="AC7933" s="1"/>
      <c r="AD7933" s="1"/>
      <c r="AE7933" s="1"/>
      <c r="AF7933" s="1"/>
      <c r="AG7933" s="1"/>
    </row>
    <row r="7934" ht="15.75" customHeight="1">
      <c r="A7934" s="1"/>
      <c r="B7934" s="1"/>
      <c r="C7934" s="1"/>
      <c r="D7934" s="1"/>
      <c r="E7934" s="1"/>
      <c r="F7934" s="1"/>
      <c r="G7934" s="1"/>
      <c r="H7934" s="1"/>
      <c r="I7934" s="1"/>
      <c r="J7934" s="1"/>
      <c r="K7934" s="102" t="s">
        <v>12358</v>
      </c>
      <c r="L7934" s="102" t="str">
        <f>G1143</f>
        <v>J2b2a2a~</v>
      </c>
      <c r="M7934" s="102"/>
      <c r="N7934" s="102" t="s">
        <v>12359</v>
      </c>
      <c r="O7934" s="105">
        <v>1.7443195E7</v>
      </c>
      <c r="P7934" s="105">
        <v>1.5331315E7</v>
      </c>
      <c r="Q7934" s="102" t="s">
        <v>2529</v>
      </c>
      <c r="S7934" s="1"/>
      <c r="T7934" s="1"/>
      <c r="U7934" s="1"/>
      <c r="V7934" s="1"/>
      <c r="W7934" s="1"/>
      <c r="X7934" s="1"/>
      <c r="Y7934" s="1"/>
      <c r="AA7934" s="102"/>
      <c r="AB7934" s="1"/>
      <c r="AC7934" s="1"/>
      <c r="AD7934" s="1"/>
      <c r="AE7934" s="1"/>
      <c r="AF7934" s="1"/>
      <c r="AG7934" s="1"/>
    </row>
    <row r="7935" ht="15.75" customHeight="1">
      <c r="A7935" s="1"/>
      <c r="B7935" s="1"/>
      <c r="C7935" s="1"/>
      <c r="D7935" s="1"/>
      <c r="E7935" s="1"/>
      <c r="F7935" s="1"/>
      <c r="G7935" s="1"/>
      <c r="H7935" s="1"/>
      <c r="I7935" s="1"/>
      <c r="J7935" s="1"/>
      <c r="K7935" s="102" t="s">
        <v>12360</v>
      </c>
      <c r="L7935" s="102" t="str">
        <f>G1143</f>
        <v>J2b2a2a~</v>
      </c>
      <c r="M7935" s="102"/>
      <c r="N7935" s="102" t="s">
        <v>12361</v>
      </c>
      <c r="O7935" s="105">
        <v>1.7510575E7</v>
      </c>
      <c r="P7935" s="105">
        <v>1.5398695E7</v>
      </c>
      <c r="Q7935" s="102" t="s">
        <v>2439</v>
      </c>
      <c r="S7935" s="1"/>
      <c r="T7935" s="1"/>
      <c r="U7935" s="1"/>
      <c r="V7935" s="1"/>
      <c r="W7935" s="1"/>
      <c r="X7935" s="1"/>
      <c r="Y7935" s="1"/>
      <c r="AA7935" s="102"/>
      <c r="AB7935" s="1"/>
      <c r="AC7935" s="1"/>
      <c r="AD7935" s="1"/>
      <c r="AE7935" s="1"/>
      <c r="AF7935" s="1"/>
      <c r="AG7935" s="1"/>
    </row>
    <row r="7936" ht="15.75" customHeight="1">
      <c r="A7936" s="1"/>
      <c r="B7936" s="1"/>
      <c r="C7936" s="1"/>
      <c r="D7936" s="1"/>
      <c r="E7936" s="1"/>
      <c r="F7936" s="1"/>
      <c r="G7936" s="1"/>
      <c r="H7936" s="1"/>
      <c r="I7936" s="1"/>
      <c r="J7936" s="1"/>
      <c r="K7936" s="102" t="s">
        <v>12362</v>
      </c>
      <c r="L7936" s="102" t="str">
        <f>G1143</f>
        <v>J2b2a2a~</v>
      </c>
      <c r="M7936" s="102"/>
      <c r="N7936" s="102" t="s">
        <v>12363</v>
      </c>
      <c r="O7936" s="105">
        <v>1.7620348E7</v>
      </c>
      <c r="P7936" s="105">
        <v>1.5508468E7</v>
      </c>
      <c r="Q7936" s="102" t="s">
        <v>2446</v>
      </c>
      <c r="S7936" s="1"/>
      <c r="T7936" s="1"/>
      <c r="U7936" s="1"/>
      <c r="V7936" s="1"/>
      <c r="W7936" s="1"/>
      <c r="X7936" s="1"/>
      <c r="Y7936" s="1"/>
      <c r="AA7936" s="102"/>
      <c r="AB7936" s="1"/>
      <c r="AC7936" s="1"/>
      <c r="AD7936" s="1"/>
      <c r="AE7936" s="1"/>
      <c r="AF7936" s="1"/>
      <c r="AG7936" s="1"/>
    </row>
    <row r="7937" ht="15.75" customHeight="1">
      <c r="A7937" s="1"/>
      <c r="B7937" s="1"/>
      <c r="C7937" s="1"/>
      <c r="D7937" s="1"/>
      <c r="E7937" s="1"/>
      <c r="F7937" s="1"/>
      <c r="G7937" s="1"/>
      <c r="H7937" s="1"/>
      <c r="I7937" s="1"/>
      <c r="J7937" s="1"/>
      <c r="K7937" s="102" t="s">
        <v>12364</v>
      </c>
      <c r="L7937" s="102" t="str">
        <f>G1143</f>
        <v>J2b2a2a~</v>
      </c>
      <c r="M7937" s="102"/>
      <c r="N7937" s="102" t="s">
        <v>12365</v>
      </c>
      <c r="O7937" s="105">
        <v>2.2578783E7</v>
      </c>
      <c r="P7937" s="105">
        <v>2.0416897E7</v>
      </c>
      <c r="Q7937" s="102" t="s">
        <v>2533</v>
      </c>
      <c r="S7937" s="1"/>
      <c r="T7937" s="1"/>
      <c r="U7937" s="1"/>
      <c r="V7937" s="1"/>
      <c r="W7937" s="1"/>
      <c r="X7937" s="1"/>
      <c r="Y7937" s="1"/>
      <c r="AA7937" s="102"/>
      <c r="AB7937" s="1"/>
      <c r="AC7937" s="1"/>
      <c r="AD7937" s="1"/>
      <c r="AE7937" s="1"/>
      <c r="AF7937" s="1"/>
      <c r="AG7937" s="1"/>
    </row>
    <row r="7938" ht="15.75" customHeight="1">
      <c r="A7938" s="1"/>
      <c r="B7938" s="1"/>
      <c r="C7938" s="1"/>
      <c r="D7938" s="1"/>
      <c r="E7938" s="1"/>
      <c r="F7938" s="1"/>
      <c r="G7938" s="1"/>
      <c r="H7938" s="1"/>
      <c r="I7938" s="1"/>
      <c r="J7938" s="1"/>
      <c r="K7938" s="102" t="s">
        <v>12366</v>
      </c>
      <c r="L7938" s="102" t="str">
        <f>G1143</f>
        <v>J2b2a2a~</v>
      </c>
      <c r="M7938" s="102"/>
      <c r="N7938" s="102" t="s">
        <v>12367</v>
      </c>
      <c r="O7938" s="105">
        <v>2.2911529E7</v>
      </c>
      <c r="P7938" s="105">
        <v>2.0749643E7</v>
      </c>
      <c r="Q7938" s="102" t="s">
        <v>2529</v>
      </c>
      <c r="S7938" s="1"/>
      <c r="T7938" s="1"/>
      <c r="U7938" s="1"/>
      <c r="V7938" s="1"/>
      <c r="W7938" s="1"/>
      <c r="X7938" s="1"/>
      <c r="Y7938" s="1"/>
      <c r="AA7938" s="102"/>
      <c r="AB7938" s="1"/>
      <c r="AC7938" s="1"/>
      <c r="AD7938" s="1"/>
      <c r="AE7938" s="1"/>
      <c r="AF7938" s="1"/>
      <c r="AG7938" s="1"/>
    </row>
    <row r="7939" ht="15.75" customHeight="1">
      <c r="A7939" s="1"/>
      <c r="B7939" s="1"/>
      <c r="C7939" s="1"/>
      <c r="D7939" s="1"/>
      <c r="E7939" s="1"/>
      <c r="F7939" s="1"/>
      <c r="G7939" s="1"/>
      <c r="H7939" s="1"/>
      <c r="I7939" s="1"/>
      <c r="J7939" s="1"/>
      <c r="K7939" s="102" t="s">
        <v>12368</v>
      </c>
      <c r="L7939" s="102" t="str">
        <f>G1143</f>
        <v>J2b2a2a~</v>
      </c>
      <c r="M7939" s="102"/>
      <c r="N7939" s="102" t="s">
        <v>12369</v>
      </c>
      <c r="O7939" s="105">
        <v>2.2951716E7</v>
      </c>
      <c r="P7939" s="105">
        <v>2.078983E7</v>
      </c>
      <c r="Q7939" s="102" t="s">
        <v>2439</v>
      </c>
      <c r="S7939" s="1"/>
      <c r="T7939" s="1"/>
      <c r="U7939" s="1"/>
      <c r="V7939" s="1"/>
      <c r="W7939" s="1"/>
      <c r="X7939" s="1"/>
      <c r="Y7939" s="1"/>
      <c r="AA7939" s="102"/>
      <c r="AB7939" s="1"/>
      <c r="AC7939" s="1"/>
      <c r="AD7939" s="1"/>
      <c r="AE7939" s="1"/>
      <c r="AF7939" s="1"/>
      <c r="AG7939" s="1"/>
    </row>
    <row r="7940" ht="15.75" customHeight="1">
      <c r="A7940" s="1"/>
      <c r="B7940" s="1"/>
      <c r="C7940" s="1"/>
      <c r="D7940" s="1"/>
      <c r="E7940" s="1"/>
      <c r="F7940" s="1"/>
      <c r="G7940" s="1"/>
      <c r="H7940" s="1"/>
      <c r="I7940" s="1"/>
      <c r="J7940" s="1"/>
      <c r="K7940" s="102" t="s">
        <v>12370</v>
      </c>
      <c r="L7940" s="102" t="str">
        <f>G1143</f>
        <v>J2b2a2a~</v>
      </c>
      <c r="M7940" s="102"/>
      <c r="N7940" s="102" t="s">
        <v>12371</v>
      </c>
      <c r="O7940" s="105">
        <v>7996300.0</v>
      </c>
      <c r="P7940" s="105">
        <v>8128259.0</v>
      </c>
      <c r="Q7940" s="102" t="s">
        <v>2529</v>
      </c>
      <c r="S7940" s="1"/>
      <c r="T7940" s="1"/>
      <c r="U7940" s="1"/>
      <c r="V7940" s="1"/>
      <c r="W7940" s="1"/>
      <c r="X7940" s="1"/>
      <c r="Y7940" s="1"/>
      <c r="AA7940" s="102"/>
      <c r="AB7940" s="1"/>
      <c r="AC7940" s="1"/>
      <c r="AD7940" s="1"/>
      <c r="AE7940" s="1"/>
      <c r="AF7940" s="1"/>
      <c r="AG7940" s="1"/>
    </row>
    <row r="7941" ht="15.75" customHeight="1">
      <c r="A7941" s="1"/>
      <c r="B7941" s="1"/>
      <c r="C7941" s="1"/>
      <c r="D7941" s="1"/>
      <c r="E7941" s="1"/>
      <c r="F7941" s="1"/>
      <c r="G7941" s="1"/>
      <c r="H7941" s="1"/>
      <c r="I7941" s="1"/>
      <c r="J7941" s="1"/>
      <c r="K7941" s="102" t="s">
        <v>12372</v>
      </c>
      <c r="L7941" s="102" t="str">
        <f>G1143</f>
        <v>J2b2a2a~</v>
      </c>
      <c r="M7941" s="102"/>
      <c r="N7941" s="102" t="s">
        <v>12373</v>
      </c>
      <c r="O7941" s="105">
        <v>1.6710304E7</v>
      </c>
      <c r="P7941" s="105">
        <v>1.4598424E7</v>
      </c>
      <c r="Q7941" s="102" t="s">
        <v>2468</v>
      </c>
      <c r="S7941" s="1"/>
      <c r="T7941" s="1"/>
      <c r="U7941" s="1"/>
      <c r="V7941" s="1"/>
      <c r="W7941" s="1"/>
      <c r="X7941" s="1"/>
      <c r="Y7941" s="1"/>
      <c r="AA7941" s="102"/>
      <c r="AB7941" s="1"/>
      <c r="AC7941" s="1"/>
      <c r="AD7941" s="1"/>
      <c r="AE7941" s="1"/>
      <c r="AF7941" s="1"/>
      <c r="AG7941" s="1"/>
    </row>
    <row r="7942" ht="15.75" customHeight="1">
      <c r="A7942" s="1"/>
      <c r="B7942" s="1"/>
      <c r="C7942" s="1"/>
      <c r="D7942" s="1"/>
      <c r="E7942" s="1"/>
      <c r="F7942" s="1"/>
      <c r="G7942" s="1"/>
      <c r="H7942" s="1"/>
      <c r="I7942" s="1"/>
      <c r="J7942" s="1"/>
      <c r="K7942" s="102" t="s">
        <v>12374</v>
      </c>
      <c r="L7942" s="102" t="str">
        <f>G1143</f>
        <v>J2b2a2a~</v>
      </c>
      <c r="M7942" s="102"/>
      <c r="N7942" s="102" t="s">
        <v>12375</v>
      </c>
      <c r="O7942" s="105">
        <v>6643967.0</v>
      </c>
      <c r="P7942" s="105">
        <v>6775926.0</v>
      </c>
      <c r="Q7942" s="102" t="s">
        <v>2529</v>
      </c>
      <c r="S7942" s="1"/>
      <c r="T7942" s="1"/>
      <c r="U7942" s="1"/>
      <c r="V7942" s="1"/>
      <c r="W7942" s="1"/>
      <c r="X7942" s="1"/>
      <c r="Y7942" s="1"/>
      <c r="AA7942" s="102"/>
      <c r="AB7942" s="1"/>
      <c r="AC7942" s="1"/>
      <c r="AD7942" s="1"/>
      <c r="AE7942" s="1"/>
      <c r="AF7942" s="1"/>
      <c r="AG7942" s="1"/>
    </row>
    <row r="7943" ht="15.75" customHeight="1">
      <c r="A7943" s="1"/>
      <c r="B7943" s="1"/>
      <c r="C7943" s="1"/>
      <c r="D7943" s="1"/>
      <c r="E7943" s="1"/>
      <c r="F7943" s="1"/>
      <c r="G7943" s="1"/>
      <c r="H7943" s="1"/>
      <c r="I7943" s="1"/>
      <c r="J7943" s="1"/>
      <c r="K7943" s="102" t="s">
        <v>12376</v>
      </c>
      <c r="L7943" s="102" t="str">
        <f>G1143</f>
        <v>J2b2a2a~</v>
      </c>
      <c r="M7943" s="102"/>
      <c r="N7943" s="102" t="s">
        <v>12377</v>
      </c>
      <c r="O7943" s="105">
        <v>7615256.0</v>
      </c>
      <c r="P7943" s="105">
        <v>7747215.0</v>
      </c>
      <c r="Q7943" s="102" t="s">
        <v>2533</v>
      </c>
      <c r="S7943" s="1"/>
      <c r="T7943" s="1"/>
      <c r="U7943" s="1"/>
      <c r="V7943" s="1"/>
      <c r="W7943" s="1"/>
      <c r="X7943" s="1"/>
      <c r="Y7943" s="1"/>
      <c r="AA7943" s="102"/>
      <c r="AB7943" s="1"/>
      <c r="AC7943" s="1"/>
      <c r="AD7943" s="1"/>
      <c r="AE7943" s="1"/>
      <c r="AF7943" s="1"/>
      <c r="AG7943" s="1"/>
    </row>
    <row r="7944" ht="15.75" customHeight="1">
      <c r="A7944" s="1"/>
      <c r="B7944" s="1"/>
      <c r="C7944" s="1"/>
      <c r="D7944" s="1"/>
      <c r="E7944" s="1"/>
      <c r="F7944" s="1"/>
      <c r="G7944" s="1"/>
      <c r="H7944" s="1"/>
      <c r="I7944" s="1"/>
      <c r="J7944" s="1"/>
      <c r="K7944" s="102" t="s">
        <v>12378</v>
      </c>
      <c r="L7944" s="102" t="str">
        <f>G1143</f>
        <v>J2b2a2a~</v>
      </c>
      <c r="M7944" s="102"/>
      <c r="N7944" s="102" t="s">
        <v>12379</v>
      </c>
      <c r="O7944" s="105">
        <v>1.7856976E7</v>
      </c>
      <c r="P7944" s="105">
        <v>1.5745096E7</v>
      </c>
      <c r="Q7944" s="102" t="s">
        <v>2533</v>
      </c>
      <c r="S7944" s="1"/>
      <c r="T7944" s="1"/>
      <c r="U7944" s="1"/>
      <c r="V7944" s="1"/>
      <c r="W7944" s="1"/>
      <c r="X7944" s="1"/>
      <c r="Y7944" s="1"/>
      <c r="AA7944" s="102"/>
      <c r="AB7944" s="1"/>
      <c r="AC7944" s="1"/>
      <c r="AD7944" s="1"/>
      <c r="AE7944" s="1"/>
      <c r="AF7944" s="1"/>
      <c r="AG7944" s="1"/>
    </row>
    <row r="7945" ht="15.75" customHeight="1">
      <c r="A7945" s="1"/>
      <c r="B7945" s="1"/>
      <c r="C7945" s="1"/>
      <c r="D7945" s="1"/>
      <c r="E7945" s="1"/>
      <c r="F7945" s="1"/>
      <c r="G7945" s="1"/>
      <c r="H7945" s="1"/>
      <c r="I7945" s="1"/>
      <c r="J7945" s="1"/>
      <c r="K7945" s="102" t="s">
        <v>12380</v>
      </c>
      <c r="L7945" s="102" t="str">
        <f>G1143</f>
        <v>J2b2a2a~</v>
      </c>
      <c r="M7945" s="102"/>
      <c r="N7945" s="102" t="s">
        <v>12381</v>
      </c>
      <c r="O7945" s="105">
        <v>1.7629604E7</v>
      </c>
      <c r="P7945" s="105">
        <v>1.5517724E7</v>
      </c>
      <c r="Q7945" s="102" t="s">
        <v>2439</v>
      </c>
      <c r="S7945" s="1"/>
      <c r="T7945" s="1"/>
      <c r="U7945" s="1"/>
      <c r="V7945" s="1"/>
      <c r="W7945" s="1"/>
      <c r="X7945" s="1"/>
      <c r="Y7945" s="1"/>
      <c r="AA7945" s="102"/>
      <c r="AB7945" s="1"/>
      <c r="AC7945" s="1"/>
      <c r="AD7945" s="1"/>
      <c r="AE7945" s="1"/>
      <c r="AF7945" s="1"/>
      <c r="AG7945" s="1"/>
    </row>
    <row r="7946" ht="15.75" customHeight="1">
      <c r="A7946" s="1"/>
      <c r="B7946" s="1"/>
      <c r="C7946" s="1"/>
      <c r="D7946" s="1"/>
      <c r="E7946" s="1"/>
      <c r="F7946" s="1"/>
      <c r="G7946" s="1"/>
      <c r="H7946" s="1"/>
      <c r="I7946" s="1"/>
      <c r="J7946" s="1"/>
      <c r="K7946" s="102" t="s">
        <v>12382</v>
      </c>
      <c r="L7946" s="102" t="str">
        <f>G1143</f>
        <v>J2b2a2a~</v>
      </c>
      <c r="M7946" s="102"/>
      <c r="N7946" s="102"/>
      <c r="O7946" s="105">
        <v>2.2640323E7</v>
      </c>
      <c r="P7946" s="105">
        <v>2.0478437E7</v>
      </c>
      <c r="Q7946" s="102" t="s">
        <v>2439</v>
      </c>
      <c r="S7946" s="1"/>
      <c r="T7946" s="1"/>
      <c r="U7946" s="1"/>
      <c r="V7946" s="1"/>
      <c r="W7946" s="1"/>
      <c r="X7946" s="1"/>
      <c r="Y7946" s="1"/>
      <c r="AA7946" s="102"/>
      <c r="AB7946" s="1"/>
      <c r="AC7946" s="1"/>
      <c r="AD7946" s="1"/>
      <c r="AE7946" s="1"/>
      <c r="AF7946" s="1"/>
      <c r="AG7946" s="1"/>
    </row>
    <row r="7947" ht="15.75" customHeight="1">
      <c r="A7947" s="1"/>
      <c r="B7947" s="1"/>
      <c r="C7947" s="1"/>
      <c r="D7947" s="1"/>
      <c r="E7947" s="1"/>
      <c r="F7947" s="1"/>
      <c r="G7947" s="1"/>
      <c r="H7947" s="1"/>
      <c r="I7947" s="1"/>
      <c r="J7947" s="1"/>
      <c r="K7947" s="106" t="s">
        <v>12383</v>
      </c>
      <c r="L7947" s="102" t="str">
        <f>G1143</f>
        <v>J2b2a2a~</v>
      </c>
      <c r="M7947" s="102"/>
      <c r="N7947" s="102"/>
      <c r="O7947" s="104">
        <v>2.2951246E7</v>
      </c>
      <c r="P7947" s="111">
        <v>2.078936E7</v>
      </c>
      <c r="Q7947" s="112" t="s">
        <v>2501</v>
      </c>
      <c r="S7947" s="1"/>
      <c r="T7947" s="1"/>
      <c r="U7947" s="1"/>
      <c r="V7947" s="1"/>
      <c r="W7947" s="1"/>
      <c r="X7947" s="1"/>
      <c r="Y7947" s="1"/>
      <c r="AA7947" s="102"/>
      <c r="AB7947" s="1"/>
      <c r="AC7947" s="1"/>
      <c r="AD7947" s="1"/>
      <c r="AE7947" s="1"/>
      <c r="AF7947" s="1"/>
      <c r="AG7947" s="1"/>
    </row>
    <row r="7948" ht="15.75" customHeight="1">
      <c r="A7948" s="1"/>
      <c r="B7948" s="1"/>
      <c r="C7948" s="1"/>
      <c r="D7948" s="1"/>
      <c r="E7948" s="1"/>
      <c r="F7948" s="1"/>
      <c r="G7948" s="1"/>
      <c r="H7948" s="1"/>
      <c r="I7948" s="1"/>
      <c r="J7948" s="1"/>
      <c r="K7948" s="106" t="s">
        <v>12384</v>
      </c>
      <c r="L7948" s="102" t="str">
        <f>G1143</f>
        <v>J2b2a2a~</v>
      </c>
      <c r="M7948" s="102"/>
      <c r="N7948" s="108" t="s">
        <v>12385</v>
      </c>
      <c r="O7948" s="104">
        <v>2.3054732E7</v>
      </c>
      <c r="P7948" s="111">
        <v>2.0892846E7</v>
      </c>
      <c r="Q7948" s="112" t="s">
        <v>2439</v>
      </c>
      <c r="S7948" s="1"/>
      <c r="T7948" s="1"/>
      <c r="U7948" s="1"/>
      <c r="V7948" s="1"/>
      <c r="W7948" s="1"/>
      <c r="X7948" s="1"/>
      <c r="Y7948" s="1"/>
      <c r="AA7948" s="102"/>
      <c r="AB7948" s="1"/>
      <c r="AC7948" s="1"/>
      <c r="AD7948" s="1"/>
      <c r="AE7948" s="1"/>
      <c r="AF7948" s="1"/>
      <c r="AG7948" s="1"/>
    </row>
    <row r="7949" ht="15.75" customHeight="1">
      <c r="A7949" s="1"/>
      <c r="B7949" s="1"/>
      <c r="C7949" s="1"/>
      <c r="D7949" s="1"/>
      <c r="E7949" s="1"/>
      <c r="F7949" s="1"/>
      <c r="G7949" s="1"/>
      <c r="H7949" s="1"/>
      <c r="I7949" s="1"/>
      <c r="J7949" s="1"/>
      <c r="K7949" s="102" t="s">
        <v>12386</v>
      </c>
      <c r="L7949" s="102" t="str">
        <f>G1143</f>
        <v>J2b2a2a~</v>
      </c>
      <c r="M7949" s="102"/>
      <c r="N7949" s="102" t="s">
        <v>12387</v>
      </c>
      <c r="O7949" s="105">
        <v>7418666.0</v>
      </c>
      <c r="P7949" s="105">
        <v>7550625.0</v>
      </c>
      <c r="Q7949" s="102" t="s">
        <v>2501</v>
      </c>
      <c r="S7949" s="1"/>
      <c r="T7949" s="1"/>
      <c r="U7949" s="1"/>
      <c r="V7949" s="1"/>
      <c r="W7949" s="1"/>
      <c r="X7949" s="1"/>
      <c r="Y7949" s="1"/>
      <c r="AA7949" s="102"/>
      <c r="AB7949" s="1"/>
      <c r="AC7949" s="1"/>
      <c r="AD7949" s="1"/>
      <c r="AE7949" s="1"/>
      <c r="AF7949" s="1"/>
      <c r="AG7949" s="1"/>
    </row>
    <row r="7950" ht="15.75" customHeight="1">
      <c r="A7950" s="1"/>
      <c r="B7950" s="1"/>
      <c r="C7950" s="1"/>
      <c r="D7950" s="1"/>
      <c r="E7950" s="1"/>
      <c r="F7950" s="1"/>
      <c r="G7950" s="1"/>
      <c r="H7950" s="1"/>
      <c r="I7950" s="1"/>
      <c r="J7950" s="1"/>
      <c r="K7950" s="102" t="s">
        <v>12388</v>
      </c>
      <c r="L7950" s="102" t="str">
        <f>G1143</f>
        <v>J2b2a2a~</v>
      </c>
      <c r="M7950" s="102"/>
      <c r="N7950" s="102" t="s">
        <v>12389</v>
      </c>
      <c r="O7950" s="105">
        <v>2.3145972E7</v>
      </c>
      <c r="P7950" s="105">
        <v>2.0984086E7</v>
      </c>
      <c r="Q7950" s="102" t="s">
        <v>2563</v>
      </c>
      <c r="S7950" s="1"/>
      <c r="T7950" s="1"/>
      <c r="U7950" s="1"/>
      <c r="V7950" s="1"/>
      <c r="W7950" s="1"/>
      <c r="X7950" s="1"/>
      <c r="Y7950" s="1"/>
      <c r="AA7950" s="102"/>
      <c r="AB7950" s="1"/>
      <c r="AC7950" s="1"/>
      <c r="AD7950" s="1"/>
      <c r="AE7950" s="1"/>
      <c r="AF7950" s="1"/>
      <c r="AG7950" s="1"/>
    </row>
    <row r="7951" ht="15.75" customHeight="1">
      <c r="A7951" s="1"/>
      <c r="B7951" s="1"/>
      <c r="C7951" s="1"/>
      <c r="D7951" s="1"/>
      <c r="E7951" s="1"/>
      <c r="F7951" s="1"/>
      <c r="G7951" s="1"/>
      <c r="H7951" s="1"/>
      <c r="I7951" s="1"/>
      <c r="J7951" s="1"/>
      <c r="K7951" s="102" t="s">
        <v>12390</v>
      </c>
      <c r="L7951" s="102" t="str">
        <f>H1144</f>
        <v>J2b2a2a1~</v>
      </c>
      <c r="M7951" s="102"/>
      <c r="N7951" s="102" t="s">
        <v>12391</v>
      </c>
      <c r="O7951" s="105">
        <v>7641937.0</v>
      </c>
      <c r="P7951" s="105">
        <v>7773896.0</v>
      </c>
      <c r="Q7951" s="102" t="s">
        <v>2576</v>
      </c>
      <c r="S7951" s="1"/>
      <c r="T7951" s="1"/>
      <c r="U7951" s="1"/>
      <c r="V7951" s="1"/>
      <c r="W7951" s="1"/>
      <c r="X7951" s="1"/>
      <c r="Y7951" s="1"/>
      <c r="AA7951" s="102"/>
      <c r="AB7951" s="1"/>
      <c r="AC7951" s="1"/>
      <c r="AD7951" s="1"/>
      <c r="AE7951" s="1"/>
      <c r="AF7951" s="1"/>
      <c r="AG7951" s="1"/>
    </row>
    <row r="7952" ht="15.75" customHeight="1">
      <c r="A7952" s="1"/>
      <c r="B7952" s="1"/>
      <c r="C7952" s="1"/>
      <c r="D7952" s="1"/>
      <c r="E7952" s="1"/>
      <c r="F7952" s="1"/>
      <c r="G7952" s="1"/>
      <c r="H7952" s="1"/>
      <c r="I7952" s="1"/>
      <c r="J7952" s="1"/>
      <c r="K7952" s="102" t="s">
        <v>12392</v>
      </c>
      <c r="L7952" s="102" t="str">
        <f>H1144</f>
        <v>J2b2a2a1~</v>
      </c>
      <c r="M7952" s="102"/>
      <c r="N7952" s="102" t="s">
        <v>12393</v>
      </c>
      <c r="O7952" s="105">
        <v>7902508.0</v>
      </c>
      <c r="P7952" s="105">
        <v>8034467.0</v>
      </c>
      <c r="Q7952" s="102" t="s">
        <v>2529</v>
      </c>
      <c r="S7952" s="1"/>
      <c r="T7952" s="1"/>
      <c r="U7952" s="1"/>
      <c r="V7952" s="1"/>
      <c r="W7952" s="1"/>
      <c r="X7952" s="1"/>
      <c r="Y7952" s="1"/>
      <c r="AA7952" s="102"/>
      <c r="AB7952" s="1"/>
      <c r="AC7952" s="1"/>
      <c r="AD7952" s="1"/>
      <c r="AE7952" s="1"/>
      <c r="AF7952" s="1"/>
      <c r="AG7952" s="1"/>
    </row>
    <row r="7953" ht="15.75" customHeight="1">
      <c r="A7953" s="1"/>
      <c r="B7953" s="1"/>
      <c r="C7953" s="1"/>
      <c r="D7953" s="1"/>
      <c r="E7953" s="1"/>
      <c r="F7953" s="1"/>
      <c r="G7953" s="1"/>
      <c r="H7953" s="1"/>
      <c r="I7953" s="1"/>
      <c r="J7953" s="1"/>
      <c r="K7953" s="102" t="s">
        <v>12394</v>
      </c>
      <c r="L7953" s="102" t="str">
        <f>H1144</f>
        <v>J2b2a2a1~</v>
      </c>
      <c r="M7953" s="102"/>
      <c r="N7953" s="102" t="s">
        <v>12395</v>
      </c>
      <c r="O7953" s="105">
        <v>8566330.0</v>
      </c>
      <c r="P7953" s="105">
        <v>8698289.0</v>
      </c>
      <c r="Q7953" s="102" t="s">
        <v>2468</v>
      </c>
      <c r="S7953" s="1"/>
      <c r="T7953" s="1"/>
      <c r="U7953" s="1"/>
      <c r="V7953" s="1"/>
      <c r="W7953" s="1"/>
      <c r="X7953" s="1"/>
      <c r="Y7953" s="1"/>
      <c r="AA7953" s="102"/>
      <c r="AB7953" s="1"/>
      <c r="AC7953" s="1"/>
      <c r="AD7953" s="1"/>
      <c r="AE7953" s="1"/>
      <c r="AF7953" s="1"/>
      <c r="AG7953" s="1"/>
    </row>
    <row r="7954" ht="15.75" customHeight="1">
      <c r="A7954" s="1"/>
      <c r="B7954" s="1"/>
      <c r="C7954" s="1"/>
      <c r="D7954" s="1"/>
      <c r="E7954" s="1"/>
      <c r="F7954" s="1"/>
      <c r="G7954" s="1"/>
      <c r="H7954" s="1"/>
      <c r="I7954" s="1"/>
      <c r="J7954" s="1"/>
      <c r="K7954" s="102" t="s">
        <v>12396</v>
      </c>
      <c r="L7954" s="102" t="str">
        <f>H1144</f>
        <v>J2b2a2a1~</v>
      </c>
      <c r="M7954" s="102"/>
      <c r="N7954" s="102" t="s">
        <v>12397</v>
      </c>
      <c r="O7954" s="105">
        <v>9898282.0</v>
      </c>
      <c r="P7954" s="105">
        <v>1.0060673E7</v>
      </c>
      <c r="Q7954" s="102" t="s">
        <v>2501</v>
      </c>
      <c r="S7954" s="1"/>
      <c r="T7954" s="1"/>
      <c r="U7954" s="1"/>
      <c r="V7954" s="1"/>
      <c r="W7954" s="1"/>
      <c r="X7954" s="1"/>
      <c r="Y7954" s="1"/>
      <c r="AA7954" s="102"/>
      <c r="AB7954" s="1"/>
      <c r="AC7954" s="1"/>
      <c r="AD7954" s="1"/>
      <c r="AE7954" s="1"/>
      <c r="AF7954" s="1"/>
      <c r="AG7954" s="1"/>
    </row>
    <row r="7955" ht="15.75" customHeight="1">
      <c r="A7955" s="1"/>
      <c r="B7955" s="1"/>
      <c r="C7955" s="1"/>
      <c r="D7955" s="1"/>
      <c r="E7955" s="1"/>
      <c r="F7955" s="1"/>
      <c r="G7955" s="1"/>
      <c r="H7955" s="1"/>
      <c r="I7955" s="1"/>
      <c r="J7955" s="1"/>
      <c r="K7955" s="102" t="s">
        <v>12398</v>
      </c>
      <c r="L7955" s="102" t="str">
        <f>H1144</f>
        <v>J2b2a2a1~</v>
      </c>
      <c r="M7955" s="102"/>
      <c r="N7955" s="102"/>
      <c r="O7955" s="105">
        <v>1.3830273E7</v>
      </c>
      <c r="P7955" s="105">
        <v>1.1709567E7</v>
      </c>
      <c r="Q7955" s="102" t="s">
        <v>2423</v>
      </c>
      <c r="S7955" s="1"/>
      <c r="T7955" s="1"/>
      <c r="U7955" s="1"/>
      <c r="V7955" s="1"/>
      <c r="W7955" s="1"/>
      <c r="X7955" s="1"/>
      <c r="Y7955" s="1"/>
      <c r="AA7955" s="102"/>
      <c r="AB7955" s="1"/>
      <c r="AC7955" s="1"/>
      <c r="AD7955" s="1"/>
      <c r="AE7955" s="1"/>
      <c r="AF7955" s="1"/>
      <c r="AG7955" s="1"/>
    </row>
    <row r="7956" ht="15.75" customHeight="1">
      <c r="A7956" s="1"/>
      <c r="B7956" s="1"/>
      <c r="C7956" s="1"/>
      <c r="D7956" s="1"/>
      <c r="E7956" s="1"/>
      <c r="F7956" s="1"/>
      <c r="G7956" s="1"/>
      <c r="H7956" s="1"/>
      <c r="I7956" s="1"/>
      <c r="J7956" s="1"/>
      <c r="K7956" s="102" t="s">
        <v>12399</v>
      </c>
      <c r="L7956" s="102" t="str">
        <f>H1144</f>
        <v>J2b2a2a1~</v>
      </c>
      <c r="M7956" s="102"/>
      <c r="N7956" s="102" t="s">
        <v>12400</v>
      </c>
      <c r="O7956" s="105">
        <v>1.5469004E7</v>
      </c>
      <c r="P7956" s="105">
        <v>1.3357124E7</v>
      </c>
      <c r="Q7956" s="102" t="s">
        <v>2468</v>
      </c>
      <c r="S7956" s="1"/>
      <c r="T7956" s="1"/>
      <c r="U7956" s="1"/>
      <c r="V7956" s="1"/>
      <c r="W7956" s="1"/>
      <c r="X7956" s="1"/>
      <c r="Y7956" s="1"/>
      <c r="AA7956" s="102"/>
      <c r="AB7956" s="1"/>
      <c r="AC7956" s="1"/>
      <c r="AD7956" s="1"/>
      <c r="AE7956" s="1"/>
      <c r="AF7956" s="1"/>
      <c r="AG7956" s="1"/>
    </row>
    <row r="7957" ht="15.75" customHeight="1">
      <c r="A7957" s="1"/>
      <c r="B7957" s="1"/>
      <c r="C7957" s="1"/>
      <c r="D7957" s="1"/>
      <c r="E7957" s="1"/>
      <c r="F7957" s="1"/>
      <c r="G7957" s="1"/>
      <c r="H7957" s="1"/>
      <c r="I7957" s="1"/>
      <c r="J7957" s="1"/>
      <c r="K7957" s="102" t="s">
        <v>12401</v>
      </c>
      <c r="L7957" s="102" t="str">
        <f>H1144</f>
        <v>J2b2a2a1~</v>
      </c>
      <c r="M7957" s="102"/>
      <c r="N7957" s="102" t="s">
        <v>12402</v>
      </c>
      <c r="O7957" s="105">
        <v>1.8266012E7</v>
      </c>
      <c r="P7957" s="105">
        <v>1.6154132E7</v>
      </c>
      <c r="Q7957" s="102" t="s">
        <v>2432</v>
      </c>
      <c r="S7957" s="1"/>
      <c r="T7957" s="1"/>
      <c r="U7957" s="1"/>
      <c r="V7957" s="1"/>
      <c r="W7957" s="1"/>
      <c r="X7957" s="1"/>
      <c r="Y7957" s="1"/>
      <c r="AA7957" s="102"/>
      <c r="AB7957" s="1"/>
      <c r="AC7957" s="1"/>
      <c r="AD7957" s="1"/>
      <c r="AE7957" s="1"/>
      <c r="AF7957" s="1"/>
      <c r="AG7957" s="1"/>
    </row>
    <row r="7958" ht="15.75" customHeight="1">
      <c r="A7958" s="1"/>
      <c r="B7958" s="1"/>
      <c r="C7958" s="1"/>
      <c r="D7958" s="1"/>
      <c r="E7958" s="1"/>
      <c r="F7958" s="1"/>
      <c r="G7958" s="1"/>
      <c r="H7958" s="1"/>
      <c r="I7958" s="1"/>
      <c r="J7958" s="1"/>
      <c r="K7958" s="102" t="s">
        <v>12403</v>
      </c>
      <c r="L7958" s="102" t="str">
        <f>H1144</f>
        <v>J2b2a2a1~</v>
      </c>
      <c r="M7958" s="102"/>
      <c r="N7958" s="102" t="s">
        <v>12404</v>
      </c>
      <c r="O7958" s="105">
        <v>2.2939082E7</v>
      </c>
      <c r="P7958" s="105">
        <v>2.0777196E7</v>
      </c>
      <c r="Q7958" s="102" t="s">
        <v>2529</v>
      </c>
      <c r="S7958" s="1"/>
      <c r="T7958" s="1"/>
      <c r="U7958" s="1"/>
      <c r="V7958" s="1"/>
      <c r="W7958" s="1"/>
      <c r="X7958" s="1"/>
      <c r="Y7958" s="1"/>
      <c r="AA7958" s="102"/>
      <c r="AB7958" s="1"/>
      <c r="AC7958" s="1"/>
      <c r="AD7958" s="1"/>
      <c r="AE7958" s="1"/>
      <c r="AF7958" s="1"/>
      <c r="AG7958" s="1"/>
    </row>
    <row r="7959" ht="15.75" customHeight="1">
      <c r="A7959" s="1"/>
      <c r="B7959" s="1"/>
      <c r="C7959" s="1"/>
      <c r="D7959" s="1"/>
      <c r="E7959" s="1"/>
      <c r="F7959" s="1"/>
      <c r="G7959" s="1"/>
      <c r="H7959" s="1"/>
      <c r="I7959" s="1"/>
      <c r="J7959" s="1"/>
      <c r="K7959" s="102" t="s">
        <v>12405</v>
      </c>
      <c r="L7959" s="102" t="str">
        <f>H1144</f>
        <v>J2b2a2a1~</v>
      </c>
      <c r="M7959" s="102"/>
      <c r="N7959" s="102" t="s">
        <v>12406</v>
      </c>
      <c r="O7959" s="105">
        <v>2.3074237E7</v>
      </c>
      <c r="P7959" s="105">
        <v>2.0912351E7</v>
      </c>
      <c r="Q7959" s="102" t="s">
        <v>2439</v>
      </c>
      <c r="S7959" s="1"/>
      <c r="T7959" s="1"/>
      <c r="U7959" s="1"/>
      <c r="V7959" s="1"/>
      <c r="W7959" s="1"/>
      <c r="X7959" s="1"/>
      <c r="Y7959" s="1"/>
      <c r="AA7959" s="102"/>
      <c r="AB7959" s="1"/>
      <c r="AC7959" s="1"/>
      <c r="AD7959" s="1"/>
      <c r="AE7959" s="1"/>
      <c r="AF7959" s="1"/>
      <c r="AG7959" s="1"/>
    </row>
    <row r="7960" ht="15.75" customHeight="1">
      <c r="A7960" s="1"/>
      <c r="B7960" s="1"/>
      <c r="C7960" s="1"/>
      <c r="D7960" s="1"/>
      <c r="E7960" s="1"/>
      <c r="F7960" s="1"/>
      <c r="G7960" s="1"/>
      <c r="H7960" s="1"/>
      <c r="I7960" s="1"/>
      <c r="J7960" s="1"/>
      <c r="K7960" s="102" t="s">
        <v>12407</v>
      </c>
      <c r="L7960" s="102" t="str">
        <f>H1144</f>
        <v>J2b2a2a1~</v>
      </c>
      <c r="M7960" s="102"/>
      <c r="N7960" s="102" t="s">
        <v>12408</v>
      </c>
      <c r="O7960" s="105">
        <v>2.3573767E7</v>
      </c>
      <c r="P7960" s="105">
        <v>2.1411881E7</v>
      </c>
      <c r="Q7960" s="102" t="s">
        <v>2529</v>
      </c>
      <c r="S7960" s="1"/>
      <c r="T7960" s="1"/>
      <c r="U7960" s="1"/>
      <c r="V7960" s="1"/>
      <c r="W7960" s="1"/>
      <c r="X7960" s="1"/>
      <c r="Y7960" s="1"/>
      <c r="AA7960" s="102"/>
      <c r="AB7960" s="1"/>
      <c r="AC7960" s="1"/>
      <c r="AD7960" s="1"/>
      <c r="AE7960" s="1"/>
      <c r="AF7960" s="1"/>
      <c r="AG7960" s="1"/>
    </row>
    <row r="7961" ht="15.75" customHeight="1">
      <c r="A7961" s="1"/>
      <c r="B7961" s="1"/>
      <c r="C7961" s="1"/>
      <c r="D7961" s="1"/>
      <c r="E7961" s="1"/>
      <c r="F7961" s="1"/>
      <c r="G7961" s="1"/>
      <c r="H7961" s="1"/>
      <c r="I7961" s="1"/>
      <c r="J7961" s="1"/>
      <c r="K7961" s="102" t="s">
        <v>12409</v>
      </c>
      <c r="L7961" s="102" t="str">
        <f>H1144</f>
        <v>J2b2a2a1~</v>
      </c>
      <c r="M7961" s="102"/>
      <c r="N7961" s="102" t="s">
        <v>12410</v>
      </c>
      <c r="O7961" s="105">
        <v>1.4707829E7</v>
      </c>
      <c r="P7961" s="105">
        <v>1.2595895E7</v>
      </c>
      <c r="Q7961" s="102" t="s">
        <v>2439</v>
      </c>
      <c r="S7961" s="1"/>
      <c r="T7961" s="1"/>
      <c r="U7961" s="1"/>
      <c r="V7961" s="1"/>
      <c r="W7961" s="1"/>
      <c r="X7961" s="1"/>
      <c r="Y7961" s="1"/>
      <c r="AA7961" s="102"/>
      <c r="AB7961" s="1"/>
      <c r="AC7961" s="1"/>
      <c r="AD7961" s="1"/>
      <c r="AE7961" s="1"/>
      <c r="AF7961" s="1"/>
      <c r="AG7961" s="1"/>
    </row>
    <row r="7962" ht="15.75" customHeight="1">
      <c r="A7962" s="1"/>
      <c r="B7962" s="1"/>
      <c r="C7962" s="1"/>
      <c r="D7962" s="1"/>
      <c r="E7962" s="1"/>
      <c r="F7962" s="1"/>
      <c r="G7962" s="1"/>
      <c r="H7962" s="1"/>
      <c r="I7962" s="1"/>
      <c r="J7962" s="1"/>
      <c r="K7962" s="102" t="s">
        <v>12411</v>
      </c>
      <c r="L7962" s="102" t="str">
        <f>H1144</f>
        <v>J2b2a2a1~</v>
      </c>
      <c r="M7962" s="102"/>
      <c r="N7962" s="102" t="s">
        <v>12412</v>
      </c>
      <c r="O7962" s="105">
        <v>1.5798731E7</v>
      </c>
      <c r="P7962" s="105">
        <v>1.3686851E7</v>
      </c>
      <c r="Q7962" s="102" t="s">
        <v>2446</v>
      </c>
      <c r="S7962" s="1"/>
      <c r="T7962" s="1"/>
      <c r="U7962" s="1"/>
      <c r="V7962" s="1"/>
      <c r="W7962" s="1"/>
      <c r="X7962" s="1"/>
      <c r="Y7962" s="1"/>
      <c r="AA7962" s="102"/>
      <c r="AB7962" s="1"/>
      <c r="AC7962" s="1"/>
      <c r="AD7962" s="1"/>
      <c r="AE7962" s="1"/>
      <c r="AF7962" s="1"/>
      <c r="AG7962" s="1"/>
    </row>
    <row r="7963" ht="15.75" customHeight="1">
      <c r="A7963" s="1"/>
      <c r="B7963" s="1"/>
      <c r="C7963" s="1"/>
      <c r="D7963" s="1"/>
      <c r="E7963" s="1"/>
      <c r="F7963" s="1"/>
      <c r="G7963" s="1"/>
      <c r="H7963" s="1"/>
      <c r="I7963" s="1"/>
      <c r="J7963" s="1"/>
      <c r="K7963" s="102" t="s">
        <v>12413</v>
      </c>
      <c r="L7963" s="102" t="str">
        <f>H1144</f>
        <v>J2b2a2a1~</v>
      </c>
      <c r="M7963" s="102"/>
      <c r="N7963" s="102" t="s">
        <v>12414</v>
      </c>
      <c r="O7963" s="105">
        <v>2.3070413E7</v>
      </c>
      <c r="P7963" s="105">
        <v>2.0908527E7</v>
      </c>
      <c r="Q7963" s="102" t="s">
        <v>2514</v>
      </c>
      <c r="S7963" s="1"/>
      <c r="T7963" s="1"/>
      <c r="U7963" s="1"/>
      <c r="V7963" s="1"/>
      <c r="W7963" s="1"/>
      <c r="X7963" s="1"/>
      <c r="Y7963" s="1"/>
      <c r="AA7963" s="102"/>
      <c r="AB7963" s="1"/>
      <c r="AC7963" s="1"/>
      <c r="AD7963" s="1"/>
      <c r="AE7963" s="1"/>
      <c r="AF7963" s="1"/>
      <c r="AG7963" s="1"/>
    </row>
    <row r="7964" ht="15.75" customHeight="1">
      <c r="A7964" s="1"/>
      <c r="B7964" s="1"/>
      <c r="C7964" s="1"/>
      <c r="D7964" s="1"/>
      <c r="E7964" s="1"/>
      <c r="F7964" s="1"/>
      <c r="G7964" s="1"/>
      <c r="H7964" s="1"/>
      <c r="I7964" s="1"/>
      <c r="J7964" s="1"/>
      <c r="K7964" s="102" t="s">
        <v>12415</v>
      </c>
      <c r="L7964" s="102" t="str">
        <f>H1144</f>
        <v>J2b2a2a1~</v>
      </c>
      <c r="M7964" s="102"/>
      <c r="N7964" s="102" t="s">
        <v>12416</v>
      </c>
      <c r="O7964" s="105">
        <v>2.1775255E7</v>
      </c>
      <c r="P7964" s="105">
        <v>1.9613369E7</v>
      </c>
      <c r="Q7964" s="102" t="s">
        <v>2439</v>
      </c>
      <c r="S7964" s="1"/>
      <c r="T7964" s="1"/>
      <c r="U7964" s="1"/>
      <c r="V7964" s="1"/>
      <c r="W7964" s="1"/>
      <c r="X7964" s="1"/>
      <c r="Y7964" s="1"/>
      <c r="AA7964" s="102"/>
      <c r="AB7964" s="1"/>
      <c r="AC7964" s="1"/>
      <c r="AD7964" s="1"/>
      <c r="AE7964" s="1"/>
      <c r="AF7964" s="1"/>
      <c r="AG7964" s="1"/>
    </row>
    <row r="7965" ht="15.75" customHeight="1">
      <c r="A7965" s="1"/>
      <c r="B7965" s="1"/>
      <c r="C7965" s="1"/>
      <c r="D7965" s="1"/>
      <c r="E7965" s="1"/>
      <c r="F7965" s="1"/>
      <c r="G7965" s="1"/>
      <c r="H7965" s="1"/>
      <c r="I7965" s="1"/>
      <c r="J7965" s="1"/>
      <c r="K7965" s="102" t="s">
        <v>12417</v>
      </c>
      <c r="L7965" s="102" t="str">
        <f>H1144</f>
        <v>J2b2a2a1~</v>
      </c>
      <c r="M7965" s="102"/>
      <c r="N7965" s="102" t="s">
        <v>12418</v>
      </c>
      <c r="O7965" s="105">
        <v>1.8812176E7</v>
      </c>
      <c r="P7965" s="105">
        <v>1.6700296E7</v>
      </c>
      <c r="Q7965" s="102" t="s">
        <v>2529</v>
      </c>
      <c r="S7965" s="1"/>
      <c r="T7965" s="1"/>
      <c r="U7965" s="1"/>
      <c r="V7965" s="1"/>
      <c r="W7965" s="1"/>
      <c r="X7965" s="1"/>
      <c r="Y7965" s="1"/>
      <c r="AA7965" s="102"/>
      <c r="AB7965" s="1"/>
      <c r="AC7965" s="1"/>
      <c r="AD7965" s="1"/>
      <c r="AE7965" s="1"/>
      <c r="AF7965" s="1"/>
      <c r="AG7965" s="1"/>
    </row>
    <row r="7966" ht="15.75" customHeight="1">
      <c r="A7966" s="1"/>
      <c r="B7966" s="1"/>
      <c r="C7966" s="1"/>
      <c r="D7966" s="1"/>
      <c r="E7966" s="1"/>
      <c r="F7966" s="1"/>
      <c r="G7966" s="1"/>
      <c r="H7966" s="1"/>
      <c r="I7966" s="1"/>
      <c r="J7966" s="1"/>
      <c r="K7966" s="102" t="s">
        <v>12419</v>
      </c>
      <c r="L7966" s="102" t="str">
        <f>G1145</f>
        <v>J2b2a2b~</v>
      </c>
      <c r="M7966" s="102" t="s">
        <v>12420</v>
      </c>
      <c r="N7966" s="102" t="s">
        <v>12421</v>
      </c>
      <c r="O7966" s="105">
        <v>1.0074958E7</v>
      </c>
      <c r="P7966" s="105">
        <v>1.0237349E7</v>
      </c>
      <c r="Q7966" s="102" t="s">
        <v>2533</v>
      </c>
      <c r="S7966" s="1"/>
      <c r="T7966" s="1"/>
      <c r="U7966" s="1"/>
      <c r="V7966" s="1"/>
      <c r="W7966" s="1"/>
      <c r="X7966" s="1"/>
      <c r="Y7966" s="1"/>
      <c r="AA7966" s="102"/>
      <c r="AB7966" s="1"/>
      <c r="AC7966" s="1"/>
      <c r="AD7966" s="1"/>
      <c r="AE7966" s="1"/>
      <c r="AF7966" s="1"/>
      <c r="AG7966" s="1"/>
    </row>
    <row r="7967" ht="15.75" customHeight="1">
      <c r="A7967" s="1"/>
      <c r="B7967" s="1"/>
      <c r="C7967" s="1"/>
      <c r="D7967" s="1"/>
      <c r="E7967" s="1"/>
      <c r="F7967" s="1"/>
      <c r="G7967" s="1"/>
      <c r="H7967" s="1"/>
      <c r="I7967" s="1"/>
      <c r="J7967" s="1"/>
      <c r="K7967" s="102" t="s">
        <v>12420</v>
      </c>
      <c r="L7967" s="102" t="str">
        <f>G1145</f>
        <v>J2b2a2b~</v>
      </c>
      <c r="M7967" s="102" t="s">
        <v>12419</v>
      </c>
      <c r="N7967" s="102" t="s">
        <v>12421</v>
      </c>
      <c r="O7967" s="105">
        <v>1.0074958E7</v>
      </c>
      <c r="P7967" s="105">
        <v>1.0237349E7</v>
      </c>
      <c r="Q7967" s="102" t="s">
        <v>2533</v>
      </c>
      <c r="S7967" s="1"/>
      <c r="T7967" s="1"/>
      <c r="U7967" s="1"/>
      <c r="V7967" s="1"/>
      <c r="W7967" s="1"/>
      <c r="X7967" s="1"/>
      <c r="Y7967" s="1"/>
      <c r="AA7967" s="102"/>
      <c r="AB7967" s="1"/>
      <c r="AC7967" s="1"/>
      <c r="AD7967" s="1"/>
      <c r="AE7967" s="1"/>
      <c r="AF7967" s="1"/>
      <c r="AG7967" s="1"/>
    </row>
    <row r="7968" ht="15.75" customHeight="1">
      <c r="A7968" s="1"/>
      <c r="B7968" s="1"/>
      <c r="C7968" s="1"/>
      <c r="D7968" s="1"/>
      <c r="E7968" s="1"/>
      <c r="F7968" s="1"/>
      <c r="G7968" s="1"/>
      <c r="H7968" s="1"/>
      <c r="I7968" s="1"/>
      <c r="J7968" s="1"/>
      <c r="K7968" s="106" t="s">
        <v>12422</v>
      </c>
      <c r="L7968" s="102" t="str">
        <f>G1145</f>
        <v>J2b2a2b~</v>
      </c>
      <c r="M7968" s="102"/>
      <c r="N7968" t="s">
        <v>12423</v>
      </c>
      <c r="O7968" s="104">
        <v>4976158.0</v>
      </c>
      <c r="P7968" s="111">
        <v>5108117.0</v>
      </c>
      <c r="Q7968" s="112" t="s">
        <v>2423</v>
      </c>
      <c r="S7968" s="1"/>
      <c r="T7968" s="1"/>
      <c r="U7968" s="1"/>
      <c r="V7968" s="1"/>
      <c r="W7968" s="1"/>
      <c r="X7968" s="1"/>
      <c r="Y7968" s="1"/>
      <c r="AA7968" s="102"/>
      <c r="AB7968" s="1"/>
      <c r="AC7968" s="1"/>
      <c r="AD7968" s="1"/>
      <c r="AE7968" s="1"/>
      <c r="AF7968" s="1"/>
      <c r="AG7968" s="1"/>
    </row>
    <row r="7969" ht="15.75" customHeight="1">
      <c r="A7969" s="1"/>
      <c r="B7969" s="1"/>
      <c r="C7969" s="1"/>
      <c r="D7969" s="1"/>
      <c r="E7969" s="1"/>
      <c r="F7969" s="1"/>
      <c r="G7969" s="1"/>
      <c r="H7969" s="1"/>
      <c r="I7969" s="1"/>
      <c r="J7969" s="1"/>
      <c r="K7969" s="102" t="s">
        <v>12424</v>
      </c>
      <c r="L7969" s="102" t="str">
        <f>G1145</f>
        <v>J2b2a2b~</v>
      </c>
      <c r="M7969" s="102"/>
      <c r="N7969" s="108" t="s">
        <v>12425</v>
      </c>
      <c r="O7969" s="104">
        <v>7812594.0</v>
      </c>
      <c r="P7969" s="111">
        <v>7944553.0</v>
      </c>
      <c r="Q7969" s="112" t="s">
        <v>2439</v>
      </c>
      <c r="S7969" s="1"/>
      <c r="T7969" s="1"/>
      <c r="U7969" s="1"/>
      <c r="V7969" s="1"/>
      <c r="W7969" s="1"/>
      <c r="X7969" s="1"/>
      <c r="Y7969" s="1"/>
      <c r="AA7969" s="102"/>
      <c r="AB7969" s="1"/>
      <c r="AC7969" s="1"/>
      <c r="AD7969" s="1"/>
      <c r="AE7969" s="1"/>
      <c r="AF7969" s="1"/>
      <c r="AG7969" s="1"/>
    </row>
    <row r="7970" ht="15.75" customHeight="1">
      <c r="A7970" s="1"/>
      <c r="B7970" s="1"/>
      <c r="C7970" s="1"/>
      <c r="D7970" s="1"/>
      <c r="E7970" s="1"/>
      <c r="F7970" s="1"/>
      <c r="G7970" s="1"/>
      <c r="H7970" s="1"/>
      <c r="I7970" s="1"/>
      <c r="J7970" s="1"/>
      <c r="K7970" s="102" t="s">
        <v>12426</v>
      </c>
      <c r="L7970" s="102" t="str">
        <f>G1145</f>
        <v>J2b2a2b~</v>
      </c>
      <c r="M7970" s="102"/>
      <c r="N7970" s="102" t="s">
        <v>12427</v>
      </c>
      <c r="O7970" s="105">
        <v>2.376007E7</v>
      </c>
      <c r="P7970" s="105">
        <v>2.1598184E7</v>
      </c>
      <c r="Q7970" s="102" t="s">
        <v>2501</v>
      </c>
      <c r="S7970" s="1"/>
      <c r="T7970" s="1"/>
      <c r="U7970" s="1"/>
      <c r="V7970" s="1"/>
      <c r="W7970" s="1"/>
      <c r="X7970" s="1"/>
      <c r="Y7970" s="1"/>
      <c r="AA7970" s="102"/>
      <c r="AB7970" s="1"/>
      <c r="AC7970" s="1"/>
      <c r="AD7970" s="1"/>
      <c r="AE7970" s="1"/>
      <c r="AF7970" s="1"/>
      <c r="AG7970" s="1"/>
    </row>
    <row r="7971" ht="15.75" customHeight="1">
      <c r="A7971" s="1"/>
      <c r="B7971" s="1"/>
      <c r="C7971" s="1"/>
      <c r="D7971" s="1"/>
      <c r="E7971" s="1"/>
      <c r="F7971" s="1"/>
      <c r="G7971" s="1"/>
      <c r="H7971" s="1"/>
      <c r="I7971" s="1"/>
      <c r="J7971" s="1"/>
      <c r="K7971" s="102" t="s">
        <v>12428</v>
      </c>
      <c r="L7971" s="102" t="str">
        <f>G1145</f>
        <v>J2b2a2b~</v>
      </c>
      <c r="M7971" s="102"/>
      <c r="N7971" s="102" t="s">
        <v>12429</v>
      </c>
      <c r="O7971" s="105">
        <v>7600553.0</v>
      </c>
      <c r="P7971" s="105">
        <v>7732512.0</v>
      </c>
      <c r="Q7971" s="102" t="s">
        <v>2501</v>
      </c>
      <c r="S7971" s="1"/>
      <c r="T7971" s="1"/>
      <c r="U7971" s="1"/>
      <c r="V7971" s="1"/>
      <c r="W7971" s="1"/>
      <c r="X7971" s="1"/>
      <c r="Y7971" s="1"/>
      <c r="AA7971" s="102"/>
      <c r="AB7971" s="1"/>
      <c r="AC7971" s="1"/>
      <c r="AD7971" s="1"/>
      <c r="AE7971" s="1"/>
      <c r="AF7971" s="1"/>
      <c r="AG7971" s="1"/>
    </row>
    <row r="7972" ht="15.75" customHeight="1">
      <c r="A7972" s="1"/>
      <c r="B7972" s="1"/>
      <c r="C7972" s="1"/>
      <c r="D7972" s="1"/>
      <c r="E7972" s="1"/>
      <c r="F7972" s="1"/>
      <c r="G7972" s="1"/>
      <c r="H7972" s="1"/>
      <c r="I7972" s="1"/>
      <c r="J7972" s="1"/>
      <c r="K7972" s="102" t="s">
        <v>12430</v>
      </c>
      <c r="L7972" s="102" t="str">
        <f>G1145</f>
        <v>J2b2a2b~</v>
      </c>
      <c r="M7972" s="102"/>
      <c r="N7972" s="102" t="s">
        <v>12431</v>
      </c>
      <c r="O7972" s="105">
        <v>2.3081456E7</v>
      </c>
      <c r="P7972" s="105">
        <v>2.091957E7</v>
      </c>
      <c r="Q7972" s="102" t="s">
        <v>2529</v>
      </c>
      <c r="S7972" s="1"/>
      <c r="T7972" s="1"/>
      <c r="U7972" s="1"/>
      <c r="V7972" s="1"/>
      <c r="W7972" s="1"/>
      <c r="X7972" s="1"/>
      <c r="Y7972" s="1"/>
      <c r="AA7972" s="102"/>
      <c r="AB7972" s="1"/>
      <c r="AC7972" s="1"/>
      <c r="AD7972" s="1"/>
      <c r="AE7972" s="1"/>
      <c r="AF7972" s="1"/>
      <c r="AG7972" s="1"/>
    </row>
    <row r="7973" ht="15.75" customHeight="1">
      <c r="A7973" s="1"/>
      <c r="B7973" s="1"/>
      <c r="C7973" s="1"/>
      <c r="D7973" s="1"/>
      <c r="E7973" s="1"/>
      <c r="F7973" s="1"/>
      <c r="G7973" s="1"/>
      <c r="H7973" s="1"/>
      <c r="I7973" s="1"/>
      <c r="J7973" s="1"/>
      <c r="K7973" s="102" t="s">
        <v>12432</v>
      </c>
      <c r="L7973" s="102" t="str">
        <f>G1145</f>
        <v>J2b2a2b~</v>
      </c>
      <c r="M7973" s="102"/>
      <c r="N7973" s="102" t="s">
        <v>12433</v>
      </c>
      <c r="O7973" s="105">
        <v>2.4400871E7</v>
      </c>
      <c r="P7973" s="105">
        <v>2.2254724E7</v>
      </c>
      <c r="Q7973" s="102" t="s">
        <v>2533</v>
      </c>
      <c r="S7973" s="1"/>
      <c r="T7973" s="1"/>
      <c r="U7973" s="1"/>
      <c r="V7973" s="1"/>
      <c r="W7973" s="1"/>
      <c r="X7973" s="1"/>
      <c r="Y7973" s="1"/>
      <c r="AA7973" s="102"/>
      <c r="AB7973" s="1"/>
      <c r="AC7973" s="1"/>
      <c r="AD7973" s="1"/>
      <c r="AE7973" s="1"/>
      <c r="AF7973" s="1"/>
      <c r="AG7973" s="1"/>
    </row>
    <row r="7974" ht="15.75" customHeight="1">
      <c r="A7974" s="1"/>
      <c r="B7974" s="1"/>
      <c r="C7974" s="1"/>
      <c r="D7974" s="1"/>
      <c r="E7974" s="1"/>
      <c r="F7974" s="1"/>
      <c r="G7974" s="1"/>
      <c r="H7974" s="1"/>
      <c r="I7974" s="1"/>
      <c r="J7974" s="1"/>
      <c r="K7974" s="102" t="s">
        <v>12434</v>
      </c>
      <c r="L7974" s="102" t="str">
        <f>G1145</f>
        <v>J2b2a2b~</v>
      </c>
      <c r="M7974" s="102"/>
      <c r="N7974" s="102" t="s">
        <v>12435</v>
      </c>
      <c r="O7974" s="105">
        <v>1.9258352E7</v>
      </c>
      <c r="P7974" s="105">
        <v>1.7146472E7</v>
      </c>
      <c r="Q7974" s="102" t="s">
        <v>2439</v>
      </c>
      <c r="S7974" s="1"/>
      <c r="T7974" s="1"/>
      <c r="U7974" s="1"/>
      <c r="V7974" s="1"/>
      <c r="W7974" s="1"/>
      <c r="X7974" s="1"/>
      <c r="Y7974" s="1"/>
      <c r="AA7974" s="102"/>
      <c r="AB7974" s="1"/>
      <c r="AC7974" s="1"/>
      <c r="AD7974" s="1"/>
      <c r="AE7974" s="1"/>
      <c r="AF7974" s="1"/>
      <c r="AG7974" s="1"/>
    </row>
    <row r="7975" ht="15.75" customHeight="1">
      <c r="A7975" s="1"/>
      <c r="B7975" s="1"/>
      <c r="C7975" s="1"/>
      <c r="D7975" s="1"/>
      <c r="E7975" s="1"/>
      <c r="F7975" s="1"/>
      <c r="G7975" s="1"/>
      <c r="H7975" s="1"/>
      <c r="I7975" s="1"/>
      <c r="J7975" s="1"/>
      <c r="K7975" s="102" t="s">
        <v>12436</v>
      </c>
      <c r="L7975" s="102" t="str">
        <f>G1145</f>
        <v>J2b2a2b~</v>
      </c>
      <c r="M7975" s="102"/>
      <c r="N7975" s="102" t="s">
        <v>12437</v>
      </c>
      <c r="O7975" s="105">
        <v>1.773574E7</v>
      </c>
      <c r="P7975" s="105">
        <v>1.562386E7</v>
      </c>
      <c r="Q7975" s="102" t="s">
        <v>2563</v>
      </c>
      <c r="S7975" s="1"/>
      <c r="T7975" s="1"/>
      <c r="U7975" s="1"/>
      <c r="V7975" s="1"/>
      <c r="W7975" s="1"/>
      <c r="X7975" s="1"/>
      <c r="Y7975" s="1"/>
      <c r="AA7975" s="102"/>
      <c r="AB7975" s="1"/>
      <c r="AC7975" s="1"/>
      <c r="AD7975" s="1"/>
      <c r="AE7975" s="1"/>
      <c r="AF7975" s="1"/>
      <c r="AG7975" s="1"/>
    </row>
    <row r="7976" ht="15.75" customHeight="1">
      <c r="A7976" s="1"/>
      <c r="B7976" s="1"/>
      <c r="C7976" s="1"/>
      <c r="D7976" s="1"/>
      <c r="E7976" s="1"/>
      <c r="F7976" s="1"/>
      <c r="G7976" s="1"/>
      <c r="H7976" s="1"/>
      <c r="I7976" s="1"/>
      <c r="J7976" s="1"/>
      <c r="K7976" s="102" t="s">
        <v>12438</v>
      </c>
      <c r="L7976" s="102" t="str">
        <f>G1145</f>
        <v>J2b2a2b~</v>
      </c>
      <c r="M7976" s="102"/>
      <c r="N7976" s="102" t="s">
        <v>12439</v>
      </c>
      <c r="O7976" s="105">
        <v>1.9377041E7</v>
      </c>
      <c r="P7976" s="105">
        <v>1.7265161E7</v>
      </c>
      <c r="Q7976" s="102" t="s">
        <v>2439</v>
      </c>
      <c r="S7976" s="1"/>
      <c r="T7976" s="1"/>
      <c r="U7976" s="1"/>
      <c r="V7976" s="1"/>
      <c r="W7976" s="1"/>
      <c r="X7976" s="1"/>
      <c r="Y7976" s="1"/>
      <c r="AA7976" s="102"/>
      <c r="AB7976" s="1"/>
      <c r="AC7976" s="1"/>
      <c r="AD7976" s="1"/>
      <c r="AE7976" s="1"/>
      <c r="AF7976" s="1"/>
      <c r="AG7976" s="1"/>
    </row>
    <row r="7977" ht="15.75" customHeight="1">
      <c r="A7977" s="1"/>
      <c r="B7977" s="1"/>
      <c r="C7977" s="1"/>
      <c r="D7977" s="1"/>
      <c r="E7977" s="1"/>
      <c r="F7977" s="1"/>
      <c r="G7977" s="1"/>
      <c r="H7977" s="1"/>
      <c r="I7977" s="1"/>
      <c r="J7977" s="1"/>
      <c r="K7977" s="102" t="s">
        <v>12440</v>
      </c>
      <c r="L7977" s="102" t="str">
        <f>H1146</f>
        <v>J2b2a2b1~</v>
      </c>
      <c r="M7977" s="106" t="s">
        <v>11613</v>
      </c>
      <c r="N7977" s="102" t="s">
        <v>12441</v>
      </c>
      <c r="O7977" s="102">
        <v>1.4931563E7</v>
      </c>
      <c r="P7977" s="102">
        <v>1.2819628E7</v>
      </c>
      <c r="Q7977" s="102" t="s">
        <v>2501</v>
      </c>
      <c r="S7977" s="1"/>
      <c r="T7977" s="1"/>
      <c r="U7977" s="1"/>
      <c r="V7977" s="1"/>
      <c r="W7977" s="1"/>
      <c r="X7977" s="1"/>
      <c r="Y7977" s="1"/>
      <c r="AA7977" s="102"/>
      <c r="AB7977" s="1"/>
      <c r="AC7977" s="1"/>
      <c r="AD7977" s="1"/>
      <c r="AE7977" s="1"/>
      <c r="AF7977" s="1"/>
      <c r="AG7977" s="1"/>
    </row>
    <row r="7978" ht="15.75" customHeight="1">
      <c r="A7978" s="1"/>
      <c r="B7978" s="1"/>
      <c r="C7978" s="1"/>
      <c r="D7978" s="1"/>
      <c r="E7978" s="1"/>
      <c r="F7978" s="1"/>
      <c r="G7978" s="1"/>
      <c r="H7978" s="1"/>
      <c r="I7978" s="1"/>
      <c r="J7978" s="1"/>
      <c r="K7978" s="106" t="s">
        <v>11613</v>
      </c>
      <c r="L7978" s="102" t="str">
        <f>H1146</f>
        <v>J2b2a2b1~</v>
      </c>
      <c r="M7978" s="102" t="s">
        <v>12440</v>
      </c>
      <c r="N7978" s="102" t="s">
        <v>12441</v>
      </c>
      <c r="O7978" s="102">
        <v>1.4931563E7</v>
      </c>
      <c r="P7978" s="102">
        <v>1.2819628E7</v>
      </c>
      <c r="Q7978" s="102" t="s">
        <v>2501</v>
      </c>
      <c r="S7978" s="1"/>
      <c r="T7978" s="1"/>
      <c r="U7978" s="1"/>
      <c r="V7978" s="1"/>
      <c r="W7978" s="1"/>
      <c r="X7978" s="1"/>
      <c r="Y7978" s="1"/>
      <c r="AA7978" s="102"/>
      <c r="AB7978" s="1"/>
      <c r="AC7978" s="1"/>
      <c r="AD7978" s="1"/>
      <c r="AE7978" s="1"/>
      <c r="AF7978" s="1"/>
      <c r="AG7978" s="1"/>
    </row>
    <row r="7979" ht="15.75" customHeight="1">
      <c r="A7979" s="1"/>
      <c r="B7979" s="1"/>
      <c r="C7979" s="1"/>
      <c r="D7979" s="1"/>
      <c r="E7979" s="1"/>
      <c r="F7979" s="1"/>
      <c r="G7979" s="1"/>
      <c r="H7979" s="1"/>
      <c r="I7979" s="1"/>
      <c r="J7979" s="1"/>
      <c r="K7979" s="102" t="s">
        <v>12442</v>
      </c>
      <c r="L7979" s="102" t="str">
        <f>H1146</f>
        <v>J2b2a2b1~</v>
      </c>
      <c r="M7979" s="102"/>
      <c r="N7979" s="102" t="s">
        <v>12443</v>
      </c>
      <c r="O7979" s="105">
        <v>1.7338205E7</v>
      </c>
      <c r="P7979" s="105">
        <v>1.5226325E7</v>
      </c>
      <c r="Q7979" s="102" t="s">
        <v>2533</v>
      </c>
      <c r="S7979" s="1"/>
      <c r="T7979" s="1"/>
      <c r="U7979" s="1"/>
      <c r="V7979" s="1"/>
      <c r="W7979" s="1"/>
      <c r="X7979" s="1"/>
      <c r="Y7979" s="1"/>
      <c r="AA7979" s="102"/>
      <c r="AB7979" s="1"/>
      <c r="AC7979" s="1"/>
      <c r="AD7979" s="1"/>
      <c r="AE7979" s="1"/>
      <c r="AF7979" s="1"/>
      <c r="AG7979" s="1"/>
    </row>
    <row r="7980" ht="15.75" customHeight="1">
      <c r="A7980" s="1"/>
      <c r="B7980" s="1"/>
      <c r="C7980" s="1"/>
      <c r="D7980" s="1"/>
      <c r="E7980" s="1"/>
      <c r="F7980" s="1"/>
      <c r="G7980" s="1"/>
      <c r="H7980" s="1"/>
      <c r="I7980" s="1"/>
      <c r="J7980" s="1"/>
      <c r="K7980" s="102" t="s">
        <v>12444</v>
      </c>
      <c r="L7980" s="102" t="str">
        <f>H1146</f>
        <v>J2b2a2b1~</v>
      </c>
      <c r="M7980" s="102"/>
      <c r="N7980" s="102" t="s">
        <v>12445</v>
      </c>
      <c r="O7980" s="105">
        <v>1.9532994E7</v>
      </c>
      <c r="P7980" s="105">
        <v>1.7421114E7</v>
      </c>
      <c r="Q7980" s="102" t="s">
        <v>2576</v>
      </c>
      <c r="S7980" s="1"/>
      <c r="T7980" s="1"/>
      <c r="U7980" s="1"/>
      <c r="V7980" s="1"/>
      <c r="W7980" s="1"/>
      <c r="X7980" s="1"/>
      <c r="Y7980" s="1"/>
      <c r="AA7980" s="102"/>
      <c r="AB7980" s="1"/>
      <c r="AC7980" s="1"/>
      <c r="AD7980" s="1"/>
      <c r="AE7980" s="1"/>
      <c r="AF7980" s="1"/>
      <c r="AG7980" s="1"/>
    </row>
    <row r="7981" ht="15.75" customHeight="1">
      <c r="A7981" s="1"/>
      <c r="B7981" s="1"/>
      <c r="C7981" s="1"/>
      <c r="D7981" s="1"/>
      <c r="E7981" s="1"/>
      <c r="F7981" s="1"/>
      <c r="G7981" s="1"/>
      <c r="H7981" s="1"/>
      <c r="I7981" s="1"/>
      <c r="J7981" s="1"/>
      <c r="K7981" s="102" t="s">
        <v>12446</v>
      </c>
      <c r="L7981" s="102" t="str">
        <f>H1146</f>
        <v>J2b2a2b1~</v>
      </c>
      <c r="M7981" s="102"/>
      <c r="N7981" s="102"/>
      <c r="O7981" s="105">
        <v>2.4370414E7</v>
      </c>
      <c r="P7981" s="105">
        <v>2.2224267E7</v>
      </c>
      <c r="Q7981" s="102" t="s">
        <v>2432</v>
      </c>
      <c r="S7981" s="1"/>
      <c r="T7981" s="1"/>
      <c r="U7981" s="1"/>
      <c r="V7981" s="1"/>
      <c r="W7981" s="1"/>
      <c r="X7981" s="1"/>
      <c r="Y7981" s="1"/>
      <c r="AA7981" s="102"/>
      <c r="AB7981" s="1"/>
      <c r="AC7981" s="1"/>
      <c r="AD7981" s="1"/>
      <c r="AE7981" s="1"/>
      <c r="AF7981" s="1"/>
      <c r="AG7981" s="1"/>
    </row>
    <row r="7982" ht="15.75" customHeight="1">
      <c r="A7982" s="1"/>
      <c r="B7982" s="1"/>
      <c r="C7982" s="1"/>
      <c r="D7982" s="1"/>
      <c r="E7982" s="1"/>
      <c r="F7982" s="1"/>
      <c r="G7982" s="1"/>
      <c r="H7982" s="1"/>
      <c r="I7982" s="1"/>
      <c r="J7982" s="1"/>
      <c r="K7982" s="102" t="s">
        <v>12447</v>
      </c>
      <c r="L7982" s="102" t="str">
        <f>H1146</f>
        <v>J2b2a2b1~</v>
      </c>
      <c r="M7982" s="102" t="s">
        <v>12448</v>
      </c>
      <c r="N7982" s="102" t="s">
        <v>12449</v>
      </c>
      <c r="O7982" s="105">
        <v>1.672532E7</v>
      </c>
      <c r="P7982" s="105">
        <v>1.461344E7</v>
      </c>
      <c r="Q7982" s="106" t="s">
        <v>2468</v>
      </c>
      <c r="S7982" s="1"/>
      <c r="T7982" s="1"/>
      <c r="U7982" s="1"/>
      <c r="V7982" s="1"/>
      <c r="W7982" s="1"/>
      <c r="X7982" s="1"/>
      <c r="Y7982" s="1"/>
      <c r="AA7982" s="102"/>
      <c r="AB7982" s="1"/>
      <c r="AC7982" s="1"/>
      <c r="AD7982" s="1"/>
      <c r="AE7982" s="1"/>
      <c r="AF7982" s="1"/>
      <c r="AG7982" s="1"/>
    </row>
    <row r="7983" ht="15.75" customHeight="1">
      <c r="A7983" s="1"/>
      <c r="B7983" s="1"/>
      <c r="C7983" s="1"/>
      <c r="D7983" s="1"/>
      <c r="E7983" s="1"/>
      <c r="F7983" s="1"/>
      <c r="G7983" s="1"/>
      <c r="H7983" s="1"/>
      <c r="I7983" s="1"/>
      <c r="J7983" s="1"/>
      <c r="K7983" s="102" t="s">
        <v>12448</v>
      </c>
      <c r="L7983" s="102" t="str">
        <f>H1146</f>
        <v>J2b2a2b1~</v>
      </c>
      <c r="M7983" s="102" t="s">
        <v>12447</v>
      </c>
      <c r="N7983" s="102" t="s">
        <v>12449</v>
      </c>
      <c r="O7983" s="105">
        <v>1.672532E7</v>
      </c>
      <c r="P7983" s="105">
        <v>1.461344E7</v>
      </c>
      <c r="Q7983" s="106" t="s">
        <v>2468</v>
      </c>
      <c r="S7983" s="1"/>
      <c r="T7983" s="1"/>
      <c r="U7983" s="1"/>
      <c r="V7983" s="1"/>
      <c r="W7983" s="1"/>
      <c r="X7983" s="1"/>
      <c r="Y7983" s="1"/>
      <c r="AA7983" s="102"/>
      <c r="AB7983" s="1"/>
      <c r="AC7983" s="1"/>
      <c r="AD7983" s="1"/>
      <c r="AE7983" s="1"/>
      <c r="AF7983" s="1"/>
      <c r="AG7983" s="1"/>
    </row>
    <row r="7984" ht="15.75" customHeight="1">
      <c r="A7984" s="1"/>
      <c r="B7984" s="1"/>
      <c r="C7984" s="1"/>
      <c r="D7984" s="1"/>
      <c r="E7984" s="1"/>
      <c r="F7984" s="1"/>
      <c r="G7984" s="1"/>
      <c r="H7984" s="1"/>
      <c r="I7984" s="1"/>
      <c r="J7984" s="1"/>
      <c r="K7984" s="102" t="s">
        <v>12450</v>
      </c>
      <c r="L7984" s="102" t="str">
        <f>H1146</f>
        <v>J2b2a2b1~</v>
      </c>
      <c r="M7984" s="102"/>
      <c r="N7984" s="102" t="s">
        <v>12451</v>
      </c>
      <c r="O7984" s="105">
        <v>2.3126992E7</v>
      </c>
      <c r="P7984" s="105">
        <v>2.0965106E7</v>
      </c>
      <c r="Q7984" s="102" t="s">
        <v>2501</v>
      </c>
      <c r="S7984" s="1"/>
      <c r="T7984" s="1"/>
      <c r="U7984" s="1"/>
      <c r="V7984" s="1"/>
      <c r="W7984" s="1"/>
      <c r="X7984" s="1"/>
      <c r="Y7984" s="1"/>
      <c r="AA7984" s="102"/>
      <c r="AB7984" s="1"/>
      <c r="AC7984" s="1"/>
      <c r="AD7984" s="1"/>
      <c r="AE7984" s="1"/>
      <c r="AF7984" s="1"/>
      <c r="AG7984" s="1"/>
    </row>
    <row r="7985" ht="15.75" customHeight="1">
      <c r="A7985" s="1"/>
      <c r="B7985" s="1"/>
      <c r="C7985" s="1"/>
      <c r="D7985" s="1"/>
      <c r="E7985" s="1"/>
      <c r="F7985" s="1"/>
      <c r="G7985" s="1"/>
      <c r="H7985" s="1"/>
      <c r="I7985" s="1"/>
      <c r="J7985" s="1"/>
      <c r="K7985" s="102" t="s">
        <v>12452</v>
      </c>
      <c r="L7985" s="102" t="str">
        <f>H1146</f>
        <v>J2b2a2b1~</v>
      </c>
      <c r="M7985" s="102"/>
      <c r="N7985" s="102"/>
      <c r="O7985" s="105">
        <v>2.3231202E7</v>
      </c>
      <c r="P7985" s="105">
        <v>2.1069316E7</v>
      </c>
      <c r="Q7985" s="102" t="s">
        <v>2446</v>
      </c>
      <c r="S7985" s="1"/>
      <c r="T7985" s="1"/>
      <c r="U7985" s="1"/>
      <c r="V7985" s="1"/>
      <c r="W7985" s="1"/>
      <c r="X7985" s="1"/>
      <c r="Y7985" s="1"/>
      <c r="AA7985" s="102"/>
      <c r="AB7985" s="1"/>
      <c r="AC7985" s="1"/>
      <c r="AD7985" s="1"/>
      <c r="AE7985" s="1"/>
      <c r="AF7985" s="1"/>
      <c r="AG7985" s="1"/>
    </row>
    <row r="7986" ht="15.75" customHeight="1">
      <c r="A7986" s="1"/>
      <c r="B7986" s="1"/>
      <c r="C7986" s="1"/>
      <c r="D7986" s="1"/>
      <c r="E7986" s="1"/>
      <c r="F7986" s="1"/>
      <c r="G7986" s="1"/>
      <c r="H7986" s="1"/>
      <c r="I7986" s="1"/>
      <c r="J7986" s="1"/>
      <c r="K7986" s="102" t="s">
        <v>12453</v>
      </c>
      <c r="L7986" s="102" t="str">
        <f>H1146</f>
        <v>J2b2a2b1~</v>
      </c>
      <c r="M7986" s="102"/>
      <c r="N7986" s="102" t="s">
        <v>12454</v>
      </c>
      <c r="O7986" s="105">
        <v>2.3326308E7</v>
      </c>
      <c r="P7986" s="105">
        <v>2.1164422E7</v>
      </c>
      <c r="Q7986" s="102" t="s">
        <v>2468</v>
      </c>
      <c r="S7986" s="1"/>
      <c r="T7986" s="1"/>
      <c r="U7986" s="1"/>
      <c r="V7986" s="1"/>
      <c r="W7986" s="1"/>
      <c r="X7986" s="1"/>
      <c r="Y7986" s="1"/>
      <c r="AA7986" s="102"/>
      <c r="AB7986" s="1"/>
      <c r="AC7986" s="1"/>
      <c r="AD7986" s="1"/>
      <c r="AE7986" s="1"/>
      <c r="AF7986" s="1"/>
      <c r="AG7986" s="1"/>
    </row>
    <row r="7987" ht="15.75" customHeight="1">
      <c r="A7987" s="1"/>
      <c r="B7987" s="1"/>
      <c r="C7987" s="1"/>
      <c r="D7987" s="1"/>
      <c r="E7987" s="1"/>
      <c r="F7987" s="1"/>
      <c r="G7987" s="1"/>
      <c r="H7987" s="1"/>
      <c r="I7987" s="1"/>
      <c r="J7987" s="1"/>
      <c r="K7987" s="102" t="s">
        <v>12455</v>
      </c>
      <c r="L7987" s="102" t="str">
        <f>H1146</f>
        <v>J2b2a2b1~</v>
      </c>
      <c r="M7987" s="102"/>
      <c r="N7987" s="102"/>
      <c r="O7987" s="105">
        <v>2.3996206E7</v>
      </c>
      <c r="P7987" s="105">
        <v>2.1850059E7</v>
      </c>
      <c r="Q7987" s="102" t="s">
        <v>2501</v>
      </c>
      <c r="S7987" s="1"/>
      <c r="T7987" s="1"/>
      <c r="U7987" s="1"/>
      <c r="V7987" s="1"/>
      <c r="W7987" s="1"/>
      <c r="X7987" s="1"/>
      <c r="Y7987" s="1"/>
      <c r="AA7987" s="102"/>
      <c r="AB7987" s="1"/>
      <c r="AC7987" s="1"/>
      <c r="AD7987" s="1"/>
      <c r="AE7987" s="1"/>
      <c r="AF7987" s="1"/>
      <c r="AG7987" s="1"/>
    </row>
    <row r="7988" ht="15.75" customHeight="1">
      <c r="A7988" s="1"/>
      <c r="B7988" s="1"/>
      <c r="C7988" s="1"/>
      <c r="D7988" s="1"/>
      <c r="E7988" s="1"/>
      <c r="F7988" s="1"/>
      <c r="G7988" s="1"/>
      <c r="H7988" s="1"/>
      <c r="I7988" s="1"/>
      <c r="J7988" s="1"/>
      <c r="K7988" s="102" t="s">
        <v>12456</v>
      </c>
      <c r="L7988" s="102" t="str">
        <f>I1147</f>
        <v>J2b2a2b1a~</v>
      </c>
      <c r="M7988" s="102"/>
      <c r="N7988" s="102" t="s">
        <v>12457</v>
      </c>
      <c r="O7988" s="105">
        <v>6690892.0</v>
      </c>
      <c r="P7988" s="105">
        <v>6822851.0</v>
      </c>
      <c r="Q7988" s="102" t="s">
        <v>2576</v>
      </c>
      <c r="S7988" s="1"/>
      <c r="T7988" s="1"/>
      <c r="U7988" s="1"/>
      <c r="V7988" s="1"/>
      <c r="W7988" s="1"/>
      <c r="X7988" s="1"/>
      <c r="Y7988" s="1"/>
      <c r="AA7988" s="102"/>
      <c r="AB7988" s="1"/>
      <c r="AC7988" s="1"/>
      <c r="AD7988" s="1"/>
      <c r="AE7988" s="1"/>
      <c r="AF7988" s="1"/>
      <c r="AG7988" s="1"/>
    </row>
    <row r="7989" ht="15.75" customHeight="1">
      <c r="A7989" s="1"/>
      <c r="B7989" s="1"/>
      <c r="C7989" s="1"/>
      <c r="D7989" s="1"/>
      <c r="E7989" s="1"/>
      <c r="F7989" s="1"/>
      <c r="G7989" s="1"/>
      <c r="H7989" s="1"/>
      <c r="I7989" s="1"/>
      <c r="J7989" s="1"/>
      <c r="K7989" s="102" t="s">
        <v>12458</v>
      </c>
      <c r="L7989" s="102" t="str">
        <f>I1147</f>
        <v>J2b2a2b1a~</v>
      </c>
      <c r="M7989" s="102"/>
      <c r="N7989" s="102"/>
      <c r="O7989" s="105">
        <v>4842246.0</v>
      </c>
      <c r="P7989" s="105">
        <v>4974205.0</v>
      </c>
      <c r="Q7989" s="102" t="s">
        <v>2423</v>
      </c>
      <c r="S7989" s="1"/>
      <c r="T7989" s="1"/>
      <c r="U7989" s="1"/>
      <c r="V7989" s="1"/>
      <c r="W7989" s="1"/>
      <c r="X7989" s="1"/>
      <c r="Y7989" s="1"/>
      <c r="AA7989" s="102"/>
      <c r="AB7989" s="1"/>
      <c r="AC7989" s="1"/>
      <c r="AD7989" s="1"/>
      <c r="AE7989" s="1"/>
      <c r="AF7989" s="1"/>
      <c r="AG7989" s="1"/>
    </row>
    <row r="7990" ht="15.75" customHeight="1">
      <c r="A7990" s="1"/>
      <c r="B7990" s="1"/>
      <c r="C7990" s="1"/>
      <c r="D7990" s="1"/>
      <c r="E7990" s="1"/>
      <c r="F7990" s="1"/>
      <c r="G7990" s="1"/>
      <c r="H7990" s="1"/>
      <c r="I7990" s="1"/>
      <c r="J7990" s="1"/>
      <c r="K7990" s="102" t="s">
        <v>12459</v>
      </c>
      <c r="L7990" s="102" t="str">
        <f>I1147</f>
        <v>J2b2a2b1a~</v>
      </c>
      <c r="M7990" s="102"/>
      <c r="N7990" s="102" t="s">
        <v>12460</v>
      </c>
      <c r="O7990" s="105">
        <v>7152988.0</v>
      </c>
      <c r="P7990" s="105">
        <v>7284947.0</v>
      </c>
      <c r="Q7990" s="102" t="s">
        <v>2439</v>
      </c>
      <c r="S7990" s="1"/>
      <c r="T7990" s="1"/>
      <c r="U7990" s="1"/>
      <c r="V7990" s="1"/>
      <c r="W7990" s="1"/>
      <c r="X7990" s="1"/>
      <c r="Y7990" s="1"/>
      <c r="AA7990" s="102"/>
      <c r="AB7990" s="1"/>
      <c r="AC7990" s="1"/>
      <c r="AD7990" s="1"/>
      <c r="AE7990" s="1"/>
      <c r="AF7990" s="1"/>
      <c r="AG7990" s="1"/>
    </row>
    <row r="7991" ht="15.75" customHeight="1">
      <c r="A7991" s="1"/>
      <c r="B7991" s="1"/>
      <c r="C7991" s="1"/>
      <c r="D7991" s="1"/>
      <c r="E7991" s="1"/>
      <c r="F7991" s="1"/>
      <c r="G7991" s="1"/>
      <c r="H7991" s="1"/>
      <c r="I7991" s="1"/>
      <c r="J7991" s="1"/>
      <c r="K7991" s="102" t="s">
        <v>12461</v>
      </c>
      <c r="L7991" s="102" t="str">
        <f>I1147</f>
        <v>J2b2a2b1a~</v>
      </c>
      <c r="M7991" s="102"/>
      <c r="N7991" s="102" t="s">
        <v>12462</v>
      </c>
      <c r="O7991" s="105">
        <v>7930705.0</v>
      </c>
      <c r="P7991" s="105">
        <v>8062664.0</v>
      </c>
      <c r="Q7991" s="102" t="s">
        <v>2501</v>
      </c>
      <c r="S7991" s="1"/>
      <c r="T7991" s="1"/>
      <c r="U7991" s="1"/>
      <c r="V7991" s="1"/>
      <c r="W7991" s="1"/>
      <c r="X7991" s="1"/>
      <c r="Y7991" s="1"/>
      <c r="AA7991" s="102"/>
      <c r="AB7991" s="1"/>
      <c r="AC7991" s="1"/>
      <c r="AD7991" s="1"/>
      <c r="AE7991" s="1"/>
      <c r="AF7991" s="1"/>
      <c r="AG7991" s="1"/>
    </row>
    <row r="7992" ht="15.75" customHeight="1">
      <c r="A7992" s="1"/>
      <c r="B7992" s="1"/>
      <c r="C7992" s="1"/>
      <c r="D7992" s="1"/>
      <c r="E7992" s="1"/>
      <c r="F7992" s="1"/>
      <c r="G7992" s="1"/>
      <c r="H7992" s="1"/>
      <c r="I7992" s="1"/>
      <c r="J7992" s="1"/>
      <c r="K7992" s="102" t="s">
        <v>12463</v>
      </c>
      <c r="L7992" s="102" t="str">
        <f>I1147</f>
        <v>J2b2a2b1a~</v>
      </c>
      <c r="M7992" s="102"/>
      <c r="N7992" s="102" t="s">
        <v>12464</v>
      </c>
      <c r="O7992" s="105">
        <v>8249565.0</v>
      </c>
      <c r="P7992" s="105">
        <v>8381524.0</v>
      </c>
      <c r="Q7992" s="102" t="s">
        <v>2501</v>
      </c>
      <c r="S7992" s="1"/>
      <c r="T7992" s="1"/>
      <c r="U7992" s="1"/>
      <c r="V7992" s="1"/>
      <c r="W7992" s="1"/>
      <c r="X7992" s="1"/>
      <c r="Y7992" s="1"/>
      <c r="AA7992" s="102"/>
      <c r="AB7992" s="1"/>
      <c r="AC7992" s="1"/>
      <c r="AD7992" s="1"/>
      <c r="AE7992" s="1"/>
      <c r="AF7992" s="1"/>
      <c r="AG7992" s="1"/>
    </row>
    <row r="7993" ht="15.75" customHeight="1">
      <c r="A7993" s="1"/>
      <c r="B7993" s="1"/>
      <c r="C7993" s="1"/>
      <c r="D7993" s="1"/>
      <c r="E7993" s="1"/>
      <c r="F7993" s="1"/>
      <c r="G7993" s="1"/>
      <c r="H7993" s="1"/>
      <c r="I7993" s="1"/>
      <c r="J7993" s="1"/>
      <c r="K7993" s="102" t="s">
        <v>12465</v>
      </c>
      <c r="L7993" s="102" t="str">
        <f>I1147</f>
        <v>J2b2a2b1a~</v>
      </c>
      <c r="M7993" s="102"/>
      <c r="N7993" s="102" t="s">
        <v>12466</v>
      </c>
      <c r="O7993" s="105">
        <v>1.6406691E7</v>
      </c>
      <c r="P7993" s="105">
        <v>1.4294811E7</v>
      </c>
      <c r="Q7993" s="102" t="s">
        <v>2529</v>
      </c>
      <c r="S7993" s="1"/>
      <c r="T7993" s="1"/>
      <c r="U7993" s="1"/>
      <c r="V7993" s="1"/>
      <c r="W7993" s="1"/>
      <c r="X7993" s="1"/>
      <c r="Y7993" s="1"/>
      <c r="AA7993" s="102"/>
      <c r="AB7993" s="1"/>
      <c r="AC7993" s="1"/>
      <c r="AD7993" s="1"/>
      <c r="AE7993" s="1"/>
      <c r="AF7993" s="1"/>
      <c r="AG7993" s="1"/>
    </row>
    <row r="7994" ht="15.75" customHeight="1">
      <c r="A7994" s="1"/>
      <c r="B7994" s="1"/>
      <c r="C7994" s="1"/>
      <c r="D7994" s="1"/>
      <c r="E7994" s="1"/>
      <c r="F7994" s="1"/>
      <c r="G7994" s="1"/>
      <c r="H7994" s="1"/>
      <c r="I7994" s="1"/>
      <c r="J7994" s="1"/>
      <c r="K7994" s="102" t="s">
        <v>12467</v>
      </c>
      <c r="L7994" s="102" t="str">
        <f>I1147</f>
        <v>J2b2a2b1a~</v>
      </c>
      <c r="M7994" s="102"/>
      <c r="N7994" s="102" t="s">
        <v>12468</v>
      </c>
      <c r="O7994" s="105">
        <v>2.1206786E7</v>
      </c>
      <c r="P7994" s="105">
        <v>1.90449E7</v>
      </c>
      <c r="Q7994" s="102" t="s">
        <v>2529</v>
      </c>
      <c r="S7994" s="1"/>
      <c r="T7994" s="1"/>
      <c r="U7994" s="1"/>
      <c r="V7994" s="1"/>
      <c r="W7994" s="1"/>
      <c r="X7994" s="1"/>
      <c r="Y7994" s="1"/>
      <c r="AA7994" s="102"/>
      <c r="AB7994" s="1"/>
      <c r="AC7994" s="1"/>
      <c r="AD7994" s="1"/>
      <c r="AE7994" s="1"/>
      <c r="AF7994" s="1"/>
      <c r="AG7994" s="1"/>
    </row>
    <row r="7995" ht="15.75" customHeight="1">
      <c r="A7995" s="1"/>
      <c r="B7995" s="1"/>
      <c r="C7995" s="1"/>
      <c r="D7995" s="1"/>
      <c r="E7995" s="1"/>
      <c r="F7995" s="1"/>
      <c r="G7995" s="1"/>
      <c r="H7995" s="1"/>
      <c r="I7995" s="1"/>
      <c r="J7995" s="1"/>
      <c r="K7995" s="102" t="s">
        <v>12469</v>
      </c>
      <c r="L7995" s="102" t="str">
        <f>I1147</f>
        <v>J2b2a2b1a~</v>
      </c>
      <c r="M7995" s="102"/>
      <c r="N7995" s="102" t="s">
        <v>12470</v>
      </c>
      <c r="O7995" s="105">
        <v>2.1727024E7</v>
      </c>
      <c r="P7995" s="105">
        <v>1.9565138E7</v>
      </c>
      <c r="Q7995" s="102" t="s">
        <v>2501</v>
      </c>
      <c r="S7995" s="1"/>
      <c r="T7995" s="1"/>
      <c r="U7995" s="1"/>
      <c r="V7995" s="1"/>
      <c r="W7995" s="1"/>
      <c r="X7995" s="1"/>
      <c r="Y7995" s="1"/>
      <c r="AA7995" s="102"/>
      <c r="AB7995" s="1"/>
      <c r="AC7995" s="1"/>
      <c r="AD7995" s="1"/>
      <c r="AE7995" s="1"/>
      <c r="AF7995" s="1"/>
      <c r="AG7995" s="1"/>
    </row>
    <row r="7996" ht="15.75" customHeight="1">
      <c r="A7996" s="1"/>
      <c r="B7996" s="1"/>
      <c r="C7996" s="1"/>
      <c r="D7996" s="1"/>
      <c r="E7996" s="1"/>
      <c r="F7996" s="1"/>
      <c r="G7996" s="1"/>
      <c r="H7996" s="1"/>
      <c r="I7996" s="1"/>
      <c r="J7996" s="1"/>
      <c r="K7996" s="102" t="s">
        <v>12471</v>
      </c>
      <c r="L7996" s="102" t="str">
        <f>I1147</f>
        <v>J2b2a2b1a~</v>
      </c>
      <c r="M7996" s="102"/>
      <c r="N7996" s="102" t="s">
        <v>12472</v>
      </c>
      <c r="O7996" s="105">
        <v>2.1815451E7</v>
      </c>
      <c r="P7996" s="105">
        <v>1.9653565E7</v>
      </c>
      <c r="Q7996" s="102" t="s">
        <v>2439</v>
      </c>
      <c r="S7996" s="1"/>
      <c r="T7996" s="1"/>
      <c r="U7996" s="1"/>
      <c r="V7996" s="1"/>
      <c r="W7996" s="1"/>
      <c r="X7996" s="1"/>
      <c r="Y7996" s="1"/>
      <c r="AA7996" s="102"/>
      <c r="AB7996" s="1"/>
      <c r="AC7996" s="1"/>
      <c r="AD7996" s="1"/>
      <c r="AE7996" s="1"/>
      <c r="AF7996" s="1"/>
      <c r="AG7996" s="1"/>
    </row>
    <row r="7997" ht="15.75" customHeight="1">
      <c r="A7997" s="1"/>
      <c r="B7997" s="1"/>
      <c r="C7997" s="1"/>
      <c r="D7997" s="1"/>
      <c r="E7997" s="1"/>
      <c r="F7997" s="1"/>
      <c r="G7997" s="1"/>
      <c r="H7997" s="1"/>
      <c r="I7997" s="1"/>
      <c r="J7997" s="1"/>
      <c r="K7997" s="102" t="s">
        <v>12473</v>
      </c>
      <c r="L7997" s="102" t="str">
        <f>I1147</f>
        <v>J2b2a2b1a~</v>
      </c>
      <c r="M7997" s="102"/>
      <c r="N7997" s="102" t="s">
        <v>12474</v>
      </c>
      <c r="O7997" s="105">
        <v>2.1900513E7</v>
      </c>
      <c r="P7997" s="105">
        <v>1.9738627E7</v>
      </c>
      <c r="Q7997" s="102" t="s">
        <v>2501</v>
      </c>
      <c r="S7997" s="1"/>
      <c r="T7997" s="1"/>
      <c r="U7997" s="1"/>
      <c r="V7997" s="1"/>
      <c r="W7997" s="1"/>
      <c r="X7997" s="1"/>
      <c r="Y7997" s="1"/>
      <c r="AA7997" s="102"/>
      <c r="AB7997" s="1"/>
      <c r="AC7997" s="1"/>
      <c r="AD7997" s="1"/>
      <c r="AE7997" s="1"/>
      <c r="AF7997" s="1"/>
      <c r="AG7997" s="1"/>
    </row>
    <row r="7998" ht="15.75" customHeight="1">
      <c r="A7998" s="1"/>
      <c r="B7998" s="1"/>
      <c r="C7998" s="1"/>
      <c r="D7998" s="1"/>
      <c r="E7998" s="1"/>
      <c r="F7998" s="1"/>
      <c r="G7998" s="1"/>
      <c r="H7998" s="1"/>
      <c r="I7998" s="1"/>
      <c r="J7998" s="1"/>
      <c r="K7998" s="102" t="s">
        <v>2261</v>
      </c>
      <c r="L7998" s="102" t="str">
        <f>J1148</f>
        <v>J2b2a2b1a1~</v>
      </c>
      <c r="M7998" s="102"/>
      <c r="N7998" s="102" t="s">
        <v>12475</v>
      </c>
      <c r="O7998" s="105">
        <v>1.6930035E7</v>
      </c>
      <c r="P7998" s="105">
        <v>1.4818155E7</v>
      </c>
      <c r="Q7998" s="102" t="s">
        <v>2576</v>
      </c>
      <c r="S7998" s="1"/>
      <c r="T7998" s="1"/>
      <c r="U7998" s="1"/>
      <c r="V7998" s="1"/>
      <c r="W7998" s="1"/>
      <c r="X7998" s="1"/>
      <c r="Y7998" s="1"/>
      <c r="AA7998" s="102"/>
      <c r="AB7998" s="1"/>
      <c r="AC7998" s="1"/>
      <c r="AD7998" s="1"/>
      <c r="AE7998" s="1"/>
      <c r="AF7998" s="1"/>
      <c r="AG7998" s="1"/>
    </row>
    <row r="7999" ht="15.75" customHeight="1">
      <c r="A7999" s="1"/>
      <c r="B7999" s="1"/>
      <c r="C7999" s="1"/>
      <c r="D7999" s="1"/>
      <c r="E7999" s="1"/>
      <c r="F7999" s="1"/>
      <c r="G7999" s="1"/>
      <c r="H7999" s="1"/>
      <c r="I7999" s="1"/>
      <c r="J7999" s="1"/>
      <c r="K7999" s="102" t="s">
        <v>12476</v>
      </c>
      <c r="L7999" s="102" t="str">
        <f>K1149</f>
        <v>J2b2a2b1a1a~</v>
      </c>
      <c r="M7999" s="102"/>
      <c r="N7999" s="102"/>
      <c r="O7999" s="105">
        <v>1.3200288E7</v>
      </c>
      <c r="P7999" s="105">
        <v>1.1044612E7</v>
      </c>
      <c r="Q7999" s="102" t="s">
        <v>2501</v>
      </c>
      <c r="S7999" s="1"/>
      <c r="T7999" s="1"/>
      <c r="U7999" s="1"/>
      <c r="V7999" s="1"/>
      <c r="W7999" s="1"/>
      <c r="X7999" s="1"/>
      <c r="Y7999" s="1"/>
      <c r="AA7999" s="102"/>
      <c r="AB7999" s="1"/>
      <c r="AC7999" s="1"/>
      <c r="AD7999" s="1"/>
      <c r="AE7999" s="1"/>
      <c r="AF7999" s="1"/>
      <c r="AG7999" s="1"/>
    </row>
    <row r="8000" ht="15.75" customHeight="1">
      <c r="A8000" s="1"/>
      <c r="B8000" s="1"/>
      <c r="C8000" s="1"/>
      <c r="D8000" s="1"/>
      <c r="E8000" s="1"/>
      <c r="F8000" s="1"/>
      <c r="G8000" s="1"/>
      <c r="H8000" s="1"/>
      <c r="I8000" s="1"/>
      <c r="J8000" s="1"/>
      <c r="K8000" s="102" t="s">
        <v>12477</v>
      </c>
      <c r="L8000" s="102" t="str">
        <f>K1149</f>
        <v>J2b2a2b1a1a~</v>
      </c>
      <c r="M8000" s="102"/>
      <c r="N8000" s="102"/>
      <c r="O8000" s="105">
        <v>2.3754256E7</v>
      </c>
      <c r="P8000" s="105">
        <v>2.159237E7</v>
      </c>
      <c r="Q8000" s="102" t="s">
        <v>2439</v>
      </c>
      <c r="S8000" s="1"/>
      <c r="T8000" s="1"/>
      <c r="U8000" s="1"/>
      <c r="V8000" s="1"/>
      <c r="W8000" s="1"/>
      <c r="X8000" s="1"/>
      <c r="Y8000" s="1"/>
      <c r="AA8000" s="102"/>
      <c r="AB8000" s="1"/>
      <c r="AC8000" s="1"/>
      <c r="AD8000" s="1"/>
      <c r="AE8000" s="1"/>
      <c r="AF8000" s="1"/>
      <c r="AG8000" s="1"/>
    </row>
    <row r="8001" ht="15.75" customHeight="1">
      <c r="A8001" s="1"/>
      <c r="B8001" s="1"/>
      <c r="C8001" s="1"/>
      <c r="D8001" s="1"/>
      <c r="E8001" s="1"/>
      <c r="F8001" s="1"/>
      <c r="G8001" s="1"/>
      <c r="H8001" s="1"/>
      <c r="I8001" s="1"/>
      <c r="J8001" s="1"/>
      <c r="K8001" s="102" t="s">
        <v>12478</v>
      </c>
      <c r="L8001" s="102" t="str">
        <f>K1149</f>
        <v>J2b2a2b1a1a~</v>
      </c>
      <c r="M8001" s="102"/>
      <c r="N8001" s="102"/>
      <c r="O8001" s="105">
        <v>2789885.0</v>
      </c>
      <c r="P8001" s="105">
        <v>2921844.0</v>
      </c>
      <c r="Q8001" s="102" t="s">
        <v>2468</v>
      </c>
      <c r="S8001" s="1"/>
      <c r="T8001" s="1"/>
      <c r="U8001" s="1"/>
      <c r="V8001" s="1"/>
      <c r="W8001" s="1"/>
      <c r="X8001" s="1"/>
      <c r="Y8001" s="1"/>
      <c r="AA8001" s="102"/>
      <c r="AB8001" s="1"/>
      <c r="AC8001" s="1"/>
      <c r="AD8001" s="1"/>
      <c r="AE8001" s="1"/>
      <c r="AF8001" s="1"/>
      <c r="AG8001" s="1"/>
    </row>
    <row r="8002" ht="15.75" customHeight="1">
      <c r="A8002" s="1"/>
      <c r="B8002" s="1"/>
      <c r="C8002" s="1"/>
      <c r="D8002" s="1"/>
      <c r="E8002" s="1"/>
      <c r="F8002" s="1"/>
      <c r="G8002" s="1"/>
      <c r="H8002" s="1"/>
      <c r="I8002" s="1"/>
      <c r="J8002" s="1"/>
      <c r="K8002" s="102" t="s">
        <v>12479</v>
      </c>
      <c r="L8002" s="102" t="str">
        <f>K1149</f>
        <v>J2b2a2b1a1a~</v>
      </c>
      <c r="M8002" s="102"/>
      <c r="N8002" s="102"/>
      <c r="O8002" s="105">
        <v>6689123.0</v>
      </c>
      <c r="P8002" s="105">
        <v>6821082.0</v>
      </c>
      <c r="Q8002" s="102" t="s">
        <v>2514</v>
      </c>
      <c r="S8002" s="1"/>
      <c r="T8002" s="1"/>
      <c r="U8002" s="1"/>
      <c r="V8002" s="1"/>
      <c r="W8002" s="1"/>
      <c r="X8002" s="1"/>
      <c r="Y8002" s="1"/>
      <c r="AA8002" s="102"/>
      <c r="AB8002" s="1"/>
      <c r="AC8002" s="1"/>
      <c r="AD8002" s="1"/>
      <c r="AE8002" s="1"/>
      <c r="AF8002" s="1"/>
      <c r="AG8002" s="1"/>
    </row>
    <row r="8003" ht="15.75" customHeight="1">
      <c r="A8003" s="1"/>
      <c r="B8003" s="1"/>
      <c r="C8003" s="1"/>
      <c r="D8003" s="1"/>
      <c r="E8003" s="1"/>
      <c r="F8003" s="1"/>
      <c r="G8003" s="1"/>
      <c r="H8003" s="1"/>
      <c r="I8003" s="1"/>
      <c r="J8003" s="1"/>
      <c r="K8003" s="102" t="s">
        <v>12480</v>
      </c>
      <c r="L8003" s="102" t="str">
        <f>K1149</f>
        <v>J2b2a2b1a1a~</v>
      </c>
      <c r="M8003" s="102"/>
      <c r="N8003" s="102"/>
      <c r="O8003" s="105">
        <v>6702937.0</v>
      </c>
      <c r="P8003" s="105">
        <v>6834896.0</v>
      </c>
      <c r="Q8003" s="102" t="s">
        <v>2432</v>
      </c>
      <c r="S8003" s="1"/>
      <c r="T8003" s="1"/>
      <c r="U8003" s="1"/>
      <c r="V8003" s="1"/>
      <c r="W8003" s="1"/>
      <c r="X8003" s="1"/>
      <c r="Y8003" s="1"/>
      <c r="AA8003" s="102"/>
      <c r="AB8003" s="1"/>
      <c r="AC8003" s="1"/>
      <c r="AD8003" s="1"/>
      <c r="AE8003" s="1"/>
      <c r="AF8003" s="1"/>
      <c r="AG8003" s="1"/>
    </row>
    <row r="8004" ht="15.75" customHeight="1">
      <c r="A8004" s="1"/>
      <c r="B8004" s="1"/>
      <c r="C8004" s="1"/>
      <c r="D8004" s="1"/>
      <c r="E8004" s="1"/>
      <c r="F8004" s="1"/>
      <c r="G8004" s="1"/>
      <c r="H8004" s="1"/>
      <c r="I8004" s="1"/>
      <c r="J8004" s="1"/>
      <c r="K8004" s="102" t="s">
        <v>12481</v>
      </c>
      <c r="L8004" s="102" t="str">
        <f>K1149</f>
        <v>J2b2a2b1a1a~</v>
      </c>
      <c r="M8004" s="102"/>
      <c r="N8004" s="102"/>
      <c r="O8004" s="105">
        <v>7292389.0</v>
      </c>
      <c r="P8004" s="105">
        <v>7424348.0</v>
      </c>
      <c r="Q8004" s="102" t="s">
        <v>2423</v>
      </c>
      <c r="S8004" s="1"/>
      <c r="T8004" s="1"/>
      <c r="U8004" s="1"/>
      <c r="V8004" s="1"/>
      <c r="W8004" s="1"/>
      <c r="X8004" s="1"/>
      <c r="Y8004" s="1"/>
      <c r="AA8004" s="102"/>
      <c r="AB8004" s="1"/>
      <c r="AC8004" s="1"/>
      <c r="AD8004" s="1"/>
      <c r="AE8004" s="1"/>
      <c r="AF8004" s="1"/>
      <c r="AG8004" s="1"/>
    </row>
    <row r="8005" ht="15.75" customHeight="1">
      <c r="A8005" s="1"/>
      <c r="B8005" s="1"/>
      <c r="C8005" s="1"/>
      <c r="D8005" s="1"/>
      <c r="E8005" s="1"/>
      <c r="F8005" s="1"/>
      <c r="G8005" s="1"/>
      <c r="H8005" s="1"/>
      <c r="I8005" s="1"/>
      <c r="J8005" s="1"/>
      <c r="K8005" s="102" t="s">
        <v>12482</v>
      </c>
      <c r="L8005" s="102" t="str">
        <f>K1149</f>
        <v>J2b2a2b1a1a~</v>
      </c>
      <c r="M8005" s="102"/>
      <c r="N8005" s="102"/>
      <c r="O8005" s="105">
        <v>7632778.0</v>
      </c>
      <c r="P8005" s="105">
        <v>7764737.0</v>
      </c>
      <c r="Q8005" s="102" t="s">
        <v>2576</v>
      </c>
      <c r="S8005" s="1"/>
      <c r="T8005" s="1"/>
      <c r="U8005" s="1"/>
      <c r="V8005" s="1"/>
      <c r="W8005" s="1"/>
      <c r="X8005" s="1"/>
      <c r="Y8005" s="1"/>
      <c r="AA8005" s="102"/>
      <c r="AB8005" s="1"/>
      <c r="AC8005" s="1"/>
      <c r="AD8005" s="1"/>
      <c r="AE8005" s="1"/>
      <c r="AF8005" s="1"/>
      <c r="AG8005" s="1"/>
    </row>
    <row r="8006" ht="15.75" customHeight="1">
      <c r="A8006" s="1"/>
      <c r="B8006" s="1"/>
      <c r="C8006" s="1"/>
      <c r="D8006" s="1"/>
      <c r="E8006" s="1"/>
      <c r="F8006" s="1"/>
      <c r="G8006" s="1"/>
      <c r="H8006" s="1"/>
      <c r="I8006" s="1"/>
      <c r="J8006" s="1"/>
      <c r="K8006" s="102" t="s">
        <v>12483</v>
      </c>
      <c r="L8006" s="102" t="str">
        <f>K1149</f>
        <v>J2b2a2b1a1a~</v>
      </c>
      <c r="M8006" s="102"/>
      <c r="N8006" s="102"/>
      <c r="O8006" s="105">
        <v>8368366.0</v>
      </c>
      <c r="P8006" s="105">
        <v>8500325.0</v>
      </c>
      <c r="Q8006" s="102" t="s">
        <v>2446</v>
      </c>
      <c r="S8006" s="1"/>
      <c r="T8006" s="1"/>
      <c r="U8006" s="1"/>
      <c r="V8006" s="1"/>
      <c r="W8006" s="1"/>
      <c r="X8006" s="1"/>
      <c r="Y8006" s="1"/>
      <c r="AA8006" s="102"/>
      <c r="AB8006" s="1"/>
      <c r="AC8006" s="1"/>
      <c r="AD8006" s="1"/>
      <c r="AE8006" s="1"/>
      <c r="AF8006" s="1"/>
      <c r="AG8006" s="1"/>
    </row>
    <row r="8007" ht="15.75" customHeight="1">
      <c r="A8007" s="1"/>
      <c r="B8007" s="1"/>
      <c r="C8007" s="1"/>
      <c r="D8007" s="1"/>
      <c r="E8007" s="1"/>
      <c r="F8007" s="1"/>
      <c r="G8007" s="1"/>
      <c r="H8007" s="1"/>
      <c r="I8007" s="1"/>
      <c r="J8007" s="1"/>
      <c r="K8007" s="102" t="s">
        <v>12484</v>
      </c>
      <c r="L8007" s="102" t="str">
        <f>K1149</f>
        <v>J2b2a2b1a1a~</v>
      </c>
      <c r="M8007" s="102"/>
      <c r="N8007" s="102"/>
      <c r="O8007" s="105">
        <v>8478515.0</v>
      </c>
      <c r="P8007" s="105">
        <v>8610474.0</v>
      </c>
      <c r="Q8007" s="102" t="s">
        <v>2529</v>
      </c>
      <c r="S8007" s="1"/>
      <c r="T8007" s="1"/>
      <c r="U8007" s="1"/>
      <c r="V8007" s="1"/>
      <c r="W8007" s="1"/>
      <c r="X8007" s="1"/>
      <c r="Y8007" s="1"/>
      <c r="AA8007" s="102"/>
      <c r="AB8007" s="1"/>
      <c r="AC8007" s="1"/>
      <c r="AD8007" s="1"/>
      <c r="AE8007" s="1"/>
      <c r="AF8007" s="1"/>
      <c r="AG8007" s="1"/>
    </row>
    <row r="8008" ht="15.75" customHeight="1">
      <c r="A8008" s="1"/>
      <c r="B8008" s="1"/>
      <c r="C8008" s="1"/>
      <c r="D8008" s="1"/>
      <c r="E8008" s="1"/>
      <c r="F8008" s="1"/>
      <c r="G8008" s="1"/>
      <c r="H8008" s="1"/>
      <c r="I8008" s="1"/>
      <c r="J8008" s="1"/>
      <c r="K8008" s="102" t="s">
        <v>12485</v>
      </c>
      <c r="L8008" s="102" t="str">
        <f>K1149</f>
        <v>J2b2a2b1a1a~</v>
      </c>
      <c r="M8008" s="102"/>
      <c r="N8008" s="102"/>
      <c r="O8008" s="105">
        <v>8655063.0</v>
      </c>
      <c r="P8008" s="105">
        <v>8787022.0</v>
      </c>
      <c r="Q8008" s="102" t="s">
        <v>2501</v>
      </c>
      <c r="S8008" s="1"/>
      <c r="T8008" s="1"/>
      <c r="U8008" s="1"/>
      <c r="V8008" s="1"/>
      <c r="W8008" s="1"/>
      <c r="X8008" s="1"/>
      <c r="Y8008" s="1"/>
      <c r="AA8008" s="102"/>
      <c r="AB8008" s="1"/>
      <c r="AC8008" s="1"/>
      <c r="AD8008" s="1"/>
      <c r="AE8008" s="1"/>
      <c r="AF8008" s="1"/>
      <c r="AG8008" s="1"/>
    </row>
    <row r="8009" ht="15.75" customHeight="1">
      <c r="A8009" s="1"/>
      <c r="B8009" s="1"/>
      <c r="C8009" s="1"/>
      <c r="D8009" s="1"/>
      <c r="E8009" s="1"/>
      <c r="F8009" s="1"/>
      <c r="G8009" s="1"/>
      <c r="H8009" s="1"/>
      <c r="I8009" s="1"/>
      <c r="J8009" s="1"/>
      <c r="K8009" s="102" t="s">
        <v>12486</v>
      </c>
      <c r="L8009" s="102" t="str">
        <f>K1149</f>
        <v>J2b2a2b1a1a~</v>
      </c>
      <c r="M8009" s="102"/>
      <c r="N8009" s="102"/>
      <c r="O8009" s="105">
        <v>8702460.0</v>
      </c>
      <c r="P8009" s="105">
        <v>8834419.0</v>
      </c>
      <c r="Q8009" s="102" t="s">
        <v>2529</v>
      </c>
      <c r="S8009" s="1"/>
      <c r="T8009" s="1"/>
      <c r="U8009" s="1"/>
      <c r="V8009" s="1"/>
      <c r="W8009" s="1"/>
      <c r="X8009" s="1"/>
      <c r="Y8009" s="1"/>
      <c r="AA8009" s="102"/>
      <c r="AB8009" s="1"/>
      <c r="AC8009" s="1"/>
      <c r="AD8009" s="1"/>
      <c r="AE8009" s="1"/>
      <c r="AF8009" s="1"/>
      <c r="AG8009" s="1"/>
    </row>
    <row r="8010" ht="15.75" customHeight="1">
      <c r="A8010" s="1"/>
      <c r="B8010" s="1"/>
      <c r="C8010" s="1"/>
      <c r="D8010" s="1"/>
      <c r="E8010" s="1"/>
      <c r="F8010" s="1"/>
      <c r="G8010" s="1"/>
      <c r="H8010" s="1"/>
      <c r="I8010" s="1"/>
      <c r="J8010" s="1"/>
      <c r="K8010" s="102" t="s">
        <v>12487</v>
      </c>
      <c r="L8010" s="102" t="str">
        <f>K1149</f>
        <v>J2b2a2b1a1a~</v>
      </c>
      <c r="M8010" s="102"/>
      <c r="N8010" s="102"/>
      <c r="O8010" s="105">
        <v>8846683.0</v>
      </c>
      <c r="P8010" s="105">
        <v>8978642.0</v>
      </c>
      <c r="Q8010" s="102" t="s">
        <v>2454</v>
      </c>
      <c r="S8010" s="1"/>
      <c r="T8010" s="1"/>
      <c r="U8010" s="1"/>
      <c r="V8010" s="1"/>
      <c r="W8010" s="1"/>
      <c r="X8010" s="1"/>
      <c r="Y8010" s="1"/>
      <c r="AA8010" s="102"/>
      <c r="AB8010" s="1"/>
      <c r="AC8010" s="1"/>
      <c r="AD8010" s="1"/>
      <c r="AE8010" s="1"/>
      <c r="AF8010" s="1"/>
      <c r="AG8010" s="1"/>
    </row>
    <row r="8011" ht="15.75" customHeight="1">
      <c r="A8011" s="1"/>
      <c r="B8011" s="1"/>
      <c r="C8011" s="1"/>
      <c r="D8011" s="1"/>
      <c r="E8011" s="1"/>
      <c r="F8011" s="1"/>
      <c r="G8011" s="1"/>
      <c r="H8011" s="1"/>
      <c r="I8011" s="1"/>
      <c r="J8011" s="1"/>
      <c r="K8011" s="102" t="s">
        <v>12488</v>
      </c>
      <c r="L8011" s="102" t="str">
        <f>K1149</f>
        <v>J2b2a2b1a1a~</v>
      </c>
      <c r="M8011" s="102"/>
      <c r="N8011" s="102"/>
      <c r="O8011" s="105">
        <v>9125192.0</v>
      </c>
      <c r="P8011" s="105">
        <v>9287583.0</v>
      </c>
      <c r="Q8011" s="102" t="s">
        <v>2529</v>
      </c>
      <c r="S8011" s="1"/>
      <c r="T8011" s="1"/>
      <c r="U8011" s="1"/>
      <c r="V8011" s="1"/>
      <c r="W8011" s="1"/>
      <c r="X8011" s="1"/>
      <c r="Y8011" s="1"/>
      <c r="AA8011" s="102"/>
      <c r="AB8011" s="1"/>
      <c r="AC8011" s="1"/>
      <c r="AD8011" s="1"/>
      <c r="AE8011" s="1"/>
      <c r="AF8011" s="1"/>
      <c r="AG8011" s="1"/>
    </row>
    <row r="8012" ht="15.75" customHeight="1">
      <c r="A8012" s="1"/>
      <c r="B8012" s="1"/>
      <c r="C8012" s="1"/>
      <c r="D8012" s="1"/>
      <c r="E8012" s="1"/>
      <c r="F8012" s="1"/>
      <c r="G8012" s="1"/>
      <c r="H8012" s="1"/>
      <c r="I8012" s="1"/>
      <c r="J8012" s="1"/>
      <c r="K8012" s="102" t="s">
        <v>12489</v>
      </c>
      <c r="L8012" s="102" t="str">
        <f>K1149</f>
        <v>J2b2a2b1a1a~</v>
      </c>
      <c r="M8012" s="102"/>
      <c r="N8012" s="102"/>
      <c r="O8012" s="105">
        <v>1.3985526E7</v>
      </c>
      <c r="P8012" s="105">
        <v>1.186482E7</v>
      </c>
      <c r="Q8012" s="102" t="s">
        <v>2423</v>
      </c>
      <c r="S8012" s="1"/>
      <c r="T8012" s="1"/>
      <c r="U8012" s="1"/>
      <c r="V8012" s="1"/>
      <c r="W8012" s="1"/>
      <c r="X8012" s="1"/>
      <c r="Y8012" s="1"/>
      <c r="AA8012" s="102"/>
      <c r="AB8012" s="1"/>
      <c r="AC8012" s="1"/>
      <c r="AD8012" s="1"/>
      <c r="AE8012" s="1"/>
      <c r="AF8012" s="1"/>
      <c r="AG8012" s="1"/>
    </row>
    <row r="8013" ht="15.75" customHeight="1">
      <c r="A8013" s="1"/>
      <c r="B8013" s="1"/>
      <c r="C8013" s="1"/>
      <c r="D8013" s="1"/>
      <c r="E8013" s="1"/>
      <c r="F8013" s="1"/>
      <c r="G8013" s="1"/>
      <c r="H8013" s="1"/>
      <c r="I8013" s="1"/>
      <c r="J8013" s="1"/>
      <c r="K8013" s="102" t="s">
        <v>12490</v>
      </c>
      <c r="L8013" s="102" t="str">
        <f>K1149</f>
        <v>J2b2a2b1a1a~</v>
      </c>
      <c r="M8013" s="102"/>
      <c r="N8013" s="102"/>
      <c r="O8013" s="105">
        <v>1.4277018E7</v>
      </c>
      <c r="P8013" s="105">
        <v>1.2156312E7</v>
      </c>
      <c r="Q8013" s="102" t="s">
        <v>2446</v>
      </c>
      <c r="S8013" s="1"/>
      <c r="T8013" s="1"/>
      <c r="U8013" s="1"/>
      <c r="V8013" s="1"/>
      <c r="W8013" s="1"/>
      <c r="X8013" s="1"/>
      <c r="Y8013" s="1"/>
      <c r="AA8013" s="102"/>
      <c r="AB8013" s="1"/>
      <c r="AC8013" s="1"/>
      <c r="AD8013" s="1"/>
      <c r="AE8013" s="1"/>
      <c r="AF8013" s="1"/>
      <c r="AG8013" s="1"/>
    </row>
    <row r="8014" ht="15.75" customHeight="1">
      <c r="A8014" s="1"/>
      <c r="B8014" s="1"/>
      <c r="C8014" s="1"/>
      <c r="D8014" s="1"/>
      <c r="E8014" s="1"/>
      <c r="F8014" s="1"/>
      <c r="G8014" s="1"/>
      <c r="H8014" s="1"/>
      <c r="I8014" s="1"/>
      <c r="J8014" s="1"/>
      <c r="K8014" s="102" t="s">
        <v>12491</v>
      </c>
      <c r="L8014" s="102" t="str">
        <f>K1149</f>
        <v>J2b2a2b1a1a~</v>
      </c>
      <c r="M8014" s="102"/>
      <c r="N8014" s="102"/>
      <c r="O8014" s="105">
        <v>1.4300235E7</v>
      </c>
      <c r="P8014" s="105">
        <v>1.2179529E7</v>
      </c>
      <c r="Q8014" s="102" t="s">
        <v>2514</v>
      </c>
      <c r="S8014" s="1"/>
      <c r="T8014" s="1"/>
      <c r="U8014" s="1"/>
      <c r="V8014" s="1"/>
      <c r="W8014" s="1"/>
      <c r="X8014" s="1"/>
      <c r="Y8014" s="1"/>
      <c r="AA8014" s="102"/>
      <c r="AB8014" s="1"/>
      <c r="AC8014" s="1"/>
      <c r="AD8014" s="1"/>
      <c r="AE8014" s="1"/>
      <c r="AF8014" s="1"/>
      <c r="AG8014" s="1"/>
    </row>
    <row r="8015" ht="15.75" customHeight="1">
      <c r="A8015" s="1"/>
      <c r="B8015" s="1"/>
      <c r="C8015" s="1"/>
      <c r="D8015" s="1"/>
      <c r="E8015" s="1"/>
      <c r="F8015" s="1"/>
      <c r="G8015" s="1"/>
      <c r="H8015" s="1"/>
      <c r="I8015" s="1"/>
      <c r="J8015" s="1"/>
      <c r="K8015" s="102" t="s">
        <v>12492</v>
      </c>
      <c r="L8015" s="102" t="str">
        <f>K1149</f>
        <v>J2b2a2b1a1a~</v>
      </c>
      <c r="M8015" s="102"/>
      <c r="N8015" s="102"/>
      <c r="O8015" s="105">
        <v>1.4307917E7</v>
      </c>
      <c r="P8015" s="105">
        <v>1.2187211E7</v>
      </c>
      <c r="Q8015" s="102" t="s">
        <v>2576</v>
      </c>
      <c r="S8015" s="1"/>
      <c r="T8015" s="1"/>
      <c r="U8015" s="1"/>
      <c r="V8015" s="1"/>
      <c r="W8015" s="1"/>
      <c r="X8015" s="1"/>
      <c r="Y8015" s="1"/>
      <c r="AA8015" s="102"/>
      <c r="AB8015" s="1"/>
      <c r="AC8015" s="1"/>
      <c r="AD8015" s="1"/>
      <c r="AE8015" s="1"/>
      <c r="AF8015" s="1"/>
      <c r="AG8015" s="1"/>
    </row>
    <row r="8016" ht="15.75" customHeight="1">
      <c r="A8016" s="1"/>
      <c r="B8016" s="1"/>
      <c r="C8016" s="1"/>
      <c r="D8016" s="1"/>
      <c r="E8016" s="1"/>
      <c r="F8016" s="1"/>
      <c r="G8016" s="1"/>
      <c r="H8016" s="1"/>
      <c r="I8016" s="1"/>
      <c r="J8016" s="1"/>
      <c r="K8016" s="102" t="s">
        <v>12493</v>
      </c>
      <c r="L8016" s="102" t="str">
        <f>K1149</f>
        <v>J2b2a2b1a1a~</v>
      </c>
      <c r="M8016" s="102"/>
      <c r="N8016" s="102"/>
      <c r="O8016" s="105">
        <v>1.4322087E7</v>
      </c>
      <c r="P8016" s="105">
        <v>1.2201381E7</v>
      </c>
      <c r="Q8016" s="102" t="s">
        <v>2563</v>
      </c>
      <c r="S8016" s="1"/>
      <c r="T8016" s="1"/>
      <c r="U8016" s="1"/>
      <c r="V8016" s="1"/>
      <c r="W8016" s="1"/>
      <c r="X8016" s="1"/>
      <c r="Y8016" s="1"/>
      <c r="AA8016" s="102"/>
      <c r="AB8016" s="1"/>
      <c r="AC8016" s="1"/>
      <c r="AD8016" s="1"/>
      <c r="AE8016" s="1"/>
      <c r="AF8016" s="1"/>
      <c r="AG8016" s="1"/>
    </row>
    <row r="8017" ht="15.75" customHeight="1">
      <c r="A8017" s="1"/>
      <c r="B8017" s="1"/>
      <c r="C8017" s="1"/>
      <c r="D8017" s="1"/>
      <c r="E8017" s="1"/>
      <c r="F8017" s="1"/>
      <c r="G8017" s="1"/>
      <c r="H8017" s="1"/>
      <c r="I8017" s="1"/>
      <c r="J8017" s="1"/>
      <c r="K8017" s="102" t="s">
        <v>12494</v>
      </c>
      <c r="L8017" s="102" t="str">
        <f>K1149</f>
        <v>J2b2a2b1a1a~</v>
      </c>
      <c r="M8017" s="102"/>
      <c r="N8017" s="102"/>
      <c r="O8017" s="105">
        <v>1.4516876E7</v>
      </c>
      <c r="P8017" s="105">
        <v>1.2405077E7</v>
      </c>
      <c r="Q8017" s="102" t="s">
        <v>2439</v>
      </c>
      <c r="S8017" s="1"/>
      <c r="T8017" s="1"/>
      <c r="U8017" s="1"/>
      <c r="V8017" s="1"/>
      <c r="W8017" s="1"/>
      <c r="X8017" s="1"/>
      <c r="Y8017" s="1"/>
      <c r="AA8017" s="102"/>
      <c r="AB8017" s="1"/>
      <c r="AC8017" s="1"/>
      <c r="AD8017" s="1"/>
      <c r="AE8017" s="1"/>
      <c r="AF8017" s="1"/>
      <c r="AG8017" s="1"/>
    </row>
    <row r="8018" ht="15.75" customHeight="1">
      <c r="A8018" s="1"/>
      <c r="B8018" s="1"/>
      <c r="C8018" s="1"/>
      <c r="D8018" s="1"/>
      <c r="E8018" s="1"/>
      <c r="F8018" s="1"/>
      <c r="G8018" s="1"/>
      <c r="H8018" s="1"/>
      <c r="I8018" s="1"/>
      <c r="J8018" s="1"/>
      <c r="K8018" s="102" t="s">
        <v>12495</v>
      </c>
      <c r="L8018" s="102" t="str">
        <f>K1149</f>
        <v>J2b2a2b1a1a~</v>
      </c>
      <c r="M8018" s="102"/>
      <c r="N8018" s="102"/>
      <c r="O8018" s="105">
        <v>1.5394573E7</v>
      </c>
      <c r="P8018" s="105">
        <v>1.3282693E7</v>
      </c>
      <c r="Q8018" s="102" t="s">
        <v>2501</v>
      </c>
      <c r="S8018" s="1"/>
      <c r="T8018" s="1"/>
      <c r="U8018" s="1"/>
      <c r="V8018" s="1"/>
      <c r="W8018" s="1"/>
      <c r="X8018" s="1"/>
      <c r="Y8018" s="1"/>
      <c r="AA8018" s="102"/>
      <c r="AB8018" s="1"/>
      <c r="AC8018" s="1"/>
      <c r="AD8018" s="1"/>
      <c r="AE8018" s="1"/>
      <c r="AF8018" s="1"/>
      <c r="AG8018" s="1"/>
    </row>
    <row r="8019" ht="15.75" customHeight="1">
      <c r="A8019" s="1"/>
      <c r="B8019" s="1"/>
      <c r="C8019" s="1"/>
      <c r="D8019" s="1"/>
      <c r="E8019" s="1"/>
      <c r="F8019" s="1"/>
      <c r="G8019" s="1"/>
      <c r="H8019" s="1"/>
      <c r="I8019" s="1"/>
      <c r="J8019" s="1"/>
      <c r="K8019" s="102" t="s">
        <v>12496</v>
      </c>
      <c r="L8019" s="102" t="str">
        <f>K1149</f>
        <v>J2b2a2b1a1a~</v>
      </c>
      <c r="M8019" s="102"/>
      <c r="N8019" s="102"/>
      <c r="O8019" s="105">
        <v>1.5571115E7</v>
      </c>
      <c r="P8019" s="105">
        <v>1.3459235E7</v>
      </c>
      <c r="Q8019" s="102" t="s">
        <v>2576</v>
      </c>
      <c r="S8019" s="1"/>
      <c r="T8019" s="1"/>
      <c r="U8019" s="1"/>
      <c r="V8019" s="1"/>
      <c r="W8019" s="1"/>
      <c r="X8019" s="1"/>
      <c r="Y8019" s="1"/>
      <c r="AA8019" s="102"/>
      <c r="AB8019" s="1"/>
      <c r="AC8019" s="1"/>
      <c r="AD8019" s="1"/>
      <c r="AE8019" s="1"/>
      <c r="AF8019" s="1"/>
      <c r="AG8019" s="1"/>
    </row>
    <row r="8020" ht="15.75" customHeight="1">
      <c r="A8020" s="1"/>
      <c r="B8020" s="1"/>
      <c r="C8020" s="1"/>
      <c r="D8020" s="1"/>
      <c r="E8020" s="1"/>
      <c r="F8020" s="1"/>
      <c r="G8020" s="1"/>
      <c r="H8020" s="1"/>
      <c r="I8020" s="1"/>
      <c r="J8020" s="1"/>
      <c r="K8020" s="102" t="s">
        <v>12497</v>
      </c>
      <c r="L8020" s="102" t="str">
        <f>K1149</f>
        <v>J2b2a2b1a1a~</v>
      </c>
      <c r="M8020" s="102"/>
      <c r="N8020" s="102"/>
      <c r="O8020" s="105">
        <v>1.5923855E7</v>
      </c>
      <c r="P8020" s="105">
        <v>1.3811975E7</v>
      </c>
      <c r="Q8020" s="102" t="s">
        <v>2439</v>
      </c>
      <c r="S8020" s="1"/>
      <c r="T8020" s="1"/>
      <c r="U8020" s="1"/>
      <c r="V8020" s="1"/>
      <c r="W8020" s="1"/>
      <c r="X8020" s="1"/>
      <c r="Y8020" s="1"/>
      <c r="AA8020" s="102"/>
      <c r="AB8020" s="1"/>
      <c r="AC8020" s="1"/>
      <c r="AD8020" s="1"/>
      <c r="AE8020" s="1"/>
      <c r="AF8020" s="1"/>
      <c r="AG8020" s="1"/>
    </row>
    <row r="8021" ht="15.75" customHeight="1">
      <c r="A8021" s="1"/>
      <c r="B8021" s="1"/>
      <c r="C8021" s="1"/>
      <c r="D8021" s="1"/>
      <c r="E8021" s="1"/>
      <c r="F8021" s="1"/>
      <c r="G8021" s="1"/>
      <c r="H8021" s="1"/>
      <c r="I8021" s="1"/>
      <c r="J8021" s="1"/>
      <c r="K8021" s="102" t="s">
        <v>12498</v>
      </c>
      <c r="L8021" s="102" t="str">
        <f>K1149</f>
        <v>J2b2a2b1a1a~</v>
      </c>
      <c r="M8021" s="102"/>
      <c r="N8021" s="102"/>
      <c r="O8021" s="105">
        <v>1.5993243E7</v>
      </c>
      <c r="P8021" s="105">
        <v>1.3881363E7</v>
      </c>
      <c r="Q8021" s="102" t="s">
        <v>2533</v>
      </c>
      <c r="S8021" s="1"/>
      <c r="T8021" s="1"/>
      <c r="U8021" s="1"/>
      <c r="V8021" s="1"/>
      <c r="W8021" s="1"/>
      <c r="X8021" s="1"/>
      <c r="Y8021" s="1"/>
      <c r="AA8021" s="102"/>
      <c r="AB8021" s="1"/>
      <c r="AC8021" s="1"/>
      <c r="AD8021" s="1"/>
      <c r="AE8021" s="1"/>
      <c r="AF8021" s="1"/>
      <c r="AG8021" s="1"/>
    </row>
    <row r="8022" ht="15.75" customHeight="1">
      <c r="A8022" s="1"/>
      <c r="B8022" s="1"/>
      <c r="C8022" s="1"/>
      <c r="D8022" s="1"/>
      <c r="E8022" s="1"/>
      <c r="F8022" s="1"/>
      <c r="G8022" s="1"/>
      <c r="H8022" s="1"/>
      <c r="I8022" s="1"/>
      <c r="J8022" s="1"/>
      <c r="K8022" s="102" t="s">
        <v>12499</v>
      </c>
      <c r="L8022" s="102" t="str">
        <f>K1149</f>
        <v>J2b2a2b1a1a~</v>
      </c>
      <c r="M8022" s="102"/>
      <c r="N8022" s="102"/>
      <c r="O8022" s="105">
        <v>1.6183408E7</v>
      </c>
      <c r="P8022" s="105">
        <v>1.4071528E7</v>
      </c>
      <c r="Q8022" s="102" t="s">
        <v>2439</v>
      </c>
      <c r="S8022" s="1"/>
      <c r="T8022" s="1"/>
      <c r="U8022" s="1"/>
      <c r="V8022" s="1"/>
      <c r="W8022" s="1"/>
      <c r="X8022" s="1"/>
      <c r="Y8022" s="1"/>
      <c r="AA8022" s="102"/>
      <c r="AB8022" s="1"/>
      <c r="AC8022" s="1"/>
      <c r="AD8022" s="1"/>
      <c r="AE8022" s="1"/>
      <c r="AF8022" s="1"/>
      <c r="AG8022" s="1"/>
    </row>
    <row r="8023" ht="15.75" customHeight="1">
      <c r="A8023" s="1"/>
      <c r="B8023" s="1"/>
      <c r="C8023" s="1"/>
      <c r="D8023" s="1"/>
      <c r="E8023" s="1"/>
      <c r="F8023" s="1"/>
      <c r="G8023" s="1"/>
      <c r="H8023" s="1"/>
      <c r="I8023" s="1"/>
      <c r="J8023" s="1"/>
      <c r="K8023" s="102" t="s">
        <v>12500</v>
      </c>
      <c r="L8023" s="102" t="str">
        <f>K1149</f>
        <v>J2b2a2b1a1a~</v>
      </c>
      <c r="M8023" s="102"/>
      <c r="N8023" s="102"/>
      <c r="O8023" s="105">
        <v>1.6841258E7</v>
      </c>
      <c r="P8023" s="105">
        <v>1.4729378E7</v>
      </c>
      <c r="Q8023" s="102" t="s">
        <v>2529</v>
      </c>
      <c r="S8023" s="1"/>
      <c r="T8023" s="1"/>
      <c r="U8023" s="1"/>
      <c r="V8023" s="1"/>
      <c r="W8023" s="1"/>
      <c r="X8023" s="1"/>
      <c r="Y8023" s="1"/>
      <c r="AA8023" s="102"/>
      <c r="AB8023" s="1"/>
      <c r="AC8023" s="1"/>
      <c r="AD8023" s="1"/>
      <c r="AE8023" s="1"/>
      <c r="AF8023" s="1"/>
      <c r="AG8023" s="1"/>
    </row>
    <row r="8024" ht="15.75" customHeight="1">
      <c r="A8024" s="1"/>
      <c r="B8024" s="1"/>
      <c r="C8024" s="1"/>
      <c r="D8024" s="1"/>
      <c r="E8024" s="1"/>
      <c r="F8024" s="1"/>
      <c r="G8024" s="1"/>
      <c r="H8024" s="1"/>
      <c r="I8024" s="1"/>
      <c r="J8024" s="1"/>
      <c r="K8024" s="102" t="s">
        <v>12501</v>
      </c>
      <c r="L8024" s="102" t="str">
        <f>K1149</f>
        <v>J2b2a2b1a1a~</v>
      </c>
      <c r="M8024" s="102"/>
      <c r="N8024" s="102"/>
      <c r="O8024" s="105">
        <v>1.6957493E7</v>
      </c>
      <c r="P8024" s="105">
        <v>1.4845613E7</v>
      </c>
      <c r="Q8024" s="102" t="s">
        <v>2514</v>
      </c>
      <c r="S8024" s="1"/>
      <c r="T8024" s="1"/>
      <c r="U8024" s="1"/>
      <c r="V8024" s="1"/>
      <c r="W8024" s="1"/>
      <c r="X8024" s="1"/>
      <c r="Y8024" s="1"/>
      <c r="AA8024" s="102"/>
      <c r="AB8024" s="1"/>
      <c r="AC8024" s="1"/>
      <c r="AD8024" s="1"/>
      <c r="AE8024" s="1"/>
      <c r="AF8024" s="1"/>
      <c r="AG8024" s="1"/>
    </row>
    <row r="8025" ht="15.75" customHeight="1">
      <c r="A8025" s="1"/>
      <c r="B8025" s="1"/>
      <c r="C8025" s="1"/>
      <c r="D8025" s="1"/>
      <c r="E8025" s="1"/>
      <c r="F8025" s="1"/>
      <c r="G8025" s="1"/>
      <c r="H8025" s="1"/>
      <c r="I8025" s="1"/>
      <c r="J8025" s="1"/>
      <c r="K8025" s="102" t="s">
        <v>12502</v>
      </c>
      <c r="L8025" s="102" t="str">
        <f>K1149</f>
        <v>J2b2a2b1a1a~</v>
      </c>
      <c r="M8025" s="102"/>
      <c r="N8025" s="102"/>
      <c r="O8025" s="105">
        <v>1.6966825E7</v>
      </c>
      <c r="P8025" s="105">
        <v>1.4854945E7</v>
      </c>
      <c r="Q8025" s="102" t="s">
        <v>2501</v>
      </c>
      <c r="S8025" s="1"/>
      <c r="T8025" s="1"/>
      <c r="U8025" s="1"/>
      <c r="V8025" s="1"/>
      <c r="W8025" s="1"/>
      <c r="X8025" s="1"/>
      <c r="Y8025" s="1"/>
      <c r="AA8025" s="102"/>
      <c r="AB8025" s="1"/>
      <c r="AC8025" s="1"/>
      <c r="AD8025" s="1"/>
      <c r="AE8025" s="1"/>
      <c r="AF8025" s="1"/>
      <c r="AG8025" s="1"/>
    </row>
    <row r="8026" ht="15.75" customHeight="1">
      <c r="A8026" s="1"/>
      <c r="B8026" s="1"/>
      <c r="C8026" s="1"/>
      <c r="D8026" s="1"/>
      <c r="E8026" s="1"/>
      <c r="F8026" s="1"/>
      <c r="G8026" s="1"/>
      <c r="H8026" s="1"/>
      <c r="I8026" s="1"/>
      <c r="J8026" s="1"/>
      <c r="K8026" s="102" t="s">
        <v>12503</v>
      </c>
      <c r="L8026" s="102" t="str">
        <f>K1149</f>
        <v>J2b2a2b1a1a~</v>
      </c>
      <c r="M8026" s="102"/>
      <c r="N8026" s="102"/>
      <c r="O8026" s="105">
        <v>1.7027176E7</v>
      </c>
      <c r="P8026" s="105">
        <v>1.4915296E7</v>
      </c>
      <c r="Q8026" s="102" t="s">
        <v>2468</v>
      </c>
      <c r="S8026" s="1"/>
      <c r="T8026" s="1"/>
      <c r="U8026" s="1"/>
      <c r="V8026" s="1"/>
      <c r="W8026" s="1"/>
      <c r="X8026" s="1"/>
      <c r="Y8026" s="1"/>
      <c r="AA8026" s="102"/>
      <c r="AB8026" s="1"/>
      <c r="AC8026" s="1"/>
      <c r="AD8026" s="1"/>
      <c r="AE8026" s="1"/>
      <c r="AF8026" s="1"/>
      <c r="AG8026" s="1"/>
    </row>
    <row r="8027" ht="15.75" customHeight="1">
      <c r="A8027" s="1"/>
      <c r="B8027" s="1"/>
      <c r="C8027" s="1"/>
      <c r="D8027" s="1"/>
      <c r="E8027" s="1"/>
      <c r="F8027" s="1"/>
      <c r="G8027" s="1"/>
      <c r="H8027" s="1"/>
      <c r="I8027" s="1"/>
      <c r="J8027" s="1"/>
      <c r="K8027" s="102" t="s">
        <v>12504</v>
      </c>
      <c r="L8027" s="102" t="str">
        <f>K1149</f>
        <v>J2b2a2b1a1a~</v>
      </c>
      <c r="M8027" s="102"/>
      <c r="N8027" s="102"/>
      <c r="O8027" s="105">
        <v>1.7137688E7</v>
      </c>
      <c r="P8027" s="105">
        <v>1.5025808E7</v>
      </c>
      <c r="Q8027" s="102" t="s">
        <v>2501</v>
      </c>
      <c r="S8027" s="1"/>
      <c r="T8027" s="1"/>
      <c r="U8027" s="1"/>
      <c r="V8027" s="1"/>
      <c r="W8027" s="1"/>
      <c r="X8027" s="1"/>
      <c r="Y8027" s="1"/>
      <c r="AA8027" s="102"/>
      <c r="AB8027" s="1"/>
      <c r="AC8027" s="1"/>
      <c r="AD8027" s="1"/>
      <c r="AE8027" s="1"/>
      <c r="AF8027" s="1"/>
      <c r="AG8027" s="1"/>
    </row>
    <row r="8028" ht="15.75" customHeight="1">
      <c r="A8028" s="1"/>
      <c r="B8028" s="1"/>
      <c r="C8028" s="1"/>
      <c r="D8028" s="1"/>
      <c r="E8028" s="1"/>
      <c r="F8028" s="1"/>
      <c r="G8028" s="1"/>
      <c r="H8028" s="1"/>
      <c r="I8028" s="1"/>
      <c r="J8028" s="1"/>
      <c r="K8028" s="102" t="s">
        <v>12505</v>
      </c>
      <c r="L8028" s="102" t="str">
        <f>K1149</f>
        <v>J2b2a2b1a1a~</v>
      </c>
      <c r="M8028" s="102"/>
      <c r="N8028" s="102"/>
      <c r="O8028" s="105">
        <v>1.722506E7</v>
      </c>
      <c r="P8028" s="105">
        <v>1.511318E7</v>
      </c>
      <c r="Q8028" s="102" t="s">
        <v>2501</v>
      </c>
      <c r="S8028" s="1"/>
      <c r="T8028" s="1"/>
      <c r="U8028" s="1"/>
      <c r="V8028" s="1"/>
      <c r="W8028" s="1"/>
      <c r="X8028" s="1"/>
      <c r="Y8028" s="1"/>
      <c r="AA8028" s="102"/>
      <c r="AB8028" s="1"/>
      <c r="AC8028" s="1"/>
      <c r="AD8028" s="1"/>
      <c r="AE8028" s="1"/>
      <c r="AF8028" s="1"/>
      <c r="AG8028" s="1"/>
    </row>
    <row r="8029" ht="15.75" customHeight="1">
      <c r="A8029" s="1"/>
      <c r="B8029" s="1"/>
      <c r="C8029" s="1"/>
      <c r="D8029" s="1"/>
      <c r="E8029" s="1"/>
      <c r="F8029" s="1"/>
      <c r="G8029" s="1"/>
      <c r="H8029" s="1"/>
      <c r="I8029" s="1"/>
      <c r="J8029" s="1"/>
      <c r="K8029" s="102" t="s">
        <v>12506</v>
      </c>
      <c r="L8029" s="102" t="str">
        <f>K1149</f>
        <v>J2b2a2b1a1a~</v>
      </c>
      <c r="M8029" s="102"/>
      <c r="N8029" s="102"/>
      <c r="O8029" s="105">
        <v>1.7386992E7</v>
      </c>
      <c r="P8029" s="105">
        <v>1.5275112E7</v>
      </c>
      <c r="Q8029" s="102" t="s">
        <v>2439</v>
      </c>
      <c r="S8029" s="1"/>
      <c r="T8029" s="1"/>
      <c r="U8029" s="1"/>
      <c r="V8029" s="1"/>
      <c r="W8029" s="1"/>
      <c r="X8029" s="1"/>
      <c r="Y8029" s="1"/>
      <c r="AA8029" s="102"/>
      <c r="AB8029" s="1"/>
      <c r="AC8029" s="1"/>
      <c r="AD8029" s="1"/>
      <c r="AE8029" s="1"/>
      <c r="AF8029" s="1"/>
      <c r="AG8029" s="1"/>
    </row>
    <row r="8030" ht="15.75" customHeight="1">
      <c r="A8030" s="1"/>
      <c r="B8030" s="1"/>
      <c r="C8030" s="1"/>
      <c r="D8030" s="1"/>
      <c r="E8030" s="1"/>
      <c r="F8030" s="1"/>
      <c r="G8030" s="1"/>
      <c r="H8030" s="1"/>
      <c r="I8030" s="1"/>
      <c r="J8030" s="1"/>
      <c r="K8030" s="102" t="s">
        <v>12507</v>
      </c>
      <c r="L8030" s="102" t="str">
        <f>K1149</f>
        <v>J2b2a2b1a1a~</v>
      </c>
      <c r="M8030" s="102"/>
      <c r="N8030" s="102"/>
      <c r="O8030" s="105">
        <v>2.1064176E7</v>
      </c>
      <c r="P8030" s="105">
        <v>1.890229E7</v>
      </c>
      <c r="Q8030" s="102" t="s">
        <v>2446</v>
      </c>
      <c r="S8030" s="1"/>
      <c r="T8030" s="1"/>
      <c r="U8030" s="1"/>
      <c r="V8030" s="1"/>
      <c r="W8030" s="1"/>
      <c r="X8030" s="1"/>
      <c r="Y8030" s="1"/>
      <c r="AA8030" s="102"/>
      <c r="AB8030" s="1"/>
      <c r="AC8030" s="1"/>
      <c r="AD8030" s="1"/>
      <c r="AE8030" s="1"/>
      <c r="AF8030" s="1"/>
      <c r="AG8030" s="1"/>
    </row>
    <row r="8031" ht="15.75" customHeight="1">
      <c r="A8031" s="1"/>
      <c r="B8031" s="1"/>
      <c r="C8031" s="1"/>
      <c r="D8031" s="1"/>
      <c r="E8031" s="1"/>
      <c r="F8031" s="1"/>
      <c r="G8031" s="1"/>
      <c r="H8031" s="1"/>
      <c r="I8031" s="1"/>
      <c r="J8031" s="1"/>
      <c r="K8031" s="102" t="s">
        <v>12508</v>
      </c>
      <c r="L8031" s="102" t="str">
        <f>K1149</f>
        <v>J2b2a2b1a1a~</v>
      </c>
      <c r="M8031" s="102"/>
      <c r="N8031" s="102"/>
      <c r="O8031" s="105">
        <v>2.122355E7</v>
      </c>
      <c r="P8031" s="105">
        <v>1.9061664E7</v>
      </c>
      <c r="Q8031" s="102" t="s">
        <v>2529</v>
      </c>
      <c r="S8031" s="1"/>
      <c r="T8031" s="1"/>
      <c r="U8031" s="1"/>
      <c r="V8031" s="1"/>
      <c r="W8031" s="1"/>
      <c r="X8031" s="1"/>
      <c r="Y8031" s="1"/>
      <c r="AA8031" s="102"/>
      <c r="AB8031" s="1"/>
      <c r="AC8031" s="1"/>
      <c r="AD8031" s="1"/>
      <c r="AE8031" s="1"/>
      <c r="AF8031" s="1"/>
      <c r="AG8031" s="1"/>
    </row>
    <row r="8032" ht="15.75" customHeight="1">
      <c r="A8032" s="1"/>
      <c r="B8032" s="1"/>
      <c r="C8032" s="1"/>
      <c r="D8032" s="1"/>
      <c r="E8032" s="1"/>
      <c r="F8032" s="1"/>
      <c r="G8032" s="1"/>
      <c r="H8032" s="1"/>
      <c r="I8032" s="1"/>
      <c r="J8032" s="1"/>
      <c r="K8032" s="102" t="s">
        <v>12509</v>
      </c>
      <c r="L8032" s="102" t="str">
        <f>K1149</f>
        <v>J2b2a2b1a1a~</v>
      </c>
      <c r="M8032" s="102"/>
      <c r="N8032" s="102"/>
      <c r="O8032" s="105">
        <v>2.1350873E7</v>
      </c>
      <c r="P8032" s="105">
        <v>1.9188987E7</v>
      </c>
      <c r="Q8032" s="102" t="s">
        <v>2529</v>
      </c>
      <c r="S8032" s="1"/>
      <c r="T8032" s="1"/>
      <c r="U8032" s="1"/>
      <c r="V8032" s="1"/>
      <c r="W8032" s="1"/>
      <c r="X8032" s="1"/>
      <c r="Y8032" s="1"/>
      <c r="AA8032" s="102"/>
      <c r="AB8032" s="1"/>
      <c r="AC8032" s="1"/>
      <c r="AD8032" s="1"/>
      <c r="AE8032" s="1"/>
      <c r="AF8032" s="1"/>
      <c r="AG8032" s="1"/>
    </row>
    <row r="8033" ht="15.75" customHeight="1">
      <c r="A8033" s="1"/>
      <c r="B8033" s="1"/>
      <c r="C8033" s="1"/>
      <c r="D8033" s="1"/>
      <c r="E8033" s="1"/>
      <c r="F8033" s="1"/>
      <c r="G8033" s="1"/>
      <c r="H8033" s="1"/>
      <c r="I8033" s="1"/>
      <c r="J8033" s="1"/>
      <c r="K8033" s="102" t="s">
        <v>12510</v>
      </c>
      <c r="L8033" s="102" t="str">
        <f>K1149</f>
        <v>J2b2a2b1a1a~</v>
      </c>
      <c r="M8033" s="102"/>
      <c r="N8033" s="102"/>
      <c r="O8033" s="105">
        <v>2.1354921E7</v>
      </c>
      <c r="P8033" s="105">
        <v>1.9193035E7</v>
      </c>
      <c r="Q8033" s="102" t="s">
        <v>2432</v>
      </c>
      <c r="S8033" s="1"/>
      <c r="T8033" s="1"/>
      <c r="U8033" s="1"/>
      <c r="V8033" s="1"/>
      <c r="W8033" s="1"/>
      <c r="X8033" s="1"/>
      <c r="Y8033" s="1"/>
      <c r="AA8033" s="102"/>
      <c r="AB8033" s="1"/>
      <c r="AC8033" s="1"/>
      <c r="AD8033" s="1"/>
      <c r="AE8033" s="1"/>
      <c r="AF8033" s="1"/>
      <c r="AG8033" s="1"/>
    </row>
    <row r="8034" ht="15.75" customHeight="1">
      <c r="A8034" s="1"/>
      <c r="B8034" s="1"/>
      <c r="C8034" s="1"/>
      <c r="D8034" s="1"/>
      <c r="E8034" s="1"/>
      <c r="F8034" s="1"/>
      <c r="G8034" s="1"/>
      <c r="H8034" s="1"/>
      <c r="I8034" s="1"/>
      <c r="J8034" s="1"/>
      <c r="K8034" s="102" t="s">
        <v>12511</v>
      </c>
      <c r="L8034" s="102" t="str">
        <f>K1149</f>
        <v>J2b2a2b1a1a~</v>
      </c>
      <c r="M8034" s="102"/>
      <c r="N8034" s="102"/>
      <c r="O8034" s="105">
        <v>2.2527198E7</v>
      </c>
      <c r="P8034" s="105">
        <v>2.0365312E7</v>
      </c>
      <c r="Q8034" s="102" t="s">
        <v>2439</v>
      </c>
      <c r="S8034" s="1"/>
      <c r="T8034" s="1"/>
      <c r="U8034" s="1"/>
      <c r="V8034" s="1"/>
      <c r="W8034" s="1"/>
      <c r="X8034" s="1"/>
      <c r="Y8034" s="1"/>
      <c r="AA8034" s="102"/>
      <c r="AB8034" s="1"/>
      <c r="AC8034" s="1"/>
      <c r="AD8034" s="1"/>
      <c r="AE8034" s="1"/>
      <c r="AF8034" s="1"/>
      <c r="AG8034" s="1"/>
    </row>
    <row r="8035" ht="15.75" customHeight="1">
      <c r="A8035" s="1"/>
      <c r="B8035" s="1"/>
      <c r="C8035" s="1"/>
      <c r="D8035" s="1"/>
      <c r="E8035" s="1"/>
      <c r="F8035" s="1"/>
      <c r="G8035" s="1"/>
      <c r="H8035" s="1"/>
      <c r="I8035" s="1"/>
      <c r="J8035" s="1"/>
      <c r="K8035" s="102" t="s">
        <v>12512</v>
      </c>
      <c r="L8035" s="102" t="str">
        <f>K1149</f>
        <v>J2b2a2b1a1a~</v>
      </c>
      <c r="M8035" s="102"/>
      <c r="N8035" s="102"/>
      <c r="O8035" s="105">
        <v>2.2604321E7</v>
      </c>
      <c r="P8035" s="105">
        <v>2.0442435E7</v>
      </c>
      <c r="Q8035" s="102" t="s">
        <v>2529</v>
      </c>
      <c r="S8035" s="1"/>
      <c r="T8035" s="1"/>
      <c r="U8035" s="1"/>
      <c r="V8035" s="1"/>
      <c r="W8035" s="1"/>
      <c r="X8035" s="1"/>
      <c r="Y8035" s="1"/>
      <c r="AA8035" s="102"/>
      <c r="AB8035" s="1"/>
      <c r="AC8035" s="1"/>
      <c r="AD8035" s="1"/>
      <c r="AE8035" s="1"/>
      <c r="AF8035" s="1"/>
      <c r="AG8035" s="1"/>
    </row>
    <row r="8036" ht="15.75" customHeight="1">
      <c r="A8036" s="1"/>
      <c r="B8036" s="1"/>
      <c r="C8036" s="1"/>
      <c r="D8036" s="1"/>
      <c r="E8036" s="1"/>
      <c r="F8036" s="1"/>
      <c r="G8036" s="1"/>
      <c r="H8036" s="1"/>
      <c r="I8036" s="1"/>
      <c r="J8036" s="1"/>
      <c r="K8036" s="102" t="s">
        <v>12513</v>
      </c>
      <c r="L8036" s="102" t="str">
        <f>K1149</f>
        <v>J2b2a2b1a1a~</v>
      </c>
      <c r="M8036" s="102"/>
      <c r="N8036" s="102"/>
      <c r="O8036" s="105">
        <v>2.305675E7</v>
      </c>
      <c r="P8036" s="105">
        <v>2.0894864E7</v>
      </c>
      <c r="Q8036" s="102" t="s">
        <v>2514</v>
      </c>
      <c r="S8036" s="1"/>
      <c r="T8036" s="1"/>
      <c r="U8036" s="1"/>
      <c r="V8036" s="1"/>
      <c r="W8036" s="1"/>
      <c r="X8036" s="1"/>
      <c r="Y8036" s="1"/>
      <c r="AA8036" s="102"/>
      <c r="AB8036" s="1"/>
      <c r="AC8036" s="1"/>
      <c r="AD8036" s="1"/>
      <c r="AE8036" s="1"/>
      <c r="AF8036" s="1"/>
      <c r="AG8036" s="1"/>
    </row>
    <row r="8037" ht="15.75" customHeight="1">
      <c r="A8037" s="1"/>
      <c r="B8037" s="1"/>
      <c r="C8037" s="1"/>
      <c r="D8037" s="1"/>
      <c r="E8037" s="1"/>
      <c r="F8037" s="1"/>
      <c r="G8037" s="1"/>
      <c r="H8037" s="1"/>
      <c r="I8037" s="1"/>
      <c r="J8037" s="1"/>
      <c r="K8037" s="102" t="s">
        <v>12514</v>
      </c>
      <c r="L8037" s="102" t="str">
        <f>K1149</f>
        <v>J2b2a2b1a1a~</v>
      </c>
      <c r="M8037" s="102"/>
      <c r="N8037" s="102"/>
      <c r="O8037" s="105">
        <v>2.3282913E7</v>
      </c>
      <c r="P8037" s="105">
        <v>2.1121027E7</v>
      </c>
      <c r="Q8037" s="102" t="s">
        <v>2432</v>
      </c>
      <c r="S8037" s="1"/>
      <c r="T8037" s="1"/>
      <c r="U8037" s="1"/>
      <c r="V8037" s="1"/>
      <c r="W8037" s="1"/>
      <c r="X8037" s="1"/>
      <c r="Y8037" s="1"/>
      <c r="AA8037" s="102"/>
      <c r="AB8037" s="1"/>
      <c r="AC8037" s="1"/>
      <c r="AD8037" s="1"/>
      <c r="AE8037" s="1"/>
      <c r="AF8037" s="1"/>
      <c r="AG8037" s="1"/>
    </row>
    <row r="8038" ht="15.75" customHeight="1">
      <c r="A8038" s="1"/>
      <c r="B8038" s="1"/>
      <c r="C8038" s="1"/>
      <c r="D8038" s="1"/>
      <c r="E8038" s="1"/>
      <c r="F8038" s="1"/>
      <c r="G8038" s="1"/>
      <c r="H8038" s="1"/>
      <c r="I8038" s="1"/>
      <c r="J8038" s="1"/>
      <c r="K8038" s="102" t="s">
        <v>12515</v>
      </c>
      <c r="L8038" s="102" t="str">
        <f>K1149</f>
        <v>J2b2a2b1a1a~</v>
      </c>
      <c r="M8038" s="102"/>
      <c r="N8038" s="102"/>
      <c r="O8038" s="105">
        <v>2.3317603E7</v>
      </c>
      <c r="P8038" s="105">
        <v>2.1155717E7</v>
      </c>
      <c r="Q8038" s="102" t="s">
        <v>2529</v>
      </c>
      <c r="S8038" s="1"/>
      <c r="T8038" s="1"/>
      <c r="U8038" s="1"/>
      <c r="V8038" s="1"/>
      <c r="W8038" s="1"/>
      <c r="X8038" s="1"/>
      <c r="Y8038" s="1"/>
      <c r="AA8038" s="102"/>
      <c r="AB8038" s="1"/>
      <c r="AC8038" s="1"/>
      <c r="AD8038" s="1"/>
      <c r="AE8038" s="1"/>
      <c r="AF8038" s="1"/>
      <c r="AG8038" s="1"/>
    </row>
    <row r="8039" ht="15.75" customHeight="1">
      <c r="A8039" s="1"/>
      <c r="B8039" s="1"/>
      <c r="C8039" s="1"/>
      <c r="D8039" s="1"/>
      <c r="E8039" s="1"/>
      <c r="F8039" s="1"/>
      <c r="G8039" s="1"/>
      <c r="H8039" s="1"/>
      <c r="I8039" s="1"/>
      <c r="J8039" s="1"/>
      <c r="K8039" s="102" t="s">
        <v>12516</v>
      </c>
      <c r="L8039" s="102" t="str">
        <f>K1149</f>
        <v>J2b2a2b1a1a~</v>
      </c>
      <c r="M8039" s="102"/>
      <c r="N8039" s="102"/>
      <c r="O8039" s="105">
        <v>2.3562627E7</v>
      </c>
      <c r="P8039" s="105">
        <v>2.1400741E7</v>
      </c>
      <c r="Q8039" s="102" t="s">
        <v>2529</v>
      </c>
      <c r="S8039" s="1"/>
      <c r="T8039" s="1"/>
      <c r="U8039" s="1"/>
      <c r="V8039" s="1"/>
      <c r="W8039" s="1"/>
      <c r="X8039" s="1"/>
      <c r="Y8039" s="1"/>
      <c r="AA8039" s="102"/>
      <c r="AB8039" s="1"/>
      <c r="AC8039" s="1"/>
      <c r="AD8039" s="1"/>
      <c r="AE8039" s="1"/>
      <c r="AF8039" s="1"/>
      <c r="AG8039" s="1"/>
    </row>
    <row r="8040" ht="15.75" customHeight="1">
      <c r="A8040" s="1"/>
      <c r="B8040" s="1"/>
      <c r="C8040" s="1"/>
      <c r="D8040" s="1"/>
      <c r="E8040" s="1"/>
      <c r="F8040" s="1"/>
      <c r="G8040" s="1"/>
      <c r="H8040" s="1"/>
      <c r="I8040" s="1"/>
      <c r="J8040" s="1"/>
      <c r="K8040" s="102" t="s">
        <v>12517</v>
      </c>
      <c r="L8040" s="102" t="str">
        <f>K1149</f>
        <v>J2b2a2b1a1a~</v>
      </c>
      <c r="M8040" s="102"/>
      <c r="N8040" s="102"/>
      <c r="O8040" s="105">
        <v>2.8645502E7</v>
      </c>
      <c r="P8040" s="105">
        <v>2.6499355E7</v>
      </c>
      <c r="Q8040" s="102" t="s">
        <v>2454</v>
      </c>
      <c r="S8040" s="1"/>
      <c r="T8040" s="1"/>
      <c r="U8040" s="1"/>
      <c r="V8040" s="1"/>
      <c r="W8040" s="1"/>
      <c r="X8040" s="1"/>
      <c r="Y8040" s="1"/>
      <c r="AA8040" s="102"/>
      <c r="AB8040" s="1"/>
      <c r="AC8040" s="1"/>
      <c r="AD8040" s="1"/>
      <c r="AE8040" s="1"/>
      <c r="AF8040" s="1"/>
      <c r="AG8040" s="1"/>
    </row>
    <row r="8041" ht="15.75" customHeight="1">
      <c r="A8041" s="1"/>
      <c r="B8041" s="1"/>
      <c r="C8041" s="1"/>
      <c r="D8041" s="1"/>
      <c r="E8041" s="1"/>
      <c r="F8041" s="1"/>
      <c r="G8041" s="1"/>
      <c r="H8041" s="1"/>
      <c r="I8041" s="1"/>
      <c r="J8041" s="1"/>
      <c r="K8041" s="102" t="s">
        <v>12518</v>
      </c>
      <c r="L8041" s="102" t="str">
        <f>K1149</f>
        <v>J2b2a2b1a1a~</v>
      </c>
      <c r="M8041" s="102"/>
      <c r="N8041" s="102"/>
      <c r="O8041" s="105">
        <v>2.864551E7</v>
      </c>
      <c r="P8041" s="105">
        <v>2.6499363E7</v>
      </c>
      <c r="Q8041" s="102" t="s">
        <v>2514</v>
      </c>
      <c r="S8041" s="1"/>
      <c r="T8041" s="1"/>
      <c r="U8041" s="1"/>
      <c r="V8041" s="1"/>
      <c r="W8041" s="1"/>
      <c r="X8041" s="1"/>
      <c r="Y8041" s="1"/>
      <c r="AA8041" s="102"/>
      <c r="AB8041" s="1"/>
      <c r="AC8041" s="1"/>
      <c r="AD8041" s="1"/>
      <c r="AE8041" s="1"/>
      <c r="AF8041" s="1"/>
      <c r="AG8041" s="1"/>
    </row>
    <row r="8042" ht="15.75" customHeight="1">
      <c r="A8042" s="1"/>
      <c r="B8042" s="1"/>
      <c r="C8042" s="1"/>
      <c r="D8042" s="1"/>
      <c r="E8042" s="1"/>
      <c r="F8042" s="1"/>
      <c r="G8042" s="1"/>
      <c r="H8042" s="1"/>
      <c r="I8042" s="1"/>
      <c r="J8042" s="1"/>
      <c r="K8042" s="102" t="s">
        <v>12519</v>
      </c>
      <c r="L8042" s="102" t="str">
        <f>K1149</f>
        <v>J2b2a2b1a1a~</v>
      </c>
      <c r="M8042" s="102"/>
      <c r="N8042" s="102"/>
      <c r="O8042" s="105">
        <v>9914673.0</v>
      </c>
      <c r="P8042" s="105">
        <v>1.0077064E7</v>
      </c>
      <c r="Q8042" s="102" t="s">
        <v>2439</v>
      </c>
      <c r="S8042" s="1"/>
      <c r="T8042" s="1"/>
      <c r="U8042" s="1"/>
      <c r="V8042" s="1"/>
      <c r="W8042" s="1"/>
      <c r="X8042" s="1"/>
      <c r="Y8042" s="1"/>
      <c r="AA8042" s="102"/>
      <c r="AB8042" s="1"/>
      <c r="AC8042" s="1"/>
      <c r="AD8042" s="1"/>
      <c r="AE8042" s="1"/>
      <c r="AF8042" s="1"/>
      <c r="AG8042" s="1"/>
    </row>
    <row r="8043" ht="15.75" customHeight="1">
      <c r="A8043" s="1"/>
      <c r="B8043" s="1"/>
      <c r="C8043" s="1"/>
      <c r="D8043" s="1"/>
      <c r="E8043" s="1"/>
      <c r="F8043" s="1"/>
      <c r="G8043" s="1"/>
      <c r="H8043" s="1"/>
      <c r="I8043" s="1"/>
      <c r="J8043" s="1"/>
      <c r="K8043" s="102" t="s">
        <v>12520</v>
      </c>
      <c r="L8043" s="102" t="str">
        <f>K1149</f>
        <v>J2b2a2b1a1a~</v>
      </c>
      <c r="M8043" s="102"/>
      <c r="N8043" s="102"/>
      <c r="O8043" s="105">
        <v>1.0078942E7</v>
      </c>
      <c r="P8043" s="105">
        <v>1.0241333E7</v>
      </c>
      <c r="Q8043" s="102" t="s">
        <v>2446</v>
      </c>
      <c r="S8043" s="1"/>
      <c r="T8043" s="1"/>
      <c r="U8043" s="1"/>
      <c r="V8043" s="1"/>
      <c r="W8043" s="1"/>
      <c r="X8043" s="1"/>
      <c r="Y8043" s="1"/>
      <c r="AA8043" s="102"/>
      <c r="AB8043" s="1"/>
      <c r="AC8043" s="1"/>
      <c r="AD8043" s="1"/>
      <c r="AE8043" s="1"/>
      <c r="AF8043" s="1"/>
      <c r="AG8043" s="1"/>
    </row>
    <row r="8044" ht="15.75" customHeight="1">
      <c r="A8044" s="1"/>
      <c r="B8044" s="1"/>
      <c r="C8044" s="1"/>
      <c r="D8044" s="1"/>
      <c r="E8044" s="1"/>
      <c r="F8044" s="1"/>
      <c r="G8044" s="1"/>
      <c r="H8044" s="1"/>
      <c r="I8044" s="1"/>
      <c r="J8044" s="1"/>
      <c r="K8044" s="102" t="s">
        <v>12521</v>
      </c>
      <c r="L8044" s="102" t="str">
        <f>K1149</f>
        <v>J2b2a2b1a1a~</v>
      </c>
      <c r="M8044" s="102"/>
      <c r="N8044" s="102"/>
      <c r="O8044" s="105">
        <v>1.4322132E7</v>
      </c>
      <c r="P8044" s="105">
        <v>1.2201426E7</v>
      </c>
      <c r="Q8044" s="102" t="s">
        <v>2576</v>
      </c>
      <c r="S8044" s="1"/>
      <c r="T8044" s="1"/>
      <c r="U8044" s="1"/>
      <c r="V8044" s="1"/>
      <c r="W8044" s="1"/>
      <c r="X8044" s="1"/>
      <c r="Y8044" s="1"/>
      <c r="AA8044" s="102"/>
      <c r="AB8044" s="1"/>
      <c r="AC8044" s="1"/>
      <c r="AD8044" s="1"/>
      <c r="AE8044" s="1"/>
      <c r="AF8044" s="1"/>
      <c r="AG8044" s="1"/>
    </row>
    <row r="8045" ht="15.75" customHeight="1">
      <c r="A8045" s="1"/>
      <c r="B8045" s="1"/>
      <c r="C8045" s="1"/>
      <c r="D8045" s="1"/>
      <c r="E8045" s="1"/>
      <c r="F8045" s="1"/>
      <c r="G8045" s="1"/>
      <c r="H8045" s="1"/>
      <c r="I8045" s="1"/>
      <c r="J8045" s="1"/>
      <c r="K8045" s="102" t="s">
        <v>12522</v>
      </c>
      <c r="L8045" s="102" t="str">
        <f>K1149</f>
        <v>J2b2a2b1a1a~</v>
      </c>
      <c r="M8045" s="102"/>
      <c r="N8045" s="102"/>
      <c r="O8045" s="105">
        <v>1.5503232E7</v>
      </c>
      <c r="P8045" s="105">
        <v>1.3391352E7</v>
      </c>
      <c r="Q8045" s="102" t="s">
        <v>2423</v>
      </c>
      <c r="S8045" s="1"/>
      <c r="T8045" s="1"/>
      <c r="U8045" s="1"/>
      <c r="V8045" s="1"/>
      <c r="W8045" s="1"/>
      <c r="X8045" s="1"/>
      <c r="Y8045" s="1"/>
      <c r="AA8045" s="102"/>
      <c r="AB8045" s="1"/>
      <c r="AC8045" s="1"/>
      <c r="AD8045" s="1"/>
      <c r="AE8045" s="1"/>
      <c r="AF8045" s="1"/>
      <c r="AG8045" s="1"/>
    </row>
    <row r="8046" ht="15.75" customHeight="1">
      <c r="A8046" s="1"/>
      <c r="B8046" s="1"/>
      <c r="C8046" s="1"/>
      <c r="D8046" s="1"/>
      <c r="E8046" s="1"/>
      <c r="F8046" s="1"/>
      <c r="G8046" s="1"/>
      <c r="H8046" s="1"/>
      <c r="I8046" s="1"/>
      <c r="J8046" s="1"/>
      <c r="K8046" s="102" t="s">
        <v>12523</v>
      </c>
      <c r="L8046" s="102" t="str">
        <f>K1149</f>
        <v>J2b2a2b1a1a~</v>
      </c>
      <c r="M8046" s="102"/>
      <c r="N8046" s="102"/>
      <c r="O8046" s="105">
        <v>1.7260947E7</v>
      </c>
      <c r="P8046" s="105">
        <v>1.5149067E7</v>
      </c>
      <c r="Q8046" s="102" t="s">
        <v>2446</v>
      </c>
      <c r="S8046" s="1"/>
      <c r="T8046" s="1"/>
      <c r="U8046" s="1"/>
      <c r="V8046" s="1"/>
      <c r="W8046" s="1"/>
      <c r="X8046" s="1"/>
      <c r="Y8046" s="1"/>
      <c r="AA8046" s="102"/>
      <c r="AB8046" s="1"/>
      <c r="AC8046" s="1"/>
      <c r="AD8046" s="1"/>
      <c r="AE8046" s="1"/>
      <c r="AF8046" s="1"/>
      <c r="AG8046" s="1"/>
    </row>
    <row r="8047" ht="15.75" customHeight="1">
      <c r="A8047" s="1"/>
      <c r="B8047" s="1"/>
      <c r="C8047" s="1"/>
      <c r="D8047" s="1"/>
      <c r="E8047" s="1"/>
      <c r="F8047" s="1"/>
      <c r="G8047" s="1"/>
      <c r="H8047" s="1"/>
      <c r="I8047" s="1"/>
      <c r="J8047" s="1"/>
      <c r="K8047" s="102" t="s">
        <v>12524</v>
      </c>
      <c r="L8047" s="102" t="str">
        <f>K1149</f>
        <v>J2b2a2b1a1a~</v>
      </c>
      <c r="M8047" s="102"/>
      <c r="N8047" s="102"/>
      <c r="O8047" s="105">
        <v>1.893008E7</v>
      </c>
      <c r="P8047" s="105">
        <v>1.68182E7</v>
      </c>
      <c r="Q8047" s="102" t="s">
        <v>2468</v>
      </c>
      <c r="S8047" s="1"/>
      <c r="T8047" s="1"/>
      <c r="U8047" s="1"/>
      <c r="V8047" s="1"/>
      <c r="W8047" s="1"/>
      <c r="X8047" s="1"/>
      <c r="Y8047" s="1"/>
      <c r="AA8047" s="102"/>
      <c r="AB8047" s="1"/>
      <c r="AC8047" s="1"/>
      <c r="AD8047" s="1"/>
      <c r="AE8047" s="1"/>
      <c r="AF8047" s="1"/>
      <c r="AG8047" s="1"/>
    </row>
    <row r="8048" ht="15.75" customHeight="1">
      <c r="A8048" s="1"/>
      <c r="B8048" s="1"/>
      <c r="C8048" s="1"/>
      <c r="D8048" s="1"/>
      <c r="E8048" s="1"/>
      <c r="F8048" s="1"/>
      <c r="G8048" s="1"/>
      <c r="H8048" s="1"/>
      <c r="I8048" s="1"/>
      <c r="J8048" s="1"/>
      <c r="K8048" s="102" t="s">
        <v>12525</v>
      </c>
      <c r="L8048" s="102" t="str">
        <f>K1149</f>
        <v>J2b2a2b1a1a~</v>
      </c>
      <c r="M8048" s="102"/>
      <c r="N8048" s="102"/>
      <c r="O8048" s="105">
        <v>2.1856338E7</v>
      </c>
      <c r="P8048" s="105">
        <v>1.9694452E7</v>
      </c>
      <c r="Q8048" s="102" t="s">
        <v>2501</v>
      </c>
      <c r="S8048" s="1"/>
      <c r="T8048" s="1"/>
      <c r="U8048" s="1"/>
      <c r="V8048" s="1"/>
      <c r="W8048" s="1"/>
      <c r="X8048" s="1"/>
      <c r="Y8048" s="1"/>
      <c r="AA8048" s="102"/>
      <c r="AB8048" s="1"/>
      <c r="AC8048" s="1"/>
      <c r="AD8048" s="1"/>
      <c r="AE8048" s="1"/>
      <c r="AF8048" s="1"/>
      <c r="AG8048" s="1"/>
    </row>
    <row r="8049" ht="15.75" customHeight="1">
      <c r="A8049" s="1"/>
      <c r="B8049" s="1"/>
      <c r="C8049" s="1"/>
      <c r="D8049" s="1"/>
      <c r="E8049" s="1"/>
      <c r="F8049" s="1"/>
      <c r="G8049" s="1"/>
      <c r="H8049" s="1"/>
      <c r="I8049" s="1"/>
      <c r="J8049" s="1"/>
      <c r="K8049" s="102" t="s">
        <v>12526</v>
      </c>
      <c r="L8049" s="102" t="str">
        <f>K1149</f>
        <v>J2b2a2b1a1a~</v>
      </c>
      <c r="M8049" s="102"/>
      <c r="N8049" s="102"/>
      <c r="O8049" s="105">
        <v>2.2687082E7</v>
      </c>
      <c r="P8049" s="105">
        <v>2.0525196E7</v>
      </c>
      <c r="Q8049" s="102" t="s">
        <v>2533</v>
      </c>
      <c r="S8049" s="1"/>
      <c r="T8049" s="1"/>
      <c r="U8049" s="1"/>
      <c r="V8049" s="1"/>
      <c r="W8049" s="1"/>
      <c r="X8049" s="1"/>
      <c r="Y8049" s="1"/>
      <c r="AA8049" s="102"/>
      <c r="AB8049" s="1"/>
      <c r="AC8049" s="1"/>
      <c r="AD8049" s="1"/>
      <c r="AE8049" s="1"/>
      <c r="AF8049" s="1"/>
      <c r="AG8049" s="1"/>
    </row>
    <row r="8050" ht="15.75" customHeight="1">
      <c r="A8050" s="1"/>
      <c r="B8050" s="1"/>
      <c r="C8050" s="1"/>
      <c r="D8050" s="1"/>
      <c r="E8050" s="1"/>
      <c r="F8050" s="1"/>
      <c r="G8050" s="1"/>
      <c r="H8050" s="1"/>
      <c r="I8050" s="1"/>
      <c r="J8050" s="1"/>
      <c r="K8050" s="102" t="s">
        <v>12527</v>
      </c>
      <c r="L8050" s="102" t="str">
        <f>K1149</f>
        <v>J2b2a2b1a1a~</v>
      </c>
      <c r="M8050" s="102"/>
      <c r="N8050" s="102"/>
      <c r="O8050" s="105">
        <v>1.6829321E7</v>
      </c>
      <c r="P8050" s="105">
        <v>1.4717441E7</v>
      </c>
      <c r="Q8050" s="102" t="s">
        <v>2533</v>
      </c>
      <c r="S8050" s="1"/>
      <c r="T8050" s="1"/>
      <c r="U8050" s="1"/>
      <c r="V8050" s="1"/>
      <c r="W8050" s="1"/>
      <c r="X8050" s="1"/>
      <c r="Y8050" s="1"/>
      <c r="AA8050" s="102"/>
      <c r="AB8050" s="1"/>
      <c r="AC8050" s="1"/>
      <c r="AD8050" s="1"/>
      <c r="AE8050" s="1"/>
      <c r="AF8050" s="1"/>
      <c r="AG8050" s="1"/>
    </row>
    <row r="8051" ht="15.75" customHeight="1">
      <c r="A8051" s="1"/>
      <c r="B8051" s="1"/>
      <c r="C8051" s="1"/>
      <c r="D8051" s="1"/>
      <c r="E8051" s="1"/>
      <c r="F8051" s="1"/>
      <c r="G8051" s="1"/>
      <c r="H8051" s="1"/>
      <c r="I8051" s="1"/>
      <c r="J8051" s="1"/>
      <c r="K8051" s="102" t="s">
        <v>12528</v>
      </c>
      <c r="L8051" s="102" t="str">
        <f>K1149</f>
        <v>J2b2a2b1a1a~</v>
      </c>
      <c r="M8051" s="102"/>
      <c r="N8051" s="102"/>
      <c r="O8051" s="105">
        <v>1.4095397E7</v>
      </c>
      <c r="P8051" s="105">
        <v>1.1974691E7</v>
      </c>
      <c r="Q8051" s="102" t="s">
        <v>2501</v>
      </c>
      <c r="S8051" s="1"/>
      <c r="T8051" s="1"/>
      <c r="U8051" s="1"/>
      <c r="V8051" s="1"/>
      <c r="W8051" s="1"/>
      <c r="X8051" s="1"/>
      <c r="Y8051" s="1"/>
      <c r="AA8051" s="102"/>
      <c r="AB8051" s="1"/>
      <c r="AC8051" s="1"/>
      <c r="AD8051" s="1"/>
      <c r="AE8051" s="1"/>
      <c r="AF8051" s="1"/>
      <c r="AG8051" s="1"/>
    </row>
    <row r="8052" ht="15.75" customHeight="1">
      <c r="A8052" s="1"/>
      <c r="B8052" s="1"/>
      <c r="C8052" s="1"/>
      <c r="D8052" s="1"/>
      <c r="E8052" s="1"/>
      <c r="F8052" s="1"/>
      <c r="G8052" s="1"/>
      <c r="H8052" s="1"/>
      <c r="I8052" s="1"/>
      <c r="J8052" s="1"/>
      <c r="K8052" s="102" t="s">
        <v>12529</v>
      </c>
      <c r="L8052" s="102" t="str">
        <f t="shared" ref="L8052:L8053" si="203">K1149</f>
        <v>J2b2a2b1a1a~</v>
      </c>
      <c r="M8052" s="102"/>
      <c r="N8052" s="102"/>
      <c r="O8052" s="105">
        <v>1.751958E7</v>
      </c>
      <c r="P8052" s="105">
        <v>1.54077E7</v>
      </c>
      <c r="Q8052" s="102" t="s">
        <v>2468</v>
      </c>
      <c r="S8052" s="1"/>
      <c r="T8052" s="1"/>
      <c r="U8052" s="1"/>
      <c r="V8052" s="1"/>
      <c r="W8052" s="1"/>
      <c r="X8052" s="1"/>
      <c r="Y8052" s="1"/>
      <c r="AA8052" s="102"/>
      <c r="AB8052" s="1"/>
      <c r="AC8052" s="1"/>
      <c r="AD8052" s="1"/>
      <c r="AE8052" s="1"/>
      <c r="AF8052" s="1"/>
      <c r="AG8052" s="1"/>
    </row>
    <row r="8053" ht="15.75" customHeight="1">
      <c r="A8053" s="1"/>
      <c r="B8053" s="1"/>
      <c r="C8053" s="1"/>
      <c r="D8053" s="1"/>
      <c r="E8053" s="1"/>
      <c r="F8053" s="1"/>
      <c r="G8053" s="1"/>
      <c r="H8053" s="1"/>
      <c r="I8053" s="1"/>
      <c r="J8053" s="1"/>
      <c r="K8053" s="102" t="s">
        <v>12530</v>
      </c>
      <c r="L8053" s="102" t="str">
        <f t="shared" si="203"/>
        <v>J2b2a2b1a1b~</v>
      </c>
      <c r="M8053" s="102"/>
      <c r="N8053" s="102"/>
      <c r="O8053" s="105">
        <v>1.8997514E7</v>
      </c>
      <c r="P8053" s="105">
        <v>1.6885634E7</v>
      </c>
      <c r="Q8053" s="102" t="s">
        <v>2533</v>
      </c>
      <c r="S8053" s="1"/>
      <c r="T8053" s="1"/>
      <c r="U8053" s="1"/>
      <c r="V8053" s="1"/>
      <c r="W8053" s="1"/>
      <c r="X8053" s="1"/>
      <c r="Y8053" s="1"/>
      <c r="AA8053" s="102"/>
      <c r="AB8053" s="1"/>
      <c r="AC8053" s="1"/>
      <c r="AD8053" s="1"/>
      <c r="AE8053" s="1"/>
      <c r="AF8053" s="1"/>
      <c r="AG8053" s="1"/>
    </row>
    <row r="8054" ht="15.75" customHeight="1">
      <c r="A8054" s="1"/>
      <c r="B8054" s="1"/>
      <c r="C8054" s="1"/>
      <c r="D8054" s="1"/>
      <c r="E8054" s="1"/>
      <c r="F8054" s="1"/>
      <c r="G8054" s="1"/>
      <c r="H8054" s="1"/>
      <c r="I8054" s="1"/>
      <c r="J8054" s="1"/>
      <c r="K8054" s="102" t="s">
        <v>12531</v>
      </c>
      <c r="L8054" s="102" t="str">
        <f>K1150</f>
        <v>J2b2a2b1a1b~</v>
      </c>
      <c r="M8054" s="102"/>
      <c r="N8054" s="102"/>
      <c r="O8054" s="105">
        <v>9068985.0</v>
      </c>
      <c r="P8054" s="105">
        <v>9231376.0</v>
      </c>
      <c r="Q8054" s="102" t="s">
        <v>2468</v>
      </c>
      <c r="S8054" s="1"/>
      <c r="T8054" s="1"/>
      <c r="U8054" s="1"/>
      <c r="V8054" s="1"/>
      <c r="W8054" s="1"/>
      <c r="X8054" s="1"/>
      <c r="Y8054" s="1"/>
      <c r="AA8054" s="102"/>
      <c r="AB8054" s="1"/>
      <c r="AC8054" s="1"/>
      <c r="AD8054" s="1"/>
      <c r="AE8054" s="1"/>
      <c r="AF8054" s="1"/>
      <c r="AG8054" s="1"/>
    </row>
    <row r="8055" ht="15.75" customHeight="1">
      <c r="A8055" s="1"/>
      <c r="B8055" s="1"/>
      <c r="C8055" s="1"/>
      <c r="D8055" s="1"/>
      <c r="E8055" s="1"/>
      <c r="F8055" s="1"/>
      <c r="G8055" s="1"/>
      <c r="H8055" s="1"/>
      <c r="I8055" s="1"/>
      <c r="J8055" s="1"/>
      <c r="K8055" s="102" t="s">
        <v>12532</v>
      </c>
      <c r="L8055" s="102" t="str">
        <f t="shared" ref="L8055:L8056" si="204">K1150</f>
        <v>J2b2a2b1a1b~</v>
      </c>
      <c r="M8055" s="102"/>
      <c r="N8055" s="102"/>
      <c r="O8055" s="105">
        <v>1.8088648E7</v>
      </c>
      <c r="P8055" s="105">
        <v>1.5976768E7</v>
      </c>
      <c r="Q8055" s="102" t="s">
        <v>2563</v>
      </c>
      <c r="S8055" s="1"/>
      <c r="T8055" s="1"/>
      <c r="U8055" s="1"/>
      <c r="V8055" s="1"/>
      <c r="W8055" s="1"/>
      <c r="X8055" s="1"/>
      <c r="Y8055" s="1"/>
      <c r="AA8055" s="102"/>
      <c r="AB8055" s="1"/>
      <c r="AC8055" s="1"/>
      <c r="AD8055" s="1"/>
      <c r="AE8055" s="1"/>
      <c r="AF8055" s="1"/>
      <c r="AG8055" s="1"/>
    </row>
    <row r="8056" ht="15.75" customHeight="1">
      <c r="A8056" s="1"/>
      <c r="B8056" s="1"/>
      <c r="C8056" s="1"/>
      <c r="D8056" s="1"/>
      <c r="E8056" s="1"/>
      <c r="F8056" s="1"/>
      <c r="G8056" s="1"/>
      <c r="H8056" s="1"/>
      <c r="I8056" s="1"/>
      <c r="J8056" s="1"/>
      <c r="K8056" s="102" t="s">
        <v>12533</v>
      </c>
      <c r="L8056" s="102" t="str">
        <f t="shared" si="204"/>
        <v>J2b2a2b1a1c~</v>
      </c>
      <c r="M8056" s="102" t="s">
        <v>12534</v>
      </c>
      <c r="N8056" s="102" t="s">
        <v>12535</v>
      </c>
      <c r="O8056" s="105">
        <v>1.819692E7</v>
      </c>
      <c r="P8056" s="105">
        <v>1.608504E7</v>
      </c>
      <c r="Q8056" s="102" t="s">
        <v>2501</v>
      </c>
      <c r="S8056" s="1"/>
      <c r="T8056" s="1"/>
      <c r="U8056" s="1"/>
      <c r="V8056" s="1"/>
      <c r="W8056" s="1"/>
      <c r="X8056" s="1"/>
      <c r="Y8056" s="1"/>
      <c r="AA8056" s="102"/>
      <c r="AB8056" s="1"/>
      <c r="AC8056" s="1"/>
      <c r="AD8056" s="1"/>
      <c r="AE8056" s="1"/>
      <c r="AF8056" s="1"/>
      <c r="AG8056" s="1"/>
    </row>
    <row r="8057" ht="15.75" customHeight="1">
      <c r="A8057" s="1"/>
      <c r="B8057" s="1"/>
      <c r="C8057" s="1"/>
      <c r="D8057" s="1"/>
      <c r="E8057" s="1"/>
      <c r="F8057" s="1"/>
      <c r="G8057" s="1"/>
      <c r="H8057" s="1"/>
      <c r="I8057" s="1"/>
      <c r="J8057" s="1"/>
      <c r="K8057" s="102" t="s">
        <v>12534</v>
      </c>
      <c r="L8057" s="102" t="str">
        <f>K1151</f>
        <v>J2b2a2b1a1c~</v>
      </c>
      <c r="M8057" s="102" t="s">
        <v>12533</v>
      </c>
      <c r="N8057" s="102" t="s">
        <v>12535</v>
      </c>
      <c r="O8057" s="105">
        <v>1.819692E7</v>
      </c>
      <c r="P8057" s="105">
        <v>1.608504E7</v>
      </c>
      <c r="Q8057" s="102" t="s">
        <v>2501</v>
      </c>
      <c r="S8057" s="1"/>
      <c r="T8057" s="1"/>
      <c r="U8057" s="1"/>
      <c r="V8057" s="1"/>
      <c r="W8057" s="1"/>
      <c r="X8057" s="1"/>
      <c r="Y8057" s="1"/>
      <c r="AA8057" s="102"/>
      <c r="AB8057" s="1"/>
      <c r="AC8057" s="1"/>
      <c r="AD8057" s="1"/>
      <c r="AE8057" s="1"/>
      <c r="AF8057" s="1"/>
      <c r="AG8057" s="1"/>
    </row>
    <row r="8058" ht="15.75" customHeight="1">
      <c r="A8058" s="1"/>
      <c r="B8058" s="1"/>
      <c r="C8058" s="1"/>
      <c r="D8058" s="1"/>
      <c r="E8058" s="1"/>
      <c r="F8058" s="1"/>
      <c r="G8058" s="1"/>
      <c r="H8058" s="1"/>
      <c r="I8058" s="1"/>
      <c r="J8058" s="1"/>
      <c r="K8058" s="102" t="s">
        <v>12536</v>
      </c>
      <c r="L8058" s="102" t="str">
        <f>K1151</f>
        <v>J2b2a2b1a1c~</v>
      </c>
      <c r="M8058" s="102"/>
      <c r="N8058" s="102" t="s">
        <v>12537</v>
      </c>
      <c r="O8058" s="105">
        <v>7356571.0</v>
      </c>
      <c r="P8058" s="105">
        <v>7488530.0</v>
      </c>
      <c r="Q8058" s="102" t="s">
        <v>2439</v>
      </c>
      <c r="S8058" s="1"/>
      <c r="T8058" s="1"/>
      <c r="U8058" s="1"/>
      <c r="V8058" s="1"/>
      <c r="W8058" s="1"/>
      <c r="X8058" s="1"/>
      <c r="Y8058" s="1"/>
      <c r="AA8058" s="102"/>
      <c r="AB8058" s="1"/>
      <c r="AC8058" s="1"/>
      <c r="AD8058" s="1"/>
      <c r="AE8058" s="1"/>
      <c r="AF8058" s="1"/>
      <c r="AG8058" s="1"/>
    </row>
    <row r="8059" ht="15.75" customHeight="1">
      <c r="A8059" s="1"/>
      <c r="B8059" s="1"/>
      <c r="C8059" s="1"/>
      <c r="D8059" s="1"/>
      <c r="E8059" s="1"/>
      <c r="F8059" s="1"/>
      <c r="G8059" s="1"/>
      <c r="H8059" s="1"/>
      <c r="I8059" s="1"/>
      <c r="J8059" s="1"/>
      <c r="K8059" s="102" t="s">
        <v>12538</v>
      </c>
      <c r="L8059" s="102" t="str">
        <f>K1151</f>
        <v>J2b2a2b1a1c~</v>
      </c>
      <c r="M8059" s="102"/>
      <c r="N8059" s="102" t="s">
        <v>12539</v>
      </c>
      <c r="O8059" s="105">
        <v>1.5842007E7</v>
      </c>
      <c r="P8059" s="105">
        <v>1.3730127E7</v>
      </c>
      <c r="Q8059" s="102" t="s">
        <v>2533</v>
      </c>
      <c r="S8059" s="1"/>
      <c r="T8059" s="1"/>
      <c r="U8059" s="1"/>
      <c r="V8059" s="1"/>
      <c r="W8059" s="1"/>
      <c r="X8059" s="1"/>
      <c r="Y8059" s="1"/>
      <c r="AA8059" s="102"/>
      <c r="AB8059" s="1"/>
      <c r="AC8059" s="1"/>
      <c r="AD8059" s="1"/>
      <c r="AE8059" s="1"/>
      <c r="AF8059" s="1"/>
      <c r="AG8059" s="1"/>
    </row>
    <row r="8060" ht="15.75" customHeight="1">
      <c r="A8060" s="1"/>
      <c r="B8060" s="1"/>
      <c r="C8060" s="1"/>
      <c r="D8060" s="1"/>
      <c r="E8060" s="1"/>
      <c r="F8060" s="1"/>
      <c r="G8060" s="1"/>
      <c r="H8060" s="1"/>
      <c r="I8060" s="1"/>
      <c r="J8060" s="1"/>
      <c r="K8060" s="102" t="s">
        <v>12540</v>
      </c>
      <c r="L8060" s="102" t="str">
        <f>K1151</f>
        <v>J2b2a2b1a1c~</v>
      </c>
      <c r="M8060" s="102"/>
      <c r="N8060" s="102" t="s">
        <v>12541</v>
      </c>
      <c r="O8060" s="105">
        <v>1.7888123E7</v>
      </c>
      <c r="P8060" s="105">
        <v>1.5776243E7</v>
      </c>
      <c r="Q8060" s="102" t="s">
        <v>2468</v>
      </c>
      <c r="S8060" s="1"/>
      <c r="T8060" s="1"/>
      <c r="U8060" s="1"/>
      <c r="V8060" s="1"/>
      <c r="W8060" s="1"/>
      <c r="X8060" s="1"/>
      <c r="Y8060" s="1"/>
      <c r="AA8060" s="102"/>
      <c r="AB8060" s="1"/>
      <c r="AC8060" s="1"/>
      <c r="AD8060" s="1"/>
      <c r="AE8060" s="1"/>
      <c r="AF8060" s="1"/>
      <c r="AG8060" s="1"/>
    </row>
    <row r="8061" ht="15.75" customHeight="1">
      <c r="A8061" s="1"/>
      <c r="B8061" s="1"/>
      <c r="C8061" s="1"/>
      <c r="D8061" s="1"/>
      <c r="E8061" s="1"/>
      <c r="F8061" s="1"/>
      <c r="G8061" s="1"/>
      <c r="H8061" s="1"/>
      <c r="I8061" s="1"/>
      <c r="J8061" s="1"/>
      <c r="K8061" s="102" t="s">
        <v>12542</v>
      </c>
      <c r="L8061" s="102" t="str">
        <f>K1151</f>
        <v>J2b2a2b1a1c~</v>
      </c>
      <c r="M8061" s="102"/>
      <c r="N8061" s="102" t="s">
        <v>12543</v>
      </c>
      <c r="O8061" s="105">
        <v>1.9482684E7</v>
      </c>
      <c r="P8061" s="105">
        <v>1.7370804E7</v>
      </c>
      <c r="Q8061" s="102" t="s">
        <v>2454</v>
      </c>
      <c r="S8061" s="1"/>
      <c r="T8061" s="1"/>
      <c r="U8061" s="1"/>
      <c r="V8061" s="1"/>
      <c r="W8061" s="1"/>
      <c r="X8061" s="1"/>
      <c r="Y8061" s="1"/>
      <c r="AA8061" s="102"/>
      <c r="AB8061" s="1"/>
      <c r="AC8061" s="1"/>
      <c r="AD8061" s="1"/>
      <c r="AE8061" s="1"/>
      <c r="AF8061" s="1"/>
      <c r="AG8061" s="1"/>
    </row>
    <row r="8062" ht="15.75" customHeight="1">
      <c r="A8062" s="1"/>
      <c r="B8062" s="1"/>
      <c r="C8062" s="1"/>
      <c r="D8062" s="1"/>
      <c r="E8062" s="1"/>
      <c r="F8062" s="1"/>
      <c r="G8062" s="1"/>
      <c r="H8062" s="1"/>
      <c r="I8062" s="1"/>
      <c r="J8062" s="1"/>
      <c r="K8062" s="102" t="s">
        <v>12544</v>
      </c>
      <c r="L8062" s="102" t="str">
        <f>K1151</f>
        <v>J2b2a2b1a1c~</v>
      </c>
      <c r="M8062" s="102"/>
      <c r="N8062" s="102" t="s">
        <v>12545</v>
      </c>
      <c r="O8062" s="105">
        <v>2.1331763E7</v>
      </c>
      <c r="P8062" s="105">
        <v>1.9169877E7</v>
      </c>
      <c r="Q8062" s="102" t="s">
        <v>2439</v>
      </c>
      <c r="S8062" s="1"/>
      <c r="T8062" s="1"/>
      <c r="U8062" s="1"/>
      <c r="V8062" s="1"/>
      <c r="W8062" s="1"/>
      <c r="X8062" s="1"/>
      <c r="Y8062" s="1"/>
      <c r="AA8062" s="102"/>
      <c r="AB8062" s="1"/>
      <c r="AC8062" s="1"/>
      <c r="AD8062" s="1"/>
      <c r="AE8062" s="1"/>
      <c r="AF8062" s="1"/>
      <c r="AG8062" s="1"/>
    </row>
    <row r="8063" ht="15.75" customHeight="1">
      <c r="A8063" s="1"/>
      <c r="B8063" s="1"/>
      <c r="C8063" s="1"/>
      <c r="D8063" s="1"/>
      <c r="E8063" s="1"/>
      <c r="F8063" s="1"/>
      <c r="G8063" s="1"/>
      <c r="H8063" s="1"/>
      <c r="I8063" s="1"/>
      <c r="J8063" s="1"/>
      <c r="K8063" s="102" t="s">
        <v>12546</v>
      </c>
      <c r="L8063" s="102" t="str">
        <f>K1151</f>
        <v>J2b2a2b1a1c~</v>
      </c>
      <c r="M8063" s="102"/>
      <c r="N8063" s="102" t="s">
        <v>12547</v>
      </c>
      <c r="O8063" s="105">
        <v>2.1581357E7</v>
      </c>
      <c r="P8063" s="105">
        <v>1.9419471E7</v>
      </c>
      <c r="Q8063" s="102" t="s">
        <v>2501</v>
      </c>
      <c r="S8063" s="1"/>
      <c r="T8063" s="1"/>
      <c r="U8063" s="1"/>
      <c r="V8063" s="1"/>
      <c r="W8063" s="1"/>
      <c r="X8063" s="1"/>
      <c r="Y8063" s="1"/>
      <c r="AA8063" s="102"/>
      <c r="AB8063" s="1"/>
      <c r="AC8063" s="1"/>
      <c r="AD8063" s="1"/>
      <c r="AE8063" s="1"/>
      <c r="AF8063" s="1"/>
      <c r="AG8063" s="1"/>
    </row>
    <row r="8064" ht="15.75" customHeight="1">
      <c r="A8064" s="1"/>
      <c r="B8064" s="1"/>
      <c r="C8064" s="1"/>
      <c r="D8064" s="1"/>
      <c r="E8064" s="1"/>
      <c r="F8064" s="1"/>
      <c r="G8064" s="1"/>
      <c r="H8064" s="1"/>
      <c r="I8064" s="1"/>
      <c r="J8064" s="1"/>
      <c r="K8064" s="102" t="s">
        <v>12548</v>
      </c>
      <c r="L8064" s="102" t="str">
        <f>K1151</f>
        <v>J2b2a2b1a1c~</v>
      </c>
      <c r="M8064" s="102"/>
      <c r="N8064" s="102" t="s">
        <v>12549</v>
      </c>
      <c r="O8064" s="105">
        <v>2.1997443E7</v>
      </c>
      <c r="P8064" s="105">
        <v>1.9835557E7</v>
      </c>
      <c r="Q8064" s="102" t="s">
        <v>2446</v>
      </c>
      <c r="S8064" s="1"/>
      <c r="T8064" s="1"/>
      <c r="U8064" s="1"/>
      <c r="V8064" s="1"/>
      <c r="W8064" s="1"/>
      <c r="X8064" s="1"/>
      <c r="Y8064" s="1"/>
      <c r="AA8064" s="102"/>
      <c r="AB8064" s="1"/>
      <c r="AC8064" s="1"/>
      <c r="AD8064" s="1"/>
      <c r="AE8064" s="1"/>
      <c r="AF8064" s="1"/>
      <c r="AG8064" s="1"/>
    </row>
    <row r="8065" ht="15.75" customHeight="1">
      <c r="A8065" s="1"/>
      <c r="B8065" s="1"/>
      <c r="C8065" s="1"/>
      <c r="D8065" s="1"/>
      <c r="E8065" s="1"/>
      <c r="F8065" s="1"/>
      <c r="G8065" s="1"/>
      <c r="H8065" s="1"/>
      <c r="I8065" s="1"/>
      <c r="J8065" s="1"/>
      <c r="K8065" s="102" t="s">
        <v>12550</v>
      </c>
      <c r="L8065" s="102" t="str">
        <f>K1151</f>
        <v>J2b2a2b1a1c~</v>
      </c>
      <c r="M8065" s="102"/>
      <c r="N8065" s="102" t="s">
        <v>12551</v>
      </c>
      <c r="O8065" s="105">
        <v>2.217419E7</v>
      </c>
      <c r="P8065" s="105">
        <v>2.0012304E7</v>
      </c>
      <c r="Q8065" s="102" t="s">
        <v>2576</v>
      </c>
      <c r="S8065" s="1"/>
      <c r="T8065" s="1"/>
      <c r="U8065" s="1"/>
      <c r="V8065" s="1"/>
      <c r="W8065" s="1"/>
      <c r="X8065" s="1"/>
      <c r="Y8065" s="1"/>
      <c r="AA8065" s="102"/>
      <c r="AB8065" s="1"/>
      <c r="AC8065" s="1"/>
      <c r="AD8065" s="1"/>
      <c r="AE8065" s="1"/>
      <c r="AF8065" s="1"/>
      <c r="AG8065" s="1"/>
    </row>
    <row r="8066" ht="15.75" customHeight="1">
      <c r="A8066" s="1"/>
      <c r="B8066" s="1"/>
      <c r="C8066" s="1"/>
      <c r="D8066" s="1"/>
      <c r="E8066" s="1"/>
      <c r="F8066" s="1"/>
      <c r="G8066" s="1"/>
      <c r="H8066" s="1"/>
      <c r="I8066" s="1"/>
      <c r="J8066" s="1"/>
      <c r="K8066" s="102" t="s">
        <v>12552</v>
      </c>
      <c r="L8066" s="102" t="str">
        <f>K1151</f>
        <v>J2b2a2b1a1c~</v>
      </c>
      <c r="M8066" s="102"/>
      <c r="N8066" s="102"/>
      <c r="O8066" s="105">
        <v>2676149.0</v>
      </c>
      <c r="P8066" s="105">
        <v>2808108.0</v>
      </c>
      <c r="Q8066" s="102" t="s">
        <v>2446</v>
      </c>
      <c r="S8066" s="1"/>
      <c r="T8066" s="1"/>
      <c r="U8066" s="1"/>
      <c r="V8066" s="1"/>
      <c r="W8066" s="1"/>
      <c r="X8066" s="1"/>
      <c r="Y8066" s="1"/>
      <c r="AA8066" s="102"/>
      <c r="AB8066" s="1"/>
      <c r="AC8066" s="1"/>
      <c r="AD8066" s="1"/>
      <c r="AE8066" s="1"/>
      <c r="AF8066" s="1"/>
      <c r="AG8066" s="1"/>
    </row>
    <row r="8067" ht="15.75" customHeight="1">
      <c r="A8067" s="1"/>
      <c r="B8067" s="1"/>
      <c r="C8067" s="1"/>
      <c r="D8067" s="1"/>
      <c r="E8067" s="1"/>
      <c r="F8067" s="1"/>
      <c r="G8067" s="1"/>
      <c r="H8067" s="1"/>
      <c r="I8067" s="1"/>
      <c r="J8067" s="1"/>
      <c r="K8067" s="102" t="s">
        <v>12553</v>
      </c>
      <c r="L8067" s="102" t="str">
        <f>K1151</f>
        <v>J2b2a2b1a1c~</v>
      </c>
      <c r="M8067" s="102"/>
      <c r="N8067" s="102" t="s">
        <v>12554</v>
      </c>
      <c r="O8067" s="105">
        <v>7586406.0</v>
      </c>
      <c r="P8067" s="105">
        <v>7718365.0</v>
      </c>
      <c r="Q8067" s="102" t="s">
        <v>2468</v>
      </c>
      <c r="S8067" s="1"/>
      <c r="T8067" s="1"/>
      <c r="U8067" s="1"/>
      <c r="V8067" s="1"/>
      <c r="W8067" s="1"/>
      <c r="X8067" s="1"/>
      <c r="Y8067" s="1"/>
      <c r="AA8067" s="102"/>
      <c r="AB8067" s="1"/>
      <c r="AC8067" s="1"/>
      <c r="AD8067" s="1"/>
      <c r="AE8067" s="1"/>
      <c r="AF8067" s="1"/>
      <c r="AG8067" s="1"/>
    </row>
    <row r="8068" ht="15.75" customHeight="1">
      <c r="A8068" s="1"/>
      <c r="B8068" s="1"/>
      <c r="C8068" s="1"/>
      <c r="D8068" s="1"/>
      <c r="E8068" s="1"/>
      <c r="F8068" s="1"/>
      <c r="G8068" s="1"/>
      <c r="H8068" s="1"/>
      <c r="I8068" s="1"/>
      <c r="J8068" s="1"/>
      <c r="K8068" s="102" t="s">
        <v>12555</v>
      </c>
      <c r="L8068" s="102" t="str">
        <f>K1151</f>
        <v>J2b2a2b1a1c~</v>
      </c>
      <c r="M8068" s="102"/>
      <c r="N8068" s="102" t="s">
        <v>12556</v>
      </c>
      <c r="O8068" s="105">
        <v>8674691.0</v>
      </c>
      <c r="P8068" s="105">
        <v>8806650.0</v>
      </c>
      <c r="Q8068" s="102" t="s">
        <v>2439</v>
      </c>
      <c r="S8068" s="1"/>
      <c r="T8068" s="1"/>
      <c r="U8068" s="1"/>
      <c r="V8068" s="1"/>
      <c r="W8068" s="1"/>
      <c r="X8068" s="1"/>
      <c r="Y8068" s="1"/>
      <c r="AA8068" s="102"/>
      <c r="AB8068" s="1"/>
      <c r="AC8068" s="1"/>
      <c r="AD8068" s="1"/>
      <c r="AE8068" s="1"/>
      <c r="AF8068" s="1"/>
      <c r="AG8068" s="1"/>
    </row>
    <row r="8069" ht="15.75" customHeight="1">
      <c r="A8069" s="1"/>
      <c r="B8069" s="1"/>
      <c r="C8069" s="1"/>
      <c r="D8069" s="1"/>
      <c r="E8069" s="1"/>
      <c r="F8069" s="1"/>
      <c r="G8069" s="1"/>
      <c r="H8069" s="1"/>
      <c r="I8069" s="1"/>
      <c r="J8069" s="1"/>
      <c r="K8069" s="102" t="s">
        <v>12557</v>
      </c>
      <c r="L8069" s="102" t="str">
        <f>K1151</f>
        <v>J2b2a2b1a1c~</v>
      </c>
      <c r="M8069" s="102"/>
      <c r="N8069" s="102"/>
      <c r="O8069" s="105">
        <v>1.3438398E7</v>
      </c>
      <c r="P8069" s="105">
        <v>1.1282722E7</v>
      </c>
      <c r="Q8069" s="102" t="s">
        <v>2533</v>
      </c>
      <c r="S8069" s="1"/>
      <c r="T8069" s="1"/>
      <c r="U8069" s="1"/>
      <c r="V8069" s="1"/>
      <c r="W8069" s="1"/>
      <c r="X8069" s="1"/>
      <c r="Y8069" s="1"/>
      <c r="AA8069" s="102"/>
      <c r="AB8069" s="1"/>
      <c r="AC8069" s="1"/>
      <c r="AD8069" s="1"/>
      <c r="AE8069" s="1"/>
      <c r="AF8069" s="1"/>
      <c r="AG8069" s="1"/>
    </row>
    <row r="8070" ht="15.75" customHeight="1">
      <c r="A8070" s="1"/>
      <c r="B8070" s="1"/>
      <c r="C8070" s="1"/>
      <c r="D8070" s="1"/>
      <c r="E8070" s="1"/>
      <c r="F8070" s="1"/>
      <c r="G8070" s="1"/>
      <c r="H8070" s="1"/>
      <c r="I8070" s="1"/>
      <c r="J8070" s="1"/>
      <c r="K8070" s="102" t="s">
        <v>12558</v>
      </c>
      <c r="L8070" s="102" t="str">
        <f>K1151</f>
        <v>J2b2a2b1a1c~</v>
      </c>
      <c r="M8070" s="102"/>
      <c r="N8070" s="102" t="s">
        <v>12559</v>
      </c>
      <c r="O8070" s="105">
        <v>1.4228476E7</v>
      </c>
      <c r="P8070" s="105">
        <v>1.210777E7</v>
      </c>
      <c r="Q8070" s="102" t="s">
        <v>2501</v>
      </c>
      <c r="S8070" s="1"/>
      <c r="T8070" s="1"/>
      <c r="U8070" s="1"/>
      <c r="V8070" s="1"/>
      <c r="W8070" s="1"/>
      <c r="X8070" s="1"/>
      <c r="Y8070" s="1"/>
      <c r="AA8070" s="102"/>
      <c r="AB8070" s="1"/>
      <c r="AC8070" s="1"/>
      <c r="AD8070" s="1"/>
      <c r="AE8070" s="1"/>
      <c r="AF8070" s="1"/>
      <c r="AG8070" s="1"/>
    </row>
    <row r="8071" ht="15.75" customHeight="1">
      <c r="A8071" s="1"/>
      <c r="B8071" s="1"/>
      <c r="C8071" s="1"/>
      <c r="D8071" s="1"/>
      <c r="E8071" s="1"/>
      <c r="F8071" s="1"/>
      <c r="G8071" s="1"/>
      <c r="H8071" s="1"/>
      <c r="I8071" s="1"/>
      <c r="J8071" s="1"/>
      <c r="K8071" s="102" t="s">
        <v>12560</v>
      </c>
      <c r="L8071" s="102" t="str">
        <f>K1151</f>
        <v>J2b2a2b1a1c~</v>
      </c>
      <c r="M8071" s="102"/>
      <c r="N8071" s="102" t="s">
        <v>12561</v>
      </c>
      <c r="O8071" s="105">
        <v>1.4670599E7</v>
      </c>
      <c r="P8071" s="105">
        <v>1.2558665E7</v>
      </c>
      <c r="Q8071" s="102" t="s">
        <v>2439</v>
      </c>
      <c r="S8071" s="1"/>
      <c r="T8071" s="1"/>
      <c r="U8071" s="1"/>
      <c r="V8071" s="1"/>
      <c r="W8071" s="1"/>
      <c r="X8071" s="1"/>
      <c r="Y8071" s="1"/>
      <c r="AA8071" s="102"/>
      <c r="AB8071" s="1"/>
      <c r="AC8071" s="1"/>
      <c r="AD8071" s="1"/>
      <c r="AE8071" s="1"/>
      <c r="AF8071" s="1"/>
      <c r="AG8071" s="1"/>
    </row>
    <row r="8072" ht="15.75" customHeight="1">
      <c r="A8072" s="1"/>
      <c r="B8072" s="1"/>
      <c r="C8072" s="1"/>
      <c r="D8072" s="1"/>
      <c r="E8072" s="1"/>
      <c r="F8072" s="1"/>
      <c r="G8072" s="1"/>
      <c r="H8072" s="1"/>
      <c r="I8072" s="1"/>
      <c r="J8072" s="1"/>
      <c r="K8072" s="102" t="s">
        <v>12562</v>
      </c>
      <c r="L8072" s="102" t="str">
        <f>K1151</f>
        <v>J2b2a2b1a1c~</v>
      </c>
      <c r="M8072" s="102"/>
      <c r="N8072" s="102" t="s">
        <v>12563</v>
      </c>
      <c r="O8072" s="105">
        <v>1.5517234E7</v>
      </c>
      <c r="P8072" s="105">
        <v>1.3405354E7</v>
      </c>
      <c r="Q8072" s="102" t="s">
        <v>2529</v>
      </c>
      <c r="S8072" s="1"/>
      <c r="T8072" s="1"/>
      <c r="U8072" s="1"/>
      <c r="V8072" s="1"/>
      <c r="W8072" s="1"/>
      <c r="X8072" s="1"/>
      <c r="Y8072" s="1"/>
      <c r="AA8072" s="102"/>
      <c r="AB8072" s="1"/>
      <c r="AC8072" s="1"/>
      <c r="AD8072" s="1"/>
      <c r="AE8072" s="1"/>
      <c r="AF8072" s="1"/>
      <c r="AG8072" s="1"/>
    </row>
    <row r="8073" ht="15.75" customHeight="1">
      <c r="A8073" s="1"/>
      <c r="B8073" s="1"/>
      <c r="C8073" s="1"/>
      <c r="D8073" s="1"/>
      <c r="E8073" s="1"/>
      <c r="F8073" s="1"/>
      <c r="G8073" s="1"/>
      <c r="H8073" s="1"/>
      <c r="I8073" s="1"/>
      <c r="J8073" s="1"/>
      <c r="K8073" s="102" t="s">
        <v>12564</v>
      </c>
      <c r="L8073" s="102" t="str">
        <f>K1151</f>
        <v>J2b2a2b1a1c~</v>
      </c>
      <c r="M8073" s="102"/>
      <c r="N8073" s="102" t="s">
        <v>12565</v>
      </c>
      <c r="O8073" s="105">
        <v>1.6659111E7</v>
      </c>
      <c r="P8073" s="105">
        <v>1.4547231E7</v>
      </c>
      <c r="Q8073" s="102" t="s">
        <v>2439</v>
      </c>
      <c r="S8073" s="1"/>
      <c r="T8073" s="1"/>
      <c r="U8073" s="1"/>
      <c r="V8073" s="1"/>
      <c r="W8073" s="1"/>
      <c r="X8073" s="1"/>
      <c r="Y8073" s="1"/>
      <c r="AA8073" s="102"/>
      <c r="AB8073" s="1"/>
      <c r="AC8073" s="1"/>
      <c r="AD8073" s="1"/>
      <c r="AE8073" s="1"/>
      <c r="AF8073" s="1"/>
      <c r="AG8073" s="1"/>
    </row>
    <row r="8074" ht="15.75" customHeight="1">
      <c r="A8074" s="1"/>
      <c r="B8074" s="1"/>
      <c r="C8074" s="1"/>
      <c r="D8074" s="1"/>
      <c r="E8074" s="1"/>
      <c r="F8074" s="1"/>
      <c r="G8074" s="1"/>
      <c r="H8074" s="1"/>
      <c r="I8074" s="1"/>
      <c r="J8074" s="1"/>
      <c r="K8074" s="102" t="s">
        <v>12566</v>
      </c>
      <c r="L8074" s="102" t="str">
        <f>K1151</f>
        <v>J2b2a2b1a1c~</v>
      </c>
      <c r="M8074" s="102"/>
      <c r="N8074" s="102" t="s">
        <v>12567</v>
      </c>
      <c r="O8074" s="105">
        <v>1.7525592E7</v>
      </c>
      <c r="P8074" s="105">
        <v>1.5413712E7</v>
      </c>
      <c r="Q8074" s="102" t="s">
        <v>2501</v>
      </c>
      <c r="S8074" s="1"/>
      <c r="T8074" s="1"/>
      <c r="U8074" s="1"/>
      <c r="V8074" s="1"/>
      <c r="W8074" s="1"/>
      <c r="X8074" s="1"/>
      <c r="Y8074" s="1"/>
      <c r="AA8074" s="102"/>
      <c r="AB8074" s="1"/>
      <c r="AC8074" s="1"/>
      <c r="AD8074" s="1"/>
      <c r="AE8074" s="1"/>
      <c r="AF8074" s="1"/>
      <c r="AG8074" s="1"/>
    </row>
    <row r="8075" ht="15.75" customHeight="1">
      <c r="A8075" s="1"/>
      <c r="B8075" s="1"/>
      <c r="C8075" s="1"/>
      <c r="D8075" s="1"/>
      <c r="E8075" s="1"/>
      <c r="F8075" s="1"/>
      <c r="G8075" s="1"/>
      <c r="H8075" s="1"/>
      <c r="I8075" s="1"/>
      <c r="J8075" s="1"/>
      <c r="K8075" s="102" t="s">
        <v>12568</v>
      </c>
      <c r="L8075" s="102" t="str">
        <f>K1151</f>
        <v>J2b2a2b1a1c~</v>
      </c>
      <c r="M8075" s="102"/>
      <c r="N8075" s="102" t="s">
        <v>12569</v>
      </c>
      <c r="O8075" s="105">
        <v>1.7635061E7</v>
      </c>
      <c r="P8075" s="105">
        <v>1.5523181E7</v>
      </c>
      <c r="Q8075" s="102" t="s">
        <v>2514</v>
      </c>
      <c r="S8075" s="1"/>
      <c r="T8075" s="1"/>
      <c r="U8075" s="1"/>
      <c r="V8075" s="1"/>
      <c r="W8075" s="1"/>
      <c r="X8075" s="1"/>
      <c r="Y8075" s="1"/>
      <c r="AA8075" s="102"/>
      <c r="AB8075" s="1"/>
      <c r="AC8075" s="1"/>
      <c r="AD8075" s="1"/>
      <c r="AE8075" s="1"/>
      <c r="AF8075" s="1"/>
      <c r="AG8075" s="1"/>
    </row>
    <row r="8076" ht="15.75" customHeight="1">
      <c r="A8076" s="1"/>
      <c r="B8076" s="1"/>
      <c r="C8076" s="1"/>
      <c r="D8076" s="1"/>
      <c r="E8076" s="1"/>
      <c r="F8076" s="1"/>
      <c r="G8076" s="1"/>
      <c r="H8076" s="1"/>
      <c r="I8076" s="1"/>
      <c r="J8076" s="1"/>
      <c r="K8076" s="102" t="s">
        <v>12570</v>
      </c>
      <c r="L8076" s="102" t="str">
        <f>K1151</f>
        <v>J2b2a2b1a1c~</v>
      </c>
      <c r="M8076" s="102"/>
      <c r="N8076" s="102" t="s">
        <v>12571</v>
      </c>
      <c r="O8076" s="105">
        <v>1.9069878E7</v>
      </c>
      <c r="P8076" s="105">
        <v>1.6957998E7</v>
      </c>
      <c r="Q8076" s="102" t="s">
        <v>2514</v>
      </c>
      <c r="S8076" s="1"/>
      <c r="T8076" s="1"/>
      <c r="U8076" s="1"/>
      <c r="V8076" s="1"/>
      <c r="W8076" s="1"/>
      <c r="X8076" s="1"/>
      <c r="Y8076" s="1"/>
      <c r="AA8076" s="102"/>
      <c r="AB8076" s="1"/>
      <c r="AC8076" s="1"/>
      <c r="AD8076" s="1"/>
      <c r="AE8076" s="1"/>
      <c r="AF8076" s="1"/>
      <c r="AG8076" s="1"/>
    </row>
    <row r="8077" ht="15.75" customHeight="1">
      <c r="A8077" s="1"/>
      <c r="B8077" s="1"/>
      <c r="C8077" s="1"/>
      <c r="D8077" s="1"/>
      <c r="E8077" s="1"/>
      <c r="F8077" s="1"/>
      <c r="G8077" s="1"/>
      <c r="H8077" s="1"/>
      <c r="I8077" s="1"/>
      <c r="J8077" s="1"/>
      <c r="K8077" s="102" t="s">
        <v>12572</v>
      </c>
      <c r="L8077" s="102" t="str">
        <f>K1151</f>
        <v>J2b2a2b1a1c~</v>
      </c>
      <c r="M8077" s="102"/>
      <c r="N8077" s="102"/>
      <c r="O8077" s="105">
        <v>2.2214818E7</v>
      </c>
      <c r="P8077" s="105">
        <v>2.0052932E7</v>
      </c>
      <c r="Q8077" s="102" t="s">
        <v>2533</v>
      </c>
      <c r="S8077" s="1"/>
      <c r="T8077" s="1"/>
      <c r="U8077" s="1"/>
      <c r="V8077" s="1"/>
      <c r="W8077" s="1"/>
      <c r="X8077" s="1"/>
      <c r="Y8077" s="1"/>
      <c r="AA8077" s="102"/>
      <c r="AB8077" s="1"/>
      <c r="AC8077" s="1"/>
      <c r="AD8077" s="1"/>
      <c r="AE8077" s="1"/>
      <c r="AF8077" s="1"/>
      <c r="AG8077" s="1"/>
    </row>
    <row r="8078" ht="15.75" customHeight="1">
      <c r="A8078" s="1"/>
      <c r="B8078" s="1"/>
      <c r="C8078" s="1"/>
      <c r="D8078" s="1"/>
      <c r="E8078" s="1"/>
      <c r="F8078" s="1"/>
      <c r="G8078" s="1"/>
      <c r="H8078" s="1"/>
      <c r="I8078" s="19" t="s">
        <v>12573</v>
      </c>
      <c r="J8078" s="1"/>
      <c r="K8078" s="102" t="s">
        <v>12574</v>
      </c>
      <c r="L8078" s="102" t="str">
        <f>K1151</f>
        <v>J2b2a2b1a1c~</v>
      </c>
      <c r="M8078" s="102"/>
      <c r="N8078" s="102" t="s">
        <v>12575</v>
      </c>
      <c r="O8078" s="105">
        <v>2.3423248E7</v>
      </c>
      <c r="P8078" s="105">
        <v>2.1261362E7</v>
      </c>
      <c r="Q8078" s="102" t="s">
        <v>2576</v>
      </c>
      <c r="S8078" s="1"/>
      <c r="T8078" s="1"/>
      <c r="U8078" s="1"/>
      <c r="V8078" s="1"/>
      <c r="W8078" s="1"/>
      <c r="X8078" s="1"/>
      <c r="Y8078" s="1"/>
      <c r="AA8078" s="102"/>
      <c r="AB8078" s="1"/>
      <c r="AC8078" s="1"/>
      <c r="AD8078" s="1"/>
      <c r="AE8078" s="1"/>
      <c r="AF8078" s="1"/>
      <c r="AG8078" s="1"/>
    </row>
    <row r="8079" ht="15.75" customHeight="1">
      <c r="A8079" s="1"/>
      <c r="B8079" s="1"/>
      <c r="C8079" s="1"/>
      <c r="D8079" s="1"/>
      <c r="E8079" s="1"/>
      <c r="F8079" s="1"/>
      <c r="G8079" s="1"/>
      <c r="H8079" s="1"/>
      <c r="I8079" s="1"/>
      <c r="J8079" s="1"/>
      <c r="K8079" s="102" t="s">
        <v>12576</v>
      </c>
      <c r="L8079" s="102" t="str">
        <f>K1151</f>
        <v>J2b2a2b1a1c~</v>
      </c>
      <c r="M8079" s="102"/>
      <c r="N8079" s="102" t="s">
        <v>12577</v>
      </c>
      <c r="O8079" s="105">
        <v>2.3489421E7</v>
      </c>
      <c r="P8079" s="105">
        <v>2.1327535E7</v>
      </c>
      <c r="Q8079" s="102" t="s">
        <v>2468</v>
      </c>
      <c r="S8079" s="1"/>
      <c r="T8079" s="1"/>
      <c r="U8079" s="1"/>
      <c r="V8079" s="1"/>
      <c r="W8079" s="1"/>
      <c r="X8079" s="1"/>
      <c r="Y8079" s="1"/>
      <c r="AA8079" s="102"/>
      <c r="AB8079" s="1"/>
      <c r="AC8079" s="1"/>
      <c r="AD8079" s="1"/>
      <c r="AE8079" s="1"/>
      <c r="AF8079" s="1"/>
      <c r="AG8079" s="1"/>
    </row>
    <row r="8080" ht="15.75" customHeight="1">
      <c r="A8080" s="1"/>
      <c r="B8080" s="1"/>
      <c r="C8080" s="1"/>
      <c r="D8080" s="1"/>
      <c r="E8080" s="1"/>
      <c r="F8080" s="1"/>
      <c r="G8080" s="1"/>
      <c r="H8080" s="1"/>
      <c r="I8080" s="1"/>
      <c r="J8080" s="1"/>
      <c r="K8080" s="102" t="s">
        <v>12578</v>
      </c>
      <c r="L8080" s="102" t="str">
        <f>K1151</f>
        <v>J2b2a2b1a1c~</v>
      </c>
      <c r="M8080" s="102"/>
      <c r="N8080" s="102" t="s">
        <v>12579</v>
      </c>
      <c r="O8080" s="105">
        <v>2.8540336E7</v>
      </c>
      <c r="P8080" s="105">
        <v>2.6394189E7</v>
      </c>
      <c r="Q8080" s="102" t="s">
        <v>2501</v>
      </c>
      <c r="S8080" s="1"/>
      <c r="T8080" s="1"/>
      <c r="U8080" s="1"/>
      <c r="V8080" s="1"/>
      <c r="W8080" s="1"/>
      <c r="X8080" s="1"/>
      <c r="Y8080" s="1"/>
      <c r="AA8080" s="102"/>
      <c r="AB8080" s="1"/>
      <c r="AC8080" s="1"/>
      <c r="AD8080" s="1"/>
      <c r="AE8080" s="1"/>
      <c r="AF8080" s="1"/>
      <c r="AG8080" s="1"/>
    </row>
    <row r="8081" ht="15.75" customHeight="1">
      <c r="A8081" s="1"/>
      <c r="B8081" s="1"/>
      <c r="C8081" s="1"/>
      <c r="D8081" s="1"/>
      <c r="E8081" s="1"/>
      <c r="F8081" s="1"/>
      <c r="G8081" s="1"/>
      <c r="H8081" s="1"/>
      <c r="I8081" s="1"/>
      <c r="J8081" s="1"/>
      <c r="K8081" s="102" t="s">
        <v>12580</v>
      </c>
      <c r="L8081" s="102" t="str">
        <f>H1152</f>
        <v>J2b2a2b2</v>
      </c>
      <c r="M8081" s="102"/>
      <c r="N8081" s="102" t="s">
        <v>12581</v>
      </c>
      <c r="O8081" s="105">
        <v>2.2895947E7</v>
      </c>
      <c r="P8081" s="105">
        <v>2.0734061E7</v>
      </c>
      <c r="Q8081" s="102" t="s">
        <v>2501</v>
      </c>
      <c r="S8081" s="1"/>
      <c r="T8081" s="1"/>
      <c r="U8081" s="1"/>
      <c r="V8081" s="1"/>
      <c r="W8081" s="1"/>
      <c r="X8081" s="1"/>
      <c r="Y8081" s="1"/>
      <c r="AA8081" s="102"/>
      <c r="AB8081" s="1"/>
      <c r="AC8081" s="1"/>
      <c r="AD8081" s="1"/>
      <c r="AE8081" s="1"/>
      <c r="AF8081" s="1"/>
      <c r="AG8081" s="1"/>
    </row>
    <row r="8082" ht="15.75" customHeight="1">
      <c r="A8082" s="1"/>
      <c r="B8082" s="1"/>
      <c r="C8082" s="1"/>
      <c r="D8082" s="1"/>
      <c r="E8082" s="1"/>
      <c r="F8082" s="1"/>
      <c r="G8082" s="1"/>
      <c r="H8082" s="1"/>
      <c r="I8082" s="1"/>
      <c r="J8082" s="1"/>
      <c r="K8082" s="102" t="s">
        <v>12582</v>
      </c>
      <c r="L8082" s="102" t="str">
        <f>I1153</f>
        <v>J2b2a2b2a</v>
      </c>
      <c r="M8082" s="102"/>
      <c r="N8082" s="102" t="s">
        <v>12583</v>
      </c>
      <c r="O8082" s="105">
        <v>9886430.0</v>
      </c>
      <c r="P8082" s="105">
        <v>1.0048821E7</v>
      </c>
      <c r="Q8082" s="102" t="s">
        <v>2439</v>
      </c>
      <c r="S8082" s="1"/>
      <c r="T8082" s="1"/>
      <c r="U8082" s="1"/>
      <c r="V8082" s="1"/>
      <c r="W8082" s="1"/>
      <c r="X8082" s="1"/>
      <c r="Y8082" s="1"/>
      <c r="AA8082" s="102"/>
      <c r="AB8082" s="1"/>
      <c r="AC8082" s="1"/>
      <c r="AD8082" s="1"/>
      <c r="AE8082" s="1"/>
      <c r="AF8082" s="1"/>
      <c r="AG8082" s="1"/>
    </row>
    <row r="8083" ht="15.75" customHeight="1">
      <c r="A8083" s="1"/>
      <c r="B8083" s="1"/>
      <c r="C8083" s="1"/>
      <c r="D8083" s="1"/>
      <c r="E8083" s="1"/>
      <c r="F8083" s="1"/>
      <c r="G8083" s="1"/>
      <c r="H8083" s="1"/>
      <c r="I8083" s="1"/>
      <c r="J8083" s="1"/>
      <c r="K8083" s="102" t="s">
        <v>12584</v>
      </c>
      <c r="L8083" s="102" t="str">
        <f>I1153</f>
        <v>J2b2a2b2a</v>
      </c>
      <c r="M8083" s="102"/>
      <c r="N8083" s="102" t="s">
        <v>12585</v>
      </c>
      <c r="O8083" s="105">
        <v>2.3632309E7</v>
      </c>
      <c r="P8083" s="105">
        <v>2.1470423E7</v>
      </c>
      <c r="Q8083" s="102" t="s">
        <v>2501</v>
      </c>
      <c r="S8083" s="1"/>
      <c r="T8083" s="1"/>
      <c r="U8083" s="1"/>
      <c r="V8083" s="1"/>
      <c r="W8083" s="1"/>
      <c r="X8083" s="1"/>
      <c r="Y8083" s="1"/>
      <c r="AA8083" s="102"/>
      <c r="AB8083" s="1"/>
      <c r="AC8083" s="1"/>
      <c r="AD8083" s="1"/>
      <c r="AE8083" s="1"/>
      <c r="AF8083" s="1"/>
      <c r="AG8083" s="1"/>
    </row>
    <row r="8084" ht="15.75" customHeight="1">
      <c r="A8084" s="1"/>
      <c r="B8084" s="1"/>
      <c r="C8084" s="1"/>
      <c r="D8084" s="1"/>
      <c r="E8084" s="1"/>
      <c r="F8084" s="1"/>
      <c r="G8084" s="1"/>
      <c r="H8084" s="1"/>
      <c r="I8084" s="1"/>
      <c r="J8084" s="1"/>
      <c r="K8084" s="102" t="s">
        <v>12586</v>
      </c>
      <c r="L8084" s="102" t="str">
        <f>I1153</f>
        <v>J2b2a2b2a</v>
      </c>
      <c r="M8084" s="102"/>
      <c r="N8084" s="102" t="s">
        <v>12587</v>
      </c>
      <c r="O8084" s="105">
        <v>1.3646935E7</v>
      </c>
      <c r="P8084" s="105">
        <v>1.1491259E7</v>
      </c>
      <c r="Q8084" s="102" t="s">
        <v>2432</v>
      </c>
      <c r="S8084" s="1"/>
      <c r="T8084" s="1"/>
      <c r="U8084" s="1"/>
      <c r="V8084" s="1"/>
      <c r="W8084" s="1"/>
      <c r="X8084" s="1"/>
      <c r="Y8084" s="1"/>
      <c r="AA8084" s="102"/>
      <c r="AB8084" s="1"/>
      <c r="AC8084" s="1"/>
      <c r="AD8084" s="1"/>
      <c r="AE8084" s="1"/>
      <c r="AF8084" s="1"/>
      <c r="AG8084" s="1"/>
    </row>
    <row r="8085" ht="15.75" customHeight="1">
      <c r="A8085" s="1"/>
      <c r="B8085" s="1"/>
      <c r="C8085" s="1"/>
      <c r="D8085" s="1"/>
      <c r="E8085" s="1"/>
      <c r="F8085" s="1"/>
      <c r="G8085" s="1"/>
      <c r="H8085" s="1"/>
      <c r="I8085" s="1"/>
      <c r="J8085" s="1"/>
      <c r="K8085" s="102" t="s">
        <v>12588</v>
      </c>
      <c r="L8085" s="102" t="str">
        <f>I1153</f>
        <v>J2b2a2b2a</v>
      </c>
      <c r="M8085" s="102"/>
      <c r="N8085" s="102" t="s">
        <v>12589</v>
      </c>
      <c r="O8085" s="105">
        <v>1.7058536E7</v>
      </c>
      <c r="P8085" s="105">
        <v>1.4946656E7</v>
      </c>
      <c r="Q8085" s="102" t="s">
        <v>2514</v>
      </c>
      <c r="S8085" s="1"/>
      <c r="T8085" s="1"/>
      <c r="U8085" s="1"/>
      <c r="V8085" s="1"/>
      <c r="W8085" s="1"/>
      <c r="X8085" s="1"/>
      <c r="Y8085" s="1"/>
      <c r="AA8085" s="102"/>
      <c r="AB8085" s="1"/>
      <c r="AC8085" s="1"/>
      <c r="AD8085" s="1"/>
      <c r="AE8085" s="1"/>
      <c r="AF8085" s="1"/>
      <c r="AG8085" s="1"/>
    </row>
    <row r="8086" ht="15.75" customHeight="1">
      <c r="A8086" s="1"/>
      <c r="B8086" s="1"/>
      <c r="C8086" s="1"/>
      <c r="D8086" s="1"/>
      <c r="E8086" s="1"/>
      <c r="F8086" s="1"/>
      <c r="G8086" s="1"/>
      <c r="H8086" s="1"/>
      <c r="I8086" s="1"/>
      <c r="J8086" s="1"/>
      <c r="K8086" s="102" t="s">
        <v>2273</v>
      </c>
      <c r="L8086" s="102" t="str">
        <f>J1154</f>
        <v>J2b2a2b2a1</v>
      </c>
      <c r="M8086" s="102"/>
      <c r="N8086" s="102" t="s">
        <v>12590</v>
      </c>
      <c r="O8086" s="105">
        <v>1.3649531E7</v>
      </c>
      <c r="P8086" s="105">
        <v>1.1493855E7</v>
      </c>
      <c r="Q8086" s="102" t="s">
        <v>2439</v>
      </c>
      <c r="S8086" s="1"/>
      <c r="T8086" s="1"/>
      <c r="U8086" s="1"/>
      <c r="V8086" s="1"/>
      <c r="W8086" s="1"/>
      <c r="X8086" s="1"/>
      <c r="Y8086" s="1"/>
      <c r="AA8086" s="102"/>
      <c r="AB8086" s="1"/>
      <c r="AC8086" s="1"/>
      <c r="AD8086" s="1"/>
      <c r="AE8086" s="1"/>
      <c r="AF8086" s="1"/>
      <c r="AG8086" s="1"/>
    </row>
    <row r="8087" ht="15.75" customHeight="1">
      <c r="A8087" s="1"/>
      <c r="B8087" s="1"/>
      <c r="C8087" s="1"/>
      <c r="D8087" s="1"/>
      <c r="E8087" s="1"/>
      <c r="F8087" s="1"/>
      <c r="G8087" s="1"/>
      <c r="H8087" s="1"/>
      <c r="I8087" s="1"/>
      <c r="J8087" s="1"/>
      <c r="K8087" s="102" t="s">
        <v>12591</v>
      </c>
      <c r="L8087" s="102" t="str">
        <f>K1155</f>
        <v>J2b2a2b2a1a~</v>
      </c>
      <c r="M8087" s="102"/>
      <c r="N8087" s="102" t="s">
        <v>12592</v>
      </c>
      <c r="O8087" s="105">
        <v>7127156.0</v>
      </c>
      <c r="P8087" s="105">
        <v>7259115.0</v>
      </c>
      <c r="Q8087" s="102" t="s">
        <v>2529</v>
      </c>
      <c r="S8087" s="1"/>
      <c r="T8087" s="1"/>
      <c r="U8087" s="1"/>
      <c r="V8087" s="1"/>
      <c r="W8087" s="1"/>
      <c r="X8087" s="1"/>
      <c r="Y8087" s="1"/>
      <c r="AA8087" s="102"/>
      <c r="AB8087" s="1"/>
      <c r="AC8087" s="1"/>
      <c r="AD8087" s="1"/>
      <c r="AE8087" s="1"/>
      <c r="AF8087" s="1"/>
      <c r="AG8087" s="1"/>
    </row>
    <row r="8088" ht="15.75" customHeight="1">
      <c r="A8088" s="1"/>
      <c r="B8088" s="1"/>
      <c r="C8088" s="1"/>
      <c r="D8088" s="1"/>
      <c r="E8088" s="1"/>
      <c r="F8088" s="1"/>
      <c r="G8088" s="1"/>
      <c r="H8088" s="1"/>
      <c r="I8088" s="1"/>
      <c r="J8088" s="1"/>
      <c r="K8088" s="102" t="s">
        <v>12593</v>
      </c>
      <c r="L8088" s="102" t="str">
        <f>K1155</f>
        <v>J2b2a2b2a1a~</v>
      </c>
      <c r="M8088" s="102"/>
      <c r="N8088" s="102" t="s">
        <v>12594</v>
      </c>
      <c r="O8088" s="105">
        <v>2727960.0</v>
      </c>
      <c r="P8088" s="105">
        <v>2859919.0</v>
      </c>
      <c r="Q8088" s="102" t="s">
        <v>2529</v>
      </c>
      <c r="S8088" s="1"/>
      <c r="T8088" s="1"/>
      <c r="U8088" s="1"/>
      <c r="V8088" s="1"/>
      <c r="W8088" s="1"/>
      <c r="X8088" s="1"/>
      <c r="Y8088" s="1"/>
      <c r="AA8088" s="102"/>
      <c r="AB8088" s="1"/>
      <c r="AC8088" s="1"/>
      <c r="AD8088" s="1"/>
      <c r="AE8088" s="1"/>
      <c r="AF8088" s="1"/>
      <c r="AG8088" s="1"/>
    </row>
    <row r="8089" ht="15.75" customHeight="1">
      <c r="A8089" s="1"/>
      <c r="B8089" s="1"/>
      <c r="C8089" s="1"/>
      <c r="D8089" s="1"/>
      <c r="E8089" s="1"/>
      <c r="F8089" s="1"/>
      <c r="G8089" s="1"/>
      <c r="H8089" s="1"/>
      <c r="I8089" s="1"/>
      <c r="J8089" s="1"/>
      <c r="K8089" s="102" t="s">
        <v>12595</v>
      </c>
      <c r="L8089" s="102" t="str">
        <f>K1155</f>
        <v>J2b2a2b2a1a~</v>
      </c>
      <c r="M8089" s="102"/>
      <c r="N8089" s="102" t="s">
        <v>12596</v>
      </c>
      <c r="O8089" s="105">
        <v>2736391.0</v>
      </c>
      <c r="P8089" s="105">
        <v>2868350.0</v>
      </c>
      <c r="Q8089" s="102" t="s">
        <v>2439</v>
      </c>
      <c r="S8089" s="1"/>
      <c r="T8089" s="1"/>
      <c r="U8089" s="1"/>
      <c r="V8089" s="1"/>
      <c r="W8089" s="1"/>
      <c r="X8089" s="1"/>
      <c r="Y8089" s="1"/>
      <c r="AA8089" s="102"/>
      <c r="AB8089" s="1"/>
      <c r="AC8089" s="1"/>
      <c r="AD8089" s="1"/>
      <c r="AE8089" s="1"/>
      <c r="AF8089" s="1"/>
      <c r="AG8089" s="1"/>
    </row>
    <row r="8090" ht="15.75" customHeight="1">
      <c r="A8090" s="1"/>
      <c r="B8090" s="1"/>
      <c r="C8090" s="1"/>
      <c r="D8090" s="1"/>
      <c r="E8090" s="1"/>
      <c r="F8090" s="1"/>
      <c r="G8090" s="1"/>
      <c r="H8090" s="1"/>
      <c r="I8090" s="1"/>
      <c r="J8090" s="1"/>
      <c r="K8090" s="102" t="s">
        <v>12597</v>
      </c>
      <c r="L8090" s="102" t="str">
        <f>K1155</f>
        <v>J2b2a2b2a1a~</v>
      </c>
      <c r="M8090" s="102" t="s">
        <v>12598</v>
      </c>
      <c r="N8090" s="102" t="s">
        <v>12599</v>
      </c>
      <c r="O8090" s="105">
        <v>8435018.0</v>
      </c>
      <c r="P8090" s="105">
        <v>8566977.0</v>
      </c>
      <c r="Q8090" s="102" t="s">
        <v>2439</v>
      </c>
      <c r="S8090" s="1"/>
      <c r="T8090" s="1"/>
      <c r="U8090" s="1"/>
      <c r="V8090" s="1"/>
      <c r="W8090" s="1"/>
      <c r="X8090" s="1"/>
      <c r="Y8090" s="1"/>
      <c r="AA8090" s="102"/>
      <c r="AB8090" s="1"/>
      <c r="AC8090" s="1"/>
      <c r="AD8090" s="1"/>
      <c r="AE8090" s="1"/>
      <c r="AF8090" s="1"/>
      <c r="AG8090" s="1"/>
    </row>
    <row r="8091" ht="15.75" customHeight="1">
      <c r="A8091" s="1"/>
      <c r="B8091" s="1"/>
      <c r="C8091" s="1"/>
      <c r="D8091" s="1"/>
      <c r="E8091" s="1"/>
      <c r="F8091" s="1"/>
      <c r="G8091" s="1"/>
      <c r="H8091" s="1"/>
      <c r="I8091" s="1"/>
      <c r="J8091" s="1"/>
      <c r="K8091" s="102" t="s">
        <v>12598</v>
      </c>
      <c r="L8091" s="102" t="str">
        <f>K1155</f>
        <v>J2b2a2b2a1a~</v>
      </c>
      <c r="M8091" s="102" t="s">
        <v>12597</v>
      </c>
      <c r="N8091" s="102" t="s">
        <v>12599</v>
      </c>
      <c r="O8091" s="105">
        <v>8435018.0</v>
      </c>
      <c r="P8091" s="105">
        <v>8566977.0</v>
      </c>
      <c r="Q8091" s="102" t="s">
        <v>2439</v>
      </c>
      <c r="S8091" s="1"/>
      <c r="T8091" s="1"/>
      <c r="U8091" s="1"/>
      <c r="V8091" s="1"/>
      <c r="W8091" s="1"/>
      <c r="X8091" s="1"/>
      <c r="Y8091" s="1"/>
      <c r="AA8091" s="102"/>
      <c r="AB8091" s="1"/>
      <c r="AC8091" s="1"/>
      <c r="AD8091" s="1"/>
      <c r="AE8091" s="1"/>
      <c r="AF8091" s="1"/>
      <c r="AG8091" s="1"/>
    </row>
    <row r="8092" ht="15.75" customHeight="1">
      <c r="A8092" s="1"/>
      <c r="B8092" s="1"/>
      <c r="C8092" s="1"/>
      <c r="D8092" s="1"/>
      <c r="E8092" s="1"/>
      <c r="F8092" s="1"/>
      <c r="G8092" s="1"/>
      <c r="H8092" s="1"/>
      <c r="I8092" s="1"/>
      <c r="J8092" s="1"/>
      <c r="K8092" s="102" t="s">
        <v>12600</v>
      </c>
      <c r="L8092" s="102" t="str">
        <f>K1155</f>
        <v>J2b2a2b2a1a~</v>
      </c>
      <c r="M8092" s="102"/>
      <c r="N8092" s="102" t="s">
        <v>12601</v>
      </c>
      <c r="O8092" s="105">
        <v>1.4400555E7</v>
      </c>
      <c r="P8092" s="105">
        <v>1.2279852E7</v>
      </c>
      <c r="Q8092" s="102" t="s">
        <v>2529</v>
      </c>
      <c r="S8092" s="1"/>
      <c r="T8092" s="1"/>
      <c r="U8092" s="1"/>
      <c r="V8092" s="1"/>
      <c r="W8092" s="1"/>
      <c r="X8092" s="1"/>
      <c r="Y8092" s="1"/>
      <c r="AA8092" s="102"/>
      <c r="AB8092" s="1"/>
      <c r="AC8092" s="1"/>
      <c r="AD8092" s="1"/>
      <c r="AE8092" s="1"/>
      <c r="AF8092" s="1"/>
      <c r="AG8092" s="1"/>
    </row>
    <row r="8093" ht="15.75" customHeight="1">
      <c r="A8093" s="1"/>
      <c r="B8093" s="1"/>
      <c r="C8093" s="1"/>
      <c r="D8093" s="1"/>
      <c r="E8093" s="1"/>
      <c r="F8093" s="1"/>
      <c r="G8093" s="1"/>
      <c r="H8093" s="1"/>
      <c r="I8093" s="1"/>
      <c r="J8093" s="1"/>
      <c r="K8093" s="102" t="s">
        <v>12602</v>
      </c>
      <c r="L8093" s="102" t="str">
        <f>K1155</f>
        <v>J2b2a2b2a1a~</v>
      </c>
      <c r="M8093" s="102"/>
      <c r="N8093" s="102" t="s">
        <v>12603</v>
      </c>
      <c r="O8093" s="105">
        <v>1.5770983E7</v>
      </c>
      <c r="P8093" s="105">
        <v>1.3659103E7</v>
      </c>
      <c r="Q8093" s="102" t="s">
        <v>2432</v>
      </c>
      <c r="S8093" s="1"/>
      <c r="T8093" s="1"/>
      <c r="U8093" s="1"/>
      <c r="V8093" s="1"/>
      <c r="W8093" s="1"/>
      <c r="X8093" s="1"/>
      <c r="Y8093" s="1"/>
      <c r="AA8093" s="102"/>
      <c r="AB8093" s="1"/>
      <c r="AC8093" s="1"/>
      <c r="AD8093" s="1"/>
      <c r="AE8093" s="1"/>
      <c r="AF8093" s="1"/>
      <c r="AG8093" s="1"/>
    </row>
    <row r="8094" ht="15.75" customHeight="1">
      <c r="A8094" s="1"/>
      <c r="B8094" s="1"/>
      <c r="C8094" s="1"/>
      <c r="D8094" s="1"/>
      <c r="E8094" s="1"/>
      <c r="F8094" s="1"/>
      <c r="G8094" s="1"/>
      <c r="H8094" s="1"/>
      <c r="I8094" s="1"/>
      <c r="J8094" s="1"/>
      <c r="K8094" s="102" t="s">
        <v>12604</v>
      </c>
      <c r="L8094" s="102" t="str">
        <f>K1155</f>
        <v>J2b2a2b2a1a~</v>
      </c>
      <c r="M8094" s="102"/>
      <c r="N8094" s="102" t="s">
        <v>12605</v>
      </c>
      <c r="O8094" s="105">
        <v>1.7643813E7</v>
      </c>
      <c r="P8094" s="105">
        <v>1.5531933E7</v>
      </c>
      <c r="Q8094" s="102" t="s">
        <v>2446</v>
      </c>
      <c r="S8094" s="1"/>
      <c r="T8094" s="1"/>
      <c r="U8094" s="1"/>
      <c r="V8094" s="1"/>
      <c r="W8094" s="1"/>
      <c r="X8094" s="1"/>
      <c r="Y8094" s="1"/>
      <c r="AA8094" s="102"/>
      <c r="AB8094" s="1"/>
      <c r="AC8094" s="1"/>
      <c r="AD8094" s="1"/>
      <c r="AE8094" s="1"/>
      <c r="AF8094" s="1"/>
      <c r="AG8094" s="1"/>
    </row>
    <row r="8095" ht="15.75" customHeight="1">
      <c r="A8095" s="1"/>
      <c r="B8095" s="1"/>
      <c r="C8095" s="1"/>
      <c r="D8095" s="1"/>
      <c r="E8095" s="1"/>
      <c r="F8095" s="1"/>
      <c r="G8095" s="1"/>
      <c r="H8095" s="1"/>
      <c r="I8095" s="1"/>
      <c r="J8095" s="1"/>
      <c r="K8095" s="102" t="s">
        <v>12606</v>
      </c>
      <c r="L8095" s="102" t="str">
        <f>K1155</f>
        <v>J2b2a2b2a1a~</v>
      </c>
      <c r="M8095" s="102"/>
      <c r="N8095" s="102" t="s">
        <v>12607</v>
      </c>
      <c r="O8095" s="105">
        <v>1.812316E7</v>
      </c>
      <c r="P8095" s="105">
        <v>1.601128E7</v>
      </c>
      <c r="Q8095" s="102" t="s">
        <v>2533</v>
      </c>
      <c r="S8095" s="1"/>
      <c r="T8095" s="1"/>
      <c r="U8095" s="1"/>
      <c r="V8095" s="1"/>
      <c r="W8095" s="1"/>
      <c r="X8095" s="1"/>
      <c r="Y8095" s="1"/>
      <c r="AA8095" s="102"/>
      <c r="AB8095" s="1"/>
      <c r="AC8095" s="1"/>
      <c r="AD8095" s="1"/>
      <c r="AE8095" s="1"/>
      <c r="AF8095" s="1"/>
      <c r="AG8095" s="1"/>
    </row>
    <row r="8096" ht="15.75" customHeight="1">
      <c r="A8096" s="1"/>
      <c r="B8096" s="1"/>
      <c r="C8096" s="1"/>
      <c r="D8096" s="1"/>
      <c r="E8096" s="1"/>
      <c r="F8096" s="1"/>
      <c r="G8096" s="1"/>
      <c r="H8096" s="1"/>
      <c r="I8096" s="1"/>
      <c r="J8096" s="1"/>
      <c r="K8096" s="102" t="s">
        <v>12608</v>
      </c>
      <c r="L8096" s="102" t="str">
        <f>K1155</f>
        <v>J2b2a2b2a1a~</v>
      </c>
      <c r="M8096" s="102"/>
      <c r="N8096" s="102" t="s">
        <v>12609</v>
      </c>
      <c r="O8096" s="105">
        <v>1.88147E7</v>
      </c>
      <c r="P8096" s="105">
        <v>1.670282E7</v>
      </c>
      <c r="Q8096" s="102" t="s">
        <v>2501</v>
      </c>
      <c r="S8096" s="1"/>
      <c r="T8096" s="1"/>
      <c r="U8096" s="1"/>
      <c r="V8096" s="1"/>
      <c r="W8096" s="1"/>
      <c r="X8096" s="1"/>
      <c r="Y8096" s="1"/>
      <c r="AA8096" s="102"/>
      <c r="AB8096" s="1"/>
      <c r="AC8096" s="1"/>
      <c r="AD8096" s="1"/>
      <c r="AE8096" s="1"/>
      <c r="AF8096" s="1"/>
      <c r="AG8096" s="1"/>
    </row>
    <row r="8097" ht="15.75" customHeight="1">
      <c r="A8097" s="1"/>
      <c r="B8097" s="1"/>
      <c r="C8097" s="1"/>
      <c r="D8097" s="1"/>
      <c r="E8097" s="1"/>
      <c r="F8097" s="1"/>
      <c r="G8097" s="1"/>
      <c r="H8097" s="1"/>
      <c r="I8097" s="1"/>
      <c r="J8097" s="1"/>
      <c r="K8097" s="102" t="s">
        <v>12610</v>
      </c>
      <c r="L8097" s="102" t="str">
        <f>K1155</f>
        <v>J2b2a2b2a1a~</v>
      </c>
      <c r="M8097" s="102" t="s">
        <v>12611</v>
      </c>
      <c r="N8097" s="102" t="s">
        <v>12612</v>
      </c>
      <c r="O8097" s="105">
        <v>1.9555539E7</v>
      </c>
      <c r="P8097" s="105">
        <v>1.7443659E7</v>
      </c>
      <c r="Q8097" s="102" t="s">
        <v>2501</v>
      </c>
      <c r="S8097" s="1"/>
      <c r="T8097" s="1"/>
      <c r="U8097" s="1"/>
      <c r="V8097" s="1"/>
      <c r="W8097" s="1"/>
      <c r="X8097" s="1"/>
      <c r="Y8097" s="1"/>
      <c r="AA8097" s="102"/>
      <c r="AB8097" s="1"/>
      <c r="AC8097" s="1"/>
      <c r="AD8097" s="1"/>
      <c r="AE8097" s="1"/>
      <c r="AF8097" s="1"/>
      <c r="AG8097" s="1"/>
    </row>
    <row r="8098" ht="15.75" customHeight="1">
      <c r="A8098" s="1"/>
      <c r="B8098" s="1"/>
      <c r="C8098" s="1"/>
      <c r="D8098" s="1"/>
      <c r="E8098" s="1"/>
      <c r="F8098" s="1"/>
      <c r="G8098" s="1"/>
      <c r="H8098" s="1"/>
      <c r="I8098" s="1"/>
      <c r="J8098" s="1"/>
      <c r="K8098" s="102" t="s">
        <v>12611</v>
      </c>
      <c r="L8098" s="102" t="str">
        <f>K1155</f>
        <v>J2b2a2b2a1a~</v>
      </c>
      <c r="M8098" s="102" t="s">
        <v>12610</v>
      </c>
      <c r="N8098" s="102" t="s">
        <v>12612</v>
      </c>
      <c r="O8098" s="105">
        <v>1.9555539E7</v>
      </c>
      <c r="P8098" s="105">
        <v>1.7443659E7</v>
      </c>
      <c r="Q8098" s="102" t="s">
        <v>2501</v>
      </c>
      <c r="S8098" s="1"/>
      <c r="T8098" s="1"/>
      <c r="U8098" s="1"/>
      <c r="V8098" s="1"/>
      <c r="W8098" s="1"/>
      <c r="X8098" s="1"/>
      <c r="Y8098" s="1"/>
      <c r="AA8098" s="102"/>
      <c r="AB8098" s="1"/>
      <c r="AC8098" s="1"/>
      <c r="AD8098" s="1"/>
      <c r="AE8098" s="1"/>
      <c r="AF8098" s="1"/>
      <c r="AG8098" s="1"/>
    </row>
    <row r="8099" ht="15.75" customHeight="1">
      <c r="A8099" s="1"/>
      <c r="B8099" s="1"/>
      <c r="C8099" s="1"/>
      <c r="D8099" s="1"/>
      <c r="E8099" s="1"/>
      <c r="F8099" s="1"/>
      <c r="G8099" s="1"/>
      <c r="H8099" s="1"/>
      <c r="I8099" s="1"/>
      <c r="J8099" s="1"/>
      <c r="K8099" s="102" t="s">
        <v>12613</v>
      </c>
      <c r="L8099" s="102" t="str">
        <f>K1155</f>
        <v>J2b2a2b2a1a~</v>
      </c>
      <c r="M8099" s="102"/>
      <c r="N8099" s="102"/>
      <c r="O8099" s="105">
        <v>2.1040774E7</v>
      </c>
      <c r="P8099" s="105">
        <v>1.8878888E7</v>
      </c>
      <c r="Q8099" s="102" t="s">
        <v>2423</v>
      </c>
      <c r="S8099" s="1"/>
      <c r="T8099" s="1"/>
      <c r="U8099" s="1"/>
      <c r="V8099" s="1"/>
      <c r="W8099" s="1"/>
      <c r="X8099" s="1"/>
      <c r="Y8099" s="1"/>
      <c r="AA8099" s="102"/>
      <c r="AB8099" s="1"/>
      <c r="AC8099" s="1"/>
      <c r="AD8099" s="1"/>
      <c r="AE8099" s="1"/>
      <c r="AF8099" s="1"/>
      <c r="AG8099" s="1"/>
    </row>
    <row r="8100" ht="15.75" customHeight="1">
      <c r="A8100" s="1"/>
      <c r="B8100" s="1"/>
      <c r="C8100" s="1"/>
      <c r="D8100" s="1"/>
      <c r="E8100" s="1"/>
      <c r="F8100" s="1"/>
      <c r="G8100" s="1"/>
      <c r="H8100" s="1"/>
      <c r="I8100" s="1"/>
      <c r="J8100" s="1"/>
      <c r="K8100" s="102" t="s">
        <v>12614</v>
      </c>
      <c r="L8100" s="102" t="str">
        <f>K1155</f>
        <v>J2b2a2b2a1a~</v>
      </c>
      <c r="M8100" s="102"/>
      <c r="N8100" s="102" t="s">
        <v>12615</v>
      </c>
      <c r="O8100" s="105">
        <v>2.1632951E7</v>
      </c>
      <c r="P8100" s="105">
        <v>1.9471065E7</v>
      </c>
      <c r="Q8100" s="102" t="s">
        <v>2439</v>
      </c>
      <c r="S8100" s="1"/>
      <c r="T8100" s="1"/>
      <c r="U8100" s="1"/>
      <c r="V8100" s="1"/>
      <c r="W8100" s="1"/>
      <c r="X8100" s="1"/>
      <c r="Y8100" s="1"/>
      <c r="AA8100" s="102"/>
      <c r="AB8100" s="1"/>
      <c r="AC8100" s="1"/>
      <c r="AD8100" s="1"/>
      <c r="AE8100" s="1"/>
      <c r="AF8100" s="1"/>
      <c r="AG8100" s="1"/>
    </row>
    <row r="8101" ht="15.75" customHeight="1">
      <c r="A8101" s="1"/>
      <c r="B8101" s="1"/>
      <c r="C8101" s="1"/>
      <c r="D8101" s="1"/>
      <c r="E8101" s="1"/>
      <c r="F8101" s="1"/>
      <c r="G8101" s="1"/>
      <c r="H8101" s="1"/>
      <c r="I8101" s="1"/>
      <c r="J8101" s="1"/>
      <c r="K8101" s="102" t="s">
        <v>12616</v>
      </c>
      <c r="L8101" s="102" t="str">
        <f>K1155</f>
        <v>J2b2a2b2a1a~</v>
      </c>
      <c r="M8101" s="102"/>
      <c r="N8101" s="102"/>
      <c r="O8101" s="105">
        <v>1.3948485E7</v>
      </c>
      <c r="P8101" s="105">
        <v>1.1827779E7</v>
      </c>
      <c r="Q8101" s="102" t="s">
        <v>2501</v>
      </c>
      <c r="S8101" s="1"/>
      <c r="T8101" s="1"/>
      <c r="U8101" s="1"/>
      <c r="V8101" s="1"/>
      <c r="W8101" s="1"/>
      <c r="X8101" s="1"/>
      <c r="Y8101" s="1"/>
      <c r="AA8101" s="102"/>
      <c r="AB8101" s="1"/>
      <c r="AC8101" s="1"/>
      <c r="AD8101" s="1"/>
      <c r="AE8101" s="1"/>
      <c r="AF8101" s="1"/>
      <c r="AG8101" s="1"/>
    </row>
    <row r="8102" ht="15.75" customHeight="1">
      <c r="A8102" s="1"/>
      <c r="B8102" s="1"/>
      <c r="C8102" s="1"/>
      <c r="D8102" s="1"/>
      <c r="E8102" s="1"/>
      <c r="F8102" s="1"/>
      <c r="G8102" s="1"/>
      <c r="H8102" s="1"/>
      <c r="I8102" s="1"/>
      <c r="J8102" s="1"/>
      <c r="K8102" s="102" t="s">
        <v>12617</v>
      </c>
      <c r="L8102" s="102" t="str">
        <f>K1155</f>
        <v>J2b2a2b2a1a~</v>
      </c>
      <c r="M8102" s="102"/>
      <c r="N8102" s="102" t="s">
        <v>12618</v>
      </c>
      <c r="O8102" s="105">
        <v>1.7852753E7</v>
      </c>
      <c r="P8102" s="105">
        <v>1.5740873E7</v>
      </c>
      <c r="Q8102" s="102" t="s">
        <v>2439</v>
      </c>
      <c r="S8102" s="1"/>
      <c r="T8102" s="1"/>
      <c r="U8102" s="1"/>
      <c r="V8102" s="1"/>
      <c r="W8102" s="1"/>
      <c r="X8102" s="1"/>
      <c r="Y8102" s="1"/>
      <c r="AA8102" s="102"/>
      <c r="AB8102" s="1"/>
      <c r="AC8102" s="1"/>
      <c r="AD8102" s="1"/>
      <c r="AE8102" s="1"/>
      <c r="AF8102" s="1"/>
      <c r="AG8102" s="1"/>
    </row>
    <row r="8103" ht="15.75" customHeight="1">
      <c r="A8103" s="1"/>
      <c r="B8103" s="1"/>
      <c r="C8103" s="1"/>
      <c r="D8103" s="1"/>
      <c r="E8103" s="1"/>
      <c r="F8103" s="1"/>
      <c r="G8103" s="1"/>
      <c r="H8103" s="1"/>
      <c r="I8103" s="1"/>
      <c r="J8103" s="1"/>
      <c r="K8103" s="102" t="s">
        <v>12619</v>
      </c>
      <c r="L8103" s="102" t="str">
        <f>K1155</f>
        <v>J2b2a2b2a1a~</v>
      </c>
      <c r="M8103" s="102" t="s">
        <v>12620</v>
      </c>
      <c r="N8103" s="102" t="s">
        <v>12621</v>
      </c>
      <c r="O8103" s="105">
        <v>1.3208636E7</v>
      </c>
      <c r="P8103" s="105">
        <v>1.105296E7</v>
      </c>
      <c r="Q8103" s="102" t="s">
        <v>2439</v>
      </c>
      <c r="S8103" s="1"/>
      <c r="T8103" s="1"/>
      <c r="U8103" s="1"/>
      <c r="V8103" s="1"/>
      <c r="W8103" s="1"/>
      <c r="X8103" s="1"/>
      <c r="Y8103" s="1"/>
      <c r="AA8103" s="102"/>
      <c r="AB8103" s="1"/>
      <c r="AC8103" s="1"/>
      <c r="AD8103" s="1"/>
      <c r="AE8103" s="1"/>
      <c r="AF8103" s="1"/>
      <c r="AG8103" s="1"/>
    </row>
    <row r="8104" ht="15.75" customHeight="1">
      <c r="A8104" s="1"/>
      <c r="B8104" s="1"/>
      <c r="C8104" s="1"/>
      <c r="D8104" s="1"/>
      <c r="E8104" s="1"/>
      <c r="F8104" s="1"/>
      <c r="G8104" s="1"/>
      <c r="H8104" s="1"/>
      <c r="I8104" s="1"/>
      <c r="J8104" s="1"/>
      <c r="K8104" s="102" t="s">
        <v>12620</v>
      </c>
      <c r="L8104" s="102" t="str">
        <f>K1155</f>
        <v>J2b2a2b2a1a~</v>
      </c>
      <c r="M8104" s="102" t="s">
        <v>12619</v>
      </c>
      <c r="N8104" s="102" t="s">
        <v>12621</v>
      </c>
      <c r="O8104" s="105">
        <v>1.3208636E7</v>
      </c>
      <c r="P8104" s="105">
        <v>1.105296E7</v>
      </c>
      <c r="Q8104" s="102" t="s">
        <v>2439</v>
      </c>
      <c r="S8104" s="1"/>
      <c r="T8104" s="1"/>
      <c r="U8104" s="1"/>
      <c r="V8104" s="1"/>
      <c r="W8104" s="1"/>
      <c r="X8104" s="1"/>
      <c r="Y8104" s="1"/>
      <c r="AA8104" s="102"/>
      <c r="AB8104" s="1"/>
      <c r="AC8104" s="1"/>
      <c r="AD8104" s="1"/>
      <c r="AE8104" s="1"/>
      <c r="AF8104" s="1"/>
      <c r="AG8104" s="1"/>
    </row>
    <row r="8105" ht="15.75" customHeight="1">
      <c r="A8105" s="1"/>
      <c r="B8105" s="1"/>
      <c r="C8105" s="1"/>
      <c r="D8105" s="1"/>
      <c r="E8105" s="1"/>
      <c r="F8105" s="1"/>
      <c r="G8105" s="1"/>
      <c r="H8105" s="1"/>
      <c r="I8105" s="1"/>
      <c r="J8105" s="1"/>
      <c r="K8105" s="102" t="s">
        <v>12622</v>
      </c>
      <c r="L8105" s="102" t="str">
        <f>K1155</f>
        <v>J2b2a2b2a1a~</v>
      </c>
      <c r="M8105" s="102" t="s">
        <v>12623</v>
      </c>
      <c r="N8105" s="102" t="s">
        <v>12624</v>
      </c>
      <c r="O8105" s="105">
        <v>1.7260672E7</v>
      </c>
      <c r="P8105" s="105">
        <v>1.5148792E7</v>
      </c>
      <c r="Q8105" s="102" t="s">
        <v>2446</v>
      </c>
      <c r="S8105" s="1"/>
      <c r="T8105" s="1"/>
      <c r="U8105" s="1"/>
      <c r="V8105" s="1"/>
      <c r="W8105" s="1"/>
      <c r="X8105" s="1"/>
      <c r="Y8105" s="1"/>
      <c r="AA8105" s="102"/>
      <c r="AB8105" s="1"/>
      <c r="AC8105" s="1"/>
      <c r="AD8105" s="1"/>
      <c r="AE8105" s="1"/>
      <c r="AF8105" s="1"/>
      <c r="AG8105" s="1"/>
    </row>
    <row r="8106" ht="15.75" customHeight="1">
      <c r="A8106" s="1"/>
      <c r="B8106" s="1"/>
      <c r="C8106" s="1"/>
      <c r="D8106" s="1"/>
      <c r="E8106" s="1"/>
      <c r="F8106" s="1"/>
      <c r="G8106" s="1"/>
      <c r="H8106" s="1"/>
      <c r="I8106" s="1"/>
      <c r="J8106" s="1"/>
      <c r="K8106" s="102" t="s">
        <v>12623</v>
      </c>
      <c r="L8106" s="102" t="str">
        <f>K1155</f>
        <v>J2b2a2b2a1a~</v>
      </c>
      <c r="M8106" s="102" t="s">
        <v>12622</v>
      </c>
      <c r="N8106" s="102" t="s">
        <v>12624</v>
      </c>
      <c r="O8106" s="105">
        <v>1.7260672E7</v>
      </c>
      <c r="P8106" s="105">
        <v>1.5148792E7</v>
      </c>
      <c r="Q8106" s="102" t="s">
        <v>2446</v>
      </c>
      <c r="S8106" s="1"/>
      <c r="T8106" s="1"/>
      <c r="U8106" s="1"/>
      <c r="V8106" s="1"/>
      <c r="W8106" s="1"/>
      <c r="X8106" s="1"/>
      <c r="Y8106" s="1"/>
      <c r="AA8106" s="102"/>
      <c r="AB8106" s="1"/>
      <c r="AC8106" s="1"/>
      <c r="AD8106" s="1"/>
      <c r="AE8106" s="1"/>
      <c r="AF8106" s="1"/>
      <c r="AG8106" s="1"/>
    </row>
    <row r="8107" ht="15.75" customHeight="1">
      <c r="A8107" s="1"/>
      <c r="B8107" s="1"/>
      <c r="C8107" s="1"/>
      <c r="D8107" s="1"/>
      <c r="E8107" s="1"/>
      <c r="F8107" s="1"/>
      <c r="G8107" s="1"/>
      <c r="H8107" s="1"/>
      <c r="I8107" s="1"/>
      <c r="J8107" s="1"/>
      <c r="K8107" s="102" t="s">
        <v>12625</v>
      </c>
      <c r="L8107" s="102" t="str">
        <f>K1155</f>
        <v>J2b2a2b2a1a~</v>
      </c>
      <c r="M8107" s="102"/>
      <c r="N8107" s="102" t="s">
        <v>12626</v>
      </c>
      <c r="O8107" s="105">
        <v>1.422034E7</v>
      </c>
      <c r="P8107" s="105">
        <v>1.2099634E7</v>
      </c>
      <c r="Q8107" s="102" t="s">
        <v>2501</v>
      </c>
      <c r="S8107" s="1"/>
      <c r="T8107" s="1"/>
      <c r="U8107" s="1"/>
      <c r="V8107" s="1"/>
      <c r="W8107" s="1"/>
      <c r="X8107" s="1"/>
      <c r="Y8107" s="1"/>
      <c r="AA8107" s="102"/>
      <c r="AB8107" s="1"/>
      <c r="AC8107" s="1"/>
      <c r="AD8107" s="1"/>
      <c r="AE8107" s="1"/>
      <c r="AF8107" s="1"/>
      <c r="AG8107" s="1"/>
    </row>
    <row r="8108" ht="15.75" customHeight="1">
      <c r="A8108" s="1"/>
      <c r="B8108" s="1"/>
      <c r="C8108" s="1"/>
      <c r="D8108" s="1"/>
      <c r="E8108" s="1"/>
      <c r="F8108" s="1"/>
      <c r="G8108" s="1"/>
      <c r="H8108" s="1"/>
      <c r="I8108" s="1"/>
      <c r="J8108" s="1"/>
      <c r="K8108" s="102" t="s">
        <v>12627</v>
      </c>
      <c r="L8108" s="102" t="str">
        <f>K1155</f>
        <v>J2b2a2b2a1a~</v>
      </c>
      <c r="M8108" s="102"/>
      <c r="N8108" s="102" t="s">
        <v>12628</v>
      </c>
      <c r="O8108" s="105">
        <v>1.5360599E7</v>
      </c>
      <c r="P8108" s="105">
        <v>1.3248719E7</v>
      </c>
      <c r="Q8108" s="102" t="s">
        <v>2423</v>
      </c>
      <c r="S8108" s="1"/>
      <c r="T8108" s="1"/>
      <c r="U8108" s="1"/>
      <c r="V8108" s="1"/>
      <c r="W8108" s="1"/>
      <c r="X8108" s="1"/>
      <c r="Y8108" s="1"/>
      <c r="AA8108" s="102"/>
      <c r="AB8108" s="1"/>
      <c r="AC8108" s="1"/>
      <c r="AD8108" s="1"/>
      <c r="AE8108" s="1"/>
      <c r="AF8108" s="1"/>
      <c r="AG8108" s="1"/>
    </row>
    <row r="8109" ht="15.75" customHeight="1">
      <c r="A8109" s="1"/>
      <c r="B8109" s="1"/>
      <c r="C8109" s="1"/>
      <c r="D8109" s="1"/>
      <c r="E8109" s="1"/>
      <c r="F8109" s="1"/>
      <c r="G8109" s="1"/>
      <c r="H8109" s="1"/>
      <c r="I8109" s="1"/>
      <c r="J8109" s="1"/>
      <c r="K8109" s="102" t="s">
        <v>12629</v>
      </c>
      <c r="L8109" s="102" t="str">
        <f>K1155</f>
        <v>J2b2a2b2a1a~</v>
      </c>
      <c r="M8109" s="102"/>
      <c r="N8109" s="102" t="s">
        <v>12630</v>
      </c>
      <c r="O8109" s="105">
        <v>1.5776839E7</v>
      </c>
      <c r="P8109" s="105">
        <v>1.3664959E7</v>
      </c>
      <c r="Q8109" s="102" t="s">
        <v>2576</v>
      </c>
      <c r="S8109" s="1"/>
      <c r="T8109" s="1"/>
      <c r="U8109" s="1"/>
      <c r="V8109" s="1"/>
      <c r="W8109" s="1"/>
      <c r="X8109" s="1"/>
      <c r="Y8109" s="1"/>
      <c r="AA8109" s="102"/>
      <c r="AB8109" s="1"/>
      <c r="AC8109" s="1"/>
      <c r="AD8109" s="1"/>
      <c r="AE8109" s="1"/>
      <c r="AF8109" s="1"/>
      <c r="AG8109" s="1"/>
    </row>
    <row r="8110" ht="15.75" customHeight="1">
      <c r="A8110" s="1"/>
      <c r="B8110" s="1"/>
      <c r="C8110" s="1"/>
      <c r="D8110" s="1"/>
      <c r="E8110" s="1"/>
      <c r="F8110" s="1"/>
      <c r="G8110" s="1"/>
      <c r="H8110" s="1"/>
      <c r="I8110" s="1"/>
      <c r="J8110" s="1"/>
      <c r="K8110" s="102" t="s">
        <v>12631</v>
      </c>
      <c r="L8110" s="102" t="str">
        <f>K1155</f>
        <v>J2b2a2b2a1a~</v>
      </c>
      <c r="M8110" s="102"/>
      <c r="N8110" s="102" t="s">
        <v>12632</v>
      </c>
      <c r="O8110" s="105">
        <v>1.6404271E7</v>
      </c>
      <c r="P8110" s="105">
        <v>1.4292391E7</v>
      </c>
      <c r="Q8110" s="102" t="s">
        <v>2432</v>
      </c>
      <c r="S8110" s="1"/>
      <c r="T8110" s="1"/>
      <c r="U8110" s="1"/>
      <c r="V8110" s="1"/>
      <c r="W8110" s="1"/>
      <c r="X8110" s="1"/>
      <c r="Y8110" s="1"/>
      <c r="AA8110" s="102"/>
      <c r="AB8110" s="1"/>
      <c r="AC8110" s="1"/>
      <c r="AD8110" s="1"/>
      <c r="AE8110" s="1"/>
      <c r="AF8110" s="1"/>
      <c r="AG8110" s="1"/>
    </row>
    <row r="8111" ht="15.75" customHeight="1">
      <c r="A8111" s="1"/>
      <c r="B8111" s="1"/>
      <c r="C8111" s="1"/>
      <c r="D8111" s="1"/>
      <c r="E8111" s="1"/>
      <c r="F8111" s="1"/>
      <c r="G8111" s="1"/>
      <c r="H8111" s="1"/>
      <c r="I8111" s="1"/>
      <c r="J8111" s="1"/>
      <c r="K8111" s="102" t="s">
        <v>12633</v>
      </c>
      <c r="L8111" s="102" t="str">
        <f>K1155</f>
        <v>J2b2a2b2a1a~</v>
      </c>
      <c r="M8111" s="102"/>
      <c r="N8111" s="102" t="s">
        <v>12634</v>
      </c>
      <c r="O8111" s="105">
        <v>1.6590214E7</v>
      </c>
      <c r="P8111" s="105">
        <v>1.4478334E7</v>
      </c>
      <c r="Q8111" s="102" t="s">
        <v>2501</v>
      </c>
      <c r="S8111" s="1"/>
      <c r="T8111" s="1"/>
      <c r="U8111" s="1"/>
      <c r="V8111" s="1"/>
      <c r="W8111" s="1"/>
      <c r="X8111" s="1"/>
      <c r="Y8111" s="1"/>
      <c r="AA8111" s="102"/>
      <c r="AB8111" s="1"/>
      <c r="AC8111" s="1"/>
      <c r="AD8111" s="1"/>
      <c r="AE8111" s="1"/>
      <c r="AF8111" s="1"/>
      <c r="AG8111" s="1"/>
    </row>
    <row r="8112" ht="15.75" customHeight="1">
      <c r="A8112" s="1"/>
      <c r="B8112" s="1"/>
      <c r="C8112" s="1"/>
      <c r="D8112" s="1"/>
      <c r="E8112" s="1"/>
      <c r="F8112" s="1"/>
      <c r="G8112" s="1"/>
      <c r="H8112" s="1"/>
      <c r="I8112" s="1"/>
      <c r="J8112" s="1"/>
      <c r="K8112" s="102" t="s">
        <v>12635</v>
      </c>
      <c r="L8112" s="102" t="str">
        <f>K1155</f>
        <v>J2b2a2b2a1a~</v>
      </c>
      <c r="M8112" s="102"/>
      <c r="N8112" s="102" t="s">
        <v>12636</v>
      </c>
      <c r="O8112" s="105">
        <v>1.6805507E7</v>
      </c>
      <c r="P8112" s="105">
        <v>1.4693627E7</v>
      </c>
      <c r="Q8112" s="102" t="s">
        <v>2529</v>
      </c>
      <c r="S8112" s="1"/>
      <c r="T8112" s="1"/>
      <c r="U8112" s="1"/>
      <c r="V8112" s="1"/>
      <c r="W8112" s="1"/>
      <c r="X8112" s="1"/>
      <c r="Y8112" s="1"/>
      <c r="AA8112" s="102"/>
      <c r="AB8112" s="1"/>
      <c r="AC8112" s="1"/>
      <c r="AD8112" s="1"/>
      <c r="AE8112" s="1"/>
      <c r="AF8112" s="1"/>
      <c r="AG8112" s="1"/>
    </row>
    <row r="8113" ht="15.75" customHeight="1">
      <c r="A8113" s="1"/>
      <c r="B8113" s="1"/>
      <c r="C8113" s="1"/>
      <c r="D8113" s="1"/>
      <c r="E8113" s="1"/>
      <c r="F8113" s="1"/>
      <c r="G8113" s="1"/>
      <c r="H8113" s="1"/>
      <c r="I8113" s="1"/>
      <c r="J8113" s="1"/>
      <c r="K8113" s="102" t="s">
        <v>12637</v>
      </c>
      <c r="L8113" s="102" t="str">
        <f>K1155</f>
        <v>J2b2a2b2a1a~</v>
      </c>
      <c r="M8113" s="102"/>
      <c r="N8113" s="102" t="s">
        <v>12638</v>
      </c>
      <c r="O8113" s="105">
        <v>1.9160999E7</v>
      </c>
      <c r="P8113" s="105">
        <v>1.7049119E7</v>
      </c>
      <c r="Q8113" s="102" t="s">
        <v>2446</v>
      </c>
      <c r="S8113" s="1"/>
      <c r="T8113" s="1"/>
      <c r="U8113" s="1"/>
      <c r="V8113" s="1"/>
      <c r="W8113" s="1"/>
      <c r="X8113" s="1"/>
      <c r="Y8113" s="1"/>
      <c r="AA8113" s="102"/>
      <c r="AB8113" s="1"/>
      <c r="AC8113" s="1"/>
      <c r="AD8113" s="1"/>
      <c r="AE8113" s="1"/>
      <c r="AF8113" s="1"/>
      <c r="AG8113" s="1"/>
    </row>
    <row r="8114" ht="15.75" customHeight="1">
      <c r="A8114" s="1"/>
      <c r="B8114" s="1"/>
      <c r="C8114" s="1"/>
      <c r="D8114" s="1"/>
      <c r="E8114" s="1"/>
      <c r="F8114" s="1"/>
      <c r="G8114" s="1"/>
      <c r="H8114" s="1"/>
      <c r="I8114" s="1"/>
      <c r="J8114" s="1"/>
      <c r="K8114" s="102" t="s">
        <v>12639</v>
      </c>
      <c r="L8114" s="102" t="str">
        <f>K1155</f>
        <v>J2b2a2b2a1a~</v>
      </c>
      <c r="M8114" s="102"/>
      <c r="N8114" s="102"/>
      <c r="O8114" s="105">
        <v>2.1058386E7</v>
      </c>
      <c r="P8114" s="105">
        <v>1.88965E7</v>
      </c>
      <c r="Q8114" s="102" t="s">
        <v>2446</v>
      </c>
      <c r="S8114" s="1"/>
      <c r="T8114" s="1"/>
      <c r="U8114" s="1"/>
      <c r="V8114" s="1"/>
      <c r="W8114" s="1"/>
      <c r="X8114" s="1"/>
      <c r="Y8114" s="1"/>
      <c r="AA8114" s="102"/>
      <c r="AB8114" s="1"/>
      <c r="AC8114" s="1"/>
      <c r="AD8114" s="1"/>
      <c r="AE8114" s="1"/>
      <c r="AF8114" s="1"/>
      <c r="AG8114" s="1"/>
    </row>
    <row r="8115" ht="15.75" customHeight="1">
      <c r="A8115" s="1"/>
      <c r="B8115" s="1"/>
      <c r="C8115" s="1"/>
      <c r="D8115" s="1"/>
      <c r="E8115" s="1"/>
      <c r="F8115" s="1"/>
      <c r="G8115" s="1"/>
      <c r="H8115" s="1"/>
      <c r="I8115" s="1"/>
      <c r="J8115" s="1"/>
      <c r="K8115" s="102" t="s">
        <v>12640</v>
      </c>
      <c r="L8115" s="102" t="str">
        <f>K1155</f>
        <v>J2b2a2b2a1a~</v>
      </c>
      <c r="M8115" s="102"/>
      <c r="N8115" s="102" t="s">
        <v>12641</v>
      </c>
      <c r="O8115" s="105">
        <v>2.147233E7</v>
      </c>
      <c r="P8115" s="105">
        <v>1.9310444E7</v>
      </c>
      <c r="Q8115" s="102" t="s">
        <v>2501</v>
      </c>
      <c r="S8115" s="1"/>
      <c r="T8115" s="1"/>
      <c r="U8115" s="1"/>
      <c r="V8115" s="1"/>
      <c r="W8115" s="1"/>
      <c r="X8115" s="1"/>
      <c r="Y8115" s="1"/>
      <c r="AA8115" s="102"/>
      <c r="AB8115" s="1"/>
      <c r="AC8115" s="1"/>
      <c r="AD8115" s="1"/>
      <c r="AE8115" s="1"/>
      <c r="AF8115" s="1"/>
      <c r="AG8115" s="1"/>
    </row>
    <row r="8116" ht="15.75" customHeight="1">
      <c r="A8116" s="1"/>
      <c r="B8116" s="1"/>
      <c r="C8116" s="1"/>
      <c r="D8116" s="1"/>
      <c r="E8116" s="1"/>
      <c r="F8116" s="1"/>
      <c r="G8116" s="1"/>
      <c r="H8116" s="1"/>
      <c r="I8116" s="1"/>
      <c r="J8116" s="1"/>
      <c r="K8116" s="102" t="s">
        <v>12642</v>
      </c>
      <c r="L8116" s="102" t="str">
        <f>K1155</f>
        <v>J2b2a2b2a1a~</v>
      </c>
      <c r="M8116" s="102"/>
      <c r="N8116" s="102"/>
      <c r="O8116" s="105">
        <v>2.2520905E7</v>
      </c>
      <c r="P8116" s="105">
        <v>2.0359019E7</v>
      </c>
      <c r="Q8116" s="102" t="s">
        <v>2439</v>
      </c>
      <c r="S8116" s="1"/>
      <c r="T8116" s="1"/>
      <c r="U8116" s="1"/>
      <c r="V8116" s="1"/>
      <c r="W8116" s="1"/>
      <c r="X8116" s="1"/>
      <c r="Y8116" s="1"/>
      <c r="AA8116" s="102"/>
      <c r="AB8116" s="1"/>
      <c r="AC8116" s="1"/>
      <c r="AD8116" s="1"/>
      <c r="AE8116" s="1"/>
      <c r="AF8116" s="1"/>
      <c r="AG8116" s="1"/>
    </row>
    <row r="8117" ht="15.75" customHeight="1">
      <c r="A8117" s="1"/>
      <c r="B8117" s="1"/>
      <c r="C8117" s="1"/>
      <c r="D8117" s="1"/>
      <c r="E8117" s="1"/>
      <c r="F8117" s="1"/>
      <c r="G8117" s="1"/>
      <c r="H8117" s="1"/>
      <c r="I8117" s="1"/>
      <c r="J8117" s="1"/>
      <c r="K8117" s="102" t="s">
        <v>12643</v>
      </c>
      <c r="L8117" s="102" t="str">
        <f>K1155</f>
        <v>J2b2a2b2a1a~</v>
      </c>
      <c r="M8117" s="102"/>
      <c r="N8117" s="102" t="s">
        <v>12644</v>
      </c>
      <c r="O8117" s="105">
        <v>2.2818166E7</v>
      </c>
      <c r="P8117" s="105">
        <v>2.065628E7</v>
      </c>
      <c r="Q8117" s="102" t="s">
        <v>2501</v>
      </c>
      <c r="S8117" s="1"/>
      <c r="T8117" s="1"/>
      <c r="U8117" s="1"/>
      <c r="V8117" s="1"/>
      <c r="W8117" s="1"/>
      <c r="X8117" s="1"/>
      <c r="Y8117" s="1"/>
      <c r="AA8117" s="102"/>
      <c r="AB8117" s="1"/>
      <c r="AC8117" s="1"/>
      <c r="AD8117" s="1"/>
      <c r="AE8117" s="1"/>
      <c r="AF8117" s="1"/>
      <c r="AG8117" s="1"/>
    </row>
    <row r="8118" ht="15.75" customHeight="1">
      <c r="A8118" s="1"/>
      <c r="B8118" s="1"/>
      <c r="C8118" s="1"/>
      <c r="D8118" s="1"/>
      <c r="E8118" s="1"/>
      <c r="F8118" s="1"/>
      <c r="G8118" s="1"/>
      <c r="H8118" s="1"/>
      <c r="I8118" s="1"/>
      <c r="J8118" s="1"/>
      <c r="K8118" s="102" t="s">
        <v>12645</v>
      </c>
      <c r="L8118" s="102" t="str">
        <f>K1155</f>
        <v>J2b2a2b2a1a~</v>
      </c>
      <c r="M8118" s="102"/>
      <c r="N8118" s="102" t="s">
        <v>12646</v>
      </c>
      <c r="O8118" s="105">
        <v>1.4227199E7</v>
      </c>
      <c r="P8118" s="105">
        <v>1.2106493E7</v>
      </c>
      <c r="Q8118" s="102" t="s">
        <v>2501</v>
      </c>
      <c r="S8118" s="1"/>
      <c r="T8118" s="1"/>
      <c r="U8118" s="1"/>
      <c r="V8118" s="1"/>
      <c r="W8118" s="1"/>
      <c r="X8118" s="1"/>
      <c r="Y8118" s="1"/>
      <c r="AA8118" s="102"/>
      <c r="AB8118" s="1"/>
      <c r="AC8118" s="1"/>
      <c r="AD8118" s="1"/>
      <c r="AE8118" s="1"/>
      <c r="AF8118" s="1"/>
      <c r="AG8118" s="1"/>
    </row>
    <row r="8119" ht="15.75" customHeight="1">
      <c r="A8119" s="1"/>
      <c r="B8119" s="1"/>
      <c r="C8119" s="1"/>
      <c r="D8119" s="1"/>
      <c r="E8119" s="1"/>
      <c r="F8119" s="1"/>
      <c r="G8119" s="1"/>
      <c r="H8119" s="1"/>
      <c r="I8119" s="1"/>
      <c r="J8119" s="1"/>
      <c r="K8119" s="102" t="s">
        <v>12647</v>
      </c>
      <c r="L8119" s="102" t="str">
        <f>K1155</f>
        <v>J2b2a2b2a1a~</v>
      </c>
      <c r="M8119" s="102"/>
      <c r="N8119" s="102"/>
      <c r="O8119" s="105">
        <v>1.6095096E7</v>
      </c>
      <c r="P8119" s="105">
        <v>1.3983216E7</v>
      </c>
      <c r="Q8119" s="102" t="s">
        <v>2501</v>
      </c>
      <c r="S8119" s="1"/>
      <c r="T8119" s="1"/>
      <c r="U8119" s="1"/>
      <c r="V8119" s="1"/>
      <c r="W8119" s="1"/>
      <c r="X8119" s="1"/>
      <c r="Y8119" s="1"/>
      <c r="AA8119" s="102"/>
      <c r="AB8119" s="1"/>
      <c r="AC8119" s="1"/>
      <c r="AD8119" s="1"/>
      <c r="AE8119" s="1"/>
      <c r="AF8119" s="1"/>
      <c r="AG8119" s="1"/>
    </row>
    <row r="8120" ht="15.75" customHeight="1">
      <c r="A8120" s="1"/>
      <c r="B8120" s="1"/>
      <c r="C8120" s="1"/>
      <c r="D8120" s="1"/>
      <c r="E8120" s="1"/>
      <c r="F8120" s="1"/>
      <c r="G8120" s="1"/>
      <c r="H8120" s="1"/>
      <c r="I8120" s="1"/>
      <c r="J8120" s="1"/>
      <c r="K8120" s="102" t="s">
        <v>12648</v>
      </c>
      <c r="L8120" s="102" t="str">
        <f>K1155</f>
        <v>J2b2a2b2a1a~</v>
      </c>
      <c r="M8120" s="102"/>
      <c r="N8120" s="102" t="s">
        <v>12649</v>
      </c>
      <c r="O8120" s="105">
        <v>2.2192596E7</v>
      </c>
      <c r="P8120" s="105">
        <v>2.003071E7</v>
      </c>
      <c r="Q8120" s="102" t="s">
        <v>2423</v>
      </c>
      <c r="S8120" s="1"/>
      <c r="T8120" s="1"/>
      <c r="U8120" s="1"/>
      <c r="V8120" s="1"/>
      <c r="W8120" s="1"/>
      <c r="X8120" s="1"/>
      <c r="Y8120" s="1"/>
      <c r="AA8120" s="102"/>
      <c r="AB8120" s="1"/>
      <c r="AC8120" s="1"/>
      <c r="AD8120" s="1"/>
      <c r="AE8120" s="1"/>
      <c r="AF8120" s="1"/>
      <c r="AG8120" s="1"/>
    </row>
    <row r="8121" ht="15.75" customHeight="1">
      <c r="A8121" s="1"/>
      <c r="B8121" s="1"/>
      <c r="C8121" s="1"/>
      <c r="D8121" s="1"/>
      <c r="E8121" s="1"/>
      <c r="F8121" s="1"/>
      <c r="G8121" s="1"/>
      <c r="H8121" s="1"/>
      <c r="I8121" s="1"/>
      <c r="J8121" s="1"/>
      <c r="K8121" s="102" t="s">
        <v>12650</v>
      </c>
      <c r="L8121" s="102" t="str">
        <f>K1155</f>
        <v>J2b2a2b2a1a~</v>
      </c>
      <c r="M8121" s="102"/>
      <c r="N8121" s="102" t="s">
        <v>12651</v>
      </c>
      <c r="O8121" s="105">
        <v>2.3750976E7</v>
      </c>
      <c r="P8121" s="105">
        <v>2.158909E7</v>
      </c>
      <c r="Q8121" s="102" t="s">
        <v>2439</v>
      </c>
      <c r="S8121" s="1"/>
      <c r="T8121" s="1"/>
      <c r="U8121" s="1"/>
      <c r="V8121" s="1"/>
      <c r="W8121" s="1"/>
      <c r="X8121" s="1"/>
      <c r="Y8121" s="1"/>
      <c r="AA8121" s="102"/>
      <c r="AB8121" s="1"/>
      <c r="AC8121" s="1"/>
      <c r="AD8121" s="1"/>
      <c r="AE8121" s="1"/>
      <c r="AF8121" s="1"/>
      <c r="AG8121" s="1"/>
    </row>
    <row r="8122" ht="15.75" customHeight="1">
      <c r="A8122" s="1"/>
      <c r="B8122" s="1"/>
      <c r="C8122" s="1"/>
      <c r="D8122" s="1"/>
      <c r="E8122" s="1"/>
      <c r="F8122" s="1"/>
      <c r="G8122" s="1"/>
      <c r="H8122" s="1"/>
      <c r="I8122" s="1"/>
      <c r="J8122" s="1"/>
      <c r="K8122" s="102" t="s">
        <v>12652</v>
      </c>
      <c r="L8122" s="102" t="str">
        <f>K1155</f>
        <v>J2b2a2b2a1a~</v>
      </c>
      <c r="M8122" s="102"/>
      <c r="N8122" s="102" t="s">
        <v>12653</v>
      </c>
      <c r="O8122" s="105">
        <v>2.8548733E7</v>
      </c>
      <c r="P8122" s="105">
        <v>2.6402586E7</v>
      </c>
      <c r="Q8122" s="102" t="s">
        <v>2533</v>
      </c>
      <c r="S8122" s="1"/>
      <c r="T8122" s="1"/>
      <c r="U8122" s="1"/>
      <c r="V8122" s="1"/>
      <c r="W8122" s="1"/>
      <c r="X8122" s="1"/>
      <c r="Y8122" s="1"/>
      <c r="AA8122" s="102"/>
      <c r="AB8122" s="1"/>
      <c r="AC8122" s="1"/>
      <c r="AD8122" s="1"/>
      <c r="AE8122" s="1"/>
      <c r="AF8122" s="1"/>
      <c r="AG8122" s="1"/>
    </row>
    <row r="8123" ht="15.75" customHeight="1">
      <c r="A8123" s="1"/>
      <c r="B8123" s="1"/>
      <c r="C8123" s="1"/>
      <c r="D8123" s="1"/>
      <c r="E8123" s="1"/>
      <c r="F8123" s="1"/>
      <c r="G8123" s="1"/>
      <c r="H8123" s="1"/>
      <c r="I8123" s="1"/>
      <c r="J8123" s="1"/>
      <c r="K8123" s="102" t="s">
        <v>12654</v>
      </c>
      <c r="L8123" s="102" t="str">
        <f>I1156</f>
        <v>J2b2a2b2b</v>
      </c>
      <c r="M8123" s="102"/>
      <c r="N8123" s="102" t="s">
        <v>12655</v>
      </c>
      <c r="O8123" s="105">
        <v>1.8740129E7</v>
      </c>
      <c r="P8123" s="105">
        <v>1.6628249E7</v>
      </c>
      <c r="Q8123" s="102" t="s">
        <v>2439</v>
      </c>
      <c r="S8123" s="1"/>
      <c r="T8123" s="1"/>
      <c r="U8123" s="1"/>
      <c r="V8123" s="1"/>
      <c r="W8123" s="1"/>
      <c r="X8123" s="1"/>
      <c r="Y8123" s="1"/>
      <c r="AA8123" s="102"/>
      <c r="AB8123" s="1"/>
      <c r="AC8123" s="1"/>
      <c r="AD8123" s="1"/>
      <c r="AE8123" s="1"/>
      <c r="AF8123" s="1"/>
      <c r="AG8123" s="1"/>
    </row>
    <row r="8124" ht="15.75" customHeight="1">
      <c r="A8124" s="1"/>
      <c r="B8124" s="1"/>
      <c r="C8124" s="1"/>
      <c r="D8124" s="1"/>
      <c r="E8124" s="1"/>
      <c r="F8124" s="1"/>
      <c r="G8124" s="1"/>
      <c r="H8124" s="1"/>
      <c r="I8124" s="1"/>
      <c r="J8124" s="1"/>
      <c r="K8124" s="102" t="s">
        <v>12656</v>
      </c>
      <c r="L8124" s="102" t="str">
        <f>J1157</f>
        <v>J2b2a2b2b1</v>
      </c>
      <c r="M8124" s="102"/>
      <c r="N8124" s="102" t="s">
        <v>12657</v>
      </c>
      <c r="O8124" s="105">
        <v>1.6495642E7</v>
      </c>
      <c r="P8124" s="105">
        <v>1.4383762E7</v>
      </c>
      <c r="Q8124" s="102" t="s">
        <v>2432</v>
      </c>
      <c r="S8124" s="1"/>
      <c r="T8124" s="1"/>
      <c r="U8124" s="1"/>
      <c r="V8124" s="1"/>
      <c r="W8124" s="1"/>
      <c r="X8124" s="1"/>
      <c r="Y8124" s="1"/>
      <c r="AA8124" s="102"/>
      <c r="AB8124" s="1"/>
      <c r="AC8124" s="1"/>
      <c r="AD8124" s="1"/>
      <c r="AE8124" s="1"/>
      <c r="AF8124" s="1"/>
      <c r="AG8124" s="1"/>
    </row>
    <row r="8125" ht="15.75" customHeight="1">
      <c r="A8125" s="1"/>
      <c r="B8125" s="1"/>
      <c r="C8125" s="1"/>
      <c r="D8125" s="1"/>
      <c r="E8125" s="1"/>
      <c r="F8125" s="1"/>
      <c r="G8125" s="1"/>
      <c r="H8125" s="1"/>
      <c r="I8125" s="1"/>
      <c r="J8125" s="1"/>
      <c r="K8125" s="102" t="s">
        <v>12658</v>
      </c>
      <c r="L8125" s="102" t="str">
        <f>J1157</f>
        <v>J2b2a2b2b1</v>
      </c>
      <c r="M8125" s="102"/>
      <c r="N8125" s="102" t="s">
        <v>12659</v>
      </c>
      <c r="O8125" s="105">
        <v>7378881.0</v>
      </c>
      <c r="P8125" s="105">
        <v>7510840.0</v>
      </c>
      <c r="Q8125" s="102" t="s">
        <v>2468</v>
      </c>
      <c r="S8125" s="1"/>
      <c r="T8125" s="1"/>
      <c r="U8125" s="1"/>
      <c r="V8125" s="1"/>
      <c r="W8125" s="1"/>
      <c r="X8125" s="1"/>
      <c r="Y8125" s="1"/>
      <c r="AA8125" s="102"/>
      <c r="AB8125" s="1"/>
      <c r="AC8125" s="1"/>
      <c r="AD8125" s="1"/>
      <c r="AE8125" s="1"/>
      <c r="AF8125" s="1"/>
      <c r="AG8125" s="1"/>
    </row>
    <row r="8126" ht="15.75" customHeight="1">
      <c r="A8126" s="1"/>
      <c r="B8126" s="1"/>
      <c r="C8126" s="1"/>
      <c r="D8126" s="1"/>
      <c r="E8126" s="1"/>
      <c r="F8126" s="1"/>
      <c r="G8126" s="1"/>
      <c r="H8126" s="1"/>
      <c r="I8126" s="1"/>
      <c r="J8126" s="1"/>
      <c r="K8126" s="102" t="s">
        <v>12660</v>
      </c>
      <c r="L8126" s="102" t="str">
        <f>K1158</f>
        <v>J2b2a2b2b1a~</v>
      </c>
      <c r="M8126" s="102" t="s">
        <v>12661</v>
      </c>
      <c r="N8126" s="102" t="s">
        <v>12662</v>
      </c>
      <c r="O8126" s="105">
        <v>8570020.0</v>
      </c>
      <c r="P8126" s="105">
        <v>8701979.0</v>
      </c>
      <c r="Q8126" s="102" t="s">
        <v>2468</v>
      </c>
      <c r="S8126" s="1"/>
      <c r="T8126" s="1"/>
      <c r="U8126" s="1"/>
      <c r="V8126" s="1"/>
      <c r="W8126" s="1"/>
      <c r="X8126" s="1"/>
      <c r="Y8126" s="1"/>
      <c r="AA8126" s="102"/>
      <c r="AB8126" s="1"/>
      <c r="AC8126" s="1"/>
      <c r="AD8126" s="1"/>
      <c r="AE8126" s="1"/>
      <c r="AF8126" s="1"/>
      <c r="AG8126" s="1"/>
    </row>
    <row r="8127" ht="15.75" customHeight="1">
      <c r="A8127" s="1"/>
      <c r="B8127" s="1"/>
      <c r="C8127" s="1"/>
      <c r="D8127" s="1"/>
      <c r="E8127" s="1"/>
      <c r="F8127" s="1"/>
      <c r="G8127" s="1"/>
      <c r="H8127" s="1"/>
      <c r="I8127" s="1"/>
      <c r="J8127" s="1"/>
      <c r="K8127" s="102" t="s">
        <v>12661</v>
      </c>
      <c r="L8127" s="102" t="str">
        <f>K1158</f>
        <v>J2b2a2b2b1a~</v>
      </c>
      <c r="M8127" s="102" t="s">
        <v>12660</v>
      </c>
      <c r="N8127" s="102" t="s">
        <v>12662</v>
      </c>
      <c r="O8127" s="105">
        <v>8570020.0</v>
      </c>
      <c r="P8127" s="105">
        <v>8701979.0</v>
      </c>
      <c r="Q8127" s="102" t="s">
        <v>2468</v>
      </c>
      <c r="S8127" s="1"/>
      <c r="T8127" s="1"/>
      <c r="U8127" s="1"/>
      <c r="V8127" s="1"/>
      <c r="W8127" s="1"/>
      <c r="X8127" s="1"/>
      <c r="Y8127" s="1"/>
      <c r="AA8127" s="102"/>
      <c r="AB8127" s="1"/>
      <c r="AC8127" s="1"/>
      <c r="AD8127" s="1"/>
      <c r="AE8127" s="1"/>
      <c r="AF8127" s="1"/>
      <c r="AG8127" s="1"/>
    </row>
    <row r="8128" ht="15.75" customHeight="1">
      <c r="A8128" s="1"/>
      <c r="B8128" s="1"/>
      <c r="C8128" s="1"/>
      <c r="D8128" s="1"/>
      <c r="E8128" s="1"/>
      <c r="F8128" s="1"/>
      <c r="G8128" s="1"/>
      <c r="H8128" s="1"/>
      <c r="I8128" s="1"/>
      <c r="J8128" s="1"/>
      <c r="K8128" s="102" t="s">
        <v>12663</v>
      </c>
      <c r="L8128" s="102" t="str">
        <f>K1158</f>
        <v>J2b2a2b2b1a~</v>
      </c>
      <c r="M8128" s="102" t="s">
        <v>12664</v>
      </c>
      <c r="N8128" s="102" t="s">
        <v>12665</v>
      </c>
      <c r="O8128" s="105">
        <v>1.4212528E7</v>
      </c>
      <c r="P8128" s="105">
        <v>1.2091822E7</v>
      </c>
      <c r="Q8128" s="102" t="s">
        <v>2533</v>
      </c>
      <c r="S8128" s="1"/>
      <c r="T8128" s="1"/>
      <c r="U8128" s="1"/>
      <c r="V8128" s="1"/>
      <c r="W8128" s="1"/>
      <c r="X8128" s="1"/>
      <c r="Y8128" s="1"/>
      <c r="AA8128" s="102"/>
      <c r="AB8128" s="1"/>
      <c r="AC8128" s="1"/>
      <c r="AD8128" s="1"/>
      <c r="AE8128" s="1"/>
      <c r="AF8128" s="1"/>
      <c r="AG8128" s="1"/>
    </row>
    <row r="8129" ht="15.75" customHeight="1">
      <c r="A8129" s="1"/>
      <c r="B8129" s="1"/>
      <c r="C8129" s="1"/>
      <c r="D8129" s="1"/>
      <c r="E8129" s="1"/>
      <c r="F8129" s="1"/>
      <c r="G8129" s="1"/>
      <c r="H8129" s="1"/>
      <c r="I8129" s="1"/>
      <c r="J8129" s="1"/>
      <c r="K8129" s="102" t="s">
        <v>12664</v>
      </c>
      <c r="L8129" s="102" t="str">
        <f>K1158</f>
        <v>J2b2a2b2b1a~</v>
      </c>
      <c r="M8129" s="102" t="s">
        <v>12663</v>
      </c>
      <c r="N8129" s="102" t="s">
        <v>12665</v>
      </c>
      <c r="O8129" s="105">
        <v>1.4212528E7</v>
      </c>
      <c r="P8129" s="105">
        <v>1.2091822E7</v>
      </c>
      <c r="Q8129" s="102" t="s">
        <v>2533</v>
      </c>
      <c r="S8129" s="1"/>
      <c r="T8129" s="1"/>
      <c r="U8129" s="1"/>
      <c r="V8129" s="1"/>
      <c r="W8129" s="1"/>
      <c r="X8129" s="1"/>
      <c r="Y8129" s="1"/>
      <c r="AA8129" s="102"/>
      <c r="AB8129" s="1"/>
      <c r="AC8129" s="1"/>
      <c r="AD8129" s="1"/>
      <c r="AE8129" s="1"/>
      <c r="AF8129" s="1"/>
      <c r="AG8129" s="1"/>
    </row>
    <row r="8130" ht="15.75" customHeight="1">
      <c r="A8130" s="1"/>
      <c r="B8130" s="1"/>
      <c r="C8130" s="1"/>
      <c r="D8130" s="1"/>
      <c r="E8130" s="1"/>
      <c r="F8130" s="1"/>
      <c r="G8130" s="1"/>
      <c r="H8130" s="1"/>
      <c r="I8130" s="1"/>
      <c r="J8130" s="1"/>
      <c r="K8130" s="102" t="s">
        <v>12666</v>
      </c>
      <c r="L8130" s="102" t="str">
        <f>K1158</f>
        <v>J2b2a2b2b1a~</v>
      </c>
      <c r="M8130" s="102" t="s">
        <v>12667</v>
      </c>
      <c r="N8130" s="102" t="s">
        <v>12668</v>
      </c>
      <c r="O8130" s="105">
        <v>1.7751318E7</v>
      </c>
      <c r="P8130" s="105">
        <v>1.5639438E7</v>
      </c>
      <c r="Q8130" s="102" t="s">
        <v>2468</v>
      </c>
      <c r="S8130" s="1"/>
      <c r="T8130" s="1"/>
      <c r="U8130" s="1"/>
      <c r="V8130" s="1"/>
      <c r="W8130" s="1"/>
      <c r="X8130" s="1"/>
      <c r="Y8130" s="1"/>
      <c r="AA8130" s="102"/>
      <c r="AB8130" s="1"/>
      <c r="AC8130" s="1"/>
      <c r="AD8130" s="1"/>
      <c r="AE8130" s="1"/>
      <c r="AF8130" s="1"/>
      <c r="AG8130" s="1"/>
    </row>
    <row r="8131" ht="15.75" customHeight="1">
      <c r="A8131" s="1"/>
      <c r="B8131" s="1"/>
      <c r="C8131" s="1"/>
      <c r="D8131" s="1"/>
      <c r="E8131" s="1"/>
      <c r="F8131" s="1"/>
      <c r="G8131" s="1"/>
      <c r="H8131" s="1"/>
      <c r="I8131" s="1"/>
      <c r="J8131" s="1"/>
      <c r="K8131" s="102" t="s">
        <v>12667</v>
      </c>
      <c r="L8131" s="102" t="str">
        <f>K1158</f>
        <v>J2b2a2b2b1a~</v>
      </c>
      <c r="M8131" s="102" t="s">
        <v>12666</v>
      </c>
      <c r="N8131" s="102" t="s">
        <v>12668</v>
      </c>
      <c r="O8131" s="105">
        <v>1.7751318E7</v>
      </c>
      <c r="P8131" s="105">
        <v>1.5639438E7</v>
      </c>
      <c r="Q8131" s="102" t="s">
        <v>2468</v>
      </c>
      <c r="S8131" s="1"/>
      <c r="T8131" s="1"/>
      <c r="U8131" s="1"/>
      <c r="V8131" s="1"/>
      <c r="W8131" s="1"/>
      <c r="X8131" s="1"/>
      <c r="Y8131" s="1"/>
      <c r="AA8131" s="102"/>
      <c r="AB8131" s="1"/>
      <c r="AC8131" s="1"/>
      <c r="AD8131" s="1"/>
      <c r="AE8131" s="1"/>
      <c r="AF8131" s="1"/>
      <c r="AG8131" s="1"/>
    </row>
    <row r="8132" ht="15.75" customHeight="1">
      <c r="A8132" s="1"/>
      <c r="B8132" s="1"/>
      <c r="C8132" s="1"/>
      <c r="D8132" s="1"/>
      <c r="E8132" s="1"/>
      <c r="F8132" s="1"/>
      <c r="G8132" s="1"/>
      <c r="H8132" s="1"/>
      <c r="I8132" s="1"/>
      <c r="J8132" s="1"/>
      <c r="K8132" s="102" t="s">
        <v>12669</v>
      </c>
      <c r="L8132" s="102" t="str">
        <f>K1158</f>
        <v>J2b2a2b2b1a~</v>
      </c>
      <c r="M8132" s="102" t="s">
        <v>12670</v>
      </c>
      <c r="N8132" s="102" t="s">
        <v>12671</v>
      </c>
      <c r="O8132" s="105">
        <v>2.1109655E7</v>
      </c>
      <c r="P8132" s="105">
        <v>1.8947769E7</v>
      </c>
      <c r="Q8132" s="102" t="s">
        <v>2501</v>
      </c>
      <c r="S8132" s="1"/>
      <c r="T8132" s="1"/>
      <c r="U8132" s="1"/>
      <c r="V8132" s="1"/>
      <c r="W8132" s="1"/>
      <c r="X8132" s="1"/>
      <c r="Y8132" s="1"/>
      <c r="AA8132" s="102"/>
      <c r="AB8132" s="1"/>
      <c r="AC8132" s="1"/>
      <c r="AD8132" s="1"/>
      <c r="AE8132" s="1"/>
      <c r="AF8132" s="1"/>
      <c r="AG8132" s="1"/>
    </row>
    <row r="8133" ht="15.75" customHeight="1">
      <c r="A8133" s="1"/>
      <c r="B8133" s="1"/>
      <c r="C8133" s="1"/>
      <c r="D8133" s="1"/>
      <c r="E8133" s="1"/>
      <c r="F8133" s="1"/>
      <c r="G8133" s="1"/>
      <c r="H8133" s="1"/>
      <c r="I8133" s="1"/>
      <c r="J8133" s="1"/>
      <c r="K8133" s="102" t="s">
        <v>12670</v>
      </c>
      <c r="L8133" s="102" t="str">
        <f>K1158</f>
        <v>J2b2a2b2b1a~</v>
      </c>
      <c r="M8133" s="102" t="s">
        <v>12669</v>
      </c>
      <c r="N8133" s="102" t="s">
        <v>12671</v>
      </c>
      <c r="O8133" s="105">
        <v>2.1109655E7</v>
      </c>
      <c r="P8133" s="105">
        <v>1.8947769E7</v>
      </c>
      <c r="Q8133" s="102" t="s">
        <v>2501</v>
      </c>
      <c r="S8133" s="1"/>
      <c r="T8133" s="1"/>
      <c r="U8133" s="1"/>
      <c r="V8133" s="1"/>
      <c r="W8133" s="1"/>
      <c r="X8133" s="1"/>
      <c r="Y8133" s="1"/>
      <c r="AA8133" s="102"/>
      <c r="AB8133" s="1"/>
      <c r="AC8133" s="1"/>
      <c r="AD8133" s="1"/>
      <c r="AE8133" s="1"/>
      <c r="AF8133" s="1"/>
      <c r="AG8133" s="1"/>
    </row>
    <row r="8134" ht="15.75" customHeight="1">
      <c r="A8134" s="1"/>
      <c r="B8134" s="1"/>
      <c r="C8134" s="1"/>
      <c r="D8134" s="1"/>
      <c r="E8134" s="1"/>
      <c r="F8134" s="1"/>
      <c r="G8134" s="1"/>
      <c r="H8134" s="1"/>
      <c r="I8134" s="1"/>
      <c r="J8134" s="1"/>
      <c r="K8134" s="102" t="s">
        <v>12672</v>
      </c>
      <c r="L8134" s="102" t="str">
        <f>K1158</f>
        <v>J2b2a2b2b1a~</v>
      </c>
      <c r="M8134" s="102" t="s">
        <v>12673</v>
      </c>
      <c r="N8134" s="102" t="s">
        <v>12674</v>
      </c>
      <c r="O8134" s="105">
        <v>2.2177762E7</v>
      </c>
      <c r="P8134" s="105">
        <v>2.0015876E7</v>
      </c>
      <c r="Q8134" s="102" t="s">
        <v>2529</v>
      </c>
      <c r="S8134" s="1"/>
      <c r="T8134" s="1"/>
      <c r="U8134" s="1"/>
      <c r="V8134" s="1"/>
      <c r="W8134" s="1"/>
      <c r="X8134" s="1"/>
      <c r="Y8134" s="1"/>
      <c r="AA8134" s="102"/>
      <c r="AB8134" s="1"/>
      <c r="AC8134" s="1"/>
      <c r="AD8134" s="1"/>
      <c r="AE8134" s="1"/>
      <c r="AF8134" s="1"/>
      <c r="AG8134" s="1"/>
    </row>
    <row r="8135" ht="15.75" customHeight="1">
      <c r="A8135" s="1"/>
      <c r="B8135" s="1"/>
      <c r="C8135" s="1"/>
      <c r="D8135" s="1"/>
      <c r="E8135" s="1"/>
      <c r="F8135" s="1"/>
      <c r="G8135" s="1"/>
      <c r="H8135" s="1"/>
      <c r="I8135" s="1"/>
      <c r="J8135" s="1"/>
      <c r="K8135" s="102" t="s">
        <v>12673</v>
      </c>
      <c r="L8135" s="102" t="str">
        <f>K1158</f>
        <v>J2b2a2b2b1a~</v>
      </c>
      <c r="M8135" s="102" t="s">
        <v>12672</v>
      </c>
      <c r="N8135" s="102" t="s">
        <v>12674</v>
      </c>
      <c r="O8135" s="105">
        <v>2.2177762E7</v>
      </c>
      <c r="P8135" s="105">
        <v>2.0015876E7</v>
      </c>
      <c r="Q8135" s="102" t="s">
        <v>2529</v>
      </c>
      <c r="S8135" s="1"/>
      <c r="T8135" s="1"/>
      <c r="U8135" s="1"/>
      <c r="V8135" s="1"/>
      <c r="W8135" s="1"/>
      <c r="X8135" s="1"/>
      <c r="Y8135" s="1"/>
      <c r="AA8135" s="102"/>
      <c r="AB8135" s="1"/>
      <c r="AC8135" s="1"/>
      <c r="AD8135" s="1"/>
      <c r="AE8135" s="1"/>
      <c r="AF8135" s="1"/>
      <c r="AG8135" s="1"/>
    </row>
    <row r="8136" ht="15.75" customHeight="1">
      <c r="A8136" s="1"/>
      <c r="B8136" s="1"/>
      <c r="C8136" s="1"/>
      <c r="D8136" s="1"/>
      <c r="E8136" s="1"/>
      <c r="F8136" s="1"/>
      <c r="G8136" s="1"/>
      <c r="H8136" s="1"/>
      <c r="I8136" s="1"/>
      <c r="J8136" s="1"/>
      <c r="K8136" s="102" t="s">
        <v>12675</v>
      </c>
      <c r="L8136" s="102" t="str">
        <f>K1158</f>
        <v>J2b2a2b2b1a~</v>
      </c>
      <c r="M8136" s="102" t="s">
        <v>12676</v>
      </c>
      <c r="N8136" s="102" t="s">
        <v>12677</v>
      </c>
      <c r="O8136" s="105">
        <v>1.7918295E7</v>
      </c>
      <c r="P8136" s="105">
        <v>1.5806415E7</v>
      </c>
      <c r="Q8136" s="102" t="s">
        <v>2533</v>
      </c>
      <c r="S8136" s="1"/>
      <c r="T8136" s="1"/>
      <c r="U8136" s="1"/>
      <c r="V8136" s="1"/>
      <c r="W8136" s="1"/>
      <c r="X8136" s="1"/>
      <c r="Y8136" s="1"/>
      <c r="AA8136" s="102"/>
      <c r="AB8136" s="1"/>
      <c r="AC8136" s="1"/>
      <c r="AD8136" s="1"/>
      <c r="AE8136" s="1"/>
      <c r="AF8136" s="1"/>
      <c r="AG8136" s="1"/>
    </row>
    <row r="8137" ht="15.75" customHeight="1">
      <c r="A8137" s="1"/>
      <c r="B8137" s="1"/>
      <c r="C8137" s="1"/>
      <c r="D8137" s="1"/>
      <c r="E8137" s="1"/>
      <c r="F8137" s="1"/>
      <c r="G8137" s="1"/>
      <c r="H8137" s="1"/>
      <c r="I8137" s="1"/>
      <c r="J8137" s="1"/>
      <c r="K8137" s="102" t="s">
        <v>12676</v>
      </c>
      <c r="L8137" s="102" t="str">
        <f>K1158</f>
        <v>J2b2a2b2b1a~</v>
      </c>
      <c r="M8137" s="102" t="s">
        <v>12675</v>
      </c>
      <c r="N8137" s="102" t="s">
        <v>12677</v>
      </c>
      <c r="O8137" s="105">
        <v>1.7918295E7</v>
      </c>
      <c r="P8137" s="105">
        <v>1.5806415E7</v>
      </c>
      <c r="Q8137" s="102" t="s">
        <v>2533</v>
      </c>
      <c r="S8137" s="1"/>
      <c r="T8137" s="1"/>
      <c r="U8137" s="1"/>
      <c r="V8137" s="1"/>
      <c r="W8137" s="1"/>
      <c r="X8137" s="1"/>
      <c r="Y8137" s="1"/>
      <c r="AA8137" s="102"/>
      <c r="AB8137" s="1"/>
      <c r="AC8137" s="1"/>
      <c r="AD8137" s="1"/>
      <c r="AE8137" s="1"/>
      <c r="AF8137" s="1"/>
      <c r="AG8137" s="1"/>
    </row>
    <row r="8138" ht="15.75" customHeight="1">
      <c r="A8138" s="1"/>
      <c r="B8138" s="1"/>
      <c r="C8138" s="1"/>
      <c r="D8138" s="1"/>
      <c r="E8138" s="1"/>
      <c r="F8138" s="1"/>
      <c r="G8138" s="1"/>
      <c r="H8138" s="1"/>
      <c r="I8138" s="1"/>
      <c r="J8138" s="1"/>
      <c r="K8138" s="102" t="s">
        <v>12678</v>
      </c>
      <c r="L8138" s="102" t="str">
        <f>K1158</f>
        <v>J2b2a2b2b1a~</v>
      </c>
      <c r="M8138" s="102" t="s">
        <v>12679</v>
      </c>
      <c r="N8138" s="102" t="s">
        <v>12680</v>
      </c>
      <c r="O8138" s="105">
        <v>2.3194503E7</v>
      </c>
      <c r="P8138" s="105">
        <v>2.1032617E7</v>
      </c>
      <c r="Q8138" s="102" t="s">
        <v>2501</v>
      </c>
      <c r="S8138" s="1"/>
      <c r="T8138" s="1"/>
      <c r="U8138" s="1"/>
      <c r="V8138" s="1"/>
      <c r="W8138" s="1"/>
      <c r="X8138" s="1"/>
      <c r="Y8138" s="1"/>
      <c r="AA8138" s="102"/>
      <c r="AB8138" s="1"/>
      <c r="AC8138" s="1"/>
      <c r="AD8138" s="1"/>
      <c r="AE8138" s="1"/>
      <c r="AF8138" s="1"/>
      <c r="AG8138" s="1"/>
    </row>
    <row r="8139" ht="15.75" customHeight="1">
      <c r="A8139" s="1"/>
      <c r="B8139" s="1"/>
      <c r="C8139" s="1"/>
      <c r="D8139" s="1"/>
      <c r="E8139" s="1"/>
      <c r="F8139" s="1"/>
      <c r="G8139" s="1"/>
      <c r="H8139" s="1"/>
      <c r="I8139" s="1"/>
      <c r="J8139" s="1"/>
      <c r="K8139" s="102" t="s">
        <v>12679</v>
      </c>
      <c r="L8139" s="102" t="str">
        <f>K1158</f>
        <v>J2b2a2b2b1a~</v>
      </c>
      <c r="M8139" s="102" t="s">
        <v>12678</v>
      </c>
      <c r="N8139" s="102" t="s">
        <v>12680</v>
      </c>
      <c r="O8139" s="105">
        <v>2.3194503E7</v>
      </c>
      <c r="P8139" s="105">
        <v>2.1032617E7</v>
      </c>
      <c r="Q8139" s="102" t="s">
        <v>2501</v>
      </c>
      <c r="S8139" s="1"/>
      <c r="T8139" s="1"/>
      <c r="U8139" s="1"/>
      <c r="V8139" s="1"/>
      <c r="W8139" s="1"/>
      <c r="X8139" s="1"/>
      <c r="Y8139" s="1"/>
      <c r="AA8139" s="102"/>
      <c r="AB8139" s="1"/>
      <c r="AC8139" s="1"/>
      <c r="AD8139" s="1"/>
      <c r="AE8139" s="1"/>
      <c r="AF8139" s="1"/>
      <c r="AG8139" s="1"/>
    </row>
    <row r="8140" ht="15.75" customHeight="1">
      <c r="A8140" s="1"/>
      <c r="B8140" s="1"/>
      <c r="C8140" s="1"/>
      <c r="D8140" s="1"/>
      <c r="E8140" s="1"/>
      <c r="F8140" s="1"/>
      <c r="G8140" s="1"/>
      <c r="H8140" s="1"/>
      <c r="I8140" s="1"/>
      <c r="J8140" s="1"/>
      <c r="K8140" s="102" t="s">
        <v>12681</v>
      </c>
      <c r="L8140" s="102" t="str">
        <f>K1158</f>
        <v>J2b2a2b2b1a~</v>
      </c>
      <c r="M8140" s="102"/>
      <c r="N8140" s="102" t="s">
        <v>12682</v>
      </c>
      <c r="O8140" s="105">
        <v>6936615.0</v>
      </c>
      <c r="P8140" s="105">
        <v>7068574.0</v>
      </c>
      <c r="Q8140" s="102" t="s">
        <v>2529</v>
      </c>
      <c r="S8140" s="1"/>
      <c r="T8140" s="1"/>
      <c r="U8140" s="1"/>
      <c r="V8140" s="1"/>
      <c r="W8140" s="1"/>
      <c r="X8140" s="1"/>
      <c r="Y8140" s="1"/>
      <c r="AA8140" s="102"/>
      <c r="AB8140" s="1"/>
      <c r="AC8140" s="1"/>
      <c r="AD8140" s="1"/>
      <c r="AE8140" s="1"/>
      <c r="AF8140" s="1"/>
      <c r="AG8140" s="1"/>
    </row>
    <row r="8141" ht="15.75" customHeight="1">
      <c r="A8141" s="1"/>
      <c r="B8141" s="1"/>
      <c r="C8141" s="1"/>
      <c r="D8141" s="1"/>
      <c r="E8141" s="1"/>
      <c r="F8141" s="1"/>
      <c r="G8141" s="1"/>
      <c r="H8141" s="1"/>
      <c r="I8141" s="1"/>
      <c r="J8141" s="1"/>
      <c r="K8141" s="102" t="s">
        <v>12683</v>
      </c>
      <c r="L8141" s="102" t="str">
        <f>K1158</f>
        <v>J2b2a2b2b1a~</v>
      </c>
      <c r="M8141" s="102"/>
      <c r="N8141" s="102" t="s">
        <v>12684</v>
      </c>
      <c r="O8141" s="105">
        <v>8634863.0</v>
      </c>
      <c r="P8141" s="105">
        <v>8766822.0</v>
      </c>
      <c r="Q8141" s="102" t="s">
        <v>2576</v>
      </c>
      <c r="S8141" s="1"/>
      <c r="T8141" s="1"/>
      <c r="U8141" s="1"/>
      <c r="V8141" s="1"/>
      <c r="W8141" s="1"/>
      <c r="X8141" s="1"/>
      <c r="Y8141" s="1"/>
      <c r="AA8141" s="102"/>
      <c r="AB8141" s="1"/>
      <c r="AC8141" s="1"/>
      <c r="AD8141" s="1"/>
      <c r="AE8141" s="1"/>
      <c r="AF8141" s="1"/>
      <c r="AG8141" s="1"/>
    </row>
    <row r="8142" ht="15.75" customHeight="1">
      <c r="A8142" s="1"/>
      <c r="B8142" s="1"/>
      <c r="C8142" s="1"/>
      <c r="D8142" s="1"/>
      <c r="E8142" s="1"/>
      <c r="F8142" s="1"/>
      <c r="G8142" s="1"/>
      <c r="H8142" s="1"/>
      <c r="I8142" s="1"/>
      <c r="J8142" s="1"/>
      <c r="K8142" s="102" t="s">
        <v>12685</v>
      </c>
      <c r="L8142" s="102" t="str">
        <f>K1158</f>
        <v>J2b2a2b2b1a~</v>
      </c>
      <c r="M8142" s="102"/>
      <c r="N8142" s="102" t="s">
        <v>12686</v>
      </c>
      <c r="O8142" s="105">
        <v>1.4537211E7</v>
      </c>
      <c r="P8142" s="105">
        <v>1.2425412E7</v>
      </c>
      <c r="Q8142" s="102" t="s">
        <v>2501</v>
      </c>
      <c r="S8142" s="1"/>
      <c r="T8142" s="1"/>
      <c r="U8142" s="1"/>
      <c r="V8142" s="1"/>
      <c r="W8142" s="1"/>
      <c r="X8142" s="1"/>
      <c r="Y8142" s="1"/>
      <c r="AA8142" s="102"/>
      <c r="AB8142" s="1"/>
      <c r="AC8142" s="1"/>
      <c r="AD8142" s="1"/>
      <c r="AE8142" s="1"/>
      <c r="AF8142" s="1"/>
      <c r="AG8142" s="1"/>
    </row>
    <row r="8143" ht="15.75" customHeight="1">
      <c r="A8143" s="1"/>
      <c r="B8143" s="1"/>
      <c r="C8143" s="1"/>
      <c r="D8143" s="1"/>
      <c r="E8143" s="1"/>
      <c r="F8143" s="1"/>
      <c r="G8143" s="1"/>
      <c r="H8143" s="1"/>
      <c r="I8143" s="1"/>
      <c r="J8143" s="1"/>
      <c r="K8143" s="102" t="s">
        <v>12687</v>
      </c>
      <c r="L8143" s="102" t="str">
        <f>K1158</f>
        <v>J2b2a2b2b1a~</v>
      </c>
      <c r="M8143" s="102"/>
      <c r="N8143" s="102" t="s">
        <v>12688</v>
      </c>
      <c r="O8143" s="105">
        <v>1.5020843E7</v>
      </c>
      <c r="P8143" s="105">
        <v>1.2908932E7</v>
      </c>
      <c r="Q8143" s="102" t="s">
        <v>2501</v>
      </c>
      <c r="S8143" s="1"/>
      <c r="T8143" s="1"/>
      <c r="U8143" s="1"/>
      <c r="V8143" s="1"/>
      <c r="W8143" s="1"/>
      <c r="X8143" s="1"/>
      <c r="Y8143" s="1"/>
      <c r="AA8143" s="102"/>
      <c r="AB8143" s="1"/>
      <c r="AC8143" s="1"/>
      <c r="AD8143" s="1"/>
      <c r="AE8143" s="1"/>
      <c r="AF8143" s="1"/>
      <c r="AG8143" s="1"/>
    </row>
    <row r="8144" ht="15.75" customHeight="1">
      <c r="A8144" s="1"/>
      <c r="B8144" s="1"/>
      <c r="C8144" s="1"/>
      <c r="D8144" s="1"/>
      <c r="E8144" s="1"/>
      <c r="F8144" s="1"/>
      <c r="G8144" s="1"/>
      <c r="H8144" s="1"/>
      <c r="I8144" s="1"/>
      <c r="J8144" s="1"/>
      <c r="K8144" s="102" t="s">
        <v>12689</v>
      </c>
      <c r="L8144" s="102" t="str">
        <f>K1158</f>
        <v>J2b2a2b2b1a~</v>
      </c>
      <c r="M8144" s="102"/>
      <c r="N8144" s="102" t="s">
        <v>12690</v>
      </c>
      <c r="O8144" s="105">
        <v>1.5439809E7</v>
      </c>
      <c r="P8144" s="105">
        <v>1.3327929E7</v>
      </c>
      <c r="Q8144" s="102" t="s">
        <v>2501</v>
      </c>
      <c r="S8144" s="1"/>
      <c r="T8144" s="1"/>
      <c r="U8144" s="1"/>
      <c r="V8144" s="1"/>
      <c r="W8144" s="1"/>
      <c r="X8144" s="1"/>
      <c r="Y8144" s="1"/>
      <c r="AA8144" s="102"/>
      <c r="AB8144" s="1"/>
      <c r="AC8144" s="1"/>
      <c r="AD8144" s="1"/>
      <c r="AE8144" s="1"/>
      <c r="AF8144" s="1"/>
      <c r="AG8144" s="1"/>
    </row>
    <row r="8145" ht="15.75" customHeight="1">
      <c r="A8145" s="1"/>
      <c r="B8145" s="1"/>
      <c r="C8145" s="1"/>
      <c r="D8145" s="1"/>
      <c r="E8145" s="1"/>
      <c r="F8145" s="1"/>
      <c r="G8145" s="1"/>
      <c r="H8145" s="1"/>
      <c r="I8145" s="1"/>
      <c r="J8145" s="1"/>
      <c r="K8145" s="102" t="s">
        <v>12691</v>
      </c>
      <c r="L8145" s="102" t="str">
        <f>K1158</f>
        <v>J2b2a2b2b1a~</v>
      </c>
      <c r="M8145" s="102"/>
      <c r="N8145" s="102" t="s">
        <v>12692</v>
      </c>
      <c r="O8145" s="105">
        <v>1.5476372E7</v>
      </c>
      <c r="P8145" s="105">
        <v>1.3364492E7</v>
      </c>
      <c r="Q8145" s="102" t="s">
        <v>2439</v>
      </c>
      <c r="S8145" s="1"/>
      <c r="T8145" s="1"/>
      <c r="U8145" s="1"/>
      <c r="V8145" s="1"/>
      <c r="W8145" s="1"/>
      <c r="X8145" s="1"/>
      <c r="Y8145" s="1"/>
      <c r="AA8145" s="102"/>
      <c r="AB8145" s="1"/>
      <c r="AC8145" s="1"/>
      <c r="AD8145" s="1"/>
      <c r="AE8145" s="1"/>
      <c r="AF8145" s="1"/>
      <c r="AG8145" s="1"/>
    </row>
    <row r="8146" ht="15.75" customHeight="1">
      <c r="A8146" s="1"/>
      <c r="B8146" s="1"/>
      <c r="C8146" s="1"/>
      <c r="D8146" s="1"/>
      <c r="E8146" s="1"/>
      <c r="F8146" s="1"/>
      <c r="G8146" s="1"/>
      <c r="H8146" s="1"/>
      <c r="I8146" s="1"/>
      <c r="J8146" s="1"/>
      <c r="K8146" s="102" t="s">
        <v>12693</v>
      </c>
      <c r="L8146" s="102" t="str">
        <f>K1158</f>
        <v>J2b2a2b2b1a~</v>
      </c>
      <c r="M8146" s="102"/>
      <c r="N8146" s="102" t="s">
        <v>12694</v>
      </c>
      <c r="O8146" s="105">
        <v>1.9439247E7</v>
      </c>
      <c r="P8146" s="105">
        <v>1.7327367E7</v>
      </c>
      <c r="Q8146" s="102" t="s">
        <v>2468</v>
      </c>
      <c r="S8146" s="1"/>
      <c r="T8146" s="1"/>
      <c r="U8146" s="1"/>
      <c r="V8146" s="1"/>
      <c r="W8146" s="1"/>
      <c r="X8146" s="1"/>
      <c r="Y8146" s="1"/>
      <c r="AA8146" s="102"/>
      <c r="AB8146" s="1"/>
      <c r="AC8146" s="1"/>
      <c r="AD8146" s="1"/>
      <c r="AE8146" s="1"/>
      <c r="AF8146" s="1"/>
      <c r="AG8146" s="1"/>
    </row>
    <row r="8147" ht="15.75" customHeight="1">
      <c r="A8147" s="1"/>
      <c r="B8147" s="1"/>
      <c r="C8147" s="1"/>
      <c r="D8147" s="1"/>
      <c r="E8147" s="1"/>
      <c r="F8147" s="1"/>
      <c r="G8147" s="1"/>
      <c r="H8147" s="1"/>
      <c r="I8147" s="1"/>
      <c r="J8147" s="1"/>
      <c r="K8147" s="102" t="s">
        <v>12695</v>
      </c>
      <c r="L8147" s="102" t="str">
        <f t="shared" ref="L8147:L8148" si="205">K1158</f>
        <v>J2b2a2b2b1a~</v>
      </c>
      <c r="M8147" s="102"/>
      <c r="N8147" s="102" t="s">
        <v>12696</v>
      </c>
      <c r="O8147" s="105">
        <v>2.2195445E7</v>
      </c>
      <c r="P8147" s="105">
        <v>2.0033559E7</v>
      </c>
      <c r="Q8147" s="102" t="s">
        <v>2529</v>
      </c>
      <c r="S8147" s="1"/>
      <c r="T8147" s="1"/>
      <c r="U8147" s="1"/>
      <c r="V8147" s="1"/>
      <c r="W8147" s="1"/>
      <c r="X8147" s="1"/>
      <c r="Y8147" s="1"/>
      <c r="AA8147" s="102"/>
      <c r="AB8147" s="1"/>
      <c r="AC8147" s="1"/>
      <c r="AD8147" s="1"/>
      <c r="AE8147" s="1"/>
      <c r="AF8147" s="1"/>
      <c r="AG8147" s="1"/>
    </row>
    <row r="8148" ht="15.75" customHeight="1">
      <c r="A8148" s="1"/>
      <c r="B8148" s="1"/>
      <c r="C8148" s="1"/>
      <c r="D8148" s="1"/>
      <c r="E8148" s="1"/>
      <c r="F8148" s="1"/>
      <c r="G8148" s="1"/>
      <c r="H8148" s="1"/>
      <c r="I8148" s="1"/>
      <c r="J8148" s="1"/>
      <c r="K8148" s="102" t="s">
        <v>12697</v>
      </c>
      <c r="L8148" s="102" t="str">
        <f t="shared" si="205"/>
        <v>J2b2a2b2b1b~</v>
      </c>
      <c r="M8148" s="102"/>
      <c r="N8148" s="102" t="s">
        <v>12698</v>
      </c>
      <c r="O8148" s="105">
        <v>1.5793005E7</v>
      </c>
      <c r="P8148" s="105">
        <v>1.3681125E7</v>
      </c>
      <c r="Q8148" s="102" t="s">
        <v>2529</v>
      </c>
      <c r="S8148" s="1"/>
      <c r="T8148" s="1"/>
      <c r="U8148" s="1"/>
      <c r="V8148" s="1"/>
      <c r="W8148" s="1"/>
      <c r="X8148" s="1"/>
      <c r="Y8148" s="1"/>
      <c r="AA8148" s="102"/>
      <c r="AB8148" s="1"/>
      <c r="AC8148" s="1"/>
      <c r="AD8148" s="1"/>
      <c r="AE8148" s="1"/>
      <c r="AF8148" s="1"/>
      <c r="AG8148" s="1"/>
    </row>
    <row r="8149" ht="15.75" customHeight="1">
      <c r="A8149" s="1"/>
      <c r="B8149" s="1"/>
      <c r="C8149" s="1"/>
      <c r="D8149" s="1"/>
      <c r="E8149" s="1"/>
      <c r="F8149" s="1"/>
      <c r="G8149" s="1"/>
      <c r="H8149" s="1"/>
      <c r="I8149" s="1"/>
      <c r="J8149" s="1"/>
      <c r="K8149" s="102" t="s">
        <v>12699</v>
      </c>
      <c r="L8149" s="102" t="str">
        <f>K1159</f>
        <v>J2b2a2b2b1b~</v>
      </c>
      <c r="M8149" s="102"/>
      <c r="N8149" s="102"/>
      <c r="O8149" s="105">
        <v>2.183205E7</v>
      </c>
      <c r="P8149" s="105">
        <v>1.9670164E7</v>
      </c>
      <c r="Q8149" s="102" t="s">
        <v>2501</v>
      </c>
      <c r="S8149" s="1"/>
      <c r="T8149" s="1"/>
      <c r="U8149" s="1"/>
      <c r="V8149" s="1"/>
      <c r="W8149" s="1"/>
      <c r="X8149" s="1"/>
      <c r="Y8149" s="1"/>
      <c r="AA8149" s="102"/>
      <c r="AB8149" s="1"/>
      <c r="AC8149" s="1"/>
      <c r="AD8149" s="1"/>
      <c r="AE8149" s="1"/>
      <c r="AF8149" s="1"/>
      <c r="AG8149" s="1"/>
    </row>
    <row r="8150" ht="15.75" customHeight="1">
      <c r="A8150" s="1"/>
      <c r="B8150" s="1"/>
      <c r="C8150" s="1"/>
      <c r="D8150" s="1"/>
      <c r="E8150" s="1"/>
      <c r="F8150" s="1"/>
      <c r="G8150" s="1"/>
      <c r="H8150" s="1"/>
      <c r="I8150" s="1"/>
      <c r="J8150" s="1"/>
      <c r="K8150" s="102" t="s">
        <v>12700</v>
      </c>
      <c r="L8150" s="102" t="str">
        <f>L1160</f>
        <v>J2b2a2b2b1b1~</v>
      </c>
      <c r="M8150" s="102"/>
      <c r="N8150" s="102" t="s">
        <v>12701</v>
      </c>
      <c r="O8150" s="105">
        <v>1.6775007E7</v>
      </c>
      <c r="P8150" s="105">
        <v>1.4663127E7</v>
      </c>
      <c r="Q8150" s="102" t="s">
        <v>2501</v>
      </c>
      <c r="S8150" s="1"/>
      <c r="T8150" s="1"/>
      <c r="U8150" s="1"/>
      <c r="V8150" s="1"/>
      <c r="W8150" s="1"/>
      <c r="X8150" s="1"/>
      <c r="Y8150" s="1"/>
      <c r="AA8150" s="102"/>
      <c r="AB8150" s="1"/>
      <c r="AC8150" s="1"/>
      <c r="AD8150" s="1"/>
      <c r="AE8150" s="1"/>
      <c r="AF8150" s="1"/>
      <c r="AG8150" s="1"/>
    </row>
    <row r="8151" ht="15.75" customHeight="1">
      <c r="A8151" s="1"/>
      <c r="B8151" s="1"/>
      <c r="C8151" s="1"/>
      <c r="D8151" s="1"/>
      <c r="E8151" s="1"/>
      <c r="F8151" s="1"/>
      <c r="G8151" s="1"/>
      <c r="H8151" s="1"/>
      <c r="I8151" s="1"/>
      <c r="J8151" s="1"/>
      <c r="K8151" s="102" t="s">
        <v>12702</v>
      </c>
      <c r="L8151" s="102" t="str">
        <f>L1160</f>
        <v>J2b2a2b2b1b1~</v>
      </c>
      <c r="M8151" s="102"/>
      <c r="N8151" s="102" t="s">
        <v>12703</v>
      </c>
      <c r="O8151" s="105">
        <v>2.2922097E7</v>
      </c>
      <c r="P8151" s="105">
        <v>2.0760211E7</v>
      </c>
      <c r="Q8151" s="102" t="s">
        <v>2439</v>
      </c>
      <c r="S8151" s="1"/>
      <c r="T8151" s="1"/>
      <c r="U8151" s="1"/>
      <c r="V8151" s="1"/>
      <c r="W8151" s="1"/>
      <c r="X8151" s="1"/>
      <c r="Y8151" s="1"/>
      <c r="AA8151" s="102"/>
      <c r="AB8151" s="1"/>
      <c r="AC8151" s="1"/>
      <c r="AD8151" s="1"/>
      <c r="AE8151" s="1"/>
      <c r="AF8151" s="1"/>
      <c r="AG8151" s="1"/>
    </row>
    <row r="8152" ht="15.75" customHeight="1">
      <c r="A8152" s="1"/>
      <c r="B8152" s="1"/>
      <c r="C8152" s="1"/>
      <c r="D8152" s="1"/>
      <c r="E8152" s="1"/>
      <c r="F8152" s="1"/>
      <c r="G8152" s="1"/>
      <c r="H8152" s="1"/>
      <c r="I8152" s="1"/>
      <c r="J8152" s="1"/>
      <c r="K8152" s="102" t="s">
        <v>12704</v>
      </c>
      <c r="L8152" s="102" t="str">
        <f>L1160</f>
        <v>J2b2a2b2b1b1~</v>
      </c>
      <c r="M8152" s="102"/>
      <c r="N8152" s="102" t="s">
        <v>12705</v>
      </c>
      <c r="O8152" s="105">
        <v>7257049.0</v>
      </c>
      <c r="P8152" s="105">
        <v>7389008.0</v>
      </c>
      <c r="Q8152" s="102" t="s">
        <v>2501</v>
      </c>
      <c r="S8152" s="1"/>
      <c r="T8152" s="1"/>
      <c r="U8152" s="1"/>
      <c r="V8152" s="1"/>
      <c r="W8152" s="1"/>
      <c r="X8152" s="1"/>
      <c r="Y8152" s="1"/>
      <c r="AA8152" s="102"/>
      <c r="AB8152" s="1"/>
      <c r="AC8152" s="1"/>
      <c r="AD8152" s="1"/>
      <c r="AE8152" s="1"/>
      <c r="AF8152" s="1"/>
      <c r="AG8152" s="1"/>
    </row>
    <row r="8153" ht="15.75" customHeight="1">
      <c r="A8153" s="1"/>
      <c r="B8153" s="1"/>
      <c r="C8153" s="1"/>
      <c r="D8153" s="1"/>
      <c r="E8153" s="1"/>
      <c r="F8153" s="1"/>
      <c r="G8153" s="1"/>
      <c r="H8153" s="1"/>
      <c r="I8153" s="1"/>
      <c r="J8153" s="1"/>
      <c r="K8153" s="102" t="s">
        <v>12706</v>
      </c>
      <c r="L8153" s="102" t="str">
        <f>L1160</f>
        <v>J2b2a2b2b1b1~</v>
      </c>
      <c r="M8153" s="102"/>
      <c r="N8153" s="102" t="s">
        <v>12707</v>
      </c>
      <c r="O8153" s="105">
        <v>8057343.0</v>
      </c>
      <c r="P8153" s="105">
        <v>8189302.0</v>
      </c>
      <c r="Q8153" s="102" t="s">
        <v>2533</v>
      </c>
      <c r="S8153" s="1"/>
      <c r="T8153" s="1"/>
      <c r="U8153" s="1"/>
      <c r="V8153" s="1"/>
      <c r="W8153" s="1"/>
      <c r="X8153" s="1"/>
      <c r="Y8153" s="1"/>
      <c r="AA8153" s="102"/>
      <c r="AB8153" s="1"/>
      <c r="AC8153" s="1"/>
      <c r="AD8153" s="1"/>
      <c r="AE8153" s="1"/>
      <c r="AF8153" s="1"/>
      <c r="AG8153" s="1"/>
    </row>
    <row r="8154" ht="15.75" customHeight="1">
      <c r="A8154" s="1"/>
      <c r="B8154" s="1"/>
      <c r="C8154" s="1"/>
      <c r="D8154" s="1"/>
      <c r="E8154" s="1"/>
      <c r="F8154" s="1"/>
      <c r="G8154" s="1"/>
      <c r="H8154" s="1"/>
      <c r="I8154" s="1"/>
      <c r="J8154" s="1"/>
      <c r="K8154" s="102" t="s">
        <v>12708</v>
      </c>
      <c r="L8154" s="102" t="str">
        <f>L1160</f>
        <v>J2b2a2b2b1b1~</v>
      </c>
      <c r="M8154" s="102"/>
      <c r="N8154" s="102" t="s">
        <v>12709</v>
      </c>
      <c r="O8154" s="105">
        <v>1.4010154E7</v>
      </c>
      <c r="P8154" s="105">
        <v>1.1889448E7</v>
      </c>
      <c r="Q8154" s="102" t="s">
        <v>2529</v>
      </c>
      <c r="S8154" s="1"/>
      <c r="T8154" s="1"/>
      <c r="U8154" s="1"/>
      <c r="V8154" s="1"/>
      <c r="W8154" s="1"/>
      <c r="X8154" s="1"/>
      <c r="Y8154" s="1"/>
      <c r="AA8154" s="102"/>
      <c r="AB8154" s="1"/>
      <c r="AC8154" s="1"/>
      <c r="AD8154" s="1"/>
      <c r="AE8154" s="1"/>
      <c r="AF8154" s="1"/>
      <c r="AG8154" s="1"/>
    </row>
    <row r="8155" ht="15.75" customHeight="1">
      <c r="A8155" s="1"/>
      <c r="B8155" s="1"/>
      <c r="C8155" s="1"/>
      <c r="D8155" s="1"/>
      <c r="E8155" s="1"/>
      <c r="F8155" s="1"/>
      <c r="G8155" s="1"/>
      <c r="H8155" s="1"/>
      <c r="I8155" s="1"/>
      <c r="J8155" s="1"/>
      <c r="K8155" s="102" t="s">
        <v>12710</v>
      </c>
      <c r="L8155" s="102" t="str">
        <f>L1160</f>
        <v>J2b2a2b2b1b1~</v>
      </c>
      <c r="M8155" s="102"/>
      <c r="N8155" s="102" t="s">
        <v>12711</v>
      </c>
      <c r="O8155" s="105">
        <v>1.426266E7</v>
      </c>
      <c r="P8155" s="105">
        <v>1.2141954E7</v>
      </c>
      <c r="Q8155" s="102" t="s">
        <v>2529</v>
      </c>
      <c r="S8155" s="1"/>
      <c r="T8155" s="1"/>
      <c r="U8155" s="1"/>
      <c r="V8155" s="1"/>
      <c r="W8155" s="1"/>
      <c r="X8155" s="1"/>
      <c r="Y8155" s="1"/>
      <c r="AA8155" s="102"/>
      <c r="AB8155" s="1"/>
      <c r="AC8155" s="1"/>
      <c r="AD8155" s="1"/>
      <c r="AE8155" s="1"/>
      <c r="AF8155" s="1"/>
      <c r="AG8155" s="1"/>
    </row>
    <row r="8156" ht="15.75" customHeight="1">
      <c r="A8156" s="1"/>
      <c r="B8156" s="1"/>
      <c r="C8156" s="1"/>
      <c r="D8156" s="1"/>
      <c r="E8156" s="1"/>
      <c r="F8156" s="1"/>
      <c r="G8156" s="1"/>
      <c r="H8156" s="1"/>
      <c r="I8156" s="1"/>
      <c r="J8156" s="1"/>
      <c r="K8156" s="102" t="s">
        <v>12712</v>
      </c>
      <c r="L8156" s="102" t="str">
        <f>L1160</f>
        <v>J2b2a2b2b1b1~</v>
      </c>
      <c r="M8156" s="102"/>
      <c r="N8156" s="102" t="s">
        <v>12713</v>
      </c>
      <c r="O8156" s="105">
        <v>1.43004E7</v>
      </c>
      <c r="P8156" s="105">
        <v>1.2179694E7</v>
      </c>
      <c r="Q8156" s="102" t="s">
        <v>2439</v>
      </c>
      <c r="S8156" s="1"/>
      <c r="T8156" s="1"/>
      <c r="U8156" s="1"/>
      <c r="V8156" s="1"/>
      <c r="W8156" s="1"/>
      <c r="X8156" s="1"/>
      <c r="Y8156" s="1"/>
      <c r="AA8156" s="102"/>
      <c r="AB8156" s="1"/>
      <c r="AC8156" s="1"/>
      <c r="AD8156" s="1"/>
      <c r="AE8156" s="1"/>
      <c r="AF8156" s="1"/>
      <c r="AG8156" s="1"/>
    </row>
    <row r="8157" ht="15.75" customHeight="1">
      <c r="A8157" s="1"/>
      <c r="B8157" s="1"/>
      <c r="C8157" s="1"/>
      <c r="D8157" s="1"/>
      <c r="E8157" s="1"/>
      <c r="F8157" s="1"/>
      <c r="G8157" s="1"/>
      <c r="H8157" s="1"/>
      <c r="I8157" s="1"/>
      <c r="J8157" s="1"/>
      <c r="K8157" s="102" t="s">
        <v>12714</v>
      </c>
      <c r="L8157" s="102" t="str">
        <f>L1160</f>
        <v>J2b2a2b2b1b1~</v>
      </c>
      <c r="M8157" s="102"/>
      <c r="N8157" s="102" t="s">
        <v>12715</v>
      </c>
      <c r="O8157" s="105">
        <v>1.54782E7</v>
      </c>
      <c r="P8157" s="105">
        <v>1.336632E7</v>
      </c>
      <c r="Q8157" s="102" t="s">
        <v>2529</v>
      </c>
      <c r="S8157" s="1"/>
      <c r="T8157" s="1"/>
      <c r="U8157" s="1"/>
      <c r="V8157" s="1"/>
      <c r="W8157" s="1"/>
      <c r="X8157" s="1"/>
      <c r="Y8157" s="1"/>
      <c r="AA8157" s="102"/>
      <c r="AB8157" s="1"/>
      <c r="AC8157" s="1"/>
      <c r="AD8157" s="1"/>
      <c r="AE8157" s="1"/>
      <c r="AF8157" s="1"/>
      <c r="AG8157" s="1"/>
    </row>
    <row r="8158" ht="15.75" customHeight="1">
      <c r="A8158" s="1"/>
      <c r="B8158" s="1"/>
      <c r="C8158" s="1"/>
      <c r="D8158" s="1"/>
      <c r="E8158" s="1"/>
      <c r="F8158" s="1"/>
      <c r="G8158" s="1"/>
      <c r="H8158" s="1"/>
      <c r="I8158" s="1"/>
      <c r="J8158" s="1"/>
      <c r="K8158" s="102" t="s">
        <v>12716</v>
      </c>
      <c r="L8158" s="102" t="str">
        <f>L1160</f>
        <v>J2b2a2b2b1b1~</v>
      </c>
      <c r="M8158" s="102"/>
      <c r="N8158" s="102"/>
      <c r="O8158" s="105">
        <v>1.6609843E7</v>
      </c>
      <c r="P8158" s="105">
        <v>1.4497963E7</v>
      </c>
      <c r="Q8158" s="102" t="s">
        <v>2439</v>
      </c>
      <c r="S8158" s="1"/>
      <c r="T8158" s="1"/>
      <c r="U8158" s="1"/>
      <c r="V8158" s="1"/>
      <c r="W8158" s="1"/>
      <c r="X8158" s="1"/>
      <c r="Y8158" s="1"/>
      <c r="AA8158" s="102"/>
      <c r="AB8158" s="1"/>
      <c r="AC8158" s="1"/>
      <c r="AD8158" s="1"/>
      <c r="AE8158" s="1"/>
      <c r="AF8158" s="1"/>
      <c r="AG8158" s="1"/>
    </row>
    <row r="8159" ht="15.75" customHeight="1">
      <c r="A8159" s="1"/>
      <c r="B8159" s="1"/>
      <c r="C8159" s="1"/>
      <c r="D8159" s="1"/>
      <c r="E8159" s="1"/>
      <c r="F8159" s="1"/>
      <c r="G8159" s="1"/>
      <c r="H8159" s="1"/>
      <c r="I8159" s="1"/>
      <c r="J8159" s="1"/>
      <c r="K8159" s="102" t="s">
        <v>12717</v>
      </c>
      <c r="L8159" s="102" t="str">
        <f>L1160</f>
        <v>J2b2a2b2b1b1~</v>
      </c>
      <c r="M8159" s="102"/>
      <c r="N8159" s="102"/>
      <c r="O8159" s="105">
        <v>1.7800087E7</v>
      </c>
      <c r="P8159" s="105">
        <v>1.5688207E7</v>
      </c>
      <c r="Q8159" s="102" t="s">
        <v>2563</v>
      </c>
      <c r="S8159" s="1"/>
      <c r="T8159" s="1"/>
      <c r="U8159" s="1"/>
      <c r="V8159" s="1"/>
      <c r="W8159" s="1"/>
      <c r="X8159" s="1"/>
      <c r="Y8159" s="1"/>
      <c r="AA8159" s="102"/>
      <c r="AB8159" s="1"/>
      <c r="AC8159" s="1"/>
      <c r="AD8159" s="1"/>
      <c r="AE8159" s="1"/>
      <c r="AF8159" s="1"/>
      <c r="AG8159" s="1"/>
    </row>
    <row r="8160" ht="15.75" customHeight="1">
      <c r="A8160" s="1"/>
      <c r="B8160" s="1"/>
      <c r="C8160" s="1"/>
      <c r="D8160" s="1"/>
      <c r="E8160" s="1"/>
      <c r="F8160" s="1"/>
      <c r="G8160" s="1"/>
      <c r="H8160" s="1"/>
      <c r="I8160" s="1"/>
      <c r="J8160" s="1"/>
      <c r="K8160" s="102" t="s">
        <v>12718</v>
      </c>
      <c r="L8160" s="102" t="str">
        <f>L1160</f>
        <v>J2b2a2b2b1b1~</v>
      </c>
      <c r="M8160" s="102"/>
      <c r="N8160" s="102" t="s">
        <v>12719</v>
      </c>
      <c r="O8160" s="105">
        <v>1.790902E7</v>
      </c>
      <c r="P8160" s="105">
        <v>1.579714E7</v>
      </c>
      <c r="Q8160" s="102" t="s">
        <v>2454</v>
      </c>
      <c r="S8160" s="1"/>
      <c r="T8160" s="1"/>
      <c r="U8160" s="1"/>
      <c r="V8160" s="1"/>
      <c r="W8160" s="1"/>
      <c r="X8160" s="1"/>
      <c r="Y8160" s="1"/>
      <c r="AA8160" s="102"/>
      <c r="AB8160" s="1"/>
      <c r="AC8160" s="1"/>
      <c r="AD8160" s="1"/>
      <c r="AE8160" s="1"/>
      <c r="AF8160" s="1"/>
      <c r="AG8160" s="1"/>
    </row>
    <row r="8161" ht="15.75" customHeight="1">
      <c r="A8161" s="1"/>
      <c r="B8161" s="1"/>
      <c r="C8161" s="1"/>
      <c r="D8161" s="1"/>
      <c r="E8161" s="1"/>
      <c r="F8161" s="1"/>
      <c r="G8161" s="1"/>
      <c r="H8161" s="1"/>
      <c r="I8161" s="1"/>
      <c r="J8161" s="1"/>
      <c r="K8161" s="102" t="s">
        <v>12720</v>
      </c>
      <c r="L8161" s="102" t="str">
        <f>L1160</f>
        <v>J2b2a2b2b1b1~</v>
      </c>
      <c r="M8161" s="102"/>
      <c r="N8161" s="102"/>
      <c r="O8161" s="105">
        <v>1.8080959E7</v>
      </c>
      <c r="P8161" s="105">
        <v>1.5969079E7</v>
      </c>
      <c r="Q8161" s="102" t="s">
        <v>2501</v>
      </c>
      <c r="S8161" s="1"/>
      <c r="T8161" s="1"/>
      <c r="U8161" s="1"/>
      <c r="V8161" s="1"/>
      <c r="W8161" s="1"/>
      <c r="X8161" s="1"/>
      <c r="Y8161" s="1"/>
      <c r="AA8161" s="102"/>
      <c r="AB8161" s="1"/>
      <c r="AC8161" s="1"/>
      <c r="AD8161" s="1"/>
      <c r="AE8161" s="1"/>
      <c r="AF8161" s="1"/>
      <c r="AG8161" s="1"/>
    </row>
    <row r="8162" ht="15.75" customHeight="1">
      <c r="A8162" s="1"/>
      <c r="B8162" s="1"/>
      <c r="C8162" s="1"/>
      <c r="D8162" s="1"/>
      <c r="E8162" s="1"/>
      <c r="F8162" s="1"/>
      <c r="G8162" s="1"/>
      <c r="H8162" s="1"/>
      <c r="I8162" s="1"/>
      <c r="J8162" s="1"/>
      <c r="K8162" s="102" t="s">
        <v>12704</v>
      </c>
      <c r="L8162" s="102" t="str">
        <f>L1160</f>
        <v>J2b2a2b2b1b1~</v>
      </c>
      <c r="M8162" s="102"/>
      <c r="N8162" s="102" t="s">
        <v>12705</v>
      </c>
      <c r="O8162" s="105">
        <v>7257049.0</v>
      </c>
      <c r="P8162" s="105">
        <v>7389008.0</v>
      </c>
      <c r="Q8162" s="102" t="s">
        <v>2501</v>
      </c>
      <c r="S8162" s="1"/>
      <c r="T8162" s="1"/>
      <c r="U8162" s="1"/>
      <c r="V8162" s="1"/>
      <c r="W8162" s="1"/>
      <c r="X8162" s="1"/>
      <c r="Y8162" s="1"/>
      <c r="AA8162" s="102"/>
      <c r="AB8162" s="1"/>
      <c r="AC8162" s="1"/>
      <c r="AD8162" s="1"/>
      <c r="AE8162" s="1"/>
      <c r="AF8162" s="1"/>
      <c r="AG8162" s="1"/>
    </row>
    <row r="8163" ht="15.75" customHeight="1">
      <c r="A8163" s="1"/>
      <c r="B8163" s="1"/>
      <c r="C8163" s="1"/>
      <c r="D8163" s="1"/>
      <c r="E8163" s="1"/>
      <c r="F8163" s="1"/>
      <c r="G8163" s="1"/>
      <c r="H8163" s="1"/>
      <c r="I8163" s="1"/>
      <c r="J8163" s="1"/>
      <c r="K8163" s="102" t="s">
        <v>12721</v>
      </c>
      <c r="L8163" s="102" t="str">
        <f>L1160</f>
        <v>J2b2a2b2b1b1~</v>
      </c>
      <c r="M8163" s="102"/>
      <c r="N8163" s="102"/>
      <c r="O8163" s="105">
        <v>1.8564822E7</v>
      </c>
      <c r="P8163" s="105">
        <v>1.6452942E7</v>
      </c>
      <c r="Q8163" s="102" t="s">
        <v>2468</v>
      </c>
      <c r="S8163" s="1"/>
      <c r="T8163" s="1"/>
      <c r="U8163" s="1"/>
      <c r="V8163" s="1"/>
      <c r="W8163" s="1"/>
      <c r="X8163" s="1"/>
      <c r="Y8163" s="1"/>
      <c r="AA8163" s="102"/>
      <c r="AB8163" s="1"/>
      <c r="AC8163" s="1"/>
      <c r="AD8163" s="1"/>
      <c r="AE8163" s="1"/>
      <c r="AF8163" s="1"/>
      <c r="AG8163" s="1"/>
    </row>
    <row r="8164" ht="15.75" customHeight="1">
      <c r="A8164" s="1"/>
      <c r="B8164" s="1"/>
      <c r="C8164" s="1"/>
      <c r="D8164" s="1"/>
      <c r="E8164" s="1"/>
      <c r="F8164" s="1"/>
      <c r="G8164" s="1"/>
      <c r="H8164" s="1"/>
      <c r="I8164" s="1"/>
      <c r="J8164" s="1"/>
      <c r="K8164" s="102" t="s">
        <v>12722</v>
      </c>
      <c r="L8164" s="102" t="str">
        <f>L1160</f>
        <v>J2b2a2b2b1b1~</v>
      </c>
      <c r="M8164" s="102"/>
      <c r="N8164" s="102" t="s">
        <v>12723</v>
      </c>
      <c r="O8164" s="105">
        <v>1.9535973E7</v>
      </c>
      <c r="P8164" s="105">
        <v>1.7424093E7</v>
      </c>
      <c r="Q8164" s="102" t="s">
        <v>2468</v>
      </c>
      <c r="S8164" s="1"/>
      <c r="T8164" s="1"/>
      <c r="U8164" s="1"/>
      <c r="V8164" s="1"/>
      <c r="W8164" s="1"/>
      <c r="X8164" s="1"/>
      <c r="Y8164" s="1"/>
      <c r="AA8164" s="102"/>
      <c r="AB8164" s="1"/>
      <c r="AC8164" s="1"/>
      <c r="AD8164" s="1"/>
      <c r="AE8164" s="1"/>
      <c r="AF8164" s="1"/>
      <c r="AG8164" s="1"/>
    </row>
    <row r="8165" ht="15.75" customHeight="1">
      <c r="A8165" s="1"/>
      <c r="B8165" s="1"/>
      <c r="C8165" s="1"/>
      <c r="D8165" s="1"/>
      <c r="E8165" s="1"/>
      <c r="F8165" s="1"/>
      <c r="G8165" s="1"/>
      <c r="H8165" s="1"/>
      <c r="I8165" s="1"/>
      <c r="J8165" s="1"/>
      <c r="K8165" s="102" t="s">
        <v>12724</v>
      </c>
      <c r="L8165" s="102" t="str">
        <f>L1160</f>
        <v>J2b2a2b2b1b1~</v>
      </c>
      <c r="M8165" s="102"/>
      <c r="N8165" s="102" t="s">
        <v>12725</v>
      </c>
      <c r="O8165" s="105">
        <v>2.1176581E7</v>
      </c>
      <c r="P8165" s="105">
        <v>1.9014695E7</v>
      </c>
      <c r="Q8165" s="102" t="s">
        <v>2563</v>
      </c>
      <c r="S8165" s="1"/>
      <c r="T8165" s="1"/>
      <c r="U8165" s="1"/>
      <c r="V8165" s="1"/>
      <c r="W8165" s="1"/>
      <c r="X8165" s="1"/>
      <c r="Y8165" s="1"/>
      <c r="AA8165" s="102"/>
      <c r="AB8165" s="1"/>
      <c r="AC8165" s="1"/>
      <c r="AD8165" s="1"/>
      <c r="AE8165" s="1"/>
      <c r="AF8165" s="1"/>
      <c r="AG8165" s="1"/>
    </row>
    <row r="8166" ht="15.75" customHeight="1">
      <c r="A8166" s="1"/>
      <c r="B8166" s="1"/>
      <c r="C8166" s="1"/>
      <c r="D8166" s="1"/>
      <c r="E8166" s="1"/>
      <c r="F8166" s="1"/>
      <c r="G8166" s="1"/>
      <c r="H8166" s="1"/>
      <c r="I8166" s="1"/>
      <c r="J8166" s="1"/>
      <c r="K8166" s="102" t="s">
        <v>12726</v>
      </c>
      <c r="L8166" s="102" t="str">
        <f>L1160</f>
        <v>J2b2a2b2b1b1~</v>
      </c>
      <c r="M8166" s="102"/>
      <c r="N8166" s="102" t="s">
        <v>12727</v>
      </c>
      <c r="O8166" s="105">
        <v>2.1182114E7</v>
      </c>
      <c r="P8166" s="105">
        <v>1.9020228E7</v>
      </c>
      <c r="Q8166" s="102" t="s">
        <v>2446</v>
      </c>
      <c r="S8166" s="1"/>
      <c r="T8166" s="1"/>
      <c r="U8166" s="1"/>
      <c r="V8166" s="1"/>
      <c r="W8166" s="1"/>
      <c r="X8166" s="1"/>
      <c r="Y8166" s="1"/>
      <c r="AA8166" s="102"/>
      <c r="AB8166" s="1"/>
      <c r="AC8166" s="1"/>
      <c r="AD8166" s="1"/>
      <c r="AE8166" s="1"/>
      <c r="AF8166" s="1"/>
      <c r="AG8166" s="1"/>
    </row>
    <row r="8167" ht="15.75" customHeight="1">
      <c r="A8167" s="1"/>
      <c r="B8167" s="1"/>
      <c r="C8167" s="1"/>
      <c r="D8167" s="1"/>
      <c r="E8167" s="1"/>
      <c r="F8167" s="1"/>
      <c r="G8167" s="1"/>
      <c r="H8167" s="1"/>
      <c r="I8167" s="1"/>
      <c r="J8167" s="1"/>
      <c r="K8167" s="102" t="s">
        <v>12728</v>
      </c>
      <c r="L8167" s="102" t="str">
        <f>L1160</f>
        <v>J2b2a2b2b1b1~</v>
      </c>
      <c r="M8167" s="102"/>
      <c r="N8167" s="102" t="s">
        <v>12729</v>
      </c>
      <c r="O8167" s="105">
        <v>2.1727551E7</v>
      </c>
      <c r="P8167" s="105">
        <v>1.9565665E7</v>
      </c>
      <c r="Q8167" s="102" t="s">
        <v>2468</v>
      </c>
      <c r="S8167" s="1"/>
      <c r="T8167" s="1"/>
      <c r="U8167" s="1"/>
      <c r="V8167" s="1"/>
      <c r="W8167" s="1"/>
      <c r="X8167" s="1"/>
      <c r="Y8167" s="1"/>
      <c r="AA8167" s="102"/>
      <c r="AB8167" s="1"/>
      <c r="AC8167" s="1"/>
      <c r="AD8167" s="1"/>
      <c r="AE8167" s="1"/>
      <c r="AF8167" s="1"/>
      <c r="AG8167" s="1"/>
    </row>
    <row r="8168" ht="15.75" customHeight="1">
      <c r="A8168" s="1"/>
      <c r="B8168" s="1"/>
      <c r="C8168" s="1"/>
      <c r="D8168" s="1"/>
      <c r="E8168" s="1"/>
      <c r="F8168" s="1"/>
      <c r="G8168" s="1"/>
      <c r="H8168" s="1"/>
      <c r="I8168" s="1"/>
      <c r="J8168" s="1"/>
      <c r="K8168" s="102" t="s">
        <v>12730</v>
      </c>
      <c r="L8168" s="102" t="str">
        <f>L1160</f>
        <v>J2b2a2b2b1b1~</v>
      </c>
      <c r="M8168" s="102"/>
      <c r="N8168" s="102"/>
      <c r="O8168" s="105">
        <v>1.7156013E7</v>
      </c>
      <c r="P8168" s="105">
        <v>1.5044133E7</v>
      </c>
      <c r="Q8168" s="102" t="s">
        <v>2468</v>
      </c>
      <c r="S8168" s="1"/>
      <c r="T8168" s="1"/>
      <c r="U8168" s="1"/>
      <c r="V8168" s="1"/>
      <c r="W8168" s="1"/>
      <c r="X8168" s="1"/>
      <c r="Y8168" s="1"/>
      <c r="AA8168" s="102"/>
      <c r="AB8168" s="1"/>
      <c r="AC8168" s="1"/>
      <c r="AD8168" s="1"/>
      <c r="AE8168" s="1"/>
      <c r="AF8168" s="1"/>
      <c r="AG8168" s="1"/>
    </row>
    <row r="8169" ht="15.75" customHeight="1">
      <c r="A8169" s="1"/>
      <c r="B8169" s="1"/>
      <c r="C8169" s="1"/>
      <c r="D8169" s="1"/>
      <c r="E8169" s="1"/>
      <c r="F8169" s="1"/>
      <c r="G8169" s="1"/>
      <c r="H8169" s="1"/>
      <c r="I8169" s="1"/>
      <c r="J8169" s="1"/>
      <c r="K8169" s="102" t="s">
        <v>12731</v>
      </c>
      <c r="L8169" s="102" t="str">
        <f>L1160</f>
        <v>J2b2a2b2b1b1~</v>
      </c>
      <c r="M8169" s="102"/>
      <c r="N8169" s="102" t="s">
        <v>12732</v>
      </c>
      <c r="O8169" s="105">
        <v>1.4635638E7</v>
      </c>
      <c r="P8169" s="105">
        <v>1.2523707E7</v>
      </c>
      <c r="Q8169" s="102" t="s">
        <v>2563</v>
      </c>
      <c r="S8169" s="1"/>
      <c r="T8169" s="1"/>
      <c r="U8169" s="1"/>
      <c r="V8169" s="1"/>
      <c r="W8169" s="1"/>
      <c r="X8169" s="1"/>
      <c r="Y8169" s="1"/>
      <c r="AA8169" s="102"/>
      <c r="AB8169" s="1"/>
      <c r="AC8169" s="1"/>
      <c r="AD8169" s="1"/>
      <c r="AE8169" s="1"/>
      <c r="AF8169" s="1"/>
      <c r="AG8169" s="1"/>
    </row>
    <row r="8170" ht="15.75" customHeight="1">
      <c r="A8170" s="1"/>
      <c r="B8170" s="1"/>
      <c r="C8170" s="1"/>
      <c r="D8170" s="1"/>
      <c r="E8170" s="1"/>
      <c r="F8170" s="1"/>
      <c r="G8170" s="1"/>
      <c r="H8170" s="1"/>
      <c r="I8170" s="1"/>
      <c r="J8170" s="1"/>
      <c r="K8170" s="102" t="s">
        <v>12733</v>
      </c>
      <c r="L8170" s="102" t="str">
        <f>L1160</f>
        <v>J2b2a2b2b1b1~</v>
      </c>
      <c r="M8170" s="102"/>
      <c r="N8170" s="102" t="s">
        <v>12734</v>
      </c>
      <c r="O8170" s="105">
        <v>1.7535525E7</v>
      </c>
      <c r="P8170" s="105">
        <v>1.5423645E7</v>
      </c>
      <c r="Q8170" s="102" t="s">
        <v>2533</v>
      </c>
      <c r="S8170" s="1"/>
      <c r="T8170" s="1"/>
      <c r="U8170" s="1"/>
      <c r="V8170" s="1"/>
      <c r="W8170" s="1"/>
      <c r="X8170" s="1"/>
      <c r="Y8170" s="1"/>
      <c r="AA8170" s="102"/>
      <c r="AB8170" s="1"/>
      <c r="AC8170" s="1"/>
      <c r="AD8170" s="1"/>
      <c r="AE8170" s="1"/>
      <c r="AF8170" s="1"/>
      <c r="AG8170" s="1"/>
    </row>
    <row r="8171" ht="15.75" customHeight="1">
      <c r="A8171" s="1"/>
      <c r="B8171" s="1"/>
      <c r="C8171" s="1"/>
      <c r="D8171" s="1"/>
      <c r="E8171" s="1"/>
      <c r="F8171" s="1"/>
      <c r="G8171" s="1"/>
      <c r="H8171" s="1"/>
      <c r="I8171" s="1"/>
      <c r="J8171" s="1"/>
      <c r="K8171" s="102" t="s">
        <v>12735</v>
      </c>
      <c r="L8171" s="102" t="str">
        <f>L1160</f>
        <v>J2b2a2b2b1b1~</v>
      </c>
      <c r="M8171" s="102"/>
      <c r="N8171" s="102" t="s">
        <v>12736</v>
      </c>
      <c r="O8171" s="105">
        <v>1.6588113E7</v>
      </c>
      <c r="P8171" s="105">
        <v>1.4476233E7</v>
      </c>
      <c r="Q8171" s="102" t="s">
        <v>2533</v>
      </c>
      <c r="S8171" s="1"/>
      <c r="T8171" s="1"/>
      <c r="U8171" s="1"/>
      <c r="V8171" s="1"/>
      <c r="W8171" s="1"/>
      <c r="X8171" s="1"/>
      <c r="Y8171" s="1"/>
      <c r="AA8171" s="102"/>
      <c r="AB8171" s="1"/>
      <c r="AC8171" s="1"/>
      <c r="AD8171" s="1"/>
      <c r="AE8171" s="1"/>
      <c r="AF8171" s="1"/>
      <c r="AG8171" s="1"/>
    </row>
    <row r="8172" ht="15.75" customHeight="1">
      <c r="A8172" s="1"/>
      <c r="B8172" s="1"/>
      <c r="C8172" s="1"/>
      <c r="D8172" s="1"/>
      <c r="E8172" s="1"/>
      <c r="F8172" s="1"/>
      <c r="G8172" s="1"/>
      <c r="H8172" s="1"/>
      <c r="I8172" s="1"/>
      <c r="J8172" s="1"/>
      <c r="K8172" s="102" t="s">
        <v>12737</v>
      </c>
      <c r="L8172" s="102" t="str">
        <f>L1160</f>
        <v>J2b2a2b2b1b1~</v>
      </c>
      <c r="M8172" s="102"/>
      <c r="N8172" s="102"/>
      <c r="O8172" s="105">
        <v>7355068.0</v>
      </c>
      <c r="P8172" s="105">
        <v>7487027.0</v>
      </c>
      <c r="Q8172" s="102" t="s">
        <v>2501</v>
      </c>
      <c r="S8172" s="1"/>
      <c r="T8172" s="1"/>
      <c r="U8172" s="1"/>
      <c r="V8172" s="1"/>
      <c r="W8172" s="1"/>
      <c r="X8172" s="1"/>
      <c r="Y8172" s="1"/>
      <c r="AA8172" s="102"/>
      <c r="AB8172" s="1"/>
      <c r="AC8172" s="1"/>
      <c r="AD8172" s="1"/>
      <c r="AE8172" s="1"/>
      <c r="AF8172" s="1"/>
      <c r="AG8172" s="1"/>
    </row>
    <row r="8173" ht="15.75" customHeight="1">
      <c r="A8173" s="1"/>
      <c r="B8173" s="1"/>
      <c r="C8173" s="1"/>
      <c r="D8173" s="1"/>
      <c r="E8173" s="1"/>
      <c r="F8173" s="1"/>
      <c r="G8173" s="1"/>
      <c r="H8173" s="1"/>
      <c r="I8173" s="1"/>
      <c r="J8173" s="1"/>
      <c r="K8173" s="102" t="s">
        <v>12738</v>
      </c>
      <c r="L8173" s="102" t="str">
        <f>L1160</f>
        <v>J2b2a2b2b1b1~</v>
      </c>
      <c r="M8173" s="102"/>
      <c r="N8173" s="102" t="s">
        <v>12739</v>
      </c>
      <c r="O8173" s="105">
        <v>2.3203166E7</v>
      </c>
      <c r="P8173" s="105">
        <v>2.104128E7</v>
      </c>
      <c r="Q8173" s="102" t="s">
        <v>2501</v>
      </c>
      <c r="S8173" s="1"/>
      <c r="T8173" s="1"/>
      <c r="U8173" s="1"/>
      <c r="V8173" s="1"/>
      <c r="W8173" s="1"/>
      <c r="X8173" s="1"/>
      <c r="Y8173" s="1"/>
      <c r="AA8173" s="102"/>
      <c r="AB8173" s="1"/>
      <c r="AC8173" s="1"/>
      <c r="AD8173" s="1"/>
      <c r="AE8173" s="1"/>
      <c r="AF8173" s="1"/>
      <c r="AG8173" s="1"/>
    </row>
    <row r="8174" ht="15.75" customHeight="1">
      <c r="A8174" s="1"/>
      <c r="B8174" s="1"/>
      <c r="C8174" s="1"/>
      <c r="D8174" s="1"/>
      <c r="E8174" s="1"/>
      <c r="F8174" s="1"/>
      <c r="G8174" s="1"/>
      <c r="H8174" s="1"/>
      <c r="I8174" s="1"/>
      <c r="J8174" s="1"/>
      <c r="K8174" s="102" t="s">
        <v>12740</v>
      </c>
      <c r="L8174" s="102" t="str">
        <f>L1160</f>
        <v>J2b2a2b2b1b1~</v>
      </c>
      <c r="M8174" s="102"/>
      <c r="N8174" s="102"/>
      <c r="O8174" s="105">
        <v>8715988.0</v>
      </c>
      <c r="P8174" s="105">
        <v>8847947.0</v>
      </c>
      <c r="Q8174" s="102" t="s">
        <v>2533</v>
      </c>
      <c r="S8174" s="1"/>
      <c r="T8174" s="1"/>
      <c r="U8174" s="1"/>
      <c r="V8174" s="1"/>
      <c r="W8174" s="1"/>
      <c r="X8174" s="1"/>
      <c r="Y8174" s="1"/>
      <c r="AA8174" s="102"/>
      <c r="AB8174" s="1"/>
      <c r="AC8174" s="1"/>
      <c r="AD8174" s="1"/>
      <c r="AE8174" s="1"/>
      <c r="AF8174" s="1"/>
      <c r="AG8174" s="1"/>
    </row>
    <row r="8175" ht="15.75" customHeight="1">
      <c r="A8175" s="1"/>
      <c r="B8175" s="1"/>
      <c r="C8175" s="1"/>
      <c r="D8175" s="1"/>
      <c r="E8175" s="1"/>
      <c r="F8175" s="1"/>
      <c r="G8175" s="1"/>
      <c r="H8175" s="1"/>
      <c r="I8175" s="1"/>
      <c r="J8175" s="1"/>
      <c r="K8175" s="102" t="s">
        <v>12741</v>
      </c>
      <c r="L8175" s="102" t="str">
        <f>L1160</f>
        <v>J2b2a2b2b1b1~</v>
      </c>
      <c r="M8175" s="102"/>
      <c r="N8175" s="102"/>
      <c r="O8175" s="105">
        <v>8891182.0</v>
      </c>
      <c r="P8175" s="105">
        <v>9023141.0</v>
      </c>
      <c r="Q8175" s="102" t="s">
        <v>2446</v>
      </c>
      <c r="S8175" s="1"/>
      <c r="T8175" s="1"/>
      <c r="U8175" s="1"/>
      <c r="V8175" s="1"/>
      <c r="W8175" s="1"/>
      <c r="X8175" s="1"/>
      <c r="Y8175" s="1"/>
      <c r="AA8175" s="102"/>
      <c r="AB8175" s="1"/>
      <c r="AC8175" s="1"/>
      <c r="AD8175" s="1"/>
      <c r="AE8175" s="1"/>
      <c r="AF8175" s="1"/>
      <c r="AG8175" s="1"/>
    </row>
    <row r="8176" ht="15.75" customHeight="1">
      <c r="A8176" s="1"/>
      <c r="B8176" s="1"/>
      <c r="C8176" s="1"/>
      <c r="D8176" s="1"/>
      <c r="E8176" s="1"/>
      <c r="F8176" s="1"/>
      <c r="G8176" s="1"/>
      <c r="H8176" s="1"/>
      <c r="I8176" s="1"/>
      <c r="J8176" s="1"/>
      <c r="K8176" s="106" t="s">
        <v>12742</v>
      </c>
      <c r="L8176" s="102" t="str">
        <f>L1160</f>
        <v>J2b2a2b2b1b1~</v>
      </c>
      <c r="M8176" s="102"/>
      <c r="N8176" s="102"/>
      <c r="O8176" s="104">
        <v>1.767498E7</v>
      </c>
      <c r="P8176" s="111">
        <v>1.55631E7</v>
      </c>
      <c r="Q8176" s="112" t="s">
        <v>2501</v>
      </c>
      <c r="S8176" s="1"/>
      <c r="T8176" s="1"/>
      <c r="U8176" s="1"/>
      <c r="V8176" s="1"/>
      <c r="W8176" s="1"/>
      <c r="X8176" s="1"/>
      <c r="Y8176" s="1"/>
      <c r="AA8176" s="102"/>
      <c r="AB8176" s="1"/>
      <c r="AC8176" s="1"/>
      <c r="AD8176" s="1"/>
      <c r="AE8176" s="1"/>
      <c r="AF8176" s="1"/>
      <c r="AG8176" s="1"/>
    </row>
    <row r="8177" ht="15.75" customHeight="1">
      <c r="A8177" s="1"/>
      <c r="B8177" s="1"/>
      <c r="C8177" s="1"/>
      <c r="D8177" s="1"/>
      <c r="E8177" s="1"/>
      <c r="F8177" s="1"/>
      <c r="G8177" s="1"/>
      <c r="H8177" s="1"/>
      <c r="I8177" s="1"/>
      <c r="J8177" s="1"/>
      <c r="K8177" s="102" t="s">
        <v>12743</v>
      </c>
      <c r="L8177" s="102" t="str">
        <f>L1160</f>
        <v>J2b2a2b2b1b1~</v>
      </c>
      <c r="M8177" s="102"/>
      <c r="N8177" s="102" t="s">
        <v>12744</v>
      </c>
      <c r="O8177" s="105">
        <v>6665312.0</v>
      </c>
      <c r="P8177" s="105">
        <v>6797271.0</v>
      </c>
      <c r="Q8177" s="102" t="s">
        <v>2529</v>
      </c>
      <c r="S8177" s="1"/>
      <c r="T8177" s="1"/>
      <c r="U8177" s="1"/>
      <c r="V8177" s="1"/>
      <c r="W8177" s="1"/>
      <c r="X8177" s="1"/>
      <c r="Y8177" s="1"/>
      <c r="AA8177" s="102"/>
      <c r="AB8177" s="1"/>
      <c r="AC8177" s="1"/>
      <c r="AD8177" s="1"/>
      <c r="AE8177" s="1"/>
      <c r="AF8177" s="1"/>
      <c r="AG8177" s="1"/>
    </row>
    <row r="8178" ht="15.75" customHeight="1">
      <c r="A8178" s="1"/>
      <c r="B8178" s="1"/>
      <c r="C8178" s="1"/>
      <c r="D8178" s="1"/>
      <c r="E8178" s="1"/>
      <c r="F8178" s="1"/>
      <c r="G8178" s="1"/>
      <c r="H8178" s="1"/>
      <c r="I8178" s="1"/>
      <c r="J8178" s="1"/>
      <c r="K8178" s="102" t="s">
        <v>12745</v>
      </c>
      <c r="L8178" s="102" t="str">
        <f>L1160</f>
        <v>J2b2a2b2b1b1~</v>
      </c>
      <c r="M8178" s="102"/>
      <c r="N8178" s="102" t="s">
        <v>12746</v>
      </c>
      <c r="O8178" s="105">
        <v>6767285.0</v>
      </c>
      <c r="P8178" s="105">
        <v>6899244.0</v>
      </c>
      <c r="Q8178" s="102" t="s">
        <v>2529</v>
      </c>
      <c r="S8178" s="1"/>
      <c r="T8178" s="1"/>
      <c r="U8178" s="1"/>
      <c r="V8178" s="1"/>
      <c r="W8178" s="1"/>
      <c r="X8178" s="1"/>
      <c r="Y8178" s="1"/>
      <c r="AA8178" s="102"/>
      <c r="AB8178" s="1"/>
      <c r="AC8178" s="1"/>
      <c r="AD8178" s="1"/>
      <c r="AE8178" s="1"/>
      <c r="AF8178" s="1"/>
      <c r="AG8178" s="1"/>
    </row>
    <row r="8179" ht="15.75" customHeight="1">
      <c r="A8179" s="1"/>
      <c r="B8179" s="1"/>
      <c r="C8179" s="1"/>
      <c r="D8179" s="1"/>
      <c r="E8179" s="1"/>
      <c r="F8179" s="1"/>
      <c r="G8179" s="1"/>
      <c r="H8179" s="1"/>
      <c r="I8179" s="1"/>
      <c r="J8179" s="1"/>
      <c r="K8179" s="102" t="s">
        <v>12747</v>
      </c>
      <c r="L8179" s="102" t="str">
        <f>L1160</f>
        <v>J2b2a2b2b1b1~</v>
      </c>
      <c r="M8179" s="102"/>
      <c r="N8179" s="102" t="s">
        <v>12748</v>
      </c>
      <c r="O8179" s="105">
        <v>6841608.0</v>
      </c>
      <c r="P8179" s="105">
        <v>6973567.0</v>
      </c>
      <c r="Q8179" s="102" t="s">
        <v>2533</v>
      </c>
      <c r="S8179" s="1"/>
      <c r="T8179" s="1"/>
      <c r="U8179" s="1"/>
      <c r="V8179" s="1"/>
      <c r="W8179" s="1"/>
      <c r="X8179" s="1"/>
      <c r="Y8179" s="1"/>
      <c r="AA8179" s="102"/>
      <c r="AB8179" s="1"/>
      <c r="AC8179" s="1"/>
      <c r="AD8179" s="1"/>
      <c r="AE8179" s="1"/>
      <c r="AF8179" s="1"/>
      <c r="AG8179" s="1"/>
    </row>
    <row r="8180" ht="15.75" customHeight="1">
      <c r="A8180" s="1"/>
      <c r="B8180" s="1"/>
      <c r="C8180" s="1"/>
      <c r="D8180" s="1"/>
      <c r="E8180" s="1"/>
      <c r="F8180" s="1"/>
      <c r="G8180" s="1"/>
      <c r="H8180" s="1"/>
      <c r="I8180" s="1"/>
      <c r="J8180" s="1"/>
      <c r="K8180" s="102" t="s">
        <v>12749</v>
      </c>
      <c r="L8180" s="102" t="str">
        <f>L1160</f>
        <v>J2b2a2b2b1b1~</v>
      </c>
      <c r="M8180" s="102"/>
      <c r="N8180" s="102" t="s">
        <v>12750</v>
      </c>
      <c r="O8180" s="105">
        <v>7416163.0</v>
      </c>
      <c r="P8180" s="105">
        <v>7548122.0</v>
      </c>
      <c r="Q8180" s="102" t="s">
        <v>2439</v>
      </c>
      <c r="S8180" s="1"/>
      <c r="T8180" s="1"/>
      <c r="U8180" s="1"/>
      <c r="V8180" s="1"/>
      <c r="W8180" s="1"/>
      <c r="X8180" s="1"/>
      <c r="Y8180" s="1"/>
      <c r="AA8180" s="102"/>
      <c r="AB8180" s="1"/>
      <c r="AC8180" s="1"/>
      <c r="AD8180" s="1"/>
      <c r="AE8180" s="1"/>
      <c r="AF8180" s="1"/>
      <c r="AG8180" s="1"/>
    </row>
    <row r="8181" ht="15.75" customHeight="1">
      <c r="A8181" s="1"/>
      <c r="B8181" s="1"/>
      <c r="C8181" s="1"/>
      <c r="D8181" s="1"/>
      <c r="E8181" s="1"/>
      <c r="F8181" s="1"/>
      <c r="G8181" s="1"/>
      <c r="H8181" s="1"/>
      <c r="I8181" s="1"/>
      <c r="J8181" s="1"/>
      <c r="K8181" s="102" t="s">
        <v>12751</v>
      </c>
      <c r="L8181" s="102" t="str">
        <f>L1160</f>
        <v>J2b2a2b2b1b1~</v>
      </c>
      <c r="M8181" s="102"/>
      <c r="N8181" s="102" t="s">
        <v>12752</v>
      </c>
      <c r="O8181" s="105">
        <v>7707049.0</v>
      </c>
      <c r="P8181" s="105">
        <v>7839008.0</v>
      </c>
      <c r="Q8181" s="102" t="s">
        <v>2501</v>
      </c>
      <c r="S8181" s="1"/>
      <c r="T8181" s="1"/>
      <c r="U8181" s="1"/>
      <c r="V8181" s="1"/>
      <c r="W8181" s="1"/>
      <c r="X8181" s="1"/>
      <c r="Y8181" s="1"/>
      <c r="AA8181" s="102"/>
      <c r="AB8181" s="1"/>
      <c r="AC8181" s="1"/>
      <c r="AD8181" s="1"/>
      <c r="AE8181" s="1"/>
      <c r="AF8181" s="1"/>
      <c r="AG8181" s="1"/>
    </row>
    <row r="8182" ht="15.75" customHeight="1">
      <c r="A8182" s="1"/>
      <c r="B8182" s="1"/>
      <c r="C8182" s="1"/>
      <c r="D8182" s="1"/>
      <c r="E8182" s="1"/>
      <c r="F8182" s="1"/>
      <c r="G8182" s="1"/>
      <c r="H8182" s="1"/>
      <c r="I8182" s="1"/>
      <c r="J8182" s="1"/>
      <c r="K8182" s="102" t="s">
        <v>12753</v>
      </c>
      <c r="L8182" s="102" t="str">
        <f>L1160</f>
        <v>J2b2a2b2b1b1~</v>
      </c>
      <c r="M8182" s="102"/>
      <c r="N8182" s="102" t="s">
        <v>12754</v>
      </c>
      <c r="O8182" s="105">
        <v>8512006.0</v>
      </c>
      <c r="P8182" s="105">
        <v>8643965.0</v>
      </c>
      <c r="Q8182" s="102" t="s">
        <v>2423</v>
      </c>
      <c r="S8182" s="1"/>
      <c r="T8182" s="1"/>
      <c r="U8182" s="1"/>
      <c r="V8182" s="1"/>
      <c r="W8182" s="1"/>
      <c r="X8182" s="1"/>
      <c r="Y8182" s="1"/>
      <c r="AA8182" s="102"/>
      <c r="AB8182" s="1"/>
      <c r="AC8182" s="1"/>
      <c r="AD8182" s="1"/>
      <c r="AE8182" s="1"/>
      <c r="AF8182" s="1"/>
      <c r="AG8182" s="1"/>
    </row>
    <row r="8183" ht="15.75" customHeight="1">
      <c r="A8183" s="1"/>
      <c r="B8183" s="1"/>
      <c r="C8183" s="1"/>
      <c r="D8183" s="1"/>
      <c r="E8183" s="1"/>
      <c r="F8183" s="1"/>
      <c r="G8183" s="1"/>
      <c r="H8183" s="1"/>
      <c r="I8183" s="1"/>
      <c r="J8183" s="1"/>
      <c r="K8183" s="102" t="s">
        <v>12755</v>
      </c>
      <c r="L8183" s="102" t="str">
        <f>L1160</f>
        <v>J2b2a2b2b1b1~</v>
      </c>
      <c r="M8183" s="102"/>
      <c r="N8183" s="102" t="s">
        <v>12756</v>
      </c>
      <c r="O8183" s="105">
        <v>9064462.0</v>
      </c>
      <c r="P8183" s="105">
        <v>9226853.0</v>
      </c>
      <c r="Q8183" s="102" t="s">
        <v>2529</v>
      </c>
      <c r="S8183" s="1"/>
      <c r="T8183" s="1"/>
      <c r="U8183" s="1"/>
      <c r="V8183" s="1"/>
      <c r="W8183" s="1"/>
      <c r="X8183" s="1"/>
      <c r="Y8183" s="1"/>
      <c r="AA8183" s="102"/>
      <c r="AB8183" s="1"/>
      <c r="AC8183" s="1"/>
      <c r="AD8183" s="1"/>
      <c r="AE8183" s="1"/>
      <c r="AF8183" s="1"/>
      <c r="AG8183" s="1"/>
    </row>
    <row r="8184" ht="15.75" customHeight="1">
      <c r="A8184" s="1"/>
      <c r="B8184" s="1"/>
      <c r="C8184" s="1"/>
      <c r="D8184" s="1"/>
      <c r="E8184" s="1"/>
      <c r="F8184" s="1"/>
      <c r="G8184" s="1"/>
      <c r="H8184" s="1"/>
      <c r="I8184" s="1"/>
      <c r="J8184" s="1"/>
      <c r="K8184" s="102" t="s">
        <v>12757</v>
      </c>
      <c r="L8184" s="102" t="str">
        <f>L1160</f>
        <v>J2b2a2b2b1b1~</v>
      </c>
      <c r="M8184" s="102"/>
      <c r="N8184" s="102" t="s">
        <v>12758</v>
      </c>
      <c r="O8184" s="105">
        <v>1.4316498E7</v>
      </c>
      <c r="P8184" s="105">
        <v>1.2195792E7</v>
      </c>
      <c r="Q8184" s="102" t="s">
        <v>2501</v>
      </c>
      <c r="S8184" s="1"/>
      <c r="T8184" s="1"/>
      <c r="U8184" s="1"/>
      <c r="V8184" s="1"/>
      <c r="W8184" s="1"/>
      <c r="X8184" s="1"/>
      <c r="Y8184" s="1"/>
      <c r="AA8184" s="102"/>
      <c r="AB8184" s="1"/>
      <c r="AC8184" s="1"/>
      <c r="AD8184" s="1"/>
      <c r="AE8184" s="1"/>
      <c r="AF8184" s="1"/>
      <c r="AG8184" s="1"/>
    </row>
    <row r="8185" ht="15.75" customHeight="1">
      <c r="A8185" s="1"/>
      <c r="B8185" s="1"/>
      <c r="C8185" s="1"/>
      <c r="D8185" s="1"/>
      <c r="E8185" s="1"/>
      <c r="F8185" s="1"/>
      <c r="G8185" s="1"/>
      <c r="H8185" s="1"/>
      <c r="I8185" s="1"/>
      <c r="J8185" s="1"/>
      <c r="K8185" s="102" t="s">
        <v>12759</v>
      </c>
      <c r="L8185" s="102" t="str">
        <f>L1160</f>
        <v>J2b2a2b2b1b1~</v>
      </c>
      <c r="M8185" s="102"/>
      <c r="N8185" s="102" t="s">
        <v>12760</v>
      </c>
      <c r="O8185" s="105">
        <v>1.4352629E7</v>
      </c>
      <c r="P8185" s="105">
        <v>1.2231924E7</v>
      </c>
      <c r="Q8185" s="102" t="s">
        <v>2439</v>
      </c>
      <c r="S8185" s="1"/>
      <c r="T8185" s="1"/>
      <c r="U8185" s="1"/>
      <c r="V8185" s="1"/>
      <c r="W8185" s="1"/>
      <c r="X8185" s="1"/>
      <c r="Y8185" s="1"/>
      <c r="AA8185" s="102"/>
      <c r="AB8185" s="1"/>
      <c r="AC8185" s="1"/>
      <c r="AD8185" s="1"/>
      <c r="AE8185" s="1"/>
      <c r="AF8185" s="1"/>
      <c r="AG8185" s="1"/>
    </row>
    <row r="8186" ht="15.75" customHeight="1">
      <c r="A8186" s="1"/>
      <c r="B8186" s="1"/>
      <c r="C8186" s="1"/>
      <c r="D8186" s="1"/>
      <c r="E8186" s="1"/>
      <c r="F8186" s="1"/>
      <c r="G8186" s="1"/>
      <c r="H8186" s="1"/>
      <c r="I8186" s="1"/>
      <c r="J8186" s="1"/>
      <c r="K8186" s="102" t="s">
        <v>12761</v>
      </c>
      <c r="L8186" s="102" t="str">
        <f>L1160</f>
        <v>J2b2a2b2b1b1~</v>
      </c>
      <c r="M8186" s="102"/>
      <c r="N8186" s="102" t="s">
        <v>12762</v>
      </c>
      <c r="O8186" s="105">
        <v>1.4420069E7</v>
      </c>
      <c r="P8186" s="105">
        <v>1.2299344E7</v>
      </c>
      <c r="Q8186" s="102" t="s">
        <v>2439</v>
      </c>
      <c r="S8186" s="1"/>
      <c r="T8186" s="1"/>
      <c r="U8186" s="1"/>
      <c r="V8186" s="1"/>
      <c r="W8186" s="1"/>
      <c r="X8186" s="1"/>
      <c r="Y8186" s="1"/>
      <c r="AA8186" s="102"/>
      <c r="AB8186" s="1"/>
      <c r="AC8186" s="1"/>
      <c r="AD8186" s="1"/>
      <c r="AE8186" s="1"/>
      <c r="AF8186" s="1"/>
      <c r="AG8186" s="1"/>
    </row>
    <row r="8187" ht="15.75" customHeight="1">
      <c r="A8187" s="1"/>
      <c r="B8187" s="1"/>
      <c r="C8187" s="1"/>
      <c r="D8187" s="1"/>
      <c r="E8187" s="1"/>
      <c r="F8187" s="1"/>
      <c r="G8187" s="1"/>
      <c r="H8187" s="1"/>
      <c r="I8187" s="1"/>
      <c r="J8187" s="1"/>
      <c r="K8187" s="102" t="s">
        <v>12763</v>
      </c>
      <c r="L8187" s="102" t="str">
        <f>L1160</f>
        <v>J2b2a2b2b1b1~</v>
      </c>
      <c r="M8187" s="102"/>
      <c r="N8187" s="102" t="s">
        <v>12764</v>
      </c>
      <c r="O8187" s="105">
        <v>1.7037302E7</v>
      </c>
      <c r="P8187" s="105">
        <v>1.4925422E7</v>
      </c>
      <c r="Q8187" s="102" t="s">
        <v>2501</v>
      </c>
      <c r="S8187" s="1"/>
      <c r="T8187" s="1"/>
      <c r="U8187" s="1"/>
      <c r="V8187" s="1"/>
      <c r="W8187" s="1"/>
      <c r="X8187" s="1"/>
      <c r="Y8187" s="1"/>
      <c r="AA8187" s="102"/>
      <c r="AB8187" s="1"/>
      <c r="AC8187" s="1"/>
      <c r="AD8187" s="1"/>
      <c r="AE8187" s="1"/>
      <c r="AF8187" s="1"/>
      <c r="AG8187" s="1"/>
    </row>
    <row r="8188" ht="15.75" customHeight="1">
      <c r="A8188" s="1"/>
      <c r="B8188" s="1"/>
      <c r="C8188" s="1"/>
      <c r="D8188" s="1"/>
      <c r="E8188" s="1"/>
      <c r="F8188" s="1"/>
      <c r="G8188" s="1"/>
      <c r="H8188" s="1"/>
      <c r="I8188" s="1"/>
      <c r="J8188" s="1"/>
      <c r="K8188" s="102" t="s">
        <v>12765</v>
      </c>
      <c r="L8188" s="102" t="str">
        <f>L1160</f>
        <v>J2b2a2b2b1b1~</v>
      </c>
      <c r="M8188" s="102"/>
      <c r="N8188" s="102" t="s">
        <v>12766</v>
      </c>
      <c r="O8188" s="105">
        <v>1.7402569E7</v>
      </c>
      <c r="P8188" s="105">
        <v>1.5290689E7</v>
      </c>
      <c r="Q8188" s="102" t="s">
        <v>2533</v>
      </c>
      <c r="S8188" s="1"/>
      <c r="T8188" s="1"/>
      <c r="U8188" s="1"/>
      <c r="V8188" s="1"/>
      <c r="W8188" s="1"/>
      <c r="X8188" s="1"/>
      <c r="Y8188" s="1"/>
      <c r="AA8188" s="102"/>
      <c r="AB8188" s="1"/>
      <c r="AC8188" s="1"/>
      <c r="AD8188" s="1"/>
      <c r="AE8188" s="1"/>
      <c r="AF8188" s="1"/>
      <c r="AG8188" s="1"/>
    </row>
    <row r="8189" ht="15.75" customHeight="1">
      <c r="A8189" s="1"/>
      <c r="B8189" s="1"/>
      <c r="C8189" s="1"/>
      <c r="D8189" s="1"/>
      <c r="E8189" s="1"/>
      <c r="F8189" s="1"/>
      <c r="G8189" s="1"/>
      <c r="H8189" s="1"/>
      <c r="I8189" s="1"/>
      <c r="J8189" s="1"/>
      <c r="K8189" s="102" t="s">
        <v>12767</v>
      </c>
      <c r="L8189" s="102" t="str">
        <f>L1160</f>
        <v>J2b2a2b2b1b1~</v>
      </c>
      <c r="M8189" s="102"/>
      <c r="N8189" s="102" t="s">
        <v>12768</v>
      </c>
      <c r="O8189" s="105">
        <v>1.7519674E7</v>
      </c>
      <c r="P8189" s="105">
        <v>1.5407794E7</v>
      </c>
      <c r="Q8189" s="102" t="s">
        <v>2501</v>
      </c>
      <c r="S8189" s="1"/>
      <c r="T8189" s="1"/>
      <c r="U8189" s="1"/>
      <c r="V8189" s="1"/>
      <c r="W8189" s="1"/>
      <c r="X8189" s="1"/>
      <c r="Y8189" s="1"/>
      <c r="AA8189" s="102"/>
      <c r="AB8189" s="1"/>
      <c r="AC8189" s="1"/>
      <c r="AD8189" s="1"/>
      <c r="AE8189" s="1"/>
      <c r="AF8189" s="1"/>
      <c r="AG8189" s="1"/>
    </row>
    <row r="8190" ht="15.75" customHeight="1">
      <c r="A8190" s="1"/>
      <c r="B8190" s="1"/>
      <c r="C8190" s="1"/>
      <c r="D8190" s="1"/>
      <c r="E8190" s="1"/>
      <c r="F8190" s="1"/>
      <c r="G8190" s="1"/>
      <c r="H8190" s="1"/>
      <c r="I8190" s="1"/>
      <c r="J8190" s="1"/>
      <c r="K8190" s="102" t="s">
        <v>12769</v>
      </c>
      <c r="L8190" s="102" t="str">
        <f>L1160</f>
        <v>J2b2a2b2b1b1~</v>
      </c>
      <c r="M8190" s="102"/>
      <c r="N8190" s="102" t="s">
        <v>12770</v>
      </c>
      <c r="O8190" s="105">
        <v>1.8094413E7</v>
      </c>
      <c r="P8190" s="105">
        <v>1.5982533E7</v>
      </c>
      <c r="Q8190" s="102" t="s">
        <v>2514</v>
      </c>
      <c r="S8190" s="1"/>
      <c r="T8190" s="1"/>
      <c r="U8190" s="1"/>
      <c r="V8190" s="1"/>
      <c r="W8190" s="1"/>
      <c r="X8190" s="1"/>
      <c r="Y8190" s="1"/>
      <c r="AA8190" s="102"/>
      <c r="AB8190" s="1"/>
      <c r="AC8190" s="1"/>
      <c r="AD8190" s="1"/>
      <c r="AE8190" s="1"/>
      <c r="AF8190" s="1"/>
      <c r="AG8190" s="1"/>
    </row>
    <row r="8191" ht="15.75" customHeight="1">
      <c r="A8191" s="1"/>
      <c r="B8191" s="1"/>
      <c r="C8191" s="1"/>
      <c r="D8191" s="1"/>
      <c r="E8191" s="1"/>
      <c r="F8191" s="1"/>
      <c r="G8191" s="1"/>
      <c r="H8191" s="1"/>
      <c r="I8191" s="1"/>
      <c r="J8191" s="1"/>
      <c r="K8191" s="102" t="s">
        <v>12771</v>
      </c>
      <c r="L8191" s="102" t="str">
        <f>L1160</f>
        <v>J2b2a2b2b1b1~</v>
      </c>
      <c r="M8191" s="102"/>
      <c r="N8191" s="102" t="s">
        <v>12772</v>
      </c>
      <c r="O8191" s="105">
        <v>1.9092679E7</v>
      </c>
      <c r="P8191" s="105">
        <v>1.6980799E7</v>
      </c>
      <c r="Q8191" s="102" t="s">
        <v>2439</v>
      </c>
      <c r="S8191" s="1"/>
      <c r="T8191" s="1"/>
      <c r="U8191" s="1"/>
      <c r="V8191" s="1"/>
      <c r="W8191" s="1"/>
      <c r="X8191" s="1"/>
      <c r="Y8191" s="1"/>
      <c r="AA8191" s="102"/>
      <c r="AB8191" s="1"/>
      <c r="AC8191" s="1"/>
      <c r="AD8191" s="1"/>
      <c r="AE8191" s="1"/>
      <c r="AF8191" s="1"/>
      <c r="AG8191" s="1"/>
    </row>
    <row r="8192" ht="15.75" customHeight="1">
      <c r="A8192" s="1"/>
      <c r="B8192" s="1"/>
      <c r="C8192" s="1"/>
      <c r="D8192" s="1"/>
      <c r="E8192" s="1"/>
      <c r="F8192" s="1"/>
      <c r="G8192" s="1"/>
      <c r="H8192" s="1"/>
      <c r="I8192" s="1"/>
      <c r="J8192" s="1"/>
      <c r="K8192" s="102" t="s">
        <v>12773</v>
      </c>
      <c r="L8192" s="102" t="str">
        <f>L1160</f>
        <v>J2b2a2b2b1b1~</v>
      </c>
      <c r="M8192" s="102"/>
      <c r="N8192" s="102" t="s">
        <v>12774</v>
      </c>
      <c r="O8192" s="105">
        <v>1.9262607E7</v>
      </c>
      <c r="P8192" s="105">
        <v>1.7150727E7</v>
      </c>
      <c r="Q8192" s="102" t="s">
        <v>2501</v>
      </c>
      <c r="S8192" s="1"/>
      <c r="T8192" s="1"/>
      <c r="U8192" s="1"/>
      <c r="V8192" s="1"/>
      <c r="W8192" s="1"/>
      <c r="X8192" s="1"/>
      <c r="Y8192" s="1"/>
      <c r="AA8192" s="102"/>
      <c r="AB8192" s="1"/>
      <c r="AC8192" s="1"/>
      <c r="AD8192" s="1"/>
      <c r="AE8192" s="1"/>
      <c r="AF8192" s="1"/>
      <c r="AG8192" s="1"/>
    </row>
    <row r="8193" ht="15.75" customHeight="1">
      <c r="A8193" s="1"/>
      <c r="B8193" s="1"/>
      <c r="C8193" s="1"/>
      <c r="D8193" s="1"/>
      <c r="E8193" s="1"/>
      <c r="F8193" s="1"/>
      <c r="G8193" s="1"/>
      <c r="H8193" s="1"/>
      <c r="I8193" s="1"/>
      <c r="J8193" s="1"/>
      <c r="K8193" s="102" t="s">
        <v>12775</v>
      </c>
      <c r="L8193" s="102" t="str">
        <f>L1160</f>
        <v>J2b2a2b2b1b1~</v>
      </c>
      <c r="M8193" s="102"/>
      <c r="N8193" s="102" t="s">
        <v>12776</v>
      </c>
      <c r="O8193" s="105">
        <v>2.2953437E7</v>
      </c>
      <c r="P8193" s="105">
        <v>2.0791551E7</v>
      </c>
      <c r="Q8193" s="102" t="s">
        <v>2501</v>
      </c>
      <c r="S8193" s="1"/>
      <c r="T8193" s="1"/>
      <c r="U8193" s="1"/>
      <c r="V8193" s="1"/>
      <c r="W8193" s="1"/>
      <c r="X8193" s="1"/>
      <c r="Y8193" s="1"/>
      <c r="AA8193" s="102"/>
      <c r="AB8193" s="1"/>
      <c r="AC8193" s="1"/>
      <c r="AD8193" s="1"/>
      <c r="AE8193" s="1"/>
      <c r="AF8193" s="1"/>
      <c r="AG8193" s="1"/>
    </row>
    <row r="8194" ht="15.75" customHeight="1">
      <c r="A8194" s="1"/>
      <c r="B8194" s="1"/>
      <c r="C8194" s="1"/>
      <c r="D8194" s="1"/>
      <c r="E8194" s="1"/>
      <c r="F8194" s="1"/>
      <c r="G8194" s="1"/>
      <c r="H8194" s="1"/>
      <c r="I8194" s="1"/>
      <c r="J8194" s="1"/>
      <c r="K8194" s="102" t="s">
        <v>12777</v>
      </c>
      <c r="L8194" s="102" t="str">
        <f>E1161</f>
        <v>J2b2b~</v>
      </c>
      <c r="M8194" s="102" t="s">
        <v>12778</v>
      </c>
      <c r="N8194" s="102" t="s">
        <v>12779</v>
      </c>
      <c r="O8194" s="105">
        <v>1.7121632E7</v>
      </c>
      <c r="P8194" s="105">
        <v>1.5009752E7</v>
      </c>
      <c r="Q8194" s="102" t="s">
        <v>2533</v>
      </c>
      <c r="S8194" s="1"/>
      <c r="T8194" s="1"/>
      <c r="U8194" s="1"/>
      <c r="V8194" s="1"/>
      <c r="W8194" s="1"/>
      <c r="X8194" s="1"/>
      <c r="Y8194" s="1"/>
      <c r="AA8194" s="102"/>
      <c r="AB8194" s="1"/>
      <c r="AC8194" s="1"/>
      <c r="AD8194" s="1"/>
      <c r="AE8194" s="1"/>
      <c r="AF8194" s="1"/>
      <c r="AG8194" s="1"/>
    </row>
    <row r="8195" ht="15.75" customHeight="1">
      <c r="A8195" s="1"/>
      <c r="B8195" s="1"/>
      <c r="C8195" s="1"/>
      <c r="D8195" s="1"/>
      <c r="E8195" s="1"/>
      <c r="F8195" s="1"/>
      <c r="G8195" s="1"/>
      <c r="H8195" s="1"/>
      <c r="I8195" s="1"/>
      <c r="J8195" s="1"/>
      <c r="K8195" s="102" t="s">
        <v>12778</v>
      </c>
      <c r="L8195" s="102" t="str">
        <f>E1161</f>
        <v>J2b2b~</v>
      </c>
      <c r="M8195" s="102" t="s">
        <v>12777</v>
      </c>
      <c r="N8195" s="102" t="s">
        <v>12779</v>
      </c>
      <c r="O8195" s="105">
        <v>1.7121632E7</v>
      </c>
      <c r="P8195" s="105">
        <v>1.5009752E7</v>
      </c>
      <c r="Q8195" s="102" t="s">
        <v>2533</v>
      </c>
      <c r="S8195" s="1"/>
      <c r="T8195" s="1"/>
      <c r="U8195" s="1"/>
      <c r="V8195" s="1"/>
      <c r="W8195" s="1"/>
      <c r="X8195" s="1"/>
      <c r="Y8195" s="1"/>
      <c r="AA8195" s="102"/>
      <c r="AB8195" s="1"/>
      <c r="AC8195" s="1"/>
      <c r="AD8195" s="1"/>
      <c r="AE8195" s="1"/>
      <c r="AF8195" s="1"/>
      <c r="AG8195" s="1"/>
    </row>
    <row r="8196" ht="15.75" customHeight="1">
      <c r="A8196" s="1"/>
      <c r="B8196" s="1"/>
      <c r="C8196" s="1"/>
      <c r="D8196" s="1"/>
      <c r="E8196" s="1"/>
      <c r="F8196" s="1"/>
      <c r="G8196" s="1"/>
      <c r="H8196" s="1"/>
      <c r="I8196" s="1"/>
      <c r="J8196" s="1"/>
      <c r="K8196" s="102" t="s">
        <v>12780</v>
      </c>
      <c r="L8196" s="102" t="str">
        <f>E1161</f>
        <v>J2b2b~</v>
      </c>
      <c r="M8196" s="102" t="s">
        <v>12781</v>
      </c>
      <c r="N8196" s="102" t="s">
        <v>12782</v>
      </c>
      <c r="O8196" s="105">
        <v>1.8787844E7</v>
      </c>
      <c r="P8196" s="105">
        <v>1.6675964E7</v>
      </c>
      <c r="Q8196" s="102" t="s">
        <v>2439</v>
      </c>
      <c r="S8196" s="1"/>
      <c r="T8196" s="1"/>
      <c r="U8196" s="1"/>
      <c r="V8196" s="1"/>
      <c r="W8196" s="1"/>
      <c r="X8196" s="1"/>
      <c r="Y8196" s="1"/>
      <c r="AA8196" s="102"/>
      <c r="AB8196" s="1"/>
      <c r="AC8196" s="1"/>
      <c r="AD8196" s="1"/>
      <c r="AE8196" s="1"/>
      <c r="AF8196" s="1"/>
      <c r="AG8196" s="1"/>
    </row>
    <row r="8197" ht="15.75" customHeight="1">
      <c r="A8197" s="1"/>
      <c r="B8197" s="1"/>
      <c r="C8197" s="1"/>
      <c r="D8197" s="1"/>
      <c r="E8197" s="1"/>
      <c r="F8197" s="1"/>
      <c r="G8197" s="1"/>
      <c r="H8197" s="1"/>
      <c r="I8197" s="1"/>
      <c r="J8197" s="1"/>
      <c r="K8197" s="102" t="s">
        <v>12781</v>
      </c>
      <c r="L8197" s="102" t="str">
        <f>E1161</f>
        <v>J2b2b~</v>
      </c>
      <c r="M8197" s="102" t="s">
        <v>12780</v>
      </c>
      <c r="N8197" s="102" t="s">
        <v>12782</v>
      </c>
      <c r="O8197" s="105">
        <v>1.8787844E7</v>
      </c>
      <c r="P8197" s="105">
        <v>1.6675964E7</v>
      </c>
      <c r="Q8197" s="102" t="s">
        <v>2439</v>
      </c>
      <c r="S8197" s="1"/>
      <c r="T8197" s="1"/>
      <c r="U8197" s="1"/>
      <c r="V8197" s="1"/>
      <c r="W8197" s="1"/>
      <c r="X8197" s="1"/>
      <c r="Y8197" s="1"/>
      <c r="AA8197" s="102"/>
      <c r="AB8197" s="1"/>
      <c r="AC8197" s="1"/>
      <c r="AD8197" s="1"/>
      <c r="AE8197" s="1"/>
      <c r="AF8197" s="1"/>
      <c r="AG8197" s="1"/>
    </row>
    <row r="8198" ht="15.75" customHeight="1">
      <c r="A8198" s="1"/>
      <c r="B8198" s="1"/>
      <c r="C8198" s="1"/>
      <c r="D8198" s="1"/>
      <c r="E8198" s="1"/>
      <c r="F8198" s="1"/>
      <c r="G8198" s="1"/>
      <c r="H8198" s="1"/>
      <c r="I8198" s="1"/>
      <c r="J8198" s="1"/>
      <c r="K8198" s="102" t="s">
        <v>12783</v>
      </c>
      <c r="L8198" s="102" t="str">
        <f>E1161</f>
        <v>J2b2b~</v>
      </c>
      <c r="M8198" s="102"/>
      <c r="N8198" s="102" t="s">
        <v>12784</v>
      </c>
      <c r="O8198" s="105">
        <v>1.5277097E7</v>
      </c>
      <c r="P8198" s="105">
        <v>1.3165186E7</v>
      </c>
      <c r="Q8198" s="102" t="s">
        <v>2423</v>
      </c>
      <c r="S8198" s="1"/>
      <c r="T8198" s="1"/>
      <c r="U8198" s="1"/>
      <c r="V8198" s="1"/>
      <c r="W8198" s="1"/>
      <c r="X8198" s="1"/>
      <c r="Y8198" s="1"/>
      <c r="AA8198" s="102"/>
      <c r="AB8198" s="1"/>
      <c r="AC8198" s="1"/>
      <c r="AD8198" s="1"/>
      <c r="AE8198" s="1"/>
      <c r="AF8198" s="1"/>
      <c r="AG8198" s="1"/>
    </row>
    <row r="8199" ht="15.75" customHeight="1">
      <c r="A8199" s="1"/>
      <c r="B8199" s="1"/>
      <c r="C8199" s="1"/>
      <c r="D8199" s="1"/>
      <c r="E8199" s="1"/>
      <c r="F8199" s="1"/>
      <c r="G8199" s="1"/>
      <c r="H8199" s="1"/>
      <c r="I8199" s="1"/>
      <c r="J8199" s="1"/>
      <c r="K8199" s="102" t="s">
        <v>12785</v>
      </c>
      <c r="L8199" s="102" t="str">
        <f>E1161</f>
        <v>J2b2b~</v>
      </c>
      <c r="M8199" s="102"/>
      <c r="N8199" s="102" t="s">
        <v>12786</v>
      </c>
      <c r="O8199" s="105">
        <v>1.7876325E7</v>
      </c>
      <c r="P8199" s="105">
        <v>1.5764445E7</v>
      </c>
      <c r="Q8199" s="102" t="s">
        <v>2439</v>
      </c>
      <c r="S8199" s="1"/>
      <c r="T8199" s="1"/>
      <c r="U8199" s="1"/>
      <c r="V8199" s="1"/>
      <c r="W8199" s="1"/>
      <c r="X8199" s="1"/>
      <c r="Y8199" s="1"/>
      <c r="AA8199" s="102"/>
      <c r="AB8199" s="1"/>
      <c r="AC8199" s="1"/>
      <c r="AD8199" s="1"/>
      <c r="AE8199" s="1"/>
      <c r="AF8199" s="1"/>
      <c r="AG8199" s="1"/>
    </row>
    <row r="8200" ht="15.75" customHeight="1">
      <c r="A8200" s="1"/>
      <c r="B8200" s="1"/>
      <c r="C8200" s="1"/>
      <c r="D8200" s="1"/>
      <c r="E8200" s="1"/>
      <c r="F8200" s="1"/>
      <c r="G8200" s="1"/>
      <c r="H8200" s="1"/>
      <c r="I8200" s="1"/>
      <c r="J8200" s="1"/>
      <c r="K8200" s="102" t="s">
        <v>12787</v>
      </c>
      <c r="L8200" s="102" t="str">
        <f>E1161</f>
        <v>J2b2b~</v>
      </c>
      <c r="M8200" s="102"/>
      <c r="N8200" s="102" t="s">
        <v>12788</v>
      </c>
      <c r="O8200" s="105">
        <v>2.8721696E7</v>
      </c>
      <c r="P8200" s="105">
        <v>2.6575549E7</v>
      </c>
      <c r="Q8200" s="102" t="s">
        <v>2454</v>
      </c>
      <c r="S8200" s="1"/>
      <c r="T8200" s="1"/>
      <c r="U8200" s="1"/>
      <c r="V8200" s="1"/>
      <c r="W8200" s="1"/>
      <c r="X8200" s="1"/>
      <c r="Y8200" s="1"/>
      <c r="AA8200" s="102"/>
      <c r="AB8200" s="1"/>
      <c r="AC8200" s="1"/>
      <c r="AD8200" s="1"/>
      <c r="AE8200" s="1"/>
      <c r="AF8200" s="1"/>
      <c r="AG8200" s="1"/>
    </row>
    <row r="8201" ht="15.75" customHeight="1">
      <c r="A8201" s="1"/>
      <c r="B8201" s="1"/>
      <c r="C8201" s="1"/>
      <c r="D8201" s="1"/>
      <c r="E8201" s="1"/>
      <c r="F8201" s="1"/>
      <c r="G8201" s="1"/>
      <c r="H8201" s="1"/>
      <c r="I8201" s="1"/>
      <c r="J8201" s="1"/>
      <c r="K8201" s="102" t="s">
        <v>12789</v>
      </c>
      <c r="L8201" s="102" t="str">
        <f>E1161</f>
        <v>J2b2b~</v>
      </c>
      <c r="M8201" s="102"/>
      <c r="N8201" s="102" t="s">
        <v>12790</v>
      </c>
      <c r="O8201" s="105">
        <v>1.7125324E7</v>
      </c>
      <c r="P8201" s="105">
        <v>1.5013444E7</v>
      </c>
      <c r="Q8201" s="102" t="s">
        <v>2501</v>
      </c>
      <c r="S8201" s="1"/>
      <c r="T8201" s="1"/>
      <c r="U8201" s="1"/>
      <c r="V8201" s="1"/>
      <c r="W8201" s="1"/>
      <c r="X8201" s="1"/>
      <c r="Y8201" s="1"/>
      <c r="AA8201" s="102"/>
      <c r="AB8201" s="1"/>
      <c r="AC8201" s="1"/>
      <c r="AD8201" s="1"/>
      <c r="AE8201" s="1"/>
      <c r="AF8201" s="1"/>
      <c r="AG8201" s="1"/>
    </row>
    <row r="8202" ht="15.75" customHeight="1">
      <c r="A8202" s="1"/>
      <c r="B8202" s="1"/>
      <c r="C8202" s="1"/>
      <c r="D8202" s="1"/>
      <c r="E8202" s="1"/>
      <c r="F8202" s="1"/>
      <c r="G8202" s="1"/>
      <c r="H8202" s="1"/>
      <c r="I8202" s="1"/>
      <c r="J8202" s="1"/>
      <c r="K8202" s="102" t="s">
        <v>12791</v>
      </c>
      <c r="L8202" s="102" t="str">
        <f>E1161</f>
        <v>J2b2b~</v>
      </c>
      <c r="M8202" s="102"/>
      <c r="N8202" s="102" t="s">
        <v>12792</v>
      </c>
      <c r="O8202" s="105">
        <v>1.5116534E7</v>
      </c>
      <c r="P8202" s="105">
        <v>1.3004621E7</v>
      </c>
      <c r="Q8202" s="102" t="s">
        <v>2501</v>
      </c>
      <c r="S8202" s="1"/>
      <c r="T8202" s="1"/>
      <c r="U8202" s="1"/>
      <c r="V8202" s="1"/>
      <c r="W8202" s="1"/>
      <c r="X8202" s="1"/>
      <c r="Y8202" s="1"/>
      <c r="AA8202" s="102"/>
      <c r="AB8202" s="1"/>
      <c r="AC8202" s="1"/>
      <c r="AD8202" s="1"/>
      <c r="AE8202" s="1"/>
      <c r="AF8202" s="1"/>
      <c r="AG8202" s="1"/>
    </row>
    <row r="8203" ht="15.75" customHeight="1">
      <c r="A8203" s="1"/>
      <c r="B8203" s="1"/>
      <c r="C8203" s="1"/>
      <c r="D8203" s="1"/>
      <c r="E8203" s="1"/>
      <c r="F8203" s="1"/>
      <c r="G8203" s="1"/>
      <c r="H8203" s="1"/>
      <c r="I8203" s="1"/>
      <c r="J8203" s="1"/>
      <c r="K8203" s="102" t="s">
        <v>12793</v>
      </c>
      <c r="L8203" s="102" t="str">
        <f>E1161</f>
        <v>J2b2b~</v>
      </c>
      <c r="M8203" s="102"/>
      <c r="N8203" s="102" t="s">
        <v>12794</v>
      </c>
      <c r="O8203" s="102">
        <v>7893965.0</v>
      </c>
      <c r="P8203" s="102">
        <v>8025924.0</v>
      </c>
      <c r="Q8203" s="102" t="s">
        <v>2439</v>
      </c>
      <c r="S8203" s="1"/>
      <c r="T8203" s="1"/>
      <c r="U8203" s="1"/>
      <c r="V8203" s="1"/>
      <c r="W8203" s="1"/>
      <c r="X8203" s="1"/>
      <c r="Y8203" s="1"/>
      <c r="AA8203" s="102"/>
      <c r="AB8203" s="1"/>
      <c r="AC8203" s="1"/>
      <c r="AD8203" s="1"/>
      <c r="AE8203" s="1"/>
      <c r="AF8203" s="1"/>
      <c r="AG8203" s="1"/>
    </row>
    <row r="8204" ht="15.75" customHeight="1">
      <c r="A8204" s="1"/>
      <c r="B8204" s="1"/>
      <c r="C8204" s="1"/>
      <c r="D8204" s="1"/>
      <c r="E8204" s="1"/>
      <c r="F8204" s="1"/>
      <c r="G8204" s="1"/>
      <c r="H8204" s="1"/>
      <c r="I8204" s="1"/>
      <c r="J8204" s="1"/>
      <c r="K8204" s="102" t="s">
        <v>12795</v>
      </c>
      <c r="L8204" s="102" t="str">
        <f>E1161</f>
        <v>J2b2b~</v>
      </c>
      <c r="M8204" s="102"/>
      <c r="N8204" s="102" t="s">
        <v>12796</v>
      </c>
      <c r="O8204" s="105">
        <v>8546259.0</v>
      </c>
      <c r="P8204" s="105">
        <v>8678218.0</v>
      </c>
      <c r="Q8204" s="102" t="s">
        <v>2576</v>
      </c>
      <c r="S8204" s="1"/>
      <c r="T8204" s="1"/>
      <c r="U8204" s="1"/>
      <c r="V8204" s="1"/>
      <c r="W8204" s="1"/>
      <c r="X8204" s="1"/>
      <c r="Y8204" s="1"/>
      <c r="AA8204" s="102"/>
      <c r="AB8204" s="1"/>
      <c r="AC8204" s="1"/>
      <c r="AD8204" s="1"/>
      <c r="AE8204" s="1"/>
      <c r="AF8204" s="1"/>
      <c r="AG8204" s="1"/>
    </row>
    <row r="8205" ht="15.75" customHeight="1">
      <c r="A8205" s="1"/>
      <c r="B8205" s="1"/>
      <c r="C8205" s="1"/>
      <c r="D8205" s="1"/>
      <c r="E8205" s="1"/>
      <c r="F8205" s="1"/>
      <c r="G8205" s="1"/>
      <c r="H8205" s="1"/>
      <c r="I8205" s="1"/>
      <c r="J8205" s="1"/>
      <c r="K8205" s="102" t="s">
        <v>12797</v>
      </c>
      <c r="L8205" s="102" t="str">
        <f>E1161</f>
        <v>J2b2b~</v>
      </c>
      <c r="M8205" s="102"/>
      <c r="N8205" s="102" t="s">
        <v>12798</v>
      </c>
      <c r="O8205" s="105">
        <v>1.9456571E7</v>
      </c>
      <c r="P8205" s="105">
        <v>1.7344691E7</v>
      </c>
      <c r="Q8205" s="102" t="s">
        <v>2529</v>
      </c>
      <c r="S8205" s="1"/>
      <c r="T8205" s="1"/>
      <c r="U8205" s="1"/>
      <c r="V8205" s="1"/>
      <c r="W8205" s="1"/>
      <c r="X8205" s="1"/>
      <c r="Y8205" s="1"/>
      <c r="AA8205" s="102"/>
      <c r="AB8205" s="1"/>
      <c r="AC8205" s="1"/>
      <c r="AD8205" s="1"/>
      <c r="AE8205" s="1"/>
      <c r="AF8205" s="1"/>
      <c r="AG8205" s="1"/>
    </row>
    <row r="8206" ht="15.75" customHeight="1">
      <c r="A8206" s="1"/>
      <c r="B8206" s="1"/>
      <c r="C8206" s="1"/>
      <c r="D8206" s="1"/>
      <c r="E8206" s="1"/>
      <c r="F8206" s="1"/>
      <c r="G8206" s="1"/>
      <c r="H8206" s="1"/>
      <c r="I8206" s="1"/>
      <c r="J8206" s="1"/>
      <c r="K8206" s="106" t="s">
        <v>12799</v>
      </c>
      <c r="L8206" s="102" t="str">
        <f>E1161</f>
        <v>J2b2b~</v>
      </c>
      <c r="M8206" s="102"/>
      <c r="N8206" s="108" t="s">
        <v>12800</v>
      </c>
      <c r="O8206" s="104">
        <v>2.8634187E7</v>
      </c>
      <c r="P8206" s="111">
        <v>2.648804E7</v>
      </c>
      <c r="Q8206" s="112" t="s">
        <v>2501</v>
      </c>
      <c r="S8206" s="1"/>
      <c r="T8206" s="1"/>
      <c r="U8206" s="1"/>
      <c r="V8206" s="1"/>
      <c r="W8206" s="1"/>
      <c r="X8206" s="1"/>
      <c r="Y8206" s="1"/>
      <c r="AA8206" s="102"/>
      <c r="AB8206" s="1"/>
      <c r="AC8206" s="1"/>
      <c r="AD8206" s="1"/>
      <c r="AE8206" s="1"/>
      <c r="AF8206" s="1"/>
      <c r="AG8206" s="1"/>
    </row>
    <row r="8207" ht="15.75" customHeight="1">
      <c r="A8207" s="1"/>
      <c r="B8207" s="1"/>
      <c r="C8207" s="1"/>
      <c r="D8207" s="1"/>
      <c r="E8207" s="1"/>
      <c r="F8207" s="1"/>
      <c r="G8207" s="1"/>
      <c r="H8207" s="1"/>
      <c r="I8207" s="1"/>
      <c r="J8207" s="1"/>
      <c r="K8207" s="102" t="s">
        <v>12801</v>
      </c>
      <c r="L8207" s="102" t="str">
        <f>F1162</f>
        <v>J2b2b1~</v>
      </c>
      <c r="M8207" s="102"/>
      <c r="N8207" s="102" t="s">
        <v>12802</v>
      </c>
      <c r="O8207" s="105">
        <v>1.7878993E7</v>
      </c>
      <c r="P8207" s="105">
        <v>1.5767113E7</v>
      </c>
      <c r="Q8207" s="102" t="s">
        <v>2439</v>
      </c>
      <c r="S8207" s="1"/>
      <c r="T8207" s="1"/>
      <c r="U8207" s="1"/>
      <c r="V8207" s="1"/>
      <c r="W8207" s="1"/>
      <c r="X8207" s="1"/>
      <c r="Y8207" s="1"/>
      <c r="AA8207" s="102"/>
      <c r="AB8207" s="1"/>
      <c r="AC8207" s="1"/>
      <c r="AD8207" s="1"/>
      <c r="AE8207" s="1"/>
      <c r="AF8207" s="1"/>
      <c r="AG8207" s="1"/>
    </row>
    <row r="8208" ht="15.75" customHeight="1">
      <c r="A8208" s="1"/>
      <c r="B8208" s="1"/>
      <c r="C8208" s="1"/>
      <c r="D8208" s="1"/>
      <c r="E8208" s="1"/>
      <c r="F8208" s="1"/>
      <c r="G8208" s="1"/>
      <c r="H8208" s="1"/>
      <c r="I8208" s="1"/>
      <c r="J8208" s="1"/>
      <c r="K8208" s="102" t="s">
        <v>12803</v>
      </c>
      <c r="L8208" s="102" t="str">
        <f>F1162</f>
        <v>J2b2b1~</v>
      </c>
      <c r="M8208" s="102"/>
      <c r="N8208" s="102" t="s">
        <v>12804</v>
      </c>
      <c r="O8208" s="105">
        <v>1.5038312E7</v>
      </c>
      <c r="P8208" s="105">
        <v>1.2926402E7</v>
      </c>
      <c r="Q8208" s="102" t="s">
        <v>2501</v>
      </c>
      <c r="S8208" s="1"/>
      <c r="T8208" s="1"/>
      <c r="U8208" s="1"/>
      <c r="V8208" s="1"/>
      <c r="W8208" s="1"/>
      <c r="X8208" s="1"/>
      <c r="Y8208" s="1"/>
      <c r="AA8208" s="102"/>
      <c r="AB8208" s="1"/>
      <c r="AC8208" s="1"/>
      <c r="AD8208" s="1"/>
      <c r="AE8208" s="1"/>
      <c r="AF8208" s="1"/>
      <c r="AG8208" s="1"/>
    </row>
    <row r="8209" ht="15.75" customHeight="1">
      <c r="A8209" s="1"/>
      <c r="B8209" s="1"/>
      <c r="C8209" s="1"/>
      <c r="D8209" s="1"/>
      <c r="E8209" s="1"/>
      <c r="F8209" s="1"/>
      <c r="G8209" s="1"/>
      <c r="H8209" s="1"/>
      <c r="I8209" s="1"/>
      <c r="J8209" s="1"/>
      <c r="K8209" s="102" t="s">
        <v>12805</v>
      </c>
      <c r="L8209" s="102" t="str">
        <f>F1162</f>
        <v>J2b2b1~</v>
      </c>
      <c r="M8209" s="102"/>
      <c r="N8209" s="102" t="s">
        <v>12806</v>
      </c>
      <c r="O8209" s="105">
        <v>2.3350929E7</v>
      </c>
      <c r="P8209" s="105">
        <v>2.1189043E7</v>
      </c>
      <c r="Q8209" s="102" t="s">
        <v>2501</v>
      </c>
      <c r="S8209" s="1"/>
      <c r="T8209" s="1"/>
      <c r="U8209" s="1"/>
      <c r="V8209" s="1"/>
      <c r="W8209" s="1"/>
      <c r="X8209" s="1"/>
      <c r="Y8209" s="1"/>
      <c r="AA8209" s="102"/>
      <c r="AB8209" s="1"/>
      <c r="AC8209" s="1"/>
      <c r="AD8209" s="1"/>
      <c r="AE8209" s="1"/>
      <c r="AF8209" s="1"/>
      <c r="AG8209" s="1"/>
    </row>
    <row r="8210" ht="15.75" customHeight="1">
      <c r="A8210" s="1"/>
      <c r="B8210" s="1"/>
      <c r="C8210" s="1"/>
      <c r="D8210" s="1"/>
      <c r="E8210" s="1"/>
      <c r="F8210" s="1"/>
      <c r="G8210" s="1"/>
      <c r="H8210" s="1"/>
      <c r="I8210" s="1"/>
      <c r="J8210" s="1"/>
      <c r="K8210" s="102" t="s">
        <v>12807</v>
      </c>
      <c r="L8210" s="102" t="str">
        <f>F1162</f>
        <v>J2b2b1~</v>
      </c>
      <c r="M8210" s="102"/>
      <c r="N8210" s="102"/>
      <c r="O8210" s="105">
        <v>2.4500878E7</v>
      </c>
      <c r="P8210" s="105">
        <v>2.2354731E7</v>
      </c>
      <c r="Q8210" s="102" t="s">
        <v>2514</v>
      </c>
      <c r="S8210" s="1"/>
      <c r="T8210" s="1"/>
      <c r="U8210" s="1"/>
      <c r="V8210" s="1"/>
      <c r="W8210" s="1"/>
      <c r="X8210" s="1"/>
      <c r="Y8210" s="1"/>
      <c r="AA8210" s="102"/>
      <c r="AB8210" s="1"/>
      <c r="AC8210" s="1"/>
      <c r="AD8210" s="1"/>
      <c r="AE8210" s="1"/>
      <c r="AF8210" s="1"/>
      <c r="AG8210" s="1"/>
    </row>
    <row r="8211" ht="15.75" customHeight="1">
      <c r="A8211" s="1"/>
      <c r="B8211" s="1"/>
      <c r="C8211" s="1"/>
      <c r="D8211" s="1"/>
      <c r="E8211" s="1"/>
      <c r="F8211" s="1"/>
      <c r="G8211" s="1"/>
      <c r="H8211" s="1"/>
      <c r="I8211" s="1"/>
      <c r="J8211" s="1"/>
      <c r="K8211" s="102" t="s">
        <v>12808</v>
      </c>
      <c r="L8211" s="102" t="str">
        <f>G1163</f>
        <v>J2b2b1a~</v>
      </c>
      <c r="M8211" s="102"/>
      <c r="N8211" s="102"/>
      <c r="O8211" s="105">
        <v>1.4780997E7</v>
      </c>
      <c r="P8211" s="105">
        <v>1.2669067E7</v>
      </c>
      <c r="Q8211" s="102" t="s">
        <v>2501</v>
      </c>
      <c r="S8211" s="1"/>
      <c r="T8211" s="1"/>
      <c r="U8211" s="1"/>
      <c r="V8211" s="1"/>
      <c r="W8211" s="1"/>
      <c r="X8211" s="1"/>
      <c r="Y8211" s="1"/>
      <c r="AA8211" s="102"/>
      <c r="AB8211" s="1"/>
      <c r="AC8211" s="1"/>
      <c r="AD8211" s="1"/>
      <c r="AE8211" s="1"/>
      <c r="AF8211" s="1"/>
      <c r="AG8211" s="1"/>
    </row>
    <row r="8212" ht="15.75" customHeight="1">
      <c r="A8212" s="1"/>
      <c r="B8212" s="1"/>
      <c r="C8212" s="1"/>
      <c r="D8212" s="1"/>
      <c r="E8212" s="1"/>
      <c r="F8212" s="1"/>
      <c r="G8212" s="1"/>
      <c r="H8212" s="1"/>
      <c r="I8212" s="1"/>
      <c r="J8212" s="1"/>
      <c r="K8212" s="102" t="s">
        <v>12809</v>
      </c>
      <c r="L8212" s="102" t="str">
        <f>G1163</f>
        <v>J2b2b1a~</v>
      </c>
      <c r="M8212" s="102"/>
      <c r="N8212" s="102"/>
      <c r="O8212" s="105">
        <v>1.9458312E7</v>
      </c>
      <c r="P8212" s="105">
        <v>1.7346432E7</v>
      </c>
      <c r="Q8212" s="102" t="s">
        <v>2501</v>
      </c>
      <c r="S8212" s="1"/>
      <c r="T8212" s="1"/>
      <c r="U8212" s="1"/>
      <c r="V8212" s="1"/>
      <c r="W8212" s="1"/>
      <c r="X8212" s="1"/>
      <c r="Y8212" s="1"/>
      <c r="AA8212" s="102"/>
      <c r="AB8212" s="1"/>
      <c r="AC8212" s="1"/>
      <c r="AD8212" s="1"/>
      <c r="AE8212" s="1"/>
      <c r="AF8212" s="1"/>
      <c r="AG8212" s="1"/>
    </row>
    <row r="8213" ht="15.75" customHeight="1">
      <c r="A8213" s="1"/>
      <c r="B8213" s="1"/>
      <c r="C8213" s="1"/>
      <c r="D8213" s="1"/>
      <c r="E8213" s="1"/>
      <c r="F8213" s="1"/>
      <c r="G8213" s="1"/>
      <c r="H8213" s="1"/>
      <c r="I8213" s="1"/>
      <c r="J8213" s="1"/>
      <c r="K8213" s="102" t="s">
        <v>12810</v>
      </c>
      <c r="L8213" s="102" t="str">
        <f>G1163</f>
        <v>J2b2b1a~</v>
      </c>
      <c r="M8213" s="102"/>
      <c r="N8213" s="102"/>
      <c r="O8213" s="105">
        <v>2.1332587E7</v>
      </c>
      <c r="P8213" s="105">
        <v>1.9170701E7</v>
      </c>
      <c r="Q8213" s="102" t="s">
        <v>2439</v>
      </c>
      <c r="S8213" s="1"/>
      <c r="T8213" s="1"/>
      <c r="U8213" s="1"/>
      <c r="V8213" s="1"/>
      <c r="W8213" s="1"/>
      <c r="X8213" s="1"/>
      <c r="Y8213" s="1"/>
      <c r="AA8213" s="102"/>
      <c r="AB8213" s="1"/>
      <c r="AC8213" s="1"/>
      <c r="AD8213" s="1"/>
      <c r="AE8213" s="1"/>
      <c r="AF8213" s="1"/>
      <c r="AG8213" s="1"/>
    </row>
    <row r="8214" ht="15.75" customHeight="1">
      <c r="A8214" s="1"/>
      <c r="B8214" s="1"/>
      <c r="C8214" s="1"/>
      <c r="D8214" s="1"/>
      <c r="E8214" s="1"/>
      <c r="F8214" s="1"/>
      <c r="G8214" s="1"/>
      <c r="H8214" s="1"/>
      <c r="I8214" s="1"/>
      <c r="J8214" s="1"/>
      <c r="K8214" s="102" t="s">
        <v>12811</v>
      </c>
      <c r="L8214" s="102" t="str">
        <f>G1163</f>
        <v>J2b2b1a~</v>
      </c>
      <c r="M8214" s="102"/>
      <c r="N8214" s="102"/>
      <c r="O8214" s="105">
        <v>1.8589677E7</v>
      </c>
      <c r="P8214" s="105">
        <v>1.6477797E7</v>
      </c>
      <c r="Q8214" s="102" t="s">
        <v>2454</v>
      </c>
      <c r="S8214" s="1"/>
      <c r="T8214" s="1"/>
      <c r="U8214" s="1"/>
      <c r="V8214" s="1"/>
      <c r="W8214" s="1"/>
      <c r="X8214" s="1"/>
      <c r="Y8214" s="1"/>
      <c r="AA8214" s="102"/>
      <c r="AB8214" s="1"/>
      <c r="AC8214" s="1"/>
      <c r="AD8214" s="1"/>
      <c r="AE8214" s="1"/>
      <c r="AF8214" s="1"/>
      <c r="AG8214" s="1"/>
    </row>
    <row r="8215" ht="15.75" customHeight="1">
      <c r="A8215" s="1"/>
      <c r="B8215" s="1"/>
      <c r="C8215" s="1"/>
      <c r="D8215" s="1"/>
      <c r="E8215" s="1"/>
      <c r="F8215" s="1"/>
      <c r="G8215" s="1"/>
      <c r="H8215" s="1"/>
      <c r="I8215" s="1"/>
      <c r="J8215" s="1"/>
      <c r="K8215" s="102" t="s">
        <v>12812</v>
      </c>
      <c r="L8215" s="102" t="str">
        <f>G1163</f>
        <v>J2b2b1a~</v>
      </c>
      <c r="M8215" s="102"/>
      <c r="N8215" s="102"/>
      <c r="O8215" s="105">
        <v>2.2178655E7</v>
      </c>
      <c r="P8215" s="105">
        <v>2.0016769E7</v>
      </c>
      <c r="Q8215" s="102" t="s">
        <v>2423</v>
      </c>
      <c r="S8215" s="1"/>
      <c r="T8215" s="1"/>
      <c r="U8215" s="1"/>
      <c r="V8215" s="1"/>
      <c r="W8215" s="1"/>
      <c r="X8215" s="1"/>
      <c r="Y8215" s="1"/>
      <c r="AA8215" s="102"/>
      <c r="AB8215" s="1"/>
      <c r="AC8215" s="1"/>
      <c r="AD8215" s="1"/>
      <c r="AE8215" s="1"/>
      <c r="AF8215" s="1"/>
      <c r="AG8215" s="1"/>
    </row>
    <row r="8216" ht="15.75" customHeight="1">
      <c r="A8216" s="1"/>
      <c r="B8216" s="1"/>
      <c r="C8216" s="1"/>
      <c r="D8216" s="1"/>
      <c r="E8216" s="1"/>
      <c r="F8216" s="1"/>
      <c r="G8216" s="1"/>
      <c r="H8216" s="1"/>
      <c r="I8216" s="1"/>
      <c r="J8216" s="1"/>
      <c r="K8216" s="102" t="s">
        <v>12813</v>
      </c>
      <c r="L8216" s="102" t="str">
        <f>G1163</f>
        <v>J2b2b1a~</v>
      </c>
      <c r="M8216" s="102"/>
      <c r="N8216" s="102"/>
      <c r="O8216" s="105">
        <v>6752918.0</v>
      </c>
      <c r="P8216" s="105">
        <v>6884877.0</v>
      </c>
      <c r="Q8216" s="102" t="s">
        <v>2514</v>
      </c>
      <c r="S8216" s="1"/>
      <c r="T8216" s="1"/>
      <c r="U8216" s="1"/>
      <c r="V8216" s="1"/>
      <c r="W8216" s="1"/>
      <c r="X8216" s="1"/>
      <c r="Y8216" s="1"/>
      <c r="AA8216" s="102"/>
      <c r="AB8216" s="1"/>
      <c r="AC8216" s="1"/>
      <c r="AD8216" s="1"/>
      <c r="AE8216" s="1"/>
      <c r="AF8216" s="1"/>
      <c r="AG8216" s="1"/>
    </row>
    <row r="8217" ht="15.75" customHeight="1">
      <c r="A8217" s="1"/>
      <c r="B8217" s="1"/>
      <c r="C8217" s="1"/>
      <c r="D8217" s="1"/>
      <c r="E8217" s="1"/>
      <c r="F8217" s="1"/>
      <c r="G8217" s="1"/>
      <c r="H8217" s="1"/>
      <c r="I8217" s="1"/>
      <c r="J8217" s="1"/>
      <c r="K8217" s="102" t="s">
        <v>12814</v>
      </c>
      <c r="L8217" s="102" t="str">
        <f>G1163</f>
        <v>J2b2b1a~</v>
      </c>
      <c r="M8217" s="102"/>
      <c r="N8217" s="102"/>
      <c r="O8217" s="105">
        <v>9406576.0</v>
      </c>
      <c r="P8217" s="105">
        <v>9568967.0</v>
      </c>
      <c r="Q8217" s="102" t="s">
        <v>2468</v>
      </c>
      <c r="S8217" s="1"/>
      <c r="T8217" s="1"/>
      <c r="U8217" s="1"/>
      <c r="V8217" s="1"/>
      <c r="W8217" s="1"/>
      <c r="X8217" s="1"/>
      <c r="Y8217" s="1"/>
      <c r="AA8217" s="102"/>
      <c r="AB8217" s="1"/>
      <c r="AC8217" s="1"/>
      <c r="AD8217" s="1"/>
      <c r="AE8217" s="1"/>
      <c r="AF8217" s="1"/>
      <c r="AG8217" s="1"/>
    </row>
    <row r="8218" ht="15.75" customHeight="1">
      <c r="A8218" s="1"/>
      <c r="B8218" s="1"/>
      <c r="C8218" s="1"/>
      <c r="D8218" s="1"/>
      <c r="E8218" s="1"/>
      <c r="F8218" s="1"/>
      <c r="G8218" s="1"/>
      <c r="H8218" s="1"/>
      <c r="I8218" s="1"/>
      <c r="J8218" s="1"/>
      <c r="K8218" s="102" t="s">
        <v>12815</v>
      </c>
      <c r="L8218" s="102" t="str">
        <f>F1164</f>
        <v>J2b2b2~</v>
      </c>
      <c r="M8218" s="102" t="s">
        <v>12816</v>
      </c>
      <c r="N8218" s="102" t="s">
        <v>12817</v>
      </c>
      <c r="O8218" s="105">
        <v>1.9420177E7</v>
      </c>
      <c r="P8218" s="105">
        <v>1.7308297E7</v>
      </c>
      <c r="Q8218" s="102" t="s">
        <v>2439</v>
      </c>
      <c r="S8218" s="1"/>
      <c r="T8218" s="1"/>
      <c r="U8218" s="1"/>
      <c r="V8218" s="1"/>
      <c r="W8218" s="1"/>
      <c r="X8218" s="1"/>
      <c r="Y8218" s="1"/>
      <c r="AA8218" s="102"/>
      <c r="AB8218" s="1"/>
      <c r="AC8218" s="1"/>
      <c r="AD8218" s="1"/>
      <c r="AE8218" s="1"/>
      <c r="AF8218" s="1"/>
      <c r="AG8218" s="1"/>
    </row>
    <row r="8219" ht="15.75" customHeight="1">
      <c r="A8219" s="1"/>
      <c r="B8219" s="1"/>
      <c r="C8219" s="1"/>
      <c r="D8219" s="1"/>
      <c r="E8219" s="1"/>
      <c r="F8219" s="1"/>
      <c r="G8219" s="1"/>
      <c r="H8219" s="1"/>
      <c r="I8219" s="1"/>
      <c r="J8219" s="1"/>
      <c r="K8219" s="102" t="s">
        <v>12818</v>
      </c>
      <c r="L8219" s="102" t="str">
        <f>F1164</f>
        <v>J2b2b2~</v>
      </c>
      <c r="M8219" s="102" t="s">
        <v>12819</v>
      </c>
      <c r="N8219" s="102" t="s">
        <v>12817</v>
      </c>
      <c r="O8219" s="105">
        <v>1.9420177E7</v>
      </c>
      <c r="P8219" s="105">
        <v>1.7308297E7</v>
      </c>
      <c r="Q8219" s="102" t="s">
        <v>2439</v>
      </c>
      <c r="S8219" s="1"/>
      <c r="T8219" s="1"/>
      <c r="U8219" s="1"/>
      <c r="V8219" s="1"/>
      <c r="W8219" s="1"/>
      <c r="X8219" s="1"/>
      <c r="Y8219" s="1"/>
      <c r="AA8219" s="102"/>
      <c r="AB8219" s="1"/>
      <c r="AC8219" s="1"/>
      <c r="AD8219" s="1"/>
      <c r="AE8219" s="1"/>
      <c r="AF8219" s="1"/>
      <c r="AG8219" s="1"/>
    </row>
    <row r="8220" ht="15.75" customHeight="1">
      <c r="A8220" s="1"/>
      <c r="B8220" s="1"/>
      <c r="C8220" s="1"/>
      <c r="D8220" s="1"/>
      <c r="E8220" s="1"/>
      <c r="F8220" s="1"/>
      <c r="G8220" s="1"/>
      <c r="H8220" s="1"/>
      <c r="I8220" s="1"/>
      <c r="J8220" s="1"/>
      <c r="K8220" s="102" t="s">
        <v>12820</v>
      </c>
      <c r="L8220" s="102" t="str">
        <f>F1164</f>
        <v>J2b2b2~</v>
      </c>
      <c r="M8220" s="102" t="s">
        <v>12821</v>
      </c>
      <c r="N8220" s="102" t="s">
        <v>12817</v>
      </c>
      <c r="O8220" s="105">
        <v>1.9420177E7</v>
      </c>
      <c r="P8220" s="105">
        <v>1.7308297E7</v>
      </c>
      <c r="Q8220" s="102" t="s">
        <v>2439</v>
      </c>
      <c r="S8220" s="1"/>
      <c r="T8220" s="1"/>
      <c r="U8220" s="1"/>
      <c r="V8220" s="1"/>
      <c r="W8220" s="1"/>
      <c r="X8220" s="1"/>
      <c r="Y8220" s="1"/>
      <c r="AA8220" s="102"/>
      <c r="AB8220" s="1"/>
      <c r="AC8220" s="1"/>
      <c r="AD8220" s="1"/>
      <c r="AE8220" s="1"/>
      <c r="AF8220" s="1"/>
      <c r="AG8220" s="1"/>
    </row>
    <row r="8221" ht="15.75" customHeight="1">
      <c r="A8221" s="1"/>
      <c r="B8221" s="1"/>
      <c r="C8221" s="1"/>
      <c r="D8221" s="1"/>
      <c r="E8221" s="1"/>
      <c r="F8221" s="1"/>
      <c r="G8221" s="1"/>
      <c r="H8221" s="1"/>
      <c r="I8221" s="1"/>
      <c r="J8221" s="1"/>
      <c r="K8221" s="102" t="s">
        <v>12822</v>
      </c>
      <c r="L8221" s="102" t="str">
        <f>F1164</f>
        <v>J2b2b2~</v>
      </c>
      <c r="M8221" s="102"/>
      <c r="N8221" s="102" t="s">
        <v>12823</v>
      </c>
      <c r="O8221" s="105">
        <v>6845188.0</v>
      </c>
      <c r="P8221" s="105">
        <v>6977147.0</v>
      </c>
      <c r="Q8221" s="102" t="s">
        <v>2501</v>
      </c>
      <c r="S8221" s="1"/>
      <c r="T8221" s="1"/>
      <c r="U8221" s="1"/>
      <c r="V8221" s="1"/>
      <c r="W8221" s="1"/>
      <c r="X8221" s="1"/>
      <c r="Y8221" s="1"/>
      <c r="AA8221" s="102"/>
      <c r="AB8221" s="1"/>
      <c r="AC8221" s="1"/>
      <c r="AD8221" s="1"/>
      <c r="AE8221" s="1"/>
      <c r="AF8221" s="1"/>
      <c r="AG8221" s="1"/>
    </row>
    <row r="8222" ht="15.75" customHeight="1">
      <c r="A8222" s="1"/>
      <c r="B8222" s="1"/>
      <c r="C8222" s="1"/>
      <c r="D8222" s="1"/>
      <c r="E8222" s="1"/>
      <c r="F8222" s="1"/>
      <c r="G8222" s="1"/>
      <c r="H8222" s="1"/>
      <c r="I8222" s="1"/>
      <c r="J8222" s="1"/>
      <c r="K8222" s="102" t="s">
        <v>12824</v>
      </c>
      <c r="L8222" s="102" t="str">
        <f>F1164</f>
        <v>J2b2b2~</v>
      </c>
      <c r="M8222" s="102"/>
      <c r="N8222" s="102" t="s">
        <v>12825</v>
      </c>
      <c r="O8222" s="105">
        <v>1.4073787E7</v>
      </c>
      <c r="P8222" s="105">
        <v>1.1953081E7</v>
      </c>
      <c r="Q8222" s="102" t="s">
        <v>2432</v>
      </c>
      <c r="S8222" s="1"/>
      <c r="T8222" s="1"/>
      <c r="U8222" s="1"/>
      <c r="V8222" s="1"/>
      <c r="W8222" s="1"/>
      <c r="X8222" s="1"/>
      <c r="Y8222" s="1"/>
      <c r="AA8222" s="102"/>
      <c r="AB8222" s="1"/>
      <c r="AC8222" s="1"/>
      <c r="AD8222" s="1"/>
      <c r="AE8222" s="1"/>
      <c r="AF8222" s="1"/>
      <c r="AG8222" s="1"/>
    </row>
    <row r="8223" ht="15.75" customHeight="1">
      <c r="A8223" s="1"/>
      <c r="B8223" s="1"/>
      <c r="C8223" s="1"/>
      <c r="D8223" s="1"/>
      <c r="E8223" s="1"/>
      <c r="F8223" s="1"/>
      <c r="G8223" s="1"/>
      <c r="H8223" s="1"/>
      <c r="I8223" s="1"/>
      <c r="J8223" s="1"/>
      <c r="K8223" s="102" t="s">
        <v>12826</v>
      </c>
      <c r="L8223" s="102" t="str">
        <f>F1164</f>
        <v>J2b2b2~</v>
      </c>
      <c r="M8223" s="102"/>
      <c r="N8223" s="102" t="s">
        <v>12827</v>
      </c>
      <c r="O8223" s="105">
        <v>2.1772069E7</v>
      </c>
      <c r="P8223" s="105">
        <v>1.9610183E7</v>
      </c>
      <c r="Q8223" s="102" t="s">
        <v>2468</v>
      </c>
      <c r="S8223" s="1"/>
      <c r="T8223" s="1"/>
      <c r="U8223" s="1"/>
      <c r="V8223" s="1"/>
      <c r="W8223" s="1"/>
      <c r="X8223" s="1"/>
      <c r="Y8223" s="1"/>
      <c r="AA8223" s="102"/>
      <c r="AB8223" s="1"/>
      <c r="AC8223" s="1"/>
      <c r="AD8223" s="1"/>
      <c r="AE8223" s="1"/>
      <c r="AF8223" s="1"/>
      <c r="AG8223" s="1"/>
    </row>
    <row r="8224" ht="15.75" customHeight="1">
      <c r="A8224" s="1"/>
      <c r="B8224" s="1"/>
      <c r="C8224" s="1"/>
      <c r="D8224" s="1"/>
      <c r="E8224" s="1"/>
      <c r="F8224" s="1"/>
      <c r="G8224" s="1"/>
      <c r="H8224" s="1"/>
      <c r="I8224" s="1"/>
      <c r="J8224" s="1"/>
      <c r="K8224" s="102" t="s">
        <v>12828</v>
      </c>
      <c r="L8224" s="102" t="str">
        <f>F1164</f>
        <v>J2b2b2~</v>
      </c>
      <c r="M8224" s="102"/>
      <c r="N8224" s="102" t="s">
        <v>12829</v>
      </c>
      <c r="O8224" s="105">
        <v>1.5154569E7</v>
      </c>
      <c r="P8224" s="105">
        <v>1.3042656E7</v>
      </c>
      <c r="Q8224" s="102" t="s">
        <v>2501</v>
      </c>
      <c r="S8224" s="1"/>
      <c r="T8224" s="1"/>
      <c r="U8224" s="1"/>
      <c r="V8224" s="1"/>
      <c r="W8224" s="1"/>
      <c r="X8224" s="1"/>
      <c r="Y8224" s="1"/>
      <c r="AA8224" s="102"/>
      <c r="AB8224" s="1"/>
      <c r="AC8224" s="1"/>
      <c r="AD8224" s="1"/>
      <c r="AE8224" s="1"/>
      <c r="AF8224" s="1"/>
      <c r="AG8224" s="1"/>
    </row>
    <row r="8225" ht="15.75" customHeight="1">
      <c r="A8225" s="1"/>
      <c r="B8225" s="1"/>
      <c r="C8225" s="1"/>
      <c r="D8225" s="1"/>
      <c r="E8225" s="1"/>
      <c r="F8225" s="1"/>
      <c r="G8225" s="1"/>
      <c r="H8225" s="1"/>
      <c r="I8225" s="1"/>
      <c r="J8225" s="1"/>
      <c r="K8225" s="102" t="s">
        <v>12830</v>
      </c>
      <c r="L8225" s="102" t="str">
        <f>F1164</f>
        <v>J2b2b2~</v>
      </c>
      <c r="M8225" s="102"/>
      <c r="N8225" s="102" t="s">
        <v>12831</v>
      </c>
      <c r="O8225" s="105">
        <v>1.4496906E7</v>
      </c>
      <c r="P8225" s="105">
        <v>1.2385111E7</v>
      </c>
      <c r="Q8225" s="102" t="s">
        <v>2439</v>
      </c>
      <c r="S8225" s="1"/>
      <c r="T8225" s="1"/>
      <c r="U8225" s="1"/>
      <c r="V8225" s="1"/>
      <c r="W8225" s="1"/>
      <c r="X8225" s="1"/>
      <c r="Y8225" s="1"/>
      <c r="AA8225" s="102"/>
      <c r="AB8225" s="1"/>
      <c r="AC8225" s="1"/>
      <c r="AD8225" s="1"/>
      <c r="AE8225" s="1"/>
      <c r="AF8225" s="1"/>
      <c r="AG8225" s="1"/>
    </row>
    <row r="8226" ht="15.75" customHeight="1">
      <c r="A8226" s="1"/>
      <c r="B8226" s="1"/>
      <c r="C8226" s="1"/>
      <c r="D8226" s="1"/>
      <c r="E8226" s="1"/>
      <c r="F8226" s="1"/>
      <c r="G8226" s="1"/>
      <c r="H8226" s="1"/>
      <c r="I8226" s="1"/>
      <c r="J8226" s="1"/>
      <c r="K8226" s="102" t="s">
        <v>12832</v>
      </c>
      <c r="L8226" s="102" t="str">
        <f>F1164</f>
        <v>J2b2b2~</v>
      </c>
      <c r="M8226" s="102"/>
      <c r="N8226" s="102" t="s">
        <v>12833</v>
      </c>
      <c r="O8226" s="105">
        <v>1.5573946E7</v>
      </c>
      <c r="P8226" s="105">
        <v>1.3462066E7</v>
      </c>
      <c r="Q8226" s="102" t="s">
        <v>2454</v>
      </c>
      <c r="S8226" s="1"/>
      <c r="T8226" s="1"/>
      <c r="U8226" s="1"/>
      <c r="V8226" s="1"/>
      <c r="W8226" s="1"/>
      <c r="X8226" s="1"/>
      <c r="Y8226" s="1"/>
      <c r="AA8226" s="102"/>
      <c r="AB8226" s="1"/>
      <c r="AC8226" s="1"/>
      <c r="AD8226" s="1"/>
      <c r="AE8226" s="1"/>
      <c r="AF8226" s="1"/>
      <c r="AG8226" s="1"/>
    </row>
    <row r="8227" ht="15.75" customHeight="1">
      <c r="A8227" s="1"/>
      <c r="B8227" s="1"/>
      <c r="C8227" s="1"/>
      <c r="D8227" s="1"/>
      <c r="E8227" s="1"/>
      <c r="F8227" s="1"/>
      <c r="G8227" s="1"/>
      <c r="H8227" s="1"/>
      <c r="I8227" s="1"/>
      <c r="J8227" s="1"/>
      <c r="K8227" s="102" t="s">
        <v>12834</v>
      </c>
      <c r="L8227" s="102" t="str">
        <f>F1164</f>
        <v>J2b2b2~</v>
      </c>
      <c r="M8227" s="102"/>
      <c r="N8227" s="102" t="s">
        <v>12835</v>
      </c>
      <c r="O8227" s="105">
        <v>1.6898808E7</v>
      </c>
      <c r="P8227" s="105">
        <v>1.4786928E7</v>
      </c>
      <c r="Q8227" s="102" t="s">
        <v>2501</v>
      </c>
      <c r="S8227" s="1"/>
      <c r="T8227" s="1"/>
      <c r="U8227" s="1"/>
      <c r="V8227" s="1"/>
      <c r="W8227" s="1"/>
      <c r="X8227" s="1"/>
      <c r="Y8227" s="1"/>
      <c r="AA8227" s="102"/>
      <c r="AB8227" s="1"/>
      <c r="AC8227" s="1"/>
      <c r="AD8227" s="1"/>
      <c r="AE8227" s="1"/>
      <c r="AF8227" s="1"/>
      <c r="AG8227" s="1"/>
    </row>
    <row r="8228" ht="15.75" customHeight="1">
      <c r="A8228" s="1"/>
      <c r="B8228" s="1"/>
      <c r="C8228" s="1"/>
      <c r="D8228" s="1"/>
      <c r="E8228" s="1"/>
      <c r="F8228" s="1"/>
      <c r="G8228" s="1"/>
      <c r="H8228" s="1"/>
      <c r="I8228" s="1"/>
      <c r="J8228" s="1"/>
      <c r="K8228" s="102" t="s">
        <v>12836</v>
      </c>
      <c r="L8228" s="102" t="str">
        <f>F1164</f>
        <v>J2b2b2~</v>
      </c>
      <c r="M8228" s="102"/>
      <c r="N8228" s="102" t="s">
        <v>12837</v>
      </c>
      <c r="O8228" s="105">
        <v>2.1516526E7</v>
      </c>
      <c r="P8228" s="105">
        <v>1.935464E7</v>
      </c>
      <c r="Q8228" s="102" t="s">
        <v>2533</v>
      </c>
      <c r="S8228" s="1"/>
      <c r="T8228" s="1"/>
      <c r="U8228" s="1"/>
      <c r="V8228" s="1"/>
      <c r="W8228" s="1"/>
      <c r="X8228" s="1"/>
      <c r="Y8228" s="1"/>
      <c r="AA8228" s="102"/>
      <c r="AB8228" s="1"/>
      <c r="AC8228" s="1"/>
      <c r="AD8228" s="1"/>
      <c r="AE8228" s="1"/>
      <c r="AF8228" s="1"/>
      <c r="AG8228" s="1"/>
    </row>
    <row r="8229" ht="15.75" customHeight="1">
      <c r="A8229" s="1"/>
      <c r="B8229" s="1"/>
      <c r="C8229" s="1"/>
      <c r="D8229" s="1"/>
      <c r="E8229" s="1"/>
      <c r="F8229" s="1"/>
      <c r="G8229" s="1"/>
      <c r="H8229" s="1"/>
      <c r="I8229" s="1"/>
      <c r="J8229" s="1"/>
      <c r="K8229" s="102" t="s">
        <v>12838</v>
      </c>
      <c r="L8229" s="102" t="str">
        <f>F1164</f>
        <v>J2b2b2~</v>
      </c>
      <c r="M8229" s="102"/>
      <c r="N8229" s="102" t="s">
        <v>12839</v>
      </c>
      <c r="O8229" s="105">
        <v>2.259065E7</v>
      </c>
      <c r="P8229" s="105">
        <v>2.0428764E7</v>
      </c>
      <c r="Q8229" s="102" t="s">
        <v>2468</v>
      </c>
      <c r="S8229" s="1"/>
      <c r="T8229" s="1"/>
      <c r="U8229" s="1"/>
      <c r="V8229" s="1"/>
      <c r="W8229" s="1"/>
      <c r="X8229" s="1"/>
      <c r="Y8229" s="1"/>
      <c r="AA8229" s="102"/>
      <c r="AB8229" s="1"/>
      <c r="AC8229" s="1"/>
      <c r="AD8229" s="1"/>
      <c r="AE8229" s="1"/>
      <c r="AF8229" s="1"/>
      <c r="AG8229" s="1"/>
    </row>
    <row r="8230" ht="15.75" customHeight="1">
      <c r="A8230" s="1"/>
      <c r="B8230" s="1"/>
      <c r="C8230" s="1"/>
      <c r="D8230" s="1"/>
      <c r="E8230" s="1"/>
      <c r="F8230" s="1"/>
      <c r="G8230" s="1"/>
      <c r="H8230" s="1"/>
      <c r="I8230" s="1"/>
      <c r="J8230" s="1"/>
      <c r="K8230" s="102" t="s">
        <v>12840</v>
      </c>
      <c r="L8230" s="102" t="str">
        <f>F1164</f>
        <v>J2b2b2~</v>
      </c>
      <c r="M8230" s="102"/>
      <c r="N8230" s="102" t="s">
        <v>12841</v>
      </c>
      <c r="O8230" s="105">
        <v>1.8018196E7</v>
      </c>
      <c r="P8230" s="105">
        <v>1.5906316E7</v>
      </c>
      <c r="Q8230" s="102" t="s">
        <v>2468</v>
      </c>
      <c r="S8230" s="1"/>
      <c r="T8230" s="1"/>
      <c r="U8230" s="1"/>
      <c r="V8230" s="1"/>
      <c r="W8230" s="1"/>
      <c r="X8230" s="1"/>
      <c r="Y8230" s="1"/>
      <c r="AA8230" s="102"/>
      <c r="AB8230" s="1"/>
      <c r="AC8230" s="1"/>
      <c r="AD8230" s="1"/>
      <c r="AE8230" s="1"/>
      <c r="AF8230" s="1"/>
      <c r="AG8230" s="1"/>
    </row>
    <row r="8231" ht="15.75" customHeight="1">
      <c r="A8231" s="1"/>
      <c r="B8231" s="1"/>
      <c r="C8231" s="1"/>
      <c r="D8231" s="1"/>
      <c r="E8231" s="1"/>
      <c r="F8231" s="1"/>
      <c r="G8231" s="1"/>
      <c r="H8231" s="1"/>
      <c r="I8231" s="1"/>
      <c r="J8231" s="1"/>
      <c r="K8231" s="102" t="s">
        <v>12842</v>
      </c>
      <c r="L8231" s="102" t="str">
        <f>F1164</f>
        <v>J2b2b2~</v>
      </c>
      <c r="M8231" s="102"/>
      <c r="N8231" s="102" t="s">
        <v>12843</v>
      </c>
      <c r="O8231" s="105">
        <v>2.1992193E7</v>
      </c>
      <c r="P8231" s="105">
        <v>1.9830307E7</v>
      </c>
      <c r="Q8231" s="102" t="s">
        <v>2468</v>
      </c>
      <c r="S8231" s="1"/>
      <c r="T8231" s="1"/>
      <c r="U8231" s="1"/>
      <c r="V8231" s="1"/>
      <c r="W8231" s="1"/>
      <c r="X8231" s="1"/>
      <c r="Y8231" s="1"/>
      <c r="AA8231" s="102"/>
      <c r="AB8231" s="1"/>
      <c r="AC8231" s="1"/>
      <c r="AD8231" s="1"/>
      <c r="AE8231" s="1"/>
      <c r="AF8231" s="1"/>
      <c r="AG8231" s="1"/>
    </row>
    <row r="8232" ht="15.75" customHeight="1">
      <c r="A8232" s="1"/>
      <c r="B8232" s="1"/>
      <c r="C8232" s="1"/>
      <c r="D8232" s="1"/>
      <c r="E8232" s="1"/>
      <c r="F8232" s="1"/>
      <c r="G8232" s="1"/>
      <c r="H8232" s="1"/>
      <c r="I8232" s="1"/>
      <c r="J8232" s="1"/>
      <c r="K8232" s="102" t="s">
        <v>12844</v>
      </c>
      <c r="L8232" s="102" t="str">
        <f>F1164</f>
        <v>J2b2b2~</v>
      </c>
      <c r="M8232" s="102"/>
      <c r="N8232" s="102" t="s">
        <v>12845</v>
      </c>
      <c r="O8232" s="105">
        <v>1.8572778E7</v>
      </c>
      <c r="P8232" s="105">
        <v>1.6460898E7</v>
      </c>
      <c r="Q8232" s="102" t="s">
        <v>2439</v>
      </c>
      <c r="S8232" s="1"/>
      <c r="T8232" s="1"/>
      <c r="U8232" s="1"/>
      <c r="V8232" s="1"/>
      <c r="W8232" s="1"/>
      <c r="X8232" s="1"/>
      <c r="Y8232" s="1"/>
      <c r="AA8232" s="102"/>
      <c r="AB8232" s="1"/>
      <c r="AC8232" s="1"/>
      <c r="AD8232" s="1"/>
      <c r="AE8232" s="1"/>
      <c r="AF8232" s="1"/>
      <c r="AG8232" s="1"/>
    </row>
    <row r="8233" ht="15.75" customHeight="1">
      <c r="A8233" s="1"/>
      <c r="B8233" s="1"/>
      <c r="C8233" s="1"/>
      <c r="D8233" s="1"/>
      <c r="E8233" s="1"/>
      <c r="F8233" s="1"/>
      <c r="G8233" s="1"/>
      <c r="H8233" s="1"/>
      <c r="I8233" s="1"/>
      <c r="J8233" s="1"/>
      <c r="K8233" s="102" t="s">
        <v>12846</v>
      </c>
      <c r="L8233" s="102" t="str">
        <f>F1164</f>
        <v>J2b2b2~</v>
      </c>
      <c r="M8233" s="102"/>
      <c r="N8233" s="102" t="s">
        <v>12847</v>
      </c>
      <c r="O8233" s="105">
        <v>1.7291239E7</v>
      </c>
      <c r="P8233" s="105">
        <v>1.5179359E7</v>
      </c>
      <c r="Q8233" s="102" t="s">
        <v>2501</v>
      </c>
      <c r="S8233" s="1"/>
      <c r="T8233" s="1"/>
      <c r="U8233" s="1"/>
      <c r="V8233" s="1"/>
      <c r="W8233" s="1"/>
      <c r="X8233" s="1"/>
      <c r="Y8233" s="1"/>
      <c r="AA8233" s="102"/>
      <c r="AB8233" s="1"/>
      <c r="AC8233" s="1"/>
      <c r="AD8233" s="1"/>
      <c r="AE8233" s="1"/>
      <c r="AF8233" s="1"/>
      <c r="AG8233" s="1"/>
    </row>
    <row r="8234" ht="15.75" customHeight="1">
      <c r="A8234" s="1"/>
      <c r="B8234" s="1"/>
      <c r="C8234" s="1"/>
      <c r="D8234" s="1"/>
      <c r="E8234" s="1"/>
      <c r="F8234" s="1"/>
      <c r="G8234" s="1"/>
      <c r="H8234" s="1"/>
      <c r="I8234" s="1"/>
      <c r="J8234" s="1"/>
      <c r="K8234" s="102" t="s">
        <v>12848</v>
      </c>
      <c r="L8234" s="102" t="str">
        <f>F1164</f>
        <v>J2b2b2~</v>
      </c>
      <c r="M8234" s="102"/>
      <c r="N8234" s="102" t="s">
        <v>12849</v>
      </c>
      <c r="O8234" s="105">
        <v>1.5903303E7</v>
      </c>
      <c r="P8234" s="105">
        <v>1.3791423E7</v>
      </c>
      <c r="Q8234" s="102" t="s">
        <v>2501</v>
      </c>
      <c r="S8234" s="1"/>
      <c r="T8234" s="1"/>
      <c r="U8234" s="1"/>
      <c r="V8234" s="1"/>
      <c r="W8234" s="1"/>
      <c r="X8234" s="1"/>
      <c r="Y8234" s="1"/>
      <c r="AA8234" s="102"/>
      <c r="AB8234" s="1"/>
      <c r="AC8234" s="1"/>
      <c r="AD8234" s="1"/>
      <c r="AE8234" s="1"/>
      <c r="AF8234" s="1"/>
      <c r="AG8234" s="1"/>
    </row>
    <row r="8235" ht="15.75" customHeight="1">
      <c r="A8235" s="1"/>
      <c r="B8235" s="1"/>
      <c r="C8235" s="1"/>
      <c r="D8235" s="1"/>
      <c r="E8235" s="1"/>
      <c r="F8235" s="1"/>
      <c r="G8235" s="1"/>
      <c r="H8235" s="1"/>
      <c r="I8235" s="1"/>
      <c r="J8235" s="1"/>
      <c r="K8235" s="102" t="s">
        <v>12850</v>
      </c>
      <c r="L8235" s="102" t="str">
        <f>F1164</f>
        <v>J2b2b2~</v>
      </c>
      <c r="M8235" s="102"/>
      <c r="N8235" s="102" t="s">
        <v>12851</v>
      </c>
      <c r="O8235" s="105">
        <v>1.8759061E7</v>
      </c>
      <c r="P8235" s="105">
        <v>1.6647181E7</v>
      </c>
      <c r="Q8235" s="102" t="s">
        <v>2423</v>
      </c>
      <c r="S8235" s="1"/>
      <c r="T8235" s="1"/>
      <c r="U8235" s="1"/>
      <c r="V8235" s="1"/>
      <c r="W8235" s="1"/>
      <c r="X8235" s="1"/>
      <c r="Y8235" s="1"/>
      <c r="AA8235" s="102"/>
      <c r="AB8235" s="1"/>
      <c r="AC8235" s="1"/>
      <c r="AD8235" s="1"/>
      <c r="AE8235" s="1"/>
      <c r="AF8235" s="1"/>
      <c r="AG8235" s="1"/>
    </row>
    <row r="8236" ht="15.75" customHeight="1">
      <c r="A8236" s="1"/>
      <c r="B8236" s="1"/>
      <c r="C8236" s="1"/>
      <c r="D8236" s="1"/>
      <c r="E8236" s="1"/>
      <c r="F8236" s="1"/>
      <c r="G8236" s="1"/>
      <c r="H8236" s="1"/>
      <c r="I8236" s="1"/>
      <c r="J8236" s="1"/>
      <c r="K8236" s="102" t="s">
        <v>12852</v>
      </c>
      <c r="L8236" s="102" t="str">
        <f>F1164</f>
        <v>J2b2b2~</v>
      </c>
      <c r="M8236" s="102"/>
      <c r="N8236" s="102" t="s">
        <v>12853</v>
      </c>
      <c r="O8236" s="105">
        <v>1.7281699E7</v>
      </c>
      <c r="P8236" s="105">
        <v>1.5169819E7</v>
      </c>
      <c r="Q8236" s="102" t="s">
        <v>2529</v>
      </c>
      <c r="S8236" s="1"/>
      <c r="T8236" s="1"/>
      <c r="U8236" s="1"/>
      <c r="V8236" s="1"/>
      <c r="W8236" s="1"/>
      <c r="X8236" s="1"/>
      <c r="Y8236" s="1"/>
      <c r="AA8236" s="102"/>
      <c r="AB8236" s="1"/>
      <c r="AC8236" s="1"/>
      <c r="AD8236" s="1"/>
      <c r="AE8236" s="1"/>
      <c r="AF8236" s="1"/>
      <c r="AG8236" s="1"/>
    </row>
    <row r="8237" ht="15.75" customHeight="1">
      <c r="A8237" s="1"/>
      <c r="B8237" s="1"/>
      <c r="C8237" s="1"/>
      <c r="D8237" s="1"/>
      <c r="E8237" s="1"/>
      <c r="F8237" s="1"/>
      <c r="G8237" s="1"/>
      <c r="H8237" s="1"/>
      <c r="I8237" s="1"/>
      <c r="J8237" s="1"/>
      <c r="K8237" s="102" t="s">
        <v>12854</v>
      </c>
      <c r="L8237" s="102" t="str">
        <f>F1164</f>
        <v>J2b2b2~</v>
      </c>
      <c r="M8237" s="102"/>
      <c r="N8237" s="102" t="s">
        <v>12855</v>
      </c>
      <c r="O8237" s="105">
        <v>2.125841E7</v>
      </c>
      <c r="P8237" s="105">
        <v>1.9096524E7</v>
      </c>
      <c r="Q8237" s="102" t="s">
        <v>2533</v>
      </c>
      <c r="S8237" s="1"/>
      <c r="T8237" s="1"/>
      <c r="U8237" s="1"/>
      <c r="V8237" s="1"/>
      <c r="W8237" s="1"/>
      <c r="X8237" s="1"/>
      <c r="Y8237" s="1"/>
      <c r="AA8237" s="102"/>
      <c r="AB8237" s="1"/>
      <c r="AC8237" s="1"/>
      <c r="AD8237" s="1"/>
      <c r="AE8237" s="1"/>
      <c r="AF8237" s="1"/>
      <c r="AG8237" s="1"/>
    </row>
    <row r="8238" ht="15.75" customHeight="1">
      <c r="A8238" s="1"/>
      <c r="B8238" s="1"/>
      <c r="C8238" s="1"/>
      <c r="D8238" s="1"/>
      <c r="E8238" s="1"/>
      <c r="F8238" s="1"/>
      <c r="G8238" s="1"/>
      <c r="H8238" s="1"/>
      <c r="I8238" s="1"/>
      <c r="J8238" s="1"/>
      <c r="K8238" s="102" t="s">
        <v>12856</v>
      </c>
      <c r="L8238" s="102" t="str">
        <f>F1164</f>
        <v>J2b2b2~</v>
      </c>
      <c r="M8238" s="102"/>
      <c r="N8238" s="102" t="s">
        <v>12857</v>
      </c>
      <c r="O8238" s="105">
        <v>7874201.0</v>
      </c>
      <c r="P8238" s="105">
        <v>8006160.0</v>
      </c>
      <c r="Q8238" s="102" t="s">
        <v>2468</v>
      </c>
      <c r="S8238" s="1"/>
      <c r="T8238" s="1"/>
      <c r="U8238" s="1"/>
      <c r="V8238" s="1"/>
      <c r="W8238" s="1"/>
      <c r="X8238" s="1"/>
      <c r="Y8238" s="1"/>
      <c r="AA8238" s="102"/>
      <c r="AB8238" s="1"/>
      <c r="AC8238" s="1"/>
      <c r="AD8238" s="1"/>
      <c r="AE8238" s="1"/>
      <c r="AF8238" s="1"/>
      <c r="AG8238" s="1"/>
    </row>
    <row r="8239" ht="15.75" customHeight="1">
      <c r="A8239" s="1"/>
      <c r="B8239" s="1"/>
      <c r="C8239" s="1"/>
      <c r="D8239" s="1"/>
      <c r="E8239" s="1"/>
      <c r="F8239" s="1"/>
      <c r="G8239" s="1"/>
      <c r="H8239" s="1"/>
      <c r="I8239" s="1"/>
      <c r="J8239" s="1"/>
      <c r="K8239" s="102" t="s">
        <v>12858</v>
      </c>
      <c r="L8239" s="102" t="str">
        <f>F1164</f>
        <v>J2b2b2~</v>
      </c>
      <c r="M8239" s="102"/>
      <c r="N8239" s="102" t="s">
        <v>12859</v>
      </c>
      <c r="O8239" s="105">
        <v>1.8671061E7</v>
      </c>
      <c r="P8239" s="105">
        <v>1.6559181E7</v>
      </c>
      <c r="Q8239" s="102" t="s">
        <v>2514</v>
      </c>
      <c r="S8239" s="1"/>
      <c r="T8239" s="1"/>
      <c r="U8239" s="1"/>
      <c r="V8239" s="1"/>
      <c r="W8239" s="1"/>
      <c r="X8239" s="1"/>
      <c r="Y8239" s="1"/>
      <c r="AA8239" s="102"/>
      <c r="AB8239" s="1"/>
      <c r="AC8239" s="1"/>
      <c r="AD8239" s="1"/>
      <c r="AE8239" s="1"/>
      <c r="AF8239" s="1"/>
      <c r="AG8239" s="1"/>
    </row>
    <row r="8240" ht="15.75" customHeight="1">
      <c r="A8240" s="1"/>
      <c r="B8240" s="1"/>
      <c r="C8240" s="1"/>
      <c r="D8240" s="1"/>
      <c r="E8240" s="1"/>
      <c r="F8240" s="1"/>
      <c r="G8240" s="1"/>
      <c r="H8240" s="1"/>
      <c r="I8240" s="1"/>
      <c r="J8240" s="1"/>
      <c r="K8240" s="102" t="s">
        <v>12860</v>
      </c>
      <c r="L8240" s="102" t="str">
        <f>F1164</f>
        <v>J2b2b2~</v>
      </c>
      <c r="M8240" s="102"/>
      <c r="N8240" s="102" t="s">
        <v>12861</v>
      </c>
      <c r="O8240" s="105">
        <v>1.4970587E7</v>
      </c>
      <c r="P8240" s="105">
        <v>1.2858662E7</v>
      </c>
      <c r="Q8240" s="102" t="s">
        <v>2439</v>
      </c>
      <c r="S8240" s="1"/>
      <c r="T8240" s="1"/>
      <c r="U8240" s="1"/>
      <c r="V8240" s="1"/>
      <c r="W8240" s="1"/>
      <c r="X8240" s="1"/>
      <c r="Y8240" s="1"/>
      <c r="AA8240" s="102"/>
      <c r="AB8240" s="1"/>
      <c r="AC8240" s="1"/>
      <c r="AD8240" s="1"/>
      <c r="AE8240" s="1"/>
      <c r="AF8240" s="1"/>
      <c r="AG8240" s="1"/>
    </row>
    <row r="8241" ht="15.75" customHeight="1">
      <c r="A8241" s="1"/>
      <c r="B8241" s="1"/>
      <c r="C8241" s="1"/>
      <c r="D8241" s="1"/>
      <c r="E8241" s="1"/>
      <c r="F8241" s="1"/>
      <c r="G8241" s="1"/>
      <c r="H8241" s="1"/>
      <c r="I8241" s="1"/>
      <c r="J8241" s="1"/>
      <c r="K8241" s="102" t="s">
        <v>12862</v>
      </c>
      <c r="L8241" s="102" t="str">
        <f>F1164</f>
        <v>J2b2b2~</v>
      </c>
      <c r="M8241" s="102"/>
      <c r="N8241" s="102" t="s">
        <v>12863</v>
      </c>
      <c r="O8241" s="105">
        <v>1.5678989E7</v>
      </c>
      <c r="P8241" s="105">
        <v>1.3567109E7</v>
      </c>
      <c r="Q8241" s="102" t="s">
        <v>2468</v>
      </c>
      <c r="S8241" s="1"/>
      <c r="T8241" s="1"/>
      <c r="U8241" s="1"/>
      <c r="V8241" s="1"/>
      <c r="W8241" s="1"/>
      <c r="X8241" s="1"/>
      <c r="Y8241" s="1"/>
      <c r="AA8241" s="102"/>
      <c r="AB8241" s="1"/>
      <c r="AC8241" s="1"/>
      <c r="AD8241" s="1"/>
      <c r="AE8241" s="1"/>
      <c r="AF8241" s="1"/>
      <c r="AG8241" s="1"/>
    </row>
    <row r="8242" ht="15.75" customHeight="1">
      <c r="A8242" s="1"/>
      <c r="B8242" s="1"/>
      <c r="C8242" s="1"/>
      <c r="D8242" s="1"/>
      <c r="E8242" s="1"/>
      <c r="F8242" s="1"/>
      <c r="G8242" s="1"/>
      <c r="H8242" s="1"/>
      <c r="I8242" s="1"/>
      <c r="J8242" s="1"/>
      <c r="K8242" s="102" t="s">
        <v>12864</v>
      </c>
      <c r="L8242" s="102" t="str">
        <f>F1164</f>
        <v>J2b2b2~</v>
      </c>
      <c r="M8242" s="102"/>
      <c r="N8242" s="102" t="s">
        <v>12865</v>
      </c>
      <c r="O8242" s="105">
        <v>1.7985993E7</v>
      </c>
      <c r="P8242" s="105">
        <v>1.5874113E7</v>
      </c>
      <c r="Q8242" s="102" t="s">
        <v>2439</v>
      </c>
      <c r="S8242" s="1"/>
      <c r="T8242" s="1"/>
      <c r="U8242" s="1"/>
      <c r="V8242" s="1"/>
      <c r="W8242" s="1"/>
      <c r="X8242" s="1"/>
      <c r="Y8242" s="1"/>
      <c r="AA8242" s="102"/>
      <c r="AB8242" s="1"/>
      <c r="AC8242" s="1"/>
      <c r="AD8242" s="1"/>
      <c r="AE8242" s="1"/>
      <c r="AF8242" s="1"/>
      <c r="AG8242" s="1"/>
    </row>
    <row r="8243" ht="15.75" customHeight="1">
      <c r="A8243" s="1"/>
      <c r="B8243" s="1"/>
      <c r="C8243" s="1"/>
      <c r="D8243" s="1"/>
      <c r="E8243" s="1"/>
      <c r="F8243" s="1"/>
      <c r="G8243" s="1"/>
      <c r="H8243" s="1"/>
      <c r="I8243" s="1"/>
      <c r="J8243" s="1"/>
      <c r="K8243" s="102" t="s">
        <v>12866</v>
      </c>
      <c r="L8243" s="102" t="str">
        <f>F1164</f>
        <v>J2b2b2~</v>
      </c>
      <c r="M8243" s="102"/>
      <c r="N8243" s="102" t="s">
        <v>12867</v>
      </c>
      <c r="O8243" s="105">
        <v>8640948.0</v>
      </c>
      <c r="P8243" s="105">
        <v>8772907.0</v>
      </c>
      <c r="Q8243" s="102" t="s">
        <v>2439</v>
      </c>
      <c r="S8243" s="1"/>
      <c r="T8243" s="1"/>
      <c r="U8243" s="1"/>
      <c r="V8243" s="1"/>
      <c r="W8243" s="1"/>
      <c r="X8243" s="1"/>
      <c r="Y8243" s="1"/>
      <c r="AA8243" s="102"/>
      <c r="AB8243" s="1"/>
      <c r="AC8243" s="1"/>
      <c r="AD8243" s="1"/>
      <c r="AE8243" s="1"/>
      <c r="AF8243" s="1"/>
      <c r="AG8243" s="1"/>
    </row>
    <row r="8244" ht="15.75" customHeight="1">
      <c r="A8244" s="1"/>
      <c r="B8244" s="1"/>
      <c r="C8244" s="1"/>
      <c r="D8244" s="1"/>
      <c r="E8244" s="1"/>
      <c r="F8244" s="1"/>
      <c r="G8244" s="1"/>
      <c r="H8244" s="1"/>
      <c r="I8244" s="1"/>
      <c r="J8244" s="1"/>
      <c r="K8244" s="102" t="s">
        <v>12868</v>
      </c>
      <c r="L8244" s="102" t="str">
        <f>F1164</f>
        <v>J2b2b2~</v>
      </c>
      <c r="M8244" s="102"/>
      <c r="N8244" s="102" t="s">
        <v>12869</v>
      </c>
      <c r="O8244" s="105">
        <v>1.9485168E7</v>
      </c>
      <c r="P8244" s="105">
        <v>1.7373288E7</v>
      </c>
      <c r="Q8244" s="102" t="s">
        <v>2501</v>
      </c>
      <c r="S8244" s="1"/>
      <c r="T8244" s="1"/>
      <c r="U8244" s="1"/>
      <c r="V8244" s="1"/>
      <c r="W8244" s="1"/>
      <c r="X8244" s="1"/>
      <c r="Y8244" s="1"/>
      <c r="AA8244" s="102"/>
      <c r="AB8244" s="1"/>
      <c r="AC8244" s="1"/>
      <c r="AD8244" s="1"/>
      <c r="AE8244" s="1"/>
      <c r="AF8244" s="1"/>
      <c r="AG8244" s="1"/>
    </row>
    <row r="8245" ht="15.75" customHeight="1">
      <c r="A8245" s="1"/>
      <c r="B8245" s="1"/>
      <c r="C8245" s="1"/>
      <c r="D8245" s="1"/>
      <c r="E8245" s="1"/>
      <c r="F8245" s="1"/>
      <c r="G8245" s="1"/>
      <c r="H8245" s="1"/>
      <c r="I8245" s="1"/>
      <c r="J8245" s="1"/>
      <c r="K8245" s="102" t="s">
        <v>12870</v>
      </c>
      <c r="L8245" s="102" t="str">
        <f>F1164</f>
        <v>J2b2b2~</v>
      </c>
      <c r="M8245" s="102"/>
      <c r="N8245" s="102" t="s">
        <v>12871</v>
      </c>
      <c r="O8245" s="105">
        <v>1.735029E7</v>
      </c>
      <c r="P8245" s="105">
        <v>1.523841E7</v>
      </c>
      <c r="Q8245" s="102" t="s">
        <v>2529</v>
      </c>
      <c r="S8245" s="1"/>
      <c r="T8245" s="1"/>
      <c r="U8245" s="1"/>
      <c r="V8245" s="1"/>
      <c r="W8245" s="1"/>
      <c r="X8245" s="1"/>
      <c r="Y8245" s="1"/>
      <c r="AA8245" s="102"/>
      <c r="AB8245" s="1"/>
      <c r="AC8245" s="1"/>
      <c r="AD8245" s="1"/>
      <c r="AE8245" s="1"/>
      <c r="AF8245" s="1"/>
      <c r="AG8245" s="1"/>
    </row>
    <row r="8246" ht="15.75" customHeight="1">
      <c r="A8246" s="1"/>
      <c r="B8246" s="1"/>
      <c r="C8246" s="1"/>
      <c r="D8246" s="1"/>
      <c r="E8246" s="1"/>
      <c r="F8246" s="1"/>
      <c r="G8246" s="1"/>
      <c r="H8246" s="1"/>
      <c r="I8246" s="1"/>
      <c r="J8246" s="1"/>
      <c r="K8246" s="102" t="s">
        <v>12872</v>
      </c>
      <c r="L8246" s="102" t="str">
        <f>F1164</f>
        <v>J2b2b2~</v>
      </c>
      <c r="M8246" s="102"/>
      <c r="N8246" s="102" t="s">
        <v>12873</v>
      </c>
      <c r="O8246" s="105">
        <v>1.7395098E7</v>
      </c>
      <c r="P8246" s="105">
        <v>1.5283218E7</v>
      </c>
      <c r="Q8246" s="102" t="s">
        <v>2501</v>
      </c>
      <c r="S8246" s="1"/>
      <c r="T8246" s="1"/>
      <c r="U8246" s="1"/>
      <c r="V8246" s="1"/>
      <c r="W8246" s="1"/>
      <c r="X8246" s="1"/>
      <c r="Y8246" s="1"/>
      <c r="AA8246" s="102"/>
      <c r="AB8246" s="1"/>
      <c r="AC8246" s="1"/>
      <c r="AD8246" s="1"/>
      <c r="AE8246" s="1"/>
      <c r="AF8246" s="1"/>
      <c r="AG8246" s="1"/>
    </row>
    <row r="8247" ht="15.75" customHeight="1">
      <c r="A8247" s="1"/>
      <c r="B8247" s="1"/>
      <c r="C8247" s="1"/>
      <c r="D8247" s="1"/>
      <c r="E8247" s="1"/>
      <c r="F8247" s="1"/>
      <c r="G8247" s="1"/>
      <c r="H8247" s="1"/>
      <c r="I8247" s="1"/>
      <c r="J8247" s="1"/>
      <c r="K8247" s="102" t="s">
        <v>12874</v>
      </c>
      <c r="L8247" s="102" t="str">
        <f>F1164</f>
        <v>J2b2b2~</v>
      </c>
      <c r="M8247" s="102"/>
      <c r="N8247" s="102" t="s">
        <v>12875</v>
      </c>
      <c r="O8247" s="105">
        <v>1.7905587E7</v>
      </c>
      <c r="P8247" s="105">
        <v>1.5793707E7</v>
      </c>
      <c r="Q8247" s="102" t="s">
        <v>2501</v>
      </c>
      <c r="S8247" s="1"/>
      <c r="T8247" s="1"/>
      <c r="U8247" s="1"/>
      <c r="V8247" s="1"/>
      <c r="W8247" s="1"/>
      <c r="X8247" s="1"/>
      <c r="Y8247" s="1"/>
      <c r="AA8247" s="102"/>
      <c r="AB8247" s="1"/>
      <c r="AC8247" s="1"/>
      <c r="AD8247" s="1"/>
      <c r="AE8247" s="1"/>
      <c r="AF8247" s="1"/>
      <c r="AG8247" s="1"/>
    </row>
    <row r="8248" ht="15.75" customHeight="1">
      <c r="A8248" s="1"/>
      <c r="B8248" s="1"/>
      <c r="C8248" s="1"/>
      <c r="D8248" s="1"/>
      <c r="E8248" s="1"/>
      <c r="F8248" s="1"/>
      <c r="G8248" s="1"/>
      <c r="H8248" s="1"/>
      <c r="I8248" s="1"/>
      <c r="J8248" s="1"/>
      <c r="K8248" s="102" t="s">
        <v>12876</v>
      </c>
      <c r="L8248" s="102" t="str">
        <f>F1164</f>
        <v>J2b2b2~</v>
      </c>
      <c r="M8248" s="102"/>
      <c r="N8248" s="102" t="s">
        <v>12877</v>
      </c>
      <c r="O8248" s="105">
        <v>8365361.0</v>
      </c>
      <c r="P8248" s="105">
        <v>8497320.0</v>
      </c>
      <c r="Q8248" s="102" t="s">
        <v>2529</v>
      </c>
      <c r="S8248" s="1"/>
      <c r="T8248" s="1"/>
      <c r="U8248" s="1"/>
      <c r="V8248" s="1"/>
      <c r="W8248" s="1"/>
      <c r="X8248" s="1"/>
      <c r="Y8248" s="1"/>
      <c r="AA8248" s="102"/>
      <c r="AB8248" s="1"/>
      <c r="AC8248" s="1"/>
      <c r="AD8248" s="1"/>
      <c r="AE8248" s="1"/>
      <c r="AF8248" s="1"/>
      <c r="AG8248" s="1"/>
    </row>
    <row r="8249" ht="15.75" customHeight="1">
      <c r="A8249" s="1"/>
      <c r="B8249" s="1"/>
      <c r="C8249" s="1"/>
      <c r="D8249" s="1"/>
      <c r="E8249" s="1"/>
      <c r="F8249" s="1"/>
      <c r="G8249" s="1"/>
      <c r="H8249" s="1"/>
      <c r="I8249" s="1"/>
      <c r="J8249" s="1"/>
      <c r="K8249" s="102" t="s">
        <v>12878</v>
      </c>
      <c r="L8249" s="102" t="str">
        <f>F1164</f>
        <v>J2b2b2~</v>
      </c>
      <c r="M8249" s="102"/>
      <c r="N8249" s="102" t="s">
        <v>12879</v>
      </c>
      <c r="O8249" s="105">
        <v>1.628295E7</v>
      </c>
      <c r="P8249" s="105">
        <v>1.417107E7</v>
      </c>
      <c r="Q8249" s="102" t="s">
        <v>2468</v>
      </c>
      <c r="S8249" s="1"/>
      <c r="T8249" s="1"/>
      <c r="U8249" s="1"/>
      <c r="V8249" s="1"/>
      <c r="W8249" s="1"/>
      <c r="X8249" s="1"/>
      <c r="Y8249" s="1"/>
      <c r="AA8249" s="102"/>
      <c r="AB8249" s="1"/>
      <c r="AC8249" s="1"/>
      <c r="AD8249" s="1"/>
      <c r="AE8249" s="1"/>
      <c r="AF8249" s="1"/>
      <c r="AG8249" s="1"/>
    </row>
    <row r="8250" ht="15.75" customHeight="1">
      <c r="A8250" s="1"/>
      <c r="B8250" s="1"/>
      <c r="C8250" s="1"/>
      <c r="D8250" s="1"/>
      <c r="E8250" s="1"/>
      <c r="F8250" s="1"/>
      <c r="G8250" s="1"/>
      <c r="H8250" s="1"/>
      <c r="I8250" s="1"/>
      <c r="J8250" s="1"/>
      <c r="K8250" s="102" t="s">
        <v>12880</v>
      </c>
      <c r="L8250" s="102" t="str">
        <f>F1164</f>
        <v>J2b2b2~</v>
      </c>
      <c r="M8250" s="102"/>
      <c r="N8250" s="102" t="s">
        <v>12881</v>
      </c>
      <c r="O8250" s="105">
        <v>1.9408295E7</v>
      </c>
      <c r="P8250" s="105">
        <v>1.7296415E7</v>
      </c>
      <c r="Q8250" s="102" t="s">
        <v>2468</v>
      </c>
      <c r="S8250" s="1"/>
      <c r="T8250" s="1"/>
      <c r="U8250" s="1"/>
      <c r="V8250" s="1"/>
      <c r="W8250" s="1"/>
      <c r="X8250" s="1"/>
      <c r="Y8250" s="1"/>
      <c r="AA8250" s="102"/>
      <c r="AB8250" s="1"/>
      <c r="AC8250" s="1"/>
      <c r="AD8250" s="1"/>
      <c r="AE8250" s="1"/>
      <c r="AF8250" s="1"/>
      <c r="AG8250" s="1"/>
    </row>
    <row r="8251" ht="15.75" customHeight="1">
      <c r="A8251" s="1"/>
      <c r="B8251" s="1"/>
      <c r="C8251" s="1"/>
      <c r="D8251" s="1"/>
      <c r="E8251" s="1"/>
      <c r="F8251" s="1"/>
      <c r="G8251" s="1"/>
      <c r="H8251" s="1"/>
      <c r="I8251" s="1"/>
      <c r="J8251" s="1"/>
      <c r="K8251" s="102" t="s">
        <v>12882</v>
      </c>
      <c r="L8251" s="102" t="str">
        <f>F1164</f>
        <v>J2b2b2~</v>
      </c>
      <c r="M8251" s="102"/>
      <c r="N8251" s="102" t="s">
        <v>12883</v>
      </c>
      <c r="O8251" s="105">
        <v>8645832.0</v>
      </c>
      <c r="P8251" s="105">
        <v>8777791.0</v>
      </c>
      <c r="Q8251" s="102" t="s">
        <v>2529</v>
      </c>
      <c r="S8251" s="1"/>
      <c r="T8251" s="1"/>
      <c r="U8251" s="1"/>
      <c r="V8251" s="1"/>
      <c r="W8251" s="1"/>
      <c r="X8251" s="1"/>
      <c r="Y8251" s="1"/>
      <c r="AA8251" s="102"/>
      <c r="AB8251" s="1"/>
      <c r="AC8251" s="1"/>
      <c r="AD8251" s="1"/>
      <c r="AE8251" s="1"/>
      <c r="AF8251" s="1"/>
      <c r="AG8251" s="1"/>
    </row>
    <row r="8252" ht="15.75" customHeight="1">
      <c r="A8252" s="1"/>
      <c r="B8252" s="1"/>
      <c r="C8252" s="1"/>
      <c r="D8252" s="1"/>
      <c r="E8252" s="1"/>
      <c r="F8252" s="1"/>
      <c r="G8252" s="1"/>
      <c r="H8252" s="1"/>
      <c r="I8252" s="1"/>
      <c r="J8252" s="1"/>
      <c r="K8252" s="102" t="s">
        <v>12884</v>
      </c>
      <c r="L8252" s="102" t="str">
        <f>F1164</f>
        <v>J2b2b2~</v>
      </c>
      <c r="M8252" s="102"/>
      <c r="N8252" s="102" t="s">
        <v>12885</v>
      </c>
      <c r="O8252" s="105">
        <v>8189527.0</v>
      </c>
      <c r="P8252" s="105">
        <v>8321486.0</v>
      </c>
      <c r="Q8252" s="102" t="s">
        <v>2501</v>
      </c>
      <c r="S8252" s="1"/>
      <c r="T8252" s="1"/>
      <c r="U8252" s="1"/>
      <c r="V8252" s="1"/>
      <c r="W8252" s="1"/>
      <c r="X8252" s="1"/>
      <c r="Y8252" s="1"/>
      <c r="AA8252" s="102"/>
      <c r="AB8252" s="1"/>
      <c r="AC8252" s="1"/>
      <c r="AD8252" s="1"/>
      <c r="AE8252" s="1"/>
      <c r="AF8252" s="1"/>
      <c r="AG8252" s="1"/>
    </row>
    <row r="8253" ht="15.75" customHeight="1">
      <c r="A8253" s="1"/>
      <c r="B8253" s="1"/>
      <c r="C8253" s="1"/>
      <c r="D8253" s="1"/>
      <c r="E8253" s="1"/>
      <c r="F8253" s="1"/>
      <c r="G8253" s="1"/>
      <c r="H8253" s="1"/>
      <c r="I8253" s="1"/>
      <c r="J8253" s="1"/>
      <c r="K8253" s="102" t="s">
        <v>12886</v>
      </c>
      <c r="L8253" s="102" t="str">
        <f>F1164</f>
        <v>J2b2b2~</v>
      </c>
      <c r="M8253" s="102"/>
      <c r="N8253" s="102" t="s">
        <v>12887</v>
      </c>
      <c r="O8253" s="105">
        <v>1.9347586E7</v>
      </c>
      <c r="P8253" s="105">
        <v>1.7235706E7</v>
      </c>
      <c r="Q8253" s="102" t="s">
        <v>2529</v>
      </c>
      <c r="S8253" s="1"/>
      <c r="T8253" s="1"/>
      <c r="U8253" s="1"/>
      <c r="V8253" s="1"/>
      <c r="W8253" s="1"/>
      <c r="X8253" s="1"/>
      <c r="Y8253" s="1"/>
      <c r="AA8253" s="102"/>
      <c r="AB8253" s="1"/>
      <c r="AC8253" s="1"/>
      <c r="AD8253" s="1"/>
      <c r="AE8253" s="1"/>
      <c r="AF8253" s="1"/>
      <c r="AG8253" s="1"/>
    </row>
    <row r="8254" ht="15.75" customHeight="1">
      <c r="A8254" s="1"/>
      <c r="B8254" s="1"/>
      <c r="C8254" s="1"/>
      <c r="D8254" s="1"/>
      <c r="E8254" s="1"/>
      <c r="F8254" s="1"/>
      <c r="G8254" s="1"/>
      <c r="H8254" s="1"/>
      <c r="I8254" s="1"/>
      <c r="J8254" s="1"/>
      <c r="K8254" s="102" t="s">
        <v>12888</v>
      </c>
      <c r="L8254" s="102" t="str">
        <f>F1164</f>
        <v>J2b2b2~</v>
      </c>
      <c r="M8254" s="102"/>
      <c r="N8254" s="102" t="s">
        <v>12889</v>
      </c>
      <c r="O8254" s="105">
        <v>7534378.0</v>
      </c>
      <c r="P8254" s="105">
        <v>7666337.0</v>
      </c>
      <c r="Q8254" s="102" t="s">
        <v>2454</v>
      </c>
      <c r="S8254" s="1"/>
      <c r="T8254" s="1"/>
      <c r="U8254" s="1"/>
      <c r="V8254" s="1"/>
      <c r="W8254" s="1"/>
      <c r="X8254" s="1"/>
      <c r="Y8254" s="1"/>
      <c r="AA8254" s="102"/>
      <c r="AB8254" s="1"/>
      <c r="AC8254" s="1"/>
      <c r="AD8254" s="1"/>
      <c r="AE8254" s="1"/>
      <c r="AF8254" s="1"/>
      <c r="AG8254" s="1"/>
    </row>
    <row r="8255" ht="15.75" customHeight="1">
      <c r="A8255" s="1"/>
      <c r="B8255" s="1"/>
      <c r="C8255" s="1"/>
      <c r="D8255" s="1"/>
      <c r="E8255" s="1"/>
      <c r="F8255" s="1"/>
      <c r="G8255" s="1"/>
      <c r="H8255" s="1"/>
      <c r="I8255" s="1"/>
      <c r="J8255" s="1"/>
      <c r="K8255" s="102" t="s">
        <v>12890</v>
      </c>
      <c r="L8255" s="102" t="str">
        <f>F1164</f>
        <v>J2b2b2~</v>
      </c>
      <c r="M8255" s="102"/>
      <c r="N8255" s="102" t="s">
        <v>12891</v>
      </c>
      <c r="O8255" s="105">
        <v>1.5456551E7</v>
      </c>
      <c r="P8255" s="105">
        <v>1.3344671E7</v>
      </c>
      <c r="Q8255" s="102" t="s">
        <v>2529</v>
      </c>
      <c r="S8255" s="1"/>
      <c r="T8255" s="1"/>
      <c r="U8255" s="1"/>
      <c r="V8255" s="1"/>
      <c r="W8255" s="1"/>
      <c r="X8255" s="1"/>
      <c r="Y8255" s="1"/>
      <c r="AA8255" s="102"/>
      <c r="AB8255" s="1"/>
      <c r="AC8255" s="1"/>
      <c r="AD8255" s="1"/>
      <c r="AE8255" s="1"/>
      <c r="AF8255" s="1"/>
      <c r="AG8255" s="1"/>
    </row>
    <row r="8256" ht="15.75" customHeight="1">
      <c r="A8256" s="1"/>
      <c r="B8256" s="1"/>
      <c r="C8256" s="1"/>
      <c r="D8256" s="1"/>
      <c r="E8256" s="1"/>
      <c r="F8256" s="1"/>
      <c r="G8256" s="1"/>
      <c r="H8256" s="1"/>
      <c r="I8256" s="1"/>
      <c r="J8256" s="1"/>
      <c r="K8256" s="102" t="s">
        <v>12892</v>
      </c>
      <c r="L8256" s="102" t="str">
        <f>F1164</f>
        <v>J2b2b2~</v>
      </c>
      <c r="M8256" s="102"/>
      <c r="N8256" s="102" t="s">
        <v>12893</v>
      </c>
      <c r="O8256" s="105">
        <v>8132566.0</v>
      </c>
      <c r="P8256" s="105">
        <v>8264525.0</v>
      </c>
      <c r="Q8256" s="102" t="s">
        <v>2501</v>
      </c>
      <c r="S8256" s="1"/>
      <c r="T8256" s="1"/>
      <c r="U8256" s="1"/>
      <c r="V8256" s="1"/>
      <c r="W8256" s="1"/>
      <c r="X8256" s="1"/>
      <c r="Y8256" s="1"/>
      <c r="AA8256" s="102"/>
      <c r="AB8256" s="1"/>
      <c r="AC8256" s="1"/>
      <c r="AD8256" s="1"/>
      <c r="AE8256" s="1"/>
      <c r="AF8256" s="1"/>
      <c r="AG8256" s="1"/>
    </row>
    <row r="8257" ht="15.75" customHeight="1">
      <c r="A8257" s="1"/>
      <c r="B8257" s="1"/>
      <c r="C8257" s="1"/>
      <c r="D8257" s="1"/>
      <c r="E8257" s="1"/>
      <c r="F8257" s="1"/>
      <c r="G8257" s="1"/>
      <c r="H8257" s="1"/>
      <c r="I8257" s="1"/>
      <c r="J8257" s="1"/>
      <c r="K8257" s="102" t="s">
        <v>12894</v>
      </c>
      <c r="L8257" s="102" t="str">
        <f>F1164</f>
        <v>J2b2b2~</v>
      </c>
      <c r="M8257" s="102"/>
      <c r="N8257" s="102" t="s">
        <v>12895</v>
      </c>
      <c r="O8257" s="105">
        <v>1.4528905E7</v>
      </c>
      <c r="P8257" s="105">
        <v>1.2417106E7</v>
      </c>
      <c r="Q8257" s="102" t="s">
        <v>2468</v>
      </c>
      <c r="S8257" s="1"/>
      <c r="T8257" s="1"/>
      <c r="U8257" s="1"/>
      <c r="V8257" s="1"/>
      <c r="W8257" s="1"/>
      <c r="X8257" s="1"/>
      <c r="Y8257" s="1"/>
      <c r="AA8257" s="102"/>
      <c r="AB8257" s="1"/>
      <c r="AC8257" s="1"/>
      <c r="AD8257" s="1"/>
      <c r="AE8257" s="1"/>
      <c r="AF8257" s="1"/>
      <c r="AG8257" s="1"/>
    </row>
    <row r="8258" ht="15.75" customHeight="1">
      <c r="A8258" s="1"/>
      <c r="B8258" s="1"/>
      <c r="C8258" s="1"/>
      <c r="D8258" s="1"/>
      <c r="E8258" s="1"/>
      <c r="F8258" s="1"/>
      <c r="G8258" s="1"/>
      <c r="H8258" s="1"/>
      <c r="I8258" s="1"/>
      <c r="J8258" s="1"/>
      <c r="K8258" s="102" t="s">
        <v>12896</v>
      </c>
      <c r="L8258" s="102" t="str">
        <f>F1164</f>
        <v>J2b2b2~</v>
      </c>
      <c r="M8258" s="102"/>
      <c r="N8258" s="102" t="s">
        <v>12897</v>
      </c>
      <c r="O8258" s="105">
        <v>8152006.0</v>
      </c>
      <c r="P8258" s="105">
        <v>8283965.0</v>
      </c>
      <c r="Q8258" s="102" t="s">
        <v>2432</v>
      </c>
      <c r="S8258" s="1"/>
      <c r="T8258" s="1"/>
      <c r="U8258" s="1"/>
      <c r="V8258" s="1"/>
      <c r="W8258" s="1"/>
      <c r="X8258" s="1"/>
      <c r="Y8258" s="1"/>
      <c r="AA8258" s="102"/>
      <c r="AB8258" s="1"/>
      <c r="AC8258" s="1"/>
      <c r="AD8258" s="1"/>
      <c r="AE8258" s="1"/>
      <c r="AF8258" s="1"/>
      <c r="AG8258" s="1"/>
    </row>
    <row r="8259" ht="15.75" customHeight="1">
      <c r="A8259" s="1"/>
      <c r="B8259" s="1"/>
      <c r="C8259" s="1"/>
      <c r="D8259" s="1"/>
      <c r="E8259" s="1"/>
      <c r="F8259" s="1"/>
      <c r="G8259" s="1"/>
      <c r="H8259" s="1"/>
      <c r="I8259" s="1"/>
      <c r="J8259" s="1"/>
      <c r="K8259" s="102" t="s">
        <v>12898</v>
      </c>
      <c r="L8259" s="102" t="str">
        <f>F1164</f>
        <v>J2b2b2~</v>
      </c>
      <c r="M8259" s="102"/>
      <c r="N8259" s="102" t="s">
        <v>12899</v>
      </c>
      <c r="O8259" s="105">
        <v>2.3568624E7</v>
      </c>
      <c r="P8259" s="105">
        <v>2.1406738E7</v>
      </c>
      <c r="Q8259" s="102" t="s">
        <v>2468</v>
      </c>
      <c r="S8259" s="1"/>
      <c r="T8259" s="1"/>
      <c r="U8259" s="1"/>
      <c r="V8259" s="1"/>
      <c r="W8259" s="1"/>
      <c r="X8259" s="1"/>
      <c r="Y8259" s="1"/>
      <c r="AA8259" s="102"/>
      <c r="AB8259" s="1"/>
      <c r="AC8259" s="1"/>
      <c r="AD8259" s="1"/>
      <c r="AE8259" s="1"/>
      <c r="AF8259" s="1"/>
      <c r="AG8259" s="1"/>
    </row>
    <row r="8260" ht="15.75" customHeight="1">
      <c r="A8260" s="1"/>
      <c r="B8260" s="1"/>
      <c r="C8260" s="1"/>
      <c r="D8260" s="1"/>
      <c r="E8260" s="1"/>
      <c r="F8260" s="1"/>
      <c r="G8260" s="1"/>
      <c r="H8260" s="1"/>
      <c r="I8260" s="1"/>
      <c r="J8260" s="1"/>
      <c r="K8260" s="102" t="s">
        <v>12900</v>
      </c>
      <c r="L8260" s="102" t="str">
        <f>F1164</f>
        <v>J2b2b2~</v>
      </c>
      <c r="M8260" s="102"/>
      <c r="N8260" s="102" t="s">
        <v>12901</v>
      </c>
      <c r="O8260" s="105">
        <v>1.4322525E7</v>
      </c>
      <c r="P8260" s="105">
        <v>1.2201819E7</v>
      </c>
      <c r="Q8260" s="102" t="s">
        <v>2529</v>
      </c>
      <c r="S8260" s="1"/>
      <c r="T8260" s="1"/>
      <c r="U8260" s="1"/>
      <c r="V8260" s="1"/>
      <c r="W8260" s="1"/>
      <c r="X8260" s="1"/>
      <c r="Y8260" s="1"/>
      <c r="AA8260" s="102"/>
      <c r="AB8260" s="1"/>
      <c r="AC8260" s="1"/>
      <c r="AD8260" s="1"/>
      <c r="AE8260" s="1"/>
      <c r="AF8260" s="1"/>
      <c r="AG8260" s="1"/>
    </row>
    <row r="8261" ht="15.75" customHeight="1">
      <c r="A8261" s="1"/>
      <c r="B8261" s="1"/>
      <c r="C8261" s="1"/>
      <c r="D8261" s="1"/>
      <c r="E8261" s="1"/>
      <c r="F8261" s="1"/>
      <c r="G8261" s="1"/>
      <c r="H8261" s="1"/>
      <c r="I8261" s="1"/>
      <c r="J8261" s="1"/>
      <c r="K8261" s="102" t="s">
        <v>12902</v>
      </c>
      <c r="L8261" s="102" t="str">
        <f>F1164</f>
        <v>J2b2b2~</v>
      </c>
      <c r="M8261" s="102"/>
      <c r="N8261" s="102" t="s">
        <v>12903</v>
      </c>
      <c r="O8261" s="105">
        <v>8686513.0</v>
      </c>
      <c r="P8261" s="105">
        <v>8818472.0</v>
      </c>
      <c r="Q8261" s="102" t="s">
        <v>2529</v>
      </c>
      <c r="S8261" s="1"/>
      <c r="T8261" s="1"/>
      <c r="U8261" s="1"/>
      <c r="V8261" s="1"/>
      <c r="W8261" s="1"/>
      <c r="X8261" s="1"/>
      <c r="Y8261" s="1"/>
      <c r="AA8261" s="102"/>
      <c r="AB8261" s="1"/>
      <c r="AC8261" s="1"/>
      <c r="AD8261" s="1"/>
      <c r="AE8261" s="1"/>
      <c r="AF8261" s="1"/>
      <c r="AG8261" s="1"/>
    </row>
    <row r="8262" ht="15.75" customHeight="1">
      <c r="A8262" s="1"/>
      <c r="B8262" s="1"/>
      <c r="C8262" s="1"/>
      <c r="D8262" s="1"/>
      <c r="E8262" s="1"/>
      <c r="F8262" s="1"/>
      <c r="G8262" s="1"/>
      <c r="H8262" s="1"/>
      <c r="I8262" s="1"/>
      <c r="J8262" s="1"/>
      <c r="K8262" s="102" t="s">
        <v>12904</v>
      </c>
      <c r="L8262" s="102" t="str">
        <f>F1164</f>
        <v>J2b2b2~</v>
      </c>
      <c r="M8262" s="102"/>
      <c r="N8262" s="102" t="s">
        <v>12905</v>
      </c>
      <c r="O8262" s="105">
        <v>8833116.0</v>
      </c>
      <c r="P8262" s="105">
        <v>8965075.0</v>
      </c>
      <c r="Q8262" s="102" t="s">
        <v>2529</v>
      </c>
      <c r="S8262" s="1"/>
      <c r="T8262" s="1"/>
      <c r="U8262" s="1"/>
      <c r="V8262" s="1"/>
      <c r="W8262" s="1"/>
      <c r="X8262" s="1"/>
      <c r="Y8262" s="1"/>
      <c r="AA8262" s="102"/>
      <c r="AB8262" s="1"/>
      <c r="AC8262" s="1"/>
      <c r="AD8262" s="1"/>
      <c r="AE8262" s="1"/>
      <c r="AF8262" s="1"/>
      <c r="AG8262" s="1"/>
    </row>
    <row r="8263" ht="15.75" customHeight="1">
      <c r="A8263" s="1"/>
      <c r="B8263" s="1"/>
      <c r="C8263" s="1"/>
      <c r="D8263" s="1"/>
      <c r="E8263" s="1"/>
      <c r="F8263" s="1"/>
      <c r="G8263" s="1"/>
      <c r="H8263" s="1"/>
      <c r="I8263" s="1"/>
      <c r="J8263" s="1"/>
      <c r="K8263" s="102" t="s">
        <v>12906</v>
      </c>
      <c r="L8263" s="102" t="str">
        <f>F1164</f>
        <v>J2b2b2~</v>
      </c>
      <c r="M8263" s="102"/>
      <c r="N8263" s="102" t="s">
        <v>12907</v>
      </c>
      <c r="O8263" s="105">
        <v>2.266934E7</v>
      </c>
      <c r="P8263" s="105">
        <v>2.0507454E7</v>
      </c>
      <c r="Q8263" s="102" t="s">
        <v>2529</v>
      </c>
      <c r="S8263" s="1"/>
      <c r="T8263" s="1"/>
      <c r="U8263" s="1"/>
      <c r="V8263" s="1"/>
      <c r="W8263" s="1"/>
      <c r="X8263" s="1"/>
      <c r="Y8263" s="1"/>
      <c r="AA8263" s="102"/>
      <c r="AB8263" s="1"/>
      <c r="AC8263" s="1"/>
      <c r="AD8263" s="1"/>
      <c r="AE8263" s="1"/>
      <c r="AF8263" s="1"/>
      <c r="AG8263" s="1"/>
    </row>
    <row r="8264" ht="15.75" customHeight="1">
      <c r="A8264" s="1"/>
      <c r="B8264" s="1"/>
      <c r="C8264" s="1"/>
      <c r="D8264" s="1"/>
      <c r="E8264" s="1"/>
      <c r="F8264" s="1"/>
      <c r="G8264" s="1"/>
      <c r="H8264" s="1"/>
      <c r="I8264" s="1"/>
      <c r="J8264" s="1"/>
      <c r="K8264" s="102" t="s">
        <v>12908</v>
      </c>
      <c r="L8264" s="102" t="str">
        <f>F1164</f>
        <v>J2b2b2~</v>
      </c>
      <c r="M8264" s="102"/>
      <c r="N8264" s="102" t="s">
        <v>12909</v>
      </c>
      <c r="O8264" s="105">
        <v>7131928.0</v>
      </c>
      <c r="P8264" s="105">
        <v>7263887.0</v>
      </c>
      <c r="Q8264" s="102" t="s">
        <v>2439</v>
      </c>
      <c r="S8264" s="1"/>
      <c r="T8264" s="1"/>
      <c r="U8264" s="1"/>
      <c r="V8264" s="1"/>
      <c r="W8264" s="1"/>
      <c r="X8264" s="1"/>
      <c r="Y8264" s="1"/>
      <c r="AA8264" s="102"/>
      <c r="AB8264" s="1"/>
      <c r="AC8264" s="1"/>
      <c r="AD8264" s="1"/>
      <c r="AE8264" s="1"/>
      <c r="AF8264" s="1"/>
      <c r="AG8264" s="1"/>
    </row>
    <row r="8265" ht="15.75" customHeight="1">
      <c r="A8265" s="1"/>
      <c r="B8265" s="1"/>
      <c r="C8265" s="1"/>
      <c r="D8265" s="1"/>
      <c r="E8265" s="1"/>
      <c r="F8265" s="1"/>
      <c r="G8265" s="1"/>
      <c r="H8265" s="1"/>
      <c r="I8265" s="1"/>
      <c r="J8265" s="1"/>
      <c r="K8265" s="102" t="s">
        <v>12910</v>
      </c>
      <c r="L8265" s="102" t="str">
        <f>F1164</f>
        <v>J2b2b2~</v>
      </c>
      <c r="M8265" s="102"/>
      <c r="N8265" s="102" t="s">
        <v>12911</v>
      </c>
      <c r="O8265" s="105">
        <v>1.5392342E7</v>
      </c>
      <c r="P8265" s="105">
        <v>1.3280462E7</v>
      </c>
      <c r="Q8265" s="102" t="s">
        <v>2446</v>
      </c>
      <c r="S8265" s="1"/>
      <c r="T8265" s="1"/>
      <c r="U8265" s="1"/>
      <c r="V8265" s="1"/>
      <c r="W8265" s="1"/>
      <c r="X8265" s="1"/>
      <c r="Y8265" s="1"/>
      <c r="AA8265" s="102"/>
      <c r="AB8265" s="1"/>
      <c r="AC8265" s="1"/>
      <c r="AD8265" s="1"/>
      <c r="AE8265" s="1"/>
      <c r="AF8265" s="1"/>
      <c r="AG8265" s="1"/>
    </row>
    <row r="8266" ht="15.75" customHeight="1">
      <c r="A8266" s="1"/>
      <c r="B8266" s="1"/>
      <c r="C8266" s="1"/>
      <c r="D8266" s="1"/>
      <c r="E8266" s="1"/>
      <c r="F8266" s="1"/>
      <c r="G8266" s="1"/>
      <c r="H8266" s="1"/>
      <c r="I8266" s="1"/>
      <c r="J8266" s="1"/>
      <c r="K8266" s="102" t="s">
        <v>12912</v>
      </c>
      <c r="L8266" s="102" t="str">
        <f>F1164</f>
        <v>J2b2b2~</v>
      </c>
      <c r="M8266" s="102"/>
      <c r="N8266" s="102" t="s">
        <v>12913</v>
      </c>
      <c r="O8266" s="105">
        <v>2730710.0</v>
      </c>
      <c r="P8266" s="105">
        <v>2862669.0</v>
      </c>
      <c r="Q8266" s="102" t="s">
        <v>2529</v>
      </c>
      <c r="S8266" s="1"/>
      <c r="T8266" s="1"/>
      <c r="U8266" s="1"/>
      <c r="V8266" s="1"/>
      <c r="W8266" s="1"/>
      <c r="X8266" s="1"/>
      <c r="Y8266" s="1"/>
      <c r="AA8266" s="102"/>
      <c r="AB8266" s="1"/>
      <c r="AC8266" s="1"/>
      <c r="AD8266" s="1"/>
      <c r="AE8266" s="1"/>
      <c r="AF8266" s="1"/>
      <c r="AG8266" s="1"/>
    </row>
    <row r="8267" ht="15.75" customHeight="1">
      <c r="A8267" s="1"/>
      <c r="B8267" s="1"/>
      <c r="C8267" s="1"/>
      <c r="D8267" s="1"/>
      <c r="E8267" s="1"/>
      <c r="F8267" s="1"/>
      <c r="G8267" s="1"/>
      <c r="H8267" s="1"/>
      <c r="I8267" s="1"/>
      <c r="J8267" s="1"/>
      <c r="K8267" s="102" t="s">
        <v>12914</v>
      </c>
      <c r="L8267" s="102" t="str">
        <f>F1164</f>
        <v>J2b2b2~</v>
      </c>
      <c r="M8267" s="102"/>
      <c r="N8267" s="102" t="s">
        <v>12915</v>
      </c>
      <c r="O8267" s="105">
        <v>7184424.0</v>
      </c>
      <c r="P8267" s="105">
        <v>7316383.0</v>
      </c>
      <c r="Q8267" s="102" t="s">
        <v>2423</v>
      </c>
      <c r="S8267" s="1"/>
      <c r="T8267" s="1"/>
      <c r="U8267" s="1"/>
      <c r="V8267" s="1"/>
      <c r="W8267" s="1"/>
      <c r="X8267" s="1"/>
      <c r="Y8267" s="1"/>
      <c r="AA8267" s="102"/>
      <c r="AB8267" s="1"/>
      <c r="AC8267" s="1"/>
      <c r="AD8267" s="1"/>
      <c r="AE8267" s="1"/>
      <c r="AF8267" s="1"/>
      <c r="AG8267" s="1"/>
    </row>
    <row r="8268" ht="15.75" customHeight="1">
      <c r="A8268" s="1"/>
      <c r="B8268" s="1"/>
      <c r="C8268" s="1"/>
      <c r="D8268" s="1"/>
      <c r="E8268" s="1"/>
      <c r="F8268" s="1"/>
      <c r="G8268" s="1"/>
      <c r="H8268" s="1"/>
      <c r="I8268" s="1"/>
      <c r="J8268" s="1"/>
      <c r="K8268" s="102" t="s">
        <v>12916</v>
      </c>
      <c r="L8268" s="102" t="str">
        <f>F1164</f>
        <v>J2b2b2~</v>
      </c>
      <c r="M8268" s="102"/>
      <c r="N8268" s="102" t="s">
        <v>12917</v>
      </c>
      <c r="O8268" s="105">
        <v>1.8755028E7</v>
      </c>
      <c r="P8268" s="105">
        <v>1.6643148E7</v>
      </c>
      <c r="Q8268" s="102" t="s">
        <v>2501</v>
      </c>
      <c r="S8268" s="1"/>
      <c r="T8268" s="1"/>
      <c r="U8268" s="1"/>
      <c r="V8268" s="1"/>
      <c r="W8268" s="1"/>
      <c r="X8268" s="1"/>
      <c r="Y8268" s="1"/>
      <c r="AA8268" s="102"/>
      <c r="AB8268" s="1"/>
      <c r="AC8268" s="1"/>
      <c r="AD8268" s="1"/>
      <c r="AE8268" s="1"/>
      <c r="AF8268" s="1"/>
      <c r="AG8268" s="1"/>
    </row>
    <row r="8269" ht="15.75" customHeight="1">
      <c r="A8269" s="1"/>
      <c r="B8269" s="1"/>
      <c r="C8269" s="1"/>
      <c r="D8269" s="1"/>
      <c r="E8269" s="1"/>
      <c r="F8269" s="1"/>
      <c r="G8269" s="1"/>
      <c r="H8269" s="1"/>
      <c r="I8269" s="1"/>
      <c r="J8269" s="1"/>
      <c r="K8269" s="102" t="s">
        <v>12918</v>
      </c>
      <c r="L8269" s="102" t="str">
        <f>F1164</f>
        <v>J2b2b2~</v>
      </c>
      <c r="M8269" s="102"/>
      <c r="N8269" s="102" t="s">
        <v>12919</v>
      </c>
      <c r="O8269" s="105">
        <v>1.4715592E7</v>
      </c>
      <c r="P8269" s="105">
        <v>1.2603659E7</v>
      </c>
      <c r="Q8269" s="102" t="s">
        <v>2432</v>
      </c>
      <c r="S8269" s="1"/>
      <c r="T8269" s="1"/>
      <c r="U8269" s="1"/>
      <c r="V8269" s="1"/>
      <c r="W8269" s="1"/>
      <c r="X8269" s="1"/>
      <c r="Y8269" s="1"/>
      <c r="AA8269" s="102"/>
      <c r="AB8269" s="1"/>
      <c r="AC8269" s="1"/>
      <c r="AD8269" s="1"/>
      <c r="AE8269" s="1"/>
      <c r="AF8269" s="1"/>
      <c r="AG8269" s="1"/>
    </row>
    <row r="8270" ht="15.75" customHeight="1">
      <c r="A8270" s="1"/>
      <c r="B8270" s="1"/>
      <c r="C8270" s="1"/>
      <c r="D8270" s="1"/>
      <c r="E8270" s="1"/>
      <c r="F8270" s="1"/>
      <c r="G8270" s="1"/>
      <c r="H8270" s="1"/>
      <c r="I8270" s="1"/>
      <c r="J8270" s="1"/>
      <c r="K8270" s="102" t="s">
        <v>12920</v>
      </c>
      <c r="L8270" s="102" t="str">
        <f>F1164</f>
        <v>J2b2b2~</v>
      </c>
      <c r="M8270" s="102"/>
      <c r="N8270" s="102" t="s">
        <v>12921</v>
      </c>
      <c r="O8270" s="105">
        <v>7374567.0</v>
      </c>
      <c r="P8270" s="105">
        <v>7506526.0</v>
      </c>
      <c r="Q8270" s="102" t="s">
        <v>2501</v>
      </c>
      <c r="S8270" s="1"/>
      <c r="T8270" s="1"/>
      <c r="U8270" s="1"/>
      <c r="V8270" s="1"/>
      <c r="W8270" s="1"/>
      <c r="X8270" s="1"/>
      <c r="Y8270" s="1"/>
      <c r="AA8270" s="102"/>
      <c r="AB8270" s="1"/>
      <c r="AC8270" s="1"/>
      <c r="AD8270" s="1"/>
      <c r="AE8270" s="1"/>
      <c r="AF8270" s="1"/>
      <c r="AG8270" s="1"/>
    </row>
    <row r="8271" ht="15.75" customHeight="1">
      <c r="A8271" s="1"/>
      <c r="B8271" s="1"/>
      <c r="C8271" s="1"/>
      <c r="D8271" s="1"/>
      <c r="E8271" s="1"/>
      <c r="F8271" s="1"/>
      <c r="G8271" s="1"/>
      <c r="H8271" s="1"/>
      <c r="I8271" s="1"/>
      <c r="J8271" s="1"/>
      <c r="K8271" s="102" t="s">
        <v>12922</v>
      </c>
      <c r="L8271" s="102" t="str">
        <f>F1164</f>
        <v>J2b2b2~</v>
      </c>
      <c r="M8271" s="102"/>
      <c r="N8271" s="102" t="s">
        <v>12923</v>
      </c>
      <c r="O8271" s="105">
        <v>1.4328363E7</v>
      </c>
      <c r="P8271" s="105">
        <v>1.2207657E7</v>
      </c>
      <c r="Q8271" s="102" t="s">
        <v>2439</v>
      </c>
      <c r="S8271" s="1"/>
      <c r="T8271" s="1"/>
      <c r="U8271" s="1"/>
      <c r="V8271" s="1"/>
      <c r="W8271" s="1"/>
      <c r="X8271" s="1"/>
      <c r="Y8271" s="1"/>
      <c r="AA8271" s="102"/>
      <c r="AB8271" s="1"/>
      <c r="AC8271" s="1"/>
      <c r="AD8271" s="1"/>
      <c r="AE8271" s="1"/>
      <c r="AF8271" s="1"/>
      <c r="AG8271" s="1"/>
    </row>
    <row r="8272" ht="15.75" customHeight="1">
      <c r="A8272" s="1"/>
      <c r="B8272" s="1"/>
      <c r="C8272" s="1"/>
      <c r="D8272" s="1"/>
      <c r="E8272" s="1"/>
      <c r="F8272" s="1"/>
      <c r="G8272" s="1"/>
      <c r="H8272" s="1"/>
      <c r="I8272" s="1"/>
      <c r="J8272" s="1"/>
      <c r="K8272" s="102" t="s">
        <v>12924</v>
      </c>
      <c r="L8272" s="102" t="str">
        <f>F1164</f>
        <v>J2b2b2~</v>
      </c>
      <c r="M8272" s="102"/>
      <c r="N8272" s="102" t="s">
        <v>12925</v>
      </c>
      <c r="O8272" s="105">
        <v>1.5995493E7</v>
      </c>
      <c r="P8272" s="105">
        <v>1.3883613E7</v>
      </c>
      <c r="Q8272" s="102" t="s">
        <v>2501</v>
      </c>
      <c r="S8272" s="1"/>
      <c r="T8272" s="1"/>
      <c r="U8272" s="1"/>
      <c r="V8272" s="1"/>
      <c r="W8272" s="1"/>
      <c r="X8272" s="1"/>
      <c r="Y8272" s="1"/>
      <c r="AA8272" s="102"/>
      <c r="AB8272" s="1"/>
      <c r="AC8272" s="1"/>
      <c r="AD8272" s="1"/>
      <c r="AE8272" s="1"/>
      <c r="AF8272" s="1"/>
      <c r="AG8272" s="1"/>
    </row>
    <row r="8273" ht="15.75" customHeight="1">
      <c r="A8273" s="1"/>
      <c r="B8273" s="1"/>
      <c r="C8273" s="1"/>
      <c r="D8273" s="1"/>
      <c r="E8273" s="1"/>
      <c r="F8273" s="1"/>
      <c r="G8273" s="1"/>
      <c r="H8273" s="1"/>
      <c r="I8273" s="1"/>
      <c r="J8273" s="1"/>
      <c r="K8273" s="102" t="s">
        <v>12926</v>
      </c>
      <c r="L8273" s="102" t="str">
        <f>F1164</f>
        <v>J2b2b2~</v>
      </c>
      <c r="M8273" s="102"/>
      <c r="N8273" s="102" t="s">
        <v>12927</v>
      </c>
      <c r="O8273" s="105">
        <v>8415730.0</v>
      </c>
      <c r="P8273" s="105">
        <v>8547689.0</v>
      </c>
      <c r="Q8273" s="102" t="s">
        <v>2501</v>
      </c>
      <c r="S8273" s="1"/>
      <c r="T8273" s="1"/>
      <c r="U8273" s="1"/>
      <c r="V8273" s="1"/>
      <c r="W8273" s="1"/>
      <c r="X8273" s="1"/>
      <c r="Y8273" s="1"/>
      <c r="AA8273" s="102"/>
      <c r="AB8273" s="1"/>
      <c r="AC8273" s="1"/>
      <c r="AD8273" s="1"/>
      <c r="AE8273" s="1"/>
      <c r="AF8273" s="1"/>
      <c r="AG8273" s="1"/>
    </row>
    <row r="8274" ht="15.75" customHeight="1">
      <c r="A8274" s="1"/>
      <c r="B8274" s="1"/>
      <c r="C8274" s="1"/>
      <c r="D8274" s="1"/>
      <c r="E8274" s="1"/>
      <c r="F8274" s="1"/>
      <c r="G8274" s="1"/>
      <c r="H8274" s="1"/>
      <c r="I8274" s="1"/>
      <c r="J8274" s="1"/>
      <c r="K8274" s="102" t="s">
        <v>12928</v>
      </c>
      <c r="L8274" s="102" t="str">
        <f>F1164</f>
        <v>J2b2b2~</v>
      </c>
      <c r="M8274" s="102"/>
      <c r="N8274" s="102" t="s">
        <v>12929</v>
      </c>
      <c r="O8274" s="105">
        <v>9907246.0</v>
      </c>
      <c r="P8274" s="105">
        <v>1.0069637E7</v>
      </c>
      <c r="Q8274" s="102" t="s">
        <v>2576</v>
      </c>
      <c r="S8274" s="1"/>
      <c r="T8274" s="1"/>
      <c r="U8274" s="1"/>
      <c r="V8274" s="1"/>
      <c r="W8274" s="1"/>
      <c r="X8274" s="1"/>
      <c r="Y8274" s="1"/>
      <c r="AA8274" s="102"/>
      <c r="AB8274" s="1"/>
      <c r="AC8274" s="1"/>
      <c r="AD8274" s="1"/>
      <c r="AE8274" s="1"/>
      <c r="AF8274" s="1"/>
      <c r="AG8274" s="1"/>
    </row>
    <row r="8275" ht="15.75" customHeight="1">
      <c r="A8275" s="1"/>
      <c r="B8275" s="1"/>
      <c r="C8275" s="1"/>
      <c r="D8275" s="1"/>
      <c r="E8275" s="1"/>
      <c r="F8275" s="1"/>
      <c r="G8275" s="1"/>
      <c r="H8275" s="1"/>
      <c r="I8275" s="1"/>
      <c r="J8275" s="1"/>
      <c r="K8275" s="102" t="s">
        <v>12930</v>
      </c>
      <c r="L8275" s="102" t="str">
        <f>F1164</f>
        <v>J2b2b2~</v>
      </c>
      <c r="M8275" s="102"/>
      <c r="N8275" s="102" t="s">
        <v>12931</v>
      </c>
      <c r="O8275" s="105">
        <v>2.440419E7</v>
      </c>
      <c r="P8275" s="105">
        <v>2.2258043E7</v>
      </c>
      <c r="Q8275" s="102" t="s">
        <v>2423</v>
      </c>
      <c r="S8275" s="1"/>
      <c r="T8275" s="1"/>
      <c r="U8275" s="1"/>
      <c r="V8275" s="1"/>
      <c r="W8275" s="1"/>
      <c r="X8275" s="1"/>
      <c r="Y8275" s="1"/>
      <c r="AA8275" s="102"/>
      <c r="AB8275" s="1"/>
      <c r="AC8275" s="1"/>
      <c r="AD8275" s="1"/>
      <c r="AE8275" s="1"/>
      <c r="AF8275" s="1"/>
      <c r="AG8275" s="1"/>
    </row>
    <row r="8276" ht="15.75" customHeight="1">
      <c r="A8276" s="1"/>
      <c r="B8276" s="1"/>
      <c r="C8276" s="1"/>
      <c r="D8276" s="1"/>
      <c r="E8276" s="1"/>
      <c r="F8276" s="1"/>
      <c r="G8276" s="1"/>
      <c r="H8276" s="1"/>
      <c r="I8276" s="1"/>
      <c r="J8276" s="1"/>
      <c r="K8276" s="102" t="s">
        <v>12932</v>
      </c>
      <c r="L8276" s="102" t="str">
        <f>F1164</f>
        <v>J2b2b2~</v>
      </c>
      <c r="M8276" s="102"/>
      <c r="N8276" s="102" t="s">
        <v>12933</v>
      </c>
      <c r="O8276" s="105">
        <v>6649679.0</v>
      </c>
      <c r="P8276" s="105">
        <v>6781638.0</v>
      </c>
      <c r="Q8276" s="102" t="s">
        <v>2501</v>
      </c>
      <c r="S8276" s="1"/>
      <c r="T8276" s="1"/>
      <c r="U8276" s="1"/>
      <c r="V8276" s="1"/>
      <c r="W8276" s="1"/>
      <c r="X8276" s="1"/>
      <c r="Y8276" s="1"/>
      <c r="AA8276" s="102"/>
      <c r="AB8276" s="1"/>
      <c r="AC8276" s="1"/>
      <c r="AD8276" s="1"/>
      <c r="AE8276" s="1"/>
      <c r="AF8276" s="1"/>
      <c r="AG8276" s="1"/>
    </row>
    <row r="8277" ht="15.75" customHeight="1">
      <c r="A8277" s="1"/>
      <c r="B8277" s="1"/>
      <c r="C8277" s="1"/>
      <c r="D8277" s="1"/>
      <c r="E8277" s="1"/>
      <c r="F8277" s="1"/>
      <c r="G8277" s="1"/>
      <c r="H8277" s="1"/>
      <c r="I8277" s="1"/>
      <c r="J8277" s="1"/>
      <c r="K8277" s="102" t="s">
        <v>12934</v>
      </c>
      <c r="L8277" s="102" t="str">
        <f>G1165</f>
        <v>J2b2b2a~</v>
      </c>
      <c r="M8277" s="102"/>
      <c r="N8277" s="102" t="s">
        <v>12935</v>
      </c>
      <c r="O8277" s="105">
        <v>1.6958721E7</v>
      </c>
      <c r="P8277" s="105">
        <v>1.4846841E7</v>
      </c>
      <c r="Q8277" s="102" t="s">
        <v>2423</v>
      </c>
      <c r="S8277" s="1"/>
      <c r="T8277" s="1"/>
      <c r="U8277" s="1"/>
      <c r="V8277" s="1"/>
      <c r="W8277" s="1"/>
      <c r="X8277" s="1"/>
      <c r="Y8277" s="1"/>
      <c r="AA8277" s="102"/>
      <c r="AB8277" s="1"/>
      <c r="AC8277" s="1"/>
      <c r="AD8277" s="1"/>
      <c r="AE8277" s="1"/>
      <c r="AF8277" s="1"/>
      <c r="AG8277" s="1"/>
    </row>
    <row r="8278" ht="15.75" customHeight="1">
      <c r="A8278" s="1"/>
      <c r="B8278" s="1"/>
      <c r="C8278" s="1"/>
      <c r="D8278" s="1"/>
      <c r="E8278" s="1"/>
      <c r="F8278" s="1"/>
      <c r="G8278" s="1"/>
      <c r="H8278" s="1"/>
      <c r="I8278" s="1"/>
      <c r="J8278" s="1"/>
      <c r="K8278" s="102" t="s">
        <v>12936</v>
      </c>
      <c r="L8278" s="102" t="str">
        <f>G1165</f>
        <v>J2b2b2a~</v>
      </c>
      <c r="M8278" s="102"/>
      <c r="N8278" s="102" t="s">
        <v>12937</v>
      </c>
      <c r="O8278" s="105">
        <v>6776706.0</v>
      </c>
      <c r="P8278" s="105">
        <v>6908665.0</v>
      </c>
      <c r="Q8278" s="102" t="s">
        <v>2514</v>
      </c>
      <c r="S8278" s="1"/>
      <c r="T8278" s="1"/>
      <c r="U8278" s="1"/>
      <c r="V8278" s="1"/>
      <c r="W8278" s="1"/>
      <c r="X8278" s="1"/>
      <c r="Y8278" s="1"/>
      <c r="AA8278" s="102"/>
      <c r="AB8278" s="1"/>
      <c r="AC8278" s="1"/>
      <c r="AD8278" s="1"/>
      <c r="AE8278" s="1"/>
      <c r="AF8278" s="1"/>
      <c r="AG8278" s="1"/>
    </row>
    <row r="8279" ht="15.75" customHeight="1">
      <c r="A8279" s="1"/>
      <c r="B8279" s="1"/>
      <c r="C8279" s="1"/>
      <c r="D8279" s="1"/>
      <c r="E8279" s="1"/>
      <c r="F8279" s="1"/>
      <c r="G8279" s="1"/>
      <c r="H8279" s="1"/>
      <c r="I8279" s="1"/>
      <c r="J8279" s="1"/>
      <c r="K8279" s="102" t="s">
        <v>12938</v>
      </c>
      <c r="L8279" s="102" t="str">
        <f>G1165</f>
        <v>J2b2b2a~</v>
      </c>
      <c r="M8279" s="102"/>
      <c r="N8279" s="102"/>
      <c r="O8279" s="105">
        <v>1.751551E7</v>
      </c>
      <c r="P8279" s="105">
        <v>1.540363E7</v>
      </c>
      <c r="Q8279" s="102" t="s">
        <v>2533</v>
      </c>
      <c r="S8279" s="1"/>
      <c r="T8279" s="1"/>
      <c r="U8279" s="1"/>
      <c r="V8279" s="1"/>
      <c r="W8279" s="1"/>
      <c r="X8279" s="1"/>
      <c r="Y8279" s="1"/>
      <c r="AA8279" s="102"/>
      <c r="AB8279" s="1"/>
      <c r="AC8279" s="1"/>
      <c r="AD8279" s="1"/>
      <c r="AE8279" s="1"/>
      <c r="AF8279" s="1"/>
      <c r="AG8279" s="1"/>
    </row>
    <row r="8280" ht="15.75" customHeight="1">
      <c r="A8280" s="1"/>
      <c r="B8280" s="1"/>
      <c r="C8280" s="1"/>
      <c r="D8280" s="1"/>
      <c r="E8280" s="1"/>
      <c r="F8280" s="1"/>
      <c r="G8280" s="1"/>
      <c r="H8280" s="1"/>
      <c r="I8280" s="1"/>
      <c r="J8280" s="1"/>
      <c r="K8280" s="102" t="s">
        <v>12939</v>
      </c>
      <c r="L8280" s="102" t="str">
        <f>G1165</f>
        <v>J2b2b2a~</v>
      </c>
      <c r="M8280" s="102"/>
      <c r="N8280" s="102"/>
      <c r="O8280" s="105">
        <v>1.9097053E7</v>
      </c>
      <c r="P8280" s="105">
        <v>1.6985173E7</v>
      </c>
      <c r="Q8280" s="102" t="s">
        <v>2501</v>
      </c>
      <c r="S8280" s="1"/>
      <c r="T8280" s="1"/>
      <c r="U8280" s="1"/>
      <c r="V8280" s="1"/>
      <c r="W8280" s="1"/>
      <c r="X8280" s="1"/>
      <c r="Y8280" s="1"/>
      <c r="AA8280" s="102"/>
      <c r="AB8280" s="1"/>
      <c r="AC8280" s="1"/>
      <c r="AD8280" s="1"/>
      <c r="AE8280" s="1"/>
      <c r="AF8280" s="1"/>
      <c r="AG8280" s="1"/>
    </row>
    <row r="8281" ht="15.75" customHeight="1">
      <c r="A8281" s="1"/>
      <c r="B8281" s="1"/>
      <c r="C8281" s="1"/>
      <c r="D8281" s="1"/>
      <c r="E8281" s="1"/>
      <c r="F8281" s="1"/>
      <c r="G8281" s="1"/>
      <c r="H8281" s="1"/>
      <c r="I8281" s="1"/>
      <c r="J8281" s="1"/>
      <c r="K8281" s="102" t="s">
        <v>12940</v>
      </c>
      <c r="L8281" s="102" t="str">
        <f>G1165</f>
        <v>J2b2b2a~</v>
      </c>
      <c r="M8281" s="102"/>
      <c r="N8281" s="102" t="s">
        <v>12941</v>
      </c>
      <c r="O8281" s="105">
        <v>1.6810301E7</v>
      </c>
      <c r="P8281" s="105">
        <v>1.4698421E7</v>
      </c>
      <c r="Q8281" s="102" t="s">
        <v>2576</v>
      </c>
      <c r="S8281" s="1"/>
      <c r="T8281" s="1"/>
      <c r="U8281" s="1"/>
      <c r="V8281" s="1"/>
      <c r="W8281" s="1"/>
      <c r="X8281" s="1"/>
      <c r="Y8281" s="1"/>
      <c r="AA8281" s="102"/>
      <c r="AB8281" s="1"/>
      <c r="AC8281" s="1"/>
      <c r="AD8281" s="1"/>
      <c r="AE8281" s="1"/>
      <c r="AF8281" s="1"/>
      <c r="AG8281" s="1"/>
    </row>
    <row r="8282" ht="15.75" customHeight="1">
      <c r="A8282" s="1"/>
      <c r="B8282" s="1"/>
      <c r="C8282" s="1"/>
      <c r="D8282" s="1"/>
      <c r="E8282" s="1"/>
      <c r="F8282" s="1"/>
      <c r="G8282" s="1"/>
      <c r="H8282" s="1"/>
      <c r="I8282" s="1"/>
      <c r="J8282" s="1"/>
      <c r="K8282" s="102" t="s">
        <v>12942</v>
      </c>
      <c r="L8282" s="102" t="str">
        <f>G1165</f>
        <v>J2b2b2a~</v>
      </c>
      <c r="M8282" s="102"/>
      <c r="N8282" s="102" t="s">
        <v>12943</v>
      </c>
      <c r="O8282" s="105">
        <v>2911693.0</v>
      </c>
      <c r="P8282" s="105">
        <v>3043652.0</v>
      </c>
      <c r="Q8282" s="102" t="s">
        <v>2501</v>
      </c>
      <c r="S8282" s="1"/>
      <c r="T8282" s="1"/>
      <c r="U8282" s="1"/>
      <c r="V8282" s="1"/>
      <c r="W8282" s="1"/>
      <c r="X8282" s="1"/>
      <c r="Y8282" s="1"/>
      <c r="AA8282" s="102"/>
      <c r="AB8282" s="1"/>
      <c r="AC8282" s="1"/>
      <c r="AD8282" s="1"/>
      <c r="AE8282" s="1"/>
      <c r="AF8282" s="1"/>
      <c r="AG8282" s="1"/>
    </row>
    <row r="8283" ht="15.75" customHeight="1">
      <c r="A8283" s="1"/>
      <c r="B8283" s="1"/>
      <c r="C8283" s="1"/>
      <c r="D8283" s="1"/>
      <c r="E8283" s="1"/>
      <c r="F8283" s="1"/>
      <c r="G8283" s="1"/>
      <c r="H8283" s="1"/>
      <c r="I8283" s="1"/>
      <c r="J8283" s="1"/>
      <c r="K8283" s="102" t="s">
        <v>12944</v>
      </c>
      <c r="L8283" s="102" t="str">
        <f>G1165</f>
        <v>J2b2b2a~</v>
      </c>
      <c r="M8283" s="102"/>
      <c r="N8283" s="102" t="s">
        <v>12945</v>
      </c>
      <c r="O8283" s="105">
        <v>1.4748794E7</v>
      </c>
      <c r="P8283" s="105">
        <v>1.2636863E7</v>
      </c>
      <c r="Q8283" s="102" t="s">
        <v>2468</v>
      </c>
      <c r="S8283" s="1"/>
      <c r="T8283" s="1"/>
      <c r="U8283" s="1"/>
      <c r="V8283" s="1"/>
      <c r="W8283" s="1"/>
      <c r="X8283" s="1"/>
      <c r="Y8283" s="1"/>
      <c r="AA8283" s="102"/>
      <c r="AB8283" s="1"/>
      <c r="AC8283" s="1"/>
      <c r="AD8283" s="1"/>
      <c r="AE8283" s="1"/>
      <c r="AF8283" s="1"/>
      <c r="AG8283" s="1"/>
    </row>
    <row r="8284" ht="15.75" customHeight="1">
      <c r="A8284" s="1"/>
      <c r="B8284" s="1"/>
      <c r="C8284" s="1"/>
      <c r="D8284" s="1"/>
      <c r="E8284" s="1"/>
      <c r="F8284" s="1"/>
      <c r="G8284" s="1"/>
      <c r="H8284" s="1"/>
      <c r="I8284" s="1"/>
      <c r="J8284" s="1"/>
      <c r="K8284" s="102" t="s">
        <v>12946</v>
      </c>
      <c r="L8284" s="102" t="str">
        <f>G1165</f>
        <v>J2b2b2a~</v>
      </c>
      <c r="M8284" s="102"/>
      <c r="N8284" s="102" t="s">
        <v>12947</v>
      </c>
      <c r="O8284" s="105">
        <v>1.5371279E7</v>
      </c>
      <c r="P8284" s="105">
        <v>1.3259399E7</v>
      </c>
      <c r="Q8284" s="102" t="s">
        <v>2468</v>
      </c>
      <c r="S8284" s="1"/>
      <c r="T8284" s="1"/>
      <c r="U8284" s="1"/>
      <c r="V8284" s="1"/>
      <c r="W8284" s="1"/>
      <c r="X8284" s="1"/>
      <c r="Y8284" s="1"/>
      <c r="AA8284" s="102"/>
      <c r="AB8284" s="1"/>
      <c r="AC8284" s="1"/>
      <c r="AD8284" s="1"/>
      <c r="AE8284" s="1"/>
      <c r="AF8284" s="1"/>
      <c r="AG8284" s="1"/>
    </row>
    <row r="8285" ht="15.75" customHeight="1">
      <c r="A8285" s="1"/>
      <c r="B8285" s="1"/>
      <c r="C8285" s="1"/>
      <c r="D8285" s="1"/>
      <c r="E8285" s="1"/>
      <c r="F8285" s="1"/>
      <c r="G8285" s="1"/>
      <c r="H8285" s="1"/>
      <c r="I8285" s="1"/>
      <c r="J8285" s="1"/>
      <c r="K8285" s="102" t="s">
        <v>12948</v>
      </c>
      <c r="L8285" s="102" t="str">
        <f>G1165</f>
        <v>J2b2b2a~</v>
      </c>
      <c r="M8285" s="102"/>
      <c r="N8285" s="102" t="s">
        <v>12949</v>
      </c>
      <c r="O8285" s="105">
        <v>1.4789213E7</v>
      </c>
      <c r="P8285" s="105">
        <v>1.2677284E7</v>
      </c>
      <c r="Q8285" s="102" t="s">
        <v>2423</v>
      </c>
      <c r="S8285" s="1"/>
      <c r="T8285" s="1"/>
      <c r="U8285" s="1"/>
      <c r="V8285" s="1"/>
      <c r="W8285" s="1"/>
      <c r="X8285" s="1"/>
      <c r="Y8285" s="1"/>
      <c r="AA8285" s="102"/>
      <c r="AB8285" s="1"/>
      <c r="AC8285" s="1"/>
      <c r="AD8285" s="1"/>
      <c r="AE8285" s="1"/>
      <c r="AF8285" s="1"/>
      <c r="AG8285" s="1"/>
    </row>
    <row r="8286" ht="15.75" customHeight="1">
      <c r="A8286" s="1"/>
      <c r="B8286" s="1"/>
      <c r="C8286" s="1"/>
      <c r="D8286" s="1"/>
      <c r="E8286" s="1"/>
      <c r="F8286" s="1"/>
      <c r="G8286" s="1"/>
      <c r="H8286" s="1"/>
      <c r="I8286" s="1"/>
      <c r="J8286" s="1"/>
      <c r="K8286" s="102" t="s">
        <v>12950</v>
      </c>
      <c r="L8286" s="102" t="str">
        <f>G1165</f>
        <v>J2b2b2a~</v>
      </c>
      <c r="M8286" s="102"/>
      <c r="N8286" s="102"/>
      <c r="O8286" s="105">
        <v>1.4373208E7</v>
      </c>
      <c r="P8286" s="105">
        <v>1.2252504E7</v>
      </c>
      <c r="Q8286" s="102" t="s">
        <v>2501</v>
      </c>
      <c r="S8286" s="1"/>
      <c r="T8286" s="1"/>
      <c r="U8286" s="1"/>
      <c r="V8286" s="1"/>
      <c r="W8286" s="1"/>
      <c r="X8286" s="1"/>
      <c r="Y8286" s="1"/>
      <c r="AA8286" s="102"/>
      <c r="AB8286" s="1"/>
      <c r="AC8286" s="1"/>
      <c r="AD8286" s="1"/>
      <c r="AE8286" s="1"/>
      <c r="AF8286" s="1"/>
      <c r="AG8286" s="1"/>
    </row>
    <row r="8287" ht="15.75" customHeight="1">
      <c r="A8287" s="1"/>
      <c r="B8287" s="1"/>
      <c r="C8287" s="1"/>
      <c r="D8287" s="1"/>
      <c r="E8287" s="1"/>
      <c r="F8287" s="1"/>
      <c r="G8287" s="1"/>
      <c r="H8287" s="1"/>
      <c r="I8287" s="1"/>
      <c r="J8287" s="1"/>
      <c r="K8287" s="102" t="s">
        <v>12951</v>
      </c>
      <c r="L8287" s="102" t="str">
        <f>G1165</f>
        <v>J2b2b2a~</v>
      </c>
      <c r="M8287" s="102"/>
      <c r="N8287" s="102" t="s">
        <v>12952</v>
      </c>
      <c r="O8287" s="105">
        <v>2691553.0</v>
      </c>
      <c r="P8287" s="105">
        <v>2823512.0</v>
      </c>
      <c r="Q8287" s="102" t="s">
        <v>2439</v>
      </c>
      <c r="S8287" s="1"/>
      <c r="T8287" s="1"/>
      <c r="U8287" s="1"/>
      <c r="V8287" s="1"/>
      <c r="W8287" s="1"/>
      <c r="X8287" s="1"/>
      <c r="Y8287" s="1"/>
      <c r="AA8287" s="102"/>
      <c r="AB8287" s="1"/>
      <c r="AC8287" s="1"/>
      <c r="AD8287" s="1"/>
      <c r="AE8287" s="1"/>
      <c r="AF8287" s="1"/>
      <c r="AG8287" s="1"/>
    </row>
    <row r="8288" ht="15.75" customHeight="1">
      <c r="A8288" s="1"/>
      <c r="B8288" s="1"/>
      <c r="C8288" s="1"/>
      <c r="D8288" s="1"/>
      <c r="E8288" s="1"/>
      <c r="F8288" s="1"/>
      <c r="G8288" s="1"/>
      <c r="H8288" s="1"/>
      <c r="I8288" s="1"/>
      <c r="J8288" s="1"/>
      <c r="K8288" s="102" t="s">
        <v>12953</v>
      </c>
      <c r="L8288" s="102" t="str">
        <f>G1165</f>
        <v>J2b2b2a~</v>
      </c>
      <c r="M8288" s="102"/>
      <c r="N8288" s="102" t="s">
        <v>12954</v>
      </c>
      <c r="O8288" s="105">
        <v>1.8423677E7</v>
      </c>
      <c r="P8288" s="105">
        <v>1.6311797E7</v>
      </c>
      <c r="Q8288" s="102" t="s">
        <v>2468</v>
      </c>
      <c r="S8288" s="1"/>
      <c r="T8288" s="1"/>
      <c r="U8288" s="1"/>
      <c r="V8288" s="1"/>
      <c r="W8288" s="1"/>
      <c r="X8288" s="1"/>
      <c r="Y8288" s="1"/>
      <c r="AA8288" s="102"/>
      <c r="AB8288" s="1"/>
      <c r="AC8288" s="1"/>
      <c r="AD8288" s="1"/>
      <c r="AE8288" s="1"/>
      <c r="AF8288" s="1"/>
      <c r="AG8288" s="1"/>
    </row>
    <row r="8289" ht="15.75" customHeight="1">
      <c r="A8289" s="1"/>
      <c r="B8289" s="1"/>
      <c r="C8289" s="1"/>
      <c r="D8289" s="1"/>
      <c r="E8289" s="1"/>
      <c r="F8289" s="1"/>
      <c r="G8289" s="1"/>
      <c r="H8289" s="1"/>
      <c r="I8289" s="1"/>
      <c r="J8289" s="1"/>
      <c r="K8289" s="102" t="s">
        <v>12955</v>
      </c>
      <c r="L8289" s="102" t="str">
        <f>G1165</f>
        <v>J2b2b2a~</v>
      </c>
      <c r="M8289" s="102"/>
      <c r="N8289" s="102" t="s">
        <v>12956</v>
      </c>
      <c r="O8289" s="105">
        <v>1.734186E7</v>
      </c>
      <c r="P8289" s="105">
        <v>1.522998E7</v>
      </c>
      <c r="Q8289" s="102" t="s">
        <v>2529</v>
      </c>
      <c r="S8289" s="1"/>
      <c r="T8289" s="1"/>
      <c r="U8289" s="1"/>
      <c r="V8289" s="1"/>
      <c r="W8289" s="1"/>
      <c r="X8289" s="1"/>
      <c r="Y8289" s="1"/>
      <c r="AA8289" s="102"/>
      <c r="AB8289" s="1"/>
      <c r="AC8289" s="1"/>
      <c r="AD8289" s="1"/>
      <c r="AE8289" s="1"/>
      <c r="AF8289" s="1"/>
      <c r="AG8289" s="1"/>
    </row>
    <row r="8290" ht="15.75" customHeight="1">
      <c r="A8290" s="1"/>
      <c r="B8290" s="1"/>
      <c r="C8290" s="1"/>
      <c r="D8290" s="1"/>
      <c r="E8290" s="1"/>
      <c r="F8290" s="1"/>
      <c r="G8290" s="1"/>
      <c r="H8290" s="1"/>
      <c r="I8290" s="1"/>
      <c r="J8290" s="1"/>
      <c r="K8290" s="102" t="s">
        <v>12957</v>
      </c>
      <c r="L8290" s="102" t="str">
        <f>G1165</f>
        <v>J2b2b2a~</v>
      </c>
      <c r="M8290" s="102"/>
      <c r="N8290" s="102" t="s">
        <v>12958</v>
      </c>
      <c r="O8290" s="105">
        <v>8590697.0</v>
      </c>
      <c r="P8290" s="105">
        <v>8722656.0</v>
      </c>
      <c r="Q8290" s="102" t="s">
        <v>2514</v>
      </c>
      <c r="S8290" s="1"/>
      <c r="T8290" s="1"/>
      <c r="U8290" s="1"/>
      <c r="V8290" s="1"/>
      <c r="W8290" s="1"/>
      <c r="X8290" s="1"/>
      <c r="Y8290" s="1"/>
      <c r="AA8290" s="102"/>
      <c r="AB8290" s="1"/>
      <c r="AC8290" s="1"/>
      <c r="AD8290" s="1"/>
      <c r="AE8290" s="1"/>
      <c r="AF8290" s="1"/>
      <c r="AG8290" s="1"/>
    </row>
    <row r="8291" ht="15.75" customHeight="1">
      <c r="A8291" s="1"/>
      <c r="B8291" s="1"/>
      <c r="C8291" s="1"/>
      <c r="D8291" s="1"/>
      <c r="E8291" s="1"/>
      <c r="F8291" s="1"/>
      <c r="G8291" s="1"/>
      <c r="H8291" s="1"/>
      <c r="I8291" s="1"/>
      <c r="J8291" s="1"/>
      <c r="K8291" s="102" t="s">
        <v>12959</v>
      </c>
      <c r="L8291" s="102" t="str">
        <f>G1165</f>
        <v>J2b2b2a~</v>
      </c>
      <c r="M8291" s="102"/>
      <c r="N8291" s="102" t="s">
        <v>12960</v>
      </c>
      <c r="O8291" s="105">
        <v>1.8244262E7</v>
      </c>
      <c r="P8291" s="105">
        <v>1.6132382E7</v>
      </c>
      <c r="Q8291" s="102" t="s">
        <v>2423</v>
      </c>
      <c r="S8291" s="1"/>
      <c r="T8291" s="1"/>
      <c r="U8291" s="1"/>
      <c r="V8291" s="1"/>
      <c r="W8291" s="1"/>
      <c r="X8291" s="1"/>
      <c r="Y8291" s="1"/>
      <c r="AA8291" s="102"/>
      <c r="AB8291" s="1"/>
      <c r="AC8291" s="1"/>
      <c r="AD8291" s="1"/>
      <c r="AE8291" s="1"/>
      <c r="AF8291" s="1"/>
      <c r="AG8291" s="1"/>
    </row>
    <row r="8292" ht="15.75" customHeight="1">
      <c r="A8292" s="1"/>
      <c r="B8292" s="1"/>
      <c r="C8292" s="1"/>
      <c r="D8292" s="1"/>
      <c r="E8292" s="1"/>
      <c r="F8292" s="1"/>
      <c r="G8292" s="1"/>
      <c r="H8292" s="1"/>
      <c r="I8292" s="1"/>
      <c r="J8292" s="1"/>
      <c r="K8292" s="102" t="s">
        <v>12961</v>
      </c>
      <c r="L8292" s="102" t="str">
        <f>G1165</f>
        <v>J2b2b2a~</v>
      </c>
      <c r="M8292" s="102"/>
      <c r="N8292" s="102"/>
      <c r="O8292" s="105">
        <v>8498271.0</v>
      </c>
      <c r="P8292" s="105">
        <v>8630230.0</v>
      </c>
      <c r="Q8292" s="102" t="s">
        <v>2439</v>
      </c>
      <c r="S8292" s="1"/>
      <c r="T8292" s="1"/>
      <c r="U8292" s="1"/>
      <c r="V8292" s="1"/>
      <c r="W8292" s="1"/>
      <c r="X8292" s="1"/>
      <c r="Y8292" s="1"/>
      <c r="AA8292" s="102"/>
      <c r="AB8292" s="1"/>
      <c r="AC8292" s="1"/>
      <c r="AD8292" s="1"/>
      <c r="AE8292" s="1"/>
      <c r="AF8292" s="1"/>
      <c r="AG8292" s="1"/>
    </row>
    <row r="8293" ht="15.75" customHeight="1">
      <c r="A8293" s="1"/>
      <c r="B8293" s="1"/>
      <c r="C8293" s="1"/>
      <c r="D8293" s="1"/>
      <c r="E8293" s="1"/>
      <c r="F8293" s="1"/>
      <c r="G8293" s="1"/>
      <c r="H8293" s="1"/>
      <c r="I8293" s="1"/>
      <c r="J8293" s="1"/>
      <c r="K8293" s="102" t="s">
        <v>12962</v>
      </c>
      <c r="L8293" s="102" t="str">
        <f>G1165</f>
        <v>J2b2b2a~</v>
      </c>
      <c r="M8293" s="102"/>
      <c r="N8293" s="102" t="s">
        <v>12963</v>
      </c>
      <c r="O8293" s="105">
        <v>1.5972076E7</v>
      </c>
      <c r="P8293" s="105">
        <v>1.3860196E7</v>
      </c>
      <c r="Q8293" s="102" t="s">
        <v>2501</v>
      </c>
      <c r="S8293" s="1"/>
      <c r="T8293" s="1"/>
      <c r="U8293" s="1"/>
      <c r="V8293" s="1"/>
      <c r="W8293" s="1"/>
      <c r="X8293" s="1"/>
      <c r="Y8293" s="1"/>
      <c r="AA8293" s="102"/>
      <c r="AB8293" s="1"/>
      <c r="AC8293" s="1"/>
      <c r="AD8293" s="1"/>
      <c r="AE8293" s="1"/>
      <c r="AF8293" s="1"/>
      <c r="AG8293" s="1"/>
    </row>
    <row r="8294" ht="15.75" customHeight="1">
      <c r="A8294" s="1"/>
      <c r="B8294" s="1"/>
      <c r="C8294" s="1"/>
      <c r="D8294" s="1"/>
      <c r="E8294" s="1"/>
      <c r="F8294" s="1"/>
      <c r="G8294" s="1"/>
      <c r="H8294" s="1"/>
      <c r="I8294" s="1"/>
      <c r="J8294" s="1"/>
      <c r="K8294" s="102" t="s">
        <v>12964</v>
      </c>
      <c r="L8294" s="102" t="str">
        <f>G1165</f>
        <v>J2b2b2a~</v>
      </c>
      <c r="M8294" s="102"/>
      <c r="N8294" s="102"/>
      <c r="O8294" s="105">
        <v>1.727173E7</v>
      </c>
      <c r="P8294" s="105">
        <v>1.515985E7</v>
      </c>
      <c r="Q8294" s="102" t="s">
        <v>2446</v>
      </c>
      <c r="S8294" s="1"/>
      <c r="T8294" s="1"/>
      <c r="U8294" s="1"/>
      <c r="V8294" s="1"/>
      <c r="W8294" s="1"/>
      <c r="X8294" s="1"/>
      <c r="Y8294" s="1"/>
      <c r="AA8294" s="102"/>
      <c r="AB8294" s="1"/>
      <c r="AC8294" s="1"/>
      <c r="AD8294" s="1"/>
      <c r="AE8294" s="1"/>
      <c r="AF8294" s="1"/>
      <c r="AG8294" s="1"/>
    </row>
    <row r="8295" ht="15.75" customHeight="1">
      <c r="A8295" s="1"/>
      <c r="B8295" s="1"/>
      <c r="C8295" s="1"/>
      <c r="D8295" s="1"/>
      <c r="E8295" s="1"/>
      <c r="F8295" s="1"/>
      <c r="G8295" s="1"/>
      <c r="H8295" s="1"/>
      <c r="I8295" s="1"/>
      <c r="J8295" s="1"/>
      <c r="K8295" s="102" t="s">
        <v>12965</v>
      </c>
      <c r="L8295" s="102" t="str">
        <f>G1165</f>
        <v>J2b2b2a~</v>
      </c>
      <c r="M8295" s="102"/>
      <c r="N8295" s="102" t="s">
        <v>12966</v>
      </c>
      <c r="O8295" s="105">
        <v>1.5941034E7</v>
      </c>
      <c r="P8295" s="105">
        <v>1.3829154E7</v>
      </c>
      <c r="Q8295" s="102" t="s">
        <v>2468</v>
      </c>
      <c r="S8295" s="1"/>
      <c r="T8295" s="1"/>
      <c r="U8295" s="1"/>
      <c r="V8295" s="1"/>
      <c r="W8295" s="1"/>
      <c r="X8295" s="1"/>
      <c r="Y8295" s="1"/>
      <c r="AA8295" s="102"/>
      <c r="AB8295" s="1"/>
      <c r="AC8295" s="1"/>
      <c r="AD8295" s="1"/>
      <c r="AE8295" s="1"/>
      <c r="AF8295" s="1"/>
      <c r="AG8295" s="1"/>
    </row>
    <row r="8296" ht="15.75" customHeight="1">
      <c r="A8296" s="1"/>
      <c r="B8296" s="1"/>
      <c r="C8296" s="1"/>
      <c r="D8296" s="1"/>
      <c r="E8296" s="1"/>
      <c r="F8296" s="1"/>
      <c r="G8296" s="1"/>
      <c r="H8296" s="1"/>
      <c r="I8296" s="1"/>
      <c r="J8296" s="1"/>
      <c r="K8296" s="102" t="s">
        <v>12967</v>
      </c>
      <c r="L8296" s="102" t="str">
        <f>G1165</f>
        <v>J2b2b2a~</v>
      </c>
      <c r="M8296" s="102"/>
      <c r="N8296" s="102" t="s">
        <v>12968</v>
      </c>
      <c r="O8296" s="105">
        <v>8364701.0</v>
      </c>
      <c r="P8296" s="105">
        <v>8496660.0</v>
      </c>
      <c r="Q8296" s="102" t="s">
        <v>2468</v>
      </c>
      <c r="S8296" s="1"/>
      <c r="T8296" s="1"/>
      <c r="U8296" s="1"/>
      <c r="V8296" s="1"/>
      <c r="W8296" s="1"/>
      <c r="X8296" s="1"/>
      <c r="Y8296" s="1"/>
      <c r="AA8296" s="102"/>
      <c r="AB8296" s="1"/>
      <c r="AC8296" s="1"/>
      <c r="AD8296" s="1"/>
      <c r="AE8296" s="1"/>
      <c r="AF8296" s="1"/>
      <c r="AG8296" s="1"/>
    </row>
    <row r="8297" ht="15.75" customHeight="1">
      <c r="A8297" s="1"/>
      <c r="B8297" s="1"/>
      <c r="C8297" s="1"/>
      <c r="D8297" s="1"/>
      <c r="E8297" s="1"/>
      <c r="F8297" s="1"/>
      <c r="G8297" s="1"/>
      <c r="H8297" s="1"/>
      <c r="I8297" s="1"/>
      <c r="J8297" s="1"/>
      <c r="K8297" s="102" t="s">
        <v>12969</v>
      </c>
      <c r="L8297" s="102" t="str">
        <f>G1165</f>
        <v>J2b2b2a~</v>
      </c>
      <c r="M8297" s="102"/>
      <c r="N8297" s="102" t="s">
        <v>12970</v>
      </c>
      <c r="O8297" s="105">
        <v>1.6456943E7</v>
      </c>
      <c r="P8297" s="105">
        <v>1.4345063E7</v>
      </c>
      <c r="Q8297" s="102" t="s">
        <v>2501</v>
      </c>
      <c r="S8297" s="1"/>
      <c r="T8297" s="1"/>
      <c r="U8297" s="1"/>
      <c r="V8297" s="1"/>
      <c r="W8297" s="1"/>
      <c r="X8297" s="1"/>
      <c r="Y8297" s="1"/>
      <c r="AA8297" s="102"/>
      <c r="AB8297" s="1"/>
      <c r="AC8297" s="1"/>
      <c r="AD8297" s="1"/>
      <c r="AE8297" s="1"/>
      <c r="AF8297" s="1"/>
      <c r="AG8297" s="1"/>
    </row>
    <row r="8298" ht="15.75" customHeight="1">
      <c r="A8298" s="1"/>
      <c r="B8298" s="1"/>
      <c r="C8298" s="1"/>
      <c r="D8298" s="1"/>
      <c r="E8298" s="1"/>
      <c r="F8298" s="1"/>
      <c r="G8298" s="1"/>
      <c r="H8298" s="1"/>
      <c r="I8298" s="1"/>
      <c r="J8298" s="1"/>
      <c r="K8298" s="102" t="s">
        <v>12971</v>
      </c>
      <c r="L8298" s="102" t="str">
        <f>G1165</f>
        <v>J2b2b2a~</v>
      </c>
      <c r="M8298" s="102"/>
      <c r="N8298" s="102" t="s">
        <v>12972</v>
      </c>
      <c r="O8298" s="105">
        <v>1.9508751E7</v>
      </c>
      <c r="P8298" s="105">
        <v>1.7396871E7</v>
      </c>
      <c r="Q8298" s="102" t="s">
        <v>2439</v>
      </c>
      <c r="S8298" s="1"/>
      <c r="T8298" s="1"/>
      <c r="U8298" s="1"/>
      <c r="V8298" s="1"/>
      <c r="W8298" s="1"/>
      <c r="X8298" s="1"/>
      <c r="Y8298" s="1"/>
      <c r="AA8298" s="102"/>
      <c r="AB8298" s="1"/>
      <c r="AC8298" s="1"/>
      <c r="AD8298" s="1"/>
      <c r="AE8298" s="1"/>
      <c r="AF8298" s="1"/>
      <c r="AG8298" s="1"/>
    </row>
    <row r="8299" ht="15.75" customHeight="1">
      <c r="A8299" s="1"/>
      <c r="B8299" s="1"/>
      <c r="C8299" s="1"/>
      <c r="D8299" s="1"/>
      <c r="E8299" s="1"/>
      <c r="F8299" s="1"/>
      <c r="G8299" s="1"/>
      <c r="H8299" s="1"/>
      <c r="I8299" s="1"/>
      <c r="J8299" s="1"/>
      <c r="K8299" s="102" t="s">
        <v>12973</v>
      </c>
      <c r="L8299" s="102" t="str">
        <f>G1165</f>
        <v>J2b2b2a~</v>
      </c>
      <c r="M8299" s="102"/>
      <c r="N8299" s="102" t="s">
        <v>12974</v>
      </c>
      <c r="O8299" s="105">
        <v>1.3853477E7</v>
      </c>
      <c r="P8299" s="105">
        <v>1.1732771E7</v>
      </c>
      <c r="Q8299" s="102" t="s">
        <v>2533</v>
      </c>
      <c r="S8299" s="1"/>
      <c r="T8299" s="1"/>
      <c r="U8299" s="1"/>
      <c r="V8299" s="1"/>
      <c r="W8299" s="1"/>
      <c r="X8299" s="1"/>
      <c r="Y8299" s="1"/>
      <c r="AA8299" s="102"/>
      <c r="AB8299" s="1"/>
      <c r="AC8299" s="1"/>
      <c r="AD8299" s="1"/>
      <c r="AE8299" s="1"/>
      <c r="AF8299" s="1"/>
      <c r="AG8299" s="1"/>
    </row>
    <row r="8300" ht="15.75" customHeight="1">
      <c r="A8300" s="1"/>
      <c r="B8300" s="1"/>
      <c r="C8300" s="1"/>
      <c r="D8300" s="1"/>
      <c r="E8300" s="1"/>
      <c r="F8300" s="1"/>
      <c r="G8300" s="1"/>
      <c r="H8300" s="1"/>
      <c r="I8300" s="1"/>
      <c r="J8300" s="1"/>
      <c r="K8300" s="102" t="s">
        <v>12975</v>
      </c>
      <c r="L8300" s="102" t="str">
        <f>G1165</f>
        <v>J2b2b2a~</v>
      </c>
      <c r="M8300" s="102"/>
      <c r="N8300" s="102" t="s">
        <v>12976</v>
      </c>
      <c r="O8300" s="105">
        <v>8098459.0</v>
      </c>
      <c r="P8300" s="105">
        <v>8230418.0</v>
      </c>
      <c r="Q8300" s="102" t="s">
        <v>2423</v>
      </c>
      <c r="S8300" s="1"/>
      <c r="T8300" s="1"/>
      <c r="U8300" s="1"/>
      <c r="V8300" s="1"/>
      <c r="W8300" s="1"/>
      <c r="X8300" s="1"/>
      <c r="Y8300" s="1"/>
      <c r="AA8300" s="102"/>
      <c r="AB8300" s="1"/>
      <c r="AC8300" s="1"/>
      <c r="AD8300" s="1"/>
      <c r="AE8300" s="1"/>
      <c r="AF8300" s="1"/>
      <c r="AG8300" s="1"/>
    </row>
    <row r="8301" ht="15.75" customHeight="1">
      <c r="A8301" s="1"/>
      <c r="B8301" s="1"/>
      <c r="C8301" s="1"/>
      <c r="D8301" s="1"/>
      <c r="E8301" s="1"/>
      <c r="F8301" s="1"/>
      <c r="G8301" s="1"/>
      <c r="H8301" s="1"/>
      <c r="I8301" s="1"/>
      <c r="J8301" s="1"/>
      <c r="K8301" s="102" t="s">
        <v>12977</v>
      </c>
      <c r="L8301" s="102" t="str">
        <f>G1165</f>
        <v>J2b2b2a~</v>
      </c>
      <c r="M8301" s="102"/>
      <c r="N8301" s="102" t="s">
        <v>12978</v>
      </c>
      <c r="O8301" s="105">
        <v>1.6195358E7</v>
      </c>
      <c r="P8301" s="105">
        <v>1.4083478E7</v>
      </c>
      <c r="Q8301" s="102" t="s">
        <v>2439</v>
      </c>
      <c r="S8301" s="1"/>
      <c r="T8301" s="1"/>
      <c r="U8301" s="1"/>
      <c r="V8301" s="1"/>
      <c r="W8301" s="1"/>
      <c r="X8301" s="1"/>
      <c r="Y8301" s="1"/>
      <c r="AA8301" s="102"/>
      <c r="AB8301" s="1"/>
      <c r="AC8301" s="1"/>
      <c r="AD8301" s="1"/>
      <c r="AE8301" s="1"/>
      <c r="AF8301" s="1"/>
      <c r="AG8301" s="1"/>
    </row>
    <row r="8302" ht="15.75" customHeight="1">
      <c r="A8302" s="1"/>
      <c r="B8302" s="1"/>
      <c r="C8302" s="1"/>
      <c r="D8302" s="1"/>
      <c r="E8302" s="1"/>
      <c r="F8302" s="1"/>
      <c r="G8302" s="1"/>
      <c r="H8302" s="1"/>
      <c r="I8302" s="1"/>
      <c r="J8302" s="1"/>
      <c r="K8302" s="102" t="s">
        <v>12979</v>
      </c>
      <c r="L8302" s="102" t="str">
        <f>G1165</f>
        <v>J2b2b2a~</v>
      </c>
      <c r="M8302" s="102"/>
      <c r="N8302" s="102"/>
      <c r="O8302" s="105">
        <v>8021316.0</v>
      </c>
      <c r="P8302" s="105">
        <v>8153275.0</v>
      </c>
      <c r="Q8302" s="102" t="s">
        <v>2514</v>
      </c>
      <c r="S8302" s="1"/>
      <c r="T8302" s="1"/>
      <c r="U8302" s="1"/>
      <c r="V8302" s="1"/>
      <c r="W8302" s="1"/>
      <c r="X8302" s="1"/>
      <c r="Y8302" s="1"/>
      <c r="AA8302" s="102"/>
      <c r="AB8302" s="1"/>
      <c r="AC8302" s="1"/>
      <c r="AD8302" s="1"/>
      <c r="AE8302" s="1"/>
      <c r="AF8302" s="1"/>
      <c r="AG8302" s="1"/>
    </row>
    <row r="8303" ht="15.75" customHeight="1">
      <c r="A8303" s="1"/>
      <c r="B8303" s="1"/>
      <c r="C8303" s="1"/>
      <c r="D8303" s="1"/>
      <c r="E8303" s="1"/>
      <c r="F8303" s="1"/>
      <c r="G8303" s="1"/>
      <c r="H8303" s="1"/>
      <c r="I8303" s="1"/>
      <c r="J8303" s="1"/>
      <c r="K8303" s="102" t="s">
        <v>12980</v>
      </c>
      <c r="L8303" s="102" t="str">
        <f>G1165</f>
        <v>J2b2b2a~</v>
      </c>
      <c r="M8303" s="102"/>
      <c r="N8303" s="102" t="s">
        <v>12981</v>
      </c>
      <c r="O8303" s="105">
        <v>2.4391143E7</v>
      </c>
      <c r="P8303" s="105">
        <v>2.2244996E7</v>
      </c>
      <c r="Q8303" s="102" t="s">
        <v>2423</v>
      </c>
      <c r="S8303" s="1"/>
      <c r="T8303" s="1"/>
      <c r="U8303" s="1"/>
      <c r="V8303" s="1"/>
      <c r="W8303" s="1"/>
      <c r="X8303" s="1"/>
      <c r="Y8303" s="1"/>
      <c r="AA8303" s="102"/>
      <c r="AB8303" s="1"/>
      <c r="AC8303" s="1"/>
      <c r="AD8303" s="1"/>
      <c r="AE8303" s="1"/>
      <c r="AF8303" s="1"/>
      <c r="AG8303" s="1"/>
    </row>
    <row r="8304" ht="15.75" customHeight="1">
      <c r="A8304" s="1"/>
      <c r="B8304" s="1"/>
      <c r="C8304" s="1"/>
      <c r="D8304" s="1"/>
      <c r="E8304" s="1"/>
      <c r="F8304" s="1"/>
      <c r="G8304" s="1"/>
      <c r="H8304" s="1"/>
      <c r="I8304" s="1"/>
      <c r="J8304" s="1"/>
      <c r="K8304" s="102" t="s">
        <v>12982</v>
      </c>
      <c r="L8304" s="102" t="str">
        <f>G1165</f>
        <v>J2b2b2a~</v>
      </c>
      <c r="M8304" s="102"/>
      <c r="N8304" s="102"/>
      <c r="O8304" s="105">
        <v>2.8757625E7</v>
      </c>
      <c r="P8304" s="105">
        <v>2.6611478E7</v>
      </c>
      <c r="Q8304" s="102" t="s">
        <v>2423</v>
      </c>
      <c r="S8304" s="1"/>
      <c r="T8304" s="1"/>
      <c r="U8304" s="1"/>
      <c r="V8304" s="1"/>
      <c r="W8304" s="1"/>
      <c r="X8304" s="1"/>
      <c r="Y8304" s="1"/>
      <c r="AA8304" s="102"/>
      <c r="AB8304" s="1"/>
      <c r="AC8304" s="1"/>
      <c r="AD8304" s="1"/>
      <c r="AE8304" s="1"/>
      <c r="AF8304" s="1"/>
      <c r="AG8304" s="1"/>
    </row>
    <row r="8305" ht="15.75" customHeight="1">
      <c r="A8305" s="1"/>
      <c r="B8305" s="1"/>
      <c r="C8305" s="1"/>
      <c r="D8305" s="1"/>
      <c r="E8305" s="1"/>
      <c r="F8305" s="1"/>
      <c r="G8305" s="1"/>
      <c r="H8305" s="1"/>
      <c r="I8305" s="1"/>
      <c r="J8305" s="1"/>
      <c r="K8305" s="102"/>
      <c r="L8305" s="102"/>
      <c r="M8305" s="102"/>
      <c r="N8305" s="102"/>
      <c r="O8305" s="105"/>
      <c r="P8305" s="105"/>
      <c r="Q8305" s="102"/>
      <c r="S8305" s="1"/>
      <c r="T8305" s="1"/>
      <c r="U8305" s="1"/>
      <c r="V8305" s="1"/>
      <c r="W8305" s="1"/>
      <c r="X8305" s="1"/>
      <c r="Y8305" s="1"/>
      <c r="AA8305" s="102"/>
      <c r="AB8305" s="1"/>
      <c r="AC8305" s="1"/>
      <c r="AD8305" s="1"/>
      <c r="AE8305" s="1"/>
      <c r="AF8305" s="1"/>
      <c r="AG8305" s="1"/>
    </row>
    <row r="8306" ht="15.75" customHeight="1">
      <c r="A8306" s="1"/>
      <c r="B8306" s="1"/>
      <c r="C8306" s="1"/>
      <c r="D8306" s="1"/>
      <c r="E8306" s="1"/>
      <c r="F8306" s="1"/>
      <c r="G8306" s="1"/>
      <c r="H8306" s="1"/>
      <c r="I8306" s="1"/>
      <c r="J8306" s="1"/>
      <c r="K8306" s="102"/>
      <c r="L8306" s="106" t="s">
        <v>13</v>
      </c>
      <c r="M8306" s="102"/>
      <c r="O8306" s="106" t="s">
        <v>13</v>
      </c>
      <c r="P8306" s="105"/>
      <c r="Q8306" s="102"/>
      <c r="S8306" s="1"/>
      <c r="T8306" s="1"/>
      <c r="U8306" s="1"/>
      <c r="V8306" s="1"/>
      <c r="W8306" s="1"/>
      <c r="X8306" s="1"/>
      <c r="Y8306" s="1"/>
      <c r="AA8306" s="102"/>
      <c r="AB8306" s="1"/>
      <c r="AC8306" s="1"/>
      <c r="AD8306" s="1"/>
      <c r="AE8306" s="1"/>
      <c r="AF8306" s="1"/>
      <c r="AG8306" s="1"/>
    </row>
    <row r="8307" ht="15.75" customHeight="1">
      <c r="A8307" s="1"/>
      <c r="B8307" s="1"/>
      <c r="C8307" s="1"/>
      <c r="D8307" s="1"/>
      <c r="E8307" s="1"/>
      <c r="F8307" s="1"/>
      <c r="G8307" s="1"/>
      <c r="H8307" s="1"/>
      <c r="I8307" s="1"/>
      <c r="J8307" s="1"/>
      <c r="S8307" s="1"/>
      <c r="T8307" s="1"/>
      <c r="U8307" s="1"/>
      <c r="V8307" s="1"/>
      <c r="W8307" s="1"/>
      <c r="X8307" s="1"/>
      <c r="Y8307" s="1"/>
      <c r="AA8307" s="102"/>
      <c r="AB8307" s="1"/>
      <c r="AC8307" s="1"/>
      <c r="AD8307" s="1"/>
      <c r="AE8307" s="1"/>
      <c r="AF8307" s="1"/>
      <c r="AG8307" s="1"/>
    </row>
    <row r="8308" ht="15.75" customHeight="1">
      <c r="A8308" s="1"/>
      <c r="B8308" s="1"/>
      <c r="C8308" s="1"/>
      <c r="D8308" s="1"/>
      <c r="E8308" s="1"/>
      <c r="F8308" s="1"/>
      <c r="G8308" s="1"/>
      <c r="H8308" s="1"/>
      <c r="I8308" s="1"/>
      <c r="J8308" s="1"/>
      <c r="K8308" s="1"/>
      <c r="L8308" s="1"/>
      <c r="M8308" s="1"/>
      <c r="N8308" s="1"/>
      <c r="O8308" s="1"/>
      <c r="P8308" s="1"/>
      <c r="Q8308" s="1"/>
      <c r="S8308" s="1"/>
      <c r="T8308" s="1"/>
      <c r="U8308" s="1"/>
      <c r="V8308" s="1"/>
      <c r="W8308" s="1"/>
      <c r="X8308" s="1"/>
      <c r="Y8308" s="1"/>
      <c r="AA8308" s="102"/>
      <c r="AB8308" s="1"/>
      <c r="AC8308" s="1"/>
      <c r="AD8308" s="1"/>
      <c r="AE8308" s="1"/>
      <c r="AF8308" s="1"/>
      <c r="AG8308" s="1"/>
    </row>
    <row r="8309" ht="15.75" customHeight="1">
      <c r="A8309" s="1"/>
      <c r="B8309" s="1"/>
      <c r="C8309" s="1"/>
      <c r="D8309" s="1"/>
      <c r="E8309" s="1"/>
      <c r="F8309" s="1"/>
      <c r="G8309" s="1"/>
      <c r="H8309" s="1"/>
      <c r="I8309" s="1"/>
      <c r="J8309" s="1"/>
      <c r="K8309" s="1"/>
      <c r="L8309" s="1"/>
      <c r="M8309" s="1"/>
      <c r="N8309" s="1"/>
      <c r="O8309" s="1"/>
      <c r="P8309" s="1"/>
      <c r="Q8309" s="1"/>
      <c r="S8309" s="1"/>
      <c r="T8309" s="1"/>
      <c r="U8309" s="1"/>
      <c r="V8309" s="1"/>
      <c r="W8309" s="1"/>
      <c r="X8309" s="1"/>
      <c r="Y8309" s="1"/>
      <c r="AA8309" s="102"/>
      <c r="AB8309" s="1"/>
      <c r="AC8309" s="1"/>
      <c r="AD8309" s="1"/>
      <c r="AE8309" s="1"/>
      <c r="AF8309" s="1"/>
      <c r="AG8309" s="1"/>
    </row>
    <row r="8310" ht="15.75" customHeight="1">
      <c r="A8310" s="1"/>
      <c r="B8310" s="1"/>
      <c r="C8310" s="1"/>
      <c r="D8310" s="1"/>
      <c r="E8310" s="1"/>
      <c r="F8310" s="1"/>
      <c r="G8310" s="1"/>
      <c r="H8310" s="1"/>
      <c r="I8310" s="1"/>
      <c r="J8310" s="1"/>
      <c r="K8310" s="1"/>
      <c r="L8310" s="1"/>
      <c r="M8310" s="1"/>
      <c r="N8310" s="1"/>
      <c r="O8310" s="1"/>
      <c r="P8310" s="1"/>
      <c r="Q8310" s="1"/>
      <c r="S8310" s="1"/>
      <c r="T8310" s="1"/>
      <c r="U8310" s="1"/>
      <c r="V8310" s="1"/>
      <c r="W8310" s="1"/>
      <c r="X8310" s="1"/>
      <c r="Y8310" s="1"/>
      <c r="AA8310" s="102"/>
      <c r="AB8310" s="1"/>
      <c r="AC8310" s="1"/>
      <c r="AD8310" s="1"/>
      <c r="AE8310" s="1"/>
      <c r="AF8310" s="1"/>
      <c r="AG8310" s="1"/>
    </row>
    <row r="8311" ht="15.75" customHeight="1">
      <c r="A8311" s="1"/>
      <c r="B8311" s="1"/>
      <c r="C8311" s="1"/>
      <c r="D8311" s="1"/>
      <c r="E8311" s="1"/>
      <c r="F8311" s="1"/>
      <c r="G8311" s="1"/>
      <c r="H8311" s="1"/>
      <c r="I8311" s="1"/>
      <c r="J8311" s="1"/>
      <c r="K8311" s="1"/>
      <c r="L8311" s="1"/>
      <c r="M8311" s="1"/>
      <c r="N8311" s="1"/>
      <c r="O8311" s="1"/>
      <c r="P8311" s="1"/>
      <c r="Q8311" s="1"/>
      <c r="S8311" s="1"/>
      <c r="T8311" s="1"/>
      <c r="U8311" s="1"/>
      <c r="V8311" s="1"/>
      <c r="W8311" s="1"/>
      <c r="X8311" s="1"/>
      <c r="Y8311" s="1"/>
      <c r="AA8311" s="102"/>
      <c r="AB8311" s="1"/>
      <c r="AC8311" s="1"/>
      <c r="AD8311" s="1"/>
      <c r="AE8311" s="1"/>
      <c r="AF8311" s="1"/>
      <c r="AG8311" s="1"/>
    </row>
    <row r="8312" ht="15.75" customHeight="1">
      <c r="A8312" s="1"/>
      <c r="B8312" s="1"/>
      <c r="C8312" s="1"/>
      <c r="D8312" s="1"/>
      <c r="E8312" s="1"/>
      <c r="F8312" s="1"/>
      <c r="G8312" s="1"/>
      <c r="H8312" s="1"/>
      <c r="I8312" s="1"/>
      <c r="J8312" s="1"/>
      <c r="K8312" s="42" t="s">
        <v>13</v>
      </c>
      <c r="L8312" s="42" t="s">
        <v>13</v>
      </c>
      <c r="S8312" s="1"/>
      <c r="T8312" s="1"/>
      <c r="U8312" s="1"/>
      <c r="V8312" s="1"/>
      <c r="W8312" s="1"/>
      <c r="X8312" s="1"/>
      <c r="Y8312" s="1"/>
      <c r="AA8312" s="102"/>
      <c r="AB8312" s="1"/>
      <c r="AC8312" s="1"/>
      <c r="AD8312" s="1"/>
      <c r="AE8312" s="1"/>
      <c r="AF8312" s="1"/>
      <c r="AG8312" s="1"/>
    </row>
    <row r="8313" ht="15.75" customHeight="1">
      <c r="A8313" s="1"/>
      <c r="B8313" s="1"/>
      <c r="C8313" s="1"/>
      <c r="D8313" s="1"/>
      <c r="E8313" s="1"/>
      <c r="F8313" s="1"/>
      <c r="G8313" s="1"/>
      <c r="H8313" s="1"/>
      <c r="I8313" s="1"/>
      <c r="J8313" s="1"/>
      <c r="S8313" s="1"/>
      <c r="T8313" s="1"/>
      <c r="U8313" s="1"/>
      <c r="V8313" s="1"/>
      <c r="W8313" s="1"/>
      <c r="X8313" s="1"/>
      <c r="Y8313" s="1"/>
      <c r="AA8313" s="102"/>
      <c r="AB8313" s="1"/>
      <c r="AC8313" s="1"/>
      <c r="AD8313" s="1"/>
      <c r="AE8313" s="1"/>
      <c r="AF8313" s="1"/>
      <c r="AG8313" s="1"/>
    </row>
    <row r="8314" ht="15.75" customHeight="1">
      <c r="A8314" s="1"/>
      <c r="B8314" s="1"/>
      <c r="C8314" s="1"/>
      <c r="D8314" s="1"/>
      <c r="E8314" s="1"/>
      <c r="F8314" s="1"/>
      <c r="G8314" s="1"/>
      <c r="H8314" s="1"/>
      <c r="I8314" s="1"/>
      <c r="J8314" s="1"/>
      <c r="S8314" s="1"/>
      <c r="T8314" s="1"/>
      <c r="U8314" s="1"/>
      <c r="V8314" s="1"/>
      <c r="W8314" s="1"/>
      <c r="X8314" s="1"/>
      <c r="Y8314" s="1"/>
      <c r="AA8314" s="102"/>
      <c r="AB8314" s="1"/>
      <c r="AC8314" s="1"/>
      <c r="AD8314" s="1"/>
      <c r="AE8314" s="1"/>
      <c r="AF8314" s="1"/>
      <c r="AG8314" s="1"/>
    </row>
    <row r="8315" ht="15.75" customHeight="1">
      <c r="A8315" s="1"/>
      <c r="B8315" s="1"/>
      <c r="C8315" s="1"/>
      <c r="D8315" s="1"/>
      <c r="E8315" s="1"/>
      <c r="F8315" s="1"/>
      <c r="G8315" s="1"/>
      <c r="H8315" s="1"/>
      <c r="I8315" s="1"/>
      <c r="J8315" s="1"/>
      <c r="S8315" s="1"/>
      <c r="T8315" s="1"/>
      <c r="U8315" s="1"/>
      <c r="V8315" s="1"/>
      <c r="W8315" s="1"/>
      <c r="X8315" s="1"/>
      <c r="Y8315" s="1"/>
      <c r="AA8315" s="102"/>
      <c r="AB8315" s="1"/>
      <c r="AC8315" s="1"/>
      <c r="AD8315" s="1"/>
      <c r="AE8315" s="1"/>
      <c r="AF8315" s="1"/>
      <c r="AG8315" s="1"/>
    </row>
    <row r="8316" ht="15.75" customHeight="1">
      <c r="A8316" s="1"/>
      <c r="B8316" s="1"/>
      <c r="C8316" s="1"/>
      <c r="D8316" s="1"/>
      <c r="E8316" s="1"/>
      <c r="F8316" s="1"/>
      <c r="G8316" s="1"/>
      <c r="H8316" s="1"/>
      <c r="I8316" s="1"/>
      <c r="J8316" s="1"/>
      <c r="S8316" s="1"/>
      <c r="T8316" s="1"/>
      <c r="U8316" s="1"/>
      <c r="V8316" s="1"/>
      <c r="W8316" s="1"/>
      <c r="X8316" s="1"/>
      <c r="Y8316" s="1"/>
      <c r="AA8316" s="102"/>
      <c r="AB8316" s="1"/>
      <c r="AC8316" s="1"/>
      <c r="AD8316" s="1"/>
      <c r="AE8316" s="1"/>
      <c r="AF8316" s="1"/>
      <c r="AG8316" s="1"/>
    </row>
    <row r="8317" ht="15.75" customHeight="1">
      <c r="A8317" s="1"/>
      <c r="B8317" s="1"/>
      <c r="C8317" s="1"/>
      <c r="D8317" s="1"/>
      <c r="E8317" s="1"/>
      <c r="F8317" s="1"/>
      <c r="G8317" s="1"/>
      <c r="H8317" s="1"/>
      <c r="I8317" s="1"/>
      <c r="J8317" s="1"/>
      <c r="K8317" s="42" t="s">
        <v>13</v>
      </c>
      <c r="S8317" s="1"/>
      <c r="T8317" s="1"/>
      <c r="U8317" s="1"/>
      <c r="V8317" s="1"/>
      <c r="W8317" s="1"/>
      <c r="X8317" s="1"/>
      <c r="Y8317" s="1"/>
      <c r="AA8317" s="102"/>
      <c r="AB8317" s="1"/>
      <c r="AC8317" s="1"/>
      <c r="AD8317" s="1"/>
      <c r="AE8317" s="1"/>
      <c r="AF8317" s="1"/>
      <c r="AG8317" s="1"/>
    </row>
    <row r="8318" ht="15.75" customHeight="1">
      <c r="A8318" s="1"/>
      <c r="B8318" s="1"/>
      <c r="C8318" s="1"/>
      <c r="D8318" s="1"/>
      <c r="E8318" s="1"/>
      <c r="F8318" s="1"/>
      <c r="G8318" s="1"/>
      <c r="H8318" s="1"/>
      <c r="I8318" s="1"/>
      <c r="J8318" s="1"/>
      <c r="K8318" s="42" t="s">
        <v>13</v>
      </c>
      <c r="S8318" s="1"/>
      <c r="T8318" s="1"/>
      <c r="U8318" s="1"/>
      <c r="V8318" s="1"/>
      <c r="W8318" s="1"/>
      <c r="X8318" s="1"/>
      <c r="Y8318" s="1"/>
      <c r="AA8318" s="102"/>
      <c r="AB8318" s="1"/>
      <c r="AC8318" s="1"/>
      <c r="AD8318" s="1"/>
      <c r="AE8318" s="1"/>
      <c r="AF8318" s="1"/>
      <c r="AG8318" s="1"/>
    </row>
    <row r="8319" ht="15.75" customHeight="1">
      <c r="A8319" s="1"/>
      <c r="B8319" s="1"/>
      <c r="C8319" s="1"/>
      <c r="D8319" s="1"/>
      <c r="E8319" s="1"/>
      <c r="F8319" s="1"/>
      <c r="G8319" s="1"/>
      <c r="H8319" s="1"/>
      <c r="I8319" s="1"/>
      <c r="J8319" s="1"/>
      <c r="K8319" s="106"/>
      <c r="L8319" s="102"/>
      <c r="M8319" s="102"/>
      <c r="N8319" s="102"/>
      <c r="O8319" s="105"/>
      <c r="P8319" s="105"/>
      <c r="Q8319" s="102"/>
      <c r="S8319" s="1"/>
      <c r="T8319" s="1"/>
      <c r="U8319" s="1"/>
      <c r="V8319" s="1"/>
      <c r="W8319" s="1"/>
      <c r="X8319" s="1"/>
      <c r="Y8319" s="1"/>
      <c r="AA8319" s="102"/>
      <c r="AB8319" s="1"/>
      <c r="AC8319" s="1"/>
      <c r="AD8319" s="1"/>
      <c r="AE8319" s="1"/>
      <c r="AF8319" s="1"/>
      <c r="AG8319" s="1"/>
    </row>
    <row r="8320" ht="15.75" customHeight="1">
      <c r="A8320" s="1"/>
      <c r="B8320" s="1"/>
      <c r="C8320" s="1"/>
      <c r="D8320" s="1"/>
      <c r="E8320" s="1"/>
      <c r="F8320" s="1"/>
      <c r="G8320" s="1"/>
      <c r="H8320" s="1"/>
      <c r="I8320" s="1"/>
      <c r="J8320" s="1"/>
      <c r="K8320" s="106"/>
      <c r="L8320" s="102"/>
      <c r="M8320" s="102"/>
      <c r="N8320" s="102"/>
      <c r="O8320" s="105"/>
      <c r="P8320" s="105"/>
      <c r="Q8320" s="102"/>
      <c r="S8320" s="1"/>
      <c r="T8320" s="1"/>
      <c r="U8320" s="1"/>
      <c r="V8320" s="1"/>
      <c r="W8320" s="1"/>
      <c r="X8320" s="1"/>
      <c r="Y8320" s="1"/>
      <c r="AA8320" s="102"/>
      <c r="AB8320" s="1"/>
      <c r="AC8320" s="1"/>
      <c r="AD8320" s="1"/>
      <c r="AE8320" s="1"/>
      <c r="AF8320" s="1"/>
      <c r="AG8320" s="1"/>
    </row>
    <row r="8321" ht="15.75" customHeight="1">
      <c r="A8321" s="1"/>
      <c r="B8321" s="1"/>
      <c r="C8321" s="1"/>
      <c r="D8321" s="1"/>
      <c r="E8321" s="1"/>
      <c r="F8321" s="1"/>
      <c r="G8321" s="1"/>
      <c r="H8321" s="1"/>
      <c r="I8321" s="1"/>
      <c r="J8321" s="1"/>
      <c r="K8321" s="106"/>
      <c r="L8321" s="102"/>
      <c r="M8321" s="102"/>
      <c r="N8321" s="102"/>
      <c r="O8321" s="105"/>
      <c r="P8321" s="105"/>
      <c r="Q8321" s="102"/>
      <c r="S8321" s="1"/>
      <c r="T8321" s="1"/>
      <c r="U8321" s="1"/>
      <c r="V8321" s="1"/>
      <c r="W8321" s="1"/>
      <c r="X8321" s="1"/>
      <c r="Y8321" s="1"/>
      <c r="AA8321" s="102"/>
      <c r="AB8321" s="1"/>
      <c r="AC8321" s="1"/>
      <c r="AD8321" s="1"/>
      <c r="AE8321" s="1"/>
      <c r="AF8321" s="1"/>
      <c r="AG8321" s="1"/>
    </row>
    <row r="8322" ht="15.75" customHeight="1">
      <c r="A8322" s="1"/>
      <c r="B8322" s="1"/>
      <c r="C8322" s="1"/>
      <c r="D8322" s="1"/>
      <c r="E8322" s="1"/>
      <c r="F8322" s="1"/>
      <c r="G8322" s="1"/>
      <c r="H8322" s="1"/>
      <c r="I8322" s="1"/>
      <c r="J8322" s="1"/>
      <c r="K8322" s="106"/>
      <c r="L8322" s="102"/>
      <c r="M8322" s="102"/>
      <c r="N8322" s="102"/>
      <c r="O8322" s="105"/>
      <c r="P8322" s="105"/>
      <c r="Q8322" s="102"/>
      <c r="S8322" s="1"/>
      <c r="T8322" s="1"/>
      <c r="U8322" s="1"/>
      <c r="V8322" s="1"/>
      <c r="W8322" s="1"/>
      <c r="X8322" s="1"/>
      <c r="Y8322" s="1"/>
      <c r="AA8322" s="102"/>
      <c r="AB8322" s="1"/>
      <c r="AC8322" s="1"/>
      <c r="AD8322" s="1"/>
      <c r="AE8322" s="1"/>
      <c r="AF8322" s="1"/>
      <c r="AG8322" s="1"/>
    </row>
    <row r="8323" ht="15.75" customHeight="1">
      <c r="A8323" s="1"/>
      <c r="B8323" s="1"/>
      <c r="C8323" s="1"/>
      <c r="D8323" s="1"/>
      <c r="E8323" s="1"/>
      <c r="F8323" s="1"/>
      <c r="G8323" s="1"/>
      <c r="H8323" s="1"/>
      <c r="I8323" s="1"/>
      <c r="J8323" s="1"/>
      <c r="K8323" s="106"/>
      <c r="L8323" s="102"/>
      <c r="M8323" s="102"/>
      <c r="N8323" s="102"/>
      <c r="O8323" s="105"/>
      <c r="P8323" s="105"/>
      <c r="Q8323" s="102"/>
      <c r="S8323" s="1"/>
      <c r="T8323" s="1"/>
      <c r="U8323" s="1"/>
      <c r="V8323" s="1"/>
      <c r="W8323" s="1"/>
      <c r="X8323" s="1"/>
      <c r="Y8323" s="1"/>
      <c r="AA8323" s="102"/>
      <c r="AB8323" s="1"/>
      <c r="AC8323" s="1"/>
      <c r="AD8323" s="1"/>
      <c r="AE8323" s="1"/>
      <c r="AF8323" s="1"/>
      <c r="AG8323" s="1"/>
    </row>
    <row r="8324" ht="15.75" customHeight="1">
      <c r="A8324" s="1"/>
      <c r="B8324" s="1"/>
      <c r="C8324" s="1"/>
      <c r="D8324" s="1"/>
      <c r="E8324" s="1"/>
      <c r="F8324" s="1"/>
      <c r="G8324" s="1"/>
      <c r="H8324" s="1"/>
      <c r="I8324" s="1"/>
      <c r="J8324" s="1"/>
      <c r="K8324" s="106"/>
      <c r="L8324" s="102"/>
      <c r="M8324" s="102"/>
      <c r="N8324" s="102"/>
      <c r="O8324" s="105"/>
      <c r="P8324" s="105"/>
      <c r="Q8324" s="102"/>
      <c r="S8324" s="1"/>
      <c r="T8324" s="1"/>
      <c r="U8324" s="1"/>
      <c r="V8324" s="1"/>
      <c r="W8324" s="1"/>
      <c r="X8324" s="1"/>
      <c r="Y8324" s="1"/>
      <c r="AA8324" s="102"/>
      <c r="AB8324" s="1"/>
      <c r="AC8324" s="1"/>
      <c r="AD8324" s="1"/>
      <c r="AE8324" s="1"/>
      <c r="AF8324" s="1"/>
      <c r="AG8324" s="1"/>
    </row>
    <row r="8325" ht="15.75" customHeight="1">
      <c r="A8325" s="1"/>
      <c r="B8325" s="1"/>
      <c r="C8325" s="1"/>
      <c r="D8325" s="1"/>
      <c r="E8325" s="1"/>
      <c r="F8325" s="1"/>
      <c r="G8325" s="1"/>
      <c r="H8325" s="1"/>
      <c r="I8325" s="1"/>
      <c r="J8325" s="1"/>
      <c r="K8325" s="106"/>
      <c r="L8325" s="102"/>
      <c r="M8325" s="102"/>
      <c r="N8325" s="102"/>
      <c r="O8325" s="105"/>
      <c r="P8325" s="105"/>
      <c r="Q8325" s="102"/>
      <c r="S8325" s="1"/>
      <c r="T8325" s="1"/>
      <c r="U8325" s="1"/>
      <c r="V8325" s="1"/>
      <c r="W8325" s="1"/>
      <c r="X8325" s="1"/>
      <c r="Y8325" s="1"/>
      <c r="AA8325" s="102"/>
      <c r="AB8325" s="1"/>
      <c r="AC8325" s="1"/>
      <c r="AD8325" s="1"/>
      <c r="AE8325" s="1"/>
      <c r="AF8325" s="1"/>
      <c r="AG8325" s="1"/>
    </row>
    <row r="8326" ht="15.75" customHeight="1">
      <c r="A8326" s="1"/>
      <c r="B8326" s="1"/>
      <c r="C8326" s="1"/>
      <c r="D8326" s="1"/>
      <c r="E8326" s="1"/>
      <c r="F8326" s="1"/>
      <c r="G8326" s="1"/>
      <c r="H8326" s="1"/>
      <c r="I8326" s="1"/>
      <c r="J8326" s="1"/>
      <c r="K8326" s="106"/>
      <c r="L8326" s="102"/>
      <c r="M8326" s="102"/>
      <c r="N8326" s="102"/>
      <c r="O8326" s="105"/>
      <c r="P8326" s="105"/>
      <c r="Q8326" s="102"/>
      <c r="S8326" s="1"/>
      <c r="T8326" s="1"/>
      <c r="U8326" s="1"/>
      <c r="V8326" s="1"/>
      <c r="W8326" s="1"/>
      <c r="X8326" s="1"/>
      <c r="Y8326" s="1"/>
      <c r="AA8326" s="102"/>
      <c r="AB8326" s="1"/>
      <c r="AC8326" s="1"/>
      <c r="AD8326" s="1"/>
      <c r="AE8326" s="1"/>
      <c r="AF8326" s="1"/>
      <c r="AG8326" s="1"/>
    </row>
  </sheetData>
  <autoFilter ref="$K$1288:$AA$7801"/>
  <mergeCells count="115">
    <mergeCell ref="C2:L2"/>
    <mergeCell ref="C5:L5"/>
    <mergeCell ref="B11:L11"/>
    <mergeCell ref="B23:L23"/>
    <mergeCell ref="B24:L24"/>
    <mergeCell ref="B25:L25"/>
    <mergeCell ref="B29:M29"/>
    <mergeCell ref="C30:M30"/>
    <mergeCell ref="D31:N31"/>
    <mergeCell ref="F34:O34"/>
    <mergeCell ref="H37:P37"/>
    <mergeCell ref="J40:P40"/>
    <mergeCell ref="J42:Q42"/>
    <mergeCell ref="I44:P44"/>
    <mergeCell ref="J48:P48"/>
    <mergeCell ref="L52:R52"/>
    <mergeCell ref="K61:P61"/>
    <mergeCell ref="J62:P62"/>
    <mergeCell ref="K63:P63"/>
    <mergeCell ref="L66:R66"/>
    <mergeCell ref="M68:S68"/>
    <mergeCell ref="P71:W71"/>
    <mergeCell ref="P77:V77"/>
    <mergeCell ref="P81:V81"/>
    <mergeCell ref="P88:U88"/>
    <mergeCell ref="Q101:W101"/>
    <mergeCell ref="R102:Y102"/>
    <mergeCell ref="R105:X105"/>
    <mergeCell ref="U130:Z130"/>
    <mergeCell ref="R134:W134"/>
    <mergeCell ref="R136:W136"/>
    <mergeCell ref="S137:W137"/>
    <mergeCell ref="S140:W140"/>
    <mergeCell ref="AB181:AC181"/>
    <mergeCell ref="W199:AA199"/>
    <mergeCell ref="W204:Z204"/>
    <mergeCell ref="V210:Y210"/>
    <mergeCell ref="X212:AA212"/>
    <mergeCell ref="T227:W227"/>
    <mergeCell ref="V231:Y231"/>
    <mergeCell ref="X256:AA256"/>
    <mergeCell ref="W270:Z270"/>
    <mergeCell ref="Y281:AB281"/>
    <mergeCell ref="Z287:AC287"/>
    <mergeCell ref="AA292:AD292"/>
    <mergeCell ref="AA303:AD303"/>
    <mergeCell ref="Y312:AB312"/>
    <mergeCell ref="Z324:AC324"/>
    <mergeCell ref="W352:AA352"/>
    <mergeCell ref="S1106:W1106"/>
    <mergeCell ref="Q1124:V1124"/>
    <mergeCell ref="N1126:S1126"/>
    <mergeCell ref="N1134:R1134"/>
    <mergeCell ref="N1135:R1135"/>
    <mergeCell ref="J1137:P1137"/>
    <mergeCell ref="H1141:O1141"/>
    <mergeCell ref="G1164:O1164"/>
    <mergeCell ref="A1196:L1196"/>
    <mergeCell ref="A1197:L1197"/>
    <mergeCell ref="A1202:L1202"/>
    <mergeCell ref="A1204:L1204"/>
    <mergeCell ref="A1205:L1205"/>
    <mergeCell ref="H1143:O1143"/>
    <mergeCell ref="L1149:Q1149"/>
    <mergeCell ref="L1151:Q1151"/>
    <mergeCell ref="L1155:Q1155"/>
    <mergeCell ref="L1158:Q1158"/>
    <mergeCell ref="M1160:R1160"/>
    <mergeCell ref="H1165:P1165"/>
    <mergeCell ref="AC443:AF443"/>
    <mergeCell ref="AC467:AF467"/>
    <mergeCell ref="AB491:AE491"/>
    <mergeCell ref="AB492:AE492"/>
    <mergeCell ref="J649:Q649"/>
    <mergeCell ref="K650:R650"/>
    <mergeCell ref="H652:P652"/>
    <mergeCell ref="I653:P653"/>
    <mergeCell ref="F655:O655"/>
    <mergeCell ref="G657:P657"/>
    <mergeCell ref="J664:P664"/>
    <mergeCell ref="J666:P666"/>
    <mergeCell ref="N677:S677"/>
    <mergeCell ref="H679:O679"/>
    <mergeCell ref="C698:M698"/>
    <mergeCell ref="D699:N699"/>
    <mergeCell ref="F702:N702"/>
    <mergeCell ref="F703:N703"/>
    <mergeCell ref="H682:O682"/>
    <mergeCell ref="I684:P684"/>
    <mergeCell ref="E687:N687"/>
    <mergeCell ref="F689:O689"/>
    <mergeCell ref="D691:N691"/>
    <mergeCell ref="E692:N692"/>
    <mergeCell ref="F693:N693"/>
    <mergeCell ref="I966:P966"/>
    <mergeCell ref="J967:P967"/>
    <mergeCell ref="K968:Q968"/>
    <mergeCell ref="L977:Q977"/>
    <mergeCell ref="H1028:N1028"/>
    <mergeCell ref="I1029:O1029"/>
    <mergeCell ref="H1030:N1030"/>
    <mergeCell ref="I1031:O1031"/>
    <mergeCell ref="K1034:P1034"/>
    <mergeCell ref="L1039:Q1039"/>
    <mergeCell ref="E1058:M1058"/>
    <mergeCell ref="F1060:M1060"/>
    <mergeCell ref="D1076:M1076"/>
    <mergeCell ref="D1077:M1077"/>
    <mergeCell ref="E1078:N1078"/>
    <mergeCell ref="F1080:N1080"/>
    <mergeCell ref="G1084:O1084"/>
    <mergeCell ref="H1086:O1086"/>
    <mergeCell ref="F1089:O1089"/>
    <mergeCell ref="G1090:O1090"/>
    <mergeCell ref="J1094:Q1094"/>
  </mergeCells>
  <hyperlinks>
    <hyperlink r:id="rId1" ref="J7"/>
    <hyperlink r:id="rId2" ref="H8"/>
    <hyperlink r:id="rId3" ref="F9"/>
    <hyperlink r:id="rId4" ref="C14"/>
    <hyperlink r:id="rId5" ref="I14"/>
    <hyperlink r:id="rId6" ref="G15"/>
    <hyperlink r:id="rId7" ref="I15"/>
    <hyperlink r:id="rId8" ref="A1209"/>
    <hyperlink r:id="rId9" ref="A1210"/>
    <hyperlink r:id="rId10" ref="A1211"/>
    <hyperlink r:id="rId11" ref="A1212"/>
    <hyperlink r:id="rId12" ref="A1213"/>
    <hyperlink r:id="rId13" ref="A1214"/>
    <hyperlink r:id="rId14" ref="A1215"/>
    <hyperlink r:id="rId15" ref="A1216"/>
    <hyperlink r:id="rId16" ref="A1217"/>
    <hyperlink r:id="rId17" ref="A1218"/>
    <hyperlink r:id="rId18" ref="A1219"/>
    <hyperlink r:id="rId19" ref="A1220"/>
    <hyperlink r:id="rId20" ref="A1221"/>
    <hyperlink r:id="rId21" ref="A1222"/>
    <hyperlink r:id="rId22" ref="A1223"/>
    <hyperlink r:id="rId23" ref="A1224"/>
    <hyperlink r:id="rId24" ref="A1225"/>
    <hyperlink r:id="rId25" ref="A1226"/>
    <hyperlink r:id="rId26" ref="A1227"/>
    <hyperlink r:id="rId27" ref="A1228"/>
    <hyperlink r:id="rId28" ref="A1229"/>
    <hyperlink r:id="rId29" ref="A1230"/>
    <hyperlink r:id="rId30" ref="A1232"/>
    <hyperlink r:id="rId31" ref="A1233"/>
    <hyperlink r:id="rId32" ref="A1234"/>
    <hyperlink r:id="rId33" ref="A1235"/>
    <hyperlink r:id="rId34" ref="A1236"/>
    <hyperlink r:id="rId35" ref="A1237"/>
    <hyperlink r:id="rId36" ref="A1238"/>
    <hyperlink r:id="rId37" ref="A1239"/>
    <hyperlink r:id="rId38" ref="A1240"/>
    <hyperlink r:id="rId39" ref="A1241"/>
    <hyperlink r:id="rId40" ref="A1242"/>
    <hyperlink r:id="rId41" ref="A1243"/>
    <hyperlink r:id="rId42" ref="A1244"/>
    <hyperlink r:id="rId43" ref="A1245"/>
    <hyperlink r:id="rId44" ref="A1246"/>
    <hyperlink r:id="rId45" ref="A1247"/>
    <hyperlink r:id="rId46" ref="A1248"/>
    <hyperlink r:id="rId47" ref="A1249"/>
    <hyperlink r:id="rId48" ref="A1251"/>
    <hyperlink r:id="rId49" ref="A1252"/>
    <hyperlink r:id="rId50" ref="I1258"/>
    <hyperlink r:id="rId51" ref="A1259"/>
    <hyperlink r:id="rId52" ref="A1260"/>
    <hyperlink r:id="rId53" ref="A1261"/>
    <hyperlink r:id="rId54" ref="A1262"/>
    <hyperlink r:id="rId55" ref="A1263"/>
    <hyperlink r:id="rId56" ref="A1264"/>
    <hyperlink r:id="rId57" ref="A1265"/>
    <hyperlink r:id="rId58" ref="A1267"/>
    <hyperlink r:id="rId59" ref="A1268"/>
    <hyperlink r:id="rId60" ref="A1269"/>
    <hyperlink r:id="rId61" ref="A1270"/>
    <hyperlink r:id="rId62" ref="A1271"/>
    <hyperlink r:id="rId63" ref="B1278"/>
    <hyperlink r:id="rId64" ref="B1281"/>
    <hyperlink r:id="rId65" ref="B1282"/>
  </hyperlinks>
  <drawing r:id="rId66"/>
</worksheet>
</file>